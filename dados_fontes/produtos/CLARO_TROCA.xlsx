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corpclarobr.sharepoint.com/sites/CanalAgenteAutorizado/Documentos Compartilhados/Relatórios/Abastecimento/CLARO TROCA/"/>
    </mc:Choice>
  </mc:AlternateContent>
  <xr:revisionPtr revIDLastSave="0" documentId="8_{DAB330B0-6CEC-46C2-BB31-190672E8DA74}" xr6:coauthVersionLast="47" xr6:coauthVersionMax="47" xr10:uidLastSave="{00000000-0000-0000-0000-000000000000}"/>
  <bookViews>
    <workbookView minimized="1" xWindow="4620" yWindow="3830" windowWidth="14400" windowHeight="7270" firstSheet="4" activeTab="4" xr2:uid="{DABD944A-C0CE-43BA-9B4B-D83CCC9C1101}"/>
  </bookViews>
  <sheets>
    <sheet name="Capa" sheetId="22" r:id="rId1"/>
    <sheet name="Dashboard" sheetId="23" r:id="rId2"/>
    <sheet name="REGIONAL" sheetId="14" r:id="rId3"/>
    <sheet name="TOP 10 Parceiros" sheetId="21" r:id="rId4"/>
    <sheet name="GRUPOS ZERADOS" sheetId="17" r:id="rId5"/>
    <sheet name="GRUPOS" sheetId="13" r:id="rId6"/>
    <sheet name="PDVS" sheetId="11" r:id="rId7"/>
    <sheet name="BASE" sheetId="1" r:id="rId8"/>
    <sheet name="INSTRUÇÕES" sheetId="18" r:id="rId9"/>
    <sheet name="REPASSE" sheetId="19" state="hidden" r:id="rId10"/>
    <sheet name="BOOST LIBERADO" sheetId="20" state="hidden" r:id="rId11"/>
    <sheet name="repete" sheetId="16" state="hidden" r:id="rId12"/>
    <sheet name="Planilha2" sheetId="15" state="hidden" r:id="rId13"/>
    <sheet name="CAD_PDV" sheetId="8" state="hidden" r:id="rId14"/>
    <sheet name="Planilha6" sheetId="12" state="hidden" r:id="rId15"/>
    <sheet name="Dashboard Calc" sheetId="24" state="hidden" r:id="rId16"/>
  </sheets>
  <definedNames>
    <definedName name="_xlnm._FilterDatabase" localSheetId="7" hidden="1">BASE!$A$1:$M$3532</definedName>
    <definedName name="_xlnm._FilterDatabase" localSheetId="5" hidden="1">GRUPOS!$B$6:$T$178</definedName>
    <definedName name="_xlnm._FilterDatabase" localSheetId="6" hidden="1">PDVS!$B$2:$X$1010</definedName>
    <definedName name="DashboardMonths">'Dashboard Calc'!$I$2:$I$13</definedName>
  </definedNames>
  <calcPr calcId="191028"/>
  <pivotCaches>
    <pivotCache cacheId="319"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2" i="24" l="1" a="1"/>
  <c r="J3523" i="1"/>
  <c r="K3523" i="1"/>
  <c r="L3523" i="1"/>
  <c r="M3523" i="1"/>
  <c r="J3524" i="1"/>
  <c r="K3524" i="1"/>
  <c r="L3524" i="1"/>
  <c r="M3524" i="1"/>
  <c r="J3525" i="1"/>
  <c r="K3525" i="1"/>
  <c r="L3525" i="1"/>
  <c r="M3525" i="1"/>
  <c r="J3526" i="1"/>
  <c r="K3526" i="1"/>
  <c r="L3526" i="1"/>
  <c r="M3526" i="1"/>
  <c r="J3527" i="1"/>
  <c r="K3527" i="1"/>
  <c r="L3527" i="1"/>
  <c r="M3527" i="1"/>
  <c r="J3528" i="1"/>
  <c r="K3528" i="1"/>
  <c r="L3528" i="1"/>
  <c r="M3528" i="1"/>
  <c r="J3529" i="1"/>
  <c r="K3529" i="1"/>
  <c r="L3529" i="1"/>
  <c r="M3529" i="1"/>
  <c r="J3530" i="1"/>
  <c r="K3530" i="1"/>
  <c r="L3530" i="1"/>
  <c r="M3530" i="1"/>
  <c r="J3531" i="1"/>
  <c r="K3531" i="1"/>
  <c r="L3531" i="1"/>
  <c r="M3531" i="1"/>
  <c r="J3532" i="1"/>
  <c r="K3532" i="1"/>
  <c r="L3532" i="1"/>
  <c r="M3532" i="1"/>
  <c r="P136" i="13"/>
  <c r="O137" i="13"/>
  <c r="Q137" i="13"/>
  <c r="P138" i="13"/>
  <c r="O139" i="13"/>
  <c r="R139" i="13"/>
  <c r="P140" i="13"/>
  <c r="R140" i="13"/>
  <c r="O141" i="13"/>
  <c r="P142" i="13"/>
  <c r="R142" i="13"/>
  <c r="Q143" i="13"/>
  <c r="P144" i="13"/>
  <c r="R144" i="13"/>
  <c r="P145" i="13"/>
  <c r="P146" i="13"/>
  <c r="O147" i="13"/>
  <c r="Q147" i="13"/>
  <c r="R147" i="13"/>
  <c r="P148" i="13"/>
  <c r="O149" i="13"/>
  <c r="P150" i="13"/>
  <c r="Q150" i="13"/>
  <c r="R150" i="13"/>
  <c r="Q151" i="13"/>
  <c r="R152" i="13"/>
  <c r="P153" i="13"/>
  <c r="Q153" i="13"/>
  <c r="P154" i="13"/>
  <c r="O155" i="13"/>
  <c r="R155" i="13"/>
  <c r="P156" i="13"/>
  <c r="R156" i="13"/>
  <c r="O157" i="13"/>
  <c r="P158" i="13"/>
  <c r="R158" i="13"/>
  <c r="Q159" i="13"/>
  <c r="P160" i="13"/>
  <c r="R160" i="13"/>
  <c r="P161" i="13"/>
  <c r="P162" i="13"/>
  <c r="O163" i="13"/>
  <c r="Q163" i="13"/>
  <c r="R163" i="13"/>
  <c r="P164" i="13"/>
  <c r="O165" i="13"/>
  <c r="P166" i="13"/>
  <c r="Q166" i="13"/>
  <c r="R166" i="13"/>
  <c r="Q167" i="13"/>
  <c r="R168" i="13"/>
  <c r="P169" i="13"/>
  <c r="Q169" i="13"/>
  <c r="P170" i="13"/>
  <c r="O171" i="13"/>
  <c r="R171" i="13"/>
  <c r="P172" i="13"/>
  <c r="R172" i="13"/>
  <c r="O173" i="13"/>
  <c r="P174" i="13"/>
  <c r="R174" i="13"/>
  <c r="Q175" i="13"/>
  <c r="P176" i="13"/>
  <c r="R176" i="13"/>
  <c r="P177" i="13"/>
  <c r="P7" i="13"/>
  <c r="O8" i="13"/>
  <c r="Q8" i="13"/>
  <c r="R8" i="13"/>
  <c r="P9" i="13"/>
  <c r="O10" i="13"/>
  <c r="P11" i="13"/>
  <c r="Q11" i="13"/>
  <c r="R11" i="13"/>
  <c r="Q12" i="13"/>
  <c r="R13" i="13"/>
  <c r="P14" i="13"/>
  <c r="Q14" i="13"/>
  <c r="P15" i="13"/>
  <c r="O16" i="13"/>
  <c r="R16" i="13"/>
  <c r="P17" i="13"/>
  <c r="R17" i="13"/>
  <c r="O18" i="13"/>
  <c r="P19" i="13"/>
  <c r="R19" i="13"/>
  <c r="Q20" i="13"/>
  <c r="P21" i="13"/>
  <c r="R21" i="13"/>
  <c r="P22" i="13"/>
  <c r="R22" i="13"/>
  <c r="P23" i="13"/>
  <c r="Q23" i="13"/>
  <c r="R23" i="13"/>
  <c r="Q24" i="13"/>
  <c r="O25" i="13"/>
  <c r="Q25" i="13"/>
  <c r="R25" i="13"/>
  <c r="O26" i="13"/>
  <c r="Q26" i="13"/>
  <c r="O27" i="13"/>
  <c r="Q27" i="13"/>
  <c r="R27" i="13"/>
  <c r="O28" i="13"/>
  <c r="Q28" i="13"/>
  <c r="O29" i="13"/>
  <c r="Q29" i="13"/>
  <c r="R29" i="13"/>
  <c r="O30" i="13"/>
  <c r="Q30" i="13"/>
  <c r="O31" i="13"/>
  <c r="Q31" i="13"/>
  <c r="R31" i="13"/>
  <c r="O32" i="13"/>
  <c r="Q32" i="13"/>
  <c r="O33" i="13"/>
  <c r="Q33" i="13"/>
  <c r="R33" i="13"/>
  <c r="O34" i="13"/>
  <c r="Q34" i="13"/>
  <c r="O35" i="13"/>
  <c r="Q35" i="13"/>
  <c r="R35" i="13"/>
  <c r="O36" i="13"/>
  <c r="Q36" i="13"/>
  <c r="O37" i="13"/>
  <c r="Q37" i="13"/>
  <c r="R37" i="13"/>
  <c r="O38" i="13"/>
  <c r="Q38" i="13"/>
  <c r="O39" i="13"/>
  <c r="Q39" i="13"/>
  <c r="R39" i="13"/>
  <c r="O40" i="13"/>
  <c r="Q40" i="13"/>
  <c r="O41" i="13"/>
  <c r="Q41" i="13"/>
  <c r="R41" i="13"/>
  <c r="O42" i="13"/>
  <c r="Q42" i="13"/>
  <c r="O43" i="13"/>
  <c r="Q43" i="13"/>
  <c r="R43" i="13"/>
  <c r="O44" i="13"/>
  <c r="Q44" i="13"/>
  <c r="O45" i="13"/>
  <c r="Q45" i="13"/>
  <c r="R45" i="13"/>
  <c r="O46" i="13"/>
  <c r="Q46" i="13"/>
  <c r="O47" i="13"/>
  <c r="Q47" i="13"/>
  <c r="R47" i="13"/>
  <c r="O48" i="13"/>
  <c r="Q48" i="13"/>
  <c r="O49" i="13"/>
  <c r="Q49" i="13"/>
  <c r="R49" i="13"/>
  <c r="O50" i="13"/>
  <c r="Q50" i="13"/>
  <c r="O51" i="13"/>
  <c r="Q51" i="13"/>
  <c r="R51" i="13"/>
  <c r="O52" i="13"/>
  <c r="Q52" i="13"/>
  <c r="O53" i="13"/>
  <c r="Q53" i="13"/>
  <c r="R53" i="13"/>
  <c r="O54" i="13"/>
  <c r="Q54" i="13"/>
  <c r="O55" i="13"/>
  <c r="Q55" i="13"/>
  <c r="R55" i="13"/>
  <c r="O56" i="13"/>
  <c r="Q56" i="13"/>
  <c r="O57" i="13"/>
  <c r="Q57" i="13"/>
  <c r="R57" i="13"/>
  <c r="O58" i="13"/>
  <c r="Q58" i="13"/>
  <c r="O59" i="13"/>
  <c r="Q59" i="13"/>
  <c r="R59" i="13"/>
  <c r="O60" i="13"/>
  <c r="Q60" i="13"/>
  <c r="O61" i="13"/>
  <c r="Q61" i="13"/>
  <c r="R61" i="13"/>
  <c r="O62" i="13"/>
  <c r="Q62" i="13"/>
  <c r="O63" i="13"/>
  <c r="Q63" i="13"/>
  <c r="R63" i="13"/>
  <c r="O64" i="13"/>
  <c r="Q64" i="13"/>
  <c r="O65" i="13"/>
  <c r="Q65" i="13"/>
  <c r="R65" i="13"/>
  <c r="O66" i="13"/>
  <c r="Q66" i="13"/>
  <c r="O67" i="13"/>
  <c r="Q67" i="13"/>
  <c r="R67" i="13"/>
  <c r="O68" i="13"/>
  <c r="Q68" i="13"/>
  <c r="O69" i="13"/>
  <c r="Q69" i="13"/>
  <c r="R69" i="13"/>
  <c r="O70" i="13"/>
  <c r="Q70" i="13"/>
  <c r="O71" i="13"/>
  <c r="Q71" i="13"/>
  <c r="R71" i="13"/>
  <c r="O72" i="13"/>
  <c r="Q72" i="13"/>
  <c r="O73" i="13"/>
  <c r="Q73" i="13"/>
  <c r="R73" i="13"/>
  <c r="O74" i="13"/>
  <c r="Q74" i="13"/>
  <c r="O75" i="13"/>
  <c r="Q75" i="13"/>
  <c r="R75" i="13"/>
  <c r="O76" i="13"/>
  <c r="Q76" i="13"/>
  <c r="O77" i="13"/>
  <c r="Q77" i="13"/>
  <c r="R77" i="13"/>
  <c r="O78" i="13"/>
  <c r="Q78" i="13"/>
  <c r="O79" i="13"/>
  <c r="Q79" i="13"/>
  <c r="R79" i="13"/>
  <c r="O80" i="13"/>
  <c r="Q80" i="13"/>
  <c r="O81" i="13"/>
  <c r="Q81" i="13"/>
  <c r="R81" i="13"/>
  <c r="O82" i="13"/>
  <c r="Q82" i="13"/>
  <c r="O83" i="13"/>
  <c r="Q83" i="13"/>
  <c r="R83" i="13"/>
  <c r="O84" i="13"/>
  <c r="Q84" i="13"/>
  <c r="O85" i="13"/>
  <c r="Q85" i="13"/>
  <c r="R85" i="13"/>
  <c r="O86" i="13"/>
  <c r="Q86" i="13"/>
  <c r="O87" i="13"/>
  <c r="Q87" i="13"/>
  <c r="R87" i="13"/>
  <c r="O88" i="13"/>
  <c r="Q88" i="13"/>
  <c r="O89" i="13"/>
  <c r="Q89" i="13"/>
  <c r="R89" i="13"/>
  <c r="O90" i="13"/>
  <c r="Q90" i="13"/>
  <c r="O91" i="13"/>
  <c r="Q91" i="13"/>
  <c r="R91" i="13"/>
  <c r="O92" i="13"/>
  <c r="Q92" i="13"/>
  <c r="O93" i="13"/>
  <c r="Q93" i="13"/>
  <c r="R93" i="13"/>
  <c r="O94" i="13"/>
  <c r="Q94" i="13"/>
  <c r="O95" i="13"/>
  <c r="Q95" i="13"/>
  <c r="R95" i="13"/>
  <c r="O96" i="13"/>
  <c r="Q96" i="13"/>
  <c r="O97" i="13"/>
  <c r="Q97" i="13"/>
  <c r="R97" i="13"/>
  <c r="O98" i="13"/>
  <c r="Q98" i="13"/>
  <c r="O99" i="13"/>
  <c r="Q99" i="13"/>
  <c r="R99" i="13"/>
  <c r="O100" i="13"/>
  <c r="Q100" i="13"/>
  <c r="O101" i="13"/>
  <c r="Q101" i="13"/>
  <c r="R101" i="13"/>
  <c r="O102" i="13"/>
  <c r="Q102" i="13"/>
  <c r="O103" i="13"/>
  <c r="Q103" i="13"/>
  <c r="R103" i="13"/>
  <c r="O104" i="13"/>
  <c r="Q104" i="13"/>
  <c r="O105" i="13"/>
  <c r="Q105" i="13"/>
  <c r="R105" i="13"/>
  <c r="O106" i="13"/>
  <c r="Q106" i="13"/>
  <c r="O107" i="13"/>
  <c r="Q107" i="13"/>
  <c r="R107" i="13"/>
  <c r="O108" i="13"/>
  <c r="Q108" i="13"/>
  <c r="O109" i="13"/>
  <c r="Q109" i="13"/>
  <c r="R109" i="13"/>
  <c r="O110" i="13"/>
  <c r="Q110" i="13"/>
  <c r="O111" i="13"/>
  <c r="Q111" i="13"/>
  <c r="R111" i="13"/>
  <c r="O112" i="13"/>
  <c r="Q112" i="13"/>
  <c r="O113" i="13"/>
  <c r="Q113" i="13"/>
  <c r="R113" i="13"/>
  <c r="O114" i="13"/>
  <c r="Q114" i="13"/>
  <c r="O115" i="13"/>
  <c r="Q115" i="13"/>
  <c r="R115" i="13"/>
  <c r="O116" i="13"/>
  <c r="Q116" i="13"/>
  <c r="O117" i="13"/>
  <c r="Q117" i="13"/>
  <c r="R117" i="13"/>
  <c r="O118" i="13"/>
  <c r="Q118" i="13"/>
  <c r="O119" i="13"/>
  <c r="Q119" i="13"/>
  <c r="R119" i="13"/>
  <c r="O120" i="13"/>
  <c r="Q120" i="13"/>
  <c r="O121" i="13"/>
  <c r="Q121" i="13"/>
  <c r="R121" i="13"/>
  <c r="O122" i="13"/>
  <c r="Q122" i="13"/>
  <c r="O123" i="13"/>
  <c r="Q123" i="13"/>
  <c r="R123" i="13"/>
  <c r="O124" i="13"/>
  <c r="Q124" i="13"/>
  <c r="O125" i="13"/>
  <c r="Q125" i="13"/>
  <c r="R125" i="13"/>
  <c r="O126" i="13"/>
  <c r="Q126" i="13"/>
  <c r="O127" i="13"/>
  <c r="Q127" i="13"/>
  <c r="R127" i="13"/>
  <c r="O128" i="13"/>
  <c r="Q128" i="13"/>
  <c r="O129" i="13"/>
  <c r="Q129" i="13"/>
  <c r="R129" i="13"/>
  <c r="O130" i="13"/>
  <c r="Q130" i="13"/>
  <c r="O131" i="13"/>
  <c r="Q131" i="13"/>
  <c r="R131" i="13"/>
  <c r="M13" i="23"/>
  <c r="M12" i="23"/>
  <c r="M11" i="23"/>
  <c r="M10" i="23"/>
  <c r="J13" i="24"/>
  <c r="N13" i="23" s="1"/>
  <c r="J12" i="24"/>
  <c r="N12" i="23" s="1"/>
  <c r="J11" i="24"/>
  <c r="N11" i="23" s="1"/>
  <c r="J10" i="24"/>
  <c r="N10" i="23" s="1"/>
  <c r="J9" i="24"/>
  <c r="N9" i="23" s="1"/>
  <c r="J8" i="24"/>
  <c r="N8" i="23" s="1"/>
  <c r="J7" i="24"/>
  <c r="N7" i="23" s="1"/>
  <c r="J6" i="24"/>
  <c r="N6" i="23" s="1"/>
  <c r="J5" i="24"/>
  <c r="N5" i="23" s="1"/>
  <c r="J4" i="24"/>
  <c r="N4" i="23" s="1"/>
  <c r="J3" i="24"/>
  <c r="N3" i="23" s="1"/>
  <c r="J2" i="24"/>
  <c r="N2" i="23" s="1"/>
  <c r="D6" i="23"/>
  <c r="A6" i="23"/>
  <c r="D3" i="23"/>
  <c r="K13" i="24"/>
  <c r="K12" i="24"/>
  <c r="K11" i="24"/>
  <c r="K10" i="24"/>
  <c r="K9" i="24"/>
  <c r="K8" i="24"/>
  <c r="K7" i="24"/>
  <c r="K6" i="24"/>
  <c r="K5" i="24"/>
  <c r="K4" i="24"/>
  <c r="K3" i="24"/>
  <c r="K2" i="24"/>
  <c r="U1010" i="11"/>
  <c r="S1010" i="11"/>
  <c r="P1010" i="11"/>
  <c r="N1010" i="11"/>
  <c r="L1010" i="11"/>
  <c r="I1010" i="11"/>
  <c r="H1010" i="11"/>
  <c r="J1010" i="11" s="1"/>
  <c r="M3095" i="1"/>
  <c r="L3095" i="1"/>
  <c r="K3095" i="1"/>
  <c r="J3095" i="1"/>
  <c r="M3094" i="1"/>
  <c r="L3094" i="1"/>
  <c r="K3094" i="1"/>
  <c r="J3094" i="1"/>
  <c r="M3093" i="1"/>
  <c r="L3093" i="1"/>
  <c r="K3093" i="1"/>
  <c r="J3093" i="1"/>
  <c r="M3092" i="1"/>
  <c r="L3092" i="1"/>
  <c r="K3092" i="1"/>
  <c r="J3092" i="1"/>
  <c r="M3091" i="1"/>
  <c r="L3091" i="1"/>
  <c r="K3091" i="1"/>
  <c r="J3091" i="1"/>
  <c r="M3090" i="1"/>
  <c r="L3090" i="1"/>
  <c r="K3090" i="1"/>
  <c r="J3090" i="1"/>
  <c r="M3089" i="1"/>
  <c r="L3089" i="1"/>
  <c r="K3089" i="1"/>
  <c r="J3089" i="1"/>
  <c r="M3088" i="1"/>
  <c r="L3088" i="1"/>
  <c r="K3088" i="1"/>
  <c r="J3088" i="1"/>
  <c r="M3087" i="1"/>
  <c r="L3087" i="1"/>
  <c r="K3087" i="1"/>
  <c r="J3087" i="1"/>
  <c r="M3086" i="1"/>
  <c r="L3086" i="1"/>
  <c r="K3086" i="1"/>
  <c r="J3086" i="1"/>
  <c r="P4" i="11" s="1"/>
  <c r="M3085" i="1"/>
  <c r="L3085" i="1"/>
  <c r="K3085" i="1"/>
  <c r="J3085" i="1"/>
  <c r="M3084" i="1"/>
  <c r="L3084" i="1"/>
  <c r="K3084" i="1"/>
  <c r="J3084" i="1"/>
  <c r="V682" i="11" s="1"/>
  <c r="M3083" i="1"/>
  <c r="L3083" i="1"/>
  <c r="K3083" i="1"/>
  <c r="J3083" i="1"/>
  <c r="M3082" i="1"/>
  <c r="L3082" i="1"/>
  <c r="K3082" i="1"/>
  <c r="J3082" i="1"/>
  <c r="O863" i="11" s="1"/>
  <c r="M3081" i="1"/>
  <c r="L3081" i="1"/>
  <c r="K3081" i="1"/>
  <c r="J3081" i="1"/>
  <c r="M3080" i="1"/>
  <c r="L3080" i="1"/>
  <c r="K3080" i="1"/>
  <c r="J3080" i="1"/>
  <c r="T681" i="11" s="1"/>
  <c r="M3079" i="1"/>
  <c r="L3079" i="1"/>
  <c r="K3079" i="1"/>
  <c r="J3079" i="1"/>
  <c r="M3078" i="1"/>
  <c r="L3078" i="1"/>
  <c r="K3078" i="1"/>
  <c r="J3078" i="1"/>
  <c r="M3077" i="1"/>
  <c r="L3077" i="1"/>
  <c r="K3077" i="1"/>
  <c r="J3077" i="1"/>
  <c r="M3076" i="1"/>
  <c r="L3076" i="1"/>
  <c r="K3076" i="1"/>
  <c r="J3076" i="1"/>
  <c r="M3075" i="1"/>
  <c r="L3075" i="1"/>
  <c r="K3075" i="1"/>
  <c r="J3075" i="1"/>
  <c r="M3074" i="1"/>
  <c r="L3074" i="1"/>
  <c r="K3074" i="1"/>
  <c r="J3074" i="1"/>
  <c r="M3073" i="1"/>
  <c r="L3073" i="1"/>
  <c r="K3073" i="1"/>
  <c r="J3073" i="1"/>
  <c r="M3072" i="1"/>
  <c r="L3072" i="1"/>
  <c r="K3072" i="1"/>
  <c r="J3072" i="1"/>
  <c r="M3071" i="1"/>
  <c r="L3071" i="1"/>
  <c r="K3071" i="1"/>
  <c r="J3071" i="1"/>
  <c r="M3070" i="1"/>
  <c r="L3070" i="1"/>
  <c r="K3070" i="1"/>
  <c r="J3070" i="1"/>
  <c r="M3069" i="1"/>
  <c r="L3069" i="1"/>
  <c r="K3069" i="1"/>
  <c r="J3069" i="1"/>
  <c r="M3068" i="1"/>
  <c r="L3068" i="1"/>
  <c r="K3068" i="1"/>
  <c r="J3068" i="1"/>
  <c r="M3067" i="1"/>
  <c r="L3067" i="1"/>
  <c r="K3067" i="1"/>
  <c r="J3067" i="1"/>
  <c r="M3066" i="1"/>
  <c r="L3066" i="1"/>
  <c r="K3066" i="1"/>
  <c r="J3066" i="1"/>
  <c r="M3065" i="1"/>
  <c r="L3065" i="1"/>
  <c r="K3065" i="1"/>
  <c r="J3065" i="1"/>
  <c r="M3064" i="1"/>
  <c r="L3064" i="1"/>
  <c r="K3064" i="1"/>
  <c r="J3064" i="1"/>
  <c r="M3063" i="1"/>
  <c r="L3063" i="1"/>
  <c r="K3063" i="1"/>
  <c r="J3063" i="1"/>
  <c r="M3062" i="1"/>
  <c r="L3062" i="1"/>
  <c r="K3062" i="1"/>
  <c r="J3062" i="1"/>
  <c r="M3061" i="1"/>
  <c r="L3061" i="1"/>
  <c r="K3061" i="1"/>
  <c r="J3061" i="1"/>
  <c r="M3060" i="1"/>
  <c r="L3060" i="1"/>
  <c r="K3060" i="1"/>
  <c r="J3060" i="1"/>
  <c r="M3059" i="1"/>
  <c r="L3059" i="1"/>
  <c r="K3059" i="1"/>
  <c r="J3059" i="1"/>
  <c r="M3058" i="1"/>
  <c r="L3058" i="1"/>
  <c r="K3058" i="1"/>
  <c r="J3058" i="1"/>
  <c r="M3057" i="1"/>
  <c r="L3057" i="1"/>
  <c r="K3057" i="1"/>
  <c r="J3057" i="1"/>
  <c r="M3056" i="1"/>
  <c r="L3056" i="1"/>
  <c r="K3056" i="1"/>
  <c r="J3056" i="1"/>
  <c r="M3055" i="1"/>
  <c r="L3055" i="1"/>
  <c r="K3055" i="1"/>
  <c r="J3055" i="1"/>
  <c r="M3054" i="1"/>
  <c r="L3054" i="1"/>
  <c r="K3054" i="1"/>
  <c r="J3054" i="1"/>
  <c r="M3053" i="1"/>
  <c r="L3053" i="1"/>
  <c r="K3053" i="1"/>
  <c r="J3053" i="1"/>
  <c r="M3052" i="1"/>
  <c r="L3052" i="1"/>
  <c r="K3052" i="1"/>
  <c r="J3052" i="1"/>
  <c r="M3051" i="1"/>
  <c r="L3051" i="1"/>
  <c r="K3051" i="1"/>
  <c r="J3051" i="1"/>
  <c r="M3050" i="1"/>
  <c r="L3050" i="1"/>
  <c r="K3050" i="1"/>
  <c r="J3050" i="1"/>
  <c r="M3049" i="1"/>
  <c r="L3049" i="1"/>
  <c r="K3049" i="1"/>
  <c r="J3049" i="1"/>
  <c r="M3048" i="1"/>
  <c r="L3048" i="1"/>
  <c r="K3048" i="1"/>
  <c r="J3048" i="1"/>
  <c r="M3047" i="1"/>
  <c r="L3047" i="1"/>
  <c r="K3047" i="1"/>
  <c r="J3047" i="1"/>
  <c r="M3046" i="1"/>
  <c r="L3046" i="1"/>
  <c r="K3046" i="1"/>
  <c r="J3046" i="1"/>
  <c r="M3045" i="1"/>
  <c r="L3045" i="1"/>
  <c r="K3045" i="1"/>
  <c r="J3045" i="1"/>
  <c r="M3044" i="1"/>
  <c r="L3044" i="1"/>
  <c r="K3044" i="1"/>
  <c r="J3044" i="1"/>
  <c r="M3043" i="1"/>
  <c r="L3043" i="1"/>
  <c r="K3043" i="1"/>
  <c r="J3043" i="1"/>
  <c r="M3042" i="1"/>
  <c r="L3042" i="1"/>
  <c r="K3042" i="1"/>
  <c r="J3042" i="1"/>
  <c r="M3041" i="1"/>
  <c r="L3041" i="1"/>
  <c r="K3041" i="1"/>
  <c r="J3041" i="1"/>
  <c r="M3040" i="1"/>
  <c r="L3040" i="1"/>
  <c r="K3040" i="1"/>
  <c r="J3040" i="1"/>
  <c r="M3039" i="1"/>
  <c r="L3039" i="1"/>
  <c r="K3039" i="1"/>
  <c r="J3039" i="1"/>
  <c r="M3038" i="1"/>
  <c r="L3038" i="1"/>
  <c r="K3038" i="1"/>
  <c r="J3038" i="1"/>
  <c r="M3037" i="1"/>
  <c r="L3037" i="1"/>
  <c r="K3037" i="1"/>
  <c r="J3037" i="1"/>
  <c r="M3036" i="1"/>
  <c r="L3036" i="1"/>
  <c r="K3036" i="1"/>
  <c r="J3036" i="1"/>
  <c r="M3035" i="1"/>
  <c r="L3035" i="1"/>
  <c r="K3035" i="1"/>
  <c r="J3035" i="1"/>
  <c r="M3034" i="1"/>
  <c r="L3034" i="1"/>
  <c r="K3034" i="1"/>
  <c r="J3034" i="1"/>
  <c r="M3033" i="1"/>
  <c r="L3033" i="1"/>
  <c r="K3033" i="1"/>
  <c r="J3033" i="1"/>
  <c r="M3032" i="1"/>
  <c r="L3032" i="1"/>
  <c r="K3032" i="1"/>
  <c r="J3032" i="1"/>
  <c r="M3031" i="1"/>
  <c r="L3031" i="1"/>
  <c r="K3031" i="1"/>
  <c r="J3031" i="1"/>
  <c r="M3030" i="1"/>
  <c r="L3030" i="1"/>
  <c r="K3030" i="1"/>
  <c r="J3030" i="1"/>
  <c r="M3029" i="1"/>
  <c r="L3029" i="1"/>
  <c r="K3029" i="1"/>
  <c r="J3029" i="1"/>
  <c r="M3028" i="1"/>
  <c r="L3028" i="1"/>
  <c r="K3028" i="1"/>
  <c r="J3028" i="1"/>
  <c r="M3027" i="1"/>
  <c r="L3027" i="1"/>
  <c r="K3027" i="1"/>
  <c r="J3027" i="1"/>
  <c r="M3026" i="1"/>
  <c r="L3026" i="1"/>
  <c r="K3026" i="1"/>
  <c r="J3026" i="1"/>
  <c r="M3025" i="1"/>
  <c r="L3025" i="1"/>
  <c r="K3025" i="1"/>
  <c r="J3025" i="1"/>
  <c r="M3024" i="1"/>
  <c r="L3024" i="1"/>
  <c r="K3024" i="1"/>
  <c r="J3024" i="1"/>
  <c r="M3023" i="1"/>
  <c r="L3023" i="1"/>
  <c r="K3023" i="1"/>
  <c r="J3023" i="1"/>
  <c r="M3022" i="1"/>
  <c r="L3022" i="1"/>
  <c r="K3022" i="1"/>
  <c r="J3022" i="1"/>
  <c r="M3021" i="1"/>
  <c r="L3021" i="1"/>
  <c r="K3021" i="1"/>
  <c r="J3021" i="1"/>
  <c r="M3020" i="1"/>
  <c r="L3020" i="1"/>
  <c r="K3020" i="1"/>
  <c r="J3020" i="1"/>
  <c r="M3019" i="1"/>
  <c r="L3019" i="1"/>
  <c r="K3019" i="1"/>
  <c r="J3019" i="1"/>
  <c r="M3018" i="1"/>
  <c r="L3018" i="1"/>
  <c r="K3018" i="1"/>
  <c r="J3018" i="1"/>
  <c r="M3017" i="1"/>
  <c r="L3017" i="1"/>
  <c r="K3017" i="1"/>
  <c r="J3017" i="1"/>
  <c r="M3016" i="1"/>
  <c r="L3016" i="1"/>
  <c r="K3016" i="1"/>
  <c r="J3016" i="1"/>
  <c r="M3015" i="1"/>
  <c r="L3015" i="1"/>
  <c r="K3015" i="1"/>
  <c r="J3015" i="1"/>
  <c r="M3014" i="1"/>
  <c r="L3014" i="1"/>
  <c r="K3014" i="1"/>
  <c r="J3014" i="1"/>
  <c r="M3013" i="1"/>
  <c r="L3013" i="1"/>
  <c r="K3013" i="1"/>
  <c r="J3013" i="1"/>
  <c r="M3012" i="1"/>
  <c r="L3012" i="1"/>
  <c r="K3012" i="1"/>
  <c r="J3012" i="1"/>
  <c r="M3011" i="1"/>
  <c r="L3011" i="1"/>
  <c r="K3011" i="1"/>
  <c r="J3011" i="1"/>
  <c r="M3010" i="1"/>
  <c r="L3010" i="1"/>
  <c r="K3010" i="1"/>
  <c r="J3010" i="1"/>
  <c r="M3009" i="1"/>
  <c r="L3009" i="1"/>
  <c r="K3009" i="1"/>
  <c r="J3009" i="1"/>
  <c r="M3008" i="1"/>
  <c r="L3008" i="1"/>
  <c r="K3008" i="1"/>
  <c r="J3008" i="1"/>
  <c r="M3007" i="1"/>
  <c r="L3007" i="1"/>
  <c r="K3007" i="1"/>
  <c r="J3007" i="1"/>
  <c r="M3006" i="1"/>
  <c r="L3006" i="1"/>
  <c r="K3006" i="1"/>
  <c r="J3006" i="1"/>
  <c r="R413" i="11" s="1"/>
  <c r="M3005" i="1"/>
  <c r="L3005" i="1"/>
  <c r="K3005" i="1"/>
  <c r="J3005" i="1"/>
  <c r="M3004" i="1"/>
  <c r="L3004" i="1"/>
  <c r="K3004" i="1"/>
  <c r="J3004" i="1"/>
  <c r="M3003" i="1"/>
  <c r="L3003" i="1"/>
  <c r="K3003" i="1"/>
  <c r="J3003" i="1"/>
  <c r="M3002" i="1"/>
  <c r="L3002" i="1"/>
  <c r="K3002" i="1"/>
  <c r="J3002" i="1"/>
  <c r="M3001" i="1"/>
  <c r="L3001" i="1"/>
  <c r="K3001" i="1"/>
  <c r="J3001" i="1"/>
  <c r="M3000" i="1"/>
  <c r="L3000" i="1"/>
  <c r="K3000" i="1"/>
  <c r="J3000" i="1"/>
  <c r="M2999" i="1"/>
  <c r="L2999" i="1"/>
  <c r="K2999" i="1"/>
  <c r="J2999" i="1"/>
  <c r="M2998" i="1"/>
  <c r="L2998" i="1"/>
  <c r="K2998" i="1"/>
  <c r="J2998" i="1"/>
  <c r="M2997" i="1"/>
  <c r="L2997" i="1"/>
  <c r="K2997" i="1"/>
  <c r="J2997" i="1"/>
  <c r="M2996" i="1"/>
  <c r="L2996" i="1"/>
  <c r="K2996" i="1"/>
  <c r="J2996" i="1"/>
  <c r="M2995" i="1"/>
  <c r="L2995" i="1"/>
  <c r="K2995" i="1"/>
  <c r="J2995" i="1"/>
  <c r="M2994" i="1"/>
  <c r="L2994" i="1"/>
  <c r="K2994" i="1"/>
  <c r="J2994" i="1"/>
  <c r="M2993" i="1"/>
  <c r="L2993" i="1"/>
  <c r="K2993" i="1"/>
  <c r="J2993" i="1"/>
  <c r="M2992" i="1"/>
  <c r="L2992" i="1"/>
  <c r="K2992" i="1"/>
  <c r="J2992" i="1"/>
  <c r="M2991" i="1"/>
  <c r="L2991" i="1"/>
  <c r="K2991" i="1"/>
  <c r="J2991" i="1"/>
  <c r="M2990" i="1"/>
  <c r="L2990" i="1"/>
  <c r="K2990" i="1"/>
  <c r="J2990" i="1"/>
  <c r="M2989" i="1"/>
  <c r="L2989" i="1"/>
  <c r="K2989" i="1"/>
  <c r="J2989" i="1"/>
  <c r="M2988" i="1"/>
  <c r="L2988" i="1"/>
  <c r="K2988" i="1"/>
  <c r="J2988" i="1"/>
  <c r="M2987" i="1"/>
  <c r="L2987" i="1"/>
  <c r="K2987" i="1"/>
  <c r="J2987" i="1"/>
  <c r="M2986" i="1"/>
  <c r="L2986" i="1"/>
  <c r="K2986" i="1"/>
  <c r="J2986" i="1"/>
  <c r="M2985" i="1"/>
  <c r="L2985" i="1"/>
  <c r="K2985" i="1"/>
  <c r="J2985" i="1"/>
  <c r="M2984" i="1"/>
  <c r="L2984" i="1"/>
  <c r="K2984" i="1"/>
  <c r="J2984" i="1"/>
  <c r="M2983" i="1"/>
  <c r="L2983" i="1"/>
  <c r="K2983" i="1"/>
  <c r="J2983" i="1"/>
  <c r="M2982" i="1"/>
  <c r="L2982" i="1"/>
  <c r="K2982" i="1"/>
  <c r="J2982" i="1"/>
  <c r="M2981" i="1"/>
  <c r="L2981" i="1"/>
  <c r="K2981" i="1"/>
  <c r="J2981" i="1"/>
  <c r="M2980" i="1"/>
  <c r="L2980" i="1"/>
  <c r="K2980" i="1"/>
  <c r="J2980" i="1"/>
  <c r="M2979" i="1"/>
  <c r="L2979" i="1"/>
  <c r="K2979" i="1"/>
  <c r="J2979" i="1"/>
  <c r="M2978" i="1"/>
  <c r="L2978" i="1"/>
  <c r="K2978" i="1"/>
  <c r="J2978" i="1"/>
  <c r="M2977" i="1"/>
  <c r="L2977" i="1"/>
  <c r="K2977" i="1"/>
  <c r="J2977" i="1"/>
  <c r="M2976" i="1"/>
  <c r="L2976" i="1"/>
  <c r="K2976" i="1"/>
  <c r="J2976" i="1"/>
  <c r="M2975" i="1"/>
  <c r="L2975" i="1"/>
  <c r="K2975" i="1"/>
  <c r="J2975" i="1"/>
  <c r="M2974" i="1"/>
  <c r="L2974" i="1"/>
  <c r="K2974" i="1"/>
  <c r="J2974" i="1"/>
  <c r="M2973" i="1"/>
  <c r="L2973" i="1"/>
  <c r="K2973" i="1"/>
  <c r="J2973" i="1"/>
  <c r="M2972" i="1"/>
  <c r="L2972" i="1"/>
  <c r="K2972" i="1"/>
  <c r="J2972" i="1"/>
  <c r="M2971" i="1"/>
  <c r="L2971" i="1"/>
  <c r="K2971" i="1"/>
  <c r="J2971" i="1"/>
  <c r="M2970" i="1"/>
  <c r="L2970" i="1"/>
  <c r="K2970" i="1"/>
  <c r="J2970" i="1"/>
  <c r="M2969" i="1"/>
  <c r="L2969" i="1"/>
  <c r="K2969" i="1"/>
  <c r="J2969" i="1"/>
  <c r="M2968" i="1"/>
  <c r="L2968" i="1"/>
  <c r="K2968" i="1"/>
  <c r="J2968" i="1"/>
  <c r="M2967" i="1"/>
  <c r="L2967" i="1"/>
  <c r="K2967" i="1"/>
  <c r="J2967" i="1"/>
  <c r="M2966" i="1"/>
  <c r="L2966" i="1"/>
  <c r="K2966" i="1"/>
  <c r="J2966" i="1"/>
  <c r="M2965" i="1"/>
  <c r="L2965" i="1"/>
  <c r="K2965" i="1"/>
  <c r="J2965" i="1"/>
  <c r="M2964" i="1"/>
  <c r="L2964" i="1"/>
  <c r="K2964" i="1"/>
  <c r="J2964" i="1"/>
  <c r="M2963" i="1"/>
  <c r="L2963" i="1"/>
  <c r="K2963" i="1"/>
  <c r="J2963" i="1"/>
  <c r="M2962" i="1"/>
  <c r="L2962" i="1"/>
  <c r="K2962" i="1"/>
  <c r="J2962" i="1"/>
  <c r="M2961" i="1"/>
  <c r="L2961" i="1"/>
  <c r="K2961" i="1"/>
  <c r="J2961" i="1"/>
  <c r="M2960" i="1"/>
  <c r="L2960" i="1"/>
  <c r="K2960" i="1"/>
  <c r="J2960" i="1"/>
  <c r="M975" i="11" s="1"/>
  <c r="M2959" i="1"/>
  <c r="L2959" i="1"/>
  <c r="K2959" i="1"/>
  <c r="J2959" i="1"/>
  <c r="M2958" i="1"/>
  <c r="L2958" i="1"/>
  <c r="K2958" i="1"/>
  <c r="J2958" i="1"/>
  <c r="S133" i="11" s="1"/>
  <c r="M2957" i="1"/>
  <c r="L2957" i="1"/>
  <c r="K2957" i="1"/>
  <c r="J2957" i="1"/>
  <c r="M2956" i="1"/>
  <c r="L2956" i="1"/>
  <c r="K2956" i="1"/>
  <c r="J2956" i="1"/>
  <c r="M2955" i="1"/>
  <c r="L2955" i="1"/>
  <c r="K2955" i="1"/>
  <c r="J2955" i="1"/>
  <c r="M2954" i="1"/>
  <c r="L2954" i="1"/>
  <c r="K2954" i="1"/>
  <c r="J2954" i="1"/>
  <c r="S91" i="11" s="1"/>
  <c r="M2953" i="1"/>
  <c r="L2953" i="1"/>
  <c r="K2953" i="1"/>
  <c r="J2953" i="1"/>
  <c r="M2952" i="1"/>
  <c r="L2952" i="1"/>
  <c r="K2952" i="1"/>
  <c r="J2952" i="1"/>
  <c r="M2951" i="1"/>
  <c r="L2951" i="1"/>
  <c r="K2951" i="1"/>
  <c r="J2951" i="1"/>
  <c r="M2950" i="1"/>
  <c r="L2950" i="1"/>
  <c r="K2950" i="1"/>
  <c r="J2950" i="1"/>
  <c r="M2949" i="1"/>
  <c r="L2949" i="1"/>
  <c r="K2949" i="1"/>
  <c r="J2949" i="1"/>
  <c r="M2948" i="1"/>
  <c r="L2948" i="1"/>
  <c r="K2948" i="1"/>
  <c r="J2948" i="1"/>
  <c r="M2947" i="1"/>
  <c r="L2947" i="1"/>
  <c r="K2947" i="1"/>
  <c r="J2947" i="1"/>
  <c r="M2946" i="1"/>
  <c r="L2946" i="1"/>
  <c r="K2946" i="1"/>
  <c r="J2946" i="1"/>
  <c r="S683" i="11" s="1"/>
  <c r="M2945" i="1"/>
  <c r="L2945" i="1"/>
  <c r="K2945" i="1"/>
  <c r="J2945" i="1"/>
  <c r="M2944" i="1"/>
  <c r="L2944" i="1"/>
  <c r="K2944" i="1"/>
  <c r="J2944" i="1"/>
  <c r="M2943" i="1"/>
  <c r="L2943" i="1"/>
  <c r="K2943" i="1"/>
  <c r="J2943" i="1"/>
  <c r="M2942" i="1"/>
  <c r="L2942" i="1"/>
  <c r="K2942" i="1"/>
  <c r="J2942" i="1"/>
  <c r="S181" i="11" s="1"/>
  <c r="M2941" i="1"/>
  <c r="L2941" i="1"/>
  <c r="K2941" i="1"/>
  <c r="J2941" i="1"/>
  <c r="M2940" i="1"/>
  <c r="L2940" i="1"/>
  <c r="K2940" i="1"/>
  <c r="J2940" i="1"/>
  <c r="S203" i="11" s="1"/>
  <c r="M2939" i="1"/>
  <c r="L2939" i="1"/>
  <c r="K2939" i="1"/>
  <c r="J2939" i="1"/>
  <c r="M2938" i="1"/>
  <c r="L2938" i="1"/>
  <c r="K2938" i="1"/>
  <c r="J2938" i="1"/>
  <c r="M2937" i="1"/>
  <c r="L2937" i="1"/>
  <c r="K2937" i="1"/>
  <c r="J2937" i="1"/>
  <c r="M2936" i="1"/>
  <c r="L2936" i="1"/>
  <c r="K2936" i="1"/>
  <c r="J2936" i="1"/>
  <c r="M2935" i="1"/>
  <c r="L2935" i="1"/>
  <c r="K2935" i="1"/>
  <c r="J2935" i="1"/>
  <c r="M2934" i="1"/>
  <c r="L2934" i="1"/>
  <c r="K2934" i="1"/>
  <c r="J2934" i="1"/>
  <c r="M2933" i="1"/>
  <c r="L2933" i="1"/>
  <c r="K2933" i="1"/>
  <c r="J2933" i="1"/>
  <c r="M2932" i="1"/>
  <c r="L2932" i="1"/>
  <c r="K2932" i="1"/>
  <c r="J2932" i="1"/>
  <c r="N522" i="11" s="1"/>
  <c r="M2931" i="1"/>
  <c r="L2931" i="1"/>
  <c r="K2931" i="1"/>
  <c r="J2931" i="1"/>
  <c r="M2930" i="1"/>
  <c r="L2930" i="1"/>
  <c r="K2930" i="1"/>
  <c r="J2930" i="1"/>
  <c r="V594" i="11" s="1"/>
  <c r="M2929" i="1"/>
  <c r="L2929" i="1"/>
  <c r="K2929" i="1"/>
  <c r="J2929" i="1"/>
  <c r="M2928" i="1"/>
  <c r="L2928" i="1"/>
  <c r="K2928" i="1"/>
  <c r="J2928" i="1"/>
  <c r="M2927" i="1"/>
  <c r="L2927" i="1"/>
  <c r="K2927" i="1"/>
  <c r="J2927" i="1"/>
  <c r="M2926" i="1"/>
  <c r="L2926" i="1"/>
  <c r="K2926" i="1"/>
  <c r="J2926" i="1"/>
  <c r="M2925" i="1"/>
  <c r="L2925" i="1"/>
  <c r="K2925" i="1"/>
  <c r="J2925" i="1"/>
  <c r="M2924" i="1"/>
  <c r="L2924" i="1"/>
  <c r="K2924" i="1"/>
  <c r="J2924" i="1"/>
  <c r="U405" i="11" s="1"/>
  <c r="M2923" i="1"/>
  <c r="L2923" i="1"/>
  <c r="K2923" i="1"/>
  <c r="J2923" i="1"/>
  <c r="M2922" i="1"/>
  <c r="L2922" i="1"/>
  <c r="K2922" i="1"/>
  <c r="J2922" i="1"/>
  <c r="O86" i="11" s="1"/>
  <c r="M2921" i="1"/>
  <c r="L2921" i="1"/>
  <c r="K2921" i="1"/>
  <c r="J2921" i="1"/>
  <c r="M2920" i="1"/>
  <c r="L2920" i="1"/>
  <c r="K2920" i="1"/>
  <c r="J2920" i="1"/>
  <c r="O672" i="11" s="1"/>
  <c r="M2919" i="1"/>
  <c r="L2919" i="1"/>
  <c r="K2919" i="1"/>
  <c r="J2919" i="1"/>
  <c r="M2918" i="1"/>
  <c r="L2918" i="1"/>
  <c r="K2918" i="1"/>
  <c r="J2918" i="1"/>
  <c r="M2917" i="1"/>
  <c r="L2917" i="1"/>
  <c r="K2917" i="1"/>
  <c r="J2917" i="1"/>
  <c r="M2916" i="1"/>
  <c r="L2916" i="1"/>
  <c r="K2916" i="1"/>
  <c r="J2916" i="1"/>
  <c r="V670" i="11" s="1"/>
  <c r="M2915" i="1"/>
  <c r="L2915" i="1"/>
  <c r="K2915" i="1"/>
  <c r="J2915" i="1"/>
  <c r="M2914" i="1"/>
  <c r="L2914" i="1"/>
  <c r="K2914" i="1"/>
  <c r="J2914" i="1"/>
  <c r="M2913" i="1"/>
  <c r="L2913" i="1"/>
  <c r="K2913" i="1"/>
  <c r="J2913" i="1"/>
  <c r="M2912" i="1"/>
  <c r="L2912" i="1"/>
  <c r="K2912" i="1"/>
  <c r="J2912" i="1"/>
  <c r="M2911" i="1"/>
  <c r="L2911" i="1"/>
  <c r="K2911" i="1"/>
  <c r="J2911" i="1"/>
  <c r="M2910" i="1"/>
  <c r="L2910" i="1"/>
  <c r="K2910" i="1"/>
  <c r="J2910" i="1"/>
  <c r="M2909" i="1"/>
  <c r="L2909" i="1"/>
  <c r="K2909" i="1"/>
  <c r="J2909" i="1"/>
  <c r="M2908" i="1"/>
  <c r="L2908" i="1"/>
  <c r="K2908" i="1"/>
  <c r="J2908" i="1"/>
  <c r="M2907" i="1"/>
  <c r="L2907" i="1"/>
  <c r="K2907" i="1"/>
  <c r="J2907" i="1"/>
  <c r="M2906" i="1"/>
  <c r="L2906" i="1"/>
  <c r="K2906" i="1"/>
  <c r="J2906" i="1"/>
  <c r="M2905" i="1"/>
  <c r="L2905" i="1"/>
  <c r="K2905" i="1"/>
  <c r="J2905" i="1"/>
  <c r="M2904" i="1"/>
  <c r="L2904" i="1"/>
  <c r="K2904" i="1"/>
  <c r="J2904" i="1"/>
  <c r="N456" i="11" s="1"/>
  <c r="M2903" i="1"/>
  <c r="L2903" i="1"/>
  <c r="K2903" i="1"/>
  <c r="J2903" i="1"/>
  <c r="M2902" i="1"/>
  <c r="L2902" i="1"/>
  <c r="K2902" i="1"/>
  <c r="J2902" i="1"/>
  <c r="N667" i="11" s="1"/>
  <c r="M2901" i="1"/>
  <c r="L2901" i="1"/>
  <c r="K2901" i="1"/>
  <c r="J2901" i="1"/>
  <c r="M2900" i="1"/>
  <c r="L2900" i="1"/>
  <c r="K2900" i="1"/>
  <c r="J2900" i="1"/>
  <c r="S25" i="11" s="1"/>
  <c r="M2899" i="1"/>
  <c r="L2899" i="1"/>
  <c r="K2899" i="1"/>
  <c r="J2899" i="1"/>
  <c r="M2898" i="1"/>
  <c r="L2898" i="1"/>
  <c r="K2898" i="1"/>
  <c r="J2898" i="1"/>
  <c r="M2897" i="1"/>
  <c r="L2897" i="1"/>
  <c r="K2897" i="1"/>
  <c r="J2897" i="1"/>
  <c r="M2896" i="1"/>
  <c r="L2896" i="1"/>
  <c r="K2896" i="1"/>
  <c r="J2896" i="1"/>
  <c r="M2895" i="1"/>
  <c r="L2895" i="1"/>
  <c r="K2895" i="1"/>
  <c r="J2895" i="1"/>
  <c r="M2894" i="1"/>
  <c r="L2894" i="1"/>
  <c r="K2894" i="1"/>
  <c r="J2894" i="1"/>
  <c r="U311" i="11" s="1"/>
  <c r="M2893" i="1"/>
  <c r="L2893" i="1"/>
  <c r="K2893" i="1"/>
  <c r="J2893" i="1"/>
  <c r="M2892" i="1"/>
  <c r="L2892" i="1"/>
  <c r="K2892" i="1"/>
  <c r="J2892" i="1"/>
  <c r="M2891" i="1"/>
  <c r="L2891" i="1"/>
  <c r="S1006" i="11" s="1"/>
  <c r="K2891" i="1"/>
  <c r="J2891" i="1"/>
  <c r="M2890" i="1"/>
  <c r="L2890" i="1"/>
  <c r="K2890" i="1"/>
  <c r="J2890" i="1"/>
  <c r="N663" i="11" s="1"/>
  <c r="M2889" i="1"/>
  <c r="L2889" i="1"/>
  <c r="K2889" i="1"/>
  <c r="J2889" i="1"/>
  <c r="M2888" i="1"/>
  <c r="L2888" i="1"/>
  <c r="K2888" i="1"/>
  <c r="J2888" i="1"/>
  <c r="O271" i="11" s="1"/>
  <c r="M2887" i="1"/>
  <c r="L2887" i="1"/>
  <c r="K2887" i="1"/>
  <c r="J2887" i="1"/>
  <c r="M2886" i="1"/>
  <c r="L2886" i="1"/>
  <c r="P930" i="11" s="1"/>
  <c r="K2886" i="1"/>
  <c r="J2886" i="1"/>
  <c r="O3" i="11" s="1"/>
  <c r="M2885" i="1"/>
  <c r="L2885" i="1"/>
  <c r="K2885" i="1"/>
  <c r="J2885" i="1"/>
  <c r="M2884" i="1"/>
  <c r="L2884" i="1"/>
  <c r="K2884" i="1"/>
  <c r="J2884" i="1"/>
  <c r="M2883" i="1"/>
  <c r="L2883" i="1"/>
  <c r="K2883" i="1"/>
  <c r="J2883" i="1"/>
  <c r="M2882" i="1"/>
  <c r="L2882" i="1"/>
  <c r="K2882" i="1"/>
  <c r="J2882" i="1"/>
  <c r="O402" i="11" s="1"/>
  <c r="M2881" i="1"/>
  <c r="L2881" i="1"/>
  <c r="K2881" i="1"/>
  <c r="J2881" i="1"/>
  <c r="M2880" i="1"/>
  <c r="L2880" i="1"/>
  <c r="K2880" i="1"/>
  <c r="J2880" i="1"/>
  <c r="Q855" i="11" s="1"/>
  <c r="M2879" i="1"/>
  <c r="L2879" i="1"/>
  <c r="K2879" i="1"/>
  <c r="J2879" i="1"/>
  <c r="M2878" i="1"/>
  <c r="L2878" i="1"/>
  <c r="K2878" i="1"/>
  <c r="J2878" i="1"/>
  <c r="M2877" i="1"/>
  <c r="L2877" i="1"/>
  <c r="K2877" i="1"/>
  <c r="J2877" i="1"/>
  <c r="M2876" i="1"/>
  <c r="L2876" i="1"/>
  <c r="K2876" i="1"/>
  <c r="J2876" i="1"/>
  <c r="M2875" i="1"/>
  <c r="L2875" i="1"/>
  <c r="K2875" i="1"/>
  <c r="J2875" i="1"/>
  <c r="M2874" i="1"/>
  <c r="L2874" i="1"/>
  <c r="K2874" i="1"/>
  <c r="J2874" i="1"/>
  <c r="M2873" i="1"/>
  <c r="L2873" i="1"/>
  <c r="K2873" i="1"/>
  <c r="J2873" i="1"/>
  <c r="M2872" i="1"/>
  <c r="L2872" i="1"/>
  <c r="K2872" i="1"/>
  <c r="J2872" i="1"/>
  <c r="M2871" i="1"/>
  <c r="L2871" i="1"/>
  <c r="K2871" i="1"/>
  <c r="J2871" i="1"/>
  <c r="M2870" i="1"/>
  <c r="L2870" i="1"/>
  <c r="K2870" i="1"/>
  <c r="J2870" i="1"/>
  <c r="M2869" i="1"/>
  <c r="L2869" i="1"/>
  <c r="K2869" i="1"/>
  <c r="J2869" i="1"/>
  <c r="M2868" i="1"/>
  <c r="L2868" i="1"/>
  <c r="K2868" i="1"/>
  <c r="J2868" i="1"/>
  <c r="M2867" i="1"/>
  <c r="L2867" i="1"/>
  <c r="K2867" i="1"/>
  <c r="J2867" i="1"/>
  <c r="M2866" i="1"/>
  <c r="L2866" i="1"/>
  <c r="K2866" i="1"/>
  <c r="J2866" i="1"/>
  <c r="M2865" i="1"/>
  <c r="L2865" i="1"/>
  <c r="K2865" i="1"/>
  <c r="J2865" i="1"/>
  <c r="M2864" i="1"/>
  <c r="L2864" i="1"/>
  <c r="K2864" i="1"/>
  <c r="J2864" i="1"/>
  <c r="M2863" i="1"/>
  <c r="L2863" i="1"/>
  <c r="K2863" i="1"/>
  <c r="J2863" i="1"/>
  <c r="M2862" i="1"/>
  <c r="L2862" i="1"/>
  <c r="K2862" i="1"/>
  <c r="J2862" i="1"/>
  <c r="V587" i="11" s="1"/>
  <c r="M2861" i="1"/>
  <c r="L2861" i="1"/>
  <c r="K2861" i="1"/>
  <c r="J2861" i="1"/>
  <c r="M2860" i="1"/>
  <c r="L2860" i="1"/>
  <c r="K2860" i="1"/>
  <c r="J2860" i="1"/>
  <c r="M2859" i="1"/>
  <c r="L2859" i="1"/>
  <c r="K2859" i="1"/>
  <c r="J2859" i="1"/>
  <c r="M2858" i="1"/>
  <c r="L2858" i="1"/>
  <c r="K2858" i="1"/>
  <c r="J2858" i="1"/>
  <c r="V977" i="11" s="1"/>
  <c r="M2857" i="1"/>
  <c r="L2857" i="1"/>
  <c r="K2857" i="1"/>
  <c r="J2857" i="1"/>
  <c r="M2856" i="1"/>
  <c r="L2856" i="1"/>
  <c r="K2856" i="1"/>
  <c r="J2856" i="1"/>
  <c r="M2855" i="1"/>
  <c r="L2855" i="1"/>
  <c r="K2855" i="1"/>
  <c r="J2855" i="1"/>
  <c r="M2854" i="1"/>
  <c r="L2854" i="1"/>
  <c r="K2854" i="1"/>
  <c r="J2854" i="1"/>
  <c r="M2853" i="1"/>
  <c r="L2853" i="1"/>
  <c r="K2853" i="1"/>
  <c r="J2853" i="1"/>
  <c r="M2852" i="1"/>
  <c r="L2852" i="1"/>
  <c r="K2852" i="1"/>
  <c r="J2852" i="1"/>
  <c r="M2851" i="1"/>
  <c r="L2851" i="1"/>
  <c r="K2851" i="1"/>
  <c r="J2851" i="1"/>
  <c r="M2850" i="1"/>
  <c r="L2850" i="1"/>
  <c r="K2850" i="1"/>
  <c r="J2850" i="1"/>
  <c r="M2849" i="1"/>
  <c r="L2849" i="1"/>
  <c r="K2849" i="1"/>
  <c r="J2849" i="1"/>
  <c r="M2848" i="1"/>
  <c r="L2848" i="1"/>
  <c r="K2848" i="1"/>
  <c r="J2848" i="1"/>
  <c r="M2847" i="1"/>
  <c r="L2847" i="1"/>
  <c r="K2847" i="1"/>
  <c r="J2847" i="1"/>
  <c r="M2846" i="1"/>
  <c r="L2846" i="1"/>
  <c r="K2846" i="1"/>
  <c r="J2846" i="1"/>
  <c r="M2845" i="1"/>
  <c r="L2845" i="1"/>
  <c r="K2845" i="1"/>
  <c r="J2845" i="1"/>
  <c r="M2844" i="1"/>
  <c r="L2844" i="1"/>
  <c r="K2844" i="1"/>
  <c r="J2844" i="1"/>
  <c r="M2843" i="1"/>
  <c r="L2843" i="1"/>
  <c r="K2843" i="1"/>
  <c r="J2843" i="1"/>
  <c r="M2842" i="1"/>
  <c r="L2842" i="1"/>
  <c r="K2842" i="1"/>
  <c r="J2842" i="1"/>
  <c r="M2841" i="1"/>
  <c r="L2841" i="1"/>
  <c r="K2841" i="1"/>
  <c r="J2841" i="1"/>
  <c r="M2840" i="1"/>
  <c r="L2840" i="1"/>
  <c r="K2840" i="1"/>
  <c r="J2840" i="1"/>
  <c r="M2839" i="1"/>
  <c r="L2839" i="1"/>
  <c r="K2839" i="1"/>
  <c r="J2839" i="1"/>
  <c r="M2838" i="1"/>
  <c r="L2838" i="1"/>
  <c r="K2838" i="1"/>
  <c r="J2838" i="1"/>
  <c r="M2837" i="1"/>
  <c r="L2837" i="1"/>
  <c r="K2837" i="1"/>
  <c r="J2837" i="1"/>
  <c r="M2836" i="1"/>
  <c r="L2836" i="1"/>
  <c r="K2836" i="1"/>
  <c r="J2836" i="1"/>
  <c r="M2835" i="1"/>
  <c r="L2835" i="1"/>
  <c r="K2835" i="1"/>
  <c r="J2835" i="1"/>
  <c r="M2834" i="1"/>
  <c r="L2834" i="1"/>
  <c r="K2834" i="1"/>
  <c r="J2834" i="1"/>
  <c r="M2833" i="1"/>
  <c r="L2833" i="1"/>
  <c r="K2833" i="1"/>
  <c r="J2833" i="1"/>
  <c r="M2832" i="1"/>
  <c r="L2832" i="1"/>
  <c r="K2832" i="1"/>
  <c r="J2832" i="1"/>
  <c r="M2831" i="1"/>
  <c r="L2831" i="1"/>
  <c r="K2831" i="1"/>
  <c r="J2831" i="1"/>
  <c r="M2830" i="1"/>
  <c r="L2830" i="1"/>
  <c r="K2830" i="1"/>
  <c r="J2830" i="1"/>
  <c r="M2829" i="1"/>
  <c r="L2829" i="1"/>
  <c r="K2829" i="1"/>
  <c r="J2829" i="1"/>
  <c r="M2828" i="1"/>
  <c r="L2828" i="1"/>
  <c r="K2828" i="1"/>
  <c r="J2828" i="1"/>
  <c r="M2827" i="1"/>
  <c r="L2827" i="1"/>
  <c r="K2827" i="1"/>
  <c r="J2827" i="1"/>
  <c r="M2826" i="1"/>
  <c r="L2826" i="1"/>
  <c r="K2826" i="1"/>
  <c r="J2826" i="1"/>
  <c r="M2825" i="1"/>
  <c r="L2825" i="1"/>
  <c r="K2825" i="1"/>
  <c r="J2825" i="1"/>
  <c r="M2824" i="1"/>
  <c r="L2824" i="1"/>
  <c r="K2824" i="1"/>
  <c r="J2824" i="1"/>
  <c r="M2823" i="1"/>
  <c r="L2823" i="1"/>
  <c r="K2823" i="1"/>
  <c r="J2823" i="1"/>
  <c r="M2822" i="1"/>
  <c r="L2822" i="1"/>
  <c r="K2822" i="1"/>
  <c r="J2822" i="1"/>
  <c r="M2821" i="1"/>
  <c r="L2821" i="1"/>
  <c r="K2821" i="1"/>
  <c r="J2821" i="1"/>
  <c r="M2820" i="1"/>
  <c r="L2820" i="1"/>
  <c r="K2820" i="1"/>
  <c r="J2820" i="1"/>
  <c r="M2819" i="1"/>
  <c r="L2819" i="1"/>
  <c r="K2819" i="1"/>
  <c r="J2819" i="1"/>
  <c r="M2818" i="1"/>
  <c r="L2818" i="1"/>
  <c r="K2818" i="1"/>
  <c r="J2818" i="1"/>
  <c r="M2817" i="1"/>
  <c r="L2817" i="1"/>
  <c r="K2817" i="1"/>
  <c r="J2817" i="1"/>
  <c r="M2816" i="1"/>
  <c r="L2816" i="1"/>
  <c r="K2816" i="1"/>
  <c r="J2816" i="1"/>
  <c r="M2815" i="1"/>
  <c r="L2815" i="1"/>
  <c r="K2815" i="1"/>
  <c r="J2815" i="1"/>
  <c r="M2814" i="1"/>
  <c r="L2814" i="1"/>
  <c r="K2814" i="1"/>
  <c r="J2814" i="1"/>
  <c r="M2813" i="1"/>
  <c r="L2813" i="1"/>
  <c r="K2813" i="1"/>
  <c r="J2813" i="1"/>
  <c r="M2812" i="1"/>
  <c r="L2812" i="1"/>
  <c r="K2812" i="1"/>
  <c r="J2812" i="1"/>
  <c r="M2811" i="1"/>
  <c r="L2811" i="1"/>
  <c r="K2811" i="1"/>
  <c r="J2811" i="1"/>
  <c r="M2810" i="1"/>
  <c r="L2810" i="1"/>
  <c r="K2810" i="1"/>
  <c r="J2810" i="1"/>
  <c r="M2809" i="1"/>
  <c r="L2809" i="1"/>
  <c r="K2809" i="1"/>
  <c r="J2809" i="1"/>
  <c r="M2808" i="1"/>
  <c r="L2808" i="1"/>
  <c r="K2808" i="1"/>
  <c r="J2808" i="1"/>
  <c r="M2807" i="1"/>
  <c r="L2807" i="1"/>
  <c r="K2807" i="1"/>
  <c r="J2807" i="1"/>
  <c r="M2806" i="1"/>
  <c r="L2806" i="1"/>
  <c r="K2806" i="1"/>
  <c r="J2806" i="1"/>
  <c r="O737" i="11" s="1"/>
  <c r="M2805" i="1"/>
  <c r="L2805" i="1"/>
  <c r="K2805" i="1"/>
  <c r="J2805" i="1"/>
  <c r="M2804" i="1"/>
  <c r="L2804" i="1"/>
  <c r="K2804" i="1"/>
  <c r="J2804" i="1"/>
  <c r="T983" i="11" s="1"/>
  <c r="M2803" i="1"/>
  <c r="L2803" i="1"/>
  <c r="K2803" i="1"/>
  <c r="J2803" i="1"/>
  <c r="M2802" i="1"/>
  <c r="L2802" i="1"/>
  <c r="K2802" i="1"/>
  <c r="J2802" i="1"/>
  <c r="M2801" i="1"/>
  <c r="L2801" i="1"/>
  <c r="K2801" i="1"/>
  <c r="J2801" i="1"/>
  <c r="M2800" i="1"/>
  <c r="L2800" i="1"/>
  <c r="K2800" i="1"/>
  <c r="J2800" i="1"/>
  <c r="O100" i="11" s="1"/>
  <c r="M2799" i="1"/>
  <c r="L2799" i="1"/>
  <c r="K2799" i="1"/>
  <c r="J2799" i="1"/>
  <c r="M2798" i="1"/>
  <c r="L2798" i="1"/>
  <c r="K2798" i="1"/>
  <c r="J2798" i="1"/>
  <c r="M2797" i="1"/>
  <c r="L2797" i="1"/>
  <c r="K2797" i="1"/>
  <c r="J2797" i="1"/>
  <c r="M2796" i="1"/>
  <c r="L2796" i="1"/>
  <c r="K2796" i="1"/>
  <c r="J2796" i="1"/>
  <c r="M2795" i="1"/>
  <c r="L2795" i="1"/>
  <c r="K2795" i="1"/>
  <c r="J2795" i="1"/>
  <c r="M2794" i="1"/>
  <c r="L2794" i="1"/>
  <c r="K2794" i="1"/>
  <c r="J2794" i="1"/>
  <c r="M2793" i="1"/>
  <c r="L2793" i="1"/>
  <c r="K2793" i="1"/>
  <c r="J2793" i="1"/>
  <c r="M2792" i="1"/>
  <c r="L2792" i="1"/>
  <c r="K2792" i="1"/>
  <c r="J2792" i="1"/>
  <c r="M2791" i="1"/>
  <c r="L2791" i="1"/>
  <c r="K2791" i="1"/>
  <c r="J2791" i="1"/>
  <c r="M2790" i="1"/>
  <c r="L2790" i="1"/>
  <c r="K2790" i="1"/>
  <c r="J2790" i="1"/>
  <c r="M2789" i="1"/>
  <c r="L2789" i="1"/>
  <c r="K2789" i="1"/>
  <c r="J2789" i="1"/>
  <c r="M2788" i="1"/>
  <c r="L2788" i="1"/>
  <c r="K2788" i="1"/>
  <c r="J2788" i="1"/>
  <c r="M2787" i="1"/>
  <c r="L2787" i="1"/>
  <c r="K2787" i="1"/>
  <c r="J2787" i="1"/>
  <c r="M2786" i="1"/>
  <c r="L2786" i="1"/>
  <c r="K2786" i="1"/>
  <c r="J2786" i="1"/>
  <c r="M2785" i="1"/>
  <c r="L2785" i="1"/>
  <c r="K2785" i="1"/>
  <c r="J2785" i="1"/>
  <c r="M2784" i="1"/>
  <c r="L2784" i="1"/>
  <c r="K2784" i="1"/>
  <c r="J2784" i="1"/>
  <c r="M2783" i="1"/>
  <c r="L2783" i="1"/>
  <c r="K2783" i="1"/>
  <c r="J2783" i="1"/>
  <c r="M2782" i="1"/>
  <c r="L2782" i="1"/>
  <c r="K2782" i="1"/>
  <c r="J2782" i="1"/>
  <c r="S954" i="11" s="1"/>
  <c r="M2781" i="1"/>
  <c r="L2781" i="1"/>
  <c r="K2781" i="1"/>
  <c r="J2781" i="1"/>
  <c r="M2780" i="1"/>
  <c r="L2780" i="1"/>
  <c r="K2780" i="1"/>
  <c r="J2780" i="1"/>
  <c r="M2779" i="1"/>
  <c r="L2779" i="1"/>
  <c r="K2779" i="1"/>
  <c r="J2779" i="1"/>
  <c r="M2778" i="1"/>
  <c r="L2778" i="1"/>
  <c r="K2778" i="1"/>
  <c r="J2778" i="1"/>
  <c r="M2777" i="1"/>
  <c r="L2777" i="1"/>
  <c r="K2777" i="1"/>
  <c r="J2777" i="1"/>
  <c r="M2776" i="1"/>
  <c r="L2776" i="1"/>
  <c r="K2776" i="1"/>
  <c r="J2776" i="1"/>
  <c r="M2775" i="1"/>
  <c r="L2775" i="1"/>
  <c r="K2775" i="1"/>
  <c r="J2775" i="1"/>
  <c r="M2774" i="1"/>
  <c r="L2774" i="1"/>
  <c r="K2774" i="1"/>
  <c r="J2774" i="1"/>
  <c r="M2773" i="1"/>
  <c r="L2773" i="1"/>
  <c r="K2773" i="1"/>
  <c r="J2773" i="1"/>
  <c r="M2772" i="1"/>
  <c r="L2772" i="1"/>
  <c r="K2772" i="1"/>
  <c r="J2772" i="1"/>
  <c r="M2771" i="1"/>
  <c r="L2771" i="1"/>
  <c r="K2771" i="1"/>
  <c r="J2771" i="1"/>
  <c r="M2770" i="1"/>
  <c r="L2770" i="1"/>
  <c r="K2770" i="1"/>
  <c r="J2770" i="1"/>
  <c r="M2769" i="1"/>
  <c r="L2769" i="1"/>
  <c r="K2769" i="1"/>
  <c r="J2769" i="1"/>
  <c r="M2768" i="1"/>
  <c r="L2768" i="1"/>
  <c r="K2768" i="1"/>
  <c r="J2768" i="1"/>
  <c r="M2767" i="1"/>
  <c r="L2767" i="1"/>
  <c r="K2767" i="1"/>
  <c r="J2767" i="1"/>
  <c r="M2766" i="1"/>
  <c r="L2766" i="1"/>
  <c r="K2766" i="1"/>
  <c r="J2766" i="1"/>
  <c r="M2765" i="1"/>
  <c r="L2765" i="1"/>
  <c r="K2765" i="1"/>
  <c r="J2765" i="1"/>
  <c r="M2764" i="1"/>
  <c r="L2764" i="1"/>
  <c r="K2764" i="1"/>
  <c r="J2764" i="1"/>
  <c r="M2763" i="1"/>
  <c r="L2763" i="1"/>
  <c r="K2763" i="1"/>
  <c r="J2763" i="1"/>
  <c r="M2762" i="1"/>
  <c r="L2762" i="1"/>
  <c r="K2762" i="1"/>
  <c r="J2762" i="1"/>
  <c r="M2761" i="1"/>
  <c r="L2761" i="1"/>
  <c r="K2761" i="1"/>
  <c r="J2761" i="1"/>
  <c r="M2760" i="1"/>
  <c r="L2760" i="1"/>
  <c r="K2760" i="1"/>
  <c r="J2760" i="1"/>
  <c r="M2759" i="1"/>
  <c r="L2759" i="1"/>
  <c r="K2759" i="1"/>
  <c r="J2759" i="1"/>
  <c r="M2758" i="1"/>
  <c r="L2758" i="1"/>
  <c r="K2758" i="1"/>
  <c r="J2758" i="1"/>
  <c r="R839" i="11" s="1"/>
  <c r="M2757" i="1"/>
  <c r="L2757" i="1"/>
  <c r="K2757" i="1"/>
  <c r="J2757" i="1"/>
  <c r="M2756" i="1"/>
  <c r="L2756" i="1"/>
  <c r="K2756" i="1"/>
  <c r="J2756" i="1"/>
  <c r="M2755" i="1"/>
  <c r="L2755" i="1"/>
  <c r="K2755" i="1"/>
  <c r="J2755" i="1"/>
  <c r="M2754" i="1"/>
  <c r="L2754" i="1"/>
  <c r="K2754" i="1"/>
  <c r="J2754" i="1"/>
  <c r="P953" i="11" s="1"/>
  <c r="M2753" i="1"/>
  <c r="L2753" i="1"/>
  <c r="K2753" i="1"/>
  <c r="J2753" i="1"/>
  <c r="M2752" i="1"/>
  <c r="L2752" i="1"/>
  <c r="K2752" i="1"/>
  <c r="J2752" i="1"/>
  <c r="M2751" i="1"/>
  <c r="L2751" i="1"/>
  <c r="K2751" i="1"/>
  <c r="J2751" i="1"/>
  <c r="M2750" i="1"/>
  <c r="L2750" i="1"/>
  <c r="K2750" i="1"/>
  <c r="J2750" i="1"/>
  <c r="S703" i="11" s="1"/>
  <c r="M2749" i="1"/>
  <c r="L2749" i="1"/>
  <c r="K2749" i="1"/>
  <c r="J2749" i="1"/>
  <c r="M2748" i="1"/>
  <c r="L2748" i="1"/>
  <c r="K2748" i="1"/>
  <c r="J2748" i="1"/>
  <c r="M2747" i="1"/>
  <c r="L2747" i="1"/>
  <c r="K2747" i="1"/>
  <c r="J2747" i="1"/>
  <c r="M2746" i="1"/>
  <c r="L2746" i="1"/>
  <c r="K2746" i="1"/>
  <c r="J2746" i="1"/>
  <c r="M2745" i="1"/>
  <c r="L2745" i="1"/>
  <c r="K2745" i="1"/>
  <c r="J2745" i="1"/>
  <c r="M2744" i="1"/>
  <c r="L2744" i="1"/>
  <c r="K2744" i="1"/>
  <c r="J2744" i="1"/>
  <c r="M2743" i="1"/>
  <c r="L2743" i="1"/>
  <c r="K2743" i="1"/>
  <c r="J2743" i="1"/>
  <c r="M2742" i="1"/>
  <c r="L2742" i="1"/>
  <c r="K2742" i="1"/>
  <c r="J2742" i="1"/>
  <c r="M2741" i="1"/>
  <c r="L2741" i="1"/>
  <c r="K2741" i="1"/>
  <c r="J2741" i="1"/>
  <c r="M2740" i="1"/>
  <c r="L2740" i="1"/>
  <c r="K2740" i="1"/>
  <c r="J2740" i="1"/>
  <c r="M2739" i="1"/>
  <c r="L2739" i="1"/>
  <c r="K2739" i="1"/>
  <c r="J2739" i="1"/>
  <c r="M2738" i="1"/>
  <c r="L2738" i="1"/>
  <c r="K2738" i="1"/>
  <c r="J2738" i="1"/>
  <c r="M2737" i="1"/>
  <c r="L2737" i="1"/>
  <c r="K2737" i="1"/>
  <c r="J2737" i="1"/>
  <c r="M2736" i="1"/>
  <c r="L2736" i="1"/>
  <c r="K2736" i="1"/>
  <c r="J2736" i="1"/>
  <c r="M2735" i="1"/>
  <c r="L2735" i="1"/>
  <c r="K2735" i="1"/>
  <c r="J2735" i="1"/>
  <c r="M2734" i="1"/>
  <c r="L2734" i="1"/>
  <c r="K2734" i="1"/>
  <c r="J2734" i="1"/>
  <c r="M2733" i="1"/>
  <c r="L2733" i="1"/>
  <c r="K2733" i="1"/>
  <c r="J2733" i="1"/>
  <c r="M2732" i="1"/>
  <c r="L2732" i="1"/>
  <c r="K2732" i="1"/>
  <c r="J2732" i="1"/>
  <c r="M2731" i="1"/>
  <c r="L2731" i="1"/>
  <c r="K2731" i="1"/>
  <c r="J2731" i="1"/>
  <c r="M2730" i="1"/>
  <c r="L2730" i="1"/>
  <c r="K2730" i="1"/>
  <c r="J2730" i="1"/>
  <c r="M2729" i="1"/>
  <c r="L2729" i="1"/>
  <c r="K2729" i="1"/>
  <c r="J2729" i="1"/>
  <c r="M2728" i="1"/>
  <c r="L2728" i="1"/>
  <c r="K2728" i="1"/>
  <c r="J2728" i="1"/>
  <c r="M2727" i="1"/>
  <c r="L2727" i="1"/>
  <c r="K2727" i="1"/>
  <c r="J2727" i="1"/>
  <c r="M2726" i="1"/>
  <c r="L2726" i="1"/>
  <c r="K2726" i="1"/>
  <c r="J2726" i="1"/>
  <c r="M2725" i="1"/>
  <c r="L2725" i="1"/>
  <c r="K2725" i="1"/>
  <c r="J2725" i="1"/>
  <c r="M2724" i="1"/>
  <c r="L2724" i="1"/>
  <c r="K2724" i="1"/>
  <c r="J2724" i="1"/>
  <c r="M2723" i="1"/>
  <c r="L2723" i="1"/>
  <c r="K2723" i="1"/>
  <c r="J2723" i="1"/>
  <c r="M2722" i="1"/>
  <c r="L2722" i="1"/>
  <c r="K2722" i="1"/>
  <c r="J2722" i="1"/>
  <c r="M2721" i="1"/>
  <c r="L2721" i="1"/>
  <c r="K2721" i="1"/>
  <c r="J2721" i="1"/>
  <c r="M2720" i="1"/>
  <c r="L2720" i="1"/>
  <c r="K2720" i="1"/>
  <c r="J2720" i="1"/>
  <c r="M2719" i="1"/>
  <c r="L2719" i="1"/>
  <c r="K2719" i="1"/>
  <c r="J2719" i="1"/>
  <c r="M2718" i="1"/>
  <c r="L2718" i="1"/>
  <c r="K2718" i="1"/>
  <c r="J2718" i="1"/>
  <c r="M2717" i="1"/>
  <c r="L2717" i="1"/>
  <c r="K2717" i="1"/>
  <c r="J2717" i="1"/>
  <c r="M2716" i="1"/>
  <c r="L2716" i="1"/>
  <c r="K2716" i="1"/>
  <c r="J2716" i="1"/>
  <c r="M2715" i="1"/>
  <c r="L2715" i="1"/>
  <c r="K2715" i="1"/>
  <c r="J2715" i="1"/>
  <c r="M2714" i="1"/>
  <c r="L2714" i="1"/>
  <c r="K2714" i="1"/>
  <c r="J2714" i="1"/>
  <c r="M2713" i="1"/>
  <c r="L2713" i="1"/>
  <c r="K2713" i="1"/>
  <c r="J2713" i="1"/>
  <c r="M2712" i="1"/>
  <c r="L2712" i="1"/>
  <c r="K2712" i="1"/>
  <c r="J2712" i="1"/>
  <c r="M2711" i="1"/>
  <c r="L2711" i="1"/>
  <c r="K2711" i="1"/>
  <c r="J2711" i="1"/>
  <c r="M2710" i="1"/>
  <c r="L2710" i="1"/>
  <c r="K2710" i="1"/>
  <c r="J2710" i="1"/>
  <c r="M2709" i="1"/>
  <c r="L2709" i="1"/>
  <c r="K2709" i="1"/>
  <c r="J2709" i="1"/>
  <c r="M2708" i="1"/>
  <c r="L2708" i="1"/>
  <c r="K2708" i="1"/>
  <c r="J2708" i="1"/>
  <c r="M2707" i="1"/>
  <c r="L2707" i="1"/>
  <c r="K2707" i="1"/>
  <c r="J2707" i="1"/>
  <c r="M2706" i="1"/>
  <c r="L2706" i="1"/>
  <c r="K2706" i="1"/>
  <c r="J2706" i="1"/>
  <c r="M2705" i="1"/>
  <c r="L2705" i="1"/>
  <c r="K2705" i="1"/>
  <c r="J2705" i="1"/>
  <c r="M2704" i="1"/>
  <c r="L2704" i="1"/>
  <c r="K2704" i="1"/>
  <c r="J2704" i="1"/>
  <c r="M2703" i="1"/>
  <c r="L2703" i="1"/>
  <c r="K2703" i="1"/>
  <c r="J2703" i="1"/>
  <c r="M2702" i="1"/>
  <c r="L2702" i="1"/>
  <c r="K2702" i="1"/>
  <c r="J2702" i="1"/>
  <c r="M2701" i="1"/>
  <c r="L2701" i="1"/>
  <c r="K2701" i="1"/>
  <c r="J2701" i="1"/>
  <c r="M2700" i="1"/>
  <c r="L2700" i="1"/>
  <c r="K2700" i="1"/>
  <c r="J2700" i="1"/>
  <c r="M2699" i="1"/>
  <c r="L2699" i="1"/>
  <c r="K2699" i="1"/>
  <c r="J2699" i="1"/>
  <c r="M2698" i="1"/>
  <c r="L2698" i="1"/>
  <c r="K2698" i="1"/>
  <c r="J2698" i="1"/>
  <c r="M2697" i="1"/>
  <c r="L2697" i="1"/>
  <c r="K2697" i="1"/>
  <c r="J2697" i="1"/>
  <c r="M2696" i="1"/>
  <c r="L2696" i="1"/>
  <c r="K2696" i="1"/>
  <c r="J2696" i="1"/>
  <c r="M2695" i="1"/>
  <c r="L2695" i="1"/>
  <c r="K2695" i="1"/>
  <c r="J2695" i="1"/>
  <c r="M2694" i="1"/>
  <c r="L2694" i="1"/>
  <c r="K2694" i="1"/>
  <c r="J2694" i="1"/>
  <c r="M2693" i="1"/>
  <c r="L2693" i="1"/>
  <c r="K2693" i="1"/>
  <c r="J2693" i="1"/>
  <c r="M2692" i="1"/>
  <c r="L2692" i="1"/>
  <c r="K2692" i="1"/>
  <c r="J2692" i="1"/>
  <c r="M2691" i="1"/>
  <c r="L2691" i="1"/>
  <c r="K2691" i="1"/>
  <c r="J2691" i="1"/>
  <c r="M2690" i="1"/>
  <c r="L2690" i="1"/>
  <c r="K2690" i="1"/>
  <c r="J2690" i="1"/>
  <c r="M2689" i="1"/>
  <c r="L2689" i="1"/>
  <c r="K2689" i="1"/>
  <c r="J2689" i="1"/>
  <c r="M2688" i="1"/>
  <c r="L2688" i="1"/>
  <c r="K2688" i="1"/>
  <c r="J2688" i="1"/>
  <c r="M2687" i="1"/>
  <c r="L2687" i="1"/>
  <c r="K2687" i="1"/>
  <c r="J2687" i="1"/>
  <c r="M2686" i="1"/>
  <c r="L2686" i="1"/>
  <c r="K2686" i="1"/>
  <c r="J2686" i="1"/>
  <c r="M2685" i="1"/>
  <c r="L2685" i="1"/>
  <c r="K2685" i="1"/>
  <c r="J2685" i="1"/>
  <c r="M2684" i="1"/>
  <c r="L2684" i="1"/>
  <c r="K2684" i="1"/>
  <c r="J2684" i="1"/>
  <c r="M2683" i="1"/>
  <c r="L2683" i="1"/>
  <c r="K2683" i="1"/>
  <c r="J2683" i="1"/>
  <c r="M2682" i="1"/>
  <c r="L2682" i="1"/>
  <c r="K2682" i="1"/>
  <c r="J2682" i="1"/>
  <c r="M2681" i="1"/>
  <c r="L2681" i="1"/>
  <c r="K2681" i="1"/>
  <c r="J2681" i="1"/>
  <c r="M2680" i="1"/>
  <c r="L2680" i="1"/>
  <c r="K2680" i="1"/>
  <c r="J2680" i="1"/>
  <c r="M2679" i="1"/>
  <c r="L2679" i="1"/>
  <c r="K2679" i="1"/>
  <c r="J2679" i="1"/>
  <c r="M2678" i="1"/>
  <c r="L2678" i="1"/>
  <c r="K2678" i="1"/>
  <c r="J2678" i="1"/>
  <c r="M2677" i="1"/>
  <c r="L2677" i="1"/>
  <c r="K2677" i="1"/>
  <c r="J2677" i="1"/>
  <c r="H2" i="21" a="1"/>
  <c r="V1009" i="11"/>
  <c r="U1009" i="11"/>
  <c r="T1009" i="11"/>
  <c r="S1009" i="11"/>
  <c r="R1009" i="11"/>
  <c r="Q1009" i="11"/>
  <c r="P1009" i="11"/>
  <c r="O1009" i="11"/>
  <c r="N1009" i="11"/>
  <c r="M1009" i="11"/>
  <c r="L1009" i="11"/>
  <c r="K1009" i="11"/>
  <c r="U1008" i="11"/>
  <c r="V1006" i="11"/>
  <c r="U1006" i="11"/>
  <c r="T1006" i="11"/>
  <c r="R1006" i="11"/>
  <c r="P1006" i="11"/>
  <c r="N1006" i="11"/>
  <c r="M1006" i="11"/>
  <c r="L1006" i="11"/>
  <c r="K1006" i="11"/>
  <c r="U984" i="11"/>
  <c r="O984" i="11"/>
  <c r="V983" i="11"/>
  <c r="O983" i="11"/>
  <c r="L983" i="11"/>
  <c r="M980" i="11"/>
  <c r="T979" i="11"/>
  <c r="S979" i="11"/>
  <c r="Q979" i="11"/>
  <c r="O979" i="11"/>
  <c r="M979" i="11"/>
  <c r="U977" i="11"/>
  <c r="L977" i="11"/>
  <c r="V975" i="11"/>
  <c r="T975" i="11"/>
  <c r="S975" i="11"/>
  <c r="N975" i="11"/>
  <c r="L975" i="11"/>
  <c r="L974" i="11"/>
  <c r="V971" i="11"/>
  <c r="U971" i="11"/>
  <c r="T971" i="11"/>
  <c r="S971" i="11"/>
  <c r="R971" i="11"/>
  <c r="Q971" i="11"/>
  <c r="P971" i="11"/>
  <c r="O971" i="11"/>
  <c r="N971" i="11"/>
  <c r="M971" i="11"/>
  <c r="L971" i="11"/>
  <c r="K971" i="11"/>
  <c r="T970" i="11"/>
  <c r="O970" i="11"/>
  <c r="N970" i="11"/>
  <c r="V969" i="11"/>
  <c r="U969" i="11"/>
  <c r="T969" i="11"/>
  <c r="S969" i="11"/>
  <c r="R969" i="11"/>
  <c r="Q969" i="11"/>
  <c r="P969" i="11"/>
  <c r="O969" i="11"/>
  <c r="N969" i="11"/>
  <c r="M969" i="11"/>
  <c r="L969" i="11"/>
  <c r="K969" i="11"/>
  <c r="V967" i="11"/>
  <c r="U967" i="11"/>
  <c r="T967" i="11"/>
  <c r="S967" i="11"/>
  <c r="R967" i="11"/>
  <c r="Q967" i="11"/>
  <c r="P967" i="11"/>
  <c r="O967" i="11"/>
  <c r="N967" i="11"/>
  <c r="M967" i="11"/>
  <c r="L967" i="11"/>
  <c r="K967" i="11"/>
  <c r="V960" i="11"/>
  <c r="U960" i="11"/>
  <c r="T960" i="11"/>
  <c r="S960" i="11"/>
  <c r="R960" i="11"/>
  <c r="Q960" i="11"/>
  <c r="P960" i="11"/>
  <c r="O960" i="11"/>
  <c r="N960" i="11"/>
  <c r="M960" i="11"/>
  <c r="L960" i="11"/>
  <c r="K960" i="11"/>
  <c r="S957" i="11"/>
  <c r="V956" i="11"/>
  <c r="U956" i="11"/>
  <c r="T956" i="11"/>
  <c r="S956" i="11"/>
  <c r="R956" i="11"/>
  <c r="Q956" i="11"/>
  <c r="P956" i="11"/>
  <c r="O956" i="11"/>
  <c r="N956" i="11"/>
  <c r="M956" i="11"/>
  <c r="L956" i="11"/>
  <c r="K956" i="11"/>
  <c r="P954" i="11"/>
  <c r="V952" i="11"/>
  <c r="U952" i="11"/>
  <c r="T952" i="11"/>
  <c r="S952" i="11"/>
  <c r="R952" i="11"/>
  <c r="Q952" i="11"/>
  <c r="P952" i="11"/>
  <c r="O952" i="11"/>
  <c r="N952" i="11"/>
  <c r="M952" i="11"/>
  <c r="L952" i="11"/>
  <c r="K952" i="11"/>
  <c r="V934" i="11"/>
  <c r="U934" i="11"/>
  <c r="T934" i="11"/>
  <c r="S934" i="11"/>
  <c r="R934" i="11"/>
  <c r="Q934" i="11"/>
  <c r="P934" i="11"/>
  <c r="O934" i="11"/>
  <c r="N934" i="11"/>
  <c r="M934" i="11"/>
  <c r="L934" i="11"/>
  <c r="K934" i="11"/>
  <c r="T931" i="11"/>
  <c r="S930" i="11"/>
  <c r="Q930" i="11"/>
  <c r="R929" i="11"/>
  <c r="V910" i="11"/>
  <c r="U910" i="11"/>
  <c r="T910" i="11"/>
  <c r="S910" i="11"/>
  <c r="R910" i="11"/>
  <c r="Q910" i="11"/>
  <c r="P910" i="11"/>
  <c r="O910" i="11"/>
  <c r="N910" i="11"/>
  <c r="M910" i="11"/>
  <c r="L910" i="11"/>
  <c r="K910" i="11"/>
  <c r="L898" i="11"/>
  <c r="U871" i="11"/>
  <c r="V866" i="11"/>
  <c r="U866" i="11"/>
  <c r="T866" i="11"/>
  <c r="S866" i="11"/>
  <c r="R866" i="11"/>
  <c r="Q866" i="11"/>
  <c r="P866" i="11"/>
  <c r="O866" i="11"/>
  <c r="N866" i="11"/>
  <c r="M866" i="11"/>
  <c r="L866" i="11"/>
  <c r="K866" i="11"/>
  <c r="V865" i="11"/>
  <c r="U865" i="11"/>
  <c r="T865" i="11"/>
  <c r="S865" i="11"/>
  <c r="R865" i="11"/>
  <c r="Q865" i="11"/>
  <c r="P865" i="11"/>
  <c r="O865" i="11"/>
  <c r="N865" i="11"/>
  <c r="M865" i="11"/>
  <c r="L865" i="11"/>
  <c r="K865" i="11"/>
  <c r="V863" i="11"/>
  <c r="U863" i="11"/>
  <c r="T863" i="11"/>
  <c r="S863" i="11"/>
  <c r="R863" i="11"/>
  <c r="Q863" i="11"/>
  <c r="P863" i="11"/>
  <c r="N863" i="11"/>
  <c r="M863" i="11"/>
  <c r="L863" i="11"/>
  <c r="K863" i="11"/>
  <c r="P861" i="11"/>
  <c r="V855" i="11"/>
  <c r="U855" i="11"/>
  <c r="S855" i="11"/>
  <c r="O855" i="11"/>
  <c r="N855" i="11"/>
  <c r="M855" i="11"/>
  <c r="L855" i="11"/>
  <c r="K855" i="11"/>
  <c r="Q839" i="11"/>
  <c r="L839" i="11"/>
  <c r="K839" i="11"/>
  <c r="V762" i="11"/>
  <c r="S762" i="11"/>
  <c r="R762" i="11"/>
  <c r="O762" i="11"/>
  <c r="N762" i="11"/>
  <c r="M762" i="11"/>
  <c r="K762" i="11"/>
  <c r="S737" i="11"/>
  <c r="Q737" i="11"/>
  <c r="N737" i="11"/>
  <c r="K703" i="11"/>
  <c r="V699" i="11"/>
  <c r="U699" i="11"/>
  <c r="T699" i="11"/>
  <c r="S699" i="11"/>
  <c r="R699" i="11"/>
  <c r="Q699" i="11"/>
  <c r="P699" i="11"/>
  <c r="O699" i="11"/>
  <c r="N699" i="11"/>
  <c r="M699" i="11"/>
  <c r="L699" i="11"/>
  <c r="K699" i="11"/>
  <c r="V688" i="11"/>
  <c r="U688" i="11"/>
  <c r="T688" i="11"/>
  <c r="S688" i="11"/>
  <c r="R688" i="11"/>
  <c r="Q688" i="11"/>
  <c r="P688" i="11"/>
  <c r="O688" i="11"/>
  <c r="N688" i="11"/>
  <c r="M688" i="11"/>
  <c r="L688" i="11"/>
  <c r="K688" i="11"/>
  <c r="U682" i="11"/>
  <c r="T682" i="11"/>
  <c r="S682" i="11"/>
  <c r="R682" i="11"/>
  <c r="Q682" i="11"/>
  <c r="P682" i="11"/>
  <c r="O682" i="11"/>
  <c r="M682" i="11"/>
  <c r="L682" i="11"/>
  <c r="K682" i="11"/>
  <c r="V681" i="11"/>
  <c r="U681" i="11"/>
  <c r="Q681" i="11"/>
  <c r="P681" i="11"/>
  <c r="O681" i="11"/>
  <c r="N681" i="11"/>
  <c r="M681" i="11"/>
  <c r="K681" i="11"/>
  <c r="V676" i="11"/>
  <c r="U676" i="11"/>
  <c r="T676" i="11"/>
  <c r="S676" i="11"/>
  <c r="R676" i="11"/>
  <c r="Q676" i="11"/>
  <c r="P676" i="11"/>
  <c r="O676" i="11"/>
  <c r="N676" i="11"/>
  <c r="M676" i="11"/>
  <c r="L676" i="11"/>
  <c r="K676" i="11"/>
  <c r="S675" i="11"/>
  <c r="K675" i="11"/>
  <c r="V667" i="11"/>
  <c r="V661" i="11"/>
  <c r="U661" i="11"/>
  <c r="T661" i="11"/>
  <c r="S661" i="11"/>
  <c r="R661" i="11"/>
  <c r="Q661" i="11"/>
  <c r="P661" i="11"/>
  <c r="O661" i="11"/>
  <c r="N661" i="11"/>
  <c r="M661" i="11"/>
  <c r="L661" i="11"/>
  <c r="K661" i="11"/>
  <c r="V642" i="11"/>
  <c r="U642" i="11"/>
  <c r="T642" i="11"/>
  <c r="S642" i="11"/>
  <c r="R642" i="11"/>
  <c r="Q642" i="11"/>
  <c r="P642" i="11"/>
  <c r="O642" i="11"/>
  <c r="N642" i="11"/>
  <c r="M642" i="11"/>
  <c r="L642" i="11"/>
  <c r="K642" i="11"/>
  <c r="V589" i="11"/>
  <c r="U589" i="11"/>
  <c r="T589" i="11"/>
  <c r="S589" i="11"/>
  <c r="R589" i="11"/>
  <c r="Q589" i="11"/>
  <c r="P589" i="11"/>
  <c r="O589" i="11"/>
  <c r="N589" i="11"/>
  <c r="M589" i="11"/>
  <c r="L589" i="11"/>
  <c r="K589" i="11"/>
  <c r="V490" i="11"/>
  <c r="U490" i="11"/>
  <c r="T490" i="11"/>
  <c r="S490" i="11"/>
  <c r="R490" i="11"/>
  <c r="Q490" i="11"/>
  <c r="P490" i="11"/>
  <c r="O490" i="11"/>
  <c r="N490" i="11"/>
  <c r="M490" i="11"/>
  <c r="L490" i="11"/>
  <c r="K490" i="11"/>
  <c r="V489" i="11"/>
  <c r="U489" i="11"/>
  <c r="T489" i="11"/>
  <c r="S489" i="11"/>
  <c r="R489" i="11"/>
  <c r="Q489" i="11"/>
  <c r="P489" i="11"/>
  <c r="O489" i="11"/>
  <c r="N489" i="11"/>
  <c r="M489" i="11"/>
  <c r="L489" i="11"/>
  <c r="K489" i="11"/>
  <c r="V486" i="11"/>
  <c r="V483" i="11"/>
  <c r="U483" i="11"/>
  <c r="T483" i="11"/>
  <c r="S483" i="11"/>
  <c r="R483" i="11"/>
  <c r="Q483" i="11"/>
  <c r="P483" i="11"/>
  <c r="O483" i="11"/>
  <c r="N483" i="11"/>
  <c r="M483" i="11"/>
  <c r="L483" i="11"/>
  <c r="K483" i="11"/>
  <c r="V465" i="11"/>
  <c r="U465" i="11"/>
  <c r="T465" i="11"/>
  <c r="S465" i="11"/>
  <c r="R465" i="11"/>
  <c r="Q465" i="11"/>
  <c r="P465" i="11"/>
  <c r="O465" i="11"/>
  <c r="N465" i="11"/>
  <c r="M465" i="11"/>
  <c r="L465" i="11"/>
  <c r="K465" i="11"/>
  <c r="P460" i="11"/>
  <c r="V459" i="11"/>
  <c r="U459" i="11"/>
  <c r="T459" i="11"/>
  <c r="S459" i="11"/>
  <c r="R459" i="11"/>
  <c r="Q459" i="11"/>
  <c r="P459" i="11"/>
  <c r="O459" i="11"/>
  <c r="N459" i="11"/>
  <c r="M459" i="11"/>
  <c r="L459" i="11"/>
  <c r="K459" i="11"/>
  <c r="V454" i="11"/>
  <c r="V450" i="11"/>
  <c r="U450" i="11"/>
  <c r="T450" i="11"/>
  <c r="S450" i="11"/>
  <c r="R450" i="11"/>
  <c r="Q450" i="11"/>
  <c r="P450" i="11"/>
  <c r="O450" i="11"/>
  <c r="N450" i="11"/>
  <c r="M450" i="11"/>
  <c r="L450" i="11"/>
  <c r="K450" i="11"/>
  <c r="V440" i="11"/>
  <c r="U440" i="11"/>
  <c r="T440" i="11"/>
  <c r="S440" i="11"/>
  <c r="R440" i="11"/>
  <c r="Q440" i="11"/>
  <c r="P440" i="11"/>
  <c r="O440" i="11"/>
  <c r="N440" i="11"/>
  <c r="M440" i="11"/>
  <c r="L440" i="11"/>
  <c r="K440" i="11"/>
  <c r="V439" i="11"/>
  <c r="U439" i="11"/>
  <c r="T439" i="11"/>
  <c r="S439" i="11"/>
  <c r="R439" i="11"/>
  <c r="Q439" i="11"/>
  <c r="P439" i="11"/>
  <c r="O439" i="11"/>
  <c r="N439" i="11"/>
  <c r="M439" i="11"/>
  <c r="L439" i="11"/>
  <c r="K439" i="11"/>
  <c r="V437" i="11"/>
  <c r="U437" i="11"/>
  <c r="T437" i="11"/>
  <c r="S437" i="11"/>
  <c r="R437" i="11"/>
  <c r="Q437" i="11"/>
  <c r="P437" i="11"/>
  <c r="O437" i="11"/>
  <c r="N437" i="11"/>
  <c r="M437" i="11"/>
  <c r="L437" i="11"/>
  <c r="K437" i="11"/>
  <c r="V432" i="11"/>
  <c r="U432" i="11"/>
  <c r="T432" i="11"/>
  <c r="S432" i="11"/>
  <c r="R432" i="11"/>
  <c r="Q432" i="11"/>
  <c r="P432" i="11"/>
  <c r="O432" i="11"/>
  <c r="N432" i="11"/>
  <c r="M432" i="11"/>
  <c r="L432" i="11"/>
  <c r="K432" i="11"/>
  <c r="U416" i="11"/>
  <c r="R416" i="11"/>
  <c r="Q416" i="11"/>
  <c r="P416" i="11"/>
  <c r="O416" i="11"/>
  <c r="M416" i="11"/>
  <c r="V407" i="11"/>
  <c r="U407" i="11"/>
  <c r="T407" i="11"/>
  <c r="S407" i="11"/>
  <c r="R407" i="11"/>
  <c r="Q407" i="11"/>
  <c r="P407" i="11"/>
  <c r="O407" i="11"/>
  <c r="N407" i="11"/>
  <c r="M407" i="11"/>
  <c r="L407" i="11"/>
  <c r="K407" i="11"/>
  <c r="V401" i="11"/>
  <c r="U401" i="11"/>
  <c r="T401" i="11"/>
  <c r="S401" i="11"/>
  <c r="R401" i="11"/>
  <c r="Q401" i="11"/>
  <c r="P401" i="11"/>
  <c r="O401" i="11"/>
  <c r="N401" i="11"/>
  <c r="M401" i="11"/>
  <c r="L401" i="11"/>
  <c r="K401" i="11"/>
  <c r="S390" i="11"/>
  <c r="L374" i="11"/>
  <c r="V370" i="11"/>
  <c r="U370" i="11"/>
  <c r="T370" i="11"/>
  <c r="S370" i="11"/>
  <c r="R370" i="11"/>
  <c r="Q370" i="11"/>
  <c r="P370" i="11"/>
  <c r="O370" i="11"/>
  <c r="N370" i="11"/>
  <c r="M370" i="11"/>
  <c r="L370" i="11"/>
  <c r="K370" i="11"/>
  <c r="V350" i="11"/>
  <c r="U350" i="11"/>
  <c r="T350" i="11"/>
  <c r="S350" i="11"/>
  <c r="R350" i="11"/>
  <c r="Q350" i="11"/>
  <c r="P350" i="11"/>
  <c r="O350" i="11"/>
  <c r="N350" i="11"/>
  <c r="M350" i="11"/>
  <c r="L350" i="11"/>
  <c r="K350" i="11"/>
  <c r="V320" i="11"/>
  <c r="U320" i="11"/>
  <c r="T320" i="11"/>
  <c r="S320" i="11"/>
  <c r="R320" i="11"/>
  <c r="Q320" i="11"/>
  <c r="P320" i="11"/>
  <c r="O320" i="11"/>
  <c r="N320" i="11"/>
  <c r="M320" i="11"/>
  <c r="L320" i="11"/>
  <c r="K320" i="11"/>
  <c r="V319" i="11"/>
  <c r="U319" i="11"/>
  <c r="T319" i="11"/>
  <c r="S319" i="11"/>
  <c r="R319" i="11"/>
  <c r="Q319" i="11"/>
  <c r="P319" i="11"/>
  <c r="O319" i="11"/>
  <c r="N319" i="11"/>
  <c r="M319" i="11"/>
  <c r="L319" i="11"/>
  <c r="K319" i="11"/>
  <c r="V317" i="11"/>
  <c r="U317" i="11"/>
  <c r="T317" i="11"/>
  <c r="S317" i="11"/>
  <c r="R317" i="11"/>
  <c r="Q317" i="11"/>
  <c r="P317" i="11"/>
  <c r="O317" i="11"/>
  <c r="N317" i="11"/>
  <c r="M317" i="11"/>
  <c r="L317" i="11"/>
  <c r="K317" i="11"/>
  <c r="V308" i="11"/>
  <c r="U308" i="11"/>
  <c r="T308" i="11"/>
  <c r="S308" i="11"/>
  <c r="R308" i="11"/>
  <c r="Q308" i="11"/>
  <c r="P308" i="11"/>
  <c r="O308" i="11"/>
  <c r="N308" i="11"/>
  <c r="M308" i="11"/>
  <c r="L308" i="11"/>
  <c r="K308" i="11"/>
  <c r="V306" i="11"/>
  <c r="U306" i="11"/>
  <c r="T306" i="11"/>
  <c r="S306" i="11"/>
  <c r="R306" i="11"/>
  <c r="Q306" i="11"/>
  <c r="P306" i="11"/>
  <c r="O306" i="11"/>
  <c r="N306" i="11"/>
  <c r="M306" i="11"/>
  <c r="L306" i="11"/>
  <c r="K306" i="11"/>
  <c r="V305" i="11"/>
  <c r="U305" i="11"/>
  <c r="T305" i="11"/>
  <c r="S305" i="11"/>
  <c r="R305" i="11"/>
  <c r="Q305" i="11"/>
  <c r="P305" i="11"/>
  <c r="O305" i="11"/>
  <c r="N305" i="11"/>
  <c r="M305" i="11"/>
  <c r="L305" i="11"/>
  <c r="K305" i="11"/>
  <c r="V298" i="11"/>
  <c r="U298" i="11"/>
  <c r="T298" i="11"/>
  <c r="S298" i="11"/>
  <c r="R298" i="11"/>
  <c r="Q298" i="11"/>
  <c r="P298" i="11"/>
  <c r="O298" i="11"/>
  <c r="N298" i="11"/>
  <c r="M298" i="11"/>
  <c r="L298" i="11"/>
  <c r="K298" i="11"/>
  <c r="V290" i="11"/>
  <c r="U290" i="11"/>
  <c r="T290" i="11"/>
  <c r="S290" i="11"/>
  <c r="R290" i="11"/>
  <c r="Q290" i="11"/>
  <c r="P290" i="11"/>
  <c r="O290" i="11"/>
  <c r="N290" i="11"/>
  <c r="M290" i="11"/>
  <c r="L290" i="11"/>
  <c r="K290" i="11"/>
  <c r="V246" i="11"/>
  <c r="U246" i="11"/>
  <c r="T246" i="11"/>
  <c r="S246" i="11"/>
  <c r="R246" i="11"/>
  <c r="Q246" i="11"/>
  <c r="P246" i="11"/>
  <c r="O246" i="11"/>
  <c r="N246" i="11"/>
  <c r="M246" i="11"/>
  <c r="L246" i="11"/>
  <c r="K246" i="11"/>
  <c r="V228" i="11"/>
  <c r="U228" i="11"/>
  <c r="T228" i="11"/>
  <c r="S228" i="11"/>
  <c r="R228" i="11"/>
  <c r="Q228" i="11"/>
  <c r="P228" i="11"/>
  <c r="O228" i="11"/>
  <c r="N228" i="11"/>
  <c r="M228" i="11"/>
  <c r="L228" i="11"/>
  <c r="K228" i="11"/>
  <c r="V226" i="11"/>
  <c r="U226" i="11"/>
  <c r="T226" i="11"/>
  <c r="S226" i="11"/>
  <c r="R226" i="11"/>
  <c r="Q226" i="11"/>
  <c r="P226" i="11"/>
  <c r="O226" i="11"/>
  <c r="N226" i="11"/>
  <c r="M226" i="11"/>
  <c r="L226" i="11"/>
  <c r="K226" i="11"/>
  <c r="T203" i="11"/>
  <c r="L203" i="11"/>
  <c r="U201" i="11"/>
  <c r="R201" i="11"/>
  <c r="Q201" i="11"/>
  <c r="P201" i="11"/>
  <c r="N201" i="11"/>
  <c r="L201" i="11"/>
  <c r="V197" i="11"/>
  <c r="U197" i="11"/>
  <c r="T197" i="11"/>
  <c r="S197" i="11"/>
  <c r="R197" i="11"/>
  <c r="Q197" i="11"/>
  <c r="P197" i="11"/>
  <c r="O197" i="11"/>
  <c r="N197" i="11"/>
  <c r="M197" i="11"/>
  <c r="L197" i="11"/>
  <c r="K197" i="11"/>
  <c r="T181" i="11"/>
  <c r="L181" i="11"/>
  <c r="R165" i="11"/>
  <c r="V142" i="11"/>
  <c r="U142" i="11"/>
  <c r="T142" i="11"/>
  <c r="S142" i="11"/>
  <c r="R142" i="11"/>
  <c r="Q142" i="11"/>
  <c r="P142" i="11"/>
  <c r="O142" i="11"/>
  <c r="N142" i="11"/>
  <c r="M142" i="11"/>
  <c r="L142" i="11"/>
  <c r="K142" i="11"/>
  <c r="U136" i="11"/>
  <c r="T133" i="11"/>
  <c r="L133" i="11"/>
  <c r="L127" i="11"/>
  <c r="V121" i="11"/>
  <c r="U121" i="11"/>
  <c r="T121" i="11"/>
  <c r="S121" i="11"/>
  <c r="R121" i="11"/>
  <c r="Q121" i="11"/>
  <c r="P121" i="11"/>
  <c r="O121" i="11"/>
  <c r="N121" i="11"/>
  <c r="M121" i="11"/>
  <c r="L121" i="11"/>
  <c r="K121" i="11"/>
  <c r="U114" i="11"/>
  <c r="R114" i="11"/>
  <c r="Q114" i="11"/>
  <c r="P114" i="11"/>
  <c r="O114" i="11"/>
  <c r="N114" i="11"/>
  <c r="L114" i="11"/>
  <c r="V112" i="11"/>
  <c r="U112" i="11"/>
  <c r="T112" i="11"/>
  <c r="S112" i="11"/>
  <c r="R112" i="11"/>
  <c r="Q112" i="11"/>
  <c r="P112" i="11"/>
  <c r="O112" i="11"/>
  <c r="N112" i="11"/>
  <c r="M112" i="11"/>
  <c r="L112" i="11"/>
  <c r="K112" i="11"/>
  <c r="V104" i="11"/>
  <c r="T104" i="11"/>
  <c r="Q104" i="11"/>
  <c r="O104" i="11"/>
  <c r="N104" i="11"/>
  <c r="L104" i="11"/>
  <c r="V101" i="11"/>
  <c r="R101" i="11"/>
  <c r="P101" i="11"/>
  <c r="O101" i="11"/>
  <c r="N101" i="11"/>
  <c r="L101" i="11"/>
  <c r="P100" i="11"/>
  <c r="U99" i="11"/>
  <c r="S99" i="11"/>
  <c r="Q99" i="11"/>
  <c r="O99" i="11"/>
  <c r="N99" i="11"/>
  <c r="M99" i="11"/>
  <c r="K99" i="11"/>
  <c r="T91" i="11"/>
  <c r="L91" i="11"/>
  <c r="V89" i="11"/>
  <c r="U89" i="11"/>
  <c r="T89" i="11"/>
  <c r="S89" i="11"/>
  <c r="R89" i="11"/>
  <c r="Q89" i="11"/>
  <c r="P89" i="11"/>
  <c r="O89" i="11"/>
  <c r="N89" i="11"/>
  <c r="M89" i="11"/>
  <c r="L89" i="11"/>
  <c r="K89" i="11"/>
  <c r="P86" i="11"/>
  <c r="T76" i="11"/>
  <c r="R76" i="11"/>
  <c r="Q76" i="11"/>
  <c r="P76" i="11"/>
  <c r="O76" i="11"/>
  <c r="L76" i="11"/>
  <c r="V63" i="11"/>
  <c r="U63" i="11"/>
  <c r="T63" i="11"/>
  <c r="S63" i="11"/>
  <c r="R63" i="11"/>
  <c r="Q63" i="11"/>
  <c r="P63" i="11"/>
  <c r="O63" i="11"/>
  <c r="N63" i="11"/>
  <c r="M63" i="11"/>
  <c r="L63" i="11"/>
  <c r="K63" i="11"/>
  <c r="V62" i="11"/>
  <c r="U62" i="11"/>
  <c r="T62" i="11"/>
  <c r="S62" i="11"/>
  <c r="R62" i="11"/>
  <c r="Q62" i="11"/>
  <c r="P62" i="11"/>
  <c r="O62" i="11"/>
  <c r="N62" i="11"/>
  <c r="M62" i="11"/>
  <c r="L62" i="11"/>
  <c r="K62" i="11"/>
  <c r="P31" i="11"/>
  <c r="V26" i="11"/>
  <c r="U26" i="11"/>
  <c r="T26" i="11"/>
  <c r="S26" i="11"/>
  <c r="R26" i="11"/>
  <c r="Q26" i="11"/>
  <c r="P26" i="11"/>
  <c r="O26" i="11"/>
  <c r="N26" i="11"/>
  <c r="M26" i="11"/>
  <c r="L26" i="11"/>
  <c r="K26" i="11"/>
  <c r="T25" i="11"/>
  <c r="L25" i="11"/>
  <c r="V4" i="11"/>
  <c r="U4" i="11"/>
  <c r="T4" i="11"/>
  <c r="S4" i="11"/>
  <c r="R4" i="11"/>
  <c r="Q4" i="11"/>
  <c r="O4" i="11"/>
  <c r="N4" i="11"/>
  <c r="M4" i="11"/>
  <c r="L4" i="11"/>
  <c r="K4" i="11"/>
  <c r="P3" i="11"/>
  <c r="M3522" i="1"/>
  <c r="L3522" i="1"/>
  <c r="K3522" i="1"/>
  <c r="J3522" i="1"/>
  <c r="M3521" i="1"/>
  <c r="L3521" i="1"/>
  <c r="K3521" i="1"/>
  <c r="J3521" i="1"/>
  <c r="M3520" i="1"/>
  <c r="L3520" i="1"/>
  <c r="K3520" i="1"/>
  <c r="J3520" i="1"/>
  <c r="M3519" i="1"/>
  <c r="L3519" i="1"/>
  <c r="K3519" i="1"/>
  <c r="J3519" i="1"/>
  <c r="M3518" i="1"/>
  <c r="L3518" i="1"/>
  <c r="K3518" i="1"/>
  <c r="J3518" i="1"/>
  <c r="M3517" i="1"/>
  <c r="L3517" i="1"/>
  <c r="K3517" i="1"/>
  <c r="J3517" i="1"/>
  <c r="M3516" i="1"/>
  <c r="L3516" i="1"/>
  <c r="K3516" i="1"/>
  <c r="J3516" i="1"/>
  <c r="M3515" i="1"/>
  <c r="L3515" i="1"/>
  <c r="K3515" i="1"/>
  <c r="J3515" i="1"/>
  <c r="M3514" i="1"/>
  <c r="L3514" i="1"/>
  <c r="K3514" i="1"/>
  <c r="J3514" i="1"/>
  <c r="M3513" i="1"/>
  <c r="L3513" i="1"/>
  <c r="K3513" i="1"/>
  <c r="J3513" i="1"/>
  <c r="M3512" i="1"/>
  <c r="L3512" i="1"/>
  <c r="U21" i="11" s="1"/>
  <c r="K3512" i="1"/>
  <c r="J3512" i="1"/>
  <c r="M3511" i="1"/>
  <c r="L3511" i="1"/>
  <c r="K3511" i="1"/>
  <c r="J3511" i="1"/>
  <c r="M3510" i="1"/>
  <c r="L3510" i="1"/>
  <c r="K3510" i="1"/>
  <c r="J3510" i="1"/>
  <c r="M3509" i="1"/>
  <c r="L3509" i="1"/>
  <c r="K3509" i="1"/>
  <c r="J3509" i="1"/>
  <c r="M3508" i="1"/>
  <c r="L3508" i="1"/>
  <c r="K3508" i="1"/>
  <c r="J3508" i="1"/>
  <c r="M3507" i="1"/>
  <c r="L3507" i="1"/>
  <c r="K3507" i="1"/>
  <c r="J3507" i="1"/>
  <c r="M3506" i="1"/>
  <c r="L3506" i="1"/>
  <c r="K3506" i="1"/>
  <c r="J3506" i="1"/>
  <c r="M3505" i="1"/>
  <c r="L3505" i="1"/>
  <c r="K3505" i="1"/>
  <c r="J3505" i="1"/>
  <c r="M3504" i="1"/>
  <c r="L3504" i="1"/>
  <c r="K3504" i="1"/>
  <c r="J3504" i="1"/>
  <c r="M3503" i="1"/>
  <c r="L3503" i="1"/>
  <c r="K3503" i="1"/>
  <c r="J3503" i="1"/>
  <c r="M3502" i="1"/>
  <c r="L3502" i="1"/>
  <c r="K3502" i="1"/>
  <c r="J3502" i="1"/>
  <c r="M3501" i="1"/>
  <c r="L3501" i="1"/>
  <c r="K3501" i="1"/>
  <c r="J3501" i="1"/>
  <c r="M3500" i="1"/>
  <c r="L3500" i="1"/>
  <c r="K3500" i="1"/>
  <c r="J3500" i="1"/>
  <c r="M3499" i="1"/>
  <c r="L3499" i="1"/>
  <c r="K3499" i="1"/>
  <c r="J3499" i="1"/>
  <c r="M3498" i="1"/>
  <c r="L3498" i="1"/>
  <c r="K3498" i="1"/>
  <c r="J3498" i="1"/>
  <c r="M3497" i="1"/>
  <c r="L3497" i="1"/>
  <c r="K3497" i="1"/>
  <c r="J3497" i="1"/>
  <c r="M3496" i="1"/>
  <c r="L3496" i="1"/>
  <c r="K3496" i="1"/>
  <c r="J3496" i="1"/>
  <c r="M3495" i="1"/>
  <c r="L3495" i="1"/>
  <c r="K3495" i="1"/>
  <c r="J3495" i="1"/>
  <c r="M3494" i="1"/>
  <c r="L3494" i="1"/>
  <c r="K3494" i="1"/>
  <c r="J3494" i="1"/>
  <c r="M3493" i="1"/>
  <c r="L3493" i="1"/>
  <c r="K3493" i="1"/>
  <c r="J3493" i="1"/>
  <c r="M3492" i="1"/>
  <c r="L3492" i="1"/>
  <c r="K3492" i="1"/>
  <c r="J3492" i="1"/>
  <c r="M3491" i="1"/>
  <c r="L3491" i="1"/>
  <c r="P984" i="11" s="1"/>
  <c r="K3491" i="1"/>
  <c r="J3491" i="1"/>
  <c r="M3490" i="1"/>
  <c r="L3490" i="1"/>
  <c r="K3490" i="1"/>
  <c r="J3490" i="1"/>
  <c r="M3489" i="1"/>
  <c r="L3489" i="1"/>
  <c r="K3489" i="1"/>
  <c r="J3489" i="1"/>
  <c r="M3488" i="1"/>
  <c r="L3488" i="1"/>
  <c r="K3488" i="1"/>
  <c r="J3488" i="1"/>
  <c r="M3487" i="1"/>
  <c r="L3487" i="1"/>
  <c r="K3487" i="1"/>
  <c r="J3487" i="1"/>
  <c r="M3486" i="1"/>
  <c r="L3486" i="1"/>
  <c r="K3486" i="1"/>
  <c r="J3486" i="1"/>
  <c r="M3485" i="1"/>
  <c r="L3485" i="1"/>
  <c r="K3485" i="1"/>
  <c r="J3485" i="1"/>
  <c r="M3484" i="1"/>
  <c r="L3484" i="1"/>
  <c r="K3484" i="1"/>
  <c r="J3484" i="1"/>
  <c r="M3483" i="1"/>
  <c r="L3483" i="1"/>
  <c r="K3483" i="1"/>
  <c r="J3483" i="1"/>
  <c r="M3482" i="1"/>
  <c r="L3482" i="1"/>
  <c r="K3482" i="1"/>
  <c r="J3482" i="1"/>
  <c r="M3481" i="1"/>
  <c r="L3481" i="1"/>
  <c r="K3481" i="1"/>
  <c r="J3481" i="1"/>
  <c r="M3480" i="1"/>
  <c r="L3480" i="1"/>
  <c r="K3480" i="1"/>
  <c r="J3480" i="1"/>
  <c r="M3479" i="1"/>
  <c r="L3479" i="1"/>
  <c r="K3479" i="1"/>
  <c r="J3479" i="1"/>
  <c r="M3478" i="1"/>
  <c r="L3478" i="1"/>
  <c r="K3478" i="1"/>
  <c r="J3478" i="1"/>
  <c r="M3477" i="1"/>
  <c r="L3477" i="1"/>
  <c r="K3477" i="1"/>
  <c r="J3477" i="1"/>
  <c r="M3476" i="1"/>
  <c r="L3476" i="1"/>
  <c r="K3476" i="1"/>
  <c r="J3476" i="1"/>
  <c r="M3475" i="1"/>
  <c r="L3475" i="1"/>
  <c r="K3475" i="1"/>
  <c r="J3475" i="1"/>
  <c r="M3474" i="1"/>
  <c r="L3474" i="1"/>
  <c r="K3474" i="1"/>
  <c r="J3474" i="1"/>
  <c r="M3473" i="1"/>
  <c r="L3473" i="1"/>
  <c r="K3473" i="1"/>
  <c r="J3473" i="1"/>
  <c r="M3472" i="1"/>
  <c r="L3472" i="1"/>
  <c r="K3472" i="1"/>
  <c r="J3472" i="1"/>
  <c r="M3471" i="1"/>
  <c r="L3471" i="1"/>
  <c r="K3471" i="1"/>
  <c r="J3471" i="1"/>
  <c r="M3470" i="1"/>
  <c r="L3470" i="1"/>
  <c r="K3470" i="1"/>
  <c r="J3470" i="1"/>
  <c r="M3469" i="1"/>
  <c r="L3469" i="1"/>
  <c r="K3469" i="1"/>
  <c r="J3469" i="1"/>
  <c r="M3468" i="1"/>
  <c r="L3468" i="1"/>
  <c r="K3468" i="1"/>
  <c r="J3468" i="1"/>
  <c r="M3467" i="1"/>
  <c r="L3467" i="1"/>
  <c r="K3467" i="1"/>
  <c r="J3467" i="1"/>
  <c r="M3466" i="1"/>
  <c r="L3466" i="1"/>
  <c r="K3466" i="1"/>
  <c r="J3466" i="1"/>
  <c r="M3465" i="1"/>
  <c r="L3465" i="1"/>
  <c r="K3465" i="1"/>
  <c r="J3465" i="1"/>
  <c r="M3464" i="1"/>
  <c r="L3464" i="1"/>
  <c r="K3464" i="1"/>
  <c r="J3464" i="1"/>
  <c r="M3463" i="1"/>
  <c r="L3463" i="1"/>
  <c r="K3463" i="1"/>
  <c r="J3463" i="1"/>
  <c r="M3462" i="1"/>
  <c r="L3462" i="1"/>
  <c r="K3462" i="1"/>
  <c r="J3462" i="1"/>
  <c r="M3461" i="1"/>
  <c r="L3461" i="1"/>
  <c r="K3461" i="1"/>
  <c r="J3461" i="1"/>
  <c r="M3460" i="1"/>
  <c r="L3460" i="1"/>
  <c r="K3460" i="1"/>
  <c r="J3460" i="1"/>
  <c r="M3459" i="1"/>
  <c r="L3459" i="1"/>
  <c r="K3459" i="1"/>
  <c r="J3459" i="1"/>
  <c r="M3458" i="1"/>
  <c r="L3458" i="1"/>
  <c r="K3458" i="1"/>
  <c r="J3458" i="1"/>
  <c r="M3457" i="1"/>
  <c r="L3457" i="1"/>
  <c r="K3457" i="1"/>
  <c r="J3457" i="1"/>
  <c r="M3456" i="1"/>
  <c r="L3456" i="1"/>
  <c r="K3456" i="1"/>
  <c r="J3456" i="1"/>
  <c r="M3455" i="1"/>
  <c r="L3455" i="1"/>
  <c r="K3455" i="1"/>
  <c r="J3455" i="1"/>
  <c r="M3454" i="1"/>
  <c r="L3454" i="1"/>
  <c r="K3454" i="1"/>
  <c r="J3454" i="1"/>
  <c r="M3453" i="1"/>
  <c r="L3453" i="1"/>
  <c r="K3453" i="1"/>
  <c r="J3453" i="1"/>
  <c r="M3452" i="1"/>
  <c r="L3452" i="1"/>
  <c r="K3452" i="1"/>
  <c r="J3452" i="1"/>
  <c r="M3451" i="1"/>
  <c r="L3451" i="1"/>
  <c r="K3451" i="1"/>
  <c r="J3451" i="1"/>
  <c r="M3450" i="1"/>
  <c r="L3450" i="1"/>
  <c r="K3450" i="1"/>
  <c r="J3450" i="1"/>
  <c r="M3449" i="1"/>
  <c r="L3449" i="1"/>
  <c r="K3449" i="1"/>
  <c r="J3449" i="1"/>
  <c r="M3448" i="1"/>
  <c r="L3448" i="1"/>
  <c r="K3448" i="1"/>
  <c r="J3448" i="1"/>
  <c r="M3447" i="1"/>
  <c r="L3447" i="1"/>
  <c r="K3447" i="1"/>
  <c r="J3447" i="1"/>
  <c r="M3446" i="1"/>
  <c r="L3446" i="1"/>
  <c r="K3446" i="1"/>
  <c r="J3446" i="1"/>
  <c r="M3445" i="1"/>
  <c r="L3445" i="1"/>
  <c r="K3445" i="1"/>
  <c r="J3445" i="1"/>
  <c r="M3444" i="1"/>
  <c r="L3444" i="1"/>
  <c r="K3444" i="1"/>
  <c r="J3444" i="1"/>
  <c r="M3443" i="1"/>
  <c r="L3443" i="1"/>
  <c r="K3443" i="1"/>
  <c r="J3443" i="1"/>
  <c r="M3442" i="1"/>
  <c r="L3442" i="1"/>
  <c r="K3442" i="1"/>
  <c r="J3442" i="1"/>
  <c r="M3441" i="1"/>
  <c r="L3441" i="1"/>
  <c r="K3441" i="1"/>
  <c r="J3441" i="1"/>
  <c r="M3440" i="1"/>
  <c r="L3440" i="1"/>
  <c r="K3440" i="1"/>
  <c r="J3440" i="1"/>
  <c r="M3439" i="1"/>
  <c r="L3439" i="1"/>
  <c r="K3439" i="1"/>
  <c r="J3439" i="1"/>
  <c r="M3438" i="1"/>
  <c r="L3438" i="1"/>
  <c r="K3438" i="1"/>
  <c r="J3438" i="1"/>
  <c r="M3437" i="1"/>
  <c r="L3437" i="1"/>
  <c r="K3437" i="1"/>
  <c r="J3437" i="1"/>
  <c r="M3436" i="1"/>
  <c r="L3436" i="1"/>
  <c r="K3436" i="1"/>
  <c r="J3436" i="1"/>
  <c r="M3435" i="1"/>
  <c r="L3435" i="1"/>
  <c r="K3435" i="1"/>
  <c r="J3435" i="1"/>
  <c r="M3434" i="1"/>
  <c r="L3434" i="1"/>
  <c r="K3434" i="1"/>
  <c r="J3434" i="1"/>
  <c r="M3433" i="1"/>
  <c r="L3433" i="1"/>
  <c r="K3433" i="1"/>
  <c r="J3433" i="1"/>
  <c r="M3432" i="1"/>
  <c r="L3432" i="1"/>
  <c r="K3432" i="1"/>
  <c r="J3432" i="1"/>
  <c r="M3431" i="1"/>
  <c r="L3431" i="1"/>
  <c r="K3431" i="1"/>
  <c r="J3431" i="1"/>
  <c r="M3430" i="1"/>
  <c r="L3430" i="1"/>
  <c r="K3430" i="1"/>
  <c r="J3430" i="1"/>
  <c r="M3429" i="1"/>
  <c r="L3429" i="1"/>
  <c r="K3429" i="1"/>
  <c r="J3429" i="1"/>
  <c r="M3428" i="1"/>
  <c r="L3428" i="1"/>
  <c r="K3428" i="1"/>
  <c r="J3428" i="1"/>
  <c r="M3427" i="1"/>
  <c r="L3427" i="1"/>
  <c r="K3427" i="1"/>
  <c r="J3427" i="1"/>
  <c r="M3426" i="1"/>
  <c r="L3426" i="1"/>
  <c r="K3426" i="1"/>
  <c r="J3426" i="1"/>
  <c r="M3425" i="1"/>
  <c r="L3425" i="1"/>
  <c r="K3425" i="1"/>
  <c r="J3425" i="1"/>
  <c r="M3424" i="1"/>
  <c r="L3424" i="1"/>
  <c r="K3424" i="1"/>
  <c r="J3424" i="1"/>
  <c r="M3423" i="1"/>
  <c r="L3423" i="1"/>
  <c r="K3423" i="1"/>
  <c r="J3423" i="1"/>
  <c r="M3422" i="1"/>
  <c r="L3422" i="1"/>
  <c r="K3422" i="1"/>
  <c r="J3422" i="1"/>
  <c r="M3421" i="1"/>
  <c r="L3421" i="1"/>
  <c r="K3421" i="1"/>
  <c r="J3421" i="1"/>
  <c r="M3420" i="1"/>
  <c r="L3420" i="1"/>
  <c r="K3420" i="1"/>
  <c r="J3420" i="1"/>
  <c r="M3419" i="1"/>
  <c r="L3419" i="1"/>
  <c r="K3419" i="1"/>
  <c r="J3419" i="1"/>
  <c r="M3418" i="1"/>
  <c r="L3418" i="1"/>
  <c r="K3418" i="1"/>
  <c r="J3418" i="1"/>
  <c r="M3417" i="1"/>
  <c r="L3417" i="1"/>
  <c r="K3417" i="1"/>
  <c r="J3417" i="1"/>
  <c r="M3416" i="1"/>
  <c r="L3416" i="1"/>
  <c r="K3416" i="1"/>
  <c r="J3416" i="1"/>
  <c r="M3415" i="1"/>
  <c r="L3415" i="1"/>
  <c r="K3415" i="1"/>
  <c r="J3415" i="1"/>
  <c r="M3414" i="1"/>
  <c r="L3414" i="1"/>
  <c r="K3414" i="1"/>
  <c r="J3414" i="1"/>
  <c r="M3413" i="1"/>
  <c r="L3413" i="1"/>
  <c r="K3413" i="1"/>
  <c r="J3413" i="1"/>
  <c r="M3412" i="1"/>
  <c r="L3412" i="1"/>
  <c r="K3412" i="1"/>
  <c r="J3412" i="1"/>
  <c r="M3411" i="1"/>
  <c r="L3411" i="1"/>
  <c r="K3411" i="1"/>
  <c r="J3411" i="1"/>
  <c r="M3410" i="1"/>
  <c r="L3410" i="1"/>
  <c r="K3410" i="1"/>
  <c r="J3410" i="1"/>
  <c r="M3409" i="1"/>
  <c r="L3409" i="1"/>
  <c r="K3409" i="1"/>
  <c r="J3409" i="1"/>
  <c r="M3408" i="1"/>
  <c r="L3408" i="1"/>
  <c r="K3408" i="1"/>
  <c r="J3408" i="1"/>
  <c r="M3407" i="1"/>
  <c r="L3407" i="1"/>
  <c r="K3407" i="1"/>
  <c r="J3407" i="1"/>
  <c r="M3406" i="1"/>
  <c r="L3406" i="1"/>
  <c r="K3406" i="1"/>
  <c r="J3406" i="1"/>
  <c r="M3405" i="1"/>
  <c r="L3405" i="1"/>
  <c r="K3405" i="1"/>
  <c r="J3405" i="1"/>
  <c r="M3404" i="1"/>
  <c r="L3404" i="1"/>
  <c r="K3404" i="1"/>
  <c r="J3404" i="1"/>
  <c r="M3403" i="1"/>
  <c r="L3403" i="1"/>
  <c r="K3403" i="1"/>
  <c r="J3403" i="1"/>
  <c r="M3402" i="1"/>
  <c r="L3402" i="1"/>
  <c r="K3402" i="1"/>
  <c r="J3402" i="1"/>
  <c r="M3401" i="1"/>
  <c r="L3401" i="1"/>
  <c r="K3401" i="1"/>
  <c r="J3401" i="1"/>
  <c r="M3400" i="1"/>
  <c r="L3400" i="1"/>
  <c r="K3400" i="1"/>
  <c r="J3400" i="1"/>
  <c r="M3399" i="1"/>
  <c r="L3399" i="1"/>
  <c r="K3399" i="1"/>
  <c r="J3399" i="1"/>
  <c r="M3398" i="1"/>
  <c r="L3398" i="1"/>
  <c r="K3398" i="1"/>
  <c r="J3398" i="1"/>
  <c r="M3397" i="1"/>
  <c r="L3397" i="1"/>
  <c r="K3397" i="1"/>
  <c r="J3397" i="1"/>
  <c r="M3396" i="1"/>
  <c r="L3396" i="1"/>
  <c r="K3396" i="1"/>
  <c r="J3396" i="1"/>
  <c r="M3395" i="1"/>
  <c r="L3395" i="1"/>
  <c r="K3395" i="1"/>
  <c r="J3395" i="1"/>
  <c r="M3394" i="1"/>
  <c r="L3394" i="1"/>
  <c r="K3394" i="1"/>
  <c r="J3394" i="1"/>
  <c r="M3393" i="1"/>
  <c r="L3393" i="1"/>
  <c r="K3393" i="1"/>
  <c r="J3393" i="1"/>
  <c r="M3392" i="1"/>
  <c r="L3392" i="1"/>
  <c r="K3392" i="1"/>
  <c r="J3392" i="1"/>
  <c r="M3391" i="1"/>
  <c r="L3391" i="1"/>
  <c r="K3391" i="1"/>
  <c r="J3391" i="1"/>
  <c r="M3390" i="1"/>
  <c r="L3390" i="1"/>
  <c r="K3390" i="1"/>
  <c r="J3390" i="1"/>
  <c r="M3389" i="1"/>
  <c r="L3389" i="1"/>
  <c r="K3389" i="1"/>
  <c r="J3389" i="1"/>
  <c r="M3388" i="1"/>
  <c r="L3388" i="1"/>
  <c r="K3388" i="1"/>
  <c r="J3388" i="1"/>
  <c r="M3387" i="1"/>
  <c r="L3387" i="1"/>
  <c r="K3387" i="1"/>
  <c r="J3387" i="1"/>
  <c r="M3386" i="1"/>
  <c r="L3386" i="1"/>
  <c r="K3386" i="1"/>
  <c r="J3386" i="1"/>
  <c r="M3385" i="1"/>
  <c r="L3385" i="1"/>
  <c r="K3385" i="1"/>
  <c r="J3385" i="1"/>
  <c r="M3384" i="1"/>
  <c r="L3384" i="1"/>
  <c r="K3384" i="1"/>
  <c r="J3384" i="1"/>
  <c r="M3383" i="1"/>
  <c r="L3383" i="1"/>
  <c r="K3383" i="1"/>
  <c r="J3383" i="1"/>
  <c r="M3382" i="1"/>
  <c r="L3382" i="1"/>
  <c r="K3382" i="1"/>
  <c r="J3382" i="1"/>
  <c r="M3381" i="1"/>
  <c r="L3381" i="1"/>
  <c r="K3381" i="1"/>
  <c r="J3381" i="1"/>
  <c r="M3380" i="1"/>
  <c r="L3380" i="1"/>
  <c r="K3380" i="1"/>
  <c r="J3380" i="1"/>
  <c r="M3379" i="1"/>
  <c r="L3379" i="1"/>
  <c r="K3379" i="1"/>
  <c r="J3379" i="1"/>
  <c r="M3378" i="1"/>
  <c r="L3378" i="1"/>
  <c r="K3378" i="1"/>
  <c r="J3378" i="1"/>
  <c r="M3377" i="1"/>
  <c r="L3377" i="1"/>
  <c r="K3377" i="1"/>
  <c r="J3377" i="1"/>
  <c r="M3376" i="1"/>
  <c r="L3376" i="1"/>
  <c r="K3376" i="1"/>
  <c r="J3376" i="1"/>
  <c r="M3375" i="1"/>
  <c r="L3375" i="1"/>
  <c r="K3375" i="1"/>
  <c r="J3375" i="1"/>
  <c r="M3374" i="1"/>
  <c r="L3374" i="1"/>
  <c r="K3374" i="1"/>
  <c r="J3374" i="1"/>
  <c r="M3373" i="1"/>
  <c r="L3373" i="1"/>
  <c r="K3373" i="1"/>
  <c r="J3373" i="1"/>
  <c r="M3372" i="1"/>
  <c r="L3372" i="1"/>
  <c r="K3372" i="1"/>
  <c r="J3372" i="1"/>
  <c r="M3371" i="1"/>
  <c r="L3371" i="1"/>
  <c r="K3371" i="1"/>
  <c r="J3371" i="1"/>
  <c r="M3370" i="1"/>
  <c r="L3370" i="1"/>
  <c r="K3370" i="1"/>
  <c r="J3370" i="1"/>
  <c r="M3369" i="1"/>
  <c r="L3369" i="1"/>
  <c r="K3369" i="1"/>
  <c r="J3369" i="1"/>
  <c r="M3368" i="1"/>
  <c r="L3368" i="1"/>
  <c r="K3368" i="1"/>
  <c r="J3368" i="1"/>
  <c r="M3367" i="1"/>
  <c r="L3367" i="1"/>
  <c r="K3367" i="1"/>
  <c r="J3367" i="1"/>
  <c r="M3366" i="1"/>
  <c r="L3366" i="1"/>
  <c r="K3366" i="1"/>
  <c r="J3366" i="1"/>
  <c r="M3365" i="1"/>
  <c r="L3365" i="1"/>
  <c r="K3365" i="1"/>
  <c r="J3365" i="1"/>
  <c r="M3364" i="1"/>
  <c r="L3364" i="1"/>
  <c r="K3364" i="1"/>
  <c r="J3364" i="1"/>
  <c r="M3363" i="1"/>
  <c r="L3363" i="1"/>
  <c r="K3363" i="1"/>
  <c r="J3363" i="1"/>
  <c r="M3362" i="1"/>
  <c r="L3362" i="1"/>
  <c r="K3362" i="1"/>
  <c r="J3362" i="1"/>
  <c r="M3361" i="1"/>
  <c r="L3361" i="1"/>
  <c r="K3361" i="1"/>
  <c r="J3361" i="1"/>
  <c r="M3360" i="1"/>
  <c r="L3360" i="1"/>
  <c r="K3360" i="1"/>
  <c r="J3360" i="1"/>
  <c r="M3359" i="1"/>
  <c r="L3359" i="1"/>
  <c r="K3359" i="1"/>
  <c r="J3359" i="1"/>
  <c r="M3358" i="1"/>
  <c r="L3358" i="1"/>
  <c r="K3358" i="1"/>
  <c r="J3358" i="1"/>
  <c r="M3357" i="1"/>
  <c r="L3357" i="1"/>
  <c r="K3357" i="1"/>
  <c r="J3357" i="1"/>
  <c r="M3356" i="1"/>
  <c r="L3356" i="1"/>
  <c r="K3356" i="1"/>
  <c r="J3356" i="1"/>
  <c r="M3355" i="1"/>
  <c r="L3355" i="1"/>
  <c r="K3355" i="1"/>
  <c r="J3355" i="1"/>
  <c r="M3354" i="1"/>
  <c r="L3354" i="1"/>
  <c r="K3354" i="1"/>
  <c r="J3354" i="1"/>
  <c r="M3353" i="1"/>
  <c r="L3353" i="1"/>
  <c r="K3353" i="1"/>
  <c r="J3353" i="1"/>
  <c r="M3352" i="1"/>
  <c r="L3352" i="1"/>
  <c r="K3352" i="1"/>
  <c r="J3352" i="1"/>
  <c r="M3351" i="1"/>
  <c r="L3351" i="1"/>
  <c r="K3351" i="1"/>
  <c r="J3351" i="1"/>
  <c r="M3350" i="1"/>
  <c r="L3350" i="1"/>
  <c r="K3350" i="1"/>
  <c r="J3350" i="1"/>
  <c r="M3349" i="1"/>
  <c r="L3349" i="1"/>
  <c r="K3349" i="1"/>
  <c r="J3349" i="1"/>
  <c r="M3348" i="1"/>
  <c r="L3348" i="1"/>
  <c r="K3348" i="1"/>
  <c r="J3348" i="1"/>
  <c r="M3347" i="1"/>
  <c r="L3347" i="1"/>
  <c r="K3347" i="1"/>
  <c r="J3347" i="1"/>
  <c r="M3346" i="1"/>
  <c r="L3346" i="1"/>
  <c r="K3346" i="1"/>
  <c r="J3346" i="1"/>
  <c r="M3345" i="1"/>
  <c r="L3345" i="1"/>
  <c r="K3345" i="1"/>
  <c r="J3345" i="1"/>
  <c r="M3344" i="1"/>
  <c r="L3344" i="1"/>
  <c r="K3344" i="1"/>
  <c r="J3344" i="1"/>
  <c r="M3343" i="1"/>
  <c r="L3343" i="1"/>
  <c r="K3343" i="1"/>
  <c r="J3343" i="1"/>
  <c r="M3342" i="1"/>
  <c r="L3342" i="1"/>
  <c r="K3342" i="1"/>
  <c r="J3342" i="1"/>
  <c r="M3341" i="1"/>
  <c r="L3341" i="1"/>
  <c r="K3341" i="1"/>
  <c r="J3341" i="1"/>
  <c r="M3340" i="1"/>
  <c r="L3340" i="1"/>
  <c r="K3340" i="1"/>
  <c r="J3340" i="1"/>
  <c r="M3339" i="1"/>
  <c r="L3339" i="1"/>
  <c r="K3339" i="1"/>
  <c r="J3339" i="1"/>
  <c r="M3338" i="1"/>
  <c r="L3338" i="1"/>
  <c r="K3338" i="1"/>
  <c r="J3338" i="1"/>
  <c r="M3337" i="1"/>
  <c r="L3337" i="1"/>
  <c r="K3337" i="1"/>
  <c r="J3337" i="1"/>
  <c r="M3336" i="1"/>
  <c r="L3336" i="1"/>
  <c r="K3336" i="1"/>
  <c r="J3336" i="1"/>
  <c r="M3335" i="1"/>
  <c r="L3335" i="1"/>
  <c r="K3335" i="1"/>
  <c r="J3335" i="1"/>
  <c r="M3334" i="1"/>
  <c r="L3334" i="1"/>
  <c r="K3334" i="1"/>
  <c r="J3334" i="1"/>
  <c r="M3333" i="1"/>
  <c r="L3333" i="1"/>
  <c r="K3333" i="1"/>
  <c r="J3333" i="1"/>
  <c r="M3332" i="1"/>
  <c r="L3332" i="1"/>
  <c r="K3332" i="1"/>
  <c r="J3332" i="1"/>
  <c r="M3331" i="1"/>
  <c r="L3331" i="1"/>
  <c r="K3331" i="1"/>
  <c r="J3331" i="1"/>
  <c r="M3330" i="1"/>
  <c r="L3330" i="1"/>
  <c r="K3330" i="1"/>
  <c r="J3330" i="1"/>
  <c r="M3329" i="1"/>
  <c r="L3329" i="1"/>
  <c r="K3329" i="1"/>
  <c r="J3329" i="1"/>
  <c r="M3328" i="1"/>
  <c r="L3328" i="1"/>
  <c r="K3328" i="1"/>
  <c r="J3328" i="1"/>
  <c r="M3327" i="1"/>
  <c r="L3327" i="1"/>
  <c r="K3327" i="1"/>
  <c r="J3327" i="1"/>
  <c r="M3326" i="1"/>
  <c r="L3326" i="1"/>
  <c r="K3326" i="1"/>
  <c r="J3326" i="1"/>
  <c r="M3325" i="1"/>
  <c r="L3325" i="1"/>
  <c r="K3325" i="1"/>
  <c r="J3325" i="1"/>
  <c r="M3324" i="1"/>
  <c r="L3324" i="1"/>
  <c r="K3324" i="1"/>
  <c r="J3324" i="1"/>
  <c r="M3323" i="1"/>
  <c r="L3323" i="1"/>
  <c r="K3323" i="1"/>
  <c r="J3323" i="1"/>
  <c r="M3322" i="1"/>
  <c r="L3322" i="1"/>
  <c r="K3322" i="1"/>
  <c r="J3322" i="1"/>
  <c r="M3321" i="1"/>
  <c r="L3321" i="1"/>
  <c r="K3321" i="1"/>
  <c r="J3321" i="1"/>
  <c r="M3320" i="1"/>
  <c r="L3320" i="1"/>
  <c r="K3320" i="1"/>
  <c r="J3320" i="1"/>
  <c r="M3319" i="1"/>
  <c r="L3319" i="1"/>
  <c r="K3319" i="1"/>
  <c r="J3319" i="1"/>
  <c r="M3318" i="1"/>
  <c r="L3318" i="1"/>
  <c r="K3318" i="1"/>
  <c r="J3318" i="1"/>
  <c r="M3317" i="1"/>
  <c r="L3317" i="1"/>
  <c r="K3317" i="1"/>
  <c r="J3317" i="1"/>
  <c r="M3316" i="1"/>
  <c r="L3316" i="1"/>
  <c r="K3316" i="1"/>
  <c r="J3316" i="1"/>
  <c r="M3315" i="1"/>
  <c r="L3315" i="1"/>
  <c r="K3315" i="1"/>
  <c r="J3315" i="1"/>
  <c r="M3314" i="1"/>
  <c r="L3314" i="1"/>
  <c r="K3314" i="1"/>
  <c r="J3314" i="1"/>
  <c r="M3313" i="1"/>
  <c r="L3313" i="1"/>
  <c r="K3313" i="1"/>
  <c r="J3313" i="1"/>
  <c r="M3312" i="1"/>
  <c r="L3312" i="1"/>
  <c r="K3312" i="1"/>
  <c r="J3312" i="1"/>
  <c r="M3311" i="1"/>
  <c r="L3311" i="1"/>
  <c r="K3311" i="1"/>
  <c r="J3311" i="1"/>
  <c r="M3310" i="1"/>
  <c r="L3310" i="1"/>
  <c r="K3310" i="1"/>
  <c r="J3310" i="1"/>
  <c r="M3309" i="1"/>
  <c r="L3309" i="1"/>
  <c r="K3309" i="1"/>
  <c r="J3309" i="1"/>
  <c r="M3308" i="1"/>
  <c r="L3308" i="1"/>
  <c r="K3308" i="1"/>
  <c r="J3308" i="1"/>
  <c r="M3307" i="1"/>
  <c r="L3307" i="1"/>
  <c r="K3307" i="1"/>
  <c r="J3307" i="1"/>
  <c r="M3306" i="1"/>
  <c r="L3306" i="1"/>
  <c r="K3306" i="1"/>
  <c r="J3306" i="1"/>
  <c r="M3305" i="1"/>
  <c r="L3305" i="1"/>
  <c r="K3305" i="1"/>
  <c r="J3305" i="1"/>
  <c r="M3304" i="1"/>
  <c r="L3304" i="1"/>
  <c r="K3304" i="1"/>
  <c r="J3304" i="1"/>
  <c r="M3303" i="1"/>
  <c r="L3303" i="1"/>
  <c r="K3303" i="1"/>
  <c r="J3303" i="1"/>
  <c r="M3302" i="1"/>
  <c r="L3302" i="1"/>
  <c r="K3302" i="1"/>
  <c r="J3302" i="1"/>
  <c r="M3301" i="1"/>
  <c r="L3301" i="1"/>
  <c r="K3301" i="1"/>
  <c r="J3301" i="1"/>
  <c r="M3300" i="1"/>
  <c r="L3300" i="1"/>
  <c r="K3300" i="1"/>
  <c r="J3300" i="1"/>
  <c r="M3299" i="1"/>
  <c r="L3299" i="1"/>
  <c r="K3299" i="1"/>
  <c r="J3299" i="1"/>
  <c r="M3298" i="1"/>
  <c r="L3298" i="1"/>
  <c r="K3298" i="1"/>
  <c r="J3298" i="1"/>
  <c r="M3297" i="1"/>
  <c r="L3297" i="1"/>
  <c r="K3297" i="1"/>
  <c r="J3297" i="1"/>
  <c r="M3296" i="1"/>
  <c r="L3296" i="1"/>
  <c r="K3296" i="1"/>
  <c r="J3296" i="1"/>
  <c r="M3295" i="1"/>
  <c r="L3295" i="1"/>
  <c r="K3295" i="1"/>
  <c r="J3295" i="1"/>
  <c r="M3294" i="1"/>
  <c r="L3294" i="1"/>
  <c r="K3294" i="1"/>
  <c r="J3294" i="1"/>
  <c r="M3293" i="1"/>
  <c r="L3293" i="1"/>
  <c r="K3293" i="1"/>
  <c r="J3293" i="1"/>
  <c r="M3292" i="1"/>
  <c r="L3292" i="1"/>
  <c r="K3292" i="1"/>
  <c r="J3292" i="1"/>
  <c r="M3291" i="1"/>
  <c r="L3291" i="1"/>
  <c r="K3291" i="1"/>
  <c r="J3291" i="1"/>
  <c r="M3290" i="1"/>
  <c r="L3290" i="1"/>
  <c r="K3290" i="1"/>
  <c r="J3290" i="1"/>
  <c r="M3289" i="1"/>
  <c r="L3289" i="1"/>
  <c r="K3289" i="1"/>
  <c r="J3289" i="1"/>
  <c r="M3288" i="1"/>
  <c r="L3288" i="1"/>
  <c r="K3288" i="1"/>
  <c r="J3288" i="1"/>
  <c r="M3287" i="1"/>
  <c r="L3287" i="1"/>
  <c r="K3287" i="1"/>
  <c r="J3287" i="1"/>
  <c r="M3286" i="1"/>
  <c r="L3286" i="1"/>
  <c r="K3286" i="1"/>
  <c r="J3286" i="1"/>
  <c r="M3285" i="1"/>
  <c r="L3285" i="1"/>
  <c r="K3285" i="1"/>
  <c r="J3285" i="1"/>
  <c r="M3284" i="1"/>
  <c r="L3284" i="1"/>
  <c r="K3284" i="1"/>
  <c r="J3284" i="1"/>
  <c r="M3283" i="1"/>
  <c r="L3283" i="1"/>
  <c r="K3283" i="1"/>
  <c r="J3283" i="1"/>
  <c r="M3282" i="1"/>
  <c r="L3282" i="1"/>
  <c r="K3282" i="1"/>
  <c r="J3282" i="1"/>
  <c r="M3281" i="1"/>
  <c r="L3281" i="1"/>
  <c r="K3281" i="1"/>
  <c r="J3281" i="1"/>
  <c r="M3280" i="1"/>
  <c r="L3280" i="1"/>
  <c r="K3280" i="1"/>
  <c r="J3280" i="1"/>
  <c r="M3279" i="1"/>
  <c r="L3279" i="1"/>
  <c r="K3279" i="1"/>
  <c r="J3279" i="1"/>
  <c r="M3278" i="1"/>
  <c r="L3278" i="1"/>
  <c r="K3278" i="1"/>
  <c r="J3278" i="1"/>
  <c r="M3277" i="1"/>
  <c r="L3277" i="1"/>
  <c r="K3277" i="1"/>
  <c r="J3277" i="1"/>
  <c r="M3276" i="1"/>
  <c r="L3276" i="1"/>
  <c r="K3276" i="1"/>
  <c r="J3276" i="1"/>
  <c r="M3275" i="1"/>
  <c r="L3275" i="1"/>
  <c r="K3275" i="1"/>
  <c r="J3275" i="1"/>
  <c r="M3274" i="1"/>
  <c r="L3274" i="1"/>
  <c r="K3274" i="1"/>
  <c r="J3274" i="1"/>
  <c r="M3273" i="1"/>
  <c r="L3273" i="1"/>
  <c r="K3273" i="1"/>
  <c r="J3273" i="1"/>
  <c r="M3272" i="1"/>
  <c r="L3272" i="1"/>
  <c r="K3272" i="1"/>
  <c r="J3272" i="1"/>
  <c r="M3271" i="1"/>
  <c r="L3271" i="1"/>
  <c r="K3271" i="1"/>
  <c r="J3271" i="1"/>
  <c r="M3270" i="1"/>
  <c r="L3270" i="1"/>
  <c r="K3270" i="1"/>
  <c r="J3270" i="1"/>
  <c r="M3269" i="1"/>
  <c r="L3269" i="1"/>
  <c r="K3269" i="1"/>
  <c r="J3269" i="1"/>
  <c r="M3268" i="1"/>
  <c r="L3268" i="1"/>
  <c r="K3268" i="1"/>
  <c r="J3268" i="1"/>
  <c r="M3267" i="1"/>
  <c r="L3267" i="1"/>
  <c r="U980" i="11" s="1"/>
  <c r="K3267" i="1"/>
  <c r="J3267" i="1"/>
  <c r="M3266" i="1"/>
  <c r="L3266" i="1"/>
  <c r="K3266" i="1"/>
  <c r="J3266" i="1"/>
  <c r="M3265" i="1"/>
  <c r="L3265" i="1"/>
  <c r="K3265" i="1"/>
  <c r="J3265" i="1"/>
  <c r="M3264" i="1"/>
  <c r="L3264" i="1"/>
  <c r="K3264" i="1"/>
  <c r="J3264" i="1"/>
  <c r="M3263" i="1"/>
  <c r="L3263" i="1"/>
  <c r="K3263" i="1"/>
  <c r="J3263" i="1"/>
  <c r="M3262" i="1"/>
  <c r="L3262" i="1"/>
  <c r="K3262" i="1"/>
  <c r="J3262" i="1"/>
  <c r="M3261" i="1"/>
  <c r="L3261" i="1"/>
  <c r="K3261" i="1"/>
  <c r="J3261" i="1"/>
  <c r="M3260" i="1"/>
  <c r="L3260" i="1"/>
  <c r="K3260" i="1"/>
  <c r="J3260" i="1"/>
  <c r="M3259" i="1"/>
  <c r="L3259" i="1"/>
  <c r="K3259" i="1"/>
  <c r="J3259" i="1"/>
  <c r="M3258" i="1"/>
  <c r="L3258" i="1"/>
  <c r="K3258" i="1"/>
  <c r="J3258" i="1"/>
  <c r="M3257" i="1"/>
  <c r="L3257" i="1"/>
  <c r="K3257" i="1"/>
  <c r="J3257" i="1"/>
  <c r="M3256" i="1"/>
  <c r="L3256" i="1"/>
  <c r="K3256" i="1"/>
  <c r="J3256" i="1"/>
  <c r="M3255" i="1"/>
  <c r="L3255" i="1"/>
  <c r="K3255" i="1"/>
  <c r="J3255" i="1"/>
  <c r="M3254" i="1"/>
  <c r="L3254" i="1"/>
  <c r="K3254" i="1"/>
  <c r="J3254" i="1"/>
  <c r="M3253" i="1"/>
  <c r="L3253" i="1"/>
  <c r="K3253" i="1"/>
  <c r="J3253" i="1"/>
  <c r="M3252" i="1"/>
  <c r="L3252" i="1"/>
  <c r="K3252" i="1"/>
  <c r="J3252" i="1"/>
  <c r="M3251" i="1"/>
  <c r="L3251" i="1"/>
  <c r="K3251" i="1"/>
  <c r="J3251" i="1"/>
  <c r="M3250" i="1"/>
  <c r="L3250" i="1"/>
  <c r="K3250" i="1"/>
  <c r="J3250" i="1"/>
  <c r="M3249" i="1"/>
  <c r="L3249" i="1"/>
  <c r="K3249" i="1"/>
  <c r="J3249" i="1"/>
  <c r="M3248" i="1"/>
  <c r="L3248" i="1"/>
  <c r="K3248" i="1"/>
  <c r="J3248" i="1"/>
  <c r="M3247" i="1"/>
  <c r="L3247" i="1"/>
  <c r="K3247" i="1"/>
  <c r="J3247" i="1"/>
  <c r="M3246" i="1"/>
  <c r="L3246" i="1"/>
  <c r="K3246" i="1"/>
  <c r="J3246" i="1"/>
  <c r="M3245" i="1"/>
  <c r="L3245" i="1"/>
  <c r="K3245" i="1"/>
  <c r="J3245" i="1"/>
  <c r="M3244" i="1"/>
  <c r="L3244" i="1"/>
  <c r="K3244" i="1"/>
  <c r="J3244" i="1"/>
  <c r="M3243" i="1"/>
  <c r="L3243" i="1"/>
  <c r="K3243" i="1"/>
  <c r="J3243" i="1"/>
  <c r="M3242" i="1"/>
  <c r="L3242" i="1"/>
  <c r="K3242" i="1"/>
  <c r="J3242" i="1"/>
  <c r="M3241" i="1"/>
  <c r="L3241" i="1"/>
  <c r="K3241" i="1"/>
  <c r="J3241" i="1"/>
  <c r="M3240" i="1"/>
  <c r="L3240" i="1"/>
  <c r="K3240" i="1"/>
  <c r="J3240" i="1"/>
  <c r="M3239" i="1"/>
  <c r="L3239" i="1"/>
  <c r="K3239" i="1"/>
  <c r="J3239" i="1"/>
  <c r="M3238" i="1"/>
  <c r="L3238" i="1"/>
  <c r="K3238" i="1"/>
  <c r="J3238" i="1"/>
  <c r="M3237" i="1"/>
  <c r="L3237" i="1"/>
  <c r="K3237" i="1"/>
  <c r="J3237" i="1"/>
  <c r="M3236" i="1"/>
  <c r="L3236" i="1"/>
  <c r="K3236" i="1"/>
  <c r="J3236" i="1"/>
  <c r="M3235" i="1"/>
  <c r="L3235" i="1"/>
  <c r="K3235" i="1"/>
  <c r="J3235" i="1"/>
  <c r="M3234" i="1"/>
  <c r="L3234" i="1"/>
  <c r="L970" i="11" s="1"/>
  <c r="K3234" i="1"/>
  <c r="J3234" i="1"/>
  <c r="M3233" i="1"/>
  <c r="L3233" i="1"/>
  <c r="K3233" i="1"/>
  <c r="J3233" i="1"/>
  <c r="M3232" i="1"/>
  <c r="L3232" i="1"/>
  <c r="K3232" i="1"/>
  <c r="J3232" i="1"/>
  <c r="M3231" i="1"/>
  <c r="L3231" i="1"/>
  <c r="K3231" i="1"/>
  <c r="J3231" i="1"/>
  <c r="M3230" i="1"/>
  <c r="L3230" i="1"/>
  <c r="K3230" i="1"/>
  <c r="J3230" i="1"/>
  <c r="M3229" i="1"/>
  <c r="L3229" i="1"/>
  <c r="K3229" i="1"/>
  <c r="J3229" i="1"/>
  <c r="M3228" i="1"/>
  <c r="L3228" i="1"/>
  <c r="K3228" i="1"/>
  <c r="J3228" i="1"/>
  <c r="M3227" i="1"/>
  <c r="L3227" i="1"/>
  <c r="K3227" i="1"/>
  <c r="J3227" i="1"/>
  <c r="M3226" i="1"/>
  <c r="L3226" i="1"/>
  <c r="K3226" i="1"/>
  <c r="J3226" i="1"/>
  <c r="M3225" i="1"/>
  <c r="L3225" i="1"/>
  <c r="K3225" i="1"/>
  <c r="J3225" i="1"/>
  <c r="M3224" i="1"/>
  <c r="L3224" i="1"/>
  <c r="K3224" i="1"/>
  <c r="J3224" i="1"/>
  <c r="M3223" i="1"/>
  <c r="L3223" i="1"/>
  <c r="K3223" i="1"/>
  <c r="J3223" i="1"/>
  <c r="M3222" i="1"/>
  <c r="L3222" i="1"/>
  <c r="K3222" i="1"/>
  <c r="J3222" i="1"/>
  <c r="M3221" i="1"/>
  <c r="L3221" i="1"/>
  <c r="K3221" i="1"/>
  <c r="J3221" i="1"/>
  <c r="M3220" i="1"/>
  <c r="L3220" i="1"/>
  <c r="K3220" i="1"/>
  <c r="J3220" i="1"/>
  <c r="M3219" i="1"/>
  <c r="L3219" i="1"/>
  <c r="K3219" i="1"/>
  <c r="J3219" i="1"/>
  <c r="M3218" i="1"/>
  <c r="L3218" i="1"/>
  <c r="K3218" i="1"/>
  <c r="J3218" i="1"/>
  <c r="M3217" i="1"/>
  <c r="L3217" i="1"/>
  <c r="K3217" i="1"/>
  <c r="J3217" i="1"/>
  <c r="M3216" i="1"/>
  <c r="L3216" i="1"/>
  <c r="K3216" i="1"/>
  <c r="J3216" i="1"/>
  <c r="M3215" i="1"/>
  <c r="L3215" i="1"/>
  <c r="K3215" i="1"/>
  <c r="J3215" i="1"/>
  <c r="M3214" i="1"/>
  <c r="L3214" i="1"/>
  <c r="K3214" i="1"/>
  <c r="J3214" i="1"/>
  <c r="M3213" i="1"/>
  <c r="L3213" i="1"/>
  <c r="K3213" i="1"/>
  <c r="J3213" i="1"/>
  <c r="M3212" i="1"/>
  <c r="L3212" i="1"/>
  <c r="K3212" i="1"/>
  <c r="J3212" i="1"/>
  <c r="M3211" i="1"/>
  <c r="L3211" i="1"/>
  <c r="K3211" i="1"/>
  <c r="J3211" i="1"/>
  <c r="M3210" i="1"/>
  <c r="L3210" i="1"/>
  <c r="K3210" i="1"/>
  <c r="J3210" i="1"/>
  <c r="M3209" i="1"/>
  <c r="L3209" i="1"/>
  <c r="K3209" i="1"/>
  <c r="J3209" i="1"/>
  <c r="M3208" i="1"/>
  <c r="L3208" i="1"/>
  <c r="K3208" i="1"/>
  <c r="J3208" i="1"/>
  <c r="M3207" i="1"/>
  <c r="L3207" i="1"/>
  <c r="K3207" i="1"/>
  <c r="J3207" i="1"/>
  <c r="M3206" i="1"/>
  <c r="L3206" i="1"/>
  <c r="K3206" i="1"/>
  <c r="J3206" i="1"/>
  <c r="M3205" i="1"/>
  <c r="L3205" i="1"/>
  <c r="K3205" i="1"/>
  <c r="J3205" i="1"/>
  <c r="M3204" i="1"/>
  <c r="L3204" i="1"/>
  <c r="K3204" i="1"/>
  <c r="J3204" i="1"/>
  <c r="M3203" i="1"/>
  <c r="L3203" i="1"/>
  <c r="K3203" i="1"/>
  <c r="J3203" i="1"/>
  <c r="M3202" i="1"/>
  <c r="L3202" i="1"/>
  <c r="K3202" i="1"/>
  <c r="J3202" i="1"/>
  <c r="M3201" i="1"/>
  <c r="L3201" i="1"/>
  <c r="K3201" i="1"/>
  <c r="J3201" i="1"/>
  <c r="M3200" i="1"/>
  <c r="L3200" i="1"/>
  <c r="K3200" i="1"/>
  <c r="J3200" i="1"/>
  <c r="M3199" i="1"/>
  <c r="L3199" i="1"/>
  <c r="K3199" i="1"/>
  <c r="J3199" i="1"/>
  <c r="M3198" i="1"/>
  <c r="L3198" i="1"/>
  <c r="K3198" i="1"/>
  <c r="J3198" i="1"/>
  <c r="M3197" i="1"/>
  <c r="L3197" i="1"/>
  <c r="K3197" i="1"/>
  <c r="J3197" i="1"/>
  <c r="M3196" i="1"/>
  <c r="L3196" i="1"/>
  <c r="K3196" i="1"/>
  <c r="J3196" i="1"/>
  <c r="M3195" i="1"/>
  <c r="L3195" i="1"/>
  <c r="M871" i="11" s="1"/>
  <c r="K3195" i="1"/>
  <c r="J3195" i="1"/>
  <c r="M3194" i="1"/>
  <c r="L3194" i="1"/>
  <c r="K3194" i="1"/>
  <c r="J3194" i="1"/>
  <c r="M3193" i="1"/>
  <c r="L3193" i="1"/>
  <c r="K3193" i="1"/>
  <c r="J3193" i="1"/>
  <c r="M3192" i="1"/>
  <c r="L3192" i="1"/>
  <c r="K3192" i="1"/>
  <c r="J3192" i="1"/>
  <c r="M3191" i="1"/>
  <c r="L3191" i="1"/>
  <c r="K3191" i="1"/>
  <c r="J3191" i="1"/>
  <c r="M3190" i="1"/>
  <c r="L3190" i="1"/>
  <c r="K3190" i="1"/>
  <c r="J3190" i="1"/>
  <c r="M3189" i="1"/>
  <c r="L3189" i="1"/>
  <c r="K3189" i="1"/>
  <c r="J3189" i="1"/>
  <c r="M3188" i="1"/>
  <c r="L3188" i="1"/>
  <c r="K3188" i="1"/>
  <c r="J3188" i="1"/>
  <c r="M3187" i="1"/>
  <c r="L3187" i="1"/>
  <c r="K3187" i="1"/>
  <c r="J3187" i="1"/>
  <c r="M3186" i="1"/>
  <c r="L3186" i="1"/>
  <c r="K3186" i="1"/>
  <c r="J3186" i="1"/>
  <c r="M3185" i="1"/>
  <c r="L3185" i="1"/>
  <c r="K3185" i="1"/>
  <c r="J3185" i="1"/>
  <c r="M3184" i="1"/>
  <c r="L3184" i="1"/>
  <c r="M38" i="11" s="1"/>
  <c r="K3184" i="1"/>
  <c r="J3184" i="1"/>
  <c r="M3183" i="1"/>
  <c r="L3183" i="1"/>
  <c r="K3183" i="1"/>
  <c r="J3183" i="1"/>
  <c r="M3182" i="1"/>
  <c r="L3182" i="1"/>
  <c r="K3182" i="1"/>
  <c r="J3182" i="1"/>
  <c r="M3181" i="1"/>
  <c r="L3181" i="1"/>
  <c r="K3181" i="1"/>
  <c r="J3181" i="1"/>
  <c r="M3180" i="1"/>
  <c r="L3180" i="1"/>
  <c r="K3180" i="1"/>
  <c r="J3180" i="1"/>
  <c r="M3179" i="1"/>
  <c r="L3179" i="1"/>
  <c r="K3179" i="1"/>
  <c r="J3179" i="1"/>
  <c r="U291" i="11" s="1"/>
  <c r="M3178" i="1"/>
  <c r="L3178" i="1"/>
  <c r="K3178" i="1"/>
  <c r="J3178" i="1"/>
  <c r="M3177" i="1"/>
  <c r="L3177" i="1"/>
  <c r="K3177" i="1"/>
  <c r="J3177" i="1"/>
  <c r="M3176" i="1"/>
  <c r="L3176" i="1"/>
  <c r="K3176" i="1"/>
  <c r="J3176" i="1"/>
  <c r="M3175" i="1"/>
  <c r="L3175" i="1"/>
  <c r="K3175" i="1"/>
  <c r="J3175" i="1"/>
  <c r="M3174" i="1"/>
  <c r="L3174" i="1"/>
  <c r="K3174" i="1"/>
  <c r="J3174" i="1"/>
  <c r="M3173" i="1"/>
  <c r="L3173" i="1"/>
  <c r="K3173" i="1"/>
  <c r="J3173" i="1"/>
  <c r="M3172" i="1"/>
  <c r="L3172" i="1"/>
  <c r="K3172" i="1"/>
  <c r="J3172" i="1"/>
  <c r="M3171" i="1"/>
  <c r="L3171" i="1"/>
  <c r="M92" i="11" s="1"/>
  <c r="K3171" i="1"/>
  <c r="J3171" i="1"/>
  <c r="M3170" i="1"/>
  <c r="L3170" i="1"/>
  <c r="K3170" i="1"/>
  <c r="J3170" i="1"/>
  <c r="M3169" i="1"/>
  <c r="L3169" i="1"/>
  <c r="K3169" i="1"/>
  <c r="J3169" i="1"/>
  <c r="M3168" i="1"/>
  <c r="L3168" i="1"/>
  <c r="K3168" i="1"/>
  <c r="J3168" i="1"/>
  <c r="M3167" i="1"/>
  <c r="L3167" i="1"/>
  <c r="K3167" i="1"/>
  <c r="J3167" i="1"/>
  <c r="M3166" i="1"/>
  <c r="L3166" i="1"/>
  <c r="K3166" i="1"/>
  <c r="J3166" i="1"/>
  <c r="M3165" i="1"/>
  <c r="L3165" i="1"/>
  <c r="K3165" i="1"/>
  <c r="J3165" i="1"/>
  <c r="M3164" i="1"/>
  <c r="L3164" i="1"/>
  <c r="K3164" i="1"/>
  <c r="J3164" i="1"/>
  <c r="M3163" i="1"/>
  <c r="L3163" i="1"/>
  <c r="K3163" i="1"/>
  <c r="J3163" i="1"/>
  <c r="M3162" i="1"/>
  <c r="L3162" i="1"/>
  <c r="K3162" i="1"/>
  <c r="J3162" i="1"/>
  <c r="M3161" i="1"/>
  <c r="L3161" i="1"/>
  <c r="K3161" i="1"/>
  <c r="J3161" i="1"/>
  <c r="M3160" i="1"/>
  <c r="L3160" i="1"/>
  <c r="K3160" i="1"/>
  <c r="J3160" i="1"/>
  <c r="M3159" i="1"/>
  <c r="L3159" i="1"/>
  <c r="K3159" i="1"/>
  <c r="J3159" i="1"/>
  <c r="M3158" i="1"/>
  <c r="L3158" i="1"/>
  <c r="K3158" i="1"/>
  <c r="J3158" i="1"/>
  <c r="M3157" i="1"/>
  <c r="L3157" i="1"/>
  <c r="K3157" i="1"/>
  <c r="J3157" i="1"/>
  <c r="M3156" i="1"/>
  <c r="L3156" i="1"/>
  <c r="K3156" i="1"/>
  <c r="J3156" i="1"/>
  <c r="M3155" i="1"/>
  <c r="L3155" i="1"/>
  <c r="K3155" i="1"/>
  <c r="J3155" i="1"/>
  <c r="M3154" i="1"/>
  <c r="L3154" i="1"/>
  <c r="K3154" i="1"/>
  <c r="J3154" i="1"/>
  <c r="M3153" i="1"/>
  <c r="L3153" i="1"/>
  <c r="K3153" i="1"/>
  <c r="J3153" i="1"/>
  <c r="M3152" i="1"/>
  <c r="L3152" i="1"/>
  <c r="K3152" i="1"/>
  <c r="J3152" i="1"/>
  <c r="M3151" i="1"/>
  <c r="L3151" i="1"/>
  <c r="K3151" i="1"/>
  <c r="J3151" i="1"/>
  <c r="M3150" i="1"/>
  <c r="L3150" i="1"/>
  <c r="K3150" i="1"/>
  <c r="J3150" i="1"/>
  <c r="M3149" i="1"/>
  <c r="L3149" i="1"/>
  <c r="K3149" i="1"/>
  <c r="J3149" i="1"/>
  <c r="M3148" i="1"/>
  <c r="L3148" i="1"/>
  <c r="K3148" i="1"/>
  <c r="J3148" i="1"/>
  <c r="M3147" i="1"/>
  <c r="L3147" i="1"/>
  <c r="K3147" i="1"/>
  <c r="J3147" i="1"/>
  <c r="M3146" i="1"/>
  <c r="L3146" i="1"/>
  <c r="K3146" i="1"/>
  <c r="J3146" i="1"/>
  <c r="M3145" i="1"/>
  <c r="L3145" i="1"/>
  <c r="P645" i="11" s="1"/>
  <c r="K3145" i="1"/>
  <c r="J3145" i="1"/>
  <c r="M3144" i="1"/>
  <c r="L3144" i="1"/>
  <c r="K3144" i="1"/>
  <c r="J3144" i="1"/>
  <c r="M3143" i="1"/>
  <c r="L3143" i="1"/>
  <c r="K3143" i="1"/>
  <c r="J3143" i="1"/>
  <c r="M3142" i="1"/>
  <c r="L3142" i="1"/>
  <c r="K3142" i="1"/>
  <c r="J3142" i="1"/>
  <c r="M3141" i="1"/>
  <c r="L3141" i="1"/>
  <c r="K3141" i="1"/>
  <c r="J3141" i="1"/>
  <c r="M3140" i="1"/>
  <c r="L3140" i="1"/>
  <c r="K3140" i="1"/>
  <c r="J3140" i="1"/>
  <c r="M3139" i="1"/>
  <c r="L3139" i="1"/>
  <c r="K3139" i="1"/>
  <c r="J3139" i="1"/>
  <c r="M3138" i="1"/>
  <c r="L3138" i="1"/>
  <c r="K3138" i="1"/>
  <c r="J3138" i="1"/>
  <c r="M3137" i="1"/>
  <c r="L3137" i="1"/>
  <c r="K3137" i="1"/>
  <c r="J3137" i="1"/>
  <c r="M3136" i="1"/>
  <c r="L3136" i="1"/>
  <c r="K3136" i="1"/>
  <c r="J3136" i="1"/>
  <c r="M3135" i="1"/>
  <c r="L3135" i="1"/>
  <c r="K3135" i="1"/>
  <c r="J3135" i="1"/>
  <c r="M3134" i="1"/>
  <c r="L3134" i="1"/>
  <c r="K3134" i="1"/>
  <c r="J3134" i="1"/>
  <c r="M3133" i="1"/>
  <c r="L3133" i="1"/>
  <c r="K3133" i="1"/>
  <c r="J3133" i="1"/>
  <c r="M3132" i="1"/>
  <c r="L3132" i="1"/>
  <c r="K3132" i="1"/>
  <c r="J3132" i="1"/>
  <c r="M3131" i="1"/>
  <c r="L3131" i="1"/>
  <c r="K3131" i="1"/>
  <c r="J3131" i="1"/>
  <c r="M3130" i="1"/>
  <c r="L3130" i="1"/>
  <c r="K3130" i="1"/>
  <c r="J3130" i="1"/>
  <c r="M3129" i="1"/>
  <c r="L3129" i="1"/>
  <c r="K3129" i="1"/>
  <c r="J3129" i="1"/>
  <c r="M3128" i="1"/>
  <c r="L3128" i="1"/>
  <c r="K3128" i="1"/>
  <c r="J3128" i="1"/>
  <c r="M3127" i="1"/>
  <c r="L3127" i="1"/>
  <c r="K3127" i="1"/>
  <c r="J3127" i="1"/>
  <c r="M3126" i="1"/>
  <c r="L3126" i="1"/>
  <c r="K3126" i="1"/>
  <c r="J3126" i="1"/>
  <c r="M3125" i="1"/>
  <c r="L3125" i="1"/>
  <c r="K3125" i="1"/>
  <c r="J3125" i="1"/>
  <c r="M3124" i="1"/>
  <c r="L3124" i="1"/>
  <c r="K3124" i="1"/>
  <c r="J3124" i="1"/>
  <c r="M3123" i="1"/>
  <c r="L3123" i="1"/>
  <c r="K3123" i="1"/>
  <c r="J3123" i="1"/>
  <c r="M3122" i="1"/>
  <c r="L3122" i="1"/>
  <c r="K3122" i="1"/>
  <c r="J3122" i="1"/>
  <c r="M3121" i="1"/>
  <c r="L3121" i="1"/>
  <c r="K3121" i="1"/>
  <c r="J3121" i="1"/>
  <c r="M3120" i="1"/>
  <c r="L3120" i="1"/>
  <c r="K3120" i="1"/>
  <c r="J3120" i="1"/>
  <c r="M3119" i="1"/>
  <c r="L3119" i="1"/>
  <c r="K3119" i="1"/>
  <c r="J3119" i="1"/>
  <c r="V102" i="11" s="1"/>
  <c r="M3118" i="1"/>
  <c r="L3118" i="1"/>
  <c r="K3118" i="1"/>
  <c r="J3118" i="1"/>
  <c r="M3117" i="1"/>
  <c r="L3117" i="1"/>
  <c r="K3117" i="1"/>
  <c r="J3117" i="1"/>
  <c r="M3116" i="1"/>
  <c r="L3116" i="1"/>
  <c r="K3116" i="1"/>
  <c r="J3116" i="1"/>
  <c r="M3115" i="1"/>
  <c r="L3115" i="1"/>
  <c r="K3115" i="1"/>
  <c r="J3115" i="1"/>
  <c r="M3114" i="1"/>
  <c r="L3114" i="1"/>
  <c r="K3114" i="1"/>
  <c r="J3114" i="1"/>
  <c r="M3113" i="1"/>
  <c r="L3113" i="1"/>
  <c r="K3113" i="1"/>
  <c r="J3113" i="1"/>
  <c r="M3112" i="1"/>
  <c r="L3112" i="1"/>
  <c r="K3112" i="1"/>
  <c r="J3112" i="1"/>
  <c r="M3111" i="1"/>
  <c r="L3111" i="1"/>
  <c r="K3111" i="1"/>
  <c r="J3111" i="1"/>
  <c r="M3110" i="1"/>
  <c r="L3110" i="1"/>
  <c r="K3110" i="1"/>
  <c r="J3110" i="1"/>
  <c r="M3109" i="1"/>
  <c r="L3109" i="1"/>
  <c r="K3109" i="1"/>
  <c r="J3109" i="1"/>
  <c r="M3108" i="1"/>
  <c r="L3108" i="1"/>
  <c r="K3108" i="1"/>
  <c r="J3108" i="1"/>
  <c r="M3107" i="1"/>
  <c r="L3107" i="1"/>
  <c r="K3107" i="1"/>
  <c r="J3107" i="1"/>
  <c r="M3106" i="1"/>
  <c r="L3106" i="1"/>
  <c r="K3106" i="1"/>
  <c r="J3106" i="1"/>
  <c r="M3105" i="1"/>
  <c r="L3105" i="1"/>
  <c r="K3105" i="1"/>
  <c r="J3105" i="1"/>
  <c r="M3104" i="1"/>
  <c r="L3104" i="1"/>
  <c r="K3104" i="1"/>
  <c r="J3104" i="1"/>
  <c r="M3103" i="1"/>
  <c r="L3103" i="1"/>
  <c r="K3103" i="1"/>
  <c r="J3103" i="1"/>
  <c r="M3102" i="1"/>
  <c r="L3102" i="1"/>
  <c r="K3102" i="1"/>
  <c r="J3102" i="1"/>
  <c r="M3101" i="1"/>
  <c r="L3101" i="1"/>
  <c r="K3101" i="1"/>
  <c r="J3101" i="1"/>
  <c r="M3100" i="1"/>
  <c r="L3100" i="1"/>
  <c r="K3100" i="1"/>
  <c r="J3100" i="1"/>
  <c r="M3099" i="1"/>
  <c r="L3099" i="1"/>
  <c r="K3099" i="1"/>
  <c r="J3099" i="1"/>
  <c r="M3098" i="1"/>
  <c r="L3098" i="1"/>
  <c r="K3098" i="1"/>
  <c r="J3098" i="1"/>
  <c r="M3097" i="1"/>
  <c r="L3097" i="1"/>
  <c r="K3097" i="1"/>
  <c r="J3097" i="1"/>
  <c r="M3096" i="1"/>
  <c r="L3096" i="1"/>
  <c r="K3096" i="1"/>
  <c r="J3096" i="1"/>
  <c r="T227" i="11" l="1"/>
  <c r="Q379" i="11"/>
  <c r="L30" i="11"/>
  <c r="P130" i="11"/>
  <c r="K936" i="11"/>
  <c r="T131" i="11"/>
  <c r="P35" i="11"/>
  <c r="L36" i="11"/>
  <c r="T77" i="11"/>
  <c r="T858" i="11"/>
  <c r="O291" i="11"/>
  <c r="R374" i="11"/>
  <c r="Q393" i="11"/>
  <c r="L1005" i="11"/>
  <c r="L937" i="11"/>
  <c r="P944" i="11"/>
  <c r="M464" i="11"/>
  <c r="K737" i="11"/>
  <c r="O839" i="11"/>
  <c r="P855" i="11"/>
  <c r="U979" i="11"/>
  <c r="V114" i="11"/>
  <c r="V839" i="11"/>
  <c r="T737" i="11"/>
  <c r="R855" i="11"/>
  <c r="N979" i="11"/>
  <c r="U975" i="11"/>
  <c r="U101" i="11"/>
  <c r="K416" i="11"/>
  <c r="R419" i="11"/>
  <c r="T762" i="11"/>
  <c r="U76" i="11"/>
  <c r="R99" i="11"/>
  <c r="R271" i="11"/>
  <c r="V201" i="11"/>
  <c r="U104" i="11"/>
  <c r="V76" i="11"/>
  <c r="T99" i="11"/>
  <c r="Q101" i="11"/>
  <c r="P104" i="11"/>
  <c r="S201" i="11"/>
  <c r="S416" i="11"/>
  <c r="S681" i="11"/>
  <c r="P737" i="11"/>
  <c r="P762" i="11"/>
  <c r="T839" i="11"/>
  <c r="T855" i="11"/>
  <c r="N936" i="11"/>
  <c r="K975" i="11"/>
  <c r="K979" i="11"/>
  <c r="S384" i="11"/>
  <c r="O691" i="11"/>
  <c r="K692" i="11"/>
  <c r="L185" i="11"/>
  <c r="T957" i="11"/>
  <c r="L492" i="11"/>
  <c r="O849" i="11"/>
  <c r="V448" i="11"/>
  <c r="S252" i="11"/>
  <c r="M390" i="11"/>
  <c r="P711" i="11"/>
  <c r="P454" i="11"/>
  <c r="U717" i="11"/>
  <c r="U85" i="11"/>
  <c r="O868" i="11"/>
  <c r="P7" i="11"/>
  <c r="L272" i="11"/>
  <c r="V914" i="11"/>
  <c r="L40" i="11"/>
  <c r="L199" i="11"/>
  <c r="O721" i="11"/>
  <c r="T958" i="11"/>
  <c r="M961" i="11"/>
  <c r="N76" i="11"/>
  <c r="L99" i="11"/>
  <c r="V99" i="11"/>
  <c r="T101" i="11"/>
  <c r="R104" i="11"/>
  <c r="R737" i="11"/>
  <c r="S464" i="11"/>
  <c r="O931" i="11"/>
  <c r="V931" i="11"/>
  <c r="P931" i="11"/>
  <c r="N931" i="11"/>
  <c r="L931" i="11"/>
  <c r="Q460" i="11"/>
  <c r="V460" i="11"/>
  <c r="U307" i="11"/>
  <c r="T307" i="11"/>
  <c r="N307" i="11"/>
  <c r="Q31" i="11"/>
  <c r="M31" i="11"/>
  <c r="K31" i="11"/>
  <c r="U31" i="11"/>
  <c r="S31" i="11"/>
  <c r="O102" i="11"/>
  <c r="R102" i="11"/>
  <c r="P102" i="11"/>
  <c r="L102" i="11"/>
  <c r="L32" i="11"/>
  <c r="T32" i="11"/>
  <c r="R652" i="11"/>
  <c r="T652" i="11"/>
  <c r="N652" i="11"/>
  <c r="V412" i="11"/>
  <c r="O412" i="11"/>
  <c r="K412" i="11"/>
  <c r="S972" i="11"/>
  <c r="U972" i="11"/>
  <c r="V139" i="11"/>
  <c r="T139" i="11"/>
  <c r="P139" i="11"/>
  <c r="L139" i="11"/>
  <c r="S645" i="11"/>
  <c r="T645" i="11"/>
  <c r="S33" i="11"/>
  <c r="V33" i="11"/>
  <c r="T33" i="11"/>
  <c r="P33" i="11"/>
  <c r="O34" i="11"/>
  <c r="T34" i="11"/>
  <c r="Q34" i="11"/>
  <c r="S714" i="11"/>
  <c r="V714" i="11"/>
  <c r="Q714" i="11"/>
  <c r="L714" i="11"/>
  <c r="R378" i="11"/>
  <c r="V378" i="11"/>
  <c r="P378" i="11"/>
  <c r="L378" i="11"/>
  <c r="V92" i="11"/>
  <c r="S92" i="11"/>
  <c r="O92" i="11"/>
  <c r="V861" i="11"/>
  <c r="S861" i="11"/>
  <c r="N861" i="11"/>
  <c r="U37" i="11"/>
  <c r="R37" i="11"/>
  <c r="O37" i="11"/>
  <c r="V871" i="11"/>
  <c r="Q871" i="11"/>
  <c r="P871" i="11"/>
  <c r="O871" i="11"/>
  <c r="S146" i="11"/>
  <c r="Q146" i="11"/>
  <c r="V590" i="11"/>
  <c r="Q590" i="11"/>
  <c r="K590" i="11"/>
  <c r="L147" i="11"/>
  <c r="S147" i="11"/>
  <c r="P229" i="11"/>
  <c r="K229" i="11"/>
  <c r="O147" i="11"/>
  <c r="M33" i="11"/>
  <c r="T229" i="11"/>
  <c r="N972" i="11"/>
  <c r="N34" i="11"/>
  <c r="O90" i="11"/>
  <c r="L90" i="11"/>
  <c r="U90" i="11"/>
  <c r="R690" i="11"/>
  <c r="L690" i="11"/>
  <c r="N957" i="11"/>
  <c r="L957" i="11"/>
  <c r="U957" i="11"/>
  <c r="Q136" i="11"/>
  <c r="M136" i="11"/>
  <c r="R706" i="11"/>
  <c r="M706" i="11"/>
  <c r="Q78" i="11"/>
  <c r="N78" i="11"/>
  <c r="V935" i="11"/>
  <c r="T935" i="11"/>
  <c r="N935" i="11"/>
  <c r="L935" i="11"/>
  <c r="V929" i="11"/>
  <c r="P929" i="11"/>
  <c r="N929" i="11"/>
  <c r="V132" i="11"/>
  <c r="R132" i="11"/>
  <c r="O132" i="11"/>
  <c r="S417" i="11"/>
  <c r="M417" i="11"/>
  <c r="U233" i="11"/>
  <c r="O233" i="11"/>
  <c r="K233" i="11"/>
  <c r="R127" i="11"/>
  <c r="O127" i="11"/>
  <c r="T262" i="11"/>
  <c r="L262" i="11"/>
  <c r="R85" i="11"/>
  <c r="N85" i="11"/>
  <c r="L85" i="11"/>
  <c r="V868" i="11"/>
  <c r="Q868" i="11"/>
  <c r="P868" i="11"/>
  <c r="K868" i="11"/>
  <c r="V38" i="11"/>
  <c r="S38" i="11"/>
  <c r="O38" i="11"/>
  <c r="V272" i="11"/>
  <c r="P272" i="11"/>
  <c r="U145" i="11"/>
  <c r="Q145" i="11"/>
  <c r="M145" i="11"/>
  <c r="K898" i="11"/>
  <c r="V898" i="11"/>
  <c r="T898" i="11"/>
  <c r="Q898" i="11"/>
  <c r="U165" i="11"/>
  <c r="M165" i="11"/>
  <c r="K165" i="11"/>
  <c r="T488" i="11"/>
  <c r="N488" i="11"/>
  <c r="K37" i="11"/>
  <c r="T185" i="11"/>
  <c r="O384" i="11"/>
  <c r="R492" i="11"/>
  <c r="N871" i="11"/>
  <c r="N914" i="11"/>
  <c r="L227" i="11"/>
  <c r="R931" i="11"/>
  <c r="R460" i="11"/>
  <c r="V307" i="11"/>
  <c r="T30" i="11"/>
  <c r="T31" i="11"/>
  <c r="T102" i="11"/>
  <c r="P652" i="11"/>
  <c r="M412" i="11"/>
  <c r="T972" i="11"/>
  <c r="K139" i="11"/>
  <c r="Q936" i="11"/>
  <c r="R645" i="11"/>
  <c r="O713" i="11"/>
  <c r="L131" i="11"/>
  <c r="O33" i="11"/>
  <c r="V34" i="11"/>
  <c r="T714" i="11"/>
  <c r="T378" i="11"/>
  <c r="P184" i="11"/>
  <c r="T36" i="11"/>
  <c r="L77" i="11"/>
  <c r="U92" i="11"/>
  <c r="O858" i="11"/>
  <c r="N291" i="11"/>
  <c r="S37" i="11"/>
  <c r="P39" i="11"/>
  <c r="S871" i="11"/>
  <c r="U146" i="11"/>
  <c r="T374" i="11"/>
  <c r="S590" i="11"/>
  <c r="U147" i="11"/>
  <c r="Q229" i="11"/>
  <c r="T40" i="11"/>
  <c r="S90" i="11"/>
  <c r="K145" i="11"/>
  <c r="K393" i="11"/>
  <c r="K711" i="11"/>
  <c r="P935" i="11"/>
  <c r="T78" i="11"/>
  <c r="L146" i="11"/>
  <c r="M252" i="11"/>
  <c r="U412" i="11"/>
  <c r="P448" i="11"/>
  <c r="P717" i="11"/>
  <c r="M898" i="11"/>
  <c r="S393" i="11"/>
  <c r="Q974" i="11"/>
  <c r="Q1005" i="11"/>
  <c r="L464" i="11"/>
  <c r="S839" i="11"/>
  <c r="L979" i="11"/>
  <c r="V979" i="11"/>
  <c r="K76" i="11"/>
  <c r="S76" i="11"/>
  <c r="P99" i="11"/>
  <c r="K101" i="11"/>
  <c r="S101" i="11"/>
  <c r="K104" i="11"/>
  <c r="S104" i="11"/>
  <c r="K114" i="11"/>
  <c r="T114" i="11"/>
  <c r="K201" i="11"/>
  <c r="T201" i="11"/>
  <c r="M76" i="11"/>
  <c r="M101" i="11"/>
  <c r="M104" i="11"/>
  <c r="M114" i="11"/>
  <c r="M201" i="11"/>
  <c r="V384" i="11"/>
  <c r="N384" i="11"/>
  <c r="T384" i="11"/>
  <c r="L384" i="11"/>
  <c r="U384" i="11"/>
  <c r="R384" i="11"/>
  <c r="P384" i="11"/>
  <c r="M384" i="11"/>
  <c r="R90" i="11"/>
  <c r="P90" i="11"/>
  <c r="V90" i="11"/>
  <c r="N90" i="11"/>
  <c r="P690" i="11"/>
  <c r="V690" i="11"/>
  <c r="N690" i="11"/>
  <c r="S690" i="11"/>
  <c r="Q690" i="11"/>
  <c r="M690" i="11"/>
  <c r="U690" i="11"/>
  <c r="K690" i="11"/>
  <c r="R957" i="11"/>
  <c r="K957" i="11"/>
  <c r="Q957" i="11"/>
  <c r="O957" i="11"/>
  <c r="V957" i="11"/>
  <c r="M957" i="11"/>
  <c r="V136" i="11"/>
  <c r="N136" i="11"/>
  <c r="T136" i="11"/>
  <c r="K136" i="11"/>
  <c r="R136" i="11"/>
  <c r="P136" i="11"/>
  <c r="O701" i="11"/>
  <c r="K701" i="11"/>
  <c r="O492" i="11"/>
  <c r="U492" i="11"/>
  <c r="M492" i="11"/>
  <c r="Q492" i="11"/>
  <c r="N492" i="11"/>
  <c r="V492" i="11"/>
  <c r="K492" i="11"/>
  <c r="S492" i="11"/>
  <c r="V950" i="11"/>
  <c r="T849" i="11"/>
  <c r="K849" i="11"/>
  <c r="U448" i="11"/>
  <c r="M448" i="11"/>
  <c r="S448" i="11"/>
  <c r="K448" i="11"/>
  <c r="L448" i="11"/>
  <c r="T448" i="11"/>
  <c r="Q448" i="11"/>
  <c r="O448" i="11"/>
  <c r="S706" i="11"/>
  <c r="K706" i="11"/>
  <c r="Q706" i="11"/>
  <c r="T706" i="11"/>
  <c r="P706" i="11"/>
  <c r="N706" i="11"/>
  <c r="V706" i="11"/>
  <c r="L706" i="11"/>
  <c r="O78" i="11"/>
  <c r="U78" i="11"/>
  <c r="M78" i="11"/>
  <c r="S78" i="11"/>
  <c r="K78" i="11"/>
  <c r="O935" i="11"/>
  <c r="U935" i="11"/>
  <c r="M935" i="11"/>
  <c r="S935" i="11"/>
  <c r="K935" i="11"/>
  <c r="Q935" i="11"/>
  <c r="O929" i="11"/>
  <c r="U929" i="11"/>
  <c r="M929" i="11"/>
  <c r="S929" i="11"/>
  <c r="K929" i="11"/>
  <c r="Q929" i="11"/>
  <c r="R252" i="11"/>
  <c r="P252" i="11"/>
  <c r="V252" i="11"/>
  <c r="L252" i="11"/>
  <c r="T252" i="11"/>
  <c r="Q252" i="11"/>
  <c r="N252" i="11"/>
  <c r="R390" i="11"/>
  <c r="P390" i="11"/>
  <c r="T390" i="11"/>
  <c r="Q390" i="11"/>
  <c r="N390" i="11"/>
  <c r="V390" i="11"/>
  <c r="L390" i="11"/>
  <c r="T132" i="11"/>
  <c r="L132" i="11"/>
  <c r="P132" i="11"/>
  <c r="N132" i="11"/>
  <c r="U132" i="11"/>
  <c r="K132" i="11"/>
  <c r="U454" i="11"/>
  <c r="M454" i="11"/>
  <c r="S454" i="11"/>
  <c r="K454" i="11"/>
  <c r="Q454" i="11"/>
  <c r="O454" i="11"/>
  <c r="L454" i="11"/>
  <c r="T454" i="11"/>
  <c r="R417" i="11"/>
  <c r="P417" i="11"/>
  <c r="N417" i="11"/>
  <c r="V417" i="11"/>
  <c r="L417" i="11"/>
  <c r="T417" i="11"/>
  <c r="Q417" i="11"/>
  <c r="R233" i="11"/>
  <c r="P233" i="11"/>
  <c r="T233" i="11"/>
  <c r="Q233" i="11"/>
  <c r="N233" i="11"/>
  <c r="V233" i="11"/>
  <c r="L233" i="11"/>
  <c r="S127" i="11"/>
  <c r="K127" i="11"/>
  <c r="V127" i="11"/>
  <c r="M127" i="11"/>
  <c r="T127" i="11"/>
  <c r="Q127" i="11"/>
  <c r="V717" i="11"/>
  <c r="N717" i="11"/>
  <c r="T717" i="11"/>
  <c r="L717" i="11"/>
  <c r="K717" i="11"/>
  <c r="S717" i="11"/>
  <c r="Q717" i="11"/>
  <c r="O717" i="11"/>
  <c r="S85" i="11"/>
  <c r="K85" i="11"/>
  <c r="Q85" i="11"/>
  <c r="O85" i="11"/>
  <c r="T38" i="11"/>
  <c r="L38" i="11"/>
  <c r="R38" i="11"/>
  <c r="P38" i="11"/>
  <c r="S272" i="11"/>
  <c r="K272" i="11"/>
  <c r="Q272" i="11"/>
  <c r="R272" i="11"/>
  <c r="O272" i="11"/>
  <c r="M272" i="11"/>
  <c r="U272" i="11"/>
  <c r="R145" i="11"/>
  <c r="S145" i="11"/>
  <c r="P145" i="11"/>
  <c r="N145" i="11"/>
  <c r="R898" i="11"/>
  <c r="S898" i="11"/>
  <c r="P898" i="11"/>
  <c r="N898" i="11"/>
  <c r="U898" i="11"/>
  <c r="K914" i="11"/>
  <c r="P914" i="11"/>
  <c r="T721" i="11"/>
  <c r="L721" i="11"/>
  <c r="S1005" i="11"/>
  <c r="V165" i="11"/>
  <c r="N165" i="11"/>
  <c r="S165" i="11"/>
  <c r="Q165" i="11"/>
  <c r="O165" i="11"/>
  <c r="M18" i="11"/>
  <c r="S488" i="11"/>
  <c r="K488" i="11"/>
  <c r="Q488" i="11"/>
  <c r="R488" i="11"/>
  <c r="O488" i="11"/>
  <c r="M488" i="11"/>
  <c r="U488" i="11"/>
  <c r="U20" i="11"/>
  <c r="L31" i="11"/>
  <c r="V31" i="11"/>
  <c r="U33" i="11"/>
  <c r="U38" i="11"/>
  <c r="V78" i="11"/>
  <c r="V85" i="11"/>
  <c r="M90" i="11"/>
  <c r="K92" i="11"/>
  <c r="N127" i="11"/>
  <c r="M132" i="11"/>
  <c r="L136" i="11"/>
  <c r="N139" i="11"/>
  <c r="V145" i="11"/>
  <c r="N147" i="11"/>
  <c r="P165" i="11"/>
  <c r="V229" i="11"/>
  <c r="P374" i="11"/>
  <c r="K384" i="11"/>
  <c r="U390" i="11"/>
  <c r="S412" i="11"/>
  <c r="N448" i="11"/>
  <c r="N454" i="11"/>
  <c r="N460" i="11"/>
  <c r="U464" i="11"/>
  <c r="P492" i="11"/>
  <c r="N590" i="11"/>
  <c r="L645" i="11"/>
  <c r="V652" i="11"/>
  <c r="U706" i="11"/>
  <c r="M717" i="11"/>
  <c r="K871" i="11"/>
  <c r="S34" i="11"/>
  <c r="K34" i="11"/>
  <c r="T37" i="11"/>
  <c r="L37" i="11"/>
  <c r="N31" i="11"/>
  <c r="L33" i="11"/>
  <c r="L34" i="11"/>
  <c r="K38" i="11"/>
  <c r="L78" i="11"/>
  <c r="M85" i="11"/>
  <c r="Q90" i="11"/>
  <c r="N92" i="11"/>
  <c r="N102" i="11"/>
  <c r="P127" i="11"/>
  <c r="Q132" i="11"/>
  <c r="O136" i="11"/>
  <c r="S139" i="11"/>
  <c r="L145" i="11"/>
  <c r="O146" i="11"/>
  <c r="P147" i="11"/>
  <c r="T165" i="11"/>
  <c r="M233" i="11"/>
  <c r="K252" i="11"/>
  <c r="N272" i="11"/>
  <c r="M291" i="11"/>
  <c r="L307" i="11"/>
  <c r="Q384" i="11"/>
  <c r="O393" i="11"/>
  <c r="K417" i="11"/>
  <c r="R448" i="11"/>
  <c r="R454" i="11"/>
  <c r="L488" i="11"/>
  <c r="T492" i="11"/>
  <c r="R717" i="11"/>
  <c r="T929" i="11"/>
  <c r="P957" i="11"/>
  <c r="K972" i="11"/>
  <c r="T92" i="11"/>
  <c r="S858" i="11"/>
  <c r="P291" i="11"/>
  <c r="P37" i="11"/>
  <c r="O718" i="11"/>
  <c r="V461" i="11"/>
  <c r="T871" i="11"/>
  <c r="T146" i="11"/>
  <c r="S374" i="11"/>
  <c r="P590" i="11"/>
  <c r="Q147" i="11"/>
  <c r="S229" i="11"/>
  <c r="S950" i="11"/>
  <c r="M393" i="11"/>
  <c r="V1005" i="11"/>
  <c r="T937" i="11"/>
  <c r="O464" i="11"/>
  <c r="R31" i="11"/>
  <c r="N33" i="11"/>
  <c r="P34" i="11"/>
  <c r="M37" i="11"/>
  <c r="N38" i="11"/>
  <c r="P78" i="11"/>
  <c r="P85" i="11"/>
  <c r="T90" i="11"/>
  <c r="Q92" i="11"/>
  <c r="Q102" i="11"/>
  <c r="U127" i="11"/>
  <c r="S132" i="11"/>
  <c r="S136" i="11"/>
  <c r="U139" i="11"/>
  <c r="O145" i="11"/>
  <c r="R146" i="11"/>
  <c r="T199" i="11"/>
  <c r="M229" i="11"/>
  <c r="S233" i="11"/>
  <c r="O252" i="11"/>
  <c r="T272" i="11"/>
  <c r="R291" i="11"/>
  <c r="P307" i="11"/>
  <c r="N378" i="11"/>
  <c r="K390" i="11"/>
  <c r="O417" i="11"/>
  <c r="K464" i="11"/>
  <c r="P488" i="11"/>
  <c r="L652" i="11"/>
  <c r="O690" i="11"/>
  <c r="N714" i="11"/>
  <c r="K721" i="11"/>
  <c r="O898" i="11"/>
  <c r="R935" i="11"/>
  <c r="U961" i="11"/>
  <c r="R33" i="11"/>
  <c r="R34" i="11"/>
  <c r="Q37" i="11"/>
  <c r="Q38" i="11"/>
  <c r="R78" i="11"/>
  <c r="T85" i="11"/>
  <c r="K90" i="11"/>
  <c r="T145" i="11"/>
  <c r="L165" i="11"/>
  <c r="R229" i="11"/>
  <c r="U252" i="11"/>
  <c r="O390" i="11"/>
  <c r="U417" i="11"/>
  <c r="Q464" i="11"/>
  <c r="V488" i="11"/>
  <c r="T690" i="11"/>
  <c r="O706" i="11"/>
  <c r="V849" i="11"/>
  <c r="L929" i="11"/>
  <c r="L958" i="11"/>
  <c r="R307" i="11"/>
  <c r="Q374" i="11"/>
  <c r="O378" i="11"/>
  <c r="U393" i="11"/>
  <c r="T412" i="11"/>
  <c r="O460" i="11"/>
  <c r="L590" i="11"/>
  <c r="Q645" i="11"/>
  <c r="O652" i="11"/>
  <c r="O714" i="11"/>
  <c r="Q931" i="11"/>
  <c r="O936" i="11"/>
  <c r="L972" i="11"/>
  <c r="P1005" i="11"/>
  <c r="R501" i="11"/>
  <c r="U324" i="11"/>
  <c r="S227" i="11"/>
  <c r="N445" i="11"/>
  <c r="O230" i="11"/>
  <c r="S231" i="11"/>
  <c r="O930" i="11"/>
  <c r="S692" i="11"/>
  <c r="S185" i="11"/>
  <c r="Q411" i="11"/>
  <c r="P975" i="11"/>
  <c r="T379" i="11"/>
  <c r="S30" i="11"/>
  <c r="R446" i="11"/>
  <c r="S701" i="11"/>
  <c r="R595" i="11"/>
  <c r="S32" i="11"/>
  <c r="S849" i="11"/>
  <c r="Q377" i="11"/>
  <c r="O972" i="11"/>
  <c r="O130" i="11"/>
  <c r="V936" i="11"/>
  <c r="S711" i="11"/>
  <c r="K713" i="11"/>
  <c r="S131" i="11"/>
  <c r="R646" i="11"/>
  <c r="V415" i="11"/>
  <c r="O184" i="11"/>
  <c r="O35" i="11"/>
  <c r="S36" i="11"/>
  <c r="S77" i="11"/>
  <c r="T643" i="11"/>
  <c r="S262" i="11"/>
  <c r="R861" i="11"/>
  <c r="L858" i="11"/>
  <c r="P92" i="11"/>
  <c r="K102" i="11"/>
  <c r="S102" i="11"/>
  <c r="M139" i="11"/>
  <c r="K146" i="11"/>
  <c r="L412" i="11"/>
  <c r="N839" i="11"/>
  <c r="K858" i="11"/>
  <c r="R871" i="11"/>
  <c r="K931" i="11"/>
  <c r="S931" i="11"/>
  <c r="S936" i="11"/>
  <c r="P979" i="11"/>
  <c r="S114" i="11"/>
  <c r="U839" i="11"/>
  <c r="M839" i="11"/>
  <c r="U737" i="11"/>
  <c r="M737" i="11"/>
  <c r="V416" i="11"/>
  <c r="N416" i="11"/>
  <c r="T416" i="11"/>
  <c r="L416" i="11"/>
  <c r="Q762" i="11"/>
  <c r="O201" i="11"/>
  <c r="P230" i="11"/>
  <c r="T231" i="11"/>
  <c r="U460" i="11"/>
  <c r="M460" i="11"/>
  <c r="S460" i="11"/>
  <c r="K460" i="11"/>
  <c r="S307" i="11"/>
  <c r="K307" i="11"/>
  <c r="Q307" i="11"/>
  <c r="S652" i="11"/>
  <c r="K652" i="11"/>
  <c r="Q652" i="11"/>
  <c r="R412" i="11"/>
  <c r="P412" i="11"/>
  <c r="R139" i="11"/>
  <c r="O645" i="11"/>
  <c r="U645" i="11"/>
  <c r="M645" i="11"/>
  <c r="T713" i="11"/>
  <c r="L713" i="11"/>
  <c r="R714" i="11"/>
  <c r="P714" i="11"/>
  <c r="S378" i="11"/>
  <c r="K378" i="11"/>
  <c r="Q378" i="11"/>
  <c r="S291" i="11"/>
  <c r="K291" i="11"/>
  <c r="Q291" i="11"/>
  <c r="V146" i="11"/>
  <c r="N146" i="11"/>
  <c r="O374" i="11"/>
  <c r="U374" i="11"/>
  <c r="M374" i="11"/>
  <c r="O590" i="11"/>
  <c r="U590" i="11"/>
  <c r="M590" i="11"/>
  <c r="R147" i="11"/>
  <c r="O229" i="11"/>
  <c r="V14" i="11"/>
  <c r="V393" i="11"/>
  <c r="N393" i="11"/>
  <c r="T393" i="11"/>
  <c r="L393" i="11"/>
  <c r="N974" i="11"/>
  <c r="V958" i="11"/>
  <c r="S944" i="11"/>
  <c r="P961" i="11"/>
  <c r="P464" i="11"/>
  <c r="V464" i="11"/>
  <c r="N464" i="11"/>
  <c r="O31" i="11"/>
  <c r="Q33" i="11"/>
  <c r="M34" i="11"/>
  <c r="U34" i="11"/>
  <c r="N37" i="11"/>
  <c r="V37" i="11"/>
  <c r="R92" i="11"/>
  <c r="M102" i="11"/>
  <c r="U102" i="11"/>
  <c r="O139" i="11"/>
  <c r="M146" i="11"/>
  <c r="K147" i="11"/>
  <c r="T147" i="11"/>
  <c r="L229" i="11"/>
  <c r="U229" i="11"/>
  <c r="T291" i="11"/>
  <c r="M307" i="11"/>
  <c r="K374" i="11"/>
  <c r="V374" i="11"/>
  <c r="U378" i="11"/>
  <c r="P393" i="11"/>
  <c r="N412" i="11"/>
  <c r="T460" i="11"/>
  <c r="R464" i="11"/>
  <c r="R590" i="11"/>
  <c r="K645" i="11"/>
  <c r="V645" i="11"/>
  <c r="U652" i="11"/>
  <c r="K714" i="11"/>
  <c r="U714" i="11"/>
  <c r="L737" i="11"/>
  <c r="V737" i="11"/>
  <c r="P839" i="11"/>
  <c r="L871" i="11"/>
  <c r="M931" i="11"/>
  <c r="U931" i="11"/>
  <c r="K33" i="11"/>
  <c r="L92" i="11"/>
  <c r="Q139" i="11"/>
  <c r="P146" i="11"/>
  <c r="M147" i="11"/>
  <c r="V147" i="11"/>
  <c r="N229" i="11"/>
  <c r="L231" i="11"/>
  <c r="L291" i="11"/>
  <c r="V291" i="11"/>
  <c r="O307" i="11"/>
  <c r="N374" i="11"/>
  <c r="M378" i="11"/>
  <c r="R393" i="11"/>
  <c r="Q412" i="11"/>
  <c r="L460" i="11"/>
  <c r="T464" i="11"/>
  <c r="T590" i="11"/>
  <c r="N645" i="11"/>
  <c r="M652" i="11"/>
  <c r="M714" i="11"/>
  <c r="L762" i="11"/>
  <c r="U762" i="11"/>
  <c r="N930" i="11"/>
  <c r="R681" i="11"/>
  <c r="N682" i="11"/>
  <c r="L681" i="11"/>
  <c r="R979" i="11"/>
  <c r="N868" i="11"/>
  <c r="O7" i="11"/>
  <c r="P419" i="11"/>
  <c r="S718" i="11"/>
  <c r="T457" i="11"/>
  <c r="O39" i="11"/>
  <c r="P461" i="11"/>
  <c r="V468" i="11"/>
  <c r="S914" i="11"/>
  <c r="S40" i="11"/>
  <c r="S199" i="11"/>
  <c r="V721" i="11"/>
  <c r="U30" i="11"/>
  <c r="Q39" i="11"/>
  <c r="U91" i="11"/>
  <c r="M133" i="11"/>
  <c r="M227" i="11"/>
  <c r="U231" i="11"/>
  <c r="U262" i="11"/>
  <c r="N468" i="11"/>
  <c r="S713" i="11"/>
  <c r="N721" i="11"/>
  <c r="K861" i="11"/>
  <c r="O914" i="11"/>
  <c r="P936" i="11"/>
  <c r="Q970" i="11"/>
  <c r="M972" i="11"/>
  <c r="N977" i="11"/>
  <c r="M25" i="11"/>
  <c r="U77" i="11"/>
  <c r="M131" i="11"/>
  <c r="U181" i="11"/>
  <c r="U419" i="11"/>
  <c r="O692" i="11"/>
  <c r="S868" i="11"/>
  <c r="V930" i="11"/>
  <c r="R3" i="11"/>
  <c r="R7" i="11"/>
  <c r="N25" i="11"/>
  <c r="V25" i="11"/>
  <c r="N30" i="11"/>
  <c r="V30" i="11"/>
  <c r="N32" i="11"/>
  <c r="V32" i="11"/>
  <c r="R35" i="11"/>
  <c r="N36" i="11"/>
  <c r="V36" i="11"/>
  <c r="R39" i="11"/>
  <c r="N40" i="11"/>
  <c r="V40" i="11"/>
  <c r="N77" i="11"/>
  <c r="V77" i="11"/>
  <c r="R86" i="11"/>
  <c r="N91" i="11"/>
  <c r="V91" i="11"/>
  <c r="R100" i="11"/>
  <c r="R130" i="11"/>
  <c r="N131" i="11"/>
  <c r="V131" i="11"/>
  <c r="N133" i="11"/>
  <c r="V133" i="11"/>
  <c r="N181" i="11"/>
  <c r="V181" i="11"/>
  <c r="R184" i="11"/>
  <c r="N185" i="11"/>
  <c r="V185" i="11"/>
  <c r="N199" i="11"/>
  <c r="V199" i="11"/>
  <c r="N203" i="11"/>
  <c r="V203" i="11"/>
  <c r="N227" i="11"/>
  <c r="V227" i="11"/>
  <c r="R230" i="11"/>
  <c r="N231" i="11"/>
  <c r="V231" i="11"/>
  <c r="N262" i="11"/>
  <c r="V262" i="11"/>
  <c r="U271" i="11"/>
  <c r="O377" i="11"/>
  <c r="N402" i="11"/>
  <c r="U413" i="11"/>
  <c r="V419" i="11"/>
  <c r="P468" i="11"/>
  <c r="Q7" i="11"/>
  <c r="M36" i="11"/>
  <c r="U40" i="11"/>
  <c r="M91" i="11"/>
  <c r="Q100" i="11"/>
  <c r="Q130" i="11"/>
  <c r="M181" i="11"/>
  <c r="M199" i="11"/>
  <c r="M231" i="11"/>
  <c r="M262" i="11"/>
  <c r="S3" i="11"/>
  <c r="K7" i="11"/>
  <c r="O25" i="11"/>
  <c r="O32" i="11"/>
  <c r="K35" i="11"/>
  <c r="O36" i="11"/>
  <c r="K39" i="11"/>
  <c r="O40" i="11"/>
  <c r="O77" i="11"/>
  <c r="K86" i="11"/>
  <c r="S100" i="11"/>
  <c r="K130" i="11"/>
  <c r="S130" i="11"/>
  <c r="O131" i="11"/>
  <c r="O133" i="11"/>
  <c r="O181" i="11"/>
  <c r="K184" i="11"/>
  <c r="S184" i="11"/>
  <c r="O185" i="11"/>
  <c r="O199" i="11"/>
  <c r="O203" i="11"/>
  <c r="O227" i="11"/>
  <c r="K230" i="11"/>
  <c r="S230" i="11"/>
  <c r="O231" i="11"/>
  <c r="O262" i="11"/>
  <c r="L271" i="11"/>
  <c r="V271" i="11"/>
  <c r="N324" i="11"/>
  <c r="Q402" i="11"/>
  <c r="N411" i="11"/>
  <c r="R415" i="11"/>
  <c r="L457" i="11"/>
  <c r="N587" i="11"/>
  <c r="L643" i="11"/>
  <c r="O703" i="11"/>
  <c r="O711" i="11"/>
  <c r="K718" i="11"/>
  <c r="S721" i="11"/>
  <c r="L849" i="11"/>
  <c r="O861" i="11"/>
  <c r="Q914" i="11"/>
  <c r="K930" i="11"/>
  <c r="R936" i="11"/>
  <c r="U953" i="11"/>
  <c r="O1006" i="11"/>
  <c r="M30" i="11"/>
  <c r="Q86" i="11"/>
  <c r="U133" i="11"/>
  <c r="Q184" i="11"/>
  <c r="M203" i="11"/>
  <c r="T271" i="11"/>
  <c r="K3" i="11"/>
  <c r="S7" i="11"/>
  <c r="O30" i="11"/>
  <c r="S35" i="11"/>
  <c r="S39" i="11"/>
  <c r="S86" i="11"/>
  <c r="O91" i="11"/>
  <c r="K100" i="11"/>
  <c r="L3" i="11"/>
  <c r="T3" i="11"/>
  <c r="L7" i="11"/>
  <c r="T7" i="11"/>
  <c r="P25" i="11"/>
  <c r="P30" i="11"/>
  <c r="P32" i="11"/>
  <c r="L35" i="11"/>
  <c r="T35" i="11"/>
  <c r="P36" i="11"/>
  <c r="L39" i="11"/>
  <c r="T39" i="11"/>
  <c r="P40" i="11"/>
  <c r="P77" i="11"/>
  <c r="L86" i="11"/>
  <c r="T86" i="11"/>
  <c r="P91" i="11"/>
  <c r="L100" i="11"/>
  <c r="T100" i="11"/>
  <c r="L130" i="11"/>
  <c r="T130" i="11"/>
  <c r="P131" i="11"/>
  <c r="P133" i="11"/>
  <c r="P181" i="11"/>
  <c r="L184" i="11"/>
  <c r="T184" i="11"/>
  <c r="P185" i="11"/>
  <c r="P199" i="11"/>
  <c r="P203" i="11"/>
  <c r="P227" i="11"/>
  <c r="L230" i="11"/>
  <c r="T230" i="11"/>
  <c r="P231" i="11"/>
  <c r="P262" i="11"/>
  <c r="M271" i="11"/>
  <c r="N311" i="11"/>
  <c r="P324" i="11"/>
  <c r="L405" i="11"/>
  <c r="N446" i="11"/>
  <c r="R457" i="11"/>
  <c r="R703" i="11"/>
  <c r="R914" i="11"/>
  <c r="M3" i="11"/>
  <c r="U3" i="11"/>
  <c r="M7" i="11"/>
  <c r="U7" i="11"/>
  <c r="Q25" i="11"/>
  <c r="Q30" i="11"/>
  <c r="Q32" i="11"/>
  <c r="M35" i="11"/>
  <c r="U35" i="11"/>
  <c r="Q36" i="11"/>
  <c r="M39" i="11"/>
  <c r="U39" i="11"/>
  <c r="Q40" i="11"/>
  <c r="Q77" i="11"/>
  <c r="M86" i="11"/>
  <c r="U86" i="11"/>
  <c r="Q91" i="11"/>
  <c r="M100" i="11"/>
  <c r="U100" i="11"/>
  <c r="M130" i="11"/>
  <c r="U130" i="11"/>
  <c r="Q131" i="11"/>
  <c r="Q133" i="11"/>
  <c r="Q181" i="11"/>
  <c r="M184" i="11"/>
  <c r="U184" i="11"/>
  <c r="Q185" i="11"/>
  <c r="Q199" i="11"/>
  <c r="Q203" i="11"/>
  <c r="Q227" i="11"/>
  <c r="M230" i="11"/>
  <c r="U230" i="11"/>
  <c r="Q231" i="11"/>
  <c r="Q262" i="11"/>
  <c r="N271" i="11"/>
  <c r="P311" i="11"/>
  <c r="V324" i="11"/>
  <c r="N405" i="11"/>
  <c r="M419" i="11"/>
  <c r="K683" i="11"/>
  <c r="P718" i="11"/>
  <c r="T1005" i="11"/>
  <c r="Q1006" i="11"/>
  <c r="Q3" i="11"/>
  <c r="M32" i="11"/>
  <c r="Q35" i="11"/>
  <c r="U131" i="11"/>
  <c r="M185" i="11"/>
  <c r="U199" i="11"/>
  <c r="U227" i="11"/>
  <c r="Q230" i="11"/>
  <c r="N3" i="11"/>
  <c r="V3" i="11"/>
  <c r="N7" i="11"/>
  <c r="V7" i="11"/>
  <c r="R25" i="11"/>
  <c r="R30" i="11"/>
  <c r="R32" i="11"/>
  <c r="N35" i="11"/>
  <c r="V35" i="11"/>
  <c r="R36" i="11"/>
  <c r="N39" i="11"/>
  <c r="V39" i="11"/>
  <c r="R40" i="11"/>
  <c r="R77" i="11"/>
  <c r="N86" i="11"/>
  <c r="V86" i="11"/>
  <c r="R91" i="11"/>
  <c r="N100" i="11"/>
  <c r="V100" i="11"/>
  <c r="N130" i="11"/>
  <c r="V130" i="11"/>
  <c r="R131" i="11"/>
  <c r="R133" i="11"/>
  <c r="R181" i="11"/>
  <c r="N184" i="11"/>
  <c r="V184" i="11"/>
  <c r="R185" i="11"/>
  <c r="R199" i="11"/>
  <c r="R203" i="11"/>
  <c r="R227" i="11"/>
  <c r="N230" i="11"/>
  <c r="V230" i="11"/>
  <c r="R231" i="11"/>
  <c r="R262" i="11"/>
  <c r="P271" i="11"/>
  <c r="V311" i="11"/>
  <c r="N419" i="11"/>
  <c r="N461" i="11"/>
  <c r="U25" i="11"/>
  <c r="U32" i="11"/>
  <c r="U36" i="11"/>
  <c r="M40" i="11"/>
  <c r="M77" i="11"/>
  <c r="U185" i="11"/>
  <c r="U203" i="11"/>
  <c r="K25" i="11"/>
  <c r="K30" i="11"/>
  <c r="K32" i="11"/>
  <c r="K36" i="11"/>
  <c r="K40" i="11"/>
  <c r="K77" i="11"/>
  <c r="K91" i="11"/>
  <c r="K131" i="11"/>
  <c r="K133" i="11"/>
  <c r="K181" i="11"/>
  <c r="K185" i="11"/>
  <c r="K199" i="11"/>
  <c r="K203" i="11"/>
  <c r="K227" i="11"/>
  <c r="K231" i="11"/>
  <c r="K262" i="11"/>
  <c r="Q271" i="11"/>
  <c r="N950" i="11"/>
  <c r="K950" i="11"/>
  <c r="V8" i="11"/>
  <c r="R9" i="11"/>
  <c r="V10" i="11"/>
  <c r="V970" i="11"/>
  <c r="M984" i="11"/>
  <c r="Q703" i="11"/>
  <c r="P703" i="11"/>
  <c r="V703" i="11"/>
  <c r="N703" i="11"/>
  <c r="U703" i="11"/>
  <c r="M703" i="11"/>
  <c r="T703" i="11"/>
  <c r="L703" i="11"/>
  <c r="Q501" i="11"/>
  <c r="P501" i="11"/>
  <c r="O501" i="11"/>
  <c r="V501" i="11"/>
  <c r="N501" i="11"/>
  <c r="U501" i="11"/>
  <c r="M501" i="11"/>
  <c r="S501" i="11"/>
  <c r="K501" i="11"/>
  <c r="Q531" i="11"/>
  <c r="P531" i="11"/>
  <c r="O531" i="11"/>
  <c r="V531" i="11"/>
  <c r="N531" i="11"/>
  <c r="U531" i="11"/>
  <c r="M531" i="11"/>
  <c r="S531" i="11"/>
  <c r="K531" i="11"/>
  <c r="U587" i="11"/>
  <c r="M587" i="11"/>
  <c r="T587" i="11"/>
  <c r="L587" i="11"/>
  <c r="S587" i="11"/>
  <c r="K587" i="11"/>
  <c r="R587" i="11"/>
  <c r="Q587" i="11"/>
  <c r="O587" i="11"/>
  <c r="U491" i="11"/>
  <c r="M491" i="11"/>
  <c r="T491" i="11"/>
  <c r="L491" i="11"/>
  <c r="S491" i="11"/>
  <c r="K491" i="11"/>
  <c r="R491" i="11"/>
  <c r="Q491" i="11"/>
  <c r="O491" i="11"/>
  <c r="U663" i="11"/>
  <c r="M663" i="11"/>
  <c r="T663" i="11"/>
  <c r="L663" i="11"/>
  <c r="S663" i="11"/>
  <c r="K663" i="11"/>
  <c r="R663" i="11"/>
  <c r="Q663" i="11"/>
  <c r="O663" i="11"/>
  <c r="Q664" i="11"/>
  <c r="P664" i="11"/>
  <c r="O664" i="11"/>
  <c r="V664" i="11"/>
  <c r="N664" i="11"/>
  <c r="U664" i="11"/>
  <c r="M664" i="11"/>
  <c r="S664" i="11"/>
  <c r="K664" i="11"/>
  <c r="U667" i="11"/>
  <c r="M667" i="11"/>
  <c r="T667" i="11"/>
  <c r="L667" i="11"/>
  <c r="S667" i="11"/>
  <c r="K667" i="11"/>
  <c r="R667" i="11"/>
  <c r="Q667" i="11"/>
  <c r="O667" i="11"/>
  <c r="T456" i="11"/>
  <c r="L456" i="11"/>
  <c r="S456" i="11"/>
  <c r="K456" i="11"/>
  <c r="R456" i="11"/>
  <c r="Q456" i="11"/>
  <c r="O456" i="11"/>
  <c r="Q669" i="11"/>
  <c r="P669" i="11"/>
  <c r="O669" i="11"/>
  <c r="V669" i="11"/>
  <c r="N669" i="11"/>
  <c r="U669" i="11"/>
  <c r="M669" i="11"/>
  <c r="S669" i="11"/>
  <c r="K669" i="11"/>
  <c r="U670" i="11"/>
  <c r="M670" i="11"/>
  <c r="T670" i="11"/>
  <c r="L670" i="11"/>
  <c r="S670" i="11"/>
  <c r="K670" i="11"/>
  <c r="R670" i="11"/>
  <c r="Q670" i="11"/>
  <c r="O670" i="11"/>
  <c r="Q672" i="11"/>
  <c r="P672" i="11"/>
  <c r="V672" i="11"/>
  <c r="N672" i="11"/>
  <c r="U672" i="11"/>
  <c r="M672" i="11"/>
  <c r="T672" i="11"/>
  <c r="S672" i="11"/>
  <c r="K672" i="11"/>
  <c r="S405" i="11"/>
  <c r="K405" i="11"/>
  <c r="U594" i="11"/>
  <c r="M594" i="11"/>
  <c r="T594" i="11"/>
  <c r="L594" i="11"/>
  <c r="S594" i="11"/>
  <c r="K594" i="11"/>
  <c r="R594" i="11"/>
  <c r="Q594" i="11"/>
  <c r="O594" i="11"/>
  <c r="U522" i="11"/>
  <c r="M522" i="11"/>
  <c r="T522" i="11"/>
  <c r="L522" i="11"/>
  <c r="S522" i="11"/>
  <c r="K522" i="11"/>
  <c r="R522" i="11"/>
  <c r="Q522" i="11"/>
  <c r="O522" i="11"/>
  <c r="U675" i="11"/>
  <c r="M675" i="11"/>
  <c r="T675" i="11"/>
  <c r="L675" i="11"/>
  <c r="R675" i="11"/>
  <c r="Q675" i="11"/>
  <c r="P675" i="11"/>
  <c r="O675" i="11"/>
  <c r="U683" i="11"/>
  <c r="M683" i="11"/>
  <c r="T683" i="11"/>
  <c r="L683" i="11"/>
  <c r="R683" i="11"/>
  <c r="Q683" i="11"/>
  <c r="P683" i="11"/>
  <c r="O683" i="11"/>
  <c r="P445" i="11"/>
  <c r="O445" i="11"/>
  <c r="U445" i="11"/>
  <c r="M445" i="11"/>
  <c r="S445" i="11"/>
  <c r="K445" i="11"/>
  <c r="U930" i="11"/>
  <c r="M930" i="11"/>
  <c r="T930" i="11"/>
  <c r="L930" i="11"/>
  <c r="Q691" i="11"/>
  <c r="P691" i="11"/>
  <c r="V691" i="11"/>
  <c r="N691" i="11"/>
  <c r="U691" i="11"/>
  <c r="M691" i="11"/>
  <c r="T691" i="11"/>
  <c r="L691" i="11"/>
  <c r="S691" i="11"/>
  <c r="K691" i="11"/>
  <c r="U692" i="11"/>
  <c r="M692" i="11"/>
  <c r="T692" i="11"/>
  <c r="L692" i="11"/>
  <c r="R692" i="11"/>
  <c r="Q692" i="11"/>
  <c r="P692" i="11"/>
  <c r="S411" i="11"/>
  <c r="K411" i="11"/>
  <c r="O411" i="11"/>
  <c r="R975" i="11"/>
  <c r="Q975" i="11"/>
  <c r="S379" i="11"/>
  <c r="K379" i="11"/>
  <c r="T446" i="11"/>
  <c r="L446" i="11"/>
  <c r="S446" i="11"/>
  <c r="K446" i="11"/>
  <c r="Q446" i="11"/>
  <c r="O446" i="11"/>
  <c r="U701" i="11"/>
  <c r="M701" i="11"/>
  <c r="T701" i="11"/>
  <c r="L701" i="11"/>
  <c r="R701" i="11"/>
  <c r="Q701" i="11"/>
  <c r="P701" i="11"/>
  <c r="Q595" i="11"/>
  <c r="P595" i="11"/>
  <c r="O595" i="11"/>
  <c r="V595" i="11"/>
  <c r="N595" i="11"/>
  <c r="U595" i="11"/>
  <c r="M595" i="11"/>
  <c r="S595" i="11"/>
  <c r="K595" i="11"/>
  <c r="Q467" i="11"/>
  <c r="P467" i="11"/>
  <c r="O467" i="11"/>
  <c r="V467" i="11"/>
  <c r="N467" i="11"/>
  <c r="U467" i="11"/>
  <c r="M467" i="11"/>
  <c r="S467" i="11"/>
  <c r="K467" i="11"/>
  <c r="U849" i="11"/>
  <c r="M849" i="11"/>
  <c r="R849" i="11"/>
  <c r="Q849" i="11"/>
  <c r="P849" i="11"/>
  <c r="S377" i="11"/>
  <c r="K377" i="11"/>
  <c r="S413" i="11"/>
  <c r="K413" i="11"/>
  <c r="O413" i="11"/>
  <c r="R972" i="11"/>
  <c r="Q972" i="11"/>
  <c r="P972" i="11"/>
  <c r="U486" i="11"/>
  <c r="M486" i="11"/>
  <c r="T486" i="11"/>
  <c r="L486" i="11"/>
  <c r="S486" i="11"/>
  <c r="K486" i="11"/>
  <c r="R486" i="11"/>
  <c r="Q486" i="11"/>
  <c r="O486" i="11"/>
  <c r="U936" i="11"/>
  <c r="M936" i="11"/>
  <c r="T936" i="11"/>
  <c r="L936" i="11"/>
  <c r="Q711" i="11"/>
  <c r="V711" i="11"/>
  <c r="N711" i="11"/>
  <c r="U711" i="11"/>
  <c r="M711" i="11"/>
  <c r="T711" i="11"/>
  <c r="L711" i="11"/>
  <c r="U713" i="11"/>
  <c r="M713" i="11"/>
  <c r="R713" i="11"/>
  <c r="Q713" i="11"/>
  <c r="P713" i="11"/>
  <c r="Q646" i="11"/>
  <c r="P646" i="11"/>
  <c r="O646" i="11"/>
  <c r="V646" i="11"/>
  <c r="N646" i="11"/>
  <c r="U646" i="11"/>
  <c r="M646" i="11"/>
  <c r="S646" i="11"/>
  <c r="K646" i="11"/>
  <c r="Q592" i="11"/>
  <c r="P592" i="11"/>
  <c r="O592" i="11"/>
  <c r="V592" i="11"/>
  <c r="N592" i="11"/>
  <c r="U592" i="11"/>
  <c r="M592" i="11"/>
  <c r="S592" i="11"/>
  <c r="K592" i="11"/>
  <c r="O415" i="11"/>
  <c r="U415" i="11"/>
  <c r="M415" i="11"/>
  <c r="S415" i="11"/>
  <c r="K415" i="11"/>
  <c r="U495" i="11"/>
  <c r="M495" i="11"/>
  <c r="T495" i="11"/>
  <c r="L495" i="11"/>
  <c r="S495" i="11"/>
  <c r="K495" i="11"/>
  <c r="R495" i="11"/>
  <c r="Q495" i="11"/>
  <c r="O495" i="11"/>
  <c r="Q643" i="11"/>
  <c r="P643" i="11"/>
  <c r="O643" i="11"/>
  <c r="V643" i="11"/>
  <c r="N643" i="11"/>
  <c r="U643" i="11"/>
  <c r="M643" i="11"/>
  <c r="S643" i="11"/>
  <c r="K643" i="11"/>
  <c r="Q861" i="11"/>
  <c r="U861" i="11"/>
  <c r="M861" i="11"/>
  <c r="T861" i="11"/>
  <c r="L861" i="11"/>
  <c r="U858" i="11"/>
  <c r="M858" i="11"/>
  <c r="R858" i="11"/>
  <c r="Q858" i="11"/>
  <c r="P858" i="11"/>
  <c r="U868" i="11"/>
  <c r="M868" i="11"/>
  <c r="T868" i="11"/>
  <c r="L868" i="11"/>
  <c r="T419" i="11"/>
  <c r="L419" i="11"/>
  <c r="S419" i="11"/>
  <c r="K419" i="11"/>
  <c r="Q419" i="11"/>
  <c r="O419" i="11"/>
  <c r="Q718" i="11"/>
  <c r="V718" i="11"/>
  <c r="N718" i="11"/>
  <c r="U718" i="11"/>
  <c r="M718" i="11"/>
  <c r="T718" i="11"/>
  <c r="L718" i="11"/>
  <c r="Q457" i="11"/>
  <c r="P457" i="11"/>
  <c r="O457" i="11"/>
  <c r="V457" i="11"/>
  <c r="N457" i="11"/>
  <c r="U457" i="11"/>
  <c r="M457" i="11"/>
  <c r="S457" i="11"/>
  <c r="K457" i="11"/>
  <c r="U461" i="11"/>
  <c r="M461" i="11"/>
  <c r="T461" i="11"/>
  <c r="L461" i="11"/>
  <c r="S461" i="11"/>
  <c r="K461" i="11"/>
  <c r="R461" i="11"/>
  <c r="Q461" i="11"/>
  <c r="O461" i="11"/>
  <c r="U468" i="11"/>
  <c r="M468" i="11"/>
  <c r="T468" i="11"/>
  <c r="L468" i="11"/>
  <c r="S468" i="11"/>
  <c r="K468" i="11"/>
  <c r="R468" i="11"/>
  <c r="Q468" i="11"/>
  <c r="O468" i="11"/>
  <c r="U914" i="11"/>
  <c r="M914" i="11"/>
  <c r="T914" i="11"/>
  <c r="L914" i="11"/>
  <c r="U721" i="11"/>
  <c r="M721" i="11"/>
  <c r="R721" i="11"/>
  <c r="Q721" i="11"/>
  <c r="P721" i="11"/>
  <c r="K271" i="11"/>
  <c r="S271" i="11"/>
  <c r="O311" i="11"/>
  <c r="O324" i="11"/>
  <c r="P377" i="11"/>
  <c r="R379" i="11"/>
  <c r="P402" i="11"/>
  <c r="M405" i="11"/>
  <c r="V405" i="11"/>
  <c r="P411" i="11"/>
  <c r="T413" i="11"/>
  <c r="T415" i="11"/>
  <c r="L445" i="11"/>
  <c r="P446" i="11"/>
  <c r="M456" i="11"/>
  <c r="T501" i="11"/>
  <c r="P587" i="11"/>
  <c r="L595" i="11"/>
  <c r="R643" i="11"/>
  <c r="T646" i="11"/>
  <c r="P667" i="11"/>
  <c r="L672" i="11"/>
  <c r="R691" i="11"/>
  <c r="N858" i="11"/>
  <c r="O975" i="11"/>
  <c r="T980" i="11"/>
  <c r="O980" i="11"/>
  <c r="V974" i="11"/>
  <c r="T974" i="11"/>
  <c r="Q958" i="11"/>
  <c r="N958" i="11"/>
  <c r="L20" i="11"/>
  <c r="Q311" i="11"/>
  <c r="Q324" i="11"/>
  <c r="R377" i="11"/>
  <c r="L379" i="11"/>
  <c r="U379" i="11"/>
  <c r="R402" i="11"/>
  <c r="O405" i="11"/>
  <c r="R411" i="11"/>
  <c r="L413" i="11"/>
  <c r="V413" i="11"/>
  <c r="Q445" i="11"/>
  <c r="U446" i="11"/>
  <c r="P456" i="11"/>
  <c r="P522" i="11"/>
  <c r="L592" i="11"/>
  <c r="T595" i="11"/>
  <c r="P663" i="11"/>
  <c r="L669" i="11"/>
  <c r="R672" i="11"/>
  <c r="N692" i="11"/>
  <c r="R711" i="11"/>
  <c r="V713" i="11"/>
  <c r="O974" i="11"/>
  <c r="L980" i="11"/>
  <c r="P21" i="11"/>
  <c r="R311" i="11"/>
  <c r="R324" i="11"/>
  <c r="T377" i="11"/>
  <c r="M379" i="11"/>
  <c r="V379" i="11"/>
  <c r="S402" i="11"/>
  <c r="P405" i="11"/>
  <c r="T411" i="11"/>
  <c r="M413" i="11"/>
  <c r="L415" i="11"/>
  <c r="R445" i="11"/>
  <c r="V446" i="11"/>
  <c r="U456" i="11"/>
  <c r="L467" i="11"/>
  <c r="N495" i="11"/>
  <c r="V522" i="11"/>
  <c r="R592" i="11"/>
  <c r="V663" i="11"/>
  <c r="R669" i="11"/>
  <c r="N701" i="11"/>
  <c r="K311" i="11"/>
  <c r="S311" i="11"/>
  <c r="K324" i="11"/>
  <c r="S324" i="11"/>
  <c r="L377" i="11"/>
  <c r="U377" i="11"/>
  <c r="N379" i="11"/>
  <c r="K402" i="11"/>
  <c r="T402" i="11"/>
  <c r="Q405" i="11"/>
  <c r="U411" i="11"/>
  <c r="N413" i="11"/>
  <c r="N415" i="11"/>
  <c r="T445" i="11"/>
  <c r="V456" i="11"/>
  <c r="R467" i="11"/>
  <c r="N491" i="11"/>
  <c r="P495" i="11"/>
  <c r="L531" i="11"/>
  <c r="T592" i="11"/>
  <c r="L664" i="11"/>
  <c r="T669" i="11"/>
  <c r="N675" i="11"/>
  <c r="N683" i="11"/>
  <c r="V858" i="11"/>
  <c r="V972" i="11"/>
  <c r="N1005" i="11"/>
  <c r="K1005" i="11"/>
  <c r="L311" i="11"/>
  <c r="T311" i="11"/>
  <c r="L324" i="11"/>
  <c r="T324" i="11"/>
  <c r="M377" i="11"/>
  <c r="V377" i="11"/>
  <c r="O379" i="11"/>
  <c r="L402" i="11"/>
  <c r="U402" i="11"/>
  <c r="R405" i="11"/>
  <c r="L411" i="11"/>
  <c r="V411" i="11"/>
  <c r="P413" i="11"/>
  <c r="P415" i="11"/>
  <c r="V445" i="11"/>
  <c r="T467" i="11"/>
  <c r="N486" i="11"/>
  <c r="P491" i="11"/>
  <c r="V495" i="11"/>
  <c r="R531" i="11"/>
  <c r="N594" i="11"/>
  <c r="R664" i="11"/>
  <c r="N670" i="11"/>
  <c r="V692" i="11"/>
  <c r="N849" i="11"/>
  <c r="R868" i="11"/>
  <c r="R930" i="11"/>
  <c r="K944" i="11"/>
  <c r="M311" i="11"/>
  <c r="M324" i="11"/>
  <c r="N377" i="11"/>
  <c r="P379" i="11"/>
  <c r="M402" i="11"/>
  <c r="V402" i="11"/>
  <c r="T405" i="11"/>
  <c r="M411" i="11"/>
  <c r="Q413" i="11"/>
  <c r="Q415" i="11"/>
  <c r="M446" i="11"/>
  <c r="P486" i="11"/>
  <c r="V491" i="11"/>
  <c r="L501" i="11"/>
  <c r="T531" i="11"/>
  <c r="P594" i="11"/>
  <c r="L646" i="11"/>
  <c r="T664" i="11"/>
  <c r="P670" i="11"/>
  <c r="V675" i="11"/>
  <c r="V683" i="11"/>
  <c r="V701" i="11"/>
  <c r="N713" i="11"/>
  <c r="R718" i="11"/>
  <c r="S596" i="11"/>
  <c r="K596" i="11"/>
  <c r="R596" i="11"/>
  <c r="Q596" i="11"/>
  <c r="P596" i="11"/>
  <c r="O596" i="11"/>
  <c r="V596" i="11"/>
  <c r="N596" i="11"/>
  <c r="U596" i="11"/>
  <c r="M596" i="11"/>
  <c r="T596" i="11"/>
  <c r="L596" i="11"/>
  <c r="O44" i="11"/>
  <c r="V44" i="11"/>
  <c r="N44" i="11"/>
  <c r="U44" i="11"/>
  <c r="M44" i="11"/>
  <c r="T44" i="11"/>
  <c r="L44" i="11"/>
  <c r="S44" i="11"/>
  <c r="K44" i="11"/>
  <c r="R44" i="11"/>
  <c r="Q44" i="11"/>
  <c r="P44" i="11"/>
  <c r="U723" i="11"/>
  <c r="M723" i="11"/>
  <c r="T723" i="11"/>
  <c r="L723" i="11"/>
  <c r="S723" i="11"/>
  <c r="K723" i="11"/>
  <c r="R723" i="11"/>
  <c r="Q723" i="11"/>
  <c r="P723" i="11"/>
  <c r="O723" i="11"/>
  <c r="V723" i="11"/>
  <c r="N723" i="11"/>
  <c r="V736" i="11"/>
  <c r="N736" i="11"/>
  <c r="R736" i="11"/>
  <c r="Q736" i="11"/>
  <c r="P736" i="11"/>
  <c r="O736" i="11"/>
  <c r="M736" i="11"/>
  <c r="U736" i="11"/>
  <c r="L736" i="11"/>
  <c r="T736" i="11"/>
  <c r="K736" i="11"/>
  <c r="S736" i="11"/>
  <c r="O88" i="11"/>
  <c r="V88" i="11"/>
  <c r="N88" i="11"/>
  <c r="U88" i="11"/>
  <c r="M88" i="11"/>
  <c r="T88" i="11"/>
  <c r="L88" i="11"/>
  <c r="S88" i="11"/>
  <c r="K88" i="11"/>
  <c r="R88" i="11"/>
  <c r="Q88" i="11"/>
  <c r="P88" i="11"/>
  <c r="V537" i="11"/>
  <c r="N537" i="11"/>
  <c r="U537" i="11"/>
  <c r="M537" i="11"/>
  <c r="T537" i="11"/>
  <c r="L537" i="11"/>
  <c r="S537" i="11"/>
  <c r="K537" i="11"/>
  <c r="R537" i="11"/>
  <c r="Q537" i="11"/>
  <c r="P537" i="11"/>
  <c r="O537" i="11"/>
  <c r="O154" i="11"/>
  <c r="V154" i="11"/>
  <c r="N154" i="11"/>
  <c r="U154" i="11"/>
  <c r="M154" i="11"/>
  <c r="T154" i="11"/>
  <c r="L154" i="11"/>
  <c r="S154" i="11"/>
  <c r="K154" i="11"/>
  <c r="R154" i="11"/>
  <c r="Q154" i="11"/>
  <c r="P154" i="11"/>
  <c r="S309" i="11"/>
  <c r="K309" i="11"/>
  <c r="R309" i="11"/>
  <c r="Q309" i="11"/>
  <c r="P309" i="11"/>
  <c r="O309" i="11"/>
  <c r="V309" i="11"/>
  <c r="N309" i="11"/>
  <c r="T309" i="11"/>
  <c r="L309" i="11"/>
  <c r="U309" i="11"/>
  <c r="M309" i="11"/>
  <c r="S155" i="11"/>
  <c r="K155" i="11"/>
  <c r="R155" i="11"/>
  <c r="Q155" i="11"/>
  <c r="P155" i="11"/>
  <c r="O155" i="11"/>
  <c r="V155" i="11"/>
  <c r="N155" i="11"/>
  <c r="U155" i="11"/>
  <c r="M155" i="11"/>
  <c r="T155" i="11"/>
  <c r="L155" i="11"/>
  <c r="S367" i="11"/>
  <c r="K367" i="11"/>
  <c r="R367" i="11"/>
  <c r="Q367" i="11"/>
  <c r="P367" i="11"/>
  <c r="O367" i="11"/>
  <c r="V367" i="11"/>
  <c r="N367" i="11"/>
  <c r="U367" i="11"/>
  <c r="M367" i="11"/>
  <c r="T367" i="11"/>
  <c r="L367" i="11"/>
  <c r="V744" i="11"/>
  <c r="N744" i="11"/>
  <c r="U744" i="11"/>
  <c r="L744" i="11"/>
  <c r="T744" i="11"/>
  <c r="K744" i="11"/>
  <c r="S744" i="11"/>
  <c r="R744" i="11"/>
  <c r="Q744" i="11"/>
  <c r="P744" i="11"/>
  <c r="O744" i="11"/>
  <c r="M744" i="11"/>
  <c r="V473" i="11"/>
  <c r="N473" i="11"/>
  <c r="U473" i="11"/>
  <c r="M473" i="11"/>
  <c r="T473" i="11"/>
  <c r="L473" i="11"/>
  <c r="S473" i="11"/>
  <c r="K473" i="11"/>
  <c r="R473" i="11"/>
  <c r="Q473" i="11"/>
  <c r="P473" i="11"/>
  <c r="O473" i="11"/>
  <c r="S49" i="11"/>
  <c r="K49" i="11"/>
  <c r="R49" i="11"/>
  <c r="Q49" i="11"/>
  <c r="P49" i="11"/>
  <c r="O49" i="11"/>
  <c r="V49" i="11"/>
  <c r="N49" i="11"/>
  <c r="U49" i="11"/>
  <c r="M49" i="11"/>
  <c r="T49" i="11"/>
  <c r="L49" i="11"/>
  <c r="O8" i="11"/>
  <c r="K9" i="11"/>
  <c r="S9" i="11"/>
  <c r="O10" i="11"/>
  <c r="K14" i="11"/>
  <c r="U14" i="11"/>
  <c r="T18" i="11"/>
  <c r="P8" i="11"/>
  <c r="L9" i="11"/>
  <c r="T9" i="11"/>
  <c r="P10" i="11"/>
  <c r="L14" i="11"/>
  <c r="U18" i="11"/>
  <c r="M20" i="11"/>
  <c r="Q21" i="11"/>
  <c r="O420" i="11"/>
  <c r="V420" i="11"/>
  <c r="N420" i="11"/>
  <c r="U420" i="11"/>
  <c r="M420" i="11"/>
  <c r="T420" i="11"/>
  <c r="L420" i="11"/>
  <c r="S420" i="11"/>
  <c r="K420" i="11"/>
  <c r="R420" i="11"/>
  <c r="Q420" i="11"/>
  <c r="P420" i="11"/>
  <c r="R532" i="11"/>
  <c r="Q532" i="11"/>
  <c r="P532" i="11"/>
  <c r="O532" i="11"/>
  <c r="V532" i="11"/>
  <c r="N532" i="11"/>
  <c r="U532" i="11"/>
  <c r="M532" i="11"/>
  <c r="T532" i="11"/>
  <c r="L532" i="11"/>
  <c r="S532" i="11"/>
  <c r="K532" i="11"/>
  <c r="O276" i="11"/>
  <c r="V276" i="11"/>
  <c r="N276" i="11"/>
  <c r="U276" i="11"/>
  <c r="M276" i="11"/>
  <c r="T276" i="11"/>
  <c r="L276" i="11"/>
  <c r="S276" i="11"/>
  <c r="K276" i="11"/>
  <c r="R276" i="11"/>
  <c r="Q276" i="11"/>
  <c r="P276" i="11"/>
  <c r="S209" i="11"/>
  <c r="K209" i="11"/>
  <c r="R209" i="11"/>
  <c r="Q209" i="11"/>
  <c r="P209" i="11"/>
  <c r="O209" i="11"/>
  <c r="V209" i="11"/>
  <c r="N209" i="11"/>
  <c r="U209" i="11"/>
  <c r="M209" i="11"/>
  <c r="T209" i="11"/>
  <c r="L209" i="11"/>
  <c r="O380" i="11"/>
  <c r="V380" i="11"/>
  <c r="N380" i="11"/>
  <c r="U380" i="11"/>
  <c r="M380" i="11"/>
  <c r="T380" i="11"/>
  <c r="L380" i="11"/>
  <c r="S380" i="11"/>
  <c r="K380" i="11"/>
  <c r="R380" i="11"/>
  <c r="Q380" i="11"/>
  <c r="P380" i="11"/>
  <c r="R442" i="11"/>
  <c r="Q442" i="11"/>
  <c r="P442" i="11"/>
  <c r="O442" i="11"/>
  <c r="V442" i="11"/>
  <c r="N442" i="11"/>
  <c r="U442" i="11"/>
  <c r="M442" i="11"/>
  <c r="T442" i="11"/>
  <c r="L442" i="11"/>
  <c r="S442" i="11"/>
  <c r="K442" i="11"/>
  <c r="S385" i="11"/>
  <c r="K385" i="11"/>
  <c r="R385" i="11"/>
  <c r="Q385" i="11"/>
  <c r="P385" i="11"/>
  <c r="O385" i="11"/>
  <c r="V385" i="11"/>
  <c r="N385" i="11"/>
  <c r="U385" i="11"/>
  <c r="M385" i="11"/>
  <c r="T385" i="11"/>
  <c r="L385" i="11"/>
  <c r="S45" i="11"/>
  <c r="K45" i="11"/>
  <c r="R45" i="11"/>
  <c r="Q45" i="11"/>
  <c r="P45" i="11"/>
  <c r="O45" i="11"/>
  <c r="V45" i="11"/>
  <c r="N45" i="11"/>
  <c r="U45" i="11"/>
  <c r="M45" i="11"/>
  <c r="T45" i="11"/>
  <c r="L45" i="11"/>
  <c r="O278" i="11"/>
  <c r="V278" i="11"/>
  <c r="N278" i="11"/>
  <c r="U278" i="11"/>
  <c r="M278" i="11"/>
  <c r="T278" i="11"/>
  <c r="L278" i="11"/>
  <c r="S278" i="11"/>
  <c r="K278" i="11"/>
  <c r="R278" i="11"/>
  <c r="Q278" i="11"/>
  <c r="P278" i="11"/>
  <c r="V469" i="11"/>
  <c r="N469" i="11"/>
  <c r="U469" i="11"/>
  <c r="M469" i="11"/>
  <c r="T469" i="11"/>
  <c r="L469" i="11"/>
  <c r="S469" i="11"/>
  <c r="K469" i="11"/>
  <c r="R469" i="11"/>
  <c r="Q469" i="11"/>
  <c r="P469" i="11"/>
  <c r="O469" i="11"/>
  <c r="O234" i="11"/>
  <c r="V234" i="11"/>
  <c r="N234" i="11"/>
  <c r="U234" i="11"/>
  <c r="M234" i="11"/>
  <c r="T234" i="11"/>
  <c r="L234" i="11"/>
  <c r="S234" i="11"/>
  <c r="K234" i="11"/>
  <c r="R234" i="11"/>
  <c r="Q234" i="11"/>
  <c r="P234" i="11"/>
  <c r="R470" i="11"/>
  <c r="Q470" i="11"/>
  <c r="P470" i="11"/>
  <c r="O470" i="11"/>
  <c r="V470" i="11"/>
  <c r="N470" i="11"/>
  <c r="U470" i="11"/>
  <c r="M470" i="11"/>
  <c r="T470" i="11"/>
  <c r="L470" i="11"/>
  <c r="S470" i="11"/>
  <c r="K470" i="11"/>
  <c r="S151" i="11"/>
  <c r="K151" i="11"/>
  <c r="R151" i="11"/>
  <c r="Q151" i="11"/>
  <c r="P151" i="11"/>
  <c r="O151" i="11"/>
  <c r="V151" i="11"/>
  <c r="N151" i="11"/>
  <c r="U151" i="11"/>
  <c r="M151" i="11"/>
  <c r="T151" i="11"/>
  <c r="L151" i="11"/>
  <c r="U423" i="11"/>
  <c r="M423" i="11"/>
  <c r="R423" i="11"/>
  <c r="Q423" i="11"/>
  <c r="P423" i="11"/>
  <c r="S423" i="11"/>
  <c r="O423" i="11"/>
  <c r="N423" i="11"/>
  <c r="L423" i="11"/>
  <c r="K423" i="11"/>
  <c r="V423" i="11"/>
  <c r="T423" i="11"/>
  <c r="S153" i="11"/>
  <c r="K153" i="11"/>
  <c r="R153" i="11"/>
  <c r="Q153" i="11"/>
  <c r="P153" i="11"/>
  <c r="O153" i="11"/>
  <c r="V153" i="11"/>
  <c r="N153" i="11"/>
  <c r="U153" i="11"/>
  <c r="M153" i="11"/>
  <c r="T153" i="11"/>
  <c r="L153" i="11"/>
  <c r="R536" i="11"/>
  <c r="Q536" i="11"/>
  <c r="P536" i="11"/>
  <c r="O536" i="11"/>
  <c r="V536" i="11"/>
  <c r="N536" i="11"/>
  <c r="U536" i="11"/>
  <c r="M536" i="11"/>
  <c r="T536" i="11"/>
  <c r="L536" i="11"/>
  <c r="S536" i="11"/>
  <c r="K536" i="11"/>
  <c r="S243" i="11"/>
  <c r="K243" i="11"/>
  <c r="R243" i="11"/>
  <c r="Q243" i="11"/>
  <c r="P243" i="11"/>
  <c r="O243" i="11"/>
  <c r="V243" i="11"/>
  <c r="N243" i="11"/>
  <c r="U243" i="11"/>
  <c r="M243" i="11"/>
  <c r="T243" i="11"/>
  <c r="L243" i="11"/>
  <c r="S47" i="11"/>
  <c r="K47" i="11"/>
  <c r="R47" i="11"/>
  <c r="Q47" i="11"/>
  <c r="P47" i="11"/>
  <c r="O47" i="11"/>
  <c r="V47" i="11"/>
  <c r="N47" i="11"/>
  <c r="U47" i="11"/>
  <c r="M47" i="11"/>
  <c r="T47" i="11"/>
  <c r="L47" i="11"/>
  <c r="R452" i="11"/>
  <c r="Q452" i="11"/>
  <c r="P452" i="11"/>
  <c r="O452" i="11"/>
  <c r="V452" i="11"/>
  <c r="N452" i="11"/>
  <c r="U452" i="11"/>
  <c r="M452" i="11"/>
  <c r="T452" i="11"/>
  <c r="L452" i="11"/>
  <c r="S452" i="11"/>
  <c r="K452" i="11"/>
  <c r="R462" i="11"/>
  <c r="Q462" i="11"/>
  <c r="P462" i="11"/>
  <c r="O462" i="11"/>
  <c r="V462" i="11"/>
  <c r="N462" i="11"/>
  <c r="U462" i="11"/>
  <c r="M462" i="11"/>
  <c r="T462" i="11"/>
  <c r="L462" i="11"/>
  <c r="S462" i="11"/>
  <c r="K462" i="11"/>
  <c r="S43" i="11"/>
  <c r="K43" i="11"/>
  <c r="R43" i="11"/>
  <c r="Q43" i="11"/>
  <c r="P43" i="11"/>
  <c r="O43" i="11"/>
  <c r="V43" i="11"/>
  <c r="N43" i="11"/>
  <c r="U43" i="11"/>
  <c r="M43" i="11"/>
  <c r="T43" i="11"/>
  <c r="L43" i="11"/>
  <c r="Q421" i="11"/>
  <c r="T421" i="11"/>
  <c r="K421" i="11"/>
  <c r="S421" i="11"/>
  <c r="R421" i="11"/>
  <c r="P421" i="11"/>
  <c r="O421" i="11"/>
  <c r="N421" i="11"/>
  <c r="V421" i="11"/>
  <c r="M421" i="11"/>
  <c r="U421" i="11"/>
  <c r="L421" i="11"/>
  <c r="V443" i="11"/>
  <c r="N443" i="11"/>
  <c r="U443" i="11"/>
  <c r="M443" i="11"/>
  <c r="T443" i="11"/>
  <c r="L443" i="11"/>
  <c r="S443" i="11"/>
  <c r="K443" i="11"/>
  <c r="R443" i="11"/>
  <c r="Q443" i="11"/>
  <c r="P443" i="11"/>
  <c r="O443" i="11"/>
  <c r="Q724" i="11"/>
  <c r="P724" i="11"/>
  <c r="O724" i="11"/>
  <c r="V724" i="11"/>
  <c r="N724" i="11"/>
  <c r="U724" i="11"/>
  <c r="M724" i="11"/>
  <c r="T724" i="11"/>
  <c r="L724" i="11"/>
  <c r="S724" i="11"/>
  <c r="K724" i="11"/>
  <c r="R724" i="11"/>
  <c r="S105" i="11"/>
  <c r="K105" i="11"/>
  <c r="R105" i="11"/>
  <c r="Q105" i="11"/>
  <c r="P105" i="11"/>
  <c r="O105" i="11"/>
  <c r="V105" i="11"/>
  <c r="N105" i="11"/>
  <c r="U105" i="11"/>
  <c r="M105" i="11"/>
  <c r="T105" i="11"/>
  <c r="L105" i="11"/>
  <c r="V422" i="11"/>
  <c r="U422" i="11"/>
  <c r="M422" i="11"/>
  <c r="Q422" i="11"/>
  <c r="P422" i="11"/>
  <c r="O422" i="11"/>
  <c r="N422" i="11"/>
  <c r="L422" i="11"/>
  <c r="T422" i="11"/>
  <c r="K422" i="11"/>
  <c r="S422" i="11"/>
  <c r="R422" i="11"/>
  <c r="R299" i="11"/>
  <c r="Q299" i="11"/>
  <c r="P299" i="11"/>
  <c r="O299" i="11"/>
  <c r="V299" i="11"/>
  <c r="N299" i="11"/>
  <c r="U299" i="11"/>
  <c r="T299" i="11"/>
  <c r="S299" i="11"/>
  <c r="M299" i="11"/>
  <c r="L299" i="11"/>
  <c r="K299" i="11"/>
  <c r="O148" i="11"/>
  <c r="V148" i="11"/>
  <c r="N148" i="11"/>
  <c r="U148" i="11"/>
  <c r="M148" i="11"/>
  <c r="T148" i="11"/>
  <c r="L148" i="11"/>
  <c r="S148" i="11"/>
  <c r="K148" i="11"/>
  <c r="R148" i="11"/>
  <c r="Q148" i="11"/>
  <c r="P148" i="11"/>
  <c r="T933" i="11"/>
  <c r="L933" i="11"/>
  <c r="S933" i="11"/>
  <c r="K933" i="11"/>
  <c r="Q933" i="11"/>
  <c r="V933" i="11"/>
  <c r="N933" i="11"/>
  <c r="U933" i="11"/>
  <c r="R933" i="11"/>
  <c r="P933" i="11"/>
  <c r="O933" i="11"/>
  <c r="M933" i="11"/>
  <c r="Q728" i="11"/>
  <c r="P728" i="11"/>
  <c r="O728" i="11"/>
  <c r="V728" i="11"/>
  <c r="N728" i="11"/>
  <c r="U728" i="11"/>
  <c r="M728" i="11"/>
  <c r="T728" i="11"/>
  <c r="L728" i="11"/>
  <c r="S728" i="11"/>
  <c r="K728" i="11"/>
  <c r="R728" i="11"/>
  <c r="S149" i="11"/>
  <c r="K149" i="11"/>
  <c r="R149" i="11"/>
  <c r="Q149" i="11"/>
  <c r="P149" i="11"/>
  <c r="O149" i="11"/>
  <c r="V149" i="11"/>
  <c r="N149" i="11"/>
  <c r="U149" i="11"/>
  <c r="M149" i="11"/>
  <c r="T149" i="11"/>
  <c r="L149" i="11"/>
  <c r="Q890" i="11"/>
  <c r="U890" i="11"/>
  <c r="L890" i="11"/>
  <c r="T890" i="11"/>
  <c r="K890" i="11"/>
  <c r="S890" i="11"/>
  <c r="R890" i="11"/>
  <c r="P890" i="11"/>
  <c r="O890" i="11"/>
  <c r="N890" i="11"/>
  <c r="V890" i="11"/>
  <c r="M890" i="11"/>
  <c r="S241" i="11"/>
  <c r="K241" i="11"/>
  <c r="R241" i="11"/>
  <c r="Q241" i="11"/>
  <c r="P241" i="11"/>
  <c r="O241" i="11"/>
  <c r="V241" i="11"/>
  <c r="N241" i="11"/>
  <c r="U241" i="11"/>
  <c r="M241" i="11"/>
  <c r="T241" i="11"/>
  <c r="L241" i="11"/>
  <c r="O46" i="11"/>
  <c r="V46" i="11"/>
  <c r="N46" i="11"/>
  <c r="U46" i="11"/>
  <c r="M46" i="11"/>
  <c r="T46" i="11"/>
  <c r="L46" i="11"/>
  <c r="S46" i="11"/>
  <c r="K46" i="11"/>
  <c r="R46" i="11"/>
  <c r="Q46" i="11"/>
  <c r="P46" i="11"/>
  <c r="V451" i="11"/>
  <c r="N451" i="11"/>
  <c r="U451" i="11"/>
  <c r="M451" i="11"/>
  <c r="T451" i="11"/>
  <c r="L451" i="11"/>
  <c r="S451" i="11"/>
  <c r="K451" i="11"/>
  <c r="R451" i="11"/>
  <c r="Q451" i="11"/>
  <c r="P451" i="11"/>
  <c r="O451" i="11"/>
  <c r="U852" i="11"/>
  <c r="M852" i="11"/>
  <c r="T852" i="11"/>
  <c r="L852" i="11"/>
  <c r="R852" i="11"/>
  <c r="Q852" i="11"/>
  <c r="P852" i="11"/>
  <c r="V852" i="11"/>
  <c r="S852" i="11"/>
  <c r="O852" i="11"/>
  <c r="N852" i="11"/>
  <c r="K852" i="11"/>
  <c r="O338" i="11"/>
  <c r="V338" i="11"/>
  <c r="N338" i="11"/>
  <c r="U338" i="11"/>
  <c r="M338" i="11"/>
  <c r="T338" i="11"/>
  <c r="L338" i="11"/>
  <c r="S338" i="11"/>
  <c r="K338" i="11"/>
  <c r="R338" i="11"/>
  <c r="Q338" i="11"/>
  <c r="P338" i="11"/>
  <c r="V738" i="11"/>
  <c r="N738" i="11"/>
  <c r="T738" i="11"/>
  <c r="K738" i="11"/>
  <c r="S738" i="11"/>
  <c r="R738" i="11"/>
  <c r="Q738" i="11"/>
  <c r="P738" i="11"/>
  <c r="O738" i="11"/>
  <c r="M738" i="11"/>
  <c r="U738" i="11"/>
  <c r="L738" i="11"/>
  <c r="V535" i="11"/>
  <c r="N535" i="11"/>
  <c r="U535" i="11"/>
  <c r="M535" i="11"/>
  <c r="T535" i="11"/>
  <c r="L535" i="11"/>
  <c r="S535" i="11"/>
  <c r="K535" i="11"/>
  <c r="R535" i="11"/>
  <c r="Q535" i="11"/>
  <c r="P535" i="11"/>
  <c r="O535" i="11"/>
  <c r="R498" i="11"/>
  <c r="Q498" i="11"/>
  <c r="P498" i="11"/>
  <c r="O498" i="11"/>
  <c r="V498" i="11"/>
  <c r="N498" i="11"/>
  <c r="U498" i="11"/>
  <c r="M498" i="11"/>
  <c r="T498" i="11"/>
  <c r="L498" i="11"/>
  <c r="S498" i="11"/>
  <c r="K498" i="11"/>
  <c r="S293" i="11"/>
  <c r="K293" i="11"/>
  <c r="R293" i="11"/>
  <c r="Q293" i="11"/>
  <c r="P293" i="11"/>
  <c r="O293" i="11"/>
  <c r="V293" i="11"/>
  <c r="N293" i="11"/>
  <c r="U293" i="11"/>
  <c r="M293" i="11"/>
  <c r="T293" i="11"/>
  <c r="L293" i="11"/>
  <c r="R739" i="11"/>
  <c r="Q739" i="11"/>
  <c r="P739" i="11"/>
  <c r="O739" i="11"/>
  <c r="N739" i="11"/>
  <c r="V739" i="11"/>
  <c r="M739" i="11"/>
  <c r="U739" i="11"/>
  <c r="L739" i="11"/>
  <c r="T739" i="11"/>
  <c r="K739" i="11"/>
  <c r="S739" i="11"/>
  <c r="V499" i="11"/>
  <c r="N499" i="11"/>
  <c r="U499" i="11"/>
  <c r="M499" i="11"/>
  <c r="T499" i="11"/>
  <c r="L499" i="11"/>
  <c r="S499" i="11"/>
  <c r="K499" i="11"/>
  <c r="R499" i="11"/>
  <c r="Q499" i="11"/>
  <c r="P499" i="11"/>
  <c r="O499" i="11"/>
  <c r="R500" i="11"/>
  <c r="Q500" i="11"/>
  <c r="P500" i="11"/>
  <c r="O500" i="11"/>
  <c r="V500" i="11"/>
  <c r="N500" i="11"/>
  <c r="U500" i="11"/>
  <c r="M500" i="11"/>
  <c r="T500" i="11"/>
  <c r="L500" i="11"/>
  <c r="S500" i="11"/>
  <c r="K500" i="11"/>
  <c r="V740" i="11"/>
  <c r="N740" i="11"/>
  <c r="O740" i="11"/>
  <c r="M740" i="11"/>
  <c r="U740" i="11"/>
  <c r="L740" i="11"/>
  <c r="T740" i="11"/>
  <c r="K740" i="11"/>
  <c r="S740" i="11"/>
  <c r="R740" i="11"/>
  <c r="Q740" i="11"/>
  <c r="P740" i="11"/>
  <c r="O48" i="11"/>
  <c r="V48" i="11"/>
  <c r="N48" i="11"/>
  <c r="U48" i="11"/>
  <c r="M48" i="11"/>
  <c r="T48" i="11"/>
  <c r="L48" i="11"/>
  <c r="S48" i="11"/>
  <c r="K48" i="11"/>
  <c r="R48" i="11"/>
  <c r="Q48" i="11"/>
  <c r="P48" i="11"/>
  <c r="R472" i="11"/>
  <c r="Q472" i="11"/>
  <c r="P472" i="11"/>
  <c r="O472" i="11"/>
  <c r="V472" i="11"/>
  <c r="N472" i="11"/>
  <c r="U472" i="11"/>
  <c r="M472" i="11"/>
  <c r="T472" i="11"/>
  <c r="L472" i="11"/>
  <c r="K472" i="11"/>
  <c r="S472" i="11"/>
  <c r="S249" i="11"/>
  <c r="K249" i="11"/>
  <c r="R249" i="11"/>
  <c r="Q249" i="11"/>
  <c r="P249" i="11"/>
  <c r="O249" i="11"/>
  <c r="V249" i="11"/>
  <c r="N249" i="11"/>
  <c r="U249" i="11"/>
  <c r="M249" i="11"/>
  <c r="T249" i="11"/>
  <c r="L249" i="11"/>
  <c r="R747" i="11"/>
  <c r="V747" i="11"/>
  <c r="M747" i="11"/>
  <c r="U747" i="11"/>
  <c r="L747" i="11"/>
  <c r="T747" i="11"/>
  <c r="K747" i="11"/>
  <c r="S747" i="11"/>
  <c r="Q747" i="11"/>
  <c r="P747" i="11"/>
  <c r="O747" i="11"/>
  <c r="N747" i="11"/>
  <c r="O254" i="11"/>
  <c r="V254" i="11"/>
  <c r="N254" i="11"/>
  <c r="U254" i="11"/>
  <c r="M254" i="11"/>
  <c r="T254" i="11"/>
  <c r="L254" i="11"/>
  <c r="S254" i="11"/>
  <c r="K254" i="11"/>
  <c r="R254" i="11"/>
  <c r="Q254" i="11"/>
  <c r="P254" i="11"/>
  <c r="R749" i="11"/>
  <c r="P749" i="11"/>
  <c r="O749" i="11"/>
  <c r="N749" i="11"/>
  <c r="V749" i="11"/>
  <c r="M749" i="11"/>
  <c r="U749" i="11"/>
  <c r="L749" i="11"/>
  <c r="T749" i="11"/>
  <c r="K749" i="11"/>
  <c r="S749" i="11"/>
  <c r="Q749" i="11"/>
  <c r="O158" i="11"/>
  <c r="V158" i="11"/>
  <c r="N158" i="11"/>
  <c r="U158" i="11"/>
  <c r="M158" i="11"/>
  <c r="T158" i="11"/>
  <c r="L158" i="11"/>
  <c r="S158" i="11"/>
  <c r="K158" i="11"/>
  <c r="R158" i="11"/>
  <c r="Q158" i="11"/>
  <c r="P158" i="11"/>
  <c r="T927" i="11"/>
  <c r="L927" i="11"/>
  <c r="Q927" i="11"/>
  <c r="V927" i="11"/>
  <c r="N927" i="11"/>
  <c r="K927" i="11"/>
  <c r="U927" i="11"/>
  <c r="S927" i="11"/>
  <c r="R927" i="11"/>
  <c r="P927" i="11"/>
  <c r="O927" i="11"/>
  <c r="M927" i="11"/>
  <c r="S221" i="11"/>
  <c r="K221" i="11"/>
  <c r="R221" i="11"/>
  <c r="Q221" i="11"/>
  <c r="P221" i="11"/>
  <c r="O221" i="11"/>
  <c r="V221" i="11"/>
  <c r="N221" i="11"/>
  <c r="U221" i="11"/>
  <c r="M221" i="11"/>
  <c r="T221" i="11"/>
  <c r="L221" i="11"/>
  <c r="S51" i="11"/>
  <c r="K51" i="11"/>
  <c r="R51" i="11"/>
  <c r="Q51" i="11"/>
  <c r="P51" i="11"/>
  <c r="O51" i="11"/>
  <c r="V51" i="11"/>
  <c r="N51" i="11"/>
  <c r="U51" i="11"/>
  <c r="M51" i="11"/>
  <c r="T51" i="11"/>
  <c r="L51" i="11"/>
  <c r="V750" i="11"/>
  <c r="N750" i="11"/>
  <c r="M750" i="11"/>
  <c r="U750" i="11"/>
  <c r="L750" i="11"/>
  <c r="T750" i="11"/>
  <c r="K750" i="11"/>
  <c r="S750" i="11"/>
  <c r="R750" i="11"/>
  <c r="Q750" i="11"/>
  <c r="P750" i="11"/>
  <c r="O750" i="11"/>
  <c r="V756" i="11"/>
  <c r="N756" i="11"/>
  <c r="T756" i="11"/>
  <c r="R756" i="11"/>
  <c r="L756" i="11"/>
  <c r="K756" i="11"/>
  <c r="U756" i="11"/>
  <c r="S756" i="11"/>
  <c r="Q756" i="11"/>
  <c r="P756" i="11"/>
  <c r="O756" i="11"/>
  <c r="M756" i="11"/>
  <c r="R547" i="11"/>
  <c r="P547" i="11"/>
  <c r="O547" i="11"/>
  <c r="N547" i="11"/>
  <c r="V547" i="11"/>
  <c r="M547" i="11"/>
  <c r="U547" i="11"/>
  <c r="L547" i="11"/>
  <c r="T547" i="11"/>
  <c r="K547" i="11"/>
  <c r="S547" i="11"/>
  <c r="Q547" i="11"/>
  <c r="V548" i="11"/>
  <c r="N548" i="11"/>
  <c r="M548" i="11"/>
  <c r="U548" i="11"/>
  <c r="L548" i="11"/>
  <c r="T548" i="11"/>
  <c r="K548" i="11"/>
  <c r="S548" i="11"/>
  <c r="R548" i="11"/>
  <c r="Q548" i="11"/>
  <c r="P548" i="11"/>
  <c r="O548" i="11"/>
  <c r="R761" i="11"/>
  <c r="Q761" i="11"/>
  <c r="P761" i="11"/>
  <c r="V761" i="11"/>
  <c r="N761" i="11"/>
  <c r="U761" i="11"/>
  <c r="M761" i="11"/>
  <c r="T761" i="11"/>
  <c r="S761" i="11"/>
  <c r="O761" i="11"/>
  <c r="L761" i="11"/>
  <c r="K761" i="11"/>
  <c r="V453" i="11"/>
  <c r="N453" i="11"/>
  <c r="U453" i="11"/>
  <c r="M453" i="11"/>
  <c r="T453" i="11"/>
  <c r="L453" i="11"/>
  <c r="S453" i="11"/>
  <c r="K453" i="11"/>
  <c r="R453" i="11"/>
  <c r="Q453" i="11"/>
  <c r="P453" i="11"/>
  <c r="O453" i="11"/>
  <c r="O658" i="11"/>
  <c r="V658" i="11"/>
  <c r="N658" i="11"/>
  <c r="U658" i="11"/>
  <c r="M658" i="11"/>
  <c r="T658" i="11"/>
  <c r="L658" i="11"/>
  <c r="S658" i="11"/>
  <c r="K658" i="11"/>
  <c r="R658" i="11"/>
  <c r="Q658" i="11"/>
  <c r="P658" i="11"/>
  <c r="R763" i="11"/>
  <c r="Q763" i="11"/>
  <c r="P763" i="11"/>
  <c r="V763" i="11"/>
  <c r="N763" i="11"/>
  <c r="U763" i="11"/>
  <c r="M763" i="11"/>
  <c r="T763" i="11"/>
  <c r="S763" i="11"/>
  <c r="O763" i="11"/>
  <c r="L763" i="11"/>
  <c r="K763" i="11"/>
  <c r="R980" i="11"/>
  <c r="Q980" i="11"/>
  <c r="V980" i="11"/>
  <c r="K980" i="11"/>
  <c r="S980" i="11"/>
  <c r="P980" i="11"/>
  <c r="N980" i="11"/>
  <c r="S235" i="11"/>
  <c r="K235" i="11"/>
  <c r="R235" i="11"/>
  <c r="Q235" i="11"/>
  <c r="P235" i="11"/>
  <c r="O235" i="11"/>
  <c r="V235" i="11"/>
  <c r="N235" i="11"/>
  <c r="U235" i="11"/>
  <c r="M235" i="11"/>
  <c r="T235" i="11"/>
  <c r="L235" i="11"/>
  <c r="S303" i="11"/>
  <c r="K303" i="11"/>
  <c r="R303" i="11"/>
  <c r="Q303" i="11"/>
  <c r="P303" i="11"/>
  <c r="O303" i="11"/>
  <c r="V303" i="11"/>
  <c r="N303" i="11"/>
  <c r="U303" i="11"/>
  <c r="T303" i="11"/>
  <c r="M303" i="11"/>
  <c r="L303" i="11"/>
  <c r="S107" i="11"/>
  <c r="K107" i="11"/>
  <c r="R107" i="11"/>
  <c r="Q107" i="11"/>
  <c r="P107" i="11"/>
  <c r="O107" i="11"/>
  <c r="V107" i="11"/>
  <c r="N107" i="11"/>
  <c r="U107" i="11"/>
  <c r="M107" i="11"/>
  <c r="T107" i="11"/>
  <c r="L107" i="11"/>
  <c r="O764" i="11"/>
  <c r="V764" i="11"/>
  <c r="N764" i="11"/>
  <c r="U764" i="11"/>
  <c r="M764" i="11"/>
  <c r="T764" i="11"/>
  <c r="L764" i="11"/>
  <c r="S764" i="11"/>
  <c r="R764" i="11"/>
  <c r="Q764" i="11"/>
  <c r="P764" i="11"/>
  <c r="K764" i="11"/>
  <c r="O644" i="11"/>
  <c r="V644" i="11"/>
  <c r="N644" i="11"/>
  <c r="U644" i="11"/>
  <c r="M644" i="11"/>
  <c r="T644" i="11"/>
  <c r="L644" i="11"/>
  <c r="S644" i="11"/>
  <c r="K644" i="11"/>
  <c r="R644" i="11"/>
  <c r="Q644" i="11"/>
  <c r="P644" i="11"/>
  <c r="V552" i="11"/>
  <c r="N552" i="11"/>
  <c r="T552" i="11"/>
  <c r="K552" i="11"/>
  <c r="S552" i="11"/>
  <c r="R552" i="11"/>
  <c r="Q552" i="11"/>
  <c r="P552" i="11"/>
  <c r="O552" i="11"/>
  <c r="M552" i="11"/>
  <c r="U552" i="11"/>
  <c r="L552" i="11"/>
  <c r="O152" i="11"/>
  <c r="V152" i="11"/>
  <c r="N152" i="11"/>
  <c r="U152" i="11"/>
  <c r="M152" i="11"/>
  <c r="T152" i="11"/>
  <c r="L152" i="11"/>
  <c r="S152" i="11"/>
  <c r="K152" i="11"/>
  <c r="R152" i="11"/>
  <c r="Q152" i="11"/>
  <c r="P152" i="11"/>
  <c r="O108" i="11"/>
  <c r="V108" i="11"/>
  <c r="N108" i="11"/>
  <c r="U108" i="11"/>
  <c r="M108" i="11"/>
  <c r="T108" i="11"/>
  <c r="L108" i="11"/>
  <c r="S108" i="11"/>
  <c r="K108" i="11"/>
  <c r="R108" i="11"/>
  <c r="Q108" i="11"/>
  <c r="P108" i="11"/>
  <c r="O654" i="11"/>
  <c r="V654" i="11"/>
  <c r="N654" i="11"/>
  <c r="U654" i="11"/>
  <c r="M654" i="11"/>
  <c r="T654" i="11"/>
  <c r="L654" i="11"/>
  <c r="S654" i="11"/>
  <c r="K654" i="11"/>
  <c r="R654" i="11"/>
  <c r="Q654" i="11"/>
  <c r="P654" i="11"/>
  <c r="V463" i="11"/>
  <c r="N463" i="11"/>
  <c r="U463" i="11"/>
  <c r="M463" i="11"/>
  <c r="T463" i="11"/>
  <c r="L463" i="11"/>
  <c r="S463" i="11"/>
  <c r="K463" i="11"/>
  <c r="R463" i="11"/>
  <c r="Q463" i="11"/>
  <c r="P463" i="11"/>
  <c r="O463" i="11"/>
  <c r="O14" i="11"/>
  <c r="R14" i="11"/>
  <c r="S113" i="11"/>
  <c r="K113" i="11"/>
  <c r="R113" i="11"/>
  <c r="Q113" i="11"/>
  <c r="P113" i="11"/>
  <c r="O113" i="11"/>
  <c r="V113" i="11"/>
  <c r="N113" i="11"/>
  <c r="U113" i="11"/>
  <c r="M113" i="11"/>
  <c r="T113" i="11"/>
  <c r="L113" i="11"/>
  <c r="O162" i="11"/>
  <c r="V162" i="11"/>
  <c r="N162" i="11"/>
  <c r="U162" i="11"/>
  <c r="M162" i="11"/>
  <c r="T162" i="11"/>
  <c r="L162" i="11"/>
  <c r="S162" i="11"/>
  <c r="K162" i="11"/>
  <c r="R162" i="11"/>
  <c r="Q162" i="11"/>
  <c r="P162" i="11"/>
  <c r="S163" i="11"/>
  <c r="K163" i="11"/>
  <c r="R163" i="11"/>
  <c r="Q163" i="11"/>
  <c r="P163" i="11"/>
  <c r="O163" i="11"/>
  <c r="V163" i="11"/>
  <c r="N163" i="11"/>
  <c r="U163" i="11"/>
  <c r="M163" i="11"/>
  <c r="T163" i="11"/>
  <c r="L163" i="11"/>
  <c r="O164" i="11"/>
  <c r="V164" i="11"/>
  <c r="N164" i="11"/>
  <c r="U164" i="11"/>
  <c r="M164" i="11"/>
  <c r="T164" i="11"/>
  <c r="L164" i="11"/>
  <c r="S164" i="11"/>
  <c r="K164" i="11"/>
  <c r="R164" i="11"/>
  <c r="Q164" i="11"/>
  <c r="P164" i="11"/>
  <c r="V455" i="11"/>
  <c r="N455" i="11"/>
  <c r="U455" i="11"/>
  <c r="M455" i="11"/>
  <c r="T455" i="11"/>
  <c r="L455" i="11"/>
  <c r="S455" i="11"/>
  <c r="K455" i="11"/>
  <c r="R455" i="11"/>
  <c r="Q455" i="11"/>
  <c r="P455" i="11"/>
  <c r="O455" i="11"/>
  <c r="O396" i="11"/>
  <c r="V396" i="11"/>
  <c r="N396" i="11"/>
  <c r="U396" i="11"/>
  <c r="M396" i="11"/>
  <c r="T396" i="11"/>
  <c r="L396" i="11"/>
  <c r="S396" i="11"/>
  <c r="K396" i="11"/>
  <c r="R396" i="11"/>
  <c r="Q396" i="11"/>
  <c r="P396" i="11"/>
  <c r="T771" i="11"/>
  <c r="L771" i="11"/>
  <c r="S771" i="11"/>
  <c r="K771" i="11"/>
  <c r="R771" i="11"/>
  <c r="Q771" i="11"/>
  <c r="P771" i="11"/>
  <c r="O771" i="11"/>
  <c r="V771" i="11"/>
  <c r="N771" i="11"/>
  <c r="U771" i="11"/>
  <c r="M771" i="11"/>
  <c r="Q167" i="11"/>
  <c r="P167" i="11"/>
  <c r="U167" i="11"/>
  <c r="L167" i="11"/>
  <c r="V167" i="11"/>
  <c r="K167" i="11"/>
  <c r="T167" i="11"/>
  <c r="S167" i="11"/>
  <c r="R167" i="11"/>
  <c r="O167" i="11"/>
  <c r="N167" i="11"/>
  <c r="M167" i="11"/>
  <c r="O238" i="11"/>
  <c r="V238" i="11"/>
  <c r="N238" i="11"/>
  <c r="U238" i="11"/>
  <c r="M238" i="11"/>
  <c r="T238" i="11"/>
  <c r="L238" i="11"/>
  <c r="S238" i="11"/>
  <c r="K238" i="11"/>
  <c r="R238" i="11"/>
  <c r="Q238" i="11"/>
  <c r="P238" i="11"/>
  <c r="S15" i="11"/>
  <c r="K15" i="11"/>
  <c r="O15" i="11"/>
  <c r="V15" i="11"/>
  <c r="N15" i="11"/>
  <c r="T15" i="11"/>
  <c r="O168" i="11"/>
  <c r="U168" i="11"/>
  <c r="M168" i="11"/>
  <c r="T168" i="11"/>
  <c r="L168" i="11"/>
  <c r="R168" i="11"/>
  <c r="Q168" i="11"/>
  <c r="K168" i="11"/>
  <c r="V168" i="11"/>
  <c r="S168" i="11"/>
  <c r="P168" i="11"/>
  <c r="N168" i="11"/>
  <c r="P774" i="11"/>
  <c r="O774" i="11"/>
  <c r="V774" i="11"/>
  <c r="N774" i="11"/>
  <c r="U774" i="11"/>
  <c r="M774" i="11"/>
  <c r="T774" i="11"/>
  <c r="L774" i="11"/>
  <c r="S774" i="11"/>
  <c r="K774" i="11"/>
  <c r="R774" i="11"/>
  <c r="Q774" i="11"/>
  <c r="O593" i="11"/>
  <c r="V593" i="11"/>
  <c r="N593" i="11"/>
  <c r="U593" i="11"/>
  <c r="M593" i="11"/>
  <c r="T593" i="11"/>
  <c r="L593" i="11"/>
  <c r="S593" i="11"/>
  <c r="K593" i="11"/>
  <c r="R593" i="11"/>
  <c r="Q593" i="11"/>
  <c r="P593" i="11"/>
  <c r="V777" i="11"/>
  <c r="N777" i="11"/>
  <c r="U777" i="11"/>
  <c r="M777" i="11"/>
  <c r="T777" i="11"/>
  <c r="L777" i="11"/>
  <c r="S777" i="11"/>
  <c r="K777" i="11"/>
  <c r="R777" i="11"/>
  <c r="Q777" i="11"/>
  <c r="P777" i="11"/>
  <c r="O777" i="11"/>
  <c r="O260" i="11"/>
  <c r="V260" i="11"/>
  <c r="N260" i="11"/>
  <c r="U260" i="11"/>
  <c r="M260" i="11"/>
  <c r="T260" i="11"/>
  <c r="L260" i="11"/>
  <c r="S260" i="11"/>
  <c r="K260" i="11"/>
  <c r="R260" i="11"/>
  <c r="Q260" i="11"/>
  <c r="P260" i="11"/>
  <c r="P872" i="11"/>
  <c r="O872" i="11"/>
  <c r="V872" i="11"/>
  <c r="N872" i="11"/>
  <c r="U872" i="11"/>
  <c r="M872" i="11"/>
  <c r="T872" i="11"/>
  <c r="L872" i="11"/>
  <c r="S872" i="11"/>
  <c r="K872" i="11"/>
  <c r="R872" i="11"/>
  <c r="Q872" i="11"/>
  <c r="O188" i="11"/>
  <c r="V188" i="11"/>
  <c r="N188" i="11"/>
  <c r="U188" i="11"/>
  <c r="M188" i="11"/>
  <c r="T188" i="11"/>
  <c r="L188" i="11"/>
  <c r="S188" i="11"/>
  <c r="K188" i="11"/>
  <c r="R188" i="11"/>
  <c r="Q188" i="11"/>
  <c r="P188" i="11"/>
  <c r="O304" i="11"/>
  <c r="V304" i="11"/>
  <c r="N304" i="11"/>
  <c r="U304" i="11"/>
  <c r="M304" i="11"/>
  <c r="T304" i="11"/>
  <c r="L304" i="11"/>
  <c r="S304" i="11"/>
  <c r="K304" i="11"/>
  <c r="R304" i="11"/>
  <c r="Q304" i="11"/>
  <c r="P304" i="11"/>
  <c r="V485" i="11"/>
  <c r="N485" i="11"/>
  <c r="U485" i="11"/>
  <c r="M485" i="11"/>
  <c r="T485" i="11"/>
  <c r="L485" i="11"/>
  <c r="S485" i="11"/>
  <c r="K485" i="11"/>
  <c r="R485" i="11"/>
  <c r="Q485" i="11"/>
  <c r="P485" i="11"/>
  <c r="O485" i="11"/>
  <c r="Q859" i="11"/>
  <c r="P859" i="11"/>
  <c r="V859" i="11"/>
  <c r="N859" i="11"/>
  <c r="U859" i="11"/>
  <c r="M859" i="11"/>
  <c r="T859" i="11"/>
  <c r="L859" i="11"/>
  <c r="S859" i="11"/>
  <c r="R859" i="11"/>
  <c r="O859" i="11"/>
  <c r="K859" i="11"/>
  <c r="S974" i="11"/>
  <c r="K974" i="11"/>
  <c r="M974" i="11"/>
  <c r="U974" i="11"/>
  <c r="R974" i="11"/>
  <c r="P974" i="11"/>
  <c r="O597" i="11"/>
  <c r="V597" i="11"/>
  <c r="N597" i="11"/>
  <c r="U597" i="11"/>
  <c r="M597" i="11"/>
  <c r="T597" i="11"/>
  <c r="L597" i="11"/>
  <c r="S597" i="11"/>
  <c r="K597" i="11"/>
  <c r="R597" i="11"/>
  <c r="Q597" i="11"/>
  <c r="P597" i="11"/>
  <c r="O200" i="11"/>
  <c r="V200" i="11"/>
  <c r="N200" i="11"/>
  <c r="U200" i="11"/>
  <c r="M200" i="11"/>
  <c r="T200" i="11"/>
  <c r="L200" i="11"/>
  <c r="S200" i="11"/>
  <c r="K200" i="11"/>
  <c r="R200" i="11"/>
  <c r="Q200" i="11"/>
  <c r="P200" i="11"/>
  <c r="V781" i="11"/>
  <c r="N781" i="11"/>
  <c r="U781" i="11"/>
  <c r="M781" i="11"/>
  <c r="T781" i="11"/>
  <c r="L781" i="11"/>
  <c r="S781" i="11"/>
  <c r="K781" i="11"/>
  <c r="R781" i="11"/>
  <c r="Q781" i="11"/>
  <c r="P781" i="11"/>
  <c r="O781" i="11"/>
  <c r="S383" i="11"/>
  <c r="K383" i="11"/>
  <c r="R383" i="11"/>
  <c r="Q383" i="11"/>
  <c r="P383" i="11"/>
  <c r="O383" i="11"/>
  <c r="V383" i="11"/>
  <c r="N383" i="11"/>
  <c r="U383" i="11"/>
  <c r="M383" i="11"/>
  <c r="T383" i="11"/>
  <c r="L383" i="11"/>
  <c r="S598" i="11"/>
  <c r="K598" i="11"/>
  <c r="R598" i="11"/>
  <c r="Q598" i="11"/>
  <c r="P598" i="11"/>
  <c r="O598" i="11"/>
  <c r="V598" i="11"/>
  <c r="N598" i="11"/>
  <c r="U598" i="11"/>
  <c r="M598" i="11"/>
  <c r="T598" i="11"/>
  <c r="L598" i="11"/>
  <c r="U433" i="11"/>
  <c r="M433" i="11"/>
  <c r="T433" i="11"/>
  <c r="L433" i="11"/>
  <c r="S433" i="11"/>
  <c r="K433" i="11"/>
  <c r="R433" i="11"/>
  <c r="Q433" i="11"/>
  <c r="P433" i="11"/>
  <c r="N433" i="11"/>
  <c r="V433" i="11"/>
  <c r="O433" i="11"/>
  <c r="S647" i="11"/>
  <c r="K647" i="11"/>
  <c r="R647" i="11"/>
  <c r="Q647" i="11"/>
  <c r="P647" i="11"/>
  <c r="O647" i="11"/>
  <c r="V647" i="11"/>
  <c r="N647" i="11"/>
  <c r="U647" i="11"/>
  <c r="M647" i="11"/>
  <c r="T647" i="11"/>
  <c r="L647" i="11"/>
  <c r="S659" i="11"/>
  <c r="K659" i="11"/>
  <c r="R659" i="11"/>
  <c r="Q659" i="11"/>
  <c r="P659" i="11"/>
  <c r="O659" i="11"/>
  <c r="V659" i="11"/>
  <c r="N659" i="11"/>
  <c r="U659" i="11"/>
  <c r="M659" i="11"/>
  <c r="T659" i="11"/>
  <c r="L659" i="11"/>
  <c r="R480" i="11"/>
  <c r="Q480" i="11"/>
  <c r="P480" i="11"/>
  <c r="O480" i="11"/>
  <c r="V480" i="11"/>
  <c r="N480" i="11"/>
  <c r="U480" i="11"/>
  <c r="M480" i="11"/>
  <c r="T480" i="11"/>
  <c r="L480" i="11"/>
  <c r="S480" i="11"/>
  <c r="K480" i="11"/>
  <c r="R478" i="11"/>
  <c r="Q478" i="11"/>
  <c r="P478" i="11"/>
  <c r="O478" i="11"/>
  <c r="V478" i="11"/>
  <c r="N478" i="11"/>
  <c r="U478" i="11"/>
  <c r="M478" i="11"/>
  <c r="T478" i="11"/>
  <c r="L478" i="11"/>
  <c r="S478" i="11"/>
  <c r="K478" i="11"/>
  <c r="S277" i="11"/>
  <c r="K277" i="11"/>
  <c r="R277" i="11"/>
  <c r="Q277" i="11"/>
  <c r="P277" i="11"/>
  <c r="O277" i="11"/>
  <c r="V277" i="11"/>
  <c r="N277" i="11"/>
  <c r="U277" i="11"/>
  <c r="M277" i="11"/>
  <c r="T277" i="11"/>
  <c r="L277" i="11"/>
  <c r="S87" i="11"/>
  <c r="K87" i="11"/>
  <c r="R87" i="11"/>
  <c r="Q87" i="11"/>
  <c r="P87" i="11"/>
  <c r="O87" i="11"/>
  <c r="V87" i="11"/>
  <c r="N87" i="11"/>
  <c r="U87" i="11"/>
  <c r="M87" i="11"/>
  <c r="T87" i="11"/>
  <c r="L87" i="11"/>
  <c r="V481" i="11"/>
  <c r="N481" i="11"/>
  <c r="U481" i="11"/>
  <c r="M481" i="11"/>
  <c r="T481" i="11"/>
  <c r="L481" i="11"/>
  <c r="S481" i="11"/>
  <c r="K481" i="11"/>
  <c r="R481" i="11"/>
  <c r="Q481" i="11"/>
  <c r="P481" i="11"/>
  <c r="O481" i="11"/>
  <c r="Q434" i="11"/>
  <c r="P434" i="11"/>
  <c r="O434" i="11"/>
  <c r="V434" i="11"/>
  <c r="N434" i="11"/>
  <c r="U434" i="11"/>
  <c r="M434" i="11"/>
  <c r="T434" i="11"/>
  <c r="L434" i="11"/>
  <c r="S434" i="11"/>
  <c r="R434" i="11"/>
  <c r="K434" i="11"/>
  <c r="S339" i="11"/>
  <c r="K339" i="11"/>
  <c r="R339" i="11"/>
  <c r="Q339" i="11"/>
  <c r="P339" i="11"/>
  <c r="O339" i="11"/>
  <c r="V339" i="11"/>
  <c r="N339" i="11"/>
  <c r="U339" i="11"/>
  <c r="M339" i="11"/>
  <c r="T339" i="11"/>
  <c r="L339" i="11"/>
  <c r="O66" i="11"/>
  <c r="V66" i="11"/>
  <c r="N66" i="11"/>
  <c r="U66" i="11"/>
  <c r="M66" i="11"/>
  <c r="T66" i="11"/>
  <c r="L66" i="11"/>
  <c r="S66" i="11"/>
  <c r="K66" i="11"/>
  <c r="R66" i="11"/>
  <c r="Q66" i="11"/>
  <c r="P66" i="11"/>
  <c r="R562" i="11"/>
  <c r="V562" i="11"/>
  <c r="N562" i="11"/>
  <c r="S562" i="11"/>
  <c r="Q562" i="11"/>
  <c r="P562" i="11"/>
  <c r="O562" i="11"/>
  <c r="M562" i="11"/>
  <c r="L562" i="11"/>
  <c r="U562" i="11"/>
  <c r="K562" i="11"/>
  <c r="T562" i="11"/>
  <c r="O284" i="11"/>
  <c r="V284" i="11"/>
  <c r="N284" i="11"/>
  <c r="U284" i="11"/>
  <c r="M284" i="11"/>
  <c r="T284" i="11"/>
  <c r="L284" i="11"/>
  <c r="S284" i="11"/>
  <c r="K284" i="11"/>
  <c r="R284" i="11"/>
  <c r="Q284" i="11"/>
  <c r="P284" i="11"/>
  <c r="S205" i="11"/>
  <c r="K205" i="11"/>
  <c r="R205" i="11"/>
  <c r="Q205" i="11"/>
  <c r="P205" i="11"/>
  <c r="O205" i="11"/>
  <c r="V205" i="11"/>
  <c r="N205" i="11"/>
  <c r="U205" i="11"/>
  <c r="M205" i="11"/>
  <c r="T205" i="11"/>
  <c r="L205" i="11"/>
  <c r="R482" i="11"/>
  <c r="Q482" i="11"/>
  <c r="P482" i="11"/>
  <c r="O482" i="11"/>
  <c r="V482" i="11"/>
  <c r="N482" i="11"/>
  <c r="U482" i="11"/>
  <c r="M482" i="11"/>
  <c r="T482" i="11"/>
  <c r="L482" i="11"/>
  <c r="S482" i="11"/>
  <c r="K482" i="11"/>
  <c r="S958" i="11"/>
  <c r="K958" i="11"/>
  <c r="O958" i="11"/>
  <c r="M958" i="11"/>
  <c r="U958" i="11"/>
  <c r="R958" i="11"/>
  <c r="P958" i="11"/>
  <c r="S245" i="11"/>
  <c r="K245" i="11"/>
  <c r="R245" i="11"/>
  <c r="Q245" i="11"/>
  <c r="P245" i="11"/>
  <c r="O245" i="11"/>
  <c r="V245" i="11"/>
  <c r="N245" i="11"/>
  <c r="U245" i="11"/>
  <c r="M245" i="11"/>
  <c r="T245" i="11"/>
  <c r="L245" i="11"/>
  <c r="S111" i="11"/>
  <c r="K111" i="11"/>
  <c r="R111" i="11"/>
  <c r="Q111" i="11"/>
  <c r="P111" i="11"/>
  <c r="O111" i="11"/>
  <c r="V111" i="11"/>
  <c r="N111" i="11"/>
  <c r="U111" i="11"/>
  <c r="M111" i="11"/>
  <c r="T111" i="11"/>
  <c r="L111" i="11"/>
  <c r="S211" i="11"/>
  <c r="K211" i="11"/>
  <c r="R211" i="11"/>
  <c r="Q211" i="11"/>
  <c r="P211" i="11"/>
  <c r="O211" i="11"/>
  <c r="V211" i="11"/>
  <c r="N211" i="11"/>
  <c r="U211" i="11"/>
  <c r="M211" i="11"/>
  <c r="T211" i="11"/>
  <c r="L211" i="11"/>
  <c r="O877" i="11"/>
  <c r="V877" i="11"/>
  <c r="N877" i="11"/>
  <c r="U877" i="11"/>
  <c r="M877" i="11"/>
  <c r="T877" i="11"/>
  <c r="L877" i="11"/>
  <c r="S877" i="11"/>
  <c r="K877" i="11"/>
  <c r="R877" i="11"/>
  <c r="Q877" i="11"/>
  <c r="P877" i="11"/>
  <c r="O591" i="11"/>
  <c r="V591" i="11"/>
  <c r="N591" i="11"/>
  <c r="U591" i="11"/>
  <c r="M591" i="11"/>
  <c r="T591" i="11"/>
  <c r="L591" i="11"/>
  <c r="S591" i="11"/>
  <c r="K591" i="11"/>
  <c r="R591" i="11"/>
  <c r="Q591" i="11"/>
  <c r="P591" i="11"/>
  <c r="O220" i="11"/>
  <c r="V220" i="11"/>
  <c r="N220" i="11"/>
  <c r="U220" i="11"/>
  <c r="M220" i="11"/>
  <c r="T220" i="11"/>
  <c r="L220" i="11"/>
  <c r="S220" i="11"/>
  <c r="K220" i="11"/>
  <c r="R220" i="11"/>
  <c r="Q220" i="11"/>
  <c r="P220" i="11"/>
  <c r="O248" i="11"/>
  <c r="V248" i="11"/>
  <c r="N248" i="11"/>
  <c r="U248" i="11"/>
  <c r="M248" i="11"/>
  <c r="T248" i="11"/>
  <c r="L248" i="11"/>
  <c r="S248" i="11"/>
  <c r="K248" i="11"/>
  <c r="R248" i="11"/>
  <c r="Q248" i="11"/>
  <c r="P248" i="11"/>
  <c r="T867" i="11"/>
  <c r="L867" i="11"/>
  <c r="S867" i="11"/>
  <c r="K867" i="11"/>
  <c r="R867" i="11"/>
  <c r="Q867" i="11"/>
  <c r="P867" i="11"/>
  <c r="O867" i="11"/>
  <c r="V867" i="11"/>
  <c r="U867" i="11"/>
  <c r="N867" i="11"/>
  <c r="M867" i="11"/>
  <c r="S903" i="11"/>
  <c r="K903" i="11"/>
  <c r="O903" i="11"/>
  <c r="M903" i="11"/>
  <c r="V903" i="11"/>
  <c r="L903" i="11"/>
  <c r="U903" i="11"/>
  <c r="T903" i="11"/>
  <c r="R903" i="11"/>
  <c r="Q903" i="11"/>
  <c r="P903" i="11"/>
  <c r="N903" i="11"/>
  <c r="O68" i="11"/>
  <c r="V68" i="11"/>
  <c r="N68" i="11"/>
  <c r="U68" i="11"/>
  <c r="M68" i="11"/>
  <c r="T68" i="11"/>
  <c r="L68" i="11"/>
  <c r="S68" i="11"/>
  <c r="K68" i="11"/>
  <c r="R68" i="11"/>
  <c r="Q68" i="11"/>
  <c r="P68" i="11"/>
  <c r="U854" i="11"/>
  <c r="M854" i="11"/>
  <c r="T854" i="11"/>
  <c r="L854" i="11"/>
  <c r="R854" i="11"/>
  <c r="Q854" i="11"/>
  <c r="P854" i="11"/>
  <c r="V854" i="11"/>
  <c r="S854" i="11"/>
  <c r="O854" i="11"/>
  <c r="N854" i="11"/>
  <c r="K854" i="11"/>
  <c r="S69" i="11"/>
  <c r="K69" i="11"/>
  <c r="R69" i="11"/>
  <c r="Q69" i="11"/>
  <c r="P69" i="11"/>
  <c r="O69" i="11"/>
  <c r="V69" i="11"/>
  <c r="N69" i="11"/>
  <c r="U69" i="11"/>
  <c r="M69" i="11"/>
  <c r="T69" i="11"/>
  <c r="L69" i="11"/>
  <c r="S137" i="11"/>
  <c r="K137" i="11"/>
  <c r="R137" i="11"/>
  <c r="Q137" i="11"/>
  <c r="P137" i="11"/>
  <c r="O137" i="11"/>
  <c r="V137" i="11"/>
  <c r="N137" i="11"/>
  <c r="U137" i="11"/>
  <c r="M137" i="11"/>
  <c r="T137" i="11"/>
  <c r="L137" i="11"/>
  <c r="O70" i="11"/>
  <c r="V70" i="11"/>
  <c r="N70" i="11"/>
  <c r="U70" i="11"/>
  <c r="M70" i="11"/>
  <c r="T70" i="11"/>
  <c r="L70" i="11"/>
  <c r="S70" i="11"/>
  <c r="K70" i="11"/>
  <c r="R70" i="11"/>
  <c r="Q70" i="11"/>
  <c r="P70" i="11"/>
  <c r="S387" i="11"/>
  <c r="K387" i="11"/>
  <c r="R387" i="11"/>
  <c r="Q387" i="11"/>
  <c r="P387" i="11"/>
  <c r="O387" i="11"/>
  <c r="V387" i="11"/>
  <c r="N387" i="11"/>
  <c r="U387" i="11"/>
  <c r="M387" i="11"/>
  <c r="T387" i="11"/>
  <c r="L387" i="11"/>
  <c r="R944" i="11"/>
  <c r="U944" i="11"/>
  <c r="M944" i="11"/>
  <c r="O944" i="11"/>
  <c r="N944" i="11"/>
  <c r="L944" i="11"/>
  <c r="V944" i="11"/>
  <c r="T944" i="11"/>
  <c r="Q944" i="11"/>
  <c r="O648" i="11"/>
  <c r="V648" i="11"/>
  <c r="N648" i="11"/>
  <c r="U648" i="11"/>
  <c r="M648" i="11"/>
  <c r="T648" i="11"/>
  <c r="L648" i="11"/>
  <c r="S648" i="11"/>
  <c r="K648" i="11"/>
  <c r="R648" i="11"/>
  <c r="Q648" i="11"/>
  <c r="P648" i="11"/>
  <c r="R484" i="11"/>
  <c r="Q484" i="11"/>
  <c r="P484" i="11"/>
  <c r="O484" i="11"/>
  <c r="V484" i="11"/>
  <c r="N484" i="11"/>
  <c r="U484" i="11"/>
  <c r="M484" i="11"/>
  <c r="T484" i="11"/>
  <c r="L484" i="11"/>
  <c r="S484" i="11"/>
  <c r="K484" i="11"/>
  <c r="O827" i="11"/>
  <c r="V827" i="11"/>
  <c r="N827" i="11"/>
  <c r="T827" i="11"/>
  <c r="L827" i="11"/>
  <c r="S827" i="11"/>
  <c r="K827" i="11"/>
  <c r="R827" i="11"/>
  <c r="Q827" i="11"/>
  <c r="U827" i="11"/>
  <c r="P827" i="11"/>
  <c r="M827" i="11"/>
  <c r="O340" i="11"/>
  <c r="V340" i="11"/>
  <c r="N340" i="11"/>
  <c r="U340" i="11"/>
  <c r="M340" i="11"/>
  <c r="T340" i="11"/>
  <c r="L340" i="11"/>
  <c r="S340" i="11"/>
  <c r="K340" i="11"/>
  <c r="R340" i="11"/>
  <c r="Q340" i="11"/>
  <c r="P340" i="11"/>
  <c r="S179" i="11"/>
  <c r="K179" i="11"/>
  <c r="R179" i="11"/>
  <c r="Q179" i="11"/>
  <c r="P179" i="11"/>
  <c r="O179" i="11"/>
  <c r="V179" i="11"/>
  <c r="N179" i="11"/>
  <c r="U179" i="11"/>
  <c r="M179" i="11"/>
  <c r="T179" i="11"/>
  <c r="L179" i="11"/>
  <c r="S289" i="11"/>
  <c r="K289" i="11"/>
  <c r="R289" i="11"/>
  <c r="Q289" i="11"/>
  <c r="P289" i="11"/>
  <c r="O289" i="11"/>
  <c r="V289" i="11"/>
  <c r="N289" i="11"/>
  <c r="U289" i="11"/>
  <c r="M289" i="11"/>
  <c r="T289" i="11"/>
  <c r="L289" i="11"/>
  <c r="O961" i="11"/>
  <c r="R961" i="11"/>
  <c r="N961" i="11"/>
  <c r="V961" i="11"/>
  <c r="L961" i="11"/>
  <c r="K961" i="11"/>
  <c r="T961" i="11"/>
  <c r="S961" i="11"/>
  <c r="Q961" i="11"/>
  <c r="O180" i="11"/>
  <c r="V180" i="11"/>
  <c r="N180" i="11"/>
  <c r="U180" i="11"/>
  <c r="M180" i="11"/>
  <c r="T180" i="11"/>
  <c r="L180" i="11"/>
  <c r="S180" i="11"/>
  <c r="K180" i="11"/>
  <c r="R180" i="11"/>
  <c r="Q180" i="11"/>
  <c r="P180" i="11"/>
  <c r="S371" i="11"/>
  <c r="K371" i="11"/>
  <c r="R371" i="11"/>
  <c r="Q371" i="11"/>
  <c r="P371" i="11"/>
  <c r="O371" i="11"/>
  <c r="V371" i="11"/>
  <c r="N371" i="11"/>
  <c r="U371" i="11"/>
  <c r="M371" i="11"/>
  <c r="T371" i="11"/>
  <c r="L371" i="11"/>
  <c r="O72" i="11"/>
  <c r="V72" i="11"/>
  <c r="N72" i="11"/>
  <c r="U72" i="11"/>
  <c r="M72" i="11"/>
  <c r="T72" i="11"/>
  <c r="L72" i="11"/>
  <c r="S72" i="11"/>
  <c r="K72" i="11"/>
  <c r="R72" i="11"/>
  <c r="Q72" i="11"/>
  <c r="P72" i="11"/>
  <c r="T984" i="11"/>
  <c r="L984" i="11"/>
  <c r="R984" i="11"/>
  <c r="V984" i="11"/>
  <c r="K984" i="11"/>
  <c r="S984" i="11"/>
  <c r="Q984" i="11"/>
  <c r="N984" i="11"/>
  <c r="O833" i="11"/>
  <c r="V833" i="11"/>
  <c r="N833" i="11"/>
  <c r="U833" i="11"/>
  <c r="M833" i="11"/>
  <c r="T833" i="11"/>
  <c r="L833" i="11"/>
  <c r="S833" i="11"/>
  <c r="K833" i="11"/>
  <c r="R833" i="11"/>
  <c r="Q833" i="11"/>
  <c r="P833" i="11"/>
  <c r="S375" i="11"/>
  <c r="K375" i="11"/>
  <c r="R375" i="11"/>
  <c r="Q375" i="11"/>
  <c r="P375" i="11"/>
  <c r="O375" i="11"/>
  <c r="V375" i="11"/>
  <c r="N375" i="11"/>
  <c r="U375" i="11"/>
  <c r="M375" i="11"/>
  <c r="T375" i="11"/>
  <c r="L375" i="11"/>
  <c r="S845" i="11"/>
  <c r="K845" i="11"/>
  <c r="R845" i="11"/>
  <c r="Q845" i="11"/>
  <c r="P845" i="11"/>
  <c r="O845" i="11"/>
  <c r="N845" i="11"/>
  <c r="M845" i="11"/>
  <c r="V845" i="11"/>
  <c r="L845" i="11"/>
  <c r="U845" i="11"/>
  <c r="T845" i="11"/>
  <c r="O122" i="11"/>
  <c r="V122" i="11"/>
  <c r="N122" i="11"/>
  <c r="U122" i="11"/>
  <c r="M122" i="11"/>
  <c r="T122" i="11"/>
  <c r="L122" i="11"/>
  <c r="S122" i="11"/>
  <c r="K122" i="11"/>
  <c r="R122" i="11"/>
  <c r="Q122" i="11"/>
  <c r="P122" i="11"/>
  <c r="O182" i="11"/>
  <c r="V182" i="11"/>
  <c r="N182" i="11"/>
  <c r="U182" i="11"/>
  <c r="M182" i="11"/>
  <c r="T182" i="11"/>
  <c r="L182" i="11"/>
  <c r="S182" i="11"/>
  <c r="K182" i="11"/>
  <c r="R182" i="11"/>
  <c r="Q182" i="11"/>
  <c r="P182" i="11"/>
  <c r="O222" i="11"/>
  <c r="V222" i="11"/>
  <c r="N222" i="11"/>
  <c r="U222" i="11"/>
  <c r="M222" i="11"/>
  <c r="T222" i="11"/>
  <c r="L222" i="11"/>
  <c r="S222" i="11"/>
  <c r="K222" i="11"/>
  <c r="R222" i="11"/>
  <c r="Q222" i="11"/>
  <c r="P222" i="11"/>
  <c r="V838" i="11"/>
  <c r="N838" i="11"/>
  <c r="U838" i="11"/>
  <c r="M838" i="11"/>
  <c r="T838" i="11"/>
  <c r="L838" i="11"/>
  <c r="S838" i="11"/>
  <c r="K838" i="11"/>
  <c r="R838" i="11"/>
  <c r="Q838" i="11"/>
  <c r="P838" i="11"/>
  <c r="O838" i="11"/>
  <c r="Q8" i="11"/>
  <c r="M9" i="11"/>
  <c r="U9" i="11"/>
  <c r="Q10" i="11"/>
  <c r="M14" i="11"/>
  <c r="L15" i="11"/>
  <c r="V18" i="11"/>
  <c r="N20" i="11"/>
  <c r="R21" i="11"/>
  <c r="U950" i="11"/>
  <c r="M950" i="11"/>
  <c r="P950" i="11"/>
  <c r="R950" i="11"/>
  <c r="Q950" i="11"/>
  <c r="O950" i="11"/>
  <c r="L950" i="11"/>
  <c r="T950" i="11"/>
  <c r="O292" i="11"/>
  <c r="V292" i="11"/>
  <c r="N292" i="11"/>
  <c r="U292" i="11"/>
  <c r="M292" i="11"/>
  <c r="T292" i="11"/>
  <c r="L292" i="11"/>
  <c r="S292" i="11"/>
  <c r="K292" i="11"/>
  <c r="R292" i="11"/>
  <c r="Q292" i="11"/>
  <c r="P292" i="11"/>
  <c r="R541" i="11"/>
  <c r="O541" i="11"/>
  <c r="N541" i="11"/>
  <c r="V541" i="11"/>
  <c r="M541" i="11"/>
  <c r="U541" i="11"/>
  <c r="L541" i="11"/>
  <c r="T541" i="11"/>
  <c r="K541" i="11"/>
  <c r="S541" i="11"/>
  <c r="Q541" i="11"/>
  <c r="P541" i="11"/>
  <c r="R755" i="11"/>
  <c r="V755" i="11"/>
  <c r="N755" i="11"/>
  <c r="M755" i="11"/>
  <c r="L755" i="11"/>
  <c r="U755" i="11"/>
  <c r="K755" i="11"/>
  <c r="T755" i="11"/>
  <c r="S755" i="11"/>
  <c r="Q755" i="11"/>
  <c r="P755" i="11"/>
  <c r="O755" i="11"/>
  <c r="S23" i="11"/>
  <c r="K23" i="11"/>
  <c r="P23" i="11"/>
  <c r="O23" i="11"/>
  <c r="V23" i="11"/>
  <c r="N23" i="11"/>
  <c r="T23" i="11"/>
  <c r="L23" i="11"/>
  <c r="U431" i="11"/>
  <c r="M431" i="11"/>
  <c r="T431" i="11"/>
  <c r="L431" i="11"/>
  <c r="S431" i="11"/>
  <c r="K431" i="11"/>
  <c r="R431" i="11"/>
  <c r="Q431" i="11"/>
  <c r="P431" i="11"/>
  <c r="V431" i="11"/>
  <c r="O431" i="11"/>
  <c r="N431" i="11"/>
  <c r="R8" i="11"/>
  <c r="N9" i="11"/>
  <c r="V9" i="11"/>
  <c r="R10" i="11"/>
  <c r="N14" i="11"/>
  <c r="M15" i="11"/>
  <c r="Q20" i="11"/>
  <c r="M23" i="11"/>
  <c r="K8" i="11"/>
  <c r="S8" i="11"/>
  <c r="O9" i="11"/>
  <c r="K10" i="11"/>
  <c r="S10" i="11"/>
  <c r="P14" i="11"/>
  <c r="P15" i="11"/>
  <c r="L18" i="11"/>
  <c r="T20" i="11"/>
  <c r="Q23" i="11"/>
  <c r="L8" i="11"/>
  <c r="T8" i="11"/>
  <c r="P9" i="11"/>
  <c r="L10" i="11"/>
  <c r="T10" i="11"/>
  <c r="Q14" i="11"/>
  <c r="Q15" i="11"/>
  <c r="R23" i="11"/>
  <c r="O94" i="11"/>
  <c r="V94" i="11"/>
  <c r="N94" i="11"/>
  <c r="U94" i="11"/>
  <c r="M94" i="11"/>
  <c r="T94" i="11"/>
  <c r="L94" i="11"/>
  <c r="S94" i="11"/>
  <c r="K94" i="11"/>
  <c r="R94" i="11"/>
  <c r="Q94" i="11"/>
  <c r="P94" i="11"/>
  <c r="Q851" i="11"/>
  <c r="P851" i="11"/>
  <c r="V851" i="11"/>
  <c r="N851" i="11"/>
  <c r="U851" i="11"/>
  <c r="M851" i="11"/>
  <c r="T851" i="11"/>
  <c r="L851" i="11"/>
  <c r="O851" i="11"/>
  <c r="K851" i="11"/>
  <c r="S851" i="11"/>
  <c r="R851" i="11"/>
  <c r="S95" i="11"/>
  <c r="K95" i="11"/>
  <c r="R95" i="11"/>
  <c r="Q95" i="11"/>
  <c r="P95" i="11"/>
  <c r="O95" i="11"/>
  <c r="V95" i="11"/>
  <c r="N95" i="11"/>
  <c r="U95" i="11"/>
  <c r="M95" i="11"/>
  <c r="T95" i="11"/>
  <c r="L95" i="11"/>
  <c r="S970" i="11"/>
  <c r="K970" i="11"/>
  <c r="R970" i="11"/>
  <c r="P970" i="11"/>
  <c r="M970" i="11"/>
  <c r="U970" i="11"/>
  <c r="R753" i="11"/>
  <c r="V753" i="11"/>
  <c r="N753" i="11"/>
  <c r="P753" i="11"/>
  <c r="O753" i="11"/>
  <c r="M753" i="11"/>
  <c r="L753" i="11"/>
  <c r="U753" i="11"/>
  <c r="K753" i="11"/>
  <c r="T753" i="11"/>
  <c r="S753" i="11"/>
  <c r="Q753" i="11"/>
  <c r="V754" i="11"/>
  <c r="N754" i="11"/>
  <c r="R754" i="11"/>
  <c r="O754" i="11"/>
  <c r="M754" i="11"/>
  <c r="L754" i="11"/>
  <c r="U754" i="11"/>
  <c r="K754" i="11"/>
  <c r="T754" i="11"/>
  <c r="S754" i="11"/>
  <c r="Q754" i="11"/>
  <c r="P754" i="11"/>
  <c r="O571" i="11"/>
  <c r="V571" i="11"/>
  <c r="N571" i="11"/>
  <c r="U571" i="11"/>
  <c r="M571" i="11"/>
  <c r="S571" i="11"/>
  <c r="K571" i="11"/>
  <c r="R571" i="11"/>
  <c r="Q571" i="11"/>
  <c r="P571" i="11"/>
  <c r="T571" i="11"/>
  <c r="L571" i="11"/>
  <c r="O190" i="11"/>
  <c r="V190" i="11"/>
  <c r="N190" i="11"/>
  <c r="U190" i="11"/>
  <c r="M190" i="11"/>
  <c r="T190" i="11"/>
  <c r="L190" i="11"/>
  <c r="S190" i="11"/>
  <c r="K190" i="11"/>
  <c r="R190" i="11"/>
  <c r="Q190" i="11"/>
  <c r="P190" i="11"/>
  <c r="V479" i="11"/>
  <c r="N479" i="11"/>
  <c r="U479" i="11"/>
  <c r="M479" i="11"/>
  <c r="T479" i="11"/>
  <c r="L479" i="11"/>
  <c r="S479" i="11"/>
  <c r="K479" i="11"/>
  <c r="R479" i="11"/>
  <c r="Q479" i="11"/>
  <c r="P479" i="11"/>
  <c r="O479" i="11"/>
  <c r="S191" i="11"/>
  <c r="K191" i="11"/>
  <c r="R191" i="11"/>
  <c r="Q191" i="11"/>
  <c r="P191" i="11"/>
  <c r="O191" i="11"/>
  <c r="V191" i="11"/>
  <c r="N191" i="11"/>
  <c r="U191" i="11"/>
  <c r="M191" i="11"/>
  <c r="T191" i="11"/>
  <c r="L191" i="11"/>
  <c r="U425" i="11"/>
  <c r="M425" i="11"/>
  <c r="T425" i="11"/>
  <c r="L425" i="11"/>
  <c r="S425" i="11"/>
  <c r="K425" i="11"/>
  <c r="R425" i="11"/>
  <c r="Q425" i="11"/>
  <c r="P425" i="11"/>
  <c r="O425" i="11"/>
  <c r="N425" i="11"/>
  <c r="V425" i="11"/>
  <c r="R759" i="11"/>
  <c r="P759" i="11"/>
  <c r="V759" i="11"/>
  <c r="N759" i="11"/>
  <c r="U759" i="11"/>
  <c r="M759" i="11"/>
  <c r="O759" i="11"/>
  <c r="L759" i="11"/>
  <c r="K759" i="11"/>
  <c r="T759" i="11"/>
  <c r="S759" i="11"/>
  <c r="Q759" i="11"/>
  <c r="U427" i="11"/>
  <c r="M427" i="11"/>
  <c r="T427" i="11"/>
  <c r="L427" i="11"/>
  <c r="S427" i="11"/>
  <c r="K427" i="11"/>
  <c r="R427" i="11"/>
  <c r="Q427" i="11"/>
  <c r="P427" i="11"/>
  <c r="V427" i="11"/>
  <c r="O427" i="11"/>
  <c r="N427" i="11"/>
  <c r="O573" i="11"/>
  <c r="V573" i="11"/>
  <c r="N573" i="11"/>
  <c r="U573" i="11"/>
  <c r="M573" i="11"/>
  <c r="S573" i="11"/>
  <c r="K573" i="11"/>
  <c r="R573" i="11"/>
  <c r="Q573" i="11"/>
  <c r="P573" i="11"/>
  <c r="T573" i="11"/>
  <c r="L573" i="11"/>
  <c r="O52" i="11"/>
  <c r="V52" i="11"/>
  <c r="N52" i="11"/>
  <c r="U52" i="11"/>
  <c r="M52" i="11"/>
  <c r="T52" i="11"/>
  <c r="L52" i="11"/>
  <c r="S52" i="11"/>
  <c r="K52" i="11"/>
  <c r="R52" i="11"/>
  <c r="Q52" i="11"/>
  <c r="P52" i="11"/>
  <c r="S275" i="11"/>
  <c r="K275" i="11"/>
  <c r="R275" i="11"/>
  <c r="Q275" i="11"/>
  <c r="P275" i="11"/>
  <c r="O275" i="11"/>
  <c r="V275" i="11"/>
  <c r="N275" i="11"/>
  <c r="U275" i="11"/>
  <c r="M275" i="11"/>
  <c r="T275" i="11"/>
  <c r="L275" i="11"/>
  <c r="Q428" i="11"/>
  <c r="P428" i="11"/>
  <c r="O428" i="11"/>
  <c r="V428" i="11"/>
  <c r="N428" i="11"/>
  <c r="U428" i="11"/>
  <c r="M428" i="11"/>
  <c r="T428" i="11"/>
  <c r="L428" i="11"/>
  <c r="K428" i="11"/>
  <c r="S428" i="11"/>
  <c r="R428" i="11"/>
  <c r="O54" i="11"/>
  <c r="V54" i="11"/>
  <c r="N54" i="11"/>
  <c r="U54" i="11"/>
  <c r="M54" i="11"/>
  <c r="T54" i="11"/>
  <c r="L54" i="11"/>
  <c r="S54" i="11"/>
  <c r="K54" i="11"/>
  <c r="R54" i="11"/>
  <c r="Q54" i="11"/>
  <c r="P54" i="11"/>
  <c r="S177" i="11"/>
  <c r="K177" i="11"/>
  <c r="R177" i="11"/>
  <c r="Q177" i="11"/>
  <c r="P177" i="11"/>
  <c r="O177" i="11"/>
  <c r="V177" i="11"/>
  <c r="N177" i="11"/>
  <c r="U177" i="11"/>
  <c r="M177" i="11"/>
  <c r="T177" i="11"/>
  <c r="L177" i="11"/>
  <c r="S161" i="11"/>
  <c r="K161" i="11"/>
  <c r="R161" i="11"/>
  <c r="Q161" i="11"/>
  <c r="P161" i="11"/>
  <c r="O161" i="11"/>
  <c r="V161" i="11"/>
  <c r="N161" i="11"/>
  <c r="U161" i="11"/>
  <c r="M161" i="11"/>
  <c r="T161" i="11"/>
  <c r="L161" i="11"/>
  <c r="S55" i="11"/>
  <c r="K55" i="11"/>
  <c r="R55" i="11"/>
  <c r="Q55" i="11"/>
  <c r="P55" i="11"/>
  <c r="O55" i="11"/>
  <c r="V55" i="11"/>
  <c r="N55" i="11"/>
  <c r="U55" i="11"/>
  <c r="M55" i="11"/>
  <c r="T55" i="11"/>
  <c r="L55" i="11"/>
  <c r="O56" i="11"/>
  <c r="V56" i="11"/>
  <c r="N56" i="11"/>
  <c r="U56" i="11"/>
  <c r="M56" i="11"/>
  <c r="T56" i="11"/>
  <c r="L56" i="11"/>
  <c r="S56" i="11"/>
  <c r="K56" i="11"/>
  <c r="R56" i="11"/>
  <c r="Q56" i="11"/>
  <c r="P56" i="11"/>
  <c r="V477" i="11"/>
  <c r="N477" i="11"/>
  <c r="U477" i="11"/>
  <c r="M477" i="11"/>
  <c r="T477" i="11"/>
  <c r="L477" i="11"/>
  <c r="S477" i="11"/>
  <c r="K477" i="11"/>
  <c r="R477" i="11"/>
  <c r="Q477" i="11"/>
  <c r="P477" i="11"/>
  <c r="O477" i="11"/>
  <c r="R553" i="11"/>
  <c r="Q553" i="11"/>
  <c r="P553" i="11"/>
  <c r="O553" i="11"/>
  <c r="N553" i="11"/>
  <c r="V553" i="11"/>
  <c r="M553" i="11"/>
  <c r="U553" i="11"/>
  <c r="L553" i="11"/>
  <c r="T553" i="11"/>
  <c r="K553" i="11"/>
  <c r="S553" i="11"/>
  <c r="S57" i="11"/>
  <c r="K57" i="11"/>
  <c r="R57" i="11"/>
  <c r="Q57" i="11"/>
  <c r="P57" i="11"/>
  <c r="O57" i="11"/>
  <c r="V57" i="11"/>
  <c r="N57" i="11"/>
  <c r="U57" i="11"/>
  <c r="M57" i="11"/>
  <c r="T57" i="11"/>
  <c r="L57" i="11"/>
  <c r="U429" i="11"/>
  <c r="M429" i="11"/>
  <c r="T429" i="11"/>
  <c r="L429" i="11"/>
  <c r="S429" i="11"/>
  <c r="K429" i="11"/>
  <c r="R429" i="11"/>
  <c r="Q429" i="11"/>
  <c r="P429" i="11"/>
  <c r="V429" i="11"/>
  <c r="O429" i="11"/>
  <c r="N429" i="11"/>
  <c r="Q430" i="11"/>
  <c r="P430" i="11"/>
  <c r="O430" i="11"/>
  <c r="V430" i="11"/>
  <c r="N430" i="11"/>
  <c r="U430" i="11"/>
  <c r="M430" i="11"/>
  <c r="T430" i="11"/>
  <c r="L430" i="11"/>
  <c r="S430" i="11"/>
  <c r="R430" i="11"/>
  <c r="K430" i="11"/>
  <c r="O236" i="11"/>
  <c r="V236" i="11"/>
  <c r="N236" i="11"/>
  <c r="U236" i="11"/>
  <c r="M236" i="11"/>
  <c r="T236" i="11"/>
  <c r="L236" i="11"/>
  <c r="S236" i="11"/>
  <c r="K236" i="11"/>
  <c r="R236" i="11"/>
  <c r="Q236" i="11"/>
  <c r="P236" i="11"/>
  <c r="S313" i="11"/>
  <c r="K313" i="11"/>
  <c r="R313" i="11"/>
  <c r="Q313" i="11"/>
  <c r="P313" i="11"/>
  <c r="O313" i="11"/>
  <c r="V313" i="11"/>
  <c r="N313" i="11"/>
  <c r="T313" i="11"/>
  <c r="L313" i="11"/>
  <c r="U313" i="11"/>
  <c r="M313" i="11"/>
  <c r="S59" i="11"/>
  <c r="K59" i="11"/>
  <c r="R59" i="11"/>
  <c r="Q59" i="11"/>
  <c r="P59" i="11"/>
  <c r="O59" i="11"/>
  <c r="V59" i="11"/>
  <c r="N59" i="11"/>
  <c r="U59" i="11"/>
  <c r="M59" i="11"/>
  <c r="T59" i="11"/>
  <c r="L59" i="11"/>
  <c r="S183" i="11"/>
  <c r="K183" i="11"/>
  <c r="R183" i="11"/>
  <c r="Q183" i="11"/>
  <c r="P183" i="11"/>
  <c r="O183" i="11"/>
  <c r="V183" i="11"/>
  <c r="N183" i="11"/>
  <c r="U183" i="11"/>
  <c r="M183" i="11"/>
  <c r="T183" i="11"/>
  <c r="L183" i="11"/>
  <c r="S79" i="11"/>
  <c r="K79" i="11"/>
  <c r="R79" i="11"/>
  <c r="Q79" i="11"/>
  <c r="P79" i="11"/>
  <c r="O79" i="11"/>
  <c r="V79" i="11"/>
  <c r="N79" i="11"/>
  <c r="U79" i="11"/>
  <c r="M79" i="11"/>
  <c r="T79" i="11"/>
  <c r="L79" i="11"/>
  <c r="V507" i="11"/>
  <c r="N507" i="11"/>
  <c r="U507" i="11"/>
  <c r="M507" i="11"/>
  <c r="T507" i="11"/>
  <c r="L507" i="11"/>
  <c r="S507" i="11"/>
  <c r="K507" i="11"/>
  <c r="R507" i="11"/>
  <c r="Q507" i="11"/>
  <c r="P507" i="11"/>
  <c r="O507" i="11"/>
  <c r="T773" i="11"/>
  <c r="L773" i="11"/>
  <c r="S773" i="11"/>
  <c r="K773" i="11"/>
  <c r="R773" i="11"/>
  <c r="Q773" i="11"/>
  <c r="P773" i="11"/>
  <c r="O773" i="11"/>
  <c r="V773" i="11"/>
  <c r="N773" i="11"/>
  <c r="U773" i="11"/>
  <c r="M773" i="11"/>
  <c r="V884" i="11"/>
  <c r="N884" i="11"/>
  <c r="U884" i="11"/>
  <c r="M884" i="11"/>
  <c r="T884" i="11"/>
  <c r="L884" i="11"/>
  <c r="S884" i="11"/>
  <c r="K884" i="11"/>
  <c r="R884" i="11"/>
  <c r="Q884" i="11"/>
  <c r="P884" i="11"/>
  <c r="O884" i="11"/>
  <c r="R444" i="11"/>
  <c r="Q444" i="11"/>
  <c r="P444" i="11"/>
  <c r="O444" i="11"/>
  <c r="V444" i="11"/>
  <c r="N444" i="11"/>
  <c r="U444" i="11"/>
  <c r="M444" i="11"/>
  <c r="T444" i="11"/>
  <c r="L444" i="11"/>
  <c r="S444" i="11"/>
  <c r="K444" i="11"/>
  <c r="V779" i="11"/>
  <c r="N779" i="11"/>
  <c r="U779" i="11"/>
  <c r="M779" i="11"/>
  <c r="T779" i="11"/>
  <c r="L779" i="11"/>
  <c r="S779" i="11"/>
  <c r="K779" i="11"/>
  <c r="R779" i="11"/>
  <c r="Q779" i="11"/>
  <c r="P779" i="11"/>
  <c r="O779" i="11"/>
  <c r="R780" i="11"/>
  <c r="Q780" i="11"/>
  <c r="P780" i="11"/>
  <c r="O780" i="11"/>
  <c r="V780" i="11"/>
  <c r="N780" i="11"/>
  <c r="U780" i="11"/>
  <c r="M780" i="11"/>
  <c r="T780" i="11"/>
  <c r="L780" i="11"/>
  <c r="S780" i="11"/>
  <c r="K780" i="11"/>
  <c r="O172" i="11"/>
  <c r="V172" i="11"/>
  <c r="N172" i="11"/>
  <c r="U172" i="11"/>
  <c r="M172" i="11"/>
  <c r="T172" i="11"/>
  <c r="L172" i="11"/>
  <c r="S172" i="11"/>
  <c r="K172" i="11"/>
  <c r="R172" i="11"/>
  <c r="Q172" i="11"/>
  <c r="P172" i="11"/>
  <c r="O797" i="11"/>
  <c r="Q797" i="11"/>
  <c r="P797" i="11"/>
  <c r="N797" i="11"/>
  <c r="V797" i="11"/>
  <c r="M797" i="11"/>
  <c r="U797" i="11"/>
  <c r="L797" i="11"/>
  <c r="T797" i="11"/>
  <c r="K797" i="11"/>
  <c r="S797" i="11"/>
  <c r="R797" i="11"/>
  <c r="O1005" i="11"/>
  <c r="U1005" i="11"/>
  <c r="M1005" i="11"/>
  <c r="R1005" i="11"/>
  <c r="P870" i="11"/>
  <c r="O870" i="11"/>
  <c r="V870" i="11"/>
  <c r="N870" i="11"/>
  <c r="U870" i="11"/>
  <c r="M870" i="11"/>
  <c r="T870" i="11"/>
  <c r="L870" i="11"/>
  <c r="S870" i="11"/>
  <c r="K870" i="11"/>
  <c r="R870" i="11"/>
  <c r="Q870" i="11"/>
  <c r="V475" i="11"/>
  <c r="N475" i="11"/>
  <c r="U475" i="11"/>
  <c r="M475" i="11"/>
  <c r="T475" i="11"/>
  <c r="L475" i="11"/>
  <c r="S475" i="11"/>
  <c r="K475" i="11"/>
  <c r="R475" i="11"/>
  <c r="Q475" i="11"/>
  <c r="P475" i="11"/>
  <c r="O475" i="11"/>
  <c r="O18" i="11"/>
  <c r="S18" i="11"/>
  <c r="K18" i="11"/>
  <c r="R18" i="11"/>
  <c r="P18" i="11"/>
  <c r="R458" i="11"/>
  <c r="Q458" i="11"/>
  <c r="P458" i="11"/>
  <c r="O458" i="11"/>
  <c r="V458" i="11"/>
  <c r="N458" i="11"/>
  <c r="U458" i="11"/>
  <c r="M458" i="11"/>
  <c r="T458" i="11"/>
  <c r="L458" i="11"/>
  <c r="S458" i="11"/>
  <c r="K458" i="11"/>
  <c r="O224" i="11"/>
  <c r="V224" i="11"/>
  <c r="N224" i="11"/>
  <c r="U224" i="11"/>
  <c r="M224" i="11"/>
  <c r="T224" i="11"/>
  <c r="L224" i="11"/>
  <c r="S224" i="11"/>
  <c r="K224" i="11"/>
  <c r="R224" i="11"/>
  <c r="Q224" i="11"/>
  <c r="P224" i="11"/>
  <c r="S81" i="11"/>
  <c r="K81" i="11"/>
  <c r="R81" i="11"/>
  <c r="Q81" i="11"/>
  <c r="P81" i="11"/>
  <c r="O81" i="11"/>
  <c r="V81" i="11"/>
  <c r="N81" i="11"/>
  <c r="U81" i="11"/>
  <c r="M81" i="11"/>
  <c r="T81" i="11"/>
  <c r="L81" i="11"/>
  <c r="V471" i="11"/>
  <c r="N471" i="11"/>
  <c r="U471" i="11"/>
  <c r="M471" i="11"/>
  <c r="T471" i="11"/>
  <c r="L471" i="11"/>
  <c r="S471" i="11"/>
  <c r="K471" i="11"/>
  <c r="R471" i="11"/>
  <c r="Q471" i="11"/>
  <c r="P471" i="11"/>
  <c r="O471" i="11"/>
  <c r="S219" i="11"/>
  <c r="K219" i="11"/>
  <c r="R219" i="11"/>
  <c r="Q219" i="11"/>
  <c r="P219" i="11"/>
  <c r="O219" i="11"/>
  <c r="V219" i="11"/>
  <c r="N219" i="11"/>
  <c r="U219" i="11"/>
  <c r="M219" i="11"/>
  <c r="T219" i="11"/>
  <c r="L219" i="11"/>
  <c r="O302" i="11"/>
  <c r="V302" i="11"/>
  <c r="N302" i="11"/>
  <c r="U302" i="11"/>
  <c r="M302" i="11"/>
  <c r="T302" i="11"/>
  <c r="L302" i="11"/>
  <c r="S302" i="11"/>
  <c r="K302" i="11"/>
  <c r="R302" i="11"/>
  <c r="Q302" i="11"/>
  <c r="P302" i="11"/>
  <c r="R436" i="11"/>
  <c r="Q436" i="11"/>
  <c r="P436" i="11"/>
  <c r="O436" i="11"/>
  <c r="V436" i="11"/>
  <c r="N436" i="11"/>
  <c r="U436" i="11"/>
  <c r="M436" i="11"/>
  <c r="T436" i="11"/>
  <c r="L436" i="11"/>
  <c r="K436" i="11"/>
  <c r="S436" i="11"/>
  <c r="S655" i="11"/>
  <c r="K655" i="11"/>
  <c r="R655" i="11"/>
  <c r="Q655" i="11"/>
  <c r="P655" i="11"/>
  <c r="O655" i="11"/>
  <c r="V655" i="11"/>
  <c r="N655" i="11"/>
  <c r="U655" i="11"/>
  <c r="M655" i="11"/>
  <c r="T655" i="11"/>
  <c r="L655" i="11"/>
  <c r="S67" i="11"/>
  <c r="K67" i="11"/>
  <c r="R67" i="11"/>
  <c r="Q67" i="11"/>
  <c r="P67" i="11"/>
  <c r="O67" i="11"/>
  <c r="V67" i="11"/>
  <c r="N67" i="11"/>
  <c r="U67" i="11"/>
  <c r="M67" i="11"/>
  <c r="T67" i="11"/>
  <c r="L67" i="11"/>
  <c r="S285" i="11"/>
  <c r="K285" i="11"/>
  <c r="R285" i="11"/>
  <c r="Q285" i="11"/>
  <c r="P285" i="11"/>
  <c r="O285" i="11"/>
  <c r="V285" i="11"/>
  <c r="N285" i="11"/>
  <c r="U285" i="11"/>
  <c r="M285" i="11"/>
  <c r="T285" i="11"/>
  <c r="L285" i="11"/>
  <c r="S239" i="11"/>
  <c r="K239" i="11"/>
  <c r="R239" i="11"/>
  <c r="Q239" i="11"/>
  <c r="P239" i="11"/>
  <c r="O239" i="11"/>
  <c r="V239" i="11"/>
  <c r="N239" i="11"/>
  <c r="U239" i="11"/>
  <c r="M239" i="11"/>
  <c r="T239" i="11"/>
  <c r="L239" i="11"/>
  <c r="Q919" i="11"/>
  <c r="V919" i="11"/>
  <c r="N919" i="11"/>
  <c r="S919" i="11"/>
  <c r="K919" i="11"/>
  <c r="O919" i="11"/>
  <c r="M919" i="11"/>
  <c r="L919" i="11"/>
  <c r="U919" i="11"/>
  <c r="T919" i="11"/>
  <c r="R919" i="11"/>
  <c r="P919" i="11"/>
  <c r="S301" i="11"/>
  <c r="K301" i="11"/>
  <c r="R301" i="11"/>
  <c r="Q301" i="11"/>
  <c r="P301" i="11"/>
  <c r="O301" i="11"/>
  <c r="V301" i="11"/>
  <c r="N301" i="11"/>
  <c r="U301" i="11"/>
  <c r="T301" i="11"/>
  <c r="M301" i="11"/>
  <c r="L301" i="11"/>
  <c r="S175" i="11"/>
  <c r="K175" i="11"/>
  <c r="R175" i="11"/>
  <c r="Q175" i="11"/>
  <c r="P175" i="11"/>
  <c r="O175" i="11"/>
  <c r="V175" i="11"/>
  <c r="N175" i="11"/>
  <c r="U175" i="11"/>
  <c r="M175" i="11"/>
  <c r="L175" i="11"/>
  <c r="T175" i="11"/>
  <c r="O823" i="11"/>
  <c r="V823" i="11"/>
  <c r="N823" i="11"/>
  <c r="T823" i="11"/>
  <c r="L823" i="11"/>
  <c r="S823" i="11"/>
  <c r="K823" i="11"/>
  <c r="R823" i="11"/>
  <c r="Q823" i="11"/>
  <c r="M823" i="11"/>
  <c r="U823" i="11"/>
  <c r="P823" i="11"/>
  <c r="O202" i="11"/>
  <c r="V202" i="11"/>
  <c r="N202" i="11"/>
  <c r="U202" i="11"/>
  <c r="M202" i="11"/>
  <c r="T202" i="11"/>
  <c r="L202" i="11"/>
  <c r="S202" i="11"/>
  <c r="K202" i="11"/>
  <c r="R202" i="11"/>
  <c r="Q202" i="11"/>
  <c r="P202" i="11"/>
  <c r="R438" i="11"/>
  <c r="Q438" i="11"/>
  <c r="P438" i="11"/>
  <c r="O438" i="11"/>
  <c r="V438" i="11"/>
  <c r="N438" i="11"/>
  <c r="U438" i="11"/>
  <c r="M438" i="11"/>
  <c r="T438" i="11"/>
  <c r="L438" i="11"/>
  <c r="S438" i="11"/>
  <c r="K438" i="11"/>
  <c r="O240" i="11"/>
  <c r="V240" i="11"/>
  <c r="N240" i="11"/>
  <c r="U240" i="11"/>
  <c r="M240" i="11"/>
  <c r="T240" i="11"/>
  <c r="L240" i="11"/>
  <c r="S240" i="11"/>
  <c r="K240" i="11"/>
  <c r="R240" i="11"/>
  <c r="Q240" i="11"/>
  <c r="P240" i="11"/>
  <c r="S937" i="11"/>
  <c r="K937" i="11"/>
  <c r="Q937" i="11"/>
  <c r="V937" i="11"/>
  <c r="N937" i="11"/>
  <c r="U937" i="11"/>
  <c r="R937" i="11"/>
  <c r="P937" i="11"/>
  <c r="O937" i="11"/>
  <c r="M937" i="11"/>
  <c r="P897" i="11"/>
  <c r="V897" i="11"/>
  <c r="M897" i="11"/>
  <c r="U897" i="11"/>
  <c r="L897" i="11"/>
  <c r="T897" i="11"/>
  <c r="K897" i="11"/>
  <c r="S897" i="11"/>
  <c r="R897" i="11"/>
  <c r="Q897" i="11"/>
  <c r="O897" i="11"/>
  <c r="N897" i="11"/>
  <c r="O599" i="11"/>
  <c r="V599" i="11"/>
  <c r="N599" i="11"/>
  <c r="U599" i="11"/>
  <c r="M599" i="11"/>
  <c r="T599" i="11"/>
  <c r="L599" i="11"/>
  <c r="S599" i="11"/>
  <c r="K599" i="11"/>
  <c r="R599" i="11"/>
  <c r="Q599" i="11"/>
  <c r="P599" i="11"/>
  <c r="P864" i="11"/>
  <c r="O864" i="11"/>
  <c r="V864" i="11"/>
  <c r="N864" i="11"/>
  <c r="U864" i="11"/>
  <c r="M864" i="11"/>
  <c r="T864" i="11"/>
  <c r="L864" i="11"/>
  <c r="S864" i="11"/>
  <c r="K864" i="11"/>
  <c r="R864" i="11"/>
  <c r="Q864" i="11"/>
  <c r="V511" i="11"/>
  <c r="N511" i="11"/>
  <c r="U511" i="11"/>
  <c r="M511" i="11"/>
  <c r="T511" i="11"/>
  <c r="L511" i="11"/>
  <c r="S511" i="11"/>
  <c r="K511" i="11"/>
  <c r="R511" i="11"/>
  <c r="Q511" i="11"/>
  <c r="P511" i="11"/>
  <c r="O511" i="11"/>
  <c r="S71" i="11"/>
  <c r="K71" i="11"/>
  <c r="R71" i="11"/>
  <c r="Q71" i="11"/>
  <c r="P71" i="11"/>
  <c r="O71" i="11"/>
  <c r="V71" i="11"/>
  <c r="N71" i="11"/>
  <c r="U71" i="11"/>
  <c r="M71" i="11"/>
  <c r="T71" i="11"/>
  <c r="L71" i="11"/>
  <c r="O20" i="11"/>
  <c r="S20" i="11"/>
  <c r="K20" i="11"/>
  <c r="R20" i="11"/>
  <c r="P20" i="11"/>
  <c r="O376" i="11"/>
  <c r="V376" i="11"/>
  <c r="N376" i="11"/>
  <c r="U376" i="11"/>
  <c r="M376" i="11"/>
  <c r="T376" i="11"/>
  <c r="L376" i="11"/>
  <c r="S376" i="11"/>
  <c r="K376" i="11"/>
  <c r="R376" i="11"/>
  <c r="Q376" i="11"/>
  <c r="P376" i="11"/>
  <c r="Q853" i="11"/>
  <c r="P853" i="11"/>
  <c r="V853" i="11"/>
  <c r="N853" i="11"/>
  <c r="U853" i="11"/>
  <c r="M853" i="11"/>
  <c r="T853" i="11"/>
  <c r="L853" i="11"/>
  <c r="K853" i="11"/>
  <c r="S853" i="11"/>
  <c r="R853" i="11"/>
  <c r="O853" i="11"/>
  <c r="O656" i="11"/>
  <c r="V656" i="11"/>
  <c r="N656" i="11"/>
  <c r="U656" i="11"/>
  <c r="M656" i="11"/>
  <c r="T656" i="11"/>
  <c r="L656" i="11"/>
  <c r="S656" i="11"/>
  <c r="K656" i="11"/>
  <c r="R656" i="11"/>
  <c r="Q656" i="11"/>
  <c r="P656" i="11"/>
  <c r="S830" i="11"/>
  <c r="K830" i="11"/>
  <c r="R830" i="11"/>
  <c r="Q830" i="11"/>
  <c r="P830" i="11"/>
  <c r="O830" i="11"/>
  <c r="V830" i="11"/>
  <c r="N830" i="11"/>
  <c r="U830" i="11"/>
  <c r="M830" i="11"/>
  <c r="T830" i="11"/>
  <c r="L830" i="11"/>
  <c r="O831" i="11"/>
  <c r="V831" i="11"/>
  <c r="N831" i="11"/>
  <c r="U831" i="11"/>
  <c r="M831" i="11"/>
  <c r="T831" i="11"/>
  <c r="L831" i="11"/>
  <c r="S831" i="11"/>
  <c r="K831" i="11"/>
  <c r="R831" i="11"/>
  <c r="Q831" i="11"/>
  <c r="P831" i="11"/>
  <c r="S832" i="11"/>
  <c r="K832" i="11"/>
  <c r="R832" i="11"/>
  <c r="Q832" i="11"/>
  <c r="P832" i="11"/>
  <c r="O832" i="11"/>
  <c r="V832" i="11"/>
  <c r="N832" i="11"/>
  <c r="U832" i="11"/>
  <c r="M832" i="11"/>
  <c r="T832" i="11"/>
  <c r="L832" i="11"/>
  <c r="S73" i="11"/>
  <c r="K73" i="11"/>
  <c r="R73" i="11"/>
  <c r="Q73" i="11"/>
  <c r="P73" i="11"/>
  <c r="O73" i="11"/>
  <c r="V73" i="11"/>
  <c r="N73" i="11"/>
  <c r="U73" i="11"/>
  <c r="M73" i="11"/>
  <c r="T73" i="11"/>
  <c r="L73" i="11"/>
  <c r="P926" i="11"/>
  <c r="U926" i="11"/>
  <c r="M926" i="11"/>
  <c r="R926" i="11"/>
  <c r="K926" i="11"/>
  <c r="V926" i="11"/>
  <c r="T926" i="11"/>
  <c r="S926" i="11"/>
  <c r="Q926" i="11"/>
  <c r="O926" i="11"/>
  <c r="N926" i="11"/>
  <c r="L926" i="11"/>
  <c r="P928" i="11"/>
  <c r="O928" i="11"/>
  <c r="U928" i="11"/>
  <c r="M928" i="11"/>
  <c r="R928" i="11"/>
  <c r="L928" i="11"/>
  <c r="K928" i="11"/>
  <c r="V928" i="11"/>
  <c r="T928" i="11"/>
  <c r="S928" i="11"/>
  <c r="Q928" i="11"/>
  <c r="N928" i="11"/>
  <c r="S255" i="11"/>
  <c r="K255" i="11"/>
  <c r="R255" i="11"/>
  <c r="Q255" i="11"/>
  <c r="P255" i="11"/>
  <c r="O255" i="11"/>
  <c r="V255" i="11"/>
  <c r="N255" i="11"/>
  <c r="U255" i="11"/>
  <c r="M255" i="11"/>
  <c r="T255" i="11"/>
  <c r="L255" i="11"/>
  <c r="O118" i="11"/>
  <c r="V118" i="11"/>
  <c r="N118" i="11"/>
  <c r="U118" i="11"/>
  <c r="M118" i="11"/>
  <c r="T118" i="11"/>
  <c r="L118" i="11"/>
  <c r="S118" i="11"/>
  <c r="K118" i="11"/>
  <c r="R118" i="11"/>
  <c r="Q118" i="11"/>
  <c r="P118" i="11"/>
  <c r="O318" i="11"/>
  <c r="V318" i="11"/>
  <c r="N318" i="11"/>
  <c r="U318" i="11"/>
  <c r="M318" i="11"/>
  <c r="T318" i="11"/>
  <c r="L318" i="11"/>
  <c r="S318" i="11"/>
  <c r="K318" i="11"/>
  <c r="R318" i="11"/>
  <c r="P318" i="11"/>
  <c r="Q318" i="11"/>
  <c r="O74" i="11"/>
  <c r="V74" i="11"/>
  <c r="N74" i="11"/>
  <c r="U74" i="11"/>
  <c r="M74" i="11"/>
  <c r="T74" i="11"/>
  <c r="L74" i="11"/>
  <c r="S74" i="11"/>
  <c r="K74" i="11"/>
  <c r="R74" i="11"/>
  <c r="Q74" i="11"/>
  <c r="P74" i="11"/>
  <c r="S75" i="11"/>
  <c r="K75" i="11"/>
  <c r="R75" i="11"/>
  <c r="Q75" i="11"/>
  <c r="P75" i="11"/>
  <c r="O75" i="11"/>
  <c r="V75" i="11"/>
  <c r="N75" i="11"/>
  <c r="U75" i="11"/>
  <c r="M75" i="11"/>
  <c r="T75" i="11"/>
  <c r="L75" i="11"/>
  <c r="S21" i="11"/>
  <c r="K21" i="11"/>
  <c r="O21" i="11"/>
  <c r="V21" i="11"/>
  <c r="N21" i="11"/>
  <c r="T21" i="11"/>
  <c r="L21" i="11"/>
  <c r="O372" i="11"/>
  <c r="V372" i="11"/>
  <c r="N372" i="11"/>
  <c r="U372" i="11"/>
  <c r="M372" i="11"/>
  <c r="T372" i="11"/>
  <c r="L372" i="11"/>
  <c r="S372" i="11"/>
  <c r="K372" i="11"/>
  <c r="R372" i="11"/>
  <c r="Q372" i="11"/>
  <c r="P372" i="11"/>
  <c r="M8" i="11"/>
  <c r="U8" i="11"/>
  <c r="Q9" i="11"/>
  <c r="M10" i="11"/>
  <c r="U10" i="11"/>
  <c r="S14" i="11"/>
  <c r="R15" i="11"/>
  <c r="N18" i="11"/>
  <c r="V20" i="11"/>
  <c r="U23" i="11"/>
  <c r="S157" i="11"/>
  <c r="K157" i="11"/>
  <c r="R157" i="11"/>
  <c r="Q157" i="11"/>
  <c r="P157" i="11"/>
  <c r="O157" i="11"/>
  <c r="V157" i="11"/>
  <c r="N157" i="11"/>
  <c r="U157" i="11"/>
  <c r="M157" i="11"/>
  <c r="T157" i="11"/>
  <c r="L157" i="11"/>
  <c r="V748" i="11"/>
  <c r="N748" i="11"/>
  <c r="S748" i="11"/>
  <c r="R748" i="11"/>
  <c r="Q748" i="11"/>
  <c r="P748" i="11"/>
  <c r="O748" i="11"/>
  <c r="M748" i="11"/>
  <c r="U748" i="11"/>
  <c r="L748" i="11"/>
  <c r="T748" i="11"/>
  <c r="K748" i="11"/>
  <c r="S119" i="11"/>
  <c r="K119" i="11"/>
  <c r="R119" i="11"/>
  <c r="Q119" i="11"/>
  <c r="P119" i="11"/>
  <c r="O119" i="11"/>
  <c r="V119" i="11"/>
  <c r="N119" i="11"/>
  <c r="U119" i="11"/>
  <c r="M119" i="11"/>
  <c r="T119" i="11"/>
  <c r="L119" i="11"/>
  <c r="R474" i="11"/>
  <c r="Q474" i="11"/>
  <c r="P474" i="11"/>
  <c r="O474" i="11"/>
  <c r="V474" i="11"/>
  <c r="N474" i="11"/>
  <c r="U474" i="11"/>
  <c r="M474" i="11"/>
  <c r="T474" i="11"/>
  <c r="L474" i="11"/>
  <c r="S474" i="11"/>
  <c r="K474" i="11"/>
  <c r="S109" i="11"/>
  <c r="K109" i="11"/>
  <c r="R109" i="11"/>
  <c r="Q109" i="11"/>
  <c r="P109" i="11"/>
  <c r="O109" i="11"/>
  <c r="V109" i="11"/>
  <c r="N109" i="11"/>
  <c r="U109" i="11"/>
  <c r="M109" i="11"/>
  <c r="T109" i="11"/>
  <c r="L109" i="11"/>
  <c r="O170" i="11"/>
  <c r="V170" i="11"/>
  <c r="N170" i="11"/>
  <c r="U170" i="11"/>
  <c r="M170" i="11"/>
  <c r="T170" i="11"/>
  <c r="L170" i="11"/>
  <c r="S170" i="11"/>
  <c r="K170" i="11"/>
  <c r="R170" i="11"/>
  <c r="Q170" i="11"/>
  <c r="P170" i="11"/>
  <c r="N8" i="11"/>
  <c r="N10" i="11"/>
  <c r="T14" i="11"/>
  <c r="U15" i="11"/>
  <c r="Q18" i="11"/>
  <c r="M21" i="11"/>
  <c r="N953" i="11"/>
  <c r="L953" i="11"/>
  <c r="V953" i="11"/>
  <c r="R953" i="11"/>
  <c r="O953" i="11"/>
  <c r="N841" i="11"/>
  <c r="O841" i="11"/>
  <c r="M841" i="11"/>
  <c r="L841" i="11"/>
  <c r="V841" i="11"/>
  <c r="U841" i="11"/>
  <c r="T841" i="11"/>
  <c r="R841" i="11"/>
  <c r="N954" i="11"/>
  <c r="L954" i="11"/>
  <c r="T954" i="11"/>
  <c r="Q954" i="11"/>
  <c r="U983" i="11"/>
  <c r="P983" i="11"/>
  <c r="M819" i="11"/>
  <c r="V819" i="11"/>
  <c r="L819" i="11"/>
  <c r="T819" i="11"/>
  <c r="R819" i="11"/>
  <c r="P819" i="11"/>
  <c r="O819" i="11"/>
  <c r="O977" i="11"/>
  <c r="M977" i="11"/>
  <c r="T977" i="11"/>
  <c r="T850" i="11"/>
  <c r="S850" i="11"/>
  <c r="Q850" i="11"/>
  <c r="P850" i="11"/>
  <c r="N850" i="11"/>
  <c r="V850" i="11"/>
  <c r="R850" i="11"/>
  <c r="L850" i="11"/>
  <c r="K850" i="11"/>
  <c r="O899" i="11"/>
  <c r="T899" i="11"/>
  <c r="P899" i="11"/>
  <c r="N899" i="11"/>
  <c r="M899" i="11"/>
  <c r="L899" i="11"/>
  <c r="V899" i="11"/>
  <c r="U899" i="11"/>
  <c r="R874" i="11"/>
  <c r="Q874" i="11"/>
  <c r="P874" i="11"/>
  <c r="N874" i="11"/>
  <c r="L874" i="11"/>
  <c r="V874" i="11"/>
  <c r="K874" i="11"/>
  <c r="T874" i="11"/>
  <c r="S874" i="11"/>
  <c r="N819" i="11"/>
  <c r="U819" i="11"/>
  <c r="P841" i="11"/>
  <c r="M983" i="11"/>
  <c r="S953" i="11"/>
  <c r="T953" i="11"/>
  <c r="M953" i="11"/>
  <c r="S841" i="11"/>
  <c r="O954" i="11"/>
  <c r="R954" i="11"/>
  <c r="V954" i="11"/>
  <c r="K954" i="11"/>
  <c r="S983" i="11"/>
  <c r="R983" i="11"/>
  <c r="N983" i="11"/>
  <c r="S819" i="11"/>
  <c r="S977" i="11"/>
  <c r="R977" i="11"/>
  <c r="P977" i="11"/>
  <c r="O850" i="11"/>
  <c r="S899" i="11"/>
  <c r="R899" i="11"/>
  <c r="O874" i="11"/>
  <c r="Q819" i="11"/>
  <c r="Q841" i="11"/>
  <c r="M850" i="11"/>
  <c r="U850" i="11"/>
  <c r="M874" i="11"/>
  <c r="U874" i="11"/>
  <c r="Q899" i="11"/>
  <c r="Q953" i="11"/>
  <c r="M954" i="11"/>
  <c r="U954" i="11"/>
  <c r="Q977" i="11"/>
  <c r="Q983" i="11"/>
  <c r="K819" i="11"/>
  <c r="K841" i="11"/>
  <c r="K899" i="11"/>
  <c r="K953" i="11"/>
  <c r="K977" i="11"/>
  <c r="K983" i="11"/>
  <c r="M2676" i="1"/>
  <c r="L2676" i="1"/>
  <c r="K2676" i="1"/>
  <c r="J2676" i="1"/>
  <c r="M2675" i="1"/>
  <c r="L2675" i="1"/>
  <c r="K2675" i="1"/>
  <c r="J2675" i="1"/>
  <c r="M2674" i="1"/>
  <c r="L2674" i="1"/>
  <c r="K2674" i="1"/>
  <c r="J2674" i="1"/>
  <c r="M2673" i="1"/>
  <c r="L2673" i="1"/>
  <c r="K2673" i="1"/>
  <c r="J2673" i="1"/>
  <c r="M2672" i="1"/>
  <c r="L2672" i="1"/>
  <c r="K2672" i="1"/>
  <c r="J2672" i="1"/>
  <c r="M2671" i="1"/>
  <c r="L2671" i="1"/>
  <c r="K2671" i="1"/>
  <c r="J2671" i="1"/>
  <c r="M2670" i="1"/>
  <c r="L2670" i="1"/>
  <c r="K2670" i="1"/>
  <c r="J2670" i="1"/>
  <c r="M2669" i="1"/>
  <c r="L2669" i="1"/>
  <c r="K2669" i="1"/>
  <c r="J2669" i="1"/>
  <c r="M2668" i="1"/>
  <c r="L2668" i="1"/>
  <c r="K2668" i="1"/>
  <c r="J2668" i="1"/>
  <c r="M2667" i="1"/>
  <c r="L2667" i="1"/>
  <c r="K2667" i="1"/>
  <c r="J2667" i="1"/>
  <c r="M2666" i="1"/>
  <c r="L2666" i="1"/>
  <c r="K2666" i="1"/>
  <c r="J2666" i="1"/>
  <c r="M2665" i="1"/>
  <c r="L2665" i="1"/>
  <c r="K2665" i="1"/>
  <c r="J2665" i="1"/>
  <c r="M2664" i="1"/>
  <c r="L2664" i="1"/>
  <c r="K2664" i="1"/>
  <c r="J2664" i="1"/>
  <c r="M2663" i="1"/>
  <c r="L2663" i="1"/>
  <c r="K2663" i="1"/>
  <c r="J2663" i="1"/>
  <c r="M2662" i="1"/>
  <c r="L2662" i="1"/>
  <c r="K2662" i="1"/>
  <c r="J2662" i="1"/>
  <c r="M2661" i="1"/>
  <c r="L2661" i="1"/>
  <c r="K2661" i="1"/>
  <c r="J2661" i="1"/>
  <c r="M2660" i="1"/>
  <c r="L2660" i="1"/>
  <c r="K2660" i="1"/>
  <c r="J2660" i="1"/>
  <c r="M2659" i="1"/>
  <c r="L2659" i="1"/>
  <c r="K2659" i="1"/>
  <c r="J2659" i="1"/>
  <c r="M2658" i="1"/>
  <c r="L2658" i="1"/>
  <c r="K2658" i="1"/>
  <c r="J2658" i="1"/>
  <c r="M2657" i="1"/>
  <c r="L2657" i="1"/>
  <c r="K2657" i="1"/>
  <c r="J2657" i="1"/>
  <c r="M2656" i="1"/>
  <c r="L2656" i="1"/>
  <c r="K2656" i="1"/>
  <c r="J2656" i="1"/>
  <c r="M2655" i="1"/>
  <c r="L2655" i="1"/>
  <c r="K2655" i="1"/>
  <c r="J2655" i="1"/>
  <c r="M2654" i="1"/>
  <c r="L2654" i="1"/>
  <c r="K2654" i="1"/>
  <c r="J2654" i="1"/>
  <c r="M2653" i="1"/>
  <c r="L2653" i="1"/>
  <c r="K2653" i="1"/>
  <c r="J2653" i="1"/>
  <c r="M2652" i="1"/>
  <c r="L2652" i="1"/>
  <c r="K2652" i="1"/>
  <c r="J2652" i="1"/>
  <c r="M2651" i="1"/>
  <c r="L2651" i="1"/>
  <c r="K2651" i="1"/>
  <c r="J2651" i="1"/>
  <c r="M2650" i="1"/>
  <c r="L2650" i="1"/>
  <c r="K2650" i="1"/>
  <c r="J2650" i="1"/>
  <c r="M2649" i="1"/>
  <c r="L2649" i="1"/>
  <c r="K2649" i="1"/>
  <c r="J2649" i="1"/>
  <c r="M2648" i="1"/>
  <c r="L2648" i="1"/>
  <c r="K2648" i="1"/>
  <c r="J2648" i="1"/>
  <c r="M2647" i="1"/>
  <c r="L2647" i="1"/>
  <c r="K2647" i="1"/>
  <c r="J2647" i="1"/>
  <c r="M2646" i="1"/>
  <c r="L2646" i="1"/>
  <c r="K2646" i="1"/>
  <c r="J2646" i="1"/>
  <c r="M2645" i="1"/>
  <c r="L2645" i="1"/>
  <c r="K2645" i="1"/>
  <c r="J2645" i="1"/>
  <c r="M2644" i="1"/>
  <c r="L2644" i="1"/>
  <c r="K2644" i="1"/>
  <c r="J2644" i="1"/>
  <c r="M2643" i="1"/>
  <c r="L2643" i="1"/>
  <c r="K2643" i="1"/>
  <c r="J2643" i="1"/>
  <c r="M2642" i="1"/>
  <c r="L2642" i="1"/>
  <c r="K2642" i="1"/>
  <c r="J2642" i="1"/>
  <c r="M2641" i="1"/>
  <c r="L2641" i="1"/>
  <c r="K2641" i="1"/>
  <c r="J2641" i="1"/>
  <c r="M2640" i="1"/>
  <c r="L2640" i="1"/>
  <c r="K2640" i="1"/>
  <c r="J2640" i="1"/>
  <c r="M2639" i="1"/>
  <c r="L2639" i="1"/>
  <c r="K2639" i="1"/>
  <c r="J2639" i="1"/>
  <c r="M2638" i="1"/>
  <c r="L2638" i="1"/>
  <c r="K2638" i="1"/>
  <c r="J2638" i="1"/>
  <c r="M2637" i="1"/>
  <c r="L2637" i="1"/>
  <c r="K2637" i="1"/>
  <c r="J2637" i="1"/>
  <c r="M2636" i="1"/>
  <c r="L2636" i="1"/>
  <c r="K2636" i="1"/>
  <c r="J2636" i="1"/>
  <c r="M2635" i="1"/>
  <c r="L2635" i="1"/>
  <c r="K2635" i="1"/>
  <c r="J2635" i="1"/>
  <c r="M2634" i="1"/>
  <c r="L2634" i="1"/>
  <c r="K2634" i="1"/>
  <c r="J2634" i="1"/>
  <c r="M2633" i="1"/>
  <c r="L2633" i="1"/>
  <c r="K2633" i="1"/>
  <c r="J2633" i="1"/>
  <c r="M2632" i="1"/>
  <c r="L2632" i="1"/>
  <c r="K2632" i="1"/>
  <c r="J2632" i="1"/>
  <c r="M2631" i="1"/>
  <c r="L2631" i="1"/>
  <c r="K2631" i="1"/>
  <c r="J2631" i="1"/>
  <c r="M2630" i="1"/>
  <c r="L2630" i="1"/>
  <c r="K2630" i="1"/>
  <c r="J2630" i="1"/>
  <c r="M2629" i="1"/>
  <c r="L2629" i="1"/>
  <c r="K2629" i="1"/>
  <c r="J2629" i="1"/>
  <c r="M2628" i="1"/>
  <c r="L2628" i="1"/>
  <c r="K2628" i="1"/>
  <c r="J2628" i="1"/>
  <c r="M2627" i="1"/>
  <c r="L2627" i="1"/>
  <c r="K2627" i="1"/>
  <c r="J2627" i="1"/>
  <c r="M2626" i="1"/>
  <c r="L2626" i="1"/>
  <c r="K2626" i="1"/>
  <c r="J2626" i="1"/>
  <c r="M2625" i="1"/>
  <c r="L2625" i="1"/>
  <c r="K2625" i="1"/>
  <c r="J2625" i="1"/>
  <c r="M2624" i="1"/>
  <c r="L2624" i="1"/>
  <c r="K2624" i="1"/>
  <c r="J2624" i="1"/>
  <c r="M2623" i="1"/>
  <c r="L2623" i="1"/>
  <c r="K2623" i="1"/>
  <c r="J2623" i="1"/>
  <c r="M2622" i="1"/>
  <c r="L2622" i="1"/>
  <c r="K2622" i="1"/>
  <c r="J2622" i="1"/>
  <c r="M2621" i="1"/>
  <c r="L2621" i="1"/>
  <c r="K2621" i="1"/>
  <c r="J2621" i="1"/>
  <c r="M2620" i="1"/>
  <c r="L2620" i="1"/>
  <c r="K2620" i="1"/>
  <c r="J2620" i="1"/>
  <c r="M2619" i="1"/>
  <c r="L2619" i="1"/>
  <c r="K2619" i="1"/>
  <c r="J2619" i="1"/>
  <c r="M2618" i="1"/>
  <c r="L2618" i="1"/>
  <c r="K2618" i="1"/>
  <c r="J2618" i="1"/>
  <c r="M2617" i="1"/>
  <c r="L2617" i="1"/>
  <c r="K2617" i="1"/>
  <c r="J2617" i="1"/>
  <c r="M2616" i="1"/>
  <c r="L2616" i="1"/>
  <c r="K2616" i="1"/>
  <c r="J2616" i="1"/>
  <c r="M2615" i="1"/>
  <c r="L2615" i="1"/>
  <c r="K2615" i="1"/>
  <c r="J2615" i="1"/>
  <c r="M2614" i="1"/>
  <c r="L2614" i="1"/>
  <c r="K2614" i="1"/>
  <c r="J2614" i="1"/>
  <c r="M2613" i="1"/>
  <c r="L2613" i="1"/>
  <c r="K2613" i="1"/>
  <c r="J2613" i="1"/>
  <c r="M2612" i="1"/>
  <c r="L2612" i="1"/>
  <c r="K2612" i="1"/>
  <c r="J2612" i="1"/>
  <c r="M2611" i="1"/>
  <c r="L2611" i="1"/>
  <c r="K2611" i="1"/>
  <c r="J2611" i="1"/>
  <c r="M2610" i="1"/>
  <c r="L2610" i="1"/>
  <c r="K2610" i="1"/>
  <c r="J2610" i="1"/>
  <c r="M2609" i="1"/>
  <c r="L2609" i="1"/>
  <c r="K2609" i="1"/>
  <c r="J2609" i="1"/>
  <c r="M2608" i="1"/>
  <c r="L2608" i="1"/>
  <c r="K2608" i="1"/>
  <c r="J2608" i="1"/>
  <c r="M2607" i="1"/>
  <c r="L2607" i="1"/>
  <c r="K2607" i="1"/>
  <c r="J2607" i="1"/>
  <c r="M2606" i="1"/>
  <c r="L2606" i="1"/>
  <c r="K2606" i="1"/>
  <c r="J2606" i="1"/>
  <c r="M2605" i="1"/>
  <c r="L2605" i="1"/>
  <c r="K2605" i="1"/>
  <c r="J2605" i="1"/>
  <c r="M2604" i="1"/>
  <c r="L2604" i="1"/>
  <c r="K2604" i="1"/>
  <c r="J2604" i="1"/>
  <c r="M2603" i="1"/>
  <c r="L2603" i="1"/>
  <c r="K2603" i="1"/>
  <c r="J2603" i="1"/>
  <c r="M2602" i="1"/>
  <c r="L2602" i="1"/>
  <c r="K2602" i="1"/>
  <c r="J2602" i="1"/>
  <c r="M2601" i="1"/>
  <c r="L2601" i="1"/>
  <c r="K2601" i="1"/>
  <c r="J2601" i="1"/>
  <c r="M2600" i="1"/>
  <c r="L2600" i="1"/>
  <c r="K2600" i="1"/>
  <c r="J2600" i="1"/>
  <c r="M2599" i="1"/>
  <c r="L2599" i="1"/>
  <c r="K2599" i="1"/>
  <c r="J2599" i="1"/>
  <c r="M2598" i="1"/>
  <c r="L2598" i="1"/>
  <c r="K2598" i="1"/>
  <c r="J2598" i="1"/>
  <c r="M2597" i="1"/>
  <c r="L2597" i="1"/>
  <c r="K2597" i="1"/>
  <c r="J2597" i="1"/>
  <c r="M2596" i="1"/>
  <c r="L2596" i="1"/>
  <c r="K2596" i="1"/>
  <c r="J2596" i="1"/>
  <c r="M2595" i="1"/>
  <c r="L2595" i="1"/>
  <c r="K2595" i="1"/>
  <c r="J2595" i="1"/>
  <c r="M2594" i="1"/>
  <c r="L2594" i="1"/>
  <c r="K2594" i="1"/>
  <c r="J2594" i="1"/>
  <c r="M2593" i="1"/>
  <c r="L2593" i="1"/>
  <c r="K2593" i="1"/>
  <c r="J2593" i="1"/>
  <c r="M2592" i="1"/>
  <c r="L2592" i="1"/>
  <c r="K2592" i="1"/>
  <c r="J2592" i="1"/>
  <c r="M2591" i="1"/>
  <c r="L2591" i="1"/>
  <c r="K2591" i="1"/>
  <c r="J2591" i="1"/>
  <c r="M2590" i="1"/>
  <c r="L2590" i="1"/>
  <c r="K2590" i="1"/>
  <c r="J2590" i="1"/>
  <c r="M2589" i="1"/>
  <c r="L2589" i="1"/>
  <c r="K2589" i="1"/>
  <c r="J2589" i="1"/>
  <c r="M2588" i="1"/>
  <c r="L2588" i="1"/>
  <c r="K2588" i="1"/>
  <c r="J2588" i="1"/>
  <c r="M2587" i="1"/>
  <c r="L2587" i="1"/>
  <c r="K2587" i="1"/>
  <c r="J2587" i="1"/>
  <c r="M2586" i="1"/>
  <c r="L2586" i="1"/>
  <c r="K2586" i="1"/>
  <c r="J2586" i="1"/>
  <c r="M2585" i="1"/>
  <c r="L2585" i="1"/>
  <c r="K2585" i="1"/>
  <c r="J2585" i="1"/>
  <c r="M2584" i="1"/>
  <c r="L2584" i="1"/>
  <c r="K2584" i="1"/>
  <c r="J2584" i="1"/>
  <c r="M2583" i="1"/>
  <c r="L2583" i="1"/>
  <c r="K2583" i="1"/>
  <c r="J2583" i="1"/>
  <c r="M2582" i="1"/>
  <c r="L2582" i="1"/>
  <c r="K2582" i="1"/>
  <c r="J2582" i="1"/>
  <c r="M2581" i="1"/>
  <c r="L2581" i="1"/>
  <c r="K2581" i="1"/>
  <c r="J2581" i="1"/>
  <c r="M2580" i="1"/>
  <c r="L2580" i="1"/>
  <c r="K2580" i="1"/>
  <c r="J2580" i="1"/>
  <c r="M2579" i="1"/>
  <c r="L2579" i="1"/>
  <c r="K2579" i="1"/>
  <c r="J2579" i="1"/>
  <c r="M2578" i="1"/>
  <c r="L2578" i="1"/>
  <c r="K2578" i="1"/>
  <c r="J2578" i="1"/>
  <c r="M2577" i="1"/>
  <c r="L2577" i="1"/>
  <c r="K2577" i="1"/>
  <c r="J2577" i="1"/>
  <c r="M2576" i="1"/>
  <c r="L2576" i="1"/>
  <c r="K2576" i="1"/>
  <c r="J2576" i="1"/>
  <c r="M2575" i="1"/>
  <c r="L2575" i="1"/>
  <c r="K2575" i="1"/>
  <c r="J2575" i="1"/>
  <c r="M2574" i="1"/>
  <c r="L2574" i="1"/>
  <c r="K2574" i="1"/>
  <c r="J2574" i="1"/>
  <c r="M2573" i="1"/>
  <c r="L2573" i="1"/>
  <c r="K2573" i="1"/>
  <c r="J2573" i="1"/>
  <c r="M2572" i="1"/>
  <c r="L2572" i="1"/>
  <c r="K2572" i="1"/>
  <c r="J2572" i="1"/>
  <c r="M2571" i="1"/>
  <c r="L2571" i="1"/>
  <c r="K2571" i="1"/>
  <c r="J2571" i="1"/>
  <c r="M2570" i="1"/>
  <c r="L2570" i="1"/>
  <c r="K2570" i="1"/>
  <c r="J2570" i="1"/>
  <c r="M2569" i="1"/>
  <c r="L2569" i="1"/>
  <c r="K2569" i="1"/>
  <c r="J2569" i="1"/>
  <c r="M2568" i="1"/>
  <c r="L2568" i="1"/>
  <c r="K2568" i="1"/>
  <c r="J2568" i="1"/>
  <c r="M2567" i="1"/>
  <c r="L2567" i="1"/>
  <c r="K2567" i="1"/>
  <c r="J2567" i="1"/>
  <c r="M2566" i="1"/>
  <c r="L2566" i="1"/>
  <c r="K2566" i="1"/>
  <c r="J2566" i="1"/>
  <c r="M2565" i="1"/>
  <c r="L2565" i="1"/>
  <c r="K2565" i="1"/>
  <c r="J2565" i="1"/>
  <c r="M2564" i="1"/>
  <c r="L2564" i="1"/>
  <c r="K2564" i="1"/>
  <c r="J2564" i="1"/>
  <c r="M2563" i="1"/>
  <c r="L2563" i="1"/>
  <c r="K2563" i="1"/>
  <c r="J2563" i="1"/>
  <c r="M2562" i="1"/>
  <c r="L2562" i="1"/>
  <c r="K2562" i="1"/>
  <c r="J2562" i="1"/>
  <c r="M2561" i="1"/>
  <c r="L2561" i="1"/>
  <c r="K2561" i="1"/>
  <c r="J2561" i="1"/>
  <c r="M2560" i="1"/>
  <c r="L2560" i="1"/>
  <c r="K2560" i="1"/>
  <c r="J2560" i="1"/>
  <c r="M2559" i="1"/>
  <c r="L2559" i="1"/>
  <c r="K2559" i="1"/>
  <c r="J2559" i="1"/>
  <c r="M2558" i="1"/>
  <c r="L2558" i="1"/>
  <c r="K2558" i="1"/>
  <c r="J2558" i="1"/>
  <c r="M2557" i="1"/>
  <c r="L2557" i="1"/>
  <c r="K2557" i="1"/>
  <c r="J2557" i="1"/>
  <c r="M2556" i="1"/>
  <c r="L2556" i="1"/>
  <c r="K2556" i="1"/>
  <c r="J2556" i="1"/>
  <c r="M2555" i="1"/>
  <c r="L2555" i="1"/>
  <c r="K2555" i="1"/>
  <c r="J2555" i="1"/>
  <c r="M2554" i="1"/>
  <c r="L2554" i="1"/>
  <c r="K2554" i="1"/>
  <c r="J2554" i="1"/>
  <c r="M2553" i="1"/>
  <c r="L2553" i="1"/>
  <c r="K2553" i="1"/>
  <c r="J2553" i="1"/>
  <c r="M2552" i="1"/>
  <c r="L2552" i="1"/>
  <c r="K2552" i="1"/>
  <c r="J2552" i="1"/>
  <c r="M2551" i="1"/>
  <c r="L2551" i="1"/>
  <c r="K2551" i="1"/>
  <c r="J2551" i="1"/>
  <c r="M2550" i="1"/>
  <c r="L2550" i="1"/>
  <c r="K2550" i="1"/>
  <c r="J2550" i="1"/>
  <c r="M2549" i="1"/>
  <c r="L2549" i="1"/>
  <c r="K2549" i="1"/>
  <c r="J2549" i="1"/>
  <c r="M2548" i="1"/>
  <c r="L2548" i="1"/>
  <c r="K2548" i="1"/>
  <c r="J2548" i="1"/>
  <c r="M2547" i="1"/>
  <c r="L2547" i="1"/>
  <c r="K2547" i="1"/>
  <c r="J2547" i="1"/>
  <c r="M2546" i="1"/>
  <c r="L2546" i="1"/>
  <c r="K2546" i="1"/>
  <c r="J2546" i="1"/>
  <c r="M2545" i="1"/>
  <c r="L2545" i="1"/>
  <c r="K2545" i="1"/>
  <c r="J2545" i="1"/>
  <c r="M2544" i="1"/>
  <c r="L2544" i="1"/>
  <c r="K2544" i="1"/>
  <c r="J2544" i="1"/>
  <c r="M2543" i="1"/>
  <c r="L2543" i="1"/>
  <c r="K2543" i="1"/>
  <c r="J2543" i="1"/>
  <c r="M2542" i="1"/>
  <c r="L2542" i="1"/>
  <c r="K2542" i="1"/>
  <c r="J2542" i="1"/>
  <c r="M2541" i="1"/>
  <c r="L2541" i="1"/>
  <c r="K2541" i="1"/>
  <c r="J2541" i="1"/>
  <c r="M2540" i="1"/>
  <c r="L2540" i="1"/>
  <c r="K2540" i="1"/>
  <c r="J2540" i="1"/>
  <c r="M2539" i="1"/>
  <c r="L2539" i="1"/>
  <c r="K2539" i="1"/>
  <c r="J2539" i="1"/>
  <c r="M2538" i="1"/>
  <c r="L2538" i="1"/>
  <c r="K2538" i="1"/>
  <c r="J2538" i="1"/>
  <c r="M2537" i="1"/>
  <c r="L2537" i="1"/>
  <c r="K2537" i="1"/>
  <c r="J2537" i="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E15" i="13" s="1"/>
  <c r="I47" i="11"/>
  <c r="I48" i="11"/>
  <c r="I49" i="11"/>
  <c r="E136" i="13" s="1"/>
  <c r="I50" i="11"/>
  <c r="I51" i="11"/>
  <c r="I52" i="11"/>
  <c r="I53" i="11"/>
  <c r="I54" i="11"/>
  <c r="I55" i="11"/>
  <c r="I56" i="11"/>
  <c r="I57" i="11"/>
  <c r="I58" i="11"/>
  <c r="I59" i="11"/>
  <c r="E97" i="13" s="1"/>
  <c r="I60" i="11"/>
  <c r="I61" i="11"/>
  <c r="I62" i="11"/>
  <c r="E7" i="13" s="1"/>
  <c r="I63" i="11"/>
  <c r="I64" i="11"/>
  <c r="I65" i="11"/>
  <c r="I66" i="11"/>
  <c r="E121" i="13" s="1"/>
  <c r="I67" i="11"/>
  <c r="E48" i="13" s="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E73" i="13" s="1"/>
  <c r="I95" i="11"/>
  <c r="I96" i="11"/>
  <c r="I97" i="11"/>
  <c r="I98" i="11"/>
  <c r="I99" i="11"/>
  <c r="I100" i="11"/>
  <c r="I101" i="11"/>
  <c r="I102" i="11"/>
  <c r="I103" i="11"/>
  <c r="I104" i="11"/>
  <c r="I105" i="11"/>
  <c r="E127" i="13" s="1"/>
  <c r="I106" i="11"/>
  <c r="I107" i="11"/>
  <c r="I108" i="11"/>
  <c r="E18" i="13" s="1"/>
  <c r="I109" i="11"/>
  <c r="I110" i="11"/>
  <c r="E40" i="13" s="1"/>
  <c r="I111" i="11"/>
  <c r="I112" i="11"/>
  <c r="I113" i="11"/>
  <c r="I114" i="11"/>
  <c r="I115" i="11"/>
  <c r="I116" i="11"/>
  <c r="I117" i="11"/>
  <c r="I118" i="11"/>
  <c r="E43" i="13" s="1"/>
  <c r="I119" i="11"/>
  <c r="I120" i="11"/>
  <c r="I121" i="11"/>
  <c r="I122" i="11"/>
  <c r="E63" i="13" s="1"/>
  <c r="I123" i="11"/>
  <c r="I124" i="11"/>
  <c r="I125" i="11"/>
  <c r="I126" i="11"/>
  <c r="I127" i="11"/>
  <c r="I128" i="11"/>
  <c r="I129" i="11"/>
  <c r="I130" i="11"/>
  <c r="I131" i="11"/>
  <c r="I132" i="11"/>
  <c r="I133" i="11"/>
  <c r="E98" i="13" s="1"/>
  <c r="I134" i="11"/>
  <c r="I135" i="11"/>
  <c r="I136" i="11"/>
  <c r="E68" i="13" s="1"/>
  <c r="I137" i="11"/>
  <c r="I138" i="11"/>
  <c r="I139" i="11"/>
  <c r="E60" i="13" s="1"/>
  <c r="I140" i="11"/>
  <c r="I141" i="11"/>
  <c r="I142" i="11"/>
  <c r="I143" i="11"/>
  <c r="I144" i="11"/>
  <c r="I145" i="11"/>
  <c r="I146" i="11"/>
  <c r="I147" i="11"/>
  <c r="I148" i="11"/>
  <c r="I149" i="11"/>
  <c r="I150" i="11"/>
  <c r="I151" i="11"/>
  <c r="I152" i="11"/>
  <c r="I153" i="11"/>
  <c r="I154" i="11"/>
  <c r="I155" i="11"/>
  <c r="I156" i="11"/>
  <c r="I157" i="11"/>
  <c r="I158" i="11"/>
  <c r="E84" i="13" s="1"/>
  <c r="I159" i="11"/>
  <c r="I160" i="11"/>
  <c r="I161" i="11"/>
  <c r="I162" i="11"/>
  <c r="I163" i="11"/>
  <c r="I164" i="11"/>
  <c r="E140" i="13" s="1"/>
  <c r="I165" i="11"/>
  <c r="I166" i="11"/>
  <c r="I167" i="11"/>
  <c r="I168" i="11"/>
  <c r="I169" i="11"/>
  <c r="I170" i="11"/>
  <c r="I171" i="11"/>
  <c r="I172" i="11"/>
  <c r="I173" i="11"/>
  <c r="I174" i="11"/>
  <c r="I175" i="11"/>
  <c r="I176" i="11"/>
  <c r="I177" i="11"/>
  <c r="I178" i="11"/>
  <c r="E141" i="13" s="1"/>
  <c r="I179" i="11"/>
  <c r="E33" i="13" s="1"/>
  <c r="I180" i="11"/>
  <c r="I181" i="11"/>
  <c r="I182" i="11"/>
  <c r="I183" i="11"/>
  <c r="I184" i="11"/>
  <c r="I185" i="11"/>
  <c r="E92" i="13" s="1"/>
  <c r="I186" i="11"/>
  <c r="I187" i="11"/>
  <c r="I188" i="11"/>
  <c r="I189" i="11"/>
  <c r="I190" i="11"/>
  <c r="I191" i="11"/>
  <c r="E115" i="13" s="1"/>
  <c r="I192" i="11"/>
  <c r="I193" i="11"/>
  <c r="I194" i="11"/>
  <c r="I195" i="11"/>
  <c r="I196" i="11"/>
  <c r="I197" i="11"/>
  <c r="I198" i="11"/>
  <c r="I199" i="11"/>
  <c r="I200" i="11"/>
  <c r="E36" i="13" s="1"/>
  <c r="I201" i="11"/>
  <c r="I202" i="11"/>
  <c r="I203" i="11"/>
  <c r="I204" i="11"/>
  <c r="I205" i="11"/>
  <c r="I206" i="11"/>
  <c r="I207" i="11"/>
  <c r="I208" i="11"/>
  <c r="I209" i="11"/>
  <c r="I210" i="11"/>
  <c r="I211" i="11"/>
  <c r="I212" i="11"/>
  <c r="I213" i="11"/>
  <c r="I214" i="11"/>
  <c r="I215" i="11"/>
  <c r="I216" i="11"/>
  <c r="I217" i="11"/>
  <c r="I218" i="11"/>
  <c r="I219" i="11"/>
  <c r="I220" i="11"/>
  <c r="I221" i="11"/>
  <c r="E17" i="13" s="1"/>
  <c r="I222" i="11"/>
  <c r="I223" i="11"/>
  <c r="I224" i="11"/>
  <c r="I225" i="11"/>
  <c r="I226" i="11"/>
  <c r="E137" i="13" s="1"/>
  <c r="I227" i="11"/>
  <c r="I228" i="11"/>
  <c r="E39" i="13" s="1"/>
  <c r="I229" i="11"/>
  <c r="I230" i="11"/>
  <c r="I231" i="11"/>
  <c r="E111" i="13" s="1"/>
  <c r="I232" i="11"/>
  <c r="I233" i="11"/>
  <c r="I234" i="11"/>
  <c r="E145" i="13" s="1"/>
  <c r="I235" i="11"/>
  <c r="E85" i="13" s="1"/>
  <c r="I236" i="11"/>
  <c r="E71" i="13" s="1"/>
  <c r="I237" i="11"/>
  <c r="I238" i="11"/>
  <c r="I239" i="11"/>
  <c r="E56" i="13" s="1"/>
  <c r="I240" i="11"/>
  <c r="I241" i="11"/>
  <c r="E72" i="13" s="1"/>
  <c r="I242" i="11"/>
  <c r="I243" i="11"/>
  <c r="I244" i="11"/>
  <c r="I245" i="11"/>
  <c r="I246" i="11"/>
  <c r="E101" i="13" s="1"/>
  <c r="I247" i="11"/>
  <c r="I248" i="11"/>
  <c r="I249" i="11"/>
  <c r="E54" i="13" s="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E9" i="13" s="1"/>
  <c r="I305" i="11"/>
  <c r="E80" i="13" s="1"/>
  <c r="I306" i="11"/>
  <c r="E20" i="13" s="1"/>
  <c r="I307" i="11"/>
  <c r="I308" i="11"/>
  <c r="E89" i="13" s="1"/>
  <c r="I309" i="11"/>
  <c r="I310" i="11"/>
  <c r="I311" i="11"/>
  <c r="E75" i="13" s="1"/>
  <c r="I312" i="11"/>
  <c r="I313" i="11"/>
  <c r="E87" i="13" s="1"/>
  <c r="I314" i="11"/>
  <c r="I315" i="11"/>
  <c r="I316" i="11"/>
  <c r="I317" i="11"/>
  <c r="E16" i="13" s="1"/>
  <c r="I318" i="11"/>
  <c r="I319" i="11"/>
  <c r="I320" i="11"/>
  <c r="E94" i="13" s="1"/>
  <c r="I321" i="11"/>
  <c r="I322" i="11"/>
  <c r="I323" i="11"/>
  <c r="I324" i="11"/>
  <c r="I325" i="11"/>
  <c r="I326" i="11"/>
  <c r="I327" i="11"/>
  <c r="I328" i="11"/>
  <c r="I329" i="11"/>
  <c r="I330" i="11"/>
  <c r="I331" i="11"/>
  <c r="I332" i="11"/>
  <c r="I333" i="11"/>
  <c r="I334" i="11"/>
  <c r="I335" i="11"/>
  <c r="I336" i="11"/>
  <c r="I337" i="11"/>
  <c r="I338" i="11"/>
  <c r="E61" i="13" s="1"/>
  <c r="I339" i="11"/>
  <c r="E14" i="13" s="1"/>
  <c r="I340" i="11"/>
  <c r="E59" i="13" s="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E103" i="13" s="1"/>
  <c r="I381" i="11"/>
  <c r="I382" i="11"/>
  <c r="I383" i="11"/>
  <c r="E130" i="13" s="1"/>
  <c r="I384" i="11"/>
  <c r="E114" i="13" s="1"/>
  <c r="I385" i="11"/>
  <c r="I386" i="11"/>
  <c r="I387" i="11"/>
  <c r="E117" i="13" s="1"/>
  <c r="I388" i="11"/>
  <c r="I389" i="11"/>
  <c r="I390" i="11"/>
  <c r="E125" i="13" s="1"/>
  <c r="I391" i="11"/>
  <c r="I392" i="11"/>
  <c r="I393" i="11"/>
  <c r="I394" i="11"/>
  <c r="I395" i="11"/>
  <c r="I396" i="11"/>
  <c r="E134" i="13" s="1"/>
  <c r="I397" i="11"/>
  <c r="I398" i="11"/>
  <c r="I399" i="11"/>
  <c r="I400" i="11"/>
  <c r="I401" i="11"/>
  <c r="E8" i="13" s="1"/>
  <c r="I402" i="11"/>
  <c r="I403" i="11"/>
  <c r="I404" i="11"/>
  <c r="I405" i="11"/>
  <c r="E105" i="13" s="1"/>
  <c r="I406" i="11"/>
  <c r="I407" i="11"/>
  <c r="E109" i="13" s="1"/>
  <c r="I408" i="11"/>
  <c r="I409" i="11"/>
  <c r="I410" i="11"/>
  <c r="I411" i="11"/>
  <c r="I412" i="11"/>
  <c r="I413" i="11"/>
  <c r="E52" i="13" s="1"/>
  <c r="I414" i="11"/>
  <c r="I415" i="11"/>
  <c r="I416" i="11"/>
  <c r="I417" i="11"/>
  <c r="I418" i="11"/>
  <c r="I419" i="11"/>
  <c r="I420" i="11"/>
  <c r="I421" i="11"/>
  <c r="E110" i="13" s="1"/>
  <c r="I422" i="11"/>
  <c r="E126" i="13" s="1"/>
  <c r="I423" i="11"/>
  <c r="I424" i="11"/>
  <c r="I425" i="11"/>
  <c r="I426" i="11"/>
  <c r="I427" i="11"/>
  <c r="E82" i="13" s="1"/>
  <c r="I428" i="11"/>
  <c r="E144" i="13" s="1"/>
  <c r="I429" i="11"/>
  <c r="I430" i="11"/>
  <c r="I431" i="11"/>
  <c r="I432" i="11"/>
  <c r="E120" i="13" s="1"/>
  <c r="I433" i="11"/>
  <c r="I434" i="11"/>
  <c r="E65" i="13" s="1"/>
  <c r="I435" i="11"/>
  <c r="I436" i="11"/>
  <c r="I437" i="11"/>
  <c r="E34" i="13" s="1"/>
  <c r="I438" i="11"/>
  <c r="I439" i="11"/>
  <c r="E62" i="13" s="1"/>
  <c r="I440" i="11"/>
  <c r="I441" i="11"/>
  <c r="I442" i="11"/>
  <c r="I443" i="11"/>
  <c r="E81" i="13" s="1"/>
  <c r="I444" i="11"/>
  <c r="I445" i="11"/>
  <c r="I446" i="11"/>
  <c r="I447" i="11"/>
  <c r="I448" i="11"/>
  <c r="E107" i="13" s="1"/>
  <c r="I449" i="11"/>
  <c r="I450" i="11"/>
  <c r="I451" i="11"/>
  <c r="I452" i="11"/>
  <c r="I453" i="11"/>
  <c r="I454" i="11"/>
  <c r="I455" i="11"/>
  <c r="I456" i="11"/>
  <c r="I457" i="11"/>
  <c r="I458" i="11"/>
  <c r="I459" i="11"/>
  <c r="I460" i="11"/>
  <c r="I461" i="11"/>
  <c r="E66" i="13" s="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E13" i="13" s="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E143" i="13" s="1"/>
  <c r="I523" i="11"/>
  <c r="I524" i="11"/>
  <c r="I525" i="11"/>
  <c r="I526" i="11"/>
  <c r="I527" i="11"/>
  <c r="I528" i="11"/>
  <c r="I529" i="11"/>
  <c r="I530" i="11"/>
  <c r="I531" i="11"/>
  <c r="I532" i="11"/>
  <c r="I533" i="11"/>
  <c r="I534" i="11"/>
  <c r="I535" i="11"/>
  <c r="I536" i="11"/>
  <c r="I537" i="11"/>
  <c r="E124" i="13" s="1"/>
  <c r="I538" i="11"/>
  <c r="I539" i="11"/>
  <c r="I540" i="11"/>
  <c r="I541" i="11"/>
  <c r="I542" i="11"/>
  <c r="I543" i="11"/>
  <c r="I544" i="11"/>
  <c r="I545" i="11"/>
  <c r="I546" i="11"/>
  <c r="I547" i="11"/>
  <c r="I548" i="11"/>
  <c r="I549" i="11"/>
  <c r="I550" i="11"/>
  <c r="I551" i="11"/>
  <c r="I552" i="11"/>
  <c r="I553" i="11"/>
  <c r="E129" i="13" s="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E10" i="13" s="1"/>
  <c r="I591" i="11"/>
  <c r="E11" i="13" s="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E132" i="13" s="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E131" i="13" s="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E138" i="13" s="1"/>
  <c r="I772" i="11"/>
  <c r="I773" i="11"/>
  <c r="I774" i="11"/>
  <c r="I775" i="11"/>
  <c r="I776" i="11"/>
  <c r="I777" i="11"/>
  <c r="I778" i="11"/>
  <c r="I779" i="11"/>
  <c r="E88" i="13" s="1"/>
  <c r="I780" i="11"/>
  <c r="I781" i="11"/>
  <c r="I782" i="11"/>
  <c r="I783" i="11"/>
  <c r="E177" i="13" s="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E76" i="13" s="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E26" i="13" s="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E79" i="13" s="1"/>
  <c r="I1000" i="11"/>
  <c r="I1001" i="11"/>
  <c r="I1002" i="11"/>
  <c r="I1003" i="11"/>
  <c r="I1004" i="11"/>
  <c r="I1005" i="11"/>
  <c r="I1006" i="11"/>
  <c r="I1007" i="11"/>
  <c r="I1008" i="11"/>
  <c r="I3" i="11"/>
  <c r="E57" i="13" s="1"/>
  <c r="H4" i="11"/>
  <c r="J4" i="11" s="1"/>
  <c r="H5" i="11"/>
  <c r="J5" i="11" s="1"/>
  <c r="H6" i="11"/>
  <c r="J6" i="11" s="1"/>
  <c r="H7" i="11"/>
  <c r="J7" i="11" s="1"/>
  <c r="H8" i="11"/>
  <c r="J8" i="11" s="1"/>
  <c r="H9" i="11"/>
  <c r="J9" i="11" s="1"/>
  <c r="H10" i="11"/>
  <c r="J10" i="11" s="1"/>
  <c r="H11" i="11"/>
  <c r="J11" i="11" s="1"/>
  <c r="H12" i="11"/>
  <c r="J12" i="11" s="1"/>
  <c r="H13" i="11"/>
  <c r="J13" i="11" s="1"/>
  <c r="H14" i="11"/>
  <c r="J14" i="11" s="1"/>
  <c r="H15" i="11"/>
  <c r="J15" i="11" s="1"/>
  <c r="H16" i="11"/>
  <c r="J16" i="11" s="1"/>
  <c r="H17" i="11"/>
  <c r="J17" i="11" s="1"/>
  <c r="H18" i="11"/>
  <c r="J18" i="11" s="1"/>
  <c r="H19" i="11"/>
  <c r="J19" i="11" s="1"/>
  <c r="H20" i="11"/>
  <c r="J20" i="11" s="1"/>
  <c r="H21" i="11"/>
  <c r="J21" i="11" s="1"/>
  <c r="H22" i="11"/>
  <c r="J22" i="11" s="1"/>
  <c r="H23" i="11"/>
  <c r="J23" i="11" s="1"/>
  <c r="H24" i="11"/>
  <c r="J24" i="11" s="1"/>
  <c r="H25" i="11"/>
  <c r="J25" i="11" s="1"/>
  <c r="H26" i="11"/>
  <c r="J26" i="11" s="1"/>
  <c r="H27" i="11"/>
  <c r="J27" i="11" s="1"/>
  <c r="H28" i="11"/>
  <c r="J28" i="11" s="1"/>
  <c r="H29" i="11"/>
  <c r="J29" i="11" s="1"/>
  <c r="H30" i="11"/>
  <c r="J30" i="11" s="1"/>
  <c r="H31" i="11"/>
  <c r="J31" i="11" s="1"/>
  <c r="H32" i="11"/>
  <c r="J32" i="11" s="1"/>
  <c r="H33" i="11"/>
  <c r="J33" i="11" s="1"/>
  <c r="H34" i="11"/>
  <c r="J34" i="11" s="1"/>
  <c r="H35" i="11"/>
  <c r="J35" i="11" s="1"/>
  <c r="H36" i="11"/>
  <c r="J36" i="11" s="1"/>
  <c r="H37" i="11"/>
  <c r="J37" i="11" s="1"/>
  <c r="H38" i="11"/>
  <c r="J38" i="11" s="1"/>
  <c r="H39" i="11"/>
  <c r="J39" i="11" s="1"/>
  <c r="H40" i="11"/>
  <c r="J40" i="11" s="1"/>
  <c r="H41" i="11"/>
  <c r="J41" i="11" s="1"/>
  <c r="H42" i="11"/>
  <c r="J42" i="11" s="1"/>
  <c r="H43" i="11"/>
  <c r="J43" i="11" s="1"/>
  <c r="H44" i="11"/>
  <c r="J44" i="11" s="1"/>
  <c r="H45" i="11"/>
  <c r="J45" i="11" s="1"/>
  <c r="H46" i="11"/>
  <c r="J46" i="11" s="1"/>
  <c r="H47" i="11"/>
  <c r="J47" i="11" s="1"/>
  <c r="H48" i="11"/>
  <c r="J48" i="11" s="1"/>
  <c r="H49" i="11"/>
  <c r="J49" i="11" s="1"/>
  <c r="H50" i="11"/>
  <c r="J50" i="11" s="1"/>
  <c r="H51" i="11"/>
  <c r="J51" i="11" s="1"/>
  <c r="H52" i="11"/>
  <c r="J52" i="11" s="1"/>
  <c r="H53" i="11"/>
  <c r="J53" i="11" s="1"/>
  <c r="H54" i="11"/>
  <c r="J54" i="11" s="1"/>
  <c r="H55" i="11"/>
  <c r="J55" i="11" s="1"/>
  <c r="H56" i="11"/>
  <c r="J56" i="11" s="1"/>
  <c r="H57" i="11"/>
  <c r="J57" i="11" s="1"/>
  <c r="H58" i="11"/>
  <c r="J58" i="11" s="1"/>
  <c r="H59" i="11"/>
  <c r="H60" i="11"/>
  <c r="J60" i="11" s="1"/>
  <c r="H61" i="11"/>
  <c r="J61" i="11" s="1"/>
  <c r="H62" i="11"/>
  <c r="J62" i="11" s="1"/>
  <c r="H63" i="11"/>
  <c r="J63" i="11" s="1"/>
  <c r="H64" i="11"/>
  <c r="J64" i="11" s="1"/>
  <c r="H65" i="11"/>
  <c r="J65" i="11" s="1"/>
  <c r="H66" i="11"/>
  <c r="J66" i="11" s="1"/>
  <c r="H67" i="11"/>
  <c r="J67" i="11" s="1"/>
  <c r="H68" i="11"/>
  <c r="J68" i="11" s="1"/>
  <c r="H69" i="11"/>
  <c r="J69" i="11" s="1"/>
  <c r="H70" i="11"/>
  <c r="J70" i="11" s="1"/>
  <c r="H71" i="11"/>
  <c r="J71" i="11" s="1"/>
  <c r="H72" i="11"/>
  <c r="J72" i="11" s="1"/>
  <c r="H73" i="11"/>
  <c r="J73" i="11" s="1"/>
  <c r="H74" i="11"/>
  <c r="J74" i="11" s="1"/>
  <c r="H75" i="11"/>
  <c r="J75" i="11" s="1"/>
  <c r="H76" i="11"/>
  <c r="J76" i="11" s="1"/>
  <c r="H77" i="11"/>
  <c r="J77" i="11" s="1"/>
  <c r="H78" i="11"/>
  <c r="J78" i="11" s="1"/>
  <c r="H79" i="11"/>
  <c r="J79" i="11" s="1"/>
  <c r="H80" i="11"/>
  <c r="J80" i="11" s="1"/>
  <c r="H81" i="11"/>
  <c r="J81" i="11" s="1"/>
  <c r="H82" i="11"/>
  <c r="J82" i="11" s="1"/>
  <c r="H83" i="11"/>
  <c r="J83" i="11" s="1"/>
  <c r="H84" i="11"/>
  <c r="J84" i="11" s="1"/>
  <c r="H85" i="11"/>
  <c r="J85" i="11" s="1"/>
  <c r="H86" i="11"/>
  <c r="J86" i="11" s="1"/>
  <c r="H87" i="11"/>
  <c r="J87" i="11" s="1"/>
  <c r="H88" i="11"/>
  <c r="J88" i="11" s="1"/>
  <c r="H89" i="11"/>
  <c r="J89" i="11" s="1"/>
  <c r="H90" i="11"/>
  <c r="J90" i="11" s="1"/>
  <c r="H91" i="11"/>
  <c r="J91" i="11" s="1"/>
  <c r="H92" i="11"/>
  <c r="J92" i="11" s="1"/>
  <c r="H93" i="11"/>
  <c r="J93" i="11" s="1"/>
  <c r="H94" i="11"/>
  <c r="J94" i="11" s="1"/>
  <c r="H95" i="11"/>
  <c r="J95" i="11" s="1"/>
  <c r="H96" i="11"/>
  <c r="J96" i="11" s="1"/>
  <c r="H97" i="11"/>
  <c r="J97" i="11" s="1"/>
  <c r="H98" i="11"/>
  <c r="J98" i="11" s="1"/>
  <c r="H99" i="11"/>
  <c r="J99" i="11" s="1"/>
  <c r="H100" i="11"/>
  <c r="J100" i="11" s="1"/>
  <c r="H101" i="11"/>
  <c r="J101" i="11" s="1"/>
  <c r="H102" i="11"/>
  <c r="J102" i="11" s="1"/>
  <c r="H103" i="11"/>
  <c r="J103" i="11" s="1"/>
  <c r="H104" i="11"/>
  <c r="J104" i="11" s="1"/>
  <c r="H105" i="11"/>
  <c r="H106" i="11"/>
  <c r="J106" i="11" s="1"/>
  <c r="H107" i="11"/>
  <c r="J107" i="11" s="1"/>
  <c r="H108" i="11"/>
  <c r="H109" i="11"/>
  <c r="J109" i="11" s="1"/>
  <c r="H110" i="11"/>
  <c r="H111" i="11"/>
  <c r="J111" i="11" s="1"/>
  <c r="H112" i="11"/>
  <c r="J112" i="11" s="1"/>
  <c r="H113" i="11"/>
  <c r="J113" i="11" s="1"/>
  <c r="H114" i="11"/>
  <c r="J114" i="11" s="1"/>
  <c r="H115" i="11"/>
  <c r="J115" i="11" s="1"/>
  <c r="H116" i="11"/>
  <c r="J116" i="11" s="1"/>
  <c r="H117" i="11"/>
  <c r="J117" i="11" s="1"/>
  <c r="H118" i="11"/>
  <c r="H119" i="11"/>
  <c r="J119" i="11" s="1"/>
  <c r="H120" i="11"/>
  <c r="J120" i="11" s="1"/>
  <c r="H121" i="11"/>
  <c r="J121" i="11" s="1"/>
  <c r="H122" i="11"/>
  <c r="J122" i="11" s="1"/>
  <c r="H123" i="11"/>
  <c r="J123" i="11" s="1"/>
  <c r="H124" i="11"/>
  <c r="J124" i="11" s="1"/>
  <c r="H125" i="11"/>
  <c r="J125" i="11" s="1"/>
  <c r="H126" i="11"/>
  <c r="J126" i="11" s="1"/>
  <c r="H127" i="11"/>
  <c r="J127" i="11" s="1"/>
  <c r="H128" i="11"/>
  <c r="J128" i="11" s="1"/>
  <c r="H129" i="11"/>
  <c r="J129" i="11" s="1"/>
  <c r="H130" i="11"/>
  <c r="J130" i="11" s="1"/>
  <c r="H131" i="11"/>
  <c r="J131" i="11" s="1"/>
  <c r="H132" i="11"/>
  <c r="J132" i="11" s="1"/>
  <c r="H133" i="11"/>
  <c r="H134" i="11"/>
  <c r="J134" i="11" s="1"/>
  <c r="H135" i="11"/>
  <c r="J135" i="11" s="1"/>
  <c r="H136" i="11"/>
  <c r="D68" i="13" s="1"/>
  <c r="F68" i="13" s="1"/>
  <c r="H137" i="11"/>
  <c r="J137" i="11" s="1"/>
  <c r="H138" i="11"/>
  <c r="J138" i="11" s="1"/>
  <c r="H139" i="11"/>
  <c r="H140" i="11"/>
  <c r="J140" i="11" s="1"/>
  <c r="H141" i="11"/>
  <c r="J141" i="11" s="1"/>
  <c r="H142" i="11"/>
  <c r="J142" i="11" s="1"/>
  <c r="H143" i="11"/>
  <c r="J143" i="11" s="1"/>
  <c r="H144" i="11"/>
  <c r="J144" i="11" s="1"/>
  <c r="H145" i="11"/>
  <c r="J145" i="11" s="1"/>
  <c r="H146" i="11"/>
  <c r="H147" i="11"/>
  <c r="J147" i="11" s="1"/>
  <c r="H148" i="11"/>
  <c r="J148" i="11" s="1"/>
  <c r="H149" i="11"/>
  <c r="J149" i="11" s="1"/>
  <c r="H150" i="11"/>
  <c r="J150" i="11" s="1"/>
  <c r="H151" i="11"/>
  <c r="J151" i="11" s="1"/>
  <c r="H152" i="11"/>
  <c r="J152" i="11" s="1"/>
  <c r="H153" i="11"/>
  <c r="J153" i="11" s="1"/>
  <c r="H154" i="11"/>
  <c r="H155" i="11"/>
  <c r="J155" i="11" s="1"/>
  <c r="H156" i="11"/>
  <c r="J156" i="11" s="1"/>
  <c r="H157" i="11"/>
  <c r="J157" i="11" s="1"/>
  <c r="H158" i="11"/>
  <c r="H159" i="11"/>
  <c r="J159" i="11" s="1"/>
  <c r="H160" i="11"/>
  <c r="J160" i="11" s="1"/>
  <c r="H161" i="11"/>
  <c r="J161" i="11" s="1"/>
  <c r="H162" i="11"/>
  <c r="J162" i="11" s="1"/>
  <c r="H163" i="11"/>
  <c r="J163" i="11" s="1"/>
  <c r="H164" i="11"/>
  <c r="J164" i="11" s="1"/>
  <c r="H165" i="11"/>
  <c r="J165" i="11" s="1"/>
  <c r="H166" i="11"/>
  <c r="J166" i="11" s="1"/>
  <c r="H167" i="11"/>
  <c r="J167" i="11" s="1"/>
  <c r="H168" i="11"/>
  <c r="J168" i="11" s="1"/>
  <c r="H169" i="11"/>
  <c r="J169" i="11" s="1"/>
  <c r="H170" i="11"/>
  <c r="J170" i="11" s="1"/>
  <c r="H171" i="11"/>
  <c r="J171" i="11" s="1"/>
  <c r="H172" i="11"/>
  <c r="J172" i="11" s="1"/>
  <c r="H173" i="11"/>
  <c r="J173" i="11" s="1"/>
  <c r="H174" i="11"/>
  <c r="J174" i="11" s="1"/>
  <c r="H175" i="11"/>
  <c r="J175" i="11" s="1"/>
  <c r="H176" i="11"/>
  <c r="J176" i="11" s="1"/>
  <c r="H177" i="11"/>
  <c r="J177" i="11" s="1"/>
  <c r="H178" i="11"/>
  <c r="H179" i="11"/>
  <c r="J179" i="11" s="1"/>
  <c r="H180" i="11"/>
  <c r="J180" i="11" s="1"/>
  <c r="H181" i="11"/>
  <c r="J181" i="11" s="1"/>
  <c r="H182" i="11"/>
  <c r="J182" i="11" s="1"/>
  <c r="H183" i="11"/>
  <c r="J183" i="11" s="1"/>
  <c r="H184" i="11"/>
  <c r="J184" i="11" s="1"/>
  <c r="H185" i="11"/>
  <c r="D92" i="13" s="1"/>
  <c r="H186" i="11"/>
  <c r="J186" i="11" s="1"/>
  <c r="H187" i="11"/>
  <c r="J187" i="11" s="1"/>
  <c r="H188" i="11"/>
  <c r="J188" i="11" s="1"/>
  <c r="H189" i="11"/>
  <c r="J189" i="11" s="1"/>
  <c r="H190" i="11"/>
  <c r="J190" i="11" s="1"/>
  <c r="H191" i="11"/>
  <c r="H192" i="11"/>
  <c r="J192" i="11" s="1"/>
  <c r="H193" i="11"/>
  <c r="J193" i="11" s="1"/>
  <c r="H194" i="11"/>
  <c r="J194" i="11" s="1"/>
  <c r="H195" i="11"/>
  <c r="J195" i="11" s="1"/>
  <c r="H196" i="11"/>
  <c r="J196" i="11" s="1"/>
  <c r="H197" i="11"/>
  <c r="J197" i="11" s="1"/>
  <c r="H198" i="11"/>
  <c r="J198" i="11" s="1"/>
  <c r="H199" i="11"/>
  <c r="J199" i="11" s="1"/>
  <c r="H200" i="11"/>
  <c r="D36" i="13" s="1"/>
  <c r="F36" i="13" s="1"/>
  <c r="H201" i="11"/>
  <c r="J201" i="11" s="1"/>
  <c r="H202" i="11"/>
  <c r="J202" i="11" s="1"/>
  <c r="H203" i="11"/>
  <c r="J203" i="11" s="1"/>
  <c r="H204" i="11"/>
  <c r="J204" i="11" s="1"/>
  <c r="H205" i="11"/>
  <c r="J205" i="11" s="1"/>
  <c r="H206" i="11"/>
  <c r="J206" i="11" s="1"/>
  <c r="H207" i="11"/>
  <c r="H208" i="11"/>
  <c r="J208" i="11" s="1"/>
  <c r="H209" i="11"/>
  <c r="J209" i="11" s="1"/>
  <c r="H210" i="11"/>
  <c r="J210" i="11" s="1"/>
  <c r="H211" i="11"/>
  <c r="J211" i="11" s="1"/>
  <c r="H212" i="11"/>
  <c r="J212" i="11" s="1"/>
  <c r="H213" i="11"/>
  <c r="J213" i="11" s="1"/>
  <c r="H214" i="11"/>
  <c r="J214" i="11" s="1"/>
  <c r="H215" i="11"/>
  <c r="J215" i="11" s="1"/>
  <c r="H216" i="11"/>
  <c r="J216" i="11" s="1"/>
  <c r="H217" i="11"/>
  <c r="J217" i="11" s="1"/>
  <c r="H218" i="11"/>
  <c r="J218" i="11" s="1"/>
  <c r="H219" i="11"/>
  <c r="J219" i="11" s="1"/>
  <c r="H220" i="11"/>
  <c r="J220" i="11" s="1"/>
  <c r="H221" i="11"/>
  <c r="J221" i="11" s="1"/>
  <c r="H222" i="11"/>
  <c r="J222" i="11" s="1"/>
  <c r="H223" i="11"/>
  <c r="J223" i="11" s="1"/>
  <c r="H224" i="11"/>
  <c r="J224" i="11" s="1"/>
  <c r="H225" i="11"/>
  <c r="J225" i="11" s="1"/>
  <c r="H226" i="11"/>
  <c r="H227" i="11"/>
  <c r="J227" i="11" s="1"/>
  <c r="H228" i="11"/>
  <c r="J228" i="11" s="1"/>
  <c r="H229" i="11"/>
  <c r="J229" i="11" s="1"/>
  <c r="H230" i="11"/>
  <c r="H231" i="11"/>
  <c r="J231" i="11" s="1"/>
  <c r="H232" i="11"/>
  <c r="J232" i="11" s="1"/>
  <c r="H233" i="11"/>
  <c r="J233" i="11" s="1"/>
  <c r="H234" i="11"/>
  <c r="H235" i="11"/>
  <c r="J235" i="11" s="1"/>
  <c r="H236" i="11"/>
  <c r="J236" i="11" s="1"/>
  <c r="H237" i="11"/>
  <c r="J237" i="11" s="1"/>
  <c r="H238" i="11"/>
  <c r="J238" i="11" s="1"/>
  <c r="H239" i="11"/>
  <c r="J239" i="11" s="1"/>
  <c r="H240" i="11"/>
  <c r="J240" i="11" s="1"/>
  <c r="H241" i="11"/>
  <c r="D72" i="13" s="1"/>
  <c r="H242" i="11"/>
  <c r="J242" i="11" s="1"/>
  <c r="H243" i="11"/>
  <c r="J243" i="11" s="1"/>
  <c r="H244" i="11"/>
  <c r="J244" i="11" s="1"/>
  <c r="H245" i="11"/>
  <c r="J245" i="11" s="1"/>
  <c r="H246" i="11"/>
  <c r="H247" i="11"/>
  <c r="J247" i="11" s="1"/>
  <c r="H248" i="11"/>
  <c r="J248" i="11" s="1"/>
  <c r="H249" i="11"/>
  <c r="D54" i="13" s="1"/>
  <c r="H250" i="11"/>
  <c r="J250" i="11" s="1"/>
  <c r="H251" i="11"/>
  <c r="J251" i="11" s="1"/>
  <c r="H252" i="11"/>
  <c r="J252" i="11" s="1"/>
  <c r="H253" i="11"/>
  <c r="J253" i="11" s="1"/>
  <c r="H254" i="11"/>
  <c r="J254" i="11" s="1"/>
  <c r="H255" i="11"/>
  <c r="J255" i="11" s="1"/>
  <c r="H256" i="11"/>
  <c r="J256" i="11" s="1"/>
  <c r="H257" i="11"/>
  <c r="J257" i="11" s="1"/>
  <c r="H258" i="11"/>
  <c r="J258" i="11" s="1"/>
  <c r="H259" i="11"/>
  <c r="J259" i="11" s="1"/>
  <c r="H260" i="11"/>
  <c r="J260" i="11" s="1"/>
  <c r="H261" i="11"/>
  <c r="J261" i="11" s="1"/>
  <c r="H262" i="11"/>
  <c r="J262" i="11" s="1"/>
  <c r="H263" i="11"/>
  <c r="J263" i="11" s="1"/>
  <c r="H264" i="11"/>
  <c r="J264" i="11" s="1"/>
  <c r="H265" i="11"/>
  <c r="J265" i="11" s="1"/>
  <c r="H266" i="11"/>
  <c r="J266" i="11" s="1"/>
  <c r="H267" i="11"/>
  <c r="J267" i="11" s="1"/>
  <c r="H268" i="11"/>
  <c r="J268" i="11" s="1"/>
  <c r="H269" i="11"/>
  <c r="J269" i="11" s="1"/>
  <c r="H270" i="11"/>
  <c r="J270" i="11" s="1"/>
  <c r="H271" i="11"/>
  <c r="J271" i="11" s="1"/>
  <c r="H272" i="11"/>
  <c r="J272" i="11" s="1"/>
  <c r="H273" i="11"/>
  <c r="J273" i="11" s="1"/>
  <c r="H274" i="11"/>
  <c r="J274" i="11" s="1"/>
  <c r="H275" i="11"/>
  <c r="J275" i="11" s="1"/>
  <c r="H276" i="11"/>
  <c r="J276" i="11" s="1"/>
  <c r="H277" i="11"/>
  <c r="J277" i="11" s="1"/>
  <c r="H278" i="11"/>
  <c r="J278" i="11" s="1"/>
  <c r="H279" i="11"/>
  <c r="J279" i="11" s="1"/>
  <c r="H280" i="11"/>
  <c r="J280" i="11" s="1"/>
  <c r="H281" i="11"/>
  <c r="J281" i="11" s="1"/>
  <c r="H282" i="11"/>
  <c r="J282" i="11" s="1"/>
  <c r="H283" i="11"/>
  <c r="J283" i="11" s="1"/>
  <c r="H284" i="11"/>
  <c r="J284" i="11" s="1"/>
  <c r="H285" i="11"/>
  <c r="J285" i="11" s="1"/>
  <c r="H286" i="11"/>
  <c r="J286" i="11" s="1"/>
  <c r="H287" i="11"/>
  <c r="J287" i="11" s="1"/>
  <c r="H288" i="11"/>
  <c r="J288" i="11" s="1"/>
  <c r="H289" i="11"/>
  <c r="J289" i="11" s="1"/>
  <c r="H290" i="11"/>
  <c r="J290" i="11" s="1"/>
  <c r="H291" i="11"/>
  <c r="J291" i="11" s="1"/>
  <c r="H292" i="11"/>
  <c r="J292" i="11" s="1"/>
  <c r="H293" i="11"/>
  <c r="J293" i="11" s="1"/>
  <c r="H294" i="11"/>
  <c r="J294" i="11" s="1"/>
  <c r="H295" i="11"/>
  <c r="J295" i="11" s="1"/>
  <c r="H296" i="11"/>
  <c r="J296" i="11" s="1"/>
  <c r="H297" i="11"/>
  <c r="J297" i="11" s="1"/>
  <c r="H298" i="11"/>
  <c r="J298" i="11" s="1"/>
  <c r="H299" i="11"/>
  <c r="J299" i="11" s="1"/>
  <c r="H300" i="11"/>
  <c r="J300" i="11" s="1"/>
  <c r="H301" i="11"/>
  <c r="J301" i="11" s="1"/>
  <c r="H302" i="11"/>
  <c r="J302" i="11" s="1"/>
  <c r="H303" i="11"/>
  <c r="J303" i="11" s="1"/>
  <c r="H304" i="11"/>
  <c r="H305" i="11"/>
  <c r="J305" i="11" s="1"/>
  <c r="H306" i="11"/>
  <c r="H307" i="11"/>
  <c r="J307" i="11" s="1"/>
  <c r="H308" i="11"/>
  <c r="D89" i="13" s="1"/>
  <c r="H309" i="11"/>
  <c r="J309" i="11" s="1"/>
  <c r="H310" i="11"/>
  <c r="J310" i="11" s="1"/>
  <c r="H311" i="11"/>
  <c r="J311" i="11" s="1"/>
  <c r="H312" i="11"/>
  <c r="J312" i="11" s="1"/>
  <c r="H313" i="11"/>
  <c r="J313" i="11" s="1"/>
  <c r="H314" i="11"/>
  <c r="J314" i="11" s="1"/>
  <c r="H315" i="11"/>
  <c r="J315" i="11" s="1"/>
  <c r="H316" i="11"/>
  <c r="J316" i="11" s="1"/>
  <c r="H317" i="11"/>
  <c r="J317" i="11" s="1"/>
  <c r="H318" i="11"/>
  <c r="J318" i="11" s="1"/>
  <c r="H319" i="11"/>
  <c r="J319" i="11" s="1"/>
  <c r="H320" i="11"/>
  <c r="J320" i="11" s="1"/>
  <c r="H321" i="11"/>
  <c r="J321" i="11" s="1"/>
  <c r="H322" i="11"/>
  <c r="J322" i="11" s="1"/>
  <c r="H323" i="11"/>
  <c r="J323" i="11" s="1"/>
  <c r="H324" i="11"/>
  <c r="J324" i="11" s="1"/>
  <c r="H325" i="11"/>
  <c r="J325" i="11" s="1"/>
  <c r="H326" i="11"/>
  <c r="J326" i="11" s="1"/>
  <c r="H327" i="11"/>
  <c r="J327" i="11" s="1"/>
  <c r="H328" i="11"/>
  <c r="J328" i="11" s="1"/>
  <c r="H329" i="11"/>
  <c r="J329" i="11" s="1"/>
  <c r="H330" i="11"/>
  <c r="J330" i="11" s="1"/>
  <c r="H331" i="11"/>
  <c r="J331" i="11" s="1"/>
  <c r="H332" i="11"/>
  <c r="J332" i="11" s="1"/>
  <c r="H333" i="11"/>
  <c r="J333" i="11" s="1"/>
  <c r="H334" i="11"/>
  <c r="J334" i="11" s="1"/>
  <c r="H335" i="11"/>
  <c r="J335" i="11" s="1"/>
  <c r="H336" i="11"/>
  <c r="J336" i="11" s="1"/>
  <c r="H337" i="11"/>
  <c r="J337" i="11" s="1"/>
  <c r="H338" i="11"/>
  <c r="H339" i="11"/>
  <c r="H340" i="11"/>
  <c r="J340" i="11" s="1"/>
  <c r="H341" i="11"/>
  <c r="J341" i="11" s="1"/>
  <c r="H342" i="11"/>
  <c r="J342" i="11" s="1"/>
  <c r="H343" i="11"/>
  <c r="J343" i="11" s="1"/>
  <c r="H344" i="11"/>
  <c r="J344" i="11" s="1"/>
  <c r="H345" i="11"/>
  <c r="J345" i="11" s="1"/>
  <c r="H346" i="11"/>
  <c r="J346" i="11" s="1"/>
  <c r="H347" i="11"/>
  <c r="J347" i="11" s="1"/>
  <c r="H348" i="11"/>
  <c r="J348" i="11" s="1"/>
  <c r="H349" i="11"/>
  <c r="J349" i="11" s="1"/>
  <c r="H350" i="11"/>
  <c r="J350" i="11" s="1"/>
  <c r="H351" i="11"/>
  <c r="J351" i="11" s="1"/>
  <c r="H352" i="11"/>
  <c r="J352" i="11" s="1"/>
  <c r="H353" i="11"/>
  <c r="J353" i="11" s="1"/>
  <c r="H354" i="11"/>
  <c r="J354" i="11" s="1"/>
  <c r="H355" i="11"/>
  <c r="J355" i="11" s="1"/>
  <c r="H356" i="11"/>
  <c r="J356" i="11" s="1"/>
  <c r="H357" i="11"/>
  <c r="J357" i="11" s="1"/>
  <c r="H358" i="11"/>
  <c r="J358" i="11" s="1"/>
  <c r="H359" i="11"/>
  <c r="J359" i="11" s="1"/>
  <c r="H360" i="11"/>
  <c r="J360" i="11" s="1"/>
  <c r="H361" i="11"/>
  <c r="J361" i="11" s="1"/>
  <c r="H362" i="11"/>
  <c r="J362" i="11" s="1"/>
  <c r="H363" i="11"/>
  <c r="J363" i="11" s="1"/>
  <c r="H364" i="11"/>
  <c r="J364" i="11" s="1"/>
  <c r="H365" i="11"/>
  <c r="J365" i="11" s="1"/>
  <c r="H366" i="11"/>
  <c r="J366" i="11" s="1"/>
  <c r="H367" i="11"/>
  <c r="J367" i="11" s="1"/>
  <c r="H368" i="11"/>
  <c r="J368" i="11" s="1"/>
  <c r="H369" i="11"/>
  <c r="J369" i="11" s="1"/>
  <c r="H370" i="11"/>
  <c r="J370" i="11" s="1"/>
  <c r="H371" i="11"/>
  <c r="J371" i="11" s="1"/>
  <c r="H372" i="11"/>
  <c r="J372" i="11" s="1"/>
  <c r="H373" i="11"/>
  <c r="J373" i="11" s="1"/>
  <c r="H374" i="11"/>
  <c r="J374" i="11" s="1"/>
  <c r="H375" i="11"/>
  <c r="J375" i="11" s="1"/>
  <c r="H376" i="11"/>
  <c r="J376" i="11" s="1"/>
  <c r="H377" i="11"/>
  <c r="J377" i="11" s="1"/>
  <c r="H378" i="11"/>
  <c r="J378" i="11" s="1"/>
  <c r="H379" i="11"/>
  <c r="J379" i="11" s="1"/>
  <c r="H380" i="11"/>
  <c r="D103" i="13" s="1"/>
  <c r="H381" i="11"/>
  <c r="J381" i="11" s="1"/>
  <c r="H382" i="11"/>
  <c r="J382" i="11" s="1"/>
  <c r="H383" i="11"/>
  <c r="H384" i="11"/>
  <c r="D114" i="13" s="1"/>
  <c r="F114" i="13" s="1"/>
  <c r="H385" i="11"/>
  <c r="J385" i="11" s="1"/>
  <c r="H386" i="11"/>
  <c r="J386" i="11" s="1"/>
  <c r="H387" i="11"/>
  <c r="J387" i="11" s="1"/>
  <c r="H388" i="11"/>
  <c r="J388" i="11" s="1"/>
  <c r="H389" i="11"/>
  <c r="J389" i="11" s="1"/>
  <c r="H390" i="11"/>
  <c r="H391" i="11"/>
  <c r="J391" i="11" s="1"/>
  <c r="H392" i="11"/>
  <c r="J392" i="11" s="1"/>
  <c r="H393" i="11"/>
  <c r="J393" i="11" s="1"/>
  <c r="H394" i="11"/>
  <c r="J394" i="11" s="1"/>
  <c r="H395" i="11"/>
  <c r="J395" i="11" s="1"/>
  <c r="H396" i="11"/>
  <c r="J396" i="11" s="1"/>
  <c r="H397" i="11"/>
  <c r="J397" i="11" s="1"/>
  <c r="H398" i="11"/>
  <c r="J398" i="11" s="1"/>
  <c r="H399" i="11"/>
  <c r="J399" i="11" s="1"/>
  <c r="H400" i="11"/>
  <c r="J400" i="11" s="1"/>
  <c r="H401" i="11"/>
  <c r="J401" i="11" s="1"/>
  <c r="H402" i="11"/>
  <c r="J402" i="11" s="1"/>
  <c r="H403" i="11"/>
  <c r="J403" i="11" s="1"/>
  <c r="H404" i="11"/>
  <c r="J404" i="11" s="1"/>
  <c r="H405" i="11"/>
  <c r="H406" i="11"/>
  <c r="J406" i="11" s="1"/>
  <c r="H407" i="11"/>
  <c r="H408" i="11"/>
  <c r="J408" i="11" s="1"/>
  <c r="H409" i="11"/>
  <c r="J409" i="11" s="1"/>
  <c r="H410" i="11"/>
  <c r="J410" i="11" s="1"/>
  <c r="H411" i="11"/>
  <c r="H412" i="11"/>
  <c r="J412" i="11" s="1"/>
  <c r="H413" i="11"/>
  <c r="J413" i="11" s="1"/>
  <c r="H414" i="11"/>
  <c r="J414" i="11" s="1"/>
  <c r="H415" i="11"/>
  <c r="J415" i="11" s="1"/>
  <c r="H416" i="11"/>
  <c r="J416" i="11" s="1"/>
  <c r="H417" i="11"/>
  <c r="J417" i="11" s="1"/>
  <c r="H418" i="11"/>
  <c r="J418" i="11" s="1"/>
  <c r="H419" i="11"/>
  <c r="J419" i="11" s="1"/>
  <c r="H420" i="11"/>
  <c r="J420" i="11" s="1"/>
  <c r="H421" i="11"/>
  <c r="J421" i="11" s="1"/>
  <c r="H422" i="11"/>
  <c r="H423" i="11"/>
  <c r="J423" i="11" s="1"/>
  <c r="H424" i="11"/>
  <c r="J424" i="11" s="1"/>
  <c r="H425" i="11"/>
  <c r="J425" i="11" s="1"/>
  <c r="H426" i="11"/>
  <c r="J426" i="11" s="1"/>
  <c r="H427" i="11"/>
  <c r="H428" i="11"/>
  <c r="J428" i="11" s="1"/>
  <c r="H429" i="11"/>
  <c r="J429" i="11" s="1"/>
  <c r="H430" i="11"/>
  <c r="J430" i="11" s="1"/>
  <c r="H431" i="11"/>
  <c r="J431" i="11" s="1"/>
  <c r="H432" i="11"/>
  <c r="H433" i="11"/>
  <c r="J433" i="11" s="1"/>
  <c r="H434" i="11"/>
  <c r="H435" i="11"/>
  <c r="J435" i="11" s="1"/>
  <c r="H436" i="11"/>
  <c r="J436" i="11" s="1"/>
  <c r="H437" i="11"/>
  <c r="H438" i="11"/>
  <c r="J438" i="11" s="1"/>
  <c r="H439" i="11"/>
  <c r="H440" i="11"/>
  <c r="J440" i="11" s="1"/>
  <c r="H441" i="11"/>
  <c r="J441" i="11" s="1"/>
  <c r="H442" i="11"/>
  <c r="J442" i="11" s="1"/>
  <c r="H443" i="11"/>
  <c r="H444" i="11"/>
  <c r="J444" i="11" s="1"/>
  <c r="H445" i="11"/>
  <c r="J445" i="11" s="1"/>
  <c r="H446" i="11"/>
  <c r="J446" i="11" s="1"/>
  <c r="H447" i="11"/>
  <c r="J447" i="11" s="1"/>
  <c r="H448" i="11"/>
  <c r="D107" i="13" s="1"/>
  <c r="F107" i="13" s="1"/>
  <c r="H449" i="11"/>
  <c r="J449" i="11" s="1"/>
  <c r="H450" i="11"/>
  <c r="J450" i="11" s="1"/>
  <c r="H451" i="11"/>
  <c r="J451" i="11" s="1"/>
  <c r="H452" i="11"/>
  <c r="J452" i="11" s="1"/>
  <c r="H453" i="11"/>
  <c r="J453" i="11" s="1"/>
  <c r="H454" i="11"/>
  <c r="J454" i="11" s="1"/>
  <c r="H455" i="11"/>
  <c r="J455" i="11" s="1"/>
  <c r="H456" i="11"/>
  <c r="J456" i="11" s="1"/>
  <c r="H457" i="11"/>
  <c r="D47" i="13" s="1"/>
  <c r="H458" i="11"/>
  <c r="J458" i="11" s="1"/>
  <c r="H459" i="11"/>
  <c r="J459" i="11" s="1"/>
  <c r="H460" i="11"/>
  <c r="J460" i="11" s="1"/>
  <c r="H461" i="11"/>
  <c r="J461" i="11" s="1"/>
  <c r="H462" i="11"/>
  <c r="J462" i="11" s="1"/>
  <c r="H463" i="11"/>
  <c r="J463" i="11" s="1"/>
  <c r="H464" i="11"/>
  <c r="J464" i="11" s="1"/>
  <c r="H465" i="11"/>
  <c r="J465" i="11" s="1"/>
  <c r="H466" i="11"/>
  <c r="J466" i="11" s="1"/>
  <c r="H467" i="11"/>
  <c r="J467" i="11" s="1"/>
  <c r="H468" i="11"/>
  <c r="J468" i="11" s="1"/>
  <c r="H469" i="11"/>
  <c r="J469" i="11" s="1"/>
  <c r="H470" i="11"/>
  <c r="J470" i="11" s="1"/>
  <c r="H471" i="11"/>
  <c r="J471" i="11" s="1"/>
  <c r="H472" i="11"/>
  <c r="J472" i="11" s="1"/>
  <c r="H473" i="11"/>
  <c r="J473" i="11" s="1"/>
  <c r="H474" i="11"/>
  <c r="J474" i="11" s="1"/>
  <c r="H475" i="11"/>
  <c r="J475" i="11" s="1"/>
  <c r="H476" i="11"/>
  <c r="J476" i="11" s="1"/>
  <c r="H477" i="11"/>
  <c r="J477" i="11" s="1"/>
  <c r="H478" i="11"/>
  <c r="J478" i="11" s="1"/>
  <c r="H479" i="11"/>
  <c r="J479" i="11" s="1"/>
  <c r="H480" i="11"/>
  <c r="J480" i="11" s="1"/>
  <c r="H481" i="11"/>
  <c r="J481" i="11" s="1"/>
  <c r="H482" i="11"/>
  <c r="J482" i="11" s="1"/>
  <c r="H483" i="11"/>
  <c r="J483" i="11" s="1"/>
  <c r="H484" i="11"/>
  <c r="J484" i="11" s="1"/>
  <c r="H485" i="11"/>
  <c r="J485" i="11" s="1"/>
  <c r="H486" i="11"/>
  <c r="J486" i="11" s="1"/>
  <c r="H487" i="11"/>
  <c r="J487" i="11" s="1"/>
  <c r="H488" i="11"/>
  <c r="J488" i="11" s="1"/>
  <c r="H489" i="11"/>
  <c r="J489" i="11" s="1"/>
  <c r="H490" i="11"/>
  <c r="J490" i="11" s="1"/>
  <c r="H491" i="11"/>
  <c r="J491" i="11" s="1"/>
  <c r="H492" i="11"/>
  <c r="J492" i="11" s="1"/>
  <c r="H493" i="11"/>
  <c r="J493" i="11" s="1"/>
  <c r="H494" i="11"/>
  <c r="J494" i="11" s="1"/>
  <c r="H495" i="11"/>
  <c r="J495" i="11" s="1"/>
  <c r="H496" i="11"/>
  <c r="J496" i="11" s="1"/>
  <c r="H497" i="11"/>
  <c r="J497" i="11" s="1"/>
  <c r="H498" i="11"/>
  <c r="J498" i="11" s="1"/>
  <c r="H499" i="11"/>
  <c r="J499" i="11" s="1"/>
  <c r="H500" i="11"/>
  <c r="J500" i="11" s="1"/>
  <c r="H501" i="11"/>
  <c r="J501" i="11" s="1"/>
  <c r="H502" i="11"/>
  <c r="J502" i="11" s="1"/>
  <c r="H503" i="11"/>
  <c r="J503" i="11" s="1"/>
  <c r="H504" i="11"/>
  <c r="J504" i="11" s="1"/>
  <c r="H505" i="11"/>
  <c r="J505" i="11" s="1"/>
  <c r="H506" i="11"/>
  <c r="J506" i="11" s="1"/>
  <c r="H507" i="11"/>
  <c r="J507" i="11" s="1"/>
  <c r="H508" i="11"/>
  <c r="J508" i="11" s="1"/>
  <c r="H509" i="11"/>
  <c r="J509" i="11" s="1"/>
  <c r="H510" i="11"/>
  <c r="J510" i="11" s="1"/>
  <c r="H511" i="11"/>
  <c r="J511" i="11" s="1"/>
  <c r="H512" i="11"/>
  <c r="J512" i="11" s="1"/>
  <c r="H513" i="11"/>
  <c r="J513" i="11" s="1"/>
  <c r="H514" i="11"/>
  <c r="J514" i="11" s="1"/>
  <c r="H515" i="11"/>
  <c r="J515" i="11" s="1"/>
  <c r="H516" i="11"/>
  <c r="J516" i="11" s="1"/>
  <c r="H517" i="11"/>
  <c r="J517" i="11" s="1"/>
  <c r="H518" i="11"/>
  <c r="J518" i="11" s="1"/>
  <c r="H519" i="11"/>
  <c r="J519" i="11" s="1"/>
  <c r="H520" i="11"/>
  <c r="J520" i="11" s="1"/>
  <c r="H521" i="11"/>
  <c r="J521" i="11" s="1"/>
  <c r="H522" i="11"/>
  <c r="H523" i="11"/>
  <c r="J523" i="11" s="1"/>
  <c r="H524" i="11"/>
  <c r="J524" i="11" s="1"/>
  <c r="H525" i="11"/>
  <c r="J525" i="11" s="1"/>
  <c r="H526" i="11"/>
  <c r="J526" i="11" s="1"/>
  <c r="H527" i="11"/>
  <c r="J527" i="11" s="1"/>
  <c r="H528" i="11"/>
  <c r="J528" i="11" s="1"/>
  <c r="H529" i="11"/>
  <c r="J529" i="11" s="1"/>
  <c r="H530" i="11"/>
  <c r="J530" i="11" s="1"/>
  <c r="H531" i="11"/>
  <c r="J531" i="11" s="1"/>
  <c r="H532" i="11"/>
  <c r="J532" i="11" s="1"/>
  <c r="H533" i="11"/>
  <c r="J533" i="11" s="1"/>
  <c r="H534" i="11"/>
  <c r="J534" i="11" s="1"/>
  <c r="H535" i="11"/>
  <c r="J535" i="11" s="1"/>
  <c r="H536" i="11"/>
  <c r="J536" i="11" s="1"/>
  <c r="H537" i="11"/>
  <c r="J537" i="11" s="1"/>
  <c r="H538" i="11"/>
  <c r="J538" i="11" s="1"/>
  <c r="H539" i="11"/>
  <c r="J539" i="11" s="1"/>
  <c r="H540" i="11"/>
  <c r="J540" i="11" s="1"/>
  <c r="H541" i="11"/>
  <c r="J541" i="11" s="1"/>
  <c r="H542" i="11"/>
  <c r="J542" i="11" s="1"/>
  <c r="H543" i="11"/>
  <c r="J543" i="11" s="1"/>
  <c r="H544" i="11"/>
  <c r="J544" i="11" s="1"/>
  <c r="H545" i="11"/>
  <c r="J545" i="11" s="1"/>
  <c r="H546" i="11"/>
  <c r="J546" i="11" s="1"/>
  <c r="H547" i="11"/>
  <c r="J547" i="11" s="1"/>
  <c r="H548" i="11"/>
  <c r="J548" i="11" s="1"/>
  <c r="H549" i="11"/>
  <c r="J549" i="11" s="1"/>
  <c r="H550" i="11"/>
  <c r="J550" i="11" s="1"/>
  <c r="H551" i="11"/>
  <c r="J551" i="11" s="1"/>
  <c r="H552" i="11"/>
  <c r="J552" i="11" s="1"/>
  <c r="H553" i="11"/>
  <c r="J553" i="11" s="1"/>
  <c r="H554" i="11"/>
  <c r="J554" i="11" s="1"/>
  <c r="H555" i="11"/>
  <c r="J555" i="11" s="1"/>
  <c r="H556" i="11"/>
  <c r="J556" i="11" s="1"/>
  <c r="H557" i="11"/>
  <c r="J557" i="11" s="1"/>
  <c r="H558" i="11"/>
  <c r="J558" i="11" s="1"/>
  <c r="H559" i="11"/>
  <c r="J559" i="11" s="1"/>
  <c r="H560" i="11"/>
  <c r="J560" i="11" s="1"/>
  <c r="H561" i="11"/>
  <c r="J561" i="11" s="1"/>
  <c r="H562" i="11"/>
  <c r="J562" i="11" s="1"/>
  <c r="H563" i="11"/>
  <c r="J563" i="11" s="1"/>
  <c r="H564" i="11"/>
  <c r="J564" i="11" s="1"/>
  <c r="H565" i="11"/>
  <c r="J565" i="11" s="1"/>
  <c r="H566" i="11"/>
  <c r="J566" i="11" s="1"/>
  <c r="H567" i="11"/>
  <c r="J567" i="11" s="1"/>
  <c r="H568" i="11"/>
  <c r="J568" i="11" s="1"/>
  <c r="H569" i="11"/>
  <c r="J569" i="11" s="1"/>
  <c r="H570" i="11"/>
  <c r="J570" i="11" s="1"/>
  <c r="H571" i="11"/>
  <c r="J571" i="11" s="1"/>
  <c r="H572" i="11"/>
  <c r="J572" i="11" s="1"/>
  <c r="H573" i="11"/>
  <c r="J573" i="11" s="1"/>
  <c r="H574" i="11"/>
  <c r="J574" i="11" s="1"/>
  <c r="H575" i="11"/>
  <c r="J575" i="11" s="1"/>
  <c r="H576" i="11"/>
  <c r="J576" i="11" s="1"/>
  <c r="H577" i="11"/>
  <c r="J577" i="11" s="1"/>
  <c r="H578" i="11"/>
  <c r="J578" i="11" s="1"/>
  <c r="H579" i="11"/>
  <c r="J579" i="11" s="1"/>
  <c r="H580" i="11"/>
  <c r="J580" i="11" s="1"/>
  <c r="H581" i="11"/>
  <c r="J581" i="11" s="1"/>
  <c r="H582" i="11"/>
  <c r="J582" i="11" s="1"/>
  <c r="H583" i="11"/>
  <c r="J583" i="11" s="1"/>
  <c r="H584" i="11"/>
  <c r="J584" i="11" s="1"/>
  <c r="H585" i="11"/>
  <c r="J585" i="11" s="1"/>
  <c r="H586" i="11"/>
  <c r="J586" i="11" s="1"/>
  <c r="H587" i="11"/>
  <c r="J587" i="11" s="1"/>
  <c r="H588" i="11"/>
  <c r="J588" i="11" s="1"/>
  <c r="H589" i="11"/>
  <c r="J589" i="11" s="1"/>
  <c r="H590" i="11"/>
  <c r="H591" i="11"/>
  <c r="H592" i="11"/>
  <c r="J592" i="11" s="1"/>
  <c r="H593" i="11"/>
  <c r="J593" i="11" s="1"/>
  <c r="H594" i="11"/>
  <c r="J594" i="11" s="1"/>
  <c r="H595" i="11"/>
  <c r="J595" i="11" s="1"/>
  <c r="H596" i="11"/>
  <c r="J596" i="11" s="1"/>
  <c r="H597" i="11"/>
  <c r="J597" i="11" s="1"/>
  <c r="H598" i="11"/>
  <c r="J598" i="11" s="1"/>
  <c r="H599" i="11"/>
  <c r="J599" i="11" s="1"/>
  <c r="H600" i="11"/>
  <c r="J600" i="11" s="1"/>
  <c r="H601" i="11"/>
  <c r="J601" i="11" s="1"/>
  <c r="H602" i="11"/>
  <c r="J602" i="11" s="1"/>
  <c r="H603" i="11"/>
  <c r="J603" i="11" s="1"/>
  <c r="H604" i="11"/>
  <c r="J604" i="11" s="1"/>
  <c r="H605" i="11"/>
  <c r="J605" i="11" s="1"/>
  <c r="H606" i="11"/>
  <c r="J606" i="11" s="1"/>
  <c r="H607" i="11"/>
  <c r="J607" i="11" s="1"/>
  <c r="H608" i="11"/>
  <c r="J608" i="11" s="1"/>
  <c r="H609" i="11"/>
  <c r="J609" i="11" s="1"/>
  <c r="H610" i="11"/>
  <c r="J610" i="11" s="1"/>
  <c r="H611" i="11"/>
  <c r="J611" i="11" s="1"/>
  <c r="H612" i="11"/>
  <c r="J612" i="11" s="1"/>
  <c r="H613" i="11"/>
  <c r="J613" i="11" s="1"/>
  <c r="H614" i="11"/>
  <c r="J614" i="11" s="1"/>
  <c r="H615" i="11"/>
  <c r="J615" i="11" s="1"/>
  <c r="H616" i="11"/>
  <c r="J616" i="11" s="1"/>
  <c r="H617" i="11"/>
  <c r="J617" i="11" s="1"/>
  <c r="H618" i="11"/>
  <c r="J618" i="11" s="1"/>
  <c r="H619" i="11"/>
  <c r="J619" i="11" s="1"/>
  <c r="H620" i="11"/>
  <c r="J620" i="11" s="1"/>
  <c r="H621" i="11"/>
  <c r="J621" i="11" s="1"/>
  <c r="H622" i="11"/>
  <c r="J622" i="11" s="1"/>
  <c r="H623" i="11"/>
  <c r="J623" i="11" s="1"/>
  <c r="H624" i="11"/>
  <c r="J624" i="11" s="1"/>
  <c r="H625" i="11"/>
  <c r="J625" i="11" s="1"/>
  <c r="H626" i="11"/>
  <c r="J626" i="11" s="1"/>
  <c r="H627" i="11"/>
  <c r="J627" i="11" s="1"/>
  <c r="H628" i="11"/>
  <c r="J628" i="11" s="1"/>
  <c r="H629" i="11"/>
  <c r="J629" i="11" s="1"/>
  <c r="H630" i="11"/>
  <c r="J630" i="11" s="1"/>
  <c r="H631" i="11"/>
  <c r="J631" i="11" s="1"/>
  <c r="H632" i="11"/>
  <c r="J632" i="11" s="1"/>
  <c r="H633" i="11"/>
  <c r="J633" i="11" s="1"/>
  <c r="H634" i="11"/>
  <c r="J634" i="11" s="1"/>
  <c r="H635" i="11"/>
  <c r="J635" i="11" s="1"/>
  <c r="H636" i="11"/>
  <c r="J636" i="11" s="1"/>
  <c r="H637" i="11"/>
  <c r="J637" i="11" s="1"/>
  <c r="H638" i="11"/>
  <c r="J638" i="11" s="1"/>
  <c r="H639" i="11"/>
  <c r="J639" i="11" s="1"/>
  <c r="H640" i="11"/>
  <c r="J640" i="11" s="1"/>
  <c r="H641" i="11"/>
  <c r="J641" i="11" s="1"/>
  <c r="H642" i="11"/>
  <c r="J642" i="11" s="1"/>
  <c r="H643" i="11"/>
  <c r="J643" i="11" s="1"/>
  <c r="H644" i="11"/>
  <c r="J644" i="11" s="1"/>
  <c r="H645" i="11"/>
  <c r="J645" i="11" s="1"/>
  <c r="H646" i="11"/>
  <c r="J646" i="11" s="1"/>
  <c r="H647" i="11"/>
  <c r="J647" i="11" s="1"/>
  <c r="H648" i="11"/>
  <c r="J648" i="11" s="1"/>
  <c r="H649" i="11"/>
  <c r="J649" i="11" s="1"/>
  <c r="H650" i="11"/>
  <c r="J650" i="11" s="1"/>
  <c r="H651" i="11"/>
  <c r="J651" i="11" s="1"/>
  <c r="H652" i="11"/>
  <c r="J652" i="11" s="1"/>
  <c r="H653" i="11"/>
  <c r="J653" i="11" s="1"/>
  <c r="H654" i="11"/>
  <c r="J654" i="11" s="1"/>
  <c r="H655" i="11"/>
  <c r="J655" i="11" s="1"/>
  <c r="H656" i="11"/>
  <c r="J656" i="11" s="1"/>
  <c r="H657" i="11"/>
  <c r="J657" i="11" s="1"/>
  <c r="H658" i="11"/>
  <c r="J658" i="11" s="1"/>
  <c r="H659" i="11"/>
  <c r="H660" i="11"/>
  <c r="J660" i="11" s="1"/>
  <c r="E3" i="24" s="1"/>
  <c r="H661" i="11"/>
  <c r="H662" i="11"/>
  <c r="J662" i="11" s="1"/>
  <c r="H663" i="11"/>
  <c r="J663" i="11" s="1"/>
  <c r="H664" i="11"/>
  <c r="J664" i="11" s="1"/>
  <c r="H665" i="11"/>
  <c r="J665" i="11" s="1"/>
  <c r="H666" i="11"/>
  <c r="J666" i="11" s="1"/>
  <c r="H667" i="11"/>
  <c r="J667" i="11" s="1"/>
  <c r="H668" i="11"/>
  <c r="J668" i="11" s="1"/>
  <c r="H669" i="11"/>
  <c r="J669" i="11" s="1"/>
  <c r="H670" i="11"/>
  <c r="J670" i="11" s="1"/>
  <c r="H671" i="11"/>
  <c r="J671" i="11" s="1"/>
  <c r="H672" i="11"/>
  <c r="J672" i="11" s="1"/>
  <c r="H673" i="11"/>
  <c r="J673" i="11" s="1"/>
  <c r="H674" i="11"/>
  <c r="J674" i="11" s="1"/>
  <c r="H675" i="11"/>
  <c r="J675" i="11" s="1"/>
  <c r="H676" i="11"/>
  <c r="J676" i="11" s="1"/>
  <c r="H677" i="11"/>
  <c r="J677" i="11" s="1"/>
  <c r="H678" i="11"/>
  <c r="J678" i="11" s="1"/>
  <c r="H679" i="11"/>
  <c r="J679" i="11" s="1"/>
  <c r="H680" i="11"/>
  <c r="J680" i="11" s="1"/>
  <c r="H681" i="11"/>
  <c r="J681" i="11" s="1"/>
  <c r="H682" i="11"/>
  <c r="J682" i="11" s="1"/>
  <c r="H683" i="11"/>
  <c r="J683" i="11" s="1"/>
  <c r="H684" i="11"/>
  <c r="J684" i="11" s="1"/>
  <c r="H685" i="11"/>
  <c r="J685" i="11" s="1"/>
  <c r="H686" i="11"/>
  <c r="J686" i="11" s="1"/>
  <c r="H687" i="11"/>
  <c r="J687" i="11" s="1"/>
  <c r="H688" i="11"/>
  <c r="J688" i="11" s="1"/>
  <c r="H689" i="11"/>
  <c r="J689" i="11" s="1"/>
  <c r="H690" i="11"/>
  <c r="J690" i="11" s="1"/>
  <c r="H691" i="11"/>
  <c r="J691" i="11" s="1"/>
  <c r="H692" i="11"/>
  <c r="J692" i="11" s="1"/>
  <c r="H693" i="11"/>
  <c r="J693" i="11" s="1"/>
  <c r="H694" i="11"/>
  <c r="J694" i="11" s="1"/>
  <c r="H695" i="11"/>
  <c r="J695" i="11" s="1"/>
  <c r="H696" i="11"/>
  <c r="J696" i="11" s="1"/>
  <c r="H697" i="11"/>
  <c r="J697" i="11" s="1"/>
  <c r="H698" i="11"/>
  <c r="J698" i="11" s="1"/>
  <c r="H699" i="11"/>
  <c r="J699" i="11" s="1"/>
  <c r="H700" i="11"/>
  <c r="J700" i="11" s="1"/>
  <c r="H701" i="11"/>
  <c r="J701" i="11" s="1"/>
  <c r="H702" i="11"/>
  <c r="J702" i="11" s="1"/>
  <c r="H703" i="11"/>
  <c r="J703" i="11" s="1"/>
  <c r="H704" i="11"/>
  <c r="J704" i="11" s="1"/>
  <c r="H705" i="11"/>
  <c r="J705" i="11" s="1"/>
  <c r="H706" i="11"/>
  <c r="J706" i="11" s="1"/>
  <c r="H707" i="11"/>
  <c r="J707" i="11" s="1"/>
  <c r="H708" i="11"/>
  <c r="J708" i="11" s="1"/>
  <c r="H709" i="11"/>
  <c r="J709" i="11" s="1"/>
  <c r="H710" i="11"/>
  <c r="J710" i="11" s="1"/>
  <c r="H711" i="11"/>
  <c r="J711" i="11" s="1"/>
  <c r="H712" i="11"/>
  <c r="J712" i="11" s="1"/>
  <c r="H713" i="11"/>
  <c r="J713" i="11" s="1"/>
  <c r="H714" i="11"/>
  <c r="J714" i="11" s="1"/>
  <c r="H715" i="11"/>
  <c r="J715" i="11" s="1"/>
  <c r="H716" i="11"/>
  <c r="J716" i="11" s="1"/>
  <c r="H717" i="11"/>
  <c r="J717" i="11" s="1"/>
  <c r="H718" i="11"/>
  <c r="J718" i="11" s="1"/>
  <c r="H719" i="11"/>
  <c r="J719" i="11" s="1"/>
  <c r="H720" i="11"/>
  <c r="J720" i="11" s="1"/>
  <c r="H721" i="11"/>
  <c r="J721" i="11" s="1"/>
  <c r="H722" i="11"/>
  <c r="J722" i="11" s="1"/>
  <c r="H723" i="11"/>
  <c r="J723" i="11" s="1"/>
  <c r="H724" i="11"/>
  <c r="J724" i="11" s="1"/>
  <c r="H725" i="11"/>
  <c r="J725" i="11" s="1"/>
  <c r="H726" i="11"/>
  <c r="J726" i="11" s="1"/>
  <c r="H727" i="11"/>
  <c r="J727" i="11" s="1"/>
  <c r="H728" i="11"/>
  <c r="J728" i="11" s="1"/>
  <c r="H729" i="11"/>
  <c r="J729" i="11" s="1"/>
  <c r="H730" i="11"/>
  <c r="J730" i="11" s="1"/>
  <c r="H731" i="11"/>
  <c r="J731" i="11" s="1"/>
  <c r="H732" i="11"/>
  <c r="J732" i="11" s="1"/>
  <c r="H733" i="11"/>
  <c r="J733" i="11" s="1"/>
  <c r="H734" i="11"/>
  <c r="J734" i="11" s="1"/>
  <c r="H735" i="11"/>
  <c r="J735" i="11" s="1"/>
  <c r="H736" i="11"/>
  <c r="J736" i="11" s="1"/>
  <c r="H737" i="11"/>
  <c r="J737" i="11" s="1"/>
  <c r="H738" i="11"/>
  <c r="J738" i="11" s="1"/>
  <c r="H739" i="11"/>
  <c r="J739" i="11" s="1"/>
  <c r="H740" i="11"/>
  <c r="J740" i="11" s="1"/>
  <c r="H741" i="11"/>
  <c r="J741" i="11" s="1"/>
  <c r="H742" i="11"/>
  <c r="J742" i="11" s="1"/>
  <c r="H743" i="11"/>
  <c r="J743" i="11" s="1"/>
  <c r="H744" i="11"/>
  <c r="D131" i="13" s="1"/>
  <c r="F131" i="13" s="1"/>
  <c r="H745" i="11"/>
  <c r="J745" i="11" s="1"/>
  <c r="H746" i="11"/>
  <c r="J746" i="11" s="1"/>
  <c r="H747" i="11"/>
  <c r="J747" i="11" s="1"/>
  <c r="H748" i="11"/>
  <c r="J748" i="11" s="1"/>
  <c r="H749" i="11"/>
  <c r="J749" i="11" s="1"/>
  <c r="H750" i="11"/>
  <c r="J750" i="11" s="1"/>
  <c r="H751" i="11"/>
  <c r="J751" i="11" s="1"/>
  <c r="H752" i="11"/>
  <c r="J752" i="11" s="1"/>
  <c r="H753" i="11"/>
  <c r="J753" i="11" s="1"/>
  <c r="H754" i="11"/>
  <c r="J754" i="11" s="1"/>
  <c r="H755" i="11"/>
  <c r="J755" i="11" s="1"/>
  <c r="H756" i="11"/>
  <c r="J756" i="11" s="1"/>
  <c r="H757" i="11"/>
  <c r="J757" i="11" s="1"/>
  <c r="H758" i="11"/>
  <c r="J758" i="11" s="1"/>
  <c r="H759" i="11"/>
  <c r="J759" i="11" s="1"/>
  <c r="H760" i="11"/>
  <c r="J760" i="11" s="1"/>
  <c r="H761" i="11"/>
  <c r="J761" i="11" s="1"/>
  <c r="H762" i="11"/>
  <c r="J762" i="11" s="1"/>
  <c r="H763" i="11"/>
  <c r="J763" i="11" s="1"/>
  <c r="H764" i="11"/>
  <c r="J764" i="11" s="1"/>
  <c r="H765" i="11"/>
  <c r="J765" i="11" s="1"/>
  <c r="H766" i="11"/>
  <c r="J766" i="11" s="1"/>
  <c r="H767" i="11"/>
  <c r="J767" i="11" s="1"/>
  <c r="H768" i="11"/>
  <c r="J768" i="11" s="1"/>
  <c r="H769" i="11"/>
  <c r="J769" i="11" s="1"/>
  <c r="H770" i="11"/>
  <c r="J770" i="11" s="1"/>
  <c r="H771" i="11"/>
  <c r="J771" i="11" s="1"/>
  <c r="H772" i="11"/>
  <c r="J772" i="11" s="1"/>
  <c r="H773" i="11"/>
  <c r="J773" i="11" s="1"/>
  <c r="H774" i="11"/>
  <c r="J774" i="11" s="1"/>
  <c r="H775" i="11"/>
  <c r="J775" i="11" s="1"/>
  <c r="H776" i="11"/>
  <c r="J776" i="11" s="1"/>
  <c r="H777" i="11"/>
  <c r="J777" i="11" s="1"/>
  <c r="H778" i="11"/>
  <c r="J778" i="11" s="1"/>
  <c r="H779" i="11"/>
  <c r="J779" i="11" s="1"/>
  <c r="H780" i="11"/>
  <c r="J780" i="11" s="1"/>
  <c r="H781" i="11"/>
  <c r="J781" i="11" s="1"/>
  <c r="H782" i="11"/>
  <c r="J782" i="11" s="1"/>
  <c r="H783" i="11"/>
  <c r="H784" i="11"/>
  <c r="J784" i="11" s="1"/>
  <c r="H785" i="11"/>
  <c r="J785" i="11" s="1"/>
  <c r="H786" i="11"/>
  <c r="J786" i="11" s="1"/>
  <c r="H787" i="11"/>
  <c r="J787" i="11" s="1"/>
  <c r="H788" i="11"/>
  <c r="J788" i="11" s="1"/>
  <c r="H789" i="11"/>
  <c r="J789" i="11" s="1"/>
  <c r="H790" i="11"/>
  <c r="J790" i="11" s="1"/>
  <c r="H791" i="11"/>
  <c r="J791" i="11" s="1"/>
  <c r="H792" i="11"/>
  <c r="J792" i="11" s="1"/>
  <c r="H793" i="11"/>
  <c r="J793" i="11" s="1"/>
  <c r="H794" i="11"/>
  <c r="J794" i="11" s="1"/>
  <c r="H795" i="11"/>
  <c r="J795" i="11" s="1"/>
  <c r="H796" i="11"/>
  <c r="J796" i="11" s="1"/>
  <c r="H797" i="11"/>
  <c r="J797" i="11" s="1"/>
  <c r="H798" i="11"/>
  <c r="J798" i="11" s="1"/>
  <c r="H799" i="11"/>
  <c r="J799" i="11" s="1"/>
  <c r="H800" i="11"/>
  <c r="J800" i="11" s="1"/>
  <c r="H801" i="11"/>
  <c r="J801" i="11" s="1"/>
  <c r="H802" i="11"/>
  <c r="J802" i="11" s="1"/>
  <c r="H803" i="11"/>
  <c r="J803" i="11" s="1"/>
  <c r="H804" i="11"/>
  <c r="J804" i="11" s="1"/>
  <c r="H805" i="11"/>
  <c r="J805" i="11" s="1"/>
  <c r="H806" i="11"/>
  <c r="J806" i="11" s="1"/>
  <c r="H807" i="11"/>
  <c r="J807" i="11" s="1"/>
  <c r="H808" i="11"/>
  <c r="J808" i="11" s="1"/>
  <c r="H809" i="11"/>
  <c r="J809" i="11" s="1"/>
  <c r="H810" i="11"/>
  <c r="J810" i="11" s="1"/>
  <c r="H811" i="11"/>
  <c r="J811" i="11" s="1"/>
  <c r="H812" i="11"/>
  <c r="J812" i="11" s="1"/>
  <c r="H813" i="11"/>
  <c r="J813" i="11" s="1"/>
  <c r="H814" i="11"/>
  <c r="J814" i="11" s="1"/>
  <c r="H815" i="11"/>
  <c r="J815" i="11" s="1"/>
  <c r="H816" i="11"/>
  <c r="J816" i="11" s="1"/>
  <c r="H817" i="11"/>
  <c r="J817" i="11" s="1"/>
  <c r="H818" i="11"/>
  <c r="J818" i="11" s="1"/>
  <c r="H819" i="11"/>
  <c r="J819" i="11" s="1"/>
  <c r="H820" i="11"/>
  <c r="J820" i="11" s="1"/>
  <c r="H821" i="11"/>
  <c r="J821" i="11" s="1"/>
  <c r="H822" i="11"/>
  <c r="J822" i="11" s="1"/>
  <c r="H823" i="11"/>
  <c r="J823" i="11" s="1"/>
  <c r="H824" i="11"/>
  <c r="J824" i="11" s="1"/>
  <c r="H825" i="11"/>
  <c r="J825" i="11" s="1"/>
  <c r="H826" i="11"/>
  <c r="J826" i="11" s="1"/>
  <c r="H827" i="11"/>
  <c r="J827" i="11" s="1"/>
  <c r="H828" i="11"/>
  <c r="J828" i="11" s="1"/>
  <c r="H829" i="11"/>
  <c r="J829" i="11" s="1"/>
  <c r="H830" i="11"/>
  <c r="J830" i="11" s="1"/>
  <c r="H831" i="11"/>
  <c r="H832" i="11"/>
  <c r="J832" i="11" s="1"/>
  <c r="H833" i="11"/>
  <c r="J833" i="11" s="1"/>
  <c r="H834" i="11"/>
  <c r="J834" i="11" s="1"/>
  <c r="H835" i="11"/>
  <c r="J835" i="11" s="1"/>
  <c r="H836" i="11"/>
  <c r="J836" i="11" s="1"/>
  <c r="H837" i="11"/>
  <c r="J837" i="11" s="1"/>
  <c r="H838" i="11"/>
  <c r="J838" i="11" s="1"/>
  <c r="H839" i="11"/>
  <c r="J839" i="11" s="1"/>
  <c r="H840" i="11"/>
  <c r="J840" i="11" s="1"/>
  <c r="H841" i="11"/>
  <c r="J841" i="11" s="1"/>
  <c r="H842" i="11"/>
  <c r="J842" i="11" s="1"/>
  <c r="H843" i="11"/>
  <c r="J843" i="11" s="1"/>
  <c r="H844" i="11"/>
  <c r="J844" i="11" s="1"/>
  <c r="H845" i="11"/>
  <c r="J845" i="11" s="1"/>
  <c r="H846" i="11"/>
  <c r="J846" i="11" s="1"/>
  <c r="H847" i="11"/>
  <c r="J847" i="11" s="1"/>
  <c r="H848" i="11"/>
  <c r="J848" i="11" s="1"/>
  <c r="H849" i="11"/>
  <c r="J849" i="11" s="1"/>
  <c r="H850" i="11"/>
  <c r="J850" i="11" s="1"/>
  <c r="H851" i="11"/>
  <c r="J851" i="11" s="1"/>
  <c r="H852" i="11"/>
  <c r="J852" i="11" s="1"/>
  <c r="H853" i="11"/>
  <c r="J853" i="11" s="1"/>
  <c r="H854" i="11"/>
  <c r="J854" i="11" s="1"/>
  <c r="H855" i="11"/>
  <c r="J855" i="11" s="1"/>
  <c r="H856" i="11"/>
  <c r="J856" i="11" s="1"/>
  <c r="H857" i="11"/>
  <c r="J857" i="11" s="1"/>
  <c r="H858" i="11"/>
  <c r="J858" i="11" s="1"/>
  <c r="H859" i="11"/>
  <c r="J859" i="11" s="1"/>
  <c r="H860" i="11"/>
  <c r="J860" i="11" s="1"/>
  <c r="H861" i="11"/>
  <c r="J861" i="11" s="1"/>
  <c r="H862" i="11"/>
  <c r="J862" i="11" s="1"/>
  <c r="H863" i="11"/>
  <c r="J863" i="11" s="1"/>
  <c r="H864" i="11"/>
  <c r="J864" i="11" s="1"/>
  <c r="H865" i="11"/>
  <c r="J865" i="11" s="1"/>
  <c r="H866" i="11"/>
  <c r="J866" i="11" s="1"/>
  <c r="H867" i="11"/>
  <c r="J867" i="11" s="1"/>
  <c r="H868" i="11"/>
  <c r="J868" i="11" s="1"/>
  <c r="H869" i="11"/>
  <c r="J869" i="11" s="1"/>
  <c r="H870" i="11"/>
  <c r="J870" i="11" s="1"/>
  <c r="H871" i="11"/>
  <c r="J871" i="11" s="1"/>
  <c r="H872" i="11"/>
  <c r="J872" i="11" s="1"/>
  <c r="H873" i="11"/>
  <c r="J873" i="11" s="1"/>
  <c r="H874" i="11"/>
  <c r="J874" i="11" s="1"/>
  <c r="H875" i="11"/>
  <c r="J875" i="11" s="1"/>
  <c r="H876" i="11"/>
  <c r="J876" i="11" s="1"/>
  <c r="H877" i="11"/>
  <c r="J877" i="11" s="1"/>
  <c r="H878" i="11"/>
  <c r="J878" i="11" s="1"/>
  <c r="H879" i="11"/>
  <c r="J879" i="11" s="1"/>
  <c r="H880" i="11"/>
  <c r="J880" i="11" s="1"/>
  <c r="H881" i="11"/>
  <c r="J881" i="11" s="1"/>
  <c r="H882" i="11"/>
  <c r="J882" i="11" s="1"/>
  <c r="H883" i="11"/>
  <c r="J883" i="11" s="1"/>
  <c r="H884" i="11"/>
  <c r="J884" i="11" s="1"/>
  <c r="H885" i="11"/>
  <c r="J885" i="11" s="1"/>
  <c r="H886" i="11"/>
  <c r="J886" i="11" s="1"/>
  <c r="H887" i="11"/>
  <c r="J887" i="11" s="1"/>
  <c r="H888" i="11"/>
  <c r="J888" i="11" s="1"/>
  <c r="H889" i="11"/>
  <c r="J889" i="11" s="1"/>
  <c r="H890" i="11"/>
  <c r="J890" i="11" s="1"/>
  <c r="H891" i="11"/>
  <c r="J891" i="11" s="1"/>
  <c r="H892" i="11"/>
  <c r="J892" i="11" s="1"/>
  <c r="H893" i="11"/>
  <c r="J893" i="11" s="1"/>
  <c r="H894" i="11"/>
  <c r="J894" i="11" s="1"/>
  <c r="H895" i="11"/>
  <c r="J895" i="11" s="1"/>
  <c r="H896" i="11"/>
  <c r="J896" i="11" s="1"/>
  <c r="H897" i="11"/>
  <c r="J897" i="11" s="1"/>
  <c r="H898" i="11"/>
  <c r="J898" i="11" s="1"/>
  <c r="H899" i="11"/>
  <c r="J899" i="11" s="1"/>
  <c r="H900" i="11"/>
  <c r="J900" i="11" s="1"/>
  <c r="H901" i="11"/>
  <c r="J901" i="11" s="1"/>
  <c r="H902" i="11"/>
  <c r="J902" i="11" s="1"/>
  <c r="H903" i="11"/>
  <c r="J903" i="11" s="1"/>
  <c r="H904" i="11"/>
  <c r="J904" i="11" s="1"/>
  <c r="H905" i="11"/>
  <c r="J905" i="11" s="1"/>
  <c r="H906" i="11"/>
  <c r="J906" i="11" s="1"/>
  <c r="H907" i="11"/>
  <c r="J907" i="11" s="1"/>
  <c r="H908" i="11"/>
  <c r="J908" i="11" s="1"/>
  <c r="H909" i="11"/>
  <c r="J909" i="11" s="1"/>
  <c r="H910" i="11"/>
  <c r="J910" i="11" s="1"/>
  <c r="H911" i="11"/>
  <c r="J911" i="11" s="1"/>
  <c r="H912" i="11"/>
  <c r="J912" i="11" s="1"/>
  <c r="H913" i="11"/>
  <c r="J913" i="11" s="1"/>
  <c r="H914" i="11"/>
  <c r="J914" i="11" s="1"/>
  <c r="H915" i="11"/>
  <c r="J915" i="11" s="1"/>
  <c r="H916" i="11"/>
  <c r="J916" i="11" s="1"/>
  <c r="H917" i="11"/>
  <c r="J917" i="11" s="1"/>
  <c r="H918" i="11"/>
  <c r="J918" i="11" s="1"/>
  <c r="H919" i="11"/>
  <c r="J919" i="11" s="1"/>
  <c r="H920" i="11"/>
  <c r="J920" i="11" s="1"/>
  <c r="H921" i="11"/>
  <c r="J921" i="11" s="1"/>
  <c r="H922" i="11"/>
  <c r="J922" i="11" s="1"/>
  <c r="H923" i="11"/>
  <c r="J923" i="11" s="1"/>
  <c r="H924" i="11"/>
  <c r="J924" i="11" s="1"/>
  <c r="H925" i="11"/>
  <c r="J925" i="11" s="1"/>
  <c r="H926" i="11"/>
  <c r="J926" i="11" s="1"/>
  <c r="H927" i="11"/>
  <c r="J927" i="11" s="1"/>
  <c r="H928" i="11"/>
  <c r="J928" i="11" s="1"/>
  <c r="H929" i="11"/>
  <c r="J929" i="11" s="1"/>
  <c r="H930" i="11"/>
  <c r="J930" i="11" s="1"/>
  <c r="H931" i="11"/>
  <c r="J931" i="11" s="1"/>
  <c r="H932" i="11"/>
  <c r="J932" i="11" s="1"/>
  <c r="H933" i="11"/>
  <c r="J933" i="11" s="1"/>
  <c r="H934" i="11"/>
  <c r="J934" i="11" s="1"/>
  <c r="H935" i="11"/>
  <c r="J935" i="11" s="1"/>
  <c r="H936" i="11"/>
  <c r="J936" i="11" s="1"/>
  <c r="H937" i="11"/>
  <c r="J937" i="11" s="1"/>
  <c r="H938" i="11"/>
  <c r="J938" i="11" s="1"/>
  <c r="H939" i="11"/>
  <c r="J939" i="11" s="1"/>
  <c r="H940" i="11"/>
  <c r="J940" i="11" s="1"/>
  <c r="H941" i="11"/>
  <c r="J941" i="11" s="1"/>
  <c r="H942" i="11"/>
  <c r="J942" i="11" s="1"/>
  <c r="H943" i="11"/>
  <c r="J943" i="11" s="1"/>
  <c r="H944" i="11"/>
  <c r="J944" i="11" s="1"/>
  <c r="H945" i="11"/>
  <c r="J945" i="11" s="1"/>
  <c r="H946" i="11"/>
  <c r="J946" i="11" s="1"/>
  <c r="H947" i="11"/>
  <c r="J947" i="11" s="1"/>
  <c r="H948" i="11"/>
  <c r="J948" i="11" s="1"/>
  <c r="H949" i="11"/>
  <c r="J949" i="11" s="1"/>
  <c r="H950" i="11"/>
  <c r="J950" i="11" s="1"/>
  <c r="H951" i="11"/>
  <c r="J951" i="11" s="1"/>
  <c r="H952" i="11"/>
  <c r="J952" i="11" s="1"/>
  <c r="H953" i="11"/>
  <c r="J953" i="11" s="1"/>
  <c r="H954" i="11"/>
  <c r="J954" i="11" s="1"/>
  <c r="H955" i="11"/>
  <c r="J955" i="11" s="1"/>
  <c r="H956" i="11"/>
  <c r="J956" i="11" s="1"/>
  <c r="H957" i="11"/>
  <c r="J957" i="11" s="1"/>
  <c r="H958" i="11"/>
  <c r="J958" i="11" s="1"/>
  <c r="H959" i="11"/>
  <c r="J959" i="11" s="1"/>
  <c r="H960" i="11"/>
  <c r="J960" i="11" s="1"/>
  <c r="H961" i="11"/>
  <c r="J961" i="11" s="1"/>
  <c r="H962" i="11"/>
  <c r="J962" i="11" s="1"/>
  <c r="H963" i="11"/>
  <c r="J963" i="11" s="1"/>
  <c r="H964" i="11"/>
  <c r="J964" i="11" s="1"/>
  <c r="H965" i="11"/>
  <c r="J965" i="11" s="1"/>
  <c r="H966" i="11"/>
  <c r="J966" i="11" s="1"/>
  <c r="H967" i="11"/>
  <c r="J967" i="11" s="1"/>
  <c r="H968" i="11"/>
  <c r="J968" i="11" s="1"/>
  <c r="H969" i="11"/>
  <c r="J969" i="11" s="1"/>
  <c r="H970" i="11"/>
  <c r="J970" i="11" s="1"/>
  <c r="H971" i="11"/>
  <c r="J971" i="11" s="1"/>
  <c r="H972" i="11"/>
  <c r="J972" i="11" s="1"/>
  <c r="H973" i="11"/>
  <c r="J973" i="11" s="1"/>
  <c r="H974" i="11"/>
  <c r="J974" i="11" s="1"/>
  <c r="H975" i="11"/>
  <c r="J975" i="11" s="1"/>
  <c r="H976" i="11"/>
  <c r="J976" i="11" s="1"/>
  <c r="H977" i="11"/>
  <c r="J977" i="11" s="1"/>
  <c r="H978" i="11"/>
  <c r="J978" i="11" s="1"/>
  <c r="H979" i="11"/>
  <c r="J979" i="11" s="1"/>
  <c r="H980" i="11"/>
  <c r="J980" i="11" s="1"/>
  <c r="H981" i="11"/>
  <c r="J981" i="11" s="1"/>
  <c r="H982" i="11"/>
  <c r="J982" i="11" s="1"/>
  <c r="H983" i="11"/>
  <c r="J983" i="11" s="1"/>
  <c r="H984" i="11"/>
  <c r="J984" i="11" s="1"/>
  <c r="H985" i="11"/>
  <c r="J985" i="11" s="1"/>
  <c r="H986" i="11"/>
  <c r="J986" i="11" s="1"/>
  <c r="H987" i="11"/>
  <c r="H988" i="11"/>
  <c r="J988" i="11" s="1"/>
  <c r="H989" i="11"/>
  <c r="J989" i="11" s="1"/>
  <c r="H990" i="11"/>
  <c r="J990" i="11" s="1"/>
  <c r="H991" i="11"/>
  <c r="J991" i="11" s="1"/>
  <c r="H992" i="11"/>
  <c r="J992" i="11" s="1"/>
  <c r="H993" i="11"/>
  <c r="J993" i="11" s="1"/>
  <c r="H994" i="11"/>
  <c r="J994" i="11" s="1"/>
  <c r="H995" i="11"/>
  <c r="J995" i="11" s="1"/>
  <c r="H996" i="11"/>
  <c r="J996" i="11" s="1"/>
  <c r="H997" i="11"/>
  <c r="J997" i="11" s="1"/>
  <c r="H998" i="11"/>
  <c r="J998" i="11" s="1"/>
  <c r="H999" i="11"/>
  <c r="J999" i="11" s="1"/>
  <c r="H1000" i="11"/>
  <c r="J1000" i="11" s="1"/>
  <c r="H1001" i="11"/>
  <c r="J1001" i="11" s="1"/>
  <c r="H1002" i="11"/>
  <c r="J1002" i="11" s="1"/>
  <c r="H1003" i="11"/>
  <c r="J1003" i="11" s="1"/>
  <c r="H1004" i="11"/>
  <c r="J1004" i="11" s="1"/>
  <c r="H1005" i="11"/>
  <c r="J1005" i="11" s="1"/>
  <c r="H1006" i="11"/>
  <c r="J1006" i="11" s="1"/>
  <c r="H1007" i="11"/>
  <c r="J1007" i="11" s="1"/>
  <c r="H1008" i="11"/>
  <c r="J1008" i="11" s="1"/>
  <c r="H3" i="11"/>
  <c r="D57" i="13" s="1"/>
  <c r="M2536" i="1"/>
  <c r="L2536" i="1"/>
  <c r="K2536" i="1"/>
  <c r="J2536" i="1"/>
  <c r="M2535" i="1"/>
  <c r="L2535" i="1"/>
  <c r="K2535" i="1"/>
  <c r="J2535" i="1"/>
  <c r="M2534" i="1"/>
  <c r="L2534" i="1"/>
  <c r="K2534" i="1"/>
  <c r="J2534" i="1"/>
  <c r="M2533" i="1"/>
  <c r="L2533" i="1"/>
  <c r="K2533" i="1"/>
  <c r="J2533" i="1"/>
  <c r="M2532" i="1"/>
  <c r="L2532" i="1"/>
  <c r="K2532" i="1"/>
  <c r="J2532" i="1"/>
  <c r="M2531" i="1"/>
  <c r="L2531" i="1"/>
  <c r="K2531" i="1"/>
  <c r="J2531" i="1"/>
  <c r="M2530" i="1"/>
  <c r="L2530" i="1"/>
  <c r="K2530" i="1"/>
  <c r="J2530" i="1"/>
  <c r="M2529" i="1"/>
  <c r="L2529" i="1"/>
  <c r="K2529" i="1"/>
  <c r="J2529" i="1"/>
  <c r="M2528" i="1"/>
  <c r="L2528" i="1"/>
  <c r="K2528" i="1"/>
  <c r="J2528" i="1"/>
  <c r="M2527" i="1"/>
  <c r="L2527" i="1"/>
  <c r="K2527" i="1"/>
  <c r="J2527" i="1"/>
  <c r="M2526" i="1"/>
  <c r="L2526" i="1"/>
  <c r="K2526" i="1"/>
  <c r="J2526" i="1"/>
  <c r="M2525" i="1"/>
  <c r="L2525" i="1"/>
  <c r="K2525" i="1"/>
  <c r="J2525" i="1"/>
  <c r="M2524" i="1"/>
  <c r="L2524" i="1"/>
  <c r="K2524" i="1"/>
  <c r="J2524" i="1"/>
  <c r="M2523" i="1"/>
  <c r="L2523" i="1"/>
  <c r="K2523" i="1"/>
  <c r="J2523" i="1"/>
  <c r="M2522" i="1"/>
  <c r="L2522" i="1"/>
  <c r="K2522" i="1"/>
  <c r="J2522" i="1"/>
  <c r="M2521" i="1"/>
  <c r="L2521" i="1"/>
  <c r="K2521" i="1"/>
  <c r="J2521" i="1"/>
  <c r="M2520" i="1"/>
  <c r="L2520" i="1"/>
  <c r="K2520" i="1"/>
  <c r="J2520" i="1"/>
  <c r="M2519" i="1"/>
  <c r="L2519" i="1"/>
  <c r="K2519" i="1"/>
  <c r="J2519" i="1"/>
  <c r="M2518" i="1"/>
  <c r="L2518" i="1"/>
  <c r="K2518" i="1"/>
  <c r="J2518" i="1"/>
  <c r="M2517" i="1"/>
  <c r="L2517" i="1"/>
  <c r="K2517" i="1"/>
  <c r="J2517" i="1"/>
  <c r="M2516" i="1"/>
  <c r="L2516" i="1"/>
  <c r="K2516" i="1"/>
  <c r="J2516" i="1"/>
  <c r="M2515" i="1"/>
  <c r="L2515" i="1"/>
  <c r="K2515" i="1"/>
  <c r="J2515" i="1"/>
  <c r="M2514" i="1"/>
  <c r="L2514" i="1"/>
  <c r="K2514" i="1"/>
  <c r="J2514" i="1"/>
  <c r="M2513" i="1"/>
  <c r="L2513" i="1"/>
  <c r="K2513" i="1"/>
  <c r="J2513" i="1"/>
  <c r="M2512" i="1"/>
  <c r="L2512" i="1"/>
  <c r="K2512" i="1"/>
  <c r="J2512" i="1"/>
  <c r="M2511" i="1"/>
  <c r="L2511" i="1"/>
  <c r="K2511" i="1"/>
  <c r="J2511" i="1"/>
  <c r="M2510" i="1"/>
  <c r="L2510" i="1"/>
  <c r="K2510" i="1"/>
  <c r="J2510" i="1"/>
  <c r="M2509" i="1"/>
  <c r="L2509" i="1"/>
  <c r="K2509" i="1"/>
  <c r="J2509" i="1"/>
  <c r="M2508" i="1"/>
  <c r="L2508" i="1"/>
  <c r="K2508" i="1"/>
  <c r="J2508" i="1"/>
  <c r="M2507" i="1"/>
  <c r="L2507" i="1"/>
  <c r="K2507" i="1"/>
  <c r="J2507" i="1"/>
  <c r="M2506" i="1"/>
  <c r="L2506" i="1"/>
  <c r="K2506" i="1"/>
  <c r="J2506" i="1"/>
  <c r="M2505" i="1"/>
  <c r="L2505" i="1"/>
  <c r="K2505" i="1"/>
  <c r="J2505" i="1"/>
  <c r="M2504" i="1"/>
  <c r="L2504" i="1"/>
  <c r="K2504" i="1"/>
  <c r="J2504" i="1"/>
  <c r="M2503" i="1"/>
  <c r="L2503" i="1"/>
  <c r="K2503" i="1"/>
  <c r="J2503" i="1"/>
  <c r="M2502" i="1"/>
  <c r="L2502" i="1"/>
  <c r="K2502" i="1"/>
  <c r="J2502" i="1"/>
  <c r="M2501" i="1"/>
  <c r="L2501" i="1"/>
  <c r="K2501" i="1"/>
  <c r="J2501" i="1"/>
  <c r="M2500" i="1"/>
  <c r="L2500" i="1"/>
  <c r="K2500" i="1"/>
  <c r="J2500" i="1"/>
  <c r="M2499" i="1"/>
  <c r="L2499" i="1"/>
  <c r="K2499" i="1"/>
  <c r="J2499" i="1"/>
  <c r="M2498" i="1"/>
  <c r="L2498" i="1"/>
  <c r="K2498" i="1"/>
  <c r="J2498" i="1"/>
  <c r="M2497" i="1"/>
  <c r="L2497" i="1"/>
  <c r="K2497" i="1"/>
  <c r="J2497" i="1"/>
  <c r="M2496" i="1"/>
  <c r="L2496" i="1"/>
  <c r="K2496" i="1"/>
  <c r="J2496" i="1"/>
  <c r="M2495" i="1"/>
  <c r="L2495" i="1"/>
  <c r="K2495" i="1"/>
  <c r="J2495" i="1"/>
  <c r="M2494" i="1"/>
  <c r="L2494" i="1"/>
  <c r="K2494" i="1"/>
  <c r="J2494" i="1"/>
  <c r="M2493" i="1"/>
  <c r="L2493" i="1"/>
  <c r="K2493" i="1"/>
  <c r="J2493" i="1"/>
  <c r="M2492" i="1"/>
  <c r="L2492" i="1"/>
  <c r="K2492" i="1"/>
  <c r="J2492" i="1"/>
  <c r="M2491" i="1"/>
  <c r="L2491" i="1"/>
  <c r="K2491" i="1"/>
  <c r="J2491" i="1"/>
  <c r="M2490" i="1"/>
  <c r="L2490" i="1"/>
  <c r="K2490" i="1"/>
  <c r="J2490" i="1"/>
  <c r="M2489" i="1"/>
  <c r="L2489" i="1"/>
  <c r="N963" i="11" s="1"/>
  <c r="K2489" i="1"/>
  <c r="J2489" i="1"/>
  <c r="M2488" i="1"/>
  <c r="L2488" i="1"/>
  <c r="K2488" i="1"/>
  <c r="J2488" i="1"/>
  <c r="M2487" i="1"/>
  <c r="L2487" i="1"/>
  <c r="K2487" i="1"/>
  <c r="J2487" i="1"/>
  <c r="M2486" i="1"/>
  <c r="L2486" i="1"/>
  <c r="K2486" i="1"/>
  <c r="J2486" i="1"/>
  <c r="M2485" i="1"/>
  <c r="L2485" i="1"/>
  <c r="K2485" i="1"/>
  <c r="J2485" i="1"/>
  <c r="M2484" i="1"/>
  <c r="L2484" i="1"/>
  <c r="K2484" i="1"/>
  <c r="J2484" i="1"/>
  <c r="M2483" i="1"/>
  <c r="L2483" i="1"/>
  <c r="K2483" i="1"/>
  <c r="J2483" i="1"/>
  <c r="M2482" i="1"/>
  <c r="L2482" i="1"/>
  <c r="K2482" i="1"/>
  <c r="J2482" i="1"/>
  <c r="M2481" i="1"/>
  <c r="L2481" i="1"/>
  <c r="K2481" i="1"/>
  <c r="J2481" i="1"/>
  <c r="M2480" i="1"/>
  <c r="L2480" i="1"/>
  <c r="K2480" i="1"/>
  <c r="J2480" i="1"/>
  <c r="M2479" i="1"/>
  <c r="L2479" i="1"/>
  <c r="K2479" i="1"/>
  <c r="J2479" i="1"/>
  <c r="M2478" i="1"/>
  <c r="L2478" i="1"/>
  <c r="K2478" i="1"/>
  <c r="J2478" i="1"/>
  <c r="M2477" i="1"/>
  <c r="L2477" i="1"/>
  <c r="K2477" i="1"/>
  <c r="J2477" i="1"/>
  <c r="M2476" i="1"/>
  <c r="L2476" i="1"/>
  <c r="K2476" i="1"/>
  <c r="J2476" i="1"/>
  <c r="M2475" i="1"/>
  <c r="L2475" i="1"/>
  <c r="K2475" i="1"/>
  <c r="J2475" i="1"/>
  <c r="M2474" i="1"/>
  <c r="L2474" i="1"/>
  <c r="K2474" i="1"/>
  <c r="J2474" i="1"/>
  <c r="M2473" i="1"/>
  <c r="L2473" i="1"/>
  <c r="K2473" i="1"/>
  <c r="J2473" i="1"/>
  <c r="M2472" i="1"/>
  <c r="L2472" i="1"/>
  <c r="K2472" i="1"/>
  <c r="J2472" i="1"/>
  <c r="M2471" i="1"/>
  <c r="L2471" i="1"/>
  <c r="K2471" i="1"/>
  <c r="J2471" i="1"/>
  <c r="M2470" i="1"/>
  <c r="L2470" i="1"/>
  <c r="K2470" i="1"/>
  <c r="J2470" i="1"/>
  <c r="M2469" i="1"/>
  <c r="L2469" i="1"/>
  <c r="K2469" i="1"/>
  <c r="J2469" i="1"/>
  <c r="M2468" i="1"/>
  <c r="L2468" i="1"/>
  <c r="K2468" i="1"/>
  <c r="J2468" i="1"/>
  <c r="M2467" i="1"/>
  <c r="L2467" i="1"/>
  <c r="K2467" i="1"/>
  <c r="J2467" i="1"/>
  <c r="M2466" i="1"/>
  <c r="L2466" i="1"/>
  <c r="K2466" i="1"/>
  <c r="J2466" i="1"/>
  <c r="M2465" i="1"/>
  <c r="L2465" i="1"/>
  <c r="K2465" i="1"/>
  <c r="J2465" i="1"/>
  <c r="M2464" i="1"/>
  <c r="L2464" i="1"/>
  <c r="K2464" i="1"/>
  <c r="J2464" i="1"/>
  <c r="M2463" i="1"/>
  <c r="L2463" i="1"/>
  <c r="K2463" i="1"/>
  <c r="J2463" i="1"/>
  <c r="M2462" i="1"/>
  <c r="L2462" i="1"/>
  <c r="K2462" i="1"/>
  <c r="J2462" i="1"/>
  <c r="M2461" i="1"/>
  <c r="L2461" i="1"/>
  <c r="K2461" i="1"/>
  <c r="J2461" i="1"/>
  <c r="M2460" i="1"/>
  <c r="L2460" i="1"/>
  <c r="K2460" i="1"/>
  <c r="J2460" i="1"/>
  <c r="M2459" i="1"/>
  <c r="L2459" i="1"/>
  <c r="K2459" i="1"/>
  <c r="J2459" i="1"/>
  <c r="M2458" i="1"/>
  <c r="L2458" i="1"/>
  <c r="K2458" i="1"/>
  <c r="J2458" i="1"/>
  <c r="M2457" i="1"/>
  <c r="L2457" i="1"/>
  <c r="K2457" i="1"/>
  <c r="J2457" i="1"/>
  <c r="M2456" i="1"/>
  <c r="L2456" i="1"/>
  <c r="K2456" i="1"/>
  <c r="J2456" i="1"/>
  <c r="M2455" i="1"/>
  <c r="L2455" i="1"/>
  <c r="K2455" i="1"/>
  <c r="J2455" i="1"/>
  <c r="M2454" i="1"/>
  <c r="L2454" i="1"/>
  <c r="K2454" i="1"/>
  <c r="J2454" i="1"/>
  <c r="M2453" i="1"/>
  <c r="L2453" i="1"/>
  <c r="K2453" i="1"/>
  <c r="J2453" i="1"/>
  <c r="M2452" i="1"/>
  <c r="L2452" i="1"/>
  <c r="K2452" i="1"/>
  <c r="J2452" i="1"/>
  <c r="M2451" i="1"/>
  <c r="L2451" i="1"/>
  <c r="K2451" i="1"/>
  <c r="J2451" i="1"/>
  <c r="M2450" i="1"/>
  <c r="L2450" i="1"/>
  <c r="K2450" i="1"/>
  <c r="J2450" i="1"/>
  <c r="M2449" i="1"/>
  <c r="L2449" i="1"/>
  <c r="K2449" i="1"/>
  <c r="J2449" i="1"/>
  <c r="M2448" i="1"/>
  <c r="L2448" i="1"/>
  <c r="K2448" i="1"/>
  <c r="J2448" i="1"/>
  <c r="M2447" i="1"/>
  <c r="L2447" i="1"/>
  <c r="K2447" i="1"/>
  <c r="J2447" i="1"/>
  <c r="M2446" i="1"/>
  <c r="L2446" i="1"/>
  <c r="K2446" i="1"/>
  <c r="J2446" i="1"/>
  <c r="M2445" i="1"/>
  <c r="L2445" i="1"/>
  <c r="K2445" i="1"/>
  <c r="J2445" i="1"/>
  <c r="M2444" i="1"/>
  <c r="L2444" i="1"/>
  <c r="K2444" i="1"/>
  <c r="J2444" i="1"/>
  <c r="M2443" i="1"/>
  <c r="L2443" i="1"/>
  <c r="K2443" i="1"/>
  <c r="J2443" i="1"/>
  <c r="M2442" i="1"/>
  <c r="L2442" i="1"/>
  <c r="K2442" i="1"/>
  <c r="J2442" i="1"/>
  <c r="M2441" i="1"/>
  <c r="L2441" i="1"/>
  <c r="K2441" i="1"/>
  <c r="J2441" i="1"/>
  <c r="M2440" i="1"/>
  <c r="L2440" i="1"/>
  <c r="K2440" i="1"/>
  <c r="J2440" i="1"/>
  <c r="M2439" i="1"/>
  <c r="L2439" i="1"/>
  <c r="K2439" i="1"/>
  <c r="J2439" i="1"/>
  <c r="M2438" i="1"/>
  <c r="L2438" i="1"/>
  <c r="K2438" i="1"/>
  <c r="J2438" i="1"/>
  <c r="M2437" i="1"/>
  <c r="L2437" i="1"/>
  <c r="K2437" i="1"/>
  <c r="J2437" i="1"/>
  <c r="M2436" i="1"/>
  <c r="L2436" i="1"/>
  <c r="K2436" i="1"/>
  <c r="J2436" i="1"/>
  <c r="M2435" i="1"/>
  <c r="L2435" i="1"/>
  <c r="K2435" i="1"/>
  <c r="J2435" i="1"/>
  <c r="M2434" i="1"/>
  <c r="L2434" i="1"/>
  <c r="K2434" i="1"/>
  <c r="J2434" i="1"/>
  <c r="M2433" i="1"/>
  <c r="L2433" i="1"/>
  <c r="K2433" i="1"/>
  <c r="J2433" i="1"/>
  <c r="M2432" i="1"/>
  <c r="L2432" i="1"/>
  <c r="K2432" i="1"/>
  <c r="J2432" i="1"/>
  <c r="M2431" i="1"/>
  <c r="L2431" i="1"/>
  <c r="K2431" i="1"/>
  <c r="J2431" i="1"/>
  <c r="M2430" i="1"/>
  <c r="L2430" i="1"/>
  <c r="K2430" i="1"/>
  <c r="J2430" i="1"/>
  <c r="M2429" i="1"/>
  <c r="L2429" i="1"/>
  <c r="K2429" i="1"/>
  <c r="J2429" i="1"/>
  <c r="M2428" i="1"/>
  <c r="L2428" i="1"/>
  <c r="K2428" i="1"/>
  <c r="J2428" i="1"/>
  <c r="M2427" i="1"/>
  <c r="L2427" i="1"/>
  <c r="K2427" i="1"/>
  <c r="J2427" i="1"/>
  <c r="M2426" i="1"/>
  <c r="L2426" i="1"/>
  <c r="K2426" i="1"/>
  <c r="J2426" i="1"/>
  <c r="M2425" i="1"/>
  <c r="L2425" i="1"/>
  <c r="K2425" i="1"/>
  <c r="J2425" i="1"/>
  <c r="M2424" i="1"/>
  <c r="L2424" i="1"/>
  <c r="K2424" i="1"/>
  <c r="J2424" i="1"/>
  <c r="M2423" i="1"/>
  <c r="L2423" i="1"/>
  <c r="K2423" i="1"/>
  <c r="J2423" i="1"/>
  <c r="M2422" i="1"/>
  <c r="L2422" i="1"/>
  <c r="K2422" i="1"/>
  <c r="J2422" i="1"/>
  <c r="M2421" i="1"/>
  <c r="L2421" i="1"/>
  <c r="K2421" i="1"/>
  <c r="J2421" i="1"/>
  <c r="M2420" i="1"/>
  <c r="L2420" i="1"/>
  <c r="K2420" i="1"/>
  <c r="J2420" i="1"/>
  <c r="M2419" i="1"/>
  <c r="L2419" i="1"/>
  <c r="K2419" i="1"/>
  <c r="J2419" i="1"/>
  <c r="M2418" i="1"/>
  <c r="L2418" i="1"/>
  <c r="K2418" i="1"/>
  <c r="J2418" i="1"/>
  <c r="M2417" i="1"/>
  <c r="L2417" i="1"/>
  <c r="K2417" i="1"/>
  <c r="J2417" i="1"/>
  <c r="M2416" i="1"/>
  <c r="L2416" i="1"/>
  <c r="K2416" i="1"/>
  <c r="J2416" i="1"/>
  <c r="M2415" i="1"/>
  <c r="L2415" i="1"/>
  <c r="K2415" i="1"/>
  <c r="J2415" i="1"/>
  <c r="M2414" i="1"/>
  <c r="L2414" i="1"/>
  <c r="K2414" i="1"/>
  <c r="J2414" i="1"/>
  <c r="M2413" i="1"/>
  <c r="L2413" i="1"/>
  <c r="K2413" i="1"/>
  <c r="J2413" i="1"/>
  <c r="M2412" i="1"/>
  <c r="L2412" i="1"/>
  <c r="K2412" i="1"/>
  <c r="J2412" i="1"/>
  <c r="M2411" i="1"/>
  <c r="L2411" i="1"/>
  <c r="K2411" i="1"/>
  <c r="J2411" i="1"/>
  <c r="M2410" i="1"/>
  <c r="L2410" i="1"/>
  <c r="K2410" i="1"/>
  <c r="J2410" i="1"/>
  <c r="M2409" i="1"/>
  <c r="L2409" i="1"/>
  <c r="K2409" i="1"/>
  <c r="J2409" i="1"/>
  <c r="M2408" i="1"/>
  <c r="L2408" i="1"/>
  <c r="K2408" i="1"/>
  <c r="J2408" i="1"/>
  <c r="M2407" i="1"/>
  <c r="L2407" i="1"/>
  <c r="K2407" i="1"/>
  <c r="J2407" i="1"/>
  <c r="M2406" i="1"/>
  <c r="L2406" i="1"/>
  <c r="K2406" i="1"/>
  <c r="J2406" i="1"/>
  <c r="M2405" i="1"/>
  <c r="L2405" i="1"/>
  <c r="K2405" i="1"/>
  <c r="J2405" i="1"/>
  <c r="M2404" i="1"/>
  <c r="L2404" i="1"/>
  <c r="K2404" i="1"/>
  <c r="J2404" i="1"/>
  <c r="M2403" i="1"/>
  <c r="L2403" i="1"/>
  <c r="K2403" i="1"/>
  <c r="J2403" i="1"/>
  <c r="M2402" i="1"/>
  <c r="L2402" i="1"/>
  <c r="K2402" i="1"/>
  <c r="J2402" i="1"/>
  <c r="M2401" i="1"/>
  <c r="L2401" i="1"/>
  <c r="K2401" i="1"/>
  <c r="J2401" i="1"/>
  <c r="M2400" i="1"/>
  <c r="L2400" i="1"/>
  <c r="K2400" i="1"/>
  <c r="J2400" i="1"/>
  <c r="M2399" i="1"/>
  <c r="L2399" i="1"/>
  <c r="K2399" i="1"/>
  <c r="J2399" i="1"/>
  <c r="M2398" i="1"/>
  <c r="L2398" i="1"/>
  <c r="K2398" i="1"/>
  <c r="J2398" i="1"/>
  <c r="M2397" i="1"/>
  <c r="L2397" i="1"/>
  <c r="K2397" i="1"/>
  <c r="J2397" i="1"/>
  <c r="M2396" i="1"/>
  <c r="L2396" i="1"/>
  <c r="K2396" i="1"/>
  <c r="J2396" i="1"/>
  <c r="M2395" i="1"/>
  <c r="L2395" i="1"/>
  <c r="K2395" i="1"/>
  <c r="J2395" i="1"/>
  <c r="M2394" i="1"/>
  <c r="L2394" i="1"/>
  <c r="K2394" i="1"/>
  <c r="J2394" i="1"/>
  <c r="M2393" i="1"/>
  <c r="L2393" i="1"/>
  <c r="K2393" i="1"/>
  <c r="J2393" i="1"/>
  <c r="M2392" i="1"/>
  <c r="L2392" i="1"/>
  <c r="K2392" i="1"/>
  <c r="J2392" i="1"/>
  <c r="M2391" i="1"/>
  <c r="L2391" i="1"/>
  <c r="K2391" i="1"/>
  <c r="J2391" i="1"/>
  <c r="M2390" i="1"/>
  <c r="L2390" i="1"/>
  <c r="K2390" i="1"/>
  <c r="J2390" i="1"/>
  <c r="M2389" i="1"/>
  <c r="L2389" i="1"/>
  <c r="K2389" i="1"/>
  <c r="J2389" i="1"/>
  <c r="M2388" i="1"/>
  <c r="L2388" i="1"/>
  <c r="K2388" i="1"/>
  <c r="J2388" i="1"/>
  <c r="M2387" i="1"/>
  <c r="L2387" i="1"/>
  <c r="R649" i="11" s="1"/>
  <c r="K2387" i="1"/>
  <c r="J2387" i="1"/>
  <c r="M2386" i="1"/>
  <c r="L2386" i="1"/>
  <c r="K2386" i="1"/>
  <c r="J2386" i="1"/>
  <c r="M2385" i="1"/>
  <c r="L2385" i="1"/>
  <c r="K2385" i="1"/>
  <c r="J2385" i="1"/>
  <c r="M2384" i="1"/>
  <c r="L2384" i="1"/>
  <c r="K2384" i="1"/>
  <c r="J2384" i="1"/>
  <c r="M2383" i="1"/>
  <c r="L2383" i="1"/>
  <c r="P940" i="11" s="1"/>
  <c r="K2383" i="1"/>
  <c r="J2383" i="1"/>
  <c r="M2382" i="1"/>
  <c r="L2382" i="1"/>
  <c r="K2382" i="1"/>
  <c r="J2382" i="1"/>
  <c r="M2381" i="1"/>
  <c r="L2381" i="1"/>
  <c r="K2381" i="1"/>
  <c r="J2381" i="1"/>
  <c r="M2380" i="1"/>
  <c r="L2380" i="1"/>
  <c r="K2380" i="1"/>
  <c r="J2380" i="1"/>
  <c r="M2379" i="1"/>
  <c r="L2379" i="1"/>
  <c r="K2379" i="1"/>
  <c r="J2379" i="1"/>
  <c r="M2378" i="1"/>
  <c r="L2378" i="1"/>
  <c r="K2378" i="1"/>
  <c r="J2378" i="1"/>
  <c r="M2377" i="1"/>
  <c r="L2377" i="1"/>
  <c r="K2377" i="1"/>
  <c r="J2377" i="1"/>
  <c r="M2376" i="1"/>
  <c r="L2376" i="1"/>
  <c r="K2376" i="1"/>
  <c r="J2376" i="1"/>
  <c r="M2375" i="1"/>
  <c r="L2375" i="1"/>
  <c r="K2375" i="1"/>
  <c r="J2375" i="1"/>
  <c r="M2374" i="1"/>
  <c r="L2374" i="1"/>
  <c r="K2374" i="1"/>
  <c r="J2374" i="1"/>
  <c r="M2373" i="1"/>
  <c r="L2373" i="1"/>
  <c r="K2373" i="1"/>
  <c r="J2373" i="1"/>
  <c r="M2372" i="1"/>
  <c r="L2372" i="1"/>
  <c r="K2372" i="1"/>
  <c r="J2372" i="1"/>
  <c r="M2371" i="1"/>
  <c r="L2371" i="1"/>
  <c r="K2371" i="1"/>
  <c r="J2371" i="1"/>
  <c r="M2370" i="1"/>
  <c r="L2370" i="1"/>
  <c r="K2370" i="1"/>
  <c r="J2370" i="1"/>
  <c r="M2369" i="1"/>
  <c r="L2369" i="1"/>
  <c r="K2369" i="1"/>
  <c r="J2369" i="1"/>
  <c r="M2368" i="1"/>
  <c r="L2368" i="1"/>
  <c r="K2368" i="1"/>
  <c r="J2368" i="1"/>
  <c r="M2367" i="1"/>
  <c r="L2367" i="1"/>
  <c r="L274" i="11" s="1"/>
  <c r="K2367" i="1"/>
  <c r="J2367" i="1"/>
  <c r="M2366" i="1"/>
  <c r="L2366" i="1"/>
  <c r="K2366" i="1"/>
  <c r="J2366" i="1"/>
  <c r="M2365" i="1"/>
  <c r="L2365" i="1"/>
  <c r="K2365" i="1"/>
  <c r="J2365" i="1"/>
  <c r="M2364" i="1"/>
  <c r="L2364" i="1"/>
  <c r="K2364" i="1"/>
  <c r="J2364" i="1"/>
  <c r="M2363" i="1"/>
  <c r="L2363" i="1"/>
  <c r="K2363" i="1"/>
  <c r="J2363" i="1"/>
  <c r="M2362" i="1"/>
  <c r="L2362" i="1"/>
  <c r="K2362" i="1"/>
  <c r="J2362" i="1"/>
  <c r="M2361" i="1"/>
  <c r="L2361" i="1"/>
  <c r="K2361" i="1"/>
  <c r="J2361" i="1"/>
  <c r="M2360" i="1"/>
  <c r="L2360" i="1"/>
  <c r="K2360" i="1"/>
  <c r="J2360" i="1"/>
  <c r="M2359" i="1"/>
  <c r="L2359" i="1"/>
  <c r="K2359" i="1"/>
  <c r="J2359" i="1"/>
  <c r="M2358" i="1"/>
  <c r="L2358" i="1"/>
  <c r="K2358" i="1"/>
  <c r="J2358" i="1"/>
  <c r="M2357" i="1"/>
  <c r="L2357" i="1"/>
  <c r="K2357" i="1"/>
  <c r="J2357" i="1"/>
  <c r="M2356" i="1"/>
  <c r="L2356" i="1"/>
  <c r="K2356" i="1"/>
  <c r="J2356" i="1"/>
  <c r="M2355" i="1"/>
  <c r="L2355" i="1"/>
  <c r="K2355" i="1"/>
  <c r="J2355" i="1"/>
  <c r="M2354" i="1"/>
  <c r="L2354" i="1"/>
  <c r="K2354" i="1"/>
  <c r="J2354" i="1"/>
  <c r="M2353" i="1"/>
  <c r="L2353" i="1"/>
  <c r="K2353" i="1"/>
  <c r="J2353" i="1"/>
  <c r="M2352" i="1"/>
  <c r="L2352" i="1"/>
  <c r="K2352" i="1"/>
  <c r="J2352" i="1"/>
  <c r="M2351" i="1"/>
  <c r="L2351" i="1"/>
  <c r="K2351" i="1"/>
  <c r="J2351" i="1"/>
  <c r="M2350" i="1"/>
  <c r="L2350" i="1"/>
  <c r="K2350" i="1"/>
  <c r="J2350" i="1"/>
  <c r="M2349" i="1"/>
  <c r="L2349" i="1"/>
  <c r="K2349" i="1"/>
  <c r="J2349" i="1"/>
  <c r="M2348" i="1"/>
  <c r="L2348" i="1"/>
  <c r="K2348" i="1"/>
  <c r="J2348" i="1"/>
  <c r="M2347" i="1"/>
  <c r="L2347" i="1"/>
  <c r="K2347" i="1"/>
  <c r="J2347" i="1"/>
  <c r="M2346" i="1"/>
  <c r="L2346" i="1"/>
  <c r="K2346" i="1"/>
  <c r="J2346" i="1"/>
  <c r="M2345" i="1"/>
  <c r="L2345" i="1"/>
  <c r="K2345" i="1"/>
  <c r="J2345" i="1"/>
  <c r="M2344" i="1"/>
  <c r="L2344" i="1"/>
  <c r="K2344" i="1"/>
  <c r="J2344" i="1"/>
  <c r="M2343" i="1"/>
  <c r="L2343" i="1"/>
  <c r="K2343" i="1"/>
  <c r="J2343" i="1"/>
  <c r="M2342" i="1"/>
  <c r="L2342" i="1"/>
  <c r="K2342" i="1"/>
  <c r="J2342" i="1"/>
  <c r="M2341" i="1"/>
  <c r="L2341" i="1"/>
  <c r="K2341" i="1"/>
  <c r="J2341" i="1"/>
  <c r="M2340" i="1"/>
  <c r="L2340" i="1"/>
  <c r="K2340" i="1"/>
  <c r="J2340" i="1"/>
  <c r="M2339" i="1"/>
  <c r="L2339" i="1"/>
  <c r="K2339" i="1"/>
  <c r="J2339" i="1"/>
  <c r="M2338" i="1"/>
  <c r="L2338" i="1"/>
  <c r="K2338" i="1"/>
  <c r="J2338" i="1"/>
  <c r="M2337" i="1"/>
  <c r="L2337" i="1"/>
  <c r="K2337" i="1"/>
  <c r="J2337" i="1"/>
  <c r="M2336" i="1"/>
  <c r="L2336" i="1"/>
  <c r="K2336" i="1"/>
  <c r="J2336" i="1"/>
  <c r="M2335" i="1"/>
  <c r="L2335" i="1"/>
  <c r="K2335" i="1"/>
  <c r="J2335" i="1"/>
  <c r="M2334" i="1"/>
  <c r="L2334" i="1"/>
  <c r="K2334" i="1"/>
  <c r="J2334" i="1"/>
  <c r="M2333" i="1"/>
  <c r="L2333" i="1"/>
  <c r="K2333" i="1"/>
  <c r="J2333" i="1"/>
  <c r="M2332" i="1"/>
  <c r="L2332" i="1"/>
  <c r="K2332" i="1"/>
  <c r="J2332" i="1"/>
  <c r="M2331" i="1"/>
  <c r="L2331" i="1"/>
  <c r="K2331" i="1"/>
  <c r="J2331" i="1"/>
  <c r="M2330" i="1"/>
  <c r="L2330" i="1"/>
  <c r="K2330" i="1"/>
  <c r="J2330" i="1"/>
  <c r="M2329" i="1"/>
  <c r="L2329" i="1"/>
  <c r="K2329" i="1"/>
  <c r="J2329" i="1"/>
  <c r="M2328" i="1"/>
  <c r="L2328" i="1"/>
  <c r="K2328" i="1"/>
  <c r="J2328" i="1"/>
  <c r="M2327" i="1"/>
  <c r="L2327" i="1"/>
  <c r="R586" i="11" s="1"/>
  <c r="K2327" i="1"/>
  <c r="J2327" i="1"/>
  <c r="M2326" i="1"/>
  <c r="L2326" i="1"/>
  <c r="K2326" i="1"/>
  <c r="J2326" i="1"/>
  <c r="M2325" i="1"/>
  <c r="L2325" i="1"/>
  <c r="K2325" i="1"/>
  <c r="J2325" i="1"/>
  <c r="M2324" i="1"/>
  <c r="L2324" i="1"/>
  <c r="K2324" i="1"/>
  <c r="J2324" i="1"/>
  <c r="M2323" i="1"/>
  <c r="L2323" i="1"/>
  <c r="K2323" i="1"/>
  <c r="J2323" i="1"/>
  <c r="M2322" i="1"/>
  <c r="L2322" i="1"/>
  <c r="K2322" i="1"/>
  <c r="J2322" i="1"/>
  <c r="M2321" i="1"/>
  <c r="L2321" i="1"/>
  <c r="K976" i="11" s="1"/>
  <c r="K2321" i="1"/>
  <c r="J2321" i="1"/>
  <c r="M2320" i="1"/>
  <c r="L2320" i="1"/>
  <c r="K2320" i="1"/>
  <c r="J2320" i="1"/>
  <c r="M2319" i="1"/>
  <c r="L2319" i="1"/>
  <c r="K2319" i="1"/>
  <c r="J2319" i="1"/>
  <c r="M2318" i="1"/>
  <c r="L2318" i="1"/>
  <c r="K2318" i="1"/>
  <c r="J2318" i="1"/>
  <c r="M2317" i="1"/>
  <c r="L2317" i="1"/>
  <c r="K2317" i="1"/>
  <c r="J2317" i="1"/>
  <c r="M2316" i="1"/>
  <c r="L2316" i="1"/>
  <c r="K2316" i="1"/>
  <c r="J2316" i="1"/>
  <c r="M2315" i="1"/>
  <c r="L2315" i="1"/>
  <c r="K2315" i="1"/>
  <c r="J2315" i="1"/>
  <c r="M2314" i="1"/>
  <c r="L2314" i="1"/>
  <c r="K2314" i="1"/>
  <c r="J2314" i="1"/>
  <c r="M2313" i="1"/>
  <c r="L2313" i="1"/>
  <c r="K2313" i="1"/>
  <c r="J2313" i="1"/>
  <c r="M2312" i="1"/>
  <c r="L2312" i="1"/>
  <c r="K2312" i="1"/>
  <c r="J2312" i="1"/>
  <c r="M2311" i="1"/>
  <c r="L2311" i="1"/>
  <c r="K2311" i="1"/>
  <c r="J2311" i="1"/>
  <c r="M2310" i="1"/>
  <c r="L2310" i="1"/>
  <c r="K2310" i="1"/>
  <c r="J2310" i="1"/>
  <c r="M2309" i="1"/>
  <c r="L2309" i="1"/>
  <c r="K2309" i="1"/>
  <c r="J2309" i="1"/>
  <c r="M2308" i="1"/>
  <c r="L2308" i="1"/>
  <c r="K2308" i="1"/>
  <c r="J2308" i="1"/>
  <c r="M2307" i="1"/>
  <c r="L2307" i="1"/>
  <c r="K2307" i="1"/>
  <c r="J2307" i="1"/>
  <c r="M2306" i="1"/>
  <c r="L2306" i="1"/>
  <c r="K2306" i="1"/>
  <c r="J2306" i="1"/>
  <c r="M2305" i="1"/>
  <c r="L2305" i="1"/>
  <c r="K2305" i="1"/>
  <c r="J2305" i="1"/>
  <c r="M2304" i="1"/>
  <c r="L2304" i="1"/>
  <c r="K2304" i="1"/>
  <c r="J2304" i="1"/>
  <c r="M2303" i="1"/>
  <c r="L2303" i="1"/>
  <c r="K2303" i="1"/>
  <c r="J2303" i="1"/>
  <c r="M2302" i="1"/>
  <c r="L2302" i="1"/>
  <c r="K2302" i="1"/>
  <c r="J2302" i="1"/>
  <c r="M2301" i="1"/>
  <c r="L2301" i="1"/>
  <c r="K2301" i="1"/>
  <c r="J2301" i="1"/>
  <c r="M2300" i="1"/>
  <c r="L2300" i="1"/>
  <c r="K2300" i="1"/>
  <c r="J2300" i="1"/>
  <c r="M2299" i="1"/>
  <c r="L2299" i="1"/>
  <c r="K2299" i="1"/>
  <c r="J2299" i="1"/>
  <c r="M2298" i="1"/>
  <c r="L2298" i="1"/>
  <c r="K2298" i="1"/>
  <c r="J2298" i="1"/>
  <c r="M2297" i="1"/>
  <c r="L2297" i="1"/>
  <c r="K2297" i="1"/>
  <c r="J2297" i="1"/>
  <c r="M2296" i="1"/>
  <c r="L2296" i="1"/>
  <c r="K2296" i="1"/>
  <c r="J2296" i="1"/>
  <c r="M2295" i="1"/>
  <c r="L2295" i="1"/>
  <c r="K2295" i="1"/>
  <c r="J2295" i="1"/>
  <c r="M2294" i="1"/>
  <c r="L2294" i="1"/>
  <c r="K2294" i="1"/>
  <c r="J2294" i="1"/>
  <c r="M2293" i="1"/>
  <c r="L2293" i="1"/>
  <c r="K2293" i="1"/>
  <c r="J2293" i="1"/>
  <c r="M2292" i="1"/>
  <c r="L2292" i="1"/>
  <c r="K2292" i="1"/>
  <c r="J2292" i="1"/>
  <c r="M2291" i="1"/>
  <c r="L2291" i="1"/>
  <c r="K2291" i="1"/>
  <c r="J2291" i="1"/>
  <c r="M2290" i="1"/>
  <c r="L2290" i="1"/>
  <c r="K2290" i="1"/>
  <c r="J2290" i="1"/>
  <c r="M2289" i="1"/>
  <c r="L2289" i="1"/>
  <c r="K2289" i="1"/>
  <c r="J2289" i="1"/>
  <c r="M2288" i="1"/>
  <c r="L2288" i="1"/>
  <c r="K2288" i="1"/>
  <c r="J2288" i="1"/>
  <c r="M2287" i="1"/>
  <c r="L2287" i="1"/>
  <c r="Q856" i="11" s="1"/>
  <c r="K2287" i="1"/>
  <c r="J2287" i="1"/>
  <c r="M2286" i="1"/>
  <c r="L2286" i="1"/>
  <c r="K2286" i="1"/>
  <c r="J2286" i="1"/>
  <c r="M2285" i="1"/>
  <c r="L2285" i="1"/>
  <c r="K2285" i="1"/>
  <c r="J2285" i="1"/>
  <c r="M2284" i="1"/>
  <c r="L2284" i="1"/>
  <c r="K2284" i="1"/>
  <c r="J2284" i="1"/>
  <c r="M2283" i="1"/>
  <c r="L2283" i="1"/>
  <c r="K2283" i="1"/>
  <c r="J2283" i="1"/>
  <c r="M2282" i="1"/>
  <c r="L2282" i="1"/>
  <c r="K2282" i="1"/>
  <c r="J2282" i="1"/>
  <c r="M2281" i="1"/>
  <c r="L2281" i="1"/>
  <c r="K2281" i="1"/>
  <c r="J2281" i="1"/>
  <c r="M2280" i="1"/>
  <c r="L2280" i="1"/>
  <c r="K2280" i="1"/>
  <c r="J2280" i="1"/>
  <c r="M2279" i="1"/>
  <c r="L2279" i="1"/>
  <c r="K2279" i="1"/>
  <c r="J2279" i="1"/>
  <c r="M2278" i="1"/>
  <c r="L2278" i="1"/>
  <c r="K2278" i="1"/>
  <c r="J2278" i="1"/>
  <c r="M2277" i="1"/>
  <c r="L2277" i="1"/>
  <c r="K2277" i="1"/>
  <c r="J2277" i="1"/>
  <c r="M2276" i="1"/>
  <c r="L2276" i="1"/>
  <c r="K2276" i="1"/>
  <c r="J2276" i="1"/>
  <c r="M2275" i="1"/>
  <c r="L2275" i="1"/>
  <c r="K2275" i="1"/>
  <c r="J2275" i="1"/>
  <c r="M2274" i="1"/>
  <c r="L2274" i="1"/>
  <c r="K2274" i="1"/>
  <c r="J2274" i="1"/>
  <c r="M2273" i="1"/>
  <c r="L2273" i="1"/>
  <c r="K2273" i="1"/>
  <c r="J2273" i="1"/>
  <c r="M2272" i="1"/>
  <c r="L2272" i="1"/>
  <c r="K2272" i="1"/>
  <c r="J2272" i="1"/>
  <c r="M2271" i="1"/>
  <c r="L2271" i="1"/>
  <c r="V917" i="11" s="1"/>
  <c r="K2271" i="1"/>
  <c r="J2271" i="1"/>
  <c r="M2270" i="1"/>
  <c r="L2270" i="1"/>
  <c r="K2270" i="1"/>
  <c r="J2270" i="1"/>
  <c r="M2269" i="1"/>
  <c r="L2269" i="1"/>
  <c r="O129" i="11" s="1"/>
  <c r="K2269" i="1"/>
  <c r="J2269" i="1"/>
  <c r="M2268" i="1"/>
  <c r="L2268" i="1"/>
  <c r="K2268" i="1"/>
  <c r="J2268" i="1"/>
  <c r="M2267" i="1"/>
  <c r="L2267" i="1"/>
  <c r="K2267" i="1"/>
  <c r="J2267" i="1"/>
  <c r="M2266" i="1"/>
  <c r="L2266" i="1"/>
  <c r="K2266" i="1"/>
  <c r="J2266" i="1"/>
  <c r="M2265" i="1"/>
  <c r="L2265" i="1"/>
  <c r="K2265" i="1"/>
  <c r="J2265" i="1"/>
  <c r="M2264" i="1"/>
  <c r="L2264" i="1"/>
  <c r="K2264" i="1"/>
  <c r="J2264" i="1"/>
  <c r="M2263" i="1"/>
  <c r="L2263" i="1"/>
  <c r="K2263" i="1"/>
  <c r="J2263" i="1"/>
  <c r="M2262" i="1"/>
  <c r="L2262" i="1"/>
  <c r="K2262" i="1"/>
  <c r="J2262" i="1"/>
  <c r="M2261" i="1"/>
  <c r="L2261" i="1"/>
  <c r="K2261" i="1"/>
  <c r="J2261" i="1"/>
  <c r="M2260" i="1"/>
  <c r="L2260" i="1"/>
  <c r="K2260" i="1"/>
  <c r="J2260" i="1"/>
  <c r="M2259" i="1"/>
  <c r="L2259" i="1"/>
  <c r="K2259" i="1"/>
  <c r="J2259" i="1"/>
  <c r="M2258" i="1"/>
  <c r="L2258" i="1"/>
  <c r="K2258" i="1"/>
  <c r="J2258" i="1"/>
  <c r="M2257" i="1"/>
  <c r="L2257" i="1"/>
  <c r="K2257" i="1"/>
  <c r="J2257" i="1"/>
  <c r="M2256" i="1"/>
  <c r="L2256" i="1"/>
  <c r="K2256" i="1"/>
  <c r="J2256" i="1"/>
  <c r="M2255" i="1"/>
  <c r="L2255" i="1"/>
  <c r="K2255" i="1"/>
  <c r="J2255" i="1"/>
  <c r="M2254" i="1"/>
  <c r="L2254" i="1"/>
  <c r="K2254" i="1"/>
  <c r="J2254" i="1"/>
  <c r="M2253" i="1"/>
  <c r="L2253" i="1"/>
  <c r="K2253" i="1"/>
  <c r="J2253" i="1"/>
  <c r="M2252" i="1"/>
  <c r="L2252" i="1"/>
  <c r="K2252" i="1"/>
  <c r="J2252" i="1"/>
  <c r="M2251" i="1"/>
  <c r="L2251" i="1"/>
  <c r="K2251" i="1"/>
  <c r="J2251" i="1"/>
  <c r="M2250" i="1"/>
  <c r="L2250" i="1"/>
  <c r="K2250" i="1"/>
  <c r="J2250" i="1"/>
  <c r="M2249" i="1"/>
  <c r="L2249" i="1"/>
  <c r="K2249" i="1"/>
  <c r="J2249" i="1"/>
  <c r="M2248" i="1"/>
  <c r="L2248" i="1"/>
  <c r="K2248" i="1"/>
  <c r="J2248" i="1"/>
  <c r="M2247" i="1"/>
  <c r="L2247" i="1"/>
  <c r="R1010" i="11" s="1"/>
  <c r="X1010" i="11" s="1"/>
  <c r="K2247" i="1"/>
  <c r="J2247" i="1"/>
  <c r="M2246" i="1"/>
  <c r="L2246" i="1"/>
  <c r="K2246" i="1"/>
  <c r="J2246" i="1"/>
  <c r="M2245" i="1"/>
  <c r="L2245" i="1"/>
  <c r="K2245" i="1"/>
  <c r="J2245" i="1"/>
  <c r="M2244" i="1"/>
  <c r="L2244" i="1"/>
  <c r="K2244" i="1"/>
  <c r="J2244" i="1"/>
  <c r="M2243" i="1"/>
  <c r="L2243" i="1"/>
  <c r="K2243" i="1"/>
  <c r="J2243" i="1"/>
  <c r="M2242" i="1"/>
  <c r="L2242" i="1"/>
  <c r="K2242" i="1"/>
  <c r="J2242" i="1"/>
  <c r="M2241" i="1"/>
  <c r="L2241" i="1"/>
  <c r="K2241" i="1"/>
  <c r="J2241" i="1"/>
  <c r="M2240" i="1"/>
  <c r="L2240" i="1"/>
  <c r="K2240" i="1"/>
  <c r="J2240" i="1"/>
  <c r="M2239" i="1"/>
  <c r="L2239" i="1"/>
  <c r="K2239" i="1"/>
  <c r="J2239" i="1"/>
  <c r="M2238" i="1"/>
  <c r="L2238" i="1"/>
  <c r="K2238" i="1"/>
  <c r="J2238" i="1"/>
  <c r="M2237" i="1"/>
  <c r="L2237" i="1"/>
  <c r="K2237" i="1"/>
  <c r="J2237" i="1"/>
  <c r="M2236" i="1"/>
  <c r="L2236" i="1"/>
  <c r="K2236" i="1"/>
  <c r="J2236" i="1"/>
  <c r="M2235" i="1"/>
  <c r="L2235" i="1"/>
  <c r="K2235" i="1"/>
  <c r="J2235" i="1"/>
  <c r="M2234" i="1"/>
  <c r="L2234" i="1"/>
  <c r="K2234" i="1"/>
  <c r="J2234" i="1"/>
  <c r="M2233" i="1"/>
  <c r="L2233" i="1"/>
  <c r="K2233" i="1"/>
  <c r="J2233" i="1"/>
  <c r="M2232" i="1"/>
  <c r="L2232" i="1"/>
  <c r="K2232" i="1"/>
  <c r="J2232" i="1"/>
  <c r="M2231" i="1"/>
  <c r="L2231" i="1"/>
  <c r="K2231" i="1"/>
  <c r="J2231" i="1"/>
  <c r="M2230" i="1"/>
  <c r="L2230" i="1"/>
  <c r="K2230" i="1"/>
  <c r="J2230" i="1"/>
  <c r="M2229" i="1"/>
  <c r="L2229" i="1"/>
  <c r="K2229" i="1"/>
  <c r="J2229" i="1"/>
  <c r="M2228" i="1"/>
  <c r="L2228" i="1"/>
  <c r="K2228" i="1"/>
  <c r="J2228" i="1"/>
  <c r="M2227" i="1"/>
  <c r="L2227" i="1"/>
  <c r="K2227" i="1"/>
  <c r="J2227" i="1"/>
  <c r="M2226" i="1"/>
  <c r="L2226" i="1"/>
  <c r="K2226" i="1"/>
  <c r="J2226" i="1"/>
  <c r="M2225" i="1"/>
  <c r="L2225" i="1"/>
  <c r="K2225" i="1"/>
  <c r="J2225" i="1"/>
  <c r="M2224" i="1"/>
  <c r="L2224" i="1"/>
  <c r="K2224" i="1"/>
  <c r="J2224" i="1"/>
  <c r="M2223" i="1"/>
  <c r="L2223" i="1"/>
  <c r="K2223" i="1"/>
  <c r="J2223" i="1"/>
  <c r="M2222" i="1"/>
  <c r="L2222" i="1"/>
  <c r="K2222" i="1"/>
  <c r="J2222" i="1"/>
  <c r="M2221" i="1"/>
  <c r="L2221" i="1"/>
  <c r="K2221" i="1"/>
  <c r="J2221" i="1"/>
  <c r="M2220" i="1"/>
  <c r="L2220" i="1"/>
  <c r="K2220" i="1"/>
  <c r="J2220" i="1"/>
  <c r="M2219" i="1"/>
  <c r="L2219" i="1"/>
  <c r="K2219" i="1"/>
  <c r="J2219" i="1"/>
  <c r="M2218" i="1"/>
  <c r="L2218" i="1"/>
  <c r="K2218" i="1"/>
  <c r="J2218" i="1"/>
  <c r="M2217" i="1"/>
  <c r="L2217" i="1"/>
  <c r="K2217" i="1"/>
  <c r="J2217" i="1"/>
  <c r="M2216" i="1"/>
  <c r="L2216" i="1"/>
  <c r="K2216" i="1"/>
  <c r="J2216" i="1"/>
  <c r="M2215" i="1"/>
  <c r="L2215" i="1"/>
  <c r="K2215" i="1"/>
  <c r="J2215" i="1"/>
  <c r="M2214" i="1"/>
  <c r="L2214" i="1"/>
  <c r="K2214" i="1"/>
  <c r="J2214" i="1"/>
  <c r="M2213" i="1"/>
  <c r="L2213" i="1"/>
  <c r="K2213" i="1"/>
  <c r="J2213" i="1"/>
  <c r="M2212" i="1"/>
  <c r="L2212" i="1"/>
  <c r="K2212" i="1"/>
  <c r="J2212" i="1"/>
  <c r="M2211" i="1"/>
  <c r="L2211" i="1"/>
  <c r="K2211" i="1"/>
  <c r="J2211" i="1"/>
  <c r="M2210" i="1"/>
  <c r="L2210" i="1"/>
  <c r="K2210" i="1"/>
  <c r="J2210" i="1"/>
  <c r="M2209" i="1"/>
  <c r="L2209" i="1"/>
  <c r="K2209" i="1"/>
  <c r="J2209" i="1"/>
  <c r="M2208" i="1"/>
  <c r="L2208" i="1"/>
  <c r="K2208" i="1"/>
  <c r="J2208" i="1"/>
  <c r="M2207" i="1"/>
  <c r="L2207" i="1"/>
  <c r="K2207" i="1"/>
  <c r="J2207" i="1"/>
  <c r="M2206" i="1"/>
  <c r="L2206" i="1"/>
  <c r="K2206" i="1"/>
  <c r="J2206" i="1"/>
  <c r="M2205" i="1"/>
  <c r="L2205" i="1"/>
  <c r="K2205" i="1"/>
  <c r="J2205" i="1"/>
  <c r="M2204" i="1"/>
  <c r="L2204" i="1"/>
  <c r="K2204" i="1"/>
  <c r="J2204" i="1"/>
  <c r="M2203" i="1"/>
  <c r="L2203" i="1"/>
  <c r="K922" i="11" s="1"/>
  <c r="K2203" i="1"/>
  <c r="J2203" i="1"/>
  <c r="M2202" i="1"/>
  <c r="L2202" i="1"/>
  <c r="K2202" i="1"/>
  <c r="J2202" i="1"/>
  <c r="M2201" i="1"/>
  <c r="L2201" i="1"/>
  <c r="K2201" i="1"/>
  <c r="J2201" i="1"/>
  <c r="M2200" i="1"/>
  <c r="L2200" i="1"/>
  <c r="K2200" i="1"/>
  <c r="J2200" i="1"/>
  <c r="M2199" i="1"/>
  <c r="L2199" i="1"/>
  <c r="K2199" i="1"/>
  <c r="J2199" i="1"/>
  <c r="M2198" i="1"/>
  <c r="L2198" i="1"/>
  <c r="K2198" i="1"/>
  <c r="J2198" i="1"/>
  <c r="M2197" i="1"/>
  <c r="L2197" i="1"/>
  <c r="K2197" i="1"/>
  <c r="J2197" i="1"/>
  <c r="M2196" i="1"/>
  <c r="L2196" i="1"/>
  <c r="K2196" i="1"/>
  <c r="J2196" i="1"/>
  <c r="M2195" i="1"/>
  <c r="L2195" i="1"/>
  <c r="K2195" i="1"/>
  <c r="J2195" i="1"/>
  <c r="M2194" i="1"/>
  <c r="L2194" i="1"/>
  <c r="K2194" i="1"/>
  <c r="J2194" i="1"/>
  <c r="M2193" i="1"/>
  <c r="L2193" i="1"/>
  <c r="K2193" i="1"/>
  <c r="J2193" i="1"/>
  <c r="M2192" i="1"/>
  <c r="L2192" i="1"/>
  <c r="K2192" i="1"/>
  <c r="J2192" i="1"/>
  <c r="M2191" i="1"/>
  <c r="L2191" i="1"/>
  <c r="K2191" i="1"/>
  <c r="J2191" i="1"/>
  <c r="M2190" i="1"/>
  <c r="L2190" i="1"/>
  <c r="K2190" i="1"/>
  <c r="J2190" i="1"/>
  <c r="M2189" i="1"/>
  <c r="L2189" i="1"/>
  <c r="K2189" i="1"/>
  <c r="J2189" i="1"/>
  <c r="M2188" i="1"/>
  <c r="L2188" i="1"/>
  <c r="K2188" i="1"/>
  <c r="J2188" i="1"/>
  <c r="M2187" i="1"/>
  <c r="L2187" i="1"/>
  <c r="K2187" i="1"/>
  <c r="J2187" i="1"/>
  <c r="M2186" i="1"/>
  <c r="L2186" i="1"/>
  <c r="K2186" i="1"/>
  <c r="J2186" i="1"/>
  <c r="M2185" i="1"/>
  <c r="L2185" i="1"/>
  <c r="K2185" i="1"/>
  <c r="J2185" i="1"/>
  <c r="M2184" i="1"/>
  <c r="L2184" i="1"/>
  <c r="K2184" i="1"/>
  <c r="J2184" i="1"/>
  <c r="M2183" i="1"/>
  <c r="L2183" i="1"/>
  <c r="K2183" i="1"/>
  <c r="J2183" i="1"/>
  <c r="M2182" i="1"/>
  <c r="L2182" i="1"/>
  <c r="K2182" i="1"/>
  <c r="J2182" i="1"/>
  <c r="M2181" i="1"/>
  <c r="L2181" i="1"/>
  <c r="K2181" i="1"/>
  <c r="J2181" i="1"/>
  <c r="M2180" i="1"/>
  <c r="L2180" i="1"/>
  <c r="K2180" i="1"/>
  <c r="J2180" i="1"/>
  <c r="M2179" i="1"/>
  <c r="L2179" i="1"/>
  <c r="K2179" i="1"/>
  <c r="J2179" i="1"/>
  <c r="M2178" i="1"/>
  <c r="L2178" i="1"/>
  <c r="K2178" i="1"/>
  <c r="J2178" i="1"/>
  <c r="M2177" i="1"/>
  <c r="L2177" i="1"/>
  <c r="K2177" i="1"/>
  <c r="J2177" i="1"/>
  <c r="M2176" i="1"/>
  <c r="L2176" i="1"/>
  <c r="K2176" i="1"/>
  <c r="J2176" i="1"/>
  <c r="M2175" i="1"/>
  <c r="L2175" i="1"/>
  <c r="K2175" i="1"/>
  <c r="J2175" i="1"/>
  <c r="M2174" i="1"/>
  <c r="L2174" i="1"/>
  <c r="K2174" i="1"/>
  <c r="J2174" i="1"/>
  <c r="M2173" i="1"/>
  <c r="L2173" i="1"/>
  <c r="K2173" i="1"/>
  <c r="J2173" i="1"/>
  <c r="M2172" i="1"/>
  <c r="L2172" i="1"/>
  <c r="K2172" i="1"/>
  <c r="J2172" i="1"/>
  <c r="M2171" i="1"/>
  <c r="L2171" i="1"/>
  <c r="K2171" i="1"/>
  <c r="J2171" i="1"/>
  <c r="M2170" i="1"/>
  <c r="L2170" i="1"/>
  <c r="K2170" i="1"/>
  <c r="J2170" i="1"/>
  <c r="M2169" i="1"/>
  <c r="L2169" i="1"/>
  <c r="K2169" i="1"/>
  <c r="J2169" i="1"/>
  <c r="M2168" i="1"/>
  <c r="L2168" i="1"/>
  <c r="K2168" i="1"/>
  <c r="J2168" i="1"/>
  <c r="M2167" i="1"/>
  <c r="L2167" i="1"/>
  <c r="K2167" i="1"/>
  <c r="J2167" i="1"/>
  <c r="M2166" i="1"/>
  <c r="L2166" i="1"/>
  <c r="K2166" i="1"/>
  <c r="J2166" i="1"/>
  <c r="M2165" i="1"/>
  <c r="L2165" i="1"/>
  <c r="K2165" i="1"/>
  <c r="J2165" i="1"/>
  <c r="M2164" i="1"/>
  <c r="L2164" i="1"/>
  <c r="K2164" i="1"/>
  <c r="J2164" i="1"/>
  <c r="M2163" i="1"/>
  <c r="L2163" i="1"/>
  <c r="K2163" i="1"/>
  <c r="J2163" i="1"/>
  <c r="M2162" i="1"/>
  <c r="L2162" i="1"/>
  <c r="K2162" i="1"/>
  <c r="J2162" i="1"/>
  <c r="M2161" i="1"/>
  <c r="L2161" i="1"/>
  <c r="K2161" i="1"/>
  <c r="J2161" i="1"/>
  <c r="M2160" i="1"/>
  <c r="L2160" i="1"/>
  <c r="K2160" i="1"/>
  <c r="J2160" i="1"/>
  <c r="M2159" i="1"/>
  <c r="L2159" i="1"/>
  <c r="K2159" i="1"/>
  <c r="J2159" i="1"/>
  <c r="M2158" i="1"/>
  <c r="L2158" i="1"/>
  <c r="K2158" i="1"/>
  <c r="J2158" i="1"/>
  <c r="M2157" i="1"/>
  <c r="L2157" i="1"/>
  <c r="K2157" i="1"/>
  <c r="J2157" i="1"/>
  <c r="M2156" i="1"/>
  <c r="L2156" i="1"/>
  <c r="K2156" i="1"/>
  <c r="J2156" i="1"/>
  <c r="M2155" i="1"/>
  <c r="L2155" i="1"/>
  <c r="K2155" i="1"/>
  <c r="J2155" i="1"/>
  <c r="M2154" i="1"/>
  <c r="L2154" i="1"/>
  <c r="K2154" i="1"/>
  <c r="J2154" i="1"/>
  <c r="M2153" i="1"/>
  <c r="L2153" i="1"/>
  <c r="K2153" i="1"/>
  <c r="J2153" i="1"/>
  <c r="M2152" i="1"/>
  <c r="L2152" i="1"/>
  <c r="K2152" i="1"/>
  <c r="J2152" i="1"/>
  <c r="M2151" i="1"/>
  <c r="L2151" i="1"/>
  <c r="K2151" i="1"/>
  <c r="J2151" i="1"/>
  <c r="M2150" i="1"/>
  <c r="L2150" i="1"/>
  <c r="K2150" i="1"/>
  <c r="J2150" i="1"/>
  <c r="M2149" i="1"/>
  <c r="L2149" i="1"/>
  <c r="K2149" i="1"/>
  <c r="J2149" i="1"/>
  <c r="M2148" i="1"/>
  <c r="L2148" i="1"/>
  <c r="K2148" i="1"/>
  <c r="J2148" i="1"/>
  <c r="M2147" i="1"/>
  <c r="L2147" i="1"/>
  <c r="K2147" i="1"/>
  <c r="J2147" i="1"/>
  <c r="M2146" i="1"/>
  <c r="L2146" i="1"/>
  <c r="K2146" i="1"/>
  <c r="J2146" i="1"/>
  <c r="M2145" i="1"/>
  <c r="L2145" i="1"/>
  <c r="K2145" i="1"/>
  <c r="J2145" i="1"/>
  <c r="M2144" i="1"/>
  <c r="L2144" i="1"/>
  <c r="K2144" i="1"/>
  <c r="J2144" i="1"/>
  <c r="M2143" i="1"/>
  <c r="L2143" i="1"/>
  <c r="K2143" i="1"/>
  <c r="J2143" i="1"/>
  <c r="M2142" i="1"/>
  <c r="L2142" i="1"/>
  <c r="K2142" i="1"/>
  <c r="J2142" i="1"/>
  <c r="M2141" i="1"/>
  <c r="L2141" i="1"/>
  <c r="K2141" i="1"/>
  <c r="J2141" i="1"/>
  <c r="M2140" i="1"/>
  <c r="L2140" i="1"/>
  <c r="K2140" i="1"/>
  <c r="J2140" i="1"/>
  <c r="M2139" i="1"/>
  <c r="L2139" i="1"/>
  <c r="K2139" i="1"/>
  <c r="J2139" i="1"/>
  <c r="M2138" i="1"/>
  <c r="L2138" i="1"/>
  <c r="K2138" i="1"/>
  <c r="J2138" i="1"/>
  <c r="M2137" i="1"/>
  <c r="L2137" i="1"/>
  <c r="K2137" i="1"/>
  <c r="J2137" i="1"/>
  <c r="M2136" i="1"/>
  <c r="L2136" i="1"/>
  <c r="K2136" i="1"/>
  <c r="J2136" i="1"/>
  <c r="M2135" i="1"/>
  <c r="L2135" i="1"/>
  <c r="K2135" i="1"/>
  <c r="J2135" i="1"/>
  <c r="M2134" i="1"/>
  <c r="L2134" i="1"/>
  <c r="K2134" i="1"/>
  <c r="J2134" i="1"/>
  <c r="M2133" i="1"/>
  <c r="L2133" i="1"/>
  <c r="K2133" i="1"/>
  <c r="J2133" i="1"/>
  <c r="M2132" i="1"/>
  <c r="L2132" i="1"/>
  <c r="K2132" i="1"/>
  <c r="J2132" i="1"/>
  <c r="M2131" i="1"/>
  <c r="L2131" i="1"/>
  <c r="K2131" i="1"/>
  <c r="J2131" i="1"/>
  <c r="M2130" i="1"/>
  <c r="L2130" i="1"/>
  <c r="K2130" i="1"/>
  <c r="J2130" i="1"/>
  <c r="M2129" i="1"/>
  <c r="L2129" i="1"/>
  <c r="K2129" i="1"/>
  <c r="J2129" i="1"/>
  <c r="M2128" i="1"/>
  <c r="L2128" i="1"/>
  <c r="K2128" i="1"/>
  <c r="J2128" i="1"/>
  <c r="M2127" i="1"/>
  <c r="L2127" i="1"/>
  <c r="K2127" i="1"/>
  <c r="J2127" i="1"/>
  <c r="M2126" i="1"/>
  <c r="L2126" i="1"/>
  <c r="K2126" i="1"/>
  <c r="J2126" i="1"/>
  <c r="M2125" i="1"/>
  <c r="L2125" i="1"/>
  <c r="K2125" i="1"/>
  <c r="J2125" i="1"/>
  <c r="M2124" i="1"/>
  <c r="L2124" i="1"/>
  <c r="K2124" i="1"/>
  <c r="J2124" i="1"/>
  <c r="M2123" i="1"/>
  <c r="L2123" i="1"/>
  <c r="K2123" i="1"/>
  <c r="J2123" i="1"/>
  <c r="M2122" i="1"/>
  <c r="L2122" i="1"/>
  <c r="K2122" i="1"/>
  <c r="J2122" i="1"/>
  <c r="M2121" i="1"/>
  <c r="L2121" i="1"/>
  <c r="K2121" i="1"/>
  <c r="J2121" i="1"/>
  <c r="M2120" i="1"/>
  <c r="L2120" i="1"/>
  <c r="K2120" i="1"/>
  <c r="J2120" i="1"/>
  <c r="M2119" i="1"/>
  <c r="L2119" i="1"/>
  <c r="K2119" i="1"/>
  <c r="J2119" i="1"/>
  <c r="M2118" i="1"/>
  <c r="L2118" i="1"/>
  <c r="K2118" i="1"/>
  <c r="J2118" i="1"/>
  <c r="M2117" i="1"/>
  <c r="L2117" i="1"/>
  <c r="K2117" i="1"/>
  <c r="J2117" i="1"/>
  <c r="M2116" i="1"/>
  <c r="L2116" i="1"/>
  <c r="K2116" i="1"/>
  <c r="J2116" i="1"/>
  <c r="M2115" i="1"/>
  <c r="L2115" i="1"/>
  <c r="K2115" i="1"/>
  <c r="J2115" i="1"/>
  <c r="M2114" i="1"/>
  <c r="L2114" i="1"/>
  <c r="K2114" i="1"/>
  <c r="J2114" i="1"/>
  <c r="M2113" i="1"/>
  <c r="L2113" i="1"/>
  <c r="K2113" i="1"/>
  <c r="J2113" i="1"/>
  <c r="M2112" i="1"/>
  <c r="L2112" i="1"/>
  <c r="K2112" i="1"/>
  <c r="J2112" i="1"/>
  <c r="M2111" i="1"/>
  <c r="L2111" i="1"/>
  <c r="K2111" i="1"/>
  <c r="J2111" i="1"/>
  <c r="M2110" i="1"/>
  <c r="L2110" i="1"/>
  <c r="K2110" i="1"/>
  <c r="J2110" i="1"/>
  <c r="M2109" i="1"/>
  <c r="L2109" i="1"/>
  <c r="K2109" i="1"/>
  <c r="J2109" i="1"/>
  <c r="M2108" i="1"/>
  <c r="L2108" i="1"/>
  <c r="K2108" i="1"/>
  <c r="J2108" i="1"/>
  <c r="M2107" i="1"/>
  <c r="L2107" i="1"/>
  <c r="K2107" i="1"/>
  <c r="J2107" i="1"/>
  <c r="M2106" i="1"/>
  <c r="L2106" i="1"/>
  <c r="K2106" i="1"/>
  <c r="J2106" i="1"/>
  <c r="M2105" i="1"/>
  <c r="L2105" i="1"/>
  <c r="K2105" i="1"/>
  <c r="J2105" i="1"/>
  <c r="M2104" i="1"/>
  <c r="L2104" i="1"/>
  <c r="K2104" i="1"/>
  <c r="J2104" i="1"/>
  <c r="M2103" i="1"/>
  <c r="L2103" i="1"/>
  <c r="K2103" i="1"/>
  <c r="J2103" i="1"/>
  <c r="M2102" i="1"/>
  <c r="L2102" i="1"/>
  <c r="K2102" i="1"/>
  <c r="J2102" i="1"/>
  <c r="M2101" i="1"/>
  <c r="L2101" i="1"/>
  <c r="K2101" i="1"/>
  <c r="J2101" i="1"/>
  <c r="M2100" i="1"/>
  <c r="L2100" i="1"/>
  <c r="K2100" i="1"/>
  <c r="J2100" i="1"/>
  <c r="M2099" i="1"/>
  <c r="L2099" i="1"/>
  <c r="K2099" i="1"/>
  <c r="J2099" i="1"/>
  <c r="M2098" i="1"/>
  <c r="L2098" i="1"/>
  <c r="K2098" i="1"/>
  <c r="J2098" i="1"/>
  <c r="M2097" i="1"/>
  <c r="L2097" i="1"/>
  <c r="K2097" i="1"/>
  <c r="J2097" i="1"/>
  <c r="M2096" i="1"/>
  <c r="L2096" i="1"/>
  <c r="K2096" i="1"/>
  <c r="J2096" i="1"/>
  <c r="M2095" i="1"/>
  <c r="L2095" i="1"/>
  <c r="K2095" i="1"/>
  <c r="J2095" i="1"/>
  <c r="M2094" i="1"/>
  <c r="L2094" i="1"/>
  <c r="K2094" i="1"/>
  <c r="J2094" i="1"/>
  <c r="M2093" i="1"/>
  <c r="L2093" i="1"/>
  <c r="K2093" i="1"/>
  <c r="J2093" i="1"/>
  <c r="M2092" i="1"/>
  <c r="L2092" i="1"/>
  <c r="K2092" i="1"/>
  <c r="J2092" i="1"/>
  <c r="M2091" i="1"/>
  <c r="L2091" i="1"/>
  <c r="K2091" i="1"/>
  <c r="J2091" i="1"/>
  <c r="M2090" i="1"/>
  <c r="L2090" i="1"/>
  <c r="K2090" i="1"/>
  <c r="J2090" i="1"/>
  <c r="M2089" i="1"/>
  <c r="L2089" i="1"/>
  <c r="K2089" i="1"/>
  <c r="J2089" i="1"/>
  <c r="M2088" i="1"/>
  <c r="L2088" i="1"/>
  <c r="K2088" i="1"/>
  <c r="J2088" i="1"/>
  <c r="M2087" i="1"/>
  <c r="L2087" i="1"/>
  <c r="K2087" i="1"/>
  <c r="J2087" i="1"/>
  <c r="M2086" i="1"/>
  <c r="L2086" i="1"/>
  <c r="K2086" i="1"/>
  <c r="J2086" i="1"/>
  <c r="M2085" i="1"/>
  <c r="L2085" i="1"/>
  <c r="K2085" i="1"/>
  <c r="J2085" i="1"/>
  <c r="M2084" i="1"/>
  <c r="L2084" i="1"/>
  <c r="K2084" i="1"/>
  <c r="J2084" i="1"/>
  <c r="M2083" i="1"/>
  <c r="L2083" i="1"/>
  <c r="K2083" i="1"/>
  <c r="J2083" i="1"/>
  <c r="M2082" i="1"/>
  <c r="L2082" i="1"/>
  <c r="K2082" i="1"/>
  <c r="J2082" i="1"/>
  <c r="M2081" i="1"/>
  <c r="L2081" i="1"/>
  <c r="K2081" i="1"/>
  <c r="J2081" i="1"/>
  <c r="M2080" i="1"/>
  <c r="L2080" i="1"/>
  <c r="K2080" i="1"/>
  <c r="J2080" i="1"/>
  <c r="M2079" i="1"/>
  <c r="L2079" i="1"/>
  <c r="K2079" i="1"/>
  <c r="J2079" i="1"/>
  <c r="M2078" i="1"/>
  <c r="L2078" i="1"/>
  <c r="K2078" i="1"/>
  <c r="J2078" i="1"/>
  <c r="M2077" i="1"/>
  <c r="L2077" i="1"/>
  <c r="K2077" i="1"/>
  <c r="J2077" i="1"/>
  <c r="M2076" i="1"/>
  <c r="L2076" i="1"/>
  <c r="K2076" i="1"/>
  <c r="J2076" i="1"/>
  <c r="M2075" i="1"/>
  <c r="L2075" i="1"/>
  <c r="K2075" i="1"/>
  <c r="J2075" i="1"/>
  <c r="M2074" i="1"/>
  <c r="L2074" i="1"/>
  <c r="K2074" i="1"/>
  <c r="J2074" i="1"/>
  <c r="M2073" i="1"/>
  <c r="L2073" i="1"/>
  <c r="K2073" i="1"/>
  <c r="J2073" i="1"/>
  <c r="M2072" i="1"/>
  <c r="L2072" i="1"/>
  <c r="K2072" i="1"/>
  <c r="J2072" i="1"/>
  <c r="M2071" i="1"/>
  <c r="L2071" i="1"/>
  <c r="K2071" i="1"/>
  <c r="J2071" i="1"/>
  <c r="M2070" i="1"/>
  <c r="L2070" i="1"/>
  <c r="K2070" i="1"/>
  <c r="J2070" i="1"/>
  <c r="M2069" i="1"/>
  <c r="L2069" i="1"/>
  <c r="K2069" i="1"/>
  <c r="J2069" i="1"/>
  <c r="M2068" i="1"/>
  <c r="L2068" i="1"/>
  <c r="K2068" i="1"/>
  <c r="J2068" i="1"/>
  <c r="M2067" i="1"/>
  <c r="L2067" i="1"/>
  <c r="K2067" i="1"/>
  <c r="J2067" i="1"/>
  <c r="M2066" i="1"/>
  <c r="L2066" i="1"/>
  <c r="K2066" i="1"/>
  <c r="J2066" i="1"/>
  <c r="M2065" i="1"/>
  <c r="L2065" i="1"/>
  <c r="K2065" i="1"/>
  <c r="J2065" i="1"/>
  <c r="M2064" i="1"/>
  <c r="L2064" i="1"/>
  <c r="K2064" i="1"/>
  <c r="J2064" i="1"/>
  <c r="M2063" i="1"/>
  <c r="L2063" i="1"/>
  <c r="K2063" i="1"/>
  <c r="J2063" i="1"/>
  <c r="M2062" i="1"/>
  <c r="L2062" i="1"/>
  <c r="K2062" i="1"/>
  <c r="J2062" i="1"/>
  <c r="M2061" i="1"/>
  <c r="L2061" i="1"/>
  <c r="O140" i="11" s="1"/>
  <c r="K2061" i="1"/>
  <c r="J2061" i="1"/>
  <c r="M2060" i="1"/>
  <c r="L2060" i="1"/>
  <c r="K2060" i="1"/>
  <c r="J2060" i="1"/>
  <c r="M2059" i="1"/>
  <c r="L2059" i="1"/>
  <c r="P225" i="11" s="1"/>
  <c r="K2059" i="1"/>
  <c r="J2059" i="1"/>
  <c r="M2058" i="1"/>
  <c r="L2058" i="1"/>
  <c r="K2058" i="1"/>
  <c r="J2058" i="1"/>
  <c r="M2057" i="1"/>
  <c r="L2057" i="1"/>
  <c r="K2057" i="1"/>
  <c r="J2057" i="1"/>
  <c r="M2056" i="1"/>
  <c r="L2056" i="1"/>
  <c r="K2056" i="1"/>
  <c r="J2056" i="1"/>
  <c r="M2055" i="1"/>
  <c r="L2055" i="1"/>
  <c r="K2055" i="1"/>
  <c r="J2055" i="1"/>
  <c r="M2054" i="1"/>
  <c r="L2054" i="1"/>
  <c r="K2054" i="1"/>
  <c r="J2054" i="1"/>
  <c r="M2053" i="1"/>
  <c r="L2053" i="1"/>
  <c r="K2053" i="1"/>
  <c r="J2053" i="1"/>
  <c r="M2052" i="1"/>
  <c r="L2052" i="1"/>
  <c r="K2052" i="1"/>
  <c r="J2052" i="1"/>
  <c r="M2051" i="1"/>
  <c r="L2051" i="1"/>
  <c r="K2051" i="1"/>
  <c r="J2051" i="1"/>
  <c r="M2050" i="1"/>
  <c r="L2050" i="1"/>
  <c r="K2050" i="1"/>
  <c r="J2050" i="1"/>
  <c r="M2049" i="1"/>
  <c r="L2049" i="1"/>
  <c r="R891" i="11" s="1"/>
  <c r="K2049" i="1"/>
  <c r="J2049" i="1"/>
  <c r="M2048" i="1"/>
  <c r="L2048" i="1"/>
  <c r="K2048" i="1"/>
  <c r="J2048" i="1"/>
  <c r="M2047" i="1"/>
  <c r="L2047" i="1"/>
  <c r="K2047" i="1"/>
  <c r="J2047" i="1"/>
  <c r="M2046" i="1"/>
  <c r="L2046" i="1"/>
  <c r="K2046" i="1"/>
  <c r="J2046" i="1"/>
  <c r="M2045" i="1"/>
  <c r="L2045" i="1"/>
  <c r="K2045" i="1"/>
  <c r="J2045" i="1"/>
  <c r="M2044" i="1"/>
  <c r="L2044" i="1"/>
  <c r="K2044" i="1"/>
  <c r="J2044" i="1"/>
  <c r="M2043" i="1"/>
  <c r="L2043" i="1"/>
  <c r="L542" i="11" s="1"/>
  <c r="K2043" i="1"/>
  <c r="J2043" i="1"/>
  <c r="M2042" i="1"/>
  <c r="L2042" i="1"/>
  <c r="K2042" i="1"/>
  <c r="J2042" i="1"/>
  <c r="M2041" i="1"/>
  <c r="L2041" i="1"/>
  <c r="K2041" i="1"/>
  <c r="J2041" i="1"/>
  <c r="M2040" i="1"/>
  <c r="L2040" i="1"/>
  <c r="K2040" i="1"/>
  <c r="J2040" i="1"/>
  <c r="M2039" i="1"/>
  <c r="L2039" i="1"/>
  <c r="M534" i="11" s="1"/>
  <c r="K2039" i="1"/>
  <c r="J2039" i="1"/>
  <c r="M2038" i="1"/>
  <c r="L2038" i="1"/>
  <c r="K2038" i="1"/>
  <c r="J2038" i="1"/>
  <c r="M2037" i="1"/>
  <c r="L2037" i="1"/>
  <c r="K2037" i="1"/>
  <c r="J2037" i="1"/>
  <c r="M2036" i="1"/>
  <c r="L2036" i="1"/>
  <c r="K2036" i="1"/>
  <c r="J2036" i="1"/>
  <c r="M2035" i="1"/>
  <c r="L2035" i="1"/>
  <c r="L731" i="11" s="1"/>
  <c r="K2035" i="1"/>
  <c r="J2035" i="1"/>
  <c r="M2034" i="1"/>
  <c r="L2034" i="1"/>
  <c r="K2034" i="1"/>
  <c r="J2034" i="1"/>
  <c r="M2033" i="1"/>
  <c r="L2033" i="1"/>
  <c r="K2033" i="1"/>
  <c r="J2033" i="1"/>
  <c r="M2032" i="1"/>
  <c r="L2032" i="1"/>
  <c r="K2032" i="1"/>
  <c r="J2032" i="1"/>
  <c r="M2031" i="1"/>
  <c r="L2031" i="1"/>
  <c r="K2031" i="1"/>
  <c r="J2031" i="1"/>
  <c r="M2030" i="1"/>
  <c r="L2030" i="1"/>
  <c r="K2030" i="1"/>
  <c r="J2030" i="1"/>
  <c r="M2029" i="1"/>
  <c r="L2029" i="1"/>
  <c r="K2029" i="1"/>
  <c r="J2029" i="1"/>
  <c r="M2028" i="1"/>
  <c r="L2028" i="1"/>
  <c r="K2028" i="1"/>
  <c r="J2028" i="1"/>
  <c r="M2027" i="1"/>
  <c r="L2027" i="1"/>
  <c r="K517" i="11" s="1"/>
  <c r="K2027" i="1"/>
  <c r="J2027" i="1"/>
  <c r="M2026" i="1"/>
  <c r="L2026" i="1"/>
  <c r="K2026" i="1"/>
  <c r="J2026" i="1"/>
  <c r="M2025" i="1"/>
  <c r="L2025" i="1"/>
  <c r="O528" i="11" s="1"/>
  <c r="K2025" i="1"/>
  <c r="J2025" i="1"/>
  <c r="M2024" i="1"/>
  <c r="L2024" i="1"/>
  <c r="K2024" i="1"/>
  <c r="J2024" i="1"/>
  <c r="M2023" i="1"/>
  <c r="L2023" i="1"/>
  <c r="K2023" i="1"/>
  <c r="J2023" i="1"/>
  <c r="M2022" i="1"/>
  <c r="L2022" i="1"/>
  <c r="K2022" i="1"/>
  <c r="J2022" i="1"/>
  <c r="M2021" i="1"/>
  <c r="L2021" i="1"/>
  <c r="K2021" i="1"/>
  <c r="J2021" i="1"/>
  <c r="M2020" i="1"/>
  <c r="L2020" i="1"/>
  <c r="K2020" i="1"/>
  <c r="J2020" i="1"/>
  <c r="M2019" i="1"/>
  <c r="L2019" i="1"/>
  <c r="K2019" i="1"/>
  <c r="J2019" i="1"/>
  <c r="M2018" i="1"/>
  <c r="L2018" i="1"/>
  <c r="K2018" i="1"/>
  <c r="J2018" i="1"/>
  <c r="M2017" i="1"/>
  <c r="L2017" i="1"/>
  <c r="P704" i="11" s="1"/>
  <c r="K2017" i="1"/>
  <c r="J2017" i="1"/>
  <c r="M2016" i="1"/>
  <c r="L2016" i="1"/>
  <c r="K2016" i="1"/>
  <c r="J2016" i="1"/>
  <c r="M2015" i="1"/>
  <c r="L2015" i="1"/>
  <c r="K2015" i="1"/>
  <c r="J2015" i="1"/>
  <c r="M2014" i="1"/>
  <c r="L2014" i="1"/>
  <c r="K2014" i="1"/>
  <c r="J2014" i="1"/>
  <c r="M2013" i="1"/>
  <c r="L2013" i="1"/>
  <c r="K2013" i="1"/>
  <c r="J2013" i="1"/>
  <c r="M2012" i="1"/>
  <c r="L2012" i="1"/>
  <c r="K2012" i="1"/>
  <c r="J2012" i="1"/>
  <c r="M2011" i="1"/>
  <c r="L2011" i="1"/>
  <c r="K2011" i="1"/>
  <c r="J2011" i="1"/>
  <c r="M2010" i="1"/>
  <c r="L2010" i="1"/>
  <c r="K2010" i="1"/>
  <c r="J2010" i="1"/>
  <c r="M2009" i="1"/>
  <c r="L2009" i="1"/>
  <c r="K2009" i="1"/>
  <c r="J2009" i="1"/>
  <c r="M2008" i="1"/>
  <c r="L2008" i="1"/>
  <c r="K2008" i="1"/>
  <c r="J2008" i="1"/>
  <c r="M2007" i="1"/>
  <c r="L2007" i="1"/>
  <c r="S24" i="11" s="1"/>
  <c r="K2007" i="1"/>
  <c r="J2007" i="1"/>
  <c r="M2006" i="1"/>
  <c r="L2006" i="1"/>
  <c r="K2006" i="1"/>
  <c r="J2006" i="1"/>
  <c r="M2005" i="1"/>
  <c r="L2005" i="1"/>
  <c r="K2005" i="1"/>
  <c r="J2005" i="1"/>
  <c r="M2004" i="1"/>
  <c r="L2004" i="1"/>
  <c r="K2004" i="1"/>
  <c r="J2004" i="1"/>
  <c r="M2003" i="1"/>
  <c r="L2003" i="1"/>
  <c r="S601" i="11" s="1"/>
  <c r="K2003" i="1"/>
  <c r="J2003" i="1"/>
  <c r="M2002" i="1"/>
  <c r="L2002" i="1"/>
  <c r="K2002" i="1"/>
  <c r="J2002" i="1"/>
  <c r="M2001" i="1"/>
  <c r="L2001" i="1"/>
  <c r="K2001" i="1"/>
  <c r="J2001" i="1"/>
  <c r="M2000" i="1"/>
  <c r="L2000" i="1"/>
  <c r="K2000" i="1"/>
  <c r="J2000" i="1"/>
  <c r="M1999" i="1"/>
  <c r="L1999" i="1"/>
  <c r="K1999" i="1"/>
  <c r="J1999" i="1"/>
  <c r="M1998" i="1"/>
  <c r="L1998" i="1"/>
  <c r="K1998" i="1"/>
  <c r="J1998" i="1"/>
  <c r="M1997" i="1"/>
  <c r="L1997" i="1"/>
  <c r="K1997" i="1"/>
  <c r="J1997" i="1"/>
  <c r="M1996" i="1"/>
  <c r="L1996" i="1"/>
  <c r="K1996" i="1"/>
  <c r="J1996" i="1"/>
  <c r="M1995" i="1"/>
  <c r="L1995" i="1"/>
  <c r="K1995" i="1"/>
  <c r="J1995" i="1"/>
  <c r="M1994" i="1"/>
  <c r="L1994" i="1"/>
  <c r="K1994" i="1"/>
  <c r="J1994" i="1"/>
  <c r="M1993" i="1"/>
  <c r="L1993" i="1"/>
  <c r="K1993" i="1"/>
  <c r="J1993" i="1"/>
  <c r="M1992" i="1"/>
  <c r="L1992" i="1"/>
  <c r="K1992" i="1"/>
  <c r="J1992" i="1"/>
  <c r="M1991" i="1"/>
  <c r="L1991" i="1"/>
  <c r="K1991" i="1"/>
  <c r="J1991" i="1"/>
  <c r="M1990" i="1"/>
  <c r="L1990" i="1"/>
  <c r="K1990" i="1"/>
  <c r="J1990" i="1"/>
  <c r="M1989" i="1"/>
  <c r="L1989" i="1"/>
  <c r="N815" i="11" s="1"/>
  <c r="K1989" i="1"/>
  <c r="J1989" i="1"/>
  <c r="M1988" i="1"/>
  <c r="L1988" i="1"/>
  <c r="K1988" i="1"/>
  <c r="J1988" i="1"/>
  <c r="M1987" i="1"/>
  <c r="L1987" i="1"/>
  <c r="K1987" i="1"/>
  <c r="J1987" i="1"/>
  <c r="M1986" i="1"/>
  <c r="L1986" i="1"/>
  <c r="K1986" i="1"/>
  <c r="J1986" i="1"/>
  <c r="M1985" i="1"/>
  <c r="L1985" i="1"/>
  <c r="K1985" i="1"/>
  <c r="J1985" i="1"/>
  <c r="M1984" i="1"/>
  <c r="L1984" i="1"/>
  <c r="K1984" i="1"/>
  <c r="J1984" i="1"/>
  <c r="M1983" i="1"/>
  <c r="L1983" i="1"/>
  <c r="K1983" i="1"/>
  <c r="J1983" i="1"/>
  <c r="M1982" i="1"/>
  <c r="L1982" i="1"/>
  <c r="K1982" i="1"/>
  <c r="J1982" i="1"/>
  <c r="M1981" i="1"/>
  <c r="L1981" i="1"/>
  <c r="K1981" i="1"/>
  <c r="J1981" i="1"/>
  <c r="M1980" i="1"/>
  <c r="L1980" i="1"/>
  <c r="K1980" i="1"/>
  <c r="J1980" i="1"/>
  <c r="M1979" i="1"/>
  <c r="L1979" i="1"/>
  <c r="K1979" i="1"/>
  <c r="J1979" i="1"/>
  <c r="M1978" i="1"/>
  <c r="L1978" i="1"/>
  <c r="K1978" i="1"/>
  <c r="J1978" i="1"/>
  <c r="M1977" i="1"/>
  <c r="L1977" i="1"/>
  <c r="K1977" i="1"/>
  <c r="J1977" i="1"/>
  <c r="M1976" i="1"/>
  <c r="L1976" i="1"/>
  <c r="K1976" i="1"/>
  <c r="J1976" i="1"/>
  <c r="M1975" i="1"/>
  <c r="L1975" i="1"/>
  <c r="K1975" i="1"/>
  <c r="J1975" i="1"/>
  <c r="M1974" i="1"/>
  <c r="L1974" i="1"/>
  <c r="K1974" i="1"/>
  <c r="J1974" i="1"/>
  <c r="M1973" i="1"/>
  <c r="L1973" i="1"/>
  <c r="K1973" i="1"/>
  <c r="J1973" i="1"/>
  <c r="M1972" i="1"/>
  <c r="L1972" i="1"/>
  <c r="K1972" i="1"/>
  <c r="J1972" i="1"/>
  <c r="M1971" i="1"/>
  <c r="L1971" i="1"/>
  <c r="K1971" i="1"/>
  <c r="J1971" i="1"/>
  <c r="M1970" i="1"/>
  <c r="L1970" i="1"/>
  <c r="K1970" i="1"/>
  <c r="J1970" i="1"/>
  <c r="M1969" i="1"/>
  <c r="L1969" i="1"/>
  <c r="V251" i="11" s="1"/>
  <c r="K1969" i="1"/>
  <c r="J1969" i="1"/>
  <c r="M1968" i="1"/>
  <c r="L1968" i="1"/>
  <c r="K1968" i="1"/>
  <c r="J1968" i="1"/>
  <c r="M1967" i="1"/>
  <c r="L1967" i="1"/>
  <c r="K1967" i="1"/>
  <c r="J1967" i="1"/>
  <c r="M1966" i="1"/>
  <c r="L1966" i="1"/>
  <c r="K1966" i="1"/>
  <c r="J1966" i="1"/>
  <c r="M1965" i="1"/>
  <c r="L1965" i="1"/>
  <c r="K1965" i="1"/>
  <c r="J1965" i="1"/>
  <c r="M1964" i="1"/>
  <c r="L1964" i="1"/>
  <c r="K1964" i="1"/>
  <c r="J1964" i="1"/>
  <c r="M1963" i="1"/>
  <c r="L1963" i="1"/>
  <c r="K1963" i="1"/>
  <c r="J1963" i="1"/>
  <c r="M1962" i="1"/>
  <c r="L1962" i="1"/>
  <c r="K1962" i="1"/>
  <c r="J1962" i="1"/>
  <c r="M1961" i="1"/>
  <c r="L1961" i="1"/>
  <c r="K1961" i="1"/>
  <c r="J1961" i="1"/>
  <c r="M1960" i="1"/>
  <c r="L1960" i="1"/>
  <c r="K1960" i="1"/>
  <c r="J1960" i="1"/>
  <c r="M1959" i="1"/>
  <c r="L1959" i="1"/>
  <c r="K1959" i="1"/>
  <c r="J1959" i="1"/>
  <c r="M1958" i="1"/>
  <c r="L1958" i="1"/>
  <c r="K1958" i="1"/>
  <c r="J1958" i="1"/>
  <c r="M1957" i="1"/>
  <c r="L1957" i="1"/>
  <c r="R606" i="11" s="1"/>
  <c r="K1957" i="1"/>
  <c r="J1957" i="1"/>
  <c r="M1956" i="1"/>
  <c r="L1956" i="1"/>
  <c r="K1956" i="1"/>
  <c r="J1956" i="1"/>
  <c r="M1955" i="1"/>
  <c r="L1955" i="1"/>
  <c r="K1955" i="1"/>
  <c r="J1955" i="1"/>
  <c r="M1954" i="1"/>
  <c r="L1954" i="1"/>
  <c r="K1954" i="1"/>
  <c r="J1954" i="1"/>
  <c r="M1953" i="1"/>
  <c r="L1953" i="1"/>
  <c r="K1953" i="1"/>
  <c r="J1953" i="1"/>
  <c r="M1952" i="1"/>
  <c r="L1952" i="1"/>
  <c r="K1952" i="1"/>
  <c r="J1952" i="1"/>
  <c r="M1951" i="1"/>
  <c r="L1951" i="1"/>
  <c r="K1951" i="1"/>
  <c r="J1951" i="1"/>
  <c r="M1950" i="1"/>
  <c r="L1950" i="1"/>
  <c r="K1950" i="1"/>
  <c r="J1950" i="1"/>
  <c r="M1949" i="1"/>
  <c r="L1949" i="1"/>
  <c r="K1949" i="1"/>
  <c r="J1949" i="1"/>
  <c r="M1948" i="1"/>
  <c r="L1948" i="1"/>
  <c r="K1948" i="1"/>
  <c r="J1948" i="1"/>
  <c r="M1947" i="1"/>
  <c r="L1947" i="1"/>
  <c r="K1947" i="1"/>
  <c r="J1947" i="1"/>
  <c r="M1946" i="1"/>
  <c r="L1946" i="1"/>
  <c r="K1946" i="1"/>
  <c r="J1946" i="1"/>
  <c r="M1945" i="1"/>
  <c r="L1945" i="1"/>
  <c r="K1945" i="1"/>
  <c r="J1945" i="1"/>
  <c r="M1944" i="1"/>
  <c r="L1944" i="1"/>
  <c r="K1944" i="1"/>
  <c r="J1944" i="1"/>
  <c r="M1943" i="1"/>
  <c r="L1943" i="1"/>
  <c r="K1943" i="1"/>
  <c r="J1943" i="1"/>
  <c r="M1942" i="1"/>
  <c r="L1942" i="1"/>
  <c r="K1942" i="1"/>
  <c r="J1942" i="1"/>
  <c r="M1941" i="1"/>
  <c r="L1941" i="1"/>
  <c r="K1941" i="1"/>
  <c r="J1941" i="1"/>
  <c r="M1940" i="1"/>
  <c r="L1940" i="1"/>
  <c r="K1940" i="1"/>
  <c r="J1940" i="1"/>
  <c r="M1939" i="1"/>
  <c r="L1939" i="1"/>
  <c r="K1939" i="1"/>
  <c r="J1939" i="1"/>
  <c r="M1938" i="1"/>
  <c r="L1938" i="1"/>
  <c r="K1938" i="1"/>
  <c r="J1938" i="1"/>
  <c r="M1937" i="1"/>
  <c r="L1937" i="1"/>
  <c r="O913" i="11" s="1"/>
  <c r="K1937" i="1"/>
  <c r="J1937" i="1"/>
  <c r="M1936" i="1"/>
  <c r="L1936" i="1"/>
  <c r="K1936" i="1"/>
  <c r="J1936" i="1"/>
  <c r="M1935" i="1"/>
  <c r="L1935" i="1"/>
  <c r="K1935" i="1"/>
  <c r="J1935" i="1"/>
  <c r="M1934" i="1"/>
  <c r="L1934" i="1"/>
  <c r="K1934" i="1"/>
  <c r="J1934" i="1"/>
  <c r="M1933" i="1"/>
  <c r="L1933" i="1"/>
  <c r="K1933" i="1"/>
  <c r="J1933" i="1"/>
  <c r="M1932" i="1"/>
  <c r="L1932" i="1"/>
  <c r="K1932" i="1"/>
  <c r="J1932" i="1"/>
  <c r="M1931" i="1"/>
  <c r="L1931" i="1"/>
  <c r="K1931" i="1"/>
  <c r="J1931" i="1"/>
  <c r="M1930" i="1"/>
  <c r="L1930" i="1"/>
  <c r="K1930" i="1"/>
  <c r="J1930" i="1"/>
  <c r="M1929" i="1"/>
  <c r="L1929" i="1"/>
  <c r="N583" i="11" s="1"/>
  <c r="K1929" i="1"/>
  <c r="J1929" i="1"/>
  <c r="M1928" i="1"/>
  <c r="L1928" i="1"/>
  <c r="K1928" i="1"/>
  <c r="J1928" i="1"/>
  <c r="M1927" i="1"/>
  <c r="L1927" i="1"/>
  <c r="K1927" i="1"/>
  <c r="J1927" i="1"/>
  <c r="M1926" i="1"/>
  <c r="L1926" i="1"/>
  <c r="K1926" i="1"/>
  <c r="J1926" i="1"/>
  <c r="M1925" i="1"/>
  <c r="L1925" i="1"/>
  <c r="K1925" i="1"/>
  <c r="J1925" i="1"/>
  <c r="M1924" i="1"/>
  <c r="L1924" i="1"/>
  <c r="K1924" i="1"/>
  <c r="J1924" i="1"/>
  <c r="M1923" i="1"/>
  <c r="L1923" i="1"/>
  <c r="K1923" i="1"/>
  <c r="J1923" i="1"/>
  <c r="M1922" i="1"/>
  <c r="L1922" i="1"/>
  <c r="K1922" i="1"/>
  <c r="J1922" i="1"/>
  <c r="M1921" i="1"/>
  <c r="L1921" i="1"/>
  <c r="M966" i="11" s="1"/>
  <c r="K1921" i="1"/>
  <c r="J1921" i="1"/>
  <c r="M1920" i="1"/>
  <c r="L1920" i="1"/>
  <c r="K1920" i="1"/>
  <c r="J1920" i="1"/>
  <c r="M1919" i="1"/>
  <c r="L1919" i="1"/>
  <c r="K1919" i="1"/>
  <c r="J1919" i="1"/>
  <c r="M1918" i="1"/>
  <c r="L1918" i="1"/>
  <c r="K1918" i="1"/>
  <c r="J1918" i="1"/>
  <c r="M1917" i="1"/>
  <c r="L1917" i="1"/>
  <c r="K1917" i="1"/>
  <c r="J1917" i="1"/>
  <c r="M1916" i="1"/>
  <c r="L1916" i="1"/>
  <c r="K1916" i="1"/>
  <c r="J1916" i="1"/>
  <c r="M1915" i="1"/>
  <c r="L1915" i="1"/>
  <c r="K1915" i="1"/>
  <c r="J1915" i="1"/>
  <c r="M1914" i="1"/>
  <c r="L1914" i="1"/>
  <c r="K1914" i="1"/>
  <c r="J1914" i="1"/>
  <c r="M1913" i="1"/>
  <c r="L1913" i="1"/>
  <c r="K1913" i="1"/>
  <c r="J1913" i="1"/>
  <c r="M1912" i="1"/>
  <c r="L1912" i="1"/>
  <c r="K1912" i="1"/>
  <c r="J1912" i="1"/>
  <c r="M1911" i="1"/>
  <c r="L1911" i="1"/>
  <c r="T985" i="11" s="1"/>
  <c r="K1911" i="1"/>
  <c r="J1911" i="1"/>
  <c r="M1910" i="1"/>
  <c r="L1910" i="1"/>
  <c r="K1910" i="1"/>
  <c r="J1910" i="1"/>
  <c r="M1909" i="1"/>
  <c r="L1909" i="1"/>
  <c r="K1909" i="1"/>
  <c r="J1909" i="1"/>
  <c r="M1908" i="1"/>
  <c r="L1908" i="1"/>
  <c r="K1908" i="1"/>
  <c r="J1908" i="1"/>
  <c r="M1907" i="1"/>
  <c r="L1907" i="1"/>
  <c r="K1907" i="1"/>
  <c r="J1907" i="1"/>
  <c r="M1906" i="1"/>
  <c r="L1906" i="1"/>
  <c r="K1906" i="1"/>
  <c r="J1906" i="1"/>
  <c r="M1905" i="1"/>
  <c r="L1905" i="1"/>
  <c r="K1905" i="1"/>
  <c r="J1905" i="1"/>
  <c r="M1904" i="1"/>
  <c r="L1904" i="1"/>
  <c r="K1904" i="1"/>
  <c r="J1904" i="1"/>
  <c r="M1903" i="1"/>
  <c r="L1903" i="1"/>
  <c r="K1903" i="1"/>
  <c r="J1903" i="1"/>
  <c r="M1902" i="1"/>
  <c r="L1902" i="1"/>
  <c r="K1902" i="1"/>
  <c r="J1902" i="1"/>
  <c r="M1901" i="1"/>
  <c r="L1901" i="1"/>
  <c r="L812" i="11" s="1"/>
  <c r="K1901" i="1"/>
  <c r="J1901" i="1"/>
  <c r="M1900" i="1"/>
  <c r="L1900" i="1"/>
  <c r="K1900" i="1"/>
  <c r="J1900" i="1"/>
  <c r="M1899" i="1"/>
  <c r="L1899" i="1"/>
  <c r="K1899" i="1"/>
  <c r="J1899" i="1"/>
  <c r="M1898" i="1"/>
  <c r="L1898" i="1"/>
  <c r="K1898" i="1"/>
  <c r="J1898" i="1"/>
  <c r="M1897" i="1"/>
  <c r="L1897" i="1"/>
  <c r="K1897" i="1"/>
  <c r="J1897" i="1"/>
  <c r="M1896" i="1"/>
  <c r="L1896" i="1"/>
  <c r="K1896" i="1"/>
  <c r="J1896" i="1"/>
  <c r="M1895" i="1"/>
  <c r="L1895" i="1"/>
  <c r="K1895" i="1"/>
  <c r="J1895" i="1"/>
  <c r="M1894" i="1"/>
  <c r="L1894" i="1"/>
  <c r="K1894" i="1"/>
  <c r="J1894" i="1"/>
  <c r="M1893" i="1"/>
  <c r="L1893" i="1"/>
  <c r="K1893" i="1"/>
  <c r="J1893" i="1"/>
  <c r="M1892" i="1"/>
  <c r="L1892" i="1"/>
  <c r="K1892" i="1"/>
  <c r="J1892" i="1"/>
  <c r="M1891" i="1"/>
  <c r="L1891" i="1"/>
  <c r="K1891" i="1"/>
  <c r="J1891" i="1"/>
  <c r="M1890" i="1"/>
  <c r="L1890" i="1"/>
  <c r="K1890" i="1"/>
  <c r="J1890" i="1"/>
  <c r="M1889" i="1"/>
  <c r="L1889" i="1"/>
  <c r="K1889" i="1"/>
  <c r="J1889" i="1"/>
  <c r="M1888" i="1"/>
  <c r="L1888" i="1"/>
  <c r="K1888" i="1"/>
  <c r="J1888" i="1"/>
  <c r="M1887" i="1"/>
  <c r="L1887" i="1"/>
  <c r="K1887" i="1"/>
  <c r="J1887" i="1"/>
  <c r="M1886" i="1"/>
  <c r="L1886" i="1"/>
  <c r="K1886" i="1"/>
  <c r="J1886" i="1"/>
  <c r="M1885" i="1"/>
  <c r="L1885" i="1"/>
  <c r="K1885" i="1"/>
  <c r="J1885" i="1"/>
  <c r="M1884" i="1"/>
  <c r="L1884" i="1"/>
  <c r="V968" i="11" s="1"/>
  <c r="K1884" i="1"/>
  <c r="J1884" i="1"/>
  <c r="M1883" i="1"/>
  <c r="L1883" i="1"/>
  <c r="K1883" i="1"/>
  <c r="J1883" i="1"/>
  <c r="M1882" i="1"/>
  <c r="L1882" i="1"/>
  <c r="K1882" i="1"/>
  <c r="J1882" i="1"/>
  <c r="M1881" i="1"/>
  <c r="L1881" i="1"/>
  <c r="K1881" i="1"/>
  <c r="J1881" i="1"/>
  <c r="M1880" i="1"/>
  <c r="L1880" i="1"/>
  <c r="K1880" i="1"/>
  <c r="J1880" i="1"/>
  <c r="M1879" i="1"/>
  <c r="L1879" i="1"/>
  <c r="K1879" i="1"/>
  <c r="J1879" i="1"/>
  <c r="M1878" i="1"/>
  <c r="L1878" i="1"/>
  <c r="K1878" i="1"/>
  <c r="J1878" i="1"/>
  <c r="M1877" i="1"/>
  <c r="L1877" i="1"/>
  <c r="K1877" i="1"/>
  <c r="J1877" i="1"/>
  <c r="M1876" i="1"/>
  <c r="L1876" i="1"/>
  <c r="K1876" i="1"/>
  <c r="J1876" i="1"/>
  <c r="M1875" i="1"/>
  <c r="L1875" i="1"/>
  <c r="K1875" i="1"/>
  <c r="J1875" i="1"/>
  <c r="M1874" i="1"/>
  <c r="L1874" i="1"/>
  <c r="K1874" i="1"/>
  <c r="J1874" i="1"/>
  <c r="M1873" i="1"/>
  <c r="L1873" i="1"/>
  <c r="K1873" i="1"/>
  <c r="J1873" i="1"/>
  <c r="M1872" i="1"/>
  <c r="L1872" i="1"/>
  <c r="K1872" i="1"/>
  <c r="J1872" i="1"/>
  <c r="M1871" i="1"/>
  <c r="L1871" i="1"/>
  <c r="K1871" i="1"/>
  <c r="J1871" i="1"/>
  <c r="M1870" i="1"/>
  <c r="L1870" i="1"/>
  <c r="K1870" i="1"/>
  <c r="J1870" i="1"/>
  <c r="M1869" i="1"/>
  <c r="L1869" i="1"/>
  <c r="K1869" i="1"/>
  <c r="J1869" i="1"/>
  <c r="M1868" i="1"/>
  <c r="L1868" i="1"/>
  <c r="K1868" i="1"/>
  <c r="J1868" i="1"/>
  <c r="M1867" i="1"/>
  <c r="L1867" i="1"/>
  <c r="K1867" i="1"/>
  <c r="J1867" i="1"/>
  <c r="M1866" i="1"/>
  <c r="L1866" i="1"/>
  <c r="K1866" i="1"/>
  <c r="J1866" i="1"/>
  <c r="M1865" i="1"/>
  <c r="L1865" i="1"/>
  <c r="K1865" i="1"/>
  <c r="J1865" i="1"/>
  <c r="M1864" i="1"/>
  <c r="L1864" i="1"/>
  <c r="K1864" i="1"/>
  <c r="J1864" i="1"/>
  <c r="M1863" i="1"/>
  <c r="L1863" i="1"/>
  <c r="K1863" i="1"/>
  <c r="J1863" i="1"/>
  <c r="M1862" i="1"/>
  <c r="L1862" i="1"/>
  <c r="K1862" i="1"/>
  <c r="J1862" i="1"/>
  <c r="M1861" i="1"/>
  <c r="L1861" i="1"/>
  <c r="K1861" i="1"/>
  <c r="J1861" i="1"/>
  <c r="M1860" i="1"/>
  <c r="L1860" i="1"/>
  <c r="K1860" i="1"/>
  <c r="J1860" i="1"/>
  <c r="M1859" i="1"/>
  <c r="L1859" i="1"/>
  <c r="K1859" i="1"/>
  <c r="J1859" i="1"/>
  <c r="M1858" i="1"/>
  <c r="L1858" i="1"/>
  <c r="K1858" i="1"/>
  <c r="J1858" i="1"/>
  <c r="M1857" i="1"/>
  <c r="L1857" i="1"/>
  <c r="K1857" i="1"/>
  <c r="J1857" i="1"/>
  <c r="M1856" i="1"/>
  <c r="L1856" i="1"/>
  <c r="K1856" i="1"/>
  <c r="J1856" i="1"/>
  <c r="M1855" i="1"/>
  <c r="L1855" i="1"/>
  <c r="K1855" i="1"/>
  <c r="J1855" i="1"/>
  <c r="M1854" i="1"/>
  <c r="L1854" i="1"/>
  <c r="K1854" i="1"/>
  <c r="J1854" i="1"/>
  <c r="M1853" i="1"/>
  <c r="L1853" i="1"/>
  <c r="K1853" i="1"/>
  <c r="J1853" i="1"/>
  <c r="M1852" i="1"/>
  <c r="L1852" i="1"/>
  <c r="K1852" i="1"/>
  <c r="J1852" i="1"/>
  <c r="M1851" i="1"/>
  <c r="L1851" i="1"/>
  <c r="K1851" i="1"/>
  <c r="J1851" i="1"/>
  <c r="M1850" i="1"/>
  <c r="L1850" i="1"/>
  <c r="K1850" i="1"/>
  <c r="J1850" i="1"/>
  <c r="M1849" i="1"/>
  <c r="L1849" i="1"/>
  <c r="K1849" i="1"/>
  <c r="J1849" i="1"/>
  <c r="M1848" i="1"/>
  <c r="L1848" i="1"/>
  <c r="K1848" i="1"/>
  <c r="J1848" i="1"/>
  <c r="M1847" i="1"/>
  <c r="L1847" i="1"/>
  <c r="K1847" i="1"/>
  <c r="J1847" i="1"/>
  <c r="M1846" i="1"/>
  <c r="L1846" i="1"/>
  <c r="K1846" i="1"/>
  <c r="J1846" i="1"/>
  <c r="M1845" i="1"/>
  <c r="L1845" i="1"/>
  <c r="K1845" i="1"/>
  <c r="J1845" i="1"/>
  <c r="M1844" i="1"/>
  <c r="L1844" i="1"/>
  <c r="K1844" i="1"/>
  <c r="J1844" i="1"/>
  <c r="M1843" i="1"/>
  <c r="L1843" i="1"/>
  <c r="K1843" i="1"/>
  <c r="J1843" i="1"/>
  <c r="M1842" i="1"/>
  <c r="L1842" i="1"/>
  <c r="K1842" i="1"/>
  <c r="J1842" i="1"/>
  <c r="M1841" i="1"/>
  <c r="L1841" i="1"/>
  <c r="K1841" i="1"/>
  <c r="J1841" i="1"/>
  <c r="M1840" i="1"/>
  <c r="L1840" i="1"/>
  <c r="K1840" i="1"/>
  <c r="J1840" i="1"/>
  <c r="M1839" i="1"/>
  <c r="L1839" i="1"/>
  <c r="K1839" i="1"/>
  <c r="J1839" i="1"/>
  <c r="M1838" i="1"/>
  <c r="L1838" i="1"/>
  <c r="K1838" i="1"/>
  <c r="J1838" i="1"/>
  <c r="M1837" i="1"/>
  <c r="L1837" i="1"/>
  <c r="K1837" i="1"/>
  <c r="J1837" i="1"/>
  <c r="M1836" i="1"/>
  <c r="L1836" i="1"/>
  <c r="K1836" i="1"/>
  <c r="J1836" i="1"/>
  <c r="M1835" i="1"/>
  <c r="L1835" i="1"/>
  <c r="K1835" i="1"/>
  <c r="J1835" i="1"/>
  <c r="M1834" i="1"/>
  <c r="L1834" i="1"/>
  <c r="K1834" i="1"/>
  <c r="J1834" i="1"/>
  <c r="M1833" i="1"/>
  <c r="L1833" i="1"/>
  <c r="K1833" i="1"/>
  <c r="J1833" i="1"/>
  <c r="M1832" i="1"/>
  <c r="L1832" i="1"/>
  <c r="K1832" i="1"/>
  <c r="J1832" i="1"/>
  <c r="M1831" i="1"/>
  <c r="L1831" i="1"/>
  <c r="O653" i="11" s="1"/>
  <c r="K1831" i="1"/>
  <c r="J1831" i="1"/>
  <c r="M1830" i="1"/>
  <c r="L1830" i="1"/>
  <c r="K1830" i="1"/>
  <c r="J1830" i="1"/>
  <c r="M1829" i="1"/>
  <c r="L1829" i="1"/>
  <c r="K1829" i="1"/>
  <c r="J1829" i="1"/>
  <c r="M1828" i="1"/>
  <c r="L1828" i="1"/>
  <c r="K1828" i="1"/>
  <c r="J1828" i="1"/>
  <c r="M1827" i="1"/>
  <c r="L1827" i="1"/>
  <c r="K1827" i="1"/>
  <c r="J1827" i="1"/>
  <c r="M1826" i="1"/>
  <c r="L1826" i="1"/>
  <c r="K1826" i="1"/>
  <c r="J1826" i="1"/>
  <c r="M1825" i="1"/>
  <c r="L1825" i="1"/>
  <c r="K1825" i="1"/>
  <c r="J1825" i="1"/>
  <c r="M1824" i="1"/>
  <c r="L1824" i="1"/>
  <c r="K1824" i="1"/>
  <c r="J1824" i="1"/>
  <c r="M1823" i="1"/>
  <c r="L1823" i="1"/>
  <c r="K1823" i="1"/>
  <c r="J1823" i="1"/>
  <c r="M1822" i="1"/>
  <c r="L1822" i="1"/>
  <c r="K1822" i="1"/>
  <c r="J1822" i="1"/>
  <c r="M1821" i="1"/>
  <c r="L1821" i="1"/>
  <c r="K1821" i="1"/>
  <c r="J1821" i="1"/>
  <c r="M1820" i="1"/>
  <c r="L1820" i="1"/>
  <c r="K1820" i="1"/>
  <c r="J1820" i="1"/>
  <c r="M1819" i="1"/>
  <c r="L1819" i="1"/>
  <c r="K1819" i="1"/>
  <c r="J1819" i="1"/>
  <c r="M1818" i="1"/>
  <c r="L1818" i="1"/>
  <c r="K1818" i="1"/>
  <c r="J1818" i="1"/>
  <c r="M1817" i="1"/>
  <c r="L1817" i="1"/>
  <c r="K1817" i="1"/>
  <c r="J1817" i="1"/>
  <c r="M1816" i="1"/>
  <c r="L1816" i="1"/>
  <c r="K1816" i="1"/>
  <c r="J1816" i="1"/>
  <c r="M1815" i="1"/>
  <c r="L1815" i="1"/>
  <c r="K1815" i="1"/>
  <c r="J1815" i="1"/>
  <c r="M1814" i="1"/>
  <c r="L1814" i="1"/>
  <c r="K1814" i="1"/>
  <c r="J1814" i="1"/>
  <c r="M1813" i="1"/>
  <c r="L1813" i="1"/>
  <c r="K1813" i="1"/>
  <c r="J1813" i="1"/>
  <c r="M1812" i="1"/>
  <c r="L1812" i="1"/>
  <c r="K1812" i="1"/>
  <c r="J1812" i="1"/>
  <c r="M1811" i="1"/>
  <c r="L1811" i="1"/>
  <c r="K1811" i="1"/>
  <c r="J1811" i="1"/>
  <c r="M1810" i="1"/>
  <c r="L1810" i="1"/>
  <c r="K1810" i="1"/>
  <c r="J1810" i="1"/>
  <c r="M1809" i="1"/>
  <c r="L1809" i="1"/>
  <c r="K1809" i="1"/>
  <c r="J1809" i="1"/>
  <c r="M1808" i="1"/>
  <c r="L1808" i="1"/>
  <c r="K1808" i="1"/>
  <c r="J1808" i="1"/>
  <c r="M1807" i="1"/>
  <c r="L1807" i="1"/>
  <c r="K1807" i="1"/>
  <c r="J1807" i="1"/>
  <c r="M1806" i="1"/>
  <c r="L1806" i="1"/>
  <c r="K1806" i="1"/>
  <c r="J1806" i="1"/>
  <c r="M1805" i="1"/>
  <c r="L1805" i="1"/>
  <c r="K1805" i="1"/>
  <c r="J1805" i="1"/>
  <c r="M1804" i="1"/>
  <c r="L1804" i="1"/>
  <c r="K1804" i="1"/>
  <c r="J1804" i="1"/>
  <c r="M1803" i="1"/>
  <c r="L1803" i="1"/>
  <c r="K1803" i="1"/>
  <c r="J1803" i="1"/>
  <c r="M1802" i="1"/>
  <c r="L1802" i="1"/>
  <c r="K1802" i="1"/>
  <c r="J1802" i="1"/>
  <c r="M1801" i="1"/>
  <c r="L1801" i="1"/>
  <c r="K1801" i="1"/>
  <c r="J1801" i="1"/>
  <c r="M1800" i="1"/>
  <c r="L1800" i="1"/>
  <c r="K1800" i="1"/>
  <c r="J1800" i="1"/>
  <c r="M1799" i="1"/>
  <c r="L1799" i="1"/>
  <c r="K1799" i="1"/>
  <c r="J1799" i="1"/>
  <c r="M1798" i="1"/>
  <c r="L1798" i="1"/>
  <c r="K1798" i="1"/>
  <c r="J1798" i="1"/>
  <c r="M1797" i="1"/>
  <c r="L1797" i="1"/>
  <c r="K1797" i="1"/>
  <c r="J1797" i="1"/>
  <c r="M1796" i="1"/>
  <c r="L1796" i="1"/>
  <c r="K1796" i="1"/>
  <c r="J1796" i="1"/>
  <c r="M1795" i="1"/>
  <c r="L1795" i="1"/>
  <c r="K1795" i="1"/>
  <c r="J1795" i="1"/>
  <c r="M1794" i="1"/>
  <c r="L1794" i="1"/>
  <c r="K1794" i="1"/>
  <c r="J1794" i="1"/>
  <c r="M1793" i="1"/>
  <c r="L1793" i="1"/>
  <c r="K1793" i="1"/>
  <c r="J1793" i="1"/>
  <c r="M1792" i="1"/>
  <c r="L1792" i="1"/>
  <c r="K1792" i="1"/>
  <c r="J1792" i="1"/>
  <c r="M1791" i="1"/>
  <c r="L1791" i="1"/>
  <c r="K1791" i="1"/>
  <c r="J1791" i="1"/>
  <c r="M1790" i="1"/>
  <c r="L1790" i="1"/>
  <c r="K1790" i="1"/>
  <c r="J1790" i="1"/>
  <c r="M1789" i="1"/>
  <c r="L1789" i="1"/>
  <c r="K1789" i="1"/>
  <c r="J1789" i="1"/>
  <c r="M1788" i="1"/>
  <c r="L1788" i="1"/>
  <c r="K1788" i="1"/>
  <c r="J1788" i="1"/>
  <c r="M1787" i="1"/>
  <c r="L1787" i="1"/>
  <c r="K1787" i="1"/>
  <c r="J1787" i="1"/>
  <c r="M1786" i="1"/>
  <c r="L1786" i="1"/>
  <c r="K1786" i="1"/>
  <c r="J1786" i="1"/>
  <c r="M1785" i="1"/>
  <c r="L1785" i="1"/>
  <c r="K1785" i="1"/>
  <c r="J1785" i="1"/>
  <c r="M1784" i="1"/>
  <c r="L1784" i="1"/>
  <c r="K1784" i="1"/>
  <c r="J1784" i="1"/>
  <c r="M1783" i="1"/>
  <c r="L1783" i="1"/>
  <c r="K1783" i="1"/>
  <c r="J1783" i="1"/>
  <c r="M1782" i="1"/>
  <c r="L1782" i="1"/>
  <c r="K1782" i="1"/>
  <c r="J1782" i="1"/>
  <c r="M1781" i="1"/>
  <c r="L1781" i="1"/>
  <c r="K1781" i="1"/>
  <c r="J1781" i="1"/>
  <c r="M1780" i="1"/>
  <c r="L1780" i="1"/>
  <c r="K1780" i="1"/>
  <c r="J1780" i="1"/>
  <c r="M1779" i="1"/>
  <c r="L1779" i="1"/>
  <c r="K1779" i="1"/>
  <c r="J1779" i="1"/>
  <c r="M1778" i="1"/>
  <c r="L1778" i="1"/>
  <c r="K1778" i="1"/>
  <c r="J1778" i="1"/>
  <c r="M1777" i="1"/>
  <c r="L1777" i="1"/>
  <c r="K1777" i="1"/>
  <c r="J1777" i="1"/>
  <c r="M1776" i="1"/>
  <c r="L1776" i="1"/>
  <c r="K1776" i="1"/>
  <c r="J1776" i="1"/>
  <c r="M1775" i="1"/>
  <c r="L1775" i="1"/>
  <c r="K1775" i="1"/>
  <c r="J1775" i="1"/>
  <c r="M1774" i="1"/>
  <c r="L1774" i="1"/>
  <c r="K1774" i="1"/>
  <c r="J1774" i="1"/>
  <c r="M1773" i="1"/>
  <c r="L1773" i="1"/>
  <c r="K1773" i="1"/>
  <c r="J1773" i="1"/>
  <c r="M1772" i="1"/>
  <c r="L1772" i="1"/>
  <c r="K1772" i="1"/>
  <c r="J1772" i="1"/>
  <c r="M1771" i="1"/>
  <c r="L1771" i="1"/>
  <c r="K1771" i="1"/>
  <c r="J1771" i="1"/>
  <c r="M1770" i="1"/>
  <c r="L1770" i="1"/>
  <c r="K1770" i="1"/>
  <c r="J1770" i="1"/>
  <c r="M1769" i="1"/>
  <c r="L1769" i="1"/>
  <c r="K1769" i="1"/>
  <c r="J1769" i="1"/>
  <c r="M1768" i="1"/>
  <c r="L1768" i="1"/>
  <c r="K1768" i="1"/>
  <c r="J1768" i="1"/>
  <c r="M1767" i="1"/>
  <c r="L1767" i="1"/>
  <c r="K1767" i="1"/>
  <c r="J1767" i="1"/>
  <c r="M1766" i="1"/>
  <c r="L1766" i="1"/>
  <c r="K1766" i="1"/>
  <c r="J1766" i="1"/>
  <c r="M1765" i="1"/>
  <c r="L1765" i="1"/>
  <c r="K1765" i="1"/>
  <c r="J1765" i="1"/>
  <c r="M1764" i="1"/>
  <c r="L1764" i="1"/>
  <c r="K1764" i="1"/>
  <c r="J1764" i="1"/>
  <c r="M1763" i="1"/>
  <c r="L1763" i="1"/>
  <c r="K1763" i="1"/>
  <c r="J1763" i="1"/>
  <c r="M1762" i="1"/>
  <c r="L1762" i="1"/>
  <c r="K1762" i="1"/>
  <c r="J1762" i="1"/>
  <c r="M1761" i="1"/>
  <c r="L1761" i="1"/>
  <c r="K1761" i="1"/>
  <c r="J1761" i="1"/>
  <c r="M1760" i="1"/>
  <c r="L1760" i="1"/>
  <c r="K1760" i="1"/>
  <c r="J1760" i="1"/>
  <c r="M1759" i="1"/>
  <c r="L1759" i="1"/>
  <c r="K1759" i="1"/>
  <c r="J1759" i="1"/>
  <c r="M1758" i="1"/>
  <c r="L1758" i="1"/>
  <c r="K1758" i="1"/>
  <c r="J1758" i="1"/>
  <c r="M1757" i="1"/>
  <c r="L1757" i="1"/>
  <c r="K1757" i="1"/>
  <c r="J1757" i="1"/>
  <c r="M1756" i="1"/>
  <c r="L1756" i="1"/>
  <c r="K1756" i="1"/>
  <c r="J1756" i="1"/>
  <c r="M1755" i="1"/>
  <c r="L1755" i="1"/>
  <c r="K1755" i="1"/>
  <c r="J1755" i="1"/>
  <c r="M1754" i="1"/>
  <c r="L1754" i="1"/>
  <c r="K1754" i="1"/>
  <c r="J1754" i="1"/>
  <c r="M1753" i="1"/>
  <c r="L1753" i="1"/>
  <c r="K1753" i="1"/>
  <c r="J1753" i="1"/>
  <c r="M1752" i="1"/>
  <c r="L1752" i="1"/>
  <c r="K1752" i="1"/>
  <c r="J1752" i="1"/>
  <c r="M1751" i="1"/>
  <c r="L1751" i="1"/>
  <c r="K1751" i="1"/>
  <c r="J1751" i="1"/>
  <c r="M1750" i="1"/>
  <c r="L1750" i="1"/>
  <c r="K1750" i="1"/>
  <c r="J1750" i="1"/>
  <c r="M1749" i="1"/>
  <c r="L1749" i="1"/>
  <c r="K1749" i="1"/>
  <c r="J1749" i="1"/>
  <c r="M1748" i="1"/>
  <c r="L1748" i="1"/>
  <c r="K1748" i="1"/>
  <c r="J1748" i="1"/>
  <c r="M1747" i="1"/>
  <c r="L1747" i="1"/>
  <c r="K1747" i="1"/>
  <c r="J1747" i="1"/>
  <c r="M1746" i="1"/>
  <c r="L1746" i="1"/>
  <c r="K1746" i="1"/>
  <c r="J1746" i="1"/>
  <c r="M1745" i="1"/>
  <c r="L1745" i="1"/>
  <c r="K1745" i="1"/>
  <c r="J1745" i="1"/>
  <c r="M1744" i="1"/>
  <c r="L1744" i="1"/>
  <c r="K1744" i="1"/>
  <c r="J1744" i="1"/>
  <c r="M1743" i="1"/>
  <c r="L1743" i="1"/>
  <c r="K1743" i="1"/>
  <c r="J1743" i="1"/>
  <c r="M1742" i="1"/>
  <c r="L1742" i="1"/>
  <c r="K1742" i="1"/>
  <c r="J1742" i="1"/>
  <c r="M1741" i="1"/>
  <c r="L1741" i="1"/>
  <c r="K1741" i="1"/>
  <c r="J1741" i="1"/>
  <c r="M1740" i="1"/>
  <c r="L1740" i="1"/>
  <c r="K1740" i="1"/>
  <c r="J1740" i="1"/>
  <c r="M1739" i="1"/>
  <c r="L1739" i="1"/>
  <c r="K1739" i="1"/>
  <c r="J1739" i="1"/>
  <c r="M1738" i="1"/>
  <c r="L1738" i="1"/>
  <c r="K1738" i="1"/>
  <c r="J1738" i="1"/>
  <c r="M1737" i="1"/>
  <c r="L1737" i="1"/>
  <c r="K1737" i="1"/>
  <c r="J1737" i="1"/>
  <c r="M1736" i="1"/>
  <c r="L1736" i="1"/>
  <c r="K1736" i="1"/>
  <c r="J1736" i="1"/>
  <c r="M1735" i="1"/>
  <c r="L1735" i="1"/>
  <c r="K1735" i="1"/>
  <c r="J1735" i="1"/>
  <c r="M1734" i="1"/>
  <c r="L1734" i="1"/>
  <c r="K1734" i="1"/>
  <c r="J1734" i="1"/>
  <c r="M1733" i="1"/>
  <c r="L1733" i="1"/>
  <c r="K1733" i="1"/>
  <c r="J1733" i="1"/>
  <c r="M1732" i="1"/>
  <c r="L1732" i="1"/>
  <c r="K1732" i="1"/>
  <c r="J1732" i="1"/>
  <c r="M1731" i="1"/>
  <c r="L1731" i="1"/>
  <c r="K1731" i="1"/>
  <c r="J1731" i="1"/>
  <c r="M1730" i="1"/>
  <c r="L1730" i="1"/>
  <c r="K1730" i="1"/>
  <c r="J1730" i="1"/>
  <c r="M1729" i="1"/>
  <c r="L1729" i="1"/>
  <c r="K1729" i="1"/>
  <c r="J1729" i="1"/>
  <c r="M1728" i="1"/>
  <c r="L1728" i="1"/>
  <c r="K1728" i="1"/>
  <c r="J1728" i="1"/>
  <c r="M1727" i="1"/>
  <c r="L1727" i="1"/>
  <c r="K1727" i="1"/>
  <c r="J1727" i="1"/>
  <c r="M1726" i="1"/>
  <c r="L1726" i="1"/>
  <c r="K1726" i="1"/>
  <c r="J1726" i="1"/>
  <c r="M1725" i="1"/>
  <c r="L1725" i="1"/>
  <c r="K1725" i="1"/>
  <c r="J1725" i="1"/>
  <c r="M1724" i="1"/>
  <c r="L1724" i="1"/>
  <c r="K1724" i="1"/>
  <c r="J1724" i="1"/>
  <c r="M1723" i="1"/>
  <c r="L1723" i="1"/>
  <c r="K1723" i="1"/>
  <c r="J1723" i="1"/>
  <c r="M1722" i="1"/>
  <c r="L1722" i="1"/>
  <c r="K1722" i="1"/>
  <c r="J1722" i="1"/>
  <c r="M1721" i="1"/>
  <c r="L1721" i="1"/>
  <c r="K1721" i="1"/>
  <c r="J1721" i="1"/>
  <c r="M1720" i="1"/>
  <c r="L1720" i="1"/>
  <c r="K1720" i="1"/>
  <c r="J1720" i="1"/>
  <c r="M1719" i="1"/>
  <c r="L1719" i="1"/>
  <c r="K1719" i="1"/>
  <c r="J1719" i="1"/>
  <c r="M1718" i="1"/>
  <c r="L1718" i="1"/>
  <c r="K1718" i="1"/>
  <c r="J1718" i="1"/>
  <c r="M1717" i="1"/>
  <c r="L1717" i="1"/>
  <c r="K1717" i="1"/>
  <c r="J1717" i="1"/>
  <c r="M1716" i="1"/>
  <c r="L1716" i="1"/>
  <c r="K1716" i="1"/>
  <c r="J1716" i="1"/>
  <c r="M1715" i="1"/>
  <c r="L1715" i="1"/>
  <c r="K1715" i="1"/>
  <c r="J1715" i="1"/>
  <c r="M1714" i="1"/>
  <c r="L1714" i="1"/>
  <c r="K1714" i="1"/>
  <c r="J1714" i="1"/>
  <c r="M1713" i="1"/>
  <c r="L1713" i="1"/>
  <c r="K1713" i="1"/>
  <c r="J1713" i="1"/>
  <c r="M1712" i="1"/>
  <c r="L1712" i="1"/>
  <c r="K1712" i="1"/>
  <c r="J1712" i="1"/>
  <c r="M1711" i="1"/>
  <c r="L1711" i="1"/>
  <c r="K1711" i="1"/>
  <c r="J1711" i="1"/>
  <c r="M1710" i="1"/>
  <c r="L1710" i="1"/>
  <c r="K1710" i="1"/>
  <c r="J1710" i="1"/>
  <c r="M1709" i="1"/>
  <c r="L1709" i="1"/>
  <c r="K1709" i="1"/>
  <c r="J1709" i="1"/>
  <c r="M1708" i="1"/>
  <c r="L1708" i="1"/>
  <c r="K1708" i="1"/>
  <c r="J1708" i="1"/>
  <c r="M1707" i="1"/>
  <c r="L1707" i="1"/>
  <c r="K1707" i="1"/>
  <c r="J1707" i="1"/>
  <c r="M1706" i="1"/>
  <c r="L1706" i="1"/>
  <c r="K1706" i="1"/>
  <c r="J1706" i="1"/>
  <c r="M1705" i="1"/>
  <c r="L1705" i="1"/>
  <c r="K1705" i="1"/>
  <c r="J1705" i="1"/>
  <c r="M1704" i="1"/>
  <c r="L1704" i="1"/>
  <c r="K1704" i="1"/>
  <c r="J1704" i="1"/>
  <c r="M1703" i="1"/>
  <c r="L1703" i="1"/>
  <c r="K1703" i="1"/>
  <c r="J1703" i="1"/>
  <c r="M1702" i="1"/>
  <c r="L1702" i="1"/>
  <c r="K1702" i="1"/>
  <c r="J1702" i="1"/>
  <c r="M1701" i="1"/>
  <c r="L1701" i="1"/>
  <c r="K1701" i="1"/>
  <c r="J1701" i="1"/>
  <c r="M1700" i="1"/>
  <c r="L1700" i="1"/>
  <c r="K1700" i="1"/>
  <c r="J1700" i="1"/>
  <c r="M1699" i="1"/>
  <c r="L1699" i="1"/>
  <c r="K1699" i="1"/>
  <c r="J1699" i="1"/>
  <c r="M1698" i="1"/>
  <c r="L1698" i="1"/>
  <c r="K1698" i="1"/>
  <c r="J1698" i="1"/>
  <c r="M1697" i="1"/>
  <c r="L1697" i="1"/>
  <c r="K1697" i="1"/>
  <c r="J1697" i="1"/>
  <c r="M1696" i="1"/>
  <c r="L1696" i="1"/>
  <c r="K1696" i="1"/>
  <c r="J1696" i="1"/>
  <c r="M1695" i="1"/>
  <c r="L1695" i="1"/>
  <c r="K1695" i="1"/>
  <c r="J1695" i="1"/>
  <c r="M1694" i="1"/>
  <c r="L1694" i="1"/>
  <c r="K1694" i="1"/>
  <c r="J1694" i="1"/>
  <c r="M1693" i="1"/>
  <c r="L1693" i="1"/>
  <c r="K1693" i="1"/>
  <c r="J1693" i="1"/>
  <c r="M1692" i="1"/>
  <c r="L1692" i="1"/>
  <c r="K1692" i="1"/>
  <c r="J1692" i="1"/>
  <c r="M1691" i="1"/>
  <c r="L1691" i="1"/>
  <c r="K1691" i="1"/>
  <c r="J1691" i="1"/>
  <c r="M1690" i="1"/>
  <c r="L1690" i="1"/>
  <c r="K1690" i="1"/>
  <c r="J1690" i="1"/>
  <c r="M1689" i="1"/>
  <c r="L1689" i="1"/>
  <c r="K1689" i="1"/>
  <c r="J1689" i="1"/>
  <c r="M1688" i="1"/>
  <c r="L1688" i="1"/>
  <c r="K1688" i="1"/>
  <c r="J1688" i="1"/>
  <c r="M1687" i="1"/>
  <c r="L1687" i="1"/>
  <c r="K1687" i="1"/>
  <c r="J1687" i="1"/>
  <c r="M1686" i="1"/>
  <c r="L1686" i="1"/>
  <c r="K1686" i="1"/>
  <c r="J1686" i="1"/>
  <c r="M1685" i="1"/>
  <c r="L1685" i="1"/>
  <c r="K1685" i="1"/>
  <c r="J1685" i="1"/>
  <c r="M1684" i="1"/>
  <c r="L1684" i="1"/>
  <c r="K1684" i="1"/>
  <c r="J1684" i="1"/>
  <c r="M1683" i="1"/>
  <c r="L1683" i="1"/>
  <c r="K1683" i="1"/>
  <c r="J1683" i="1"/>
  <c r="M1682" i="1"/>
  <c r="L1682" i="1"/>
  <c r="K1682" i="1"/>
  <c r="J1682" i="1"/>
  <c r="M1681" i="1"/>
  <c r="L1681" i="1"/>
  <c r="K834" i="11" s="1"/>
  <c r="K1681" i="1"/>
  <c r="J1681" i="1"/>
  <c r="M1680" i="1"/>
  <c r="L1680" i="1"/>
  <c r="K1680" i="1"/>
  <c r="J1680" i="1"/>
  <c r="M1679" i="1"/>
  <c r="L1679" i="1"/>
  <c r="P947" i="11" s="1"/>
  <c r="K1679" i="1"/>
  <c r="J1679" i="1"/>
  <c r="M1678" i="1"/>
  <c r="L1678" i="1"/>
  <c r="K1678" i="1"/>
  <c r="J1678" i="1"/>
  <c r="M1677" i="1"/>
  <c r="L1677" i="1"/>
  <c r="K1677" i="1"/>
  <c r="J1677" i="1"/>
  <c r="M1676" i="1"/>
  <c r="L1676" i="1"/>
  <c r="K1676" i="1"/>
  <c r="J1676" i="1"/>
  <c r="M1675" i="1"/>
  <c r="L1675" i="1"/>
  <c r="K1675" i="1"/>
  <c r="J1675" i="1"/>
  <c r="M1674" i="1"/>
  <c r="L1674" i="1"/>
  <c r="K1674" i="1"/>
  <c r="J1674" i="1"/>
  <c r="M1673" i="1"/>
  <c r="L1673" i="1"/>
  <c r="K1673" i="1"/>
  <c r="J1673" i="1"/>
  <c r="M1672" i="1"/>
  <c r="L1672" i="1"/>
  <c r="K1672" i="1"/>
  <c r="J1672" i="1"/>
  <c r="M1671" i="1"/>
  <c r="L1671" i="1"/>
  <c r="V399" i="11" s="1"/>
  <c r="K1671" i="1"/>
  <c r="J1671" i="1"/>
  <c r="M1670" i="1"/>
  <c r="L1670" i="1"/>
  <c r="K1670" i="1"/>
  <c r="J1670" i="1"/>
  <c r="M1669" i="1"/>
  <c r="L1669" i="1"/>
  <c r="K1669" i="1"/>
  <c r="J1669" i="1"/>
  <c r="M1668" i="1"/>
  <c r="L1668" i="1"/>
  <c r="K1668" i="1"/>
  <c r="J1668" i="1"/>
  <c r="M1667" i="1"/>
  <c r="L1667" i="1"/>
  <c r="V895" i="11" s="1"/>
  <c r="K1667" i="1"/>
  <c r="J1667" i="1"/>
  <c r="M1666" i="1"/>
  <c r="L1666" i="1"/>
  <c r="K1666" i="1"/>
  <c r="J1666" i="1"/>
  <c r="M1665" i="1"/>
  <c r="L1665" i="1"/>
  <c r="U560" i="11" s="1"/>
  <c r="K1665" i="1"/>
  <c r="J1665" i="1"/>
  <c r="M1664" i="1"/>
  <c r="L1664" i="1"/>
  <c r="K1664" i="1"/>
  <c r="J1664" i="1"/>
  <c r="M1663" i="1"/>
  <c r="L1663" i="1"/>
  <c r="K1663" i="1"/>
  <c r="J1663" i="1"/>
  <c r="M1662" i="1"/>
  <c r="L1662" i="1"/>
  <c r="K1662" i="1"/>
  <c r="J1662" i="1"/>
  <c r="M1661" i="1"/>
  <c r="L1661" i="1"/>
  <c r="K1661" i="1"/>
  <c r="J1661" i="1"/>
  <c r="M1660" i="1"/>
  <c r="L1660" i="1"/>
  <c r="K1660" i="1"/>
  <c r="J1660" i="1"/>
  <c r="M1659" i="1"/>
  <c r="L1659" i="1"/>
  <c r="K1659" i="1"/>
  <c r="J1659" i="1"/>
  <c r="M1658" i="1"/>
  <c r="L1658" i="1"/>
  <c r="K1658" i="1"/>
  <c r="J1658" i="1"/>
  <c r="M1657" i="1"/>
  <c r="L1657" i="1"/>
  <c r="L366" i="11" s="1"/>
  <c r="K1657" i="1"/>
  <c r="J1657" i="1"/>
  <c r="M1656" i="1"/>
  <c r="L1656" i="1"/>
  <c r="K1656" i="1"/>
  <c r="J1656" i="1"/>
  <c r="M1655" i="1"/>
  <c r="L1655" i="1"/>
  <c r="K1655" i="1"/>
  <c r="J1655" i="1"/>
  <c r="M1654" i="1"/>
  <c r="L1654" i="1"/>
  <c r="K1654" i="1"/>
  <c r="J1654" i="1"/>
  <c r="M1653" i="1"/>
  <c r="L1653" i="1"/>
  <c r="S770" i="11" s="1"/>
  <c r="K1653" i="1"/>
  <c r="J1653" i="1"/>
  <c r="M1652" i="1"/>
  <c r="L1652" i="1"/>
  <c r="K1652" i="1"/>
  <c r="J1652" i="1"/>
  <c r="M1651" i="1"/>
  <c r="L1651" i="1"/>
  <c r="K1651" i="1"/>
  <c r="J1651" i="1"/>
  <c r="M1650" i="1"/>
  <c r="L1650" i="1"/>
  <c r="K1650" i="1"/>
  <c r="J1650" i="1"/>
  <c r="M1649" i="1"/>
  <c r="L1649" i="1"/>
  <c r="V584" i="11" s="1"/>
  <c r="K1649" i="1"/>
  <c r="J1649" i="1"/>
  <c r="M1648" i="1"/>
  <c r="L1648" i="1"/>
  <c r="K1648" i="1"/>
  <c r="J1648" i="1"/>
  <c r="M1647" i="1"/>
  <c r="L1647" i="1"/>
  <c r="U551" i="11" s="1"/>
  <c r="K1647" i="1"/>
  <c r="J1647" i="1"/>
  <c r="M1646" i="1"/>
  <c r="L1646" i="1"/>
  <c r="K1646" i="1"/>
  <c r="J1646" i="1"/>
  <c r="M1645" i="1"/>
  <c r="L1645" i="1"/>
  <c r="K1645" i="1"/>
  <c r="J1645" i="1"/>
  <c r="M1644" i="1"/>
  <c r="L1644" i="1"/>
  <c r="K1644" i="1"/>
  <c r="J1644" i="1"/>
  <c r="M1643" i="1"/>
  <c r="L1643" i="1"/>
  <c r="K1643" i="1"/>
  <c r="J1643" i="1"/>
  <c r="M1642" i="1"/>
  <c r="L1642" i="1"/>
  <c r="K1642" i="1"/>
  <c r="J1642" i="1"/>
  <c r="M1641" i="1"/>
  <c r="L1641" i="1"/>
  <c r="K1641" i="1"/>
  <c r="J1641" i="1"/>
  <c r="M1640" i="1"/>
  <c r="L1640" i="1"/>
  <c r="K1640" i="1"/>
  <c r="J1640" i="1"/>
  <c r="M1639" i="1"/>
  <c r="L1639" i="1"/>
  <c r="P546" i="11" s="1"/>
  <c r="K1639" i="1"/>
  <c r="J1639" i="1"/>
  <c r="M1638" i="1"/>
  <c r="L1638" i="1"/>
  <c r="K1638" i="1"/>
  <c r="J1638" i="1"/>
  <c r="M1637" i="1"/>
  <c r="L1637" i="1"/>
  <c r="K1637" i="1"/>
  <c r="J1637" i="1"/>
  <c r="M1636" i="1"/>
  <c r="L1636" i="1"/>
  <c r="K1636" i="1"/>
  <c r="J1636" i="1"/>
  <c r="M1635" i="1"/>
  <c r="L1635" i="1"/>
  <c r="K1635" i="1"/>
  <c r="J1635" i="1"/>
  <c r="M1634" i="1"/>
  <c r="L1634" i="1"/>
  <c r="K1634" i="1"/>
  <c r="J1634" i="1"/>
  <c r="M1633" i="1"/>
  <c r="L1633" i="1"/>
  <c r="P941" i="11" s="1"/>
  <c r="K1633" i="1"/>
  <c r="J1633" i="1"/>
  <c r="M1632" i="1"/>
  <c r="L1632" i="1"/>
  <c r="K1632" i="1"/>
  <c r="J1632" i="1"/>
  <c r="M1631" i="1"/>
  <c r="L1631" i="1"/>
  <c r="P843" i="11" s="1"/>
  <c r="K1631" i="1"/>
  <c r="J1631" i="1"/>
  <c r="M1630" i="1"/>
  <c r="L1630" i="1"/>
  <c r="K1630" i="1"/>
  <c r="J1630" i="1"/>
  <c r="M1629" i="1"/>
  <c r="L1629" i="1"/>
  <c r="K1629" i="1"/>
  <c r="J1629" i="1"/>
  <c r="M1628" i="1"/>
  <c r="L1628" i="1"/>
  <c r="K1628" i="1"/>
  <c r="J1628" i="1"/>
  <c r="M1627" i="1"/>
  <c r="L1627" i="1"/>
  <c r="K1627" i="1"/>
  <c r="J1627" i="1"/>
  <c r="M1626" i="1"/>
  <c r="L1626" i="1"/>
  <c r="K1626" i="1"/>
  <c r="J1626" i="1"/>
  <c r="M1625" i="1"/>
  <c r="L1625" i="1"/>
  <c r="K1625" i="1"/>
  <c r="J1625" i="1"/>
  <c r="M1624" i="1"/>
  <c r="L1624" i="1"/>
  <c r="K1624" i="1"/>
  <c r="J1624" i="1"/>
  <c r="M1623" i="1"/>
  <c r="L1623" i="1"/>
  <c r="K1623" i="1"/>
  <c r="J1623" i="1"/>
  <c r="M1622" i="1"/>
  <c r="L1622" i="1"/>
  <c r="K1622" i="1"/>
  <c r="J1622" i="1"/>
  <c r="M1621" i="1"/>
  <c r="L1621" i="1"/>
  <c r="K1621" i="1"/>
  <c r="J1621" i="1"/>
  <c r="M1620" i="1"/>
  <c r="L1620" i="1"/>
  <c r="K1620" i="1"/>
  <c r="J1620" i="1"/>
  <c r="M1619" i="1"/>
  <c r="L1619" i="1"/>
  <c r="K1619" i="1"/>
  <c r="J1619" i="1"/>
  <c r="M1618" i="1"/>
  <c r="L1618" i="1"/>
  <c r="K1618" i="1"/>
  <c r="J1618" i="1"/>
  <c r="M1617" i="1"/>
  <c r="L1617" i="1"/>
  <c r="K1617" i="1"/>
  <c r="J1617" i="1"/>
  <c r="M1616" i="1"/>
  <c r="L1616" i="1"/>
  <c r="K1616" i="1"/>
  <c r="J1616" i="1"/>
  <c r="M1615" i="1"/>
  <c r="L1615" i="1"/>
  <c r="K1615" i="1"/>
  <c r="J1615" i="1"/>
  <c r="M1614" i="1"/>
  <c r="L1614" i="1"/>
  <c r="K1614" i="1"/>
  <c r="J1614" i="1"/>
  <c r="M1613" i="1"/>
  <c r="L1613" i="1"/>
  <c r="K1613" i="1"/>
  <c r="J1613" i="1"/>
  <c r="M1612" i="1"/>
  <c r="L1612" i="1"/>
  <c r="K1612" i="1"/>
  <c r="J1612" i="1"/>
  <c r="M1611" i="1"/>
  <c r="L1611" i="1"/>
  <c r="K1611" i="1"/>
  <c r="J1611" i="1"/>
  <c r="M1610" i="1"/>
  <c r="L1610" i="1"/>
  <c r="K1610" i="1"/>
  <c r="J1610" i="1"/>
  <c r="M1609" i="1"/>
  <c r="L1609" i="1"/>
  <c r="K1609" i="1"/>
  <c r="J1609" i="1"/>
  <c r="M1608" i="1"/>
  <c r="L1608" i="1"/>
  <c r="K1608" i="1"/>
  <c r="J1608" i="1"/>
  <c r="M1607" i="1"/>
  <c r="L1607" i="1"/>
  <c r="K1607" i="1"/>
  <c r="J1607" i="1"/>
  <c r="M1606" i="1"/>
  <c r="L1606" i="1"/>
  <c r="K1606" i="1"/>
  <c r="J1606" i="1"/>
  <c r="M1605" i="1"/>
  <c r="L1605" i="1"/>
  <c r="K1605" i="1"/>
  <c r="J1605" i="1"/>
  <c r="M1604" i="1"/>
  <c r="L1604" i="1"/>
  <c r="K1604" i="1"/>
  <c r="J1604" i="1"/>
  <c r="M1603" i="1"/>
  <c r="L1603" i="1"/>
  <c r="K1603" i="1"/>
  <c r="J1603" i="1"/>
  <c r="M1602" i="1"/>
  <c r="L1602" i="1"/>
  <c r="K1602" i="1"/>
  <c r="J1602" i="1"/>
  <c r="M1601" i="1"/>
  <c r="L1601" i="1"/>
  <c r="K1601" i="1"/>
  <c r="J1601" i="1"/>
  <c r="M1600" i="1"/>
  <c r="L1600" i="1"/>
  <c r="K1600" i="1"/>
  <c r="J1600" i="1"/>
  <c r="M1599" i="1"/>
  <c r="L1599" i="1"/>
  <c r="K1599" i="1"/>
  <c r="J1599" i="1"/>
  <c r="M1598" i="1"/>
  <c r="L1598" i="1"/>
  <c r="K1598" i="1"/>
  <c r="J1598" i="1"/>
  <c r="M1597" i="1"/>
  <c r="L1597" i="1"/>
  <c r="K1597" i="1"/>
  <c r="J1597" i="1"/>
  <c r="M1596" i="1"/>
  <c r="L1596" i="1"/>
  <c r="K1596" i="1"/>
  <c r="J1596" i="1"/>
  <c r="M1595" i="1"/>
  <c r="L1595" i="1"/>
  <c r="K1595" i="1"/>
  <c r="J1595" i="1"/>
  <c r="M1594" i="1"/>
  <c r="L1594" i="1"/>
  <c r="K1594" i="1"/>
  <c r="J1594" i="1"/>
  <c r="M1593" i="1"/>
  <c r="L1593" i="1"/>
  <c r="K1593" i="1"/>
  <c r="J1593" i="1"/>
  <c r="M1592" i="1"/>
  <c r="L1592" i="1"/>
  <c r="K1592" i="1"/>
  <c r="J1592" i="1"/>
  <c r="M1591" i="1"/>
  <c r="L1591" i="1"/>
  <c r="K1591" i="1"/>
  <c r="J1591" i="1"/>
  <c r="M1590" i="1"/>
  <c r="L1590" i="1"/>
  <c r="K1590" i="1"/>
  <c r="J1590" i="1"/>
  <c r="M1589" i="1"/>
  <c r="L1589" i="1"/>
  <c r="K1589" i="1"/>
  <c r="J1589" i="1"/>
  <c r="M1588" i="1"/>
  <c r="L1588" i="1"/>
  <c r="K1588" i="1"/>
  <c r="J1588" i="1"/>
  <c r="M1587" i="1"/>
  <c r="L1587" i="1"/>
  <c r="K1587" i="1"/>
  <c r="J1587" i="1"/>
  <c r="M1586" i="1"/>
  <c r="L1586" i="1"/>
  <c r="K1586" i="1"/>
  <c r="J1586" i="1"/>
  <c r="M1585" i="1"/>
  <c r="L1585" i="1"/>
  <c r="K1585" i="1"/>
  <c r="J1585" i="1"/>
  <c r="M1584" i="1"/>
  <c r="L1584" i="1"/>
  <c r="K1584" i="1"/>
  <c r="J1584" i="1"/>
  <c r="M1583" i="1"/>
  <c r="L1583" i="1"/>
  <c r="K1583" i="1"/>
  <c r="J1583" i="1"/>
  <c r="M1582" i="1"/>
  <c r="L1582" i="1"/>
  <c r="K1582" i="1"/>
  <c r="J1582" i="1"/>
  <c r="M1581" i="1"/>
  <c r="L1581" i="1"/>
  <c r="K1581" i="1"/>
  <c r="J1581" i="1"/>
  <c r="M1580" i="1"/>
  <c r="L1580" i="1"/>
  <c r="K1580" i="1"/>
  <c r="J1580" i="1"/>
  <c r="M1579" i="1"/>
  <c r="L1579" i="1"/>
  <c r="K1579" i="1"/>
  <c r="J1579" i="1"/>
  <c r="M1578" i="1"/>
  <c r="L1578" i="1"/>
  <c r="K1578" i="1"/>
  <c r="J1578" i="1"/>
  <c r="M1577" i="1"/>
  <c r="L1577" i="1"/>
  <c r="K1577" i="1"/>
  <c r="J1577" i="1"/>
  <c r="M1576" i="1"/>
  <c r="L1576" i="1"/>
  <c r="K1576" i="1"/>
  <c r="J1576" i="1"/>
  <c r="M1575" i="1"/>
  <c r="L1575" i="1"/>
  <c r="K1575" i="1"/>
  <c r="J1575" i="1"/>
  <c r="M1574" i="1"/>
  <c r="L1574" i="1"/>
  <c r="K1574" i="1"/>
  <c r="J1574" i="1"/>
  <c r="M1573" i="1"/>
  <c r="L1573" i="1"/>
  <c r="K1573" i="1"/>
  <c r="J1573" i="1"/>
  <c r="M1572" i="1"/>
  <c r="L1572" i="1"/>
  <c r="K1572" i="1"/>
  <c r="J1572" i="1"/>
  <c r="M1571" i="1"/>
  <c r="L1571" i="1"/>
  <c r="K1571" i="1"/>
  <c r="J1571" i="1"/>
  <c r="M1570" i="1"/>
  <c r="L1570" i="1"/>
  <c r="K1570" i="1"/>
  <c r="J1570" i="1"/>
  <c r="M1569" i="1"/>
  <c r="L1569" i="1"/>
  <c r="K1569" i="1"/>
  <c r="J1569" i="1"/>
  <c r="M1568" i="1"/>
  <c r="L1568" i="1"/>
  <c r="K1568" i="1"/>
  <c r="J1568" i="1"/>
  <c r="M1567" i="1"/>
  <c r="L1567" i="1"/>
  <c r="K1567" i="1"/>
  <c r="J1567" i="1"/>
  <c r="M1566" i="1"/>
  <c r="L1566" i="1"/>
  <c r="K1566" i="1"/>
  <c r="J1566" i="1"/>
  <c r="M1565" i="1"/>
  <c r="L1565" i="1"/>
  <c r="K1565" i="1"/>
  <c r="J1565" i="1"/>
  <c r="M1564" i="1"/>
  <c r="L1564" i="1"/>
  <c r="K1564" i="1"/>
  <c r="J1564" i="1"/>
  <c r="M1563" i="1"/>
  <c r="L1563" i="1"/>
  <c r="K1563" i="1"/>
  <c r="J1563" i="1"/>
  <c r="M1562" i="1"/>
  <c r="L1562" i="1"/>
  <c r="K1562" i="1"/>
  <c r="J1562" i="1"/>
  <c r="M1561" i="1"/>
  <c r="L1561" i="1"/>
  <c r="K1561" i="1"/>
  <c r="J1561" i="1"/>
  <c r="M1560" i="1"/>
  <c r="L1560" i="1"/>
  <c r="K1560" i="1"/>
  <c r="J1560" i="1"/>
  <c r="M1559" i="1"/>
  <c r="L1559" i="1"/>
  <c r="K1559" i="1"/>
  <c r="J1559" i="1"/>
  <c r="M1558" i="1"/>
  <c r="L1558" i="1"/>
  <c r="K1558" i="1"/>
  <c r="J1558" i="1"/>
  <c r="M1557" i="1"/>
  <c r="L1557" i="1"/>
  <c r="K1557" i="1"/>
  <c r="J1557" i="1"/>
  <c r="M1556" i="1"/>
  <c r="L1556" i="1"/>
  <c r="K1556" i="1"/>
  <c r="J1556" i="1"/>
  <c r="M1555" i="1"/>
  <c r="L1555" i="1"/>
  <c r="K1555" i="1"/>
  <c r="J1555" i="1"/>
  <c r="M1554" i="1"/>
  <c r="L1554" i="1"/>
  <c r="K1554" i="1"/>
  <c r="J1554" i="1"/>
  <c r="M1553" i="1"/>
  <c r="L1553" i="1"/>
  <c r="K1553" i="1"/>
  <c r="J1553" i="1"/>
  <c r="M1552" i="1"/>
  <c r="L1552" i="1"/>
  <c r="K1552" i="1"/>
  <c r="J1552" i="1"/>
  <c r="M1551" i="1"/>
  <c r="L1551" i="1"/>
  <c r="K1551" i="1"/>
  <c r="J1551" i="1"/>
  <c r="M1550" i="1"/>
  <c r="L1550" i="1"/>
  <c r="K1550" i="1"/>
  <c r="J1550" i="1"/>
  <c r="M1549" i="1"/>
  <c r="L1549" i="1"/>
  <c r="K1549" i="1"/>
  <c r="J1549" i="1"/>
  <c r="M1548" i="1"/>
  <c r="L1548" i="1"/>
  <c r="K1548" i="1"/>
  <c r="J1548" i="1"/>
  <c r="M1547" i="1"/>
  <c r="L1547" i="1"/>
  <c r="K1547" i="1"/>
  <c r="J1547" i="1"/>
  <c r="M1546" i="1"/>
  <c r="L1546" i="1"/>
  <c r="K1546" i="1"/>
  <c r="J1546" i="1"/>
  <c r="M1545" i="1"/>
  <c r="L1545" i="1"/>
  <c r="K1545" i="1"/>
  <c r="J1545" i="1"/>
  <c r="M1544" i="1"/>
  <c r="L1544" i="1"/>
  <c r="K1544" i="1"/>
  <c r="J1544" i="1"/>
  <c r="M1543" i="1"/>
  <c r="L1543" i="1"/>
  <c r="K1543" i="1"/>
  <c r="J1543" i="1"/>
  <c r="M1542" i="1"/>
  <c r="L1542" i="1"/>
  <c r="K1542" i="1"/>
  <c r="J1542" i="1"/>
  <c r="M1541" i="1"/>
  <c r="L1541" i="1"/>
  <c r="K1541" i="1"/>
  <c r="J1541" i="1"/>
  <c r="M1540" i="1"/>
  <c r="L1540" i="1"/>
  <c r="K1540" i="1"/>
  <c r="J1540" i="1"/>
  <c r="M1539" i="1"/>
  <c r="L1539" i="1"/>
  <c r="K1539" i="1"/>
  <c r="J1539" i="1"/>
  <c r="M1538" i="1"/>
  <c r="L1538" i="1"/>
  <c r="K1538" i="1"/>
  <c r="J1538" i="1"/>
  <c r="M1537" i="1"/>
  <c r="L1537" i="1"/>
  <c r="K1537" i="1"/>
  <c r="J1537" i="1"/>
  <c r="M1536" i="1"/>
  <c r="L1536" i="1"/>
  <c r="K1536" i="1"/>
  <c r="J1536" i="1"/>
  <c r="M1535" i="1"/>
  <c r="L1535" i="1"/>
  <c r="K1535" i="1"/>
  <c r="J1535" i="1"/>
  <c r="M1534" i="1"/>
  <c r="L1534" i="1"/>
  <c r="K1534" i="1"/>
  <c r="J1534" i="1"/>
  <c r="M1533" i="1"/>
  <c r="L1533" i="1"/>
  <c r="K1533" i="1"/>
  <c r="J1533" i="1"/>
  <c r="M1532" i="1"/>
  <c r="L1532" i="1"/>
  <c r="K1532" i="1"/>
  <c r="J1532" i="1"/>
  <c r="M1531" i="1"/>
  <c r="L1531" i="1"/>
  <c r="K1531" i="1"/>
  <c r="J1531" i="1"/>
  <c r="M1530" i="1"/>
  <c r="L1530" i="1"/>
  <c r="K1530" i="1"/>
  <c r="J1530" i="1"/>
  <c r="M1529" i="1"/>
  <c r="L1529" i="1"/>
  <c r="K1529" i="1"/>
  <c r="J1529" i="1"/>
  <c r="M1528" i="1"/>
  <c r="L1528" i="1"/>
  <c r="K1528" i="1"/>
  <c r="J1528" i="1"/>
  <c r="M1527" i="1"/>
  <c r="L1527" i="1"/>
  <c r="K1527" i="1"/>
  <c r="J1527" i="1"/>
  <c r="M1526" i="1"/>
  <c r="L1526" i="1"/>
  <c r="K1526" i="1"/>
  <c r="J1526" i="1"/>
  <c r="M1525" i="1"/>
  <c r="L1525" i="1"/>
  <c r="K1525" i="1"/>
  <c r="J1525" i="1"/>
  <c r="M1524" i="1"/>
  <c r="L1524" i="1"/>
  <c r="K1524" i="1"/>
  <c r="J1524" i="1"/>
  <c r="M1523" i="1"/>
  <c r="L1523" i="1"/>
  <c r="K1523" i="1"/>
  <c r="J1523" i="1"/>
  <c r="M1522" i="1"/>
  <c r="L1522" i="1"/>
  <c r="K1522" i="1"/>
  <c r="J1522" i="1"/>
  <c r="M1521" i="1"/>
  <c r="L1521" i="1"/>
  <c r="K1521" i="1"/>
  <c r="J1521" i="1"/>
  <c r="M1520" i="1"/>
  <c r="L1520" i="1"/>
  <c r="K1520" i="1"/>
  <c r="J1520" i="1"/>
  <c r="M1519" i="1"/>
  <c r="L1519" i="1"/>
  <c r="K1519" i="1"/>
  <c r="J1519" i="1"/>
  <c r="M1518" i="1"/>
  <c r="L1518" i="1"/>
  <c r="K1518" i="1"/>
  <c r="J1518" i="1"/>
  <c r="M1517" i="1"/>
  <c r="L1517" i="1"/>
  <c r="K1517" i="1"/>
  <c r="J1517" i="1"/>
  <c r="M1516" i="1"/>
  <c r="L1516" i="1"/>
  <c r="K1516" i="1"/>
  <c r="J1516" i="1"/>
  <c r="M1515" i="1"/>
  <c r="L1515" i="1"/>
  <c r="K1515" i="1"/>
  <c r="J1515" i="1"/>
  <c r="M1514" i="1"/>
  <c r="L1514" i="1"/>
  <c r="K1514" i="1"/>
  <c r="J1514" i="1"/>
  <c r="M1513" i="1"/>
  <c r="L1513" i="1"/>
  <c r="K1513" i="1"/>
  <c r="J1513" i="1"/>
  <c r="M1512" i="1"/>
  <c r="L1512" i="1"/>
  <c r="K1512" i="1"/>
  <c r="J1512" i="1"/>
  <c r="M1511" i="1"/>
  <c r="L1511" i="1"/>
  <c r="K1511" i="1"/>
  <c r="J1511" i="1"/>
  <c r="M1510" i="1"/>
  <c r="L1510" i="1"/>
  <c r="K1510" i="1"/>
  <c r="J1510" i="1"/>
  <c r="M1509" i="1"/>
  <c r="L1509" i="1"/>
  <c r="K1509" i="1"/>
  <c r="J1509" i="1"/>
  <c r="M1508" i="1"/>
  <c r="L1508" i="1"/>
  <c r="K1508" i="1"/>
  <c r="J1508" i="1"/>
  <c r="M1507" i="1"/>
  <c r="L1507" i="1"/>
  <c r="K1507" i="1"/>
  <c r="J1507" i="1"/>
  <c r="M1506" i="1"/>
  <c r="L1506" i="1"/>
  <c r="K1506" i="1"/>
  <c r="J1506" i="1"/>
  <c r="M1505" i="1"/>
  <c r="L1505" i="1"/>
  <c r="K1505" i="1"/>
  <c r="J1505" i="1"/>
  <c r="M1504" i="1"/>
  <c r="L1504" i="1"/>
  <c r="K1504" i="1"/>
  <c r="J1504" i="1"/>
  <c r="M1503" i="1"/>
  <c r="L1503" i="1"/>
  <c r="K1503" i="1"/>
  <c r="J1503" i="1"/>
  <c r="M1502" i="1"/>
  <c r="L1502" i="1"/>
  <c r="K1502" i="1"/>
  <c r="J1502" i="1"/>
  <c r="M1501" i="1"/>
  <c r="L1501" i="1"/>
  <c r="K1501" i="1"/>
  <c r="J1501" i="1"/>
  <c r="M1500" i="1"/>
  <c r="L1500" i="1"/>
  <c r="K1500" i="1"/>
  <c r="J1500" i="1"/>
  <c r="M1499" i="1"/>
  <c r="L1499" i="1"/>
  <c r="K1499" i="1"/>
  <c r="J1499" i="1"/>
  <c r="M1498" i="1"/>
  <c r="L1498" i="1"/>
  <c r="K1498" i="1"/>
  <c r="J1498" i="1"/>
  <c r="M1497" i="1"/>
  <c r="L1497" i="1"/>
  <c r="K1497" i="1"/>
  <c r="J1497" i="1"/>
  <c r="M1496" i="1"/>
  <c r="L1496" i="1"/>
  <c r="K1496" i="1"/>
  <c r="J1496" i="1"/>
  <c r="M1495" i="1"/>
  <c r="L1495" i="1"/>
  <c r="K1495" i="1"/>
  <c r="J1495" i="1"/>
  <c r="M1494" i="1"/>
  <c r="L1494" i="1"/>
  <c r="K1494" i="1"/>
  <c r="J1494" i="1"/>
  <c r="M1493" i="1"/>
  <c r="L1493" i="1"/>
  <c r="K1493" i="1"/>
  <c r="J1493" i="1"/>
  <c r="M1492" i="1"/>
  <c r="L1492" i="1"/>
  <c r="K1492" i="1"/>
  <c r="J1492" i="1"/>
  <c r="M1491" i="1"/>
  <c r="L1491" i="1"/>
  <c r="K1491" i="1"/>
  <c r="J1491" i="1"/>
  <c r="M1490" i="1"/>
  <c r="L1490" i="1"/>
  <c r="K1490" i="1"/>
  <c r="J1490" i="1"/>
  <c r="M1489" i="1"/>
  <c r="L1489" i="1"/>
  <c r="K1489" i="1"/>
  <c r="J1489" i="1"/>
  <c r="M1488" i="1"/>
  <c r="L1488" i="1"/>
  <c r="K1488" i="1"/>
  <c r="J1488" i="1"/>
  <c r="M1487" i="1"/>
  <c r="L1487" i="1"/>
  <c r="K1487" i="1"/>
  <c r="J1487" i="1"/>
  <c r="M1486" i="1"/>
  <c r="L1486" i="1"/>
  <c r="K1486" i="1"/>
  <c r="J1486" i="1"/>
  <c r="M1485" i="1"/>
  <c r="L1485" i="1"/>
  <c r="K1485" i="1"/>
  <c r="J1485" i="1"/>
  <c r="M1484" i="1"/>
  <c r="L1484" i="1"/>
  <c r="K1484" i="1"/>
  <c r="J1484" i="1"/>
  <c r="M1483" i="1"/>
  <c r="L1483" i="1"/>
  <c r="K1483" i="1"/>
  <c r="J1483" i="1"/>
  <c r="M1482" i="1"/>
  <c r="L1482" i="1"/>
  <c r="K1482" i="1"/>
  <c r="J1482" i="1"/>
  <c r="M1481" i="1"/>
  <c r="L1481" i="1"/>
  <c r="K1481" i="1"/>
  <c r="J1481" i="1"/>
  <c r="M1480" i="1"/>
  <c r="L1480" i="1"/>
  <c r="K1480" i="1"/>
  <c r="J1480" i="1"/>
  <c r="M1479" i="1"/>
  <c r="L1479" i="1"/>
  <c r="K1479" i="1"/>
  <c r="J1479" i="1"/>
  <c r="M1478" i="1"/>
  <c r="L1478" i="1"/>
  <c r="K1478" i="1"/>
  <c r="J1478" i="1"/>
  <c r="M1477" i="1"/>
  <c r="L1477" i="1"/>
  <c r="K1477" i="1"/>
  <c r="J1477" i="1"/>
  <c r="M1476" i="1"/>
  <c r="L1476" i="1"/>
  <c r="K1476" i="1"/>
  <c r="J1476" i="1"/>
  <c r="M1475" i="1"/>
  <c r="L1475" i="1"/>
  <c r="K1475" i="1"/>
  <c r="J1475" i="1"/>
  <c r="M1474" i="1"/>
  <c r="L1474" i="1"/>
  <c r="K1474" i="1"/>
  <c r="J1474" i="1"/>
  <c r="M1473" i="1"/>
  <c r="L1473" i="1"/>
  <c r="K1473" i="1"/>
  <c r="J1473" i="1"/>
  <c r="M1472" i="1"/>
  <c r="L1472" i="1"/>
  <c r="K1472" i="1"/>
  <c r="J1472" i="1"/>
  <c r="M1471" i="1"/>
  <c r="L1471" i="1"/>
  <c r="K1471" i="1"/>
  <c r="J1471" i="1"/>
  <c r="M1470" i="1"/>
  <c r="L1470" i="1"/>
  <c r="K1470" i="1"/>
  <c r="J1470" i="1"/>
  <c r="M1469" i="1"/>
  <c r="L1469" i="1"/>
  <c r="K1469" i="1"/>
  <c r="J1469" i="1"/>
  <c r="M1468" i="1"/>
  <c r="L1468" i="1"/>
  <c r="K1468" i="1"/>
  <c r="J1468" i="1"/>
  <c r="M1467" i="1"/>
  <c r="L1467" i="1"/>
  <c r="K1467" i="1"/>
  <c r="J1467" i="1"/>
  <c r="M1466" i="1"/>
  <c r="L1466" i="1"/>
  <c r="K1466" i="1"/>
  <c r="J1466" i="1"/>
  <c r="M1465" i="1"/>
  <c r="L1465" i="1"/>
  <c r="K1465" i="1"/>
  <c r="J1465" i="1"/>
  <c r="M1464" i="1"/>
  <c r="L1464" i="1"/>
  <c r="K1464" i="1"/>
  <c r="J1464" i="1"/>
  <c r="M1463" i="1"/>
  <c r="L1463" i="1"/>
  <c r="K1463" i="1"/>
  <c r="J1463" i="1"/>
  <c r="M1462" i="1"/>
  <c r="L1462" i="1"/>
  <c r="K1462" i="1"/>
  <c r="J1462" i="1"/>
  <c r="M1461" i="1"/>
  <c r="L1461" i="1"/>
  <c r="K1461" i="1"/>
  <c r="J1461" i="1"/>
  <c r="M1460" i="1"/>
  <c r="L1460" i="1"/>
  <c r="K1460" i="1"/>
  <c r="J1460" i="1"/>
  <c r="M1459" i="1"/>
  <c r="L1459" i="1"/>
  <c r="K1459" i="1"/>
  <c r="J1459" i="1"/>
  <c r="M1458" i="1"/>
  <c r="L1458" i="1"/>
  <c r="K1458" i="1"/>
  <c r="J1458" i="1"/>
  <c r="M1457" i="1"/>
  <c r="L1457" i="1"/>
  <c r="K1457" i="1"/>
  <c r="J1457" i="1"/>
  <c r="M1456" i="1"/>
  <c r="L1456" i="1"/>
  <c r="K1456" i="1"/>
  <c r="J1456" i="1"/>
  <c r="M1455" i="1"/>
  <c r="L1455" i="1"/>
  <c r="K1455" i="1"/>
  <c r="J1455" i="1"/>
  <c r="M1454" i="1"/>
  <c r="L1454" i="1"/>
  <c r="K1454" i="1"/>
  <c r="J1454" i="1"/>
  <c r="M1453" i="1"/>
  <c r="L1453" i="1"/>
  <c r="K1453" i="1"/>
  <c r="J1453" i="1"/>
  <c r="M1452" i="1"/>
  <c r="L1452" i="1"/>
  <c r="K1452" i="1"/>
  <c r="J1452" i="1"/>
  <c r="M1451" i="1"/>
  <c r="L1451" i="1"/>
  <c r="K1451" i="1"/>
  <c r="J1451" i="1"/>
  <c r="M1450" i="1"/>
  <c r="L1450" i="1"/>
  <c r="K1450" i="1"/>
  <c r="J1450" i="1"/>
  <c r="M1449" i="1"/>
  <c r="L1449" i="1"/>
  <c r="K1449" i="1"/>
  <c r="J1449" i="1"/>
  <c r="M1448" i="1"/>
  <c r="L1448" i="1"/>
  <c r="K1448" i="1"/>
  <c r="J1448" i="1"/>
  <c r="M1447" i="1"/>
  <c r="L1447" i="1"/>
  <c r="K1447" i="1"/>
  <c r="J1447" i="1"/>
  <c r="M1446" i="1"/>
  <c r="L1446" i="1"/>
  <c r="K1446" i="1"/>
  <c r="J1446" i="1"/>
  <c r="M1445" i="1"/>
  <c r="L1445" i="1"/>
  <c r="K1445" i="1"/>
  <c r="J1445" i="1"/>
  <c r="M1444" i="1"/>
  <c r="L1444" i="1"/>
  <c r="K1444" i="1"/>
  <c r="J1444" i="1"/>
  <c r="M1443" i="1"/>
  <c r="L1443" i="1"/>
  <c r="K1443" i="1"/>
  <c r="J1443" i="1"/>
  <c r="M1442" i="1"/>
  <c r="L1442" i="1"/>
  <c r="K1442" i="1"/>
  <c r="J1442" i="1"/>
  <c r="M1441" i="1"/>
  <c r="L1441" i="1"/>
  <c r="K1441" i="1"/>
  <c r="J1441" i="1"/>
  <c r="M1440" i="1"/>
  <c r="L1440" i="1"/>
  <c r="K1440" i="1"/>
  <c r="J1440" i="1"/>
  <c r="M1439" i="1"/>
  <c r="L1439" i="1"/>
  <c r="K1439" i="1"/>
  <c r="J1439" i="1"/>
  <c r="M1438" i="1"/>
  <c r="L1438" i="1"/>
  <c r="K1438" i="1"/>
  <c r="J1438" i="1"/>
  <c r="M1437" i="1"/>
  <c r="L1437" i="1"/>
  <c r="K1437" i="1"/>
  <c r="J1437" i="1"/>
  <c r="M1436" i="1"/>
  <c r="L1436" i="1"/>
  <c r="K1436" i="1"/>
  <c r="J1436" i="1"/>
  <c r="M1435" i="1"/>
  <c r="L1435" i="1"/>
  <c r="K1435" i="1"/>
  <c r="J1435" i="1"/>
  <c r="M1434" i="1"/>
  <c r="L1434" i="1"/>
  <c r="K1434" i="1"/>
  <c r="J1434" i="1"/>
  <c r="M1433" i="1"/>
  <c r="L1433" i="1"/>
  <c r="K1433" i="1"/>
  <c r="J1433" i="1"/>
  <c r="M1432" i="1"/>
  <c r="L1432" i="1"/>
  <c r="K1432" i="1"/>
  <c r="J1432" i="1"/>
  <c r="M1431" i="1"/>
  <c r="L1431" i="1"/>
  <c r="K1431" i="1"/>
  <c r="J1431" i="1"/>
  <c r="M1430" i="1"/>
  <c r="L1430" i="1"/>
  <c r="K1430" i="1"/>
  <c r="J1430" i="1"/>
  <c r="M1429" i="1"/>
  <c r="L1429" i="1"/>
  <c r="K1429" i="1"/>
  <c r="J1429" i="1"/>
  <c r="M1428" i="1"/>
  <c r="L1428" i="1"/>
  <c r="K1428" i="1"/>
  <c r="J1428" i="1"/>
  <c r="M1427" i="1"/>
  <c r="L1427" i="1"/>
  <c r="K1427" i="1"/>
  <c r="J1427" i="1"/>
  <c r="M1426" i="1"/>
  <c r="L1426" i="1"/>
  <c r="K1426" i="1"/>
  <c r="J1426" i="1"/>
  <c r="M1425" i="1"/>
  <c r="L1425" i="1"/>
  <c r="K1425" i="1"/>
  <c r="J1425" i="1"/>
  <c r="M1424" i="1"/>
  <c r="L1424" i="1"/>
  <c r="K1424" i="1"/>
  <c r="J1424" i="1"/>
  <c r="M1423" i="1"/>
  <c r="L1423" i="1"/>
  <c r="K1423" i="1"/>
  <c r="J1423" i="1"/>
  <c r="M1422" i="1"/>
  <c r="L1422" i="1"/>
  <c r="K1422" i="1"/>
  <c r="J1422" i="1"/>
  <c r="M1421" i="1"/>
  <c r="L1421" i="1"/>
  <c r="K1421" i="1"/>
  <c r="J1421" i="1"/>
  <c r="M1420" i="1"/>
  <c r="L1420" i="1"/>
  <c r="K1420" i="1"/>
  <c r="J1420" i="1"/>
  <c r="M1419" i="1"/>
  <c r="L1419" i="1"/>
  <c r="K1419" i="1"/>
  <c r="J1419" i="1"/>
  <c r="M1418" i="1"/>
  <c r="L1418" i="1"/>
  <c r="K1418" i="1"/>
  <c r="J1418" i="1"/>
  <c r="M1417" i="1"/>
  <c r="L1417" i="1"/>
  <c r="K1417" i="1"/>
  <c r="J1417" i="1"/>
  <c r="M1416" i="1"/>
  <c r="L1416" i="1"/>
  <c r="K1416" i="1"/>
  <c r="J1416" i="1"/>
  <c r="M1415" i="1"/>
  <c r="L1415" i="1"/>
  <c r="K1415" i="1"/>
  <c r="J1415" i="1"/>
  <c r="M1414" i="1"/>
  <c r="L1414" i="1"/>
  <c r="K1414" i="1"/>
  <c r="J1414" i="1"/>
  <c r="M1413" i="1"/>
  <c r="L1413" i="1"/>
  <c r="K1413" i="1"/>
  <c r="J1413" i="1"/>
  <c r="M1412" i="1"/>
  <c r="L1412" i="1"/>
  <c r="K1412" i="1"/>
  <c r="J1412" i="1"/>
  <c r="M1411" i="1"/>
  <c r="L1411" i="1"/>
  <c r="K1411" i="1"/>
  <c r="J1411" i="1"/>
  <c r="M1410" i="1"/>
  <c r="L1410" i="1"/>
  <c r="K1410" i="1"/>
  <c r="J1410" i="1"/>
  <c r="M1409" i="1"/>
  <c r="L1409" i="1"/>
  <c r="K1409" i="1"/>
  <c r="J1409" i="1"/>
  <c r="M1408" i="1"/>
  <c r="L1408" i="1"/>
  <c r="K1408" i="1"/>
  <c r="J1408" i="1"/>
  <c r="M1407" i="1"/>
  <c r="L1407" i="1"/>
  <c r="K1407" i="1"/>
  <c r="J1407" i="1"/>
  <c r="M1406" i="1"/>
  <c r="L1406" i="1"/>
  <c r="K1406" i="1"/>
  <c r="J1406" i="1"/>
  <c r="M1405" i="1"/>
  <c r="L1405" i="1"/>
  <c r="K1405" i="1"/>
  <c r="J1405" i="1"/>
  <c r="M1404" i="1"/>
  <c r="L1404" i="1"/>
  <c r="K1404" i="1"/>
  <c r="J1404" i="1"/>
  <c r="M1403" i="1"/>
  <c r="L1403" i="1"/>
  <c r="K1403" i="1"/>
  <c r="J1403" i="1"/>
  <c r="M1402" i="1"/>
  <c r="L1402" i="1"/>
  <c r="K1402" i="1"/>
  <c r="J1402" i="1"/>
  <c r="M1401" i="1"/>
  <c r="L1401" i="1"/>
  <c r="K1401" i="1"/>
  <c r="J1401" i="1"/>
  <c r="M1400" i="1"/>
  <c r="L1400" i="1"/>
  <c r="K1400" i="1"/>
  <c r="J1400" i="1"/>
  <c r="M1399" i="1"/>
  <c r="L1399" i="1"/>
  <c r="K1399" i="1"/>
  <c r="J1399" i="1"/>
  <c r="M1398" i="1"/>
  <c r="L1398" i="1"/>
  <c r="K1398" i="1"/>
  <c r="J1398" i="1"/>
  <c r="M1397" i="1"/>
  <c r="L1397" i="1"/>
  <c r="K1397" i="1"/>
  <c r="J1397" i="1"/>
  <c r="M1396" i="1"/>
  <c r="L1396" i="1"/>
  <c r="K1396" i="1"/>
  <c r="J1396" i="1"/>
  <c r="M1395" i="1"/>
  <c r="L1395" i="1"/>
  <c r="K1395" i="1"/>
  <c r="J1395" i="1"/>
  <c r="M1394" i="1"/>
  <c r="L1394" i="1"/>
  <c r="K1394" i="1"/>
  <c r="J1394" i="1"/>
  <c r="M1393" i="1"/>
  <c r="L1393" i="1"/>
  <c r="K1393" i="1"/>
  <c r="J1393" i="1"/>
  <c r="M1392" i="1"/>
  <c r="L1392" i="1"/>
  <c r="K1392" i="1"/>
  <c r="J1392" i="1"/>
  <c r="M1391" i="1"/>
  <c r="L1391" i="1"/>
  <c r="K1391" i="1"/>
  <c r="J1391" i="1"/>
  <c r="M1390" i="1"/>
  <c r="L1390" i="1"/>
  <c r="K1390" i="1"/>
  <c r="J1390" i="1"/>
  <c r="M1389" i="1"/>
  <c r="L1389" i="1"/>
  <c r="K1389" i="1"/>
  <c r="J1389" i="1"/>
  <c r="M1388" i="1"/>
  <c r="L1388" i="1"/>
  <c r="K1388" i="1"/>
  <c r="J1388" i="1"/>
  <c r="M1387" i="1"/>
  <c r="L1387" i="1"/>
  <c r="K1387" i="1"/>
  <c r="J1387" i="1"/>
  <c r="M1386" i="1"/>
  <c r="L1386" i="1"/>
  <c r="K1386" i="1"/>
  <c r="J1386" i="1"/>
  <c r="M1385" i="1"/>
  <c r="L1385" i="1"/>
  <c r="K1385" i="1"/>
  <c r="J1385" i="1"/>
  <c r="M1384" i="1"/>
  <c r="L1384" i="1"/>
  <c r="K1384" i="1"/>
  <c r="J1384" i="1"/>
  <c r="M1383" i="1"/>
  <c r="L1383" i="1"/>
  <c r="K1383" i="1"/>
  <c r="J1383" i="1"/>
  <c r="M1382" i="1"/>
  <c r="L1382" i="1"/>
  <c r="K1382" i="1"/>
  <c r="J1382" i="1"/>
  <c r="M1381" i="1"/>
  <c r="L1381" i="1"/>
  <c r="K1381" i="1"/>
  <c r="J1381" i="1"/>
  <c r="M1380" i="1"/>
  <c r="L1380" i="1"/>
  <c r="K1380" i="1"/>
  <c r="J1380" i="1"/>
  <c r="M1379" i="1"/>
  <c r="L1379" i="1"/>
  <c r="K1379" i="1"/>
  <c r="J1379" i="1"/>
  <c r="M1378" i="1"/>
  <c r="L1378" i="1"/>
  <c r="K1378" i="1"/>
  <c r="J1378" i="1"/>
  <c r="M1377" i="1"/>
  <c r="L1377" i="1"/>
  <c r="K1377" i="1"/>
  <c r="J1377" i="1"/>
  <c r="M1376" i="1"/>
  <c r="L1376" i="1"/>
  <c r="K1376" i="1"/>
  <c r="J1376" i="1"/>
  <c r="M1375" i="1"/>
  <c r="L1375" i="1"/>
  <c r="K1375" i="1"/>
  <c r="J1375" i="1"/>
  <c r="M1374" i="1"/>
  <c r="L1374" i="1"/>
  <c r="K1374" i="1"/>
  <c r="J1374" i="1"/>
  <c r="M1373" i="1"/>
  <c r="L1373" i="1"/>
  <c r="K1373" i="1"/>
  <c r="J1373" i="1"/>
  <c r="M1372" i="1"/>
  <c r="L1372" i="1"/>
  <c r="K1372" i="1"/>
  <c r="J1372" i="1"/>
  <c r="M1371" i="1"/>
  <c r="L1371" i="1"/>
  <c r="K1371" i="1"/>
  <c r="J1371" i="1"/>
  <c r="M1370" i="1"/>
  <c r="L1370" i="1"/>
  <c r="K1370" i="1"/>
  <c r="J1370" i="1"/>
  <c r="M1369" i="1"/>
  <c r="L1369" i="1"/>
  <c r="K1369" i="1"/>
  <c r="J1369" i="1"/>
  <c r="M1368" i="1"/>
  <c r="L1368" i="1"/>
  <c r="K1368" i="1"/>
  <c r="J1368" i="1"/>
  <c r="M1367" i="1"/>
  <c r="L1367" i="1"/>
  <c r="K1367" i="1"/>
  <c r="J1367" i="1"/>
  <c r="M1366" i="1"/>
  <c r="L1366" i="1"/>
  <c r="K1366" i="1"/>
  <c r="J1366" i="1"/>
  <c r="M1365" i="1"/>
  <c r="L1365" i="1"/>
  <c r="K1365" i="1"/>
  <c r="J1365" i="1"/>
  <c r="M1364" i="1"/>
  <c r="L1364" i="1"/>
  <c r="K1364" i="1"/>
  <c r="J1364" i="1"/>
  <c r="M1363" i="1"/>
  <c r="L1363" i="1"/>
  <c r="K1363" i="1"/>
  <c r="J1363" i="1"/>
  <c r="M1362" i="1"/>
  <c r="L1362" i="1"/>
  <c r="K1362" i="1"/>
  <c r="J1362" i="1"/>
  <c r="M1361" i="1"/>
  <c r="L1361" i="1"/>
  <c r="K1361" i="1"/>
  <c r="J1361" i="1"/>
  <c r="M1360" i="1"/>
  <c r="L1360" i="1"/>
  <c r="K1360" i="1"/>
  <c r="J1360" i="1"/>
  <c r="M1359" i="1"/>
  <c r="L1359" i="1"/>
  <c r="K1359" i="1"/>
  <c r="J1359" i="1"/>
  <c r="M1358" i="1"/>
  <c r="L1358" i="1"/>
  <c r="K1358" i="1"/>
  <c r="J1358" i="1"/>
  <c r="M1357" i="1"/>
  <c r="L1357" i="1"/>
  <c r="K1357" i="1"/>
  <c r="J1357" i="1"/>
  <c r="M1356" i="1"/>
  <c r="L1356" i="1"/>
  <c r="K1356" i="1"/>
  <c r="J1356" i="1"/>
  <c r="M1355" i="1"/>
  <c r="L1355" i="1"/>
  <c r="K1355" i="1"/>
  <c r="J1355" i="1"/>
  <c r="M1354" i="1"/>
  <c r="L1354" i="1"/>
  <c r="K1354" i="1"/>
  <c r="J1354" i="1"/>
  <c r="M1353" i="1"/>
  <c r="L1353" i="1"/>
  <c r="K1353" i="1"/>
  <c r="J1353" i="1"/>
  <c r="M1352" i="1"/>
  <c r="L1352" i="1"/>
  <c r="K1352" i="1"/>
  <c r="J1352" i="1"/>
  <c r="M1351" i="1"/>
  <c r="L1351" i="1"/>
  <c r="K1351" i="1"/>
  <c r="J1351" i="1"/>
  <c r="M1350" i="1"/>
  <c r="L1350" i="1"/>
  <c r="K1350" i="1"/>
  <c r="J1350" i="1"/>
  <c r="M1349" i="1"/>
  <c r="L1349" i="1"/>
  <c r="K1349" i="1"/>
  <c r="J1349" i="1"/>
  <c r="M1348" i="1"/>
  <c r="L1348" i="1"/>
  <c r="K1348" i="1"/>
  <c r="J1348" i="1"/>
  <c r="M1347" i="1"/>
  <c r="L1347" i="1"/>
  <c r="K1347" i="1"/>
  <c r="J1347" i="1"/>
  <c r="M1346" i="1"/>
  <c r="L1346" i="1"/>
  <c r="K1346" i="1"/>
  <c r="J1346" i="1"/>
  <c r="M1345" i="1"/>
  <c r="L1345" i="1"/>
  <c r="K1345" i="1"/>
  <c r="J1345" i="1"/>
  <c r="M1344" i="1"/>
  <c r="L1344" i="1"/>
  <c r="K1344" i="1"/>
  <c r="J1344" i="1"/>
  <c r="M1343" i="1"/>
  <c r="L1343" i="1"/>
  <c r="K1343" i="1"/>
  <c r="J1343" i="1"/>
  <c r="M1342" i="1"/>
  <c r="L1342" i="1"/>
  <c r="K1342" i="1"/>
  <c r="J1342" i="1"/>
  <c r="M1341" i="1"/>
  <c r="L1341" i="1"/>
  <c r="K1341" i="1"/>
  <c r="J1341" i="1"/>
  <c r="M1340" i="1"/>
  <c r="L1340" i="1"/>
  <c r="K1340" i="1"/>
  <c r="J1340" i="1"/>
  <c r="M1339" i="1"/>
  <c r="L1339" i="1"/>
  <c r="K1339" i="1"/>
  <c r="J1339" i="1"/>
  <c r="M1338" i="1"/>
  <c r="L1338" i="1"/>
  <c r="K1338" i="1"/>
  <c r="J1338" i="1"/>
  <c r="M1337" i="1"/>
  <c r="L1337" i="1"/>
  <c r="K1337" i="1"/>
  <c r="J1337" i="1"/>
  <c r="M1336" i="1"/>
  <c r="L1336" i="1"/>
  <c r="K1336" i="1"/>
  <c r="J1336" i="1"/>
  <c r="M1335" i="1"/>
  <c r="L1335" i="1"/>
  <c r="K1335" i="1"/>
  <c r="J1335" i="1"/>
  <c r="M1334" i="1"/>
  <c r="L1334" i="1"/>
  <c r="K1334" i="1"/>
  <c r="J1334" i="1"/>
  <c r="M1333" i="1"/>
  <c r="L1333" i="1"/>
  <c r="K1333" i="1"/>
  <c r="J1333" i="1"/>
  <c r="M1332" i="1"/>
  <c r="L1332" i="1"/>
  <c r="K1332" i="1"/>
  <c r="J1332" i="1"/>
  <c r="M1331" i="1"/>
  <c r="L1331" i="1"/>
  <c r="K1331" i="1"/>
  <c r="J1331" i="1"/>
  <c r="M1330" i="1"/>
  <c r="L1330" i="1"/>
  <c r="K1330" i="1"/>
  <c r="J1330" i="1"/>
  <c r="M1329" i="1"/>
  <c r="L1329" i="1"/>
  <c r="K1329" i="1"/>
  <c r="J1329" i="1"/>
  <c r="M1328" i="1"/>
  <c r="L1328" i="1"/>
  <c r="K1328" i="1"/>
  <c r="J1328" i="1"/>
  <c r="M1327" i="1"/>
  <c r="L1327" i="1"/>
  <c r="K1327" i="1"/>
  <c r="J1327" i="1"/>
  <c r="M1326" i="1"/>
  <c r="L1326" i="1"/>
  <c r="K1326" i="1"/>
  <c r="J1326" i="1"/>
  <c r="M1325" i="1"/>
  <c r="L1325" i="1"/>
  <c r="K1325" i="1"/>
  <c r="J1325" i="1"/>
  <c r="M1324" i="1"/>
  <c r="L1324" i="1"/>
  <c r="K1324" i="1"/>
  <c r="J1324" i="1"/>
  <c r="M1323" i="1"/>
  <c r="L1323" i="1"/>
  <c r="K1323" i="1"/>
  <c r="J1323" i="1"/>
  <c r="M1322" i="1"/>
  <c r="L1322" i="1"/>
  <c r="K1322" i="1"/>
  <c r="J1322" i="1"/>
  <c r="M1321" i="1"/>
  <c r="L1321" i="1"/>
  <c r="K1321" i="1"/>
  <c r="J1321" i="1"/>
  <c r="M1320" i="1"/>
  <c r="L1320" i="1"/>
  <c r="K1320" i="1"/>
  <c r="J1320" i="1"/>
  <c r="M1319" i="1"/>
  <c r="L1319" i="1"/>
  <c r="K1319" i="1"/>
  <c r="J1319" i="1"/>
  <c r="M1318" i="1"/>
  <c r="L1318" i="1"/>
  <c r="K1318" i="1"/>
  <c r="J1318" i="1"/>
  <c r="M1317" i="1"/>
  <c r="L1317" i="1"/>
  <c r="K1317" i="1"/>
  <c r="J1317" i="1"/>
  <c r="M1316" i="1"/>
  <c r="L1316" i="1"/>
  <c r="K1316" i="1"/>
  <c r="J1316" i="1"/>
  <c r="M1315" i="1"/>
  <c r="L1315" i="1"/>
  <c r="K1315" i="1"/>
  <c r="J1315" i="1"/>
  <c r="M1314" i="1"/>
  <c r="L1314" i="1"/>
  <c r="K1314" i="1"/>
  <c r="J1314" i="1"/>
  <c r="M1313" i="1"/>
  <c r="L1313" i="1"/>
  <c r="K1313" i="1"/>
  <c r="J1313" i="1"/>
  <c r="M1312" i="1"/>
  <c r="L1312" i="1"/>
  <c r="K1312" i="1"/>
  <c r="J1312" i="1"/>
  <c r="M1311" i="1"/>
  <c r="L1311" i="1"/>
  <c r="K1311" i="1"/>
  <c r="J1311" i="1"/>
  <c r="M1310" i="1"/>
  <c r="L1310" i="1"/>
  <c r="K1310" i="1"/>
  <c r="J1310" i="1"/>
  <c r="M1309" i="1"/>
  <c r="L1309" i="1"/>
  <c r="K1309" i="1"/>
  <c r="J1309" i="1"/>
  <c r="M1308" i="1"/>
  <c r="L1308" i="1"/>
  <c r="K1308" i="1"/>
  <c r="J1308" i="1"/>
  <c r="M1307" i="1"/>
  <c r="L1307" i="1"/>
  <c r="K1307" i="1"/>
  <c r="J1307" i="1"/>
  <c r="M1306" i="1"/>
  <c r="L1306" i="1"/>
  <c r="K1306" i="1"/>
  <c r="J1306" i="1"/>
  <c r="M1305" i="1"/>
  <c r="L1305" i="1"/>
  <c r="K1305" i="1"/>
  <c r="J1305" i="1"/>
  <c r="M1304" i="1"/>
  <c r="L1304" i="1"/>
  <c r="K1304" i="1"/>
  <c r="J1304" i="1"/>
  <c r="M1303" i="1"/>
  <c r="L1303" i="1"/>
  <c r="K1303" i="1"/>
  <c r="J1303" i="1"/>
  <c r="M1302" i="1"/>
  <c r="L1302" i="1"/>
  <c r="K1302" i="1"/>
  <c r="J1302" i="1"/>
  <c r="M1301" i="1"/>
  <c r="L1301" i="1"/>
  <c r="K1301" i="1"/>
  <c r="J1301" i="1"/>
  <c r="M1300" i="1"/>
  <c r="L1300" i="1"/>
  <c r="K1300" i="1"/>
  <c r="J1300" i="1"/>
  <c r="M1299" i="1"/>
  <c r="L1299" i="1"/>
  <c r="K1299" i="1"/>
  <c r="J1299" i="1"/>
  <c r="M1298" i="1"/>
  <c r="L1298" i="1"/>
  <c r="K1298" i="1"/>
  <c r="J1298" i="1"/>
  <c r="M1297" i="1"/>
  <c r="L1297" i="1"/>
  <c r="K1297" i="1"/>
  <c r="J1297" i="1"/>
  <c r="M1296" i="1"/>
  <c r="L1296" i="1"/>
  <c r="K1296" i="1"/>
  <c r="J1296" i="1"/>
  <c r="M1295" i="1"/>
  <c r="L1295" i="1"/>
  <c r="K1295" i="1"/>
  <c r="J1295" i="1"/>
  <c r="M1294" i="1"/>
  <c r="L1294" i="1"/>
  <c r="K1294" i="1"/>
  <c r="J1294" i="1"/>
  <c r="M1293" i="1"/>
  <c r="L1293" i="1"/>
  <c r="K1293" i="1"/>
  <c r="J1293" i="1"/>
  <c r="M1292" i="1"/>
  <c r="L1292" i="1"/>
  <c r="K1292" i="1"/>
  <c r="J1292" i="1"/>
  <c r="M1291" i="1"/>
  <c r="L1291" i="1"/>
  <c r="K1291" i="1"/>
  <c r="J1291" i="1"/>
  <c r="M1290" i="1"/>
  <c r="L1290" i="1"/>
  <c r="K1290" i="1"/>
  <c r="J1290" i="1"/>
  <c r="M1289" i="1"/>
  <c r="L1289" i="1"/>
  <c r="K1289" i="1"/>
  <c r="J1289" i="1"/>
  <c r="M1288" i="1"/>
  <c r="L1288" i="1"/>
  <c r="K1288" i="1"/>
  <c r="J1288" i="1"/>
  <c r="M1287" i="1"/>
  <c r="L1287" i="1"/>
  <c r="K1287" i="1"/>
  <c r="J1287" i="1"/>
  <c r="M1286" i="1"/>
  <c r="L1286" i="1"/>
  <c r="K1286" i="1"/>
  <c r="J1286" i="1"/>
  <c r="M1285" i="1"/>
  <c r="L1285" i="1"/>
  <c r="K1285" i="1"/>
  <c r="J1285" i="1"/>
  <c r="M1284" i="1"/>
  <c r="L1284" i="1"/>
  <c r="K1284" i="1"/>
  <c r="J1284" i="1"/>
  <c r="M1283" i="1"/>
  <c r="L1283" i="1"/>
  <c r="K1283" i="1"/>
  <c r="J1283" i="1"/>
  <c r="M1282" i="1"/>
  <c r="L1282" i="1"/>
  <c r="K1282" i="1"/>
  <c r="J1282" i="1"/>
  <c r="M1281" i="1"/>
  <c r="L1281" i="1"/>
  <c r="K1281" i="1"/>
  <c r="J1281" i="1"/>
  <c r="M1280" i="1"/>
  <c r="L1280" i="1"/>
  <c r="K1280" i="1"/>
  <c r="J1280" i="1"/>
  <c r="M1279" i="1"/>
  <c r="L1279" i="1"/>
  <c r="K1279" i="1"/>
  <c r="J1279" i="1"/>
  <c r="M1278" i="1"/>
  <c r="L1278" i="1"/>
  <c r="K1278" i="1"/>
  <c r="J1278" i="1"/>
  <c r="M1277" i="1"/>
  <c r="L1277" i="1"/>
  <c r="K1277" i="1"/>
  <c r="J1277" i="1"/>
  <c r="M1276" i="1"/>
  <c r="L1276" i="1"/>
  <c r="K1276" i="1"/>
  <c r="J1276" i="1"/>
  <c r="M1275" i="1"/>
  <c r="L1275" i="1"/>
  <c r="K1275" i="1"/>
  <c r="J1275" i="1"/>
  <c r="M1274" i="1"/>
  <c r="L1274" i="1"/>
  <c r="K1274" i="1"/>
  <c r="J1274" i="1"/>
  <c r="M1273" i="1"/>
  <c r="L1273" i="1"/>
  <c r="K1273" i="1"/>
  <c r="J1273" i="1"/>
  <c r="M1272" i="1"/>
  <c r="L1272" i="1"/>
  <c r="K1272" i="1"/>
  <c r="J1272" i="1"/>
  <c r="M1271" i="1"/>
  <c r="L1271" i="1"/>
  <c r="U776" i="11" s="1"/>
  <c r="K1271" i="1"/>
  <c r="J1271" i="1"/>
  <c r="M1270" i="1"/>
  <c r="L1270" i="1"/>
  <c r="K1270" i="1"/>
  <c r="J1270" i="1"/>
  <c r="M1269" i="1"/>
  <c r="L1269" i="1"/>
  <c r="K1269" i="1"/>
  <c r="J1269" i="1"/>
  <c r="M1268" i="1"/>
  <c r="L1268" i="1"/>
  <c r="K1268" i="1"/>
  <c r="J1268" i="1"/>
  <c r="M1267" i="1"/>
  <c r="L1267" i="1"/>
  <c r="K1267" i="1"/>
  <c r="J1267" i="1"/>
  <c r="M1266" i="1"/>
  <c r="L1266" i="1"/>
  <c r="K1266" i="1"/>
  <c r="J1266" i="1"/>
  <c r="M1265" i="1"/>
  <c r="L1265" i="1"/>
  <c r="K1265" i="1"/>
  <c r="J1265" i="1"/>
  <c r="M1264" i="1"/>
  <c r="L1264" i="1"/>
  <c r="K1264" i="1"/>
  <c r="J1264" i="1"/>
  <c r="M1263" i="1"/>
  <c r="L1263" i="1"/>
  <c r="K1263" i="1"/>
  <c r="J1263" i="1"/>
  <c r="M1262" i="1"/>
  <c r="L1262" i="1"/>
  <c r="K1262" i="1"/>
  <c r="J1262" i="1"/>
  <c r="M1261" i="1"/>
  <c r="L1261" i="1"/>
  <c r="K1261" i="1"/>
  <c r="J1261" i="1"/>
  <c r="M1260" i="1"/>
  <c r="L1260" i="1"/>
  <c r="K1260" i="1"/>
  <c r="J1260" i="1"/>
  <c r="M1259" i="1"/>
  <c r="L1259" i="1"/>
  <c r="K1259" i="1"/>
  <c r="J1259" i="1"/>
  <c r="M1258" i="1"/>
  <c r="L1258" i="1"/>
  <c r="K1258" i="1"/>
  <c r="J1258" i="1"/>
  <c r="M1257" i="1"/>
  <c r="L1257" i="1"/>
  <c r="K1257" i="1"/>
  <c r="J1257" i="1"/>
  <c r="M1256" i="1"/>
  <c r="L1256" i="1"/>
  <c r="K1256" i="1"/>
  <c r="J1256" i="1"/>
  <c r="M1255" i="1"/>
  <c r="L1255" i="1"/>
  <c r="K1255" i="1"/>
  <c r="J1255" i="1"/>
  <c r="M1254" i="1"/>
  <c r="L1254" i="1"/>
  <c r="K1254" i="1"/>
  <c r="J1254" i="1"/>
  <c r="M1253" i="1"/>
  <c r="L1253" i="1"/>
  <c r="K1253" i="1"/>
  <c r="J1253" i="1"/>
  <c r="M1252" i="1"/>
  <c r="L1252" i="1"/>
  <c r="K1252" i="1"/>
  <c r="J1252" i="1"/>
  <c r="M1251" i="1"/>
  <c r="L1251" i="1"/>
  <c r="K1251" i="1"/>
  <c r="J1251" i="1"/>
  <c r="M1250" i="1"/>
  <c r="L1250" i="1"/>
  <c r="K1250" i="1"/>
  <c r="J1250" i="1"/>
  <c r="M1249" i="1"/>
  <c r="L1249" i="1"/>
  <c r="K1249" i="1"/>
  <c r="J1249" i="1"/>
  <c r="M1248" i="1"/>
  <c r="L1248" i="1"/>
  <c r="K1248" i="1"/>
  <c r="J1248" i="1"/>
  <c r="M1247" i="1"/>
  <c r="L1247" i="1"/>
  <c r="K1247" i="1"/>
  <c r="J1247" i="1"/>
  <c r="M1246" i="1"/>
  <c r="L1246" i="1"/>
  <c r="K1246" i="1"/>
  <c r="J1246" i="1"/>
  <c r="M1245" i="1"/>
  <c r="L1245" i="1"/>
  <c r="K1245" i="1"/>
  <c r="J1245" i="1"/>
  <c r="M1244" i="1"/>
  <c r="L1244" i="1"/>
  <c r="K1244" i="1"/>
  <c r="J1244" i="1"/>
  <c r="M1243" i="1"/>
  <c r="L1243" i="1"/>
  <c r="K1243" i="1"/>
  <c r="J1243" i="1"/>
  <c r="M1242" i="1"/>
  <c r="L1242" i="1"/>
  <c r="K1242" i="1"/>
  <c r="J1242" i="1"/>
  <c r="M1241" i="1"/>
  <c r="L1241" i="1"/>
  <c r="K1241" i="1"/>
  <c r="J1241" i="1"/>
  <c r="M1240" i="1"/>
  <c r="L1240" i="1"/>
  <c r="K1240" i="1"/>
  <c r="J1240" i="1"/>
  <c r="M1239" i="1"/>
  <c r="L1239" i="1"/>
  <c r="K1239" i="1"/>
  <c r="J1239" i="1"/>
  <c r="M1238" i="1"/>
  <c r="L1238" i="1"/>
  <c r="K1238" i="1"/>
  <c r="J1238" i="1"/>
  <c r="M1237" i="1"/>
  <c r="L1237" i="1"/>
  <c r="K1237" i="1"/>
  <c r="J1237" i="1"/>
  <c r="M1236" i="1"/>
  <c r="L1236" i="1"/>
  <c r="K1236" i="1"/>
  <c r="J1236" i="1"/>
  <c r="M1235" i="1"/>
  <c r="L1235" i="1"/>
  <c r="K1235" i="1"/>
  <c r="J1235" i="1"/>
  <c r="M1234" i="1"/>
  <c r="L1234" i="1"/>
  <c r="K1234" i="1"/>
  <c r="J1234" i="1"/>
  <c r="M1233" i="1"/>
  <c r="L1233" i="1"/>
  <c r="K1233" i="1"/>
  <c r="J1233" i="1"/>
  <c r="M1232" i="1"/>
  <c r="L1232" i="1"/>
  <c r="K1232" i="1"/>
  <c r="J1232" i="1"/>
  <c r="M1231" i="1"/>
  <c r="L1231" i="1"/>
  <c r="K1231" i="1"/>
  <c r="J1231" i="1"/>
  <c r="M1230" i="1"/>
  <c r="L1230" i="1"/>
  <c r="K1230" i="1"/>
  <c r="J1230" i="1"/>
  <c r="M1229" i="1"/>
  <c r="L1229" i="1"/>
  <c r="K1229" i="1"/>
  <c r="J1229" i="1"/>
  <c r="M1228" i="1"/>
  <c r="L1228" i="1"/>
  <c r="K1228" i="1"/>
  <c r="J1228" i="1"/>
  <c r="M1227" i="1"/>
  <c r="L1227" i="1"/>
  <c r="K1227" i="1"/>
  <c r="J1227" i="1"/>
  <c r="M1226" i="1"/>
  <c r="L1226" i="1"/>
  <c r="K1226" i="1"/>
  <c r="J1226" i="1"/>
  <c r="M1225" i="1"/>
  <c r="L1225" i="1"/>
  <c r="K1225" i="1"/>
  <c r="J1225" i="1"/>
  <c r="M1224" i="1"/>
  <c r="L1224" i="1"/>
  <c r="K1224" i="1"/>
  <c r="J1224" i="1"/>
  <c r="M1223" i="1"/>
  <c r="L1223" i="1"/>
  <c r="K1223" i="1"/>
  <c r="J1223" i="1"/>
  <c r="M1222" i="1"/>
  <c r="L1222" i="1"/>
  <c r="K1222" i="1"/>
  <c r="J1222" i="1"/>
  <c r="M1221" i="1"/>
  <c r="L1221" i="1"/>
  <c r="K1221" i="1"/>
  <c r="J1221" i="1"/>
  <c r="M1220" i="1"/>
  <c r="L1220" i="1"/>
  <c r="K1220" i="1"/>
  <c r="J1220" i="1"/>
  <c r="M1219" i="1"/>
  <c r="L1219" i="1"/>
  <c r="K1219" i="1"/>
  <c r="J1219" i="1"/>
  <c r="M1218" i="1"/>
  <c r="L1218" i="1"/>
  <c r="K1218" i="1"/>
  <c r="J1218" i="1"/>
  <c r="M1217" i="1"/>
  <c r="L1217" i="1"/>
  <c r="K1217" i="1"/>
  <c r="J1217" i="1"/>
  <c r="M1216" i="1"/>
  <c r="L1216" i="1"/>
  <c r="K1216" i="1"/>
  <c r="J1216" i="1"/>
  <c r="M1215" i="1"/>
  <c r="L1215" i="1"/>
  <c r="K1215" i="1"/>
  <c r="J1215" i="1"/>
  <c r="M1214" i="1"/>
  <c r="L1214" i="1"/>
  <c r="K1214" i="1"/>
  <c r="J1214" i="1"/>
  <c r="M1213" i="1"/>
  <c r="L1213" i="1"/>
  <c r="K1213" i="1"/>
  <c r="J1213" i="1"/>
  <c r="M1212" i="1"/>
  <c r="L1212" i="1"/>
  <c r="K1212" i="1"/>
  <c r="J1212" i="1"/>
  <c r="M1211" i="1"/>
  <c r="L1211" i="1"/>
  <c r="K1211" i="1"/>
  <c r="J1211" i="1"/>
  <c r="M1210" i="1"/>
  <c r="L1210" i="1"/>
  <c r="K1210" i="1"/>
  <c r="J1210" i="1"/>
  <c r="M1209" i="1"/>
  <c r="L1209" i="1"/>
  <c r="K1209" i="1"/>
  <c r="J1209" i="1"/>
  <c r="M1208" i="1"/>
  <c r="L1208" i="1"/>
  <c r="K1208" i="1"/>
  <c r="J1208" i="1"/>
  <c r="M1207" i="1"/>
  <c r="L1207" i="1"/>
  <c r="K1207" i="1"/>
  <c r="J1207" i="1"/>
  <c r="M1206" i="1"/>
  <c r="L1206" i="1"/>
  <c r="K1206" i="1"/>
  <c r="J1206" i="1"/>
  <c r="M1205" i="1"/>
  <c r="L1205" i="1"/>
  <c r="K1205" i="1"/>
  <c r="J1205" i="1"/>
  <c r="M1204" i="1"/>
  <c r="L1204" i="1"/>
  <c r="K1204" i="1"/>
  <c r="J1204" i="1"/>
  <c r="M1203" i="1"/>
  <c r="L1203" i="1"/>
  <c r="K1203" i="1"/>
  <c r="J1203" i="1"/>
  <c r="M1202" i="1"/>
  <c r="L1202" i="1"/>
  <c r="K1202" i="1"/>
  <c r="J1202" i="1"/>
  <c r="M1201" i="1"/>
  <c r="L1201" i="1"/>
  <c r="K1201" i="1"/>
  <c r="J1201" i="1"/>
  <c r="M1200" i="1"/>
  <c r="L1200" i="1"/>
  <c r="K1200" i="1"/>
  <c r="J1200" i="1"/>
  <c r="M1199" i="1"/>
  <c r="L1199" i="1"/>
  <c r="K1199" i="1"/>
  <c r="J1199" i="1"/>
  <c r="M1198" i="1"/>
  <c r="L1198" i="1"/>
  <c r="K1198" i="1"/>
  <c r="J1198" i="1"/>
  <c r="M1197" i="1"/>
  <c r="L1197" i="1"/>
  <c r="K1197" i="1"/>
  <c r="J1197" i="1"/>
  <c r="M1196" i="1"/>
  <c r="L1196" i="1"/>
  <c r="K1196" i="1"/>
  <c r="J1196" i="1"/>
  <c r="M1195" i="1"/>
  <c r="L1195" i="1"/>
  <c r="K1195" i="1"/>
  <c r="J1195" i="1"/>
  <c r="M1194" i="1"/>
  <c r="L1194" i="1"/>
  <c r="K1194" i="1"/>
  <c r="J1194" i="1"/>
  <c r="M1193" i="1"/>
  <c r="L1193" i="1"/>
  <c r="K1193" i="1"/>
  <c r="J1193" i="1"/>
  <c r="M1192" i="1"/>
  <c r="L1192" i="1"/>
  <c r="K1192" i="1"/>
  <c r="J1192" i="1"/>
  <c r="M1191" i="1"/>
  <c r="L1191" i="1"/>
  <c r="K1191" i="1"/>
  <c r="J1191" i="1"/>
  <c r="M1190" i="1"/>
  <c r="L1190" i="1"/>
  <c r="K1190" i="1"/>
  <c r="J1190" i="1"/>
  <c r="M1189" i="1"/>
  <c r="L1189" i="1"/>
  <c r="K1189" i="1"/>
  <c r="J1189" i="1"/>
  <c r="M1188" i="1"/>
  <c r="L1188" i="1"/>
  <c r="K1188" i="1"/>
  <c r="J1188" i="1"/>
  <c r="M1187" i="1"/>
  <c r="L1187" i="1"/>
  <c r="K1187" i="1"/>
  <c r="J1187" i="1"/>
  <c r="M1186" i="1"/>
  <c r="L1186" i="1"/>
  <c r="K1186" i="1"/>
  <c r="J1186" i="1"/>
  <c r="M1185" i="1"/>
  <c r="L1185" i="1"/>
  <c r="K1185" i="1"/>
  <c r="J1185" i="1"/>
  <c r="M1184" i="1"/>
  <c r="L1184" i="1"/>
  <c r="K1184" i="1"/>
  <c r="J1184" i="1"/>
  <c r="M1183" i="1"/>
  <c r="L1183" i="1"/>
  <c r="K1183" i="1"/>
  <c r="J1183" i="1"/>
  <c r="M1182" i="1"/>
  <c r="L1182" i="1"/>
  <c r="K1182" i="1"/>
  <c r="J1182" i="1"/>
  <c r="M1181" i="1"/>
  <c r="L1181" i="1"/>
  <c r="K1181" i="1"/>
  <c r="J1181" i="1"/>
  <c r="M1180" i="1"/>
  <c r="L1180" i="1"/>
  <c r="K1180" i="1"/>
  <c r="J1180" i="1"/>
  <c r="M1179" i="1"/>
  <c r="L1179" i="1"/>
  <c r="K1179" i="1"/>
  <c r="J1179" i="1"/>
  <c r="M1178" i="1"/>
  <c r="L1178" i="1"/>
  <c r="K1178" i="1"/>
  <c r="J1178" i="1"/>
  <c r="M1177" i="1"/>
  <c r="L1177" i="1"/>
  <c r="K1177" i="1"/>
  <c r="J1177" i="1"/>
  <c r="M1176" i="1"/>
  <c r="L1176" i="1"/>
  <c r="K1176" i="1"/>
  <c r="J1176" i="1"/>
  <c r="M1175" i="1"/>
  <c r="L1175" i="1"/>
  <c r="K1175" i="1"/>
  <c r="J1175" i="1"/>
  <c r="M1174" i="1"/>
  <c r="L1174" i="1"/>
  <c r="K1174" i="1"/>
  <c r="J1174" i="1"/>
  <c r="M1173" i="1"/>
  <c r="L1173" i="1"/>
  <c r="K1173" i="1"/>
  <c r="J1173" i="1"/>
  <c r="M1172" i="1"/>
  <c r="L1172" i="1"/>
  <c r="K1172" i="1"/>
  <c r="J1172" i="1"/>
  <c r="M1171" i="1"/>
  <c r="L1171" i="1"/>
  <c r="K1171" i="1"/>
  <c r="J1171" i="1"/>
  <c r="M1170" i="1"/>
  <c r="L1170" i="1"/>
  <c r="K1170" i="1"/>
  <c r="J1170" i="1"/>
  <c r="M1169" i="1"/>
  <c r="L1169" i="1"/>
  <c r="K1169" i="1"/>
  <c r="J1169" i="1"/>
  <c r="M1168" i="1"/>
  <c r="L1168" i="1"/>
  <c r="K1168" i="1"/>
  <c r="J1168" i="1"/>
  <c r="M1167" i="1"/>
  <c r="L1167" i="1"/>
  <c r="K1167" i="1"/>
  <c r="J1167" i="1"/>
  <c r="M1166" i="1"/>
  <c r="L1166" i="1"/>
  <c r="K1166" i="1"/>
  <c r="J1166" i="1"/>
  <c r="M1165" i="1"/>
  <c r="L1165" i="1"/>
  <c r="K1165" i="1"/>
  <c r="J1165" i="1"/>
  <c r="M1164" i="1"/>
  <c r="L1164" i="1"/>
  <c r="K1164" i="1"/>
  <c r="J1164" i="1"/>
  <c r="M1163" i="1"/>
  <c r="L1163" i="1"/>
  <c r="K1163" i="1"/>
  <c r="J1163" i="1"/>
  <c r="M1162" i="1"/>
  <c r="L1162" i="1"/>
  <c r="K1162" i="1"/>
  <c r="J1162" i="1"/>
  <c r="M1161" i="1"/>
  <c r="L1161" i="1"/>
  <c r="K1161" i="1"/>
  <c r="J1161" i="1"/>
  <c r="M1160" i="1"/>
  <c r="L1160" i="1"/>
  <c r="K1160" i="1"/>
  <c r="J1160" i="1"/>
  <c r="M1159" i="1"/>
  <c r="L1159" i="1"/>
  <c r="K1159" i="1"/>
  <c r="J1159" i="1"/>
  <c r="M1158" i="1"/>
  <c r="L1158" i="1"/>
  <c r="K1158" i="1"/>
  <c r="J1158" i="1"/>
  <c r="M1157" i="1"/>
  <c r="L1157" i="1"/>
  <c r="K1157" i="1"/>
  <c r="J1157" i="1"/>
  <c r="M1156" i="1"/>
  <c r="L1156" i="1"/>
  <c r="K1156" i="1"/>
  <c r="J1156" i="1"/>
  <c r="M1155" i="1"/>
  <c r="L1155" i="1"/>
  <c r="K1155" i="1"/>
  <c r="J1155" i="1"/>
  <c r="M1154" i="1"/>
  <c r="L1154" i="1"/>
  <c r="K1154" i="1"/>
  <c r="J1154" i="1"/>
  <c r="M1153" i="1"/>
  <c r="L1153" i="1"/>
  <c r="K1153" i="1"/>
  <c r="J1153" i="1"/>
  <c r="M1152" i="1"/>
  <c r="L1152" i="1"/>
  <c r="K1152" i="1"/>
  <c r="J1152" i="1"/>
  <c r="M1151" i="1"/>
  <c r="L1151" i="1"/>
  <c r="K1151" i="1"/>
  <c r="J1151" i="1"/>
  <c r="M1150" i="1"/>
  <c r="L1150" i="1"/>
  <c r="K1150" i="1"/>
  <c r="J1150" i="1"/>
  <c r="M1149" i="1"/>
  <c r="L1149" i="1"/>
  <c r="K1149" i="1"/>
  <c r="J1149" i="1"/>
  <c r="M1148" i="1"/>
  <c r="L1148" i="1"/>
  <c r="K1148" i="1"/>
  <c r="J1148" i="1"/>
  <c r="M1147" i="1"/>
  <c r="L1147" i="1"/>
  <c r="K1147" i="1"/>
  <c r="J1147" i="1"/>
  <c r="M1146" i="1"/>
  <c r="L1146" i="1"/>
  <c r="K1146" i="1"/>
  <c r="J1146" i="1"/>
  <c r="M1145" i="1"/>
  <c r="L1145" i="1"/>
  <c r="K1145" i="1"/>
  <c r="J1145" i="1"/>
  <c r="M1144" i="1"/>
  <c r="L1144" i="1"/>
  <c r="K1144" i="1"/>
  <c r="J1144" i="1"/>
  <c r="M1143" i="1"/>
  <c r="L1143" i="1"/>
  <c r="K1143" i="1"/>
  <c r="J1143" i="1"/>
  <c r="M1142" i="1"/>
  <c r="L1142" i="1"/>
  <c r="K1142" i="1"/>
  <c r="J1142" i="1"/>
  <c r="M1141" i="1"/>
  <c r="L1141" i="1"/>
  <c r="K1141" i="1"/>
  <c r="J1141" i="1"/>
  <c r="M1140" i="1"/>
  <c r="L1140" i="1"/>
  <c r="K1140" i="1"/>
  <c r="J1140" i="1"/>
  <c r="M1139" i="1"/>
  <c r="L1139" i="1"/>
  <c r="K1139" i="1"/>
  <c r="J1139" i="1"/>
  <c r="M1138" i="1"/>
  <c r="L1138" i="1"/>
  <c r="K1138" i="1"/>
  <c r="J1138" i="1"/>
  <c r="M1137" i="1"/>
  <c r="L1137" i="1"/>
  <c r="K1137" i="1"/>
  <c r="J1137" i="1"/>
  <c r="M1136" i="1"/>
  <c r="L1136" i="1"/>
  <c r="K1136" i="1"/>
  <c r="J1136" i="1"/>
  <c r="M1135" i="1"/>
  <c r="L1135" i="1"/>
  <c r="K1135" i="1"/>
  <c r="J1135" i="1"/>
  <c r="M1134" i="1"/>
  <c r="L1134" i="1"/>
  <c r="K1134" i="1"/>
  <c r="J1134" i="1"/>
  <c r="M1133" i="1"/>
  <c r="L1133" i="1"/>
  <c r="K1133" i="1"/>
  <c r="J1133" i="1"/>
  <c r="M1132" i="1"/>
  <c r="L1132" i="1"/>
  <c r="K1132" i="1"/>
  <c r="J1132" i="1"/>
  <c r="M1131" i="1"/>
  <c r="L1131" i="1"/>
  <c r="K1131" i="1"/>
  <c r="J1131" i="1"/>
  <c r="M1130" i="1"/>
  <c r="L1130" i="1"/>
  <c r="K1130" i="1"/>
  <c r="J1130" i="1"/>
  <c r="M1129" i="1"/>
  <c r="L1129" i="1"/>
  <c r="K1129" i="1"/>
  <c r="J1129" i="1"/>
  <c r="M1128" i="1"/>
  <c r="L1128" i="1"/>
  <c r="K1128" i="1"/>
  <c r="J1128" i="1"/>
  <c r="M1127" i="1"/>
  <c r="L1127" i="1"/>
  <c r="K1127" i="1"/>
  <c r="J1127" i="1"/>
  <c r="M1126" i="1"/>
  <c r="L1126" i="1"/>
  <c r="K1126" i="1"/>
  <c r="J1126" i="1"/>
  <c r="M1125" i="1"/>
  <c r="L1125" i="1"/>
  <c r="K1125" i="1"/>
  <c r="J1125" i="1"/>
  <c r="M1124" i="1"/>
  <c r="L1124" i="1"/>
  <c r="K1124" i="1"/>
  <c r="J1124" i="1"/>
  <c r="M1123" i="1"/>
  <c r="L1123" i="1"/>
  <c r="K1123" i="1"/>
  <c r="J1123" i="1"/>
  <c r="M1122" i="1"/>
  <c r="L1122" i="1"/>
  <c r="K1122" i="1"/>
  <c r="J1122" i="1"/>
  <c r="M1121" i="1"/>
  <c r="L1121" i="1"/>
  <c r="K1121" i="1"/>
  <c r="J1121" i="1"/>
  <c r="M1120" i="1"/>
  <c r="L1120" i="1"/>
  <c r="K1120" i="1"/>
  <c r="J1120" i="1"/>
  <c r="M1119" i="1"/>
  <c r="L1119" i="1"/>
  <c r="K1119" i="1"/>
  <c r="J1119" i="1"/>
  <c r="M1118" i="1"/>
  <c r="L1118" i="1"/>
  <c r="K1118" i="1"/>
  <c r="J1118" i="1"/>
  <c r="M1117" i="1"/>
  <c r="L1117" i="1"/>
  <c r="K1117" i="1"/>
  <c r="J1117" i="1"/>
  <c r="M1116" i="1"/>
  <c r="L1116" i="1"/>
  <c r="K1116" i="1"/>
  <c r="J1116" i="1"/>
  <c r="M1115" i="1"/>
  <c r="L1115" i="1"/>
  <c r="K1115" i="1"/>
  <c r="J1115" i="1"/>
  <c r="M1114" i="1"/>
  <c r="L1114" i="1"/>
  <c r="K1114" i="1"/>
  <c r="J1114" i="1"/>
  <c r="M1113" i="1"/>
  <c r="L1113" i="1"/>
  <c r="K1113" i="1"/>
  <c r="J1113" i="1"/>
  <c r="M1112" i="1"/>
  <c r="L1112" i="1"/>
  <c r="K1112" i="1"/>
  <c r="J1112" i="1"/>
  <c r="M1111" i="1"/>
  <c r="L1111" i="1"/>
  <c r="K1111" i="1"/>
  <c r="J1111" i="1"/>
  <c r="M1110" i="1"/>
  <c r="L1110" i="1"/>
  <c r="K1110" i="1"/>
  <c r="J1110" i="1"/>
  <c r="M1109" i="1"/>
  <c r="L1109" i="1"/>
  <c r="K1109" i="1"/>
  <c r="J1109" i="1"/>
  <c r="M1108" i="1"/>
  <c r="L1108" i="1"/>
  <c r="K1108" i="1"/>
  <c r="J1108" i="1"/>
  <c r="M1107" i="1"/>
  <c r="L1107" i="1"/>
  <c r="K1107" i="1"/>
  <c r="J1107" i="1"/>
  <c r="M1106" i="1"/>
  <c r="L1106" i="1"/>
  <c r="K1106" i="1"/>
  <c r="J1106" i="1"/>
  <c r="M1105" i="1"/>
  <c r="L1105" i="1"/>
  <c r="K1105" i="1"/>
  <c r="J1105" i="1"/>
  <c r="M1104" i="1"/>
  <c r="L1104" i="1"/>
  <c r="K1104" i="1"/>
  <c r="J1104" i="1"/>
  <c r="M1103" i="1"/>
  <c r="L1103" i="1"/>
  <c r="K1103" i="1"/>
  <c r="J1103" i="1"/>
  <c r="M1102" i="1"/>
  <c r="L1102" i="1"/>
  <c r="K1102" i="1"/>
  <c r="J1102" i="1"/>
  <c r="M1101" i="1"/>
  <c r="L1101" i="1"/>
  <c r="K1101" i="1"/>
  <c r="J1101" i="1"/>
  <c r="M1100" i="1"/>
  <c r="L1100" i="1"/>
  <c r="K1100" i="1"/>
  <c r="J1100" i="1"/>
  <c r="M1099" i="1"/>
  <c r="L1099" i="1"/>
  <c r="K1099" i="1"/>
  <c r="J1099" i="1"/>
  <c r="M1098" i="1"/>
  <c r="L1098" i="1"/>
  <c r="K1098" i="1"/>
  <c r="J1098" i="1"/>
  <c r="M1097" i="1"/>
  <c r="L1097" i="1"/>
  <c r="K1097" i="1"/>
  <c r="J1097" i="1"/>
  <c r="M1096" i="1"/>
  <c r="L1096" i="1"/>
  <c r="K1096" i="1"/>
  <c r="J1096" i="1"/>
  <c r="M1095" i="1"/>
  <c r="L1095" i="1"/>
  <c r="K1095" i="1"/>
  <c r="J1095" i="1"/>
  <c r="M1094" i="1"/>
  <c r="L1094" i="1"/>
  <c r="K1094" i="1"/>
  <c r="J1094" i="1"/>
  <c r="M1093" i="1"/>
  <c r="L1093" i="1"/>
  <c r="K1093" i="1"/>
  <c r="J1093" i="1"/>
  <c r="M1092" i="1"/>
  <c r="L1092" i="1"/>
  <c r="K1092" i="1"/>
  <c r="J1092" i="1"/>
  <c r="M1091" i="1"/>
  <c r="L1091" i="1"/>
  <c r="K1091" i="1"/>
  <c r="J1091" i="1"/>
  <c r="M1090" i="1"/>
  <c r="L1090" i="1"/>
  <c r="K1090" i="1"/>
  <c r="J1090" i="1"/>
  <c r="M1089" i="1"/>
  <c r="L1089" i="1"/>
  <c r="K1089" i="1"/>
  <c r="J1089" i="1"/>
  <c r="M1088" i="1"/>
  <c r="L1088" i="1"/>
  <c r="K1088" i="1"/>
  <c r="J1088" i="1"/>
  <c r="M1087" i="1"/>
  <c r="L1087" i="1"/>
  <c r="K1087" i="1"/>
  <c r="J1087" i="1"/>
  <c r="M1086" i="1"/>
  <c r="L1086" i="1"/>
  <c r="K1086" i="1"/>
  <c r="J1086" i="1"/>
  <c r="M1085" i="1"/>
  <c r="L1085" i="1"/>
  <c r="K1085" i="1"/>
  <c r="J1085" i="1"/>
  <c r="M1084" i="1"/>
  <c r="L1084" i="1"/>
  <c r="K1084" i="1"/>
  <c r="J1084" i="1"/>
  <c r="M1083" i="1"/>
  <c r="L1083" i="1"/>
  <c r="K1083" i="1"/>
  <c r="J1083" i="1"/>
  <c r="M1082" i="1"/>
  <c r="L1082" i="1"/>
  <c r="K1082" i="1"/>
  <c r="J1082" i="1"/>
  <c r="M1081" i="1"/>
  <c r="L1081" i="1"/>
  <c r="K1081" i="1"/>
  <c r="J1081" i="1"/>
  <c r="M1080" i="1"/>
  <c r="L1080" i="1"/>
  <c r="K1080" i="1"/>
  <c r="J1080" i="1"/>
  <c r="M1079" i="1"/>
  <c r="L1079" i="1"/>
  <c r="K1079" i="1"/>
  <c r="J1079" i="1"/>
  <c r="M1078" i="1"/>
  <c r="L1078" i="1"/>
  <c r="K1078" i="1"/>
  <c r="J1078" i="1"/>
  <c r="M1077" i="1"/>
  <c r="L1077" i="1"/>
  <c r="K1077" i="1"/>
  <c r="J1077" i="1"/>
  <c r="M1076" i="1"/>
  <c r="L1076" i="1"/>
  <c r="K1076" i="1"/>
  <c r="J1076" i="1"/>
  <c r="M1075" i="1"/>
  <c r="L1075" i="1"/>
  <c r="K1075" i="1"/>
  <c r="J1075" i="1"/>
  <c r="M1074" i="1"/>
  <c r="L1074" i="1"/>
  <c r="K1074" i="1"/>
  <c r="J1074" i="1"/>
  <c r="M1073" i="1"/>
  <c r="L1073" i="1"/>
  <c r="K1073" i="1"/>
  <c r="J1073" i="1"/>
  <c r="M1072" i="1"/>
  <c r="L1072" i="1"/>
  <c r="K1072" i="1"/>
  <c r="J1072" i="1"/>
  <c r="M1071" i="1"/>
  <c r="L1071" i="1"/>
  <c r="K1071" i="1"/>
  <c r="J1071" i="1"/>
  <c r="M1070" i="1"/>
  <c r="L1070" i="1"/>
  <c r="K1070" i="1"/>
  <c r="J1070" i="1"/>
  <c r="M1069" i="1"/>
  <c r="L1069" i="1"/>
  <c r="K1069" i="1"/>
  <c r="J1069" i="1"/>
  <c r="M1068" i="1"/>
  <c r="L1068" i="1"/>
  <c r="K1068" i="1"/>
  <c r="J1068" i="1"/>
  <c r="M1067" i="1"/>
  <c r="L1067" i="1"/>
  <c r="K1067" i="1"/>
  <c r="J1067" i="1"/>
  <c r="M1066" i="1"/>
  <c r="L1066" i="1"/>
  <c r="K1066" i="1"/>
  <c r="J1066" i="1"/>
  <c r="M1065" i="1"/>
  <c r="L1065" i="1"/>
  <c r="K1065" i="1"/>
  <c r="J1065" i="1"/>
  <c r="M1064" i="1"/>
  <c r="L1064" i="1"/>
  <c r="K1064" i="1"/>
  <c r="J1064" i="1"/>
  <c r="M1063" i="1"/>
  <c r="L1063" i="1"/>
  <c r="K1063" i="1"/>
  <c r="J1063" i="1"/>
  <c r="M1062" i="1"/>
  <c r="L1062" i="1"/>
  <c r="K1062" i="1"/>
  <c r="J1062" i="1"/>
  <c r="M1061" i="1"/>
  <c r="L1061" i="1"/>
  <c r="K1061" i="1"/>
  <c r="J1061" i="1"/>
  <c r="M1060" i="1"/>
  <c r="L1060" i="1"/>
  <c r="K1060" i="1"/>
  <c r="J1060" i="1"/>
  <c r="M1059" i="1"/>
  <c r="L1059" i="1"/>
  <c r="K1059" i="1"/>
  <c r="J1059" i="1"/>
  <c r="M1058" i="1"/>
  <c r="L1058" i="1"/>
  <c r="K1058" i="1"/>
  <c r="J1058" i="1"/>
  <c r="M1057" i="1"/>
  <c r="L1057" i="1"/>
  <c r="K1057" i="1"/>
  <c r="J1057" i="1"/>
  <c r="M1056" i="1"/>
  <c r="L1056" i="1"/>
  <c r="K1056" i="1"/>
  <c r="J1056" i="1"/>
  <c r="M1055" i="1"/>
  <c r="L1055" i="1"/>
  <c r="K1055" i="1"/>
  <c r="J1055" i="1"/>
  <c r="M1054" i="1"/>
  <c r="L1054" i="1"/>
  <c r="K1054" i="1"/>
  <c r="J1054" i="1"/>
  <c r="M1053" i="1"/>
  <c r="L1053" i="1"/>
  <c r="K1053" i="1"/>
  <c r="J1053" i="1"/>
  <c r="M1052" i="1"/>
  <c r="L1052" i="1"/>
  <c r="K1052" i="1"/>
  <c r="J1052" i="1"/>
  <c r="M1051" i="1"/>
  <c r="L1051" i="1"/>
  <c r="K1051" i="1"/>
  <c r="J1051" i="1"/>
  <c r="M1050" i="1"/>
  <c r="L1050" i="1"/>
  <c r="K1050" i="1"/>
  <c r="J1050" i="1"/>
  <c r="M1049" i="1"/>
  <c r="L1049" i="1"/>
  <c r="K1049" i="1"/>
  <c r="J1049" i="1"/>
  <c r="M1048" i="1"/>
  <c r="L1048" i="1"/>
  <c r="K1048" i="1"/>
  <c r="J1048" i="1"/>
  <c r="M1047" i="1"/>
  <c r="L1047" i="1"/>
  <c r="K1047" i="1"/>
  <c r="J1047" i="1"/>
  <c r="M1046" i="1"/>
  <c r="L1046" i="1"/>
  <c r="K1046" i="1"/>
  <c r="J1046" i="1"/>
  <c r="M1045" i="1"/>
  <c r="L1045" i="1"/>
  <c r="K1045" i="1"/>
  <c r="J1045" i="1"/>
  <c r="M1044" i="1"/>
  <c r="L1044" i="1"/>
  <c r="K1044" i="1"/>
  <c r="J1044" i="1"/>
  <c r="M1043" i="1"/>
  <c r="L1043" i="1"/>
  <c r="K1043" i="1"/>
  <c r="J1043" i="1"/>
  <c r="M1042" i="1"/>
  <c r="L1042" i="1"/>
  <c r="K1042" i="1"/>
  <c r="J1042" i="1"/>
  <c r="M1041" i="1"/>
  <c r="L1041" i="1"/>
  <c r="K1041" i="1"/>
  <c r="J1041" i="1"/>
  <c r="M1040" i="1"/>
  <c r="L1040" i="1"/>
  <c r="K1040" i="1"/>
  <c r="J1040" i="1"/>
  <c r="M1039" i="1"/>
  <c r="L1039" i="1"/>
  <c r="K1039" i="1"/>
  <c r="J1039" i="1"/>
  <c r="M1038" i="1"/>
  <c r="L1038" i="1"/>
  <c r="K1038" i="1"/>
  <c r="J1038" i="1"/>
  <c r="M1037" i="1"/>
  <c r="L1037" i="1"/>
  <c r="K1037" i="1"/>
  <c r="J1037" i="1"/>
  <c r="M1036" i="1"/>
  <c r="L1036" i="1"/>
  <c r="K1036" i="1"/>
  <c r="J1036" i="1"/>
  <c r="M1035" i="1"/>
  <c r="L1035" i="1"/>
  <c r="K1035" i="1"/>
  <c r="J1035" i="1"/>
  <c r="M1034" i="1"/>
  <c r="L1034" i="1"/>
  <c r="K1034" i="1"/>
  <c r="J1034" i="1"/>
  <c r="M1033" i="1"/>
  <c r="L1033" i="1"/>
  <c r="K1033" i="1"/>
  <c r="J1033" i="1"/>
  <c r="M1032" i="1"/>
  <c r="L1032" i="1"/>
  <c r="K1032" i="1"/>
  <c r="J1032" i="1"/>
  <c r="M1031" i="1"/>
  <c r="L1031" i="1"/>
  <c r="K1031" i="1"/>
  <c r="J1031" i="1"/>
  <c r="M1030" i="1"/>
  <c r="L1030" i="1"/>
  <c r="K1030" i="1"/>
  <c r="J1030" i="1"/>
  <c r="M1029" i="1"/>
  <c r="L1029" i="1"/>
  <c r="K1029" i="1"/>
  <c r="J1029" i="1"/>
  <c r="M1028" i="1"/>
  <c r="L1028" i="1"/>
  <c r="K1028" i="1"/>
  <c r="J1028" i="1"/>
  <c r="M1027" i="1"/>
  <c r="L1027" i="1"/>
  <c r="K1027" i="1"/>
  <c r="J1027" i="1"/>
  <c r="M1026" i="1"/>
  <c r="L1026" i="1"/>
  <c r="K1026" i="1"/>
  <c r="J1026" i="1"/>
  <c r="M1025" i="1"/>
  <c r="L1025" i="1"/>
  <c r="K1025" i="1"/>
  <c r="J1025" i="1"/>
  <c r="M1024" i="1"/>
  <c r="L1024" i="1"/>
  <c r="K1024" i="1"/>
  <c r="J1024" i="1"/>
  <c r="M1023" i="1"/>
  <c r="L1023" i="1"/>
  <c r="K1023" i="1"/>
  <c r="J1023" i="1"/>
  <c r="M1022" i="1"/>
  <c r="L1022" i="1"/>
  <c r="K1022" i="1"/>
  <c r="J1022" i="1"/>
  <c r="M1021" i="1"/>
  <c r="L1021" i="1"/>
  <c r="K1021" i="1"/>
  <c r="J1021" i="1"/>
  <c r="M1020" i="1"/>
  <c r="L1020" i="1"/>
  <c r="K1020" i="1"/>
  <c r="J1020" i="1"/>
  <c r="M1019" i="1"/>
  <c r="L1019" i="1"/>
  <c r="K1019" i="1"/>
  <c r="J1019" i="1"/>
  <c r="M1018" i="1"/>
  <c r="L1018" i="1"/>
  <c r="K1018" i="1"/>
  <c r="J1018" i="1"/>
  <c r="M1017" i="1"/>
  <c r="L1017" i="1"/>
  <c r="K1017" i="1"/>
  <c r="J1017" i="1"/>
  <c r="M1016" i="1"/>
  <c r="L1016" i="1"/>
  <c r="K1016" i="1"/>
  <c r="J1016" i="1"/>
  <c r="M1015" i="1"/>
  <c r="L1015" i="1"/>
  <c r="K1015" i="1"/>
  <c r="J1015" i="1"/>
  <c r="M1014" i="1"/>
  <c r="L1014" i="1"/>
  <c r="K1014" i="1"/>
  <c r="J1014" i="1"/>
  <c r="M1013" i="1"/>
  <c r="L1013" i="1"/>
  <c r="O836" i="11" s="1"/>
  <c r="K1013" i="1"/>
  <c r="J1013" i="1"/>
  <c r="M1012" i="1"/>
  <c r="L1012" i="1"/>
  <c r="K1012" i="1"/>
  <c r="J1012" i="1"/>
  <c r="M1011" i="1"/>
  <c r="L1011" i="1"/>
  <c r="K1011" i="1"/>
  <c r="J1011" i="1"/>
  <c r="M1010" i="1"/>
  <c r="L1010" i="1"/>
  <c r="K1010" i="1"/>
  <c r="J1010" i="1"/>
  <c r="M1009" i="1"/>
  <c r="L1009" i="1"/>
  <c r="K1009" i="1"/>
  <c r="J1009" i="1"/>
  <c r="M1008" i="1"/>
  <c r="L1008" i="1"/>
  <c r="K1008" i="1"/>
  <c r="J1008" i="1"/>
  <c r="M1007" i="1"/>
  <c r="L1007" i="1"/>
  <c r="K1007" i="1"/>
  <c r="J1007" i="1"/>
  <c r="M1006" i="1"/>
  <c r="L1006" i="1"/>
  <c r="K1006" i="1"/>
  <c r="J1006" i="1"/>
  <c r="M1005" i="1"/>
  <c r="L1005" i="1"/>
  <c r="K1005" i="1"/>
  <c r="J1005" i="1"/>
  <c r="M1004" i="1"/>
  <c r="L1004" i="1"/>
  <c r="K1004" i="1"/>
  <c r="J1004" i="1"/>
  <c r="M1003" i="1"/>
  <c r="L1003" i="1"/>
  <c r="K1003" i="1"/>
  <c r="J1003" i="1"/>
  <c r="M1002" i="1"/>
  <c r="L1002" i="1"/>
  <c r="K1002" i="1"/>
  <c r="J1002" i="1"/>
  <c r="M1001" i="1"/>
  <c r="L1001" i="1"/>
  <c r="K1001" i="1"/>
  <c r="J1001" i="1"/>
  <c r="M1000" i="1"/>
  <c r="L1000" i="1"/>
  <c r="K1000" i="1"/>
  <c r="J1000" i="1"/>
  <c r="M999" i="1"/>
  <c r="L999" i="1"/>
  <c r="K999" i="1"/>
  <c r="J999" i="1"/>
  <c r="M998" i="1"/>
  <c r="L998" i="1"/>
  <c r="K998" i="1"/>
  <c r="J998" i="1"/>
  <c r="M997" i="1"/>
  <c r="L997" i="1"/>
  <c r="K997" i="1"/>
  <c r="J997" i="1"/>
  <c r="M996" i="1"/>
  <c r="L996" i="1"/>
  <c r="K996" i="1"/>
  <c r="J996" i="1"/>
  <c r="M995" i="1"/>
  <c r="L995" i="1"/>
  <c r="K995" i="1"/>
  <c r="J995" i="1"/>
  <c r="M994" i="1"/>
  <c r="L994" i="1"/>
  <c r="K994" i="1"/>
  <c r="J994" i="1"/>
  <c r="M993" i="1"/>
  <c r="L993" i="1"/>
  <c r="K993" i="1"/>
  <c r="J993" i="1"/>
  <c r="M992" i="1"/>
  <c r="L992" i="1"/>
  <c r="K992" i="1"/>
  <c r="J992" i="1"/>
  <c r="M991" i="1"/>
  <c r="L991" i="1"/>
  <c r="K991" i="1"/>
  <c r="J991" i="1"/>
  <c r="M990" i="1"/>
  <c r="L990" i="1"/>
  <c r="K990" i="1"/>
  <c r="J990" i="1"/>
  <c r="M989" i="1"/>
  <c r="L989" i="1"/>
  <c r="K989" i="1"/>
  <c r="J989" i="1"/>
  <c r="M988" i="1"/>
  <c r="L988" i="1"/>
  <c r="K988" i="1"/>
  <c r="J988" i="1"/>
  <c r="M987" i="1"/>
  <c r="L987" i="1"/>
  <c r="K987" i="1"/>
  <c r="J987" i="1"/>
  <c r="M986" i="1"/>
  <c r="L986" i="1"/>
  <c r="K986" i="1"/>
  <c r="J986" i="1"/>
  <c r="M985" i="1"/>
  <c r="L985" i="1"/>
  <c r="K985" i="1"/>
  <c r="J985" i="1"/>
  <c r="M984" i="1"/>
  <c r="L984" i="1"/>
  <c r="K984" i="1"/>
  <c r="J984" i="1"/>
  <c r="M983" i="1"/>
  <c r="L983" i="1"/>
  <c r="K983" i="1"/>
  <c r="J983" i="1"/>
  <c r="M982" i="1"/>
  <c r="L982" i="1"/>
  <c r="K982" i="1"/>
  <c r="J982" i="1"/>
  <c r="M981" i="1"/>
  <c r="L981" i="1"/>
  <c r="K981" i="1"/>
  <c r="J981" i="1"/>
  <c r="M980" i="1"/>
  <c r="L980" i="1"/>
  <c r="K980" i="1"/>
  <c r="J980" i="1"/>
  <c r="M979" i="1"/>
  <c r="L979" i="1"/>
  <c r="K979" i="1"/>
  <c r="J979" i="1"/>
  <c r="M978" i="1"/>
  <c r="L978" i="1"/>
  <c r="K978" i="1"/>
  <c r="J978" i="1"/>
  <c r="M977" i="1"/>
  <c r="L977" i="1"/>
  <c r="K977" i="1"/>
  <c r="J977" i="1"/>
  <c r="M976" i="1"/>
  <c r="L976" i="1"/>
  <c r="K976" i="1"/>
  <c r="J976" i="1"/>
  <c r="M975" i="1"/>
  <c r="L975" i="1"/>
  <c r="K975" i="1"/>
  <c r="J975" i="1"/>
  <c r="M974" i="1"/>
  <c r="L974" i="1"/>
  <c r="K974" i="1"/>
  <c r="J974" i="1"/>
  <c r="M973" i="1"/>
  <c r="L973" i="1"/>
  <c r="K973" i="1"/>
  <c r="J973" i="1"/>
  <c r="M972" i="1"/>
  <c r="L972" i="1"/>
  <c r="K972" i="1"/>
  <c r="J972" i="1"/>
  <c r="M971" i="1"/>
  <c r="L971" i="1"/>
  <c r="K971" i="1"/>
  <c r="J971" i="1"/>
  <c r="M970" i="1"/>
  <c r="L970" i="1"/>
  <c r="K970" i="1"/>
  <c r="J970" i="1"/>
  <c r="M969" i="1"/>
  <c r="L969" i="1"/>
  <c r="K969" i="1"/>
  <c r="J969" i="1"/>
  <c r="M968" i="1"/>
  <c r="L968" i="1"/>
  <c r="K968" i="1"/>
  <c r="J968" i="1"/>
  <c r="M967" i="1"/>
  <c r="L967" i="1"/>
  <c r="K967" i="1"/>
  <c r="J967" i="1"/>
  <c r="M966" i="1"/>
  <c r="L966" i="1"/>
  <c r="K966" i="1"/>
  <c r="J966" i="1"/>
  <c r="M965" i="1"/>
  <c r="L965" i="1"/>
  <c r="K965" i="1"/>
  <c r="J965" i="1"/>
  <c r="M964" i="1"/>
  <c r="L964" i="1"/>
  <c r="K964" i="1"/>
  <c r="J964" i="1"/>
  <c r="M963" i="1"/>
  <c r="L963" i="1"/>
  <c r="K963" i="1"/>
  <c r="J963" i="1"/>
  <c r="M962" i="1"/>
  <c r="L962" i="1"/>
  <c r="K962" i="1"/>
  <c r="J962" i="1"/>
  <c r="M961" i="1"/>
  <c r="L961" i="1"/>
  <c r="K961" i="1"/>
  <c r="J961" i="1"/>
  <c r="M960" i="1"/>
  <c r="L960" i="1"/>
  <c r="K960" i="1"/>
  <c r="J960" i="1"/>
  <c r="M959" i="1"/>
  <c r="L959" i="1"/>
  <c r="K959" i="1"/>
  <c r="J959" i="1"/>
  <c r="M958" i="1"/>
  <c r="L958" i="1"/>
  <c r="K958" i="1"/>
  <c r="J958" i="1"/>
  <c r="M957" i="1"/>
  <c r="L957" i="1"/>
  <c r="K957" i="1"/>
  <c r="J957" i="1"/>
  <c r="M956" i="1"/>
  <c r="L956" i="1"/>
  <c r="K956" i="1"/>
  <c r="J956" i="1"/>
  <c r="M955" i="1"/>
  <c r="L955" i="1"/>
  <c r="K955" i="1"/>
  <c r="J955" i="1"/>
  <c r="M954" i="1"/>
  <c r="L954" i="1"/>
  <c r="K954" i="1"/>
  <c r="J954" i="1"/>
  <c r="M953" i="1"/>
  <c r="L953" i="1"/>
  <c r="K953" i="1"/>
  <c r="J953" i="1"/>
  <c r="M952" i="1"/>
  <c r="L952" i="1"/>
  <c r="K952" i="1"/>
  <c r="J952" i="1"/>
  <c r="M951" i="1"/>
  <c r="L951" i="1"/>
  <c r="K951" i="1"/>
  <c r="J951" i="1"/>
  <c r="M950" i="1"/>
  <c r="L950" i="1"/>
  <c r="K950" i="1"/>
  <c r="J950" i="1"/>
  <c r="M949" i="1"/>
  <c r="L949" i="1"/>
  <c r="K949" i="1"/>
  <c r="J949" i="1"/>
  <c r="M948" i="1"/>
  <c r="L948" i="1"/>
  <c r="K948" i="1"/>
  <c r="J948" i="1"/>
  <c r="M947" i="1"/>
  <c r="L947" i="1"/>
  <c r="K947" i="1"/>
  <c r="J947" i="1"/>
  <c r="M946" i="1"/>
  <c r="L946" i="1"/>
  <c r="K946" i="1"/>
  <c r="J946" i="1"/>
  <c r="M945" i="1"/>
  <c r="L945" i="1"/>
  <c r="K945" i="1"/>
  <c r="J945" i="1"/>
  <c r="M944" i="1"/>
  <c r="L944" i="1"/>
  <c r="K944" i="1"/>
  <c r="J944" i="1"/>
  <c r="M943" i="1"/>
  <c r="L943" i="1"/>
  <c r="K943" i="1"/>
  <c r="J943" i="1"/>
  <c r="M942" i="1"/>
  <c r="L942" i="1"/>
  <c r="K942" i="1"/>
  <c r="J942" i="1"/>
  <c r="M941" i="1"/>
  <c r="L941" i="1"/>
  <c r="K941" i="1"/>
  <c r="J941" i="1"/>
  <c r="M940" i="1"/>
  <c r="L940" i="1"/>
  <c r="K940" i="1"/>
  <c r="J940" i="1"/>
  <c r="M939" i="1"/>
  <c r="L939" i="1"/>
  <c r="K939" i="1"/>
  <c r="J939" i="1"/>
  <c r="M938" i="1"/>
  <c r="L938" i="1"/>
  <c r="K938" i="1"/>
  <c r="J938" i="1"/>
  <c r="M937" i="1"/>
  <c r="L937" i="1"/>
  <c r="K937" i="1"/>
  <c r="J937" i="1"/>
  <c r="M936" i="1"/>
  <c r="L936" i="1"/>
  <c r="K936" i="1"/>
  <c r="J936" i="1"/>
  <c r="M935" i="1"/>
  <c r="L935" i="1"/>
  <c r="K935" i="1"/>
  <c r="J935" i="1"/>
  <c r="M934" i="1"/>
  <c r="L934" i="1"/>
  <c r="K934" i="1"/>
  <c r="J934" i="1"/>
  <c r="M933" i="1"/>
  <c r="L933" i="1"/>
  <c r="K933" i="1"/>
  <c r="J933" i="1"/>
  <c r="M932" i="1"/>
  <c r="L932" i="1"/>
  <c r="K932" i="1"/>
  <c r="J932" i="1"/>
  <c r="M931" i="1"/>
  <c r="L931" i="1"/>
  <c r="K931" i="1"/>
  <c r="J931" i="1"/>
  <c r="M930" i="1"/>
  <c r="L930" i="1"/>
  <c r="K930" i="1"/>
  <c r="J930" i="1"/>
  <c r="M929" i="1"/>
  <c r="L929" i="1"/>
  <c r="K929" i="1"/>
  <c r="J929" i="1"/>
  <c r="M928" i="1"/>
  <c r="L928" i="1"/>
  <c r="K928" i="1"/>
  <c r="J928" i="1"/>
  <c r="M927" i="1"/>
  <c r="L927" i="1"/>
  <c r="K927" i="1"/>
  <c r="J927" i="1"/>
  <c r="M926" i="1"/>
  <c r="L926" i="1"/>
  <c r="K926" i="1"/>
  <c r="J926" i="1"/>
  <c r="M925" i="1"/>
  <c r="L925" i="1"/>
  <c r="O999" i="11" s="1"/>
  <c r="K925" i="1"/>
  <c r="J925" i="1"/>
  <c r="M924" i="1"/>
  <c r="L924" i="1"/>
  <c r="K924" i="1"/>
  <c r="J924" i="1"/>
  <c r="M923" i="1"/>
  <c r="L923" i="1"/>
  <c r="K923" i="1"/>
  <c r="J923" i="1"/>
  <c r="M922" i="1"/>
  <c r="L922" i="1"/>
  <c r="K922" i="1"/>
  <c r="J922" i="1"/>
  <c r="M921" i="1"/>
  <c r="L921" i="1"/>
  <c r="K921" i="1"/>
  <c r="J921" i="1"/>
  <c r="M920" i="1"/>
  <c r="L920" i="1"/>
  <c r="K920" i="1"/>
  <c r="J920" i="1"/>
  <c r="M919" i="1"/>
  <c r="L919" i="1"/>
  <c r="K919" i="1"/>
  <c r="J919" i="1"/>
  <c r="M918" i="1"/>
  <c r="L918" i="1"/>
  <c r="K918" i="1"/>
  <c r="J918" i="1"/>
  <c r="M917" i="1"/>
  <c r="L917" i="1"/>
  <c r="K917" i="1"/>
  <c r="J917" i="1"/>
  <c r="M916" i="1"/>
  <c r="L916" i="1"/>
  <c r="K916" i="1"/>
  <c r="J916" i="1"/>
  <c r="M915" i="1"/>
  <c r="L915" i="1"/>
  <c r="K915" i="1"/>
  <c r="J915" i="1"/>
  <c r="M914" i="1"/>
  <c r="L914" i="1"/>
  <c r="K914" i="1"/>
  <c r="J914" i="1"/>
  <c r="M913" i="1"/>
  <c r="L913" i="1"/>
  <c r="K913" i="1"/>
  <c r="J913" i="1"/>
  <c r="M912" i="1"/>
  <c r="L912" i="1"/>
  <c r="K912" i="1"/>
  <c r="J912" i="1"/>
  <c r="M911" i="1"/>
  <c r="L911" i="1"/>
  <c r="O949" i="11" s="1"/>
  <c r="K911" i="1"/>
  <c r="J911" i="1"/>
  <c r="M910" i="1"/>
  <c r="L910" i="1"/>
  <c r="K910" i="1"/>
  <c r="J910" i="1"/>
  <c r="M909" i="1"/>
  <c r="L909" i="1"/>
  <c r="K909" i="1"/>
  <c r="J909" i="1"/>
  <c r="M908" i="1"/>
  <c r="L908" i="1"/>
  <c r="K908" i="1"/>
  <c r="J908" i="1"/>
  <c r="M907" i="1"/>
  <c r="L907" i="1"/>
  <c r="K907" i="1"/>
  <c r="J907" i="1"/>
  <c r="M906" i="1"/>
  <c r="L906" i="1"/>
  <c r="K906" i="1"/>
  <c r="J906" i="1"/>
  <c r="M905" i="1"/>
  <c r="L905" i="1"/>
  <c r="K905" i="1"/>
  <c r="J905" i="1"/>
  <c r="M904" i="1"/>
  <c r="L904" i="1"/>
  <c r="K904" i="1"/>
  <c r="J904" i="1"/>
  <c r="M903" i="1"/>
  <c r="L903" i="1"/>
  <c r="K903" i="1"/>
  <c r="J903" i="1"/>
  <c r="M902" i="1"/>
  <c r="L902" i="1"/>
  <c r="K902" i="1"/>
  <c r="J902" i="1"/>
  <c r="M901" i="1"/>
  <c r="L901" i="1"/>
  <c r="K901" i="1"/>
  <c r="J901" i="1"/>
  <c r="M900" i="1"/>
  <c r="L900" i="1"/>
  <c r="K900" i="1"/>
  <c r="J900" i="1"/>
  <c r="M899" i="1"/>
  <c r="L899" i="1"/>
  <c r="K899" i="1"/>
  <c r="J899" i="1"/>
  <c r="M898" i="1"/>
  <c r="L898" i="1"/>
  <c r="K898" i="1"/>
  <c r="J898" i="1"/>
  <c r="M897" i="1"/>
  <c r="L897" i="1"/>
  <c r="K897" i="1"/>
  <c r="J897" i="1"/>
  <c r="M896" i="1"/>
  <c r="L896" i="1"/>
  <c r="K896" i="1"/>
  <c r="J896" i="1"/>
  <c r="M895" i="1"/>
  <c r="L895" i="1"/>
  <c r="K895" i="1"/>
  <c r="J895" i="1"/>
  <c r="M894" i="1"/>
  <c r="L894" i="1"/>
  <c r="K894" i="1"/>
  <c r="J894" i="1"/>
  <c r="M893" i="1"/>
  <c r="L893" i="1"/>
  <c r="K893" i="1"/>
  <c r="J893" i="1"/>
  <c r="M892" i="1"/>
  <c r="L892" i="1"/>
  <c r="K892" i="1"/>
  <c r="J892" i="1"/>
  <c r="M891" i="1"/>
  <c r="L891" i="1"/>
  <c r="K891" i="1"/>
  <c r="J891" i="1"/>
  <c r="M890" i="1"/>
  <c r="L890" i="1"/>
  <c r="K890" i="1"/>
  <c r="J890" i="1"/>
  <c r="M889" i="1"/>
  <c r="L889" i="1"/>
  <c r="K889" i="1"/>
  <c r="J889" i="1"/>
  <c r="M888" i="1"/>
  <c r="L888" i="1"/>
  <c r="K888" i="1"/>
  <c r="J888" i="1"/>
  <c r="M887" i="1"/>
  <c r="L887" i="1"/>
  <c r="K887" i="1"/>
  <c r="J887" i="1"/>
  <c r="M886" i="1"/>
  <c r="L886" i="1"/>
  <c r="K886" i="1"/>
  <c r="J886" i="1"/>
  <c r="M885" i="1"/>
  <c r="L885" i="1"/>
  <c r="K885" i="1"/>
  <c r="J885" i="1"/>
  <c r="M884" i="1"/>
  <c r="L884" i="1"/>
  <c r="K884" i="1"/>
  <c r="J884" i="1"/>
  <c r="M883" i="1"/>
  <c r="L883" i="1"/>
  <c r="K883" i="1"/>
  <c r="J883" i="1"/>
  <c r="M882" i="1"/>
  <c r="L882" i="1"/>
  <c r="K882" i="1"/>
  <c r="J882" i="1"/>
  <c r="M881" i="1"/>
  <c r="L881" i="1"/>
  <c r="K881" i="1"/>
  <c r="J881" i="1"/>
  <c r="M880" i="1"/>
  <c r="L880" i="1"/>
  <c r="K880" i="1"/>
  <c r="J880" i="1"/>
  <c r="M879" i="1"/>
  <c r="L879" i="1"/>
  <c r="K879" i="1"/>
  <c r="J879" i="1"/>
  <c r="M878" i="1"/>
  <c r="L878" i="1"/>
  <c r="K878" i="1"/>
  <c r="J878" i="1"/>
  <c r="M877" i="1"/>
  <c r="L877" i="1"/>
  <c r="K877" i="1"/>
  <c r="J877" i="1"/>
  <c r="M876" i="1"/>
  <c r="L876" i="1"/>
  <c r="K876" i="1"/>
  <c r="J876" i="1"/>
  <c r="M875" i="1"/>
  <c r="L875" i="1"/>
  <c r="K875" i="1"/>
  <c r="J875" i="1"/>
  <c r="M874" i="1"/>
  <c r="L874" i="1"/>
  <c r="K874" i="1"/>
  <c r="J874" i="1"/>
  <c r="M873" i="1"/>
  <c r="L873" i="1"/>
  <c r="K873" i="1"/>
  <c r="J873" i="1"/>
  <c r="M872" i="1"/>
  <c r="L872" i="1"/>
  <c r="K872" i="1"/>
  <c r="J872" i="1"/>
  <c r="M871" i="1"/>
  <c r="L871" i="1"/>
  <c r="K871" i="1"/>
  <c r="J871" i="1"/>
  <c r="M870" i="1"/>
  <c r="L870" i="1"/>
  <c r="K870" i="1"/>
  <c r="J870" i="1"/>
  <c r="M869" i="1"/>
  <c r="L869" i="1"/>
  <c r="K869" i="1"/>
  <c r="J869" i="1"/>
  <c r="M868" i="1"/>
  <c r="L868" i="1"/>
  <c r="K868" i="1"/>
  <c r="J868" i="1"/>
  <c r="M867" i="1"/>
  <c r="L867" i="1"/>
  <c r="K867" i="1"/>
  <c r="J867" i="1"/>
  <c r="M866" i="1"/>
  <c r="L866" i="1"/>
  <c r="K866" i="1"/>
  <c r="J866" i="1"/>
  <c r="M865" i="1"/>
  <c r="L865" i="1"/>
  <c r="K865" i="1"/>
  <c r="J865" i="1"/>
  <c r="M864" i="1"/>
  <c r="L864" i="1"/>
  <c r="K864" i="1"/>
  <c r="J864" i="1"/>
  <c r="M863" i="1"/>
  <c r="L863" i="1"/>
  <c r="K863" i="1"/>
  <c r="J863" i="1"/>
  <c r="M862" i="1"/>
  <c r="L862" i="1"/>
  <c r="K862" i="1"/>
  <c r="J862" i="1"/>
  <c r="M861" i="1"/>
  <c r="L861" i="1"/>
  <c r="K861" i="1"/>
  <c r="J861" i="1"/>
  <c r="M860" i="1"/>
  <c r="L860" i="1"/>
  <c r="K860" i="1"/>
  <c r="J860" i="1"/>
  <c r="M859" i="1"/>
  <c r="L859" i="1"/>
  <c r="K859" i="1"/>
  <c r="J859" i="1"/>
  <c r="M858" i="1"/>
  <c r="L858" i="1"/>
  <c r="K858" i="1"/>
  <c r="J858" i="1"/>
  <c r="M857" i="1"/>
  <c r="L857" i="1"/>
  <c r="K857" i="1"/>
  <c r="J857" i="1"/>
  <c r="M856" i="1"/>
  <c r="L856" i="1"/>
  <c r="K856" i="1"/>
  <c r="J856" i="1"/>
  <c r="M855" i="1"/>
  <c r="L855" i="1"/>
  <c r="K855" i="1"/>
  <c r="J855" i="1"/>
  <c r="M854" i="1"/>
  <c r="L854" i="1"/>
  <c r="K854" i="1"/>
  <c r="J854" i="1"/>
  <c r="M853" i="1"/>
  <c r="L853" i="1"/>
  <c r="K853" i="1"/>
  <c r="J853" i="1"/>
  <c r="M852" i="1"/>
  <c r="L852" i="1"/>
  <c r="K852" i="1"/>
  <c r="J852" i="1"/>
  <c r="M851" i="1"/>
  <c r="L851" i="1"/>
  <c r="K851" i="1"/>
  <c r="J851" i="1"/>
  <c r="M850" i="1"/>
  <c r="L850" i="1"/>
  <c r="K850" i="1"/>
  <c r="J850" i="1"/>
  <c r="M849" i="1"/>
  <c r="L849" i="1"/>
  <c r="K849" i="1"/>
  <c r="J849" i="1"/>
  <c r="M848" i="1"/>
  <c r="L848" i="1"/>
  <c r="K848" i="1"/>
  <c r="J848" i="1"/>
  <c r="M847" i="1"/>
  <c r="L847" i="1"/>
  <c r="K847" i="1"/>
  <c r="J847" i="1"/>
  <c r="M846" i="1"/>
  <c r="L846" i="1"/>
  <c r="K846" i="1"/>
  <c r="J846" i="1"/>
  <c r="M845" i="1"/>
  <c r="L845" i="1"/>
  <c r="K845" i="1"/>
  <c r="J845" i="1"/>
  <c r="M844" i="1"/>
  <c r="L844" i="1"/>
  <c r="K844" i="1"/>
  <c r="J844" i="1"/>
  <c r="M843" i="1"/>
  <c r="L843" i="1"/>
  <c r="V993" i="11" s="1"/>
  <c r="K843" i="1"/>
  <c r="J843" i="1"/>
  <c r="M842" i="1"/>
  <c r="L842" i="1"/>
  <c r="K842" i="1"/>
  <c r="J842" i="1"/>
  <c r="M841" i="1"/>
  <c r="L841" i="1"/>
  <c r="K841" i="1"/>
  <c r="J841" i="1"/>
  <c r="M840" i="1"/>
  <c r="L840" i="1"/>
  <c r="K840" i="1"/>
  <c r="J840" i="1"/>
  <c r="M839" i="1"/>
  <c r="L839" i="1"/>
  <c r="K839" i="1"/>
  <c r="J839" i="1"/>
  <c r="M838" i="1"/>
  <c r="L838" i="1"/>
  <c r="K838" i="1"/>
  <c r="J838" i="1"/>
  <c r="M837" i="1"/>
  <c r="L837" i="1"/>
  <c r="K837" i="1"/>
  <c r="J837" i="1"/>
  <c r="M836" i="1"/>
  <c r="L836" i="1"/>
  <c r="K836" i="1"/>
  <c r="J836" i="1"/>
  <c r="M835" i="1"/>
  <c r="L835" i="1"/>
  <c r="K835" i="1"/>
  <c r="J835" i="1"/>
  <c r="M834" i="1"/>
  <c r="L834" i="1"/>
  <c r="K834" i="1"/>
  <c r="J834" i="1"/>
  <c r="M833" i="1"/>
  <c r="L833" i="1"/>
  <c r="M939" i="11" s="1"/>
  <c r="K833" i="1"/>
  <c r="J833" i="1"/>
  <c r="M832" i="1"/>
  <c r="L832" i="1"/>
  <c r="K832" i="1"/>
  <c r="J832" i="1"/>
  <c r="M831" i="1"/>
  <c r="L831" i="1"/>
  <c r="K831" i="1"/>
  <c r="J831" i="1"/>
  <c r="M830" i="1"/>
  <c r="L830" i="1"/>
  <c r="K830" i="1"/>
  <c r="J830" i="1"/>
  <c r="M829" i="1"/>
  <c r="L829" i="1"/>
  <c r="O981" i="11" s="1"/>
  <c r="K829" i="1"/>
  <c r="J829" i="1"/>
  <c r="M828" i="1"/>
  <c r="L828" i="1"/>
  <c r="K828" i="1"/>
  <c r="J828" i="1"/>
  <c r="M827" i="1"/>
  <c r="L827" i="1"/>
  <c r="K827" i="1"/>
  <c r="J827" i="1"/>
  <c r="M826" i="1"/>
  <c r="L826" i="1"/>
  <c r="K826" i="1"/>
  <c r="J826" i="1"/>
  <c r="M825" i="1"/>
  <c r="L825" i="1"/>
  <c r="K825" i="1"/>
  <c r="J825" i="1"/>
  <c r="M824" i="1"/>
  <c r="L824" i="1"/>
  <c r="K824" i="1"/>
  <c r="J824" i="1"/>
  <c r="M823" i="1"/>
  <c r="L823" i="1"/>
  <c r="K823" i="1"/>
  <c r="J823" i="1"/>
  <c r="M822" i="1"/>
  <c r="L822" i="1"/>
  <c r="K822" i="1"/>
  <c r="J822" i="1"/>
  <c r="M821" i="1"/>
  <c r="L821" i="1"/>
  <c r="K821" i="1"/>
  <c r="J821" i="1"/>
  <c r="M820" i="1"/>
  <c r="L820" i="1"/>
  <c r="K820" i="1"/>
  <c r="J820" i="1"/>
  <c r="M819" i="1"/>
  <c r="L819" i="1"/>
  <c r="K819" i="1"/>
  <c r="J819" i="1"/>
  <c r="M818" i="1"/>
  <c r="L818" i="1"/>
  <c r="K818" i="1"/>
  <c r="J818" i="1"/>
  <c r="M817" i="1"/>
  <c r="L817" i="1"/>
  <c r="K817" i="1"/>
  <c r="J817" i="1"/>
  <c r="M816" i="1"/>
  <c r="L816" i="1"/>
  <c r="K816" i="1"/>
  <c r="J816" i="1"/>
  <c r="M815" i="1"/>
  <c r="L815" i="1"/>
  <c r="K815" i="1"/>
  <c r="J815" i="1"/>
  <c r="M814" i="1"/>
  <c r="L814" i="1"/>
  <c r="K814" i="1"/>
  <c r="J814" i="1"/>
  <c r="M813" i="1"/>
  <c r="L813" i="1"/>
  <c r="K813" i="1"/>
  <c r="J813" i="1"/>
  <c r="M812" i="1"/>
  <c r="L812" i="1"/>
  <c r="K812" i="1"/>
  <c r="J812" i="1"/>
  <c r="M811" i="1"/>
  <c r="L811" i="1"/>
  <c r="K811" i="1"/>
  <c r="J811" i="1"/>
  <c r="M810" i="1"/>
  <c r="L810" i="1"/>
  <c r="K810" i="1"/>
  <c r="J810" i="1"/>
  <c r="M809" i="1"/>
  <c r="L809" i="1"/>
  <c r="K809" i="1"/>
  <c r="J809" i="1"/>
  <c r="M808" i="1"/>
  <c r="L808" i="1"/>
  <c r="K808" i="1"/>
  <c r="J808" i="1"/>
  <c r="M807" i="1"/>
  <c r="L807" i="1"/>
  <c r="K807" i="1"/>
  <c r="J807" i="1"/>
  <c r="M806" i="1"/>
  <c r="L806" i="1"/>
  <c r="K806" i="1"/>
  <c r="J806" i="1"/>
  <c r="M805" i="1"/>
  <c r="L805" i="1"/>
  <c r="K805" i="1"/>
  <c r="J805" i="1"/>
  <c r="M804" i="1"/>
  <c r="L804" i="1"/>
  <c r="K804" i="1"/>
  <c r="J804" i="1"/>
  <c r="M803" i="1"/>
  <c r="L803" i="1"/>
  <c r="V257" i="11" s="1"/>
  <c r="K803" i="1"/>
  <c r="J803" i="1"/>
  <c r="M802" i="1"/>
  <c r="L802" i="1"/>
  <c r="K802" i="1"/>
  <c r="J802" i="1"/>
  <c r="M801" i="1"/>
  <c r="L801" i="1"/>
  <c r="K801" i="1"/>
  <c r="J801" i="1"/>
  <c r="M800" i="1"/>
  <c r="L800" i="1"/>
  <c r="K800" i="1"/>
  <c r="J800" i="1"/>
  <c r="M799" i="1"/>
  <c r="L799" i="1"/>
  <c r="R123" i="11" s="1"/>
  <c r="X123" i="11" s="1"/>
  <c r="K799" i="1"/>
  <c r="J799" i="1"/>
  <c r="M798" i="1"/>
  <c r="L798" i="1"/>
  <c r="K798" i="1"/>
  <c r="J798" i="1"/>
  <c r="M797" i="1"/>
  <c r="L797" i="1"/>
  <c r="K797" i="1"/>
  <c r="J797" i="1"/>
  <c r="M796" i="1"/>
  <c r="L796" i="1"/>
  <c r="K796" i="1"/>
  <c r="J796" i="1"/>
  <c r="M795" i="1"/>
  <c r="L795" i="1"/>
  <c r="K795" i="1"/>
  <c r="J795" i="1"/>
  <c r="M794" i="1"/>
  <c r="L794" i="1"/>
  <c r="K794" i="1"/>
  <c r="J794" i="1"/>
  <c r="M793" i="1"/>
  <c r="L793" i="1"/>
  <c r="P212" i="11" s="1"/>
  <c r="K793" i="1"/>
  <c r="J793" i="1"/>
  <c r="M792" i="1"/>
  <c r="L792" i="1"/>
  <c r="K792" i="1"/>
  <c r="J792" i="1"/>
  <c r="M791" i="1"/>
  <c r="L791" i="1"/>
  <c r="K791" i="1"/>
  <c r="J791" i="1"/>
  <c r="M790" i="1"/>
  <c r="L790" i="1"/>
  <c r="K790" i="1"/>
  <c r="J790" i="1"/>
  <c r="M789" i="1"/>
  <c r="L789" i="1"/>
  <c r="K789" i="1"/>
  <c r="J789" i="1"/>
  <c r="M788" i="1"/>
  <c r="L788" i="1"/>
  <c r="K788" i="1"/>
  <c r="J788" i="1"/>
  <c r="M787" i="1"/>
  <c r="L787" i="1"/>
  <c r="K787" i="1"/>
  <c r="J787" i="1"/>
  <c r="M786" i="1"/>
  <c r="L786" i="1"/>
  <c r="K786" i="1"/>
  <c r="J786" i="1"/>
  <c r="M785" i="1"/>
  <c r="L785" i="1"/>
  <c r="K785" i="1"/>
  <c r="J785" i="1"/>
  <c r="M784" i="1"/>
  <c r="L784" i="1"/>
  <c r="K784" i="1"/>
  <c r="J784" i="1"/>
  <c r="M783" i="1"/>
  <c r="L783" i="1"/>
  <c r="K783" i="1"/>
  <c r="J783" i="1"/>
  <c r="M782" i="1"/>
  <c r="L782" i="1"/>
  <c r="K782" i="1"/>
  <c r="J782" i="1"/>
  <c r="M781" i="1"/>
  <c r="L781" i="1"/>
  <c r="U585" i="11" s="1"/>
  <c r="K781" i="1"/>
  <c r="J781" i="1"/>
  <c r="M780" i="1"/>
  <c r="L780" i="1"/>
  <c r="K780" i="1"/>
  <c r="J780" i="1"/>
  <c r="M779" i="1"/>
  <c r="L779" i="1"/>
  <c r="K779" i="1"/>
  <c r="J779" i="1"/>
  <c r="M778" i="1"/>
  <c r="L778" i="1"/>
  <c r="K778" i="1"/>
  <c r="J778" i="1"/>
  <c r="M777" i="1"/>
  <c r="L777" i="1"/>
  <c r="K777" i="1"/>
  <c r="J777" i="1"/>
  <c r="M776" i="1"/>
  <c r="L776" i="1"/>
  <c r="K776" i="1"/>
  <c r="J776" i="1"/>
  <c r="M775" i="1"/>
  <c r="L775" i="1"/>
  <c r="K775" i="1"/>
  <c r="J775" i="1"/>
  <c r="M774" i="1"/>
  <c r="L774" i="1"/>
  <c r="K774" i="1"/>
  <c r="J774" i="1"/>
  <c r="M773" i="1"/>
  <c r="L773" i="1"/>
  <c r="K773" i="1"/>
  <c r="J773" i="1"/>
  <c r="M772" i="1"/>
  <c r="L772" i="1"/>
  <c r="K772" i="1"/>
  <c r="J772" i="1"/>
  <c r="M771" i="1"/>
  <c r="L771" i="1"/>
  <c r="K771" i="1"/>
  <c r="J771" i="1"/>
  <c r="M770" i="1"/>
  <c r="L770" i="1"/>
  <c r="K770" i="1"/>
  <c r="J770" i="1"/>
  <c r="M769" i="1"/>
  <c r="L769" i="1"/>
  <c r="S991" i="11" s="1"/>
  <c r="K769" i="1"/>
  <c r="J769" i="1"/>
  <c r="M768" i="1"/>
  <c r="L768" i="1"/>
  <c r="K768" i="1"/>
  <c r="J768" i="1"/>
  <c r="M767" i="1"/>
  <c r="L767" i="1"/>
  <c r="K767" i="1"/>
  <c r="J767" i="1"/>
  <c r="M766" i="1"/>
  <c r="L766" i="1"/>
  <c r="K766" i="1"/>
  <c r="J766" i="1"/>
  <c r="M765" i="1"/>
  <c r="L765" i="1"/>
  <c r="K765" i="1"/>
  <c r="J765" i="1"/>
  <c r="M764" i="1"/>
  <c r="L764" i="1"/>
  <c r="K764" i="1"/>
  <c r="J764" i="1"/>
  <c r="M763" i="1"/>
  <c r="L763" i="1"/>
  <c r="K763" i="1"/>
  <c r="J763" i="1"/>
  <c r="M762" i="1"/>
  <c r="L762" i="1"/>
  <c r="K762" i="1"/>
  <c r="J762" i="1"/>
  <c r="M761" i="1"/>
  <c r="L761" i="1"/>
  <c r="K761" i="1"/>
  <c r="J761" i="1"/>
  <c r="M760" i="1"/>
  <c r="L760" i="1"/>
  <c r="K760" i="1"/>
  <c r="J760" i="1"/>
  <c r="M759" i="1"/>
  <c r="L759" i="1"/>
  <c r="K759" i="1"/>
  <c r="J759" i="1"/>
  <c r="M758" i="1"/>
  <c r="L758" i="1"/>
  <c r="K758" i="1"/>
  <c r="J758" i="1"/>
  <c r="M757" i="1"/>
  <c r="L757" i="1"/>
  <c r="K757" i="1"/>
  <c r="J757" i="1"/>
  <c r="M756" i="1"/>
  <c r="L756" i="1"/>
  <c r="K756" i="1"/>
  <c r="J756" i="1"/>
  <c r="M755" i="1"/>
  <c r="L755" i="1"/>
  <c r="K755" i="1"/>
  <c r="J755" i="1"/>
  <c r="M754" i="1"/>
  <c r="L754" i="1"/>
  <c r="K754" i="1"/>
  <c r="J754" i="1"/>
  <c r="M753" i="1"/>
  <c r="L753" i="1"/>
  <c r="N125" i="11" s="1"/>
  <c r="K753" i="1"/>
  <c r="J753" i="1"/>
  <c r="M752" i="1"/>
  <c r="L752" i="1"/>
  <c r="K752" i="1"/>
  <c r="J752" i="1"/>
  <c r="M751" i="1"/>
  <c r="L751" i="1"/>
  <c r="K751" i="1"/>
  <c r="J751" i="1"/>
  <c r="M750" i="1"/>
  <c r="L750" i="1"/>
  <c r="K750" i="1"/>
  <c r="J750" i="1"/>
  <c r="M749" i="1"/>
  <c r="L749" i="1"/>
  <c r="K749" i="1"/>
  <c r="J749" i="1"/>
  <c r="M748" i="1"/>
  <c r="L748" i="1"/>
  <c r="K748" i="1"/>
  <c r="J748" i="1"/>
  <c r="M747" i="1"/>
  <c r="L747" i="1"/>
  <c r="K747" i="1"/>
  <c r="J747" i="1"/>
  <c r="M746" i="1"/>
  <c r="L746" i="1"/>
  <c r="K746" i="1"/>
  <c r="J746" i="1"/>
  <c r="M745" i="1"/>
  <c r="L745" i="1"/>
  <c r="K745" i="1"/>
  <c r="J745" i="1"/>
  <c r="M744" i="1"/>
  <c r="L744" i="1"/>
  <c r="K744" i="1"/>
  <c r="J744" i="1"/>
  <c r="M743" i="1"/>
  <c r="L743" i="1"/>
  <c r="K743" i="1"/>
  <c r="J743" i="1"/>
  <c r="M742" i="1"/>
  <c r="L742" i="1"/>
  <c r="K742" i="1"/>
  <c r="J742" i="1"/>
  <c r="M741" i="1"/>
  <c r="L741" i="1"/>
  <c r="K741" i="1"/>
  <c r="J741" i="1"/>
  <c r="M740" i="1"/>
  <c r="L740" i="1"/>
  <c r="K740" i="1"/>
  <c r="J740" i="1"/>
  <c r="M739" i="1"/>
  <c r="L739" i="1"/>
  <c r="K739" i="1"/>
  <c r="J739" i="1"/>
  <c r="M738" i="1"/>
  <c r="L738" i="1"/>
  <c r="K738" i="1"/>
  <c r="J738" i="1"/>
  <c r="M737" i="1"/>
  <c r="L737" i="1"/>
  <c r="K737" i="1"/>
  <c r="J737" i="1"/>
  <c r="M736" i="1"/>
  <c r="L736" i="1"/>
  <c r="K736" i="1"/>
  <c r="J736" i="1"/>
  <c r="M735" i="1"/>
  <c r="L735" i="1"/>
  <c r="K735" i="1"/>
  <c r="J735" i="1"/>
  <c r="M734" i="1"/>
  <c r="L734" i="1"/>
  <c r="K734" i="1"/>
  <c r="J734" i="1"/>
  <c r="M733" i="1"/>
  <c r="L733" i="1"/>
  <c r="K733" i="1"/>
  <c r="J733" i="1"/>
  <c r="M732" i="1"/>
  <c r="L732" i="1"/>
  <c r="K732" i="1"/>
  <c r="J732" i="1"/>
  <c r="M731" i="1"/>
  <c r="L731" i="1"/>
  <c r="K731" i="1"/>
  <c r="J731" i="1"/>
  <c r="M730" i="1"/>
  <c r="L730" i="1"/>
  <c r="K730" i="1"/>
  <c r="J730" i="1"/>
  <c r="M729" i="1"/>
  <c r="L729" i="1"/>
  <c r="K729" i="1"/>
  <c r="J729" i="1"/>
  <c r="M728" i="1"/>
  <c r="L728" i="1"/>
  <c r="K728" i="1"/>
  <c r="J728" i="1"/>
  <c r="M727" i="1"/>
  <c r="L727" i="1"/>
  <c r="K727" i="1"/>
  <c r="J727" i="1"/>
  <c r="M726" i="1"/>
  <c r="L726" i="1"/>
  <c r="K726" i="1"/>
  <c r="J726" i="1"/>
  <c r="M725" i="1"/>
  <c r="L725" i="1"/>
  <c r="K725" i="1"/>
  <c r="J725" i="1"/>
  <c r="M724" i="1"/>
  <c r="L724" i="1"/>
  <c r="K724" i="1"/>
  <c r="J724" i="1"/>
  <c r="M723" i="1"/>
  <c r="L723" i="1"/>
  <c r="K723" i="1"/>
  <c r="J723" i="1"/>
  <c r="M722" i="1"/>
  <c r="L722" i="1"/>
  <c r="K722" i="1"/>
  <c r="J722" i="1"/>
  <c r="M721" i="1"/>
  <c r="L721" i="1"/>
  <c r="K721" i="1"/>
  <c r="J721" i="1"/>
  <c r="M720" i="1"/>
  <c r="L720" i="1"/>
  <c r="K720" i="1"/>
  <c r="J720" i="1"/>
  <c r="M719" i="1"/>
  <c r="L719" i="1"/>
  <c r="K719" i="1"/>
  <c r="J719" i="1"/>
  <c r="M718" i="1"/>
  <c r="L718" i="1"/>
  <c r="K718" i="1"/>
  <c r="J718" i="1"/>
  <c r="M717" i="1"/>
  <c r="L717" i="1"/>
  <c r="K717" i="1"/>
  <c r="J717" i="1"/>
  <c r="M716" i="1"/>
  <c r="L716" i="1"/>
  <c r="K716" i="1"/>
  <c r="J716" i="1"/>
  <c r="M715" i="1"/>
  <c r="L715" i="1"/>
  <c r="K715" i="1"/>
  <c r="J715" i="1"/>
  <c r="M714" i="1"/>
  <c r="L714" i="1"/>
  <c r="K714" i="1"/>
  <c r="J714" i="1"/>
  <c r="M713" i="1"/>
  <c r="L713" i="1"/>
  <c r="K713" i="1"/>
  <c r="J713" i="1"/>
  <c r="M712" i="1"/>
  <c r="L712" i="1"/>
  <c r="K712" i="1"/>
  <c r="J712" i="1"/>
  <c r="M711" i="1"/>
  <c r="L711" i="1"/>
  <c r="K711" i="1"/>
  <c r="J711" i="1"/>
  <c r="M710" i="1"/>
  <c r="L710" i="1"/>
  <c r="K710" i="1"/>
  <c r="J710" i="1"/>
  <c r="M709" i="1"/>
  <c r="L709" i="1"/>
  <c r="K709" i="1"/>
  <c r="J709" i="1"/>
  <c r="M708" i="1"/>
  <c r="L708" i="1"/>
  <c r="K708" i="1"/>
  <c r="J708" i="1"/>
  <c r="M707" i="1"/>
  <c r="L707" i="1"/>
  <c r="K707" i="1"/>
  <c r="J707" i="1"/>
  <c r="M706" i="1"/>
  <c r="L706" i="1"/>
  <c r="K706" i="1"/>
  <c r="J706" i="1"/>
  <c r="M705" i="1"/>
  <c r="L705" i="1"/>
  <c r="K705" i="1"/>
  <c r="J705" i="1"/>
  <c r="M704" i="1"/>
  <c r="L704" i="1"/>
  <c r="K704" i="1"/>
  <c r="J704" i="1"/>
  <c r="M703" i="1"/>
  <c r="L703" i="1"/>
  <c r="K703" i="1"/>
  <c r="J703" i="1"/>
  <c r="M702" i="1"/>
  <c r="L702" i="1"/>
  <c r="K702" i="1"/>
  <c r="J702" i="1"/>
  <c r="M701" i="1"/>
  <c r="L701" i="1"/>
  <c r="K701" i="1"/>
  <c r="J701" i="1"/>
  <c r="M700" i="1"/>
  <c r="L700" i="1"/>
  <c r="K700" i="1"/>
  <c r="J700" i="1"/>
  <c r="M699" i="1"/>
  <c r="L699" i="1"/>
  <c r="K699" i="1"/>
  <c r="J699" i="1"/>
  <c r="M698" i="1"/>
  <c r="L698" i="1"/>
  <c r="K698" i="1"/>
  <c r="J698" i="1"/>
  <c r="M697" i="1"/>
  <c r="L697" i="1"/>
  <c r="K697" i="1"/>
  <c r="J697" i="1"/>
  <c r="M696" i="1"/>
  <c r="L696" i="1"/>
  <c r="K696" i="1"/>
  <c r="J696" i="1"/>
  <c r="M695" i="1"/>
  <c r="L695" i="1"/>
  <c r="K695" i="1"/>
  <c r="J695" i="1"/>
  <c r="M694" i="1"/>
  <c r="L694" i="1"/>
  <c r="K694" i="1"/>
  <c r="J694" i="1"/>
  <c r="M693" i="1"/>
  <c r="L693" i="1"/>
  <c r="K693" i="1"/>
  <c r="J693" i="1"/>
  <c r="M692" i="1"/>
  <c r="L692" i="1"/>
  <c r="K692" i="1"/>
  <c r="J692" i="1"/>
  <c r="M691" i="1"/>
  <c r="L691" i="1"/>
  <c r="K691" i="1"/>
  <c r="J691" i="1"/>
  <c r="M690" i="1"/>
  <c r="L690" i="1"/>
  <c r="K690" i="1"/>
  <c r="J690" i="1"/>
  <c r="M689" i="1"/>
  <c r="L689" i="1"/>
  <c r="K689" i="1"/>
  <c r="J689" i="1"/>
  <c r="M688" i="1"/>
  <c r="L688" i="1"/>
  <c r="K688" i="1"/>
  <c r="J688" i="1"/>
  <c r="M687" i="1"/>
  <c r="L687" i="1"/>
  <c r="K687" i="1"/>
  <c r="J687" i="1"/>
  <c r="M686" i="1"/>
  <c r="L686" i="1"/>
  <c r="K686" i="1"/>
  <c r="J686" i="1"/>
  <c r="M685" i="1"/>
  <c r="L685" i="1"/>
  <c r="K685" i="1"/>
  <c r="J685" i="1"/>
  <c r="M684" i="1"/>
  <c r="L684" i="1"/>
  <c r="K684" i="1"/>
  <c r="J684" i="1"/>
  <c r="M683" i="1"/>
  <c r="L683" i="1"/>
  <c r="K683" i="1"/>
  <c r="J683" i="1"/>
  <c r="M682" i="1"/>
  <c r="L682" i="1"/>
  <c r="K682" i="1"/>
  <c r="J682" i="1"/>
  <c r="M681" i="1"/>
  <c r="L681" i="1"/>
  <c r="K681" i="1"/>
  <c r="J681" i="1"/>
  <c r="M680" i="1"/>
  <c r="L680" i="1"/>
  <c r="K680" i="1"/>
  <c r="J680" i="1"/>
  <c r="M679" i="1"/>
  <c r="L679" i="1"/>
  <c r="K679" i="1"/>
  <c r="J679" i="1"/>
  <c r="M678" i="1"/>
  <c r="L678" i="1"/>
  <c r="K678" i="1"/>
  <c r="J678" i="1"/>
  <c r="M677" i="1"/>
  <c r="L677" i="1"/>
  <c r="K677" i="1"/>
  <c r="J677" i="1"/>
  <c r="M676" i="1"/>
  <c r="L676" i="1"/>
  <c r="K676" i="1"/>
  <c r="J676" i="1"/>
  <c r="M675" i="1"/>
  <c r="L675" i="1"/>
  <c r="K675" i="1"/>
  <c r="J675" i="1"/>
  <c r="M674" i="1"/>
  <c r="L674" i="1"/>
  <c r="K674" i="1"/>
  <c r="J674" i="1"/>
  <c r="M673" i="1"/>
  <c r="L673" i="1"/>
  <c r="K673" i="1"/>
  <c r="J673" i="1"/>
  <c r="M672" i="1"/>
  <c r="L672" i="1"/>
  <c r="K672" i="1"/>
  <c r="J672" i="1"/>
  <c r="M671" i="1"/>
  <c r="L671" i="1"/>
  <c r="K671" i="1"/>
  <c r="J671" i="1"/>
  <c r="M670" i="1"/>
  <c r="L670" i="1"/>
  <c r="K670" i="1"/>
  <c r="J670" i="1"/>
  <c r="M669" i="1"/>
  <c r="L669" i="1"/>
  <c r="K669" i="1"/>
  <c r="J669" i="1"/>
  <c r="M668" i="1"/>
  <c r="L668" i="1"/>
  <c r="K668" i="1"/>
  <c r="J668" i="1"/>
  <c r="M667" i="1"/>
  <c r="L667" i="1"/>
  <c r="K667" i="1"/>
  <c r="J667" i="1"/>
  <c r="M666" i="1"/>
  <c r="L666" i="1"/>
  <c r="K666" i="1"/>
  <c r="J666" i="1"/>
  <c r="M665" i="1"/>
  <c r="L665" i="1"/>
  <c r="K665" i="1"/>
  <c r="J665" i="1"/>
  <c r="M664" i="1"/>
  <c r="L664" i="1"/>
  <c r="K664" i="1"/>
  <c r="J664" i="1"/>
  <c r="M663" i="1"/>
  <c r="L663" i="1"/>
  <c r="K663" i="1"/>
  <c r="J663" i="1"/>
  <c r="M662" i="1"/>
  <c r="L662" i="1"/>
  <c r="K662" i="1"/>
  <c r="J662" i="1"/>
  <c r="M661" i="1"/>
  <c r="L661" i="1"/>
  <c r="K661" i="1"/>
  <c r="J661" i="1"/>
  <c r="M660" i="1"/>
  <c r="L660" i="1"/>
  <c r="K660" i="1"/>
  <c r="J660" i="1"/>
  <c r="M659" i="1"/>
  <c r="L659" i="1"/>
  <c r="K659" i="1"/>
  <c r="J659" i="1"/>
  <c r="M658" i="1"/>
  <c r="L658" i="1"/>
  <c r="K658" i="1"/>
  <c r="J658" i="1"/>
  <c r="M657" i="1"/>
  <c r="L657" i="1"/>
  <c r="K657" i="1"/>
  <c r="J657" i="1"/>
  <c r="M656" i="1"/>
  <c r="L656" i="1"/>
  <c r="K656" i="1"/>
  <c r="J656" i="1"/>
  <c r="M655" i="1"/>
  <c r="L655" i="1"/>
  <c r="K655" i="1"/>
  <c r="J655" i="1"/>
  <c r="M654" i="1"/>
  <c r="L654" i="1"/>
  <c r="K654" i="1"/>
  <c r="J654" i="1"/>
  <c r="M653" i="1"/>
  <c r="L653" i="1"/>
  <c r="K653" i="1"/>
  <c r="J653" i="1"/>
  <c r="M652" i="1"/>
  <c r="L652" i="1"/>
  <c r="K652" i="1"/>
  <c r="J652" i="1"/>
  <c r="M651" i="1"/>
  <c r="L651" i="1"/>
  <c r="K651" i="1"/>
  <c r="J651" i="1"/>
  <c r="M650" i="1"/>
  <c r="L650" i="1"/>
  <c r="K650" i="1"/>
  <c r="J650" i="1"/>
  <c r="M649" i="1"/>
  <c r="L649" i="1"/>
  <c r="K649" i="1"/>
  <c r="J649" i="1"/>
  <c r="M648" i="1"/>
  <c r="L648" i="1"/>
  <c r="K648" i="1"/>
  <c r="J648" i="1"/>
  <c r="M647" i="1"/>
  <c r="L647" i="1"/>
  <c r="K647" i="1"/>
  <c r="J647" i="1"/>
  <c r="M646" i="1"/>
  <c r="L646" i="1"/>
  <c r="K646" i="1"/>
  <c r="J646" i="1"/>
  <c r="M645" i="1"/>
  <c r="L645" i="1"/>
  <c r="K645" i="1"/>
  <c r="J645" i="1"/>
  <c r="M644" i="1"/>
  <c r="L644" i="1"/>
  <c r="K644" i="1"/>
  <c r="J644" i="1"/>
  <c r="M643" i="1"/>
  <c r="L643" i="1"/>
  <c r="K643" i="1"/>
  <c r="J643" i="1"/>
  <c r="M642" i="1"/>
  <c r="L642" i="1"/>
  <c r="K642" i="1"/>
  <c r="J642" i="1"/>
  <c r="M641" i="1"/>
  <c r="L641" i="1"/>
  <c r="K641" i="1"/>
  <c r="J641" i="1"/>
  <c r="M640" i="1"/>
  <c r="L640" i="1"/>
  <c r="K640" i="1"/>
  <c r="J640" i="1"/>
  <c r="M639" i="1"/>
  <c r="L639" i="1"/>
  <c r="K639" i="1"/>
  <c r="J639" i="1"/>
  <c r="M638" i="1"/>
  <c r="L638" i="1"/>
  <c r="K638" i="1"/>
  <c r="J638" i="1"/>
  <c r="M637" i="1"/>
  <c r="L637" i="1"/>
  <c r="K637" i="1"/>
  <c r="J637" i="1"/>
  <c r="M636" i="1"/>
  <c r="L636" i="1"/>
  <c r="K636" i="1"/>
  <c r="J636" i="1"/>
  <c r="M635" i="1"/>
  <c r="L635" i="1"/>
  <c r="K635" i="1"/>
  <c r="J635" i="1"/>
  <c r="M634" i="1"/>
  <c r="L634" i="1"/>
  <c r="K634" i="1"/>
  <c r="J634" i="1"/>
  <c r="M633" i="1"/>
  <c r="L633" i="1"/>
  <c r="K633" i="1"/>
  <c r="J633" i="1"/>
  <c r="M632" i="1"/>
  <c r="L632" i="1"/>
  <c r="K632" i="1"/>
  <c r="J632" i="1"/>
  <c r="M631" i="1"/>
  <c r="L631" i="1"/>
  <c r="K631" i="1"/>
  <c r="J631" i="1"/>
  <c r="M630" i="1"/>
  <c r="L630" i="1"/>
  <c r="K630" i="1"/>
  <c r="J630" i="1"/>
  <c r="M629" i="1"/>
  <c r="L629" i="1"/>
  <c r="K629" i="1"/>
  <c r="J629" i="1"/>
  <c r="M628" i="1"/>
  <c r="L628" i="1"/>
  <c r="K628" i="1"/>
  <c r="J628" i="1"/>
  <c r="M627" i="1"/>
  <c r="L627" i="1"/>
  <c r="K627" i="1"/>
  <c r="J627" i="1"/>
  <c r="M626" i="1"/>
  <c r="L626" i="1"/>
  <c r="K626" i="1"/>
  <c r="J626" i="1"/>
  <c r="M625" i="1"/>
  <c r="L625" i="1"/>
  <c r="K625" i="1"/>
  <c r="J625" i="1"/>
  <c r="M624" i="1"/>
  <c r="L624" i="1"/>
  <c r="K624" i="1"/>
  <c r="J624" i="1"/>
  <c r="M623" i="1"/>
  <c r="L623" i="1"/>
  <c r="K623" i="1"/>
  <c r="J623" i="1"/>
  <c r="M622" i="1"/>
  <c r="L622" i="1"/>
  <c r="K622" i="1"/>
  <c r="J622" i="1"/>
  <c r="M621" i="1"/>
  <c r="L621" i="1"/>
  <c r="K621" i="1"/>
  <c r="J621" i="1"/>
  <c r="M620" i="1"/>
  <c r="L620" i="1"/>
  <c r="K620" i="1"/>
  <c r="J620" i="1"/>
  <c r="M619" i="1"/>
  <c r="L619" i="1"/>
  <c r="K619" i="1"/>
  <c r="J619" i="1"/>
  <c r="M618" i="1"/>
  <c r="L618" i="1"/>
  <c r="K618" i="1"/>
  <c r="J618" i="1"/>
  <c r="M617" i="1"/>
  <c r="L617" i="1"/>
  <c r="K617" i="1"/>
  <c r="J617" i="1"/>
  <c r="M616" i="1"/>
  <c r="L616" i="1"/>
  <c r="K616" i="1"/>
  <c r="J616" i="1"/>
  <c r="M615" i="1"/>
  <c r="L615" i="1"/>
  <c r="K615" i="1"/>
  <c r="J615" i="1"/>
  <c r="M614" i="1"/>
  <c r="L614" i="1"/>
  <c r="K614" i="1"/>
  <c r="J614" i="1"/>
  <c r="M613" i="1"/>
  <c r="L613" i="1"/>
  <c r="K613" i="1"/>
  <c r="J613" i="1"/>
  <c r="M612" i="1"/>
  <c r="L612" i="1"/>
  <c r="K612" i="1"/>
  <c r="J612" i="1"/>
  <c r="M611" i="1"/>
  <c r="L611" i="1"/>
  <c r="K611" i="1"/>
  <c r="J611" i="1"/>
  <c r="M610" i="1"/>
  <c r="L610" i="1"/>
  <c r="K610" i="1"/>
  <c r="J610" i="1"/>
  <c r="M609" i="1"/>
  <c r="L609" i="1"/>
  <c r="K609" i="1"/>
  <c r="J609" i="1"/>
  <c r="M608" i="1"/>
  <c r="L608" i="1"/>
  <c r="K608" i="1"/>
  <c r="J608" i="1"/>
  <c r="M607" i="1"/>
  <c r="L607" i="1"/>
  <c r="K607" i="1"/>
  <c r="J607" i="1"/>
  <c r="M606" i="1"/>
  <c r="L606" i="1"/>
  <c r="K606" i="1"/>
  <c r="J606" i="1"/>
  <c r="M605" i="1"/>
  <c r="L605" i="1"/>
  <c r="K605" i="1"/>
  <c r="J605" i="1"/>
  <c r="M604" i="1"/>
  <c r="L604" i="1"/>
  <c r="K604" i="1"/>
  <c r="J604" i="1"/>
  <c r="M603" i="1"/>
  <c r="L603" i="1"/>
  <c r="K603" i="1"/>
  <c r="J603" i="1"/>
  <c r="M602" i="1"/>
  <c r="L602" i="1"/>
  <c r="K602" i="1"/>
  <c r="J602" i="1"/>
  <c r="M601" i="1"/>
  <c r="L601" i="1"/>
  <c r="K601" i="1"/>
  <c r="J601" i="1"/>
  <c r="M600" i="1"/>
  <c r="L600" i="1"/>
  <c r="K600" i="1"/>
  <c r="J600" i="1"/>
  <c r="M599" i="1"/>
  <c r="L599" i="1"/>
  <c r="K599" i="1"/>
  <c r="J599" i="1"/>
  <c r="M598" i="1"/>
  <c r="L598" i="1"/>
  <c r="K598" i="1"/>
  <c r="J598" i="1"/>
  <c r="M597" i="1"/>
  <c r="L597" i="1"/>
  <c r="K597" i="1"/>
  <c r="J597" i="1"/>
  <c r="M596" i="1"/>
  <c r="L596" i="1"/>
  <c r="K596" i="1"/>
  <c r="J596" i="1"/>
  <c r="M595" i="1"/>
  <c r="L595" i="1"/>
  <c r="K595" i="1"/>
  <c r="J595" i="1"/>
  <c r="M594" i="1"/>
  <c r="L594" i="1"/>
  <c r="K594" i="1"/>
  <c r="J594" i="1"/>
  <c r="M593" i="1"/>
  <c r="L593" i="1"/>
  <c r="K593" i="1"/>
  <c r="J593" i="1"/>
  <c r="M592" i="1"/>
  <c r="L592" i="1"/>
  <c r="K592" i="1"/>
  <c r="J592" i="1"/>
  <c r="M591" i="1"/>
  <c r="L591" i="1"/>
  <c r="K591" i="1"/>
  <c r="J591" i="1"/>
  <c r="M590" i="1"/>
  <c r="L590" i="1"/>
  <c r="K590" i="1"/>
  <c r="J590" i="1"/>
  <c r="M589" i="1"/>
  <c r="L589" i="1"/>
  <c r="K589" i="1"/>
  <c r="J589" i="1"/>
  <c r="M588" i="1"/>
  <c r="L588" i="1"/>
  <c r="K588" i="1"/>
  <c r="J588" i="1"/>
  <c r="M587" i="1"/>
  <c r="L587" i="1"/>
  <c r="K587" i="1"/>
  <c r="J587" i="1"/>
  <c r="M586" i="1"/>
  <c r="L586" i="1"/>
  <c r="K586" i="1"/>
  <c r="J586" i="1"/>
  <c r="M585" i="1"/>
  <c r="L585" i="1"/>
  <c r="K585" i="1"/>
  <c r="J585" i="1"/>
  <c r="M584" i="1"/>
  <c r="L584" i="1"/>
  <c r="K584" i="1"/>
  <c r="J584" i="1"/>
  <c r="M583" i="1"/>
  <c r="L583" i="1"/>
  <c r="K583" i="1"/>
  <c r="J583" i="1"/>
  <c r="M582" i="1"/>
  <c r="L582" i="1"/>
  <c r="K582" i="1"/>
  <c r="J582" i="1"/>
  <c r="M581" i="1"/>
  <c r="L581" i="1"/>
  <c r="K581" i="1"/>
  <c r="J581" i="1"/>
  <c r="M580" i="1"/>
  <c r="L580" i="1"/>
  <c r="K580" i="1"/>
  <c r="J580" i="1"/>
  <c r="M579" i="1"/>
  <c r="L579" i="1"/>
  <c r="R84" i="11" s="1"/>
  <c r="K579" i="1"/>
  <c r="J579" i="1"/>
  <c r="M578" i="1"/>
  <c r="L578" i="1"/>
  <c r="K578" i="1"/>
  <c r="J578" i="1"/>
  <c r="M577" i="1"/>
  <c r="L577" i="1"/>
  <c r="K577" i="1"/>
  <c r="J577" i="1"/>
  <c r="M576" i="1"/>
  <c r="L576" i="1"/>
  <c r="K576" i="1"/>
  <c r="J576" i="1"/>
  <c r="M575" i="1"/>
  <c r="L575" i="1"/>
  <c r="K575" i="1"/>
  <c r="J575" i="1"/>
  <c r="M574" i="1"/>
  <c r="L574" i="1"/>
  <c r="K574" i="1"/>
  <c r="J574" i="1"/>
  <c r="M573" i="1"/>
  <c r="L573" i="1"/>
  <c r="K573" i="1"/>
  <c r="J573" i="1"/>
  <c r="M572" i="1"/>
  <c r="L572" i="1"/>
  <c r="K572" i="1"/>
  <c r="J572" i="1"/>
  <c r="M571" i="1"/>
  <c r="L571" i="1"/>
  <c r="K571" i="1"/>
  <c r="J571" i="1"/>
  <c r="M570" i="1"/>
  <c r="L570" i="1"/>
  <c r="K570" i="1"/>
  <c r="J570" i="1"/>
  <c r="M569" i="1"/>
  <c r="L569" i="1"/>
  <c r="K569" i="1"/>
  <c r="J569" i="1"/>
  <c r="M568" i="1"/>
  <c r="L568" i="1"/>
  <c r="K568" i="1"/>
  <c r="J568" i="1"/>
  <c r="M567" i="1"/>
  <c r="L567" i="1"/>
  <c r="K567" i="1"/>
  <c r="J567" i="1"/>
  <c r="M566" i="1"/>
  <c r="L566" i="1"/>
  <c r="K566" i="1"/>
  <c r="J566" i="1"/>
  <c r="M565" i="1"/>
  <c r="L565" i="1"/>
  <c r="K565" i="1"/>
  <c r="J565" i="1"/>
  <c r="M564" i="1"/>
  <c r="L564" i="1"/>
  <c r="K564" i="1"/>
  <c r="J564" i="1"/>
  <c r="M563" i="1"/>
  <c r="L563" i="1"/>
  <c r="K563" i="1"/>
  <c r="J563" i="1"/>
  <c r="M562" i="1"/>
  <c r="L562" i="1"/>
  <c r="K562" i="1"/>
  <c r="J562" i="1"/>
  <c r="M561" i="1"/>
  <c r="L561" i="1"/>
  <c r="K561" i="1"/>
  <c r="J561" i="1"/>
  <c r="M560" i="1"/>
  <c r="L560" i="1"/>
  <c r="K560" i="1"/>
  <c r="J560" i="1"/>
  <c r="M559" i="1"/>
  <c r="L559" i="1"/>
  <c r="K559" i="1"/>
  <c r="J559" i="1"/>
  <c r="M558" i="1"/>
  <c r="L558" i="1"/>
  <c r="K558" i="1"/>
  <c r="J558" i="1"/>
  <c r="M557" i="1"/>
  <c r="L557" i="1"/>
  <c r="K557" i="1"/>
  <c r="J557" i="1"/>
  <c r="M556" i="1"/>
  <c r="L556" i="1"/>
  <c r="K556" i="1"/>
  <c r="J556" i="1"/>
  <c r="M555" i="1"/>
  <c r="L555" i="1"/>
  <c r="M160" i="11" s="1"/>
  <c r="K555" i="1"/>
  <c r="J555" i="1"/>
  <c r="M554" i="1"/>
  <c r="L554" i="1"/>
  <c r="K554" i="1"/>
  <c r="J554" i="1"/>
  <c r="M553" i="1"/>
  <c r="L553" i="1"/>
  <c r="K553" i="1"/>
  <c r="J553" i="1"/>
  <c r="M552" i="1"/>
  <c r="L552" i="1"/>
  <c r="K552" i="1"/>
  <c r="J552" i="1"/>
  <c r="M551" i="1"/>
  <c r="L551" i="1"/>
  <c r="K551" i="1"/>
  <c r="J551" i="1"/>
  <c r="M550" i="1"/>
  <c r="L550" i="1"/>
  <c r="K550" i="1"/>
  <c r="J550" i="1"/>
  <c r="M549" i="1"/>
  <c r="L549" i="1"/>
  <c r="K549" i="1"/>
  <c r="J549" i="1"/>
  <c r="M548" i="1"/>
  <c r="L548" i="1"/>
  <c r="K548" i="1"/>
  <c r="J548" i="1"/>
  <c r="M547" i="1"/>
  <c r="L547" i="1"/>
  <c r="K547" i="1"/>
  <c r="J547" i="1"/>
  <c r="M546" i="1"/>
  <c r="L546" i="1"/>
  <c r="K546" i="1"/>
  <c r="J546" i="1"/>
  <c r="M545" i="1"/>
  <c r="L545" i="1"/>
  <c r="K545" i="1"/>
  <c r="J545" i="1"/>
  <c r="M544" i="1"/>
  <c r="L544" i="1"/>
  <c r="K544" i="1"/>
  <c r="J544" i="1"/>
  <c r="M543" i="1"/>
  <c r="L543" i="1"/>
  <c r="K543" i="1"/>
  <c r="J543" i="1"/>
  <c r="M542" i="1"/>
  <c r="L542" i="1"/>
  <c r="K542" i="1"/>
  <c r="J542" i="1"/>
  <c r="M541" i="1"/>
  <c r="L541" i="1"/>
  <c r="M626" i="11" s="1"/>
  <c r="K541" i="1"/>
  <c r="J541" i="1"/>
  <c r="M540" i="1"/>
  <c r="L540" i="1"/>
  <c r="K540" i="1"/>
  <c r="J540" i="1"/>
  <c r="M539" i="1"/>
  <c r="L539" i="1"/>
  <c r="K539" i="1"/>
  <c r="J539" i="1"/>
  <c r="M538" i="1"/>
  <c r="L538" i="1"/>
  <c r="K538" i="1"/>
  <c r="J538" i="1"/>
  <c r="M537" i="1"/>
  <c r="L537" i="1"/>
  <c r="K537" i="1"/>
  <c r="J537" i="1"/>
  <c r="M536" i="1"/>
  <c r="L536" i="1"/>
  <c r="K536" i="1"/>
  <c r="J536" i="1"/>
  <c r="M535" i="1"/>
  <c r="L535" i="1"/>
  <c r="K535" i="1"/>
  <c r="J535" i="1"/>
  <c r="M534" i="1"/>
  <c r="L534" i="1"/>
  <c r="K534" i="1"/>
  <c r="J534" i="1"/>
  <c r="M533" i="1"/>
  <c r="L533" i="1"/>
  <c r="N996" i="11" s="1"/>
  <c r="K533" i="1"/>
  <c r="J533" i="1"/>
  <c r="M532" i="1"/>
  <c r="L532" i="1"/>
  <c r="K532" i="1"/>
  <c r="J532" i="1"/>
  <c r="M531" i="1"/>
  <c r="L531" i="1"/>
  <c r="K531" i="1"/>
  <c r="J531" i="1"/>
  <c r="M530" i="1"/>
  <c r="L530" i="1"/>
  <c r="K530" i="1"/>
  <c r="J530" i="1"/>
  <c r="M529" i="1"/>
  <c r="L529" i="1"/>
  <c r="K529" i="1"/>
  <c r="J529" i="1"/>
  <c r="M528" i="1"/>
  <c r="L528" i="1"/>
  <c r="K528" i="1"/>
  <c r="J528" i="1"/>
  <c r="M527" i="1"/>
  <c r="L527" i="1"/>
  <c r="K527" i="1"/>
  <c r="J527" i="1"/>
  <c r="M526" i="1"/>
  <c r="L526" i="1"/>
  <c r="K526" i="1"/>
  <c r="J526" i="1"/>
  <c r="M525" i="1"/>
  <c r="L525" i="1"/>
  <c r="N207" i="11" s="1"/>
  <c r="K525" i="1"/>
  <c r="J525" i="1"/>
  <c r="M524" i="1"/>
  <c r="L524" i="1"/>
  <c r="K524" i="1"/>
  <c r="J524" i="1"/>
  <c r="M523" i="1"/>
  <c r="L523" i="1"/>
  <c r="K523" i="1"/>
  <c r="J523" i="1"/>
  <c r="M522" i="1"/>
  <c r="L522" i="1"/>
  <c r="K522" i="1"/>
  <c r="J522" i="1"/>
  <c r="M521" i="1"/>
  <c r="L521" i="1"/>
  <c r="K521" i="1"/>
  <c r="J521" i="1"/>
  <c r="M520" i="1"/>
  <c r="L520" i="1"/>
  <c r="K520" i="1"/>
  <c r="J520" i="1"/>
  <c r="M519" i="1"/>
  <c r="L519" i="1"/>
  <c r="K519" i="1"/>
  <c r="J519" i="1"/>
  <c r="M518" i="1"/>
  <c r="L518" i="1"/>
  <c r="K518" i="1"/>
  <c r="J518" i="1"/>
  <c r="M517" i="1"/>
  <c r="L517" i="1"/>
  <c r="K517" i="1"/>
  <c r="J517" i="1"/>
  <c r="M516" i="1"/>
  <c r="L516" i="1"/>
  <c r="K516" i="1"/>
  <c r="J516" i="1"/>
  <c r="M515" i="1"/>
  <c r="L515" i="1"/>
  <c r="K515" i="1"/>
  <c r="J515" i="1"/>
  <c r="M514" i="1"/>
  <c r="L514" i="1"/>
  <c r="K514" i="1"/>
  <c r="J514" i="1"/>
  <c r="M513" i="1"/>
  <c r="L513" i="1"/>
  <c r="K513" i="1"/>
  <c r="J513" i="1"/>
  <c r="M512" i="1"/>
  <c r="L512" i="1"/>
  <c r="K512" i="1"/>
  <c r="J512" i="1"/>
  <c r="M511" i="1"/>
  <c r="L511" i="1"/>
  <c r="K511" i="1"/>
  <c r="J511" i="1"/>
  <c r="M510" i="1"/>
  <c r="L510" i="1"/>
  <c r="K510" i="1"/>
  <c r="J510" i="1"/>
  <c r="M509" i="1"/>
  <c r="L509" i="1"/>
  <c r="K509" i="1"/>
  <c r="J509" i="1"/>
  <c r="M508" i="1"/>
  <c r="L508" i="1"/>
  <c r="K508" i="1"/>
  <c r="J508" i="1"/>
  <c r="M507" i="1"/>
  <c r="L507" i="1"/>
  <c r="K507" i="1"/>
  <c r="J507" i="1"/>
  <c r="M506" i="1"/>
  <c r="L506" i="1"/>
  <c r="K506" i="1"/>
  <c r="J506" i="1"/>
  <c r="M505" i="1"/>
  <c r="L505" i="1"/>
  <c r="K505" i="1"/>
  <c r="J505" i="1"/>
  <c r="M504" i="1"/>
  <c r="L504" i="1"/>
  <c r="K504" i="1"/>
  <c r="J504" i="1"/>
  <c r="M503" i="1"/>
  <c r="L503" i="1"/>
  <c r="K503" i="1"/>
  <c r="J503" i="1"/>
  <c r="M502" i="1"/>
  <c r="L502" i="1"/>
  <c r="K502" i="1"/>
  <c r="J502" i="1"/>
  <c r="M501" i="1"/>
  <c r="L501" i="1"/>
  <c r="K501" i="1"/>
  <c r="J501" i="1"/>
  <c r="M500" i="1"/>
  <c r="L500" i="1"/>
  <c r="K500" i="1"/>
  <c r="J500" i="1"/>
  <c r="M499" i="1"/>
  <c r="L499" i="1"/>
  <c r="K499" i="1"/>
  <c r="J499" i="1"/>
  <c r="M498" i="1"/>
  <c r="L498" i="1"/>
  <c r="K498" i="1"/>
  <c r="J498" i="1"/>
  <c r="M497" i="1"/>
  <c r="L497" i="1"/>
  <c r="K497" i="1"/>
  <c r="J497" i="1"/>
  <c r="M496" i="1"/>
  <c r="L496" i="1"/>
  <c r="K496" i="1"/>
  <c r="J496" i="1"/>
  <c r="M495" i="1"/>
  <c r="L495" i="1"/>
  <c r="K495" i="1"/>
  <c r="J495" i="1"/>
  <c r="M494" i="1"/>
  <c r="L494" i="1"/>
  <c r="K494" i="1"/>
  <c r="J494" i="1"/>
  <c r="M493" i="1"/>
  <c r="L493" i="1"/>
  <c r="K493" i="1"/>
  <c r="J493" i="1"/>
  <c r="M492" i="1"/>
  <c r="L492" i="1"/>
  <c r="K492" i="1"/>
  <c r="J492" i="1"/>
  <c r="M491" i="1"/>
  <c r="L491" i="1"/>
  <c r="K491" i="1"/>
  <c r="J491" i="1"/>
  <c r="M490" i="1"/>
  <c r="L490" i="1"/>
  <c r="K490" i="1"/>
  <c r="J490" i="1"/>
  <c r="M489" i="1"/>
  <c r="L489" i="1"/>
  <c r="K489" i="1"/>
  <c r="J489" i="1"/>
  <c r="M488" i="1"/>
  <c r="L488" i="1"/>
  <c r="K488" i="1"/>
  <c r="J488" i="1"/>
  <c r="M487" i="1"/>
  <c r="L487" i="1"/>
  <c r="L995" i="11" s="1"/>
  <c r="K487" i="1"/>
  <c r="J487" i="1"/>
  <c r="M486" i="1"/>
  <c r="L486" i="1"/>
  <c r="K486" i="1"/>
  <c r="J486" i="1"/>
  <c r="M485" i="1"/>
  <c r="L485" i="1"/>
  <c r="K485" i="1"/>
  <c r="J485" i="1"/>
  <c r="M484" i="1"/>
  <c r="L484" i="1"/>
  <c r="K484" i="1"/>
  <c r="J484" i="1"/>
  <c r="M483" i="1"/>
  <c r="L483" i="1"/>
  <c r="K483" i="1"/>
  <c r="J483" i="1"/>
  <c r="M482" i="1"/>
  <c r="L482" i="1"/>
  <c r="K482" i="1"/>
  <c r="J482" i="1"/>
  <c r="M481" i="1"/>
  <c r="L481" i="1"/>
  <c r="K481" i="1"/>
  <c r="J481" i="1"/>
  <c r="M480" i="1"/>
  <c r="L480" i="1"/>
  <c r="K480" i="1"/>
  <c r="J480" i="1"/>
  <c r="M479" i="1"/>
  <c r="L479" i="1"/>
  <c r="K479" i="1"/>
  <c r="J479" i="1"/>
  <c r="M478" i="1"/>
  <c r="L478" i="1"/>
  <c r="K478" i="1"/>
  <c r="J478" i="1"/>
  <c r="M477" i="1"/>
  <c r="L477" i="1"/>
  <c r="K477" i="1"/>
  <c r="J477" i="1"/>
  <c r="M476" i="1"/>
  <c r="L476" i="1"/>
  <c r="K476" i="1"/>
  <c r="J476" i="1"/>
  <c r="M475" i="1"/>
  <c r="L475" i="1"/>
  <c r="K475" i="1"/>
  <c r="J475" i="1"/>
  <c r="M474" i="1"/>
  <c r="L474" i="1"/>
  <c r="K474" i="1"/>
  <c r="J474" i="1"/>
  <c r="M473" i="1"/>
  <c r="L473" i="1"/>
  <c r="K473" i="1"/>
  <c r="J473" i="1"/>
  <c r="M472" i="1"/>
  <c r="L472" i="1"/>
  <c r="K472" i="1"/>
  <c r="J472" i="1"/>
  <c r="M471" i="1"/>
  <c r="L471" i="1"/>
  <c r="K471" i="1"/>
  <c r="J471" i="1"/>
  <c r="M470" i="1"/>
  <c r="L470" i="1"/>
  <c r="K470" i="1"/>
  <c r="J470" i="1"/>
  <c r="M469" i="1"/>
  <c r="L469" i="1"/>
  <c r="K469" i="1"/>
  <c r="J469" i="1"/>
  <c r="M468" i="1"/>
  <c r="L468" i="1"/>
  <c r="K468" i="1"/>
  <c r="J468" i="1"/>
  <c r="M467" i="1"/>
  <c r="L467" i="1"/>
  <c r="K467" i="1"/>
  <c r="J467" i="1"/>
  <c r="M466" i="1"/>
  <c r="L466" i="1"/>
  <c r="K466" i="1"/>
  <c r="J466" i="1"/>
  <c r="M465" i="1"/>
  <c r="L465" i="1"/>
  <c r="K465" i="1"/>
  <c r="J465" i="1"/>
  <c r="M464" i="1"/>
  <c r="L464" i="1"/>
  <c r="K464" i="1"/>
  <c r="J464" i="1"/>
  <c r="M463" i="1"/>
  <c r="L463" i="1"/>
  <c r="K463" i="1"/>
  <c r="J463" i="1"/>
  <c r="M462" i="1"/>
  <c r="L462" i="1"/>
  <c r="K462" i="1"/>
  <c r="J462" i="1"/>
  <c r="M461" i="1"/>
  <c r="L461" i="1"/>
  <c r="K461" i="1"/>
  <c r="J461" i="1"/>
  <c r="M460" i="1"/>
  <c r="L460" i="1"/>
  <c r="K460" i="1"/>
  <c r="J460" i="1"/>
  <c r="M459" i="1"/>
  <c r="L459" i="1"/>
  <c r="K459" i="1"/>
  <c r="J459" i="1"/>
  <c r="M458" i="1"/>
  <c r="L458" i="1"/>
  <c r="K458" i="1"/>
  <c r="J458" i="1"/>
  <c r="M457" i="1"/>
  <c r="L457" i="1"/>
  <c r="K457" i="1"/>
  <c r="J457" i="1"/>
  <c r="M456" i="1"/>
  <c r="L456" i="1"/>
  <c r="K456" i="1"/>
  <c r="J456" i="1"/>
  <c r="M455" i="1"/>
  <c r="L455" i="1"/>
  <c r="K455" i="1"/>
  <c r="J455" i="1"/>
  <c r="M454" i="1"/>
  <c r="L454" i="1"/>
  <c r="K454" i="1"/>
  <c r="J454" i="1"/>
  <c r="M453" i="1"/>
  <c r="L453" i="1"/>
  <c r="K453" i="1"/>
  <c r="J453" i="1"/>
  <c r="M452" i="1"/>
  <c r="L452" i="1"/>
  <c r="K452" i="1"/>
  <c r="J452" i="1"/>
  <c r="M451" i="1"/>
  <c r="L451" i="1"/>
  <c r="K451" i="1"/>
  <c r="J451" i="1"/>
  <c r="M450" i="1"/>
  <c r="L450" i="1"/>
  <c r="K450" i="1"/>
  <c r="J450" i="1"/>
  <c r="M449" i="1"/>
  <c r="L449" i="1"/>
  <c r="K449" i="1"/>
  <c r="J449" i="1"/>
  <c r="M448" i="1"/>
  <c r="L448" i="1"/>
  <c r="K448" i="1"/>
  <c r="J448" i="1"/>
  <c r="M447" i="1"/>
  <c r="L447" i="1"/>
  <c r="K447" i="1"/>
  <c r="J447" i="1"/>
  <c r="M446" i="1"/>
  <c r="L446" i="1"/>
  <c r="K446" i="1"/>
  <c r="J446" i="1"/>
  <c r="M445" i="1"/>
  <c r="L445" i="1"/>
  <c r="K445" i="1"/>
  <c r="J445" i="1"/>
  <c r="M444" i="1"/>
  <c r="L444" i="1"/>
  <c r="K444" i="1"/>
  <c r="J444" i="1"/>
  <c r="M443" i="1"/>
  <c r="L443" i="1"/>
  <c r="K443" i="1"/>
  <c r="J443" i="1"/>
  <c r="M442" i="1"/>
  <c r="L442" i="1"/>
  <c r="K442" i="1"/>
  <c r="J442" i="1"/>
  <c r="M441" i="1"/>
  <c r="L441" i="1"/>
  <c r="K441" i="1"/>
  <c r="J441" i="1"/>
  <c r="M440" i="1"/>
  <c r="L440" i="1"/>
  <c r="K440" i="1"/>
  <c r="J440" i="1"/>
  <c r="M439" i="1"/>
  <c r="L439" i="1"/>
  <c r="K439" i="1"/>
  <c r="J439" i="1"/>
  <c r="M438" i="1"/>
  <c r="L438" i="1"/>
  <c r="K438" i="1"/>
  <c r="J438" i="1"/>
  <c r="M437" i="1"/>
  <c r="L437" i="1"/>
  <c r="K437" i="1"/>
  <c r="J437" i="1"/>
  <c r="M436" i="1"/>
  <c r="L436" i="1"/>
  <c r="K436" i="1"/>
  <c r="J436" i="1"/>
  <c r="M435" i="1"/>
  <c r="L435" i="1"/>
  <c r="K435" i="1"/>
  <c r="J435" i="1"/>
  <c r="M434" i="1"/>
  <c r="L434" i="1"/>
  <c r="K434" i="1"/>
  <c r="J434" i="1"/>
  <c r="M433" i="1"/>
  <c r="L433" i="1"/>
  <c r="K433" i="1"/>
  <c r="J433" i="1"/>
  <c r="M432" i="1"/>
  <c r="L432" i="1"/>
  <c r="K432" i="1"/>
  <c r="J432" i="1"/>
  <c r="M431" i="1"/>
  <c r="L431" i="1"/>
  <c r="K431" i="1"/>
  <c r="J431" i="1"/>
  <c r="M430" i="1"/>
  <c r="L430" i="1"/>
  <c r="K430" i="1"/>
  <c r="J430" i="1"/>
  <c r="M429" i="1"/>
  <c r="L429" i="1"/>
  <c r="K429" i="1"/>
  <c r="J429" i="1"/>
  <c r="M428" i="1"/>
  <c r="L428" i="1"/>
  <c r="K428" i="1"/>
  <c r="J428" i="1"/>
  <c r="M427" i="1"/>
  <c r="L427" i="1"/>
  <c r="K427" i="1"/>
  <c r="J427" i="1"/>
  <c r="M426" i="1"/>
  <c r="L426" i="1"/>
  <c r="K426" i="1"/>
  <c r="J426" i="1"/>
  <c r="M425" i="1"/>
  <c r="L425" i="1"/>
  <c r="K425" i="1"/>
  <c r="J425" i="1"/>
  <c r="M424" i="1"/>
  <c r="L424" i="1"/>
  <c r="K424" i="1"/>
  <c r="J424" i="1"/>
  <c r="M423" i="1"/>
  <c r="L423" i="1"/>
  <c r="K423" i="1"/>
  <c r="J423" i="1"/>
  <c r="M422" i="1"/>
  <c r="L422" i="1"/>
  <c r="K422" i="1"/>
  <c r="J422" i="1"/>
  <c r="M421" i="1"/>
  <c r="L421" i="1"/>
  <c r="K421" i="1"/>
  <c r="J421" i="1"/>
  <c r="M420" i="1"/>
  <c r="L420" i="1"/>
  <c r="K420" i="1"/>
  <c r="J420" i="1"/>
  <c r="M419" i="1"/>
  <c r="L419" i="1"/>
  <c r="K419" i="1"/>
  <c r="J419" i="1"/>
  <c r="M418" i="1"/>
  <c r="L418" i="1"/>
  <c r="K418" i="1"/>
  <c r="J418" i="1"/>
  <c r="M417" i="1"/>
  <c r="L417" i="1"/>
  <c r="K417" i="1"/>
  <c r="J417" i="1"/>
  <c r="M416" i="1"/>
  <c r="L416" i="1"/>
  <c r="K416" i="1"/>
  <c r="J416" i="1"/>
  <c r="M415" i="1"/>
  <c r="L415" i="1"/>
  <c r="K415" i="1"/>
  <c r="J415" i="1"/>
  <c r="M414" i="1"/>
  <c r="L414" i="1"/>
  <c r="K414" i="1"/>
  <c r="J414" i="1"/>
  <c r="M413" i="1"/>
  <c r="L413" i="1"/>
  <c r="K413" i="1"/>
  <c r="J413" i="1"/>
  <c r="M412" i="1"/>
  <c r="L412" i="1"/>
  <c r="K412" i="1"/>
  <c r="J412" i="1"/>
  <c r="M411" i="1"/>
  <c r="L411" i="1"/>
  <c r="K411" i="1"/>
  <c r="J411" i="1"/>
  <c r="M410" i="1"/>
  <c r="L410" i="1"/>
  <c r="K410" i="1"/>
  <c r="J410" i="1"/>
  <c r="M409" i="1"/>
  <c r="L409" i="1"/>
  <c r="K409" i="1"/>
  <c r="J409" i="1"/>
  <c r="M408" i="1"/>
  <c r="L408" i="1"/>
  <c r="K408" i="1"/>
  <c r="J408" i="1"/>
  <c r="M407" i="1"/>
  <c r="L407" i="1"/>
  <c r="Q765" i="11" s="1"/>
  <c r="K407" i="1"/>
  <c r="J407" i="1"/>
  <c r="M406" i="1"/>
  <c r="L406" i="1"/>
  <c r="K406" i="1"/>
  <c r="J406" i="1"/>
  <c r="M405" i="1"/>
  <c r="L405" i="1"/>
  <c r="K405" i="1"/>
  <c r="J405" i="1"/>
  <c r="M404" i="1"/>
  <c r="L404" i="1"/>
  <c r="K404" i="1"/>
  <c r="J404" i="1"/>
  <c r="M403" i="1"/>
  <c r="L403" i="1"/>
  <c r="K403" i="1"/>
  <c r="J403" i="1"/>
  <c r="M402" i="1"/>
  <c r="L402" i="1"/>
  <c r="K402" i="1"/>
  <c r="J402" i="1"/>
  <c r="M401" i="1"/>
  <c r="L401" i="1"/>
  <c r="K401" i="1"/>
  <c r="J401" i="1"/>
  <c r="M400" i="1"/>
  <c r="L400" i="1"/>
  <c r="K400" i="1"/>
  <c r="J400" i="1"/>
  <c r="M399" i="1"/>
  <c r="L399" i="1"/>
  <c r="K399" i="1"/>
  <c r="J399" i="1"/>
  <c r="M398" i="1"/>
  <c r="L398" i="1"/>
  <c r="K398" i="1"/>
  <c r="J398" i="1"/>
  <c r="M397" i="1"/>
  <c r="L397" i="1"/>
  <c r="K397" i="1"/>
  <c r="J397" i="1"/>
  <c r="M396" i="1"/>
  <c r="L396" i="1"/>
  <c r="K396" i="1"/>
  <c r="J396" i="1"/>
  <c r="M395" i="1"/>
  <c r="L395" i="1"/>
  <c r="K395" i="1"/>
  <c r="J395" i="1"/>
  <c r="M394" i="1"/>
  <c r="L394" i="1"/>
  <c r="K394" i="1"/>
  <c r="J394" i="1"/>
  <c r="M393" i="1"/>
  <c r="L393" i="1"/>
  <c r="K393" i="1"/>
  <c r="J393" i="1"/>
  <c r="M392" i="1"/>
  <c r="L392" i="1"/>
  <c r="K392" i="1"/>
  <c r="J392" i="1"/>
  <c r="M391" i="1"/>
  <c r="L391" i="1"/>
  <c r="K391" i="1"/>
  <c r="J391" i="1"/>
  <c r="M390" i="1"/>
  <c r="L390" i="1"/>
  <c r="K390" i="1"/>
  <c r="J390" i="1"/>
  <c r="M389" i="1"/>
  <c r="L389" i="1"/>
  <c r="K389" i="1"/>
  <c r="J389" i="1"/>
  <c r="M388" i="1"/>
  <c r="L388" i="1"/>
  <c r="K388" i="1"/>
  <c r="J388" i="1"/>
  <c r="M387" i="1"/>
  <c r="L387" i="1"/>
  <c r="K387" i="1"/>
  <c r="J387" i="1"/>
  <c r="M386" i="1"/>
  <c r="L386" i="1"/>
  <c r="K386" i="1"/>
  <c r="J386" i="1"/>
  <c r="M385" i="1"/>
  <c r="L385" i="1"/>
  <c r="K385" i="1"/>
  <c r="J385" i="1"/>
  <c r="M384" i="1"/>
  <c r="L384" i="1"/>
  <c r="K384" i="1"/>
  <c r="J384" i="1"/>
  <c r="M383" i="1"/>
  <c r="L383" i="1"/>
  <c r="P800" i="11" s="1"/>
  <c r="K383" i="1"/>
  <c r="J383" i="1"/>
  <c r="M382" i="1"/>
  <c r="L382" i="1"/>
  <c r="K382" i="1"/>
  <c r="J382" i="1"/>
  <c r="M381" i="1"/>
  <c r="L381" i="1"/>
  <c r="K381" i="1"/>
  <c r="J381" i="1"/>
  <c r="M380" i="1"/>
  <c r="L380" i="1"/>
  <c r="K380" i="1"/>
  <c r="J380" i="1"/>
  <c r="M379" i="1"/>
  <c r="L379" i="1"/>
  <c r="K379" i="1"/>
  <c r="J379" i="1"/>
  <c r="M378" i="1"/>
  <c r="L378" i="1"/>
  <c r="K378" i="1"/>
  <c r="J378" i="1"/>
  <c r="M377" i="1"/>
  <c r="L377" i="1"/>
  <c r="K377" i="1"/>
  <c r="J377" i="1"/>
  <c r="M376" i="1"/>
  <c r="L376" i="1"/>
  <c r="K376" i="1"/>
  <c r="J376" i="1"/>
  <c r="M375" i="1"/>
  <c r="L375" i="1"/>
  <c r="K375" i="1"/>
  <c r="J375" i="1"/>
  <c r="M374" i="1"/>
  <c r="L374" i="1"/>
  <c r="K374" i="1"/>
  <c r="J374" i="1"/>
  <c r="M373" i="1"/>
  <c r="L373" i="1"/>
  <c r="K373" i="1"/>
  <c r="J373" i="1"/>
  <c r="M372" i="1"/>
  <c r="L372" i="1"/>
  <c r="K372" i="1"/>
  <c r="J372" i="1"/>
  <c r="M371" i="1"/>
  <c r="L371" i="1"/>
  <c r="K371" i="1"/>
  <c r="J371" i="1"/>
  <c r="M370" i="1"/>
  <c r="L370" i="1"/>
  <c r="K370" i="1"/>
  <c r="J370" i="1"/>
  <c r="M369" i="1"/>
  <c r="L369" i="1"/>
  <c r="K369" i="1"/>
  <c r="J369" i="1"/>
  <c r="M368" i="1"/>
  <c r="L368" i="1"/>
  <c r="K368" i="1"/>
  <c r="J368" i="1"/>
  <c r="M367" i="1"/>
  <c r="L367" i="1"/>
  <c r="K367" i="1"/>
  <c r="J367" i="1"/>
  <c r="M366" i="1"/>
  <c r="L366" i="1"/>
  <c r="K366" i="1"/>
  <c r="J366" i="1"/>
  <c r="M365" i="1"/>
  <c r="L365" i="1"/>
  <c r="M497" i="11" s="1"/>
  <c r="K365" i="1"/>
  <c r="J365" i="1"/>
  <c r="M364" i="1"/>
  <c r="L364" i="1"/>
  <c r="K364" i="1"/>
  <c r="J364" i="1"/>
  <c r="M363" i="1"/>
  <c r="L363" i="1"/>
  <c r="K363" i="1"/>
  <c r="J363" i="1"/>
  <c r="M362" i="1"/>
  <c r="L362" i="1"/>
  <c r="K362" i="1"/>
  <c r="J362" i="1"/>
  <c r="M361" i="1"/>
  <c r="L361" i="1"/>
  <c r="K361" i="1"/>
  <c r="J361" i="1"/>
  <c r="M360" i="1"/>
  <c r="L360" i="1"/>
  <c r="K360" i="1"/>
  <c r="J360" i="1"/>
  <c r="M359" i="1"/>
  <c r="L359" i="1"/>
  <c r="K359" i="1"/>
  <c r="J359" i="1"/>
  <c r="M358" i="1"/>
  <c r="L358" i="1"/>
  <c r="K358" i="1"/>
  <c r="J358" i="1"/>
  <c r="M357" i="1"/>
  <c r="L357" i="1"/>
  <c r="K357" i="1"/>
  <c r="J357" i="1"/>
  <c r="M356" i="1"/>
  <c r="L356" i="1"/>
  <c r="K356" i="1"/>
  <c r="J356" i="1"/>
  <c r="M355" i="1"/>
  <c r="L355" i="1"/>
  <c r="K355" i="1"/>
  <c r="J355" i="1"/>
  <c r="M354" i="1"/>
  <c r="L354" i="1"/>
  <c r="K354" i="1"/>
  <c r="J354" i="1"/>
  <c r="M353" i="1"/>
  <c r="L353" i="1"/>
  <c r="K353" i="1"/>
  <c r="J353" i="1"/>
  <c r="M352" i="1"/>
  <c r="L352" i="1"/>
  <c r="K352" i="1"/>
  <c r="J352" i="1"/>
  <c r="M351" i="1"/>
  <c r="L351" i="1"/>
  <c r="U824" i="11" s="1"/>
  <c r="K351" i="1"/>
  <c r="J351" i="1"/>
  <c r="M350" i="1"/>
  <c r="L350" i="1"/>
  <c r="K350" i="1"/>
  <c r="J350" i="1"/>
  <c r="M349" i="1"/>
  <c r="L349" i="1"/>
  <c r="U791" i="11" s="1"/>
  <c r="K349" i="1"/>
  <c r="J349" i="1"/>
  <c r="M348" i="1"/>
  <c r="L348" i="1"/>
  <c r="K348" i="1"/>
  <c r="J348" i="1"/>
  <c r="M347" i="1"/>
  <c r="L347" i="1"/>
  <c r="K347" i="1"/>
  <c r="J347" i="1"/>
  <c r="M346" i="1"/>
  <c r="L346" i="1"/>
  <c r="K346" i="1"/>
  <c r="J346" i="1"/>
  <c r="M345" i="1"/>
  <c r="L345" i="1"/>
  <c r="K345" i="1"/>
  <c r="J345" i="1"/>
  <c r="M344" i="1"/>
  <c r="L344" i="1"/>
  <c r="K344" i="1"/>
  <c r="J344" i="1"/>
  <c r="M343" i="1"/>
  <c r="L343" i="1"/>
  <c r="K343" i="1"/>
  <c r="J343" i="1"/>
  <c r="M342" i="1"/>
  <c r="L342" i="1"/>
  <c r="K342" i="1"/>
  <c r="J342" i="1"/>
  <c r="M341" i="1"/>
  <c r="L341" i="1"/>
  <c r="K341" i="1"/>
  <c r="J341" i="1"/>
  <c r="M340" i="1"/>
  <c r="L340" i="1"/>
  <c r="K340" i="1"/>
  <c r="J340" i="1"/>
  <c r="M339" i="1"/>
  <c r="L339" i="1"/>
  <c r="P550" i="11" s="1"/>
  <c r="K339" i="1"/>
  <c r="J339" i="1"/>
  <c r="M338" i="1"/>
  <c r="L338" i="1"/>
  <c r="K338" i="1"/>
  <c r="J338" i="1"/>
  <c r="M337" i="1"/>
  <c r="L337" i="1"/>
  <c r="K337" i="1"/>
  <c r="J337" i="1"/>
  <c r="M336" i="1"/>
  <c r="L336" i="1"/>
  <c r="K336" i="1"/>
  <c r="J336" i="1"/>
  <c r="M335" i="1"/>
  <c r="L335" i="1"/>
  <c r="K335" i="1"/>
  <c r="J335" i="1"/>
  <c r="M334" i="1"/>
  <c r="L334" i="1"/>
  <c r="K334" i="1"/>
  <c r="J334" i="1"/>
  <c r="M333" i="1"/>
  <c r="L333" i="1"/>
  <c r="K333" i="1"/>
  <c r="J333" i="1"/>
  <c r="M332" i="1"/>
  <c r="L332" i="1"/>
  <c r="K332" i="1"/>
  <c r="J332" i="1"/>
  <c r="M331" i="1"/>
  <c r="L331" i="1"/>
  <c r="K331" i="1"/>
  <c r="J331" i="1"/>
  <c r="M330" i="1"/>
  <c r="L330" i="1"/>
  <c r="K330" i="1"/>
  <c r="J330" i="1"/>
  <c r="M329" i="1"/>
  <c r="L329" i="1"/>
  <c r="K329" i="1"/>
  <c r="J329" i="1"/>
  <c r="M328" i="1"/>
  <c r="L328" i="1"/>
  <c r="K328" i="1"/>
  <c r="J328" i="1"/>
  <c r="M327" i="1"/>
  <c r="L327" i="1"/>
  <c r="M493" i="11" s="1"/>
  <c r="K327" i="1"/>
  <c r="J327" i="1"/>
  <c r="M326" i="1"/>
  <c r="L326" i="1"/>
  <c r="K326" i="1"/>
  <c r="J326" i="1"/>
  <c r="M325" i="1"/>
  <c r="L325" i="1"/>
  <c r="K325" i="1"/>
  <c r="J325" i="1"/>
  <c r="M324" i="1"/>
  <c r="L324" i="1"/>
  <c r="K324" i="1"/>
  <c r="J324" i="1"/>
  <c r="M323" i="1"/>
  <c r="L323" i="1"/>
  <c r="K323" i="1"/>
  <c r="J323" i="1"/>
  <c r="M322" i="1"/>
  <c r="L322" i="1"/>
  <c r="K322" i="1"/>
  <c r="J322" i="1"/>
  <c r="M321" i="1"/>
  <c r="L321" i="1"/>
  <c r="K321" i="1"/>
  <c r="J321" i="1"/>
  <c r="M320" i="1"/>
  <c r="L320" i="1"/>
  <c r="K320" i="1"/>
  <c r="J320" i="1"/>
  <c r="M319" i="1"/>
  <c r="L319" i="1"/>
  <c r="V732" i="11" s="1"/>
  <c r="K319" i="1"/>
  <c r="J319" i="1"/>
  <c r="M318" i="1"/>
  <c r="L318" i="1"/>
  <c r="K318" i="1"/>
  <c r="J318" i="1"/>
  <c r="M317" i="1"/>
  <c r="L317" i="1"/>
  <c r="K317" i="1"/>
  <c r="J317" i="1"/>
  <c r="M316" i="1"/>
  <c r="L316" i="1"/>
  <c r="K316" i="1"/>
  <c r="J316" i="1"/>
  <c r="M315" i="1"/>
  <c r="L315" i="1"/>
  <c r="U364" i="11" s="1"/>
  <c r="K315" i="1"/>
  <c r="J315" i="1"/>
  <c r="M314" i="1"/>
  <c r="L314" i="1"/>
  <c r="K314" i="1"/>
  <c r="J314" i="1"/>
  <c r="M313" i="1"/>
  <c r="L313" i="1"/>
  <c r="S156" i="11" s="1"/>
  <c r="K313" i="1"/>
  <c r="J313" i="1"/>
  <c r="M312" i="1"/>
  <c r="L312" i="1"/>
  <c r="K312" i="1"/>
  <c r="J312" i="1"/>
  <c r="M311" i="1"/>
  <c r="L311" i="1"/>
  <c r="K311" i="1"/>
  <c r="J311" i="1"/>
  <c r="M310" i="1"/>
  <c r="L310" i="1"/>
  <c r="K310" i="1"/>
  <c r="J310" i="1"/>
  <c r="M309" i="1"/>
  <c r="L309" i="1"/>
  <c r="K309" i="1"/>
  <c r="J309" i="1"/>
  <c r="M308" i="1"/>
  <c r="L308" i="1"/>
  <c r="K308" i="1"/>
  <c r="J308" i="1"/>
  <c r="M307" i="1"/>
  <c r="L307" i="1"/>
  <c r="K307" i="1"/>
  <c r="J307" i="1"/>
  <c r="M306" i="1"/>
  <c r="L306" i="1"/>
  <c r="K306" i="1"/>
  <c r="J306" i="1"/>
  <c r="M305" i="1"/>
  <c r="L305" i="1"/>
  <c r="K305" i="1"/>
  <c r="J305" i="1"/>
  <c r="M304" i="1"/>
  <c r="L304" i="1"/>
  <c r="K304" i="1"/>
  <c r="J304" i="1"/>
  <c r="M303" i="1"/>
  <c r="L303" i="1"/>
  <c r="U1000" i="11" s="1"/>
  <c r="K303" i="1"/>
  <c r="J303" i="1"/>
  <c r="M302" i="1"/>
  <c r="L302" i="1"/>
  <c r="K302" i="1"/>
  <c r="J302" i="1"/>
  <c r="M301" i="1"/>
  <c r="L301" i="1"/>
  <c r="K301" i="1"/>
  <c r="J301" i="1"/>
  <c r="M300" i="1"/>
  <c r="L300" i="1"/>
  <c r="K300" i="1"/>
  <c r="J300" i="1"/>
  <c r="M299" i="1"/>
  <c r="L299" i="1"/>
  <c r="T196" i="11" s="1"/>
  <c r="K299" i="1"/>
  <c r="J299" i="1"/>
  <c r="M298" i="1"/>
  <c r="L298" i="1"/>
  <c r="K298" i="1"/>
  <c r="J298" i="1"/>
  <c r="M297" i="1"/>
  <c r="L297" i="1"/>
  <c r="N1007" i="11" s="1"/>
  <c r="K297" i="1"/>
  <c r="J297" i="1"/>
  <c r="M296" i="1"/>
  <c r="L296" i="1"/>
  <c r="K296" i="1"/>
  <c r="J296" i="1"/>
  <c r="M295" i="1"/>
  <c r="L295" i="1"/>
  <c r="K295" i="1"/>
  <c r="J295" i="1"/>
  <c r="M294" i="1"/>
  <c r="L294" i="1"/>
  <c r="K294" i="1"/>
  <c r="J294" i="1"/>
  <c r="M293" i="1"/>
  <c r="L293" i="1"/>
  <c r="K293" i="1"/>
  <c r="J293" i="1"/>
  <c r="M292" i="1"/>
  <c r="L292" i="1"/>
  <c r="K292" i="1"/>
  <c r="J292" i="1"/>
  <c r="M291" i="1"/>
  <c r="L291" i="1"/>
  <c r="K291" i="1"/>
  <c r="J291" i="1"/>
  <c r="M290" i="1"/>
  <c r="L290" i="1"/>
  <c r="K290" i="1"/>
  <c r="J290" i="1"/>
  <c r="M289" i="1"/>
  <c r="L289" i="1"/>
  <c r="K289" i="1"/>
  <c r="J289" i="1"/>
  <c r="M288" i="1"/>
  <c r="L288" i="1"/>
  <c r="K288" i="1"/>
  <c r="J288" i="1"/>
  <c r="M287" i="1"/>
  <c r="L287" i="1"/>
  <c r="K287" i="1"/>
  <c r="J287" i="1"/>
  <c r="M286" i="1"/>
  <c r="L286" i="1"/>
  <c r="K286" i="1"/>
  <c r="J286" i="1"/>
  <c r="M285" i="1"/>
  <c r="L285" i="1"/>
  <c r="K285" i="1"/>
  <c r="J285" i="1"/>
  <c r="M284" i="1"/>
  <c r="L284" i="1"/>
  <c r="K284" i="1"/>
  <c r="J284" i="1"/>
  <c r="M283" i="1"/>
  <c r="L283" i="1"/>
  <c r="K283" i="1"/>
  <c r="J283" i="1"/>
  <c r="M282" i="1"/>
  <c r="L282" i="1"/>
  <c r="K282" i="1"/>
  <c r="J282" i="1"/>
  <c r="M281" i="1"/>
  <c r="L281" i="1"/>
  <c r="K281" i="1"/>
  <c r="J281" i="1"/>
  <c r="M280" i="1"/>
  <c r="L280" i="1"/>
  <c r="K280" i="1"/>
  <c r="J280" i="1"/>
  <c r="M279" i="1"/>
  <c r="L279" i="1"/>
  <c r="K279" i="1"/>
  <c r="J279" i="1"/>
  <c r="M278" i="1"/>
  <c r="L278" i="1"/>
  <c r="K278" i="1"/>
  <c r="J278" i="1"/>
  <c r="M277" i="1"/>
  <c r="L277" i="1"/>
  <c r="K277" i="1"/>
  <c r="J277" i="1"/>
  <c r="M276" i="1"/>
  <c r="L276" i="1"/>
  <c r="K276" i="1"/>
  <c r="J276" i="1"/>
  <c r="M275" i="1"/>
  <c r="L275" i="1"/>
  <c r="K275" i="1"/>
  <c r="J275" i="1"/>
  <c r="M274" i="1"/>
  <c r="L274" i="1"/>
  <c r="K274" i="1"/>
  <c r="J274" i="1"/>
  <c r="M273" i="1"/>
  <c r="L273" i="1"/>
  <c r="K273" i="1"/>
  <c r="J273" i="1"/>
  <c r="M272" i="1"/>
  <c r="L272" i="1"/>
  <c r="K272" i="1"/>
  <c r="J272" i="1"/>
  <c r="M271" i="1"/>
  <c r="L271" i="1"/>
  <c r="K271" i="1"/>
  <c r="J271" i="1"/>
  <c r="M270" i="1"/>
  <c r="L270" i="1"/>
  <c r="K270" i="1"/>
  <c r="J270" i="1"/>
  <c r="M269" i="1"/>
  <c r="L269" i="1"/>
  <c r="K269" i="1"/>
  <c r="J269" i="1"/>
  <c r="M268" i="1"/>
  <c r="L268" i="1"/>
  <c r="K268" i="1"/>
  <c r="J268" i="1"/>
  <c r="M267" i="1"/>
  <c r="L267" i="1"/>
  <c r="K267" i="1"/>
  <c r="J267" i="1"/>
  <c r="M266" i="1"/>
  <c r="L266" i="1"/>
  <c r="K266" i="1"/>
  <c r="J266" i="1"/>
  <c r="M265" i="1"/>
  <c r="L265" i="1"/>
  <c r="K265" i="1"/>
  <c r="J265" i="1"/>
  <c r="M264" i="1"/>
  <c r="L264" i="1"/>
  <c r="K264" i="1"/>
  <c r="J264" i="1"/>
  <c r="M263" i="1"/>
  <c r="L263" i="1"/>
  <c r="K263" i="1"/>
  <c r="J263" i="1"/>
  <c r="M262" i="1"/>
  <c r="L262" i="1"/>
  <c r="K262" i="1"/>
  <c r="J262" i="1"/>
  <c r="M261" i="1"/>
  <c r="L261" i="1"/>
  <c r="K261" i="1"/>
  <c r="J261" i="1"/>
  <c r="M260" i="1"/>
  <c r="L260" i="1"/>
  <c r="K260" i="1"/>
  <c r="J260" i="1"/>
  <c r="M259" i="1"/>
  <c r="L259" i="1"/>
  <c r="K259" i="1"/>
  <c r="J259" i="1"/>
  <c r="M258" i="1"/>
  <c r="L258" i="1"/>
  <c r="K258" i="1"/>
  <c r="J258" i="1"/>
  <c r="M257" i="1"/>
  <c r="L257" i="1"/>
  <c r="O918" i="11" s="1"/>
  <c r="K257" i="1"/>
  <c r="J257" i="1"/>
  <c r="M256" i="1"/>
  <c r="L256" i="1"/>
  <c r="K256" i="1"/>
  <c r="J256" i="1"/>
  <c r="M255" i="1"/>
  <c r="L255" i="1"/>
  <c r="O925" i="11" s="1"/>
  <c r="K255" i="1"/>
  <c r="J255" i="1"/>
  <c r="M254" i="1"/>
  <c r="L254" i="1"/>
  <c r="K254" i="1"/>
  <c r="J254" i="1"/>
  <c r="M253" i="1"/>
  <c r="L253" i="1"/>
  <c r="K1001" i="11" s="1"/>
  <c r="K253" i="1"/>
  <c r="J253" i="1"/>
  <c r="M252" i="1"/>
  <c r="L252" i="1"/>
  <c r="K252" i="1"/>
  <c r="J252" i="1"/>
  <c r="M251" i="1"/>
  <c r="L251" i="1"/>
  <c r="U624" i="11" s="1"/>
  <c r="K251" i="1"/>
  <c r="J251" i="1"/>
  <c r="M250" i="1"/>
  <c r="L250" i="1"/>
  <c r="K250" i="1"/>
  <c r="J250" i="1"/>
  <c r="M249" i="1"/>
  <c r="L249" i="1"/>
  <c r="K860" i="11" s="1"/>
  <c r="K249" i="1"/>
  <c r="J249" i="1"/>
  <c r="M248" i="1"/>
  <c r="L248" i="1"/>
  <c r="K248" i="1"/>
  <c r="J248" i="1"/>
  <c r="M247" i="1"/>
  <c r="L247" i="1"/>
  <c r="K247" i="1"/>
  <c r="J247" i="1"/>
  <c r="M246" i="1"/>
  <c r="L246" i="1"/>
  <c r="K246" i="1"/>
  <c r="J246" i="1"/>
  <c r="M245" i="1"/>
  <c r="L245" i="1"/>
  <c r="K245" i="1"/>
  <c r="J245" i="1"/>
  <c r="M244" i="1"/>
  <c r="L244" i="1"/>
  <c r="K244" i="1"/>
  <c r="J244" i="1"/>
  <c r="M243" i="1"/>
  <c r="L243" i="1"/>
  <c r="K243" i="1"/>
  <c r="J243" i="1"/>
  <c r="M242" i="1"/>
  <c r="L242" i="1"/>
  <c r="K242" i="1"/>
  <c r="J242" i="1"/>
  <c r="M241" i="1"/>
  <c r="L241" i="1"/>
  <c r="K241" i="1"/>
  <c r="J241" i="1"/>
  <c r="M240" i="1"/>
  <c r="L240" i="1"/>
  <c r="K240" i="1"/>
  <c r="J240" i="1"/>
  <c r="M239" i="1"/>
  <c r="L239" i="1"/>
  <c r="K239" i="1"/>
  <c r="J239" i="1"/>
  <c r="M238" i="1"/>
  <c r="L238" i="1"/>
  <c r="K238" i="1"/>
  <c r="J238" i="1"/>
  <c r="M237" i="1"/>
  <c r="L237" i="1"/>
  <c r="K237" i="1"/>
  <c r="J237" i="1"/>
  <c r="M236" i="1"/>
  <c r="L236" i="1"/>
  <c r="K236" i="1"/>
  <c r="J236" i="1"/>
  <c r="M235" i="1"/>
  <c r="L235" i="1"/>
  <c r="K235" i="1"/>
  <c r="J235" i="1"/>
  <c r="M234" i="1"/>
  <c r="L234" i="1"/>
  <c r="K234" i="1"/>
  <c r="J234" i="1"/>
  <c r="M233" i="1"/>
  <c r="L233" i="1"/>
  <c r="T637" i="11" s="1"/>
  <c r="K233" i="1"/>
  <c r="J233" i="1"/>
  <c r="M232" i="1"/>
  <c r="L232" i="1"/>
  <c r="K232" i="1"/>
  <c r="J232" i="1"/>
  <c r="M231" i="1"/>
  <c r="L231" i="1"/>
  <c r="K231" i="1"/>
  <c r="J231" i="1"/>
  <c r="M230" i="1"/>
  <c r="L230" i="1"/>
  <c r="O840" i="11" s="1"/>
  <c r="K230" i="1"/>
  <c r="J230" i="1"/>
  <c r="M229" i="1"/>
  <c r="L229" i="1"/>
  <c r="K229" i="1"/>
  <c r="J229" i="1"/>
  <c r="M228" i="1"/>
  <c r="L228" i="1"/>
  <c r="K228" i="1"/>
  <c r="J228" i="1"/>
  <c r="M227" i="1"/>
  <c r="L227" i="1"/>
  <c r="S635" i="11" s="1"/>
  <c r="K227" i="1"/>
  <c r="J227" i="1"/>
  <c r="M226" i="1"/>
  <c r="L226" i="1"/>
  <c r="K226" i="1"/>
  <c r="J226" i="1"/>
  <c r="M225" i="1"/>
  <c r="L225" i="1"/>
  <c r="K225" i="1"/>
  <c r="J225" i="1"/>
  <c r="M224" i="1"/>
  <c r="L224" i="1"/>
  <c r="K224" i="1"/>
  <c r="J224" i="1"/>
  <c r="M223" i="1"/>
  <c r="L223" i="1"/>
  <c r="M577" i="11" s="1"/>
  <c r="K223" i="1"/>
  <c r="J223" i="1"/>
  <c r="M222" i="1"/>
  <c r="L222" i="1"/>
  <c r="K222" i="1"/>
  <c r="J222" i="1"/>
  <c r="M221" i="1"/>
  <c r="L221" i="1"/>
  <c r="U783" i="11" s="1"/>
  <c r="K221" i="1"/>
  <c r="J221" i="1"/>
  <c r="M220" i="1"/>
  <c r="L220" i="1"/>
  <c r="K220" i="1"/>
  <c r="J220" i="1"/>
  <c r="M219" i="1"/>
  <c r="L219" i="1"/>
  <c r="K219" i="1"/>
  <c r="J219" i="1"/>
  <c r="M218" i="1"/>
  <c r="L218" i="1"/>
  <c r="K218" i="1"/>
  <c r="J218" i="1"/>
  <c r="M217" i="1"/>
  <c r="L217" i="1"/>
  <c r="K217" i="1"/>
  <c r="J217" i="1"/>
  <c r="M216" i="1"/>
  <c r="L216" i="1"/>
  <c r="K216" i="1"/>
  <c r="J216" i="1"/>
  <c r="M215" i="1"/>
  <c r="L215" i="1"/>
  <c r="O768" i="11" s="1"/>
  <c r="K215" i="1"/>
  <c r="J215" i="1"/>
  <c r="M214" i="1"/>
  <c r="L214" i="1"/>
  <c r="K214" i="1"/>
  <c r="J214" i="1"/>
  <c r="M213" i="1"/>
  <c r="L213" i="1"/>
  <c r="K213" i="1"/>
  <c r="J213" i="1"/>
  <c r="M212" i="1"/>
  <c r="L212" i="1"/>
  <c r="K212" i="1"/>
  <c r="J212" i="1"/>
  <c r="M211" i="1"/>
  <c r="L211" i="1"/>
  <c r="K211" i="1"/>
  <c r="J211" i="1"/>
  <c r="M210" i="1"/>
  <c r="L210" i="1"/>
  <c r="K210" i="1"/>
  <c r="J210" i="1"/>
  <c r="M209" i="1"/>
  <c r="L209" i="1"/>
  <c r="K209" i="1"/>
  <c r="J209" i="1"/>
  <c r="M208" i="1"/>
  <c r="L208" i="1"/>
  <c r="K208" i="1"/>
  <c r="J208" i="1"/>
  <c r="M207" i="1"/>
  <c r="L207" i="1"/>
  <c r="V943" i="11" s="1"/>
  <c r="K207" i="1"/>
  <c r="J207" i="1"/>
  <c r="M206" i="1"/>
  <c r="L206" i="1"/>
  <c r="K206" i="1"/>
  <c r="J206" i="1"/>
  <c r="M205" i="1"/>
  <c r="L205" i="1"/>
  <c r="M294" i="11" s="1"/>
  <c r="K205" i="1"/>
  <c r="J205" i="1"/>
  <c r="M204" i="1"/>
  <c r="L204" i="1"/>
  <c r="K204" i="1"/>
  <c r="J204" i="1"/>
  <c r="M203" i="1"/>
  <c r="L203" i="1"/>
  <c r="K203" i="1"/>
  <c r="J203" i="1"/>
  <c r="M202" i="1"/>
  <c r="L202" i="1"/>
  <c r="K202" i="1"/>
  <c r="J202" i="1"/>
  <c r="M201" i="1"/>
  <c r="L201" i="1"/>
  <c r="K201" i="1"/>
  <c r="J201" i="1"/>
  <c r="M200" i="1"/>
  <c r="L200" i="1"/>
  <c r="K200" i="1"/>
  <c r="J200" i="1"/>
  <c r="M199" i="1"/>
  <c r="L199" i="1"/>
  <c r="K199" i="1"/>
  <c r="J199" i="1"/>
  <c r="M198" i="1"/>
  <c r="L198" i="1"/>
  <c r="K198" i="1"/>
  <c r="J198" i="1"/>
  <c r="M197" i="1"/>
  <c r="L197" i="1"/>
  <c r="R698" i="11" s="1"/>
  <c r="K197" i="1"/>
  <c r="J197" i="1"/>
  <c r="M196" i="1"/>
  <c r="L196" i="1"/>
  <c r="K196" i="1"/>
  <c r="J196" i="1"/>
  <c r="M195" i="1"/>
  <c r="L195" i="1"/>
  <c r="K195" i="1"/>
  <c r="J195" i="1"/>
  <c r="M194" i="1"/>
  <c r="L194" i="1"/>
  <c r="K194" i="1"/>
  <c r="J194" i="1"/>
  <c r="M193" i="1"/>
  <c r="L193" i="1"/>
  <c r="K193" i="1"/>
  <c r="J193" i="1"/>
  <c r="M192" i="1"/>
  <c r="L192" i="1"/>
  <c r="K192" i="1"/>
  <c r="J192" i="1"/>
  <c r="M191" i="1"/>
  <c r="L191" i="1"/>
  <c r="K191" i="1"/>
  <c r="J191" i="1"/>
  <c r="M190" i="1"/>
  <c r="L190" i="1"/>
  <c r="K190" i="1"/>
  <c r="J190" i="1"/>
  <c r="M189" i="1"/>
  <c r="L189" i="1"/>
  <c r="K189" i="1"/>
  <c r="J189" i="1"/>
  <c r="M188" i="1"/>
  <c r="L188" i="1"/>
  <c r="K188" i="1"/>
  <c r="J188" i="1"/>
  <c r="M187" i="1"/>
  <c r="L187" i="1"/>
  <c r="K187" i="1"/>
  <c r="J187" i="1"/>
  <c r="M186" i="1"/>
  <c r="L186" i="1"/>
  <c r="K186" i="1"/>
  <c r="J186" i="1"/>
  <c r="M185" i="1"/>
  <c r="L185" i="1"/>
  <c r="U176" i="11" s="1"/>
  <c r="K185" i="1"/>
  <c r="J185" i="1"/>
  <c r="M184" i="1"/>
  <c r="L184" i="1"/>
  <c r="K184" i="1"/>
  <c r="J184" i="1"/>
  <c r="M183" i="1"/>
  <c r="L183" i="1"/>
  <c r="K183" i="1"/>
  <c r="J183" i="1"/>
  <c r="M182" i="1"/>
  <c r="L182" i="1"/>
  <c r="K182" i="1"/>
  <c r="J182" i="1"/>
  <c r="M181" i="1"/>
  <c r="L181" i="1"/>
  <c r="K181" i="1"/>
  <c r="J181" i="1"/>
  <c r="M180" i="1"/>
  <c r="L180" i="1"/>
  <c r="K180" i="1"/>
  <c r="J180" i="1"/>
  <c r="M179" i="1"/>
  <c r="L179" i="1"/>
  <c r="K179" i="1"/>
  <c r="J179" i="1"/>
  <c r="M178" i="1"/>
  <c r="L178" i="1"/>
  <c r="K178" i="1"/>
  <c r="J178" i="1"/>
  <c r="M177" i="1"/>
  <c r="L177" i="1"/>
  <c r="M789" i="11" s="1"/>
  <c r="K177" i="1"/>
  <c r="J177" i="1"/>
  <c r="M176" i="1"/>
  <c r="L176" i="1"/>
  <c r="K176" i="1"/>
  <c r="J176" i="1"/>
  <c r="M175" i="1"/>
  <c r="L175" i="1"/>
  <c r="K175" i="1"/>
  <c r="J175" i="1"/>
  <c r="M174" i="1"/>
  <c r="L174" i="1"/>
  <c r="K174" i="1"/>
  <c r="J174" i="1"/>
  <c r="M173" i="1"/>
  <c r="L173" i="1"/>
  <c r="K173" i="1"/>
  <c r="J173" i="1"/>
  <c r="M172" i="1"/>
  <c r="L172" i="1"/>
  <c r="K172" i="1"/>
  <c r="J172" i="1"/>
  <c r="M171" i="1"/>
  <c r="L171" i="1"/>
  <c r="K171" i="1"/>
  <c r="J171" i="1"/>
  <c r="M170" i="1"/>
  <c r="L170" i="1"/>
  <c r="K170" i="1"/>
  <c r="J170" i="1"/>
  <c r="M169" i="1"/>
  <c r="L169" i="1"/>
  <c r="L609" i="11" s="1"/>
  <c r="K169" i="1"/>
  <c r="J169" i="1"/>
  <c r="M168" i="1"/>
  <c r="L168" i="1"/>
  <c r="K168" i="1"/>
  <c r="J168" i="1"/>
  <c r="M167" i="1"/>
  <c r="L167" i="1"/>
  <c r="K167" i="1"/>
  <c r="J167" i="1"/>
  <c r="M166" i="1"/>
  <c r="L166" i="1"/>
  <c r="K166" i="1"/>
  <c r="J166" i="1"/>
  <c r="M165" i="1"/>
  <c r="L165" i="1"/>
  <c r="K165" i="1"/>
  <c r="J165" i="1"/>
  <c r="M164" i="1"/>
  <c r="L164" i="1"/>
  <c r="K164" i="1"/>
  <c r="J164" i="1"/>
  <c r="M163" i="1"/>
  <c r="L163" i="1"/>
  <c r="N639" i="11" s="1"/>
  <c r="K163" i="1"/>
  <c r="J163" i="1"/>
  <c r="M162" i="1"/>
  <c r="L162" i="1"/>
  <c r="K162" i="1"/>
  <c r="J162" i="1"/>
  <c r="M161" i="1"/>
  <c r="L161" i="1"/>
  <c r="K161" i="1"/>
  <c r="J161" i="1"/>
  <c r="M160" i="1"/>
  <c r="L160" i="1"/>
  <c r="K160" i="1"/>
  <c r="J160" i="1"/>
  <c r="M159" i="1"/>
  <c r="L159" i="1"/>
  <c r="K159" i="1"/>
  <c r="J159" i="1"/>
  <c r="M158" i="1"/>
  <c r="L158" i="1"/>
  <c r="K158" i="1"/>
  <c r="J158" i="1"/>
  <c r="M157" i="1"/>
  <c r="L157" i="1"/>
  <c r="U678" i="11" s="1"/>
  <c r="K157" i="1"/>
  <c r="J157" i="1"/>
  <c r="M156" i="1"/>
  <c r="L156" i="1"/>
  <c r="K156" i="1"/>
  <c r="J156" i="1"/>
  <c r="M155" i="1"/>
  <c r="L155" i="1"/>
  <c r="K155" i="1"/>
  <c r="J155" i="1"/>
  <c r="M154" i="1"/>
  <c r="L154" i="1"/>
  <c r="K154" i="1"/>
  <c r="J154" i="1"/>
  <c r="M153" i="1"/>
  <c r="L153" i="1"/>
  <c r="K153" i="1"/>
  <c r="J153" i="1"/>
  <c r="M152" i="1"/>
  <c r="L152" i="1"/>
  <c r="K152" i="1"/>
  <c r="J152" i="1"/>
  <c r="M151" i="1"/>
  <c r="L151" i="1"/>
  <c r="K151" i="1"/>
  <c r="J151" i="1"/>
  <c r="M150" i="1"/>
  <c r="L150" i="1"/>
  <c r="K150" i="1"/>
  <c r="J150" i="1"/>
  <c r="M149" i="1"/>
  <c r="L149" i="1"/>
  <c r="K149" i="1"/>
  <c r="J149" i="1"/>
  <c r="M148" i="1"/>
  <c r="L148" i="1"/>
  <c r="K148" i="1"/>
  <c r="J148" i="1"/>
  <c r="M147" i="1"/>
  <c r="L147" i="1"/>
  <c r="T237" i="11" s="1"/>
  <c r="K147" i="1"/>
  <c r="J147" i="1"/>
  <c r="M146" i="1"/>
  <c r="L146" i="1"/>
  <c r="K146" i="1"/>
  <c r="J146" i="1"/>
  <c r="M145" i="1"/>
  <c r="L145" i="1"/>
  <c r="K145" i="1"/>
  <c r="J145" i="1"/>
  <c r="M144" i="1"/>
  <c r="L144" i="1"/>
  <c r="K144" i="1"/>
  <c r="J144" i="1"/>
  <c r="M143" i="1"/>
  <c r="L143" i="1"/>
  <c r="K143" i="1"/>
  <c r="J143" i="1"/>
  <c r="M142" i="1"/>
  <c r="L142" i="1"/>
  <c r="K142" i="1"/>
  <c r="J142" i="1"/>
  <c r="M141" i="1"/>
  <c r="L141" i="1"/>
  <c r="K141" i="1"/>
  <c r="J141" i="1"/>
  <c r="M140" i="1"/>
  <c r="L140" i="1"/>
  <c r="K140" i="1"/>
  <c r="J140" i="1"/>
  <c r="M139" i="1"/>
  <c r="L139" i="1"/>
  <c r="P625" i="11" s="1"/>
  <c r="K139" i="1"/>
  <c r="J139" i="1"/>
  <c r="M138" i="1"/>
  <c r="L138" i="1"/>
  <c r="K138" i="1"/>
  <c r="J138" i="1"/>
  <c r="M137" i="1"/>
  <c r="L137" i="1"/>
  <c r="K137" i="1"/>
  <c r="J137" i="1"/>
  <c r="M136" i="1"/>
  <c r="L136" i="1"/>
  <c r="K136" i="1"/>
  <c r="J136" i="1"/>
  <c r="M135" i="1"/>
  <c r="L135" i="1"/>
  <c r="K135" i="1"/>
  <c r="J135" i="1"/>
  <c r="M134" i="1"/>
  <c r="L134" i="1"/>
  <c r="K134" i="1"/>
  <c r="J134" i="1"/>
  <c r="M133" i="1"/>
  <c r="L133" i="1"/>
  <c r="K133" i="1"/>
  <c r="J133" i="1"/>
  <c r="M132" i="1"/>
  <c r="L132" i="1"/>
  <c r="K132" i="1"/>
  <c r="J132" i="1"/>
  <c r="M131" i="1"/>
  <c r="L131" i="1"/>
  <c r="N28" i="11" s="1"/>
  <c r="K131" i="1"/>
  <c r="J131" i="1"/>
  <c r="M130" i="1"/>
  <c r="L130" i="1"/>
  <c r="K130" i="1"/>
  <c r="J130" i="1"/>
  <c r="M129" i="1"/>
  <c r="L129" i="1"/>
  <c r="K129" i="1"/>
  <c r="J129" i="1"/>
  <c r="M128" i="1"/>
  <c r="L128" i="1"/>
  <c r="K128" i="1"/>
  <c r="J128" i="1"/>
  <c r="M127" i="1"/>
  <c r="L127" i="1"/>
  <c r="K127" i="1"/>
  <c r="J127" i="1"/>
  <c r="M126" i="1"/>
  <c r="L126" i="1"/>
  <c r="K126" i="1"/>
  <c r="J126" i="1"/>
  <c r="M125" i="1"/>
  <c r="L125" i="1"/>
  <c r="K125" i="1"/>
  <c r="J125" i="1"/>
  <c r="M124" i="1"/>
  <c r="L124" i="1"/>
  <c r="K124" i="1"/>
  <c r="J124" i="1"/>
  <c r="M123" i="1"/>
  <c r="L123" i="1"/>
  <c r="U628" i="11" s="1"/>
  <c r="K123" i="1"/>
  <c r="J123" i="1"/>
  <c r="M122" i="1"/>
  <c r="L122" i="1"/>
  <c r="K122" i="1"/>
  <c r="J122" i="1"/>
  <c r="M121" i="1"/>
  <c r="L121" i="1"/>
  <c r="K121" i="1"/>
  <c r="J121" i="1"/>
  <c r="M120" i="1"/>
  <c r="L120" i="1"/>
  <c r="K120" i="1"/>
  <c r="J120" i="1"/>
  <c r="M119" i="1"/>
  <c r="L119" i="1"/>
  <c r="K119" i="1"/>
  <c r="J119" i="1"/>
  <c r="M118" i="1"/>
  <c r="L118" i="1"/>
  <c r="K118" i="1"/>
  <c r="J118" i="1"/>
  <c r="M117" i="1"/>
  <c r="L117" i="1"/>
  <c r="P705" i="11" s="1"/>
  <c r="K117" i="1"/>
  <c r="J117" i="1"/>
  <c r="M116" i="1"/>
  <c r="L116" i="1"/>
  <c r="K116" i="1"/>
  <c r="J116" i="1"/>
  <c r="M115" i="1"/>
  <c r="L115" i="1"/>
  <c r="M907" i="11" s="1"/>
  <c r="K115" i="1"/>
  <c r="J115" i="1"/>
  <c r="M114" i="1"/>
  <c r="L114" i="1"/>
  <c r="K881" i="11" s="1"/>
  <c r="K114" i="1"/>
  <c r="J114" i="1"/>
  <c r="M113" i="1"/>
  <c r="L113" i="1"/>
  <c r="K113" i="1"/>
  <c r="J113" i="1"/>
  <c r="M112" i="1"/>
  <c r="L112" i="1"/>
  <c r="K112" i="1"/>
  <c r="J112" i="1"/>
  <c r="M111" i="1"/>
  <c r="L111" i="1"/>
  <c r="K111" i="1"/>
  <c r="J111" i="1"/>
  <c r="M110" i="1"/>
  <c r="L110" i="1"/>
  <c r="K110" i="1"/>
  <c r="J110" i="1"/>
  <c r="M109" i="1"/>
  <c r="L109" i="1"/>
  <c r="V65" i="11" s="1"/>
  <c r="K109" i="1"/>
  <c r="J109" i="1"/>
  <c r="M108" i="1"/>
  <c r="L108" i="1"/>
  <c r="K108" i="1"/>
  <c r="J108" i="1"/>
  <c r="M107" i="1"/>
  <c r="L107" i="1"/>
  <c r="O556" i="11" s="1"/>
  <c r="K107" i="1"/>
  <c r="J107" i="1"/>
  <c r="M106" i="1"/>
  <c r="L106" i="1"/>
  <c r="K106" i="1"/>
  <c r="J106" i="1"/>
  <c r="M105" i="1"/>
  <c r="L105" i="1"/>
  <c r="K105" i="1"/>
  <c r="J105" i="1"/>
  <c r="M104" i="1"/>
  <c r="L104" i="1"/>
  <c r="K104" i="1"/>
  <c r="J104" i="1"/>
  <c r="M103" i="1"/>
  <c r="L103" i="1"/>
  <c r="K103" i="1"/>
  <c r="J103" i="1"/>
  <c r="M102" i="1"/>
  <c r="L102" i="1"/>
  <c r="K102" i="1"/>
  <c r="J102" i="1"/>
  <c r="M101" i="1"/>
  <c r="L101" i="1"/>
  <c r="N351" i="11" s="1"/>
  <c r="K101" i="1"/>
  <c r="J101" i="1"/>
  <c r="M100" i="1"/>
  <c r="L100" i="1"/>
  <c r="K100" i="1"/>
  <c r="J100" i="1"/>
  <c r="M99" i="1"/>
  <c r="L99" i="1"/>
  <c r="K99" i="1"/>
  <c r="J99" i="1"/>
  <c r="M98" i="1"/>
  <c r="L98" i="1"/>
  <c r="K98" i="1"/>
  <c r="J98" i="1"/>
  <c r="M97" i="1"/>
  <c r="L97" i="1"/>
  <c r="K97" i="1"/>
  <c r="J97" i="1"/>
  <c r="M96" i="1"/>
  <c r="L96" i="1"/>
  <c r="K96" i="1"/>
  <c r="J96" i="1"/>
  <c r="M95" i="1"/>
  <c r="L95" i="1"/>
  <c r="K95" i="1"/>
  <c r="J95" i="1"/>
  <c r="M94" i="1"/>
  <c r="L94" i="1"/>
  <c r="K94" i="1"/>
  <c r="J94" i="1"/>
  <c r="M93" i="1"/>
  <c r="L93" i="1"/>
  <c r="N844" i="11" s="1"/>
  <c r="K93" i="1"/>
  <c r="J93" i="1"/>
  <c r="M92" i="1"/>
  <c r="L92" i="1"/>
  <c r="K92" i="1"/>
  <c r="J92" i="1"/>
  <c r="M91" i="1"/>
  <c r="L91" i="1"/>
  <c r="K91" i="1"/>
  <c r="J91" i="1"/>
  <c r="M90" i="1"/>
  <c r="L90" i="1"/>
  <c r="K90" i="1"/>
  <c r="J90" i="1"/>
  <c r="M89" i="1"/>
  <c r="L89" i="1"/>
  <c r="T987" i="11" s="1"/>
  <c r="K89" i="1"/>
  <c r="J89" i="1"/>
  <c r="M88" i="1"/>
  <c r="L88" i="1"/>
  <c r="K88" i="1"/>
  <c r="J88" i="1"/>
  <c r="M87" i="1"/>
  <c r="L87" i="1"/>
  <c r="K87" i="1"/>
  <c r="J87" i="1"/>
  <c r="M86" i="1"/>
  <c r="L86" i="1"/>
  <c r="K86" i="1"/>
  <c r="J86" i="1"/>
  <c r="M85" i="1"/>
  <c r="L85" i="1"/>
  <c r="U570" i="11" s="1"/>
  <c r="K85" i="1"/>
  <c r="J85" i="1"/>
  <c r="M84" i="1"/>
  <c r="L84" i="1"/>
  <c r="K84" i="1"/>
  <c r="J84" i="1"/>
  <c r="M83" i="1"/>
  <c r="L83" i="1"/>
  <c r="K83" i="1"/>
  <c r="J83" i="1"/>
  <c r="M82" i="1"/>
  <c r="L82" i="1"/>
  <c r="K82" i="1"/>
  <c r="J82" i="1"/>
  <c r="M81" i="1"/>
  <c r="L81" i="1"/>
  <c r="K81" i="1"/>
  <c r="J81" i="1"/>
  <c r="M80" i="1"/>
  <c r="L80" i="1"/>
  <c r="K80" i="1"/>
  <c r="J80" i="1"/>
  <c r="M79" i="1"/>
  <c r="L79" i="1"/>
  <c r="K79" i="1"/>
  <c r="J79" i="1"/>
  <c r="M78" i="1"/>
  <c r="L78" i="1"/>
  <c r="K78" i="1"/>
  <c r="J78" i="1"/>
  <c r="M77" i="1"/>
  <c r="L77" i="1"/>
  <c r="K214" i="11" s="1"/>
  <c r="K77" i="1"/>
  <c r="J77" i="1"/>
  <c r="M76" i="1"/>
  <c r="L76" i="1"/>
  <c r="K76" i="1"/>
  <c r="J76" i="1"/>
  <c r="M75" i="1"/>
  <c r="L75" i="1"/>
  <c r="K75" i="1"/>
  <c r="J75" i="1"/>
  <c r="M74" i="1"/>
  <c r="L74" i="1"/>
  <c r="K74" i="1"/>
  <c r="J74" i="1"/>
  <c r="M73" i="1"/>
  <c r="L73" i="1"/>
  <c r="K73" i="1"/>
  <c r="J73" i="1"/>
  <c r="M72" i="1"/>
  <c r="L72" i="1"/>
  <c r="K72" i="1"/>
  <c r="J72" i="1"/>
  <c r="M71" i="1"/>
  <c r="L71" i="1"/>
  <c r="K71" i="1"/>
  <c r="J71" i="1"/>
  <c r="M70" i="1"/>
  <c r="L70" i="1"/>
  <c r="K70" i="1"/>
  <c r="J70" i="1"/>
  <c r="M69" i="1"/>
  <c r="L69" i="1"/>
  <c r="K69" i="1"/>
  <c r="J69" i="1"/>
  <c r="M68" i="1"/>
  <c r="L68" i="1"/>
  <c r="K68" i="1"/>
  <c r="J68" i="1"/>
  <c r="M67" i="1"/>
  <c r="L67" i="1"/>
  <c r="M620" i="11" s="1"/>
  <c r="K67" i="1"/>
  <c r="J67" i="1"/>
  <c r="M66" i="1"/>
  <c r="L66" i="1"/>
  <c r="K66" i="1"/>
  <c r="J66" i="1"/>
  <c r="M65" i="1"/>
  <c r="L65" i="1"/>
  <c r="K65" i="1"/>
  <c r="J65" i="1"/>
  <c r="M64" i="1"/>
  <c r="L64" i="1"/>
  <c r="K64" i="1"/>
  <c r="J64" i="1"/>
  <c r="M63" i="1"/>
  <c r="L63" i="1"/>
  <c r="K63" i="1"/>
  <c r="J63" i="1"/>
  <c r="M62" i="1"/>
  <c r="L62" i="1"/>
  <c r="K62" i="1"/>
  <c r="J62" i="1"/>
  <c r="M61" i="1"/>
  <c r="L61" i="1"/>
  <c r="U751" i="11" s="1"/>
  <c r="K61" i="1"/>
  <c r="J61" i="1"/>
  <c r="M60" i="1"/>
  <c r="L60" i="1"/>
  <c r="K60" i="1"/>
  <c r="J60" i="1"/>
  <c r="M59" i="1"/>
  <c r="L59" i="1"/>
  <c r="K59" i="1"/>
  <c r="J59" i="1"/>
  <c r="M58" i="1"/>
  <c r="L58" i="1"/>
  <c r="K58" i="1"/>
  <c r="J58" i="1"/>
  <c r="M57" i="1"/>
  <c r="L57" i="1"/>
  <c r="K57" i="1"/>
  <c r="J57" i="1"/>
  <c r="M56" i="1"/>
  <c r="L56" i="1"/>
  <c r="K56" i="1"/>
  <c r="J56" i="1"/>
  <c r="M55" i="1"/>
  <c r="L55" i="1"/>
  <c r="K55" i="1"/>
  <c r="J55" i="1"/>
  <c r="M54" i="1"/>
  <c r="L54" i="1"/>
  <c r="K54" i="1"/>
  <c r="J54" i="1"/>
  <c r="M53" i="1"/>
  <c r="L53" i="1"/>
  <c r="L775" i="11" s="1"/>
  <c r="K53" i="1"/>
  <c r="J53" i="1"/>
  <c r="M52" i="1"/>
  <c r="L52" i="1"/>
  <c r="K52" i="1"/>
  <c r="J52" i="1"/>
  <c r="M51" i="1"/>
  <c r="L51" i="1"/>
  <c r="K51" i="1"/>
  <c r="J51" i="1"/>
  <c r="M50" i="1"/>
  <c r="L50" i="1"/>
  <c r="K50" i="1"/>
  <c r="J50" i="1"/>
  <c r="M49" i="1"/>
  <c r="L49" i="1"/>
  <c r="K49" i="1"/>
  <c r="J49" i="1"/>
  <c r="M48" i="1"/>
  <c r="L48" i="1"/>
  <c r="K48" i="1"/>
  <c r="J48" i="1"/>
  <c r="M47" i="1"/>
  <c r="L47" i="1"/>
  <c r="K47" i="1"/>
  <c r="J47" i="1"/>
  <c r="M46" i="1"/>
  <c r="L46" i="1"/>
  <c r="K46" i="1"/>
  <c r="J46" i="1"/>
  <c r="M45" i="1"/>
  <c r="L45" i="1"/>
  <c r="K45" i="1"/>
  <c r="J45" i="1"/>
  <c r="M44" i="1"/>
  <c r="L44" i="1"/>
  <c r="K44" i="1"/>
  <c r="J44" i="1"/>
  <c r="M43" i="1"/>
  <c r="L43" i="1"/>
  <c r="K43" i="1"/>
  <c r="J43" i="1"/>
  <c r="M42" i="1"/>
  <c r="L42" i="1"/>
  <c r="K42" i="1"/>
  <c r="J42" i="1"/>
  <c r="M41" i="1"/>
  <c r="L41" i="1"/>
  <c r="K41" i="1"/>
  <c r="J41" i="1"/>
  <c r="M40" i="1"/>
  <c r="L40" i="1"/>
  <c r="K40" i="1"/>
  <c r="J40" i="1"/>
  <c r="M39" i="1"/>
  <c r="L39" i="1"/>
  <c r="R406" i="11" s="1"/>
  <c r="X406" i="11" s="1"/>
  <c r="K39" i="1"/>
  <c r="J39" i="1"/>
  <c r="M38" i="1"/>
  <c r="L38" i="1"/>
  <c r="K38" i="1"/>
  <c r="J38" i="1"/>
  <c r="M37" i="1"/>
  <c r="L37" i="1"/>
  <c r="K37" i="1"/>
  <c r="J37" i="1"/>
  <c r="M36" i="1"/>
  <c r="L36" i="1"/>
  <c r="K36" i="1"/>
  <c r="J36" i="1"/>
  <c r="M35" i="1"/>
  <c r="L35" i="1"/>
  <c r="K35" i="1"/>
  <c r="J35" i="1"/>
  <c r="M34" i="1"/>
  <c r="L34" i="1"/>
  <c r="K34" i="1"/>
  <c r="J34" i="1"/>
  <c r="M33" i="1"/>
  <c r="L33" i="1"/>
  <c r="K33" i="1"/>
  <c r="J33" i="1"/>
  <c r="M32" i="1"/>
  <c r="L32" i="1"/>
  <c r="K32" i="1"/>
  <c r="J32" i="1"/>
  <c r="M31" i="1"/>
  <c r="L31" i="1"/>
  <c r="V206" i="11" s="1"/>
  <c r="K31" i="1"/>
  <c r="J31" i="1"/>
  <c r="M30" i="1"/>
  <c r="L30" i="1"/>
  <c r="K30" i="1"/>
  <c r="J30" i="1"/>
  <c r="M29" i="1"/>
  <c r="L29" i="1"/>
  <c r="K29" i="1"/>
  <c r="J29" i="1"/>
  <c r="M28" i="1"/>
  <c r="L28" i="1"/>
  <c r="K28" i="1"/>
  <c r="J28" i="1"/>
  <c r="M27" i="1"/>
  <c r="L27" i="1"/>
  <c r="K27" i="1"/>
  <c r="J27" i="1"/>
  <c r="M26" i="1"/>
  <c r="L26" i="1"/>
  <c r="K26" i="1"/>
  <c r="J26" i="1"/>
  <c r="M25" i="1"/>
  <c r="L25" i="1"/>
  <c r="K25" i="1"/>
  <c r="J25" i="1"/>
  <c r="M24" i="1"/>
  <c r="L24" i="1"/>
  <c r="K24" i="1"/>
  <c r="J24" i="1"/>
  <c r="M23" i="1"/>
  <c r="L23" i="1"/>
  <c r="R426" i="11" s="1"/>
  <c r="X426" i="11" s="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V5" i="11" s="1"/>
  <c r="K11" i="1"/>
  <c r="J11" i="1"/>
  <c r="M10" i="1"/>
  <c r="L10" i="1"/>
  <c r="K10" i="1"/>
  <c r="J10" i="1"/>
  <c r="M9" i="1"/>
  <c r="L9" i="1"/>
  <c r="K9" i="1"/>
  <c r="J9" i="1"/>
  <c r="M8" i="1"/>
  <c r="L8" i="1"/>
  <c r="K8" i="1"/>
  <c r="J8" i="1"/>
  <c r="M7" i="1"/>
  <c r="L7" i="1"/>
  <c r="R757" i="11" s="1"/>
  <c r="K7" i="1"/>
  <c r="J7" i="1"/>
  <c r="M6" i="1"/>
  <c r="L6" i="1"/>
  <c r="K6" i="1"/>
  <c r="J6" i="1"/>
  <c r="M5" i="1"/>
  <c r="L5" i="1"/>
  <c r="K5" i="1"/>
  <c r="J5" i="1"/>
  <c r="U965" i="11"/>
  <c r="S965" i="11"/>
  <c r="O968" i="11"/>
  <c r="R959" i="11"/>
  <c r="U959" i="11"/>
  <c r="S973" i="11"/>
  <c r="U973" i="11"/>
  <c r="O888" i="11"/>
  <c r="O978" i="11"/>
  <c r="N968" i="11"/>
  <c r="R973" i="11"/>
  <c r="P973" i="11"/>
  <c r="M973" i="11"/>
  <c r="T978" i="11"/>
  <c r="S978" i="11"/>
  <c r="N743" i="11"/>
  <c r="M843" i="11"/>
  <c r="U941" i="11"/>
  <c r="O546" i="11"/>
  <c r="M551" i="11"/>
  <c r="S584" i="11"/>
  <c r="L584" i="11"/>
  <c r="L770" i="11"/>
  <c r="M366" i="11"/>
  <c r="V560" i="11"/>
  <c r="L560" i="11"/>
  <c r="U895" i="11"/>
  <c r="O399" i="11"/>
  <c r="T947" i="11"/>
  <c r="S834" i="11"/>
  <c r="U834" i="11"/>
  <c r="P653" i="11"/>
  <c r="U812" i="11"/>
  <c r="M812" i="11"/>
  <c r="V812" i="11"/>
  <c r="R812" i="11"/>
  <c r="O583" i="11"/>
  <c r="V583" i="11"/>
  <c r="Q583" i="11"/>
  <c r="P583" i="11"/>
  <c r="Q913" i="11"/>
  <c r="P913" i="11"/>
  <c r="S606" i="11"/>
  <c r="K606" i="11"/>
  <c r="U606" i="11"/>
  <c r="M606" i="11"/>
  <c r="P251" i="11"/>
  <c r="O251" i="11"/>
  <c r="Q815" i="11"/>
  <c r="P815" i="11"/>
  <c r="V815" i="11"/>
  <c r="M815" i="11"/>
  <c r="U815" i="11"/>
  <c r="R815" i="11"/>
  <c r="M601" i="11"/>
  <c r="T601" i="11"/>
  <c r="L601" i="11"/>
  <c r="O24" i="11"/>
  <c r="T24" i="11"/>
  <c r="L24" i="11"/>
  <c r="V24" i="11"/>
  <c r="U24" i="11"/>
  <c r="Q24" i="11"/>
  <c r="S704" i="11"/>
  <c r="R704" i="11"/>
  <c r="Q704" i="11"/>
  <c r="R528" i="11"/>
  <c r="Q528" i="11"/>
  <c r="P528" i="11"/>
  <c r="T528" i="11"/>
  <c r="L528" i="11"/>
  <c r="S528" i="11"/>
  <c r="T517" i="11"/>
  <c r="L517" i="11"/>
  <c r="S517" i="11"/>
  <c r="U731" i="11"/>
  <c r="M731" i="11"/>
  <c r="T731" i="11"/>
  <c r="P731" i="11"/>
  <c r="O731" i="11"/>
  <c r="V731" i="11"/>
  <c r="V534" i="11"/>
  <c r="N534" i="11"/>
  <c r="U534" i="11"/>
  <c r="V542" i="11"/>
  <c r="N542" i="11"/>
  <c r="U542" i="11"/>
  <c r="T542" i="11"/>
  <c r="Q542" i="11"/>
  <c r="P542" i="11"/>
  <c r="O542" i="11"/>
  <c r="U891" i="11"/>
  <c r="K225" i="11"/>
  <c r="R225" i="11"/>
  <c r="Q225" i="11"/>
  <c r="O225" i="11"/>
  <c r="M225" i="11"/>
  <c r="T225" i="11"/>
  <c r="L225" i="11"/>
  <c r="V140" i="11"/>
  <c r="T140" i="11"/>
  <c r="L140" i="11"/>
  <c r="S140" i="11"/>
  <c r="R140" i="11"/>
  <c r="U922" i="11"/>
  <c r="R922" i="11"/>
  <c r="X922" i="11" s="1"/>
  <c r="O922" i="11"/>
  <c r="L922" i="11"/>
  <c r="T922" i="11"/>
  <c r="S129" i="11"/>
  <c r="K129" i="11"/>
  <c r="R129" i="11"/>
  <c r="X129" i="11" s="1"/>
  <c r="Q129" i="11"/>
  <c r="P129" i="11"/>
  <c r="V129" i="11"/>
  <c r="U129" i="11"/>
  <c r="M129" i="11"/>
  <c r="T129" i="11"/>
  <c r="L129" i="11"/>
  <c r="Q917" i="11"/>
  <c r="N917" i="11"/>
  <c r="K917" i="11"/>
  <c r="M917" i="11"/>
  <c r="L917" i="11"/>
  <c r="U917" i="11"/>
  <c r="T917" i="11"/>
  <c r="P917" i="11"/>
  <c r="U856" i="11"/>
  <c r="M856" i="11"/>
  <c r="T856" i="11"/>
  <c r="L856" i="11"/>
  <c r="R856" i="11"/>
  <c r="X856" i="11" s="1"/>
  <c r="P856" i="11"/>
  <c r="O856" i="11"/>
  <c r="N856" i="11"/>
  <c r="K856" i="11"/>
  <c r="V856" i="11"/>
  <c r="S976" i="11"/>
  <c r="Q976" i="11"/>
  <c r="P976" i="11"/>
  <c r="M976" i="11"/>
  <c r="U976" i="11"/>
  <c r="R976" i="11"/>
  <c r="S586" i="11"/>
  <c r="K586" i="11"/>
  <c r="Q586" i="11"/>
  <c r="O586" i="11"/>
  <c r="V586" i="11"/>
  <c r="N586" i="11"/>
  <c r="U586" i="11"/>
  <c r="M586" i="11"/>
  <c r="T586" i="11"/>
  <c r="P586" i="11"/>
  <c r="O274" i="11"/>
  <c r="V274" i="11"/>
  <c r="N274" i="11"/>
  <c r="U274" i="11"/>
  <c r="M274" i="11"/>
  <c r="T274" i="11"/>
  <c r="S274" i="11"/>
  <c r="K274" i="11"/>
  <c r="R274" i="11"/>
  <c r="Q274" i="11"/>
  <c r="P274" i="11"/>
  <c r="S649" i="11"/>
  <c r="K649" i="11"/>
  <c r="Q649" i="11"/>
  <c r="P649" i="11"/>
  <c r="O649" i="11"/>
  <c r="V649" i="11"/>
  <c r="N649" i="11"/>
  <c r="U649" i="11"/>
  <c r="M649" i="11"/>
  <c r="L649" i="11"/>
  <c r="Q951" i="11"/>
  <c r="T951" i="11"/>
  <c r="L951" i="11"/>
  <c r="S951" i="11"/>
  <c r="P951" i="11"/>
  <c r="N951" i="11"/>
  <c r="M951" i="11"/>
  <c r="K951" i="11"/>
  <c r="V951" i="11"/>
  <c r="U951" i="11"/>
  <c r="S189" i="11"/>
  <c r="K189" i="11"/>
  <c r="R189" i="11"/>
  <c r="X189" i="11" s="1"/>
  <c r="Q189" i="11"/>
  <c r="P189" i="11"/>
  <c r="O189" i="11"/>
  <c r="V189" i="11"/>
  <c r="N189" i="11"/>
  <c r="U189" i="11"/>
  <c r="M189" i="11"/>
  <c r="T189" i="11"/>
  <c r="L189" i="11"/>
  <c r="S135" i="11"/>
  <c r="K135" i="11"/>
  <c r="R135" i="11"/>
  <c r="Q135" i="11"/>
  <c r="P135" i="11"/>
  <c r="O135" i="11"/>
  <c r="V135" i="11"/>
  <c r="N135" i="11"/>
  <c r="U135" i="11"/>
  <c r="M135" i="11"/>
  <c r="T135" i="11"/>
  <c r="L135" i="11"/>
  <c r="O386" i="11"/>
  <c r="V386" i="11"/>
  <c r="N386" i="11"/>
  <c r="U386" i="11"/>
  <c r="M386" i="11"/>
  <c r="T386" i="11"/>
  <c r="L386" i="11"/>
  <c r="S386" i="11"/>
  <c r="K386" i="11"/>
  <c r="R386" i="11"/>
  <c r="Q386" i="11"/>
  <c r="P386" i="11"/>
  <c r="S602" i="11"/>
  <c r="K602" i="11"/>
  <c r="R602" i="11"/>
  <c r="Q602" i="11"/>
  <c r="P602" i="11"/>
  <c r="O602" i="11"/>
  <c r="V602" i="11"/>
  <c r="N602" i="11"/>
  <c r="U602" i="11"/>
  <c r="M602" i="11"/>
  <c r="T602" i="11"/>
  <c r="L602" i="11"/>
  <c r="O662" i="11"/>
  <c r="V662" i="11"/>
  <c r="N662" i="11"/>
  <c r="U662" i="11"/>
  <c r="M662" i="11"/>
  <c r="T662" i="11"/>
  <c r="L662" i="11"/>
  <c r="S662" i="11"/>
  <c r="K662" i="11"/>
  <c r="R662" i="11"/>
  <c r="X662" i="11" s="1"/>
  <c r="Q662" i="11"/>
  <c r="P662" i="11"/>
  <c r="O650" i="11"/>
  <c r="V650" i="11"/>
  <c r="N650" i="11"/>
  <c r="U650" i="11"/>
  <c r="M650" i="11"/>
  <c r="T650" i="11"/>
  <c r="L650" i="11"/>
  <c r="S650" i="11"/>
  <c r="K650" i="11"/>
  <c r="R650" i="11"/>
  <c r="Q650" i="11"/>
  <c r="P650" i="11"/>
  <c r="S651" i="11"/>
  <c r="K651" i="11"/>
  <c r="R651" i="11"/>
  <c r="Q651" i="11"/>
  <c r="P651" i="11"/>
  <c r="O651" i="11"/>
  <c r="V651" i="11"/>
  <c r="N651" i="11"/>
  <c r="U651" i="11"/>
  <c r="M651" i="11"/>
  <c r="T651" i="11"/>
  <c r="L651" i="11"/>
  <c r="O605" i="11"/>
  <c r="V605" i="11"/>
  <c r="N605" i="11"/>
  <c r="U605" i="11"/>
  <c r="M605" i="11"/>
  <c r="T605" i="11"/>
  <c r="L605" i="11"/>
  <c r="S605" i="11"/>
  <c r="K605" i="11"/>
  <c r="R605" i="11"/>
  <c r="X605" i="11" s="1"/>
  <c r="Q605" i="11"/>
  <c r="P605" i="11"/>
  <c r="O250" i="11"/>
  <c r="V250" i="11"/>
  <c r="N250" i="11"/>
  <c r="U250" i="11"/>
  <c r="M250" i="11"/>
  <c r="T250" i="11"/>
  <c r="L250" i="11"/>
  <c r="S250" i="11"/>
  <c r="K250" i="11"/>
  <c r="R250" i="11"/>
  <c r="Q250" i="11"/>
  <c r="P250" i="11"/>
  <c r="O96" i="11"/>
  <c r="V96" i="11"/>
  <c r="N96" i="11"/>
  <c r="U96" i="11"/>
  <c r="M96" i="11"/>
  <c r="T96" i="11"/>
  <c r="L96" i="11"/>
  <c r="S96" i="11"/>
  <c r="K96" i="11"/>
  <c r="R96" i="11"/>
  <c r="X96" i="11" s="1"/>
  <c r="Q96" i="11"/>
  <c r="P96" i="11"/>
  <c r="P963" i="11"/>
  <c r="O963" i="11"/>
  <c r="M963" i="11"/>
  <c r="L963" i="11"/>
  <c r="V963" i="11"/>
  <c r="T963" i="11"/>
  <c r="Q923" i="11"/>
  <c r="V923" i="11"/>
  <c r="N923" i="11"/>
  <c r="S923" i="11"/>
  <c r="K923" i="11"/>
  <c r="R923" i="11"/>
  <c r="P923" i="11"/>
  <c r="O923" i="11"/>
  <c r="M923" i="11"/>
  <c r="L923" i="11"/>
  <c r="U923" i="11"/>
  <c r="T923" i="11"/>
  <c r="Q730" i="11"/>
  <c r="P730" i="11"/>
  <c r="O730" i="11"/>
  <c r="V730" i="11"/>
  <c r="N730" i="11"/>
  <c r="U730" i="11"/>
  <c r="M730" i="11"/>
  <c r="T730" i="11"/>
  <c r="L730" i="11"/>
  <c r="S730" i="11"/>
  <c r="K730" i="11"/>
  <c r="R730" i="11"/>
  <c r="X730" i="11" s="1"/>
  <c r="U916" i="11"/>
  <c r="M916" i="11"/>
  <c r="R916" i="11"/>
  <c r="N916" i="11"/>
  <c r="L916" i="11"/>
  <c r="V916" i="11"/>
  <c r="K916" i="11"/>
  <c r="T916" i="11"/>
  <c r="S916" i="11"/>
  <c r="Q916" i="11"/>
  <c r="P916" i="11"/>
  <c r="O916" i="11"/>
  <c r="V557" i="11"/>
  <c r="R557" i="11"/>
  <c r="O557" i="11"/>
  <c r="N557" i="11"/>
  <c r="M557" i="11"/>
  <c r="U557" i="11"/>
  <c r="L557" i="11"/>
  <c r="T557" i="11"/>
  <c r="K557" i="11"/>
  <c r="S557" i="11"/>
  <c r="Q557" i="11"/>
  <c r="P557" i="11"/>
  <c r="S173" i="11"/>
  <c r="K173" i="11"/>
  <c r="R173" i="11"/>
  <c r="Q173" i="11"/>
  <c r="P173" i="11"/>
  <c r="O173" i="11"/>
  <c r="V173" i="11"/>
  <c r="N173" i="11"/>
  <c r="U173" i="11"/>
  <c r="M173" i="11"/>
  <c r="T173" i="11"/>
  <c r="L173" i="11"/>
  <c r="U889" i="11"/>
  <c r="M889" i="11"/>
  <c r="O889" i="11"/>
  <c r="N889" i="11"/>
  <c r="V889" i="11"/>
  <c r="L889" i="11"/>
  <c r="T889" i="11"/>
  <c r="K889" i="11"/>
  <c r="S889" i="11"/>
  <c r="R889" i="11"/>
  <c r="Q889" i="11"/>
  <c r="P889" i="11"/>
  <c r="Q857" i="11"/>
  <c r="P857" i="11"/>
  <c r="V857" i="11"/>
  <c r="N857" i="11"/>
  <c r="U857" i="11"/>
  <c r="M857" i="11"/>
  <c r="T857" i="11"/>
  <c r="L857" i="11"/>
  <c r="S857" i="11"/>
  <c r="R857" i="11"/>
  <c r="X857" i="11" s="1"/>
  <c r="O857" i="11"/>
  <c r="K857" i="11"/>
  <c r="V449" i="11"/>
  <c r="N449" i="11"/>
  <c r="U449" i="11"/>
  <c r="M449" i="11"/>
  <c r="T449" i="11"/>
  <c r="L449" i="11"/>
  <c r="S449" i="11"/>
  <c r="K449" i="11"/>
  <c r="R449" i="11"/>
  <c r="Q449" i="11"/>
  <c r="P449" i="11"/>
  <c r="O449" i="11"/>
  <c r="S881" i="11"/>
  <c r="O915" i="11"/>
  <c r="V915" i="11"/>
  <c r="L915" i="11"/>
  <c r="M915" i="11"/>
  <c r="U915" i="11"/>
  <c r="T915" i="11"/>
  <c r="R915" i="11"/>
  <c r="P915" i="11"/>
  <c r="N915" i="11"/>
  <c r="O198" i="11"/>
  <c r="V198" i="11"/>
  <c r="N198" i="11"/>
  <c r="U198" i="11"/>
  <c r="M198" i="11"/>
  <c r="T198" i="11"/>
  <c r="L198" i="11"/>
  <c r="S198" i="11"/>
  <c r="K198" i="11"/>
  <c r="R198" i="11"/>
  <c r="Q198" i="11"/>
  <c r="P198" i="11"/>
  <c r="Q881" i="11"/>
  <c r="K891" i="11"/>
  <c r="Q963" i="11"/>
  <c r="U810" i="11"/>
  <c r="S891" i="11"/>
  <c r="R751" i="11"/>
  <c r="O196" i="11"/>
  <c r="Q915" i="11"/>
  <c r="U840" i="11"/>
  <c r="K963" i="11"/>
  <c r="M840" i="11"/>
  <c r="S915" i="11"/>
  <c r="R963" i="11"/>
  <c r="R951" i="11"/>
  <c r="Q406" i="11"/>
  <c r="S620" i="11"/>
  <c r="R214" i="11"/>
  <c r="U351" i="11"/>
  <c r="V907" i="11"/>
  <c r="M628" i="11"/>
  <c r="V625" i="11"/>
  <c r="L27" i="11"/>
  <c r="U27" i="11"/>
  <c r="T789" i="11"/>
  <c r="N310" i="11"/>
  <c r="U310" i="11"/>
  <c r="N783" i="11"/>
  <c r="R635" i="11"/>
  <c r="X635" i="11" s="1"/>
  <c r="Q635" i="11"/>
  <c r="U637" i="11"/>
  <c r="N671" i="11"/>
  <c r="U671" i="11"/>
  <c r="R684" i="11"/>
  <c r="M918" i="11"/>
  <c r="R918" i="11"/>
  <c r="O253" i="11"/>
  <c r="P817" i="11"/>
  <c r="V817" i="11"/>
  <c r="S1000" i="11"/>
  <c r="R295" i="11"/>
  <c r="X295" i="11" s="1"/>
  <c r="Q295" i="11"/>
  <c r="P295" i="11"/>
  <c r="U295" i="11"/>
  <c r="S627" i="11"/>
  <c r="K627" i="11"/>
  <c r="Q627" i="11"/>
  <c r="U627" i="11"/>
  <c r="T627" i="11"/>
  <c r="S207" i="11"/>
  <c r="K207" i="11"/>
  <c r="Q207" i="11"/>
  <c r="P207" i="11"/>
  <c r="U207" i="11"/>
  <c r="M207" i="11"/>
  <c r="T207" i="11"/>
  <c r="T996" i="11"/>
  <c r="L996" i="11"/>
  <c r="V996" i="11"/>
  <c r="S996" i="11"/>
  <c r="O626" i="11"/>
  <c r="N626" i="11"/>
  <c r="U626" i="11"/>
  <c r="R626" i="11"/>
  <c r="X626" i="11" s="1"/>
  <c r="Q626" i="11"/>
  <c r="T626" i="11"/>
  <c r="L626" i="11"/>
  <c r="N544" i="11"/>
  <c r="M544" i="11"/>
  <c r="U544" i="11"/>
  <c r="L544" i="11"/>
  <c r="S544" i="11"/>
  <c r="R544" i="11"/>
  <c r="X544" i="11" s="1"/>
  <c r="V160" i="11"/>
  <c r="N160" i="11"/>
  <c r="U160" i="11"/>
  <c r="L160" i="11"/>
  <c r="S160" i="11"/>
  <c r="Q160" i="11"/>
  <c r="P160" i="11"/>
  <c r="V58" i="11"/>
  <c r="U58" i="11"/>
  <c r="M58" i="11"/>
  <c r="S58" i="11"/>
  <c r="R58" i="11"/>
  <c r="X58" i="11" s="1"/>
  <c r="Q58" i="11"/>
  <c r="V964" i="11"/>
  <c r="N964" i="11"/>
  <c r="P964" i="11"/>
  <c r="M964" i="11"/>
  <c r="K964" i="11"/>
  <c r="O611" i="11"/>
  <c r="V611" i="11"/>
  <c r="T611" i="11"/>
  <c r="L611" i="11"/>
  <c r="S611" i="11"/>
  <c r="R611" i="11"/>
  <c r="Q611" i="11"/>
  <c r="R125" i="11"/>
  <c r="Q125" i="11"/>
  <c r="P125" i="11"/>
  <c r="V125" i="11"/>
  <c r="U125" i="11"/>
  <c r="L125" i="11"/>
  <c r="O585" i="11"/>
  <c r="V585" i="11"/>
  <c r="M585" i="11"/>
  <c r="S585" i="11"/>
  <c r="Q585" i="11"/>
  <c r="P585" i="11"/>
  <c r="T585" i="11"/>
  <c r="S123" i="11"/>
  <c r="K123" i="11"/>
  <c r="P123" i="11"/>
  <c r="O123" i="11"/>
  <c r="V123" i="11"/>
  <c r="U123" i="11"/>
  <c r="M123" i="11"/>
  <c r="L123" i="11"/>
  <c r="S257" i="11"/>
  <c r="K257" i="11"/>
  <c r="R257" i="11"/>
  <c r="Q257" i="11"/>
  <c r="P257" i="11"/>
  <c r="O257" i="11"/>
  <c r="N257" i="11"/>
  <c r="U257" i="11"/>
  <c r="M257" i="11"/>
  <c r="T257" i="11"/>
  <c r="L257" i="11"/>
  <c r="T896" i="11"/>
  <c r="L896" i="11"/>
  <c r="P896" i="11"/>
  <c r="O896" i="11"/>
  <c r="N896" i="11"/>
  <c r="V896" i="11"/>
  <c r="M896" i="11"/>
  <c r="U896" i="11"/>
  <c r="K896" i="11"/>
  <c r="S896" i="11"/>
  <c r="R896" i="11"/>
  <c r="X896" i="11" s="1"/>
  <c r="Q896" i="11"/>
  <c r="P993" i="11"/>
  <c r="R993" i="11"/>
  <c r="X993" i="11" s="1"/>
  <c r="O993" i="11"/>
  <c r="M993" i="11"/>
  <c r="U993" i="11"/>
  <c r="O902" i="11"/>
  <c r="R902" i="11"/>
  <c r="X902" i="11" s="1"/>
  <c r="N902" i="11"/>
  <c r="M902" i="11"/>
  <c r="V902" i="11"/>
  <c r="L902" i="11"/>
  <c r="U902" i="11"/>
  <c r="K902" i="11"/>
  <c r="T902" i="11"/>
  <c r="S902" i="11"/>
  <c r="Q902" i="11"/>
  <c r="P902" i="11"/>
  <c r="O942" i="11"/>
  <c r="M942" i="11"/>
  <c r="R942" i="11"/>
  <c r="N942" i="11"/>
  <c r="L942" i="11"/>
  <c r="V942" i="11"/>
  <c r="K942" i="11"/>
  <c r="T942" i="11"/>
  <c r="S942" i="11"/>
  <c r="Q942" i="11"/>
  <c r="U920" i="11"/>
  <c r="M920" i="11"/>
  <c r="R920" i="11"/>
  <c r="X920" i="11" s="1"/>
  <c r="O920" i="11"/>
  <c r="P920" i="11"/>
  <c r="N920" i="11"/>
  <c r="L920" i="11"/>
  <c r="K920" i="11"/>
  <c r="V920" i="11"/>
  <c r="T920" i="11"/>
  <c r="S920" i="11"/>
  <c r="Q920" i="11"/>
  <c r="O418" i="11"/>
  <c r="V418" i="11"/>
  <c r="N418" i="11"/>
  <c r="U418" i="11"/>
  <c r="M418" i="11"/>
  <c r="T418" i="11"/>
  <c r="L418" i="11"/>
  <c r="S418" i="11"/>
  <c r="K418" i="11"/>
  <c r="R418" i="11"/>
  <c r="Q418" i="11"/>
  <c r="P418" i="11"/>
  <c r="U733" i="11"/>
  <c r="M733" i="11"/>
  <c r="T733" i="11"/>
  <c r="L733" i="11"/>
  <c r="S733" i="11"/>
  <c r="K733" i="11"/>
  <c r="R733" i="11"/>
  <c r="X733" i="11" s="1"/>
  <c r="Q733" i="11"/>
  <c r="P733" i="11"/>
  <c r="O733" i="11"/>
  <c r="V733" i="11"/>
  <c r="N733" i="11"/>
  <c r="M986" i="11"/>
  <c r="T986" i="11"/>
  <c r="L986" i="11"/>
  <c r="V986" i="11"/>
  <c r="S986" i="11"/>
  <c r="Q986" i="11"/>
  <c r="N986" i="11"/>
  <c r="K986" i="11"/>
  <c r="V559" i="11"/>
  <c r="N559" i="11"/>
  <c r="R559" i="11"/>
  <c r="L559" i="11"/>
  <c r="U559" i="11"/>
  <c r="K559" i="11"/>
  <c r="T559" i="11"/>
  <c r="S559" i="11"/>
  <c r="Q559" i="11"/>
  <c r="P559" i="11"/>
  <c r="O559" i="11"/>
  <c r="M559" i="11"/>
  <c r="T869" i="11"/>
  <c r="L869" i="11"/>
  <c r="S869" i="11"/>
  <c r="K869" i="11"/>
  <c r="R869" i="11"/>
  <c r="Q869" i="11"/>
  <c r="P869" i="11"/>
  <c r="O869" i="11"/>
  <c r="V869" i="11"/>
  <c r="U869" i="11"/>
  <c r="N869" i="11"/>
  <c r="M869" i="11"/>
  <c r="U805" i="11"/>
  <c r="M805" i="11"/>
  <c r="R805" i="11"/>
  <c r="X805" i="11" s="1"/>
  <c r="Q805" i="11"/>
  <c r="P805" i="11"/>
  <c r="O805" i="11"/>
  <c r="N805" i="11"/>
  <c r="V805" i="11"/>
  <c r="L805" i="11"/>
  <c r="T805" i="11"/>
  <c r="K805" i="11"/>
  <c r="S805" i="11"/>
  <c r="P732" i="11"/>
  <c r="O732" i="11"/>
  <c r="U732" i="11"/>
  <c r="M732" i="11"/>
  <c r="T732" i="11"/>
  <c r="S732" i="11"/>
  <c r="K732" i="11"/>
  <c r="U803" i="11"/>
  <c r="M803" i="11"/>
  <c r="O803" i="11"/>
  <c r="N803" i="11"/>
  <c r="V803" i="11"/>
  <c r="L803" i="11"/>
  <c r="T803" i="11"/>
  <c r="K803" i="11"/>
  <c r="S803" i="11"/>
  <c r="R803" i="11"/>
  <c r="Q803" i="11"/>
  <c r="P803" i="11"/>
  <c r="V791" i="11"/>
  <c r="N791" i="11"/>
  <c r="T791" i="11"/>
  <c r="L791" i="11"/>
  <c r="S791" i="11"/>
  <c r="R791" i="11"/>
  <c r="Q791" i="11"/>
  <c r="V156" i="11"/>
  <c r="N156" i="11"/>
  <c r="U156" i="11"/>
  <c r="T156" i="11"/>
  <c r="L156" i="11"/>
  <c r="R156" i="11"/>
  <c r="Q156" i="11"/>
  <c r="P156" i="11"/>
  <c r="V364" i="11"/>
  <c r="N364" i="11"/>
  <c r="T364" i="11"/>
  <c r="L364" i="11"/>
  <c r="S364" i="11"/>
  <c r="R364" i="11"/>
  <c r="Q364" i="11"/>
  <c r="R799" i="11"/>
  <c r="X799" i="11" s="1"/>
  <c r="N799" i="11"/>
  <c r="V799" i="11"/>
  <c r="M799" i="11"/>
  <c r="U799" i="11"/>
  <c r="L799" i="11"/>
  <c r="T799" i="11"/>
  <c r="K799" i="11"/>
  <c r="S799" i="11"/>
  <c r="Q799" i="11"/>
  <c r="P799" i="11"/>
  <c r="O799" i="11"/>
  <c r="N493" i="11"/>
  <c r="U493" i="11"/>
  <c r="L493" i="11"/>
  <c r="S493" i="11"/>
  <c r="K493" i="11"/>
  <c r="Q493" i="11"/>
  <c r="P493" i="11"/>
  <c r="S824" i="11"/>
  <c r="K824" i="11"/>
  <c r="R824" i="11"/>
  <c r="X824" i="11" s="1"/>
  <c r="P824" i="11"/>
  <c r="O824" i="11"/>
  <c r="V824" i="11"/>
  <c r="N824" i="11"/>
  <c r="M824" i="11"/>
  <c r="T824" i="11"/>
  <c r="Q824" i="11"/>
  <c r="L824" i="11"/>
  <c r="V550" i="11"/>
  <c r="N550" i="11"/>
  <c r="Q550" i="11"/>
  <c r="O550" i="11"/>
  <c r="M550" i="11"/>
  <c r="U550" i="11"/>
  <c r="L550" i="11"/>
  <c r="T550" i="11"/>
  <c r="K550" i="11"/>
  <c r="S550" i="11"/>
  <c r="O686" i="11"/>
  <c r="V686" i="11"/>
  <c r="N686" i="11"/>
  <c r="U686" i="11"/>
  <c r="M686" i="11"/>
  <c r="T686" i="11"/>
  <c r="L686" i="11"/>
  <c r="S686" i="11"/>
  <c r="K686" i="11"/>
  <c r="R686" i="11"/>
  <c r="X686" i="11" s="1"/>
  <c r="Q686" i="11"/>
  <c r="P686" i="11"/>
  <c r="U729" i="11"/>
  <c r="M729" i="11"/>
  <c r="T729" i="11"/>
  <c r="L729" i="11"/>
  <c r="S729" i="11"/>
  <c r="K729" i="11"/>
  <c r="R729" i="11"/>
  <c r="Q729" i="11"/>
  <c r="P729" i="11"/>
  <c r="O729" i="11"/>
  <c r="V729" i="11"/>
  <c r="N729" i="11"/>
  <c r="V800" i="11"/>
  <c r="N800" i="11"/>
  <c r="T800" i="11"/>
  <c r="K800" i="11"/>
  <c r="S800" i="11"/>
  <c r="R800" i="11"/>
  <c r="X800" i="11" s="1"/>
  <c r="Q800" i="11"/>
  <c r="O800" i="11"/>
  <c r="M800" i="11"/>
  <c r="U800" i="11"/>
  <c r="L800" i="11"/>
  <c r="S343" i="11"/>
  <c r="K343" i="11"/>
  <c r="R343" i="11"/>
  <c r="X343" i="11" s="1"/>
  <c r="Q343" i="11"/>
  <c r="P343" i="11"/>
  <c r="O343" i="11"/>
  <c r="V343" i="11"/>
  <c r="N343" i="11"/>
  <c r="U343" i="11"/>
  <c r="M343" i="11"/>
  <c r="T343" i="11"/>
  <c r="L343" i="11"/>
  <c r="S61" i="11"/>
  <c r="K61" i="11"/>
  <c r="R61" i="11"/>
  <c r="Q61" i="11"/>
  <c r="P61" i="11"/>
  <c r="O61" i="11"/>
  <c r="V61" i="11"/>
  <c r="N61" i="11"/>
  <c r="U61" i="11"/>
  <c r="M61" i="11"/>
  <c r="T61" i="11"/>
  <c r="L61" i="11"/>
  <c r="V497" i="11"/>
  <c r="N497" i="11"/>
  <c r="U497" i="11"/>
  <c r="T497" i="11"/>
  <c r="L497" i="11"/>
  <c r="S497" i="11"/>
  <c r="K497" i="11"/>
  <c r="R497" i="11"/>
  <c r="X497" i="11" s="1"/>
  <c r="Q497" i="11"/>
  <c r="P497" i="11"/>
  <c r="U807" i="11"/>
  <c r="M807" i="11"/>
  <c r="V807" i="11"/>
  <c r="L807" i="11"/>
  <c r="T807" i="11"/>
  <c r="K807" i="11"/>
  <c r="S807" i="11"/>
  <c r="R807" i="11"/>
  <c r="Q807" i="11"/>
  <c r="P807" i="11"/>
  <c r="O807" i="11"/>
  <c r="N807" i="11"/>
  <c r="U708" i="11"/>
  <c r="M708" i="11"/>
  <c r="T708" i="11"/>
  <c r="L708" i="11"/>
  <c r="R708" i="11"/>
  <c r="X708" i="11" s="1"/>
  <c r="Q708" i="11"/>
  <c r="P708" i="11"/>
  <c r="O708" i="11"/>
  <c r="N708" i="11"/>
  <c r="K708" i="11"/>
  <c r="V708" i="11"/>
  <c r="S708" i="11"/>
  <c r="O266" i="11"/>
  <c r="V266" i="11"/>
  <c r="N266" i="11"/>
  <c r="U266" i="11"/>
  <c r="M266" i="11"/>
  <c r="T266" i="11"/>
  <c r="L266" i="11"/>
  <c r="S266" i="11"/>
  <c r="K266" i="11"/>
  <c r="R266" i="11"/>
  <c r="Q266" i="11"/>
  <c r="P266" i="11"/>
  <c r="V798" i="11"/>
  <c r="K798" i="11"/>
  <c r="P798" i="11"/>
  <c r="N798" i="11"/>
  <c r="L798" i="11"/>
  <c r="T798" i="11"/>
  <c r="S798" i="11"/>
  <c r="R798" i="11"/>
  <c r="Q798" i="11"/>
  <c r="S616" i="11"/>
  <c r="K616" i="11"/>
  <c r="R616" i="11"/>
  <c r="Q616" i="11"/>
  <c r="P616" i="11"/>
  <c r="O616" i="11"/>
  <c r="V616" i="11"/>
  <c r="N616" i="11"/>
  <c r="U616" i="11"/>
  <c r="M616" i="11"/>
  <c r="T616" i="11"/>
  <c r="L616" i="11"/>
  <c r="O216" i="11"/>
  <c r="V216" i="11"/>
  <c r="N216" i="11"/>
  <c r="U216" i="11"/>
  <c r="M216" i="11"/>
  <c r="T216" i="11"/>
  <c r="L216" i="11"/>
  <c r="S216" i="11"/>
  <c r="K216" i="11"/>
  <c r="R216" i="11"/>
  <c r="Q216" i="11"/>
  <c r="P216" i="11"/>
  <c r="O821" i="11"/>
  <c r="V821" i="11"/>
  <c r="N821" i="11"/>
  <c r="T821" i="11"/>
  <c r="L821" i="11"/>
  <c r="S821" i="11"/>
  <c r="K821" i="11"/>
  <c r="R821" i="11"/>
  <c r="X821" i="11" s="1"/>
  <c r="Q821" i="11"/>
  <c r="U821" i="11"/>
  <c r="P821" i="11"/>
  <c r="M821" i="11"/>
  <c r="O258" i="11"/>
  <c r="V258" i="11"/>
  <c r="N258" i="11"/>
  <c r="U258" i="11"/>
  <c r="M258" i="11"/>
  <c r="T258" i="11"/>
  <c r="L258" i="11"/>
  <c r="S258" i="11"/>
  <c r="K258" i="11"/>
  <c r="R258" i="11"/>
  <c r="X258" i="11" s="1"/>
  <c r="Q258" i="11"/>
  <c r="P258" i="11"/>
  <c r="O326" i="11"/>
  <c r="V326" i="11"/>
  <c r="N326" i="11"/>
  <c r="U326" i="11"/>
  <c r="M326" i="11"/>
  <c r="T326" i="11"/>
  <c r="L326" i="11"/>
  <c r="S326" i="11"/>
  <c r="K326" i="11"/>
  <c r="R326" i="11"/>
  <c r="X326" i="11" s="1"/>
  <c r="Q326" i="11"/>
  <c r="P326" i="11"/>
  <c r="K997" i="11"/>
  <c r="P997" i="11"/>
  <c r="R997" i="11"/>
  <c r="O997" i="11"/>
  <c r="M997" i="11"/>
  <c r="U997" i="11"/>
  <c r="S641" i="11"/>
  <c r="K641" i="11"/>
  <c r="R641" i="11"/>
  <c r="X641" i="11" s="1"/>
  <c r="Q641" i="11"/>
  <c r="P641" i="11"/>
  <c r="O641" i="11"/>
  <c r="V641" i="11"/>
  <c r="N641" i="11"/>
  <c r="U641" i="11"/>
  <c r="M641" i="11"/>
  <c r="T641" i="11"/>
  <c r="L641" i="11"/>
  <c r="P881" i="11"/>
  <c r="O881" i="11"/>
  <c r="N881" i="11"/>
  <c r="M881" i="11"/>
  <c r="V881" i="11"/>
  <c r="L881" i="11"/>
  <c r="U881" i="11"/>
  <c r="T881" i="11"/>
  <c r="R881" i="11"/>
  <c r="O194" i="11"/>
  <c r="V194" i="11"/>
  <c r="N194" i="11"/>
  <c r="U194" i="11"/>
  <c r="M194" i="11"/>
  <c r="T194" i="11"/>
  <c r="L194" i="11"/>
  <c r="S194" i="11"/>
  <c r="K194" i="11"/>
  <c r="R194" i="11"/>
  <c r="X194" i="11" s="1"/>
  <c r="Q194" i="11"/>
  <c r="P194" i="11"/>
  <c r="S612" i="11"/>
  <c r="K612" i="11"/>
  <c r="R612" i="11"/>
  <c r="X612" i="11" s="1"/>
  <c r="Q612" i="11"/>
  <c r="P612" i="11"/>
  <c r="O612" i="11"/>
  <c r="V612" i="11"/>
  <c r="N612" i="11"/>
  <c r="U612" i="11"/>
  <c r="M612" i="11"/>
  <c r="T612" i="11"/>
  <c r="L612" i="11"/>
  <c r="S329" i="11"/>
  <c r="K329" i="11"/>
  <c r="R329" i="11"/>
  <c r="X329" i="11" s="1"/>
  <c r="Q329" i="11"/>
  <c r="P329" i="11"/>
  <c r="O329" i="11"/>
  <c r="V329" i="11"/>
  <c r="N329" i="11"/>
  <c r="U329" i="11"/>
  <c r="M329" i="11"/>
  <c r="T329" i="11"/>
  <c r="L329" i="11"/>
  <c r="S962" i="11"/>
  <c r="K962" i="11"/>
  <c r="P962" i="11"/>
  <c r="O962" i="11"/>
  <c r="M962" i="11"/>
  <c r="U962" i="11"/>
  <c r="R962" i="11"/>
  <c r="X962" i="11" s="1"/>
  <c r="O619" i="11"/>
  <c r="V619" i="11"/>
  <c r="N619" i="11"/>
  <c r="U619" i="11"/>
  <c r="M619" i="11"/>
  <c r="T619" i="11"/>
  <c r="L619" i="11"/>
  <c r="S619" i="11"/>
  <c r="K619" i="11"/>
  <c r="R619" i="11"/>
  <c r="X619" i="11" s="1"/>
  <c r="Q619" i="11"/>
  <c r="P619" i="11"/>
  <c r="S325" i="11"/>
  <c r="K325" i="11"/>
  <c r="R325" i="11"/>
  <c r="X325" i="11" s="1"/>
  <c r="Q325" i="11"/>
  <c r="P325" i="11"/>
  <c r="O325" i="11"/>
  <c r="V325" i="11"/>
  <c r="N325" i="11"/>
  <c r="U325" i="11"/>
  <c r="M325" i="11"/>
  <c r="T325" i="11"/>
  <c r="L325" i="11"/>
  <c r="S267" i="11"/>
  <c r="K267" i="11"/>
  <c r="R267" i="11"/>
  <c r="X267" i="11" s="1"/>
  <c r="Q267" i="11"/>
  <c r="P267" i="11"/>
  <c r="O267" i="11"/>
  <c r="V267" i="11"/>
  <c r="N267" i="11"/>
  <c r="U267" i="11"/>
  <c r="M267" i="11"/>
  <c r="T267" i="11"/>
  <c r="L267" i="11"/>
  <c r="T765" i="11"/>
  <c r="K765" i="11"/>
  <c r="S765" i="11"/>
  <c r="R765" i="11"/>
  <c r="P765" i="11"/>
  <c r="O765" i="11"/>
  <c r="N765" i="11"/>
  <c r="V765" i="11"/>
  <c r="M765" i="11"/>
  <c r="U765" i="11"/>
  <c r="L765" i="11"/>
  <c r="N818" i="11"/>
  <c r="L818" i="11"/>
  <c r="T818" i="11"/>
  <c r="S818" i="11"/>
  <c r="R818" i="11"/>
  <c r="X818" i="11" s="1"/>
  <c r="Q818" i="11"/>
  <c r="V818" i="11"/>
  <c r="P818" i="11"/>
  <c r="K818" i="11"/>
  <c r="S213" i="11"/>
  <c r="K213" i="11"/>
  <c r="R213" i="11"/>
  <c r="Q213" i="11"/>
  <c r="P213" i="11"/>
  <c r="O213" i="11"/>
  <c r="V213" i="11"/>
  <c r="N213" i="11"/>
  <c r="U213" i="11"/>
  <c r="M213" i="11"/>
  <c r="T213" i="11"/>
  <c r="L213" i="11"/>
  <c r="O640" i="11"/>
  <c r="V640" i="11"/>
  <c r="N640" i="11"/>
  <c r="U640" i="11"/>
  <c r="M640" i="11"/>
  <c r="T640" i="11"/>
  <c r="L640" i="11"/>
  <c r="S640" i="11"/>
  <c r="K640" i="11"/>
  <c r="R640" i="11"/>
  <c r="X640" i="11" s="1"/>
  <c r="Q640" i="11"/>
  <c r="P640" i="11"/>
  <c r="S349" i="11"/>
  <c r="K349" i="11"/>
  <c r="R349" i="11"/>
  <c r="Q349" i="11"/>
  <c r="P349" i="11"/>
  <c r="O349" i="11"/>
  <c r="V349" i="11"/>
  <c r="N349" i="11"/>
  <c r="U349" i="11"/>
  <c r="M349" i="11"/>
  <c r="T349" i="11"/>
  <c r="L349" i="11"/>
  <c r="S215" i="11"/>
  <c r="K215" i="11"/>
  <c r="R215" i="11"/>
  <c r="X215" i="11" s="1"/>
  <c r="Q215" i="11"/>
  <c r="P215" i="11"/>
  <c r="O215" i="11"/>
  <c r="V215" i="11"/>
  <c r="N215" i="11"/>
  <c r="U215" i="11"/>
  <c r="M215" i="11"/>
  <c r="T215" i="11"/>
  <c r="L215" i="11"/>
  <c r="R502" i="11"/>
  <c r="X502" i="11" s="1"/>
  <c r="Q502" i="11"/>
  <c r="P502" i="11"/>
  <c r="O502" i="11"/>
  <c r="V502" i="11"/>
  <c r="N502" i="11"/>
  <c r="U502" i="11"/>
  <c r="M502" i="11"/>
  <c r="T502" i="11"/>
  <c r="L502" i="11"/>
  <c r="S502" i="11"/>
  <c r="K502" i="11"/>
  <c r="S283" i="11"/>
  <c r="K283" i="11"/>
  <c r="R283" i="11"/>
  <c r="X283" i="11" s="1"/>
  <c r="Q283" i="11"/>
  <c r="P283" i="11"/>
  <c r="O283" i="11"/>
  <c r="V283" i="11"/>
  <c r="N283" i="11"/>
  <c r="U283" i="11"/>
  <c r="M283" i="11"/>
  <c r="T283" i="11"/>
  <c r="L283" i="11"/>
  <c r="P802" i="11"/>
  <c r="Q802" i="11"/>
  <c r="N802" i="11"/>
  <c r="L802" i="11"/>
  <c r="K802" i="11"/>
  <c r="V802" i="11"/>
  <c r="T802" i="11"/>
  <c r="S802" i="11"/>
  <c r="R802" i="11"/>
  <c r="O638" i="11"/>
  <c r="V638" i="11"/>
  <c r="N638" i="11"/>
  <c r="U638" i="11"/>
  <c r="M638" i="11"/>
  <c r="T638" i="11"/>
  <c r="L638" i="11"/>
  <c r="S638" i="11"/>
  <c r="K638" i="11"/>
  <c r="R638" i="11"/>
  <c r="X638" i="11" s="1"/>
  <c r="Q638" i="11"/>
  <c r="P638" i="11"/>
  <c r="V441" i="11"/>
  <c r="N441" i="11"/>
  <c r="U441" i="11"/>
  <c r="M441" i="11"/>
  <c r="T441" i="11"/>
  <c r="L441" i="11"/>
  <c r="S441" i="11"/>
  <c r="K441" i="11"/>
  <c r="R441" i="11"/>
  <c r="Q441" i="11"/>
  <c r="P441" i="11"/>
  <c r="O441" i="11"/>
  <c r="R518" i="11"/>
  <c r="X518" i="11" s="1"/>
  <c r="Q518" i="11"/>
  <c r="P518" i="11"/>
  <c r="O518" i="11"/>
  <c r="V518" i="11"/>
  <c r="N518" i="11"/>
  <c r="U518" i="11"/>
  <c r="M518" i="11"/>
  <c r="T518" i="11"/>
  <c r="L518" i="11"/>
  <c r="S518" i="11"/>
  <c r="K518" i="11"/>
  <c r="S685" i="11"/>
  <c r="K685" i="11"/>
  <c r="R685" i="11"/>
  <c r="X685" i="11" s="1"/>
  <c r="Q685" i="11"/>
  <c r="P685" i="11"/>
  <c r="O685" i="11"/>
  <c r="V685" i="11"/>
  <c r="N685" i="11"/>
  <c r="U685" i="11"/>
  <c r="M685" i="11"/>
  <c r="T685" i="11"/>
  <c r="L685" i="11"/>
  <c r="U700" i="11"/>
  <c r="M700" i="11"/>
  <c r="P700" i="11"/>
  <c r="O700" i="11"/>
  <c r="N700" i="11"/>
  <c r="V700" i="11"/>
  <c r="L700" i="11"/>
  <c r="T700" i="11"/>
  <c r="K700" i="11"/>
  <c r="S700" i="11"/>
  <c r="R700" i="11"/>
  <c r="Q700" i="11"/>
  <c r="O264" i="11"/>
  <c r="V264" i="11"/>
  <c r="N264" i="11"/>
  <c r="U264" i="11"/>
  <c r="M264" i="11"/>
  <c r="T264" i="11"/>
  <c r="L264" i="11"/>
  <c r="S264" i="11"/>
  <c r="K264" i="11"/>
  <c r="R264" i="11"/>
  <c r="Q264" i="11"/>
  <c r="P264" i="11"/>
  <c r="T1002" i="11"/>
  <c r="L1002" i="11"/>
  <c r="Q1002" i="11"/>
  <c r="N1002" i="11"/>
  <c r="K1002" i="11"/>
  <c r="V1002" i="11"/>
  <c r="S1002" i="11"/>
  <c r="V515" i="11"/>
  <c r="N515" i="11"/>
  <c r="U515" i="11"/>
  <c r="M515" i="11"/>
  <c r="T515" i="11"/>
  <c r="L515" i="11"/>
  <c r="S515" i="11"/>
  <c r="K515" i="11"/>
  <c r="R515" i="11"/>
  <c r="X515" i="11" s="1"/>
  <c r="Q515" i="11"/>
  <c r="P515" i="11"/>
  <c r="O515" i="11"/>
  <c r="S369" i="11"/>
  <c r="K369" i="11"/>
  <c r="R369" i="11"/>
  <c r="Q369" i="11"/>
  <c r="P369" i="11"/>
  <c r="O369" i="11"/>
  <c r="V369" i="11"/>
  <c r="N369" i="11"/>
  <c r="U369" i="11"/>
  <c r="M369" i="11"/>
  <c r="T369" i="11"/>
  <c r="L369" i="11"/>
  <c r="S359" i="11"/>
  <c r="K359" i="11"/>
  <c r="R359" i="11"/>
  <c r="X359" i="11" s="1"/>
  <c r="Q359" i="11"/>
  <c r="P359" i="11"/>
  <c r="O359" i="11"/>
  <c r="V359" i="11"/>
  <c r="N359" i="11"/>
  <c r="U359" i="11"/>
  <c r="M359" i="11"/>
  <c r="T359" i="11"/>
  <c r="L359" i="11"/>
  <c r="O314" i="11"/>
  <c r="V314" i="11"/>
  <c r="N314" i="11"/>
  <c r="U314" i="11"/>
  <c r="M314" i="11"/>
  <c r="T314" i="11"/>
  <c r="L314" i="11"/>
  <c r="S314" i="11"/>
  <c r="K314" i="11"/>
  <c r="R314" i="11"/>
  <c r="X314" i="11" s="1"/>
  <c r="P314" i="11"/>
  <c r="Q314" i="11"/>
  <c r="Q808" i="11"/>
  <c r="S808" i="11"/>
  <c r="R808" i="11"/>
  <c r="P808" i="11"/>
  <c r="O808" i="11"/>
  <c r="N808" i="11"/>
  <c r="V808" i="11"/>
  <c r="M808" i="11"/>
  <c r="U808" i="11"/>
  <c r="L808" i="11"/>
  <c r="T808" i="11"/>
  <c r="K808" i="11"/>
  <c r="O268" i="11"/>
  <c r="V268" i="11"/>
  <c r="N268" i="11"/>
  <c r="U268" i="11"/>
  <c r="M268" i="11"/>
  <c r="T268" i="11"/>
  <c r="L268" i="11"/>
  <c r="S268" i="11"/>
  <c r="K268" i="11"/>
  <c r="R268" i="11"/>
  <c r="X268" i="11" s="1"/>
  <c r="Q268" i="11"/>
  <c r="P268" i="11"/>
  <c r="K991" i="11"/>
  <c r="P991" i="11"/>
  <c r="R991" i="11"/>
  <c r="X991" i="11" s="1"/>
  <c r="O991" i="11"/>
  <c r="M991" i="11"/>
  <c r="U991" i="11"/>
  <c r="O660" i="11"/>
  <c r="V660" i="11"/>
  <c r="N660" i="11"/>
  <c r="U660" i="11"/>
  <c r="M660" i="11"/>
  <c r="T660" i="11"/>
  <c r="L660" i="11"/>
  <c r="S660" i="11"/>
  <c r="K660" i="11"/>
  <c r="R660" i="11"/>
  <c r="Q660" i="11"/>
  <c r="P660" i="11"/>
  <c r="O623" i="11"/>
  <c r="V623" i="11"/>
  <c r="N623" i="11"/>
  <c r="U623" i="11"/>
  <c r="M623" i="11"/>
  <c r="T623" i="11"/>
  <c r="L623" i="11"/>
  <c r="S623" i="11"/>
  <c r="K623" i="11"/>
  <c r="R623" i="11"/>
  <c r="Q623" i="11"/>
  <c r="P623" i="11"/>
  <c r="O408" i="11"/>
  <c r="V408" i="11"/>
  <c r="N408" i="11"/>
  <c r="U408" i="11"/>
  <c r="M408" i="11"/>
  <c r="T408" i="11"/>
  <c r="L408" i="11"/>
  <c r="S408" i="11"/>
  <c r="K408" i="11"/>
  <c r="R408" i="11"/>
  <c r="X408" i="11" s="1"/>
  <c r="Q408" i="11"/>
  <c r="P408" i="11"/>
  <c r="V525" i="11"/>
  <c r="N525" i="11"/>
  <c r="U525" i="11"/>
  <c r="M525" i="11"/>
  <c r="T525" i="11"/>
  <c r="L525" i="11"/>
  <c r="S525" i="11"/>
  <c r="K525" i="11"/>
  <c r="R525" i="11"/>
  <c r="Q525" i="11"/>
  <c r="P525" i="11"/>
  <c r="O525" i="11"/>
  <c r="V529" i="11"/>
  <c r="N529" i="11"/>
  <c r="U529" i="11"/>
  <c r="M529" i="11"/>
  <c r="T529" i="11"/>
  <c r="L529" i="11"/>
  <c r="S529" i="11"/>
  <c r="K529" i="11"/>
  <c r="R529" i="11"/>
  <c r="X529" i="11" s="1"/>
  <c r="Q529" i="11"/>
  <c r="P529" i="11"/>
  <c r="O529" i="11"/>
  <c r="S279" i="11"/>
  <c r="K279" i="11"/>
  <c r="R279" i="11"/>
  <c r="X279" i="11" s="1"/>
  <c r="Q279" i="11"/>
  <c r="P279" i="11"/>
  <c r="O279" i="11"/>
  <c r="V279" i="11"/>
  <c r="N279" i="11"/>
  <c r="U279" i="11"/>
  <c r="M279" i="11"/>
  <c r="T279" i="11"/>
  <c r="L279" i="11"/>
  <c r="R543" i="11"/>
  <c r="S543" i="11"/>
  <c r="Q543" i="11"/>
  <c r="P543" i="11"/>
  <c r="O543" i="11"/>
  <c r="N543" i="11"/>
  <c r="V543" i="11"/>
  <c r="M543" i="11"/>
  <c r="U543" i="11"/>
  <c r="L543" i="11"/>
  <c r="T543" i="11"/>
  <c r="K543" i="11"/>
  <c r="O354" i="11"/>
  <c r="V354" i="11"/>
  <c r="N354" i="11"/>
  <c r="U354" i="11"/>
  <c r="M354" i="11"/>
  <c r="T354" i="11"/>
  <c r="L354" i="11"/>
  <c r="S354" i="11"/>
  <c r="K354" i="11"/>
  <c r="R354" i="11"/>
  <c r="Q354" i="11"/>
  <c r="P354" i="11"/>
  <c r="S357" i="11"/>
  <c r="K357" i="11"/>
  <c r="R357" i="11"/>
  <c r="Q357" i="11"/>
  <c r="P357" i="11"/>
  <c r="O357" i="11"/>
  <c r="V357" i="11"/>
  <c r="N357" i="11"/>
  <c r="U357" i="11"/>
  <c r="M357" i="11"/>
  <c r="T357" i="11"/>
  <c r="L357" i="11"/>
  <c r="Q949" i="11"/>
  <c r="T949" i="11"/>
  <c r="L949" i="11"/>
  <c r="U949" i="11"/>
  <c r="S949" i="11"/>
  <c r="P949" i="11"/>
  <c r="N949" i="11"/>
  <c r="M949" i="11"/>
  <c r="K949" i="11"/>
  <c r="V949" i="11"/>
  <c r="U296" i="11"/>
  <c r="M296" i="11"/>
  <c r="P296" i="11"/>
  <c r="O296" i="11"/>
  <c r="N296" i="11"/>
  <c r="V296" i="11"/>
  <c r="L296" i="11"/>
  <c r="T296" i="11"/>
  <c r="K296" i="11"/>
  <c r="S296" i="11"/>
  <c r="R296" i="11"/>
  <c r="X296" i="11" s="1"/>
  <c r="Q296" i="11"/>
  <c r="R883" i="11"/>
  <c r="X883" i="11" s="1"/>
  <c r="Q883" i="11"/>
  <c r="P883" i="11"/>
  <c r="O883" i="11"/>
  <c r="V883" i="11"/>
  <c r="N883" i="11"/>
  <c r="U883" i="11"/>
  <c r="M883" i="11"/>
  <c r="T883" i="11"/>
  <c r="L883" i="11"/>
  <c r="S883" i="11"/>
  <c r="K883" i="11"/>
  <c r="O785" i="11"/>
  <c r="V785" i="11"/>
  <c r="N785" i="11"/>
  <c r="U785" i="11"/>
  <c r="M785" i="11"/>
  <c r="T785" i="11"/>
  <c r="L785" i="11"/>
  <c r="S785" i="11"/>
  <c r="K785" i="11"/>
  <c r="R785" i="11"/>
  <c r="X785" i="11" s="1"/>
  <c r="Q785" i="11"/>
  <c r="P785" i="11"/>
  <c r="T810" i="11"/>
  <c r="S810" i="11"/>
  <c r="N810" i="11"/>
  <c r="L810" i="11"/>
  <c r="K810" i="11"/>
  <c r="V810" i="11"/>
  <c r="R810" i="11"/>
  <c r="X810" i="11" s="1"/>
  <c r="Q810" i="11"/>
  <c r="P810" i="11"/>
  <c r="S331" i="11"/>
  <c r="K331" i="11"/>
  <c r="R331" i="11"/>
  <c r="Q331" i="11"/>
  <c r="P331" i="11"/>
  <c r="O331" i="11"/>
  <c r="V331" i="11"/>
  <c r="N331" i="11"/>
  <c r="U331" i="11"/>
  <c r="M331" i="11"/>
  <c r="T331" i="11"/>
  <c r="L331" i="11"/>
  <c r="S822" i="11"/>
  <c r="K822" i="11"/>
  <c r="R822" i="11"/>
  <c r="X822" i="11" s="1"/>
  <c r="P822" i="11"/>
  <c r="O822" i="11"/>
  <c r="V822" i="11"/>
  <c r="N822" i="11"/>
  <c r="U822" i="11"/>
  <c r="M822" i="11"/>
  <c r="T822" i="11"/>
  <c r="Q822" i="11"/>
  <c r="L822" i="11"/>
  <c r="V513" i="11"/>
  <c r="N513" i="11"/>
  <c r="U513" i="11"/>
  <c r="M513" i="11"/>
  <c r="T513" i="11"/>
  <c r="L513" i="11"/>
  <c r="S513" i="11"/>
  <c r="K513" i="11"/>
  <c r="R513" i="11"/>
  <c r="Q513" i="11"/>
  <c r="P513" i="11"/>
  <c r="O513" i="11"/>
  <c r="U847" i="11"/>
  <c r="M847" i="11"/>
  <c r="S847" i="11"/>
  <c r="K847" i="11"/>
  <c r="R847" i="11"/>
  <c r="X847" i="11" s="1"/>
  <c r="Q847" i="11"/>
  <c r="T847" i="11"/>
  <c r="P847" i="11"/>
  <c r="O847" i="11"/>
  <c r="N847" i="11"/>
  <c r="L847" i="11"/>
  <c r="V847" i="11"/>
  <c r="O208" i="11"/>
  <c r="V208" i="11"/>
  <c r="N208" i="11"/>
  <c r="U208" i="11"/>
  <c r="M208" i="11"/>
  <c r="T208" i="11"/>
  <c r="L208" i="11"/>
  <c r="S208" i="11"/>
  <c r="K208" i="11"/>
  <c r="R208" i="11"/>
  <c r="X208" i="11" s="1"/>
  <c r="Q208" i="11"/>
  <c r="P208" i="11"/>
  <c r="V1008" i="11"/>
  <c r="N1008" i="11"/>
  <c r="L1008" i="11"/>
  <c r="S1008" i="11"/>
  <c r="Q1008" i="11"/>
  <c r="K1008" i="11"/>
  <c r="O617" i="11"/>
  <c r="V617" i="11"/>
  <c r="N617" i="11"/>
  <c r="U617" i="11"/>
  <c r="M617" i="11"/>
  <c r="T617" i="11"/>
  <c r="L617" i="11"/>
  <c r="S617" i="11"/>
  <c r="K617" i="11"/>
  <c r="R617" i="11"/>
  <c r="X617" i="11" s="1"/>
  <c r="Q617" i="11"/>
  <c r="P617" i="11"/>
  <c r="L991" i="11"/>
  <c r="O603" i="11"/>
  <c r="V603" i="11"/>
  <c r="N603" i="11"/>
  <c r="U603" i="11"/>
  <c r="M603" i="11"/>
  <c r="T603" i="11"/>
  <c r="L603" i="11"/>
  <c r="S603" i="11"/>
  <c r="K603" i="11"/>
  <c r="R603" i="11"/>
  <c r="Q603" i="11"/>
  <c r="P603" i="11"/>
  <c r="S687" i="11"/>
  <c r="K687" i="11"/>
  <c r="R687" i="11"/>
  <c r="X687" i="11" s="1"/>
  <c r="Q687" i="11"/>
  <c r="P687" i="11"/>
  <c r="O687" i="11"/>
  <c r="V687" i="11"/>
  <c r="N687" i="11"/>
  <c r="U687" i="11"/>
  <c r="M687" i="11"/>
  <c r="T687" i="11"/>
  <c r="L687" i="11"/>
  <c r="R494" i="11"/>
  <c r="X494" i="11" s="1"/>
  <c r="Q494" i="11"/>
  <c r="P494" i="11"/>
  <c r="O494" i="11"/>
  <c r="V494" i="11"/>
  <c r="N494" i="11"/>
  <c r="U494" i="11"/>
  <c r="M494" i="11"/>
  <c r="T494" i="11"/>
  <c r="L494" i="11"/>
  <c r="S494" i="11"/>
  <c r="K494" i="11"/>
  <c r="O144" i="11"/>
  <c r="V144" i="11"/>
  <c r="N144" i="11"/>
  <c r="U144" i="11"/>
  <c r="M144" i="11"/>
  <c r="T144" i="11"/>
  <c r="L144" i="11"/>
  <c r="S144" i="11"/>
  <c r="K144" i="11"/>
  <c r="R144" i="11"/>
  <c r="X144" i="11" s="1"/>
  <c r="Q144" i="11"/>
  <c r="P144" i="11"/>
  <c r="S327" i="11"/>
  <c r="K327" i="11"/>
  <c r="R327" i="11"/>
  <c r="X327" i="11" s="1"/>
  <c r="Q327" i="11"/>
  <c r="P327" i="11"/>
  <c r="O327" i="11"/>
  <c r="V327" i="11"/>
  <c r="N327" i="11"/>
  <c r="U327" i="11"/>
  <c r="M327" i="11"/>
  <c r="T327" i="11"/>
  <c r="L327" i="11"/>
  <c r="T873" i="11"/>
  <c r="L873" i="11"/>
  <c r="S873" i="11"/>
  <c r="K873" i="11"/>
  <c r="R873" i="11"/>
  <c r="X873" i="11" s="1"/>
  <c r="Q873" i="11"/>
  <c r="P873" i="11"/>
  <c r="O873" i="11"/>
  <c r="V873" i="11"/>
  <c r="N873" i="11"/>
  <c r="U873" i="11"/>
  <c r="M873" i="11"/>
  <c r="O613" i="11"/>
  <c r="V613" i="11"/>
  <c r="N613" i="11"/>
  <c r="U613" i="11"/>
  <c r="M613" i="11"/>
  <c r="T613" i="11"/>
  <c r="L613" i="11"/>
  <c r="S613" i="11"/>
  <c r="K613" i="11"/>
  <c r="R613" i="11"/>
  <c r="Q613" i="11"/>
  <c r="P613" i="11"/>
  <c r="O218" i="11"/>
  <c r="V218" i="11"/>
  <c r="N218" i="11"/>
  <c r="U218" i="11"/>
  <c r="M218" i="11"/>
  <c r="T218" i="11"/>
  <c r="L218" i="11"/>
  <c r="S218" i="11"/>
  <c r="K218" i="11"/>
  <c r="R218" i="11"/>
  <c r="Q218" i="11"/>
  <c r="P218" i="11"/>
  <c r="O634" i="11"/>
  <c r="V634" i="11"/>
  <c r="N634" i="11"/>
  <c r="U634" i="11"/>
  <c r="M634" i="11"/>
  <c r="T634" i="11"/>
  <c r="L634" i="11"/>
  <c r="S634" i="11"/>
  <c r="K634" i="11"/>
  <c r="R634" i="11"/>
  <c r="Q634" i="11"/>
  <c r="P634" i="11"/>
  <c r="O178" i="11"/>
  <c r="V178" i="11"/>
  <c r="N178" i="11"/>
  <c r="U178" i="11"/>
  <c r="M178" i="11"/>
  <c r="T178" i="11"/>
  <c r="L178" i="11"/>
  <c r="S178" i="11"/>
  <c r="K178" i="11"/>
  <c r="R178" i="11"/>
  <c r="X178" i="11" s="1"/>
  <c r="Q178" i="11"/>
  <c r="P178" i="11"/>
  <c r="S582" i="11"/>
  <c r="K582" i="11"/>
  <c r="R582" i="11"/>
  <c r="X582" i="11" s="1"/>
  <c r="Q582" i="11"/>
  <c r="O582" i="11"/>
  <c r="V582" i="11"/>
  <c r="N582" i="11"/>
  <c r="U582" i="11"/>
  <c r="M582" i="11"/>
  <c r="T582" i="11"/>
  <c r="L582" i="11"/>
  <c r="P582" i="11"/>
  <c r="M988" i="11"/>
  <c r="S826" i="11"/>
  <c r="K826" i="11"/>
  <c r="R826" i="11"/>
  <c r="X826" i="11" s="1"/>
  <c r="P826" i="11"/>
  <c r="O826" i="11"/>
  <c r="V826" i="11"/>
  <c r="N826" i="11"/>
  <c r="U826" i="11"/>
  <c r="M826" i="11"/>
  <c r="T826" i="11"/>
  <c r="Q826" i="11"/>
  <c r="L826" i="11"/>
  <c r="O575" i="11"/>
  <c r="V575" i="11"/>
  <c r="N575" i="11"/>
  <c r="U575" i="11"/>
  <c r="M575" i="11"/>
  <c r="S575" i="11"/>
  <c r="K575" i="11"/>
  <c r="R575" i="11"/>
  <c r="X575" i="11" s="1"/>
  <c r="Q575" i="11"/>
  <c r="P575" i="11"/>
  <c r="T575" i="11"/>
  <c r="L575" i="11"/>
  <c r="O875" i="11"/>
  <c r="V875" i="11"/>
  <c r="N875" i="11"/>
  <c r="U875" i="11"/>
  <c r="M875" i="11"/>
  <c r="T875" i="11"/>
  <c r="L875" i="11"/>
  <c r="S875" i="11"/>
  <c r="K875" i="11"/>
  <c r="R875" i="11"/>
  <c r="X875" i="11" s="1"/>
  <c r="Q875" i="11"/>
  <c r="P875" i="11"/>
  <c r="S905" i="11"/>
  <c r="K905" i="11"/>
  <c r="R905" i="11"/>
  <c r="Q905" i="11"/>
  <c r="P905" i="11"/>
  <c r="U905" i="11"/>
  <c r="M905" i="11"/>
  <c r="L905" i="11"/>
  <c r="V905" i="11"/>
  <c r="T905" i="11"/>
  <c r="O905" i="11"/>
  <c r="N905" i="11"/>
  <c r="M1008" i="11"/>
  <c r="V447" i="11"/>
  <c r="N447" i="11"/>
  <c r="U447" i="11"/>
  <c r="M447" i="11"/>
  <c r="T447" i="11"/>
  <c r="L447" i="11"/>
  <c r="S447" i="11"/>
  <c r="K447" i="11"/>
  <c r="R447" i="11"/>
  <c r="X447" i="11" s="1"/>
  <c r="Q447" i="11"/>
  <c r="P447" i="11"/>
  <c r="O447" i="11"/>
  <c r="S287" i="11"/>
  <c r="K287" i="11"/>
  <c r="R287" i="11"/>
  <c r="X287" i="11" s="1"/>
  <c r="Q287" i="11"/>
  <c r="P287" i="11"/>
  <c r="O287" i="11"/>
  <c r="V287" i="11"/>
  <c r="N287" i="11"/>
  <c r="U287" i="11"/>
  <c r="M287" i="11"/>
  <c r="T287" i="11"/>
  <c r="L287" i="11"/>
  <c r="M1002" i="11"/>
  <c r="T894" i="11"/>
  <c r="L894" i="11"/>
  <c r="V894" i="11"/>
  <c r="M894" i="11"/>
  <c r="U894" i="11"/>
  <c r="K894" i="11"/>
  <c r="S894" i="11"/>
  <c r="R894" i="11"/>
  <c r="X894" i="11" s="1"/>
  <c r="Q894" i="11"/>
  <c r="P894" i="11"/>
  <c r="O894" i="11"/>
  <c r="N894" i="11"/>
  <c r="O632" i="11"/>
  <c r="V632" i="11"/>
  <c r="N632" i="11"/>
  <c r="U632" i="11"/>
  <c r="M632" i="11"/>
  <c r="T632" i="11"/>
  <c r="L632" i="11"/>
  <c r="S632" i="11"/>
  <c r="K632" i="11"/>
  <c r="R632" i="11"/>
  <c r="X632" i="11" s="1"/>
  <c r="Q632" i="11"/>
  <c r="P632" i="11"/>
  <c r="V554" i="11"/>
  <c r="N554" i="11"/>
  <c r="O554" i="11"/>
  <c r="M554" i="11"/>
  <c r="U554" i="11"/>
  <c r="L554" i="11"/>
  <c r="T554" i="11"/>
  <c r="K554" i="11"/>
  <c r="S554" i="11"/>
  <c r="R554" i="11"/>
  <c r="Q554" i="11"/>
  <c r="P554" i="11"/>
  <c r="O879" i="11"/>
  <c r="V879" i="11"/>
  <c r="N879" i="11"/>
  <c r="U879" i="11"/>
  <c r="M879" i="11"/>
  <c r="T879" i="11"/>
  <c r="L879" i="11"/>
  <c r="S879" i="11"/>
  <c r="K879" i="11"/>
  <c r="R879" i="11"/>
  <c r="X879" i="11" s="1"/>
  <c r="Q879" i="11"/>
  <c r="P879" i="11"/>
  <c r="S83" i="11"/>
  <c r="K83" i="11"/>
  <c r="R83" i="11"/>
  <c r="X83" i="11" s="1"/>
  <c r="Q83" i="11"/>
  <c r="P83" i="11"/>
  <c r="O83" i="11"/>
  <c r="V83" i="11"/>
  <c r="N83" i="11"/>
  <c r="U83" i="11"/>
  <c r="M83" i="11"/>
  <c r="T83" i="11"/>
  <c r="L83" i="11"/>
  <c r="O174" i="11"/>
  <c r="V174" i="11"/>
  <c r="N174" i="11"/>
  <c r="U174" i="11"/>
  <c r="M174" i="11"/>
  <c r="T174" i="11"/>
  <c r="L174" i="11"/>
  <c r="S174" i="11"/>
  <c r="K174" i="11"/>
  <c r="R174" i="11"/>
  <c r="X174" i="11" s="1"/>
  <c r="Q174" i="11"/>
  <c r="P174" i="11"/>
  <c r="O581" i="11"/>
  <c r="V581" i="11"/>
  <c r="N581" i="11"/>
  <c r="U581" i="11"/>
  <c r="M581" i="11"/>
  <c r="S581" i="11"/>
  <c r="K581" i="11"/>
  <c r="R581" i="11"/>
  <c r="Q581" i="11"/>
  <c r="P581" i="11"/>
  <c r="T581" i="11"/>
  <c r="L581" i="11"/>
  <c r="N993" i="11"/>
  <c r="S576" i="11"/>
  <c r="K576" i="11"/>
  <c r="R576" i="11"/>
  <c r="X576" i="11" s="1"/>
  <c r="Q576" i="11"/>
  <c r="O576" i="11"/>
  <c r="V576" i="11"/>
  <c r="N576" i="11"/>
  <c r="U576" i="11"/>
  <c r="M576" i="11"/>
  <c r="T576" i="11"/>
  <c r="L576" i="11"/>
  <c r="P576" i="11"/>
  <c r="N962" i="11"/>
  <c r="N1001" i="11"/>
  <c r="N948" i="11"/>
  <c r="S103" i="11"/>
  <c r="K103" i="11"/>
  <c r="R103" i="11"/>
  <c r="Q103" i="11"/>
  <c r="P103" i="11"/>
  <c r="O103" i="11"/>
  <c r="V103" i="11"/>
  <c r="N103" i="11"/>
  <c r="U103" i="11"/>
  <c r="M103" i="11"/>
  <c r="T103" i="11"/>
  <c r="L103" i="11"/>
  <c r="N985" i="11"/>
  <c r="O256" i="11"/>
  <c r="V256" i="11"/>
  <c r="N256" i="11"/>
  <c r="U256" i="11"/>
  <c r="M256" i="11"/>
  <c r="T256" i="11"/>
  <c r="L256" i="11"/>
  <c r="S256" i="11"/>
  <c r="K256" i="11"/>
  <c r="R256" i="11"/>
  <c r="X256" i="11" s="1"/>
  <c r="Q256" i="11"/>
  <c r="P256" i="11"/>
  <c r="Q709" i="11"/>
  <c r="P709" i="11"/>
  <c r="V709" i="11"/>
  <c r="R709" i="11"/>
  <c r="X709" i="11" s="1"/>
  <c r="O709" i="11"/>
  <c r="N709" i="11"/>
  <c r="M709" i="11"/>
  <c r="L709" i="11"/>
  <c r="U709" i="11"/>
  <c r="K709" i="11"/>
  <c r="T709" i="11"/>
  <c r="S709" i="11"/>
  <c r="S41" i="11"/>
  <c r="K41" i="11"/>
  <c r="R41" i="11"/>
  <c r="X41" i="11" s="1"/>
  <c r="Q41" i="11"/>
  <c r="P41" i="11"/>
  <c r="O41" i="11"/>
  <c r="V41" i="11"/>
  <c r="N41" i="11"/>
  <c r="U41" i="11"/>
  <c r="M41" i="11"/>
  <c r="T41" i="11"/>
  <c r="L41" i="11"/>
  <c r="N995" i="11"/>
  <c r="O110" i="11"/>
  <c r="V110" i="11"/>
  <c r="N110" i="11"/>
  <c r="U110" i="11"/>
  <c r="M110" i="11"/>
  <c r="T110" i="11"/>
  <c r="L110" i="11"/>
  <c r="S110" i="11"/>
  <c r="K110" i="11"/>
  <c r="R110" i="11"/>
  <c r="X110" i="11" s="1"/>
  <c r="Q110" i="11"/>
  <c r="P110" i="11"/>
  <c r="S876" i="11"/>
  <c r="K876" i="11"/>
  <c r="R876" i="11"/>
  <c r="X876" i="11" s="1"/>
  <c r="Q876" i="11"/>
  <c r="P876" i="11"/>
  <c r="O876" i="11"/>
  <c r="V876" i="11"/>
  <c r="N876" i="11"/>
  <c r="U876" i="11"/>
  <c r="M876" i="11"/>
  <c r="T876" i="11"/>
  <c r="L876" i="11"/>
  <c r="R965" i="11"/>
  <c r="X965" i="11" s="1"/>
  <c r="O965" i="11"/>
  <c r="N965" i="11"/>
  <c r="V965" i="11"/>
  <c r="L965" i="11"/>
  <c r="T965" i="11"/>
  <c r="Q965" i="11"/>
  <c r="N991" i="11"/>
  <c r="Q712" i="11"/>
  <c r="P712" i="11"/>
  <c r="O712" i="11"/>
  <c r="V712" i="11"/>
  <c r="N712" i="11"/>
  <c r="U712" i="11"/>
  <c r="M712" i="11"/>
  <c r="T712" i="11"/>
  <c r="L712" i="11"/>
  <c r="S712" i="11"/>
  <c r="K712" i="11"/>
  <c r="R712" i="11"/>
  <c r="X712" i="11" s="1"/>
  <c r="O986" i="11"/>
  <c r="O998" i="11"/>
  <c r="V911" i="11"/>
  <c r="N911" i="11"/>
  <c r="S911" i="11"/>
  <c r="K911" i="11"/>
  <c r="T911" i="11"/>
  <c r="R911" i="11"/>
  <c r="Q911" i="11"/>
  <c r="P911" i="11"/>
  <c r="O911" i="11"/>
  <c r="M911" i="11"/>
  <c r="L911" i="11"/>
  <c r="U911" i="11"/>
  <c r="O982" i="11"/>
  <c r="S337" i="11"/>
  <c r="K337" i="11"/>
  <c r="R337" i="11"/>
  <c r="Q337" i="11"/>
  <c r="P337" i="11"/>
  <c r="O337" i="11"/>
  <c r="V337" i="11"/>
  <c r="N337" i="11"/>
  <c r="U337" i="11"/>
  <c r="M337" i="11"/>
  <c r="T337" i="11"/>
  <c r="L337" i="11"/>
  <c r="U719" i="11"/>
  <c r="M719" i="11"/>
  <c r="T719" i="11"/>
  <c r="L719" i="11"/>
  <c r="S719" i="11"/>
  <c r="K719" i="11"/>
  <c r="R719" i="11"/>
  <c r="X719" i="11" s="1"/>
  <c r="Q719" i="11"/>
  <c r="P719" i="11"/>
  <c r="O719" i="11"/>
  <c r="V719" i="11"/>
  <c r="N719" i="11"/>
  <c r="O42" i="11"/>
  <c r="V42" i="11"/>
  <c r="N42" i="11"/>
  <c r="U42" i="11"/>
  <c r="M42" i="11"/>
  <c r="T42" i="11"/>
  <c r="L42" i="11"/>
  <c r="S42" i="11"/>
  <c r="K42" i="11"/>
  <c r="R42" i="11"/>
  <c r="Q42" i="11"/>
  <c r="P42" i="11"/>
  <c r="V503" i="11"/>
  <c r="N503" i="11"/>
  <c r="U503" i="11"/>
  <c r="M503" i="11"/>
  <c r="T503" i="11"/>
  <c r="L503" i="11"/>
  <c r="S503" i="11"/>
  <c r="K503" i="11"/>
  <c r="R503" i="11"/>
  <c r="X503" i="11" s="1"/>
  <c r="Q503" i="11"/>
  <c r="P503" i="11"/>
  <c r="O503" i="11"/>
  <c r="V746" i="11"/>
  <c r="N746" i="11"/>
  <c r="P746" i="11"/>
  <c r="O746" i="11"/>
  <c r="M746" i="11"/>
  <c r="U746" i="11"/>
  <c r="L746" i="11"/>
  <c r="T746" i="11"/>
  <c r="K746" i="11"/>
  <c r="S746" i="11"/>
  <c r="R746" i="11"/>
  <c r="X746" i="11" s="1"/>
  <c r="Q746" i="11"/>
  <c r="O846" i="11"/>
  <c r="V846" i="11"/>
  <c r="N846" i="11"/>
  <c r="U846" i="11"/>
  <c r="Q846" i="11"/>
  <c r="P846" i="11"/>
  <c r="M846" i="11"/>
  <c r="L846" i="11"/>
  <c r="K846" i="11"/>
  <c r="T846" i="11"/>
  <c r="S846" i="11"/>
  <c r="R846" i="11"/>
  <c r="X846" i="11" s="1"/>
  <c r="Q813" i="11"/>
  <c r="P813" i="11"/>
  <c r="V813" i="11"/>
  <c r="N813" i="11"/>
  <c r="S813" i="11"/>
  <c r="K813" i="11"/>
  <c r="T813" i="11"/>
  <c r="R813" i="11"/>
  <c r="X813" i="11" s="1"/>
  <c r="O813" i="11"/>
  <c r="M813" i="11"/>
  <c r="L813" i="11"/>
  <c r="U813" i="11"/>
  <c r="V561" i="11"/>
  <c r="N561" i="11"/>
  <c r="R561" i="11"/>
  <c r="X561" i="11" s="1"/>
  <c r="T561" i="11"/>
  <c r="S561" i="11"/>
  <c r="Q561" i="11"/>
  <c r="P561" i="11"/>
  <c r="O561" i="11"/>
  <c r="M561" i="11"/>
  <c r="L561" i="11"/>
  <c r="U561" i="11"/>
  <c r="K561" i="11"/>
  <c r="S261" i="11"/>
  <c r="K261" i="11"/>
  <c r="R261" i="11"/>
  <c r="X261" i="11" s="1"/>
  <c r="Q261" i="11"/>
  <c r="P261" i="11"/>
  <c r="O261" i="11"/>
  <c r="V261" i="11"/>
  <c r="N261" i="11"/>
  <c r="U261" i="11"/>
  <c r="M261" i="11"/>
  <c r="T261" i="11"/>
  <c r="L261" i="11"/>
  <c r="S117" i="11"/>
  <c r="K117" i="11"/>
  <c r="R117" i="11"/>
  <c r="Q117" i="11"/>
  <c r="P117" i="11"/>
  <c r="O117" i="11"/>
  <c r="V117" i="11"/>
  <c r="N117" i="11"/>
  <c r="U117" i="11"/>
  <c r="M117" i="11"/>
  <c r="T117" i="11"/>
  <c r="L117" i="11"/>
  <c r="O98" i="11"/>
  <c r="V98" i="11"/>
  <c r="N98" i="11"/>
  <c r="U98" i="11"/>
  <c r="M98" i="11"/>
  <c r="T98" i="11"/>
  <c r="L98" i="11"/>
  <c r="S98" i="11"/>
  <c r="K98" i="11"/>
  <c r="R98" i="11"/>
  <c r="Q98" i="11"/>
  <c r="P98" i="11"/>
  <c r="P990" i="11"/>
  <c r="P1004" i="11"/>
  <c r="P986" i="11"/>
  <c r="P955" i="11"/>
  <c r="Q716" i="11"/>
  <c r="P716" i="11"/>
  <c r="O716" i="11"/>
  <c r="V716" i="11"/>
  <c r="N716" i="11"/>
  <c r="U716" i="11"/>
  <c r="M716" i="11"/>
  <c r="T716" i="11"/>
  <c r="L716" i="11"/>
  <c r="S716" i="11"/>
  <c r="K716" i="11"/>
  <c r="R716" i="11"/>
  <c r="X716" i="11" s="1"/>
  <c r="S968" i="11"/>
  <c r="K968" i="11"/>
  <c r="M968" i="11"/>
  <c r="U968" i="11"/>
  <c r="R968" i="11"/>
  <c r="X968" i="11" s="1"/>
  <c r="P968" i="11"/>
  <c r="Q722" i="11"/>
  <c r="P722" i="11"/>
  <c r="O722" i="11"/>
  <c r="V722" i="11"/>
  <c r="N722" i="11"/>
  <c r="U722" i="11"/>
  <c r="M722" i="11"/>
  <c r="T722" i="11"/>
  <c r="L722" i="11"/>
  <c r="S722" i="11"/>
  <c r="K722" i="11"/>
  <c r="R722" i="11"/>
  <c r="X722" i="11" s="1"/>
  <c r="P1002" i="11"/>
  <c r="P959" i="11"/>
  <c r="O959" i="11"/>
  <c r="L959" i="11"/>
  <c r="V959" i="11"/>
  <c r="K959" i="11"/>
  <c r="T959" i="11"/>
  <c r="S959" i="11"/>
  <c r="Q959" i="11"/>
  <c r="N959" i="11"/>
  <c r="P981" i="11"/>
  <c r="P994" i="11"/>
  <c r="O138" i="11"/>
  <c r="V138" i="11"/>
  <c r="N138" i="11"/>
  <c r="U138" i="11"/>
  <c r="M138" i="11"/>
  <c r="T138" i="11"/>
  <c r="L138" i="11"/>
  <c r="S138" i="11"/>
  <c r="K138" i="11"/>
  <c r="R138" i="11"/>
  <c r="X138" i="11" s="1"/>
  <c r="Q138" i="11"/>
  <c r="P138" i="11"/>
  <c r="S143" i="11"/>
  <c r="K143" i="11"/>
  <c r="R143" i="11"/>
  <c r="X143" i="11" s="1"/>
  <c r="Q143" i="11"/>
  <c r="P143" i="11"/>
  <c r="O143" i="11"/>
  <c r="V143" i="11"/>
  <c r="N143" i="11"/>
  <c r="U143" i="11"/>
  <c r="M143" i="11"/>
  <c r="T143" i="11"/>
  <c r="L143" i="11"/>
  <c r="O124" i="11"/>
  <c r="V124" i="11"/>
  <c r="N124" i="11"/>
  <c r="U124" i="11"/>
  <c r="M124" i="11"/>
  <c r="T124" i="11"/>
  <c r="L124" i="11"/>
  <c r="S124" i="11"/>
  <c r="K124" i="11"/>
  <c r="R124" i="11"/>
  <c r="X124" i="11" s="1"/>
  <c r="Q124" i="11"/>
  <c r="P124" i="11"/>
  <c r="S93" i="11"/>
  <c r="K93" i="11"/>
  <c r="R93" i="11"/>
  <c r="X93" i="11" s="1"/>
  <c r="Q93" i="11"/>
  <c r="P93" i="11"/>
  <c r="O93" i="11"/>
  <c r="V93" i="11"/>
  <c r="N93" i="11"/>
  <c r="U93" i="11"/>
  <c r="M93" i="11"/>
  <c r="T93" i="11"/>
  <c r="L93" i="11"/>
  <c r="R741" i="11"/>
  <c r="X741" i="11" s="1"/>
  <c r="U741" i="11"/>
  <c r="L741" i="11"/>
  <c r="T741" i="11"/>
  <c r="K741" i="11"/>
  <c r="S741" i="11"/>
  <c r="Q741" i="11"/>
  <c r="P741" i="11"/>
  <c r="O741" i="11"/>
  <c r="N741" i="11"/>
  <c r="V741" i="11"/>
  <c r="M741" i="11"/>
  <c r="P938" i="11"/>
  <c r="Q997" i="11"/>
  <c r="Q989" i="11"/>
  <c r="O906" i="11"/>
  <c r="T906" i="11"/>
  <c r="P906" i="11"/>
  <c r="N906" i="11"/>
  <c r="M906" i="11"/>
  <c r="V906" i="11"/>
  <c r="R906" i="11"/>
  <c r="X906" i="11" s="1"/>
  <c r="S906" i="11"/>
  <c r="Q906" i="11"/>
  <c r="L906" i="11"/>
  <c r="K906" i="11"/>
  <c r="U906" i="11"/>
  <c r="Q1001" i="11"/>
  <c r="O336" i="11"/>
  <c r="V336" i="11"/>
  <c r="N336" i="11"/>
  <c r="U336" i="11"/>
  <c r="M336" i="11"/>
  <c r="T336" i="11"/>
  <c r="L336" i="11"/>
  <c r="S336" i="11"/>
  <c r="K336" i="11"/>
  <c r="R336" i="11"/>
  <c r="X336" i="11" s="1"/>
  <c r="Q336" i="11"/>
  <c r="P336" i="11"/>
  <c r="Q968" i="11"/>
  <c r="O973" i="11"/>
  <c r="N973" i="11"/>
  <c r="V973" i="11"/>
  <c r="L973" i="11"/>
  <c r="T973" i="11"/>
  <c r="Q973" i="11"/>
  <c r="R476" i="11"/>
  <c r="X476" i="11" s="1"/>
  <c r="Q476" i="11"/>
  <c r="P476" i="11"/>
  <c r="O476" i="11"/>
  <c r="V476" i="11"/>
  <c r="N476" i="11"/>
  <c r="U476" i="11"/>
  <c r="M476" i="11"/>
  <c r="T476" i="11"/>
  <c r="L476" i="11"/>
  <c r="S476" i="11"/>
  <c r="K476" i="11"/>
  <c r="O666" i="11"/>
  <c r="V666" i="11"/>
  <c r="N666" i="11"/>
  <c r="U666" i="11"/>
  <c r="M666" i="11"/>
  <c r="T666" i="11"/>
  <c r="L666" i="11"/>
  <c r="S666" i="11"/>
  <c r="K666" i="11"/>
  <c r="R666" i="11"/>
  <c r="X666" i="11" s="1"/>
  <c r="Q666" i="11"/>
  <c r="P666" i="11"/>
  <c r="Q964" i="11"/>
  <c r="M802" i="11"/>
  <c r="R992" i="11"/>
  <c r="X992" i="11" s="1"/>
  <c r="Q991" i="11"/>
  <c r="Q981" i="11"/>
  <c r="Q987" i="11"/>
  <c r="Q995" i="11"/>
  <c r="Q985" i="11"/>
  <c r="O128" i="11"/>
  <c r="V128" i="11"/>
  <c r="N128" i="11"/>
  <c r="U128" i="11"/>
  <c r="M128" i="11"/>
  <c r="T128" i="11"/>
  <c r="L128" i="11"/>
  <c r="S128" i="11"/>
  <c r="K128" i="11"/>
  <c r="R128" i="11"/>
  <c r="X128" i="11" s="1"/>
  <c r="Q128" i="11"/>
  <c r="P128" i="11"/>
  <c r="R885" i="11"/>
  <c r="X885" i="11" s="1"/>
  <c r="Q885" i="11"/>
  <c r="P885" i="11"/>
  <c r="O885" i="11"/>
  <c r="V885" i="11"/>
  <c r="N885" i="11"/>
  <c r="U885" i="11"/>
  <c r="M885" i="11"/>
  <c r="T885" i="11"/>
  <c r="L885" i="11"/>
  <c r="S885" i="11"/>
  <c r="K885" i="11"/>
  <c r="Q695" i="11"/>
  <c r="V695" i="11"/>
  <c r="M695" i="11"/>
  <c r="U695" i="11"/>
  <c r="L695" i="11"/>
  <c r="T695" i="11"/>
  <c r="K695" i="11"/>
  <c r="S695" i="11"/>
  <c r="R695" i="11"/>
  <c r="X695" i="11" s="1"/>
  <c r="P695" i="11"/>
  <c r="O695" i="11"/>
  <c r="N695" i="11"/>
  <c r="O352" i="11"/>
  <c r="V352" i="11"/>
  <c r="N352" i="11"/>
  <c r="U352" i="11"/>
  <c r="M352" i="11"/>
  <c r="T352" i="11"/>
  <c r="L352" i="11"/>
  <c r="S352" i="11"/>
  <c r="K352" i="11"/>
  <c r="R352" i="11"/>
  <c r="X352" i="11" s="1"/>
  <c r="Q352" i="11"/>
  <c r="P352" i="11"/>
  <c r="P888" i="11"/>
  <c r="Q888" i="11"/>
  <c r="N888" i="11"/>
  <c r="L888" i="11"/>
  <c r="K888" i="11"/>
  <c r="V888" i="11"/>
  <c r="T888" i="11"/>
  <c r="S888" i="11"/>
  <c r="R888" i="11"/>
  <c r="X888" i="11" s="1"/>
  <c r="Q978" i="11"/>
  <c r="P978" i="11"/>
  <c r="R978" i="11"/>
  <c r="X978" i="11" s="1"/>
  <c r="N978" i="11"/>
  <c r="K978" i="11"/>
  <c r="V978" i="11"/>
  <c r="Q921" i="11"/>
  <c r="V921" i="11"/>
  <c r="N921" i="11"/>
  <c r="S921" i="11"/>
  <c r="K921" i="11"/>
  <c r="P921" i="11"/>
  <c r="O921" i="11"/>
  <c r="M921" i="11"/>
  <c r="L921" i="11"/>
  <c r="U921" i="11"/>
  <c r="T921" i="11"/>
  <c r="R921" i="11"/>
  <c r="S273" i="11"/>
  <c r="K273" i="11"/>
  <c r="R273" i="11"/>
  <c r="X273" i="11" s="1"/>
  <c r="Q273" i="11"/>
  <c r="P273" i="11"/>
  <c r="O273" i="11"/>
  <c r="V273" i="11"/>
  <c r="N273" i="11"/>
  <c r="U273" i="11"/>
  <c r="M273" i="11"/>
  <c r="T273" i="11"/>
  <c r="L273" i="11"/>
  <c r="T767" i="11"/>
  <c r="L767" i="11"/>
  <c r="S767" i="11"/>
  <c r="K767" i="11"/>
  <c r="R767" i="11"/>
  <c r="X767" i="11" s="1"/>
  <c r="Q767" i="11"/>
  <c r="P767" i="11"/>
  <c r="O767" i="11"/>
  <c r="V767" i="11"/>
  <c r="N767" i="11"/>
  <c r="U767" i="11"/>
  <c r="M767" i="11"/>
  <c r="V882" i="11"/>
  <c r="N882" i="11"/>
  <c r="U882" i="11"/>
  <c r="M882" i="11"/>
  <c r="T882" i="11"/>
  <c r="L882" i="11"/>
  <c r="S882" i="11"/>
  <c r="K882" i="11"/>
  <c r="R882" i="11"/>
  <c r="X882" i="11" s="1"/>
  <c r="Q882" i="11"/>
  <c r="P882" i="11"/>
  <c r="O882" i="11"/>
  <c r="T842" i="11"/>
  <c r="L842" i="11"/>
  <c r="N842" i="11"/>
  <c r="V842" i="11"/>
  <c r="M842" i="11"/>
  <c r="U842" i="11"/>
  <c r="K842" i="11"/>
  <c r="S842" i="11"/>
  <c r="R842" i="11"/>
  <c r="X842" i="11" s="1"/>
  <c r="Q842" i="11"/>
  <c r="P842" i="11"/>
  <c r="O842" i="11"/>
  <c r="S97" i="11"/>
  <c r="K97" i="11"/>
  <c r="R97" i="11"/>
  <c r="X97" i="11" s="1"/>
  <c r="Q97" i="11"/>
  <c r="P97" i="11"/>
  <c r="O97" i="11"/>
  <c r="V97" i="11"/>
  <c r="N97" i="11"/>
  <c r="U97" i="11"/>
  <c r="M97" i="11"/>
  <c r="T97" i="11"/>
  <c r="L97" i="11"/>
  <c r="R986" i="11"/>
  <c r="X986" i="11" s="1"/>
  <c r="R955" i="11"/>
  <c r="X955" i="11" s="1"/>
  <c r="M860" i="11"/>
  <c r="U836" i="11"/>
  <c r="S963" i="11"/>
  <c r="O802" i="11"/>
  <c r="K943" i="11"/>
  <c r="U946" i="11"/>
  <c r="Q891" i="11"/>
  <c r="U798" i="11"/>
  <c r="O844" i="11"/>
  <c r="O860" i="11"/>
  <c r="S909" i="11"/>
  <c r="R1000" i="11"/>
  <c r="X1000" i="11" s="1"/>
  <c r="S353" i="11"/>
  <c r="K353" i="11"/>
  <c r="R353" i="11"/>
  <c r="X353" i="11" s="1"/>
  <c r="Q353" i="11"/>
  <c r="P353" i="11"/>
  <c r="O353" i="11"/>
  <c r="V353" i="11"/>
  <c r="N353" i="11"/>
  <c r="U353" i="11"/>
  <c r="M353" i="11"/>
  <c r="T353" i="11"/>
  <c r="L353" i="11"/>
  <c r="R801" i="11"/>
  <c r="X801" i="11" s="1"/>
  <c r="Q801" i="11"/>
  <c r="P801" i="11"/>
  <c r="O801" i="11"/>
  <c r="N801" i="11"/>
  <c r="V801" i="11"/>
  <c r="M801" i="11"/>
  <c r="U801" i="11"/>
  <c r="L801" i="11"/>
  <c r="T801" i="11"/>
  <c r="K801" i="11"/>
  <c r="S801" i="11"/>
  <c r="O360" i="11"/>
  <c r="V360" i="11"/>
  <c r="N360" i="11"/>
  <c r="U360" i="11"/>
  <c r="M360" i="11"/>
  <c r="T360" i="11"/>
  <c r="L360" i="11"/>
  <c r="S360" i="11"/>
  <c r="K360" i="11"/>
  <c r="R360" i="11"/>
  <c r="X360" i="11" s="1"/>
  <c r="Q360" i="11"/>
  <c r="P360" i="11"/>
  <c r="V836" i="11"/>
  <c r="K836" i="11"/>
  <c r="T836" i="11"/>
  <c r="S836" i="11"/>
  <c r="R836" i="11"/>
  <c r="Q836" i="11"/>
  <c r="P836" i="11"/>
  <c r="N836" i="11"/>
  <c r="L836" i="11"/>
  <c r="S259" i="11"/>
  <c r="K259" i="11"/>
  <c r="R259" i="11"/>
  <c r="X259" i="11" s="1"/>
  <c r="Q259" i="11"/>
  <c r="P259" i="11"/>
  <c r="O259" i="11"/>
  <c r="V259" i="11"/>
  <c r="N259" i="11"/>
  <c r="U259" i="11"/>
  <c r="M259" i="11"/>
  <c r="T259" i="11"/>
  <c r="L259" i="11"/>
  <c r="Q697" i="11"/>
  <c r="P697" i="11"/>
  <c r="O697" i="11"/>
  <c r="N697" i="11"/>
  <c r="V697" i="11"/>
  <c r="M697" i="11"/>
  <c r="U697" i="11"/>
  <c r="L697" i="11"/>
  <c r="T697" i="11"/>
  <c r="K697" i="11"/>
  <c r="S697" i="11"/>
  <c r="R697" i="11"/>
  <c r="X697" i="11" s="1"/>
  <c r="S315" i="11"/>
  <c r="K315" i="11"/>
  <c r="R315" i="11"/>
  <c r="X315" i="11" s="1"/>
  <c r="Q315" i="11"/>
  <c r="P315" i="11"/>
  <c r="O315" i="11"/>
  <c r="V315" i="11"/>
  <c r="N315" i="11"/>
  <c r="T315" i="11"/>
  <c r="L315" i="11"/>
  <c r="U315" i="11"/>
  <c r="M315" i="11"/>
  <c r="S786" i="11"/>
  <c r="K786" i="11"/>
  <c r="R786" i="11"/>
  <c r="X786" i="11" s="1"/>
  <c r="Q786" i="11"/>
  <c r="P786" i="11"/>
  <c r="O786" i="11"/>
  <c r="V786" i="11"/>
  <c r="N786" i="11"/>
  <c r="U786" i="11"/>
  <c r="M786" i="11"/>
  <c r="L786" i="11"/>
  <c r="T786" i="11"/>
  <c r="O414" i="11"/>
  <c r="V414" i="11"/>
  <c r="N414" i="11"/>
  <c r="U414" i="11"/>
  <c r="M414" i="11"/>
  <c r="T414" i="11"/>
  <c r="L414" i="11"/>
  <c r="S414" i="11"/>
  <c r="K414" i="11"/>
  <c r="R414" i="11"/>
  <c r="X414" i="11" s="1"/>
  <c r="Q414" i="11"/>
  <c r="P414" i="11"/>
  <c r="Q806" i="11"/>
  <c r="O806" i="11"/>
  <c r="N806" i="11"/>
  <c r="V806" i="11"/>
  <c r="M806" i="11"/>
  <c r="U806" i="11"/>
  <c r="L806" i="11"/>
  <c r="T806" i="11"/>
  <c r="K806" i="11"/>
  <c r="S806" i="11"/>
  <c r="R806" i="11"/>
  <c r="X806" i="11" s="1"/>
  <c r="P806" i="11"/>
  <c r="P772" i="11"/>
  <c r="O772" i="11"/>
  <c r="V772" i="11"/>
  <c r="N772" i="11"/>
  <c r="U772" i="11"/>
  <c r="M772" i="11"/>
  <c r="T772" i="11"/>
  <c r="L772" i="11"/>
  <c r="S772" i="11"/>
  <c r="K772" i="11"/>
  <c r="R772" i="11"/>
  <c r="X772" i="11" s="1"/>
  <c r="Q772" i="11"/>
  <c r="S159" i="11"/>
  <c r="K159" i="11"/>
  <c r="R159" i="11"/>
  <c r="X159" i="11" s="1"/>
  <c r="Q159" i="11"/>
  <c r="P159" i="11"/>
  <c r="O159" i="11"/>
  <c r="V159" i="11"/>
  <c r="N159" i="11"/>
  <c r="U159" i="11"/>
  <c r="M159" i="11"/>
  <c r="T159" i="11"/>
  <c r="L159" i="11"/>
  <c r="O398" i="11"/>
  <c r="V398" i="11"/>
  <c r="N398" i="11"/>
  <c r="U398" i="11"/>
  <c r="M398" i="11"/>
  <c r="T398" i="11"/>
  <c r="L398" i="11"/>
  <c r="S398" i="11"/>
  <c r="K398" i="11"/>
  <c r="R398" i="11"/>
  <c r="X398" i="11" s="1"/>
  <c r="Q398" i="11"/>
  <c r="P398" i="11"/>
  <c r="V13" i="11"/>
  <c r="N13" i="11"/>
  <c r="U13" i="11"/>
  <c r="L13" i="11"/>
  <c r="T13" i="11"/>
  <c r="K13" i="11"/>
  <c r="S13" i="11"/>
  <c r="R13" i="11"/>
  <c r="X13" i="11" s="1"/>
  <c r="Q13" i="11"/>
  <c r="P13" i="11"/>
  <c r="O13" i="11"/>
  <c r="M13" i="11"/>
  <c r="S333" i="11"/>
  <c r="K333" i="11"/>
  <c r="R333" i="11"/>
  <c r="X333" i="11" s="1"/>
  <c r="Q333" i="11"/>
  <c r="P333" i="11"/>
  <c r="O333" i="11"/>
  <c r="V333" i="11"/>
  <c r="N333" i="11"/>
  <c r="U333" i="11"/>
  <c r="M333" i="11"/>
  <c r="T333" i="11"/>
  <c r="L333" i="11"/>
  <c r="O186" i="11"/>
  <c r="V186" i="11"/>
  <c r="N186" i="11"/>
  <c r="U186" i="11"/>
  <c r="M186" i="11"/>
  <c r="T186" i="11"/>
  <c r="L186" i="11"/>
  <c r="S186" i="11"/>
  <c r="K186" i="11"/>
  <c r="R186" i="11"/>
  <c r="X186" i="11" s="1"/>
  <c r="Q186" i="11"/>
  <c r="P186" i="11"/>
  <c r="S403" i="11"/>
  <c r="K403" i="11"/>
  <c r="R403" i="11"/>
  <c r="X403" i="11" s="1"/>
  <c r="Q403" i="11"/>
  <c r="P403" i="11"/>
  <c r="O403" i="11"/>
  <c r="V403" i="11"/>
  <c r="N403" i="11"/>
  <c r="U403" i="11"/>
  <c r="M403" i="11"/>
  <c r="T403" i="11"/>
  <c r="L403" i="11"/>
  <c r="R496" i="11"/>
  <c r="X496" i="11" s="1"/>
  <c r="Q496" i="11"/>
  <c r="P496" i="11"/>
  <c r="O496" i="11"/>
  <c r="V496" i="11"/>
  <c r="N496" i="11"/>
  <c r="U496" i="11"/>
  <c r="M496" i="11"/>
  <c r="T496" i="11"/>
  <c r="L496" i="11"/>
  <c r="K496" i="11"/>
  <c r="S496" i="11"/>
  <c r="T769" i="11"/>
  <c r="L769" i="11"/>
  <c r="S769" i="11"/>
  <c r="K769" i="11"/>
  <c r="R769" i="11"/>
  <c r="X769" i="11" s="1"/>
  <c r="Q769" i="11"/>
  <c r="P769" i="11"/>
  <c r="O769" i="11"/>
  <c r="V769" i="11"/>
  <c r="N769" i="11"/>
  <c r="U769" i="11"/>
  <c r="M769" i="11"/>
  <c r="S19" i="11"/>
  <c r="K19" i="11"/>
  <c r="O19" i="11"/>
  <c r="V19" i="11"/>
  <c r="N19" i="11"/>
  <c r="T19" i="11"/>
  <c r="L19" i="11"/>
  <c r="U19" i="11"/>
  <c r="R19" i="11"/>
  <c r="Q19" i="11"/>
  <c r="P19" i="11"/>
  <c r="M19" i="11"/>
  <c r="O348" i="11"/>
  <c r="V348" i="11"/>
  <c r="N348" i="11"/>
  <c r="U348" i="11"/>
  <c r="M348" i="11"/>
  <c r="T348" i="11"/>
  <c r="L348" i="11"/>
  <c r="S348" i="11"/>
  <c r="K348" i="11"/>
  <c r="R348" i="11"/>
  <c r="X348" i="11" s="1"/>
  <c r="Q348" i="11"/>
  <c r="P348" i="11"/>
  <c r="R508" i="11"/>
  <c r="X508" i="11" s="1"/>
  <c r="Q508" i="11"/>
  <c r="P508" i="11"/>
  <c r="O508" i="11"/>
  <c r="V508" i="11"/>
  <c r="N508" i="11"/>
  <c r="U508" i="11"/>
  <c r="M508" i="11"/>
  <c r="T508" i="11"/>
  <c r="L508" i="11"/>
  <c r="S508" i="11"/>
  <c r="K508" i="11"/>
  <c r="S622" i="11"/>
  <c r="K622" i="11"/>
  <c r="R622" i="11"/>
  <c r="Q622" i="11"/>
  <c r="P622" i="11"/>
  <c r="O622" i="11"/>
  <c r="V622" i="11"/>
  <c r="N622" i="11"/>
  <c r="U622" i="11"/>
  <c r="M622" i="11"/>
  <c r="T622" i="11"/>
  <c r="L622" i="11"/>
  <c r="O204" i="11"/>
  <c r="V204" i="11"/>
  <c r="N204" i="11"/>
  <c r="U204" i="11"/>
  <c r="M204" i="11"/>
  <c r="T204" i="11"/>
  <c r="L204" i="11"/>
  <c r="S204" i="11"/>
  <c r="K204" i="11"/>
  <c r="R204" i="11"/>
  <c r="X204" i="11" s="1"/>
  <c r="Q204" i="11"/>
  <c r="P204" i="11"/>
  <c r="S574" i="11"/>
  <c r="K574" i="11"/>
  <c r="R574" i="11"/>
  <c r="X574" i="11" s="1"/>
  <c r="Q574" i="11"/>
  <c r="O574" i="11"/>
  <c r="V574" i="11"/>
  <c r="N574" i="11"/>
  <c r="U574" i="11"/>
  <c r="M574" i="11"/>
  <c r="T574" i="11"/>
  <c r="L574" i="11"/>
  <c r="P574" i="11"/>
  <c r="O64" i="11"/>
  <c r="V64" i="11"/>
  <c r="N64" i="11"/>
  <c r="U64" i="11"/>
  <c r="M64" i="11"/>
  <c r="T64" i="11"/>
  <c r="L64" i="11"/>
  <c r="S64" i="11"/>
  <c r="K64" i="11"/>
  <c r="R64" i="11"/>
  <c r="X64" i="11" s="1"/>
  <c r="Q64" i="11"/>
  <c r="P64" i="11"/>
  <c r="S572" i="11"/>
  <c r="K572" i="11"/>
  <c r="R572" i="11"/>
  <c r="X572" i="11" s="1"/>
  <c r="Q572" i="11"/>
  <c r="O572" i="11"/>
  <c r="V572" i="11"/>
  <c r="N572" i="11"/>
  <c r="U572" i="11"/>
  <c r="M572" i="11"/>
  <c r="T572" i="11"/>
  <c r="L572" i="11"/>
  <c r="P572" i="11"/>
  <c r="U694" i="11"/>
  <c r="M694" i="11"/>
  <c r="P694" i="11"/>
  <c r="O694" i="11"/>
  <c r="N694" i="11"/>
  <c r="V694" i="11"/>
  <c r="L694" i="11"/>
  <c r="T694" i="11"/>
  <c r="K694" i="11"/>
  <c r="S694" i="11"/>
  <c r="R694" i="11"/>
  <c r="X694" i="11" s="1"/>
  <c r="Q694" i="11"/>
  <c r="U735" i="11"/>
  <c r="M735" i="11"/>
  <c r="T735" i="11"/>
  <c r="L735" i="11"/>
  <c r="S735" i="11"/>
  <c r="K735" i="11"/>
  <c r="R735" i="11"/>
  <c r="Q735" i="11"/>
  <c r="P735" i="11"/>
  <c r="O735" i="11"/>
  <c r="V735" i="11"/>
  <c r="N735" i="11"/>
  <c r="S629" i="11"/>
  <c r="K629" i="11"/>
  <c r="R629" i="11"/>
  <c r="Q629" i="11"/>
  <c r="O629" i="11"/>
  <c r="V629" i="11"/>
  <c r="N629" i="11"/>
  <c r="U629" i="11"/>
  <c r="M629" i="11"/>
  <c r="T629" i="11"/>
  <c r="L629" i="11"/>
  <c r="P629" i="11"/>
  <c r="O334" i="11"/>
  <c r="V334" i="11"/>
  <c r="N334" i="11"/>
  <c r="U334" i="11"/>
  <c r="M334" i="11"/>
  <c r="T334" i="11"/>
  <c r="L334" i="11"/>
  <c r="S334" i="11"/>
  <c r="K334" i="11"/>
  <c r="R334" i="11"/>
  <c r="X334" i="11" s="1"/>
  <c r="Q334" i="11"/>
  <c r="P334" i="11"/>
  <c r="O410" i="11"/>
  <c r="V410" i="11"/>
  <c r="N410" i="11"/>
  <c r="U410" i="11"/>
  <c r="M410" i="11"/>
  <c r="T410" i="11"/>
  <c r="L410" i="11"/>
  <c r="S410" i="11"/>
  <c r="K410" i="11"/>
  <c r="R410" i="11"/>
  <c r="X410" i="11" s="1"/>
  <c r="Q410" i="11"/>
  <c r="P410" i="11"/>
  <c r="S141" i="11"/>
  <c r="K141" i="11"/>
  <c r="R141" i="11"/>
  <c r="X141" i="11" s="1"/>
  <c r="Q141" i="11"/>
  <c r="P141" i="11"/>
  <c r="O141" i="11"/>
  <c r="V141" i="11"/>
  <c r="N141" i="11"/>
  <c r="U141" i="11"/>
  <c r="M141" i="11"/>
  <c r="T141" i="11"/>
  <c r="L141" i="11"/>
  <c r="U727" i="11"/>
  <c r="M727" i="11"/>
  <c r="T727" i="11"/>
  <c r="L727" i="11"/>
  <c r="S727" i="11"/>
  <c r="K727" i="11"/>
  <c r="R727" i="11"/>
  <c r="X727" i="11" s="1"/>
  <c r="Q727" i="11"/>
  <c r="P727" i="11"/>
  <c r="O727" i="11"/>
  <c r="V727" i="11"/>
  <c r="N727" i="11"/>
  <c r="O106" i="11"/>
  <c r="V106" i="11"/>
  <c r="N106" i="11"/>
  <c r="U106" i="11"/>
  <c r="M106" i="11"/>
  <c r="T106" i="11"/>
  <c r="L106" i="11"/>
  <c r="S106" i="11"/>
  <c r="K106" i="11"/>
  <c r="R106" i="11"/>
  <c r="X106" i="11" s="1"/>
  <c r="Q106" i="11"/>
  <c r="P106" i="11"/>
  <c r="R782" i="11"/>
  <c r="X782" i="11" s="1"/>
  <c r="Q782" i="11"/>
  <c r="P782" i="11"/>
  <c r="O782" i="11"/>
  <c r="V782" i="11"/>
  <c r="N782" i="11"/>
  <c r="U782" i="11"/>
  <c r="M782" i="11"/>
  <c r="T782" i="11"/>
  <c r="L782" i="11"/>
  <c r="S782" i="11"/>
  <c r="K782" i="11"/>
  <c r="S614" i="11"/>
  <c r="K614" i="11"/>
  <c r="R614" i="11"/>
  <c r="X614" i="11" s="1"/>
  <c r="Q614" i="11"/>
  <c r="P614" i="11"/>
  <c r="O614" i="11"/>
  <c r="V614" i="11"/>
  <c r="N614" i="11"/>
  <c r="U614" i="11"/>
  <c r="M614" i="11"/>
  <c r="T614" i="11"/>
  <c r="L614" i="11"/>
  <c r="O404" i="11"/>
  <c r="V404" i="11"/>
  <c r="N404" i="11"/>
  <c r="U404" i="11"/>
  <c r="M404" i="11"/>
  <c r="T404" i="11"/>
  <c r="L404" i="11"/>
  <c r="S404" i="11"/>
  <c r="K404" i="11"/>
  <c r="R404" i="11"/>
  <c r="X404" i="11" s="1"/>
  <c r="Q404" i="11"/>
  <c r="P404" i="11"/>
  <c r="O332" i="11"/>
  <c r="V332" i="11"/>
  <c r="N332" i="11"/>
  <c r="U332" i="11"/>
  <c r="M332" i="11"/>
  <c r="T332" i="11"/>
  <c r="L332" i="11"/>
  <c r="S332" i="11"/>
  <c r="K332" i="11"/>
  <c r="R332" i="11"/>
  <c r="X332" i="11" s="1"/>
  <c r="Q332" i="11"/>
  <c r="P332" i="11"/>
  <c r="O607" i="11"/>
  <c r="V607" i="11"/>
  <c r="N607" i="11"/>
  <c r="U607" i="11"/>
  <c r="M607" i="11"/>
  <c r="T607" i="11"/>
  <c r="L607" i="11"/>
  <c r="S607" i="11"/>
  <c r="K607" i="11"/>
  <c r="R607" i="11"/>
  <c r="X607" i="11" s="1"/>
  <c r="Q607" i="11"/>
  <c r="P607" i="11"/>
  <c r="Q424" i="11"/>
  <c r="O424" i="11"/>
  <c r="V424" i="11"/>
  <c r="N424" i="11"/>
  <c r="U424" i="11"/>
  <c r="M424" i="11"/>
  <c r="T424" i="11"/>
  <c r="L424" i="11"/>
  <c r="S424" i="11"/>
  <c r="R424" i="11"/>
  <c r="X424" i="11" s="1"/>
  <c r="P424" i="11"/>
  <c r="K424" i="11"/>
  <c r="O579" i="11"/>
  <c r="V579" i="11"/>
  <c r="N579" i="11"/>
  <c r="U579" i="11"/>
  <c r="M579" i="11"/>
  <c r="S579" i="11"/>
  <c r="K579" i="11"/>
  <c r="R579" i="11"/>
  <c r="X579" i="11" s="1"/>
  <c r="Q579" i="11"/>
  <c r="P579" i="11"/>
  <c r="T579" i="11"/>
  <c r="L579" i="11"/>
  <c r="S171" i="11"/>
  <c r="K171" i="11"/>
  <c r="R171" i="11"/>
  <c r="X171" i="11" s="1"/>
  <c r="Q171" i="11"/>
  <c r="P171" i="11"/>
  <c r="O171" i="11"/>
  <c r="V171" i="11"/>
  <c r="N171" i="11"/>
  <c r="U171" i="11"/>
  <c r="M171" i="11"/>
  <c r="T171" i="11"/>
  <c r="L171" i="11"/>
  <c r="O330" i="11"/>
  <c r="V330" i="11"/>
  <c r="N330" i="11"/>
  <c r="U330" i="11"/>
  <c r="M330" i="11"/>
  <c r="T330" i="11"/>
  <c r="L330" i="11"/>
  <c r="S330" i="11"/>
  <c r="K330" i="11"/>
  <c r="R330" i="11"/>
  <c r="X330" i="11" s="1"/>
  <c r="Q330" i="11"/>
  <c r="P330" i="11"/>
  <c r="V886" i="11"/>
  <c r="N886" i="11"/>
  <c r="U886" i="11"/>
  <c r="M886" i="11"/>
  <c r="T886" i="11"/>
  <c r="L886" i="11"/>
  <c r="S886" i="11"/>
  <c r="K886" i="11"/>
  <c r="R886" i="11"/>
  <c r="X886" i="11" s="1"/>
  <c r="Q886" i="11"/>
  <c r="P886" i="11"/>
  <c r="O886" i="11"/>
  <c r="S389" i="11"/>
  <c r="K389" i="11"/>
  <c r="R389" i="11"/>
  <c r="Q389" i="11"/>
  <c r="P389" i="11"/>
  <c r="O389" i="11"/>
  <c r="V389" i="11"/>
  <c r="N389" i="11"/>
  <c r="U389" i="11"/>
  <c r="M389" i="11"/>
  <c r="T389" i="11"/>
  <c r="L389" i="11"/>
  <c r="O126" i="11"/>
  <c r="V126" i="11"/>
  <c r="N126" i="11"/>
  <c r="U126" i="11"/>
  <c r="M126" i="11"/>
  <c r="T126" i="11"/>
  <c r="L126" i="11"/>
  <c r="S126" i="11"/>
  <c r="K126" i="11"/>
  <c r="R126" i="11"/>
  <c r="X126" i="11" s="1"/>
  <c r="Q126" i="11"/>
  <c r="P126" i="11"/>
  <c r="R524" i="11"/>
  <c r="X524" i="11" s="1"/>
  <c r="Q524" i="11"/>
  <c r="P524" i="11"/>
  <c r="O524" i="11"/>
  <c r="V524" i="11"/>
  <c r="N524" i="11"/>
  <c r="U524" i="11"/>
  <c r="M524" i="11"/>
  <c r="T524" i="11"/>
  <c r="L524" i="11"/>
  <c r="S524" i="11"/>
  <c r="K524" i="11"/>
  <c r="N924" i="11"/>
  <c r="T924" i="11"/>
  <c r="Q924" i="11"/>
  <c r="V924" i="11"/>
  <c r="S924" i="11"/>
  <c r="R924" i="11"/>
  <c r="P924" i="11"/>
  <c r="L924" i="11"/>
  <c r="K924" i="11"/>
  <c r="R506" i="11"/>
  <c r="X506" i="11" s="1"/>
  <c r="Q506" i="11"/>
  <c r="P506" i="11"/>
  <c r="O506" i="11"/>
  <c r="V506" i="11"/>
  <c r="N506" i="11"/>
  <c r="U506" i="11"/>
  <c r="M506" i="11"/>
  <c r="T506" i="11"/>
  <c r="L506" i="11"/>
  <c r="S506" i="11"/>
  <c r="K506" i="11"/>
  <c r="R549" i="11"/>
  <c r="X549" i="11" s="1"/>
  <c r="T549" i="11"/>
  <c r="K549" i="11"/>
  <c r="S549" i="11"/>
  <c r="Q549" i="11"/>
  <c r="P549" i="11"/>
  <c r="O549" i="11"/>
  <c r="N549" i="11"/>
  <c r="V549" i="11"/>
  <c r="M549" i="11"/>
  <c r="U549" i="11"/>
  <c r="L549" i="11"/>
  <c r="T998" i="11"/>
  <c r="L998" i="11"/>
  <c r="V998" i="11"/>
  <c r="S998" i="11"/>
  <c r="Q998" i="11"/>
  <c r="N998" i="11"/>
  <c r="K998" i="11"/>
  <c r="O316" i="11"/>
  <c r="V316" i="11"/>
  <c r="N316" i="11"/>
  <c r="U316" i="11"/>
  <c r="M316" i="11"/>
  <c r="T316" i="11"/>
  <c r="L316" i="11"/>
  <c r="S316" i="11"/>
  <c r="K316" i="11"/>
  <c r="R316" i="11"/>
  <c r="X316" i="11" s="1"/>
  <c r="P316" i="11"/>
  <c r="Q316" i="11"/>
  <c r="O565" i="11"/>
  <c r="V565" i="11"/>
  <c r="N565" i="11"/>
  <c r="U565" i="11"/>
  <c r="M565" i="11"/>
  <c r="S565" i="11"/>
  <c r="K565" i="11"/>
  <c r="R565" i="11"/>
  <c r="P565" i="11"/>
  <c r="T565" i="11"/>
  <c r="Q565" i="11"/>
  <c r="L565" i="11"/>
  <c r="P840" i="11"/>
  <c r="N840" i="11"/>
  <c r="L840" i="11"/>
  <c r="V840" i="11"/>
  <c r="K840" i="11"/>
  <c r="T840" i="11"/>
  <c r="S840" i="11"/>
  <c r="R840" i="11"/>
  <c r="X840" i="11" s="1"/>
  <c r="Q840" i="11"/>
  <c r="O120" i="11"/>
  <c r="V120" i="11"/>
  <c r="N120" i="11"/>
  <c r="U120" i="11"/>
  <c r="M120" i="11"/>
  <c r="T120" i="11"/>
  <c r="L120" i="11"/>
  <c r="S120" i="11"/>
  <c r="K120" i="11"/>
  <c r="R120" i="11"/>
  <c r="X120" i="11" s="1"/>
  <c r="Q120" i="11"/>
  <c r="P120" i="11"/>
  <c r="P862" i="11"/>
  <c r="O862" i="11"/>
  <c r="V862" i="11"/>
  <c r="N862" i="11"/>
  <c r="U862" i="11"/>
  <c r="M862" i="11"/>
  <c r="T862" i="11"/>
  <c r="L862" i="11"/>
  <c r="S862" i="11"/>
  <c r="K862" i="11"/>
  <c r="R862" i="11"/>
  <c r="X862" i="11" s="1"/>
  <c r="Q862" i="11"/>
  <c r="S673" i="11"/>
  <c r="K673" i="11"/>
  <c r="R673" i="11"/>
  <c r="X673" i="11" s="1"/>
  <c r="Q673" i="11"/>
  <c r="P673" i="11"/>
  <c r="O673" i="11"/>
  <c r="V673" i="11"/>
  <c r="N673" i="11"/>
  <c r="U673" i="11"/>
  <c r="M673" i="11"/>
  <c r="T673" i="11"/>
  <c r="L673" i="11"/>
  <c r="O344" i="11"/>
  <c r="V344" i="11"/>
  <c r="N344" i="11"/>
  <c r="U344" i="11"/>
  <c r="M344" i="11"/>
  <c r="T344" i="11"/>
  <c r="L344" i="11"/>
  <c r="S344" i="11"/>
  <c r="K344" i="11"/>
  <c r="R344" i="11"/>
  <c r="X344" i="11" s="1"/>
  <c r="Q344" i="11"/>
  <c r="P344" i="11"/>
  <c r="S335" i="11"/>
  <c r="K335" i="11"/>
  <c r="R335" i="11"/>
  <c r="X335" i="11" s="1"/>
  <c r="Q335" i="11"/>
  <c r="P335" i="11"/>
  <c r="O335" i="11"/>
  <c r="V335" i="11"/>
  <c r="N335" i="11"/>
  <c r="U335" i="11"/>
  <c r="M335" i="11"/>
  <c r="T335" i="11"/>
  <c r="L335" i="11"/>
  <c r="K995" i="11"/>
  <c r="P995" i="11"/>
  <c r="R995" i="11"/>
  <c r="X995" i="11" s="1"/>
  <c r="O995" i="11"/>
  <c r="M995" i="11"/>
  <c r="U995" i="11"/>
  <c r="V742" i="11"/>
  <c r="N742" i="11"/>
  <c r="R742" i="11"/>
  <c r="X742" i="11" s="1"/>
  <c r="Q742" i="11"/>
  <c r="P742" i="11"/>
  <c r="O742" i="11"/>
  <c r="M742" i="11"/>
  <c r="U742" i="11"/>
  <c r="L742" i="11"/>
  <c r="T742" i="11"/>
  <c r="K742" i="11"/>
  <c r="S742" i="11"/>
  <c r="O356" i="11"/>
  <c r="V356" i="11"/>
  <c r="N356" i="11"/>
  <c r="U356" i="11"/>
  <c r="M356" i="11"/>
  <c r="T356" i="11"/>
  <c r="L356" i="11"/>
  <c r="S356" i="11"/>
  <c r="K356" i="11"/>
  <c r="R356" i="11"/>
  <c r="X356" i="11" s="1"/>
  <c r="Q356" i="11"/>
  <c r="P356" i="11"/>
  <c r="V758" i="11"/>
  <c r="N758" i="11"/>
  <c r="T758" i="11"/>
  <c r="L758" i="11"/>
  <c r="R758" i="11"/>
  <c r="X758" i="11" s="1"/>
  <c r="M758" i="11"/>
  <c r="K758" i="11"/>
  <c r="U758" i="11"/>
  <c r="S758" i="11"/>
  <c r="Q758" i="11"/>
  <c r="P758" i="11"/>
  <c r="O758" i="11"/>
  <c r="O904" i="11"/>
  <c r="U904" i="11"/>
  <c r="L904" i="11"/>
  <c r="T904" i="11"/>
  <c r="K904" i="11"/>
  <c r="M904" i="11"/>
  <c r="V904" i="11"/>
  <c r="S904" i="11"/>
  <c r="R904" i="11"/>
  <c r="X904" i="11" s="1"/>
  <c r="Q904" i="11"/>
  <c r="P904" i="11"/>
  <c r="N904" i="11"/>
  <c r="S169" i="11"/>
  <c r="K169" i="11"/>
  <c r="Q169" i="11"/>
  <c r="P169" i="11"/>
  <c r="V169" i="11"/>
  <c r="N169" i="11"/>
  <c r="U169" i="11"/>
  <c r="M169" i="11"/>
  <c r="T169" i="11"/>
  <c r="R169" i="11"/>
  <c r="X169" i="11" s="1"/>
  <c r="O169" i="11"/>
  <c r="L169" i="11"/>
  <c r="S323" i="11"/>
  <c r="K323" i="11"/>
  <c r="R323" i="11"/>
  <c r="X323" i="11" s="1"/>
  <c r="Q323" i="11"/>
  <c r="P323" i="11"/>
  <c r="O323" i="11"/>
  <c r="V323" i="11"/>
  <c r="N323" i="11"/>
  <c r="U323" i="11"/>
  <c r="T323" i="11"/>
  <c r="L323" i="11"/>
  <c r="M323" i="11"/>
  <c r="U809" i="11"/>
  <c r="M809" i="11"/>
  <c r="P809" i="11"/>
  <c r="O809" i="11"/>
  <c r="N809" i="11"/>
  <c r="V809" i="11"/>
  <c r="L809" i="11"/>
  <c r="T809" i="11"/>
  <c r="K809" i="11"/>
  <c r="S809" i="11"/>
  <c r="R809" i="11"/>
  <c r="X809" i="11" s="1"/>
  <c r="Q809" i="11"/>
  <c r="O244" i="11"/>
  <c r="V244" i="11"/>
  <c r="N244" i="11"/>
  <c r="U244" i="11"/>
  <c r="M244" i="11"/>
  <c r="T244" i="11"/>
  <c r="L244" i="11"/>
  <c r="S244" i="11"/>
  <c r="K244" i="11"/>
  <c r="R244" i="11"/>
  <c r="X244" i="11" s="1"/>
  <c r="Q244" i="11"/>
  <c r="P244" i="11"/>
  <c r="S321" i="11"/>
  <c r="K321" i="11"/>
  <c r="R321" i="11"/>
  <c r="X321" i="11" s="1"/>
  <c r="Q321" i="11"/>
  <c r="P321" i="11"/>
  <c r="O321" i="11"/>
  <c r="V321" i="11"/>
  <c r="N321" i="11"/>
  <c r="T321" i="11"/>
  <c r="L321" i="11"/>
  <c r="U321" i="11"/>
  <c r="M321" i="11"/>
  <c r="O400" i="11"/>
  <c r="V400" i="11"/>
  <c r="N400" i="11"/>
  <c r="U400" i="11"/>
  <c r="M400" i="11"/>
  <c r="T400" i="11"/>
  <c r="L400" i="11"/>
  <c r="S400" i="11"/>
  <c r="K400" i="11"/>
  <c r="R400" i="11"/>
  <c r="X400" i="11" s="1"/>
  <c r="Q400" i="11"/>
  <c r="P400" i="11"/>
  <c r="R837" i="11"/>
  <c r="X837" i="11" s="1"/>
  <c r="Q837" i="11"/>
  <c r="P837" i="11"/>
  <c r="O837" i="11"/>
  <c r="V837" i="11"/>
  <c r="N837" i="11"/>
  <c r="U837" i="11"/>
  <c r="M837" i="11"/>
  <c r="T837" i="11"/>
  <c r="L837" i="11"/>
  <c r="S837" i="11"/>
  <c r="K837" i="11"/>
  <c r="L1003" i="11"/>
  <c r="L997" i="11"/>
  <c r="S679" i="11"/>
  <c r="K679" i="11"/>
  <c r="R679" i="11"/>
  <c r="X679" i="11" s="1"/>
  <c r="Q679" i="11"/>
  <c r="P679" i="11"/>
  <c r="O679" i="11"/>
  <c r="V679" i="11"/>
  <c r="N679" i="11"/>
  <c r="U679" i="11"/>
  <c r="M679" i="11"/>
  <c r="T679" i="11"/>
  <c r="L679" i="11"/>
  <c r="S247" i="11"/>
  <c r="K247" i="11"/>
  <c r="R247" i="11"/>
  <c r="X247" i="11" s="1"/>
  <c r="Q247" i="11"/>
  <c r="P247" i="11"/>
  <c r="O247" i="11"/>
  <c r="V247" i="11"/>
  <c r="N247" i="11"/>
  <c r="U247" i="11"/>
  <c r="M247" i="11"/>
  <c r="T247" i="11"/>
  <c r="L247" i="11"/>
  <c r="R466" i="11"/>
  <c r="X466" i="11" s="1"/>
  <c r="Q466" i="11"/>
  <c r="P466" i="11"/>
  <c r="O466" i="11"/>
  <c r="V466" i="11"/>
  <c r="N466" i="11"/>
  <c r="U466" i="11"/>
  <c r="M466" i="11"/>
  <c r="T466" i="11"/>
  <c r="L466" i="11"/>
  <c r="S466" i="11"/>
  <c r="K466" i="11"/>
  <c r="S381" i="11"/>
  <c r="K381" i="11"/>
  <c r="R381" i="11"/>
  <c r="X381" i="11" s="1"/>
  <c r="Q381" i="11"/>
  <c r="P381" i="11"/>
  <c r="O381" i="11"/>
  <c r="V381" i="11"/>
  <c r="N381" i="11"/>
  <c r="U381" i="11"/>
  <c r="M381" i="11"/>
  <c r="T381" i="11"/>
  <c r="L381" i="11"/>
  <c r="Q734" i="11"/>
  <c r="P734" i="11"/>
  <c r="O734" i="11"/>
  <c r="V734" i="11"/>
  <c r="N734" i="11"/>
  <c r="U734" i="11"/>
  <c r="M734" i="11"/>
  <c r="T734" i="11"/>
  <c r="L734" i="11"/>
  <c r="S734" i="11"/>
  <c r="K734" i="11"/>
  <c r="R734" i="11"/>
  <c r="X734" i="11" s="1"/>
  <c r="S373" i="11"/>
  <c r="K373" i="11"/>
  <c r="R373" i="11"/>
  <c r="X373" i="11" s="1"/>
  <c r="Q373" i="11"/>
  <c r="P373" i="11"/>
  <c r="O373" i="11"/>
  <c r="V373" i="11"/>
  <c r="N373" i="11"/>
  <c r="U373" i="11"/>
  <c r="M373" i="11"/>
  <c r="T373" i="11"/>
  <c r="L373" i="11"/>
  <c r="O394" i="11"/>
  <c r="V394" i="11"/>
  <c r="N394" i="11"/>
  <c r="U394" i="11"/>
  <c r="M394" i="11"/>
  <c r="T394" i="11"/>
  <c r="L394" i="11"/>
  <c r="S394" i="11"/>
  <c r="K394" i="11"/>
  <c r="R394" i="11"/>
  <c r="X394" i="11" s="1"/>
  <c r="Q394" i="11"/>
  <c r="P394" i="11"/>
  <c r="O388" i="11"/>
  <c r="V388" i="11"/>
  <c r="N388" i="11"/>
  <c r="U388" i="11"/>
  <c r="M388" i="11"/>
  <c r="T388" i="11"/>
  <c r="L388" i="11"/>
  <c r="S388" i="11"/>
  <c r="K388" i="11"/>
  <c r="R388" i="11"/>
  <c r="X388" i="11" s="1"/>
  <c r="Q388" i="11"/>
  <c r="P388" i="11"/>
  <c r="R848" i="11"/>
  <c r="X848" i="11" s="1"/>
  <c r="Q848" i="11"/>
  <c r="O848" i="11"/>
  <c r="V848" i="11"/>
  <c r="N848" i="11"/>
  <c r="U848" i="11"/>
  <c r="M848" i="11"/>
  <c r="T848" i="11"/>
  <c r="S848" i="11"/>
  <c r="P848" i="11"/>
  <c r="L848" i="11"/>
  <c r="K848" i="11"/>
  <c r="S341" i="11"/>
  <c r="K341" i="11"/>
  <c r="R341" i="11"/>
  <c r="X341" i="11" s="1"/>
  <c r="Q341" i="11"/>
  <c r="P341" i="11"/>
  <c r="O341" i="11"/>
  <c r="V341" i="11"/>
  <c r="N341" i="11"/>
  <c r="U341" i="11"/>
  <c r="M341" i="11"/>
  <c r="T341" i="11"/>
  <c r="L341" i="11"/>
  <c r="L1007" i="11"/>
  <c r="O835" i="11"/>
  <c r="V835" i="11"/>
  <c r="N835" i="11"/>
  <c r="U835" i="11"/>
  <c r="M835" i="11"/>
  <c r="T835" i="11"/>
  <c r="L835" i="11"/>
  <c r="S835" i="11"/>
  <c r="K835" i="11"/>
  <c r="R835" i="11"/>
  <c r="X835" i="11" s="1"/>
  <c r="Q835" i="11"/>
  <c r="P835" i="11"/>
  <c r="M996" i="11"/>
  <c r="O569" i="11"/>
  <c r="V569" i="11"/>
  <c r="N569" i="11"/>
  <c r="U569" i="11"/>
  <c r="M569" i="11"/>
  <c r="S569" i="11"/>
  <c r="K569" i="11"/>
  <c r="R569" i="11"/>
  <c r="X569" i="11" s="1"/>
  <c r="P569" i="11"/>
  <c r="T569" i="11"/>
  <c r="Q569" i="11"/>
  <c r="L569" i="11"/>
  <c r="P985" i="11"/>
  <c r="U985" i="11"/>
  <c r="R985" i="11"/>
  <c r="O985" i="11"/>
  <c r="M985" i="11"/>
  <c r="R545" i="11"/>
  <c r="X545" i="11" s="1"/>
  <c r="V545" i="11"/>
  <c r="M545" i="11"/>
  <c r="U545" i="11"/>
  <c r="L545" i="11"/>
  <c r="T545" i="11"/>
  <c r="K545" i="11"/>
  <c r="S545" i="11"/>
  <c r="Q545" i="11"/>
  <c r="P545" i="11"/>
  <c r="O545" i="11"/>
  <c r="N545" i="11"/>
  <c r="O382" i="11"/>
  <c r="V382" i="11"/>
  <c r="N382" i="11"/>
  <c r="U382" i="11"/>
  <c r="M382" i="11"/>
  <c r="T382" i="11"/>
  <c r="L382" i="11"/>
  <c r="S382" i="11"/>
  <c r="K382" i="11"/>
  <c r="R382" i="11"/>
  <c r="X382" i="11" s="1"/>
  <c r="Q382" i="11"/>
  <c r="P382" i="11"/>
  <c r="Q776" i="11"/>
  <c r="P776" i="11"/>
  <c r="O776" i="11"/>
  <c r="N776" i="11"/>
  <c r="V776" i="11"/>
  <c r="L776" i="11"/>
  <c r="T776" i="11"/>
  <c r="K776" i="11"/>
  <c r="S776" i="11"/>
  <c r="R776" i="11"/>
  <c r="X776" i="11" s="1"/>
  <c r="O322" i="11"/>
  <c r="V322" i="11"/>
  <c r="N322" i="11"/>
  <c r="U322" i="11"/>
  <c r="M322" i="11"/>
  <c r="T322" i="11"/>
  <c r="L322" i="11"/>
  <c r="S322" i="11"/>
  <c r="K322" i="11"/>
  <c r="R322" i="11"/>
  <c r="X322" i="11" s="1"/>
  <c r="P322" i="11"/>
  <c r="Q322" i="11"/>
  <c r="P932" i="11"/>
  <c r="O932" i="11"/>
  <c r="U932" i="11"/>
  <c r="M932" i="11"/>
  <c r="R932" i="11"/>
  <c r="X932" i="11" s="1"/>
  <c r="V932" i="11"/>
  <c r="T932" i="11"/>
  <c r="S932" i="11"/>
  <c r="Q932" i="11"/>
  <c r="N932" i="11"/>
  <c r="L932" i="11"/>
  <c r="K932" i="11"/>
  <c r="M1004" i="11"/>
  <c r="O282" i="11"/>
  <c r="V282" i="11"/>
  <c r="N282" i="11"/>
  <c r="U282" i="11"/>
  <c r="M282" i="11"/>
  <c r="T282" i="11"/>
  <c r="L282" i="11"/>
  <c r="S282" i="11"/>
  <c r="K282" i="11"/>
  <c r="R282" i="11"/>
  <c r="X282" i="11" s="1"/>
  <c r="Q282" i="11"/>
  <c r="P282" i="11"/>
  <c r="S633" i="11"/>
  <c r="K633" i="11"/>
  <c r="R633" i="11"/>
  <c r="X633" i="11" s="1"/>
  <c r="Q633" i="11"/>
  <c r="P633" i="11"/>
  <c r="O633" i="11"/>
  <c r="V633" i="11"/>
  <c r="N633" i="11"/>
  <c r="U633" i="11"/>
  <c r="M633" i="11"/>
  <c r="T633" i="11"/>
  <c r="L633" i="11"/>
  <c r="O192" i="11"/>
  <c r="V192" i="11"/>
  <c r="N192" i="11"/>
  <c r="U192" i="11"/>
  <c r="M192" i="11"/>
  <c r="T192" i="11"/>
  <c r="L192" i="11"/>
  <c r="S192" i="11"/>
  <c r="K192" i="11"/>
  <c r="R192" i="11"/>
  <c r="X192" i="11" s="1"/>
  <c r="Q192" i="11"/>
  <c r="P192" i="11"/>
  <c r="R520" i="11"/>
  <c r="X520" i="11" s="1"/>
  <c r="Q520" i="11"/>
  <c r="P520" i="11"/>
  <c r="O520" i="11"/>
  <c r="V520" i="11"/>
  <c r="N520" i="11"/>
  <c r="U520" i="11"/>
  <c r="M520" i="11"/>
  <c r="T520" i="11"/>
  <c r="L520" i="11"/>
  <c r="S520" i="11"/>
  <c r="K520" i="11"/>
  <c r="O286" i="11"/>
  <c r="V286" i="11"/>
  <c r="N286" i="11"/>
  <c r="U286" i="11"/>
  <c r="M286" i="11"/>
  <c r="T286" i="11"/>
  <c r="L286" i="11"/>
  <c r="S286" i="11"/>
  <c r="K286" i="11"/>
  <c r="R286" i="11"/>
  <c r="X286" i="11" s="1"/>
  <c r="Q286" i="11"/>
  <c r="P286" i="11"/>
  <c r="R504" i="11"/>
  <c r="X504" i="11" s="1"/>
  <c r="Q504" i="11"/>
  <c r="P504" i="11"/>
  <c r="O504" i="11"/>
  <c r="V504" i="11"/>
  <c r="N504" i="11"/>
  <c r="U504" i="11"/>
  <c r="M504" i="11"/>
  <c r="T504" i="11"/>
  <c r="L504" i="11"/>
  <c r="S504" i="11"/>
  <c r="K504" i="11"/>
  <c r="V487" i="11"/>
  <c r="N487" i="11"/>
  <c r="U487" i="11"/>
  <c r="M487" i="11"/>
  <c r="T487" i="11"/>
  <c r="L487" i="11"/>
  <c r="S487" i="11"/>
  <c r="K487" i="11"/>
  <c r="R487" i="11"/>
  <c r="X487" i="11" s="1"/>
  <c r="Q487" i="11"/>
  <c r="P487" i="11"/>
  <c r="O487" i="11"/>
  <c r="U166" i="11"/>
  <c r="O166" i="11"/>
  <c r="N166" i="11"/>
  <c r="V166" i="11"/>
  <c r="M166" i="11"/>
  <c r="T166" i="11"/>
  <c r="L166" i="11"/>
  <c r="S166" i="11"/>
  <c r="K166" i="11"/>
  <c r="R166" i="11"/>
  <c r="X166" i="11" s="1"/>
  <c r="Q166" i="11"/>
  <c r="P166" i="11"/>
  <c r="O940" i="11"/>
  <c r="U940" i="11"/>
  <c r="M940" i="11"/>
  <c r="R940" i="11"/>
  <c r="X940" i="11" s="1"/>
  <c r="L940" i="11"/>
  <c r="K940" i="11"/>
  <c r="V940" i="11"/>
  <c r="T940" i="11"/>
  <c r="S940" i="11"/>
  <c r="Q940" i="11"/>
  <c r="N940" i="11"/>
  <c r="S568" i="11"/>
  <c r="K568" i="11"/>
  <c r="R568" i="11"/>
  <c r="X568" i="11" s="1"/>
  <c r="Q568" i="11"/>
  <c r="O568" i="11"/>
  <c r="V568" i="11"/>
  <c r="N568" i="11"/>
  <c r="T568" i="11"/>
  <c r="L568" i="11"/>
  <c r="P568" i="11"/>
  <c r="M568" i="11"/>
  <c r="U568" i="11"/>
  <c r="K915" i="11"/>
  <c r="M946" i="11"/>
  <c r="R998" i="11"/>
  <c r="X998" i="11" s="1"/>
  <c r="R947" i="11"/>
  <c r="X947" i="11" s="1"/>
  <c r="U978" i="11"/>
  <c r="U888" i="11"/>
  <c r="M798" i="11"/>
  <c r="O818" i="11"/>
  <c r="K909" i="11"/>
  <c r="M978" i="11"/>
  <c r="Q943" i="11"/>
  <c r="M888" i="11"/>
  <c r="U844" i="11"/>
  <c r="U818" i="11"/>
  <c r="M776" i="11"/>
  <c r="R946" i="11"/>
  <c r="X946" i="11" s="1"/>
  <c r="O810" i="11"/>
  <c r="O798" i="11"/>
  <c r="E74" i="13"/>
  <c r="E47" i="13"/>
  <c r="E135" i="13"/>
  <c r="E113" i="13"/>
  <c r="E108" i="13"/>
  <c r="E102" i="13"/>
  <c r="E128" i="13"/>
  <c r="E46" i="13"/>
  <c r="E70" i="13"/>
  <c r="E116" i="13"/>
  <c r="E147" i="13"/>
  <c r="E155" i="13"/>
  <c r="E168" i="13"/>
  <c r="E148" i="13"/>
  <c r="E154" i="13"/>
  <c r="E77" i="13"/>
  <c r="E95" i="13"/>
  <c r="E78" i="13"/>
  <c r="E96" i="13"/>
  <c r="E93" i="13"/>
  <c r="E158" i="13"/>
  <c r="E156" i="13"/>
  <c r="E19" i="13"/>
  <c r="E23" i="13"/>
  <c r="E133" i="13"/>
  <c r="E139" i="13"/>
  <c r="E106" i="13"/>
  <c r="E45" i="13"/>
  <c r="E64" i="13"/>
  <c r="E69" i="13"/>
  <c r="E42" i="13"/>
  <c r="E149" i="13"/>
  <c r="E35" i="13"/>
  <c r="E24" i="13"/>
  <c r="E142" i="13"/>
  <c r="E100" i="13"/>
  <c r="E49" i="13"/>
  <c r="E44" i="13"/>
  <c r="E83" i="13"/>
  <c r="E22" i="13"/>
  <c r="E32" i="13"/>
  <c r="E174" i="13"/>
  <c r="E122" i="13"/>
  <c r="E27" i="13"/>
  <c r="E37" i="13"/>
  <c r="E146" i="13"/>
  <c r="E150" i="13"/>
  <c r="E112" i="13"/>
  <c r="E90" i="13"/>
  <c r="E157" i="13"/>
  <c r="E162" i="13"/>
  <c r="E169" i="13"/>
  <c r="E165" i="13"/>
  <c r="E163" i="13"/>
  <c r="E29" i="13"/>
  <c r="E53" i="13"/>
  <c r="E171" i="13"/>
  <c r="E164" i="13"/>
  <c r="E67" i="13"/>
  <c r="E28" i="13"/>
  <c r="E119" i="13"/>
  <c r="E51" i="13"/>
  <c r="E58" i="13"/>
  <c r="E86" i="13"/>
  <c r="E25" i="13"/>
  <c r="E176" i="13"/>
  <c r="E118" i="13"/>
  <c r="E152" i="13"/>
  <c r="E173" i="13"/>
  <c r="E172" i="13"/>
  <c r="E38" i="13"/>
  <c r="E91" i="13"/>
  <c r="E12" i="13"/>
  <c r="E104" i="13"/>
  <c r="E21" i="13"/>
  <c r="E41" i="13"/>
  <c r="E55" i="13"/>
  <c r="E170" i="13"/>
  <c r="E175" i="13"/>
  <c r="E151" i="13"/>
  <c r="E31" i="13"/>
  <c r="E30" i="13"/>
  <c r="D7" i="13"/>
  <c r="F7" i="13" s="1"/>
  <c r="E161" i="13"/>
  <c r="E160" i="13"/>
  <c r="E159" i="13"/>
  <c r="E123" i="13"/>
  <c r="E50" i="13"/>
  <c r="E167" i="13"/>
  <c r="E166" i="13"/>
  <c r="E153" i="13"/>
  <c r="D12" i="13"/>
  <c r="J146" i="11"/>
  <c r="D40" i="13"/>
  <c r="F40" i="13" s="1"/>
  <c r="J110" i="11"/>
  <c r="D55" i="13"/>
  <c r="D98" i="13"/>
  <c r="J133" i="11"/>
  <c r="D18" i="13"/>
  <c r="J108" i="11"/>
  <c r="D97" i="13"/>
  <c r="F97" i="13" s="1"/>
  <c r="J59" i="11"/>
  <c r="D141" i="13"/>
  <c r="J178" i="11"/>
  <c r="J154" i="11"/>
  <c r="D43" i="13"/>
  <c r="F43" i="13" s="1"/>
  <c r="J118" i="11"/>
  <c r="D127" i="13"/>
  <c r="J105" i="11"/>
  <c r="D62" i="13"/>
  <c r="F62" i="13" s="1"/>
  <c r="J439" i="11"/>
  <c r="D82" i="13"/>
  <c r="J427" i="11"/>
  <c r="D85" i="13"/>
  <c r="F85" i="13" s="1"/>
  <c r="D143" i="13"/>
  <c r="F143" i="13" s="1"/>
  <c r="J522" i="11"/>
  <c r="D125" i="13"/>
  <c r="F125" i="13" s="1"/>
  <c r="J390" i="11"/>
  <c r="D20" i="13"/>
  <c r="J306" i="11"/>
  <c r="D101" i="13"/>
  <c r="F101" i="13" s="1"/>
  <c r="J246" i="11"/>
  <c r="D145" i="13"/>
  <c r="F145" i="13" s="1"/>
  <c r="J234" i="11"/>
  <c r="D66" i="13"/>
  <c r="D34" i="13"/>
  <c r="J437" i="11"/>
  <c r="D16" i="13"/>
  <c r="D17" i="13"/>
  <c r="J185" i="11"/>
  <c r="D26" i="13"/>
  <c r="J448" i="11"/>
  <c r="D59" i="13"/>
  <c r="F59" i="13" s="1"/>
  <c r="D9" i="13"/>
  <c r="F9" i="13" s="1"/>
  <c r="J304" i="11"/>
  <c r="D79" i="13"/>
  <c r="F79" i="13" s="1"/>
  <c r="J987" i="11"/>
  <c r="D76" i="13"/>
  <c r="F76" i="13" s="1"/>
  <c r="J831" i="11"/>
  <c r="D177" i="13"/>
  <c r="F177" i="13" s="1"/>
  <c r="J783" i="11"/>
  <c r="D138" i="13"/>
  <c r="D11" i="13"/>
  <c r="F11" i="13" s="1"/>
  <c r="J591" i="11"/>
  <c r="D86" i="13"/>
  <c r="J411" i="11"/>
  <c r="D117" i="13"/>
  <c r="D14" i="13"/>
  <c r="F14" i="13" s="1"/>
  <c r="J339" i="11"/>
  <c r="D176" i="13"/>
  <c r="J207" i="11"/>
  <c r="D10" i="13"/>
  <c r="F10" i="13" s="1"/>
  <c r="J590" i="11"/>
  <c r="E2" i="24" s="1"/>
  <c r="D65" i="13"/>
  <c r="J434" i="11"/>
  <c r="D126" i="13"/>
  <c r="F126" i="13" s="1"/>
  <c r="J422" i="11"/>
  <c r="D61" i="13"/>
  <c r="J338" i="11"/>
  <c r="J230" i="11"/>
  <c r="D84" i="13"/>
  <c r="F84" i="13" s="1"/>
  <c r="J158" i="11"/>
  <c r="D104" i="13"/>
  <c r="J661" i="11"/>
  <c r="D129" i="13"/>
  <c r="F129" i="13" s="1"/>
  <c r="D110" i="13"/>
  <c r="J241" i="11"/>
  <c r="D96" i="13"/>
  <c r="J744" i="11"/>
  <c r="D147" i="13"/>
  <c r="D120" i="13"/>
  <c r="J432" i="11"/>
  <c r="D134" i="13"/>
  <c r="F134" i="13" s="1"/>
  <c r="J384" i="11"/>
  <c r="D88" i="13"/>
  <c r="D132" i="13"/>
  <c r="J659" i="11"/>
  <c r="D13" i="13"/>
  <c r="F13" i="13" s="1"/>
  <c r="D81" i="13"/>
  <c r="J443" i="11"/>
  <c r="D109" i="13"/>
  <c r="F109" i="13" s="1"/>
  <c r="J407" i="11"/>
  <c r="D130" i="13"/>
  <c r="F130" i="13" s="1"/>
  <c r="J383" i="11"/>
  <c r="D56" i="13"/>
  <c r="F56" i="13" s="1"/>
  <c r="D115" i="13"/>
  <c r="F115" i="13" s="1"/>
  <c r="J191" i="11"/>
  <c r="D33" i="13"/>
  <c r="D137" i="13"/>
  <c r="J226" i="11"/>
  <c r="D124" i="13"/>
  <c r="D105" i="13"/>
  <c r="J405" i="11"/>
  <c r="D23" i="13"/>
  <c r="J249" i="11"/>
  <c r="D144" i="13"/>
  <c r="J380" i="11"/>
  <c r="D94" i="13"/>
  <c r="F94" i="13" s="1"/>
  <c r="J308" i="11"/>
  <c r="D71" i="13"/>
  <c r="J200" i="11"/>
  <c r="D140" i="13"/>
  <c r="D60" i="13"/>
  <c r="J139" i="11"/>
  <c r="D8" i="13"/>
  <c r="F8" i="13" s="1"/>
  <c r="J136" i="11"/>
  <c r="D73" i="13"/>
  <c r="F73" i="13" s="1"/>
  <c r="D121" i="13"/>
  <c r="F121" i="13" s="1"/>
  <c r="D136" i="13"/>
  <c r="D173" i="13"/>
  <c r="D139" i="13"/>
  <c r="D100" i="13"/>
  <c r="D67" i="13"/>
  <c r="D122" i="13"/>
  <c r="D48" i="13"/>
  <c r="F48" i="13" s="1"/>
  <c r="D156" i="13"/>
  <c r="D157" i="13"/>
  <c r="D163" i="13"/>
  <c r="D38" i="13"/>
  <c r="D21" i="13"/>
  <c r="D168" i="13"/>
  <c r="D148" i="13"/>
  <c r="D70" i="13"/>
  <c r="D95" i="13"/>
  <c r="D133" i="13"/>
  <c r="D64" i="13"/>
  <c r="D69" i="13"/>
  <c r="D35" i="13"/>
  <c r="D24" i="13"/>
  <c r="D44" i="13"/>
  <c r="D83" i="13"/>
  <c r="D22" i="13"/>
  <c r="D77" i="13"/>
  <c r="D32" i="13"/>
  <c r="D146" i="13"/>
  <c r="D150" i="13"/>
  <c r="D112" i="13"/>
  <c r="D108" i="13"/>
  <c r="D162" i="13"/>
  <c r="D52" i="13"/>
  <c r="D165" i="13"/>
  <c r="D53" i="13"/>
  <c r="D171" i="13"/>
  <c r="D28" i="13"/>
  <c r="D123" i="13"/>
  <c r="D111" i="13"/>
  <c r="F111" i="13" s="1"/>
  <c r="D99" i="13"/>
  <c r="D87" i="13"/>
  <c r="D75" i="13"/>
  <c r="F75" i="13" s="1"/>
  <c r="D63" i="13"/>
  <c r="D39" i="13"/>
  <c r="D27" i="13"/>
  <c r="D15" i="13"/>
  <c r="F15" i="13" s="1"/>
  <c r="D167" i="13"/>
  <c r="D166" i="13"/>
  <c r="B10" i="14"/>
  <c r="B11" i="14"/>
  <c r="X4" i="11"/>
  <c r="X7" i="11"/>
  <c r="X8" i="11"/>
  <c r="X9" i="11"/>
  <c r="X10" i="11"/>
  <c r="X14" i="11"/>
  <c r="X15" i="11"/>
  <c r="X18" i="11"/>
  <c r="X19" i="11"/>
  <c r="X20" i="11"/>
  <c r="X21" i="11"/>
  <c r="X23" i="11"/>
  <c r="X25" i="11"/>
  <c r="X26" i="11"/>
  <c r="X30" i="11"/>
  <c r="X31" i="11"/>
  <c r="X32" i="11"/>
  <c r="X33" i="11"/>
  <c r="X34" i="11"/>
  <c r="X35" i="11"/>
  <c r="X36" i="11"/>
  <c r="X37" i="11"/>
  <c r="X38" i="11"/>
  <c r="X39" i="11"/>
  <c r="X40" i="11"/>
  <c r="X42" i="11"/>
  <c r="X43" i="11"/>
  <c r="X44" i="11"/>
  <c r="X45" i="11"/>
  <c r="X46" i="11"/>
  <c r="X47" i="11"/>
  <c r="X48" i="11"/>
  <c r="X49" i="11"/>
  <c r="X51" i="11"/>
  <c r="X52" i="11"/>
  <c r="X54" i="11"/>
  <c r="X55" i="11"/>
  <c r="X56" i="11"/>
  <c r="X57" i="11"/>
  <c r="X59" i="11"/>
  <c r="X61" i="11"/>
  <c r="X62" i="11"/>
  <c r="X63" i="11"/>
  <c r="X66" i="11"/>
  <c r="X67" i="11"/>
  <c r="X68" i="11"/>
  <c r="X69" i="11"/>
  <c r="X70" i="11"/>
  <c r="X71" i="11"/>
  <c r="X72" i="11"/>
  <c r="X73" i="11"/>
  <c r="X74" i="11"/>
  <c r="X75" i="11"/>
  <c r="X76" i="11"/>
  <c r="X77" i="11"/>
  <c r="X78" i="11"/>
  <c r="X79" i="11"/>
  <c r="X81" i="11"/>
  <c r="X84" i="11"/>
  <c r="X85" i="11"/>
  <c r="X86" i="11"/>
  <c r="X87" i="11"/>
  <c r="X88" i="11"/>
  <c r="X89" i="11"/>
  <c r="X90" i="11"/>
  <c r="X91" i="11"/>
  <c r="X92" i="11"/>
  <c r="X94" i="11"/>
  <c r="X95" i="11"/>
  <c r="X98" i="11"/>
  <c r="X99" i="11"/>
  <c r="X100" i="11"/>
  <c r="X101" i="11"/>
  <c r="X102" i="11"/>
  <c r="X103" i="11"/>
  <c r="X104" i="11"/>
  <c r="X105" i="11"/>
  <c r="X107" i="11"/>
  <c r="X108" i="11"/>
  <c r="X109" i="11"/>
  <c r="X111" i="11"/>
  <c r="X112" i="11"/>
  <c r="X113" i="11"/>
  <c r="X114" i="11"/>
  <c r="X117" i="11"/>
  <c r="X118" i="11"/>
  <c r="X119" i="11"/>
  <c r="X121" i="11"/>
  <c r="X122" i="11"/>
  <c r="X125" i="11"/>
  <c r="X127" i="11"/>
  <c r="X130" i="11"/>
  <c r="X131" i="11"/>
  <c r="X132" i="11"/>
  <c r="X133" i="11"/>
  <c r="X135" i="11"/>
  <c r="X136" i="11"/>
  <c r="X137" i="11"/>
  <c r="X139" i="11"/>
  <c r="X140" i="11"/>
  <c r="X142" i="11"/>
  <c r="X145" i="11"/>
  <c r="X146" i="11"/>
  <c r="X147" i="11"/>
  <c r="X148" i="11"/>
  <c r="X149" i="11"/>
  <c r="X151" i="11"/>
  <c r="X152" i="11"/>
  <c r="X153" i="11"/>
  <c r="X154" i="11"/>
  <c r="X155" i="11"/>
  <c r="X156" i="11"/>
  <c r="X157" i="11"/>
  <c r="X158" i="11"/>
  <c r="X161" i="11"/>
  <c r="X162" i="11"/>
  <c r="X163" i="11"/>
  <c r="X164" i="11"/>
  <c r="X165" i="11"/>
  <c r="X167" i="11"/>
  <c r="X168" i="11"/>
  <c r="X170" i="11"/>
  <c r="X172" i="11"/>
  <c r="X173" i="11"/>
  <c r="X175" i="11"/>
  <c r="X177" i="11"/>
  <c r="X179" i="11"/>
  <c r="X180" i="11"/>
  <c r="X181" i="11"/>
  <c r="X182" i="11"/>
  <c r="X183" i="11"/>
  <c r="X184" i="11"/>
  <c r="X185" i="11"/>
  <c r="X188" i="11"/>
  <c r="X190" i="11"/>
  <c r="X191" i="11"/>
  <c r="X197" i="11"/>
  <c r="X198" i="11"/>
  <c r="X199" i="11"/>
  <c r="X200" i="11"/>
  <c r="X201" i="11"/>
  <c r="X202" i="11"/>
  <c r="X203" i="11"/>
  <c r="X205" i="11"/>
  <c r="X209" i="11"/>
  <c r="X211" i="11"/>
  <c r="X213" i="11"/>
  <c r="X214" i="11"/>
  <c r="X216" i="11"/>
  <c r="X218" i="11"/>
  <c r="X219" i="11"/>
  <c r="X220" i="11"/>
  <c r="X221" i="11"/>
  <c r="X222" i="11"/>
  <c r="X224" i="11"/>
  <c r="X225" i="11"/>
  <c r="X226" i="11"/>
  <c r="X227" i="11"/>
  <c r="X228" i="11"/>
  <c r="X229" i="11"/>
  <c r="X230" i="11"/>
  <c r="X231" i="11"/>
  <c r="X233" i="11"/>
  <c r="X234" i="11"/>
  <c r="X235" i="11"/>
  <c r="X236" i="11"/>
  <c r="X238" i="11"/>
  <c r="X239" i="11"/>
  <c r="X240" i="11"/>
  <c r="X241" i="11"/>
  <c r="X243" i="11"/>
  <c r="X245" i="11"/>
  <c r="X246" i="11"/>
  <c r="X248" i="11"/>
  <c r="X249" i="11"/>
  <c r="X250" i="11"/>
  <c r="X252" i="11"/>
  <c r="X254" i="11"/>
  <c r="X255" i="11"/>
  <c r="X257" i="11"/>
  <c r="X260" i="11"/>
  <c r="X262" i="11"/>
  <c r="X264" i="11"/>
  <c r="X266" i="11"/>
  <c r="X271" i="11"/>
  <c r="X272" i="11"/>
  <c r="X274" i="11"/>
  <c r="X275" i="11"/>
  <c r="X276" i="11"/>
  <c r="X277" i="11"/>
  <c r="X278" i="11"/>
  <c r="X284" i="11"/>
  <c r="X285" i="11"/>
  <c r="X289" i="11"/>
  <c r="X290" i="11"/>
  <c r="X291" i="11"/>
  <c r="X292" i="11"/>
  <c r="X293" i="11"/>
  <c r="X298" i="11"/>
  <c r="X299" i="11"/>
  <c r="X301" i="11"/>
  <c r="X302" i="11"/>
  <c r="X303" i="11"/>
  <c r="X304" i="11"/>
  <c r="X305" i="11"/>
  <c r="X306" i="11"/>
  <c r="X307" i="11"/>
  <c r="X308" i="11"/>
  <c r="X309" i="11"/>
  <c r="X311" i="11"/>
  <c r="X313" i="11"/>
  <c r="X317" i="11"/>
  <c r="X318" i="11"/>
  <c r="X319" i="11"/>
  <c r="X320" i="11"/>
  <c r="X324" i="11"/>
  <c r="X331" i="11"/>
  <c r="X337" i="11"/>
  <c r="X338" i="11"/>
  <c r="X339" i="11"/>
  <c r="X340" i="11"/>
  <c r="X349" i="11"/>
  <c r="X350" i="11"/>
  <c r="X354" i="11"/>
  <c r="X357" i="11"/>
  <c r="X364" i="11"/>
  <c r="X367" i="11"/>
  <c r="X369" i="11"/>
  <c r="X370" i="11"/>
  <c r="X371" i="11"/>
  <c r="X372" i="11"/>
  <c r="X374" i="11"/>
  <c r="X375" i="11"/>
  <c r="X376" i="11"/>
  <c r="X377" i="11"/>
  <c r="X378" i="11"/>
  <c r="X379" i="11"/>
  <c r="X380" i="11"/>
  <c r="X383" i="11"/>
  <c r="X384" i="11"/>
  <c r="X385" i="11"/>
  <c r="X386" i="11"/>
  <c r="X387" i="11"/>
  <c r="X389" i="11"/>
  <c r="X390" i="11"/>
  <c r="X393" i="11"/>
  <c r="X396" i="11"/>
  <c r="X401" i="11"/>
  <c r="X402" i="11"/>
  <c r="X405" i="11"/>
  <c r="X407" i="11"/>
  <c r="X411" i="11"/>
  <c r="X412" i="11"/>
  <c r="X413" i="11"/>
  <c r="X415" i="11"/>
  <c r="X416" i="11"/>
  <c r="X417" i="11"/>
  <c r="X418" i="11"/>
  <c r="X419" i="11"/>
  <c r="X420" i="11"/>
  <c r="X421" i="11"/>
  <c r="X422" i="11"/>
  <c r="X423" i="11"/>
  <c r="X425" i="11"/>
  <c r="X427" i="11"/>
  <c r="X428" i="11"/>
  <c r="X429" i="11"/>
  <c r="X430" i="11"/>
  <c r="X431" i="11"/>
  <c r="X432" i="11"/>
  <c r="X433" i="11"/>
  <c r="X434" i="11"/>
  <c r="X436" i="11"/>
  <c r="X437" i="11"/>
  <c r="X438" i="11"/>
  <c r="X439" i="11"/>
  <c r="X440" i="11"/>
  <c r="X441" i="11"/>
  <c r="X442" i="11"/>
  <c r="X443" i="11"/>
  <c r="X444" i="11"/>
  <c r="X445" i="11"/>
  <c r="X446" i="11"/>
  <c r="X448" i="11"/>
  <c r="X449" i="11"/>
  <c r="X450" i="11"/>
  <c r="X451" i="11"/>
  <c r="X452" i="11"/>
  <c r="X453" i="11"/>
  <c r="X454" i="11"/>
  <c r="X455" i="11"/>
  <c r="X456" i="11"/>
  <c r="X457" i="11"/>
  <c r="X458" i="11"/>
  <c r="X459" i="11"/>
  <c r="X460" i="11"/>
  <c r="X461" i="11"/>
  <c r="X462" i="11"/>
  <c r="X463" i="11"/>
  <c r="X464" i="11"/>
  <c r="X465" i="11"/>
  <c r="X467" i="11"/>
  <c r="X468" i="11"/>
  <c r="X469" i="11"/>
  <c r="X470" i="11"/>
  <c r="X471" i="11"/>
  <c r="X472" i="11"/>
  <c r="X473" i="11"/>
  <c r="X474" i="11"/>
  <c r="X475" i="11"/>
  <c r="X477" i="11"/>
  <c r="X478" i="11"/>
  <c r="X479" i="11"/>
  <c r="X480" i="11"/>
  <c r="X481" i="11"/>
  <c r="X482" i="11"/>
  <c r="X483" i="11"/>
  <c r="X484" i="11"/>
  <c r="X485" i="11"/>
  <c r="X486" i="11"/>
  <c r="X488" i="11"/>
  <c r="X489" i="11"/>
  <c r="X490" i="11"/>
  <c r="X491" i="11"/>
  <c r="X492" i="11"/>
  <c r="X495" i="11"/>
  <c r="X498" i="11"/>
  <c r="X499" i="11"/>
  <c r="X500" i="11"/>
  <c r="X501" i="11"/>
  <c r="X507" i="11"/>
  <c r="X511" i="11"/>
  <c r="X513" i="11"/>
  <c r="X522" i="11"/>
  <c r="X525" i="11"/>
  <c r="X528" i="11"/>
  <c r="X531" i="11"/>
  <c r="X532" i="11"/>
  <c r="X535" i="11"/>
  <c r="X536" i="11"/>
  <c r="X537" i="11"/>
  <c r="X541" i="11"/>
  <c r="X543" i="11"/>
  <c r="X547" i="11"/>
  <c r="X548" i="11"/>
  <c r="X552" i="11"/>
  <c r="X553" i="11"/>
  <c r="X554" i="11"/>
  <c r="X557" i="11"/>
  <c r="X559" i="11"/>
  <c r="X562" i="11"/>
  <c r="X565" i="11"/>
  <c r="X571" i="11"/>
  <c r="X573" i="11"/>
  <c r="X581" i="11"/>
  <c r="X586" i="11"/>
  <c r="X587" i="11"/>
  <c r="X589" i="11"/>
  <c r="X590" i="11"/>
  <c r="X591" i="11"/>
  <c r="X592" i="11"/>
  <c r="X593" i="11"/>
  <c r="X594" i="11"/>
  <c r="X595" i="11"/>
  <c r="X596" i="11"/>
  <c r="X597" i="11"/>
  <c r="X598" i="11"/>
  <c r="X599" i="11"/>
  <c r="X602" i="11"/>
  <c r="X603" i="11"/>
  <c r="X606" i="11"/>
  <c r="X611" i="11"/>
  <c r="X613" i="11"/>
  <c r="X616" i="11"/>
  <c r="X622" i="11"/>
  <c r="X623" i="11"/>
  <c r="X629" i="11"/>
  <c r="X634" i="11"/>
  <c r="X642" i="11"/>
  <c r="X643" i="11"/>
  <c r="X644" i="11"/>
  <c r="X645" i="11"/>
  <c r="X646" i="11"/>
  <c r="X647" i="11"/>
  <c r="X648" i="11"/>
  <c r="X649" i="11"/>
  <c r="X650" i="11"/>
  <c r="X651" i="11"/>
  <c r="X652" i="11"/>
  <c r="X654" i="11"/>
  <c r="X655" i="11"/>
  <c r="X656" i="11"/>
  <c r="X658" i="11"/>
  <c r="X659" i="11"/>
  <c r="X660" i="11"/>
  <c r="X661" i="11"/>
  <c r="X663" i="11"/>
  <c r="X664" i="11"/>
  <c r="X667" i="11"/>
  <c r="X669" i="11"/>
  <c r="X670" i="11"/>
  <c r="X672" i="11"/>
  <c r="X675" i="11"/>
  <c r="X676" i="11"/>
  <c r="X681" i="11"/>
  <c r="X682" i="11"/>
  <c r="X683" i="11"/>
  <c r="X684" i="11"/>
  <c r="X688" i="11"/>
  <c r="X690" i="11"/>
  <c r="X691" i="11"/>
  <c r="X692" i="11"/>
  <c r="X698" i="11"/>
  <c r="X699" i="11"/>
  <c r="X700" i="11"/>
  <c r="X701" i="11"/>
  <c r="X703" i="11"/>
  <c r="X704" i="11"/>
  <c r="X706" i="11"/>
  <c r="X711" i="11"/>
  <c r="X713" i="11"/>
  <c r="X714" i="11"/>
  <c r="X717" i="11"/>
  <c r="X718" i="11"/>
  <c r="X721" i="11"/>
  <c r="X723" i="11"/>
  <c r="X724" i="11"/>
  <c r="X728" i="11"/>
  <c r="X729" i="11"/>
  <c r="X735" i="11"/>
  <c r="X736" i="11"/>
  <c r="X737" i="11"/>
  <c r="X738" i="11"/>
  <c r="X739" i="11"/>
  <c r="X740" i="11"/>
  <c r="X744" i="11"/>
  <c r="X747" i="11"/>
  <c r="X748" i="11"/>
  <c r="X749" i="11"/>
  <c r="X750" i="11"/>
  <c r="X751" i="11"/>
  <c r="X753" i="11"/>
  <c r="X754" i="11"/>
  <c r="X755" i="11"/>
  <c r="X756" i="11"/>
  <c r="X757" i="11"/>
  <c r="X759" i="11"/>
  <c r="X761" i="11"/>
  <c r="X762" i="11"/>
  <c r="X763" i="11"/>
  <c r="X764" i="11"/>
  <c r="X765" i="11"/>
  <c r="X771" i="11"/>
  <c r="X773" i="11"/>
  <c r="X774" i="11"/>
  <c r="X777" i="11"/>
  <c r="X779" i="11"/>
  <c r="X780" i="11"/>
  <c r="X781" i="11"/>
  <c r="X791" i="11"/>
  <c r="X797" i="11"/>
  <c r="X798" i="11"/>
  <c r="X802" i="11"/>
  <c r="X803" i="11"/>
  <c r="X807" i="11"/>
  <c r="X808" i="11"/>
  <c r="X812" i="11"/>
  <c r="X815" i="11"/>
  <c r="X819" i="11"/>
  <c r="X823" i="11"/>
  <c r="X827" i="11"/>
  <c r="X830" i="11"/>
  <c r="X831" i="11"/>
  <c r="X832" i="11"/>
  <c r="X833" i="11"/>
  <c r="X836" i="11"/>
  <c r="X838" i="11"/>
  <c r="X839" i="11"/>
  <c r="X841" i="11"/>
  <c r="X845" i="11"/>
  <c r="X849" i="11"/>
  <c r="X850" i="11"/>
  <c r="X851" i="11"/>
  <c r="X852" i="11"/>
  <c r="X853" i="11"/>
  <c r="X854" i="11"/>
  <c r="X855" i="11"/>
  <c r="X858" i="11"/>
  <c r="X859" i="11"/>
  <c r="X861" i="11"/>
  <c r="X863" i="11"/>
  <c r="X864" i="11"/>
  <c r="X865" i="11"/>
  <c r="X866" i="11"/>
  <c r="X867" i="11"/>
  <c r="X868" i="11"/>
  <c r="X869" i="11"/>
  <c r="X870" i="11"/>
  <c r="X871" i="11"/>
  <c r="X872" i="11"/>
  <c r="X874" i="11"/>
  <c r="X877" i="11"/>
  <c r="X881" i="11"/>
  <c r="X884" i="11"/>
  <c r="X889" i="11"/>
  <c r="X890" i="11"/>
  <c r="X891" i="11"/>
  <c r="X897" i="11"/>
  <c r="X898" i="11"/>
  <c r="X899" i="11"/>
  <c r="X903" i="11"/>
  <c r="X905" i="11"/>
  <c r="X910" i="11"/>
  <c r="X911" i="11"/>
  <c r="X914" i="11"/>
  <c r="X915" i="11"/>
  <c r="X916" i="11"/>
  <c r="X918" i="11"/>
  <c r="X919" i="11"/>
  <c r="X921" i="11"/>
  <c r="X923" i="11"/>
  <c r="X924" i="11"/>
  <c r="X926" i="11"/>
  <c r="X927" i="11"/>
  <c r="X928" i="11"/>
  <c r="X929" i="11"/>
  <c r="X930" i="11"/>
  <c r="X931" i="11"/>
  <c r="X933" i="11"/>
  <c r="X934" i="11"/>
  <c r="X935" i="11"/>
  <c r="X936" i="11"/>
  <c r="X937" i="11"/>
  <c r="X942" i="11"/>
  <c r="X944" i="11"/>
  <c r="X950" i="11"/>
  <c r="X951" i="11"/>
  <c r="X952" i="11"/>
  <c r="X953" i="11"/>
  <c r="X954" i="11"/>
  <c r="X956" i="11"/>
  <c r="X957" i="11"/>
  <c r="X958" i="11"/>
  <c r="X959" i="11"/>
  <c r="X960" i="11"/>
  <c r="X961" i="11"/>
  <c r="X963" i="11"/>
  <c r="X967" i="11"/>
  <c r="X969" i="11"/>
  <c r="X970" i="11"/>
  <c r="X971" i="11"/>
  <c r="X972" i="11"/>
  <c r="X973" i="11"/>
  <c r="X974" i="11"/>
  <c r="X975" i="11"/>
  <c r="X976" i="11"/>
  <c r="X977" i="11"/>
  <c r="X979" i="11"/>
  <c r="X980" i="11"/>
  <c r="X983" i="11"/>
  <c r="X984" i="11"/>
  <c r="X985" i="11"/>
  <c r="X997" i="11"/>
  <c r="X1005" i="11"/>
  <c r="X1006" i="11"/>
  <c r="X3" i="11"/>
  <c r="F144" i="13" l="1"/>
  <c r="F39" i="13"/>
  <c r="F120" i="13"/>
  <c r="F18" i="13"/>
  <c r="F140" i="13"/>
  <c r="F52" i="13"/>
  <c r="F71" i="13"/>
  <c r="F105" i="13"/>
  <c r="F70" i="13"/>
  <c r="F138" i="13"/>
  <c r="F127" i="13"/>
  <c r="F81" i="13"/>
  <c r="F117" i="13"/>
  <c r="F26" i="13"/>
  <c r="F103" i="13"/>
  <c r="F89" i="13"/>
  <c r="F57" i="13"/>
  <c r="F47" i="13"/>
  <c r="F54" i="13"/>
  <c r="F72" i="13"/>
  <c r="F92" i="13"/>
  <c r="F87" i="13"/>
  <c r="F124" i="13"/>
  <c r="D151" i="13"/>
  <c r="F151" i="13" s="1"/>
  <c r="D159" i="13"/>
  <c r="D74" i="13"/>
  <c r="F74" i="13" s="1"/>
  <c r="J457" i="11"/>
  <c r="D19" i="13"/>
  <c r="D155" i="13"/>
  <c r="D80" i="13"/>
  <c r="F80" i="13" s="1"/>
  <c r="D102" i="13"/>
  <c r="F102" i="13" s="1"/>
  <c r="D158" i="13"/>
  <c r="F158" i="13" s="1"/>
  <c r="J3" i="11"/>
  <c r="E10" i="24" s="1"/>
  <c r="E6" i="24"/>
  <c r="E8" i="24"/>
  <c r="D152" i="13"/>
  <c r="D51" i="13"/>
  <c r="D160" i="13"/>
  <c r="D29" i="13"/>
  <c r="D149" i="13"/>
  <c r="F149" i="13" s="1"/>
  <c r="D119" i="13"/>
  <c r="D153" i="13"/>
  <c r="D161" i="13"/>
  <c r="D128" i="13"/>
  <c r="D90" i="13"/>
  <c r="D113" i="13"/>
  <c r="D42" i="13"/>
  <c r="F42" i="13" s="1"/>
  <c r="D78" i="13"/>
  <c r="D116" i="13"/>
  <c r="E7" i="24"/>
  <c r="D30" i="13"/>
  <c r="F30" i="13" s="1"/>
  <c r="D175" i="13"/>
  <c r="D170" i="13"/>
  <c r="E4" i="24"/>
  <c r="G6" i="23" s="1"/>
  <c r="E99" i="13"/>
  <c r="F99" i="13" s="1"/>
  <c r="D174" i="13"/>
  <c r="F174" i="13" s="1"/>
  <c r="E5" i="24"/>
  <c r="E9" i="24"/>
  <c r="D50" i="13"/>
  <c r="D135" i="13"/>
  <c r="D49" i="13"/>
  <c r="D45" i="13"/>
  <c r="F45" i="13" s="1"/>
  <c r="D46" i="13"/>
  <c r="D172" i="13"/>
  <c r="D31" i="13"/>
  <c r="D41" i="13"/>
  <c r="D91" i="13"/>
  <c r="D25" i="13"/>
  <c r="D93" i="13"/>
  <c r="D164" i="13"/>
  <c r="D169" i="13"/>
  <c r="D37" i="13"/>
  <c r="F37" i="13" s="1"/>
  <c r="D142" i="13"/>
  <c r="D106" i="13"/>
  <c r="D154" i="13"/>
  <c r="D58" i="13"/>
  <c r="D118" i="13"/>
  <c r="E11" i="24"/>
  <c r="F63" i="13"/>
  <c r="F78" i="13"/>
  <c r="F136" i="13"/>
  <c r="F65" i="13"/>
  <c r="F16" i="13"/>
  <c r="F20" i="13"/>
  <c r="F98" i="13"/>
  <c r="F135" i="13"/>
  <c r="F137" i="13"/>
  <c r="F141" i="13"/>
  <c r="F110" i="13"/>
  <c r="F61" i="13"/>
  <c r="F17" i="13"/>
  <c r="F60" i="13"/>
  <c r="F132" i="13"/>
  <c r="F34" i="13"/>
  <c r="F82" i="13"/>
  <c r="F172" i="13"/>
  <c r="F163" i="13"/>
  <c r="F33" i="13"/>
  <c r="F88" i="13"/>
  <c r="F66" i="13"/>
  <c r="V505" i="11"/>
  <c r="O505" i="11"/>
  <c r="K671" i="11"/>
  <c r="S671" i="11"/>
  <c r="T684" i="11"/>
  <c r="P684" i="11"/>
  <c r="N253" i="11"/>
  <c r="Q253" i="11"/>
  <c r="N817" i="11"/>
  <c r="O817" i="11"/>
  <c r="K295" i="11"/>
  <c r="O295" i="11"/>
  <c r="V627" i="11"/>
  <c r="R627" i="11"/>
  <c r="X627" i="11" s="1"/>
  <c r="P627" i="11"/>
  <c r="V544" i="11"/>
  <c r="K544" i="11"/>
  <c r="O58" i="11"/>
  <c r="K58" i="11"/>
  <c r="T964" i="11"/>
  <c r="R964" i="11"/>
  <c r="X964" i="11" s="1"/>
  <c r="U611" i="11"/>
  <c r="P611" i="11"/>
  <c r="N627" i="11"/>
  <c r="N295" i="11"/>
  <c r="V1000" i="11"/>
  <c r="Q918" i="11"/>
  <c r="M684" i="11"/>
  <c r="R637" i="11"/>
  <c r="X637" i="11" s="1"/>
  <c r="M768" i="11"/>
  <c r="S609" i="11"/>
  <c r="R625" i="11"/>
  <c r="X625" i="11" s="1"/>
  <c r="N505" i="11"/>
  <c r="R493" i="11"/>
  <c r="X493" i="11" s="1"/>
  <c r="V493" i="11"/>
  <c r="K364" i="11"/>
  <c r="O364" i="11"/>
  <c r="M156" i="11"/>
  <c r="K791" i="11"/>
  <c r="O791" i="11"/>
  <c r="L732" i="11"/>
  <c r="Q732" i="11"/>
  <c r="N123" i="11"/>
  <c r="L585" i="11"/>
  <c r="N585" i="11"/>
  <c r="O125" i="11"/>
  <c r="K611" i="11"/>
  <c r="U964" i="11"/>
  <c r="P58" i="11"/>
  <c r="N58" i="11"/>
  <c r="T160" i="11"/>
  <c r="T544" i="11"/>
  <c r="P626" i="11"/>
  <c r="V626" i="11"/>
  <c r="L207" i="11"/>
  <c r="R207" i="11"/>
  <c r="X207" i="11" s="1"/>
  <c r="O627" i="11"/>
  <c r="V295" i="11"/>
  <c r="K817" i="11"/>
  <c r="S918" i="11"/>
  <c r="U684" i="11"/>
  <c r="K637" i="11"/>
  <c r="U768" i="11"/>
  <c r="U639" i="11"/>
  <c r="T28" i="11"/>
  <c r="K844" i="11"/>
  <c r="S775" i="11"/>
  <c r="L817" i="11"/>
  <c r="V918" i="11"/>
  <c r="V684" i="11"/>
  <c r="T635" i="11"/>
  <c r="L943" i="11"/>
  <c r="M570" i="11"/>
  <c r="P678" i="11"/>
  <c r="T493" i="11"/>
  <c r="M364" i="11"/>
  <c r="K156" i="11"/>
  <c r="O156" i="11"/>
  <c r="M791" i="11"/>
  <c r="N732" i="11"/>
  <c r="Q123" i="11"/>
  <c r="R585" i="11"/>
  <c r="X585" i="11" s="1"/>
  <c r="T125" i="11"/>
  <c r="K125" i="11"/>
  <c r="M611" i="11"/>
  <c r="S964" i="11"/>
  <c r="L58" i="11"/>
  <c r="R160" i="11"/>
  <c r="X160" i="11" s="1"/>
  <c r="O160" i="11"/>
  <c r="O544" i="11"/>
  <c r="K626" i="11"/>
  <c r="K996" i="11"/>
  <c r="V207" i="11"/>
  <c r="L627" i="11"/>
  <c r="L295" i="11"/>
  <c r="S295" i="11"/>
  <c r="L253" i="11"/>
  <c r="U1001" i="11"/>
  <c r="O671" i="11"/>
  <c r="L783" i="11"/>
  <c r="M176" i="11"/>
  <c r="L237" i="11"/>
  <c r="N65" i="11"/>
  <c r="T620" i="11"/>
  <c r="O497" i="11"/>
  <c r="R550" i="11"/>
  <c r="X550" i="11" s="1"/>
  <c r="O493" i="11"/>
  <c r="P364" i="11"/>
  <c r="P791" i="11"/>
  <c r="R732" i="11"/>
  <c r="X732" i="11" s="1"/>
  <c r="T123" i="11"/>
  <c r="K585" i="11"/>
  <c r="M125" i="11"/>
  <c r="S125" i="11"/>
  <c r="N611" i="11"/>
  <c r="L964" i="11"/>
  <c r="T58" i="11"/>
  <c r="K160" i="11"/>
  <c r="Q544" i="11"/>
  <c r="P544" i="11"/>
  <c r="S626" i="11"/>
  <c r="Q996" i="11"/>
  <c r="O207" i="11"/>
  <c r="M627" i="11"/>
  <c r="T295" i="11"/>
  <c r="Q1000" i="11"/>
  <c r="V253" i="11"/>
  <c r="S237" i="11"/>
  <c r="L757" i="11"/>
  <c r="M140" i="11"/>
  <c r="U225" i="11"/>
  <c r="S225" i="11"/>
  <c r="R542" i="11"/>
  <c r="X542" i="11" s="1"/>
  <c r="K534" i="11"/>
  <c r="O534" i="11"/>
  <c r="Q731" i="11"/>
  <c r="O517" i="11"/>
  <c r="M517" i="11"/>
  <c r="M528" i="11"/>
  <c r="L704" i="11"/>
  <c r="K704" i="11"/>
  <c r="M24" i="11"/>
  <c r="P601" i="11"/>
  <c r="U601" i="11"/>
  <c r="K815" i="11"/>
  <c r="L251" i="11"/>
  <c r="Q251" i="11"/>
  <c r="N606" i="11"/>
  <c r="R913" i="11"/>
  <c r="X913" i="11" s="1"/>
  <c r="K913" i="11"/>
  <c r="R583" i="11"/>
  <c r="X583" i="11" s="1"/>
  <c r="P966" i="11"/>
  <c r="K812" i="11"/>
  <c r="L653" i="11"/>
  <c r="Q653" i="11"/>
  <c r="N834" i="11"/>
  <c r="U947" i="11"/>
  <c r="O947" i="11"/>
  <c r="P399" i="11"/>
  <c r="M895" i="11"/>
  <c r="O560" i="11"/>
  <c r="R560" i="11"/>
  <c r="X560" i="11" s="1"/>
  <c r="U366" i="11"/>
  <c r="T770" i="11"/>
  <c r="T584" i="11"/>
  <c r="O551" i="11"/>
  <c r="V551" i="11"/>
  <c r="Q546" i="11"/>
  <c r="M941" i="11"/>
  <c r="V843" i="11"/>
  <c r="P140" i="11"/>
  <c r="U140" i="11"/>
  <c r="N225" i="11"/>
  <c r="P891" i="11"/>
  <c r="S542" i="11"/>
  <c r="S534" i="11"/>
  <c r="P534" i="11"/>
  <c r="R731" i="11"/>
  <c r="X731" i="11" s="1"/>
  <c r="P517" i="11"/>
  <c r="U517" i="11"/>
  <c r="U528" i="11"/>
  <c r="V704" i="11"/>
  <c r="T704" i="11"/>
  <c r="P24" i="11"/>
  <c r="Q601" i="11"/>
  <c r="N601" i="11"/>
  <c r="S815" i="11"/>
  <c r="T251" i="11"/>
  <c r="R251" i="11"/>
  <c r="X251" i="11" s="1"/>
  <c r="V606" i="11"/>
  <c r="T913" i="11"/>
  <c r="S913" i="11"/>
  <c r="K583" i="11"/>
  <c r="R966" i="11"/>
  <c r="X966" i="11" s="1"/>
  <c r="N812" i="11"/>
  <c r="T653" i="11"/>
  <c r="R653" i="11"/>
  <c r="X653" i="11" s="1"/>
  <c r="V834" i="11"/>
  <c r="V947" i="11"/>
  <c r="Q947" i="11"/>
  <c r="Q399" i="11"/>
  <c r="N895" i="11"/>
  <c r="P560" i="11"/>
  <c r="P366" i="11"/>
  <c r="N366" i="11"/>
  <c r="M770" i="11"/>
  <c r="M584" i="11"/>
  <c r="P551" i="11"/>
  <c r="R551" i="11"/>
  <c r="X551" i="11" s="1"/>
  <c r="R546" i="11"/>
  <c r="X546" i="11" s="1"/>
  <c r="N941" i="11"/>
  <c r="O843" i="11"/>
  <c r="L976" i="11"/>
  <c r="Q966" i="11"/>
  <c r="S856" i="11"/>
  <c r="O917" i="11"/>
  <c r="S917" i="11"/>
  <c r="N129" i="11"/>
  <c r="S922" i="11"/>
  <c r="Q140" i="11"/>
  <c r="N140" i="11"/>
  <c r="V225" i="11"/>
  <c r="K542" i="11"/>
  <c r="L534" i="11"/>
  <c r="Q534" i="11"/>
  <c r="K731" i="11"/>
  <c r="Q517" i="11"/>
  <c r="N517" i="11"/>
  <c r="N528" i="11"/>
  <c r="N704" i="11"/>
  <c r="M704" i="11"/>
  <c r="R24" i="11"/>
  <c r="X24" i="11" s="1"/>
  <c r="R601" i="11"/>
  <c r="X601" i="11" s="1"/>
  <c r="V601" i="11"/>
  <c r="L815" i="11"/>
  <c r="M251" i="11"/>
  <c r="K251" i="11"/>
  <c r="O606" i="11"/>
  <c r="U913" i="11"/>
  <c r="N913" i="11"/>
  <c r="S583" i="11"/>
  <c r="S966" i="11"/>
  <c r="P812" i="11"/>
  <c r="M653" i="11"/>
  <c r="K653" i="11"/>
  <c r="O834" i="11"/>
  <c r="K947" i="11"/>
  <c r="L399" i="11"/>
  <c r="R399" i="11"/>
  <c r="X399" i="11" s="1"/>
  <c r="O895" i="11"/>
  <c r="Q560" i="11"/>
  <c r="Q366" i="11"/>
  <c r="V366" i="11"/>
  <c r="U770" i="11"/>
  <c r="N584" i="11"/>
  <c r="S551" i="11"/>
  <c r="K546" i="11"/>
  <c r="S546" i="11"/>
  <c r="V941" i="11"/>
  <c r="Q843" i="11"/>
  <c r="O976" i="11"/>
  <c r="T534" i="11"/>
  <c r="R534" i="11"/>
  <c r="X534" i="11" s="1"/>
  <c r="S731" i="11"/>
  <c r="R517" i="11"/>
  <c r="X517" i="11" s="1"/>
  <c r="V517" i="11"/>
  <c r="V528" i="11"/>
  <c r="O704" i="11"/>
  <c r="U704" i="11"/>
  <c r="K24" i="11"/>
  <c r="K601" i="11"/>
  <c r="O601" i="11"/>
  <c r="T815" i="11"/>
  <c r="U251" i="11"/>
  <c r="S251" i="11"/>
  <c r="P606" i="11"/>
  <c r="L913" i="11"/>
  <c r="V913" i="11"/>
  <c r="M583" i="11"/>
  <c r="K966" i="11"/>
  <c r="Q812" i="11"/>
  <c r="U653" i="11"/>
  <c r="S653" i="11"/>
  <c r="P834" i="11"/>
  <c r="M947" i="11"/>
  <c r="T399" i="11"/>
  <c r="S399" i="11"/>
  <c r="Q895" i="11"/>
  <c r="S560" i="11"/>
  <c r="R366" i="11"/>
  <c r="X366" i="11" s="1"/>
  <c r="O366" i="11"/>
  <c r="N770" i="11"/>
  <c r="O584" i="11"/>
  <c r="K551" i="11"/>
  <c r="T546" i="11"/>
  <c r="N546" i="11"/>
  <c r="Q941" i="11"/>
  <c r="R843" i="11"/>
  <c r="X843" i="11" s="1"/>
  <c r="U963" i="11"/>
  <c r="M959" i="11"/>
  <c r="T649" i="11"/>
  <c r="L586" i="11"/>
  <c r="R917" i="11"/>
  <c r="X917" i="11" s="1"/>
  <c r="K140" i="11"/>
  <c r="M542" i="11"/>
  <c r="N731" i="11"/>
  <c r="K528" i="11"/>
  <c r="N24" i="11"/>
  <c r="O815" i="11"/>
  <c r="N251" i="11"/>
  <c r="L606" i="11"/>
  <c r="Q606" i="11"/>
  <c r="M913" i="11"/>
  <c r="T583" i="11"/>
  <c r="U583" i="11"/>
  <c r="U966" i="11"/>
  <c r="O812" i="11"/>
  <c r="N653" i="11"/>
  <c r="L834" i="11"/>
  <c r="Q834" i="11"/>
  <c r="N947" i="11"/>
  <c r="U399" i="11"/>
  <c r="K895" i="11"/>
  <c r="R895" i="11"/>
  <c r="X895" i="11" s="1"/>
  <c r="T560" i="11"/>
  <c r="K366" i="11"/>
  <c r="Q770" i="11"/>
  <c r="O770" i="11"/>
  <c r="Q584" i="11"/>
  <c r="T551" i="11"/>
  <c r="L546" i="11"/>
  <c r="V546" i="11"/>
  <c r="K941" i="11"/>
  <c r="K843" i="11"/>
  <c r="T606" i="11"/>
  <c r="L583" i="11"/>
  <c r="V653" i="11"/>
  <c r="T834" i="11"/>
  <c r="R834" i="11"/>
  <c r="X834" i="11" s="1"/>
  <c r="S947" i="11"/>
  <c r="N399" i="11"/>
  <c r="T895" i="11"/>
  <c r="S895" i="11"/>
  <c r="K560" i="11"/>
  <c r="S366" i="11"/>
  <c r="K770" i="11"/>
  <c r="P770" i="11"/>
  <c r="R584" i="11"/>
  <c r="X584" i="11" s="1"/>
  <c r="L551" i="11"/>
  <c r="U546" i="11"/>
  <c r="O941" i="11"/>
  <c r="S941" i="11"/>
  <c r="T843" i="11"/>
  <c r="M834" i="11"/>
  <c r="L947" i="11"/>
  <c r="L895" i="11"/>
  <c r="P895" i="11"/>
  <c r="T366" i="11"/>
  <c r="P584" i="11"/>
  <c r="K584" i="11"/>
  <c r="M546" i="11"/>
  <c r="L843" i="11"/>
  <c r="K793" i="11"/>
  <c r="O793" i="11"/>
  <c r="T793" i="11"/>
  <c r="M793" i="11"/>
  <c r="S793" i="11"/>
  <c r="K757" i="11"/>
  <c r="U757" i="11"/>
  <c r="T757" i="11"/>
  <c r="S757" i="11"/>
  <c r="V757" i="11"/>
  <c r="M757" i="11"/>
  <c r="N757" i="11"/>
  <c r="S355" i="11"/>
  <c r="U355" i="11"/>
  <c r="K355" i="11"/>
  <c r="M355" i="11"/>
  <c r="R355" i="11"/>
  <c r="X355" i="11" s="1"/>
  <c r="T355" i="11"/>
  <c r="Q355" i="11"/>
  <c r="L355" i="11"/>
  <c r="P355" i="11"/>
  <c r="O355" i="11"/>
  <c r="V355" i="11"/>
  <c r="N355" i="11"/>
  <c r="Q5" i="11"/>
  <c r="T5" i="11"/>
  <c r="N5" i="11"/>
  <c r="U5" i="11"/>
  <c r="M5" i="11"/>
  <c r="S5" i="11"/>
  <c r="R5" i="11"/>
  <c r="X5" i="11" s="1"/>
  <c r="L5" i="11"/>
  <c r="P5" i="11"/>
  <c r="K5" i="11"/>
  <c r="O5" i="11"/>
  <c r="K409" i="11"/>
  <c r="P409" i="11"/>
  <c r="M409" i="11"/>
  <c r="R689" i="11"/>
  <c r="X689" i="11" s="1"/>
  <c r="T689" i="11"/>
  <c r="Q689" i="11"/>
  <c r="L689" i="11"/>
  <c r="P689" i="11"/>
  <c r="O689" i="11"/>
  <c r="N689" i="11"/>
  <c r="S689" i="11"/>
  <c r="U689" i="11"/>
  <c r="M787" i="11"/>
  <c r="T787" i="11"/>
  <c r="L787" i="11"/>
  <c r="S787" i="11"/>
  <c r="O787" i="11"/>
  <c r="K787" i="11"/>
  <c r="V787" i="11"/>
  <c r="R787" i="11"/>
  <c r="X787" i="11" s="1"/>
  <c r="N787" i="11"/>
  <c r="Q787" i="11"/>
  <c r="P787" i="11"/>
  <c r="L720" i="11"/>
  <c r="Q720" i="11"/>
  <c r="U720" i="11"/>
  <c r="N720" i="11"/>
  <c r="T720" i="11"/>
  <c r="T12" i="11"/>
  <c r="N12" i="11"/>
  <c r="M12" i="11"/>
  <c r="U12" i="11"/>
  <c r="K12" i="11"/>
  <c r="S12" i="11"/>
  <c r="Q12" i="11"/>
  <c r="R12" i="11"/>
  <c r="X12" i="11" s="1"/>
  <c r="M426" i="11"/>
  <c r="T426" i="11"/>
  <c r="Q426" i="11"/>
  <c r="L426" i="11"/>
  <c r="P426" i="11"/>
  <c r="S426" i="11"/>
  <c r="V426" i="11"/>
  <c r="K426" i="11"/>
  <c r="N426" i="11"/>
  <c r="Q804" i="11"/>
  <c r="L804" i="11"/>
  <c r="T804" i="11"/>
  <c r="S804" i="11"/>
  <c r="P804" i="11"/>
  <c r="O804" i="11"/>
  <c r="V804" i="11"/>
  <c r="M804" i="11"/>
  <c r="M636" i="11"/>
  <c r="N636" i="11"/>
  <c r="U636" i="11"/>
  <c r="T636" i="11"/>
  <c r="L636" i="11"/>
  <c r="K636" i="11"/>
  <c r="R636" i="11"/>
  <c r="X636" i="11" s="1"/>
  <c r="O636" i="11"/>
  <c r="Q636" i="11"/>
  <c r="P790" i="11"/>
  <c r="M790" i="11"/>
  <c r="K790" i="11"/>
  <c r="U790" i="11"/>
  <c r="L790" i="11"/>
  <c r="S790" i="11"/>
  <c r="Q790" i="11"/>
  <c r="N206" i="11"/>
  <c r="Q206" i="11"/>
  <c r="U206" i="11"/>
  <c r="P206" i="11"/>
  <c r="M206" i="11"/>
  <c r="T206" i="11"/>
  <c r="S206" i="11"/>
  <c r="O206" i="11"/>
  <c r="K206" i="11"/>
  <c r="R510" i="11"/>
  <c r="X510" i="11" s="1"/>
  <c r="T510" i="11"/>
  <c r="Q510" i="11"/>
  <c r="L510" i="11"/>
  <c r="P510" i="11"/>
  <c r="K510" i="11"/>
  <c r="O510" i="11"/>
  <c r="S510" i="11"/>
  <c r="V510" i="11"/>
  <c r="N510" i="11"/>
  <c r="U510" i="11"/>
  <c r="M510" i="11"/>
  <c r="S784" i="11"/>
  <c r="U784" i="11"/>
  <c r="P784" i="11"/>
  <c r="O784" i="11"/>
  <c r="N784" i="11"/>
  <c r="P811" i="11"/>
  <c r="U811" i="11"/>
  <c r="Q811" i="11"/>
  <c r="T811" i="11"/>
  <c r="S811" i="11"/>
  <c r="R811" i="11"/>
  <c r="X811" i="11" s="1"/>
  <c r="K811" i="11"/>
  <c r="O811" i="11"/>
  <c r="N811" i="11"/>
  <c r="M811" i="11"/>
  <c r="L811" i="11"/>
  <c r="L406" i="11"/>
  <c r="S406" i="11"/>
  <c r="O406" i="11"/>
  <c r="U406" i="11"/>
  <c r="P406" i="11"/>
  <c r="M406" i="11"/>
  <c r="T530" i="11"/>
  <c r="K530" i="11"/>
  <c r="S530" i="11"/>
  <c r="R530" i="11"/>
  <c r="X530" i="11" s="1"/>
  <c r="P530" i="11"/>
  <c r="O530" i="11"/>
  <c r="M530" i="11"/>
  <c r="P361" i="11"/>
  <c r="M361" i="11"/>
  <c r="K361" i="11"/>
  <c r="L523" i="11"/>
  <c r="K523" i="11"/>
  <c r="R523" i="11"/>
  <c r="X523" i="11" s="1"/>
  <c r="V523" i="11"/>
  <c r="Q523" i="11"/>
  <c r="N523" i="11"/>
  <c r="P523" i="11"/>
  <c r="U523" i="11"/>
  <c r="O523" i="11"/>
  <c r="M523" i="11"/>
  <c r="T523" i="11"/>
  <c r="L555" i="11"/>
  <c r="V555" i="11"/>
  <c r="T555" i="11"/>
  <c r="M555" i="11"/>
  <c r="P555" i="11"/>
  <c r="R555" i="11"/>
  <c r="X555" i="11" s="1"/>
  <c r="O555" i="11"/>
  <c r="U795" i="11"/>
  <c r="M795" i="11"/>
  <c r="L795" i="11"/>
  <c r="S795" i="11"/>
  <c r="P795" i="11"/>
  <c r="N533" i="11"/>
  <c r="Q533" i="11"/>
  <c r="T533" i="11"/>
  <c r="L533" i="11"/>
  <c r="S533" i="11"/>
  <c r="K533" i="11"/>
  <c r="R533" i="11"/>
  <c r="X533" i="11" s="1"/>
  <c r="V533" i="11"/>
  <c r="P533" i="11"/>
  <c r="U533" i="11"/>
  <c r="O533" i="11"/>
  <c r="P775" i="11"/>
  <c r="K775" i="11"/>
  <c r="U775" i="11"/>
  <c r="O16" i="11"/>
  <c r="K16" i="11"/>
  <c r="R16" i="11"/>
  <c r="X16" i="11" s="1"/>
  <c r="T16" i="11"/>
  <c r="Q16" i="11"/>
  <c r="M16" i="11"/>
  <c r="L16" i="11"/>
  <c r="S820" i="11"/>
  <c r="M820" i="11"/>
  <c r="O820" i="11"/>
  <c r="N820" i="11"/>
  <c r="T820" i="11"/>
  <c r="R820" i="11"/>
  <c r="X820" i="11" s="1"/>
  <c r="P820" i="11"/>
  <c r="V820" i="11"/>
  <c r="U820" i="11"/>
  <c r="Q820" i="11"/>
  <c r="K820" i="11"/>
  <c r="L820" i="11"/>
  <c r="U505" i="11"/>
  <c r="P505" i="11"/>
  <c r="K505" i="11"/>
  <c r="P751" i="11"/>
  <c r="T751" i="11"/>
  <c r="L751" i="11"/>
  <c r="K751" i="11"/>
  <c r="S751" i="11"/>
  <c r="Q751" i="11"/>
  <c r="O751" i="11"/>
  <c r="V751" i="11"/>
  <c r="M751" i="11"/>
  <c r="R397" i="11"/>
  <c r="X397" i="11" s="1"/>
  <c r="Q397" i="11"/>
  <c r="P397" i="11"/>
  <c r="V397" i="11"/>
  <c r="N397" i="11"/>
  <c r="M397" i="11"/>
  <c r="T397" i="11"/>
  <c r="K397" i="11"/>
  <c r="L397" i="11"/>
  <c r="M580" i="11"/>
  <c r="S580" i="11"/>
  <c r="Q580" i="11"/>
  <c r="O580" i="11"/>
  <c r="T580" i="11"/>
  <c r="P580" i="11"/>
  <c r="K580" i="11"/>
  <c r="V620" i="11"/>
  <c r="Q620" i="11"/>
  <c r="L620" i="11"/>
  <c r="R794" i="11"/>
  <c r="X794" i="11" s="1"/>
  <c r="T794" i="11"/>
  <c r="U794" i="11"/>
  <c r="S794" i="11"/>
  <c r="M794" i="11"/>
  <c r="K794" i="11"/>
  <c r="L794" i="11"/>
  <c r="Q794" i="11"/>
  <c r="P794" i="11"/>
  <c r="O794" i="11"/>
  <c r="V794" i="11"/>
  <c r="S566" i="11"/>
  <c r="R566" i="11"/>
  <c r="X566" i="11" s="1"/>
  <c r="Q566" i="11"/>
  <c r="T566" i="11"/>
  <c r="L566" i="11"/>
  <c r="P566" i="11"/>
  <c r="M566" i="11"/>
  <c r="L6" i="11"/>
  <c r="N6" i="11"/>
  <c r="Q6" i="11"/>
  <c r="M6" i="11"/>
  <c r="O6" i="11"/>
  <c r="S6" i="11"/>
  <c r="R6" i="11"/>
  <c r="X6" i="11" s="1"/>
  <c r="P6" i="11"/>
  <c r="V6" i="11"/>
  <c r="U6" i="11"/>
  <c r="K6" i="11"/>
  <c r="U514" i="11"/>
  <c r="N514" i="11"/>
  <c r="M514" i="11"/>
  <c r="T514" i="11"/>
  <c r="R514" i="11"/>
  <c r="X514" i="11" s="1"/>
  <c r="L514" i="11"/>
  <c r="Q514" i="11"/>
  <c r="S514" i="11"/>
  <c r="P514" i="11"/>
  <c r="K514" i="11"/>
  <c r="O514" i="11"/>
  <c r="N214" i="11"/>
  <c r="Q214" i="11"/>
  <c r="S214" i="11"/>
  <c r="V280" i="11"/>
  <c r="P280" i="11"/>
  <c r="L280" i="11"/>
  <c r="K280" i="11"/>
  <c r="S280" i="11"/>
  <c r="O280" i="11"/>
  <c r="U280" i="11"/>
  <c r="M280" i="11"/>
  <c r="T280" i="11"/>
  <c r="R280" i="11"/>
  <c r="X280" i="11" s="1"/>
  <c r="K792" i="11"/>
  <c r="M792" i="11"/>
  <c r="R792" i="11"/>
  <c r="X792" i="11" s="1"/>
  <c r="T792" i="11"/>
  <c r="Q792" i="11"/>
  <c r="L792" i="11"/>
  <c r="P792" i="11"/>
  <c r="O792" i="11"/>
  <c r="V792" i="11"/>
  <c r="N792" i="11"/>
  <c r="U792" i="11"/>
  <c r="T816" i="11"/>
  <c r="R816" i="11"/>
  <c r="X816" i="11" s="1"/>
  <c r="Q816" i="11"/>
  <c r="P816" i="11"/>
  <c r="O816" i="11"/>
  <c r="V816" i="11"/>
  <c r="S816" i="11"/>
  <c r="U816" i="11"/>
  <c r="N816" i="11"/>
  <c r="N570" i="11"/>
  <c r="Q570" i="11"/>
  <c r="P570" i="11"/>
  <c r="K232" i="11"/>
  <c r="U232" i="11"/>
  <c r="T232" i="11"/>
  <c r="Q232" i="11"/>
  <c r="O232" i="11"/>
  <c r="V232" i="11"/>
  <c r="N232" i="11"/>
  <c r="M232" i="11"/>
  <c r="S232" i="11"/>
  <c r="R232" i="11"/>
  <c r="X232" i="11" s="1"/>
  <c r="P232" i="11"/>
  <c r="V987" i="11"/>
  <c r="S987" i="11"/>
  <c r="N987" i="11"/>
  <c r="O987" i="11"/>
  <c r="K987" i="11"/>
  <c r="P987" i="11"/>
  <c r="M987" i="11"/>
  <c r="U987" i="11"/>
  <c r="R987" i="11"/>
  <c r="X987" i="11" s="1"/>
  <c r="S600" i="11"/>
  <c r="M600" i="11"/>
  <c r="R600" i="11"/>
  <c r="X600" i="11" s="1"/>
  <c r="Q600" i="11"/>
  <c r="P600" i="11"/>
  <c r="O600" i="11"/>
  <c r="V600" i="11"/>
  <c r="U600" i="11"/>
  <c r="T600" i="11"/>
  <c r="M844" i="11"/>
  <c r="R844" i="11"/>
  <c r="X844" i="11" s="1"/>
  <c r="V844" i="11"/>
  <c r="L829" i="11"/>
  <c r="O829" i="11"/>
  <c r="Q829" i="11"/>
  <c r="V829" i="11"/>
  <c r="P829" i="11"/>
  <c r="N829" i="11"/>
  <c r="M829" i="11"/>
  <c r="U829" i="11"/>
  <c r="T829" i="11"/>
  <c r="S829" i="11"/>
  <c r="K829" i="11"/>
  <c r="M696" i="11"/>
  <c r="L696" i="11"/>
  <c r="Q696" i="11"/>
  <c r="Q715" i="11"/>
  <c r="U715" i="11"/>
  <c r="P715" i="11"/>
  <c r="M715" i="11"/>
  <c r="O715" i="11"/>
  <c r="T715" i="11"/>
  <c r="V715" i="11"/>
  <c r="L715" i="11"/>
  <c r="N715" i="11"/>
  <c r="S715" i="11"/>
  <c r="K715" i="11"/>
  <c r="R715" i="11"/>
  <c r="X715" i="11" s="1"/>
  <c r="K351" i="11"/>
  <c r="M351" i="11"/>
  <c r="V351" i="11"/>
  <c r="V989" i="11"/>
  <c r="S989" i="11"/>
  <c r="N989" i="11"/>
  <c r="T989" i="11"/>
  <c r="O989" i="11"/>
  <c r="M989" i="11"/>
  <c r="U989" i="11"/>
  <c r="L989" i="11"/>
  <c r="K989" i="11"/>
  <c r="P989" i="11"/>
  <c r="R989" i="11"/>
  <c r="X989" i="11" s="1"/>
  <c r="M630" i="11"/>
  <c r="O630" i="11"/>
  <c r="T630" i="11"/>
  <c r="S630" i="11"/>
  <c r="K630" i="11"/>
  <c r="N556" i="11"/>
  <c r="T556" i="11"/>
  <c r="M556" i="11"/>
  <c r="U556" i="11"/>
  <c r="L556" i="11"/>
  <c r="V556" i="11"/>
  <c r="K556" i="11"/>
  <c r="R556" i="11"/>
  <c r="X556" i="11" s="1"/>
  <c r="S556" i="11"/>
  <c r="Q556" i="11"/>
  <c r="P556" i="11"/>
  <c r="O65" i="11"/>
  <c r="R65" i="11"/>
  <c r="X65" i="11" s="1"/>
  <c r="T65" i="11"/>
  <c r="U512" i="11"/>
  <c r="M512" i="11"/>
  <c r="T512" i="11"/>
  <c r="R512" i="11"/>
  <c r="X512" i="11" s="1"/>
  <c r="S512" i="11"/>
  <c r="P512" i="11"/>
  <c r="K512" i="11"/>
  <c r="O512" i="11"/>
  <c r="V512" i="11"/>
  <c r="N512" i="11"/>
  <c r="P665" i="11"/>
  <c r="S665" i="11"/>
  <c r="U665" i="11"/>
  <c r="R665" i="11"/>
  <c r="X665" i="11" s="1"/>
  <c r="T665" i="11"/>
  <c r="Q665" i="11"/>
  <c r="V665" i="11"/>
  <c r="N665" i="11"/>
  <c r="M665" i="11"/>
  <c r="L665" i="11"/>
  <c r="K665" i="11"/>
  <c r="O665" i="11"/>
  <c r="K907" i="11"/>
  <c r="T907" i="11"/>
  <c r="L907" i="11"/>
  <c r="V705" i="11"/>
  <c r="O705" i="11"/>
  <c r="N705" i="11"/>
  <c r="M705" i="11"/>
  <c r="U705" i="11"/>
  <c r="L705" i="11"/>
  <c r="Q705" i="11"/>
  <c r="T705" i="11"/>
  <c r="R705" i="11"/>
  <c r="X705" i="11" s="1"/>
  <c r="K705" i="11"/>
  <c r="U392" i="11"/>
  <c r="P392" i="11"/>
  <c r="M392" i="11"/>
  <c r="T392" i="11"/>
  <c r="L392" i="11"/>
  <c r="S392" i="11"/>
  <c r="O392" i="11"/>
  <c r="K392" i="11"/>
  <c r="V392" i="11"/>
  <c r="R392" i="11"/>
  <c r="X392" i="11" s="1"/>
  <c r="N392" i="11"/>
  <c r="Q392" i="11"/>
  <c r="S281" i="11"/>
  <c r="U281" i="11"/>
  <c r="P281" i="11"/>
  <c r="V281" i="11"/>
  <c r="Q281" i="11"/>
  <c r="N281" i="11"/>
  <c r="M281" i="11"/>
  <c r="T281" i="11"/>
  <c r="L281" i="11"/>
  <c r="K281" i="11"/>
  <c r="O281" i="11"/>
  <c r="R281" i="11"/>
  <c r="X281" i="11" s="1"/>
  <c r="S628" i="11"/>
  <c r="N628" i="11"/>
  <c r="T628" i="11"/>
  <c r="O766" i="11"/>
  <c r="K766" i="11"/>
  <c r="P766" i="11"/>
  <c r="R766" i="11"/>
  <c r="X766" i="11" s="1"/>
  <c r="V766" i="11"/>
  <c r="Q766" i="11"/>
  <c r="N766" i="11"/>
  <c r="U766" i="11"/>
  <c r="M766" i="11"/>
  <c r="T766" i="11"/>
  <c r="L766" i="11"/>
  <c r="R435" i="11"/>
  <c r="X435" i="11" s="1"/>
  <c r="V435" i="11"/>
  <c r="Q435" i="11"/>
  <c r="U435" i="11"/>
  <c r="P435" i="11"/>
  <c r="M435" i="11"/>
  <c r="O435" i="11"/>
  <c r="T435" i="11"/>
  <c r="N435" i="11"/>
  <c r="L435" i="11"/>
  <c r="S435" i="11"/>
  <c r="P217" i="11"/>
  <c r="S217" i="11"/>
  <c r="U217" i="11"/>
  <c r="R217" i="11"/>
  <c r="X217" i="11" s="1"/>
  <c r="T217" i="11"/>
  <c r="O217" i="11"/>
  <c r="N217" i="11"/>
  <c r="M217" i="11"/>
  <c r="L217" i="11"/>
  <c r="K217" i="11"/>
  <c r="Q217" i="11"/>
  <c r="V217" i="11"/>
  <c r="V28" i="11"/>
  <c r="M28" i="11"/>
  <c r="K28" i="11"/>
  <c r="S134" i="11"/>
  <c r="K134" i="11"/>
  <c r="O134" i="11"/>
  <c r="R134" i="11"/>
  <c r="X134" i="11" s="1"/>
  <c r="V134" i="11"/>
  <c r="Q134" i="11"/>
  <c r="N134" i="11"/>
  <c r="M134" i="11"/>
  <c r="T134" i="11"/>
  <c r="O526" i="11"/>
  <c r="K526" i="11"/>
  <c r="V526" i="11"/>
  <c r="N526" i="11"/>
  <c r="U526" i="11"/>
  <c r="M526" i="11"/>
  <c r="R526" i="11"/>
  <c r="X526" i="11" s="1"/>
  <c r="T526" i="11"/>
  <c r="Q526" i="11"/>
  <c r="L526" i="11"/>
  <c r="P526" i="11"/>
  <c r="S526" i="11"/>
  <c r="S347" i="11"/>
  <c r="O347" i="11"/>
  <c r="U347" i="11"/>
  <c r="M625" i="11"/>
  <c r="U625" i="11"/>
  <c r="Q625" i="11"/>
  <c r="T539" i="11"/>
  <c r="L539" i="11"/>
  <c r="S539" i="11"/>
  <c r="K539" i="11"/>
  <c r="V539" i="11"/>
  <c r="R539" i="11"/>
  <c r="X539" i="11" s="1"/>
  <c r="N539" i="11"/>
  <c r="Q539" i="11"/>
  <c r="U539" i="11"/>
  <c r="P539" i="11"/>
  <c r="T1004" i="11"/>
  <c r="U1004" i="11"/>
  <c r="L1004" i="11"/>
  <c r="S1004" i="11"/>
  <c r="Q1004" i="11"/>
  <c r="N1004" i="11"/>
  <c r="O1004" i="11"/>
  <c r="K1004" i="11"/>
  <c r="V1004" i="11"/>
  <c r="R1004" i="11"/>
  <c r="X1004" i="11" s="1"/>
  <c r="U82" i="11"/>
  <c r="R82" i="11"/>
  <c r="X82" i="11" s="1"/>
  <c r="M82" i="11"/>
  <c r="V82" i="11"/>
  <c r="P82" i="11"/>
  <c r="K237" i="11"/>
  <c r="M237" i="11"/>
  <c r="V237" i="11"/>
  <c r="S788" i="11"/>
  <c r="U788" i="11"/>
  <c r="K788" i="11"/>
  <c r="M788" i="11"/>
  <c r="R788" i="11"/>
  <c r="X788" i="11" s="1"/>
  <c r="T788" i="11"/>
  <c r="Q788" i="11"/>
  <c r="L788" i="11"/>
  <c r="P788" i="11"/>
  <c r="O788" i="11"/>
  <c r="V788" i="11"/>
  <c r="N563" i="11"/>
  <c r="M563" i="11"/>
  <c r="S563" i="11"/>
  <c r="L563" i="11"/>
  <c r="K563" i="11"/>
  <c r="U563" i="11"/>
  <c r="R563" i="11"/>
  <c r="X563" i="11" s="1"/>
  <c r="T563" i="11"/>
  <c r="Q563" i="11"/>
  <c r="P563" i="11"/>
  <c r="V563" i="11"/>
  <c r="O563" i="11"/>
  <c r="L825" i="11"/>
  <c r="K825" i="11"/>
  <c r="Q825" i="11"/>
  <c r="O825" i="11"/>
  <c r="P825" i="11"/>
  <c r="V825" i="11"/>
  <c r="M825" i="11"/>
  <c r="N825" i="11"/>
  <c r="T825" i="11"/>
  <c r="S825" i="11"/>
  <c r="R825" i="11"/>
  <c r="X825" i="11" s="1"/>
  <c r="U825" i="11"/>
  <c r="V27" i="11"/>
  <c r="R27" i="11"/>
  <c r="X27" i="11" s="1"/>
  <c r="Q27" i="11"/>
  <c r="M678" i="11"/>
  <c r="T678" i="11"/>
  <c r="L678" i="11"/>
  <c r="S678" i="11"/>
  <c r="O678" i="11"/>
  <c r="K678" i="11"/>
  <c r="V678" i="11"/>
  <c r="R678" i="11"/>
  <c r="X678" i="11" s="1"/>
  <c r="N678" i="11"/>
  <c r="Q678" i="11"/>
  <c r="R710" i="11"/>
  <c r="X710" i="11" s="1"/>
  <c r="Q710" i="11"/>
  <c r="P710" i="11"/>
  <c r="V710" i="11"/>
  <c r="O710" i="11"/>
  <c r="U710" i="11"/>
  <c r="N710" i="11"/>
  <c r="M710" i="11"/>
  <c r="K710" i="11"/>
  <c r="T710" i="11"/>
  <c r="S710" i="11"/>
  <c r="L710" i="11"/>
  <c r="O312" i="11"/>
  <c r="R312" i="11"/>
  <c r="X312" i="11" s="1"/>
  <c r="U312" i="11"/>
  <c r="S312" i="11"/>
  <c r="Q312" i="11"/>
  <c r="V312" i="11"/>
  <c r="M312" i="11"/>
  <c r="T312" i="11"/>
  <c r="K312" i="11"/>
  <c r="L312" i="11"/>
  <c r="K639" i="11"/>
  <c r="M639" i="11"/>
  <c r="V639" i="11"/>
  <c r="S223" i="11"/>
  <c r="U223" i="11"/>
  <c r="K223" i="11"/>
  <c r="M223" i="11"/>
  <c r="R223" i="11"/>
  <c r="X223" i="11" s="1"/>
  <c r="T223" i="11"/>
  <c r="Q223" i="11"/>
  <c r="L223" i="11"/>
  <c r="P223" i="11"/>
  <c r="O223" i="11"/>
  <c r="V223" i="11"/>
  <c r="P988" i="11"/>
  <c r="U988" i="11"/>
  <c r="O988" i="11"/>
  <c r="L988" i="11"/>
  <c r="N988" i="11"/>
  <c r="K988" i="11"/>
  <c r="V988" i="11"/>
  <c r="S988" i="11"/>
  <c r="Q988" i="11"/>
  <c r="R988" i="11"/>
  <c r="X988" i="11" s="1"/>
  <c r="T988" i="11"/>
  <c r="T609" i="11"/>
  <c r="N609" i="11"/>
  <c r="Q609" i="11"/>
  <c r="V11" i="11"/>
  <c r="N11" i="11"/>
  <c r="T11" i="11"/>
  <c r="M60" i="11"/>
  <c r="T60" i="11"/>
  <c r="L60" i="11"/>
  <c r="K60" i="11"/>
  <c r="O60" i="11"/>
  <c r="R60" i="11"/>
  <c r="X60" i="11" s="1"/>
  <c r="V60" i="11"/>
  <c r="Q60" i="11"/>
  <c r="N60" i="11"/>
  <c r="P60" i="11"/>
  <c r="P778" i="11"/>
  <c r="S778" i="11"/>
  <c r="O778" i="11"/>
  <c r="K778" i="11"/>
  <c r="V778" i="11"/>
  <c r="N778" i="11"/>
  <c r="U778" i="11"/>
  <c r="M778" i="11"/>
  <c r="R778" i="11"/>
  <c r="X778" i="11" s="1"/>
  <c r="T778" i="11"/>
  <c r="Q778" i="11"/>
  <c r="V789" i="11"/>
  <c r="R789" i="11"/>
  <c r="X789" i="11" s="1"/>
  <c r="L789" i="11"/>
  <c r="M509" i="11"/>
  <c r="O509" i="11"/>
  <c r="L509" i="11"/>
  <c r="T509" i="11"/>
  <c r="K509" i="11"/>
  <c r="R509" i="11"/>
  <c r="X509" i="11" s="1"/>
  <c r="Q509" i="11"/>
  <c r="V509" i="11"/>
  <c r="P509" i="11"/>
  <c r="N509" i="11"/>
  <c r="U509" i="11"/>
  <c r="S509" i="11"/>
  <c r="T908" i="11"/>
  <c r="R908" i="11"/>
  <c r="X908" i="11" s="1"/>
  <c r="L908" i="11"/>
  <c r="Q908" i="11"/>
  <c r="M908" i="11"/>
  <c r="N908" i="11"/>
  <c r="V908" i="11"/>
  <c r="K908" i="11"/>
  <c r="U908" i="11"/>
  <c r="S908" i="11"/>
  <c r="N578" i="11"/>
  <c r="U578" i="11"/>
  <c r="S578" i="11"/>
  <c r="M578" i="11"/>
  <c r="K578" i="11"/>
  <c r="T578" i="11"/>
  <c r="R578" i="11"/>
  <c r="X578" i="11" s="1"/>
  <c r="L578" i="11"/>
  <c r="Q578" i="11"/>
  <c r="P578" i="11"/>
  <c r="O578" i="11"/>
  <c r="V578" i="11"/>
  <c r="T176" i="11"/>
  <c r="N176" i="11"/>
  <c r="Q176" i="11"/>
  <c r="V946" i="11"/>
  <c r="T946" i="11"/>
  <c r="P946" i="11"/>
  <c r="S946" i="11"/>
  <c r="Q946" i="11"/>
  <c r="K946" i="11"/>
  <c r="O946" i="11"/>
  <c r="N946" i="11"/>
  <c r="L946" i="11"/>
  <c r="T621" i="11"/>
  <c r="L621" i="11"/>
  <c r="S621" i="11"/>
  <c r="O621" i="11"/>
  <c r="K621" i="11"/>
  <c r="V621" i="11"/>
  <c r="R621" i="11"/>
  <c r="X621" i="11" s="1"/>
  <c r="N621" i="11"/>
  <c r="Q621" i="11"/>
  <c r="U621" i="11"/>
  <c r="P621" i="11"/>
  <c r="N342" i="11"/>
  <c r="Q342" i="11"/>
  <c r="U342" i="11"/>
  <c r="P342" i="11"/>
  <c r="M342" i="11"/>
  <c r="T342" i="11"/>
  <c r="L342" i="11"/>
  <c r="S342" i="11"/>
  <c r="O342" i="11"/>
  <c r="K342" i="11"/>
  <c r="V342" i="11"/>
  <c r="R342" i="11"/>
  <c r="X342" i="11" s="1"/>
  <c r="V310" i="11"/>
  <c r="R310" i="11"/>
  <c r="X310" i="11" s="1"/>
  <c r="L310" i="11"/>
  <c r="S193" i="11"/>
  <c r="R193" i="11"/>
  <c r="X193" i="11" s="1"/>
  <c r="T193" i="11"/>
  <c r="V193" i="11"/>
  <c r="U193" i="11"/>
  <c r="M193" i="11"/>
  <c r="K193" i="11"/>
  <c r="L193" i="11"/>
  <c r="Q193" i="11"/>
  <c r="P193" i="11"/>
  <c r="O193" i="11"/>
  <c r="N193" i="11"/>
  <c r="M698" i="11"/>
  <c r="Q698" i="11"/>
  <c r="N698" i="11"/>
  <c r="P698" i="11"/>
  <c r="V698" i="11"/>
  <c r="O698" i="11"/>
  <c r="L698" i="11"/>
  <c r="T698" i="11"/>
  <c r="K698" i="11"/>
  <c r="S698" i="11"/>
  <c r="V345" i="11"/>
  <c r="N345" i="11"/>
  <c r="S345" i="11"/>
  <c r="U345" i="11"/>
  <c r="K345" i="11"/>
  <c r="M345" i="11"/>
  <c r="R345" i="11"/>
  <c r="X345" i="11" s="1"/>
  <c r="T345" i="11"/>
  <c r="Q345" i="11"/>
  <c r="L345" i="11"/>
  <c r="P345" i="11"/>
  <c r="O345" i="11"/>
  <c r="Q346" i="11"/>
  <c r="N346" i="11"/>
  <c r="M346" i="11"/>
  <c r="T346" i="11"/>
  <c r="T294" i="11"/>
  <c r="L294" i="11"/>
  <c r="S294" i="11"/>
  <c r="O294" i="11"/>
  <c r="K294" i="11"/>
  <c r="V294" i="11"/>
  <c r="R294" i="11"/>
  <c r="X294" i="11" s="1"/>
  <c r="N294" i="11"/>
  <c r="Q294" i="11"/>
  <c r="U294" i="11"/>
  <c r="P294" i="11"/>
  <c r="M943" i="11"/>
  <c r="T943" i="11"/>
  <c r="S943" i="11"/>
  <c r="R943" i="11"/>
  <c r="X943" i="11" s="1"/>
  <c r="O943" i="11"/>
  <c r="P538" i="11"/>
  <c r="S538" i="11"/>
  <c r="O538" i="11"/>
  <c r="K538" i="11"/>
  <c r="V538" i="11"/>
  <c r="N538" i="11"/>
  <c r="U538" i="11"/>
  <c r="M538" i="11"/>
  <c r="R538" i="11"/>
  <c r="X538" i="11" s="1"/>
  <c r="T538" i="11"/>
  <c r="Q538" i="11"/>
  <c r="L538" i="11"/>
  <c r="R610" i="11"/>
  <c r="X610" i="11" s="1"/>
  <c r="T610" i="11"/>
  <c r="U610" i="11"/>
  <c r="K610" i="11"/>
  <c r="L610" i="11"/>
  <c r="Q610" i="11"/>
  <c r="P610" i="11"/>
  <c r="O610" i="11"/>
  <c r="V610" i="11"/>
  <c r="S610" i="11"/>
  <c r="N610" i="11"/>
  <c r="M610" i="11"/>
  <c r="V50" i="11"/>
  <c r="Q50" i="11"/>
  <c r="N50" i="11"/>
  <c r="M50" i="11"/>
  <c r="T50" i="11"/>
  <c r="L50" i="11"/>
  <c r="S50" i="11"/>
  <c r="K50" i="11"/>
  <c r="T768" i="11"/>
  <c r="N768" i="11"/>
  <c r="Q768" i="11"/>
  <c r="O909" i="11"/>
  <c r="N909" i="11"/>
  <c r="V909" i="11"/>
  <c r="P909" i="11"/>
  <c r="L909" i="11"/>
  <c r="R909" i="11"/>
  <c r="X909" i="11" s="1"/>
  <c r="M909" i="11"/>
  <c r="U909" i="11"/>
  <c r="Q909" i="11"/>
  <c r="T909" i="11"/>
  <c r="Q783" i="11"/>
  <c r="M783" i="11"/>
  <c r="O783" i="11"/>
  <c r="S783" i="11"/>
  <c r="S577" i="11"/>
  <c r="K577" i="11"/>
  <c r="R577" i="11"/>
  <c r="X577" i="11" s="1"/>
  <c r="O577" i="11"/>
  <c r="Q577" i="11"/>
  <c r="V577" i="11"/>
  <c r="P577" i="11"/>
  <c r="N577" i="11"/>
  <c r="T577" i="11"/>
  <c r="U577" i="11"/>
  <c r="L577" i="11"/>
  <c r="L328" i="11"/>
  <c r="T328" i="11"/>
  <c r="K328" i="11"/>
  <c r="O328" i="11"/>
  <c r="R328" i="11"/>
  <c r="X328" i="11" s="1"/>
  <c r="V328" i="11"/>
  <c r="Q328" i="11"/>
  <c r="N328" i="11"/>
  <c r="P328" i="11"/>
  <c r="U328" i="11"/>
  <c r="M328" i="11"/>
  <c r="S328" i="11"/>
  <c r="N635" i="11"/>
  <c r="P635" i="11"/>
  <c r="S1003" i="11"/>
  <c r="V1003" i="11"/>
  <c r="T1003" i="11"/>
  <c r="Q1003" i="11"/>
  <c r="K1003" i="11"/>
  <c r="N1003" i="11"/>
  <c r="P1003" i="11"/>
  <c r="R1003" i="11"/>
  <c r="X1003" i="11" s="1"/>
  <c r="O1003" i="11"/>
  <c r="M1003" i="11"/>
  <c r="U1003" i="11"/>
  <c r="K115" i="11"/>
  <c r="M115" i="11"/>
  <c r="R115" i="11"/>
  <c r="X115" i="11" s="1"/>
  <c r="T115" i="11"/>
  <c r="Q115" i="11"/>
  <c r="L115" i="11"/>
  <c r="P115" i="11"/>
  <c r="O115" i="11"/>
  <c r="V115" i="11"/>
  <c r="N115" i="11"/>
  <c r="S115" i="11"/>
  <c r="U115" i="11"/>
  <c r="Q637" i="11"/>
  <c r="L637" i="11"/>
  <c r="S637" i="11"/>
  <c r="N270" i="11"/>
  <c r="Q270" i="11"/>
  <c r="U270" i="11"/>
  <c r="T270" i="11"/>
  <c r="L270" i="11"/>
  <c r="S270" i="11"/>
  <c r="K270" i="11"/>
  <c r="O270" i="11"/>
  <c r="R270" i="11"/>
  <c r="X270" i="11" s="1"/>
  <c r="V270" i="11"/>
  <c r="M270" i="11"/>
  <c r="P270" i="11"/>
  <c r="V242" i="11"/>
  <c r="R242" i="11"/>
  <c r="X242" i="11" s="1"/>
  <c r="N242" i="11"/>
  <c r="Q242" i="11"/>
  <c r="U242" i="11"/>
  <c r="P242" i="11"/>
  <c r="M242" i="11"/>
  <c r="T242" i="11"/>
  <c r="L242" i="11"/>
  <c r="S242" i="11"/>
  <c r="T668" i="11"/>
  <c r="L668" i="11"/>
  <c r="S668" i="11"/>
  <c r="O668" i="11"/>
  <c r="K668" i="11"/>
  <c r="V668" i="11"/>
  <c r="R668" i="11"/>
  <c r="X668" i="11" s="1"/>
  <c r="U668" i="11"/>
  <c r="P668" i="11"/>
  <c r="N668" i="11"/>
  <c r="M668" i="11"/>
  <c r="Q668" i="11"/>
  <c r="T680" i="11"/>
  <c r="L680" i="11"/>
  <c r="S680" i="11"/>
  <c r="O680" i="11"/>
  <c r="K680" i="11"/>
  <c r="V680" i="11"/>
  <c r="R680" i="11"/>
  <c r="X680" i="11" s="1"/>
  <c r="N680" i="11"/>
  <c r="Q680" i="11"/>
  <c r="U680" i="11"/>
  <c r="P680" i="11"/>
  <c r="L860" i="11"/>
  <c r="V860" i="11"/>
  <c r="T860" i="11"/>
  <c r="S860" i="11"/>
  <c r="R860" i="11"/>
  <c r="X860" i="11" s="1"/>
  <c r="Q860" i="11"/>
  <c r="P860" i="11"/>
  <c r="U860" i="11"/>
  <c r="K624" i="11"/>
  <c r="M624" i="11"/>
  <c r="R624" i="11"/>
  <c r="X624" i="11" s="1"/>
  <c r="T624" i="11"/>
  <c r="Q624" i="11"/>
  <c r="L624" i="11"/>
  <c r="P624" i="11"/>
  <c r="O624" i="11"/>
  <c r="N624" i="11"/>
  <c r="S624" i="11"/>
  <c r="V624" i="11"/>
  <c r="T1001" i="11"/>
  <c r="S1001" i="11"/>
  <c r="V1001" i="11"/>
  <c r="L1001" i="11"/>
  <c r="L925" i="11"/>
  <c r="M925" i="11"/>
  <c r="Q925" i="11"/>
  <c r="K925" i="11"/>
  <c r="V925" i="11"/>
  <c r="N925" i="11"/>
  <c r="U925" i="11"/>
  <c r="S925" i="11"/>
  <c r="R925" i="11"/>
  <c r="X925" i="11" s="1"/>
  <c r="U726" i="11"/>
  <c r="M726" i="11"/>
  <c r="T726" i="11"/>
  <c r="Q726" i="11"/>
  <c r="L726" i="11"/>
  <c r="P726" i="11"/>
  <c r="S726" i="11"/>
  <c r="V726" i="11"/>
  <c r="R726" i="11"/>
  <c r="X726" i="11" s="1"/>
  <c r="O726" i="11"/>
  <c r="N726" i="11"/>
  <c r="K726" i="11"/>
  <c r="U540" i="11"/>
  <c r="V540" i="11"/>
  <c r="L540" i="11"/>
  <c r="Q540" i="11"/>
  <c r="K540" i="11"/>
  <c r="P540" i="11"/>
  <c r="O540" i="11"/>
  <c r="N540" i="11"/>
  <c r="M540" i="11"/>
  <c r="R540" i="11"/>
  <c r="X540" i="11" s="1"/>
  <c r="T540" i="11"/>
  <c r="S540" i="11"/>
  <c r="S948" i="11"/>
  <c r="V948" i="11"/>
  <c r="Q948" i="11"/>
  <c r="O948" i="11"/>
  <c r="U948" i="11"/>
  <c r="L948" i="11"/>
  <c r="M948" i="11"/>
  <c r="K948" i="11"/>
  <c r="P948" i="11"/>
  <c r="T948" i="11"/>
  <c r="K878" i="11"/>
  <c r="M878" i="11"/>
  <c r="R878" i="11"/>
  <c r="X878" i="11" s="1"/>
  <c r="T878" i="11"/>
  <c r="Q878" i="11"/>
  <c r="L878" i="11"/>
  <c r="P878" i="11"/>
  <c r="O878" i="11"/>
  <c r="N878" i="11"/>
  <c r="S878" i="11"/>
  <c r="V878" i="11"/>
  <c r="U878" i="11"/>
  <c r="R752" i="11"/>
  <c r="X752" i="11" s="1"/>
  <c r="T752" i="11"/>
  <c r="M752" i="11"/>
  <c r="U752" i="11"/>
  <c r="V752" i="11"/>
  <c r="K752" i="11"/>
  <c r="N752" i="11"/>
  <c r="S752" i="11"/>
  <c r="Q752" i="11"/>
  <c r="P752" i="11"/>
  <c r="O752" i="11"/>
  <c r="L752" i="11"/>
  <c r="R760" i="11"/>
  <c r="X760" i="11" s="1"/>
  <c r="Q760" i="11"/>
  <c r="S760" i="11"/>
  <c r="V760" i="11"/>
  <c r="P760" i="11"/>
  <c r="N760" i="11"/>
  <c r="O760" i="11"/>
  <c r="U760" i="11"/>
  <c r="M760" i="11"/>
  <c r="T760" i="11"/>
  <c r="K760" i="11"/>
  <c r="O53" i="11"/>
  <c r="V53" i="11"/>
  <c r="N53" i="11"/>
  <c r="S53" i="11"/>
  <c r="U53" i="11"/>
  <c r="K53" i="11"/>
  <c r="M53" i="11"/>
  <c r="Q53" i="11"/>
  <c r="L53" i="11"/>
  <c r="T53" i="11"/>
  <c r="R53" i="11"/>
  <c r="X53" i="11" s="1"/>
  <c r="V395" i="11"/>
  <c r="Q395" i="11"/>
  <c r="O395" i="11"/>
  <c r="U395" i="11"/>
  <c r="S395" i="11"/>
  <c r="M395" i="11"/>
  <c r="K395" i="11"/>
  <c r="T395" i="11"/>
  <c r="L395" i="11"/>
  <c r="R395" i="11"/>
  <c r="X395" i="11" s="1"/>
  <c r="P395" i="11"/>
  <c r="N395" i="11"/>
  <c r="M297" i="11"/>
  <c r="N297" i="11"/>
  <c r="L297" i="11"/>
  <c r="U297" i="11"/>
  <c r="T297" i="11"/>
  <c r="R297" i="11"/>
  <c r="X297" i="11" s="1"/>
  <c r="Q297" i="11"/>
  <c r="V297" i="11"/>
  <c r="K297" i="11"/>
  <c r="S297" i="11"/>
  <c r="P297" i="11"/>
  <c r="K195" i="11"/>
  <c r="M195" i="11"/>
  <c r="R195" i="11"/>
  <c r="X195" i="11" s="1"/>
  <c r="T195" i="11"/>
  <c r="Q195" i="11"/>
  <c r="L195" i="11"/>
  <c r="P195" i="11"/>
  <c r="O195" i="11"/>
  <c r="V195" i="11"/>
  <c r="N195" i="11"/>
  <c r="N558" i="11"/>
  <c r="P558" i="11"/>
  <c r="R558" i="11"/>
  <c r="X558" i="11" s="1"/>
  <c r="Q558" i="11"/>
  <c r="M558" i="11"/>
  <c r="U558" i="11"/>
  <c r="K558" i="11"/>
  <c r="T558" i="11"/>
  <c r="V558" i="11"/>
  <c r="L558" i="11"/>
  <c r="S558" i="11"/>
  <c r="O558" i="11"/>
  <c r="S210" i="11"/>
  <c r="O210" i="11"/>
  <c r="K210" i="11"/>
  <c r="V210" i="11"/>
  <c r="R210" i="11"/>
  <c r="X210" i="11" s="1"/>
  <c r="U210" i="11"/>
  <c r="P210" i="11"/>
  <c r="N210" i="11"/>
  <c r="M210" i="11"/>
  <c r="T210" i="11"/>
  <c r="L210" i="11"/>
  <c r="Q210" i="11"/>
  <c r="O814" i="11"/>
  <c r="V814" i="11"/>
  <c r="S814" i="11"/>
  <c r="U814" i="11"/>
  <c r="Q814" i="11"/>
  <c r="M814" i="11"/>
  <c r="T814" i="11"/>
  <c r="N814" i="11"/>
  <c r="L814" i="11"/>
  <c r="K814" i="11"/>
  <c r="V880" i="11"/>
  <c r="N880" i="11"/>
  <c r="S880" i="11"/>
  <c r="M880" i="11"/>
  <c r="R880" i="11"/>
  <c r="X880" i="11" s="1"/>
  <c r="T880" i="11"/>
  <c r="Q880" i="11"/>
  <c r="P880" i="11"/>
  <c r="L880" i="11"/>
  <c r="K880" i="11"/>
  <c r="O880" i="11"/>
  <c r="U880" i="11"/>
  <c r="V1007" i="11"/>
  <c r="T1007" i="11"/>
  <c r="S1007" i="11"/>
  <c r="Q1007" i="11"/>
  <c r="P1007" i="11"/>
  <c r="O1007" i="11"/>
  <c r="M1007" i="11"/>
  <c r="K1007" i="11"/>
  <c r="R1007" i="11"/>
  <c r="X1007" i="11" s="1"/>
  <c r="V196" i="11"/>
  <c r="Q196" i="11"/>
  <c r="N196" i="11"/>
  <c r="P196" i="11"/>
  <c r="U196" i="11"/>
  <c r="M196" i="11"/>
  <c r="L196" i="11"/>
  <c r="K196" i="11"/>
  <c r="N116" i="11"/>
  <c r="Q116" i="11"/>
  <c r="M116" i="11"/>
  <c r="L116" i="11"/>
  <c r="K116" i="11"/>
  <c r="O116" i="11"/>
  <c r="R116" i="11"/>
  <c r="X116" i="11" s="1"/>
  <c r="V116" i="11"/>
  <c r="P116" i="11"/>
  <c r="U116" i="11"/>
  <c r="T116" i="11"/>
  <c r="S116" i="11"/>
  <c r="P1000" i="11"/>
  <c r="M1000" i="11"/>
  <c r="O1000" i="11"/>
  <c r="H137" i="13"/>
  <c r="H142" i="13"/>
  <c r="H149" i="13"/>
  <c r="H163" i="13"/>
  <c r="H14" i="13"/>
  <c r="H22" i="13"/>
  <c r="H30" i="13"/>
  <c r="H38" i="13"/>
  <c r="H46" i="13"/>
  <c r="H54" i="13"/>
  <c r="H62" i="13"/>
  <c r="H70" i="13"/>
  <c r="H78" i="13"/>
  <c r="H147" i="13"/>
  <c r="H169" i="13"/>
  <c r="H12" i="13"/>
  <c r="H19" i="13"/>
  <c r="H28" i="13"/>
  <c r="H36" i="13"/>
  <c r="H44" i="13"/>
  <c r="H52" i="13"/>
  <c r="H60" i="13"/>
  <c r="H68" i="13"/>
  <c r="H76" i="13"/>
  <c r="H136" i="13"/>
  <c r="H153" i="13"/>
  <c r="H167" i="13"/>
  <c r="H174" i="13"/>
  <c r="H10" i="13"/>
  <c r="H34" i="13"/>
  <c r="H42" i="13"/>
  <c r="H50" i="13"/>
  <c r="H58" i="13"/>
  <c r="H66" i="13"/>
  <c r="H151" i="13"/>
  <c r="H158" i="13"/>
  <c r="H165" i="13"/>
  <c r="H8" i="13"/>
  <c r="H32" i="13"/>
  <c r="H40" i="13"/>
  <c r="H48" i="13"/>
  <c r="H56" i="13"/>
  <c r="H64" i="13"/>
  <c r="H72" i="13"/>
  <c r="H155" i="13"/>
  <c r="H177" i="13"/>
  <c r="H11" i="13"/>
  <c r="H18" i="13"/>
  <c r="H24" i="13"/>
  <c r="H35" i="13"/>
  <c r="H51" i="13"/>
  <c r="H67" i="13"/>
  <c r="H85" i="13"/>
  <c r="H93" i="13"/>
  <c r="H101" i="13"/>
  <c r="H109" i="13"/>
  <c r="H117" i="13"/>
  <c r="H125" i="13"/>
  <c r="H145" i="13"/>
  <c r="H150" i="13"/>
  <c r="H157" i="13"/>
  <c r="H20" i="13"/>
  <c r="H31" i="13"/>
  <c r="H47" i="13"/>
  <c r="H63" i="13"/>
  <c r="H91" i="13"/>
  <c r="H99" i="13"/>
  <c r="H107" i="13"/>
  <c r="H115" i="13"/>
  <c r="H123" i="13"/>
  <c r="H159" i="13"/>
  <c r="H27" i="13"/>
  <c r="H43" i="13"/>
  <c r="H59" i="13"/>
  <c r="H77" i="13"/>
  <c r="H89" i="13"/>
  <c r="H97" i="13"/>
  <c r="H105" i="13"/>
  <c r="H113" i="13"/>
  <c r="H121" i="13"/>
  <c r="H16" i="13"/>
  <c r="H25" i="13"/>
  <c r="H39" i="13"/>
  <c r="H55" i="13"/>
  <c r="H71" i="13"/>
  <c r="H87" i="13"/>
  <c r="H95" i="13"/>
  <c r="H26" i="13"/>
  <c r="H33" i="13"/>
  <c r="H65" i="13"/>
  <c r="H84" i="13"/>
  <c r="H100" i="13"/>
  <c r="H103" i="13"/>
  <c r="H104" i="13"/>
  <c r="H122" i="13"/>
  <c r="H124" i="13"/>
  <c r="H128" i="13"/>
  <c r="H139" i="13"/>
  <c r="H141" i="13"/>
  <c r="H143" i="13"/>
  <c r="H161" i="13"/>
  <c r="H29" i="13"/>
  <c r="H61" i="13"/>
  <c r="H83" i="13"/>
  <c r="H98" i="13"/>
  <c r="H131" i="13"/>
  <c r="H57" i="13"/>
  <c r="H82" i="13"/>
  <c r="H96" i="13"/>
  <c r="H106" i="13"/>
  <c r="H108" i="13"/>
  <c r="H110" i="13"/>
  <c r="H166" i="13"/>
  <c r="H53" i="13"/>
  <c r="H81" i="13"/>
  <c r="H94" i="13"/>
  <c r="H111" i="13"/>
  <c r="H112" i="13"/>
  <c r="H126" i="13"/>
  <c r="H129" i="13"/>
  <c r="H171" i="13"/>
  <c r="H173" i="13"/>
  <c r="H175" i="13"/>
  <c r="H49" i="13"/>
  <c r="H75" i="13"/>
  <c r="H92" i="13"/>
  <c r="H45" i="13"/>
  <c r="H74" i="13"/>
  <c r="H80" i="13"/>
  <c r="H90" i="13"/>
  <c r="H114" i="13"/>
  <c r="H116" i="13"/>
  <c r="H118" i="13"/>
  <c r="H127" i="13"/>
  <c r="H41" i="13"/>
  <c r="H73" i="13"/>
  <c r="H79" i="13"/>
  <c r="H88" i="13"/>
  <c r="H119" i="13"/>
  <c r="H120" i="13"/>
  <c r="H130" i="13"/>
  <c r="H37" i="13"/>
  <c r="H69" i="13"/>
  <c r="H86" i="13"/>
  <c r="H102" i="13"/>
  <c r="P365" i="11"/>
  <c r="T365" i="11"/>
  <c r="R365" i="11"/>
  <c r="X365" i="11" s="1"/>
  <c r="O365" i="11"/>
  <c r="U527" i="11"/>
  <c r="P527" i="11"/>
  <c r="S527" i="11"/>
  <c r="R527" i="11"/>
  <c r="X527" i="11" s="1"/>
  <c r="N527" i="11"/>
  <c r="O527" i="11"/>
  <c r="M527" i="11"/>
  <c r="T527" i="11"/>
  <c r="K527" i="11"/>
  <c r="Q527" i="11"/>
  <c r="V527" i="11"/>
  <c r="L527" i="11"/>
  <c r="T519" i="11"/>
  <c r="S519" i="11"/>
  <c r="V519" i="11"/>
  <c r="R519" i="11"/>
  <c r="X519" i="11" s="1"/>
  <c r="O519" i="11"/>
  <c r="N519" i="11"/>
  <c r="U519" i="11"/>
  <c r="M519" i="11"/>
  <c r="L519" i="11"/>
  <c r="K519" i="11"/>
  <c r="Q519" i="11"/>
  <c r="N29" i="11"/>
  <c r="T29" i="11"/>
  <c r="S29" i="11"/>
  <c r="L29" i="11"/>
  <c r="K29" i="11"/>
  <c r="U29" i="11"/>
  <c r="P29" i="11"/>
  <c r="M29" i="11"/>
  <c r="O29" i="11"/>
  <c r="R996" i="11"/>
  <c r="X996" i="11" s="1"/>
  <c r="O996" i="11"/>
  <c r="U996" i="11"/>
  <c r="P996" i="11"/>
  <c r="O358" i="11"/>
  <c r="K358" i="11"/>
  <c r="N358" i="11"/>
  <c r="Q358" i="11"/>
  <c r="M358" i="11"/>
  <c r="V358" i="11"/>
  <c r="U358" i="11"/>
  <c r="T358" i="11"/>
  <c r="L358" i="11"/>
  <c r="S358" i="11"/>
  <c r="R358" i="11"/>
  <c r="X358" i="11" s="1"/>
  <c r="N84" i="11"/>
  <c r="Q84" i="11"/>
  <c r="U84" i="11"/>
  <c r="P84" i="11"/>
  <c r="M84" i="11"/>
  <c r="T84" i="11"/>
  <c r="S84" i="11"/>
  <c r="O84" i="11"/>
  <c r="K84" i="11"/>
  <c r="V657" i="11"/>
  <c r="Q657" i="11"/>
  <c r="O657" i="11"/>
  <c r="U657" i="11"/>
  <c r="S657" i="11"/>
  <c r="M657" i="11"/>
  <c r="K657" i="11"/>
  <c r="T657" i="11"/>
  <c r="R657" i="11"/>
  <c r="X657" i="11" s="1"/>
  <c r="P657" i="11"/>
  <c r="N657" i="11"/>
  <c r="L657" i="11"/>
  <c r="V887" i="11"/>
  <c r="U887" i="11"/>
  <c r="R887" i="11"/>
  <c r="X887" i="11" s="1"/>
  <c r="T887" i="11"/>
  <c r="Q887" i="11"/>
  <c r="P887" i="11"/>
  <c r="O887" i="11"/>
  <c r="N887" i="11"/>
  <c r="M887" i="11"/>
  <c r="L887" i="11"/>
  <c r="S887" i="11"/>
  <c r="O212" i="11"/>
  <c r="K212" i="11"/>
  <c r="N212" i="11"/>
  <c r="Q212" i="11"/>
  <c r="V212" i="11"/>
  <c r="U212" i="11"/>
  <c r="M212" i="11"/>
  <c r="T212" i="11"/>
  <c r="L212" i="11"/>
  <c r="S212" i="11"/>
  <c r="R212" i="11"/>
  <c r="X212" i="11" s="1"/>
  <c r="M924" i="11"/>
  <c r="U924" i="11"/>
  <c r="M998" i="11"/>
  <c r="P998" i="11"/>
  <c r="T981" i="11"/>
  <c r="U981" i="11"/>
  <c r="R981" i="11"/>
  <c r="X981" i="11" s="1"/>
  <c r="L981" i="11"/>
  <c r="N981" i="11"/>
  <c r="M981" i="11"/>
  <c r="T939" i="11"/>
  <c r="L939" i="11"/>
  <c r="N939" i="11"/>
  <c r="R939" i="11"/>
  <c r="X939" i="11" s="1"/>
  <c r="S939" i="11"/>
  <c r="K939" i="11"/>
  <c r="Q939" i="11"/>
  <c r="V939" i="11"/>
  <c r="U939" i="11"/>
  <c r="P939" i="11"/>
  <c r="O939" i="11"/>
  <c r="O990" i="11"/>
  <c r="L990" i="11"/>
  <c r="N990" i="11"/>
  <c r="M990" i="11"/>
  <c r="T990" i="11"/>
  <c r="Q990" i="11"/>
  <c r="K990" i="11"/>
  <c r="V990" i="11"/>
  <c r="S990" i="11"/>
  <c r="L993" i="11"/>
  <c r="K993" i="11"/>
  <c r="S993" i="11"/>
  <c r="T993" i="11"/>
  <c r="Q993" i="11"/>
  <c r="V516" i="11"/>
  <c r="O516" i="11"/>
  <c r="U516" i="11"/>
  <c r="T516" i="11"/>
  <c r="R516" i="11"/>
  <c r="X516" i="11" s="1"/>
  <c r="L516" i="11"/>
  <c r="Q516" i="11"/>
  <c r="S516" i="11"/>
  <c r="P516" i="11"/>
  <c r="N516" i="11"/>
  <c r="M516" i="11"/>
  <c r="K516" i="11"/>
  <c r="N150" i="11"/>
  <c r="Q150" i="11"/>
  <c r="M150" i="11"/>
  <c r="U150" i="11"/>
  <c r="T150" i="11"/>
  <c r="L150" i="11"/>
  <c r="S150" i="11"/>
  <c r="K150" i="11"/>
  <c r="R150" i="11"/>
  <c r="X150" i="11" s="1"/>
  <c r="O150" i="11"/>
  <c r="P150" i="11"/>
  <c r="M912" i="11"/>
  <c r="R912" i="11"/>
  <c r="X912" i="11" s="1"/>
  <c r="L912" i="11"/>
  <c r="S912" i="11"/>
  <c r="Q912" i="11"/>
  <c r="P912" i="11"/>
  <c r="N912" i="11"/>
  <c r="V912" i="11"/>
  <c r="U912" i="11"/>
  <c r="K912" i="11"/>
  <c r="P942" i="11"/>
  <c r="U942" i="11"/>
  <c r="V521" i="11"/>
  <c r="R521" i="11"/>
  <c r="X521" i="11" s="1"/>
  <c r="N521" i="11"/>
  <c r="P521" i="11"/>
  <c r="M521" i="11"/>
  <c r="L521" i="11"/>
  <c r="S521" i="11"/>
  <c r="K521" i="11"/>
  <c r="U521" i="11"/>
  <c r="T521" i="11"/>
  <c r="Q521" i="11"/>
  <c r="O521" i="11"/>
  <c r="R618" i="11"/>
  <c r="X618" i="11" s="1"/>
  <c r="T618" i="11"/>
  <c r="P618" i="11"/>
  <c r="S618" i="11"/>
  <c r="L618" i="11"/>
  <c r="K618" i="11"/>
  <c r="Q618" i="11"/>
  <c r="O618" i="11"/>
  <c r="V618" i="11"/>
  <c r="N618" i="11"/>
  <c r="U618" i="11"/>
  <c r="V564" i="11"/>
  <c r="L564" i="11"/>
  <c r="S564" i="11"/>
  <c r="P564" i="11"/>
  <c r="Q564" i="11"/>
  <c r="K564" i="11"/>
  <c r="O564" i="11"/>
  <c r="N564" i="11"/>
  <c r="R564" i="11"/>
  <c r="X564" i="11" s="1"/>
  <c r="T564" i="11"/>
  <c r="U564" i="11"/>
  <c r="M564" i="11"/>
  <c r="S265" i="11"/>
  <c r="U265" i="11"/>
  <c r="P265" i="11"/>
  <c r="V265" i="11"/>
  <c r="M265" i="11"/>
  <c r="K265" i="11"/>
  <c r="T265" i="11"/>
  <c r="R265" i="11"/>
  <c r="X265" i="11" s="1"/>
  <c r="L265" i="11"/>
  <c r="Q265" i="11"/>
  <c r="O265" i="11"/>
  <c r="N265" i="11"/>
  <c r="O22" i="11"/>
  <c r="L22" i="11"/>
  <c r="V22" i="11"/>
  <c r="S22" i="11"/>
  <c r="U22" i="11"/>
  <c r="K22" i="11"/>
  <c r="T22" i="11"/>
  <c r="R22" i="11"/>
  <c r="X22" i="11" s="1"/>
  <c r="P22" i="11"/>
  <c r="Q22" i="11"/>
  <c r="N22" i="11"/>
  <c r="V938" i="11"/>
  <c r="U938" i="11"/>
  <c r="K938" i="11"/>
  <c r="R938" i="11"/>
  <c r="X938" i="11" s="1"/>
  <c r="S938" i="11"/>
  <c r="Q938" i="11"/>
  <c r="N938" i="11"/>
  <c r="M938" i="11"/>
  <c r="T938" i="11"/>
  <c r="L938" i="11"/>
  <c r="O938" i="11"/>
  <c r="V288" i="11"/>
  <c r="R288" i="11"/>
  <c r="X288" i="11" s="1"/>
  <c r="K288" i="11"/>
  <c r="N288" i="11"/>
  <c r="P288" i="11"/>
  <c r="M288" i="11"/>
  <c r="T288" i="11"/>
  <c r="L288" i="11"/>
  <c r="O288" i="11"/>
  <c r="U288" i="11"/>
  <c r="S288" i="11"/>
  <c r="Q288" i="11"/>
  <c r="P901" i="11"/>
  <c r="N901" i="11"/>
  <c r="M901" i="11"/>
  <c r="V901" i="11"/>
  <c r="S901" i="11"/>
  <c r="T901" i="11"/>
  <c r="K901" i="11"/>
  <c r="R901" i="11"/>
  <c r="X901" i="11" s="1"/>
  <c r="U901" i="11"/>
  <c r="Q901" i="11"/>
  <c r="L901" i="11"/>
  <c r="O892" i="11"/>
  <c r="N892" i="11"/>
  <c r="M892" i="11"/>
  <c r="L892" i="11"/>
  <c r="K892" i="11"/>
  <c r="R892" i="11"/>
  <c r="X892" i="11" s="1"/>
  <c r="S892" i="11"/>
  <c r="Q892" i="11"/>
  <c r="P892" i="11"/>
  <c r="V892" i="11"/>
  <c r="U892" i="11"/>
  <c r="T892" i="11"/>
  <c r="V999" i="11"/>
  <c r="K999" i="11"/>
  <c r="S999" i="11"/>
  <c r="L999" i="11"/>
  <c r="N999" i="11"/>
  <c r="T999" i="11"/>
  <c r="Q999" i="11"/>
  <c r="P999" i="11"/>
  <c r="M999" i="11"/>
  <c r="U999" i="11"/>
  <c r="R999" i="11"/>
  <c r="X999" i="11" s="1"/>
  <c r="R900" i="11"/>
  <c r="X900" i="11" s="1"/>
  <c r="M900" i="11"/>
  <c r="U900" i="11"/>
  <c r="O900" i="11"/>
  <c r="P900" i="11"/>
  <c r="L900" i="11"/>
  <c r="T900" i="11"/>
  <c r="K263" i="11"/>
  <c r="M263" i="11"/>
  <c r="P263" i="11"/>
  <c r="V263" i="11"/>
  <c r="U263" i="11"/>
  <c r="S263" i="11"/>
  <c r="T263" i="11"/>
  <c r="R263" i="11"/>
  <c r="X263" i="11" s="1"/>
  <c r="L263" i="11"/>
  <c r="N263" i="11"/>
  <c r="Q263" i="11"/>
  <c r="O263" i="11"/>
  <c r="R1008" i="11"/>
  <c r="X1008" i="11" s="1"/>
  <c r="P1008" i="11"/>
  <c r="O1008" i="11"/>
  <c r="O588" i="11"/>
  <c r="K588" i="11"/>
  <c r="T588" i="11"/>
  <c r="Q588" i="11"/>
  <c r="V588" i="11"/>
  <c r="N588" i="11"/>
  <c r="U588" i="11"/>
  <c r="S588" i="11"/>
  <c r="R588" i="11"/>
  <c r="X588" i="11" s="1"/>
  <c r="P588" i="11"/>
  <c r="M588" i="11"/>
  <c r="L588" i="11"/>
  <c r="V567" i="11"/>
  <c r="T567" i="11"/>
  <c r="R567" i="11"/>
  <c r="X567" i="11" s="1"/>
  <c r="O567" i="11"/>
  <c r="Q567" i="11"/>
  <c r="U567" i="11"/>
  <c r="M567" i="11"/>
  <c r="S567" i="11"/>
  <c r="P567" i="11"/>
  <c r="L567" i="11"/>
  <c r="N567" i="11"/>
  <c r="K567" i="11"/>
  <c r="L955" i="11"/>
  <c r="T955" i="11"/>
  <c r="U982" i="11"/>
  <c r="M982" i="11"/>
  <c r="T982" i="11"/>
  <c r="K982" i="11"/>
  <c r="V982" i="11"/>
  <c r="P982" i="11"/>
  <c r="L982" i="11"/>
  <c r="R982" i="11"/>
  <c r="X982" i="11" s="1"/>
  <c r="Q982" i="11"/>
  <c r="S982" i="11"/>
  <c r="N982" i="11"/>
  <c r="M80" i="11"/>
  <c r="T80" i="11"/>
  <c r="S80" i="11"/>
  <c r="O80" i="11"/>
  <c r="R80" i="11"/>
  <c r="X80" i="11" s="1"/>
  <c r="V80" i="11"/>
  <c r="Q80" i="11"/>
  <c r="N80" i="11"/>
  <c r="P80" i="11"/>
  <c r="U80" i="11"/>
  <c r="L80" i="11"/>
  <c r="K80" i="11"/>
  <c r="O994" i="11"/>
  <c r="U994" i="11"/>
  <c r="R994" i="11"/>
  <c r="X994" i="11" s="1"/>
  <c r="T994" i="11"/>
  <c r="N994" i="11"/>
  <c r="K994" i="11"/>
  <c r="M994" i="11"/>
  <c r="Q994" i="11"/>
  <c r="L994" i="11"/>
  <c r="V994" i="11"/>
  <c r="S994" i="11"/>
  <c r="K604" i="11"/>
  <c r="M604" i="11"/>
  <c r="P604" i="11"/>
  <c r="V604" i="11"/>
  <c r="U604" i="11"/>
  <c r="S604" i="11"/>
  <c r="T604" i="11"/>
  <c r="R604" i="11"/>
  <c r="X604" i="11" s="1"/>
  <c r="L604" i="11"/>
  <c r="Q604" i="11"/>
  <c r="O604" i="11"/>
  <c r="N604" i="11"/>
  <c r="O702" i="11"/>
  <c r="M702" i="11"/>
  <c r="K702" i="11"/>
  <c r="Q702" i="11"/>
  <c r="N702" i="11"/>
  <c r="V702" i="11"/>
  <c r="L702" i="11"/>
  <c r="P702" i="11"/>
  <c r="T702" i="11"/>
  <c r="S702" i="11"/>
  <c r="U702" i="11"/>
  <c r="R702" i="11"/>
  <c r="X702" i="11" s="1"/>
  <c r="K608" i="11"/>
  <c r="M608" i="11"/>
  <c r="N608" i="11"/>
  <c r="S608" i="11"/>
  <c r="T608" i="11"/>
  <c r="Q608" i="11"/>
  <c r="P608" i="11"/>
  <c r="O608" i="11"/>
  <c r="R608" i="11"/>
  <c r="X608" i="11" s="1"/>
  <c r="V608" i="11"/>
  <c r="U608" i="11"/>
  <c r="L608" i="11"/>
  <c r="M743" i="11"/>
  <c r="V743" i="11"/>
  <c r="L743" i="11"/>
  <c r="K743" i="11"/>
  <c r="R743" i="11"/>
  <c r="X743" i="11" s="1"/>
  <c r="S743" i="11"/>
  <c r="O743" i="11"/>
  <c r="Q743" i="11"/>
  <c r="U743" i="11"/>
  <c r="T743" i="11"/>
  <c r="P743" i="11"/>
  <c r="R745" i="11"/>
  <c r="X745" i="11" s="1"/>
  <c r="U745" i="11"/>
  <c r="S745" i="11"/>
  <c r="T745" i="11"/>
  <c r="P745" i="11"/>
  <c r="N745" i="11"/>
  <c r="V745" i="11"/>
  <c r="M745" i="11"/>
  <c r="Q745" i="11"/>
  <c r="O745" i="11"/>
  <c r="L745" i="11"/>
  <c r="K745" i="11"/>
  <c r="T945" i="11"/>
  <c r="O945" i="11"/>
  <c r="U945" i="11"/>
  <c r="L945" i="11"/>
  <c r="R945" i="11"/>
  <c r="X945" i="11" s="1"/>
  <c r="V945" i="11"/>
  <c r="Q945" i="11"/>
  <c r="M945" i="11"/>
  <c r="K945" i="11"/>
  <c r="S945" i="11"/>
  <c r="P945" i="11"/>
  <c r="N945" i="11"/>
  <c r="M992" i="11"/>
  <c r="U992" i="11"/>
  <c r="N992" i="11"/>
  <c r="T992" i="11"/>
  <c r="Q992" i="11"/>
  <c r="O992" i="11"/>
  <c r="V992" i="11"/>
  <c r="K992" i="11"/>
  <c r="P992" i="11"/>
  <c r="L992" i="11"/>
  <c r="S992" i="11"/>
  <c r="P363" i="11"/>
  <c r="S363" i="11"/>
  <c r="M363" i="11"/>
  <c r="R363" i="11"/>
  <c r="X363" i="11" s="1"/>
  <c r="L363" i="11"/>
  <c r="O363" i="11"/>
  <c r="V363" i="11"/>
  <c r="N363" i="11"/>
  <c r="K363" i="11"/>
  <c r="Q363" i="11"/>
  <c r="U363" i="11"/>
  <c r="T363" i="11"/>
  <c r="O615" i="11"/>
  <c r="K615" i="11"/>
  <c r="L615" i="11"/>
  <c r="R615" i="11"/>
  <c r="X615" i="11" s="1"/>
  <c r="N615" i="11"/>
  <c r="P615" i="11"/>
  <c r="U615" i="11"/>
  <c r="M615" i="11"/>
  <c r="V615" i="11"/>
  <c r="T615" i="11"/>
  <c r="S615" i="11"/>
  <c r="Q615" i="11"/>
  <c r="Q269" i="11"/>
  <c r="L269" i="11"/>
  <c r="O269" i="11"/>
  <c r="N269" i="11"/>
  <c r="S269" i="11"/>
  <c r="U269" i="11"/>
  <c r="K269" i="11"/>
  <c r="M269" i="11"/>
  <c r="R269" i="11"/>
  <c r="X269" i="11" s="1"/>
  <c r="P269" i="11"/>
  <c r="V269" i="11"/>
  <c r="T269" i="11"/>
  <c r="U828" i="11"/>
  <c r="K828" i="11"/>
  <c r="Q828" i="11"/>
  <c r="P828" i="11"/>
  <c r="T828" i="11"/>
  <c r="O828" i="11"/>
  <c r="V828" i="11"/>
  <c r="S828" i="11"/>
  <c r="R828" i="11"/>
  <c r="X828" i="11" s="1"/>
  <c r="N828" i="11"/>
  <c r="M828" i="11"/>
  <c r="L828" i="11"/>
  <c r="S368" i="11"/>
  <c r="V368" i="11"/>
  <c r="R368" i="11"/>
  <c r="X368" i="11" s="1"/>
  <c r="U368" i="11"/>
  <c r="P368" i="11"/>
  <c r="M368" i="11"/>
  <c r="T368" i="11"/>
  <c r="L368" i="11"/>
  <c r="K368" i="11"/>
  <c r="Q368" i="11"/>
  <c r="O368" i="11"/>
  <c r="N368" i="11"/>
  <c r="Q631" i="11"/>
  <c r="L631" i="11"/>
  <c r="O631" i="11"/>
  <c r="N631" i="11"/>
  <c r="S631" i="11"/>
  <c r="U631" i="11"/>
  <c r="K631" i="11"/>
  <c r="M631" i="11"/>
  <c r="R631" i="11"/>
  <c r="X631" i="11" s="1"/>
  <c r="P631" i="11"/>
  <c r="V631" i="11"/>
  <c r="T631" i="11"/>
  <c r="L893" i="11"/>
  <c r="P893" i="11"/>
  <c r="N893" i="11"/>
  <c r="R893" i="11"/>
  <c r="X893" i="11" s="1"/>
  <c r="V893" i="11"/>
  <c r="M893" i="11"/>
  <c r="O893" i="11"/>
  <c r="U893" i="11"/>
  <c r="T893" i="11"/>
  <c r="K893" i="11"/>
  <c r="S893" i="11"/>
  <c r="Q893" i="11"/>
  <c r="O17" i="11"/>
  <c r="Q17" i="11"/>
  <c r="L17" i="11"/>
  <c r="S17" i="11"/>
  <c r="U17" i="11"/>
  <c r="N17" i="11"/>
  <c r="T17" i="11"/>
  <c r="M17" i="11"/>
  <c r="R17" i="11"/>
  <c r="X17" i="11" s="1"/>
  <c r="P17" i="11"/>
  <c r="K17" i="11"/>
  <c r="V17" i="11"/>
  <c r="R725" i="11"/>
  <c r="X725" i="11" s="1"/>
  <c r="T725" i="11"/>
  <c r="V725" i="11"/>
  <c r="S725" i="11"/>
  <c r="K725" i="11"/>
  <c r="Q725" i="11"/>
  <c r="P725" i="11"/>
  <c r="O725" i="11"/>
  <c r="N725" i="11"/>
  <c r="U725" i="11"/>
  <c r="M725" i="11"/>
  <c r="L725" i="11"/>
  <c r="R391" i="11"/>
  <c r="X391" i="11" s="1"/>
  <c r="T391" i="11"/>
  <c r="V391" i="11"/>
  <c r="S391" i="11"/>
  <c r="U391" i="11"/>
  <c r="O391" i="11"/>
  <c r="N391" i="11"/>
  <c r="M391" i="11"/>
  <c r="L391" i="11"/>
  <c r="K391" i="11"/>
  <c r="Q391" i="11"/>
  <c r="L300" i="11"/>
  <c r="N300" i="11"/>
  <c r="Q300" i="11"/>
  <c r="M300" i="11"/>
  <c r="S300" i="11"/>
  <c r="K300" i="11"/>
  <c r="R300" i="11"/>
  <c r="X300" i="11" s="1"/>
  <c r="P300" i="11"/>
  <c r="O300" i="11"/>
  <c r="V300" i="11"/>
  <c r="U300" i="11"/>
  <c r="T300" i="11"/>
  <c r="S674" i="11"/>
  <c r="M674" i="11"/>
  <c r="L674" i="11"/>
  <c r="N677" i="11"/>
  <c r="Q677" i="11"/>
  <c r="L677" i="11"/>
  <c r="O677" i="11"/>
  <c r="P677" i="11"/>
  <c r="V677" i="11"/>
  <c r="U677" i="11"/>
  <c r="M677" i="11"/>
  <c r="T677" i="11"/>
  <c r="S677" i="11"/>
  <c r="K677" i="11"/>
  <c r="R677" i="11"/>
  <c r="X677" i="11" s="1"/>
  <c r="S707" i="11"/>
  <c r="K707" i="11"/>
  <c r="M707" i="11"/>
  <c r="P707" i="11"/>
  <c r="L707" i="11"/>
  <c r="O707" i="11"/>
  <c r="N707" i="11"/>
  <c r="V707" i="11"/>
  <c r="U707" i="11"/>
  <c r="Q707" i="11"/>
  <c r="T707" i="11"/>
  <c r="R707" i="11"/>
  <c r="X707" i="11" s="1"/>
  <c r="N187" i="11"/>
  <c r="Q187" i="11"/>
  <c r="L187" i="11"/>
  <c r="O187" i="11"/>
  <c r="V187" i="11"/>
  <c r="U187" i="11"/>
  <c r="M187" i="11"/>
  <c r="T187" i="11"/>
  <c r="S187" i="11"/>
  <c r="K187" i="11"/>
  <c r="R187" i="11"/>
  <c r="X187" i="11" s="1"/>
  <c r="P187" i="11"/>
  <c r="K1000" i="11"/>
  <c r="S817" i="11"/>
  <c r="Q817" i="11"/>
  <c r="P253" i="11"/>
  <c r="T918" i="11"/>
  <c r="U918" i="11"/>
  <c r="Q684" i="11"/>
  <c r="N684" i="11"/>
  <c r="V671" i="11"/>
  <c r="M637" i="11"/>
  <c r="L635" i="11"/>
  <c r="K635" i="11"/>
  <c r="V783" i="11"/>
  <c r="V768" i="11"/>
  <c r="Q310" i="11"/>
  <c r="O310" i="11"/>
  <c r="V176" i="11"/>
  <c r="U789" i="11"/>
  <c r="M609" i="11"/>
  <c r="O639" i="11"/>
  <c r="T27" i="11"/>
  <c r="U237" i="11"/>
  <c r="S625" i="11"/>
  <c r="Q28" i="11"/>
  <c r="O28" i="11"/>
  <c r="V628" i="11"/>
  <c r="N907" i="11"/>
  <c r="P65" i="11"/>
  <c r="O351" i="11"/>
  <c r="P844" i="11"/>
  <c r="V570" i="11"/>
  <c r="L214" i="11"/>
  <c r="U620" i="11"/>
  <c r="Q505" i="11"/>
  <c r="M775" i="11"/>
  <c r="T775" i="11"/>
  <c r="K406" i="11"/>
  <c r="U426" i="11"/>
  <c r="L84" i="11"/>
  <c r="P814" i="11"/>
  <c r="N860" i="11"/>
  <c r="U698" i="11"/>
  <c r="N788" i="11"/>
  <c r="R829" i="11"/>
  <c r="X829" i="11" s="1"/>
  <c r="M533" i="11"/>
  <c r="O901" i="11"/>
  <c r="K887" i="11"/>
  <c r="L778" i="11"/>
  <c r="T6" i="11"/>
  <c r="P310" i="11"/>
  <c r="P176" i="11"/>
  <c r="O176" i="11"/>
  <c r="N789" i="11"/>
  <c r="U609" i="11"/>
  <c r="P639" i="11"/>
  <c r="N27" i="11"/>
  <c r="N237" i="11"/>
  <c r="K625" i="11"/>
  <c r="U28" i="11"/>
  <c r="L628" i="11"/>
  <c r="O628" i="11"/>
  <c r="P907" i="11"/>
  <c r="Q65" i="11"/>
  <c r="P351" i="11"/>
  <c r="Q844" i="11"/>
  <c r="O570" i="11"/>
  <c r="T214" i="11"/>
  <c r="N620" i="11"/>
  <c r="R505" i="11"/>
  <c r="X505" i="11" s="1"/>
  <c r="N775" i="11"/>
  <c r="N555" i="11"/>
  <c r="T406" i="11"/>
  <c r="O426" i="11"/>
  <c r="V84" i="11"/>
  <c r="R814" i="11"/>
  <c r="X814" i="11" s="1"/>
  <c r="M680" i="11"/>
  <c r="M621" i="11"/>
  <c r="O539" i="11"/>
  <c r="L600" i="11"/>
  <c r="S523" i="11"/>
  <c r="M22" i="11"/>
  <c r="P358" i="11"/>
  <c r="K435" i="11"/>
  <c r="O964" i="11"/>
  <c r="N1000" i="11"/>
  <c r="T817" i="11"/>
  <c r="T253" i="11"/>
  <c r="R253" i="11"/>
  <c r="X253" i="11" s="1"/>
  <c r="K918" i="11"/>
  <c r="M1001" i="11"/>
  <c r="K684" i="11"/>
  <c r="O684" i="11"/>
  <c r="P671" i="11"/>
  <c r="N637" i="11"/>
  <c r="M635" i="11"/>
  <c r="P783" i="11"/>
  <c r="R768" i="11"/>
  <c r="X768" i="11" s="1"/>
  <c r="P768" i="11"/>
  <c r="K310" i="11"/>
  <c r="R176" i="11"/>
  <c r="X176" i="11" s="1"/>
  <c r="P789" i="11"/>
  <c r="O789" i="11"/>
  <c r="V609" i="11"/>
  <c r="Q639" i="11"/>
  <c r="O27" i="11"/>
  <c r="O237" i="11"/>
  <c r="T625" i="11"/>
  <c r="P28" i="11"/>
  <c r="P628" i="11"/>
  <c r="O907" i="11"/>
  <c r="S907" i="11"/>
  <c r="K65" i="11"/>
  <c r="Q351" i="11"/>
  <c r="S844" i="11"/>
  <c r="R570" i="11"/>
  <c r="X570" i="11" s="1"/>
  <c r="M214" i="11"/>
  <c r="O620" i="11"/>
  <c r="S505" i="11"/>
  <c r="V775" i="11"/>
  <c r="Q555" i="11"/>
  <c r="N406" i="11"/>
  <c r="M689" i="11"/>
  <c r="Q29" i="11"/>
  <c r="U195" i="11"/>
  <c r="K242" i="11"/>
  <c r="P908" i="11"/>
  <c r="M539" i="11"/>
  <c r="K600" i="11"/>
  <c r="V811" i="11"/>
  <c r="M618" i="11"/>
  <c r="P519" i="11"/>
  <c r="S792" i="11"/>
  <c r="L1000" i="11"/>
  <c r="M817" i="11"/>
  <c r="M253" i="11"/>
  <c r="K253" i="11"/>
  <c r="L918" i="11"/>
  <c r="O1001" i="11"/>
  <c r="S684" i="11"/>
  <c r="L671" i="11"/>
  <c r="Q671" i="11"/>
  <c r="V637" i="11"/>
  <c r="U635" i="11"/>
  <c r="R783" i="11"/>
  <c r="X783" i="11" s="1"/>
  <c r="K768" i="11"/>
  <c r="P943" i="11"/>
  <c r="S310" i="11"/>
  <c r="K176" i="11"/>
  <c r="Q789" i="11"/>
  <c r="P609" i="11"/>
  <c r="O609" i="11"/>
  <c r="R639" i="11"/>
  <c r="X639" i="11" s="1"/>
  <c r="P27" i="11"/>
  <c r="P237" i="11"/>
  <c r="L625" i="11"/>
  <c r="R28" i="11"/>
  <c r="X28" i="11" s="1"/>
  <c r="Q628" i="11"/>
  <c r="R907" i="11"/>
  <c r="X907" i="11" s="1"/>
  <c r="L65" i="11"/>
  <c r="S65" i="11"/>
  <c r="R351" i="11"/>
  <c r="X351" i="11" s="1"/>
  <c r="L844" i="11"/>
  <c r="K570" i="11"/>
  <c r="U214" i="11"/>
  <c r="P620" i="11"/>
  <c r="L505" i="11"/>
  <c r="O775" i="11"/>
  <c r="S555" i="11"/>
  <c r="V406" i="11"/>
  <c r="V689" i="11"/>
  <c r="V29" i="11"/>
  <c r="S195" i="11"/>
  <c r="O242" i="11"/>
  <c r="O908" i="11"/>
  <c r="L134" i="11"/>
  <c r="M816" i="11"/>
  <c r="P636" i="11"/>
  <c r="T912" i="11"/>
  <c r="U1007" i="11"/>
  <c r="U787" i="11"/>
  <c r="M295" i="11"/>
  <c r="T1000" i="11"/>
  <c r="U817" i="11"/>
  <c r="U253" i="11"/>
  <c r="S253" i="11"/>
  <c r="N918" i="11"/>
  <c r="R1001" i="11"/>
  <c r="X1001" i="11" s="1"/>
  <c r="L684" i="11"/>
  <c r="T671" i="11"/>
  <c r="R671" i="11"/>
  <c r="X671" i="11" s="1"/>
  <c r="O637" i="11"/>
  <c r="V635" i="11"/>
  <c r="K783" i="11"/>
  <c r="S768" i="11"/>
  <c r="U943" i="11"/>
  <c r="T310" i="11"/>
  <c r="S176" i="11"/>
  <c r="K789" i="11"/>
  <c r="R609" i="11"/>
  <c r="X609" i="11" s="1"/>
  <c r="L639" i="11"/>
  <c r="S639" i="11"/>
  <c r="K27" i="11"/>
  <c r="Q237" i="11"/>
  <c r="N625" i="11"/>
  <c r="S28" i="11"/>
  <c r="R628" i="11"/>
  <c r="X628" i="11" s="1"/>
  <c r="Q907" i="11"/>
  <c r="M65" i="11"/>
  <c r="L351" i="11"/>
  <c r="S351" i="11"/>
  <c r="L570" i="11"/>
  <c r="S570" i="11"/>
  <c r="V214" i="11"/>
  <c r="R620" i="11"/>
  <c r="X620" i="11" s="1"/>
  <c r="T505" i="11"/>
  <c r="Q775" i="11"/>
  <c r="K555" i="11"/>
  <c r="R206" i="11"/>
  <c r="X206" i="11" s="1"/>
  <c r="K689" i="11"/>
  <c r="R29" i="11"/>
  <c r="X29" i="11" s="1"/>
  <c r="L760" i="11"/>
  <c r="R50" i="11"/>
  <c r="X50" i="11" s="1"/>
  <c r="U60" i="11"/>
  <c r="S766" i="11"/>
  <c r="V514" i="11"/>
  <c r="V636" i="11"/>
  <c r="O912" i="11"/>
  <c r="O297" i="11"/>
  <c r="L987" i="11"/>
  <c r="R817" i="11"/>
  <c r="X817" i="11" s="1"/>
  <c r="P918" i="11"/>
  <c r="P1001" i="11"/>
  <c r="M671" i="11"/>
  <c r="P637" i="11"/>
  <c r="O635" i="11"/>
  <c r="T783" i="11"/>
  <c r="L768" i="11"/>
  <c r="N943" i="11"/>
  <c r="M310" i="11"/>
  <c r="L176" i="11"/>
  <c r="S789" i="11"/>
  <c r="K609" i="11"/>
  <c r="T639" i="11"/>
  <c r="M27" i="11"/>
  <c r="S27" i="11"/>
  <c r="R237" i="11"/>
  <c r="X237" i="11" s="1"/>
  <c r="O625" i="11"/>
  <c r="L28" i="11"/>
  <c r="K628" i="11"/>
  <c r="U907" i="11"/>
  <c r="U65" i="11"/>
  <c r="T351" i="11"/>
  <c r="T844" i="11"/>
  <c r="T570" i="11"/>
  <c r="P214" i="11"/>
  <c r="O214" i="11"/>
  <c r="K620" i="11"/>
  <c r="M505" i="11"/>
  <c r="R775" i="11"/>
  <c r="X775" i="11" s="1"/>
  <c r="U555" i="11"/>
  <c r="L206" i="11"/>
  <c r="O757" i="11"/>
  <c r="R196" i="11"/>
  <c r="X196" i="11" s="1"/>
  <c r="R948" i="11"/>
  <c r="X948" i="11" s="1"/>
  <c r="O50" i="11"/>
  <c r="N223" i="11"/>
  <c r="S705" i="11"/>
  <c r="N794" i="11"/>
  <c r="O12" i="11"/>
  <c r="V150" i="11"/>
  <c r="P53" i="11"/>
  <c r="P391" i="11"/>
  <c r="S843" i="11"/>
  <c r="U843" i="11"/>
  <c r="N843" i="11"/>
  <c r="T941" i="11"/>
  <c r="L941" i="11"/>
  <c r="R941" i="11"/>
  <c r="X941" i="11" s="1"/>
  <c r="N551" i="11"/>
  <c r="Q551" i="11"/>
  <c r="V770" i="11"/>
  <c r="R770" i="11"/>
  <c r="X770" i="11" s="1"/>
  <c r="N560" i="11"/>
  <c r="M560" i="11"/>
  <c r="K399" i="11"/>
  <c r="M399" i="11"/>
  <c r="T966" i="11"/>
  <c r="V966" i="11"/>
  <c r="L966" i="11"/>
  <c r="O966" i="11"/>
  <c r="N966" i="11"/>
  <c r="M836" i="11"/>
  <c r="V997" i="11"/>
  <c r="U802" i="11"/>
  <c r="R1002" i="11"/>
  <c r="X1002" i="11" s="1"/>
  <c r="V985" i="11"/>
  <c r="L962" i="11"/>
  <c r="M818" i="11"/>
  <c r="O924" i="11"/>
  <c r="U1002" i="11"/>
  <c r="O1002" i="11"/>
  <c r="U998" i="11"/>
  <c r="V991" i="11"/>
  <c r="T991" i="11"/>
  <c r="V995" i="11"/>
  <c r="T995" i="11"/>
  <c r="R949" i="11"/>
  <c r="X949" i="11" s="1"/>
  <c r="M810" i="11"/>
  <c r="T1008" i="11"/>
  <c r="S995" i="11"/>
  <c r="L968" i="11"/>
  <c r="T968" i="11"/>
  <c r="I150" i="13"/>
  <c r="I164" i="13"/>
  <c r="I171" i="13"/>
  <c r="I7" i="13"/>
  <c r="I21" i="13"/>
  <c r="I27" i="13"/>
  <c r="I35" i="13"/>
  <c r="I43" i="13"/>
  <c r="I51" i="13"/>
  <c r="I59" i="13"/>
  <c r="I67" i="13"/>
  <c r="I75" i="13"/>
  <c r="I83" i="13"/>
  <c r="I148" i="13"/>
  <c r="I155" i="13"/>
  <c r="I162" i="13"/>
  <c r="I176" i="13"/>
  <c r="I24" i="13"/>
  <c r="I33" i="13"/>
  <c r="I41" i="13"/>
  <c r="I49" i="13"/>
  <c r="I57" i="13"/>
  <c r="I65" i="13"/>
  <c r="I73" i="13"/>
  <c r="I81" i="13"/>
  <c r="I139" i="13"/>
  <c r="I146" i="13"/>
  <c r="I160" i="13"/>
  <c r="I11" i="13"/>
  <c r="I25" i="13"/>
  <c r="I31" i="13"/>
  <c r="I39" i="13"/>
  <c r="I47" i="13"/>
  <c r="I55" i="13"/>
  <c r="I63" i="13"/>
  <c r="I71" i="13"/>
  <c r="I138" i="13"/>
  <c r="I144" i="13"/>
  <c r="I166" i="13"/>
  <c r="I9" i="13"/>
  <c r="I16" i="13"/>
  <c r="I29" i="13"/>
  <c r="I37" i="13"/>
  <c r="I45" i="13"/>
  <c r="I53" i="13"/>
  <c r="I61" i="13"/>
  <c r="I69" i="13"/>
  <c r="I172" i="13"/>
  <c r="I36" i="13"/>
  <c r="I52" i="13"/>
  <c r="I68" i="13"/>
  <c r="I74" i="13"/>
  <c r="I80" i="13"/>
  <c r="I90" i="13"/>
  <c r="I98" i="13"/>
  <c r="I106" i="13"/>
  <c r="I114" i="13"/>
  <c r="I122" i="13"/>
  <c r="I140" i="13"/>
  <c r="I174" i="13"/>
  <c r="I8" i="13"/>
  <c r="I15" i="13"/>
  <c r="I23" i="13"/>
  <c r="I32" i="13"/>
  <c r="I48" i="13"/>
  <c r="I64" i="13"/>
  <c r="I76" i="13"/>
  <c r="I82" i="13"/>
  <c r="I88" i="13"/>
  <c r="I96" i="13"/>
  <c r="I104" i="13"/>
  <c r="I112" i="13"/>
  <c r="I120" i="13"/>
  <c r="I142" i="13"/>
  <c r="I147" i="13"/>
  <c r="I154" i="13"/>
  <c r="I22" i="13"/>
  <c r="I28" i="13"/>
  <c r="I44" i="13"/>
  <c r="I60" i="13"/>
  <c r="I86" i="13"/>
  <c r="I94" i="13"/>
  <c r="I102" i="13"/>
  <c r="I110" i="13"/>
  <c r="I118" i="13"/>
  <c r="I126" i="13"/>
  <c r="I168" i="13"/>
  <c r="I40" i="13"/>
  <c r="I56" i="13"/>
  <c r="I72" i="13"/>
  <c r="I79" i="13"/>
  <c r="I84" i="13"/>
  <c r="I92" i="13"/>
  <c r="I100" i="13"/>
  <c r="I156" i="13"/>
  <c r="I163" i="13"/>
  <c r="I58" i="13"/>
  <c r="I78" i="13"/>
  <c r="I85" i="13"/>
  <c r="I101" i="13"/>
  <c r="I123" i="13"/>
  <c r="I170" i="13"/>
  <c r="I54" i="13"/>
  <c r="I99" i="13"/>
  <c r="I103" i="13"/>
  <c r="I105" i="13"/>
  <c r="I124" i="13"/>
  <c r="I128" i="13"/>
  <c r="I152" i="13"/>
  <c r="I19" i="13"/>
  <c r="I50" i="13"/>
  <c r="I77" i="13"/>
  <c r="I97" i="13"/>
  <c r="I107" i="13"/>
  <c r="I125" i="13"/>
  <c r="I131" i="13"/>
  <c r="I17" i="13"/>
  <c r="I46" i="13"/>
  <c r="I95" i="13"/>
  <c r="I108" i="13"/>
  <c r="I109" i="13"/>
  <c r="I42" i="13"/>
  <c r="I93" i="13"/>
  <c r="I111" i="13"/>
  <c r="I113" i="13"/>
  <c r="I129" i="13"/>
  <c r="I13" i="13"/>
  <c r="I38" i="13"/>
  <c r="I70" i="13"/>
  <c r="I91" i="13"/>
  <c r="I115" i="13"/>
  <c r="I34" i="13"/>
  <c r="I66" i="13"/>
  <c r="I89" i="13"/>
  <c r="I116" i="13"/>
  <c r="I117" i="13"/>
  <c r="I127" i="13"/>
  <c r="I158" i="13"/>
  <c r="I30" i="13"/>
  <c r="I62" i="13"/>
  <c r="I87" i="13"/>
  <c r="I119" i="13"/>
  <c r="I121" i="13"/>
  <c r="I130" i="13"/>
  <c r="S985" i="11"/>
  <c r="L985" i="11"/>
  <c r="K985" i="11"/>
  <c r="J143" i="13"/>
  <c r="J157" i="13"/>
  <c r="J8" i="13"/>
  <c r="J32" i="13"/>
  <c r="J40" i="13"/>
  <c r="J48" i="13"/>
  <c r="J56" i="13"/>
  <c r="J64" i="13"/>
  <c r="J72" i="13"/>
  <c r="J80" i="13"/>
  <c r="J141" i="13"/>
  <c r="J163" i="13"/>
  <c r="J177" i="13"/>
  <c r="J13" i="13"/>
  <c r="J20" i="13"/>
  <c r="J22" i="13"/>
  <c r="J30" i="13"/>
  <c r="J38" i="13"/>
  <c r="J46" i="13"/>
  <c r="J54" i="13"/>
  <c r="J62" i="13"/>
  <c r="J70" i="13"/>
  <c r="J78" i="13"/>
  <c r="J147" i="13"/>
  <c r="J161" i="13"/>
  <c r="J168" i="13"/>
  <c r="J175" i="13"/>
  <c r="J18" i="13"/>
  <c r="J28" i="13"/>
  <c r="J36" i="13"/>
  <c r="J44" i="13"/>
  <c r="J52" i="13"/>
  <c r="J60" i="13"/>
  <c r="J68" i="13"/>
  <c r="J145" i="13"/>
  <c r="J152" i="13"/>
  <c r="J159" i="13"/>
  <c r="J173" i="13"/>
  <c r="J26" i="13"/>
  <c r="J34" i="13"/>
  <c r="J42" i="13"/>
  <c r="J50" i="13"/>
  <c r="J58" i="13"/>
  <c r="J66" i="13"/>
  <c r="J134" i="13"/>
  <c r="J153" i="13"/>
  <c r="J37" i="13"/>
  <c r="J53" i="13"/>
  <c r="J69" i="13"/>
  <c r="J81" i="13"/>
  <c r="J87" i="13"/>
  <c r="J95" i="13"/>
  <c r="J103" i="13"/>
  <c r="J111" i="13"/>
  <c r="J119" i="13"/>
  <c r="J167" i="13"/>
  <c r="J33" i="13"/>
  <c r="J49" i="13"/>
  <c r="J65" i="13"/>
  <c r="J75" i="13"/>
  <c r="J85" i="13"/>
  <c r="J93" i="13"/>
  <c r="J101" i="13"/>
  <c r="J109" i="13"/>
  <c r="J117" i="13"/>
  <c r="J171" i="13"/>
  <c r="J176" i="13"/>
  <c r="J10" i="13"/>
  <c r="J29" i="13"/>
  <c r="J45" i="13"/>
  <c r="J61" i="13"/>
  <c r="J83" i="13"/>
  <c r="J91" i="13"/>
  <c r="J99" i="13"/>
  <c r="J107" i="13"/>
  <c r="J115" i="13"/>
  <c r="J123" i="13"/>
  <c r="J137" i="13"/>
  <c r="J139" i="13"/>
  <c r="J144" i="13"/>
  <c r="J149" i="13"/>
  <c r="J14" i="13"/>
  <c r="J41" i="13"/>
  <c r="J57" i="13"/>
  <c r="J73" i="13"/>
  <c r="J77" i="13"/>
  <c r="J89" i="13"/>
  <c r="J97" i="13"/>
  <c r="J165" i="13"/>
  <c r="J51" i="13"/>
  <c r="J86" i="13"/>
  <c r="J102" i="13"/>
  <c r="J121" i="13"/>
  <c r="J130" i="13"/>
  <c r="J136" i="13"/>
  <c r="J21" i="13"/>
  <c r="J47" i="13"/>
  <c r="J84" i="13"/>
  <c r="J100" i="13"/>
  <c r="J104" i="13"/>
  <c r="J122" i="13"/>
  <c r="J12" i="13"/>
  <c r="J43" i="13"/>
  <c r="J98" i="13"/>
  <c r="J105" i="13"/>
  <c r="J124" i="13"/>
  <c r="J128" i="13"/>
  <c r="J25" i="13"/>
  <c r="J39" i="13"/>
  <c r="J71" i="13"/>
  <c r="J76" i="13"/>
  <c r="J82" i="13"/>
  <c r="J96" i="13"/>
  <c r="J106" i="13"/>
  <c r="J110" i="13"/>
  <c r="J125" i="13"/>
  <c r="J131" i="13"/>
  <c r="J155" i="13"/>
  <c r="J35" i="13"/>
  <c r="J67" i="13"/>
  <c r="J94" i="13"/>
  <c r="J108" i="13"/>
  <c r="J112" i="13"/>
  <c r="J126" i="13"/>
  <c r="J169" i="13"/>
  <c r="J31" i="13"/>
  <c r="J63" i="13"/>
  <c r="J92" i="13"/>
  <c r="J113" i="13"/>
  <c r="J129" i="13"/>
  <c r="J160" i="13"/>
  <c r="J27" i="13"/>
  <c r="J59" i="13"/>
  <c r="J74" i="13"/>
  <c r="J90" i="13"/>
  <c r="J114" i="13"/>
  <c r="J118" i="13"/>
  <c r="J151" i="13"/>
  <c r="J16" i="13"/>
  <c r="J24" i="13"/>
  <c r="J55" i="13"/>
  <c r="J79" i="13"/>
  <c r="J88" i="13"/>
  <c r="J116" i="13"/>
  <c r="J120" i="13"/>
  <c r="J127" i="13"/>
  <c r="P965" i="11"/>
  <c r="M965" i="11"/>
  <c r="K965" i="11"/>
  <c r="K144" i="13"/>
  <c r="K158" i="13"/>
  <c r="K165" i="13"/>
  <c r="K172" i="13"/>
  <c r="K15" i="13"/>
  <c r="K29" i="13"/>
  <c r="K37" i="13"/>
  <c r="K45" i="13"/>
  <c r="K53" i="13"/>
  <c r="K61" i="13"/>
  <c r="K69" i="13"/>
  <c r="K77" i="13"/>
  <c r="K142" i="13"/>
  <c r="K149" i="13"/>
  <c r="K156" i="13"/>
  <c r="K170" i="13"/>
  <c r="K21" i="13"/>
  <c r="K23" i="13"/>
  <c r="K27" i="13"/>
  <c r="K35" i="13"/>
  <c r="K43" i="13"/>
  <c r="K51" i="13"/>
  <c r="K59" i="13"/>
  <c r="K67" i="13"/>
  <c r="K75" i="13"/>
  <c r="K140" i="13"/>
  <c r="K154" i="13"/>
  <c r="K176" i="13"/>
  <c r="K19" i="13"/>
  <c r="K24" i="13"/>
  <c r="K33" i="13"/>
  <c r="K41" i="13"/>
  <c r="K49" i="13"/>
  <c r="K57" i="13"/>
  <c r="K65" i="13"/>
  <c r="K160" i="13"/>
  <c r="K174" i="13"/>
  <c r="K10" i="13"/>
  <c r="K17" i="13"/>
  <c r="K25" i="13"/>
  <c r="K31" i="13"/>
  <c r="K39" i="13"/>
  <c r="K47" i="13"/>
  <c r="K55" i="13"/>
  <c r="K63" i="13"/>
  <c r="K71" i="13"/>
  <c r="K141" i="13"/>
  <c r="K146" i="13"/>
  <c r="K9" i="13"/>
  <c r="K38" i="13"/>
  <c r="K54" i="13"/>
  <c r="K70" i="13"/>
  <c r="K79" i="13"/>
  <c r="K84" i="13"/>
  <c r="K92" i="13"/>
  <c r="K100" i="13"/>
  <c r="K108" i="13"/>
  <c r="K116" i="13"/>
  <c r="K124" i="13"/>
  <c r="K138" i="13"/>
  <c r="K148" i="13"/>
  <c r="K13" i="13"/>
  <c r="K34" i="13"/>
  <c r="K50" i="13"/>
  <c r="K66" i="13"/>
  <c r="K74" i="13"/>
  <c r="K90" i="13"/>
  <c r="K98" i="13"/>
  <c r="K106" i="13"/>
  <c r="K114" i="13"/>
  <c r="K122" i="13"/>
  <c r="K152" i="13"/>
  <c r="K30" i="13"/>
  <c r="K46" i="13"/>
  <c r="K62" i="13"/>
  <c r="K76" i="13"/>
  <c r="K82" i="13"/>
  <c r="K88" i="13"/>
  <c r="K96" i="13"/>
  <c r="K104" i="13"/>
  <c r="K112" i="13"/>
  <c r="K120" i="13"/>
  <c r="K166" i="13"/>
  <c r="K173" i="13"/>
  <c r="K7" i="13"/>
  <c r="K26" i="13"/>
  <c r="K42" i="13"/>
  <c r="K58" i="13"/>
  <c r="K78" i="13"/>
  <c r="K86" i="13"/>
  <c r="K94" i="13"/>
  <c r="K44" i="13"/>
  <c r="K87" i="13"/>
  <c r="K119" i="13"/>
  <c r="K127" i="13"/>
  <c r="K40" i="13"/>
  <c r="K72" i="13"/>
  <c r="K85" i="13"/>
  <c r="K101" i="13"/>
  <c r="K102" i="13"/>
  <c r="K121" i="13"/>
  <c r="K123" i="13"/>
  <c r="K130" i="13"/>
  <c r="K168" i="13"/>
  <c r="K36" i="13"/>
  <c r="K68" i="13"/>
  <c r="K83" i="13"/>
  <c r="K99" i="13"/>
  <c r="K103" i="13"/>
  <c r="K150" i="13"/>
  <c r="K32" i="13"/>
  <c r="K64" i="13"/>
  <c r="K97" i="13"/>
  <c r="K105" i="13"/>
  <c r="K107" i="13"/>
  <c r="K128" i="13"/>
  <c r="K157" i="13"/>
  <c r="K164" i="13"/>
  <c r="K28" i="13"/>
  <c r="K60" i="13"/>
  <c r="K81" i="13"/>
  <c r="K95" i="13"/>
  <c r="K109" i="13"/>
  <c r="K110" i="13"/>
  <c r="K125" i="13"/>
  <c r="K131" i="13"/>
  <c r="K162" i="13"/>
  <c r="K56" i="13"/>
  <c r="K93" i="13"/>
  <c r="K111" i="13"/>
  <c r="K126" i="13"/>
  <c r="K11" i="13"/>
  <c r="K52" i="13"/>
  <c r="K80" i="13"/>
  <c r="K91" i="13"/>
  <c r="K113" i="13"/>
  <c r="K115" i="13"/>
  <c r="K129" i="13"/>
  <c r="K18" i="13"/>
  <c r="K48" i="13"/>
  <c r="K73" i="13"/>
  <c r="K89" i="13"/>
  <c r="K117" i="13"/>
  <c r="K118" i="13"/>
  <c r="L138" i="13"/>
  <c r="L151" i="13"/>
  <c r="L173" i="13"/>
  <c r="L16" i="13"/>
  <c r="L26" i="13"/>
  <c r="L34" i="13"/>
  <c r="L42" i="13"/>
  <c r="L50" i="13"/>
  <c r="L58" i="13"/>
  <c r="L66" i="13"/>
  <c r="L74" i="13"/>
  <c r="L82" i="13"/>
  <c r="L137" i="13"/>
  <c r="L157" i="13"/>
  <c r="L171" i="13"/>
  <c r="L7" i="13"/>
  <c r="L14" i="13"/>
  <c r="L32" i="13"/>
  <c r="L40" i="13"/>
  <c r="L48" i="13"/>
  <c r="L56" i="13"/>
  <c r="L64" i="13"/>
  <c r="L72" i="13"/>
  <c r="L80" i="13"/>
  <c r="L141" i="13"/>
  <c r="L155" i="13"/>
  <c r="L162" i="13"/>
  <c r="L169" i="13"/>
  <c r="L12" i="13"/>
  <c r="L30" i="13"/>
  <c r="L38" i="13"/>
  <c r="L46" i="13"/>
  <c r="L54" i="13"/>
  <c r="L62" i="13"/>
  <c r="L70" i="13"/>
  <c r="L139" i="13"/>
  <c r="L146" i="13"/>
  <c r="L153" i="13"/>
  <c r="L167" i="13"/>
  <c r="L18" i="13"/>
  <c r="L28" i="13"/>
  <c r="L36" i="13"/>
  <c r="L44" i="13"/>
  <c r="L52" i="13"/>
  <c r="L60" i="13"/>
  <c r="L68" i="13"/>
  <c r="L163" i="13"/>
  <c r="L170" i="13"/>
  <c r="L175" i="13"/>
  <c r="L21" i="13"/>
  <c r="L39" i="13"/>
  <c r="L55" i="13"/>
  <c r="L71" i="13"/>
  <c r="L73" i="13"/>
  <c r="L89" i="13"/>
  <c r="L97" i="13"/>
  <c r="L105" i="13"/>
  <c r="L113" i="13"/>
  <c r="L121" i="13"/>
  <c r="L135" i="13"/>
  <c r="L143" i="13"/>
  <c r="L165" i="13"/>
  <c r="L24" i="13"/>
  <c r="L35" i="13"/>
  <c r="L51" i="13"/>
  <c r="L67" i="13"/>
  <c r="L81" i="13"/>
  <c r="L87" i="13"/>
  <c r="L95" i="13"/>
  <c r="L103" i="13"/>
  <c r="L111" i="13"/>
  <c r="L119" i="13"/>
  <c r="L31" i="13"/>
  <c r="L47" i="13"/>
  <c r="L63" i="13"/>
  <c r="L85" i="13"/>
  <c r="L93" i="13"/>
  <c r="L101" i="13"/>
  <c r="L109" i="13"/>
  <c r="L117" i="13"/>
  <c r="L125" i="13"/>
  <c r="L161" i="13"/>
  <c r="L27" i="13"/>
  <c r="L43" i="13"/>
  <c r="L59" i="13"/>
  <c r="L83" i="13"/>
  <c r="L91" i="13"/>
  <c r="L99" i="13"/>
  <c r="L145" i="13"/>
  <c r="L147" i="13"/>
  <c r="L149" i="13"/>
  <c r="L37" i="13"/>
  <c r="L69" i="13"/>
  <c r="L79" i="13"/>
  <c r="L88" i="13"/>
  <c r="L116" i="13"/>
  <c r="L118" i="13"/>
  <c r="L120" i="13"/>
  <c r="L154" i="13"/>
  <c r="L33" i="13"/>
  <c r="L65" i="13"/>
  <c r="L78" i="13"/>
  <c r="L86" i="13"/>
  <c r="L127" i="13"/>
  <c r="L23" i="13"/>
  <c r="L29" i="13"/>
  <c r="L61" i="13"/>
  <c r="L84" i="13"/>
  <c r="L100" i="13"/>
  <c r="L102" i="13"/>
  <c r="L104" i="13"/>
  <c r="L122" i="13"/>
  <c r="L123" i="13"/>
  <c r="L130" i="13"/>
  <c r="L159" i="13"/>
  <c r="L177" i="13"/>
  <c r="L8" i="13"/>
  <c r="L10" i="13"/>
  <c r="L57" i="13"/>
  <c r="L77" i="13"/>
  <c r="L98" i="13"/>
  <c r="L124" i="13"/>
  <c r="L15" i="13"/>
  <c r="L53" i="13"/>
  <c r="L76" i="13"/>
  <c r="L96" i="13"/>
  <c r="L106" i="13"/>
  <c r="L107" i="13"/>
  <c r="L128" i="13"/>
  <c r="L22" i="13"/>
  <c r="L49" i="13"/>
  <c r="L75" i="13"/>
  <c r="L94" i="13"/>
  <c r="L108" i="13"/>
  <c r="L110" i="13"/>
  <c r="L112" i="13"/>
  <c r="L131" i="13"/>
  <c r="L20" i="13"/>
  <c r="L45" i="13"/>
  <c r="L92" i="13"/>
  <c r="L126" i="13"/>
  <c r="L41" i="13"/>
  <c r="L90" i="13"/>
  <c r="L114" i="13"/>
  <c r="L115" i="13"/>
  <c r="L129" i="13"/>
  <c r="M133" i="13"/>
  <c r="M138" i="13"/>
  <c r="M152" i="13"/>
  <c r="M159" i="13"/>
  <c r="M166" i="13"/>
  <c r="M9" i="13"/>
  <c r="M31" i="13"/>
  <c r="M39" i="13"/>
  <c r="M47" i="13"/>
  <c r="M55" i="13"/>
  <c r="M63" i="13"/>
  <c r="M71" i="13"/>
  <c r="M79" i="13"/>
  <c r="M143" i="13"/>
  <c r="M150" i="13"/>
  <c r="M164" i="13"/>
  <c r="M15" i="13"/>
  <c r="M29" i="13"/>
  <c r="M37" i="13"/>
  <c r="M45" i="13"/>
  <c r="M53" i="13"/>
  <c r="M61" i="13"/>
  <c r="M69" i="13"/>
  <c r="M77" i="13"/>
  <c r="M148" i="13"/>
  <c r="M170" i="13"/>
  <c r="M13" i="13"/>
  <c r="M20" i="13"/>
  <c r="M21" i="13"/>
  <c r="M23" i="13"/>
  <c r="M27" i="13"/>
  <c r="M35" i="13"/>
  <c r="M43" i="13"/>
  <c r="M51" i="13"/>
  <c r="M59" i="13"/>
  <c r="M67" i="13"/>
  <c r="M154" i="13"/>
  <c r="M168" i="13"/>
  <c r="M175" i="13"/>
  <c r="M11" i="13"/>
  <c r="M24" i="13"/>
  <c r="M33" i="13"/>
  <c r="M41" i="13"/>
  <c r="M49" i="13"/>
  <c r="M57" i="13"/>
  <c r="M65" i="13"/>
  <c r="M151" i="13"/>
  <c r="M158" i="13"/>
  <c r="M25" i="13"/>
  <c r="M40" i="13"/>
  <c r="M56" i="13"/>
  <c r="M72" i="13"/>
  <c r="M78" i="13"/>
  <c r="M86" i="13"/>
  <c r="M94" i="13"/>
  <c r="M102" i="13"/>
  <c r="M110" i="13"/>
  <c r="M118" i="13"/>
  <c r="M160" i="13"/>
  <c r="M36" i="13"/>
  <c r="M52" i="13"/>
  <c r="M68" i="13"/>
  <c r="M80" i="13"/>
  <c r="M84" i="13"/>
  <c r="M92" i="13"/>
  <c r="M100" i="13"/>
  <c r="M108" i="13"/>
  <c r="M116" i="13"/>
  <c r="M162" i="13"/>
  <c r="M17" i="13"/>
  <c r="M32" i="13"/>
  <c r="M48" i="13"/>
  <c r="M64" i="13"/>
  <c r="M75" i="13"/>
  <c r="M90" i="13"/>
  <c r="M98" i="13"/>
  <c r="M106" i="13"/>
  <c r="M114" i="13"/>
  <c r="M122" i="13"/>
  <c r="M156" i="13"/>
  <c r="M12" i="13"/>
  <c r="M19" i="13"/>
  <c r="M28" i="13"/>
  <c r="M44" i="13"/>
  <c r="M60" i="13"/>
  <c r="M76" i="13"/>
  <c r="M88" i="13"/>
  <c r="M96" i="13"/>
  <c r="M172" i="13"/>
  <c r="M174" i="13"/>
  <c r="M176" i="13"/>
  <c r="M7" i="13"/>
  <c r="M30" i="13"/>
  <c r="M62" i="13"/>
  <c r="M73" i="13"/>
  <c r="M89" i="13"/>
  <c r="M115" i="13"/>
  <c r="M117" i="13"/>
  <c r="M129" i="13"/>
  <c r="M26" i="13"/>
  <c r="M58" i="13"/>
  <c r="M87" i="13"/>
  <c r="M119" i="13"/>
  <c r="M120" i="13"/>
  <c r="M54" i="13"/>
  <c r="M85" i="13"/>
  <c r="M101" i="13"/>
  <c r="M121" i="13"/>
  <c r="M127" i="13"/>
  <c r="M50" i="13"/>
  <c r="M83" i="13"/>
  <c r="M99" i="13"/>
  <c r="M103" i="13"/>
  <c r="M104" i="13"/>
  <c r="M123" i="13"/>
  <c r="M130" i="13"/>
  <c r="M46" i="13"/>
  <c r="M82" i="13"/>
  <c r="M97" i="13"/>
  <c r="M105" i="13"/>
  <c r="M124" i="13"/>
  <c r="M140" i="13"/>
  <c r="M142" i="13"/>
  <c r="M144" i="13"/>
  <c r="M146" i="13"/>
  <c r="M42" i="13"/>
  <c r="M81" i="13"/>
  <c r="M95" i="13"/>
  <c r="M107" i="13"/>
  <c r="M109" i="13"/>
  <c r="M125" i="13"/>
  <c r="M128" i="13"/>
  <c r="M38" i="13"/>
  <c r="M70" i="13"/>
  <c r="M93" i="13"/>
  <c r="M111" i="13"/>
  <c r="M112" i="13"/>
  <c r="M131" i="13"/>
  <c r="M167" i="13"/>
  <c r="M34" i="13"/>
  <c r="M66" i="13"/>
  <c r="M74" i="13"/>
  <c r="M91" i="13"/>
  <c r="M113" i="13"/>
  <c r="M126" i="13"/>
  <c r="K973" i="11"/>
  <c r="L978" i="11"/>
  <c r="S636" i="11"/>
  <c r="N751" i="11"/>
  <c r="V530" i="11"/>
  <c r="U50" i="11"/>
  <c r="O409" i="11"/>
  <c r="L12" i="11"/>
  <c r="P16" i="11"/>
  <c r="P696" i="11"/>
  <c r="T925" i="11"/>
  <c r="N600" i="11"/>
  <c r="O795" i="11"/>
  <c r="U986" i="11"/>
  <c r="O566" i="11"/>
  <c r="R11" i="11"/>
  <c r="X11" i="11" s="1"/>
  <c r="S60" i="11"/>
  <c r="U134" i="11"/>
  <c r="T997" i="11"/>
  <c r="S196" i="11"/>
  <c r="M955" i="11"/>
  <c r="O891" i="11"/>
  <c r="O361" i="11"/>
  <c r="L816" i="11"/>
  <c r="Q962" i="11"/>
  <c r="K347" i="11"/>
  <c r="Q922" i="11"/>
  <c r="O674" i="11"/>
  <c r="S397" i="11"/>
  <c r="K804" i="11"/>
  <c r="Q512" i="11"/>
  <c r="L346" i="11"/>
  <c r="V365" i="11"/>
  <c r="T82" i="11"/>
  <c r="V1010" i="11"/>
  <c r="M1010" i="11"/>
  <c r="T1010" i="11"/>
  <c r="K1010" i="11"/>
  <c r="Q1010" i="11"/>
  <c r="O1010" i="11"/>
  <c r="O951" i="11"/>
  <c r="V793" i="11"/>
  <c r="P720" i="11"/>
  <c r="V630" i="11"/>
  <c r="N900" i="11"/>
  <c r="U584" i="11"/>
  <c r="K784" i="11"/>
  <c r="T812" i="11"/>
  <c r="V580" i="11"/>
  <c r="R990" i="11"/>
  <c r="X990" i="11" s="1"/>
  <c r="O790" i="11"/>
  <c r="L232" i="11"/>
  <c r="N312" i="11"/>
  <c r="N280" i="11"/>
  <c r="L132" i="13"/>
  <c r="H133" i="13"/>
  <c r="P133" i="13"/>
  <c r="L134" i="13"/>
  <c r="H135" i="13"/>
  <c r="P135" i="13"/>
  <c r="L136" i="13"/>
  <c r="C8" i="24"/>
  <c r="B10" i="24"/>
  <c r="B2" i="24"/>
  <c r="M132" i="13"/>
  <c r="I133" i="13"/>
  <c r="Q133" i="13"/>
  <c r="M134" i="13"/>
  <c r="I135" i="13"/>
  <c r="Q135" i="13"/>
  <c r="M136" i="13"/>
  <c r="N8" i="13"/>
  <c r="N10" i="13"/>
  <c r="N12" i="13"/>
  <c r="N14" i="13"/>
  <c r="N16" i="13"/>
  <c r="N18" i="13"/>
  <c r="N20" i="13"/>
  <c r="N22" i="13"/>
  <c r="N24" i="13"/>
  <c r="N26" i="13"/>
  <c r="N28" i="13"/>
  <c r="N30" i="13"/>
  <c r="N32" i="13"/>
  <c r="N34" i="13"/>
  <c r="N36" i="13"/>
  <c r="N38" i="13"/>
  <c r="N40" i="13"/>
  <c r="N42" i="13"/>
  <c r="N44" i="13"/>
  <c r="N46" i="13"/>
  <c r="N48" i="13"/>
  <c r="N50" i="13"/>
  <c r="N52" i="13"/>
  <c r="N54" i="13"/>
  <c r="N56" i="13"/>
  <c r="N58" i="13"/>
  <c r="N60" i="13"/>
  <c r="N62" i="13"/>
  <c r="N64" i="13"/>
  <c r="N66" i="13"/>
  <c r="N68" i="13"/>
  <c r="N70" i="13"/>
  <c r="N72" i="13"/>
  <c r="N74" i="13"/>
  <c r="N76" i="13"/>
  <c r="N78" i="13"/>
  <c r="N80" i="13"/>
  <c r="N82" i="13"/>
  <c r="N84" i="13"/>
  <c r="N86" i="13"/>
  <c r="N88" i="13"/>
  <c r="N90" i="13"/>
  <c r="N92" i="13"/>
  <c r="N94" i="13"/>
  <c r="N96" i="13"/>
  <c r="N98" i="13"/>
  <c r="N100" i="13"/>
  <c r="N102" i="13"/>
  <c r="N104" i="13"/>
  <c r="N106" i="13"/>
  <c r="N108" i="13"/>
  <c r="N110" i="13"/>
  <c r="N112" i="13"/>
  <c r="N114" i="13"/>
  <c r="N116" i="13"/>
  <c r="N118" i="13"/>
  <c r="N120" i="13"/>
  <c r="N122" i="13"/>
  <c r="N124" i="13"/>
  <c r="N126" i="13"/>
  <c r="N128" i="13"/>
  <c r="N130" i="13"/>
  <c r="C7" i="24"/>
  <c r="B9" i="24"/>
  <c r="N132" i="13"/>
  <c r="J133" i="13"/>
  <c r="R133" i="13"/>
  <c r="N134" i="13"/>
  <c r="J135" i="13"/>
  <c r="R135" i="13"/>
  <c r="N136" i="13"/>
  <c r="N138" i="13"/>
  <c r="N140" i="13"/>
  <c r="N142" i="13"/>
  <c r="N144" i="13"/>
  <c r="N146" i="13"/>
  <c r="N148" i="13"/>
  <c r="N150" i="13"/>
  <c r="N152" i="13"/>
  <c r="N154" i="13"/>
  <c r="N156" i="13"/>
  <c r="N158" i="13"/>
  <c r="N160" i="13"/>
  <c r="N162" i="13"/>
  <c r="N164" i="13"/>
  <c r="N166" i="13"/>
  <c r="N168" i="13"/>
  <c r="N170" i="13"/>
  <c r="N172" i="13"/>
  <c r="N174" i="13"/>
  <c r="N176" i="13"/>
  <c r="C6" i="24"/>
  <c r="B8" i="24"/>
  <c r="O132" i="13"/>
  <c r="K133" i="13"/>
  <c r="O134" i="13"/>
  <c r="K135" i="13"/>
  <c r="C5" i="24"/>
  <c r="B7" i="24"/>
  <c r="H132" i="13"/>
  <c r="P132" i="13"/>
  <c r="L133" i="13"/>
  <c r="H134" i="13"/>
  <c r="C4" i="24"/>
  <c r="B6" i="24"/>
  <c r="D6" i="24" s="1"/>
  <c r="I132" i="13"/>
  <c r="N7" i="13"/>
  <c r="N9" i="13"/>
  <c r="N11" i="13"/>
  <c r="N13" i="13"/>
  <c r="N15" i="13"/>
  <c r="N17" i="13"/>
  <c r="N19" i="13"/>
  <c r="N21" i="13"/>
  <c r="N23" i="13"/>
  <c r="N25" i="13"/>
  <c r="N27" i="13"/>
  <c r="N29" i="13"/>
  <c r="N31" i="13"/>
  <c r="N33" i="13"/>
  <c r="N35" i="13"/>
  <c r="N37" i="13"/>
  <c r="N39" i="13"/>
  <c r="N41" i="13"/>
  <c r="N43" i="13"/>
  <c r="N45" i="13"/>
  <c r="N47" i="13"/>
  <c r="N49" i="13"/>
  <c r="N51" i="13"/>
  <c r="N53" i="13"/>
  <c r="N55" i="13"/>
  <c r="N57" i="13"/>
  <c r="N59" i="13"/>
  <c r="N61" i="13"/>
  <c r="N63" i="13"/>
  <c r="N65" i="13"/>
  <c r="N67" i="13"/>
  <c r="N69" i="13"/>
  <c r="N71" i="13"/>
  <c r="N73" i="13"/>
  <c r="N75" i="13"/>
  <c r="N77" i="13"/>
  <c r="N79" i="13"/>
  <c r="N81" i="13"/>
  <c r="N83" i="13"/>
  <c r="N85" i="13"/>
  <c r="N87" i="13"/>
  <c r="N89" i="13"/>
  <c r="N91" i="13"/>
  <c r="N93" i="13"/>
  <c r="N95" i="13"/>
  <c r="N97" i="13"/>
  <c r="N99" i="13"/>
  <c r="N101" i="13"/>
  <c r="N103" i="13"/>
  <c r="N105" i="13"/>
  <c r="N107" i="13"/>
  <c r="N109" i="13"/>
  <c r="N111" i="13"/>
  <c r="N113" i="13"/>
  <c r="N115" i="13"/>
  <c r="N117" i="13"/>
  <c r="N119" i="13"/>
  <c r="N121" i="13"/>
  <c r="N123" i="13"/>
  <c r="N125" i="13"/>
  <c r="N127" i="13"/>
  <c r="N129" i="13"/>
  <c r="N131" i="13"/>
  <c r="C11" i="24"/>
  <c r="C3" i="24"/>
  <c r="B5" i="24"/>
  <c r="J132" i="13"/>
  <c r="R132" i="13"/>
  <c r="N133" i="13"/>
  <c r="N135" i="13"/>
  <c r="N137" i="13"/>
  <c r="N139" i="13"/>
  <c r="N141" i="13"/>
  <c r="N143" i="13"/>
  <c r="N145" i="13"/>
  <c r="N147" i="13"/>
  <c r="N149" i="13"/>
  <c r="N151" i="13"/>
  <c r="N153" i="13"/>
  <c r="N155" i="13"/>
  <c r="N157" i="13"/>
  <c r="N159" i="13"/>
  <c r="N161" i="13"/>
  <c r="N163" i="13"/>
  <c r="N165" i="13"/>
  <c r="N167" i="13"/>
  <c r="N169" i="13"/>
  <c r="N171" i="13"/>
  <c r="N173" i="13"/>
  <c r="N175" i="13"/>
  <c r="N177" i="13"/>
  <c r="C10" i="24"/>
  <c r="C2" i="24"/>
  <c r="B4" i="24"/>
  <c r="K132" i="13"/>
  <c r="O133" i="13"/>
  <c r="K134" i="13"/>
  <c r="O135" i="13"/>
  <c r="K136" i="13"/>
  <c r="C9" i="24"/>
  <c r="D9" i="24" s="1"/>
  <c r="B11" i="24"/>
  <c r="B3" i="24"/>
  <c r="K955" i="11"/>
  <c r="M11" i="11"/>
  <c r="N347" i="11"/>
  <c r="K696" i="11"/>
  <c r="R696" i="11"/>
  <c r="X696" i="11" s="1"/>
  <c r="L361" i="11"/>
  <c r="Q361" i="11"/>
  <c r="L409" i="11"/>
  <c r="Q409" i="11"/>
  <c r="N997" i="11"/>
  <c r="S997" i="11"/>
  <c r="T962" i="11"/>
  <c r="Q757" i="11"/>
  <c r="P757" i="11"/>
  <c r="P925" i="11"/>
  <c r="P50" i="11"/>
  <c r="P134" i="11"/>
  <c r="K816" i="11"/>
  <c r="P12" i="11"/>
  <c r="V12" i="11"/>
  <c r="L512" i="11"/>
  <c r="U566" i="11"/>
  <c r="K566" i="11"/>
  <c r="O397" i="11"/>
  <c r="N16" i="11"/>
  <c r="S16" i="11"/>
  <c r="T795" i="11"/>
  <c r="L530" i="11"/>
  <c r="Q530" i="11"/>
  <c r="N804" i="11"/>
  <c r="U804" i="11"/>
  <c r="V922" i="11"/>
  <c r="M922" i="11"/>
  <c r="T891" i="11"/>
  <c r="S812" i="11"/>
  <c r="T674" i="11"/>
  <c r="V955" i="11"/>
  <c r="V900" i="11"/>
  <c r="L365" i="11"/>
  <c r="Q365" i="11"/>
  <c r="P346" i="11"/>
  <c r="U346" i="11"/>
  <c r="U11" i="11"/>
  <c r="P312" i="11"/>
  <c r="Q82" i="11"/>
  <c r="N82" i="11"/>
  <c r="V347" i="11"/>
  <c r="L630" i="11"/>
  <c r="T696" i="11"/>
  <c r="S696" i="11"/>
  <c r="Q280" i="11"/>
  <c r="L580" i="11"/>
  <c r="R580" i="11"/>
  <c r="X580" i="11" s="1"/>
  <c r="T361" i="11"/>
  <c r="R361" i="11"/>
  <c r="X361" i="11" s="1"/>
  <c r="V784" i="11"/>
  <c r="T790" i="11"/>
  <c r="R790" i="11"/>
  <c r="X790" i="11" s="1"/>
  <c r="M720" i="11"/>
  <c r="T409" i="11"/>
  <c r="R409" i="11"/>
  <c r="X409" i="11" s="1"/>
  <c r="L793" i="11"/>
  <c r="U955" i="11"/>
  <c r="V962" i="11"/>
  <c r="V891" i="11"/>
  <c r="N891" i="11"/>
  <c r="P674" i="11"/>
  <c r="U674" i="11"/>
  <c r="N955" i="11"/>
  <c r="M365" i="11"/>
  <c r="K365" i="11"/>
  <c r="R346" i="11"/>
  <c r="X346" i="11" s="1"/>
  <c r="V346" i="11"/>
  <c r="O11" i="11"/>
  <c r="K82" i="11"/>
  <c r="O82" i="11"/>
  <c r="P347" i="11"/>
  <c r="V696" i="11"/>
  <c r="U696" i="11"/>
  <c r="U361" i="11"/>
  <c r="S361" i="11"/>
  <c r="U409" i="11"/>
  <c r="S409" i="11"/>
  <c r="N976" i="11"/>
  <c r="V976" i="11"/>
  <c r="S981" i="11"/>
  <c r="V981" i="11"/>
  <c r="K981" i="11"/>
  <c r="N566" i="11"/>
  <c r="U16" i="11"/>
  <c r="Q795" i="11"/>
  <c r="N795" i="11"/>
  <c r="U530" i="11"/>
  <c r="R804" i="11"/>
  <c r="X804" i="11" s="1"/>
  <c r="N922" i="11"/>
  <c r="L891" i="11"/>
  <c r="Q674" i="11"/>
  <c r="N674" i="11"/>
  <c r="Q955" i="11"/>
  <c r="S900" i="11"/>
  <c r="Q900" i="11"/>
  <c r="U365" i="11"/>
  <c r="S365" i="11"/>
  <c r="K346" i="11"/>
  <c r="O346" i="11"/>
  <c r="K11" i="11"/>
  <c r="P11" i="11"/>
  <c r="S82" i="11"/>
  <c r="L347" i="11"/>
  <c r="Q347" i="11"/>
  <c r="P630" i="11"/>
  <c r="U630" i="11"/>
  <c r="N696" i="11"/>
  <c r="U580" i="11"/>
  <c r="N361" i="11"/>
  <c r="L784" i="11"/>
  <c r="Q784" i="11"/>
  <c r="N790" i="11"/>
  <c r="R720" i="11"/>
  <c r="X720" i="11" s="1"/>
  <c r="V720" i="11"/>
  <c r="N409" i="11"/>
  <c r="P793" i="11"/>
  <c r="U793" i="11"/>
  <c r="T976" i="11"/>
  <c r="V566" i="11"/>
  <c r="V16" i="11"/>
  <c r="R795" i="11"/>
  <c r="X795" i="11" s="1"/>
  <c r="V795" i="11"/>
  <c r="N530" i="11"/>
  <c r="P922" i="11"/>
  <c r="M891" i="11"/>
  <c r="R674" i="11"/>
  <c r="X674" i="11" s="1"/>
  <c r="V674" i="11"/>
  <c r="O955" i="11"/>
  <c r="N365" i="11"/>
  <c r="S346" i="11"/>
  <c r="S11" i="11"/>
  <c r="Q11" i="11"/>
  <c r="L82" i="11"/>
  <c r="T347" i="11"/>
  <c r="R347" i="11"/>
  <c r="X347" i="11" s="1"/>
  <c r="Q630" i="11"/>
  <c r="N630" i="11"/>
  <c r="O696" i="11"/>
  <c r="N580" i="11"/>
  <c r="V361" i="11"/>
  <c r="T784" i="11"/>
  <c r="R784" i="11"/>
  <c r="X784" i="11" s="1"/>
  <c r="V790" i="11"/>
  <c r="K720" i="11"/>
  <c r="O720" i="11"/>
  <c r="V409" i="11"/>
  <c r="Q793" i="11"/>
  <c r="N793" i="11"/>
  <c r="U990" i="11"/>
  <c r="U397" i="11"/>
  <c r="K795" i="11"/>
  <c r="K674" i="11"/>
  <c r="S955" i="11"/>
  <c r="K900" i="11"/>
  <c r="L11" i="11"/>
  <c r="M347" i="11"/>
  <c r="R630" i="11"/>
  <c r="X630" i="11" s="1"/>
  <c r="M784" i="11"/>
  <c r="S720" i="11"/>
  <c r="R793" i="11"/>
  <c r="X793" i="11" s="1"/>
  <c r="F160" i="13"/>
  <c r="F108" i="13"/>
  <c r="F170" i="13"/>
  <c r="F128" i="13"/>
  <c r="F113" i="13"/>
  <c r="F38" i="13"/>
  <c r="F116" i="13"/>
  <c r="F164" i="13"/>
  <c r="F24" i="13"/>
  <c r="F146" i="13"/>
  <c r="F156" i="13"/>
  <c r="F86" i="13"/>
  <c r="C13" i="14"/>
  <c r="C11" i="14"/>
  <c r="C14" i="14"/>
  <c r="F46" i="13"/>
  <c r="F95" i="13"/>
  <c r="F25" i="13"/>
  <c r="F22" i="13"/>
  <c r="F77" i="13"/>
  <c r="F64" i="13"/>
  <c r="F50" i="13"/>
  <c r="F147" i="13"/>
  <c r="F142" i="13"/>
  <c r="F112" i="13"/>
  <c r="F155" i="13"/>
  <c r="F67" i="13"/>
  <c r="F90" i="13"/>
  <c r="F41" i="13"/>
  <c r="F119" i="13"/>
  <c r="F169" i="13"/>
  <c r="F133" i="13"/>
  <c r="F49" i="13"/>
  <c r="F159" i="13"/>
  <c r="F168" i="13"/>
  <c r="F29" i="13"/>
  <c r="F166" i="13"/>
  <c r="F165" i="13"/>
  <c r="F32" i="13"/>
  <c r="F69" i="13"/>
  <c r="F96" i="13"/>
  <c r="F167" i="13"/>
  <c r="F122" i="13"/>
  <c r="F27" i="13"/>
  <c r="F139" i="13"/>
  <c r="F176" i="13"/>
  <c r="F55" i="13"/>
  <c r="F53" i="13"/>
  <c r="F150" i="13"/>
  <c r="F157" i="13"/>
  <c r="F58" i="13"/>
  <c r="F152" i="13"/>
  <c r="F153" i="13"/>
  <c r="F118" i="13"/>
  <c r="F148" i="13"/>
  <c r="F175" i="13"/>
  <c r="F23" i="13"/>
  <c r="F104" i="13"/>
  <c r="F161" i="13"/>
  <c r="F100" i="13"/>
  <c r="F162" i="13"/>
  <c r="F83" i="13"/>
  <c r="F44" i="13"/>
  <c r="F51" i="13"/>
  <c r="F28" i="13"/>
  <c r="F19" i="13"/>
  <c r="F91" i="13"/>
  <c r="F93" i="13"/>
  <c r="F171" i="13"/>
  <c r="F12" i="13"/>
  <c r="F35" i="13"/>
  <c r="F31" i="13"/>
  <c r="F154" i="13"/>
  <c r="F123" i="13"/>
  <c r="F106" i="13"/>
  <c r="F21" i="13"/>
  <c r="F173" i="13"/>
  <c r="C10" i="14"/>
  <c r="C12" i="14"/>
  <c r="C9" i="14"/>
  <c r="C15" i="14"/>
  <c r="C8" i="14"/>
  <c r="C7" i="14"/>
  <c r="C6" i="14"/>
  <c r="L3" i="1"/>
  <c r="L4" i="1"/>
  <c r="L2" i="1"/>
  <c r="C16" i="14" l="1"/>
  <c r="B6" i="17"/>
  <c r="G132" i="13"/>
  <c r="Q134" i="13"/>
  <c r="Q139" i="13"/>
  <c r="Q142" i="13"/>
  <c r="Q145" i="13"/>
  <c r="R148" i="13"/>
  <c r="P152" i="13"/>
  <c r="Q155" i="13"/>
  <c r="Q158" i="13"/>
  <c r="Q161" i="13"/>
  <c r="R164" i="13"/>
  <c r="P168" i="13"/>
  <c r="Q171" i="13"/>
  <c r="Q174" i="13"/>
  <c r="Q177" i="13"/>
  <c r="R9" i="13"/>
  <c r="P13" i="13"/>
  <c r="Q16" i="13"/>
  <c r="Q19" i="13"/>
  <c r="Q22" i="13"/>
  <c r="R24" i="13"/>
  <c r="R26" i="13"/>
  <c r="R28" i="13"/>
  <c r="R30" i="13"/>
  <c r="R32" i="13"/>
  <c r="R34" i="13"/>
  <c r="R36" i="13"/>
  <c r="R38" i="13"/>
  <c r="R40" i="13"/>
  <c r="R42" i="13"/>
  <c r="R44" i="13"/>
  <c r="R46" i="13"/>
  <c r="R48" i="13"/>
  <c r="R50" i="13"/>
  <c r="R52" i="13"/>
  <c r="R54" i="13"/>
  <c r="R56" i="13"/>
  <c r="R58" i="13"/>
  <c r="R60" i="13"/>
  <c r="R62" i="13"/>
  <c r="R64" i="13"/>
  <c r="R66" i="13"/>
  <c r="R68" i="13"/>
  <c r="R70" i="13"/>
  <c r="R72" i="13"/>
  <c r="R74" i="13"/>
  <c r="R76" i="13"/>
  <c r="R78" i="13"/>
  <c r="R80" i="13"/>
  <c r="R82" i="13"/>
  <c r="R84" i="13"/>
  <c r="R86" i="13"/>
  <c r="R88" i="13"/>
  <c r="R90" i="13"/>
  <c r="R92" i="13"/>
  <c r="R94" i="13"/>
  <c r="R96" i="13"/>
  <c r="R98" i="13"/>
  <c r="R100" i="13"/>
  <c r="R102" i="13"/>
  <c r="R104" i="13"/>
  <c r="R106" i="13"/>
  <c r="R108" i="13"/>
  <c r="R110" i="13"/>
  <c r="R112" i="13"/>
  <c r="R114" i="13"/>
  <c r="R116" i="13"/>
  <c r="R118" i="13"/>
  <c r="R120" i="13"/>
  <c r="R122" i="13"/>
  <c r="R124" i="13"/>
  <c r="R126" i="13"/>
  <c r="R128" i="13"/>
  <c r="R130" i="13"/>
  <c r="R136" i="13"/>
  <c r="O140" i="13"/>
  <c r="O143" i="13"/>
  <c r="R146" i="13"/>
  <c r="Q149" i="13"/>
  <c r="O153" i="13"/>
  <c r="O156" i="13"/>
  <c r="O159" i="13"/>
  <c r="R162" i="13"/>
  <c r="Q165" i="13"/>
  <c r="O169" i="13"/>
  <c r="O172" i="13"/>
  <c r="O175" i="13"/>
  <c r="R7" i="13"/>
  <c r="Q10" i="13"/>
  <c r="O14" i="13"/>
  <c r="O17" i="13"/>
  <c r="O20" i="13"/>
  <c r="O23" i="13"/>
  <c r="P25" i="13"/>
  <c r="P27" i="13"/>
  <c r="P29" i="13"/>
  <c r="P31" i="13"/>
  <c r="P33" i="13"/>
  <c r="P35" i="13"/>
  <c r="P37" i="13"/>
  <c r="P39" i="13"/>
  <c r="P41" i="13"/>
  <c r="P43" i="13"/>
  <c r="P45" i="13"/>
  <c r="P47" i="13"/>
  <c r="P49" i="13"/>
  <c r="P51" i="13"/>
  <c r="P53" i="13"/>
  <c r="P55" i="13"/>
  <c r="P57" i="13"/>
  <c r="P59" i="13"/>
  <c r="P61" i="13"/>
  <c r="P63" i="13"/>
  <c r="P65" i="13"/>
  <c r="P67" i="13"/>
  <c r="P69" i="13"/>
  <c r="P71" i="13"/>
  <c r="P73" i="13"/>
  <c r="P75" i="13"/>
  <c r="P77" i="13"/>
  <c r="P79" i="13"/>
  <c r="P81" i="13"/>
  <c r="P83" i="13"/>
  <c r="P85" i="13"/>
  <c r="P87" i="13"/>
  <c r="P89" i="13"/>
  <c r="P91" i="13"/>
  <c r="P93" i="13"/>
  <c r="P95" i="13"/>
  <c r="P97" i="13"/>
  <c r="P99" i="13"/>
  <c r="P101" i="13"/>
  <c r="P103" i="13"/>
  <c r="P105" i="13"/>
  <c r="P107" i="13"/>
  <c r="P109" i="13"/>
  <c r="P111" i="13"/>
  <c r="P113" i="13"/>
  <c r="P115" i="13"/>
  <c r="P117" i="13"/>
  <c r="P119" i="13"/>
  <c r="P121" i="13"/>
  <c r="P123" i="13"/>
  <c r="P125" i="13"/>
  <c r="P127" i="13"/>
  <c r="P129" i="13"/>
  <c r="P131" i="13"/>
  <c r="R138" i="13"/>
  <c r="Q141" i="13"/>
  <c r="O145" i="13"/>
  <c r="O148" i="13"/>
  <c r="O151" i="13"/>
  <c r="R154" i="13"/>
  <c r="Q157" i="13"/>
  <c r="O161" i="13"/>
  <c r="O164" i="13"/>
  <c r="O167" i="13"/>
  <c r="R170" i="13"/>
  <c r="Q173" i="13"/>
  <c r="O177" i="13"/>
  <c r="O9" i="13"/>
  <c r="O12" i="13"/>
  <c r="R15" i="13"/>
  <c r="Q18" i="13"/>
  <c r="O22" i="13"/>
  <c r="O24" i="13"/>
  <c r="P26" i="13"/>
  <c r="P28" i="13"/>
  <c r="P30" i="13"/>
  <c r="P32" i="13"/>
  <c r="P34" i="13"/>
  <c r="P36" i="13"/>
  <c r="P38" i="13"/>
  <c r="P40" i="13"/>
  <c r="P42" i="13"/>
  <c r="P44" i="13"/>
  <c r="P46" i="13"/>
  <c r="P48" i="13"/>
  <c r="P50" i="13"/>
  <c r="P52" i="13"/>
  <c r="P54" i="13"/>
  <c r="P56" i="13"/>
  <c r="P58" i="13"/>
  <c r="P60" i="13"/>
  <c r="P62" i="13"/>
  <c r="P64" i="13"/>
  <c r="P66" i="13"/>
  <c r="P68" i="13"/>
  <c r="P70" i="13"/>
  <c r="P72" i="13"/>
  <c r="P74" i="13"/>
  <c r="P76" i="13"/>
  <c r="P78" i="13"/>
  <c r="P80" i="13"/>
  <c r="P82" i="13"/>
  <c r="P84" i="13"/>
  <c r="P86" i="13"/>
  <c r="P88" i="13"/>
  <c r="P90" i="13"/>
  <c r="P92" i="13"/>
  <c r="P94" i="13"/>
  <c r="P96" i="13"/>
  <c r="P98" i="13"/>
  <c r="P100" i="13"/>
  <c r="P102" i="13"/>
  <c r="P104" i="13"/>
  <c r="P106" i="13"/>
  <c r="P108" i="13"/>
  <c r="P110" i="13"/>
  <c r="P112" i="13"/>
  <c r="P114" i="13"/>
  <c r="P116" i="13"/>
  <c r="P118" i="13"/>
  <c r="P120" i="13"/>
  <c r="P122" i="13"/>
  <c r="P124" i="13"/>
  <c r="P126" i="13"/>
  <c r="P128" i="13"/>
  <c r="P130" i="13"/>
  <c r="G136" i="13"/>
  <c r="G135" i="13"/>
  <c r="Q132" i="13"/>
  <c r="M135" i="13"/>
  <c r="P137" i="13"/>
  <c r="I134" i="13"/>
  <c r="I136" i="13"/>
  <c r="I137" i="13"/>
  <c r="R137" i="13"/>
  <c r="O138" i="13"/>
  <c r="K139" i="13"/>
  <c r="H140" i="13"/>
  <c r="Q140" i="13"/>
  <c r="M141" i="13"/>
  <c r="J142" i="13"/>
  <c r="G143" i="13"/>
  <c r="P143" i="13"/>
  <c r="L144" i="13"/>
  <c r="I145" i="13"/>
  <c r="R145" i="13"/>
  <c r="O146" i="13"/>
  <c r="K147" i="13"/>
  <c r="H148" i="13"/>
  <c r="Q148" i="13"/>
  <c r="M149" i="13"/>
  <c r="J150" i="13"/>
  <c r="G151" i="13"/>
  <c r="P151" i="13"/>
  <c r="L152" i="13"/>
  <c r="I153" i="13"/>
  <c r="R153" i="13"/>
  <c r="O154" i="13"/>
  <c r="K155" i="13"/>
  <c r="H156" i="13"/>
  <c r="Q156" i="13"/>
  <c r="M157" i="13"/>
  <c r="J158" i="13"/>
  <c r="G159" i="13"/>
  <c r="P159" i="13"/>
  <c r="L160" i="13"/>
  <c r="I161" i="13"/>
  <c r="R161" i="13"/>
  <c r="O162" i="13"/>
  <c r="K163" i="13"/>
  <c r="H164" i="13"/>
  <c r="Q164" i="13"/>
  <c r="M165" i="13"/>
  <c r="J166" i="13"/>
  <c r="P167" i="13"/>
  <c r="L168" i="13"/>
  <c r="I169" i="13"/>
  <c r="R169" i="13"/>
  <c r="O170" i="13"/>
  <c r="K171" i="13"/>
  <c r="H172" i="13"/>
  <c r="Q172" i="13"/>
  <c r="M173" i="13"/>
  <c r="J174" i="13"/>
  <c r="G175" i="13"/>
  <c r="P175" i="13"/>
  <c r="L176" i="13"/>
  <c r="I177" i="13"/>
  <c r="R177" i="13"/>
  <c r="O7" i="13"/>
  <c r="K8" i="13"/>
  <c r="H9" i="13"/>
  <c r="Q9" i="13"/>
  <c r="M10" i="13"/>
  <c r="J11" i="13"/>
  <c r="G12" i="13"/>
  <c r="P12" i="13"/>
  <c r="L13" i="13"/>
  <c r="I14" i="13"/>
  <c r="R14" i="13"/>
  <c r="O15" i="13"/>
  <c r="K16" i="13"/>
  <c r="H17" i="13"/>
  <c r="Q17" i="13"/>
  <c r="M18" i="13"/>
  <c r="J19" i="13"/>
  <c r="P20" i="13"/>
  <c r="P134" i="13"/>
  <c r="O136" i="13"/>
  <c r="K137" i="13"/>
  <c r="H138" i="13"/>
  <c r="Q138" i="13"/>
  <c r="M139" i="13"/>
  <c r="J140" i="13"/>
  <c r="G141" i="13"/>
  <c r="P141" i="13"/>
  <c r="L142" i="13"/>
  <c r="I143" i="13"/>
  <c r="R143" i="13"/>
  <c r="O144" i="13"/>
  <c r="K145" i="13"/>
  <c r="H146" i="13"/>
  <c r="Q146" i="13"/>
  <c r="M147" i="13"/>
  <c r="J148" i="13"/>
  <c r="G149" i="13"/>
  <c r="P149" i="13"/>
  <c r="L150" i="13"/>
  <c r="I151" i="13"/>
  <c r="R151" i="13"/>
  <c r="O152" i="13"/>
  <c r="K153" i="13"/>
  <c r="H154" i="13"/>
  <c r="Q154" i="13"/>
  <c r="M155" i="13"/>
  <c r="J156" i="13"/>
  <c r="G157" i="13"/>
  <c r="P157" i="13"/>
  <c r="L158" i="13"/>
  <c r="I159" i="13"/>
  <c r="R159" i="13"/>
  <c r="O160" i="13"/>
  <c r="K161" i="13"/>
  <c r="H162" i="13"/>
  <c r="Q162" i="13"/>
  <c r="M163" i="13"/>
  <c r="J164" i="13"/>
  <c r="G165" i="13"/>
  <c r="P165" i="13"/>
  <c r="L166" i="13"/>
  <c r="I167" i="13"/>
  <c r="R167" i="13"/>
  <c r="O168" i="13"/>
  <c r="K169" i="13"/>
  <c r="H170" i="13"/>
  <c r="Q170" i="13"/>
  <c r="M171" i="13"/>
  <c r="J172" i="13"/>
  <c r="G173" i="13"/>
  <c r="P173" i="13"/>
  <c r="L174" i="13"/>
  <c r="I175" i="13"/>
  <c r="R175" i="13"/>
  <c r="O176" i="13"/>
  <c r="K177" i="13"/>
  <c r="H7" i="13"/>
  <c r="Q7" i="13"/>
  <c r="M8" i="13"/>
  <c r="J9" i="13"/>
  <c r="G10" i="13"/>
  <c r="P10" i="13"/>
  <c r="L11" i="13"/>
  <c r="I12" i="13"/>
  <c r="R12" i="13"/>
  <c r="O13" i="13"/>
  <c r="K14" i="13"/>
  <c r="H15" i="13"/>
  <c r="Q15" i="13"/>
  <c r="M16" i="13"/>
  <c r="J17" i="13"/>
  <c r="G18" i="13"/>
  <c r="P18" i="13"/>
  <c r="L19" i="13"/>
  <c r="I20" i="13"/>
  <c r="R20" i="13"/>
  <c r="O21" i="13"/>
  <c r="K22" i="13"/>
  <c r="H23" i="13"/>
  <c r="R134" i="13"/>
  <c r="Q136" i="13"/>
  <c r="M137" i="13"/>
  <c r="J138" i="13"/>
  <c r="G139" i="13"/>
  <c r="P139" i="13"/>
  <c r="L140" i="13"/>
  <c r="I141" i="13"/>
  <c r="R141" i="13"/>
  <c r="O142" i="13"/>
  <c r="K143" i="13"/>
  <c r="H144" i="13"/>
  <c r="Q144" i="13"/>
  <c r="M145" i="13"/>
  <c r="J146" i="13"/>
  <c r="P147" i="13"/>
  <c r="L148" i="13"/>
  <c r="I149" i="13"/>
  <c r="R149" i="13"/>
  <c r="O150" i="13"/>
  <c r="K151" i="13"/>
  <c r="H152" i="13"/>
  <c r="Q152" i="13"/>
  <c r="M153" i="13"/>
  <c r="J154" i="13"/>
  <c r="G155" i="13"/>
  <c r="P155" i="13"/>
  <c r="L156" i="13"/>
  <c r="I157" i="13"/>
  <c r="R157" i="13"/>
  <c r="O158" i="13"/>
  <c r="K159" i="13"/>
  <c r="H160" i="13"/>
  <c r="Q160" i="13"/>
  <c r="M161" i="13"/>
  <c r="J162" i="13"/>
  <c r="G163" i="13"/>
  <c r="P163" i="13"/>
  <c r="L164" i="13"/>
  <c r="I165" i="13"/>
  <c r="R165" i="13"/>
  <c r="O166" i="13"/>
  <c r="K167" i="13"/>
  <c r="H168" i="13"/>
  <c r="Q168" i="13"/>
  <c r="M169" i="13"/>
  <c r="J170" i="13"/>
  <c r="G171" i="13"/>
  <c r="P171" i="13"/>
  <c r="L172" i="13"/>
  <c r="I173" i="13"/>
  <c r="R173" i="13"/>
  <c r="O174" i="13"/>
  <c r="K175" i="13"/>
  <c r="H176" i="13"/>
  <c r="Q176" i="13"/>
  <c r="M177" i="13"/>
  <c r="J7" i="13"/>
  <c r="G8" i="13"/>
  <c r="P8" i="13"/>
  <c r="L9" i="13"/>
  <c r="I10" i="13"/>
  <c r="R10" i="13"/>
  <c r="O11" i="13"/>
  <c r="K12" i="13"/>
  <c r="H13" i="13"/>
  <c r="Q13" i="13"/>
  <c r="M14" i="13"/>
  <c r="J15" i="13"/>
  <c r="P16" i="13"/>
  <c r="L17" i="13"/>
  <c r="I18" i="13"/>
  <c r="R18" i="13"/>
  <c r="O19" i="13"/>
  <c r="K20" i="13"/>
  <c r="H21" i="13"/>
  <c r="Q21" i="13"/>
  <c r="M22" i="13"/>
  <c r="J23" i="13"/>
  <c r="P24" i="13"/>
  <c r="L25" i="13"/>
  <c r="I26" i="13"/>
  <c r="G156" i="13"/>
  <c r="G170" i="13"/>
  <c r="G13" i="13"/>
  <c r="G23" i="13"/>
  <c r="G33" i="13"/>
  <c r="G49" i="13"/>
  <c r="G57" i="13"/>
  <c r="G65" i="13"/>
  <c r="G73" i="13"/>
  <c r="G81" i="13"/>
  <c r="G140" i="13"/>
  <c r="G168" i="13"/>
  <c r="G11" i="13"/>
  <c r="G25" i="13"/>
  <c r="G31" i="13"/>
  <c r="G47" i="13"/>
  <c r="G55" i="13"/>
  <c r="G63" i="13"/>
  <c r="G79" i="13"/>
  <c r="G152" i="13"/>
  <c r="G166" i="13"/>
  <c r="G26" i="13"/>
  <c r="G29" i="13"/>
  <c r="G53" i="13"/>
  <c r="G69" i="13"/>
  <c r="G172" i="13"/>
  <c r="G15" i="13"/>
  <c r="G27" i="13"/>
  <c r="G43" i="13"/>
  <c r="G51" i="13"/>
  <c r="G67" i="13"/>
  <c r="G160" i="13"/>
  <c r="G34" i="13"/>
  <c r="G50" i="13"/>
  <c r="G66" i="13"/>
  <c r="G82" i="13"/>
  <c r="G96" i="13"/>
  <c r="G104" i="13"/>
  <c r="G112" i="13"/>
  <c r="G120" i="13"/>
  <c r="G162" i="13"/>
  <c r="G169" i="13"/>
  <c r="G30" i="13"/>
  <c r="G46" i="13"/>
  <c r="G62" i="13"/>
  <c r="G83" i="13"/>
  <c r="G86" i="13"/>
  <c r="G102" i="13"/>
  <c r="G110" i="13"/>
  <c r="G118" i="13"/>
  <c r="G19" i="13"/>
  <c r="G42" i="13"/>
  <c r="G58" i="13"/>
  <c r="G84" i="13"/>
  <c r="G92" i="13"/>
  <c r="G100" i="13"/>
  <c r="G116" i="13"/>
  <c r="G124" i="13"/>
  <c r="G158" i="13"/>
  <c r="G21" i="13"/>
  <c r="G90" i="13"/>
  <c r="G98" i="13"/>
  <c r="G40" i="13"/>
  <c r="G105" i="13"/>
  <c r="G68" i="13"/>
  <c r="G77" i="13"/>
  <c r="G97" i="13"/>
  <c r="G107" i="13"/>
  <c r="G125" i="13"/>
  <c r="G32" i="13"/>
  <c r="G64" i="13"/>
  <c r="G109" i="13"/>
  <c r="G126" i="13"/>
  <c r="G129" i="13"/>
  <c r="G28" i="13"/>
  <c r="G60" i="13"/>
  <c r="G93" i="13"/>
  <c r="G113" i="13"/>
  <c r="G144" i="13"/>
  <c r="G22" i="13"/>
  <c r="G115" i="13"/>
  <c r="G127" i="13"/>
  <c r="G52" i="13"/>
  <c r="G119" i="13"/>
  <c r="G48" i="13"/>
  <c r="G87" i="13"/>
  <c r="G121" i="13"/>
  <c r="G7" i="13"/>
  <c r="G101" i="13"/>
  <c r="G122" i="13"/>
  <c r="G123" i="13"/>
  <c r="G128" i="13"/>
  <c r="G134" i="13"/>
  <c r="D3" i="24"/>
  <c r="D7" i="24"/>
  <c r="D8" i="24"/>
  <c r="N178" i="13"/>
  <c r="D11" i="24"/>
  <c r="D5" i="24"/>
  <c r="D4" i="24"/>
  <c r="D2" i="24"/>
  <c r="D10" i="24"/>
  <c r="B7" i="17"/>
  <c r="B11" i="17"/>
  <c r="B9" i="17"/>
  <c r="B12" i="17"/>
  <c r="B14" i="17"/>
  <c r="B8" i="17"/>
  <c r="B15" i="17"/>
  <c r="B10" i="17"/>
  <c r="B13" i="17"/>
  <c r="B7" i="14"/>
  <c r="B8" i="14"/>
  <c r="B9" i="14"/>
  <c r="B12" i="14"/>
  <c r="B13" i="14"/>
  <c r="B14" i="14"/>
  <c r="B15" i="14"/>
  <c r="B6" i="14"/>
  <c r="T14" i="13"/>
  <c r="T18" i="13"/>
  <c r="T19" i="13"/>
  <c r="T20" i="13"/>
  <c r="T21" i="13"/>
  <c r="T25" i="13"/>
  <c r="T26" i="13"/>
  <c r="T27" i="13"/>
  <c r="T30" i="13"/>
  <c r="T31" i="13"/>
  <c r="T32" i="13"/>
  <c r="T33" i="13"/>
  <c r="T34" i="13"/>
  <c r="T36" i="13"/>
  <c r="T37" i="13"/>
  <c r="T38" i="13"/>
  <c r="T41" i="13"/>
  <c r="T44" i="13"/>
  <c r="T45" i="13"/>
  <c r="T48" i="13"/>
  <c r="T49" i="13"/>
  <c r="T50" i="13"/>
  <c r="T51" i="13"/>
  <c r="T54" i="13"/>
  <c r="T55" i="13"/>
  <c r="T56" i="13"/>
  <c r="T57" i="13"/>
  <c r="T60" i="13"/>
  <c r="T61" i="13"/>
  <c r="T62" i="13"/>
  <c r="T63" i="13"/>
  <c r="T64" i="13"/>
  <c r="T65" i="13"/>
  <c r="T67" i="13"/>
  <c r="T68" i="13"/>
  <c r="T70" i="13"/>
  <c r="T71" i="13"/>
  <c r="T72" i="13"/>
  <c r="T73" i="13"/>
  <c r="T74" i="13"/>
  <c r="T76" i="13"/>
  <c r="T77" i="13"/>
  <c r="T78" i="13"/>
  <c r="T79" i="13"/>
  <c r="T80" i="13"/>
  <c r="T81" i="13"/>
  <c r="T83" i="13"/>
  <c r="T84" i="13"/>
  <c r="T85" i="13"/>
  <c r="T87" i="13"/>
  <c r="T88" i="13"/>
  <c r="T89" i="13"/>
  <c r="T90" i="13"/>
  <c r="T91" i="13"/>
  <c r="T92" i="13"/>
  <c r="T93" i="13"/>
  <c r="T94" i="13"/>
  <c r="T96" i="13"/>
  <c r="T97" i="13"/>
  <c r="T98" i="13"/>
  <c r="T99" i="13"/>
  <c r="T100" i="13"/>
  <c r="T101" i="13"/>
  <c r="T102" i="13"/>
  <c r="T103" i="13"/>
  <c r="T104" i="13"/>
  <c r="T105" i="13"/>
  <c r="T106" i="13"/>
  <c r="T107" i="13"/>
  <c r="T108" i="13"/>
  <c r="T109" i="13"/>
  <c r="T110" i="13"/>
  <c r="T111" i="13"/>
  <c r="T114" i="13"/>
  <c r="T115" i="13"/>
  <c r="T116" i="13"/>
  <c r="T117" i="13"/>
  <c r="T118" i="13"/>
  <c r="T119" i="13"/>
  <c r="T120" i="13"/>
  <c r="T121" i="13"/>
  <c r="T122"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7" i="13"/>
  <c r="T10" i="13"/>
  <c r="T12" i="13"/>
  <c r="M4" i="1"/>
  <c r="K4" i="1"/>
  <c r="J4" i="1"/>
  <c r="Q796" i="11" s="1"/>
  <c r="M3" i="1"/>
  <c r="K3" i="1"/>
  <c r="J3" i="1"/>
  <c r="G71" i="13" s="1"/>
  <c r="P178" i="13" l="1"/>
  <c r="Q178" i="13"/>
  <c r="O178" i="13"/>
  <c r="I178" i="13"/>
  <c r="L178" i="13"/>
  <c r="R178" i="13"/>
  <c r="K178" i="13"/>
  <c r="M178" i="13"/>
  <c r="H178" i="13"/>
  <c r="J178" i="13"/>
  <c r="G72" i="13"/>
  <c r="G91" i="13"/>
  <c r="G176" i="13"/>
  <c r="G56" i="13"/>
  <c r="G36" i="13"/>
  <c r="G154" i="13"/>
  <c r="G174" i="13"/>
  <c r="G89" i="13"/>
  <c r="G80" i="13"/>
  <c r="G17" i="13"/>
  <c r="G24" i="13"/>
  <c r="G117" i="13"/>
  <c r="G103" i="13"/>
  <c r="G148" i="13"/>
  <c r="G108" i="13"/>
  <c r="G164" i="13"/>
  <c r="G59" i="13"/>
  <c r="G39" i="13"/>
  <c r="G70" i="13"/>
  <c r="G61" i="13"/>
  <c r="G137" i="13"/>
  <c r="G99" i="13"/>
  <c r="G85" i="13"/>
  <c r="G111" i="13"/>
  <c r="G54" i="13"/>
  <c r="G75" i="13"/>
  <c r="G145" i="13"/>
  <c r="G16" i="13"/>
  <c r="G142" i="13"/>
  <c r="G38" i="13"/>
  <c r="G35" i="13"/>
  <c r="G20" i="13"/>
  <c r="G133" i="13"/>
  <c r="G9" i="13"/>
  <c r="G130" i="13"/>
  <c r="G114" i="13"/>
  <c r="G95" i="13"/>
  <c r="G14" i="13"/>
  <c r="G78" i="13"/>
  <c r="G94" i="13"/>
  <c r="M2" i="24" a="1"/>
  <c r="L796" i="11"/>
  <c r="R796" i="11"/>
  <c r="X796" i="11" s="1"/>
  <c r="L362" i="11"/>
  <c r="U796" i="11"/>
  <c r="K796" i="11"/>
  <c r="S362" i="11"/>
  <c r="T362" i="11"/>
  <c r="M796" i="11"/>
  <c r="T796" i="11"/>
  <c r="M362" i="11"/>
  <c r="V796" i="11"/>
  <c r="S796" i="11"/>
  <c r="P362" i="11"/>
  <c r="U362" i="11"/>
  <c r="N796" i="11"/>
  <c r="Q362" i="11"/>
  <c r="N362" i="11"/>
  <c r="O796" i="11"/>
  <c r="R362" i="11"/>
  <c r="V362" i="11"/>
  <c r="P796" i="11"/>
  <c r="K362" i="11"/>
  <c r="O362" i="11"/>
  <c r="T39" i="13"/>
  <c r="T23" i="13"/>
  <c r="T15" i="13"/>
  <c r="T9" i="13"/>
  <c r="T17" i="13"/>
  <c r="T29" i="13"/>
  <c r="T11" i="13"/>
  <c r="T95" i="13"/>
  <c r="T82" i="13"/>
  <c r="T75" i="13"/>
  <c r="T59" i="13"/>
  <c r="T40" i="13"/>
  <c r="T24" i="13"/>
  <c r="T8" i="13"/>
  <c r="T52" i="13"/>
  <c r="T35" i="13"/>
  <c r="T16" i="13"/>
  <c r="T43" i="13"/>
  <c r="T28" i="13"/>
  <c r="T112" i="13"/>
  <c r="T13" i="13"/>
  <c r="T58" i="13"/>
  <c r="T123" i="13"/>
  <c r="T113" i="13"/>
  <c r="T46" i="13"/>
  <c r="T86" i="13"/>
  <c r="T53" i="13"/>
  <c r="T66" i="13"/>
  <c r="T69" i="13"/>
  <c r="T47" i="13"/>
  <c r="T22" i="13"/>
  <c r="T42" i="13"/>
  <c r="B16" i="17"/>
  <c r="X362" i="11" l="1"/>
  <c r="C6" i="17"/>
  <c r="C9" i="17"/>
  <c r="D15" i="17"/>
  <c r="C10" i="17"/>
  <c r="D11" i="17"/>
  <c r="D8" i="17"/>
  <c r="C11" i="17"/>
  <c r="C8" i="17"/>
  <c r="D12" i="17"/>
  <c r="C12" i="17"/>
  <c r="C13" i="17"/>
  <c r="D6" i="17"/>
  <c r="D14" i="17"/>
  <c r="D10" i="17"/>
  <c r="D9" i="17"/>
  <c r="C15" i="17"/>
  <c r="D13" i="17"/>
  <c r="D7" i="17"/>
  <c r="C14" i="17"/>
  <c r="C7" i="17"/>
  <c r="M2" i="1"/>
  <c r="K2" i="1"/>
  <c r="B16" i="14" l="1"/>
  <c r="J2" i="1" l="1"/>
  <c r="G167" i="13" l="1"/>
  <c r="G37" i="13"/>
  <c r="G45" i="13"/>
  <c r="G138" i="13"/>
  <c r="G44" i="13"/>
  <c r="G106" i="13"/>
  <c r="G147" i="13"/>
  <c r="G177" i="13"/>
  <c r="G146" i="13"/>
  <c r="G88" i="13"/>
  <c r="G74" i="13"/>
  <c r="G150" i="13"/>
  <c r="G131" i="13"/>
  <c r="G41" i="13"/>
  <c r="G161" i="13"/>
  <c r="G76" i="13"/>
  <c r="G153" i="13"/>
  <c r="B8" i="21" a="1"/>
  <c r="S693" i="11"/>
  <c r="U693" i="11"/>
  <c r="K693" i="11"/>
  <c r="M693" i="11"/>
  <c r="R693" i="11"/>
  <c r="T693" i="11"/>
  <c r="Q693" i="11"/>
  <c r="L693" i="11"/>
  <c r="P693" i="11"/>
  <c r="O693" i="11"/>
  <c r="N693" i="11"/>
  <c r="V693" i="11"/>
  <c r="G178" i="13" l="1"/>
  <c r="X693" i="11"/>
  <c r="E13" i="14" s="1"/>
  <c r="G13" i="14" s="1"/>
  <c r="F4" i="24" a="1"/>
  <c r="F5" i="24" a="1"/>
  <c r="F3" i="24" a="1"/>
  <c r="F11" i="24" a="1"/>
  <c r="F2" i="24" a="1"/>
  <c r="F9" i="24" a="1"/>
  <c r="F8" i="24" a="1"/>
  <c r="F6" i="24" a="1"/>
  <c r="F10" i="24" a="1"/>
  <c r="F7" i="24" a="1"/>
  <c r="G13" i="21" a="1"/>
  <c r="G12" i="21" a="1"/>
  <c r="F12" i="21" a="1"/>
  <c r="G11" i="21" a="1"/>
  <c r="F10" i="21" a="1"/>
  <c r="G10" i="21" a="1"/>
  <c r="G16" i="21" a="1"/>
  <c r="F16" i="21" a="1"/>
  <c r="F11" i="21" a="1"/>
  <c r="A8" i="21" a="1"/>
  <c r="G14" i="21" a="1"/>
  <c r="G9" i="21" a="1"/>
  <c r="F9" i="21" a="1"/>
  <c r="G17" i="21" a="1"/>
  <c r="G3" i="21"/>
  <c r="F17" i="21" a="1"/>
  <c r="F13" i="21" a="1"/>
  <c r="F15" i="21" a="1"/>
  <c r="G15" i="21" a="1"/>
  <c r="F14" i="21" a="1"/>
  <c r="D13" i="14" l="1"/>
  <c r="F13" i="14" s="1"/>
  <c r="E14" i="14"/>
  <c r="G14" i="14" s="1"/>
  <c r="D14" i="14"/>
  <c r="F14" i="14" s="1"/>
  <c r="D9" i="14"/>
  <c r="F9" i="14" s="1"/>
  <c r="E9" i="14"/>
  <c r="G9" i="14" s="1"/>
  <c r="E10" i="14"/>
  <c r="G10" i="14" s="1"/>
  <c r="D11" i="14"/>
  <c r="F11" i="14" s="1"/>
  <c r="E12" i="14"/>
  <c r="G12" i="14" s="1"/>
  <c r="D12" i="14"/>
  <c r="F12" i="14" s="1"/>
  <c r="E11" i="14"/>
  <c r="G11" i="14" s="1"/>
  <c r="D6" i="14"/>
  <c r="F6" i="14" s="1"/>
  <c r="D7" i="14"/>
  <c r="F7" i="14" s="1"/>
  <c r="D15" i="14"/>
  <c r="F15" i="14" s="1"/>
  <c r="E6" i="14"/>
  <c r="G6" i="14" s="1"/>
  <c r="E7" i="14"/>
  <c r="G7" i="14" s="1"/>
  <c r="E8" i="14"/>
  <c r="G8" i="14" s="1"/>
  <c r="D10" i="14"/>
  <c r="F10" i="14" s="1"/>
  <c r="D8" i="14"/>
  <c r="F8" i="14" s="1"/>
  <c r="E15" i="14"/>
  <c r="G15" i="14" s="1"/>
  <c r="E7" i="17"/>
  <c r="E8" i="17"/>
  <c r="E9" i="17"/>
  <c r="E10" i="17"/>
  <c r="E11" i="17"/>
  <c r="E12" i="17"/>
  <c r="E13" i="17"/>
  <c r="E14" i="17"/>
  <c r="E15" i="17"/>
  <c r="F8" i="17"/>
  <c r="F11" i="17"/>
  <c r="F14" i="17"/>
  <c r="F9" i="17"/>
  <c r="F10" i="17"/>
  <c r="F12" i="17"/>
  <c r="F13" i="17"/>
  <c r="F15" i="17"/>
  <c r="F7" i="17"/>
  <c r="D16" i="14" l="1"/>
  <c r="F16" i="14" s="1"/>
  <c r="E16" i="14"/>
  <c r="G16" i="14" s="1"/>
  <c r="E6" i="17"/>
  <c r="C16" i="17"/>
  <c r="E16" i="17" s="1"/>
  <c r="F6" i="17"/>
  <c r="D16" i="17"/>
  <c r="F16" i="17" l="1"/>
  <c r="J6" i="23"/>
  <c r="A9" i="23" s="1"/>
  <c r="G11" i="24" s="1"/>
  <c r="G10" i="24" s="1"/>
  <c r="G9" i="24" s="1"/>
  <c r="G8" i="24" s="1"/>
  <c r="G7" i="24" s="1"/>
  <c r="G6" i="24" s="1"/>
  <c r="G5" i="24" s="1"/>
  <c r="G4" i="24" s="1"/>
  <c r="G3" i="24" s="1"/>
  <c r="H27" i="23" s="1" a="1"/>
  <c r="G2" i="24" l="1"/>
  <c r="A27" i="23" s="1" a="1"/>
  <c r="D3" i="21"/>
  <c r="A5" i="21"/>
  <c r="F8" i="21" a="1"/>
  <c r="G8" i="21" a="1"/>
  <c r="F27" i="23" l="1"/>
  <c r="F31" i="23"/>
  <c r="F30" i="23"/>
  <c r="F29" i="23"/>
  <c r="F28"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<sst xmlns="http://schemas.openxmlformats.org/spreadsheetml/2006/main" count="28284" uniqueCount="2737">
  <si>
    <t>RELATÓRIO CLARO TROCA — TRADE-IN</t>
  </si>
  <si>
    <t>Painel de acompanhamento Brasil | visão executiva, regional, parceiros e operação semanal</t>
  </si>
  <si>
    <t>📍 NAVEGAÇÃO DO RELATÓRIO</t>
  </si>
  <si>
    <t>ABA</t>
  </si>
  <si>
    <t>FINALIDADE</t>
  </si>
  <si>
    <t>Dashboard</t>
  </si>
  <si>
    <t>Resumo executivo mensal, KPIs, gráficos e prioridades regionais.</t>
  </si>
  <si>
    <t>TOP 10 Parceiros</t>
  </si>
  <si>
    <t>Ranking nacional por Attachment consolidado entre regionais.</t>
  </si>
  <si>
    <t>REGIONAL</t>
  </si>
  <si>
    <t>Cobertura de PDVs e desempenho por regional.</t>
  </si>
  <si>
    <t>GRUPOS ZERADOS</t>
  </si>
  <si>
    <t>Grupos com e sem Claro Troca por regional.</t>
  </si>
  <si>
    <t>GRUPOS</t>
  </si>
  <si>
    <t>Histórico mensal consolidado por grupo rede.</t>
  </si>
  <si>
    <t>PDVS</t>
  </si>
  <si>
    <t>Histórico e elegibilidade por ponto de venda.</t>
  </si>
  <si>
    <t>BASE</t>
  </si>
  <si>
    <t>Dados importados semanalmente do BI.</t>
  </si>
  <si>
    <t>INSTRUÇÕES</t>
  </si>
  <si>
    <t>Rotina de atualização e validações do relatório.</t>
  </si>
  <si>
    <t>🔄 ROTINA SEMANAL</t>
  </si>
  <si>
    <t>Anexe a nova extração do BI e use o prompt de atualização semanal.</t>
  </si>
  <si>
    <t>Confirme que BASE e PDVS fecham no mesmo total de Claro Troca.</t>
  </si>
  <si>
    <t>Use o Dashboard para direcionar as provocações às regionais.</t>
  </si>
  <si>
    <t>PAINEL EXECUTIVO — CLARO TROCA</t>
  </si>
  <si>
    <t>MÊS</t>
  </si>
  <si>
    <t>CLARO TROCA</t>
  </si>
  <si>
    <t>Visão Brasil para acompanhamento semanal de performance, cobertura e oportunidades regionais.</t>
  </si>
  <si>
    <t>📅 MÊS</t>
  </si>
  <si>
    <t>🔁 CLARO TROCA</t>
  </si>
  <si>
    <t>📈 ATTACHMENT</t>
  </si>
  <si>
    <t>🎯 PDVs ELEGÍVEIS</t>
  </si>
  <si>
    <t>🧩 GRUPOS A ATIVAR</t>
  </si>
  <si>
    <t>⚠️ PRIORIDADES REGIONAIS — MENOR CONVERSÃO</t>
  </si>
  <si>
    <t>🏆 TOP 5 PARCEIROS — ATTACHMENT</t>
  </si>
  <si>
    <t>ELEGÍVEIS</t>
  </si>
  <si>
    <t>ATIVOS</t>
  </si>
  <si>
    <t>CONVERSÃO</t>
  </si>
  <si>
    <t>GAP</t>
  </si>
  <si>
    <t>SINAL</t>
  </si>
  <si>
    <t>RANK</t>
  </si>
  <si>
    <t>PARCEIRO</t>
  </si>
  <si>
    <t>SELLOUT</t>
  </si>
  <si>
    <t>TROCAS</t>
  </si>
  <si>
    <t>ATTACHMENT</t>
  </si>
  <si>
    <t>CANAL AA  |CLARO TROCA |REGIONAL</t>
  </si>
  <si>
    <t>QTDE PDVS</t>
  </si>
  <si>
    <t>PDVs</t>
  </si>
  <si>
    <t>COM TROCAS</t>
  </si>
  <si>
    <t>ZERADO</t>
  </si>
  <si>
    <t>COBERTURA TOTAL</t>
  </si>
  <si>
    <t>ZERADOS / ELEGÍVEIS</t>
  </si>
  <si>
    <t>SP1</t>
  </si>
  <si>
    <t>SP2</t>
  </si>
  <si>
    <t>RJ/ES</t>
  </si>
  <si>
    <t>MG</t>
  </si>
  <si>
    <t>PR/SC</t>
  </si>
  <si>
    <t>RS</t>
  </si>
  <si>
    <t>CO</t>
  </si>
  <si>
    <t>BA/SE</t>
  </si>
  <si>
    <t>NE</t>
  </si>
  <si>
    <t>NO</t>
  </si>
  <si>
    <t>BR</t>
  </si>
  <si>
    <t>COM BOOST</t>
  </si>
  <si>
    <t>SEM REPASSE</t>
  </si>
  <si>
    <t>TOP 10 PARCEIROS BRASIL — ATTACHMENT</t>
  </si>
  <si>
    <t>Meses disponíveis</t>
  </si>
  <si>
    <t>Visão mensal consolidada por Grupo Rede, somando todas as regionais e sem corte mínimo de Sellout.</t>
  </si>
  <si>
    <t>LÍDER</t>
  </si>
  <si>
    <t>RANKING NACIONAL</t>
  </si>
  <si>
    <t>PARCEIRO / GRUPO REDE</t>
  </si>
  <si>
    <t>Nº REGIONAIS</t>
  </si>
  <si>
    <t>REGIONAIS</t>
  </si>
  <si>
    <t>CANAL AA  |CLARO TROCA |GRUPOS REDES</t>
  </si>
  <si>
    <t>GRUPOS REDES</t>
  </si>
  <si>
    <t>REG</t>
  </si>
  <si>
    <t>% COM VENDAS</t>
  </si>
  <si>
    <t>% ZERADOS</t>
  </si>
  <si>
    <t>REPASSES</t>
  </si>
  <si>
    <t>BOOST LIBERADOS</t>
  </si>
  <si>
    <t>ELEGÍVEL</t>
  </si>
  <si>
    <t>STATUS</t>
  </si>
  <si>
    <t>A C DE OLIVEIRA PINHEIRO &amp; FILHO LTDA.</t>
  </si>
  <si>
    <t>A PLAY S COMERCIO E SERVICOS LTDA</t>
  </si>
  <si>
    <t>A. L. DE OLIVEIRA &amp; CIA LTDA</t>
  </si>
  <si>
    <t>AC BAYLONGUE</t>
  </si>
  <si>
    <t>ALEXANDRE CISOTTO LAN HOUSE E TELECOMUNICACOES ME</t>
  </si>
  <si>
    <t>ALFA CELULAR LTDA</t>
  </si>
  <si>
    <t>AM3 TELECOM LTDA</t>
  </si>
  <si>
    <t>AMOS MUNIZ CORREIA - ME</t>
  </si>
  <si>
    <t>ANA PAULA TARGINO TRINDADE</t>
  </si>
  <si>
    <t>ANTONIO LINDOMAR DE OLIVEIRA EPP</t>
  </si>
  <si>
    <t>ARES TELECOM LTDA</t>
  </si>
  <si>
    <t>ATENDE CELULAR LTDA - ME</t>
  </si>
  <si>
    <t>AYRES E DEBONI LTDA - ME</t>
  </si>
  <si>
    <t>B.V.G PARRA JUNIOR</t>
  </si>
  <si>
    <t>BANDEIRA</t>
  </si>
  <si>
    <t>BRUNO DE OLIVEIRA &amp; CIA LTDA - ME</t>
  </si>
  <si>
    <t>C A SANTOS COMUNICAO EIRELI</t>
  </si>
  <si>
    <t>CALDAS CELULARES LTDA - ME</t>
  </si>
  <si>
    <t>CAMILA TAMBONE DE ALMEIDA EIRELI - EPP</t>
  </si>
  <si>
    <t>CAMILA TEIXEIRA LUIZ - ME</t>
  </si>
  <si>
    <t>CARLOS EDUARDO SAVIAN - EPP</t>
  </si>
  <si>
    <t>CARLOS FREDERICO E FILHOS COMERCIO</t>
  </si>
  <si>
    <t>CELL AZUL CELULARES LTDA - EPP</t>
  </si>
  <si>
    <t>CELLULAR.COM</t>
  </si>
  <si>
    <t>CENTERCELL TELECOMUNICACOES CARANGO</t>
  </si>
  <si>
    <t>CITEL COMERCIO DE CELULARES LTDA.</t>
  </si>
  <si>
    <t>COLUMBIA COMERCIO VAREJISTA CELULARES ELET. LTDA</t>
  </si>
  <si>
    <t xml:space="preserve">CONTACOM COMERCIO DE APARELHOS ELETRONICOS LTDA </t>
  </si>
  <si>
    <t>CONTATO CELULARES</t>
  </si>
  <si>
    <t>CONVERGE.NET REPRESENTACOES COMERCIAIS LTDA - EPP</t>
  </si>
  <si>
    <t>D. R. MEDEIROS &amp; CIA LTDA</t>
  </si>
  <si>
    <t>DAMASCENO COMERCIO DE CELULARES E ELETRONICOS LTDA</t>
  </si>
  <si>
    <t>DIANA CARLA MOREIRA</t>
  </si>
  <si>
    <t>DIEGO FERNANDES PEREIRA - ME</t>
  </si>
  <si>
    <t>DIN COMERCIO E SERVICOS EIRELI - EPP</t>
  </si>
  <si>
    <t>DME TELECOMUNICACOES, SERVICOS E CO</t>
  </si>
  <si>
    <t>DOM BARRETO COMERCIAL LTDA - ME</t>
  </si>
  <si>
    <t>DOUGLAS LUIZ ELETRONICOS - ME</t>
  </si>
  <si>
    <t>DSX TECH COMERCIO E SERVICOS LTDA</t>
  </si>
  <si>
    <t>E. DAMA EIRELI</t>
  </si>
  <si>
    <t>EDGLAYDSON DA SILVA RAMOS - ME</t>
  </si>
  <si>
    <t>EDUARDO JUNQUEIRA DA SILVEIRA ADMIN</t>
  </si>
  <si>
    <t>ELETRO CENTER</t>
  </si>
  <si>
    <t>ELETROSHOPPING EIRELI</t>
  </si>
  <si>
    <t>EMERSON CUTRIM SERVICOS LTDA</t>
  </si>
  <si>
    <t>ESTULANO &amp; MEZZA LTDA - ME</t>
  </si>
  <si>
    <t>EXTRA CELULARES LTDA</t>
  </si>
  <si>
    <t>F &amp; F CEL - COMERCIO E SERVICOS DE</t>
  </si>
  <si>
    <t>FABIANA GONCALVES DA SILVA LINS E CIA LTDA</t>
  </si>
  <si>
    <t>FLEX CELL</t>
  </si>
  <si>
    <t>FLORES &amp; CARVALHO TELECOMUNICACOES</t>
  </si>
  <si>
    <t>FOR CELL TELECOM LTDA</t>
  </si>
  <si>
    <t>FORTE COMERCIO DE CELULARES LTDA</t>
  </si>
  <si>
    <t>FRANCISCO GONCALVES DE ALENCAR</t>
  </si>
  <si>
    <t>G.L.Z. TELEFONIA MOVEL LTDA</t>
  </si>
  <si>
    <t>GSM FREE</t>
  </si>
  <si>
    <t>GUI CELULARES E SERVICOS LTDA</t>
  </si>
  <si>
    <t>H V DA SILVA COMERCIO - ME</t>
  </si>
  <si>
    <t>ICARO CARVALHO CAVALCANTE</t>
  </si>
  <si>
    <t>INOVA TELECOM LTDA</t>
  </si>
  <si>
    <t>INOVACELL LTDA</t>
  </si>
  <si>
    <t>J F A DE OLIVEIRA &amp; CIA LTDA - ME</t>
  </si>
  <si>
    <t>J H R OLIVEIRA LTDA</t>
  </si>
  <si>
    <t>J J DA SILVA &amp; CIA LTDA - ME</t>
  </si>
  <si>
    <t>J L DE VASCONCELOS</t>
  </si>
  <si>
    <t>J. P. MACHADO TELEFONIA - ME</t>
  </si>
  <si>
    <t>JAQUELINE LOPES MIRANDA LTDA</t>
  </si>
  <si>
    <t>JARBAS WILHAN - ME</t>
  </si>
  <si>
    <t>JOSE ADALBERTO CERQUEIRA JUNIOR - ME</t>
  </si>
  <si>
    <t>JUCELL CELULARES LTDA</t>
  </si>
  <si>
    <t>JUNIOR NOAL &amp; CIA LTDA - ME</t>
  </si>
  <si>
    <t>L. M. DE ALMEIDA COMUNICACAO LTDA</t>
  </si>
  <si>
    <t>LBD TELECOM LTDA</t>
  </si>
  <si>
    <t>LIDIANE FREIRE DA SILVA - ME</t>
  </si>
  <si>
    <t>LINK TELECOM COMERCIO DE CELULARES LTDA - ME</t>
  </si>
  <si>
    <t>LUCIANA DOS REIS - ME</t>
  </si>
  <si>
    <t>M JHUAN COMERCIO E SERVICOS DE CELU</t>
  </si>
  <si>
    <t>M R BARROSO PEREIRA EIRELI</t>
  </si>
  <si>
    <t>M. LOPES - ELETRONICOS</t>
  </si>
  <si>
    <t>MA CELULARES</t>
  </si>
  <si>
    <t>MAGDA KEIKO SASAI MORIMOTO LTDA</t>
  </si>
  <si>
    <t>MARIA JOSEFA DOS SANTOS - ME</t>
  </si>
  <si>
    <t>MASTERCELL COMERCIO E SERVICOS DE T</t>
  </si>
  <si>
    <t>MAX CEL GV LTDA</t>
  </si>
  <si>
    <t>MAXMILIANO RODRIGUES</t>
  </si>
  <si>
    <t>MC COMUNICACOES LTDA</t>
  </si>
  <si>
    <t>MEGA CELULAR</t>
  </si>
  <si>
    <t>MOBILE TELECOM LTDA</t>
  </si>
  <si>
    <t>MS COMERCIO VAREJISTA DE TELECOMUNICACOES LTDA</t>
  </si>
  <si>
    <t>N &amp; C COMERCIO DE CELULARES LTDA - ME</t>
  </si>
  <si>
    <t>N MAIA DE LIMA</t>
  </si>
  <si>
    <t>NAUM RAONI VARELA DOS SANTOS - ME</t>
  </si>
  <si>
    <t>NETTROM COMERCIO DE EQUIP</t>
  </si>
  <si>
    <t>NEW POINT CELULAR LTDA - ME</t>
  </si>
  <si>
    <t>NIPPO-TEC COMERCIO DE MATERIAIS DE COMUNICACAO LTDA - ME</t>
  </si>
  <si>
    <t>PACCO COMERCIO DE APARELHOS ELETRON</t>
  </si>
  <si>
    <t>PATRICIA DO NASCIMENTO</t>
  </si>
  <si>
    <t>PRIME ARACATUBA</t>
  </si>
  <si>
    <t>PRIME TELECOM COMERCIO E SERVICOS DE COMUNICACAO LTDA</t>
  </si>
  <si>
    <t>QUALITY SERVICE ASSESSORIA TECNICA LTDA</t>
  </si>
  <si>
    <t>QUERO CELL COMUNICACAO EIRELI</t>
  </si>
  <si>
    <t>R &amp; J CELULARES E ACESSORIOS EIRELI</t>
  </si>
  <si>
    <t>R RIBEIRO GONZAGA COMERCIO E SERVICOS - ME</t>
  </si>
  <si>
    <t>R S COMERCIO E SERVICOS CELULARES L</t>
  </si>
  <si>
    <t>R. DA SILVA SARAIVA</t>
  </si>
  <si>
    <t>R. R. BECKER &amp; CIA LTDA</t>
  </si>
  <si>
    <t>RCM CAPITAL PARTICIPACOES LTDA</t>
  </si>
  <si>
    <t>RDJ TELECOMUNICACOES LTDA</t>
  </si>
  <si>
    <t>REDCELL F.GOMES LTDA</t>
  </si>
  <si>
    <t>ROSA BRANCA MONTEIRO &amp; CIA LTDA</t>
  </si>
  <si>
    <t>S D COMERCIO DE CELULARES LTDA - ME</t>
  </si>
  <si>
    <t>S V DE CERQUEIRA</t>
  </si>
  <si>
    <t>SANTOS E TENORIO TELECOM LTDA</t>
  </si>
  <si>
    <t>SELF COMERCIO E SERVICOS EM TELEFON</t>
  </si>
  <si>
    <t>SERRA LIDER COMERCIO DE CELULARES LTDA - ME</t>
  </si>
  <si>
    <t>SHEILA RIOS OLIVEIRA LTDA</t>
  </si>
  <si>
    <t>SILVA SILVA TELEFONIA E COMUNICAO L</t>
  </si>
  <si>
    <t>SMART CENTER TELECOM LTDA</t>
  </si>
  <si>
    <t>SOLAR COMERCIO E SERVICOS DE TELEFONIA LTDA - ME</t>
  </si>
  <si>
    <t>SOLAR TELECOMUNICACOES LTDA</t>
  </si>
  <si>
    <t>SOSSOLOTE &amp; CIA LTDA</t>
  </si>
  <si>
    <t>TAMIRIS FERNANDA SCATOLA - ME</t>
  </si>
  <si>
    <t>TATHIANE LEME GOMES DOS SANTOS - ME</t>
  </si>
  <si>
    <t>TATIANE CONCEICAO DE OLIVEIRA - ME</t>
  </si>
  <si>
    <t>TECNOCEL CELULARES COMERCIO, SERVICOS LTDA - ME</t>
  </si>
  <si>
    <t>TELECOMUNICACOES C àsA NOVA LTDA</t>
  </si>
  <si>
    <t>TELECON POINTCELL LTDA</t>
  </si>
  <si>
    <t>TELEMARCO TELECOMUNICACOES EIRELI</t>
  </si>
  <si>
    <t>TESSAROLI RELOJOARIA</t>
  </si>
  <si>
    <t>TOTAL TELECOM LTDA</t>
  </si>
  <si>
    <t>TRIANGULO CELULARES LTDA</t>
  </si>
  <si>
    <t>VALQUIRIA GOMES ROCHA</t>
  </si>
  <si>
    <t>VIA SALLUS</t>
  </si>
  <si>
    <t>VIA TELECOM LTDA ME</t>
  </si>
  <si>
    <t>VIAFONE COMERCIO DE ELETRO ELETRONI</t>
  </si>
  <si>
    <t>WALDEIR BELLEI &amp; CIA LTDA - ME</t>
  </si>
  <si>
    <t>WCI CELULARES SERVICOS E TELECOMUNICACOES LTDA - EPP</t>
  </si>
  <si>
    <t>ADESIENE NUNES MACHADO - ME</t>
  </si>
  <si>
    <t>AMERICOM COMERCIO DE APARELHOS ELETRONICOS LTDA - EPP</t>
  </si>
  <si>
    <t>ANCLA COMERCIO</t>
  </si>
  <si>
    <t>BONELI BIAZI CELULARES EIRELI - ME</t>
  </si>
  <si>
    <t>CELNET COMERCIO E SERVICOS DE TELEFONIA LTDA ME</t>
  </si>
  <si>
    <t>CLARICELL SP1</t>
  </si>
  <si>
    <t>DELTA CELL TELECOMUNICACOES LTDA</t>
  </si>
  <si>
    <t>E-MEAN SERVICOS DE MARKETING DIRETO LTDA</t>
  </si>
  <si>
    <t>FAJULUTI</t>
  </si>
  <si>
    <t>FW TELEFONIA LTDA - EPP</t>
  </si>
  <si>
    <t>HARCOS COMERCIO E SERVICOS LTDA - EPP</t>
  </si>
  <si>
    <t>HIROTA &amp; HIROTA LTDA - ME</t>
  </si>
  <si>
    <t>HS TELECOM</t>
  </si>
  <si>
    <t>LEINAD COMERCIO E SERVICO EIRELI</t>
  </si>
  <si>
    <t>MEXCELL COMERCIO E SERVICOS DE TELECOMUNICACOES LTDA</t>
  </si>
  <si>
    <t>P.G.L CELULARES LTDA</t>
  </si>
  <si>
    <t>PAULA C L NIELLA EIRELI</t>
  </si>
  <si>
    <t>PONTO CERTO COMERCIO E COMUNICAÇÕES LTDA</t>
  </si>
  <si>
    <t>R &amp; R HIPER COMERCIO LTDA</t>
  </si>
  <si>
    <t>TELECELL TELEFONIA LTDA - ME</t>
  </si>
  <si>
    <t>TELEMAIS TELEFONIA LTDA - ME</t>
  </si>
  <si>
    <t>VIRACLARO</t>
  </si>
  <si>
    <t>CÓD</t>
  </si>
  <si>
    <t>GRUPO</t>
  </si>
  <si>
    <t>GN</t>
  </si>
  <si>
    <t>GF</t>
  </si>
  <si>
    <t>CIDADE</t>
  </si>
  <si>
    <t>REPASSE?</t>
  </si>
  <si>
    <t>TEM BOOST?</t>
  </si>
  <si>
    <t>ELEGÍVEL?</t>
  </si>
  <si>
    <t>14HB</t>
  </si>
  <si>
    <t>ADILSON MARQUES DA SILVA</t>
  </si>
  <si>
    <t>LUIZ DE SOUSA LEAL NETO</t>
  </si>
  <si>
    <t>GARANHUNS</t>
  </si>
  <si>
    <t>4KDV</t>
  </si>
  <si>
    <t>HELOISA IONE OLIVEIRA DE ARAUJO</t>
  </si>
  <si>
    <t>FLAVIO GOMES RODRIGUES DOS SANTOS</t>
  </si>
  <si>
    <t>JOAO PESSOA</t>
  </si>
  <si>
    <t>5LYK</t>
  </si>
  <si>
    <t>ISADORA NASCIMENTO SILVA</t>
  </si>
  <si>
    <t>ADNO KEVERSON DOS SANTOS CASTRO</t>
  </si>
  <si>
    <t>NATAL</t>
  </si>
  <si>
    <t>5QC8</t>
  </si>
  <si>
    <t>MICHELLE SALUSTRE MARCATO</t>
  </si>
  <si>
    <t>FABRICIO SILVA DE ARAUJO</t>
  </si>
  <si>
    <t>MACEIO</t>
  </si>
  <si>
    <t>B1RJ</t>
  </si>
  <si>
    <t>FRANCISCA ALINE ALVES BENTO</t>
  </si>
  <si>
    <t>DIEGO HENRIQUE FERREIRA DANTAS</t>
  </si>
  <si>
    <t>FORTALEZA</t>
  </si>
  <si>
    <t>DP0N</t>
  </si>
  <si>
    <t>FCZ6</t>
  </si>
  <si>
    <t>IRANILDE VERISSIMO DE MEDEIROS</t>
  </si>
  <si>
    <t>GR53</t>
  </si>
  <si>
    <t>ALIENNY BARBOSA MACEDO</t>
  </si>
  <si>
    <t>DAVID OLIVEIRA DA COSTA</t>
  </si>
  <si>
    <t>PIRIPIRI</t>
  </si>
  <si>
    <t>H0ZF</t>
  </si>
  <si>
    <t>DENISE CIBELLY FERNANDES BATALHA</t>
  </si>
  <si>
    <t>IE2M</t>
  </si>
  <si>
    <t>IKFK</t>
  </si>
  <si>
    <t>LPK0</t>
  </si>
  <si>
    <t>JULYANE CAVALCANTE GOMES DA SILVA</t>
  </si>
  <si>
    <t>PENEDO</t>
  </si>
  <si>
    <t>N8RH</t>
  </si>
  <si>
    <t>CABEDELO</t>
  </si>
  <si>
    <t>PVTS</t>
  </si>
  <si>
    <t>JOYCE RODRIGUES DE SOUZA</t>
  </si>
  <si>
    <t>RECIFE</t>
  </si>
  <si>
    <t>PWG0</t>
  </si>
  <si>
    <t>EMILENE DE VASCONCELOS CAVALCANTE</t>
  </si>
  <si>
    <t>CARUARU</t>
  </si>
  <si>
    <t>PZ46</t>
  </si>
  <si>
    <t>SANX</t>
  </si>
  <si>
    <t>WEWC</t>
  </si>
  <si>
    <t>PESQUEIRA</t>
  </si>
  <si>
    <t>YZ5K</t>
  </si>
  <si>
    <t>E8ZJ</t>
  </si>
  <si>
    <t>JKSK</t>
  </si>
  <si>
    <t>0QEA</t>
  </si>
  <si>
    <t>PARNAMIRIM</t>
  </si>
  <si>
    <t>23NS</t>
  </si>
  <si>
    <t>NAIDIS BATISTA DE OLIVEIRA</t>
  </si>
  <si>
    <t>ALTOS</t>
  </si>
  <si>
    <t>2FAJ</t>
  </si>
  <si>
    <t>SYLVELANNA MONTEIRO DA SILVA</t>
  </si>
  <si>
    <t>2ISW</t>
  </si>
  <si>
    <t>HUDSON HOLANDA DE MELO</t>
  </si>
  <si>
    <t>UNIAO DOS PALMARES</t>
  </si>
  <si>
    <t>38A3</t>
  </si>
  <si>
    <t>4G9V</t>
  </si>
  <si>
    <t>ARAPIRACA</t>
  </si>
  <si>
    <t>6J4F</t>
  </si>
  <si>
    <t>MARIA TATIANA BORBA GUERREIRO</t>
  </si>
  <si>
    <t>OLINDA</t>
  </si>
  <si>
    <t>6O1L</t>
  </si>
  <si>
    <t>CAMPO MAIOR</t>
  </si>
  <si>
    <t>6UTW</t>
  </si>
  <si>
    <t>ELIZABETH MILANA GOMES DINIZ SOARES</t>
  </si>
  <si>
    <t>8YRC</t>
  </si>
  <si>
    <t>GRAVATA</t>
  </si>
  <si>
    <t>92KU</t>
  </si>
  <si>
    <t>CAICO</t>
  </si>
  <si>
    <t>9TFW</t>
  </si>
  <si>
    <t>JABOATAO DOS GUARARAPES</t>
  </si>
  <si>
    <t>9W39</t>
  </si>
  <si>
    <t>RAQUEL MARIA MONTEIRO LOPES</t>
  </si>
  <si>
    <t>SOBRAL</t>
  </si>
  <si>
    <t>B7GM</t>
  </si>
  <si>
    <t>CEARA-MIRIM</t>
  </si>
  <si>
    <t>B9ZF</t>
  </si>
  <si>
    <t>PALMARES</t>
  </si>
  <si>
    <t>BDMD</t>
  </si>
  <si>
    <t>C231</t>
  </si>
  <si>
    <t>FELIPE FERREIRA MIRANDA</t>
  </si>
  <si>
    <t>PETROLINA</t>
  </si>
  <si>
    <t>C8DV</t>
  </si>
  <si>
    <t>PARNAIBA</t>
  </si>
  <si>
    <t>CS1O</t>
  </si>
  <si>
    <t>ARCOVERDE</t>
  </si>
  <si>
    <t>CSLW</t>
  </si>
  <si>
    <t>BEZERROS</t>
  </si>
  <si>
    <t>CU8F</t>
  </si>
  <si>
    <t>PAULISTA</t>
  </si>
  <si>
    <t>E5J6</t>
  </si>
  <si>
    <t>EOVQ</t>
  </si>
  <si>
    <t>HC92</t>
  </si>
  <si>
    <t>HKH8</t>
  </si>
  <si>
    <t>BELO JARDIM</t>
  </si>
  <si>
    <t>HW0M</t>
  </si>
  <si>
    <t>MATEUS SANTOS LACERDA</t>
  </si>
  <si>
    <t>IGUATU</t>
  </si>
  <si>
    <t>IH1V</t>
  </si>
  <si>
    <t>IQ7T</t>
  </si>
  <si>
    <t>IGARASSU</t>
  </si>
  <si>
    <t>KJRB</t>
  </si>
  <si>
    <t>CABO DE SANTO AGOSTINHO</t>
  </si>
  <si>
    <t>KPD0</t>
  </si>
  <si>
    <t>SANTA CRUZ DO CAPIBARIBE</t>
  </si>
  <si>
    <t>L61V</t>
  </si>
  <si>
    <t>JUAZEIRO DO NORTE</t>
  </si>
  <si>
    <t>LPX3</t>
  </si>
  <si>
    <t>CAMOCIM</t>
  </si>
  <si>
    <t>LTYC</t>
  </si>
  <si>
    <t>M4YA</t>
  </si>
  <si>
    <t>MCNZ</t>
  </si>
  <si>
    <t>MQFJ</t>
  </si>
  <si>
    <t>ROSINEIDE ANTUNES DE QUEIROGA VIEIRA</t>
  </si>
  <si>
    <t>SOUSA</t>
  </si>
  <si>
    <t>NKO9</t>
  </si>
  <si>
    <t>CORURIPE</t>
  </si>
  <si>
    <t>OEC1</t>
  </si>
  <si>
    <t>OX6I</t>
  </si>
  <si>
    <t>JOAO CAMARA</t>
  </si>
  <si>
    <t>P20X</t>
  </si>
  <si>
    <t>Q5HO</t>
  </si>
  <si>
    <t>SAO MIGUEL DOS CAMPOS</t>
  </si>
  <si>
    <t>RC1A</t>
  </si>
  <si>
    <t>RUJC</t>
  </si>
  <si>
    <t>SVUA</t>
  </si>
  <si>
    <t>GUARABIRA</t>
  </si>
  <si>
    <t>UG5Y</t>
  </si>
  <si>
    <t>TERESINA</t>
  </si>
  <si>
    <t>UPX2</t>
  </si>
  <si>
    <t>VAVL</t>
  </si>
  <si>
    <t>ARARIPINA</t>
  </si>
  <si>
    <t>W4NS</t>
  </si>
  <si>
    <t>CRATO</t>
  </si>
  <si>
    <t>XGBJ</t>
  </si>
  <si>
    <t>MAMANGUAPE</t>
  </si>
  <si>
    <t>XTRJ</t>
  </si>
  <si>
    <t>YMGE</t>
  </si>
  <si>
    <t>EUSEBIO</t>
  </si>
  <si>
    <t>YQ03</t>
  </si>
  <si>
    <t>Z0VH</t>
  </si>
  <si>
    <t>MOSSORO</t>
  </si>
  <si>
    <t>A2S4</t>
  </si>
  <si>
    <t>7FR3</t>
  </si>
  <si>
    <t>ACU</t>
  </si>
  <si>
    <t>N73W</t>
  </si>
  <si>
    <t>ANAIDE MARQUES FARIAS BRAGA OLIVEIRA</t>
  </si>
  <si>
    <t>CAUCAIA</t>
  </si>
  <si>
    <t>W85D</t>
  </si>
  <si>
    <t>R5EV</t>
  </si>
  <si>
    <t>KXAE</t>
  </si>
  <si>
    <t>YTG7</t>
  </si>
  <si>
    <t>CARPINA</t>
  </si>
  <si>
    <t>TFL0</t>
  </si>
  <si>
    <t>APFQ</t>
  </si>
  <si>
    <t>32EY</t>
  </si>
  <si>
    <t>R9S5</t>
  </si>
  <si>
    <t>CAMPINA GRANDE</t>
  </si>
  <si>
    <t>FOLM</t>
  </si>
  <si>
    <t>4EAJ</t>
  </si>
  <si>
    <t>5K87</t>
  </si>
  <si>
    <t>VITORIA DE SANTO ANTAO</t>
  </si>
  <si>
    <t>4T3Y</t>
  </si>
  <si>
    <t>AIVL</t>
  </si>
  <si>
    <t>HORIZONTE</t>
  </si>
  <si>
    <t>GICL</t>
  </si>
  <si>
    <t>IQ7X</t>
  </si>
  <si>
    <t>TORITAMA</t>
  </si>
  <si>
    <t>IUSA</t>
  </si>
  <si>
    <t>AFOGADOS DA INGAZEIRA</t>
  </si>
  <si>
    <t>8WT5</t>
  </si>
  <si>
    <t>TATI</t>
  </si>
  <si>
    <t>Y1QH</t>
  </si>
  <si>
    <t>0BRK</t>
  </si>
  <si>
    <t>SIDNEI RODRIGUES FILHO</t>
  </si>
  <si>
    <t>MARCOS LOPES PEDROSA JUNIOR</t>
  </si>
  <si>
    <t>BELO HORIZONTE</t>
  </si>
  <si>
    <t>4A0L</t>
  </si>
  <si>
    <t>LEONARDO SIMOES DOS SANTOS</t>
  </si>
  <si>
    <t>BETIM</t>
  </si>
  <si>
    <t>7EKV</t>
  </si>
  <si>
    <t>6SRL</t>
  </si>
  <si>
    <t>LIZANDRA PERES DA SILVA</t>
  </si>
  <si>
    <t>JORGE PEREIRA AZAMBUJA FILHO</t>
  </si>
  <si>
    <t>LE5A</t>
  </si>
  <si>
    <t>KARINE MARI REZENDE</t>
  </si>
  <si>
    <t>KAROLINE LAMAS DE ANDRADE</t>
  </si>
  <si>
    <t>JUIZ DE FORA</t>
  </si>
  <si>
    <t>2WDY</t>
  </si>
  <si>
    <t>WATTILA DANILO DE JESUS</t>
  </si>
  <si>
    <t>D71P</t>
  </si>
  <si>
    <t>LUCAS FERREIRA BERTOZZI</t>
  </si>
  <si>
    <t>POCOS DE CALDAS</t>
  </si>
  <si>
    <t>K2Q0</t>
  </si>
  <si>
    <t>LUIS CARLOS DE ASSIS</t>
  </si>
  <si>
    <t>VARGINHA</t>
  </si>
  <si>
    <t>KTD1</t>
  </si>
  <si>
    <t>WILLIAM GUILHERME FERREIRA DA SILVA</t>
  </si>
  <si>
    <t>LG93</t>
  </si>
  <si>
    <t>LUANA PAULA PICANCO CASTRO INOUE</t>
  </si>
  <si>
    <t>BRENNER SOUZA RODRIGUES</t>
  </si>
  <si>
    <t>PONTE NOVA</t>
  </si>
  <si>
    <t>NL4Q</t>
  </si>
  <si>
    <t>PATRICIA APARECIDA DA SILVA</t>
  </si>
  <si>
    <t>NOVA ERA</t>
  </si>
  <si>
    <t>OHX9</t>
  </si>
  <si>
    <t>EXTREMA</t>
  </si>
  <si>
    <t>TJ8N</t>
  </si>
  <si>
    <t>CYNTIA SILVA BIANCHETTI</t>
  </si>
  <si>
    <t>SAO JOAO DEL REI</t>
  </si>
  <si>
    <t>EFD6</t>
  </si>
  <si>
    <t>MATEUS MARQUES VIANA</t>
  </si>
  <si>
    <t>DIVINOPOLIS</t>
  </si>
  <si>
    <t>LW7S</t>
  </si>
  <si>
    <t>MABY APARECIDA DUARTE</t>
  </si>
  <si>
    <t>7A4U</t>
  </si>
  <si>
    <t>VSPH</t>
  </si>
  <si>
    <t>BARAO DE COCAIS</t>
  </si>
  <si>
    <t>W3PZ</t>
  </si>
  <si>
    <t>LUANA APARECIDA DOS REIS</t>
  </si>
  <si>
    <t>ALINE MACIEL DE PAULA</t>
  </si>
  <si>
    <t>UBERLANDIA</t>
  </si>
  <si>
    <t>XPJN</t>
  </si>
  <si>
    <t>YC4I</t>
  </si>
  <si>
    <t>ARAGUARI</t>
  </si>
  <si>
    <t>I3L2</t>
  </si>
  <si>
    <t>SANTA LUZIA</t>
  </si>
  <si>
    <t>ZKML</t>
  </si>
  <si>
    <t>PAULIANA PEREIRA DA SILVA OLIVEIRA</t>
  </si>
  <si>
    <t>UBERABA</t>
  </si>
  <si>
    <t>198Y</t>
  </si>
  <si>
    <t>CONGONHAS</t>
  </si>
  <si>
    <t>YQHE</t>
  </si>
  <si>
    <t>ALFENAS</t>
  </si>
  <si>
    <t>3V97</t>
  </si>
  <si>
    <t>TRES CORACOES</t>
  </si>
  <si>
    <t>DRVA</t>
  </si>
  <si>
    <t>OURO PRETO</t>
  </si>
  <si>
    <t>2LUP</t>
  </si>
  <si>
    <t>JOSIANA EMILIA SILVA FARIA</t>
  </si>
  <si>
    <t>MURIAE</t>
  </si>
  <si>
    <t>48SI</t>
  </si>
  <si>
    <t>BARBACENA</t>
  </si>
  <si>
    <t>A9Q7</t>
  </si>
  <si>
    <t>LEOPOLDINA</t>
  </si>
  <si>
    <t>IUP6</t>
  </si>
  <si>
    <t>JOAO MONLEVADE</t>
  </si>
  <si>
    <t>V32L</t>
  </si>
  <si>
    <t>JESSICA PEREIRA BOTELHO ARRUDA</t>
  </si>
  <si>
    <t>IPATINGA</t>
  </si>
  <si>
    <t>7TEH</t>
  </si>
  <si>
    <t>NOVA SERRANA</t>
  </si>
  <si>
    <t>8PVZ</t>
  </si>
  <si>
    <t>CONTAGEM</t>
  </si>
  <si>
    <t>9TDC</t>
  </si>
  <si>
    <t>SETE LAGOAS</t>
  </si>
  <si>
    <t>56F7</t>
  </si>
  <si>
    <t>MUTUM</t>
  </si>
  <si>
    <t>5GME</t>
  </si>
  <si>
    <t>PASSOS</t>
  </si>
  <si>
    <t>KVHA</t>
  </si>
  <si>
    <t>MONTES CLAROS</t>
  </si>
  <si>
    <t>6EST</t>
  </si>
  <si>
    <t>ITABIRA</t>
  </si>
  <si>
    <t>UTIQ</t>
  </si>
  <si>
    <t>849H</t>
  </si>
  <si>
    <t>ITABIRITO</t>
  </si>
  <si>
    <t>85WJ</t>
  </si>
  <si>
    <t>ITAJUBA</t>
  </si>
  <si>
    <t>ODNB</t>
  </si>
  <si>
    <t>TIMOTEO</t>
  </si>
  <si>
    <t>94B7</t>
  </si>
  <si>
    <t>FRUTAL</t>
  </si>
  <si>
    <t>32SE</t>
  </si>
  <si>
    <t>ARIY</t>
  </si>
  <si>
    <t>AYBQ</t>
  </si>
  <si>
    <t>ARAXA</t>
  </si>
  <si>
    <t>BFOF</t>
  </si>
  <si>
    <t>MATOZINHOS</t>
  </si>
  <si>
    <t>BZOW</t>
  </si>
  <si>
    <t>VISCONDE DO RIO BRANCO</t>
  </si>
  <si>
    <t>CEXI</t>
  </si>
  <si>
    <t>DNKC</t>
  </si>
  <si>
    <t>SANTOS DUMONT</t>
  </si>
  <si>
    <t>DXI9</t>
  </si>
  <si>
    <t>Q40H</t>
  </si>
  <si>
    <t>EUIV</t>
  </si>
  <si>
    <t>LCKP</t>
  </si>
  <si>
    <t>LAGOA SANTA</t>
  </si>
  <si>
    <t>FPC3</t>
  </si>
  <si>
    <t>RIBEIRAO DAS NEVES</t>
  </si>
  <si>
    <t>G8R1</t>
  </si>
  <si>
    <t>VICOSA</t>
  </si>
  <si>
    <t>GOKT</t>
  </si>
  <si>
    <t>HYFH</t>
  </si>
  <si>
    <t>I0GQ</t>
  </si>
  <si>
    <t>IAN0</t>
  </si>
  <si>
    <t>CAMBUQUIRA</t>
  </si>
  <si>
    <t>IGJ4</t>
  </si>
  <si>
    <t>JWMO</t>
  </si>
  <si>
    <t>SANTA BARBARA</t>
  </si>
  <si>
    <t>LD07</t>
  </si>
  <si>
    <t>LZKR</t>
  </si>
  <si>
    <t>M2JO</t>
  </si>
  <si>
    <t>PEDRO LEOPOLDO</t>
  </si>
  <si>
    <t>M7JT</t>
  </si>
  <si>
    <t>MEU2</t>
  </si>
  <si>
    <t>MATEUS LEME</t>
  </si>
  <si>
    <t>MHRS</t>
  </si>
  <si>
    <t>N0ML</t>
  </si>
  <si>
    <t>NIKZ</t>
  </si>
  <si>
    <t>NMT7</t>
  </si>
  <si>
    <t>O1I5</t>
  </si>
  <si>
    <t>UBA</t>
  </si>
  <si>
    <t>PAGK</t>
  </si>
  <si>
    <t>PFTU</t>
  </si>
  <si>
    <t>GOVERNADOR VALADARES</t>
  </si>
  <si>
    <t>PI3M</t>
  </si>
  <si>
    <t>IGARAPE</t>
  </si>
  <si>
    <t>SKQ6</t>
  </si>
  <si>
    <t>POUSO ALEGRE</t>
  </si>
  <si>
    <t>U6U2</t>
  </si>
  <si>
    <t>CARATINGA</t>
  </si>
  <si>
    <t>WCTS</t>
  </si>
  <si>
    <t>ITUIUTABA</t>
  </si>
  <si>
    <t>LBX4</t>
  </si>
  <si>
    <t>PARA DE MINAS</t>
  </si>
  <si>
    <t>WLD4</t>
  </si>
  <si>
    <t>ALMENARA</t>
  </si>
  <si>
    <t>WY7E</t>
  </si>
  <si>
    <t>DIAMANTINA</t>
  </si>
  <si>
    <t>X8IF</t>
  </si>
  <si>
    <t>ESPERA FELIZ</t>
  </si>
  <si>
    <t>VESPASIANO</t>
  </si>
  <si>
    <t>Z404</t>
  </si>
  <si>
    <t>NOVA LIMA</t>
  </si>
  <si>
    <t>MXJG</t>
  </si>
  <si>
    <t>ITAUNA</t>
  </si>
  <si>
    <t>9PNA</t>
  </si>
  <si>
    <t>TEOFILO OTONI</t>
  </si>
  <si>
    <t>63SQ</t>
  </si>
  <si>
    <t>M8XO</t>
  </si>
  <si>
    <t>CATAGUASES</t>
  </si>
  <si>
    <t>9VBP</t>
  </si>
  <si>
    <t>LAVRAS</t>
  </si>
  <si>
    <t>OBT4</t>
  </si>
  <si>
    <t>MARIANA</t>
  </si>
  <si>
    <t>H5LD</t>
  </si>
  <si>
    <t>OURO BRANCO</t>
  </si>
  <si>
    <t>JFQ0</t>
  </si>
  <si>
    <t>GUAXUPE</t>
  </si>
  <si>
    <t>JQUQ</t>
  </si>
  <si>
    <t>CONSELHEIRO LAFAIETE</t>
  </si>
  <si>
    <t>VSGL</t>
  </si>
  <si>
    <t>AMANDA DE CASTRO SILVA VAZ</t>
  </si>
  <si>
    <t>MARIA BEATRIZ AGUIAR MARRA</t>
  </si>
  <si>
    <t>GOIANIA</t>
  </si>
  <si>
    <t>4Z2T</t>
  </si>
  <si>
    <t>DAVID GOMES DA SILVA</t>
  </si>
  <si>
    <t>7LG1</t>
  </si>
  <si>
    <t>P2MQ</t>
  </si>
  <si>
    <t>ALEXANDRE KAZUO SHIRAKAWA</t>
  </si>
  <si>
    <t>ANAPOLIS</t>
  </si>
  <si>
    <t>UXVA</t>
  </si>
  <si>
    <t>14Q6</t>
  </si>
  <si>
    <t>APARECIDA DE GOIANIA</t>
  </si>
  <si>
    <t>BNLI</t>
  </si>
  <si>
    <t>CEQS</t>
  </si>
  <si>
    <t>INHUMAS</t>
  </si>
  <si>
    <t>PBK7</t>
  </si>
  <si>
    <t>EDCLEIA PEREIRA DOS SANTOS ALMEIDA</t>
  </si>
  <si>
    <t>CERES</t>
  </si>
  <si>
    <t>2UQC</t>
  </si>
  <si>
    <t>WANESSA OLIVEIRA DE QUEIROZ</t>
  </si>
  <si>
    <t>ITAPURANGA</t>
  </si>
  <si>
    <t>UF96</t>
  </si>
  <si>
    <t>URUACU</t>
  </si>
  <si>
    <t>3VNM</t>
  </si>
  <si>
    <t>LIDIANE ALVES CORDEIRO DA SILVA</t>
  </si>
  <si>
    <t>RAINER OLIVEIRA DA CRUZ</t>
  </si>
  <si>
    <t>PARAISO DO TOCANTINS</t>
  </si>
  <si>
    <t>DDF7</t>
  </si>
  <si>
    <t>VAGO</t>
  </si>
  <si>
    <t>ARAGUAINA</t>
  </si>
  <si>
    <t>SBVL</t>
  </si>
  <si>
    <t>ARAGUATINS</t>
  </si>
  <si>
    <t>T4DE</t>
  </si>
  <si>
    <t>GURUPI</t>
  </si>
  <si>
    <t>360O</t>
  </si>
  <si>
    <t>THIAGO DE SOUSA GOULART</t>
  </si>
  <si>
    <t>JATAI</t>
  </si>
  <si>
    <t>AHF9</t>
  </si>
  <si>
    <t>DE3E</t>
  </si>
  <si>
    <t>CATALAO</t>
  </si>
  <si>
    <t>Q1LW</t>
  </si>
  <si>
    <t>RIO VERDE</t>
  </si>
  <si>
    <t>TMHN</t>
  </si>
  <si>
    <t>ITUMBIARA</t>
  </si>
  <si>
    <t>XMI3</t>
  </si>
  <si>
    <t>0CPE</t>
  </si>
  <si>
    <t>THIAGO WILLIAM DA SILVA REIS</t>
  </si>
  <si>
    <t>ED3S</t>
  </si>
  <si>
    <t>EL9O</t>
  </si>
  <si>
    <t>HA03</t>
  </si>
  <si>
    <t>VBM2</t>
  </si>
  <si>
    <t>QUIRINOPOLIS</t>
  </si>
  <si>
    <t>PKP0</t>
  </si>
  <si>
    <t>GOIATUBA</t>
  </si>
  <si>
    <t>RFJG</t>
  </si>
  <si>
    <t>ANICUNS</t>
  </si>
  <si>
    <t>TUBY</t>
  </si>
  <si>
    <t>MIQUEIAS MARIANO CORA</t>
  </si>
  <si>
    <t>CELSO DE OLIVEIRA ROMA</t>
  </si>
  <si>
    <t>SINOP</t>
  </si>
  <si>
    <t>IMGC</t>
  </si>
  <si>
    <t>ANDRE LUIZ GOMES MARCHIORI</t>
  </si>
  <si>
    <t>TANGARA DA SERRA</t>
  </si>
  <si>
    <t>ZMCK</t>
  </si>
  <si>
    <t>D58U</t>
  </si>
  <si>
    <t>SORRISO</t>
  </si>
  <si>
    <t>QVJV</t>
  </si>
  <si>
    <t>N2C3</t>
  </si>
  <si>
    <t>SAMUEL FRANCISCO DA SILVA JUNIOR</t>
  </si>
  <si>
    <t>RONDONOPOLIS</t>
  </si>
  <si>
    <t>4T7A</t>
  </si>
  <si>
    <t>COLIDER</t>
  </si>
  <si>
    <t>5C0D</t>
  </si>
  <si>
    <t>EDUARDO DOS SANTOS KOURI</t>
  </si>
  <si>
    <t>DULCILEIA LIMA PRADO</t>
  </si>
  <si>
    <t>SENA MADUREIRA</t>
  </si>
  <si>
    <t>JZE2</t>
  </si>
  <si>
    <t>FERNANDA DOS SANTOS MAIA  </t>
  </si>
  <si>
    <t>ITAPUA DO OESTE</t>
  </si>
  <si>
    <t>CIX7</t>
  </si>
  <si>
    <t>IAGO FERNANDO DA SILVA FLORES</t>
  </si>
  <si>
    <t>VILHENA</t>
  </si>
  <si>
    <t>5I62</t>
  </si>
  <si>
    <t>5LNH</t>
  </si>
  <si>
    <t>CANDEIAS DO JAMARI</t>
  </si>
  <si>
    <t>686G</t>
  </si>
  <si>
    <t>PORTO VELHO</t>
  </si>
  <si>
    <t>A7O4</t>
  </si>
  <si>
    <t>EM9F</t>
  </si>
  <si>
    <t>ALTA FLORESTA D OESTE</t>
  </si>
  <si>
    <t>KORY</t>
  </si>
  <si>
    <t>CACOAL</t>
  </si>
  <si>
    <t>MEQV</t>
  </si>
  <si>
    <t>DAISY PINHEIRO RODRIGUES</t>
  </si>
  <si>
    <t>SAO FRANCISCO DO GUAPORE</t>
  </si>
  <si>
    <t>MKI4</t>
  </si>
  <si>
    <t>N4PJ</t>
  </si>
  <si>
    <t>TJP8</t>
  </si>
  <si>
    <t>MACHADINHO D'OESTE</t>
  </si>
  <si>
    <t>UMX1</t>
  </si>
  <si>
    <t>ED2H</t>
  </si>
  <si>
    <t>OURO PRETO DO OESTE</t>
  </si>
  <si>
    <t>0O7P</t>
  </si>
  <si>
    <t>JI-PARANA</t>
  </si>
  <si>
    <t>GKOZ</t>
  </si>
  <si>
    <t>ARIQUEMES</t>
  </si>
  <si>
    <t>QLSH</t>
  </si>
  <si>
    <t>SZD2</t>
  </si>
  <si>
    <t>CRUZEIRO DO SUL</t>
  </si>
  <si>
    <t>VHGU</t>
  </si>
  <si>
    <t>AMANDA TEOTONIO DE SOUSA BRITO</t>
  </si>
  <si>
    <t>RICARDO LIMA DE OLIVEIRA</t>
  </si>
  <si>
    <t>CRISTALINA</t>
  </si>
  <si>
    <t>Z7JR</t>
  </si>
  <si>
    <t>EDDIE MICHAEL LUCAS DA SILVA</t>
  </si>
  <si>
    <t>AGUAS LINDAS DE GOIAS</t>
  </si>
  <si>
    <t>U5ES</t>
  </si>
  <si>
    <t>GUSTAVO MARTINS BARBOSA</t>
  </si>
  <si>
    <t>FABIO VINICIUS WOLFF</t>
  </si>
  <si>
    <t>APARECIDA DO TABOADO</t>
  </si>
  <si>
    <t>HXPE</t>
  </si>
  <si>
    <t>PARANAIBA</t>
  </si>
  <si>
    <t>73H9</t>
  </si>
  <si>
    <t>PABLO LIMA DOS SANTOS</t>
  </si>
  <si>
    <t>CAMPO GRANDE</t>
  </si>
  <si>
    <t>FI2Q</t>
  </si>
  <si>
    <t>8GL5</t>
  </si>
  <si>
    <t>JAQUELINE SILVA NANTES</t>
  </si>
  <si>
    <t>PONTA PORA</t>
  </si>
  <si>
    <t>GWH6</t>
  </si>
  <si>
    <t>DOURADOS</t>
  </si>
  <si>
    <t>I2HZ</t>
  </si>
  <si>
    <t>MUNDO NOVO</t>
  </si>
  <si>
    <t>Y6NQ</t>
  </si>
  <si>
    <t>NAVIRAI</t>
  </si>
  <si>
    <t>3EAZ</t>
  </si>
  <si>
    <t>646X</t>
  </si>
  <si>
    <t>TRINDADE</t>
  </si>
  <si>
    <t>6AM1</t>
  </si>
  <si>
    <t>KWN8</t>
  </si>
  <si>
    <t>NZ76</t>
  </si>
  <si>
    <t>W2E0</t>
  </si>
  <si>
    <t>ALEXANIA</t>
  </si>
  <si>
    <t>AHV0</t>
  </si>
  <si>
    <t>BELA VISTA DE GOIAS</t>
  </si>
  <si>
    <t>63WE</t>
  </si>
  <si>
    <t>SENADOR CANEDO</t>
  </si>
  <si>
    <t>7EJV</t>
  </si>
  <si>
    <t>B4E6</t>
  </si>
  <si>
    <t>PORANGATU</t>
  </si>
  <si>
    <t>HLGT</t>
  </si>
  <si>
    <t>HZMK</t>
  </si>
  <si>
    <t>TXC5</t>
  </si>
  <si>
    <t>V62K</t>
  </si>
  <si>
    <t>ZORH</t>
  </si>
  <si>
    <t>JARAGUA</t>
  </si>
  <si>
    <t>18FJ</t>
  </si>
  <si>
    <t>BAOY</t>
  </si>
  <si>
    <t>CO0K</t>
  </si>
  <si>
    <t>NEROPOLIS</t>
  </si>
  <si>
    <t>AU9K</t>
  </si>
  <si>
    <t>KM7Y</t>
  </si>
  <si>
    <t>DBP4</t>
  </si>
  <si>
    <t>ITABERAI</t>
  </si>
  <si>
    <t>R7E0</t>
  </si>
  <si>
    <t>GOIANESIA</t>
  </si>
  <si>
    <t>EH5T</t>
  </si>
  <si>
    <t>PALMAS</t>
  </si>
  <si>
    <t>EJ3P</t>
  </si>
  <si>
    <t>HRM1</t>
  </si>
  <si>
    <t>I2Y8</t>
  </si>
  <si>
    <t>KO89</t>
  </si>
  <si>
    <t>COLINAS DO TOCANTINS</t>
  </si>
  <si>
    <t>O2Z1</t>
  </si>
  <si>
    <t>S58D</t>
  </si>
  <si>
    <t>PORTO NACIONAL</t>
  </si>
  <si>
    <t>TFO8</t>
  </si>
  <si>
    <t>B2UT</t>
  </si>
  <si>
    <t>MINEIROS</t>
  </si>
  <si>
    <t>EK0V</t>
  </si>
  <si>
    <t>JFZ4</t>
  </si>
  <si>
    <t>X0JU</t>
  </si>
  <si>
    <t>CALDAS NOVAS</t>
  </si>
  <si>
    <t>1OAE</t>
  </si>
  <si>
    <t>AXO3</t>
  </si>
  <si>
    <t>PONTALINA</t>
  </si>
  <si>
    <t>EM3Y</t>
  </si>
  <si>
    <t>G2S9</t>
  </si>
  <si>
    <t>EI7U</t>
  </si>
  <si>
    <t>EN1D</t>
  </si>
  <si>
    <t>SANTA HELENA DE GOIAS</t>
  </si>
  <si>
    <t>LWZ0</t>
  </si>
  <si>
    <t>NV04</t>
  </si>
  <si>
    <t>3LJN</t>
  </si>
  <si>
    <t>IPAMERI</t>
  </si>
  <si>
    <t>DFB9</t>
  </si>
  <si>
    <t>ZULC</t>
  </si>
  <si>
    <t>TZKM</t>
  </si>
  <si>
    <t>PIRACANJUBA</t>
  </si>
  <si>
    <t>RU4V</t>
  </si>
  <si>
    <t>PALMEIRAS DE GOIAS</t>
  </si>
  <si>
    <t>KQ2C</t>
  </si>
  <si>
    <t>BARRA DO BUGRES</t>
  </si>
  <si>
    <t>OGCU</t>
  </si>
  <si>
    <t>PEDRO THIAGO DE SOUZA</t>
  </si>
  <si>
    <t>CACERES</t>
  </si>
  <si>
    <t>953Y</t>
  </si>
  <si>
    <t>COMODORO</t>
  </si>
  <si>
    <t>NGMG</t>
  </si>
  <si>
    <t>JURUENA</t>
  </si>
  <si>
    <t>62VE</t>
  </si>
  <si>
    <t>MILANNI FERNANDES FALCÃO DE ARRUDA</t>
  </si>
  <si>
    <t>CUIABA</t>
  </si>
  <si>
    <t>MLBO</t>
  </si>
  <si>
    <t>GD8V</t>
  </si>
  <si>
    <t>CAMPO VERDE</t>
  </si>
  <si>
    <t>4M9W</t>
  </si>
  <si>
    <t>1PNB</t>
  </si>
  <si>
    <t>ALTA FLORESTA</t>
  </si>
  <si>
    <t>8A79</t>
  </si>
  <si>
    <t>MKPG</t>
  </si>
  <si>
    <t>P3DQ</t>
  </si>
  <si>
    <t>FERNANDA APARECIDA SILVA DE SOUZA</t>
  </si>
  <si>
    <t>KHUZ</t>
  </si>
  <si>
    <t>PN13</t>
  </si>
  <si>
    <t>LUCAS DO RIO VERDE</t>
  </si>
  <si>
    <t>3AT5</t>
  </si>
  <si>
    <t>NOBRES</t>
  </si>
  <si>
    <t>YJY0</t>
  </si>
  <si>
    <t>VARZEA GRANDE</t>
  </si>
  <si>
    <t>3J86</t>
  </si>
  <si>
    <t>Q1MJ</t>
  </si>
  <si>
    <t>T54V</t>
  </si>
  <si>
    <t>1NRI</t>
  </si>
  <si>
    <t>BARRA DO GARCAS</t>
  </si>
  <si>
    <t>P7Q8</t>
  </si>
  <si>
    <t>0ATL</t>
  </si>
  <si>
    <t>PRIMAVERA DO LESTE</t>
  </si>
  <si>
    <t>9LT5</t>
  </si>
  <si>
    <t>GRAZIELLE FREITAS DE SOUZA</t>
  </si>
  <si>
    <t>DUSN</t>
  </si>
  <si>
    <t>GS9P</t>
  </si>
  <si>
    <t>PVJN</t>
  </si>
  <si>
    <t>QBJS</t>
  </si>
  <si>
    <t>R2TU</t>
  </si>
  <si>
    <t>R9FI</t>
  </si>
  <si>
    <t>85O9</t>
  </si>
  <si>
    <t>RIO BRANCO</t>
  </si>
  <si>
    <t>PI0X</t>
  </si>
  <si>
    <t>U3PZ</t>
  </si>
  <si>
    <t>AMBF</t>
  </si>
  <si>
    <t>F484</t>
  </si>
  <si>
    <t>ROLIM DE MOURA</t>
  </si>
  <si>
    <t>9FDG</t>
  </si>
  <si>
    <t>FO1V</t>
  </si>
  <si>
    <t>CEREJEIRAS</t>
  </si>
  <si>
    <t>RHDB</t>
  </si>
  <si>
    <t>BURITIS</t>
  </si>
  <si>
    <t>WPL3</t>
  </si>
  <si>
    <t>SAO MIGUEL DO GUAPORE</t>
  </si>
  <si>
    <t>EWMC</t>
  </si>
  <si>
    <t>JARU</t>
  </si>
  <si>
    <t>31DR</t>
  </si>
  <si>
    <t>PLANALTINA</t>
  </si>
  <si>
    <t>3QCV</t>
  </si>
  <si>
    <t>BRASILIA</t>
  </si>
  <si>
    <t>47N3</t>
  </si>
  <si>
    <t>VALPARAISO DE GOIAS</t>
  </si>
  <si>
    <t>7HUW</t>
  </si>
  <si>
    <t>BRUNNA KARLA DE MEDEIROS FERREIRA</t>
  </si>
  <si>
    <t>841P</t>
  </si>
  <si>
    <t>9GWC</t>
  </si>
  <si>
    <t>A6F4</t>
  </si>
  <si>
    <t>B5FJ</t>
  </si>
  <si>
    <t>B91S</t>
  </si>
  <si>
    <t>DDS0</t>
  </si>
  <si>
    <t>DX9N</t>
  </si>
  <si>
    <t>SANTO ANTONIO DO DESCOBERTO</t>
  </si>
  <si>
    <t>G1NS</t>
  </si>
  <si>
    <t>HCMY</t>
  </si>
  <si>
    <t>HS2M</t>
  </si>
  <si>
    <t>IZN3</t>
  </si>
  <si>
    <t>JDT4</t>
  </si>
  <si>
    <t>NOVO GAMA</t>
  </si>
  <si>
    <t>K4J5</t>
  </si>
  <si>
    <t>LUZIANIA</t>
  </si>
  <si>
    <t>M7M0</t>
  </si>
  <si>
    <t>MSND</t>
  </si>
  <si>
    <t>P7Q5</t>
  </si>
  <si>
    <t>PNYS</t>
  </si>
  <si>
    <t>S5X6</t>
  </si>
  <si>
    <t>TAKX</t>
  </si>
  <si>
    <t>ELJV</t>
  </si>
  <si>
    <t>P4WC</t>
  </si>
  <si>
    <t>TRES LAGOAS</t>
  </si>
  <si>
    <t>HA0B</t>
  </si>
  <si>
    <t>RIBAS DO RIO PARDO</t>
  </si>
  <si>
    <t>HPSI</t>
  </si>
  <si>
    <t>IESP</t>
  </si>
  <si>
    <t>3SZM</t>
  </si>
  <si>
    <t>AGUA CLARA</t>
  </si>
  <si>
    <t>XBSR</t>
  </si>
  <si>
    <t>SIDROLANDIA</t>
  </si>
  <si>
    <t>ZK2W</t>
  </si>
  <si>
    <t>FRFI</t>
  </si>
  <si>
    <t>C4LY</t>
  </si>
  <si>
    <t>MARACAJU</t>
  </si>
  <si>
    <t>YEI4</t>
  </si>
  <si>
    <t>RIO BRILHANTE</t>
  </si>
  <si>
    <t>WMX8</t>
  </si>
  <si>
    <t>JARDIM</t>
  </si>
  <si>
    <t>7BWY</t>
  </si>
  <si>
    <t>BONITO</t>
  </si>
  <si>
    <t>9J6X</t>
  </si>
  <si>
    <t>6DFQ</t>
  </si>
  <si>
    <t>ITAPORA</t>
  </si>
  <si>
    <t>DFC2</t>
  </si>
  <si>
    <t>EBDL</t>
  </si>
  <si>
    <t>K93A</t>
  </si>
  <si>
    <t>PJA1</t>
  </si>
  <si>
    <t>SETE QUEDAS</t>
  </si>
  <si>
    <t>5AC2</t>
  </si>
  <si>
    <t>JACIARA</t>
  </si>
  <si>
    <t>DYMP</t>
  </si>
  <si>
    <t>GOIANIRA</t>
  </si>
  <si>
    <t>YLDW</t>
  </si>
  <si>
    <t>GUARAI</t>
  </si>
  <si>
    <t>VH6P</t>
  </si>
  <si>
    <t>FORMOSA</t>
  </si>
  <si>
    <t>01F5</t>
  </si>
  <si>
    <t>ANNA PAULA QUINTO MOTA</t>
  </si>
  <si>
    <t>RODRIGO SOARES CABRAL</t>
  </si>
  <si>
    <t>ITABUNA</t>
  </si>
  <si>
    <t>0A09</t>
  </si>
  <si>
    <t>TAMIRES ALMEIDA DA SILVEIRA PINTO</t>
  </si>
  <si>
    <t>CAIO DE ANDRADE DUARTE</t>
  </si>
  <si>
    <t>SALVADOR</t>
  </si>
  <si>
    <t>8H3Z</t>
  </si>
  <si>
    <t>JOSE RICARDO SANTANA RIBEIRO</t>
  </si>
  <si>
    <t>LUAN SADRAQUE FERNANDES DOS SANTOS DANTAS</t>
  </si>
  <si>
    <t>SANTO ESTEVAO</t>
  </si>
  <si>
    <t>DOH0</t>
  </si>
  <si>
    <t>ILHEUS</t>
  </si>
  <si>
    <t>FC9Q</t>
  </si>
  <si>
    <t>ANGELICA FEITOSA DE CARVALHO COTA</t>
  </si>
  <si>
    <t>LAURO DE FREITAS</t>
  </si>
  <si>
    <t>IT27</t>
  </si>
  <si>
    <t>AMANDA DA COSTA SILVA LEAL</t>
  </si>
  <si>
    <t>SANTO AMARO</t>
  </si>
  <si>
    <t>KYJI</t>
  </si>
  <si>
    <t>LVE6</t>
  </si>
  <si>
    <t>MJ9B</t>
  </si>
  <si>
    <t>AMANDA COSTA LIMA</t>
  </si>
  <si>
    <t>SIMOES FILHO</t>
  </si>
  <si>
    <t>OI4J</t>
  </si>
  <si>
    <t>SGD5</t>
  </si>
  <si>
    <t>U2SW</t>
  </si>
  <si>
    <t>VOVT</t>
  </si>
  <si>
    <t>9XE2</t>
  </si>
  <si>
    <t>ANTONIO THALLES LUAN BRAGA</t>
  </si>
  <si>
    <t>WALTER JAMES FONSECA MACHADO</t>
  </si>
  <si>
    <t>LIVRAMENTO DE NOSSA SENHORA</t>
  </si>
  <si>
    <t>0O92</t>
  </si>
  <si>
    <t>MARILIA GR àsIELE MOREIRA VALOIS DE MIRANDA</t>
  </si>
  <si>
    <t>FABRICIO OLIVEIRA FIGUEREDO</t>
  </si>
  <si>
    <t>CAMPO FORMOSO</t>
  </si>
  <si>
    <t>2R4O</t>
  </si>
  <si>
    <t>2Z1U</t>
  </si>
  <si>
    <t>JUAZEIRO</t>
  </si>
  <si>
    <t>32JL</t>
  </si>
  <si>
    <t>SANTA LUZ</t>
  </si>
  <si>
    <t>3CHV</t>
  </si>
  <si>
    <t>3WC6</t>
  </si>
  <si>
    <t>RIBEIRA DO POMBAL</t>
  </si>
  <si>
    <t>3ZLG</t>
  </si>
  <si>
    <t>BARREIRAS</t>
  </si>
  <si>
    <t>4O0E</t>
  </si>
  <si>
    <t>4Q73</t>
  </si>
  <si>
    <t>67BL</t>
  </si>
  <si>
    <t>QUELE OLIVEIRA ROCHA ANDRE</t>
  </si>
  <si>
    <t>JEQUIE</t>
  </si>
  <si>
    <t>79W9</t>
  </si>
  <si>
    <t>7FLK</t>
  </si>
  <si>
    <t>MARIA APARECIDA ALVES DE OLIVEIRA</t>
  </si>
  <si>
    <t>VITORIA DA CONQUISTA</t>
  </si>
  <si>
    <t>8BJ4</t>
  </si>
  <si>
    <t>9MVY</t>
  </si>
  <si>
    <t>FEIRA DE SANTANA</t>
  </si>
  <si>
    <t>9NJ5</t>
  </si>
  <si>
    <t>SENHOR DO BONFIM</t>
  </si>
  <si>
    <t>9YT6</t>
  </si>
  <si>
    <t>ADRY</t>
  </si>
  <si>
    <t>ANA GLEIDE DE OLIVEIRA RODRIGUES</t>
  </si>
  <si>
    <t>MARCIA DA SILVA LIMA OLIVEIRA</t>
  </si>
  <si>
    <t>NOSSA SENHORA DO SOCORRO</t>
  </si>
  <si>
    <t>B8VB</t>
  </si>
  <si>
    <t>CTAV</t>
  </si>
  <si>
    <t>ALAGOINHAS</t>
  </si>
  <si>
    <t>CTI7</t>
  </si>
  <si>
    <t>CONCEICAO DO COITE</t>
  </si>
  <si>
    <t>DCYP</t>
  </si>
  <si>
    <t>EUNAPOLIS</t>
  </si>
  <si>
    <t>FJPL</t>
  </si>
  <si>
    <t>ITAPETINGA</t>
  </si>
  <si>
    <t>FMBI</t>
  </si>
  <si>
    <t>JVSV</t>
  </si>
  <si>
    <t>CASA NOVA</t>
  </si>
  <si>
    <t>K48P</t>
  </si>
  <si>
    <t>BRUNA RACHEL KANO SOBRAL SANTOS</t>
  </si>
  <si>
    <t>ARACAJU</t>
  </si>
  <si>
    <t>K7B6</t>
  </si>
  <si>
    <t>POCOES</t>
  </si>
  <si>
    <t>L2H5</t>
  </si>
  <si>
    <t>GUANAMBI</t>
  </si>
  <si>
    <t>M6JB</t>
  </si>
  <si>
    <t>MB3Z</t>
  </si>
  <si>
    <t>MB8N</t>
  </si>
  <si>
    <t>CAMACARI</t>
  </si>
  <si>
    <t>ME2A</t>
  </si>
  <si>
    <t>IRARA</t>
  </si>
  <si>
    <t>Q5P8</t>
  </si>
  <si>
    <t>IPIAU</t>
  </si>
  <si>
    <t>RENS</t>
  </si>
  <si>
    <t>GANDU</t>
  </si>
  <si>
    <t>RLYI</t>
  </si>
  <si>
    <t>RXGS</t>
  </si>
  <si>
    <t>UB4X</t>
  </si>
  <si>
    <t>INHAMBUPE</t>
  </si>
  <si>
    <t>UJY5</t>
  </si>
  <si>
    <t>PORTO SEGURO</t>
  </si>
  <si>
    <t>XDY6</t>
  </si>
  <si>
    <t>JACOBINA</t>
  </si>
  <si>
    <t>Z7JT</t>
  </si>
  <si>
    <t>CANDEIAS</t>
  </si>
  <si>
    <t>ZBRE</t>
  </si>
  <si>
    <t>DV1B</t>
  </si>
  <si>
    <t>CWF8</t>
  </si>
  <si>
    <t>TEIXEIRA DE FREITAS</t>
  </si>
  <si>
    <t>P0UE</t>
  </si>
  <si>
    <t>5F3V</t>
  </si>
  <si>
    <t>6MLN</t>
  </si>
  <si>
    <t>8PUR</t>
  </si>
  <si>
    <t>PAULO AFONSO</t>
  </si>
  <si>
    <t>7AM2</t>
  </si>
  <si>
    <t>ITABAIANA</t>
  </si>
  <si>
    <t>RWHB</t>
  </si>
  <si>
    <t>76CV</t>
  </si>
  <si>
    <t>SAMARA BARDINI PILARES</t>
  </si>
  <si>
    <t>ANA CAROLINA LIMA DE SOUZA</t>
  </si>
  <si>
    <t>SAO DOMINGOS DO ARAGUAIA</t>
  </si>
  <si>
    <t>ETX4</t>
  </si>
  <si>
    <t>LUCIANA ESTEVES DE ALMEIDA</t>
  </si>
  <si>
    <t>CLAUDIO LADISLAU BORGES CUTRIM</t>
  </si>
  <si>
    <t>SANTA INES</t>
  </si>
  <si>
    <t>HLVG</t>
  </si>
  <si>
    <t>MAYCON DA CRUZ MARINHO</t>
  </si>
  <si>
    <t>BACABAL</t>
  </si>
  <si>
    <t>KBZ8</t>
  </si>
  <si>
    <t>9VK5</t>
  </si>
  <si>
    <t>IMPERATRIZ</t>
  </si>
  <si>
    <t>M9C0</t>
  </si>
  <si>
    <t>CAXIAS</t>
  </si>
  <si>
    <t>2CLB</t>
  </si>
  <si>
    <t>EWERTON MAX ESPINDOLA BRITO DOS REIS</t>
  </si>
  <si>
    <t>ANANINDEUA</t>
  </si>
  <si>
    <t>BATI</t>
  </si>
  <si>
    <t>MARCELY ARAUJO COSTA</t>
  </si>
  <si>
    <t>MACAPA</t>
  </si>
  <si>
    <t>Q8BG</t>
  </si>
  <si>
    <t>BELEM</t>
  </si>
  <si>
    <t>WPDC</t>
  </si>
  <si>
    <t>5Y32</t>
  </si>
  <si>
    <t>THIAGO COSTA CARVALHO</t>
  </si>
  <si>
    <t>VIANA</t>
  </si>
  <si>
    <t>BG3H</t>
  </si>
  <si>
    <t>SAMARA NOGUEIRA MENEZES</t>
  </si>
  <si>
    <t>KAREN GABRIELA FERNANDES SILVA</t>
  </si>
  <si>
    <t>PORTO DE MOZ</t>
  </si>
  <si>
    <t>CM3Z</t>
  </si>
  <si>
    <t>SAO JOSE DE RIBAMAR</t>
  </si>
  <si>
    <t>LMOR</t>
  </si>
  <si>
    <t>LAGO DA PEDRA</t>
  </si>
  <si>
    <t>Y0I2</t>
  </si>
  <si>
    <t>PRESIDENTE DUTRA</t>
  </si>
  <si>
    <t>4O3J</t>
  </si>
  <si>
    <t>PARAUAPEBAS</t>
  </si>
  <si>
    <t>21K1</t>
  </si>
  <si>
    <t>70FM</t>
  </si>
  <si>
    <t>SAO LUIS</t>
  </si>
  <si>
    <t>BGWB</t>
  </si>
  <si>
    <t>ELY3</t>
  </si>
  <si>
    <t>ES37</t>
  </si>
  <si>
    <t>RAO1</t>
  </si>
  <si>
    <t>DANIELA DE SOUZA BRITO</t>
  </si>
  <si>
    <t>MANAUS</t>
  </si>
  <si>
    <t>HNGL</t>
  </si>
  <si>
    <t>HNGW</t>
  </si>
  <si>
    <t>IM8G</t>
  </si>
  <si>
    <t>PVO5</t>
  </si>
  <si>
    <t>SANTANA</t>
  </si>
  <si>
    <t>0ZP0</t>
  </si>
  <si>
    <t>EDU MARLLON BARBOSA MONTEIRO</t>
  </si>
  <si>
    <t>CASTANHAL</t>
  </si>
  <si>
    <t>LW82</t>
  </si>
  <si>
    <t>PARAGOMINAS</t>
  </si>
  <si>
    <t>R1U4</t>
  </si>
  <si>
    <t>BRUCE DIAS MELO</t>
  </si>
  <si>
    <t>BOA VISTA</t>
  </si>
  <si>
    <t>JKZY</t>
  </si>
  <si>
    <t>QL1X</t>
  </si>
  <si>
    <t>ABAETETUBA</t>
  </si>
  <si>
    <t>RDKG</t>
  </si>
  <si>
    <t>BRAGANCA</t>
  </si>
  <si>
    <t>SGHN</t>
  </si>
  <si>
    <t>MARABA</t>
  </si>
  <si>
    <t>FRLZ</t>
  </si>
  <si>
    <t>BARRA DO CORDA</t>
  </si>
  <si>
    <t>W5DR</t>
  </si>
  <si>
    <t>BALSAS</t>
  </si>
  <si>
    <t>OIQL</t>
  </si>
  <si>
    <t>7XKH</t>
  </si>
  <si>
    <t>KTI6</t>
  </si>
  <si>
    <t>SHIJ</t>
  </si>
  <si>
    <t>COLINAS</t>
  </si>
  <si>
    <t>0JXI</t>
  </si>
  <si>
    <t>CODO</t>
  </si>
  <si>
    <t>34B6</t>
  </si>
  <si>
    <t>0KNX</t>
  </si>
  <si>
    <t>ACAILANDIA</t>
  </si>
  <si>
    <t>6VM6</t>
  </si>
  <si>
    <t>SANTAREM</t>
  </si>
  <si>
    <t>872M</t>
  </si>
  <si>
    <t>FABIO PITZER DE ANDRADE</t>
  </si>
  <si>
    <t>MARCOS AURELIO DE ALMEIDA</t>
  </si>
  <si>
    <t>RIO DE JANEIRO</t>
  </si>
  <si>
    <t>8O0N</t>
  </si>
  <si>
    <t>PAULO ROBERTO TAVARES COSTA</t>
  </si>
  <si>
    <t>A7RW</t>
  </si>
  <si>
    <t>UARLEN DE OLIVEIRA</t>
  </si>
  <si>
    <t xml:space="preserve">MICHELLE AZEVEDO DE  CARVALHO NEMER </t>
  </si>
  <si>
    <t>MACAE</t>
  </si>
  <si>
    <t>CTQX</t>
  </si>
  <si>
    <t>WALLACE GUIMARAES E SILVA</t>
  </si>
  <si>
    <t>ALEXANDRE VALLE DOS SANTOS LECKAR</t>
  </si>
  <si>
    <t>NITEROI</t>
  </si>
  <si>
    <t>E8NF</t>
  </si>
  <si>
    <t>RODRIGO PEREIRA DE MEDEIROS</t>
  </si>
  <si>
    <t>VALENCA</t>
  </si>
  <si>
    <t>G1MM</t>
  </si>
  <si>
    <t>ARARUAMA</t>
  </si>
  <si>
    <t>GC5P</t>
  </si>
  <si>
    <t>DUQUE DE CAXIAS</t>
  </si>
  <si>
    <t>GG2F</t>
  </si>
  <si>
    <t>NOVA FRIBURGO</t>
  </si>
  <si>
    <t>GO7P</t>
  </si>
  <si>
    <t>FERNANDA FIGLIUZZI FERREIRA NETTO CARVALHO</t>
  </si>
  <si>
    <t>GO8P</t>
  </si>
  <si>
    <t>GP1G</t>
  </si>
  <si>
    <t>GP2G</t>
  </si>
  <si>
    <t>GP3C</t>
  </si>
  <si>
    <t>GP8C</t>
  </si>
  <si>
    <t>NHZC</t>
  </si>
  <si>
    <t>RIO DAS OSTRAS</t>
  </si>
  <si>
    <t>PGDK</t>
  </si>
  <si>
    <t>QI0Y</t>
  </si>
  <si>
    <t xml:space="preserve">
VICTOR MOTTA PASCHOA</t>
  </si>
  <si>
    <t>T8PV</t>
  </si>
  <si>
    <t>VN4K</t>
  </si>
  <si>
    <t>TRES RIOS</t>
  </si>
  <si>
    <t>WPWB</t>
  </si>
  <si>
    <t>XLJF</t>
  </si>
  <si>
    <t>NARELISAN BALTHAZAR RESENDE</t>
  </si>
  <si>
    <t>SAO JOAO DE MERITI</t>
  </si>
  <si>
    <t>BR37</t>
  </si>
  <si>
    <t>SAO GONCALO</t>
  </si>
  <si>
    <t>FEYW</t>
  </si>
  <si>
    <t>PAULA MARQUES SARDINHA</t>
  </si>
  <si>
    <t>CAMPOS DOS GOYTACAZES</t>
  </si>
  <si>
    <t>K9XU</t>
  </si>
  <si>
    <t>PAULO HENRIQUE DE ALMEIDA PINHEIRO</t>
  </si>
  <si>
    <t>VOLTA REDONDA</t>
  </si>
  <si>
    <t>ALED</t>
  </si>
  <si>
    <t>RESENDE</t>
  </si>
  <si>
    <t>1KO5</t>
  </si>
  <si>
    <t>VIVIANA XAVIER</t>
  </si>
  <si>
    <t>JACKELINE MACHADO SINIS GOICOCHEIA</t>
  </si>
  <si>
    <t>VITORIA</t>
  </si>
  <si>
    <t>1R0V</t>
  </si>
  <si>
    <t>VASSOURAS</t>
  </si>
  <si>
    <t>1XCQ</t>
  </si>
  <si>
    <t>VICTOR FERREIRA TEIXEIRA MELETTI</t>
  </si>
  <si>
    <t>2Y7A</t>
  </si>
  <si>
    <t>3LEK</t>
  </si>
  <si>
    <t>DIEFFERSON KLIPPEL ALVES</t>
  </si>
  <si>
    <t>GUARAPARI</t>
  </si>
  <si>
    <t>4PAY</t>
  </si>
  <si>
    <t>VILA VELHA</t>
  </si>
  <si>
    <t>52O5</t>
  </si>
  <si>
    <t>FABIO PEREIRA DA CUNHA</t>
  </si>
  <si>
    <t>MAGE</t>
  </si>
  <si>
    <t>52UY</t>
  </si>
  <si>
    <t>VICTOR MOTTA PASCHOA</t>
  </si>
  <si>
    <t>6UL0</t>
  </si>
  <si>
    <t>MARICA</t>
  </si>
  <si>
    <t>8ZVJ</t>
  </si>
  <si>
    <t>BRUNO DA SILVA LIMA</t>
  </si>
  <si>
    <t>9BDW</t>
  </si>
  <si>
    <t>SERRA</t>
  </si>
  <si>
    <t>A0FH</t>
  </si>
  <si>
    <t>BAUR</t>
  </si>
  <si>
    <t>CW2E</t>
  </si>
  <si>
    <t>FABIO LOIOLA DA SILVA</t>
  </si>
  <si>
    <t>CZO5</t>
  </si>
  <si>
    <t>SAO PEDRO DA ALDEIA</t>
  </si>
  <si>
    <t>EMC2</t>
  </si>
  <si>
    <t>ITABORAI</t>
  </si>
  <si>
    <t>F9H2</t>
  </si>
  <si>
    <t>PETROPOLIS</t>
  </si>
  <si>
    <t>FS2E</t>
  </si>
  <si>
    <t>NILOPOLIS</t>
  </si>
  <si>
    <t>G1MP</t>
  </si>
  <si>
    <t>TERESOPOLIS</t>
  </si>
  <si>
    <t>G1SL</t>
  </si>
  <si>
    <t>SAO JOSE DO VALE DO RIO PRETO</t>
  </si>
  <si>
    <t>G8JY</t>
  </si>
  <si>
    <t>GC2P</t>
  </si>
  <si>
    <t>GC3P</t>
  </si>
  <si>
    <t>GFT1</t>
  </si>
  <si>
    <t>GG1F</t>
  </si>
  <si>
    <t>GO3P</t>
  </si>
  <si>
    <t>GO5P</t>
  </si>
  <si>
    <t>GO6P</t>
  </si>
  <si>
    <t>I9IL</t>
  </si>
  <si>
    <t>JSY6</t>
  </si>
  <si>
    <t>QUEIMADOS</t>
  </si>
  <si>
    <t>K536</t>
  </si>
  <si>
    <t>PARACAMBI</t>
  </si>
  <si>
    <t>KAD3</t>
  </si>
  <si>
    <t>L2Q2</t>
  </si>
  <si>
    <t>L7P5</t>
  </si>
  <si>
    <t>L864</t>
  </si>
  <si>
    <t>M0DW</t>
  </si>
  <si>
    <t>MARATAIZES</t>
  </si>
  <si>
    <t>N6H2</t>
  </si>
  <si>
    <t>N6UR</t>
  </si>
  <si>
    <t>NDTZ</t>
  </si>
  <si>
    <t>P418</t>
  </si>
  <si>
    <t>NOVA IGUACU</t>
  </si>
  <si>
    <t>PAOV</t>
  </si>
  <si>
    <t>QHTZ</t>
  </si>
  <si>
    <t>QPO3</t>
  </si>
  <si>
    <t>RI7X</t>
  </si>
  <si>
    <t>RXH5</t>
  </si>
  <si>
    <t>BARRA DO PIRAI</t>
  </si>
  <si>
    <t>S71L</t>
  </si>
  <si>
    <t>5BCS</t>
  </si>
  <si>
    <t>SIGP</t>
  </si>
  <si>
    <t>X7D4</t>
  </si>
  <si>
    <t>ITAGUAI</t>
  </si>
  <si>
    <t>X9MG</t>
  </si>
  <si>
    <t>BELFORD ROXO</t>
  </si>
  <si>
    <t>XQK8</t>
  </si>
  <si>
    <t>Z9DY</t>
  </si>
  <si>
    <t>ZCB3</t>
  </si>
  <si>
    <t>JE97</t>
  </si>
  <si>
    <t>14RU</t>
  </si>
  <si>
    <t>KBVT</t>
  </si>
  <si>
    <t>I5TV</t>
  </si>
  <si>
    <t>G0XH</t>
  </si>
  <si>
    <t>WQ3S</t>
  </si>
  <si>
    <t>ITAPERUNA</t>
  </si>
  <si>
    <t>POGA</t>
  </si>
  <si>
    <t>ARMACAO DOS BUZIOS</t>
  </si>
  <si>
    <t>UT2F</t>
  </si>
  <si>
    <t>KDBX</t>
  </si>
  <si>
    <t>CABO FRIO</t>
  </si>
  <si>
    <t>37W8</t>
  </si>
  <si>
    <t>4Z0R</t>
  </si>
  <si>
    <t>BMTX</t>
  </si>
  <si>
    <t>PARATY</t>
  </si>
  <si>
    <t>F979</t>
  </si>
  <si>
    <t>LRM4</t>
  </si>
  <si>
    <t>BARRA MANSA</t>
  </si>
  <si>
    <t>G21T</t>
  </si>
  <si>
    <t>ANGRA DOS REIS</t>
  </si>
  <si>
    <t>W5Q0</t>
  </si>
  <si>
    <t>WS5P</t>
  </si>
  <si>
    <t>ARACRUZ</t>
  </si>
  <si>
    <t>H928</t>
  </si>
  <si>
    <t xml:space="preserve"> IOIC</t>
  </si>
  <si>
    <t>PARAIBA DO SUL</t>
  </si>
  <si>
    <t>CB1T</t>
  </si>
  <si>
    <t>REGIANE ALVES DA COSTA</t>
  </si>
  <si>
    <t>JOSIANE MENDES DE AGUIAR</t>
  </si>
  <si>
    <t>ARUJA</t>
  </si>
  <si>
    <t>TRM8</t>
  </si>
  <si>
    <t>ALEXANDRE HORTA HONORIO</t>
  </si>
  <si>
    <t>MARCELO MARTINS SAMPAIO</t>
  </si>
  <si>
    <t>ITAPECERICA DA SERRA</t>
  </si>
  <si>
    <t>9G9S</t>
  </si>
  <si>
    <t>OSASCO</t>
  </si>
  <si>
    <t>NOUR</t>
  </si>
  <si>
    <t>MOGI DAS CRUZES</t>
  </si>
  <si>
    <t>3BCQ</t>
  </si>
  <si>
    <t>6SX1</t>
  </si>
  <si>
    <t>SAO PAULO</t>
  </si>
  <si>
    <t>CM1A</t>
  </si>
  <si>
    <t>P32C</t>
  </si>
  <si>
    <t>PT5L</t>
  </si>
  <si>
    <t>EMBU DAS ARTES</t>
  </si>
  <si>
    <t>VF3M</t>
  </si>
  <si>
    <t>LNC8</t>
  </si>
  <si>
    <t>CAROLINA RODRIGUES BATISTA</t>
  </si>
  <si>
    <t>ALANA DALLA COSTA</t>
  </si>
  <si>
    <t>01SE</t>
  </si>
  <si>
    <t>LUIZ PAULO SANTOS CONCEICAO</t>
  </si>
  <si>
    <t>JANDIRA</t>
  </si>
  <si>
    <t>0D0C</t>
  </si>
  <si>
    <t>0FB6</t>
  </si>
  <si>
    <t>4AFC</t>
  </si>
  <si>
    <t>VALQUIRIA APARECIDA DE CARVALHO</t>
  </si>
  <si>
    <t>59R9</t>
  </si>
  <si>
    <t>5GBA</t>
  </si>
  <si>
    <t>ITAPEVI</t>
  </si>
  <si>
    <t>BIDJ</t>
  </si>
  <si>
    <t>BTNC</t>
  </si>
  <si>
    <t>GN83</t>
  </si>
  <si>
    <t>HT50</t>
  </si>
  <si>
    <t>IEQ3</t>
  </si>
  <si>
    <t>IVHZ</t>
  </si>
  <si>
    <t>O1EF</t>
  </si>
  <si>
    <t>TLEF</t>
  </si>
  <si>
    <t>U5ZR</t>
  </si>
  <si>
    <t>CAJAMAR</t>
  </si>
  <si>
    <t>ZQMB</t>
  </si>
  <si>
    <t>2SIK</t>
  </si>
  <si>
    <t>DIADEMA</t>
  </si>
  <si>
    <t>51GU</t>
  </si>
  <si>
    <t>SANTO ANDRE</t>
  </si>
  <si>
    <t>5P6E</t>
  </si>
  <si>
    <t>H9LX</t>
  </si>
  <si>
    <t>RENATA PREVIATO ALAVEZ</t>
  </si>
  <si>
    <t>SUZANO</t>
  </si>
  <si>
    <t>0L6Z</t>
  </si>
  <si>
    <t>MARCIO DINIZ GOMES NALETO</t>
  </si>
  <si>
    <t>0LIZ</t>
  </si>
  <si>
    <t>KELLY COLIADOS VALENTIM</t>
  </si>
  <si>
    <t>2GJ0</t>
  </si>
  <si>
    <t>8CLM</t>
  </si>
  <si>
    <t>GUARULHOS</t>
  </si>
  <si>
    <t>CB2A</t>
  </si>
  <si>
    <t>E2YS</t>
  </si>
  <si>
    <t>MAUA</t>
  </si>
  <si>
    <t>E36K</t>
  </si>
  <si>
    <t>J0ST</t>
  </si>
  <si>
    <t>K5RE</t>
  </si>
  <si>
    <t>KPCZ</t>
  </si>
  <si>
    <t>LMO5</t>
  </si>
  <si>
    <t>SAO BERNARDO DO CAMPO</t>
  </si>
  <si>
    <t>LPXU</t>
  </si>
  <si>
    <t>S39L</t>
  </si>
  <si>
    <t>SE38</t>
  </si>
  <si>
    <t>TVRG</t>
  </si>
  <si>
    <t>ITAQUAQUECETUBA</t>
  </si>
  <si>
    <t>TVW7</t>
  </si>
  <si>
    <t>Y4WU</t>
  </si>
  <si>
    <t>S27G</t>
  </si>
  <si>
    <t>TABOAO DA SERRA</t>
  </si>
  <si>
    <t>BD7Z</t>
  </si>
  <si>
    <t>6J3J</t>
  </si>
  <si>
    <t>S434</t>
  </si>
  <si>
    <t>XG9I</t>
  </si>
  <si>
    <t>CARAPICUIBA</t>
  </si>
  <si>
    <t>AFH3</t>
  </si>
  <si>
    <t>WENDY DAYANE PETELINKAR</t>
  </si>
  <si>
    <t>ATIBAIA</t>
  </si>
  <si>
    <t>L6P8</t>
  </si>
  <si>
    <t>FRANCO DA ROCHA</t>
  </si>
  <si>
    <t>8HWI</t>
  </si>
  <si>
    <t>BRAGANCA PAULISTA</t>
  </si>
  <si>
    <t>95BC</t>
  </si>
  <si>
    <t>QAMP</t>
  </si>
  <si>
    <t>FRANCISCO MORATO</t>
  </si>
  <si>
    <t>VO79</t>
  </si>
  <si>
    <t>JUNDIAI</t>
  </si>
  <si>
    <t>03ZG</t>
  </si>
  <si>
    <t>THIAGO HENRIQUE MENEGALDO MARQUES</t>
  </si>
  <si>
    <t>3LP3</t>
  </si>
  <si>
    <t>4Z98</t>
  </si>
  <si>
    <t>6XYP</t>
  </si>
  <si>
    <t>ADRIANA DA SILVA</t>
  </si>
  <si>
    <t>COTIA</t>
  </si>
  <si>
    <t>7YM7</t>
  </si>
  <si>
    <t>LMB3</t>
  </si>
  <si>
    <t>RIBEIRAO PIRES</t>
  </si>
  <si>
    <t>SR83</t>
  </si>
  <si>
    <t>X54V</t>
  </si>
  <si>
    <t>VARGEM GRANDE PAULISTA</t>
  </si>
  <si>
    <t>XFIO</t>
  </si>
  <si>
    <t>KFPY</t>
  </si>
  <si>
    <t>QEBW</t>
  </si>
  <si>
    <t>ALEXANDRE DE SOUZA BISPO</t>
  </si>
  <si>
    <t>02RI</t>
  </si>
  <si>
    <t>WILLIAM DE OLIVEIRA BONFIM</t>
  </si>
  <si>
    <t>HELBER EMILIANO ZAROS</t>
  </si>
  <si>
    <t>MONTE MOR</t>
  </si>
  <si>
    <t>08GH</t>
  </si>
  <si>
    <t>NELISA APARECIDA BARREIROS FERREIRA MEDEIROS</t>
  </si>
  <si>
    <t xml:space="preserve">RAFAEL SILVEIRA DE CARVALHO </t>
  </si>
  <si>
    <t>PERUIBE</t>
  </si>
  <si>
    <t>0ZXL</t>
  </si>
  <si>
    <t>RODRIGO DE SOUZA ALBANO</t>
  </si>
  <si>
    <t>PIRASSUNUNGA</t>
  </si>
  <si>
    <t>1AP6</t>
  </si>
  <si>
    <t>VAGO_DDD16</t>
  </si>
  <si>
    <t>EDUARDO ALVES DE QUEIROZ</t>
  </si>
  <si>
    <t>PITANGUEIRAS</t>
  </si>
  <si>
    <t>1L9B</t>
  </si>
  <si>
    <t>ESPIRITO SANTO DO PINHAL</t>
  </si>
  <si>
    <t>1QS6</t>
  </si>
  <si>
    <t xml:space="preserve">RAFAEL MICHELINI MENONCELLO </t>
  </si>
  <si>
    <t>ARTUR NOGUEIRA</t>
  </si>
  <si>
    <t>282U</t>
  </si>
  <si>
    <t>DAVID GOMES NEGRAO</t>
  </si>
  <si>
    <t>SANTA RITA DO PASSA QUATRO</t>
  </si>
  <si>
    <t>2AK7</t>
  </si>
  <si>
    <t>VALERIA DE SOUZA ZAMBUZI</t>
  </si>
  <si>
    <t>ITAPETININGA</t>
  </si>
  <si>
    <t>2DM4</t>
  </si>
  <si>
    <t xml:space="preserve">JOÃO PAULO VENDRAMINI </t>
  </si>
  <si>
    <t>VIVIANE TANGARI LEMOS PONTES</t>
  </si>
  <si>
    <t>AVARE</t>
  </si>
  <si>
    <t>2LOC</t>
  </si>
  <si>
    <t>PRAIA GRANDE</t>
  </si>
  <si>
    <t>2STD</t>
  </si>
  <si>
    <t xml:space="preserve">NATAN DOS SANTOS MOREIRA LIMA </t>
  </si>
  <si>
    <t>SAO SEBASTIAO</t>
  </si>
  <si>
    <t>2VB3</t>
  </si>
  <si>
    <t>AMPARO</t>
  </si>
  <si>
    <t>2YQS</t>
  </si>
  <si>
    <t>PORTO FELIZ</t>
  </si>
  <si>
    <t>3A1I</t>
  </si>
  <si>
    <t>LEILA CRISTINA NABUCO</t>
  </si>
  <si>
    <t>INDAIATUBA</t>
  </si>
  <si>
    <t>3DGA</t>
  </si>
  <si>
    <t>VIVIAN GABRIELA SOARES MARTINS TOSTES</t>
  </si>
  <si>
    <t>LIMEIRA</t>
  </si>
  <si>
    <t>3OWM</t>
  </si>
  <si>
    <t>MARISTELA CAPARROZ DE LIRA SILVA</t>
  </si>
  <si>
    <t>SAO CARLOS</t>
  </si>
  <si>
    <t>3Q90</t>
  </si>
  <si>
    <t>ITANHAEM</t>
  </si>
  <si>
    <t>3U6T</t>
  </si>
  <si>
    <t>CAMILA DEOLINDA SALGADO</t>
  </si>
  <si>
    <t>TAUBATE</t>
  </si>
  <si>
    <t>3UNF</t>
  </si>
  <si>
    <t>CAMPINAS</t>
  </si>
  <si>
    <t>3UW7</t>
  </si>
  <si>
    <t>NOVA ODESSA</t>
  </si>
  <si>
    <t>3V70</t>
  </si>
  <si>
    <t>ANA CLINIO DA SILVA</t>
  </si>
  <si>
    <t>FERNANDOPOLIS</t>
  </si>
  <si>
    <t>43LW</t>
  </si>
  <si>
    <t>THIAGO BERNARDES VIEIRA</t>
  </si>
  <si>
    <t>LORENA</t>
  </si>
  <si>
    <t>4BNF</t>
  </si>
  <si>
    <t>MOCOCA</t>
  </si>
  <si>
    <t>4C7D</t>
  </si>
  <si>
    <t>FREDERICO CARNEIRO SANTIAGO</t>
  </si>
  <si>
    <t>AGUAI</t>
  </si>
  <si>
    <t>4CB1</t>
  </si>
  <si>
    <t>4UAR</t>
  </si>
  <si>
    <t>CACAPAVA</t>
  </si>
  <si>
    <t>508N</t>
  </si>
  <si>
    <t>VINHEDO</t>
  </si>
  <si>
    <t>50L4</t>
  </si>
  <si>
    <t>VALINHOS</t>
  </si>
  <si>
    <t>57HL</t>
  </si>
  <si>
    <t>TREMEMBE</t>
  </si>
  <si>
    <t>5EO2</t>
  </si>
  <si>
    <t>TENYSON RICHELLE RODRIGUES BETONI</t>
  </si>
  <si>
    <t>BAURU</t>
  </si>
  <si>
    <t>5MEN</t>
  </si>
  <si>
    <t>5SNA</t>
  </si>
  <si>
    <t>JABOTICABAL</t>
  </si>
  <si>
    <t>5YAX</t>
  </si>
  <si>
    <t xml:space="preserve">VANIA DIAS MALAMAN </t>
  </si>
  <si>
    <t>PENAPOLIS</t>
  </si>
  <si>
    <t>5Z2B</t>
  </si>
  <si>
    <t>60AJ</t>
  </si>
  <si>
    <t xml:space="preserve">PAULA AZEVEDO TIBURCIO </t>
  </si>
  <si>
    <t>SANTOS</t>
  </si>
  <si>
    <t>654I</t>
  </si>
  <si>
    <t>65MC</t>
  </si>
  <si>
    <t>GLAUCIA CAVALCANTE MARTINS</t>
  </si>
  <si>
    <t>SOROCABA</t>
  </si>
  <si>
    <t>65PG</t>
  </si>
  <si>
    <t>SANTA BARBARA D'OESTE</t>
  </si>
  <si>
    <t>69IK</t>
  </si>
  <si>
    <t>ARARAS</t>
  </si>
  <si>
    <t>6CX7</t>
  </si>
  <si>
    <t>RODRIGO PROSPERO FERREIRA DA SILVA</t>
  </si>
  <si>
    <t>ITUVERAVA</t>
  </si>
  <si>
    <t>6MA7</t>
  </si>
  <si>
    <t>BOTUCATU</t>
  </si>
  <si>
    <t>6OYN</t>
  </si>
  <si>
    <t>NILTON JUNIOR FRANCISCO</t>
  </si>
  <si>
    <t>GUARARAPES</t>
  </si>
  <si>
    <t>6WBY</t>
  </si>
  <si>
    <t>MONTE ALTO</t>
  </si>
  <si>
    <t>6WG8</t>
  </si>
  <si>
    <t>MOGI GUACU</t>
  </si>
  <si>
    <t>764T</t>
  </si>
  <si>
    <t>SAO JOAO DA BOA VISTA</t>
  </si>
  <si>
    <t>78B1</t>
  </si>
  <si>
    <t>PINDAMONHANGABA</t>
  </si>
  <si>
    <t>7DBW</t>
  </si>
  <si>
    <t>DRACENA</t>
  </si>
  <si>
    <t>7GMI</t>
  </si>
  <si>
    <t>RIBEIRAO PRETO</t>
  </si>
  <si>
    <t>7UD6</t>
  </si>
  <si>
    <t>81DQ</t>
  </si>
  <si>
    <t>SAO MANUEL</t>
  </si>
  <si>
    <t>84Q9</t>
  </si>
  <si>
    <t>8I04</t>
  </si>
  <si>
    <t>ORLANDIA</t>
  </si>
  <si>
    <t>8KGP</t>
  </si>
  <si>
    <t>SAO JOSE DOS CAMPOS</t>
  </si>
  <si>
    <t>8MCU</t>
  </si>
  <si>
    <t>971O</t>
  </si>
  <si>
    <t>9ZPJ</t>
  </si>
  <si>
    <t>A4RA</t>
  </si>
  <si>
    <t>HORTOLANDIA</t>
  </si>
  <si>
    <t>ANJT</t>
  </si>
  <si>
    <t>SAO JOSE DO RIO PARDO</t>
  </si>
  <si>
    <t>BABI</t>
  </si>
  <si>
    <t>MARIA ROSANGELA DE JESUS</t>
  </si>
  <si>
    <t>FRANCA</t>
  </si>
  <si>
    <t>BIVZ</t>
  </si>
  <si>
    <t>SAO VICENTE</t>
  </si>
  <si>
    <t>C2IC</t>
  </si>
  <si>
    <t>CI76</t>
  </si>
  <si>
    <t>GUARATINGUETA</t>
  </si>
  <si>
    <t>CJIB</t>
  </si>
  <si>
    <t>LENCOIS PAULISTA</t>
  </si>
  <si>
    <t>D2EH</t>
  </si>
  <si>
    <t>CASA BRANCA</t>
  </si>
  <si>
    <t>D58Q</t>
  </si>
  <si>
    <t>D96E</t>
  </si>
  <si>
    <t>AMERICANA</t>
  </si>
  <si>
    <t>DFA5</t>
  </si>
  <si>
    <t>PAULINIA</t>
  </si>
  <si>
    <t>DFLW</t>
  </si>
  <si>
    <t>JAGUARIUNA</t>
  </si>
  <si>
    <t>DS2Q</t>
  </si>
  <si>
    <t>MORRO AGUDO</t>
  </si>
  <si>
    <t>DV7G</t>
  </si>
  <si>
    <t>VITOR FERNANDO FARIA SARAVALLI</t>
  </si>
  <si>
    <t>BARRETOS</t>
  </si>
  <si>
    <t>E7UC</t>
  </si>
  <si>
    <t>SUMARE</t>
  </si>
  <si>
    <t>EJFC</t>
  </si>
  <si>
    <t>ITAPIRA</t>
  </si>
  <si>
    <t>ERH6</t>
  </si>
  <si>
    <t>ES3M</t>
  </si>
  <si>
    <t>FA4O</t>
  </si>
  <si>
    <t>FG8V</t>
  </si>
  <si>
    <t>RIO CLARO</t>
  </si>
  <si>
    <t>FH75</t>
  </si>
  <si>
    <t>FOXW</t>
  </si>
  <si>
    <t>FP4S</t>
  </si>
  <si>
    <t>REGISTRO</t>
  </si>
  <si>
    <t>G7KJ</t>
  </si>
  <si>
    <t>PIEDADE</t>
  </si>
  <si>
    <t>GIW7</t>
  </si>
  <si>
    <t>CAMPOS DO JORDAO</t>
  </si>
  <si>
    <t>GXNT</t>
  </si>
  <si>
    <t>CARAGUATATUBA</t>
  </si>
  <si>
    <t>H0BH</t>
  </si>
  <si>
    <t>GUARUJA</t>
  </si>
  <si>
    <t>H83T</t>
  </si>
  <si>
    <t>LEME</t>
  </si>
  <si>
    <t>HFQJ</t>
  </si>
  <si>
    <t>IBITINGA</t>
  </si>
  <si>
    <t>HWJ5</t>
  </si>
  <si>
    <t>PRESIDENTE PRUDENTE</t>
  </si>
  <si>
    <t>HWY1</t>
  </si>
  <si>
    <t>I1CQ</t>
  </si>
  <si>
    <t>ANDRADINA</t>
  </si>
  <si>
    <t>I28W</t>
  </si>
  <si>
    <t>I3XD</t>
  </si>
  <si>
    <t>BIRIGUI</t>
  </si>
  <si>
    <t>IYNZ</t>
  </si>
  <si>
    <t>SANTA CRUZ DO RIO PARDO</t>
  </si>
  <si>
    <t>J1EW</t>
  </si>
  <si>
    <t>J4D7</t>
  </si>
  <si>
    <t>JD30</t>
  </si>
  <si>
    <t>CERQUILHO</t>
  </si>
  <si>
    <t>JDRJ</t>
  </si>
  <si>
    <t>JF0B</t>
  </si>
  <si>
    <t>VALPARAISO</t>
  </si>
  <si>
    <t>JOKX</t>
  </si>
  <si>
    <t>PROMISSAO</t>
  </si>
  <si>
    <t>JTX8</t>
  </si>
  <si>
    <t>K19U</t>
  </si>
  <si>
    <t>K1DN</t>
  </si>
  <si>
    <t>UBATUBA</t>
  </si>
  <si>
    <t>K4HP</t>
  </si>
  <si>
    <t>PIRACICABA</t>
  </si>
  <si>
    <t>KBV1</t>
  </si>
  <si>
    <t>ILHABELA</t>
  </si>
  <si>
    <t>KJN4</t>
  </si>
  <si>
    <t>PONTAL</t>
  </si>
  <si>
    <t>KL68</t>
  </si>
  <si>
    <t>L34L</t>
  </si>
  <si>
    <t>TUPA</t>
  </si>
  <si>
    <t>LAHU</t>
  </si>
  <si>
    <t>COSMOPOLIS</t>
  </si>
  <si>
    <t>LCK9</t>
  </si>
  <si>
    <t>LNJ9</t>
  </si>
  <si>
    <t>SERRANA</t>
  </si>
  <si>
    <t>LVQB</t>
  </si>
  <si>
    <t>M5D8</t>
  </si>
  <si>
    <t>RENATO PIQUERA AZEVEDO</t>
  </si>
  <si>
    <t>JOSE BONIFACIO</t>
  </si>
  <si>
    <t>ME4X</t>
  </si>
  <si>
    <t>MRKD</t>
  </si>
  <si>
    <t>BARIRI</t>
  </si>
  <si>
    <t>N8J5</t>
  </si>
  <si>
    <t>NIMT</t>
  </si>
  <si>
    <t>TATUI</t>
  </si>
  <si>
    <t>NK1R</t>
  </si>
  <si>
    <t>MONGAGUA</t>
  </si>
  <si>
    <t>NM0R</t>
  </si>
  <si>
    <t>NT7E</t>
  </si>
  <si>
    <t>PORTO FERREIRA</t>
  </si>
  <si>
    <t>NYA0</t>
  </si>
  <si>
    <t>BRODOWSKI</t>
  </si>
  <si>
    <t>OZX2</t>
  </si>
  <si>
    <t>P5L1</t>
  </si>
  <si>
    <t>AURIFLAMA</t>
  </si>
  <si>
    <t>PD8V</t>
  </si>
  <si>
    <t>PD9V</t>
  </si>
  <si>
    <t>MATAO</t>
  </si>
  <si>
    <t>PE7O</t>
  </si>
  <si>
    <t>DESCALVADO</t>
  </si>
  <si>
    <t>PE9P</t>
  </si>
  <si>
    <t>VIRADOURO</t>
  </si>
  <si>
    <t>PG8A</t>
  </si>
  <si>
    <t>ARACATUBA</t>
  </si>
  <si>
    <t>PG8B</t>
  </si>
  <si>
    <t>JAU</t>
  </si>
  <si>
    <t>PG8G</t>
  </si>
  <si>
    <t>MARILIA</t>
  </si>
  <si>
    <t>PG8H</t>
  </si>
  <si>
    <t>SERTAOZINHO</t>
  </si>
  <si>
    <t>PG8I</t>
  </si>
  <si>
    <t>PG8J</t>
  </si>
  <si>
    <t>VOTUPORANGA</t>
  </si>
  <si>
    <t>PG8K</t>
  </si>
  <si>
    <t>SAO JOSE DO RIO PRETO</t>
  </si>
  <si>
    <t>PG8L</t>
  </si>
  <si>
    <t>PG8M</t>
  </si>
  <si>
    <t>BEBEDOURO</t>
  </si>
  <si>
    <t>PG8N</t>
  </si>
  <si>
    <t>PG8R</t>
  </si>
  <si>
    <t>PG8S</t>
  </si>
  <si>
    <t>PG9B</t>
  </si>
  <si>
    <t>ARARAQUARA</t>
  </si>
  <si>
    <t>PMA1</t>
  </si>
  <si>
    <t>MIRANDOPOLIS</t>
  </si>
  <si>
    <t>PS1E</t>
  </si>
  <si>
    <t>PT0E</t>
  </si>
  <si>
    <t>PT1E</t>
  </si>
  <si>
    <t>PT2E</t>
  </si>
  <si>
    <t>PT4E</t>
  </si>
  <si>
    <t>LINS</t>
  </si>
  <si>
    <t>PT5E</t>
  </si>
  <si>
    <t>VOTORANTIM</t>
  </si>
  <si>
    <t>PT8E</t>
  </si>
  <si>
    <t>BATATAIS</t>
  </si>
  <si>
    <t>PT9F</t>
  </si>
  <si>
    <t>PT9G</t>
  </si>
  <si>
    <t>PT9H</t>
  </si>
  <si>
    <t>PT9T</t>
  </si>
  <si>
    <t>CATANDUVA</t>
  </si>
  <si>
    <t>PZ8S</t>
  </si>
  <si>
    <t>MIRASSOL</t>
  </si>
  <si>
    <t>Q6ED</t>
  </si>
  <si>
    <t>QCTV</t>
  </si>
  <si>
    <t>JACAREI</t>
  </si>
  <si>
    <t>QDXW</t>
  </si>
  <si>
    <t>CRAVINHOS</t>
  </si>
  <si>
    <t>QH1N</t>
  </si>
  <si>
    <t>SANTA ROSA DE VITERBO</t>
  </si>
  <si>
    <t>QLEQ</t>
  </si>
  <si>
    <t>QOUD</t>
  </si>
  <si>
    <t>CUBATAO</t>
  </si>
  <si>
    <t>QRTV</t>
  </si>
  <si>
    <t>QSM5</t>
  </si>
  <si>
    <t>QW32</t>
  </si>
  <si>
    <t>RUCT</t>
  </si>
  <si>
    <t>TOJ0</t>
  </si>
  <si>
    <t>TTB1</t>
  </si>
  <si>
    <t>CAPIVARI</t>
  </si>
  <si>
    <t>TU4B</t>
  </si>
  <si>
    <t>UC1U</t>
  </si>
  <si>
    <t>OURINHOS</t>
  </si>
  <si>
    <t>VUI6</t>
  </si>
  <si>
    <t>WD3T</t>
  </si>
  <si>
    <t>OLIMPIA</t>
  </si>
  <si>
    <t>WEZI</t>
  </si>
  <si>
    <t>WNOQ</t>
  </si>
  <si>
    <t>X0GI</t>
  </si>
  <si>
    <t>GARCA</t>
  </si>
  <si>
    <t>X350</t>
  </si>
  <si>
    <t>X762</t>
  </si>
  <si>
    <t>CRUZEIRO</t>
  </si>
  <si>
    <t>XE1A</t>
  </si>
  <si>
    <t>GUAIRA</t>
  </si>
  <si>
    <t>XK3I</t>
  </si>
  <si>
    <t>IGARAPAVA</t>
  </si>
  <si>
    <t>XTHG</t>
  </si>
  <si>
    <t>TIETE</t>
  </si>
  <si>
    <t>Y7KM</t>
  </si>
  <si>
    <t>YEZ1</t>
  </si>
  <si>
    <t>BOITUVA</t>
  </si>
  <si>
    <t>ZIK2</t>
  </si>
  <si>
    <t>ZM6L</t>
  </si>
  <si>
    <t>ZSU5</t>
  </si>
  <si>
    <t>JARDINOPOLIS</t>
  </si>
  <si>
    <t>ZY9G</t>
  </si>
  <si>
    <t>SAO JOAQUIM DA BARRA</t>
  </si>
  <si>
    <t>UDTX</t>
  </si>
  <si>
    <t>ANDRESSA DOWHEPOLY</t>
  </si>
  <si>
    <t>THIAGO REGO SACCHI</t>
  </si>
  <si>
    <t>CURITIBA</t>
  </si>
  <si>
    <t>CFTI</t>
  </si>
  <si>
    <t>P7YR</t>
  </si>
  <si>
    <t>FN6F</t>
  </si>
  <si>
    <t>PARANAGUA</t>
  </si>
  <si>
    <t>TS5A</t>
  </si>
  <si>
    <t>YPNE</t>
  </si>
  <si>
    <t>PIRAQUARA</t>
  </si>
  <si>
    <t>JAWY</t>
  </si>
  <si>
    <t>BARBARA GERALDO RODRIGUES</t>
  </si>
  <si>
    <t>TIAGO PETERS BUENO</t>
  </si>
  <si>
    <t>GRAVATAI</t>
  </si>
  <si>
    <t>M5XO</t>
  </si>
  <si>
    <t>PORTO ALEGRE</t>
  </si>
  <si>
    <t>5D78</t>
  </si>
  <si>
    <t>74X7</t>
  </si>
  <si>
    <t>VIAMAO</t>
  </si>
  <si>
    <t>1TQ9</t>
  </si>
  <si>
    <t>CINTIA LEISSMANN</t>
  </si>
  <si>
    <t>CACHOEIRA DO SUL</t>
  </si>
  <si>
    <t>ITIW</t>
  </si>
  <si>
    <t>ENCANTADO</t>
  </si>
  <si>
    <t>FCNV</t>
  </si>
  <si>
    <t>LAJEADO</t>
  </si>
  <si>
    <t>X24S</t>
  </si>
  <si>
    <t>MONTENEGRO</t>
  </si>
  <si>
    <t>ULW6</t>
  </si>
  <si>
    <t>RIO PARDO</t>
  </si>
  <si>
    <t>06SK</t>
  </si>
  <si>
    <t>SANTA CRUZ DO SUL</t>
  </si>
  <si>
    <t>KFO9</t>
  </si>
  <si>
    <t>TEUTONIA</t>
  </si>
  <si>
    <t>R352</t>
  </si>
  <si>
    <t>VENANCIO AIRES</t>
  </si>
  <si>
    <t>AP6C</t>
  </si>
  <si>
    <t>CLEITON DE SOUSA GERBER</t>
  </si>
  <si>
    <t>OSWALDO VALENTE DE ANDRADE JUNIOR</t>
  </si>
  <si>
    <t>CACADOR</t>
  </si>
  <si>
    <t>OQ0D</t>
  </si>
  <si>
    <t>CAMPOS NOVOS</t>
  </si>
  <si>
    <t>6EQB</t>
  </si>
  <si>
    <t>CURITIBANOS</t>
  </si>
  <si>
    <t>AN1W</t>
  </si>
  <si>
    <t>FRAIBURGO</t>
  </si>
  <si>
    <t>252O</t>
  </si>
  <si>
    <t>LAGES</t>
  </si>
  <si>
    <t>49F0</t>
  </si>
  <si>
    <t>SANTA CECILIA</t>
  </si>
  <si>
    <t>VHTP</t>
  </si>
  <si>
    <t>VIDEIRA</t>
  </si>
  <si>
    <t>SZPZ</t>
  </si>
  <si>
    <t>EDELAINE CRISTINA ROMAO DA SILVA</t>
  </si>
  <si>
    <t>MARCELO SBERSE OLIVEIRA</t>
  </si>
  <si>
    <t>BIGUACU</t>
  </si>
  <si>
    <t>BXFR</t>
  </si>
  <si>
    <t>PALHOCA</t>
  </si>
  <si>
    <t>U7MU</t>
  </si>
  <si>
    <t>ASFI</t>
  </si>
  <si>
    <t>FABIANE BARBOSA CASTANHO</t>
  </si>
  <si>
    <t>ARARANGUA</t>
  </si>
  <si>
    <t>V56M</t>
  </si>
  <si>
    <t>CRICIUMA</t>
  </si>
  <si>
    <t>PUWE</t>
  </si>
  <si>
    <t>BN5K</t>
  </si>
  <si>
    <t>TUBARAO</t>
  </si>
  <si>
    <t>O218</t>
  </si>
  <si>
    <t>MGWP</t>
  </si>
  <si>
    <t>FABRICIO VELASQUES ETCHEVERRIA</t>
  </si>
  <si>
    <t>CARLOS EDUARDO RIVERA TOSETTO</t>
  </si>
  <si>
    <t>CRUZ ALTA</t>
  </si>
  <si>
    <t>3A7S</t>
  </si>
  <si>
    <t>FREDERICO WESTPHALEN</t>
  </si>
  <si>
    <t>0JTN</t>
  </si>
  <si>
    <t>IJUI</t>
  </si>
  <si>
    <t>WXM0</t>
  </si>
  <si>
    <t>TPI3</t>
  </si>
  <si>
    <t>ITAQUI</t>
  </si>
  <si>
    <t>HW0N</t>
  </si>
  <si>
    <t>PALMEIRA DAS MISSOES</t>
  </si>
  <si>
    <t>QV3P</t>
  </si>
  <si>
    <t>PANAMBI</t>
  </si>
  <si>
    <t>RM4X</t>
  </si>
  <si>
    <t>SANTA ROSA</t>
  </si>
  <si>
    <t>3SAQ</t>
  </si>
  <si>
    <t>SANTIAGO</t>
  </si>
  <si>
    <t>O8K9</t>
  </si>
  <si>
    <t>SANTO ANGELO</t>
  </si>
  <si>
    <t>O3GC</t>
  </si>
  <si>
    <t>SAO BORJA</t>
  </si>
  <si>
    <t>NZ0T</t>
  </si>
  <si>
    <t>SAO LUIZ GONZAGA</t>
  </si>
  <si>
    <t>2CH7</t>
  </si>
  <si>
    <t>FELIPE REGO COSTA DA ROSA</t>
  </si>
  <si>
    <t>BAGE</t>
  </si>
  <si>
    <t>UWUF</t>
  </si>
  <si>
    <t>PELOTAS</t>
  </si>
  <si>
    <t>03ZF</t>
  </si>
  <si>
    <t>38OE</t>
  </si>
  <si>
    <t>RIO GRANDE</t>
  </si>
  <si>
    <t>PSGA</t>
  </si>
  <si>
    <t>SAO LOURENCO DO SUL</t>
  </si>
  <si>
    <t>E3L1</t>
  </si>
  <si>
    <t>FERNANDA COSTA NATIVIDADE</t>
  </si>
  <si>
    <t>FLORIANOPOLIS</t>
  </si>
  <si>
    <t>ITDI</t>
  </si>
  <si>
    <t>KRB8</t>
  </si>
  <si>
    <t>EH4O</t>
  </si>
  <si>
    <t>KMQ6</t>
  </si>
  <si>
    <t>SAO JOSE</t>
  </si>
  <si>
    <t>RHXY</t>
  </si>
  <si>
    <t>7F3N</t>
  </si>
  <si>
    <t>FLAVIO BATISTA PEREIRA</t>
  </si>
  <si>
    <t>BALNEARIO CAMBORIU</t>
  </si>
  <si>
    <t>V6VJ</t>
  </si>
  <si>
    <t>BGQR</t>
  </si>
  <si>
    <t>CAMBORIU</t>
  </si>
  <si>
    <t>2EPB</t>
  </si>
  <si>
    <t>ITAJAI</t>
  </si>
  <si>
    <t>OH9Z</t>
  </si>
  <si>
    <t>KAVU</t>
  </si>
  <si>
    <t>ITAPEMA</t>
  </si>
  <si>
    <t>PGCW</t>
  </si>
  <si>
    <t>UEFJ</t>
  </si>
  <si>
    <t>NAVEGANTES</t>
  </si>
  <si>
    <t>LJEQ</t>
  </si>
  <si>
    <t>GLAUCIA FUCILINI DURGANTE</t>
  </si>
  <si>
    <t>CACAPAVA DO SUL</t>
  </si>
  <si>
    <t>GYBU</t>
  </si>
  <si>
    <t>CACEQUI</t>
  </si>
  <si>
    <t>2I91</t>
  </si>
  <si>
    <t>ROSARIO DO SUL</t>
  </si>
  <si>
    <t>4T3L</t>
  </si>
  <si>
    <t>SANTA MARIA</t>
  </si>
  <si>
    <t>ROEF</t>
  </si>
  <si>
    <t>NF6A</t>
  </si>
  <si>
    <t>GI1C</t>
  </si>
  <si>
    <t>SANTANA DO LIVRAMENTO</t>
  </si>
  <si>
    <t>X9BR</t>
  </si>
  <si>
    <t>SAO GABRIEL</t>
  </si>
  <si>
    <t>UZJ2</t>
  </si>
  <si>
    <t>URUGUAIANA</t>
  </si>
  <si>
    <t>IRIC</t>
  </si>
  <si>
    <t>JANISE GARCIA MARQUES</t>
  </si>
  <si>
    <t>ESTEIO</t>
  </si>
  <si>
    <t>BZLR</t>
  </si>
  <si>
    <t>IGREJINHA</t>
  </si>
  <si>
    <t>2M0Z</t>
  </si>
  <si>
    <t>NOVO HAMBURGO</t>
  </si>
  <si>
    <t>L6TX</t>
  </si>
  <si>
    <t>Z8DP</t>
  </si>
  <si>
    <t>SAPUCAIA DO SUL</t>
  </si>
  <si>
    <t>D7LQ</t>
  </si>
  <si>
    <t>TQ9F</t>
  </si>
  <si>
    <t>JEAN BARBOSA</t>
  </si>
  <si>
    <t>GUARAMIRIM</t>
  </si>
  <si>
    <t>32FA</t>
  </si>
  <si>
    <t>JARAGUA DO SUL</t>
  </si>
  <si>
    <t>AQ8Z</t>
  </si>
  <si>
    <t>X270</t>
  </si>
  <si>
    <t>CMN2</t>
  </si>
  <si>
    <t>JOINVILLE</t>
  </si>
  <si>
    <t>7KRL</t>
  </si>
  <si>
    <t>B5YQ</t>
  </si>
  <si>
    <t>Y13L</t>
  </si>
  <si>
    <t>SAO FRANCISCO DO SUL</t>
  </si>
  <si>
    <t>IL79</t>
  </si>
  <si>
    <t>JESSICA MAYARA MARQUES DE SOUZA</t>
  </si>
  <si>
    <t>WILLIAN PEDROSA GOMES MOREIRA</t>
  </si>
  <si>
    <t>CAMBE</t>
  </si>
  <si>
    <t>Y4M4</t>
  </si>
  <si>
    <t>CORNELIO PROCOPIO</t>
  </si>
  <si>
    <t>7WTZ</t>
  </si>
  <si>
    <t>IBIPORA</t>
  </si>
  <si>
    <t>5NYI</t>
  </si>
  <si>
    <t>LONDRINA</t>
  </si>
  <si>
    <t>5RP3</t>
  </si>
  <si>
    <t>5XCR</t>
  </si>
  <si>
    <t>DRON</t>
  </si>
  <si>
    <t>VL68</t>
  </si>
  <si>
    <t>7QV6</t>
  </si>
  <si>
    <t>ROLANDIA</t>
  </si>
  <si>
    <t>8GWC</t>
  </si>
  <si>
    <t>JOAO PAULO LOPES DOS SANTOS</t>
  </si>
  <si>
    <t>SARANDI</t>
  </si>
  <si>
    <t>US9D</t>
  </si>
  <si>
    <t>TBD 42</t>
  </si>
  <si>
    <t>HALJ</t>
  </si>
  <si>
    <t>PONTA GROSSA</t>
  </si>
  <si>
    <t>53HP</t>
  </si>
  <si>
    <t>V2W5</t>
  </si>
  <si>
    <t>UNIAO DA VITORIA</t>
  </si>
  <si>
    <t>G4E9</t>
  </si>
  <si>
    <t>KEITH DIAS MANSKE</t>
  </si>
  <si>
    <t>ARROIO DO SAL</t>
  </si>
  <si>
    <t>2CUD</t>
  </si>
  <si>
    <t>CAPAO DA CANOA</t>
  </si>
  <si>
    <t>ERIU</t>
  </si>
  <si>
    <t>VLNL</t>
  </si>
  <si>
    <t>CIDREIRA</t>
  </si>
  <si>
    <t>J4OP</t>
  </si>
  <si>
    <t>IMBE</t>
  </si>
  <si>
    <t>07AB</t>
  </si>
  <si>
    <t>OSORIO</t>
  </si>
  <si>
    <t>XYMX</t>
  </si>
  <si>
    <t>SANTO ANTONIO DA PATRULHA</t>
  </si>
  <si>
    <t>H45S</t>
  </si>
  <si>
    <t>TORRES</t>
  </si>
  <si>
    <t>KA1P</t>
  </si>
  <si>
    <t>TRAMANDAI</t>
  </si>
  <si>
    <t>DJ20</t>
  </si>
  <si>
    <t>LEANDRO CECONELLO</t>
  </si>
  <si>
    <t>APUCARANA</t>
  </si>
  <si>
    <t>FDJU</t>
  </si>
  <si>
    <t>ARAPONGAS</t>
  </si>
  <si>
    <t>L3PR</t>
  </si>
  <si>
    <t>CAMPO MOURAO</t>
  </si>
  <si>
    <t>9K9M</t>
  </si>
  <si>
    <t>MARINGA</t>
  </si>
  <si>
    <t>VEWQ</t>
  </si>
  <si>
    <t>AJU3</t>
  </si>
  <si>
    <t>AOLQ</t>
  </si>
  <si>
    <t>PAICANDU</t>
  </si>
  <si>
    <t>6C31</t>
  </si>
  <si>
    <t>LETICIA DANIEL DA SILVA CHAVES</t>
  </si>
  <si>
    <t>CHAPECO</t>
  </si>
  <si>
    <t>SR8N</t>
  </si>
  <si>
    <t>ZA1P</t>
  </si>
  <si>
    <t>PINHALZINHO</t>
  </si>
  <si>
    <t>IFHI</t>
  </si>
  <si>
    <t>SAO JOAQUIM</t>
  </si>
  <si>
    <t>X5FL</t>
  </si>
  <si>
    <t>XAXIM</t>
  </si>
  <si>
    <t>26RX</t>
  </si>
  <si>
    <t>MARCIA GOMES DA COSTA</t>
  </si>
  <si>
    <t>BLUMENAU</t>
  </si>
  <si>
    <t>9XD9</t>
  </si>
  <si>
    <t>RN51</t>
  </si>
  <si>
    <t>BRUSQUE</t>
  </si>
  <si>
    <t>XHMR</t>
  </si>
  <si>
    <t>GASPAR</t>
  </si>
  <si>
    <t>8S1Z</t>
  </si>
  <si>
    <t>INDAIAL</t>
  </si>
  <si>
    <t>OM9C</t>
  </si>
  <si>
    <t>POMERODE</t>
  </si>
  <si>
    <t>AK1H</t>
  </si>
  <si>
    <t>RIO DO SUL</t>
  </si>
  <si>
    <t>AX2A</t>
  </si>
  <si>
    <t>TIMBO</t>
  </si>
  <si>
    <t>J8HU</t>
  </si>
  <si>
    <t>MARCIO LENCINA</t>
  </si>
  <si>
    <t>CAMAQUA</t>
  </si>
  <si>
    <t>2EGU</t>
  </si>
  <si>
    <t>CAMPO BOM</t>
  </si>
  <si>
    <t>7OUB</t>
  </si>
  <si>
    <t>CHARQUEADAS</t>
  </si>
  <si>
    <t>MF5K</t>
  </si>
  <si>
    <t>GUAIBA</t>
  </si>
  <si>
    <t>P157</t>
  </si>
  <si>
    <t>PAROBE</t>
  </si>
  <si>
    <t>69ML</t>
  </si>
  <si>
    <t>TAQUARA</t>
  </si>
  <si>
    <t>PYO0</t>
  </si>
  <si>
    <t>RODRIGO EISENBERG CABRAL</t>
  </si>
  <si>
    <t>UVQG</t>
  </si>
  <si>
    <t>CAMPO LARGO</t>
  </si>
  <si>
    <t>Z68A</t>
  </si>
  <si>
    <t>COLOMBO</t>
  </si>
  <si>
    <t>20ZS</t>
  </si>
  <si>
    <t>KNVL</t>
  </si>
  <si>
    <t>050E</t>
  </si>
  <si>
    <t>J39K</t>
  </si>
  <si>
    <t>64CG</t>
  </si>
  <si>
    <t>XIO6</t>
  </si>
  <si>
    <t>GUARATUBA</t>
  </si>
  <si>
    <t>0MR9</t>
  </si>
  <si>
    <t>SAO JOSE DOS PINHAIS</t>
  </si>
  <si>
    <t>LK3R</t>
  </si>
  <si>
    <t>FWBR</t>
  </si>
  <si>
    <t>SAMUEL ANDRIOLA ARMILIATO</t>
  </si>
  <si>
    <t>CASSIO VENTURA LORENZET</t>
  </si>
  <si>
    <t>CANELA</t>
  </si>
  <si>
    <t>EX47</t>
  </si>
  <si>
    <t>CAXIAS DO SUL</t>
  </si>
  <si>
    <t>HXZ5</t>
  </si>
  <si>
    <t>8L05</t>
  </si>
  <si>
    <t>XQ30</t>
  </si>
  <si>
    <t>RE9N</t>
  </si>
  <si>
    <t>FLORES DA CUNHA</t>
  </si>
  <si>
    <t>D0QD</t>
  </si>
  <si>
    <t>GRAMADO</t>
  </si>
  <si>
    <t>1POQ</t>
  </si>
  <si>
    <t>NOVA PETROPOLIS</t>
  </si>
  <si>
    <t>DE79</t>
  </si>
  <si>
    <t>VACARIA</t>
  </si>
  <si>
    <t>6XY4</t>
  </si>
  <si>
    <t>SCHEILA SANDRI TEIXEIRA</t>
  </si>
  <si>
    <t>CARAZINHO</t>
  </si>
  <si>
    <t>MNUF</t>
  </si>
  <si>
    <t>ERECHIM</t>
  </si>
  <si>
    <t>NQEZ</t>
  </si>
  <si>
    <t>MWRO</t>
  </si>
  <si>
    <t>ESPUMOSO</t>
  </si>
  <si>
    <t>ZGP6</t>
  </si>
  <si>
    <t>GETULIO VARGAS</t>
  </si>
  <si>
    <t>AHBX</t>
  </si>
  <si>
    <t>IBIRUBA</t>
  </si>
  <si>
    <t>8H40</t>
  </si>
  <si>
    <t>MARAU</t>
  </si>
  <si>
    <t>U6RN</t>
  </si>
  <si>
    <t>PASSO FUNDO</t>
  </si>
  <si>
    <t>JFRL</t>
  </si>
  <si>
    <t>PNBC</t>
  </si>
  <si>
    <t>TAINA MISTURINI</t>
  </si>
  <si>
    <t>BENTO GONCALVES</t>
  </si>
  <si>
    <t>1CDW</t>
  </si>
  <si>
    <t>T7DH</t>
  </si>
  <si>
    <t>FARROUPILHA</t>
  </si>
  <si>
    <t>6UK0</t>
  </si>
  <si>
    <t>VERANOPOLIS</t>
  </si>
  <si>
    <t>QNRC</t>
  </si>
  <si>
    <t>SAO LUIS DE MONTES BELOS</t>
  </si>
  <si>
    <t>COMTA</t>
  </si>
  <si>
    <t>Sellout</t>
  </si>
  <si>
    <t>Claro troca</t>
  </si>
  <si>
    <t>Share</t>
  </si>
  <si>
    <t>Attachment</t>
  </si>
  <si>
    <t>GRUPO REDE</t>
  </si>
  <si>
    <t>REPETE</t>
  </si>
  <si>
    <t>MEXCELL</t>
  </si>
  <si>
    <t>CONTACOM COMERCIO DE APARELHOS ELETRONICOS LTDA</t>
  </si>
  <si>
    <t>SUL</t>
  </si>
  <si>
    <t>72Z0</t>
  </si>
  <si>
    <t>CACHOEIRINHA</t>
  </si>
  <si>
    <t>CELULAR BRASIL</t>
  </si>
  <si>
    <t>EN4W</t>
  </si>
  <si>
    <t>SOLEDADE</t>
  </si>
  <si>
    <t>CSW POA LTDA</t>
  </si>
  <si>
    <t>OJG9</t>
  </si>
  <si>
    <t>42QT</t>
  </si>
  <si>
    <t>CARLOS BARBOSA</t>
  </si>
  <si>
    <t>7BH0</t>
  </si>
  <si>
    <t>CANOAS</t>
  </si>
  <si>
    <t>BLSY</t>
  </si>
  <si>
    <t>JZD6</t>
  </si>
  <si>
    <t>MENA</t>
  </si>
  <si>
    <t>PYHF</t>
  </si>
  <si>
    <t>0S94</t>
  </si>
  <si>
    <t>J3MI</t>
  </si>
  <si>
    <t>CIANORTE</t>
  </si>
  <si>
    <t>NICACIO PRESTADORA</t>
  </si>
  <si>
    <t>MB3T</t>
  </si>
  <si>
    <t>82I2</t>
  </si>
  <si>
    <t>G3X2</t>
  </si>
  <si>
    <t>GBSF</t>
  </si>
  <si>
    <t>NAO-ME-TOQUE</t>
  </si>
  <si>
    <t>IEIH</t>
  </si>
  <si>
    <t>N6Y3</t>
  </si>
  <si>
    <t>BMXF</t>
  </si>
  <si>
    <t>DG0L</t>
  </si>
  <si>
    <t>CASCAVEL</t>
  </si>
  <si>
    <t>05RO</t>
  </si>
  <si>
    <t>FOZ DO IGUACU</t>
  </si>
  <si>
    <t>31CZ</t>
  </si>
  <si>
    <t>PIRES DO RIO</t>
  </si>
  <si>
    <t>4540</t>
  </si>
  <si>
    <t>4UKO</t>
  </si>
  <si>
    <t>PONTO NOVO</t>
  </si>
  <si>
    <t>TELECOM EXPRESS LTDA</t>
  </si>
  <si>
    <t>69I7</t>
  </si>
  <si>
    <t>JANAUBA</t>
  </si>
  <si>
    <t>CENTRAL DO NORTE EMPREENDIMENTOS LTDA</t>
  </si>
  <si>
    <t>8O7H</t>
  </si>
  <si>
    <t>IPORA</t>
  </si>
  <si>
    <t>H1CB</t>
  </si>
  <si>
    <t>TIANGUA</t>
  </si>
  <si>
    <t>HRFS</t>
  </si>
  <si>
    <t>ITATIBA</t>
  </si>
  <si>
    <t>IOIC</t>
  </si>
  <si>
    <t>JDKE</t>
  </si>
  <si>
    <t>PSBW</t>
  </si>
  <si>
    <t>CRUZ DAS ALMAS</t>
  </si>
  <si>
    <t>SEMN</t>
  </si>
  <si>
    <t>MORRINHOS</t>
  </si>
  <si>
    <t>U2R4</t>
  </si>
  <si>
    <t>ESCADA</t>
  </si>
  <si>
    <t>V21C</t>
  </si>
  <si>
    <t>CRATEUS</t>
  </si>
  <si>
    <t>WO75</t>
  </si>
  <si>
    <t>MARACANAU</t>
  </si>
  <si>
    <t>Y3OP</t>
  </si>
  <si>
    <t>CONCORDIA</t>
  </si>
  <si>
    <t xml:space="preserve">INSTRUÇÕES — ATUALIZAÇÃO </t>
  </si>
  <si>
    <t>Guia para exportar o BI, atualizar a BASE e validar o fechamento do relatório.</t>
  </si>
  <si>
    <t>📥 ETAPAS DA ATUALIZAÇÃO</t>
  </si>
  <si>
    <t>ETAPA</t>
  </si>
  <si>
    <t>AÇÃO</t>
  </si>
  <si>
    <t>VALIDAÇÃO</t>
  </si>
  <si>
    <t>No BI: Gestão de Vendas → Claro Troca - Reg. Selecione AA e somente o mês que será atualizado.</t>
  </si>
  <si>
    <t>Confirme que o período mostra apenas o mês desejado e que Regional/Parceiro estão em Todos.</t>
  </si>
  <si>
    <t>Atualize o BI e exporte os dados resumidos para Excel.</t>
  </si>
  <si>
    <t>Compare no BI os totais de Sellout, Claro Troca e Attachment.</t>
  </si>
  <si>
    <t>Abra este relatório, anexe a extração e envie o prompt semanal abaixo.</t>
  </si>
  <si>
    <t>Não faça colagem manual em células filtradas ou intervalos descontínuos.</t>
  </si>
  <si>
    <t>Aguarde a atualização das abas BASE, CAD_PDV, PDVS e dos resumos.</t>
  </si>
  <si>
    <t>BASE e PDVS precisam fechar no mesmo total de Claro Troca.</t>
  </si>
  <si>
    <t>Consulte o Dashboard e selecione o mês atualizado.</t>
  </si>
  <si>
    <t>Revise KPIs, regionais prioritárias e TOP parceiros.</t>
  </si>
  <si>
    <t>🔗 ORIGEM DOS DADOS</t>
  </si>
  <si>
    <t>Power BI</t>
  </si>
  <si>
    <t>Bi aparelhos</t>
  </si>
  <si>
    <t>Acesse o relatório corporativo usado para a exportação semanal.</t>
  </si>
  <si>
    <t>🤖 PROMPT SEMANAL — COPIE E ENVIE COM A EXTRAÇÃO ANEXADA</t>
  </si>
  <si>
    <t>Atualize este relatório com o arquivo do BI anexado.
1. Identifique o mês da extração pelos filtros e pelos dados do arquivo.
2. Antes de alterar a BASE, leia toda a extração e informe a quantidade de linhas, Sellout, Claro Troca e Attachment.
3. Na aba BASE, exclua somente os registros existentes do mês identificado, preservando os demais meses.
4. Importe todas as linhas da extração, sem ignorar linhas filtradas, intervalos ocultos ou registros com Claro Troca em branco/zero.
5. Preencha o mês em todas as linhas importadas e copie as fórmulas das colunas J:M para todas as novas linhas.
6. Atualize o CAD_PDV para códigos novos. Use Grupo Rede = parceiro da extração. Para Regional, converta SUL em PR/SC ou RS conforme o cadastro e sinalize qualquer dúvida.
7. Inclua códigos novos na aba PDVS e estenda todas as fórmulas mensais e de status.
8. Recalcule Dashboard, TOP 10 Parceiros, REGIONAL, GRUPOS ZERADOS, GRUPOS e PDVS.
9. Compare a extração, BASE e PDVS em: quantidade de linhas, Sellout, Claro Troca e Attachment.
10. Verifique se todas as linhas importadas têm mês e fórmulas auxiliares, e se não existem erros #N/D, #REF!, #VALOR! ou #DIV/0!.
11. Não finalize enquanto BASE e PDVS não estiverem reconciliadas no total de Claro Troca.
12. Ao concluir, informe: mês atualizado, totais finais, códigos novos, cadastros corrigidos e qualquer divergência restante.</t>
  </si>
  <si>
    <t>✅ CHECKLIST DE FECHAMENTO</t>
  </si>
  <si>
    <t>CONTROLE</t>
  </si>
  <si>
    <t>RESULTADO ESPERADO</t>
  </si>
  <si>
    <t>AÇÃO SE DIVERGIR</t>
  </si>
  <si>
    <t>Linhas importadas</t>
  </si>
  <si>
    <t>Igual à quantidade da extração do BI</t>
  </si>
  <si>
    <t>Verificar filtros, linhas ocultas e mês vazio na BASE.</t>
  </si>
  <si>
    <t>BASE igual ao arquivo exportado</t>
  </si>
  <si>
    <t>Reimportar o mês completo.</t>
  </si>
  <si>
    <t>Claro Troca</t>
  </si>
  <si>
    <t>BI = extração = BASE = PDVS</t>
  </si>
  <si>
    <t>Localizar códigos ausentes ou fórmulas não preenchidas.</t>
  </si>
  <si>
    <t>Claro Troca ÷ Sellout</t>
  </si>
  <si>
    <t>Confirmar que o indicador está ponderado, não como média simples.</t>
  </si>
  <si>
    <t>Erros de cadastro</t>
  </si>
  <si>
    <t>Nenhum #N/D em GRUPO REDE ou REGIONAL</t>
  </si>
  <si>
    <t>Atualizar o CAD_PDV e normalizar códigos numéricos como texto.</t>
  </si>
  <si>
    <t>CODIGO</t>
  </si>
  <si>
    <t>PRAZO</t>
  </si>
  <si>
    <t>DATA REPASSE</t>
  </si>
  <si>
    <t>REPASSE</t>
  </si>
  <si>
    <t>SANTO ANTONIO DE JESUS</t>
  </si>
  <si>
    <t>PRIME</t>
  </si>
  <si>
    <t>3YN8</t>
  </si>
  <si>
    <t>PAULA NIELLA</t>
  </si>
  <si>
    <t>SIM</t>
  </si>
  <si>
    <t>FELIAN</t>
  </si>
  <si>
    <t>63X0</t>
  </si>
  <si>
    <t>AMERICOM</t>
  </si>
  <si>
    <t>SANDRI</t>
  </si>
  <si>
    <t>LH5E</t>
  </si>
  <si>
    <t>DR MEDEIROS</t>
  </si>
  <si>
    <t>ATUAL</t>
  </si>
  <si>
    <t>07E8</t>
  </si>
  <si>
    <t>CELNET</t>
  </si>
  <si>
    <t>9KY0</t>
  </si>
  <si>
    <t>TATIANE CONCEIÇÃO</t>
  </si>
  <si>
    <t>KVL8</t>
  </si>
  <si>
    <t>QB3V</t>
  </si>
  <si>
    <t>QRH5</t>
  </si>
  <si>
    <t>U5HE</t>
  </si>
  <si>
    <t>WGRQ</t>
  </si>
  <si>
    <t>AFOM</t>
  </si>
  <si>
    <t>BOM JESUS DE GOIAS</t>
  </si>
  <si>
    <t>CONTATO</t>
  </si>
  <si>
    <t>5LQA</t>
  </si>
  <si>
    <t>KYPR</t>
  </si>
  <si>
    <t>Q9UX</t>
  </si>
  <si>
    <t>2R27</t>
  </si>
  <si>
    <t>TIR6</t>
  </si>
  <si>
    <t>CALDAS CELULAR</t>
  </si>
  <si>
    <t>3S5I</t>
  </si>
  <si>
    <t>INFORCEL</t>
  </si>
  <si>
    <t>M JHUAN</t>
  </si>
  <si>
    <t>TELECELL</t>
  </si>
  <si>
    <t>PIMENTA BUENO</t>
  </si>
  <si>
    <t>MASTER COMERCIO</t>
  </si>
  <si>
    <t>HX95</t>
  </si>
  <si>
    <t>ESPIGÃO D'OESTE</t>
  </si>
  <si>
    <t>4SDV</t>
  </si>
  <si>
    <t>NÃO FINALZIADA</t>
  </si>
  <si>
    <t>MASTERCELL</t>
  </si>
  <si>
    <t>PARANAÍBA</t>
  </si>
  <si>
    <t>ESTULANO</t>
  </si>
  <si>
    <t>CORUMBÁ</t>
  </si>
  <si>
    <t>LCGM</t>
  </si>
  <si>
    <t>AQUIDAUANA</t>
  </si>
  <si>
    <t>9PN8</t>
  </si>
  <si>
    <t>CARIBE E PAULINO</t>
  </si>
  <si>
    <t>Q0E0</t>
  </si>
  <si>
    <t>PRIME TELECOM COMERCIO E SERVIÇOS</t>
  </si>
  <si>
    <t>ENCERROU OPERAÇÃO EM 25, REPASSOU EM 26.</t>
  </si>
  <si>
    <t>ATENDE</t>
  </si>
  <si>
    <t>DP SERVIÇOS</t>
  </si>
  <si>
    <t>HKYJ</t>
  </si>
  <si>
    <t>FLEXCELL</t>
  </si>
  <si>
    <t>NQXT</t>
  </si>
  <si>
    <t>CHAPADINHA</t>
  </si>
  <si>
    <t>J P OLIVEIRA COMERCIO - ME</t>
  </si>
  <si>
    <t>D7CU</t>
  </si>
  <si>
    <t>BRUNO DE OLIVEIRA</t>
  </si>
  <si>
    <t>BARREIRINHAS</t>
  </si>
  <si>
    <t>NEWINFOR TECNOLOGIA &amp; TELECOMUNICACOES EIRELI</t>
  </si>
  <si>
    <t>WEFK</t>
  </si>
  <si>
    <t>DSX</t>
  </si>
  <si>
    <t xml:space="preserve">MANAUS </t>
  </si>
  <si>
    <t xml:space="preserve">DIN </t>
  </si>
  <si>
    <t>SÃO LUIS</t>
  </si>
  <si>
    <t>EGALENO</t>
  </si>
  <si>
    <t>0U4T</t>
  </si>
  <si>
    <t>EMERSSON</t>
  </si>
  <si>
    <t>64ZB</t>
  </si>
  <si>
    <t>DIN</t>
  </si>
  <si>
    <t>GUARAPUAVA</t>
  </si>
  <si>
    <t>PACCO COMERCIO</t>
  </si>
  <si>
    <t>ISDF</t>
  </si>
  <si>
    <t>CELL.COM</t>
  </si>
  <si>
    <t>FRANCISCO BELTRÃO</t>
  </si>
  <si>
    <t>XPTO</t>
  </si>
  <si>
    <t>NORTEL (S.D)</t>
  </si>
  <si>
    <t>ARAUCARIA</t>
  </si>
  <si>
    <t>JOAO RENATO LEAL AFONSO - ME</t>
  </si>
  <si>
    <t>ENYJ</t>
  </si>
  <si>
    <t>RDJ</t>
  </si>
  <si>
    <t>HXDI</t>
  </si>
  <si>
    <t>FAZENDA RIO GRANDE</t>
  </si>
  <si>
    <t>HFSP</t>
  </si>
  <si>
    <t>CHAPECO GETÚLIO</t>
  </si>
  <si>
    <t>MRZ</t>
  </si>
  <si>
    <t>AB3W</t>
  </si>
  <si>
    <t>EDUARDO JUNQUEIRA</t>
  </si>
  <si>
    <t>CHAPECO MARECHAL</t>
  </si>
  <si>
    <t>HPRG</t>
  </si>
  <si>
    <t>CONCÓRDIA</t>
  </si>
  <si>
    <t>W4Z7</t>
  </si>
  <si>
    <t>JOAÇABA</t>
  </si>
  <si>
    <t>W0UC</t>
  </si>
  <si>
    <t>AL1Y</t>
  </si>
  <si>
    <t>SÃO MIGUEL DO OESTE</t>
  </si>
  <si>
    <t>5LOJ</t>
  </si>
  <si>
    <t>XANXERE</t>
  </si>
  <si>
    <t>I8NY</t>
  </si>
  <si>
    <t>O0BJ</t>
  </si>
  <si>
    <t>JSWO</t>
  </si>
  <si>
    <t>PATO BRANCO</t>
  </si>
  <si>
    <t>Z43X</t>
  </si>
  <si>
    <t>TOLEDO</t>
  </si>
  <si>
    <t>ZXQ1</t>
  </si>
  <si>
    <t>MEDIANEIRA</t>
  </si>
  <si>
    <t>RPUT</t>
  </si>
  <si>
    <t>MARECHAL CANDIDO RONDON</t>
  </si>
  <si>
    <t>ZR0U</t>
  </si>
  <si>
    <t>HZ2C</t>
  </si>
  <si>
    <t>UMUARAMA</t>
  </si>
  <si>
    <t>NPGD</t>
  </si>
  <si>
    <t>CAMPO MOURÃO</t>
  </si>
  <si>
    <t>PAIÇANDU</t>
  </si>
  <si>
    <t>SÃO BENTO</t>
  </si>
  <si>
    <t>CLINTEL</t>
  </si>
  <si>
    <t>M30J</t>
  </si>
  <si>
    <t>MAFRA</t>
  </si>
  <si>
    <t>OFY2</t>
  </si>
  <si>
    <t>RIO NEGRINHO</t>
  </si>
  <si>
    <t>AH4B</t>
  </si>
  <si>
    <t>CAVALINHO</t>
  </si>
  <si>
    <t>ALVORADA</t>
  </si>
  <si>
    <t>KB6L</t>
  </si>
  <si>
    <t>TBQ0</t>
  </si>
  <si>
    <t>ALEGRETE</t>
  </si>
  <si>
    <t>DICERE</t>
  </si>
  <si>
    <t>XPTO1222</t>
  </si>
  <si>
    <t>A DEFINIR</t>
  </si>
  <si>
    <t>SÃO PAULO</t>
  </si>
  <si>
    <t xml:space="preserve">KG COMERCIO </t>
  </si>
  <si>
    <t>XX</t>
  </si>
  <si>
    <t>CLARICELL</t>
  </si>
  <si>
    <t>DIEGO</t>
  </si>
  <si>
    <t>PARCEIRO EM PROCESSO DE NOTIFICAÇÃO</t>
  </si>
  <si>
    <t>SALTO</t>
  </si>
  <si>
    <t>LINK</t>
  </si>
  <si>
    <t>PEGAR</t>
  </si>
  <si>
    <t>RP COMERCIO</t>
  </si>
  <si>
    <t>SÃO ROQUE</t>
  </si>
  <si>
    <t>MAIRINQUE</t>
  </si>
  <si>
    <t>MOSSORÓ</t>
  </si>
  <si>
    <t>R&amp;R Hiper</t>
  </si>
  <si>
    <t>1LTD</t>
  </si>
  <si>
    <t>NAUM RAONI VARELA DOS SANTOS TELEFONIA E SERVICOS EIRELI</t>
  </si>
  <si>
    <t>XPTO1527</t>
  </si>
  <si>
    <t>SERRA TALHADA</t>
  </si>
  <si>
    <t>JF EQUIPAMENTOS</t>
  </si>
  <si>
    <t>N405</t>
  </si>
  <si>
    <t>ITALO CARVALHO CAVALCANTI &amp; CIA LTDA</t>
  </si>
  <si>
    <t>XPTO1538</t>
  </si>
  <si>
    <t>SALGUEIRO</t>
  </si>
  <si>
    <t>Fabiana Gonçalves</t>
  </si>
  <si>
    <t>XPTO1539</t>
  </si>
  <si>
    <t>GOIANA</t>
  </si>
  <si>
    <t>Carlos Frederico</t>
  </si>
  <si>
    <t>QNDL</t>
  </si>
  <si>
    <t>XPTO1517</t>
  </si>
  <si>
    <t>PICOS</t>
  </si>
  <si>
    <t>G Mobile</t>
  </si>
  <si>
    <t>7 1 E 5</t>
  </si>
  <si>
    <t>XPTO1432</t>
  </si>
  <si>
    <t>FLORIANO</t>
  </si>
  <si>
    <t>YAPF</t>
  </si>
  <si>
    <t>XPTO1435</t>
  </si>
  <si>
    <t>L0I3</t>
  </si>
  <si>
    <t>SELF TELECOM PI COMERCIO E SERVICOS EM TELEFONIA LTDA</t>
  </si>
  <si>
    <t>XPTO1433</t>
  </si>
  <si>
    <t>CÓDIGO LOJA</t>
  </si>
  <si>
    <t>CNPJ</t>
  </si>
  <si>
    <t>RAZÃO SOCIAL (CONFORME CADASTRO IW)</t>
  </si>
  <si>
    <t>SPC</t>
  </si>
  <si>
    <t>FLEX CELL COMERCIO DE CELULARES LTDA</t>
  </si>
  <si>
    <t>SPI</t>
  </si>
  <si>
    <t>ZXIT</t>
  </si>
  <si>
    <t>DOM BARRETO COMERCIAL LTDA</t>
  </si>
  <si>
    <t>TELECELL TELEFONIA LTDA</t>
  </si>
  <si>
    <t>NIPPO-TEC COMERCIO DE MATERIAIS DE COMUNICACAO LTDA</t>
  </si>
  <si>
    <t>TATIANE CONCEICAO DE OLIVEIRA</t>
  </si>
  <si>
    <t>AMERICOM COMERCIO DE APARELHOS ELETRONICOS LTDA</t>
  </si>
  <si>
    <t>CELNET COMERCIO E SERVICOS DE TELEFONIA LTDA</t>
  </si>
  <si>
    <t>A. C. BAYLONGUE PRESENTES LTDA ME</t>
  </si>
  <si>
    <t>PONTO CERTO COMERCIO E COMUNICACOES LTDA</t>
  </si>
  <si>
    <t>MEGA CELULAR LTDA</t>
  </si>
  <si>
    <t>HS TELECOM COMERCIO, SERVICOS E REPRESENTACAO DE TELEFONIA MOVEL LTDA</t>
  </si>
  <si>
    <t>NEW POINT CELULAR LTDA</t>
  </si>
  <si>
    <t>GSM FREE COMERCIO DE CELULARES LTDA</t>
  </si>
  <si>
    <t>BONELI BIAZI CELULARES EIRELI</t>
  </si>
  <si>
    <t>HARCOS COMERCIO E SERVICOS LTDA</t>
  </si>
  <si>
    <t>BANDEIRA TELEFONIA LTDA</t>
  </si>
  <si>
    <t>LUCIANO DA SILVA LEMOS</t>
  </si>
  <si>
    <t>MARZO COMERCIO DE CELULARES EIRELI</t>
  </si>
  <si>
    <t>CARLOS EDUARDO SAVIAN</t>
  </si>
  <si>
    <t>J F A DE OLIVEIRA &amp; CIA LTDA</t>
  </si>
  <si>
    <t>LUCIANA DOS REIS ME</t>
  </si>
  <si>
    <t>MUNDO DIGITAL LTDA - ME</t>
  </si>
  <si>
    <t>TELEMAIS TELEFONIA LTDA</t>
  </si>
  <si>
    <t>MULHER DE PEDRA DE TERESOPOLIS COMERCIO DE ELETRONICOS LTDA - ME</t>
  </si>
  <si>
    <t>SERRA LIDER COMERCIO DE CELULARES LTDA</t>
  </si>
  <si>
    <t>J A CERQUEIRA JUNIOR &amp; CIA LTDA</t>
  </si>
  <si>
    <t>SOLAR COMERCIO E SERVICOS DE TELEFONIA LTDA</t>
  </si>
  <si>
    <t>NORTEL COMERCIO DE CELULARES LTDA</t>
  </si>
  <si>
    <t>CALDAS CELULARES LTDA ME</t>
  </si>
  <si>
    <t>COMERCIO DE CELULARES BANDEIRA LTDA</t>
  </si>
  <si>
    <t>DIEGO FERNANDES PEREIRA</t>
  </si>
  <si>
    <t>GSM FREE DE TERESOPOLIS COMERCIO DE CELULARES LTDA</t>
  </si>
  <si>
    <t>ALEXANDRE CISOTTO LAN HOUSE E TELECOMUNICACOES</t>
  </si>
  <si>
    <t>GSM FREE TRES RIOS COMERCIO DE CELULARES LTDA</t>
  </si>
  <si>
    <t>ATENDE CELULAR LTDA</t>
  </si>
  <si>
    <t>MASTER COMERCIO E SERVICOS DE TELEFONIA LTDA</t>
  </si>
  <si>
    <t>SOMAVILLA &amp; DECKMANN LTDA</t>
  </si>
  <si>
    <t>ITALO CARVALHO CAVALCANTI</t>
  </si>
  <si>
    <t>MARCIO DIAS VIEIRA</t>
  </si>
  <si>
    <t>GSM FREE DE PETROPOLIS COMERCIO DE CELULARES EIRELI</t>
  </si>
  <si>
    <t>GSM FREE DE BARRA DO PIRAI COMERCIO DE CELULARES LTDA</t>
  </si>
  <si>
    <t>NAUM RAONI VARELA DOS SANTOS</t>
  </si>
  <si>
    <t>ADENILSON C TESSAROLI</t>
  </si>
  <si>
    <t>HIROTA &amp; HIROTA LTDA</t>
  </si>
  <si>
    <t>L E V COMERCIO DE CELULARES LTDA</t>
  </si>
  <si>
    <t>J L SOLUCOES EM PRESTACAO DE SERVICOS TELEFONICOS LTDA</t>
  </si>
  <si>
    <t>CONVERGE TELECOM COMERCIO E SERVICOS DE TELECOMUNICACOES LTDA</t>
  </si>
  <si>
    <t>D. R. CARDOSO</t>
  </si>
  <si>
    <t>WCI CELULARES SERVICOS E TELECOMUNICACOES LTDA</t>
  </si>
  <si>
    <t>LEMOS &amp; ALCANTARA LTDA</t>
  </si>
  <si>
    <t>LIG COMERCIO E SERVICOS EM TELEFONIA EIRELI</t>
  </si>
  <si>
    <t>S D COMERCIO DE CELULARES LTDA</t>
  </si>
  <si>
    <t>MAXMILIANO E VICENTE COMERCIO E SERVICOS LTDA - ME</t>
  </si>
  <si>
    <t>CLARICELL SANTO AMARO TELECOMUNICACOES LTDA</t>
  </si>
  <si>
    <t>FW TELEFONIA LTDA</t>
  </si>
  <si>
    <t>DOUGLAS LUIZ ELETRONICOS</t>
  </si>
  <si>
    <t>TAMIRIS FERNANDA SCATOLA</t>
  </si>
  <si>
    <t>AMOS MUNIZ CORREIA</t>
  </si>
  <si>
    <t>M JHUAN COMERCIO E SERVICOS DE CELULARES LTDA</t>
  </si>
  <si>
    <t>J J DA SILVA &amp; CIA LTDA</t>
  </si>
  <si>
    <t>LINK TELECOM COMERCIO DE CELULARES LTDA</t>
  </si>
  <si>
    <t>CLEAR TELECOM COMERCIO E SERVICOS DE TELEFONIA EIRELI</t>
  </si>
  <si>
    <t>PRIME ARACATUBA CELULARES LTDA</t>
  </si>
  <si>
    <t>JOAO LUIS AYRES LTDA</t>
  </si>
  <si>
    <t>J.P. MACHADO TELEFONIA EIRELI</t>
  </si>
  <si>
    <t>DERZE &amp; VIDAL LTDA</t>
  </si>
  <si>
    <t>FAJULUTI GAVEA TELECOM COMERCIO DE MATERIAL DE TELECOMUNICACAO LTDA</t>
  </si>
  <si>
    <t>JF EQUIPAMENTOS DE TELEFONIA E COMUNICACAO LTDA</t>
  </si>
  <si>
    <t>DIN COMERCIO E SERVICOS DE TELEFONIA EIRELI</t>
  </si>
  <si>
    <t>SANDRI &amp; FIGUEIRO LTDA</t>
  </si>
  <si>
    <t>ESTULANO &amp; MEZZA LTDA</t>
  </si>
  <si>
    <t>EDUARDO JUNQUEIRA DA SILVEIRA LTDA</t>
  </si>
  <si>
    <t>CENTERCELL TELECOMUNICACOES CARANGOLA LTDA</t>
  </si>
  <si>
    <t>5VU5</t>
  </si>
  <si>
    <t>ALFATEC COMERCIO E SERVICOS DE TELEFONIA LTDA</t>
  </si>
  <si>
    <t>Y960</t>
  </si>
  <si>
    <t>9FM8</t>
  </si>
  <si>
    <t>LFCW</t>
  </si>
  <si>
    <t>CJFP</t>
  </si>
  <si>
    <t>XJ0U</t>
  </si>
  <si>
    <t>F &amp; F CEL - COMERCIO E SERVICOS DE TELEFONIA LTDA</t>
  </si>
  <si>
    <t>VIAGUARAPARI TELECOM LTDA</t>
  </si>
  <si>
    <t>INTEGRA CONNECT TELECOMUNICACOES LTDA</t>
  </si>
  <si>
    <t>D&amp;D PEREIRA COMERCIO DE TELEFONIA LTDA ME</t>
  </si>
  <si>
    <t>PAULIENE BATISTA DA COSTA ARAUJO LTDA</t>
  </si>
  <si>
    <t>LSL CELULARES EIRELI</t>
  </si>
  <si>
    <t>M&amp;F COMERCIO DE TELEFONIA LTDA ME</t>
  </si>
  <si>
    <t>SHOP LARE COMERCIO E SERVICOS LTDA - ME</t>
  </si>
  <si>
    <t>MARISA STRAGLIOTTO</t>
  </si>
  <si>
    <t>INFORCEL CELULARES ITAPURANGA LTDA</t>
  </si>
  <si>
    <t>LAERCIO SOMAVILLA &amp; CIA LTDA</t>
  </si>
  <si>
    <t>DPF COMERCIO TELECOM LTDA ME</t>
  </si>
  <si>
    <t>ANA PAULA DECKMANN E CIA LTDA</t>
  </si>
  <si>
    <t>FLORES &amp; CARVALHO TELECOMUNICACOES LTDA</t>
  </si>
  <si>
    <t>MASTERCELL COMERCIO E SERVICOS DE TELEFONIA LTDA</t>
  </si>
  <si>
    <t>WKT1</t>
  </si>
  <si>
    <t>8L09</t>
  </si>
  <si>
    <t>U6N7</t>
  </si>
  <si>
    <t>JSE1</t>
  </si>
  <si>
    <t>FB SERVICOS DE TELECOM LTDA</t>
  </si>
  <si>
    <t>UGHV</t>
  </si>
  <si>
    <t>ALCANTARA CELULARES LTDA</t>
  </si>
  <si>
    <t>MUNDO DOS CELULARES LTDA</t>
  </si>
  <si>
    <t>LHD9</t>
  </si>
  <si>
    <t>G MOBILE COMERCIO E REPRESENTACOES LTDA</t>
  </si>
  <si>
    <t>DKFR</t>
  </si>
  <si>
    <t>INTERFACE CELL COMERCIO E SERVICOS LTDA</t>
  </si>
  <si>
    <t>INFORCEL CELULARES GOIANESIA LTDA</t>
  </si>
  <si>
    <t>NIELLA LEMOS TELEFONIA LTDA</t>
  </si>
  <si>
    <t>MAX TELECOMUNICACOES LTDA</t>
  </si>
  <si>
    <t>MAX CEL GOVERNADOR VALADARES LTDA</t>
  </si>
  <si>
    <t>BRUNO TARGINO JORDAO DE MENEZES</t>
  </si>
  <si>
    <t>INTERFACE CELL II MACAE LTDA</t>
  </si>
  <si>
    <t>INTERFACE CELL III PLAZA COMERCIO E SERVICOS LTDA</t>
  </si>
  <si>
    <t>DIRCEU DELA MARTA JUNIOR - TELEFONIA</t>
  </si>
  <si>
    <t>ANCLA COMERCIO E SERVICOS DE TELEFONIA EIRELI</t>
  </si>
  <si>
    <t>CKIX</t>
  </si>
  <si>
    <t>CELL AZUL CELULARES LTDA – EPP</t>
  </si>
  <si>
    <t>Camila Tambone de Almeida EIRELI - EPP</t>
  </si>
  <si>
    <t>Eletroshopping EIRELI</t>
  </si>
  <si>
    <t>JB dos Santos Rodrigues Ltda</t>
  </si>
  <si>
    <t>DME TELECOMUNICACOES, SERVICOS E COMERCIO LTDA</t>
  </si>
  <si>
    <t>PHLM SOLUTIONS COMERCIO E SERVICOS LTDA</t>
  </si>
  <si>
    <t>FW TABOAO TELEFONIA LTDA</t>
  </si>
  <si>
    <t>CAMILA TAMBONE DE ALMEIDA EIRELI</t>
  </si>
  <si>
    <t>INFORCEL CELULARES PALMEIRAS DE GOIAS LTDA</t>
  </si>
  <si>
    <t>MEGA CELULAR IPAMERI LTDA</t>
  </si>
  <si>
    <t>ARAUJO &amp; COSTA LTDA</t>
  </si>
  <si>
    <t>INFORCEL CELULARES ANICUNS LTDA</t>
  </si>
  <si>
    <t>CAVALCANTI &amp; CORREIA &amp; CIA LTDA</t>
  </si>
  <si>
    <t>BT CELL ALTOS TELECOMUNICACOES LTDA</t>
  </si>
  <si>
    <t>NAUM RAONI TELEFONIA E SERVICOS LTDA</t>
  </si>
  <si>
    <t>47IT</t>
  </si>
  <si>
    <t>CMMA ASSISTENCIA TECNICA E ACESSORIOS LTDA</t>
  </si>
  <si>
    <t>GLAS COMÉRCIO DE ELETRÔNICOS LTDA</t>
  </si>
  <si>
    <t>RP COMERCIO E REPRESENTACAO EM TELECOMUNICACOES LTDA</t>
  </si>
  <si>
    <t>GARA COMERCIO DE CELULAR EIRELI</t>
  </si>
  <si>
    <t>JUNIOR NOAL &amp; CIA LTDA</t>
  </si>
  <si>
    <t>SILVIA HELENA ULBRICH DE OLIVEIRA &amp; CIA LTDA - EPP</t>
  </si>
  <si>
    <t>LEINAD COMERCIO E SERVICO LTDA</t>
  </si>
  <si>
    <t>C-MEAN SERVICOS DE MARKETING DIRETO LTDA</t>
  </si>
  <si>
    <t>E-MEAN SERVICOS DE MARKETING DIRET</t>
  </si>
  <si>
    <t>BT CELL CAMOCIM TELECOMUNICACOES LTDA</t>
  </si>
  <si>
    <t>MEXCELL VILA VELHA</t>
  </si>
  <si>
    <t>ADESIENE NUNES MACHADO STUCCHI</t>
  </si>
  <si>
    <t>6BZO</t>
  </si>
  <si>
    <t>EDGLAYDSON DA SILVA RAMOS</t>
  </si>
  <si>
    <t>NAUM RAONI VARELA DOS SANTOS TELEFONIA E SERVICOS LTDA</t>
  </si>
  <si>
    <t>03.555.618/0058-41</t>
  </si>
  <si>
    <t>'21.783.328/0002-82</t>
  </si>
  <si>
    <t xml:space="preserve">J B DOS SANTOS RODRIGUES LTDA </t>
  </si>
  <si>
    <t>'16.835.059/0001-30</t>
  </si>
  <si>
    <t xml:space="preserve">PARCELL ELETRO E TELECOMUNICACAO EIRELI </t>
  </si>
  <si>
    <t>'23.001.614/0001-93</t>
  </si>
  <si>
    <t xml:space="preserve">QUERO CELL COMUNICACAO EIRELI </t>
  </si>
  <si>
    <t>'36.768.551/0003-09</t>
  </si>
  <si>
    <t xml:space="preserve">E-MEAN SERVICOS DE MARKETING DIRETO LTDA </t>
  </si>
  <si>
    <t>'57.179.494/0001-30</t>
  </si>
  <si>
    <t xml:space="preserve">TELECOM EXPRESS LTDA </t>
  </si>
  <si>
    <t>'37.575.053/0001-40</t>
  </si>
  <si>
    <t xml:space="preserve">SHEILA RIOS OLIVEIRA LTDA </t>
  </si>
  <si>
    <t>'35.366.419/0002-27</t>
  </si>
  <si>
    <t xml:space="preserve">SIM MAGAZINE CONQUISTA LTDA </t>
  </si>
  <si>
    <t>'27.605.332/0001-56</t>
  </si>
  <si>
    <t xml:space="preserve">R &amp; J CELULARES E ACESSORIOS EIRELI </t>
  </si>
  <si>
    <t>'35.645.088/0001-83</t>
  </si>
  <si>
    <t xml:space="preserve">SILVA SILVA TELEFONIA E COMUNICAO LTDA </t>
  </si>
  <si>
    <t>'31.102.019/0001-72</t>
  </si>
  <si>
    <t xml:space="preserve">C A SANTOS COMUNICACAO LTDA </t>
  </si>
  <si>
    <t>'54.534.832/0001-17</t>
  </si>
  <si>
    <t xml:space="preserve">TELECOMUNICACOES CASA NOVA LTDA </t>
  </si>
  <si>
    <t>'09.587.919/0001-06</t>
  </si>
  <si>
    <t xml:space="preserve">VIAFONE-COMERCIO DE ELETRO-ELETRONICOS LTDA </t>
  </si>
  <si>
    <t>'06.928.256/0001-40</t>
  </si>
  <si>
    <t xml:space="preserve">S V DE CERQUEIRA - ME </t>
  </si>
  <si>
    <t>'06.120.373/0001-82</t>
  </si>
  <si>
    <t xml:space="preserve">TECNOCEL CELULARES COMERCIO, SERVICOS LTDA </t>
  </si>
  <si>
    <t>'08.094.517/0001-07</t>
  </si>
  <si>
    <t xml:space="preserve">GUI CELULARES E SERVICOS LTDA </t>
  </si>
  <si>
    <t>'39.555.037/0001-11</t>
  </si>
  <si>
    <t xml:space="preserve">COLUMBIA COMERCIO VAREJISTA DE CELULARES E ELETRONICOS LTDA </t>
  </si>
  <si>
    <t>'46.388.715/0005-98</t>
  </si>
  <si>
    <t xml:space="preserve">NIELLA LEMOS TELEFONIA LTDA </t>
  </si>
  <si>
    <t>'31.102.019/0002-53</t>
  </si>
  <si>
    <t>57.371.475/0001-01</t>
  </si>
  <si>
    <t>SIM MAGAZINE CENTRO LTDA</t>
  </si>
  <si>
    <t>59.503.762/0001-53</t>
  </si>
  <si>
    <t xml:space="preserve">	LBD TELECOM LTDA</t>
  </si>
  <si>
    <t>54.534.832/0002-06</t>
  </si>
  <si>
    <t>TELECOMUNICACOES CASA NOVA LTDA</t>
  </si>
  <si>
    <t>58.275.758/0001-12</t>
  </si>
  <si>
    <t>SIM MAGAZINE VDC BRASIL LTDA</t>
  </si>
  <si>
    <t>26.080.840/0002-86</t>
  </si>
  <si>
    <t xml:space="preserve">	A PLAY S COMERCIO E SERVICOS LTDA</t>
  </si>
  <si>
    <t>RP COMERCIO E REPRESENTAÇÃO EM TELECOMUNICAÇÃO LTDA</t>
  </si>
  <si>
    <t>ITAMARY TELEFONIA LTDA</t>
  </si>
  <si>
    <t>LIDIANE FREIRE DA SILVA ME</t>
  </si>
  <si>
    <t>EMQ6</t>
  </si>
  <si>
    <t>RED CELL TELECOM LTDA</t>
  </si>
  <si>
    <t>NETTROM COMERCIO DE EQUIPAMENTOS DE TELECOMUNICACAO EIRELI</t>
  </si>
  <si>
    <t>JF CELULARES LTDA</t>
  </si>
  <si>
    <t>BV CELULARES LTDA</t>
  </si>
  <si>
    <t>MAX CEL TEOFILO OTONI LTDA</t>
  </si>
  <si>
    <t>P &amp; L CELULARES LTDA</t>
  </si>
  <si>
    <t>HS TELECOM COM SERV E REPRES DE TEL MOVEL LTDA</t>
  </si>
  <si>
    <t>08457462000144</t>
  </si>
  <si>
    <t>05949641016880</t>
  </si>
  <si>
    <t>05949641016295</t>
  </si>
  <si>
    <t>05949641017186</t>
  </si>
  <si>
    <t>05949641017267</t>
  </si>
  <si>
    <t>05949641016457</t>
  </si>
  <si>
    <t>05949641016023</t>
  </si>
  <si>
    <t>05949641017003</t>
  </si>
  <si>
    <t>05949641017348</t>
  </si>
  <si>
    <t>03555618007119</t>
  </si>
  <si>
    <t>M. F TELECOMUNICACAO LTDA</t>
  </si>
  <si>
    <t>05142929005057</t>
  </si>
  <si>
    <t>08457462000810</t>
  </si>
  <si>
    <t>05949641016961</t>
  </si>
  <si>
    <t>05949641017429</t>
  </si>
  <si>
    <t>05949641016708</t>
  </si>
  <si>
    <t>03555618006813</t>
  </si>
  <si>
    <t>03555618007208</t>
  </si>
  <si>
    <t>03555618006651</t>
  </si>
  <si>
    <t>05923253008640</t>
  </si>
  <si>
    <t>05923253008488</t>
  </si>
  <si>
    <t>05923253008569</t>
  </si>
  <si>
    <t>05923253008720</t>
  </si>
  <si>
    <t>34324935001206</t>
  </si>
  <si>
    <t>29686678004815</t>
  </si>
  <si>
    <t>29686678005200</t>
  </si>
  <si>
    <t>29686678005030</t>
  </si>
  <si>
    <t>29686678004491</t>
  </si>
  <si>
    <t>29686678005110</t>
  </si>
  <si>
    <t>29686678004572</t>
  </si>
  <si>
    <t>15039764001130</t>
  </si>
  <si>
    <t>15039764001059</t>
  </si>
  <si>
    <t>15039764001563</t>
  </si>
  <si>
    <t>59912890000150</t>
  </si>
  <si>
    <t>MEGA CELULAR PIRACANJUBA LTDA</t>
  </si>
  <si>
    <t>60443602000145</t>
  </si>
  <si>
    <t>INFORCEL CELULARES URUACU LTDA</t>
  </si>
  <si>
    <t>03555618003121</t>
  </si>
  <si>
    <t>03555618002826</t>
  </si>
  <si>
    <t>03555618004365</t>
  </si>
  <si>
    <t>03555618005680</t>
  </si>
  <si>
    <t>03555618005507</t>
  </si>
  <si>
    <t>03555618005760</t>
  </si>
  <si>
    <t>08790524000720</t>
  </si>
  <si>
    <t>08790524001450</t>
  </si>
  <si>
    <t>13985813000472</t>
  </si>
  <si>
    <t>CARLOS FREDERICO E FILHOS COMERCIO DE TELEFONIA LTDA</t>
  </si>
  <si>
    <t>13985813000553</t>
  </si>
  <si>
    <t>13985813000804</t>
  </si>
  <si>
    <t>13985813000200</t>
  </si>
  <si>
    <t>13985813000634</t>
  </si>
  <si>
    <t>13985813000120</t>
  </si>
  <si>
    <t>13985813000391</t>
  </si>
  <si>
    <t>56660306000129</t>
  </si>
  <si>
    <t>13985813000715</t>
  </si>
  <si>
    <t>13985813001010</t>
  </si>
  <si>
    <t>54829710000239</t>
  </si>
  <si>
    <t>03006494002315</t>
  </si>
  <si>
    <t>62859631000118</t>
  </si>
  <si>
    <t>12480293000300</t>
  </si>
  <si>
    <t>36768551001380</t>
  </si>
  <si>
    <t>03555618007038</t>
  </si>
  <si>
    <t>03555618006902</t>
  </si>
  <si>
    <t>04601016003479 </t>
  </si>
  <si>
    <t>04601016003045 </t>
  </si>
  <si>
    <t>04601016003207 </t>
  </si>
  <si>
    <t>04601016003126 </t>
  </si>
  <si>
    <t>04601016002901 </t>
  </si>
  <si>
    <t>04601016002820 </t>
  </si>
  <si>
    <t>63570475000133 </t>
  </si>
  <si>
    <t>REDCELL F. GOMES LTDA</t>
  </si>
  <si>
    <t>23199256001309</t>
  </si>
  <si>
    <t xml:space="preserve">CLEAR TELECOM COMERCIO E SERVICOS DE TELEFONIA LTDA </t>
  </si>
  <si>
    <t>20965631000233</t>
  </si>
  <si>
    <t xml:space="preserve">LIG COMERCIO E SERVICOS EM TELEFONIA LTDA </t>
  </si>
  <si>
    <t>23199256000922</t>
  </si>
  <si>
    <t>36768551001208</t>
  </si>
  <si>
    <t xml:space="preserve">PRIME TELECOM COMERCIO E SERVICOS DE COMUNICACAO LTDA </t>
  </si>
  <si>
    <t>21.848.907/0009-32</t>
  </si>
  <si>
    <t>21.848.907/0018-23</t>
  </si>
  <si>
    <t>INFORCEL CELULARES GOIANIRA LTDA</t>
  </si>
  <si>
    <t>07966118000118</t>
  </si>
  <si>
    <t>05949641007890</t>
  </si>
  <si>
    <t>05949641012893</t>
  </si>
  <si>
    <t>05949641018310</t>
  </si>
  <si>
    <t xml:space="preserve">CENTRAL DO NORTE EMPREENDIMENTOS LTDA </t>
  </si>
  <si>
    <t>repete</t>
  </si>
  <si>
    <t>LG93 OU 0FKD</t>
  </si>
  <si>
    <t>NAUM</t>
  </si>
  <si>
    <t>CODIGO AGENTE</t>
  </si>
  <si>
    <t>GRUPO_CREDITO</t>
  </si>
  <si>
    <t>LOCAL_NEGOCIO</t>
  </si>
  <si>
    <t>XPTO1425</t>
  </si>
  <si>
    <t>K V RODRIGUES DE VASCONCELOS</t>
  </si>
  <si>
    <t>XPTO1526</t>
  </si>
  <si>
    <t>XPTO1461</t>
  </si>
  <si>
    <t>XPTO1462</t>
  </si>
  <si>
    <t>XPTO1502</t>
  </si>
  <si>
    <t>XPTO1540</t>
  </si>
  <si>
    <t>XPTO1520</t>
  </si>
  <si>
    <t>XPTO1541</t>
  </si>
  <si>
    <t>XPTO1542</t>
  </si>
  <si>
    <t>XPTO1543</t>
  </si>
  <si>
    <t>XPTO1544</t>
  </si>
  <si>
    <t>XPTO1545</t>
  </si>
  <si>
    <t>XPTO1498</t>
  </si>
  <si>
    <t>XPTO1500</t>
  </si>
  <si>
    <t>XPTO1522</t>
  </si>
  <si>
    <t>XPTO1316</t>
  </si>
  <si>
    <t>XPTO1120</t>
  </si>
  <si>
    <t>XPTO1217</t>
  </si>
  <si>
    <t>XPTO1410</t>
  </si>
  <si>
    <t>XPTO1535</t>
  </si>
  <si>
    <t>XPTO1536</t>
  </si>
  <si>
    <t>XPTO1537</t>
  </si>
  <si>
    <t>XPTO1503</t>
  </si>
  <si>
    <t>XPTO1476</t>
  </si>
  <si>
    <t>XPTO1477</t>
  </si>
  <si>
    <t>XPTO1546</t>
  </si>
  <si>
    <t xml:space="preserve"> XPTO1479</t>
  </si>
  <si>
    <t>XPTO1528</t>
  </si>
  <si>
    <t>XPTO1529</t>
  </si>
  <si>
    <t>XPTO1530</t>
  </si>
  <si>
    <t>XPTO1531</t>
  </si>
  <si>
    <t>XPTO1532</t>
  </si>
  <si>
    <t>XPTO1533</t>
  </si>
  <si>
    <t>XPTO1524</t>
  </si>
  <si>
    <t>XPTO1547</t>
  </si>
  <si>
    <t>XPTO1480</t>
  </si>
  <si>
    <t>XPTO1448</t>
  </si>
  <si>
    <t>XPTO1450</t>
  </si>
  <si>
    <t>XPTO1455</t>
  </si>
  <si>
    <t>XPTO1454</t>
  </si>
  <si>
    <t>XPTO1456</t>
  </si>
  <si>
    <t>XPTO1483</t>
  </si>
  <si>
    <t>XPTO1459</t>
  </si>
  <si>
    <t>XPTO1481</t>
  </si>
  <si>
    <t>XPTO1482</t>
  </si>
  <si>
    <t>XPTO1510</t>
  </si>
  <si>
    <t>XPTO1511</t>
  </si>
  <si>
    <t>XPTO1515</t>
  </si>
  <si>
    <t>XPTO1516</t>
  </si>
  <si>
    <t>XPTO1505</t>
  </si>
  <si>
    <t>XPTO1504</t>
  </si>
  <si>
    <t>XPTO1506</t>
  </si>
  <si>
    <t>XPTO1548</t>
  </si>
  <si>
    <t>XPTO1549</t>
  </si>
  <si>
    <t>XPTO1550</t>
  </si>
  <si>
    <t>XPTO1551</t>
  </si>
  <si>
    <t>XPTO1552</t>
  </si>
  <si>
    <t>XPTO1553</t>
  </si>
  <si>
    <t>XPTO1554</t>
  </si>
  <si>
    <t>XPTO1555</t>
  </si>
  <si>
    <t>XPTO1556</t>
  </si>
  <si>
    <t>XPTO1557</t>
  </si>
  <si>
    <t>XPTO1558</t>
  </si>
  <si>
    <t>XPTO1559</t>
  </si>
  <si>
    <t>XPTO1560</t>
  </si>
  <si>
    <t>XPTO1561</t>
  </si>
  <si>
    <t>XPTO1562</t>
  </si>
  <si>
    <t>XPTO1563</t>
  </si>
  <si>
    <t>XPTO1564</t>
  </si>
  <si>
    <t>XPTO1565</t>
  </si>
  <si>
    <t>XPTO1566</t>
  </si>
  <si>
    <t>XPTO1567</t>
  </si>
  <si>
    <t>XPTO1568</t>
  </si>
  <si>
    <t>XPTO1569</t>
  </si>
  <si>
    <t>XPTO1570</t>
  </si>
  <si>
    <t>XPTO1571</t>
  </si>
  <si>
    <t>XPTO1572</t>
  </si>
  <si>
    <t>XPTO1573</t>
  </si>
  <si>
    <t>XPTO1574</t>
  </si>
  <si>
    <t>XPTO1575</t>
  </si>
  <si>
    <t>XPTO1576</t>
  </si>
  <si>
    <t>XPTO1577</t>
  </si>
  <si>
    <t>(Tudo)</t>
  </si>
  <si>
    <t>Contagem de CÓD</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</si>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</sst>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416]mmm\-yy;@"/>
    <numFmt numFmtId="166" formatCode="00000000000000"/>
    <numFmt numFmtId="167" formatCode="0.0%"/>
  </numFmts>
  <fonts count="41">
    <font>
      <sz val="11"/>
      <color theme="1"/>
      <name val="Aptos Narrow"/>
      <family val="2"/>
      <scheme val="minor"/>
    </font>
    <font>
      <sz val="11"/>
      <color theme="1"/>
      <name val="Aptos Narrow"/>
      <family val="2"/>
      <scheme val="minor"/>
    </font>
    <font>
      <sz val="11"/>
      <color theme="0"/>
      <name val="Aptos Narrow"/>
      <family val="2"/>
      <scheme val="minor"/>
    </font>
    <font>
      <b/>
      <sz val="11"/>
      <name val="Aptos Narrow"/>
      <family val="2"/>
      <scheme val="minor"/>
    </font>
    <font>
      <b/>
      <sz val="9"/>
      <color theme="0"/>
      <name val="Aptos Narrow"/>
      <family val="2"/>
      <scheme val="minor"/>
    </font>
    <font>
      <b/>
      <sz val="9"/>
      <color theme="1"/>
      <name val="Aptos Narrow"/>
      <family val="2"/>
      <scheme val="minor"/>
    </font>
    <font>
      <b/>
      <sz val="9"/>
      <name val="Aptos Narrow"/>
      <family val="2"/>
      <scheme val="minor"/>
    </font>
    <font>
      <sz val="11"/>
      <color rgb="FFC00000"/>
      <name val="Aptos Narrow"/>
      <family val="2"/>
      <scheme val="minor"/>
    </font>
    <font>
      <sz val="9"/>
      <color theme="1"/>
      <name val="Aptos Narrow"/>
      <family val="2"/>
      <scheme val="minor"/>
    </font>
    <font>
      <b/>
      <sz val="12"/>
      <color theme="1"/>
      <name val="Aptos Narrow"/>
      <family val="2"/>
      <scheme val="minor"/>
    </font>
    <font>
      <sz val="8"/>
      <color theme="1"/>
      <name val="Aptos Narrow"/>
      <family val="2"/>
      <scheme val="minor"/>
    </font>
    <font>
      <b/>
      <sz val="11"/>
      <color rgb="FFC00000"/>
      <name val="Aptos Narrow"/>
      <family val="2"/>
      <scheme val="minor"/>
    </font>
    <font>
      <b/>
      <sz val="8"/>
      <color theme="0"/>
      <name val="Aptos Narrow"/>
      <family val="2"/>
      <scheme val="minor"/>
    </font>
    <font>
      <b/>
      <sz val="8"/>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8"/>
      <name val="Aptos Narrow"/>
      <family val="2"/>
      <scheme val="minor"/>
    </font>
    <font>
      <sz val="9"/>
      <color theme="0"/>
      <name val="Aptos Narrow"/>
      <family val="2"/>
      <scheme val="minor"/>
    </font>
    <font>
      <b/>
      <sz val="11"/>
      <color rgb="FFFF0000"/>
      <name val="Aptos Narrow"/>
      <family val="2"/>
      <scheme val="minor"/>
    </font>
    <font>
      <b/>
      <sz val="8"/>
      <color rgb="FFFFFFFF"/>
      <name val="Verdana"/>
      <family val="2"/>
    </font>
    <font>
      <sz val="8"/>
      <name val="Verdana"/>
      <family val="2"/>
    </font>
    <font>
      <sz val="8"/>
      <name val="Calibri"/>
      <family val="2"/>
    </font>
    <font>
      <sz val="8"/>
      <color theme="1"/>
      <name val="Verdana"/>
      <family val="2"/>
    </font>
    <font>
      <sz val="8"/>
      <color rgb="FFFF0000"/>
      <name val="Calibri"/>
      <family val="2"/>
    </font>
    <font>
      <sz val="8"/>
      <color indexed="8"/>
      <name val="Calibri"/>
      <family val="2"/>
    </font>
    <font>
      <i/>
      <sz val="11"/>
      <color theme="1"/>
      <name val="Aptos Narrow"/>
      <family val="2"/>
      <scheme val="minor"/>
    </font>
    <font>
      <b/>
      <sz val="9"/>
      <color rgb="FFFF0000"/>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sz val="11"/>
      <color rgb="FF333333"/>
      <name val="Aptos Narrow"/>
      <family val="2"/>
      <scheme val="minor"/>
    </font>
    <font>
      <b/>
      <sz val="12"/>
      <color rgb="FFFFFFFF"/>
      <name val="Aptos Narrow"/>
      <family val="2"/>
      <scheme val="minor"/>
    </font>
    <font>
      <b/>
      <sz val="11"/>
      <color rgb="FF333333"/>
      <name val="Aptos Narrow"/>
      <family val="2"/>
      <scheme val="minor"/>
    </font>
    <font>
      <b/>
      <sz val="11"/>
      <color rgb="FF7F0000"/>
      <name val="Aptos Narrow"/>
      <family val="2"/>
      <scheme val="minor"/>
    </font>
    <font>
      <b/>
      <sz val="16"/>
      <color rgb="FF7F0000"/>
      <name val="Aptos Narrow"/>
      <family val="2"/>
      <scheme val="minor"/>
    </font>
    <font>
      <b/>
      <sz val="11"/>
      <color rgb="FFB71C1C"/>
      <name val="Aptos Narrow"/>
      <family val="2"/>
      <scheme val="minor"/>
    </font>
    <font>
      <sz val="11"/>
      <color rgb="FF444444"/>
      <name val="Aptos Narrow"/>
      <family val="2"/>
      <scheme val="minor"/>
    </font>
    <font>
      <b/>
      <sz val="24"/>
      <color rgb="FFB71C1C"/>
      <name val="Aptos Narrow"/>
      <family val="2"/>
      <scheme val="minor"/>
    </font>
    <font>
      <b/>
      <sz val="16"/>
      <color rgb="FFFFFFFF"/>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1"/>
        <bgColor indexed="64"/>
      </patternFill>
    </fill>
    <fill>
      <patternFill patternType="solid">
        <fgColor theme="0"/>
        <bgColor theme="0" tint="-0.14999847407452621"/>
      </patternFill>
    </fill>
    <fill>
      <patternFill patternType="solid">
        <fgColor rgb="FFFFC000"/>
        <bgColor indexed="64"/>
      </patternFill>
    </fill>
    <fill>
      <patternFill patternType="solid">
        <fgColor rgb="FFFFFFFF"/>
        <bgColor indexed="64"/>
      </patternFill>
    </fill>
    <fill>
      <patternFill patternType="solid">
        <fgColor rgb="FFB71C1C"/>
        <bgColor indexed="64"/>
      </patternFill>
    </fill>
    <fill>
      <patternFill patternType="solid">
        <fgColor rgb="FFFDECEC"/>
        <bgColor indexed="64"/>
      </patternFill>
    </fill>
    <fill>
      <patternFill patternType="solid">
        <fgColor rgb="FFFFF7F7"/>
        <bgColor indexed="64"/>
      </patternFill>
    </fill>
    <fill>
      <patternFill patternType="solid">
        <fgColor rgb="FFD32F2F"/>
        <bgColor indexed="64"/>
      </patternFill>
    </fill>
    <fill>
      <patternFill patternType="solid">
        <fgColor rgb="FFFCE4E4"/>
        <bgColor indexed="64"/>
      </patternFill>
    </fill>
    <fill>
      <patternFill patternType="solid">
        <fgColor rgb="FFFCE8E8"/>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thin">
        <color theme="1"/>
      </left>
      <right/>
      <top/>
      <bottom style="thin">
        <color theme="0"/>
      </bottom>
      <diagonal/>
    </border>
    <border>
      <left/>
      <right style="thin">
        <color theme="1"/>
      </right>
      <top/>
      <bottom style="thin">
        <color theme="0"/>
      </bottom>
      <diagonal/>
    </border>
    <border>
      <left/>
      <right/>
      <top/>
      <bottom style="thin">
        <color theme="0" tint="-0.499984740745262"/>
      </bottom>
      <diagonal/>
    </border>
    <border>
      <left/>
      <right/>
      <top style="thin">
        <color theme="0" tint="-0.499984740745262"/>
      </top>
      <bottom style="thin">
        <color theme="0" tint="-0.499984740745262"/>
      </bottom>
      <diagonal/>
    </border>
    <border>
      <left style="medium">
        <color theme="1"/>
      </left>
      <right/>
      <top/>
      <bottom style="thin">
        <color theme="0" tint="-0.499984740745262"/>
      </bottom>
      <diagonal/>
    </border>
    <border>
      <left style="medium">
        <color theme="1"/>
      </left>
      <right/>
      <top style="thin">
        <color theme="0" tint="-0.499984740745262"/>
      </top>
      <bottom style="thin">
        <color theme="0" tint="-0.499984740745262"/>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theme="0" tint="-0.14996795556505021"/>
      </bottom>
      <diagonal/>
    </border>
    <border>
      <left style="medium">
        <color indexed="64"/>
      </left>
      <right style="medium">
        <color indexed="64"/>
      </right>
      <top style="medium">
        <color indexed="64"/>
      </top>
      <bottom style="thin">
        <color theme="0" tint="-0.14996795556505021"/>
      </bottom>
      <diagonal/>
    </border>
    <border>
      <left style="medium">
        <color indexed="64"/>
      </left>
      <right style="medium">
        <color indexed="64"/>
      </right>
      <top style="thin">
        <color theme="0" tint="-0.14996795556505021"/>
      </top>
      <bottom style="thin">
        <color theme="0" tint="-0.14996795556505021"/>
      </bottom>
      <diagonal/>
    </border>
    <border>
      <left style="medium">
        <color indexed="64"/>
      </left>
      <right style="medium">
        <color indexed="64"/>
      </right>
      <top style="thin">
        <color theme="0" tint="-0.14996795556505021"/>
      </top>
      <bottom style="medium">
        <color indexed="64"/>
      </bottom>
      <diagonal/>
    </border>
    <border>
      <left/>
      <right/>
      <top style="medium">
        <color indexed="64"/>
      </top>
      <bottom style="thin">
        <color theme="0" tint="-0.14996795556505021"/>
      </bottom>
      <diagonal/>
    </border>
    <border>
      <left/>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style="thin">
        <color theme="0" tint="-0.14996795556505021"/>
      </bottom>
      <diagonal/>
    </border>
    <border>
      <left style="medium">
        <color indexed="64"/>
      </left>
      <right/>
      <top/>
      <bottom style="thin">
        <color theme="0" tint="-0.14996795556505021"/>
      </bottom>
      <diagonal/>
    </border>
    <border>
      <left style="medium">
        <color indexed="64"/>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medium">
        <color indexed="64"/>
      </left>
      <right/>
      <top style="medium">
        <color indexed="64"/>
      </top>
      <bottom style="thin">
        <color theme="0" tint="-0.14996795556505021"/>
      </bottom>
      <diagonal/>
    </border>
    <border>
      <left/>
      <right/>
      <top style="thin">
        <color theme="0" tint="-0.14996795556505021"/>
      </top>
      <bottom/>
      <diagonal/>
    </border>
    <border>
      <left/>
      <right/>
      <top style="thin">
        <color theme="0" tint="-0.14996795556505021"/>
      </top>
      <bottom style="thin">
        <color theme="0" tint="-0.499984740745262"/>
      </bottom>
      <diagonal/>
    </border>
    <border>
      <left style="medium">
        <color theme="1"/>
      </left>
      <right/>
      <top style="thin">
        <color theme="0" tint="-0.499984740745262"/>
      </top>
      <bottom style="thin">
        <color theme="0" tint="-0.14996795556505021"/>
      </bottom>
      <diagonal/>
    </border>
    <border>
      <left style="medium">
        <color theme="1"/>
      </left>
      <right/>
      <top style="thin">
        <color theme="0" tint="-0.14996795556505021"/>
      </top>
      <bottom style="thin">
        <color theme="0" tint="-0.14996795556505021"/>
      </bottom>
      <diagonal/>
    </border>
    <border>
      <left style="medium">
        <color theme="1"/>
      </left>
      <right/>
      <top style="thin">
        <color theme="0" tint="-0.14996795556505021"/>
      </top>
      <bottom style="thin">
        <color theme="0" tint="-0.499984740745262"/>
      </bottom>
      <diagonal/>
    </border>
    <border>
      <left/>
      <right/>
      <top style="thin">
        <color theme="0" tint="-0.499984740745262"/>
      </top>
      <bottom style="thin">
        <color theme="0" tint="-0.14996795556505021"/>
      </bottom>
      <diagonal/>
    </border>
    <border>
      <left/>
      <right/>
      <top/>
      <bottom style="thin">
        <color rgb="FFB71C1C"/>
      </bottom>
      <diagonal/>
    </border>
    <border>
      <left/>
      <right/>
      <top/>
      <bottom style="thin">
        <color rgb="FFF3CCCC"/>
      </bottom>
      <diagonal/>
    </border>
    <border>
      <left/>
      <right/>
      <top/>
      <bottom style="thin">
        <color rgb="FFD32F2F"/>
      </bottom>
      <diagonal/>
    </border>
    <border>
      <left/>
      <right/>
      <top/>
      <bottom style="thin">
        <color rgb="FFE8C7C7"/>
      </bottom>
      <diagonal/>
    </border>
    <border>
      <left style="medium">
        <color indexed="64"/>
      </left>
      <right/>
      <top style="thin">
        <color indexed="64"/>
      </top>
      <bottom style="medium">
        <color rgb="FFE8C7C7"/>
      </bottom>
      <diagonal/>
    </border>
    <border>
      <left style="medium">
        <color indexed="64"/>
      </left>
      <right style="medium">
        <color indexed="64"/>
      </right>
      <top style="thin">
        <color indexed="64"/>
      </top>
      <bottom style="medium">
        <color rgb="FFE8C7C7"/>
      </bottom>
      <diagonal/>
    </border>
    <border>
      <left/>
      <right style="medium">
        <color indexed="64"/>
      </right>
      <top style="thin">
        <color indexed="64"/>
      </top>
      <bottom style="medium">
        <color rgb="FFE8C7C7"/>
      </bottom>
      <diagonal/>
    </border>
    <border>
      <left style="medium">
        <color indexed="64"/>
      </left>
      <right/>
      <top/>
      <bottom style="medium">
        <color rgb="FFE8C7C7"/>
      </bottom>
      <diagonal/>
    </border>
    <border>
      <left/>
      <right style="medium">
        <color indexed="64"/>
      </right>
      <top/>
      <bottom style="medium">
        <color rgb="FFE8C7C7"/>
      </bottom>
      <diagonal/>
    </border>
    <border>
      <left style="medium">
        <color theme="0"/>
      </left>
      <right style="medium">
        <color theme="0"/>
      </right>
      <top/>
      <bottom/>
      <diagonal/>
    </border>
    <border>
      <left style="medium">
        <color indexed="64"/>
      </left>
      <right style="medium">
        <color indexed="64"/>
      </right>
      <top style="thin">
        <color theme="0" tint="-0.14996795556505021"/>
      </top>
      <bottom style="medium">
        <color rgb="FFE8C7C7"/>
      </bottom>
      <diagonal/>
    </border>
    <border>
      <left/>
      <right/>
      <top/>
      <bottom style="medium">
        <color rgb="FFE8C7C7"/>
      </bottom>
      <diagonal/>
    </border>
  </borders>
  <cellStyleXfs count="2">
    <xf numFmtId="0" fontId="0" fillId="0" borderId="0"/>
    <xf numFmtId="9" fontId="1" fillId="0" borderId="0" applyFont="0" applyFill="0" applyBorder="0" applyAlignment="0" applyProtection="0"/>
  </cellStyleXfs>
  <cellXfs count="203">
    <xf numFmtId="0" fontId="0" fillId="0" borderId="0" xfId="0"/>
    <xf numFmtId="17"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center"/>
    </xf>
    <xf numFmtId="0" fontId="0" fillId="2" borderId="0" xfId="0" applyFill="1"/>
    <xf numFmtId="0" fontId="5" fillId="0" borderId="7" xfId="0" applyFont="1" applyBorder="1" applyAlignment="1">
      <alignment horizontal="center" vertical="center"/>
    </xf>
    <xf numFmtId="0" fontId="6" fillId="0" borderId="7" xfId="0" applyFont="1" applyBorder="1" applyAlignment="1">
      <alignment horizontal="center" vertical="center"/>
    </xf>
    <xf numFmtId="0" fontId="5" fillId="0" borderId="8" xfId="0" applyFont="1" applyBorder="1" applyAlignment="1">
      <alignment horizontal="center" vertical="center"/>
    </xf>
    <xf numFmtId="0" fontId="6" fillId="0" borderId="8" xfId="0" applyFont="1" applyBorder="1" applyAlignment="1">
      <alignment horizontal="center" vertical="center"/>
    </xf>
    <xf numFmtId="164" fontId="5" fillId="0" borderId="8" xfId="0" applyNumberFormat="1" applyFont="1" applyBorder="1" applyAlignment="1">
      <alignment horizontal="center" vertical="center"/>
    </xf>
    <xf numFmtId="0" fontId="4" fillId="4" borderId="3" xfId="0" applyFont="1" applyFill="1" applyBorder="1" applyAlignment="1">
      <alignment horizontal="center" vertical="center" wrapText="1"/>
    </xf>
    <xf numFmtId="0" fontId="0" fillId="0" borderId="9" xfId="0" applyBorder="1" applyAlignment="1">
      <alignment horizontal="center"/>
    </xf>
    <xf numFmtId="0" fontId="4" fillId="4" borderId="4" xfId="0" applyFont="1" applyFill="1" applyBorder="1" applyAlignment="1">
      <alignment horizontal="center" vertical="center" wrapText="1"/>
    </xf>
    <xf numFmtId="0" fontId="7" fillId="0" borderId="0" xfId="0" applyFont="1"/>
    <xf numFmtId="0" fontId="8" fillId="0" borderId="0" xfId="0" applyFont="1"/>
    <xf numFmtId="0" fontId="8" fillId="0" borderId="0" xfId="0" applyFont="1" applyAlignment="1">
      <alignment horizontal="center" vertical="center"/>
    </xf>
    <xf numFmtId="0" fontId="8" fillId="0" borderId="10" xfId="0" applyFont="1" applyBorder="1" applyAlignment="1">
      <alignment horizontal="center" vertical="center"/>
    </xf>
    <xf numFmtId="0" fontId="10" fillId="2" borderId="0" xfId="0" applyFont="1" applyFill="1"/>
    <xf numFmtId="0" fontId="12" fillId="4" borderId="17"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0" fillId="0" borderId="0" xfId="0" applyFont="1" applyAlignment="1">
      <alignment horizontal="left"/>
    </xf>
    <xf numFmtId="0" fontId="10" fillId="0" borderId="2" xfId="0" applyFont="1" applyBorder="1" applyAlignment="1">
      <alignment horizontal="center"/>
    </xf>
    <xf numFmtId="0" fontId="10" fillId="0" borderId="1" xfId="0" applyFont="1" applyBorder="1" applyAlignment="1">
      <alignment horizontal="center"/>
    </xf>
    <xf numFmtId="17" fontId="10" fillId="0" borderId="1" xfId="0" applyNumberFormat="1" applyFont="1" applyBorder="1" applyAlignment="1">
      <alignment horizontal="center"/>
    </xf>
    <xf numFmtId="165" fontId="10" fillId="0" borderId="1" xfId="0" applyNumberFormat="1" applyFont="1" applyBorder="1" applyAlignment="1">
      <alignment horizontal="center"/>
    </xf>
    <xf numFmtId="0" fontId="13" fillId="0" borderId="2" xfId="0" applyFont="1" applyBorder="1" applyAlignment="1">
      <alignment horizontal="center"/>
    </xf>
    <xf numFmtId="0" fontId="13" fillId="0" borderId="1" xfId="0" applyFont="1" applyBorder="1" applyAlignment="1">
      <alignment horizontal="center"/>
    </xf>
    <xf numFmtId="17" fontId="13" fillId="0" borderId="1" xfId="0" applyNumberFormat="1" applyFont="1" applyBorder="1" applyAlignment="1">
      <alignment horizontal="center"/>
    </xf>
    <xf numFmtId="165" fontId="13" fillId="0" borderId="1" xfId="0" applyNumberFormat="1" applyFont="1" applyBorder="1" applyAlignment="1">
      <alignment horizontal="center"/>
    </xf>
    <xf numFmtId="0" fontId="13" fillId="5" borderId="1" xfId="0" applyFont="1" applyFill="1" applyBorder="1" applyAlignment="1">
      <alignment horizontal="center" vertical="top"/>
    </xf>
    <xf numFmtId="0" fontId="13" fillId="2" borderId="1" xfId="0" applyFont="1" applyFill="1" applyBorder="1" applyAlignment="1">
      <alignment horizontal="center" vertical="top"/>
    </xf>
    <xf numFmtId="0" fontId="13" fillId="0" borderId="1" xfId="0" applyFont="1" applyBorder="1" applyAlignment="1">
      <alignment horizontal="center" vertical="top"/>
    </xf>
    <xf numFmtId="0" fontId="13" fillId="0" borderId="0" xfId="0" applyFont="1" applyAlignment="1">
      <alignment horizontal="center"/>
    </xf>
    <xf numFmtId="0" fontId="10" fillId="0" borderId="0" xfId="0" applyFont="1" applyAlignment="1">
      <alignment horizontal="center"/>
    </xf>
    <xf numFmtId="0" fontId="10" fillId="0" borderId="1" xfId="0" applyFont="1" applyBorder="1" applyAlignment="1">
      <alignment horizontal="center" vertical="top"/>
    </xf>
    <xf numFmtId="0" fontId="14" fillId="0" borderId="0" xfId="0" applyFont="1" applyAlignment="1">
      <alignment horizontal="center" vertical="center"/>
    </xf>
    <xf numFmtId="0" fontId="0" fillId="0" borderId="0" xfId="0" applyAlignment="1">
      <alignment horizontal="left"/>
    </xf>
    <xf numFmtId="0" fontId="4" fillId="4" borderId="0" xfId="0" applyFont="1" applyFill="1" applyAlignment="1">
      <alignment horizontal="center" vertical="center" wrapText="1"/>
    </xf>
    <xf numFmtId="0" fontId="17" fillId="2" borderId="0" xfId="0" applyFont="1" applyFill="1"/>
    <xf numFmtId="0" fontId="16" fillId="0" borderId="0" xfId="0" applyFont="1"/>
    <xf numFmtId="17" fontId="8" fillId="0" borderId="0" xfId="0" applyNumberFormat="1" applyFont="1" applyAlignment="1">
      <alignment horizontal="center" vertical="center"/>
    </xf>
    <xf numFmtId="17" fontId="18" fillId="4" borderId="0" xfId="0" applyNumberFormat="1" applyFont="1" applyFill="1" applyAlignment="1">
      <alignment horizontal="center" vertical="center"/>
    </xf>
    <xf numFmtId="17" fontId="3" fillId="0" borderId="0" xfId="0" applyNumberFormat="1" applyFont="1" applyAlignment="1">
      <alignment horizontal="center" vertical="center"/>
    </xf>
    <xf numFmtId="0" fontId="0" fillId="0" borderId="18" xfId="0" applyBorder="1" applyAlignment="1">
      <alignment horizontal="center" vertical="center"/>
    </xf>
    <xf numFmtId="0" fontId="0" fillId="0" borderId="23" xfId="0" applyBorder="1" applyAlignment="1">
      <alignment horizontal="center" vertical="center"/>
    </xf>
    <xf numFmtId="0" fontId="2" fillId="3" borderId="0" xfId="0" applyFont="1" applyFill="1"/>
    <xf numFmtId="0" fontId="4" fillId="3" borderId="0" xfId="0" applyFont="1" applyFill="1" applyAlignment="1">
      <alignment horizontal="center" vertical="center" wrapText="1"/>
    </xf>
    <xf numFmtId="0" fontId="20" fillId="6" borderId="1" xfId="0" applyFont="1" applyFill="1" applyBorder="1" applyAlignment="1">
      <alignment horizontal="center"/>
    </xf>
    <xf numFmtId="0" fontId="21" fillId="0" borderId="1" xfId="0" applyFont="1" applyBorder="1" applyAlignment="1">
      <alignment horizontal="center" vertical="center"/>
    </xf>
    <xf numFmtId="166" fontId="21" fillId="0" borderId="1" xfId="0" applyNumberFormat="1" applyFont="1" applyBorder="1" applyAlignment="1">
      <alignment horizontal="center" vertical="center"/>
    </xf>
    <xf numFmtId="11" fontId="21" fillId="0" borderId="1" xfId="0" quotePrefix="1" applyNumberFormat="1" applyFont="1" applyBorder="1" applyAlignment="1">
      <alignment horizontal="center" vertical="center"/>
    </xf>
    <xf numFmtId="0" fontId="22" fillId="0" borderId="1" xfId="0" applyFont="1" applyBorder="1" applyAlignment="1">
      <alignment horizontal="center" vertical="center"/>
    </xf>
    <xf numFmtId="166" fontId="22" fillId="0" borderId="1" xfId="0" applyNumberFormat="1" applyFont="1" applyBorder="1" applyAlignment="1">
      <alignment horizontal="center" vertical="center"/>
    </xf>
    <xf numFmtId="0" fontId="21" fillId="2" borderId="1" xfId="0" applyFont="1" applyFill="1" applyBorder="1" applyAlignment="1">
      <alignment horizontal="center" vertical="center"/>
    </xf>
    <xf numFmtId="0" fontId="23" fillId="2" borderId="1" xfId="0" applyFont="1" applyFill="1" applyBorder="1" applyAlignment="1">
      <alignment horizontal="center" vertical="center"/>
    </xf>
    <xf numFmtId="166" fontId="24" fillId="0" borderId="1" xfId="0" applyNumberFormat="1" applyFont="1" applyBorder="1" applyAlignment="1">
      <alignment horizontal="center" vertical="center"/>
    </xf>
    <xf numFmtId="0" fontId="23" fillId="2" borderId="1" xfId="0" quotePrefix="1" applyFont="1" applyFill="1" applyBorder="1" applyAlignment="1">
      <alignment horizontal="center" vertical="center"/>
    </xf>
    <xf numFmtId="0" fontId="25" fillId="0" borderId="1" xfId="0" applyFont="1" applyBorder="1" applyAlignment="1">
      <alignment horizontal="center" vertical="center"/>
    </xf>
    <xf numFmtId="166" fontId="25" fillId="0" borderId="1" xfId="0" applyNumberFormat="1" applyFont="1" applyBorder="1" applyAlignment="1">
      <alignment horizontal="center" vertical="center"/>
    </xf>
    <xf numFmtId="0" fontId="26" fillId="0" borderId="0" xfId="0" applyFont="1" applyAlignment="1">
      <alignment horizontal="center" vertical="center"/>
    </xf>
    <xf numFmtId="0" fontId="8" fillId="0" borderId="8" xfId="0" applyFont="1" applyBorder="1" applyAlignment="1">
      <alignment horizontal="center" vertical="center"/>
    </xf>
    <xf numFmtId="0" fontId="6" fillId="0" borderId="0" xfId="0" applyFont="1" applyAlignment="1">
      <alignment horizontal="center" vertical="center"/>
    </xf>
    <xf numFmtId="0" fontId="4" fillId="4" borderId="31"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6" fillId="0" borderId="34" xfId="0" applyFont="1" applyBorder="1" applyAlignment="1">
      <alignment horizontal="center" vertical="center"/>
    </xf>
    <xf numFmtId="0" fontId="6" fillId="0" borderId="18"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0" borderId="22" xfId="0" applyFont="1" applyBorder="1" applyAlignment="1">
      <alignment horizontal="center" vertical="center"/>
    </xf>
    <xf numFmtId="0" fontId="5" fillId="0" borderId="36" xfId="0" applyFont="1" applyBorder="1" applyAlignment="1">
      <alignment horizontal="center" vertical="center"/>
    </xf>
    <xf numFmtId="0" fontId="5" fillId="0" borderId="39"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5" fillId="0" borderId="43" xfId="0" applyFont="1" applyBorder="1" applyAlignment="1">
      <alignment horizontal="center" vertical="center"/>
    </xf>
    <xf numFmtId="0" fontId="5" fillId="0" borderId="38" xfId="0" applyFont="1" applyBorder="1" applyAlignment="1">
      <alignment horizontal="center" vertical="center"/>
    </xf>
    <xf numFmtId="0" fontId="4" fillId="3" borderId="15" xfId="0" applyFont="1" applyFill="1" applyBorder="1" applyAlignment="1">
      <alignment horizontal="center" vertical="center" wrapText="1"/>
    </xf>
    <xf numFmtId="0" fontId="6" fillId="0" borderId="33" xfId="0"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19" xfId="0" applyFont="1" applyBorder="1" applyAlignment="1">
      <alignment horizontal="center" vertical="center"/>
    </xf>
    <xf numFmtId="0" fontId="27" fillId="0" borderId="7" xfId="0" applyFont="1" applyBorder="1" applyAlignment="1">
      <alignment horizontal="center" vertical="center"/>
    </xf>
    <xf numFmtId="0" fontId="0" fillId="0" borderId="0" xfId="0" applyAlignment="1">
      <alignment wrapText="1"/>
    </xf>
    <xf numFmtId="0" fontId="32" fillId="7" borderId="0" xfId="0" applyFont="1" applyFill="1"/>
    <xf numFmtId="0" fontId="32" fillId="7" borderId="0" xfId="0" applyFont="1" applyFill="1" applyAlignment="1">
      <alignment horizontal="center"/>
    </xf>
    <xf numFmtId="3" fontId="32" fillId="7" borderId="0" xfId="0" applyNumberFormat="1" applyFont="1" applyFill="1" applyAlignment="1">
      <alignment horizontal="right"/>
    </xf>
    <xf numFmtId="167" fontId="32" fillId="7" borderId="0" xfId="0" applyNumberFormat="1" applyFont="1" applyFill="1" applyAlignment="1">
      <alignment horizontal="right"/>
    </xf>
    <xf numFmtId="1" fontId="32" fillId="7" borderId="0" xfId="0" applyNumberFormat="1" applyFont="1" applyFill="1" applyAlignment="1">
      <alignment horizontal="right"/>
    </xf>
    <xf numFmtId="0" fontId="32" fillId="7" borderId="0" xfId="0" applyFont="1" applyFill="1" applyAlignment="1">
      <alignment wrapText="1"/>
    </xf>
    <xf numFmtId="0" fontId="35" fillId="9" borderId="0" xfId="0" applyFont="1" applyFill="1" applyAlignment="1">
      <alignment vertical="center"/>
    </xf>
    <xf numFmtId="167" fontId="36" fillId="9" borderId="0" xfId="0" applyNumberFormat="1" applyFont="1" applyFill="1" applyAlignment="1">
      <alignment horizontal="center" vertical="center"/>
    </xf>
    <xf numFmtId="17" fontId="37" fillId="7" borderId="44" xfId="0" applyNumberFormat="1" applyFont="1" applyFill="1" applyBorder="1" applyAlignment="1">
      <alignment vertical="center"/>
    </xf>
    <xf numFmtId="0" fontId="28" fillId="8" borderId="0" xfId="0" applyFont="1" applyFill="1" applyAlignment="1">
      <alignment horizontal="center"/>
    </xf>
    <xf numFmtId="0" fontId="32" fillId="7" borderId="45" xfId="0" applyFont="1" applyFill="1" applyBorder="1" applyAlignment="1">
      <alignment horizontal="center"/>
    </xf>
    <xf numFmtId="0" fontId="32" fillId="7" borderId="45" xfId="0" applyFont="1" applyFill="1" applyBorder="1"/>
    <xf numFmtId="3" fontId="32" fillId="7" borderId="45" xfId="0" applyNumberFormat="1" applyFont="1" applyFill="1" applyBorder="1" applyAlignment="1">
      <alignment horizontal="right"/>
    </xf>
    <xf numFmtId="167" fontId="32" fillId="7" borderId="45" xfId="0" applyNumberFormat="1" applyFont="1" applyFill="1" applyBorder="1" applyAlignment="1">
      <alignment horizontal="right"/>
    </xf>
    <xf numFmtId="1" fontId="32" fillId="7" borderId="45" xfId="0" applyNumberFormat="1" applyFont="1" applyFill="1" applyBorder="1" applyAlignment="1">
      <alignment horizontal="right"/>
    </xf>
    <xf numFmtId="0" fontId="32" fillId="7" borderId="45" xfId="0" applyFont="1" applyFill="1" applyBorder="1" applyAlignment="1">
      <alignment wrapText="1"/>
    </xf>
    <xf numFmtId="0" fontId="35" fillId="12" borderId="0" xfId="0" applyFont="1" applyFill="1" applyAlignment="1">
      <alignment horizontal="center"/>
    </xf>
    <xf numFmtId="0" fontId="35" fillId="12" borderId="0" xfId="0" applyFont="1" applyFill="1"/>
    <xf numFmtId="3" fontId="35" fillId="12" borderId="0" xfId="0" applyNumberFormat="1" applyFont="1" applyFill="1" applyAlignment="1">
      <alignment horizontal="right"/>
    </xf>
    <xf numFmtId="167" fontId="35" fillId="12" borderId="0" xfId="0" applyNumberFormat="1" applyFont="1" applyFill="1" applyAlignment="1">
      <alignment horizontal="right"/>
    </xf>
    <xf numFmtId="1" fontId="35" fillId="12" borderId="0" xfId="0" applyNumberFormat="1" applyFont="1" applyFill="1" applyAlignment="1">
      <alignment horizontal="right"/>
    </xf>
    <xf numFmtId="0" fontId="35" fillId="12" borderId="0" xfId="0" applyFont="1" applyFill="1" applyAlignment="1">
      <alignment wrapText="1"/>
    </xf>
    <xf numFmtId="14" fontId="0" fillId="0" borderId="0" xfId="0" applyNumberFormat="1"/>
    <xf numFmtId="49" fontId="0" fillId="0" borderId="0" xfId="0" applyNumberFormat="1"/>
    <xf numFmtId="0" fontId="5" fillId="0" borderId="0" xfId="0" applyFont="1" applyAlignment="1">
      <alignment horizontal="center" vertical="center"/>
    </xf>
    <xf numFmtId="0" fontId="27" fillId="0" borderId="0" xfId="0" applyFont="1" applyAlignment="1">
      <alignment horizontal="center" vertical="center"/>
    </xf>
    <xf numFmtId="167" fontId="0" fillId="0" borderId="0" xfId="0" applyNumberFormat="1"/>
    <xf numFmtId="3" fontId="0" fillId="0" borderId="0" xfId="0" applyNumberFormat="1"/>
    <xf numFmtId="0" fontId="32" fillId="10" borderId="0" xfId="0" applyFont="1" applyFill="1"/>
    <xf numFmtId="0" fontId="34" fillId="10" borderId="0" xfId="0" applyFont="1" applyFill="1"/>
    <xf numFmtId="17" fontId="37" fillId="10" borderId="0" xfId="0" applyNumberFormat="1" applyFont="1" applyFill="1"/>
    <xf numFmtId="0" fontId="0" fillId="0" borderId="47" xfId="0" applyBorder="1"/>
    <xf numFmtId="3" fontId="0" fillId="0" borderId="47" xfId="0" applyNumberFormat="1" applyBorder="1"/>
    <xf numFmtId="167" fontId="0" fillId="0" borderId="47" xfId="0" applyNumberFormat="1" applyBorder="1"/>
    <xf numFmtId="0" fontId="37" fillId="0" borderId="0" xfId="0" applyFont="1"/>
    <xf numFmtId="0" fontId="37" fillId="0" borderId="47" xfId="0" applyFont="1" applyBorder="1"/>
    <xf numFmtId="0" fontId="28" fillId="8" borderId="0" xfId="0" applyFont="1" applyFill="1"/>
    <xf numFmtId="0" fontId="32" fillId="0" borderId="0" xfId="0" applyFont="1" applyAlignment="1">
      <alignment wrapText="1"/>
    </xf>
    <xf numFmtId="0" fontId="32" fillId="0" borderId="47" xfId="0" applyFont="1" applyBorder="1" applyAlignment="1">
      <alignment wrapText="1"/>
    </xf>
    <xf numFmtId="0" fontId="0" fillId="0" borderId="47" xfId="0" applyBorder="1" applyAlignment="1">
      <alignment wrapText="1"/>
    </xf>
    <xf numFmtId="0" fontId="40" fillId="8" borderId="0" xfId="0" applyFont="1" applyFill="1" applyAlignment="1">
      <alignment vertical="center"/>
    </xf>
    <xf numFmtId="0" fontId="40" fillId="8" borderId="0" xfId="0" applyFont="1" applyFill="1"/>
    <xf numFmtId="0" fontId="40" fillId="8" borderId="0" xfId="0" applyFont="1" applyFill="1" applyAlignment="1">
      <alignment horizontal="center"/>
    </xf>
    <xf numFmtId="0" fontId="28" fillId="8" borderId="15" xfId="0" applyFont="1" applyFill="1" applyBorder="1" applyAlignment="1">
      <alignment horizontal="center" vertical="center"/>
    </xf>
    <xf numFmtId="0" fontId="28" fillId="8" borderId="15" xfId="0" applyFont="1" applyFill="1" applyBorder="1" applyAlignment="1">
      <alignment horizontal="center" vertical="center" wrapText="1"/>
    </xf>
    <xf numFmtId="0" fontId="28" fillId="8" borderId="30" xfId="0" applyFont="1" applyFill="1" applyBorder="1" applyAlignment="1">
      <alignment horizontal="center" vertical="center"/>
    </xf>
    <xf numFmtId="0" fontId="14" fillId="7" borderId="26" xfId="0" applyFont="1" applyFill="1" applyBorder="1" applyAlignment="1">
      <alignment horizontal="center" vertical="center"/>
    </xf>
    <xf numFmtId="3" fontId="0" fillId="7" borderId="25" xfId="0" applyNumberFormat="1" applyFill="1" applyBorder="1" applyAlignment="1">
      <alignment horizontal="center" vertical="center"/>
    </xf>
    <xf numFmtId="3" fontId="0" fillId="7" borderId="29" xfId="0" applyNumberFormat="1" applyFill="1" applyBorder="1" applyAlignment="1">
      <alignment horizontal="center" vertical="center"/>
    </xf>
    <xf numFmtId="3" fontId="15" fillId="7" borderId="27" xfId="0" applyNumberFormat="1" applyFont="1" applyFill="1" applyBorder="1" applyAlignment="1">
      <alignment horizontal="center" vertical="center"/>
    </xf>
    <xf numFmtId="9" fontId="0" fillId="7" borderId="29" xfId="1" applyFont="1" applyFill="1" applyBorder="1" applyAlignment="1">
      <alignment horizontal="center" vertical="center"/>
    </xf>
    <xf numFmtId="0" fontId="14" fillId="7" borderId="24" xfId="0" applyFont="1" applyFill="1" applyBorder="1" applyAlignment="1">
      <alignment horizontal="center" vertical="center"/>
    </xf>
    <xf numFmtId="3" fontId="0" fillId="7" borderId="16" xfId="0" applyNumberFormat="1" applyFill="1" applyBorder="1" applyAlignment="1">
      <alignment horizontal="center" vertical="center"/>
    </xf>
    <xf numFmtId="3" fontId="0" fillId="7" borderId="24" xfId="0" applyNumberFormat="1" applyFill="1" applyBorder="1" applyAlignment="1">
      <alignment horizontal="center" vertical="center"/>
    </xf>
    <xf numFmtId="3" fontId="19" fillId="7" borderId="28" xfId="0" applyNumberFormat="1" applyFont="1" applyFill="1" applyBorder="1" applyAlignment="1">
      <alignment horizontal="center" vertical="center"/>
    </xf>
    <xf numFmtId="9" fontId="0" fillId="7" borderId="26" xfId="1" applyFont="1" applyFill="1" applyBorder="1" applyAlignment="1">
      <alignment horizontal="center" vertical="center"/>
    </xf>
    <xf numFmtId="0" fontId="14" fillId="7" borderId="48" xfId="0" applyFont="1" applyFill="1" applyBorder="1" applyAlignment="1">
      <alignment horizontal="center" vertical="center"/>
    </xf>
    <xf numFmtId="3" fontId="0" fillId="7" borderId="49" xfId="0" applyNumberFormat="1" applyFill="1" applyBorder="1" applyAlignment="1">
      <alignment horizontal="center" vertical="center"/>
    </xf>
    <xf numFmtId="3" fontId="0" fillId="7" borderId="48" xfId="0" applyNumberFormat="1" applyFill="1" applyBorder="1" applyAlignment="1">
      <alignment horizontal="center" vertical="center"/>
    </xf>
    <xf numFmtId="3" fontId="19" fillId="7" borderId="50" xfId="0" applyNumberFormat="1" applyFont="1" applyFill="1" applyBorder="1" applyAlignment="1">
      <alignment horizontal="center" vertical="center"/>
    </xf>
    <xf numFmtId="9" fontId="0" fillId="7" borderId="51" xfId="1" applyFont="1" applyFill="1" applyBorder="1" applyAlignment="1">
      <alignment horizontal="center" vertical="center"/>
    </xf>
    <xf numFmtId="0" fontId="28" fillId="8" borderId="0" xfId="0" applyFont="1" applyFill="1" applyAlignment="1">
      <alignment horizontal="center" vertical="center" wrapText="1"/>
    </xf>
    <xf numFmtId="0" fontId="28" fillId="8" borderId="0" xfId="0" applyFont="1" applyFill="1" applyAlignment="1">
      <alignment horizontal="center" vertical="center"/>
    </xf>
    <xf numFmtId="0" fontId="14" fillId="7" borderId="19" xfId="0" applyFont="1" applyFill="1" applyBorder="1" applyAlignment="1">
      <alignment horizontal="center" vertical="center"/>
    </xf>
    <xf numFmtId="0" fontId="0" fillId="7" borderId="19" xfId="0" applyFill="1" applyBorder="1" applyAlignment="1">
      <alignment horizontal="center" vertical="center"/>
    </xf>
    <xf numFmtId="0" fontId="0" fillId="7" borderId="22" xfId="0" applyFill="1" applyBorder="1" applyAlignment="1">
      <alignment horizontal="center" vertical="center"/>
    </xf>
    <xf numFmtId="0" fontId="19" fillId="7" borderId="19" xfId="0" applyFont="1" applyFill="1" applyBorder="1" applyAlignment="1">
      <alignment horizontal="center"/>
    </xf>
    <xf numFmtId="9" fontId="16" fillId="7" borderId="22" xfId="1" applyFont="1" applyFill="1" applyBorder="1" applyAlignment="1">
      <alignment horizontal="center"/>
    </xf>
    <xf numFmtId="9" fontId="11" fillId="7" borderId="19" xfId="1" applyFont="1" applyFill="1" applyBorder="1" applyAlignment="1">
      <alignment horizontal="center"/>
    </xf>
    <xf numFmtId="0" fontId="14" fillId="7" borderId="20" xfId="0" applyFont="1" applyFill="1" applyBorder="1" applyAlignment="1">
      <alignment horizontal="center" vertical="center"/>
    </xf>
    <xf numFmtId="0" fontId="0" fillId="7" borderId="20" xfId="0" applyFill="1" applyBorder="1" applyAlignment="1">
      <alignment horizontal="center" vertical="center"/>
    </xf>
    <xf numFmtId="0" fontId="0" fillId="7" borderId="18" xfId="0" applyFill="1" applyBorder="1" applyAlignment="1">
      <alignment horizontal="center" vertical="center"/>
    </xf>
    <xf numFmtId="0" fontId="19" fillId="7" borderId="20" xfId="0" applyFont="1" applyFill="1" applyBorder="1" applyAlignment="1">
      <alignment horizontal="center"/>
    </xf>
    <xf numFmtId="9" fontId="16" fillId="7" borderId="18" xfId="1" applyFont="1" applyFill="1" applyBorder="1" applyAlignment="1">
      <alignment horizontal="center"/>
    </xf>
    <xf numFmtId="9" fontId="11" fillId="7" borderId="20" xfId="1" applyFont="1" applyFill="1" applyBorder="1" applyAlignment="1">
      <alignment horizontal="center"/>
    </xf>
    <xf numFmtId="0" fontId="28" fillId="8" borderId="53" xfId="0" applyFont="1" applyFill="1" applyBorder="1" applyAlignment="1">
      <alignment horizontal="center" vertical="center" wrapText="1"/>
    </xf>
    <xf numFmtId="0" fontId="14" fillId="7" borderId="54" xfId="0" applyFont="1" applyFill="1" applyBorder="1" applyAlignment="1">
      <alignment horizontal="center" vertical="center"/>
    </xf>
    <xf numFmtId="0" fontId="0" fillId="7" borderId="54" xfId="0" applyFill="1" applyBorder="1" applyAlignment="1">
      <alignment horizontal="center" vertical="center"/>
    </xf>
    <xf numFmtId="0" fontId="0" fillId="7" borderId="55" xfId="0" applyFill="1" applyBorder="1" applyAlignment="1">
      <alignment horizontal="center" vertical="center"/>
    </xf>
    <xf numFmtId="0" fontId="19" fillId="7" borderId="54" xfId="0" applyFont="1" applyFill="1" applyBorder="1" applyAlignment="1">
      <alignment horizontal="center"/>
    </xf>
    <xf numFmtId="9" fontId="16" fillId="7" borderId="55" xfId="1" applyFont="1" applyFill="1" applyBorder="1" applyAlignment="1">
      <alignment horizontal="center"/>
    </xf>
    <xf numFmtId="9" fontId="11" fillId="7" borderId="54" xfId="1" applyFont="1" applyFill="1" applyBorder="1" applyAlignment="1">
      <alignment horizontal="center"/>
    </xf>
    <xf numFmtId="0" fontId="37" fillId="13" borderId="0" xfId="0" applyFont="1" applyFill="1" applyAlignment="1">
      <alignment horizontal="center" vertical="center"/>
    </xf>
    <xf numFmtId="0" fontId="37" fillId="13" borderId="53" xfId="0" applyFont="1" applyFill="1" applyBorder="1" applyAlignment="1">
      <alignment horizontal="center" vertical="center"/>
    </xf>
    <xf numFmtId="9" fontId="37" fillId="13" borderId="0" xfId="1" applyFont="1" applyFill="1" applyBorder="1" applyAlignment="1">
      <alignment horizontal="center" vertical="center"/>
    </xf>
    <xf numFmtId="0" fontId="32" fillId="7" borderId="47" xfId="0" applyFont="1" applyFill="1" applyBorder="1" applyAlignment="1">
      <alignment wrapText="1"/>
    </xf>
    <xf numFmtId="0" fontId="37" fillId="7" borderId="0" xfId="0" applyFont="1" applyFill="1" applyAlignment="1">
      <alignment wrapText="1"/>
    </xf>
    <xf numFmtId="0" fontId="37" fillId="7" borderId="47" xfId="0" applyFont="1" applyFill="1" applyBorder="1" applyAlignment="1">
      <alignment wrapText="1"/>
    </xf>
    <xf numFmtId="1" fontId="37" fillId="13" borderId="0" xfId="1" applyNumberFormat="1" applyFont="1" applyFill="1" applyBorder="1" applyAlignment="1">
      <alignment horizontal="center" vertical="center"/>
    </xf>
    <xf numFmtId="0" fontId="14" fillId="0" borderId="0" xfId="0" applyFont="1"/>
    <xf numFmtId="3" fontId="37" fillId="13" borderId="0" xfId="0" applyNumberFormat="1" applyFont="1" applyFill="1" applyAlignment="1">
      <alignment horizontal="center" vertical="center"/>
    </xf>
    <xf numFmtId="9" fontId="11" fillId="7" borderId="27" xfId="1" applyFont="1" applyFill="1" applyBorder="1" applyAlignment="1">
      <alignment horizontal="center" vertical="center"/>
    </xf>
    <xf numFmtId="9" fontId="11" fillId="7" borderId="11" xfId="1" applyFont="1" applyFill="1" applyBorder="1" applyAlignment="1">
      <alignment horizontal="center" vertical="center"/>
    </xf>
    <xf numFmtId="9" fontId="11" fillId="7" borderId="52" xfId="1" applyFont="1" applyFill="1" applyBorder="1" applyAlignment="1">
      <alignment horizontal="center" vertical="center"/>
    </xf>
    <xf numFmtId="0" fontId="14" fillId="0" borderId="12" xfId="0" applyFont="1" applyBorder="1" applyAlignment="1">
      <alignment horizontal="center"/>
    </xf>
    <xf numFmtId="0" fontId="14" fillId="0" borderId="14" xfId="0" applyFont="1" applyBorder="1" applyAlignment="1">
      <alignment horizontal="center"/>
    </xf>
    <xf numFmtId="0" fontId="14" fillId="0" borderId="13" xfId="0" applyFont="1" applyBorder="1" applyAlignment="1">
      <alignment horizontal="center"/>
    </xf>
    <xf numFmtId="3" fontId="39" fillId="7" borderId="0" xfId="0" applyNumberFormat="1" applyFont="1" applyFill="1" applyAlignment="1">
      <alignment horizontal="center" vertical="center"/>
    </xf>
    <xf numFmtId="0" fontId="39" fillId="7" borderId="0" xfId="0" applyFont="1" applyFill="1" applyAlignment="1">
      <alignment horizontal="center" vertical="center"/>
    </xf>
    <xf numFmtId="0" fontId="39" fillId="7" borderId="46" xfId="0" applyFont="1" applyFill="1" applyBorder="1" applyAlignment="1">
      <alignment horizontal="center" vertical="center"/>
    </xf>
    <xf numFmtId="0" fontId="34" fillId="10" borderId="0" xfId="0" applyFont="1" applyFill="1" applyAlignment="1">
      <alignment vertical="center" wrapText="1"/>
    </xf>
    <xf numFmtId="0" fontId="28" fillId="11" borderId="0" xfId="0" applyFont="1" applyFill="1" applyAlignment="1">
      <alignment horizontal="center"/>
    </xf>
    <xf numFmtId="167" fontId="39" fillId="7" borderId="0" xfId="0" applyNumberFormat="1" applyFont="1" applyFill="1" applyAlignment="1">
      <alignment horizontal="center" vertical="center"/>
    </xf>
    <xf numFmtId="0" fontId="9" fillId="0" borderId="12" xfId="0" applyFont="1" applyBorder="1" applyAlignment="1">
      <alignment horizontal="center" vertical="center"/>
    </xf>
    <xf numFmtId="0" fontId="9" fillId="0" borderId="14" xfId="0" applyFont="1" applyBorder="1" applyAlignment="1">
      <alignment horizontal="center" vertical="center"/>
    </xf>
    <xf numFmtId="0" fontId="9" fillId="0" borderId="13" xfId="0" applyFont="1" applyBorder="1" applyAlignment="1">
      <alignment horizontal="center" vertical="center"/>
    </xf>
    <xf numFmtId="0" fontId="29" fillId="8" borderId="0" xfId="0" applyFont="1" applyFill="1" applyAlignment="1">
      <alignment vertical="center"/>
    </xf>
    <xf numFmtId="0" fontId="35" fillId="9" borderId="0" xfId="0" applyFont="1" applyFill="1" applyAlignment="1">
      <alignment vertical="center"/>
    </xf>
    <xf numFmtId="0" fontId="38" fillId="10" borderId="0" xfId="0" applyFont="1" applyFill="1" applyAlignment="1">
      <alignment vertical="center" wrapText="1"/>
    </xf>
    <xf numFmtId="17" fontId="2" fillId="2" borderId="5" xfId="0" applyNumberFormat="1" applyFont="1" applyFill="1" applyBorder="1" applyAlignment="1">
      <alignment horizontal="center" vertical="center"/>
    </xf>
    <xf numFmtId="17" fontId="2" fillId="2" borderId="6" xfId="0" applyNumberFormat="1" applyFont="1" applyFill="1" applyBorder="1" applyAlignment="1">
      <alignment horizontal="center" vertical="center"/>
    </xf>
    <xf numFmtId="0" fontId="32" fillId="10" borderId="0" xfId="0" applyFont="1" applyFill="1" applyAlignment="1">
      <alignment vertical="top" wrapText="1"/>
    </xf>
    <xf numFmtId="0" fontId="29" fillId="8" borderId="0" xfId="0" applyFont="1" applyFill="1" applyAlignment="1"/>
    <xf numFmtId="0" fontId="30" fillId="0" borderId="0" xfId="0" applyFont="1" applyAlignment="1"/>
    <xf numFmtId="0" fontId="33" fillId="11" borderId="0" xfId="0" applyFont="1" applyFill="1" applyAlignment="1"/>
    <xf numFmtId="0" fontId="30" fillId="10" borderId="0" xfId="0" applyFont="1" applyFill="1" applyAlignment="1"/>
    <xf numFmtId="0" fontId="28" fillId="11" borderId="0" xfId="0" applyFont="1" applyFill="1" applyAlignment="1"/>
    <xf numFmtId="0" fontId="31" fillId="7" borderId="0" xfId="0" applyFont="1" applyFill="1" applyAlignment="1"/>
  </cellXfs>
  <cellStyles count="2">
    <cellStyle name="Normal" xfId="0" builtinId="0"/>
    <cellStyle name="Porcentagem" xfId="1" builtinId="5"/>
  </cellStyles>
  <dxfs count="1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Attachment por Regional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15563577816631236"/>
          <c:y val="0.18381962864721485"/>
          <c:w val="0.79163511570085077"/>
          <c:h val="0.7200622402305813"/>
        </c:manualLayout>
      </c:layout>
      <c:barChart>
        <c:barDir val="bar"/>
        <c:grouping val="clustered"/>
        <c:varyColors val="0"/>
        <c:ser>
          <c:idx val="0"/>
          <c:order val="0"/>
          <c:tx>
            <c:strRef>
              <c:f>'Dashboard Calc'!$N$1</c:f>
              <c:strCache>
                <c:ptCount val="1"/>
                <c:pt idx="0">
                  <c:v>ATTACHMENT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Calc'!$M$2:$M$11</c:f>
              <c:strCache>
                <c:ptCount val="10"/>
                <c:pt idx="0">
                  <c:v>SP2</c:v>
                </c:pt>
                <c:pt idx="1">
                  <c:v>RJ/ES</c:v>
                </c:pt>
                <c:pt idx="2">
                  <c:v>PR/SC</c:v>
                </c:pt>
                <c:pt idx="3">
                  <c:v>MG</c:v>
                </c:pt>
                <c:pt idx="4">
                  <c:v>CO</c:v>
                </c:pt>
                <c:pt idx="5">
                  <c:v>SP1</c:v>
                </c:pt>
                <c:pt idx="6">
                  <c:v>BA/SE</c:v>
                </c:pt>
                <c:pt idx="7">
                  <c:v>NE</c:v>
                </c:pt>
                <c:pt idx="8">
                  <c:v>RS</c:v>
                </c:pt>
                <c:pt idx="9">
                  <c:v>NO</c:v>
                </c:pt>
              </c:strCache>
            </c:strRef>
          </c:cat>
          <c:val>
            <c:numRef>
              <c:f>'Dashboard Calc'!$N$2:$N$11</c:f>
              <c:numCache>
                <c:formatCode>0.0%</c:formatCode>
                <c:ptCount val="10"/>
                <c:pt idx="0">
                  <c:v>0.20684907933230082</c:v>
                </c:pt>
                <c:pt idx="1">
                  <c:v>0.13767123287671232</c:v>
                </c:pt>
                <c:pt idx="2">
                  <c:v>0.12022569444444445</c:v>
                </c:pt>
                <c:pt idx="3">
                  <c:v>0.1146187469645459</c:v>
                </c:pt>
                <c:pt idx="4">
                  <c:v>0.10840058694057227</c:v>
                </c:pt>
                <c:pt idx="5">
                  <c:v>0.10660909996678844</c:v>
                </c:pt>
                <c:pt idx="6">
                  <c:v>0.10264290104486785</c:v>
                </c:pt>
                <c:pt idx="7">
                  <c:v>0.10011333585190782</c:v>
                </c:pt>
                <c:pt idx="8">
                  <c:v>7.2653061224489793E-2</c:v>
                </c:pt>
                <c:pt idx="9">
                  <c:v>8.7527352297592995E-3</c:v>
                </c:pt>
              </c:numCache>
            </c:numRef>
          </c:val>
          <c:extLst>
            <c:ext xmlns:c16="http://schemas.microsoft.com/office/drawing/2014/chart" uri="{C3380CC4-5D6E-409C-BE32-E72D297353CC}">
              <c16:uniqueId val="{00000000-5D8E-4755-A491-0A985CB0A835}"/>
            </c:ext>
          </c:extLst>
        </c:ser>
        <c:dLbls>
          <c:showLegendKey val="0"/>
          <c:showVal val="0"/>
          <c:showCatName val="0"/>
          <c:showSerName val="0"/>
          <c:showPercent val="0"/>
          <c:showBubbleSize val="0"/>
        </c:dLbls>
        <c:gapWidth val="182"/>
        <c:axId val="206832272"/>
        <c:axId val="2017744591"/>
      </c:barChart>
      <c:catAx>
        <c:axId val="206832272"/>
        <c:scaling>
          <c:orientation val="maxMin"/>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pt-BR" b="1"/>
                  <a:t>Regional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17744591"/>
        <c:crosses val="autoZero"/>
        <c:auto val="1"/>
        <c:lblAlgn val="ctr"/>
        <c:lblOffset val="100"/>
        <c:noMultiLvlLbl val="0"/>
      </c:catAx>
      <c:valAx>
        <c:axId val="2017744591"/>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Attachment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 sourceLinked="0"/>
        <c:majorTickMark val="none"/>
        <c:minorTickMark val="none"/>
        <c:tickLblPos val="nextTo"/>
        <c:crossAx val="206832272"/>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a:t>Evolução mês a mês — Claro Troca</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v>Claro Troca</c:v>
          </c:tx>
          <c:spPr>
            <a:ln w="31750" cap="rnd">
              <a:solidFill>
                <a:srgbClr val="D32F2F"/>
              </a:solidFill>
              <a:prstDash val="solid"/>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Dashboard!$M$2:$M$9</c:f>
              <c:numCache>
                <c:formatCode>mmm\-yy</c:formatCode>
                <c:ptCount val="8"/>
                <c:pt idx="0">
                  <c:v>46023</c:v>
                </c:pt>
                <c:pt idx="1">
                  <c:v>46054</c:v>
                </c:pt>
                <c:pt idx="2">
                  <c:v>46082</c:v>
                </c:pt>
                <c:pt idx="3">
                  <c:v>46113</c:v>
                </c:pt>
                <c:pt idx="4">
                  <c:v>46143</c:v>
                </c:pt>
                <c:pt idx="5">
                  <c:v>46174</c:v>
                </c:pt>
                <c:pt idx="6">
                  <c:v>46204</c:v>
                </c:pt>
                <c:pt idx="7">
                  <c:v>46235</c:v>
                </c:pt>
              </c:numCache>
            </c:numRef>
          </c:cat>
          <c:val>
            <c:numRef>
              <c:f>Dashboard!$N$2:$N$9</c:f>
              <c:numCache>
                <c:formatCode>#,##0</c:formatCode>
                <c:ptCount val="8"/>
                <c:pt idx="0">
                  <c:v>2001</c:v>
                </c:pt>
                <c:pt idx="1">
                  <c:v>1657</c:v>
                </c:pt>
                <c:pt idx="2">
                  <c:v>2965</c:v>
                </c:pt>
                <c:pt idx="3">
                  <c:v>2364</c:v>
                </c:pt>
                <c:pt idx="4">
                  <c:v>2940</c:v>
                </c:pt>
                <c:pt idx="5">
                  <c:v>3007</c:v>
                </c:pt>
                <c:pt idx="6">
                  <c:v>5021</c:v>
                </c:pt>
                <c:pt idx="7">
                  <c:v>3844</c:v>
                </c:pt>
              </c:numCache>
            </c:numRef>
          </c:val>
          <c:smooth val="0"/>
          <c:extLst>
            <c:ext xmlns:c16="http://schemas.microsoft.com/office/drawing/2014/chart" uri="{C3380CC4-5D6E-409C-BE32-E72D297353CC}">
              <c16:uniqueId val="{00000000-85FD-43B6-A2F9-157B0CEC92FE}"/>
            </c:ext>
          </c:extLst>
        </c:ser>
        <c:dLbls>
          <c:showLegendKey val="0"/>
          <c:showVal val="0"/>
          <c:showCatName val="0"/>
          <c:showSerName val="0"/>
          <c:showPercent val="0"/>
          <c:showBubbleSize val="0"/>
        </c:dLbls>
        <c:marker val="1"/>
        <c:smooth val="0"/>
        <c:axId val="232343584"/>
        <c:axId val="160105040"/>
      </c:lineChart>
      <c:dateAx>
        <c:axId val="2323435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pt-BR" b="1"/>
                  <a:t>Mês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title>
        <c:numFmt formatCode="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0105040"/>
        <c:crosses val="autoZero"/>
        <c:auto val="0"/>
        <c:lblOffset val="100"/>
        <c:baseTimeUnit val="months"/>
      </c:dateAx>
      <c:valAx>
        <c:axId val="16010504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pt-BR" b="1"/>
                  <a:t>Claro Troca</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2343584"/>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RANKING DE VOLUME — CLARO TROCA POR REGIONAL</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pt-BR"/>
        </a:p>
      </c:txPr>
    </c:title>
    <c:autoTitleDeleted val="0"/>
    <c:plotArea>
      <c:layout/>
      <c:barChart>
        <c:barDir val="bar"/>
        <c:grouping val="clustered"/>
        <c:varyColors val="0"/>
        <c:ser>
          <c:idx val="0"/>
          <c:order val="0"/>
          <c:tx>
            <c:strRef>
              <c:f>'Dashboard Calc'!$Q$1</c:f>
              <c:strCache>
                <c:ptCount val="1"/>
                <c:pt idx="0">
                  <c:v>CLARO TROCA</c:v>
                </c:pt>
              </c:strCache>
            </c:strRef>
          </c:tx>
          <c:spPr>
            <a:solidFill>
              <a:srgbClr val="C0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Calc'!$P$2:$P$11</c:f>
              <c:strCache>
                <c:ptCount val="10"/>
                <c:pt idx="0">
                  <c:v>NO</c:v>
                </c:pt>
                <c:pt idx="1">
                  <c:v>BA/SE</c:v>
                </c:pt>
                <c:pt idx="2">
                  <c:v>RS</c:v>
                </c:pt>
                <c:pt idx="3">
                  <c:v>MG</c:v>
                </c:pt>
                <c:pt idx="4">
                  <c:v>NE</c:v>
                </c:pt>
                <c:pt idx="5">
                  <c:v>PR/SC</c:v>
                </c:pt>
                <c:pt idx="6">
                  <c:v>SP1</c:v>
                </c:pt>
                <c:pt idx="7">
                  <c:v>CO</c:v>
                </c:pt>
                <c:pt idx="8">
                  <c:v>RJ/ES</c:v>
                </c:pt>
                <c:pt idx="9">
                  <c:v>SP2</c:v>
                </c:pt>
              </c:strCache>
            </c:strRef>
          </c:cat>
          <c:val>
            <c:numRef>
              <c:f>'Dashboard Calc'!$Q$2:$Q$11</c:f>
              <c:numCache>
                <c:formatCode>General</c:formatCode>
                <c:ptCount val="10"/>
                <c:pt idx="0">
                  <c:v>4</c:v>
                </c:pt>
                <c:pt idx="1">
                  <c:v>167</c:v>
                </c:pt>
                <c:pt idx="2">
                  <c:v>178</c:v>
                </c:pt>
                <c:pt idx="3">
                  <c:v>236</c:v>
                </c:pt>
                <c:pt idx="4">
                  <c:v>265</c:v>
                </c:pt>
                <c:pt idx="5">
                  <c:v>277</c:v>
                </c:pt>
                <c:pt idx="6">
                  <c:v>321</c:v>
                </c:pt>
                <c:pt idx="7">
                  <c:v>591</c:v>
                </c:pt>
                <c:pt idx="8">
                  <c:v>603</c:v>
                </c:pt>
                <c:pt idx="9">
                  <c:v>1202</c:v>
                </c:pt>
              </c:numCache>
            </c:numRef>
          </c:val>
          <c:extLst>
            <c:ext xmlns:c16="http://schemas.microsoft.com/office/drawing/2014/chart" uri="{C3380CC4-5D6E-409C-BE32-E72D297353CC}">
              <c16:uniqueId val="{00000000-246A-4A2B-B180-2AC4FA925960}"/>
            </c:ext>
          </c:extLst>
        </c:ser>
        <c:dLbls>
          <c:showLegendKey val="0"/>
          <c:showVal val="0"/>
          <c:showCatName val="0"/>
          <c:showSerName val="0"/>
          <c:showPercent val="0"/>
          <c:showBubbleSize val="0"/>
        </c:dLbls>
        <c:gapWidth val="55"/>
        <c:axId val="1006584528"/>
        <c:axId val="565080783"/>
      </c:barChart>
      <c:catAx>
        <c:axId val="100658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crossAx val="565080783"/>
        <c:crosses val="autoZero"/>
        <c:auto val="1"/>
        <c:lblAlgn val="ctr"/>
        <c:lblOffset val="100"/>
        <c:noMultiLvlLbl val="0"/>
      </c:catAx>
      <c:valAx>
        <c:axId val="565080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Claro Troca (unidades)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0658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0</xdr:colOff>
      <xdr:row>23</xdr:row>
      <xdr:rowOff>539750</xdr:rowOff>
    </xdr:to>
    <xdr:graphicFrame macro="">
      <xdr:nvGraphicFramePr>
        <xdr:cNvPr id="2" name="Attachment por Regional">
          <a:extLst>
            <a:ext uri="{FF2B5EF4-FFF2-40B4-BE49-F238E27FC236}">
              <a16:creationId xmlns:a16="http://schemas.microsoft.com/office/drawing/2014/main" id="{2CA72FF9-2441-1F14-CE00-2D385A966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215900</xdr:colOff>
      <xdr:row>9</xdr:row>
      <xdr:rowOff>177800</xdr:rowOff>
    </xdr:from>
    <xdr:to>
      <xdr:col>12</xdr:col>
      <xdr:colOff>215900</xdr:colOff>
      <xdr:row>23</xdr:row>
      <xdr:rowOff>546100</xdr:rowOff>
    </xdr:to>
    <xdr:graphicFrame macro="">
      <xdr:nvGraphicFramePr>
        <xdr:cNvPr id="6" name="Evolução Claro Troca">
          <a:extLst>
            <a:ext uri="{FF2B5EF4-FFF2-40B4-BE49-F238E27FC236}">
              <a16:creationId xmlns:a16="http://schemas.microsoft.com/office/drawing/2014/main" id="{D1D2C735-F1F5-1E27-D85A-D114258DE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44148</xdr:rowOff>
    </xdr:from>
    <xdr:to>
      <xdr:col>11</xdr:col>
      <xdr:colOff>749300</xdr:colOff>
      <xdr:row>52</xdr:row>
      <xdr:rowOff>171148</xdr:rowOff>
    </xdr:to>
    <xdr:graphicFrame macro="">
      <xdr:nvGraphicFramePr>
        <xdr:cNvPr id="3" name="Ranking Volume Regional">
          <a:extLst>
            <a:ext uri="{FF2B5EF4-FFF2-40B4-BE49-F238E27FC236}">
              <a16:creationId xmlns:a16="http://schemas.microsoft.com/office/drawing/2014/main" id="{FF42545B-4287-BEFF-7FA9-0205D4C37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6</xdr:col>
      <xdr:colOff>781050</xdr:colOff>
      <xdr:row>0</xdr:row>
      <xdr:rowOff>9525</xdr:rowOff>
    </xdr:from>
    <xdr:ext cx="368054" cy="357187"/>
    <xdr:pic>
      <xdr:nvPicPr>
        <xdr:cNvPr id="2" name="Imagem 1">
          <a:extLst>
            <a:ext uri="{FF2B5EF4-FFF2-40B4-BE49-F238E27FC236}">
              <a16:creationId xmlns:a16="http://schemas.microsoft.com/office/drawing/2014/main" id="{CF29D023-76DF-4F1A-BF16-6CEA6506A0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8125" y="9525"/>
          <a:ext cx="368054" cy="3571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701939</xdr:colOff>
      <xdr:row>0</xdr:row>
      <xdr:rowOff>33073</xdr:rowOff>
    </xdr:from>
    <xdr:ext cx="368054" cy="357187"/>
    <xdr:pic>
      <xdr:nvPicPr>
        <xdr:cNvPr id="2" name="Imagem 1">
          <a:extLst>
            <a:ext uri="{FF2B5EF4-FFF2-40B4-BE49-F238E27FC236}">
              <a16:creationId xmlns:a16="http://schemas.microsoft.com/office/drawing/2014/main" id="{07765B7E-BFDB-4E46-9C3E-C03670753F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1054" y="33073"/>
          <a:ext cx="368054" cy="3571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969</xdr:row>
      <xdr:rowOff>0</xdr:rowOff>
    </xdr:from>
    <xdr:to>
      <xdr:col>1</xdr:col>
      <xdr:colOff>304800</xdr:colOff>
      <xdr:row>970</xdr:row>
      <xdr:rowOff>113338</xdr:rowOff>
    </xdr:to>
    <xdr:sp macro="" textlink="">
      <xdr:nvSpPr>
        <xdr:cNvPr id="2" name="AutoShape 1">
          <a:extLst>
            <a:ext uri="{FF2B5EF4-FFF2-40B4-BE49-F238E27FC236}">
              <a16:creationId xmlns:a16="http://schemas.microsoft.com/office/drawing/2014/main" id="{D16DFB18-BCD2-42C1-9750-A4CC7D99D52E}"/>
            </a:ext>
          </a:extLst>
        </xdr:cNvPr>
        <xdr:cNvSpPr>
          <a:spLocks noChangeAspect="1" noChangeArrowheads="1"/>
        </xdr:cNvSpPr>
      </xdr:nvSpPr>
      <xdr:spPr bwMode="auto">
        <a:xfrm>
          <a:off x="609600" y="138874500"/>
          <a:ext cx="304800" cy="3038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969</xdr:row>
      <xdr:rowOff>0</xdr:rowOff>
    </xdr:from>
    <xdr:to>
      <xdr:col>1</xdr:col>
      <xdr:colOff>304800</xdr:colOff>
      <xdr:row>970</xdr:row>
      <xdr:rowOff>113338</xdr:rowOff>
    </xdr:to>
    <xdr:sp macro="" textlink="">
      <xdr:nvSpPr>
        <xdr:cNvPr id="3" name="AutoShape 1">
          <a:extLst>
            <a:ext uri="{FF2B5EF4-FFF2-40B4-BE49-F238E27FC236}">
              <a16:creationId xmlns:a16="http://schemas.microsoft.com/office/drawing/2014/main" id="{81F4009D-E56C-4F1C-B7BB-A2650DC49D45}"/>
            </a:ext>
          </a:extLst>
        </xdr:cNvPr>
        <xdr:cNvSpPr>
          <a:spLocks noChangeAspect="1" noChangeArrowheads="1"/>
        </xdr:cNvSpPr>
      </xdr:nvSpPr>
      <xdr:spPr bwMode="auto">
        <a:xfrm>
          <a:off x="609600" y="138874500"/>
          <a:ext cx="304800" cy="3038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NUELE FIGUEIREDO" refreshedDate="46252.561166550928" createdVersion="8" refreshedVersion="8" minRefreshableVersion="3" recordCount="1006" xr:uid="{4A4B1E13-24D0-4371-9D0D-20F56FEBF898}">
  <cacheSource type="worksheet">
    <worksheetSource ref="B2:G1008" sheet="PDVS"/>
  </cacheSource>
  <cacheFields count="6">
    <cacheField name="CÓD" numFmtId="0">
      <sharedItems containsMixedTypes="1" containsNumber="1" containsInteger="1" minValue="4540" maxValue="4540"/>
    </cacheField>
    <cacheField name="GRUPO" numFmtId="0">
      <sharedItems count="159">
        <s v="FABIANA GONCALVES DA SILVA LINS E CIA LTDA"/>
        <s v="CARLOS FREDERICO E FILHOS COMERCIO"/>
        <s v="HARCOS COMERCIO E SERVICOS LTDA - EPP"/>
        <s v="SELF COMERCIO E SERVICOS EM TELEFON"/>
        <s v="DELTA CELL TELECOMUNICACOES LTDA"/>
        <s v="R &amp; R HIPER COMERCIO LTDA"/>
        <s v="SANTOS E TENORIO TELECOM LTDA"/>
        <s v="ICARO CARVALHO CAVALCANTE"/>
        <s v="TOTAL TELECOM LTDA"/>
        <s v="NAUM RAONI VARELA DOS SANTOS - ME"/>
        <s v="ANA PAULA TARGINO TRINDADE"/>
        <s v="TELECON POINTCELL LTDA"/>
        <s v="E-MEAN SERVICOS DE MARKETING DIRETO LTDA"/>
        <s v="MS COMERCIO VAREJISTA DE TELECOMUNICACOES LTDA"/>
        <s v="A C DE OLIVEIRA PINHEIRO &amp; FILHO LTDA."/>
        <s v="EDGLAYDSON DA SILVA RAMOS - ME"/>
        <s v="J L DE VASCONCELOS"/>
        <s v="CELLULAR.COM"/>
        <s v="TELECELL TELEFONIA LTDA - ME"/>
        <s v="SMART CENTER TELECOM LTDA"/>
        <s v="FAJULUTI"/>
        <s v="ATENDE CELULAR LTDA - ME"/>
        <s v="P.G.L CELULARES LTDA"/>
        <s v="DIANA CARLA MOREIRA"/>
        <s v="ROSA BRANCA MONTEIRO &amp; CIA LTDA"/>
        <s v="DME TELECOMUNICACOES, SERVICOS E CO"/>
        <s v="G.L.Z. TELEFONIA MOVEL LTDA"/>
        <s v="N &amp; C COMERCIO DE CELULARES LTDA - ME"/>
        <s v="INOVA TELECOM LTDA"/>
        <s v="FOR CELL TELECOM LTDA"/>
        <s v="EXTRA CELULARES LTDA"/>
        <s v="ALFA CELULAR LTDA"/>
        <s v="MAXMILIANO RODRIGUES"/>
        <s v="MOBILE TELECOM LTDA"/>
        <s v="LUCIANA DOS REIS - ME"/>
        <s v="SOLAR COMERCIO E SERVICOS DE TELEFONIA LTDA - ME"/>
        <s v="TRIANGULO CELULARES LTDA"/>
        <s v="CENTERCELL TELECOMUNICACOES CARANGO"/>
        <s v="VALQUIRIA GOMES ROCHA"/>
        <s v="CITEL COMERCIO DE CELULARES LTDA."/>
        <s v="MAX CEL GV LTDA"/>
        <s v="RCM CAPITAL PARTICIPACOES LTDA"/>
        <s v="CELNET COMERCIO E SERVICOS DE TELEFONIA LTDA ME"/>
        <s v="CONTATO CELULARES"/>
        <s v="TATIANE CONCEICAO DE OLIVEIRA - ME"/>
        <s v="J F A DE OLIVEIRA &amp; CIA LTDA - ME"/>
        <s v="AMERICOM COMERCIO DE APARELHOS ELETRONICOS LTDA - EPP"/>
        <s v="TELEMAIS TELEFONIA LTDA - ME"/>
        <s v="HIROTA &amp; HIROTA LTDA - ME"/>
        <s v="ARES TELECOM LTDA"/>
        <s v="QUALITY SERVICE ASSESSORIA TECNICA LTDA"/>
        <s v="TELEMARCO TELECOMUNICACOES EIRELI"/>
        <s v="N MAIA DE LIMA"/>
        <s v="DAMASCENO COMERCIO DE CELULARES E ELETRONICOS LTDA"/>
        <s v="MASTERCELL COMERCIO E SERVICOS DE T"/>
        <s v="R RIBEIRO GONZAGA COMERCIO E SERVICOS - ME"/>
        <s v="WALDEIR BELLEI &amp; CIA LTDA - ME"/>
        <s v="M JHUAN COMERCIO E SERVICOS DE CELU"/>
        <s v="J H R OLIVEIRA LTDA"/>
        <s v="JUCELL CELULARES LTDA"/>
        <s v="F &amp; F CEL - COMERCIO E SERVICOS DE"/>
        <s v="J J DA SILVA &amp; CIA LTDA - ME"/>
        <s v="NETTROM COMERCIO DE EQUIP"/>
        <s v="VIA SALLUS"/>
        <s v="ESTULANO &amp; MEZZA LTDA - ME"/>
        <s v="D. R. MEDEIROS &amp; CIA LTDA"/>
        <s v="CALDAS CELULARES LTDA - ME"/>
        <s v="MEGA CELULAR"/>
        <s v="A. L. DE OLIVEIRA &amp; CIA LTDA"/>
        <s v="L. M. DE ALMEIDA COMUNICACAO LTDA"/>
        <s v="B.V.G PARRA JUNIOR"/>
        <s v="MAGDA KEIKO SASAI MORIMOTO LTDA"/>
        <s v="JAQUELINE LOPES MIRANDA LTDA"/>
        <s v="M. LOPES - ELETRONICOS"/>
        <s v="ANTONIO LINDOMAR DE OLIVEIRA EPP"/>
        <s v="MC COMUNICACOES LTDA"/>
        <s v="CONTACOM COMERCIO DE APARELHOS ELETRONICOS LTDA "/>
        <s v="FORTE COMERCIO DE CELULARES LTDA"/>
        <s v="AMOS MUNIZ CORREIA - ME"/>
        <s v="FLORES &amp; CARVALHO TELECOMUNICACOES"/>
        <s v="NIPPO-TEC COMERCIO DE MATERIAIS DE COMUNICACAO LTDA - ME"/>
        <s v="SOSSOLOTE &amp; CIA LTDA"/>
        <s v="R. R. BECKER &amp; CIA LTDA"/>
        <s v="REDCELL F.GOMES LTDA"/>
        <s v="PAULA C L NIELLA EIRELI"/>
        <s v="HS TELECOM"/>
        <s v="SHEILA RIOS OLIVEIRA LTDA"/>
        <s v="ANCLA COMERCIO"/>
        <s v="C A SANTOS COMUNICAO EIRELI"/>
        <s v="TECNOCEL CELULARES COMERCIO, SERVICOS LTDA - ME"/>
        <s v="A PLAY S COMERCIO E SERVICOS LTDA"/>
        <s v="MARIA JOSEFA DOS SANTOS - ME"/>
        <s v="PATRICIA DO NASCIMENTO"/>
        <s v="QUERO CELL COMUNICACAO EIRELI"/>
        <s v="CAMILA TAMBONE DE ALMEIDA EIRELI - EPP"/>
        <s v="ELETROSHOPPING EIRELI"/>
        <s v="JOSE ADALBERTO CERQUEIRA JUNIOR - ME"/>
        <s v="R &amp; J CELULARES E ACESSORIOS EIRELI"/>
        <s v="SILVA SILVA TELEFONIA E COMUNICAO L"/>
        <s v="TELECOMUNICACOES C àsA NOVA LTDA"/>
        <s v="LIDIANE FREIRE DA SILVA - ME"/>
        <s v="VIAFONE COMERCIO DE ELETRO ELETRONI"/>
        <s v="S V DE CERQUEIRA"/>
        <s v="GUI CELULARES E SERVICOS LTDA"/>
        <s v="COLUMBIA COMERCIO VAREJISTA CELULARES ELET. LTDA"/>
        <s v="FRANCISCO GONCALVES DE ALENCAR"/>
        <s v="LBD TELECOM LTDA"/>
        <s v="PRIME TELECOM COMERCIO E SERVICOS DE COMUNICACAO LTDA"/>
        <s v="R S COMERCIO E SERVICOS CELULARES L"/>
        <s v="BRUNO DE OLIVEIRA &amp; CIA LTDA - ME"/>
        <s v="DIN COMERCIO E SERVICOS EIRELI - EPP"/>
        <s v="DSX TECH COMERCIO E SERVICOS LTDA"/>
        <s v="E. DAMA EIRELI"/>
        <s v="M R BARROSO PEREIRA EIRELI"/>
        <s v="EMERSON CUTRIM SERVICOS LTDA"/>
        <s v="H V DA SILVA COMERCIO - ME"/>
        <s v="R. DA SILVA SARAIVA"/>
        <s v="FLEX CELL"/>
        <s v="INOVACELL LTDA"/>
        <s v="AM3 TELECOM LTDA"/>
        <s v="PONTO CERTO COMERCIO E COMUNICAÇÕES LTDA"/>
        <s v="ELETRO CENTER"/>
        <s v="GSM FREE"/>
        <s v="MEXCELL COMERCIO E SERVICOS DE TELECOMUNICACOES LTDA"/>
        <s v="VIA TELECOM LTDA ME"/>
        <s v="SERRA LIDER COMERCIO DE CELULARES LTDA - ME"/>
        <s v="SOLAR TELECOMUNICACOES LTDA"/>
        <s v="LEINAD COMERCIO E SERVICO EIRELI"/>
        <s v="AC BAYLONGUE"/>
        <s v="ALEXANDRE CISOTTO LAN HOUSE E TELECOMUNICACOES ME"/>
        <s v="CELL AZUL CELULARES LTDA - EPP"/>
        <s v="CLARICELL SP1"/>
        <s v="FW TELEFONIA LTDA - EPP"/>
        <s v="LINK TELECOM COMERCIO DE CELULARES LTDA - ME"/>
        <s v="TATHIANE LEME GOMES DOS SANTOS - ME"/>
        <s v="ADESIENE NUNES MACHADO - ME"/>
        <s v="DIEGO FERNANDES PEREIRA - ME"/>
        <s v="BONELI BIAZI CELULARES EIRELI - ME"/>
        <s v="DOUGLAS LUIZ ELETRONICOS - ME"/>
        <s v="WCI CELULARES SERVICOS E TELECOMUNICACOES LTDA - EPP"/>
        <s v="DOM BARRETO COMERCIAL LTDA - ME"/>
        <s v="J. P. MACHADO TELEFONIA - ME"/>
        <s v="PRIME ARACATUBA"/>
        <s v="TAMIRIS FERNANDA SCATOLA - ME"/>
        <s v="CONVERGE.NET REPRESENTACOES COMERCIAIS LTDA - EPP"/>
        <s v="TESSAROLI RELOJOARIA"/>
        <s v="MA CELULARES"/>
        <s v="VIRACLARO"/>
        <s v="JARBAS WILHAN - ME"/>
        <s v="RDJ TELECOMUNICACOES LTDA"/>
        <s v="EDUARDO JUNQUEIRA DA SILVEIRA ADMIN"/>
        <s v="CARLOS EDUARDO SAVIAN - EPP"/>
        <s v="CAMILA TEIXEIRA LUIZ - ME"/>
        <s v="AYRES E DEBONI LTDA - ME"/>
        <s v="BANDEIRA"/>
        <s v="PACCO COMERCIO DE APARELHOS ELETRON"/>
        <s v="NEW POINT CELULAR LTDA - ME"/>
        <s v="S D COMERCIO DE CELULARES LTDA - ME"/>
        <s v="JUNIOR NOAL &amp; CIA LTDA - ME"/>
      </sharedItems>
    </cacheField>
    <cacheField name="GN" numFmtId="0">
      <sharedItems/>
    </cacheField>
    <cacheField name="GF" numFmtId="0">
      <sharedItems/>
    </cacheField>
    <cacheField name="CIDADE" numFmtId="0">
      <sharedItems/>
    </cacheField>
    <cacheField name="REG" numFmtId="0">
      <sharedItems count="10">
        <s v="NE"/>
        <s v="MG"/>
        <s v="CO"/>
        <s v="BA/SE"/>
        <s v="NO"/>
        <s v="RJ/ES"/>
        <s v="SP1"/>
        <s v="SP2"/>
        <s v="PR/SC"/>
        <s v="R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6">
  <r>
    <s v="14HB"/>
    <x v="0"/>
    <s v="ADILSON MARQUES DA SILVA"/>
    <s v="LUIZ DE SOUSA LEAL NETO"/>
    <s v="GARANHUNS"/>
    <x v="0"/>
  </r>
  <r>
    <s v="4KDV"/>
    <x v="1"/>
    <s v="HELOISA IONE OLIVEIRA DE ARAUJO"/>
    <s v="FLAVIO GOMES RODRIGUES DOS SANTOS"/>
    <s v="JOAO PESSOA"/>
    <x v="0"/>
  </r>
  <r>
    <s v="5LYK"/>
    <x v="2"/>
    <s v="ISADORA NASCIMENTO SILVA"/>
    <s v="ADNO KEVERSON DOS SANTOS CASTRO"/>
    <s v="NATAL"/>
    <x v="0"/>
  </r>
  <r>
    <s v="5QC8"/>
    <x v="2"/>
    <s v="MICHELLE SALUSTRE MARCATO"/>
    <s v="FABRICIO SILVA DE ARAUJO"/>
    <s v="MACEIO"/>
    <x v="0"/>
  </r>
  <r>
    <s v="B1RJ"/>
    <x v="3"/>
    <s v="FRANCISCA ALINE ALVES BENTO"/>
    <s v="DIEGO HENRIQUE FERREIRA DANTAS"/>
    <s v="FORTALEZA"/>
    <x v="0"/>
  </r>
  <r>
    <s v="DP0N"/>
    <x v="3"/>
    <s v="FRANCISCA ALINE ALVES BENTO"/>
    <s v="DIEGO HENRIQUE FERREIRA DANTAS"/>
    <s v="FORTALEZA"/>
    <x v="0"/>
  </r>
  <r>
    <s v="FCZ6"/>
    <x v="1"/>
    <s v="IRANILDE VERISSIMO DE MEDEIROS"/>
    <s v="FLAVIO GOMES RODRIGUES DOS SANTOS"/>
    <s v="JOAO PESSOA"/>
    <x v="0"/>
  </r>
  <r>
    <s v="GR53"/>
    <x v="4"/>
    <s v="ALIENNY BARBOSA MACEDO"/>
    <s v="DAVID OLIVEIRA DA COSTA"/>
    <s v="PIRIPIRI"/>
    <x v="0"/>
  </r>
  <r>
    <s v="H0ZF"/>
    <x v="5"/>
    <s v="DENISE CIBELLY FERNANDES BATALHA"/>
    <s v="ADNO KEVERSON DOS SANTOS CASTRO"/>
    <s v="NATAL"/>
    <x v="0"/>
  </r>
  <r>
    <s v="IE2M"/>
    <x v="2"/>
    <s v="MICHELLE SALUSTRE MARCATO"/>
    <s v="FABRICIO SILVA DE ARAUJO"/>
    <s v="MACEIO"/>
    <x v="0"/>
  </r>
  <r>
    <s v="IKFK"/>
    <x v="2"/>
    <s v="MICHELLE SALUSTRE MARCATO"/>
    <s v="FABRICIO SILVA DE ARAUJO"/>
    <s v="MACEIO"/>
    <x v="0"/>
  </r>
  <r>
    <s v="LPK0"/>
    <x v="6"/>
    <s v="JULYANE CAVALCANTE GOMES DA SILVA"/>
    <s v="FABRICIO SILVA DE ARAUJO"/>
    <s v="PENEDO"/>
    <x v="0"/>
  </r>
  <r>
    <s v="N8RH"/>
    <x v="1"/>
    <s v="HELOISA IONE OLIVEIRA DE ARAUJO"/>
    <s v="FLAVIO GOMES RODRIGUES DOS SANTOS"/>
    <s v="CABEDELO"/>
    <x v="0"/>
  </r>
  <r>
    <s v="PVTS"/>
    <x v="2"/>
    <s v="JOYCE RODRIGUES DE SOUZA"/>
    <s v="LUIZ DE SOUSA LEAL NETO"/>
    <s v="RECIFE"/>
    <x v="0"/>
  </r>
  <r>
    <s v="PWG0"/>
    <x v="2"/>
    <s v="EMILENE DE VASCONCELOS CAVALCANTE"/>
    <s v="LUIZ DE SOUSA LEAL NETO"/>
    <s v="CARUARU"/>
    <x v="0"/>
  </r>
  <r>
    <s v="PZ46"/>
    <x v="1"/>
    <s v="JOYCE RODRIGUES DE SOUZA"/>
    <s v="LUIZ DE SOUSA LEAL NETO"/>
    <s v="RECIFE"/>
    <x v="0"/>
  </r>
  <r>
    <s v="SANX"/>
    <x v="2"/>
    <s v="MICHELLE SALUSTRE MARCATO"/>
    <s v="FABRICIO SILVA DE ARAUJO"/>
    <s v="MACEIO"/>
    <x v="0"/>
  </r>
  <r>
    <s v="WEWC"/>
    <x v="7"/>
    <s v="ADILSON MARQUES DA SILVA"/>
    <s v="LUIZ DE SOUSA LEAL NETO"/>
    <s v="PESQUEIRA"/>
    <x v="0"/>
  </r>
  <r>
    <s v="YZ5K"/>
    <x v="8"/>
    <s v="JOYCE RODRIGUES DE SOUZA"/>
    <s v="LUIZ DE SOUSA LEAL NETO"/>
    <s v="RECIFE"/>
    <x v="0"/>
  </r>
  <r>
    <s v="E8ZJ"/>
    <x v="5"/>
    <s v="ISADORA NASCIMENTO SILVA"/>
    <s v="ADNO KEVERSON DOS SANTOS CASTRO"/>
    <s v="NATAL"/>
    <x v="0"/>
  </r>
  <r>
    <s v="JKSK"/>
    <x v="1"/>
    <s v="IRANILDE VERISSIMO DE MEDEIROS"/>
    <s v="FLAVIO GOMES RODRIGUES DOS SANTOS"/>
    <s v="JOAO PESSOA"/>
    <x v="0"/>
  </r>
  <r>
    <s v="0QEA"/>
    <x v="5"/>
    <s v="DENISE CIBELLY FERNANDES BATALHA"/>
    <s v="ADNO KEVERSON DOS SANTOS CASTRO"/>
    <s v="PARNAMIRIM"/>
    <x v="0"/>
  </r>
  <r>
    <s v="23NS"/>
    <x v="4"/>
    <s v="NAIDIS BATISTA DE OLIVEIRA"/>
    <s v="DAVID OLIVEIRA DA COSTA"/>
    <s v="ALTOS"/>
    <x v="0"/>
  </r>
  <r>
    <s v="2FAJ"/>
    <x v="3"/>
    <s v="SYLVELANNA MONTEIRO DA SILVA"/>
    <s v="DIEGO HENRIQUE FERREIRA DANTAS"/>
    <s v="FORTALEZA"/>
    <x v="0"/>
  </r>
  <r>
    <s v="2ISW"/>
    <x v="2"/>
    <s v="HUDSON HOLANDA DE MELO"/>
    <s v="FABRICIO SILVA DE ARAUJO"/>
    <s v="UNIAO DOS PALMARES"/>
    <x v="0"/>
  </r>
  <r>
    <s v="38A3"/>
    <x v="2"/>
    <s v="HUDSON HOLANDA DE MELO"/>
    <s v="FABRICIO SILVA DE ARAUJO"/>
    <s v="MACEIO"/>
    <x v="0"/>
  </r>
  <r>
    <s v="4G9V"/>
    <x v="2"/>
    <s v="JULYANE CAVALCANTE GOMES DA SILVA"/>
    <s v="FABRICIO SILVA DE ARAUJO"/>
    <s v="ARAPIRACA"/>
    <x v="0"/>
  </r>
  <r>
    <s v="6J4F"/>
    <x v="3"/>
    <s v="MARIA TATIANA BORBA GUERREIRO"/>
    <s v="LUIZ DE SOUSA LEAL NETO"/>
    <s v="OLINDA"/>
    <x v="0"/>
  </r>
  <r>
    <s v="6O1L"/>
    <x v="4"/>
    <s v="ALIENNY BARBOSA MACEDO"/>
    <s v="DAVID OLIVEIRA DA COSTA"/>
    <s v="CAMPO MAIOR"/>
    <x v="0"/>
  </r>
  <r>
    <s v="6UTW"/>
    <x v="9"/>
    <s v="ELIZABETH MILANA GOMES DINIZ SOARES"/>
    <s v="ADNO KEVERSON DOS SANTOS CASTRO"/>
    <s v="NATAL"/>
    <x v="0"/>
  </r>
  <r>
    <s v="8YRC"/>
    <x v="0"/>
    <s v="EMILENE DE VASCONCELOS CAVALCANTE"/>
    <s v="LUIZ DE SOUSA LEAL NETO"/>
    <s v="GRAVATA"/>
    <x v="0"/>
  </r>
  <r>
    <s v="92KU"/>
    <x v="9"/>
    <s v="ELIZABETH MILANA GOMES DINIZ SOARES"/>
    <s v="ADNO KEVERSON DOS SANTOS CASTRO"/>
    <s v="CAICO"/>
    <x v="0"/>
  </r>
  <r>
    <s v="9TFW"/>
    <x v="3"/>
    <s v="JOYCE RODRIGUES DE SOUZA"/>
    <s v="LUIZ DE SOUSA LEAL NETO"/>
    <s v="JABOATAO DOS GUARARAPES"/>
    <x v="0"/>
  </r>
  <r>
    <s v="9W39"/>
    <x v="3"/>
    <s v="RAQUEL MARIA MONTEIRO LOPES"/>
    <s v="DIEGO HENRIQUE FERREIRA DANTAS"/>
    <s v="SOBRAL"/>
    <x v="0"/>
  </r>
  <r>
    <s v="B7GM"/>
    <x v="9"/>
    <s v="DENISE CIBELLY FERNANDES BATALHA"/>
    <s v="ADNO KEVERSON DOS SANTOS CASTRO"/>
    <s v="CEARA-MIRIM"/>
    <x v="0"/>
  </r>
  <r>
    <s v="B9ZF"/>
    <x v="0"/>
    <s v="ADILSON MARQUES DA SILVA"/>
    <s v="LUIZ DE SOUSA LEAL NETO"/>
    <s v="PALMARES"/>
    <x v="0"/>
  </r>
  <r>
    <s v="BDMD"/>
    <x v="1"/>
    <s v="JOYCE RODRIGUES DE SOUZA"/>
    <s v="LUIZ DE SOUSA LEAL NETO"/>
    <s v="RECIFE"/>
    <x v="0"/>
  </r>
  <r>
    <s v="C231"/>
    <x v="7"/>
    <s v="FELIPE FERREIRA MIRANDA"/>
    <s v="LUIZ DE SOUSA LEAL NETO"/>
    <s v="PETROLINA"/>
    <x v="0"/>
  </r>
  <r>
    <s v="C8DV"/>
    <x v="4"/>
    <s v="ALIENNY BARBOSA MACEDO"/>
    <s v="DAVID OLIVEIRA DA COSTA"/>
    <s v="PARNAIBA"/>
    <x v="0"/>
  </r>
  <r>
    <s v="CS1O"/>
    <x v="7"/>
    <s v="ADILSON MARQUES DA SILVA"/>
    <s v="LUIZ DE SOUSA LEAL NETO"/>
    <s v="ARCOVERDE"/>
    <x v="0"/>
  </r>
  <r>
    <s v="CSLW"/>
    <x v="0"/>
    <s v="EMILENE DE VASCONCELOS CAVALCANTE"/>
    <s v="LUIZ DE SOUSA LEAL NETO"/>
    <s v="BEZERROS"/>
    <x v="0"/>
  </r>
  <r>
    <s v="CU8F"/>
    <x v="3"/>
    <s v="MARIA TATIANA BORBA GUERREIRO"/>
    <s v="LUIZ DE SOUSA LEAL NETO"/>
    <s v="PAULISTA"/>
    <x v="0"/>
  </r>
  <r>
    <s v="E5J6"/>
    <x v="1"/>
    <s v="IRANILDE VERISSIMO DE MEDEIROS"/>
    <s v="FLAVIO GOMES RODRIGUES DOS SANTOS"/>
    <s v="JOAO PESSOA"/>
    <x v="0"/>
  </r>
  <r>
    <s v="EOVQ"/>
    <x v="10"/>
    <s v="HELOISA IONE OLIVEIRA DE ARAUJO"/>
    <s v="FLAVIO GOMES RODRIGUES DOS SANTOS"/>
    <s v="JOAO PESSOA"/>
    <x v="0"/>
  </r>
  <r>
    <s v="HC92"/>
    <x v="3"/>
    <s v="FRANCISCA ALINE ALVES BENTO"/>
    <s v="DIEGO HENRIQUE FERREIRA DANTAS"/>
    <s v="FORTALEZA"/>
    <x v="0"/>
  </r>
  <r>
    <s v="HKH8"/>
    <x v="0"/>
    <s v="EMILENE DE VASCONCELOS CAVALCANTE"/>
    <s v="LUIZ DE SOUSA LEAL NETO"/>
    <s v="BELO JARDIM"/>
    <x v="0"/>
  </r>
  <r>
    <s v="HW0M"/>
    <x v="11"/>
    <s v="MATEUS SANTOS LACERDA"/>
    <s v="DIEGO HENRIQUE FERREIRA DANTAS"/>
    <s v="IGUATU"/>
    <x v="0"/>
  </r>
  <r>
    <s v="IH1V"/>
    <x v="5"/>
    <s v="DENISE CIBELLY FERNANDES BATALHA"/>
    <s v="ADNO KEVERSON DOS SANTOS CASTRO"/>
    <s v="NATAL"/>
    <x v="0"/>
  </r>
  <r>
    <s v="IQ7T"/>
    <x v="3"/>
    <s v="ADILSON MARQUES DA SILVA"/>
    <s v="LUIZ DE SOUSA LEAL NETO"/>
    <s v="IGARASSU"/>
    <x v="0"/>
  </r>
  <r>
    <s v="KJRB"/>
    <x v="0"/>
    <s v="JOYCE RODRIGUES DE SOUZA"/>
    <s v="LUIZ DE SOUSA LEAL NETO"/>
    <s v="CABO DE SANTO AGOSTINHO"/>
    <x v="0"/>
  </r>
  <r>
    <s v="KPD0"/>
    <x v="2"/>
    <s v="ADILSON MARQUES DA SILVA"/>
    <s v="LUIZ DE SOUSA LEAL NETO"/>
    <s v="SANTA CRUZ DO CAPIBARIBE"/>
    <x v="0"/>
  </r>
  <r>
    <s v="L61V"/>
    <x v="12"/>
    <s v="MATEUS SANTOS LACERDA"/>
    <s v="DIEGO HENRIQUE FERREIRA DANTAS"/>
    <s v="JUAZEIRO DO NORTE"/>
    <x v="0"/>
  </r>
  <r>
    <s v="LPX3"/>
    <x v="4"/>
    <s v="RAQUEL MARIA MONTEIRO LOPES"/>
    <s v="DIEGO HENRIQUE FERREIRA DANTAS"/>
    <s v="CAMOCIM"/>
    <x v="0"/>
  </r>
  <r>
    <s v="LTYC"/>
    <x v="7"/>
    <s v="FELIPE FERREIRA MIRANDA"/>
    <s v="LUIZ DE SOUSA LEAL NETO"/>
    <s v="PETROLINA"/>
    <x v="0"/>
  </r>
  <r>
    <s v="M4YA"/>
    <x v="3"/>
    <s v="JOYCE RODRIGUES DE SOUZA"/>
    <s v="LUIZ DE SOUSA LEAL NETO"/>
    <s v="RECIFE"/>
    <x v="0"/>
  </r>
  <r>
    <s v="MCNZ"/>
    <x v="2"/>
    <s v="ISADORA NASCIMENTO SILVA"/>
    <s v="ADNO KEVERSON DOS SANTOS CASTRO"/>
    <s v="NATAL"/>
    <x v="0"/>
  </r>
  <r>
    <s v="MQFJ"/>
    <x v="13"/>
    <s v="ROSINEIDE ANTUNES DE QUEIROGA VIEIRA"/>
    <s v="FLAVIO GOMES RODRIGUES DOS SANTOS"/>
    <s v="SOUSA"/>
    <x v="0"/>
  </r>
  <r>
    <s v="NKO9"/>
    <x v="2"/>
    <s v="HUDSON HOLANDA DE MELO"/>
    <s v="FABRICIO SILVA DE ARAUJO"/>
    <s v="CORURIPE"/>
    <x v="0"/>
  </r>
  <r>
    <s v="OEC1"/>
    <x v="2"/>
    <s v="EMILENE DE VASCONCELOS CAVALCANTE"/>
    <s v="LUIZ DE SOUSA LEAL NETO"/>
    <s v="CARUARU"/>
    <x v="0"/>
  </r>
  <r>
    <s v="OX6I"/>
    <x v="14"/>
    <s v="ISADORA NASCIMENTO SILVA"/>
    <s v="ADNO KEVERSON DOS SANTOS CASTRO"/>
    <s v="JOAO CAMARA"/>
    <x v="0"/>
  </r>
  <r>
    <s v="P20X"/>
    <x v="9"/>
    <s v="HELOISA IONE OLIVEIRA DE ARAUJO"/>
    <s v="FLAVIO GOMES RODRIGUES DOS SANTOS"/>
    <s v="JOAO PESSOA"/>
    <x v="0"/>
  </r>
  <r>
    <s v="Q5HO"/>
    <x v="2"/>
    <s v="HUDSON HOLANDA DE MELO"/>
    <s v="FABRICIO SILVA DE ARAUJO"/>
    <s v="SAO MIGUEL DOS CAMPOS"/>
    <x v="0"/>
  </r>
  <r>
    <s v="RC1A"/>
    <x v="2"/>
    <s v="ISADORA NASCIMENTO SILVA"/>
    <s v="ADNO KEVERSON DOS SANTOS CASTRO"/>
    <s v="NATAL"/>
    <x v="0"/>
  </r>
  <r>
    <s v="RUJC"/>
    <x v="6"/>
    <s v="JULYANE CAVALCANTE GOMES DA SILVA"/>
    <s v="FABRICIO SILVA DE ARAUJO"/>
    <s v="ARAPIRACA"/>
    <x v="0"/>
  </r>
  <r>
    <s v="SVUA"/>
    <x v="15"/>
    <s v="IRANILDE VERISSIMO DE MEDEIROS"/>
    <s v="FLAVIO GOMES RODRIGUES DOS SANTOS"/>
    <s v="GUARABIRA"/>
    <x v="0"/>
  </r>
  <r>
    <s v="UG5Y"/>
    <x v="4"/>
    <s v="NAIDIS BATISTA DE OLIVEIRA"/>
    <s v="DAVID OLIVEIRA DA COSTA"/>
    <s v="TERESINA"/>
    <x v="0"/>
  </r>
  <r>
    <s v="UPX2"/>
    <x v="1"/>
    <s v="HELOISA IONE OLIVEIRA DE ARAUJO"/>
    <s v="FLAVIO GOMES RODRIGUES DOS SANTOS"/>
    <s v="JOAO PESSOA"/>
    <x v="0"/>
  </r>
  <r>
    <s v="VAVL"/>
    <x v="7"/>
    <s v="ADILSON MARQUES DA SILVA"/>
    <s v="LUIZ DE SOUSA LEAL NETO"/>
    <s v="ARARIPINA"/>
    <x v="0"/>
  </r>
  <r>
    <s v="W4NS"/>
    <x v="12"/>
    <s v="MATEUS SANTOS LACERDA"/>
    <s v="DIEGO HENRIQUE FERREIRA DANTAS"/>
    <s v="CRATO"/>
    <x v="0"/>
  </r>
  <r>
    <s v="XGBJ"/>
    <x v="15"/>
    <s v="IRANILDE VERISSIMO DE MEDEIROS"/>
    <s v="FLAVIO GOMES RODRIGUES DOS SANTOS"/>
    <s v="MAMANGUAPE"/>
    <x v="0"/>
  </r>
  <r>
    <s v="XTRJ"/>
    <x v="5"/>
    <s v="DENISE CIBELLY FERNANDES BATALHA"/>
    <s v="ADNO KEVERSON DOS SANTOS CASTRO"/>
    <s v="NATAL"/>
    <x v="0"/>
  </r>
  <r>
    <s v="YMGE"/>
    <x v="3"/>
    <s v="FRANCISCA ALINE ALVES BENTO"/>
    <s v="DIEGO HENRIQUE FERREIRA DANTAS"/>
    <s v="EUSEBIO"/>
    <x v="0"/>
  </r>
  <r>
    <s v="YQ03"/>
    <x v="4"/>
    <s v="ALIENNY BARBOSA MACEDO"/>
    <s v="DAVID OLIVEIRA DA COSTA"/>
    <s v="PARNAIBA"/>
    <x v="0"/>
  </r>
  <r>
    <s v="Z0VH"/>
    <x v="5"/>
    <s v="ELIZABETH MILANA GOMES DINIZ SOARES"/>
    <s v="ADNO KEVERSON DOS SANTOS CASTRO"/>
    <s v="MOSSORO"/>
    <x v="0"/>
  </r>
  <r>
    <s v="A2S4"/>
    <x v="3"/>
    <s v="SYLVELANNA MONTEIRO DA SILVA"/>
    <s v="DIEGO HENRIQUE FERREIRA DANTAS"/>
    <s v="FORTALEZA"/>
    <x v="0"/>
  </r>
  <r>
    <s v="7FR3"/>
    <x v="9"/>
    <s v="ELIZABETH MILANA GOMES DINIZ SOARES"/>
    <s v="ADNO KEVERSON DOS SANTOS CASTRO"/>
    <s v="ACU"/>
    <x v="0"/>
  </r>
  <r>
    <s v="N73W"/>
    <x v="12"/>
    <s v="ANAIDE MARQUES FARIAS BRAGA OLIVEIRA"/>
    <s v="DIEGO HENRIQUE FERREIRA DANTAS"/>
    <s v="CAUCAIA"/>
    <x v="0"/>
  </r>
  <r>
    <s v="W85D"/>
    <x v="12"/>
    <s v="ANAIDE MARQUES FARIAS BRAGA OLIVEIRA"/>
    <s v="DIEGO HENRIQUE FERREIRA DANTAS"/>
    <s v="FORTALEZA"/>
    <x v="0"/>
  </r>
  <r>
    <s v="R5EV"/>
    <x v="3"/>
    <s v="FRANCISCA ALINE ALVES BENTO"/>
    <s v="DIEGO HENRIQUE FERREIRA DANTAS"/>
    <s v="FORTALEZA"/>
    <x v="0"/>
  </r>
  <r>
    <s v="KXAE"/>
    <x v="2"/>
    <s v="MARIA TATIANA BORBA GUERREIRO"/>
    <s v="LUIZ DE SOUSA LEAL NETO"/>
    <s v="RECIFE"/>
    <x v="0"/>
  </r>
  <r>
    <s v="YTG7"/>
    <x v="2"/>
    <s v="MARIA TATIANA BORBA GUERREIRO"/>
    <s v="LUIZ DE SOUSA LEAL NETO"/>
    <s v="CARPINA"/>
    <x v="0"/>
  </r>
  <r>
    <s v="TFL0"/>
    <x v="2"/>
    <s v="MARIA TATIANA BORBA GUERREIRO"/>
    <s v="LUIZ DE SOUSA LEAL NETO"/>
    <s v="RECIFE"/>
    <x v="0"/>
  </r>
  <r>
    <s v="APFQ"/>
    <x v="3"/>
    <s v="EMILENE DE VASCONCELOS CAVALCANTE"/>
    <s v="LUIZ DE SOUSA LEAL NETO"/>
    <s v="CARUARU"/>
    <x v="0"/>
  </r>
  <r>
    <s v="32EY"/>
    <x v="1"/>
    <s v="HELOISA IONE OLIVEIRA DE ARAUJO"/>
    <s v="FLAVIO GOMES RODRIGUES DOS SANTOS"/>
    <s v="JOAO PESSOA"/>
    <x v="0"/>
  </r>
  <r>
    <s v="R9S5"/>
    <x v="5"/>
    <s v="ROSINEIDE ANTUNES DE QUEIROGA VIEIRA"/>
    <s v="FLAVIO GOMES RODRIGUES DOS SANTOS"/>
    <s v="CAMPINA GRANDE"/>
    <x v="0"/>
  </r>
  <r>
    <s v="FOLM"/>
    <x v="3"/>
    <s v="NAIDIS BATISTA DE OLIVEIRA"/>
    <s v="DAVID OLIVEIRA DA COSTA"/>
    <s v="TERESINA"/>
    <x v="0"/>
  </r>
  <r>
    <s v="4EAJ"/>
    <x v="3"/>
    <s v="NAIDIS BATISTA DE OLIVEIRA"/>
    <s v="DAVID OLIVEIRA DA COSTA"/>
    <s v="TERESINA"/>
    <x v="0"/>
  </r>
  <r>
    <s v="5K87"/>
    <x v="8"/>
    <s v="JOYCE RODRIGUES DE SOUZA"/>
    <s v="LUIZ DE SOUSA LEAL NETO"/>
    <s v="VITORIA DE SANTO ANTAO"/>
    <x v="0"/>
  </r>
  <r>
    <s v="4T3Y"/>
    <x v="4"/>
    <s v="RAQUEL MARIA MONTEIRO LOPES"/>
    <s v="DIEGO HENRIQUE FERREIRA DANTAS"/>
    <s v="SOBRAL"/>
    <x v="0"/>
  </r>
  <r>
    <s v="AIVL"/>
    <x v="12"/>
    <s v="ANAIDE MARQUES FARIAS BRAGA OLIVEIRA"/>
    <s v="DIEGO HENRIQUE FERREIRA DANTAS"/>
    <s v="HORIZONTE"/>
    <x v="0"/>
  </r>
  <r>
    <s v="GICL"/>
    <x v="5"/>
    <s v="ROSINEIDE ANTUNES DE QUEIROGA VIEIRA"/>
    <s v="FLAVIO GOMES RODRIGUES DOS SANTOS"/>
    <s v="CAMPINA GRANDE"/>
    <x v="0"/>
  </r>
  <r>
    <s v="IQ7X"/>
    <x v="16"/>
    <s v="MARIA TATIANA BORBA GUERREIRO"/>
    <s v="LUIZ DE SOUSA LEAL NETO"/>
    <s v="TORITAMA"/>
    <x v="0"/>
  </r>
  <r>
    <s v="IUSA"/>
    <x v="7"/>
    <s v="ADILSON MARQUES DA SILVA"/>
    <s v="LUIZ DE SOUSA LEAL NETO"/>
    <s v="AFOGADOS DA INGAZEIRA"/>
    <x v="0"/>
  </r>
  <r>
    <s v="8WT5"/>
    <x v="12"/>
    <s v="ANAIDE MARQUES FARIAS BRAGA OLIVEIRA"/>
    <s v="DIEGO HENRIQUE FERREIRA DANTAS"/>
    <s v="FORTALEZA"/>
    <x v="0"/>
  </r>
  <r>
    <s v="TATI"/>
    <x v="12"/>
    <s v="ANAIDE MARQUES FARIAS BRAGA OLIVEIRA"/>
    <s v="DIEGO HENRIQUE FERREIRA DANTAS"/>
    <s v="FORTALEZA"/>
    <x v="0"/>
  </r>
  <r>
    <s v="Y1QH"/>
    <x v="12"/>
    <s v="ANAIDE MARQUES FARIAS BRAGA OLIVEIRA"/>
    <s v="DIEGO HENRIQUE FERREIRA DANTAS"/>
    <s v="FORTALEZA"/>
    <x v="0"/>
  </r>
  <r>
    <s v="0BRK"/>
    <x v="17"/>
    <s v="SIDNEI RODRIGUES FILHO"/>
    <s v="MARCOS LOPES PEDROSA JUNIOR"/>
    <s v="BELO HORIZONTE"/>
    <x v="1"/>
  </r>
  <r>
    <s v="4A0L"/>
    <x v="17"/>
    <s v="LEONARDO SIMOES DOS SANTOS"/>
    <s v="MARCOS LOPES PEDROSA JUNIOR"/>
    <s v="BETIM"/>
    <x v="1"/>
  </r>
  <r>
    <s v="7EKV"/>
    <x v="17"/>
    <s v="SIDNEI RODRIGUES FILHO"/>
    <s v="MARCOS LOPES PEDROSA JUNIOR"/>
    <s v="BELO HORIZONTE"/>
    <x v="1"/>
  </r>
  <r>
    <s v="6SRL"/>
    <x v="17"/>
    <s v="LIZANDRA PERES DA SILVA"/>
    <s v="JORGE PEREIRA AZAMBUJA FILHO"/>
    <s v="BELO HORIZONTE"/>
    <x v="1"/>
  </r>
  <r>
    <s v="LE5A"/>
    <x v="18"/>
    <s v="KARINE MARI REZENDE"/>
    <s v="KAROLINE LAMAS DE ANDRADE"/>
    <s v="JUIZ DE FORA"/>
    <x v="1"/>
  </r>
  <r>
    <s v="2WDY"/>
    <x v="17"/>
    <s v="WATTILA DANILO DE JESUS"/>
    <s v="JORGE PEREIRA AZAMBUJA FILHO"/>
    <s v="BELO HORIZONTE"/>
    <x v="1"/>
  </r>
  <r>
    <s v="D71P"/>
    <x v="19"/>
    <s v="LUCAS FERREIRA BERTOZZI"/>
    <s v="JORGE PEREIRA AZAMBUJA FILHO"/>
    <s v="POCOS DE CALDAS"/>
    <x v="1"/>
  </r>
  <r>
    <s v="K2Q0"/>
    <x v="20"/>
    <s v="LUIS CARLOS DE ASSIS"/>
    <s v="JORGE PEREIRA AZAMBUJA FILHO"/>
    <s v="VARGINHA"/>
    <x v="1"/>
  </r>
  <r>
    <s v="KTD1"/>
    <x v="20"/>
    <s v="WILLIAM GUILHERME FERREIRA DA SILVA"/>
    <s v="MARCOS LOPES PEDROSA JUNIOR"/>
    <s v="BELO HORIZONTE"/>
    <x v="1"/>
  </r>
  <r>
    <s v="LG93"/>
    <x v="21"/>
    <s v="LUANA PAULA PICANCO CASTRO INOUE"/>
    <s v="BRENNER SOUZA RODRIGUES"/>
    <s v="PONTE NOVA"/>
    <x v="1"/>
  </r>
  <r>
    <s v="NL4Q"/>
    <x v="22"/>
    <s v="PATRICIA APARECIDA DA SILVA"/>
    <s v="BRENNER SOUZA RODRIGUES"/>
    <s v="NOVA ERA"/>
    <x v="1"/>
  </r>
  <r>
    <s v="OHX9"/>
    <x v="23"/>
    <s v="LUCAS FERREIRA BERTOZZI"/>
    <s v="JORGE PEREIRA AZAMBUJA FILHO"/>
    <s v="EXTREMA"/>
    <x v="1"/>
  </r>
  <r>
    <s v="TJ8N"/>
    <x v="24"/>
    <s v="CYNTIA SILVA BIANCHETTI"/>
    <s v="KAROLINE LAMAS DE ANDRADE"/>
    <s v="SAO JOAO DEL REI"/>
    <x v="1"/>
  </r>
  <r>
    <s v="EFD6"/>
    <x v="17"/>
    <s v="MATEUS MARQUES VIANA"/>
    <s v="MARCOS LOPES PEDROSA JUNIOR"/>
    <s v="DIVINOPOLIS"/>
    <x v="1"/>
  </r>
  <r>
    <s v="LW7S"/>
    <x v="17"/>
    <s v="MABY APARECIDA DUARTE"/>
    <s v="MARCOS LOPES PEDROSA JUNIOR"/>
    <s v="BELO HORIZONTE"/>
    <x v="1"/>
  </r>
  <r>
    <s v="7A4U"/>
    <x v="17"/>
    <s v="MABY APARECIDA DUARTE"/>
    <s v="MARCOS LOPES PEDROSA JUNIOR"/>
    <s v="BELO HORIZONTE"/>
    <x v="1"/>
  </r>
  <r>
    <s v="VSPH"/>
    <x v="22"/>
    <s v="PATRICIA APARECIDA DA SILVA"/>
    <s v="BRENNER SOUZA RODRIGUES"/>
    <s v="BARAO DE COCAIS"/>
    <x v="1"/>
  </r>
  <r>
    <s v="W3PZ"/>
    <x v="20"/>
    <s v="LUANA APARECIDA DOS REIS"/>
    <s v="ALINE MACIEL DE PAULA"/>
    <s v="UBERLANDIA"/>
    <x v="1"/>
  </r>
  <r>
    <s v="XPJN"/>
    <x v="17"/>
    <s v="LEONARDO SIMOES DOS SANTOS"/>
    <s v="MARCOS LOPES PEDROSA JUNIOR"/>
    <s v="BELO HORIZONTE"/>
    <x v="1"/>
  </r>
  <r>
    <s v="YC4I"/>
    <x v="25"/>
    <s v="LUANA APARECIDA DOS REIS"/>
    <s v="ALINE MACIEL DE PAULA"/>
    <s v="ARAGUARI"/>
    <x v="1"/>
  </r>
  <r>
    <s v="I3L2"/>
    <x v="17"/>
    <s v="WATTILA DANILO DE JESUS"/>
    <s v="JORGE PEREIRA AZAMBUJA FILHO"/>
    <s v="SANTA LUZIA"/>
    <x v="1"/>
  </r>
  <r>
    <s v="ZKML"/>
    <x v="20"/>
    <s v="PAULIANA PEREIRA DA SILVA OLIVEIRA"/>
    <s v="ALINE MACIEL DE PAULA"/>
    <s v="UBERABA"/>
    <x v="1"/>
  </r>
  <r>
    <s v="198Y"/>
    <x v="22"/>
    <s v="CYNTIA SILVA BIANCHETTI"/>
    <s v="KAROLINE LAMAS DE ANDRADE"/>
    <s v="CONGONHAS"/>
    <x v="1"/>
  </r>
  <r>
    <s v="YQHE"/>
    <x v="26"/>
    <s v="LUIS CARLOS DE ASSIS"/>
    <s v="JORGE PEREIRA AZAMBUJA FILHO"/>
    <s v="ALFENAS"/>
    <x v="1"/>
  </r>
  <r>
    <s v="3V97"/>
    <x v="20"/>
    <s v="LUIS CARLOS DE ASSIS"/>
    <s v="JORGE PEREIRA AZAMBUJA FILHO"/>
    <s v="TRES CORACOES"/>
    <x v="1"/>
  </r>
  <r>
    <s v="DRVA"/>
    <x v="22"/>
    <s v="LUANA PAULA PICANCO CASTRO INOUE"/>
    <s v="BRENNER SOUZA RODRIGUES"/>
    <s v="OURO PRETO"/>
    <x v="1"/>
  </r>
  <r>
    <s v="2LUP"/>
    <x v="18"/>
    <s v="JOSIANA EMILIA SILVA FARIA"/>
    <s v="KAROLINE LAMAS DE ANDRADE"/>
    <s v="MURIAE"/>
    <x v="1"/>
  </r>
  <r>
    <s v="48SI"/>
    <x v="18"/>
    <s v="CYNTIA SILVA BIANCHETTI"/>
    <s v="KAROLINE LAMAS DE ANDRADE"/>
    <s v="BARBACENA"/>
    <x v="1"/>
  </r>
  <r>
    <s v="A9Q7"/>
    <x v="18"/>
    <s v="JOSIANA EMILIA SILVA FARIA"/>
    <s v="KAROLINE LAMAS DE ANDRADE"/>
    <s v="LEOPOLDINA"/>
    <x v="1"/>
  </r>
  <r>
    <s v="IUP6"/>
    <x v="18"/>
    <s v="PATRICIA APARECIDA DA SILVA"/>
    <s v="BRENNER SOUZA RODRIGUES"/>
    <s v="JOAO MONLEVADE"/>
    <x v="1"/>
  </r>
  <r>
    <s v="V32L"/>
    <x v="18"/>
    <s v="JESSICA PEREIRA BOTELHO ARRUDA"/>
    <s v="BRENNER SOUZA RODRIGUES"/>
    <s v="IPATINGA"/>
    <x v="1"/>
  </r>
  <r>
    <s v="7TEH"/>
    <x v="17"/>
    <s v="MATEUS MARQUES VIANA"/>
    <s v="MARCOS LOPES PEDROSA JUNIOR"/>
    <s v="NOVA SERRANA"/>
    <x v="1"/>
  </r>
  <r>
    <s v="8PVZ"/>
    <x v="17"/>
    <s v="MABY APARECIDA DUARTE"/>
    <s v="MARCOS LOPES PEDROSA JUNIOR"/>
    <s v="CONTAGEM"/>
    <x v="1"/>
  </r>
  <r>
    <s v="9TDC"/>
    <x v="17"/>
    <s v="LIZANDRA PERES DA SILVA"/>
    <s v="JORGE PEREIRA AZAMBUJA FILHO"/>
    <s v="SETE LAGOAS"/>
    <x v="1"/>
  </r>
  <r>
    <s v="56F7"/>
    <x v="27"/>
    <s v="JESSICA PEREIRA BOTELHO ARRUDA"/>
    <s v="BRENNER SOUZA RODRIGUES"/>
    <s v="MUTUM"/>
    <x v="1"/>
  </r>
  <r>
    <s v="5GME"/>
    <x v="20"/>
    <s v="LUCAS FERREIRA BERTOZZI"/>
    <s v="JORGE PEREIRA AZAMBUJA FILHO"/>
    <s v="PASSOS"/>
    <x v="1"/>
  </r>
  <r>
    <s v="KVHA"/>
    <x v="18"/>
    <s v="LUANA APARECIDA DOS REIS"/>
    <s v="ALINE MACIEL DE PAULA"/>
    <s v="MONTES CLAROS"/>
    <x v="1"/>
  </r>
  <r>
    <s v="6EST"/>
    <x v="28"/>
    <s v="PATRICIA APARECIDA DA SILVA"/>
    <s v="BRENNER SOUZA RODRIGUES"/>
    <s v="ITABIRA"/>
    <x v="1"/>
  </r>
  <r>
    <s v="UTIQ"/>
    <x v="17"/>
    <s v="SIDNEI RODRIGUES FILHO"/>
    <s v="MARCOS LOPES PEDROSA JUNIOR"/>
    <s v="CONTAGEM"/>
    <x v="1"/>
  </r>
  <r>
    <s v="849H"/>
    <x v="22"/>
    <s v="LUANA PAULA PICANCO CASTRO INOUE"/>
    <s v="BRENNER SOUZA RODRIGUES"/>
    <s v="ITABIRITO"/>
    <x v="1"/>
  </r>
  <r>
    <s v="85WJ"/>
    <x v="29"/>
    <s v="LUCAS FERREIRA BERTOZZI"/>
    <s v="JORGE PEREIRA AZAMBUJA FILHO"/>
    <s v="ITAJUBA"/>
    <x v="1"/>
  </r>
  <r>
    <s v="ODNB"/>
    <x v="18"/>
    <s v="PATRICIA APARECIDA DA SILVA"/>
    <s v="BRENNER SOUZA RODRIGUES"/>
    <s v="TIMOTEO"/>
    <x v="1"/>
  </r>
  <r>
    <s v="94B7"/>
    <x v="20"/>
    <s v="PAULIANA PEREIRA DA SILVA OLIVEIRA"/>
    <s v="ALINE MACIEL DE PAULA"/>
    <s v="FRUTAL"/>
    <x v="1"/>
  </r>
  <r>
    <s v="32SE"/>
    <x v="18"/>
    <s v="JESSICA PEREIRA BOTELHO ARRUDA"/>
    <s v="BRENNER SOUZA RODRIGUES"/>
    <s v="IPATINGA"/>
    <x v="1"/>
  </r>
  <r>
    <s v="ARIY"/>
    <x v="17"/>
    <s v="SIDNEI RODRIGUES FILHO"/>
    <s v="MARCOS LOPES PEDROSA JUNIOR"/>
    <s v="BELO HORIZONTE"/>
    <x v="1"/>
  </r>
  <r>
    <s v="AYBQ"/>
    <x v="20"/>
    <s v="PAULIANA PEREIRA DA SILVA OLIVEIRA"/>
    <s v="ALINE MACIEL DE PAULA"/>
    <s v="ARAXA"/>
    <x v="1"/>
  </r>
  <r>
    <s v="BFOF"/>
    <x v="30"/>
    <s v="WATTILA DANILO DE JESUS"/>
    <s v="JORGE PEREIRA AZAMBUJA FILHO"/>
    <s v="MATOZINHOS"/>
    <x v="1"/>
  </r>
  <r>
    <s v="BZOW"/>
    <x v="31"/>
    <s v="JOSIANA EMILIA SILVA FARIA"/>
    <s v="KAROLINE LAMAS DE ANDRADE"/>
    <s v="VISCONDE DO RIO BRANCO"/>
    <x v="1"/>
  </r>
  <r>
    <s v="CEXI"/>
    <x v="17"/>
    <s v="LIZANDRA PERES DA SILVA"/>
    <s v="JORGE PEREIRA AZAMBUJA FILHO"/>
    <s v="BELO HORIZONTE"/>
    <x v="1"/>
  </r>
  <r>
    <s v="DNKC"/>
    <x v="31"/>
    <s v="KARINE MARI REZENDE"/>
    <s v="KAROLINE LAMAS DE ANDRADE"/>
    <s v="SANTOS DUMONT"/>
    <x v="1"/>
  </r>
  <r>
    <s v="DXI9"/>
    <x v="24"/>
    <s v="CYNTIA SILVA BIANCHETTI"/>
    <s v="KAROLINE LAMAS DE ANDRADE"/>
    <s v="BARBACENA"/>
    <x v="1"/>
  </r>
  <r>
    <s v="Q40H"/>
    <x v="17"/>
    <s v="LEONARDO SIMOES DOS SANTOS"/>
    <s v="MARCOS LOPES PEDROSA JUNIOR"/>
    <s v="BETIM"/>
    <x v="1"/>
  </r>
  <r>
    <s v="EUIV"/>
    <x v="17"/>
    <s v="WILLIAM GUILHERME FERREIRA DA SILVA"/>
    <s v="MARCOS LOPES PEDROSA JUNIOR"/>
    <s v="BELO HORIZONTE"/>
    <x v="1"/>
  </r>
  <r>
    <s v="LCKP"/>
    <x v="17"/>
    <s v="LIZANDRA PERES DA SILVA"/>
    <s v="JORGE PEREIRA AZAMBUJA FILHO"/>
    <s v="LAGOA SANTA"/>
    <x v="1"/>
  </r>
  <r>
    <s v="FPC3"/>
    <x v="30"/>
    <s v="WATTILA DANILO DE JESUS"/>
    <s v="JORGE PEREIRA AZAMBUJA FILHO"/>
    <s v="RIBEIRAO DAS NEVES"/>
    <x v="1"/>
  </r>
  <r>
    <s v="G8R1"/>
    <x v="32"/>
    <s v="LUANA PAULA PICANCO CASTRO INOUE"/>
    <s v="BRENNER SOUZA RODRIGUES"/>
    <s v="VICOSA"/>
    <x v="1"/>
  </r>
  <r>
    <s v="GOKT"/>
    <x v="30"/>
    <s v="WATTILA DANILO DE JESUS"/>
    <s v="JORGE PEREIRA AZAMBUJA FILHO"/>
    <s v="RIBEIRAO DAS NEVES"/>
    <x v="1"/>
  </r>
  <r>
    <s v="HYFH"/>
    <x v="20"/>
    <s v="LUANA APARECIDA DOS REIS"/>
    <s v="ALINE MACIEL DE PAULA"/>
    <s v="UBERLANDIA"/>
    <x v="1"/>
  </r>
  <r>
    <s v="I0GQ"/>
    <x v="33"/>
    <s v="LUCAS FERREIRA BERTOZZI"/>
    <s v="JORGE PEREIRA AZAMBUJA FILHO"/>
    <s v="POCOS DE CALDAS"/>
    <x v="1"/>
  </r>
  <r>
    <s v="IAN0"/>
    <x v="34"/>
    <s v="LUIS CARLOS DE ASSIS"/>
    <s v="JORGE PEREIRA AZAMBUJA FILHO"/>
    <s v="CAMBUQUIRA"/>
    <x v="1"/>
  </r>
  <r>
    <s v="IGJ4"/>
    <x v="20"/>
    <s v="PAULIANA PEREIRA DA SILVA OLIVEIRA"/>
    <s v="ALINE MACIEL DE PAULA"/>
    <s v="UBERABA"/>
    <x v="1"/>
  </r>
  <r>
    <s v="JWMO"/>
    <x v="22"/>
    <s v="PATRICIA APARECIDA DA SILVA"/>
    <s v="BRENNER SOUZA RODRIGUES"/>
    <s v="SANTA BARBARA"/>
    <x v="1"/>
  </r>
  <r>
    <s v="LD07"/>
    <x v="35"/>
    <s v="LEONARDO SIMOES DOS SANTOS"/>
    <s v="MARCOS LOPES PEDROSA JUNIOR"/>
    <s v="BETIM"/>
    <x v="1"/>
  </r>
  <r>
    <s v="LZKR"/>
    <x v="32"/>
    <s v="LUANA PAULA PICANCO CASTRO INOUE"/>
    <s v="BRENNER SOUZA RODRIGUES"/>
    <s v="VICOSA"/>
    <x v="1"/>
  </r>
  <r>
    <s v="M2JO"/>
    <x v="30"/>
    <s v="WATTILA DANILO DE JESUS"/>
    <s v="JORGE PEREIRA AZAMBUJA FILHO"/>
    <s v="PEDRO LEOPOLDO"/>
    <x v="1"/>
  </r>
  <r>
    <s v="M7JT"/>
    <x v="36"/>
    <s v="PAULIANA PEREIRA DA SILVA OLIVEIRA"/>
    <s v="ALINE MACIEL DE PAULA"/>
    <s v="UBERABA"/>
    <x v="1"/>
  </r>
  <r>
    <s v="MEU2"/>
    <x v="35"/>
    <s v="LEONARDO SIMOES DOS SANTOS"/>
    <s v="MARCOS LOPES PEDROSA JUNIOR"/>
    <s v="MATEUS LEME"/>
    <x v="1"/>
  </r>
  <r>
    <s v="MHRS"/>
    <x v="17"/>
    <s v="WILLIAM GUILHERME FERREIRA DA SILVA"/>
    <s v="MARCOS LOPES PEDROSA JUNIOR"/>
    <s v="CONTAGEM"/>
    <x v="1"/>
  </r>
  <r>
    <s v="N0ML"/>
    <x v="17"/>
    <s v="WILLIAM GUILHERME FERREIRA DA SILVA"/>
    <s v="MARCOS LOPES PEDROSA JUNIOR"/>
    <s v="BELO HORIZONTE"/>
    <x v="1"/>
  </r>
  <r>
    <s v="NIKZ"/>
    <x v="17"/>
    <s v="LIZANDRA PERES DA SILVA"/>
    <s v="JORGE PEREIRA AZAMBUJA FILHO"/>
    <s v="SETE LAGOAS"/>
    <x v="1"/>
  </r>
  <r>
    <s v="NMT7"/>
    <x v="20"/>
    <s v="LUANA APARECIDA DOS REIS"/>
    <s v="ALINE MACIEL DE PAULA"/>
    <s v="ARAGUARI"/>
    <x v="1"/>
  </r>
  <r>
    <s v="O1I5"/>
    <x v="31"/>
    <s v="JOSIANA EMILIA SILVA FARIA"/>
    <s v="KAROLINE LAMAS DE ANDRADE"/>
    <s v="UBA"/>
    <x v="1"/>
  </r>
  <r>
    <s v="PAGK"/>
    <x v="20"/>
    <s v="KARINE MARI REZENDE"/>
    <s v="KAROLINE LAMAS DE ANDRADE"/>
    <s v="JUIZ DE FORA"/>
    <x v="1"/>
  </r>
  <r>
    <s v="PFTU"/>
    <x v="32"/>
    <s v="JESSICA PEREIRA BOTELHO ARRUDA"/>
    <s v="BRENNER SOUZA RODRIGUES"/>
    <s v="GOVERNADOR VALADARES"/>
    <x v="1"/>
  </r>
  <r>
    <s v="PI3M"/>
    <x v="17"/>
    <s v="WILLIAM GUILHERME FERREIRA DA SILVA"/>
    <s v="MARCOS LOPES PEDROSA JUNIOR"/>
    <s v="IGARAPE"/>
    <x v="1"/>
  </r>
  <r>
    <s v="SKQ6"/>
    <x v="20"/>
    <s v="LUCAS FERREIRA BERTOZZI"/>
    <s v="JORGE PEREIRA AZAMBUJA FILHO"/>
    <s v="POUSO ALEGRE"/>
    <x v="1"/>
  </r>
  <r>
    <s v="U6U2"/>
    <x v="37"/>
    <s v="LUANA PAULA PICANCO CASTRO INOUE"/>
    <s v="BRENNER SOUZA RODRIGUES"/>
    <s v="CARATINGA"/>
    <x v="1"/>
  </r>
  <r>
    <s v="WCTS"/>
    <x v="20"/>
    <s v="LUANA APARECIDA DOS REIS"/>
    <s v="ALINE MACIEL DE PAULA"/>
    <s v="ITUIUTABA"/>
    <x v="1"/>
  </r>
  <r>
    <s v="LBX4"/>
    <x v="17"/>
    <s v="MATEUS MARQUES VIANA"/>
    <s v="MARCOS LOPES PEDROSA JUNIOR"/>
    <s v="PARA DE MINAS"/>
    <x v="1"/>
  </r>
  <r>
    <s v="WLD4"/>
    <x v="38"/>
    <s v="JESSICA PEREIRA BOTELHO ARRUDA"/>
    <s v="BRENNER SOUZA RODRIGUES"/>
    <s v="ALMENARA"/>
    <x v="1"/>
  </r>
  <r>
    <s v="WY7E"/>
    <x v="39"/>
    <s v="LUANA APARECIDA DOS REIS"/>
    <s v="ALINE MACIEL DE PAULA"/>
    <s v="DIAMANTINA"/>
    <x v="1"/>
  </r>
  <r>
    <s v="X8IF"/>
    <x v="37"/>
    <s v="JOSIANA EMILIA SILVA FARIA"/>
    <s v="KAROLINE LAMAS DE ANDRADE"/>
    <s v="ESPERA FELIZ"/>
    <x v="1"/>
  </r>
  <r>
    <n v="4540"/>
    <x v="17"/>
    <s v="LIZANDRA PERES DA SILVA"/>
    <s v="JORGE PEREIRA AZAMBUJA FILHO"/>
    <s v="VESPASIANO"/>
    <x v="1"/>
  </r>
  <r>
    <s v="Z404"/>
    <x v="17"/>
    <s v="MABY APARECIDA DUARTE"/>
    <s v="MARCOS LOPES PEDROSA JUNIOR"/>
    <s v="NOVA LIMA"/>
    <x v="1"/>
  </r>
  <r>
    <s v="MXJG"/>
    <x v="17"/>
    <s v="MATEUS MARQUES VIANA"/>
    <s v="MARCOS LOPES PEDROSA JUNIOR"/>
    <s v="ITAUNA"/>
    <x v="1"/>
  </r>
  <r>
    <s v="9PNA"/>
    <x v="32"/>
    <s v="JESSICA PEREIRA BOTELHO ARRUDA"/>
    <s v="BRENNER SOUZA RODRIGUES"/>
    <s v="TEOFILO OTONI"/>
    <x v="1"/>
  </r>
  <r>
    <s v="63SQ"/>
    <x v="40"/>
    <s v="JESSICA PEREIRA BOTELHO ARRUDA"/>
    <s v="BRENNER SOUZA RODRIGUES"/>
    <s v="GOVERNADOR VALADARES"/>
    <x v="1"/>
  </r>
  <r>
    <s v="M8XO"/>
    <x v="18"/>
    <s v="JOSIANA EMILIA SILVA FARIA"/>
    <s v="KAROLINE LAMAS DE ANDRADE"/>
    <s v="CATAGUASES"/>
    <x v="1"/>
  </r>
  <r>
    <s v="9VBP"/>
    <x v="20"/>
    <s v="LUIS CARLOS DE ASSIS"/>
    <s v="JORGE PEREIRA AZAMBUJA FILHO"/>
    <s v="LAVRAS"/>
    <x v="1"/>
  </r>
  <r>
    <s v="OBT4"/>
    <x v="22"/>
    <s v="LUANA PAULA PICANCO CASTRO INOUE"/>
    <s v="BRENNER SOUZA RODRIGUES"/>
    <s v="MARIANA"/>
    <x v="1"/>
  </r>
  <r>
    <s v="H5LD"/>
    <x v="18"/>
    <s v="CYNTIA SILVA BIANCHETTI"/>
    <s v="KAROLINE LAMAS DE ANDRADE"/>
    <s v="OURO BRANCO"/>
    <x v="1"/>
  </r>
  <r>
    <s v="JFQ0"/>
    <x v="33"/>
    <s v="LUCAS FERREIRA BERTOZZI"/>
    <s v="JORGE PEREIRA AZAMBUJA FILHO"/>
    <s v="GUAXUPE"/>
    <x v="1"/>
  </r>
  <r>
    <s v="JQUQ"/>
    <x v="41"/>
    <s v="CYNTIA SILVA BIANCHETTI"/>
    <s v="KAROLINE LAMAS DE ANDRADE"/>
    <s v="CONSELHEIRO LAFAIETE"/>
    <x v="1"/>
  </r>
  <r>
    <s v="VSGL"/>
    <x v="42"/>
    <s v="AMANDA DE CASTRO SILVA VAZ"/>
    <s v="MARIA BEATRIZ AGUIAR MARRA"/>
    <s v="GOIANIA"/>
    <x v="2"/>
  </r>
  <r>
    <s v="4Z2T"/>
    <x v="18"/>
    <s v="DAVID GOMES DA SILVA"/>
    <s v="MARIA BEATRIZ AGUIAR MARRA"/>
    <s v="GOIANIA"/>
    <x v="2"/>
  </r>
  <r>
    <s v="7LG1"/>
    <x v="18"/>
    <s v="DAVID GOMES DA SILVA"/>
    <s v="MARIA BEATRIZ AGUIAR MARRA"/>
    <s v="GOIANIA"/>
    <x v="2"/>
  </r>
  <r>
    <s v="P2MQ"/>
    <x v="18"/>
    <s v="ALEXANDRE KAZUO SHIRAKAWA"/>
    <s v="MARIA BEATRIZ AGUIAR MARRA"/>
    <s v="ANAPOLIS"/>
    <x v="2"/>
  </r>
  <r>
    <s v="UXVA"/>
    <x v="18"/>
    <s v="DAVID GOMES DA SILVA"/>
    <s v="MARIA BEATRIZ AGUIAR MARRA"/>
    <s v="ANAPOLIS"/>
    <x v="2"/>
  </r>
  <r>
    <s v="14Q6"/>
    <x v="42"/>
    <s v="AMANDA DE CASTRO SILVA VAZ"/>
    <s v="MARIA BEATRIZ AGUIAR MARRA"/>
    <s v="APARECIDA DE GOIANIA"/>
    <x v="2"/>
  </r>
  <r>
    <s v="BNLI"/>
    <x v="42"/>
    <s v="AMANDA DE CASTRO SILVA VAZ"/>
    <s v="MARIA BEATRIZ AGUIAR MARRA"/>
    <s v="APARECIDA DE GOIANIA"/>
    <x v="2"/>
  </r>
  <r>
    <s v="CEQS"/>
    <x v="42"/>
    <s v="AMANDA DE CASTRO SILVA VAZ"/>
    <s v="MARIA BEATRIZ AGUIAR MARRA"/>
    <s v="INHUMAS"/>
    <x v="2"/>
  </r>
  <r>
    <s v="PBK7"/>
    <x v="43"/>
    <s v="EDCLEIA PEREIRA DOS SANTOS ALMEIDA"/>
    <s v="MARIA BEATRIZ AGUIAR MARRA"/>
    <s v="CERES"/>
    <x v="2"/>
  </r>
  <r>
    <s v="2UQC"/>
    <x v="44"/>
    <s v="WANESSA OLIVEIRA DE QUEIROZ"/>
    <s v="MARIA BEATRIZ AGUIAR MARRA"/>
    <s v="ITAPURANGA"/>
    <x v="2"/>
  </r>
  <r>
    <s v="UF96"/>
    <x v="44"/>
    <s v="WANESSA OLIVEIRA DE QUEIROZ"/>
    <s v="MARIA BEATRIZ AGUIAR MARRA"/>
    <s v="URUACU"/>
    <x v="2"/>
  </r>
  <r>
    <s v="3VNM"/>
    <x v="45"/>
    <s v="LIDIANE ALVES CORDEIRO DA SILVA"/>
    <s v="RAINER OLIVEIRA DA CRUZ"/>
    <s v="PARAISO DO TOCANTINS"/>
    <x v="2"/>
  </r>
  <r>
    <s v="DDF7"/>
    <x v="46"/>
    <s v="VAGO"/>
    <s v="RAINER OLIVEIRA DA CRUZ"/>
    <s v="ARAGUAINA"/>
    <x v="2"/>
  </r>
  <r>
    <s v="SBVL"/>
    <x v="46"/>
    <s v="VAGO"/>
    <s v="RAINER OLIVEIRA DA CRUZ"/>
    <s v="ARAGUATINS"/>
    <x v="2"/>
  </r>
  <r>
    <s v="T4DE"/>
    <x v="46"/>
    <s v="VAGO"/>
    <s v="RAINER OLIVEIRA DA CRUZ"/>
    <s v="GURUPI"/>
    <x v="2"/>
  </r>
  <r>
    <s v="360O"/>
    <x v="47"/>
    <s v="THIAGO DE SOUSA GOULART"/>
    <s v="MARIA BEATRIZ AGUIAR MARRA"/>
    <s v="JATAI"/>
    <x v="2"/>
  </r>
  <r>
    <s v="AHF9"/>
    <x v="47"/>
    <s v="THIAGO DE SOUSA GOULART"/>
    <s v="MARIA BEATRIZ AGUIAR MARRA"/>
    <s v="JATAI"/>
    <x v="2"/>
  </r>
  <r>
    <s v="DE3E"/>
    <x v="47"/>
    <s v="THIAGO DE SOUSA GOULART"/>
    <s v="MARIA BEATRIZ AGUIAR MARRA"/>
    <s v="CATALAO"/>
    <x v="2"/>
  </r>
  <r>
    <s v="Q1LW"/>
    <x v="47"/>
    <s v="THIAGO DE SOUSA GOULART"/>
    <s v="MARIA BEATRIZ AGUIAR MARRA"/>
    <s v="RIO VERDE"/>
    <x v="2"/>
  </r>
  <r>
    <s v="TMHN"/>
    <x v="47"/>
    <s v="THIAGO DE SOUSA GOULART"/>
    <s v="MARIA BEATRIZ AGUIAR MARRA"/>
    <s v="ITUMBIARA"/>
    <x v="2"/>
  </r>
  <r>
    <s v="XMI3"/>
    <x v="47"/>
    <s v="THIAGO DE SOUSA GOULART"/>
    <s v="MARIA BEATRIZ AGUIAR MARRA"/>
    <s v="CATALAO"/>
    <x v="2"/>
  </r>
  <r>
    <s v="0CPE"/>
    <x v="18"/>
    <s v="THIAGO WILLIAM DA SILVA REIS"/>
    <s v="MARIA BEATRIZ AGUIAR MARRA"/>
    <s v="RIO VERDE"/>
    <x v="2"/>
  </r>
  <r>
    <s v="ED3S"/>
    <x v="18"/>
    <s v="THIAGO WILLIAM DA SILVA REIS"/>
    <s v="MARIA BEATRIZ AGUIAR MARRA"/>
    <s v="RIO VERDE"/>
    <x v="2"/>
  </r>
  <r>
    <s v="EL9O"/>
    <x v="18"/>
    <s v="THIAGO WILLIAM DA SILVA REIS"/>
    <s v="MARIA BEATRIZ AGUIAR MARRA"/>
    <s v="RIO VERDE"/>
    <x v="2"/>
  </r>
  <r>
    <s v="HA03"/>
    <x v="18"/>
    <s v="THIAGO WILLIAM DA SILVA REIS"/>
    <s v="MARIA BEATRIZ AGUIAR MARRA"/>
    <s v="ITUMBIARA"/>
    <x v="2"/>
  </r>
  <r>
    <s v="VBM2"/>
    <x v="18"/>
    <s v="THIAGO WILLIAM DA SILVA REIS"/>
    <s v="MARIA BEATRIZ AGUIAR MARRA"/>
    <s v="QUIRINOPOLIS"/>
    <x v="2"/>
  </r>
  <r>
    <s v="PKP0"/>
    <x v="18"/>
    <s v="THIAGO WILLIAM DA SILVA REIS"/>
    <s v="MARIA BEATRIZ AGUIAR MARRA"/>
    <s v="GOIATUBA"/>
    <x v="2"/>
  </r>
  <r>
    <s v="RFJG"/>
    <x v="44"/>
    <s v="WANESSA OLIVEIRA DE QUEIROZ"/>
    <s v="MARIA BEATRIZ AGUIAR MARRA"/>
    <s v="ANICUNS"/>
    <x v="2"/>
  </r>
  <r>
    <s v="TUBY"/>
    <x v="48"/>
    <s v="MIQUEIAS MARIANO CORA"/>
    <s v="CELSO DE OLIVEIRA ROMA"/>
    <s v="SINOP"/>
    <x v="2"/>
  </r>
  <r>
    <s v="IMGC"/>
    <x v="49"/>
    <s v="ANDRE LUIZ GOMES MARCHIORI"/>
    <s v="CELSO DE OLIVEIRA ROMA"/>
    <s v="TANGARA DA SERRA"/>
    <x v="2"/>
  </r>
  <r>
    <s v="ZMCK"/>
    <x v="50"/>
    <s v="ANDRE LUIZ GOMES MARCHIORI"/>
    <s v="CELSO DE OLIVEIRA ROMA"/>
    <s v="TANGARA DA SERRA"/>
    <x v="2"/>
  </r>
  <r>
    <s v="D58U"/>
    <x v="18"/>
    <s v="MIQUEIAS MARIANO CORA"/>
    <s v="CELSO DE OLIVEIRA ROMA"/>
    <s v="SORRISO"/>
    <x v="2"/>
  </r>
  <r>
    <s v="QVJV"/>
    <x v="18"/>
    <s v="MIQUEIAS MARIANO CORA"/>
    <s v="CELSO DE OLIVEIRA ROMA"/>
    <s v="SINOP"/>
    <x v="2"/>
  </r>
  <r>
    <s v="N2C3"/>
    <x v="18"/>
    <s v="SAMUEL FRANCISCO DA SILVA JUNIOR"/>
    <s v="CELSO DE OLIVEIRA ROMA"/>
    <s v="RONDONOPOLIS"/>
    <x v="2"/>
  </r>
  <r>
    <s v="4T7A"/>
    <x v="51"/>
    <s v="MIQUEIAS MARIANO CORA"/>
    <s v="CELSO DE OLIVEIRA ROMA"/>
    <s v="COLIDER"/>
    <x v="2"/>
  </r>
  <r>
    <s v="5C0D"/>
    <x v="52"/>
    <s v="EDUARDO DOS SANTOS KOURI"/>
    <s v="DULCILEIA LIMA PRADO"/>
    <s v="SENA MADUREIRA"/>
    <x v="2"/>
  </r>
  <r>
    <s v="JZE2"/>
    <x v="53"/>
    <s v="FERNANDA DOS SANTOS MAIA  "/>
    <s v="DULCILEIA LIMA PRADO"/>
    <s v="ITAPUA DO OESTE"/>
    <x v="2"/>
  </r>
  <r>
    <s v="CIX7"/>
    <x v="18"/>
    <s v="IAGO FERNANDO DA SILVA FLORES"/>
    <s v="DULCILEIA LIMA PRADO"/>
    <s v="VILHENA"/>
    <x v="2"/>
  </r>
  <r>
    <s v="5I62"/>
    <x v="54"/>
    <s v="IAGO FERNANDO DA SILVA FLORES"/>
    <s v="DULCILEIA LIMA PRADO"/>
    <s v="VILHENA"/>
    <x v="2"/>
  </r>
  <r>
    <s v="5LNH"/>
    <x v="55"/>
    <s v="FERNANDA DOS SANTOS MAIA  "/>
    <s v="DULCILEIA LIMA PRADO"/>
    <s v="CANDEIAS DO JAMARI"/>
    <x v="2"/>
  </r>
  <r>
    <s v="686G"/>
    <x v="18"/>
    <s v="FERNANDA DOS SANTOS MAIA  "/>
    <s v="DULCILEIA LIMA PRADO"/>
    <s v="PORTO VELHO"/>
    <x v="2"/>
  </r>
  <r>
    <s v="A7O4"/>
    <x v="54"/>
    <s v="FERNANDA DOS SANTOS MAIA  "/>
    <s v="DULCILEIA LIMA PRADO"/>
    <s v="PORTO VELHO"/>
    <x v="2"/>
  </r>
  <r>
    <s v="EM9F"/>
    <x v="56"/>
    <s v="IAGO FERNANDO DA SILVA FLORES"/>
    <s v="DULCILEIA LIMA PRADO"/>
    <s v="ALTA FLORESTA D OESTE"/>
    <x v="2"/>
  </r>
  <r>
    <s v="KORY"/>
    <x v="57"/>
    <s v="IAGO FERNANDO DA SILVA FLORES"/>
    <s v="DULCILEIA LIMA PRADO"/>
    <s v="CACOAL"/>
    <x v="2"/>
  </r>
  <r>
    <s v="MEQV"/>
    <x v="58"/>
    <s v="DAISY PINHEIRO RODRIGUES"/>
    <s v="DULCILEIA LIMA PRADO"/>
    <s v="SAO FRANCISCO DO GUAPORE"/>
    <x v="2"/>
  </r>
  <r>
    <s v="MKI4"/>
    <x v="18"/>
    <s v="FERNANDA DOS SANTOS MAIA  "/>
    <s v="DULCILEIA LIMA PRADO"/>
    <s v="PORTO VELHO"/>
    <x v="2"/>
  </r>
  <r>
    <s v="N4PJ"/>
    <x v="59"/>
    <s v="IAGO FERNANDO DA SILVA FLORES"/>
    <s v="DULCILEIA LIMA PRADO"/>
    <s v="CACOAL"/>
    <x v="2"/>
  </r>
  <r>
    <s v="TJP8"/>
    <x v="60"/>
    <s v="DAISY PINHEIRO RODRIGUES"/>
    <s v="DULCILEIA LIMA PRADO"/>
    <s v="MACHADINHO D'OESTE"/>
    <x v="2"/>
  </r>
  <r>
    <s v="UMX1"/>
    <x v="54"/>
    <s v="FERNANDA DOS SANTOS MAIA  "/>
    <s v="DULCILEIA LIMA PRADO"/>
    <s v="PORTO VELHO"/>
    <x v="2"/>
  </r>
  <r>
    <s v="ED2H"/>
    <x v="61"/>
    <s v="DAISY PINHEIRO RODRIGUES"/>
    <s v="DULCILEIA LIMA PRADO"/>
    <s v="OURO PRETO DO OESTE"/>
    <x v="2"/>
  </r>
  <r>
    <s v="0O7P"/>
    <x v="18"/>
    <s v="DAISY PINHEIRO RODRIGUES"/>
    <s v="DULCILEIA LIMA PRADO"/>
    <s v="JI-PARANA"/>
    <x v="2"/>
  </r>
  <r>
    <s v="GKOZ"/>
    <x v="18"/>
    <s v="FERNANDA DOS SANTOS MAIA  "/>
    <s v="DULCILEIA LIMA PRADO"/>
    <s v="ARIQUEMES"/>
    <x v="2"/>
  </r>
  <r>
    <s v="QLSH"/>
    <x v="18"/>
    <s v="FERNANDA DOS SANTOS MAIA  "/>
    <s v="DULCILEIA LIMA PRADO"/>
    <s v="ARIQUEMES"/>
    <x v="2"/>
  </r>
  <r>
    <s v="SZD2"/>
    <x v="52"/>
    <s v="EDUARDO DOS SANTOS KOURI"/>
    <s v="DULCILEIA LIMA PRADO"/>
    <s v="CRUZEIRO DO SUL"/>
    <x v="2"/>
  </r>
  <r>
    <s v="VHGU"/>
    <x v="62"/>
    <s v="AMANDA TEOTONIO DE SOUSA BRITO"/>
    <s v="RICARDO LIMA DE OLIVEIRA"/>
    <s v="CRISTALINA"/>
    <x v="2"/>
  </r>
  <r>
    <s v="Z7JR"/>
    <x v="18"/>
    <s v="EDDIE MICHAEL LUCAS DA SILVA"/>
    <s v="RICARDO LIMA DE OLIVEIRA"/>
    <s v="AGUAS LINDAS DE GOIAS"/>
    <x v="2"/>
  </r>
  <r>
    <s v="U5ES"/>
    <x v="63"/>
    <s v="GUSTAVO MARTINS BARBOSA"/>
    <s v="FABIO VINICIUS WOLFF"/>
    <s v="APARECIDA DO TABOADO"/>
    <x v="2"/>
  </r>
  <r>
    <s v="HXPE"/>
    <x v="64"/>
    <s v="GUSTAVO MARTINS BARBOSA"/>
    <s v="FABIO VINICIUS WOLFF"/>
    <s v="PARANAIBA"/>
    <x v="2"/>
  </r>
  <r>
    <s v="73H9"/>
    <x v="48"/>
    <s v="PABLO LIMA DOS SANTOS"/>
    <s v="FABIO VINICIUS WOLFF"/>
    <s v="CAMPO GRANDE"/>
    <x v="2"/>
  </r>
  <r>
    <s v="FI2Q"/>
    <x v="48"/>
    <s v="PABLO LIMA DOS SANTOS"/>
    <s v="FABIO VINICIUS WOLFF"/>
    <s v="CAMPO GRANDE"/>
    <x v="2"/>
  </r>
  <r>
    <s v="8GL5"/>
    <x v="48"/>
    <s v="JAQUELINE SILVA NANTES"/>
    <s v="FABIO VINICIUS WOLFF"/>
    <s v="PONTA PORA"/>
    <x v="2"/>
  </r>
  <r>
    <s v="GWH6"/>
    <x v="48"/>
    <s v="JAQUELINE SILVA NANTES"/>
    <s v="FABIO VINICIUS WOLFF"/>
    <s v="DOURADOS"/>
    <x v="2"/>
  </r>
  <r>
    <s v="I2HZ"/>
    <x v="65"/>
    <s v="JAQUELINE SILVA NANTES"/>
    <s v="FABIO VINICIUS WOLFF"/>
    <s v="MUNDO NOVO"/>
    <x v="2"/>
  </r>
  <r>
    <s v="Y6NQ"/>
    <x v="65"/>
    <s v="JAQUELINE SILVA NANTES"/>
    <s v="FABIO VINICIUS WOLFF"/>
    <s v="NAVIRAI"/>
    <x v="2"/>
  </r>
  <r>
    <s v="3EAZ"/>
    <x v="47"/>
    <s v="THIAGO DE SOUSA GOULART"/>
    <s v="MARIA BEATRIZ AGUIAR MARRA"/>
    <s v="APARECIDA DE GOIANIA"/>
    <x v="2"/>
  </r>
  <r>
    <s v="646X"/>
    <x v="42"/>
    <s v="AMANDA DE CASTRO SILVA VAZ"/>
    <s v="MARIA BEATRIZ AGUIAR MARRA"/>
    <s v="TRINDADE"/>
    <x v="2"/>
  </r>
  <r>
    <s v="6AM1"/>
    <x v="42"/>
    <s v="AMANDA DE CASTRO SILVA VAZ"/>
    <s v="MARIA BEATRIZ AGUIAR MARRA"/>
    <s v="GOIANIA"/>
    <x v="2"/>
  </r>
  <r>
    <s v="KWN8"/>
    <x v="42"/>
    <s v="AMANDA DE CASTRO SILVA VAZ"/>
    <s v="MARIA BEATRIZ AGUIAR MARRA"/>
    <s v="GOIANIA"/>
    <x v="2"/>
  </r>
  <r>
    <s v="NZ76"/>
    <x v="66"/>
    <s v="EDCLEIA PEREIRA DOS SANTOS ALMEIDA"/>
    <s v="MARIA BEATRIZ AGUIAR MARRA"/>
    <s v="GOIANIA"/>
    <x v="2"/>
  </r>
  <r>
    <s v="W2E0"/>
    <x v="42"/>
    <s v="AMANDA DE CASTRO SILVA VAZ"/>
    <s v="MARIA BEATRIZ AGUIAR MARRA"/>
    <s v="ALEXANIA"/>
    <x v="2"/>
  </r>
  <r>
    <s v="AHV0"/>
    <x v="66"/>
    <s v="EDCLEIA PEREIRA DOS SANTOS ALMEIDA"/>
    <s v="MARIA BEATRIZ AGUIAR MARRA"/>
    <s v="BELA VISTA DE GOIAS"/>
    <x v="2"/>
  </r>
  <r>
    <s v="63WE"/>
    <x v="18"/>
    <s v="DAVID GOMES DA SILVA"/>
    <s v="MARIA BEATRIZ AGUIAR MARRA"/>
    <s v="SENADOR CANEDO"/>
    <x v="2"/>
  </r>
  <r>
    <s v="7EJV"/>
    <x v="18"/>
    <s v="DAVID GOMES DA SILVA"/>
    <s v="MARIA BEATRIZ AGUIAR MARRA"/>
    <s v="ANAPOLIS"/>
    <x v="2"/>
  </r>
  <r>
    <s v="B4E6"/>
    <x v="18"/>
    <s v="DAVID GOMES DA SILVA"/>
    <s v="MARIA BEATRIZ AGUIAR MARRA"/>
    <s v="PORANGATU"/>
    <x v="2"/>
  </r>
  <r>
    <s v="HLGT"/>
    <x v="18"/>
    <s v="DAVID GOMES DA SILVA"/>
    <s v="MARIA BEATRIZ AGUIAR MARRA"/>
    <s v="ANAPOLIS"/>
    <x v="2"/>
  </r>
  <r>
    <s v="HZMK"/>
    <x v="18"/>
    <s v="DAVID GOMES DA SILVA"/>
    <s v="MARIA BEATRIZ AGUIAR MARRA"/>
    <s v="APARECIDA DE GOIANIA"/>
    <x v="2"/>
  </r>
  <r>
    <s v="TXC5"/>
    <x v="18"/>
    <s v="DAVID GOMES DA SILVA"/>
    <s v="MARIA BEATRIZ AGUIAR MARRA"/>
    <s v="ANAPOLIS"/>
    <x v="2"/>
  </r>
  <r>
    <s v="V62K"/>
    <x v="18"/>
    <s v="DAVID GOMES DA SILVA"/>
    <s v="MARIA BEATRIZ AGUIAR MARRA"/>
    <s v="ANAPOLIS"/>
    <x v="2"/>
  </r>
  <r>
    <s v="ZORH"/>
    <x v="18"/>
    <s v="DAVID GOMES DA SILVA"/>
    <s v="MARIA BEATRIZ AGUIAR MARRA"/>
    <s v="JARAGUA"/>
    <x v="2"/>
  </r>
  <r>
    <s v="18FJ"/>
    <x v="66"/>
    <s v="EDCLEIA PEREIRA DOS SANTOS ALMEIDA"/>
    <s v="MARIA BEATRIZ AGUIAR MARRA"/>
    <s v="GOIANIA"/>
    <x v="2"/>
  </r>
  <r>
    <s v="BAOY"/>
    <x v="42"/>
    <s v="AMANDA DE CASTRO SILVA VAZ"/>
    <s v="MARIA BEATRIZ AGUIAR MARRA"/>
    <s v="GOIANIA"/>
    <x v="2"/>
  </r>
  <r>
    <s v="CO0K"/>
    <x v="42"/>
    <s v="AMANDA DE CASTRO SILVA VAZ"/>
    <s v="MARIA BEATRIZ AGUIAR MARRA"/>
    <s v="NEROPOLIS"/>
    <x v="2"/>
  </r>
  <r>
    <s v="AU9K"/>
    <x v="42"/>
    <s v="AMANDA DE CASTRO SILVA VAZ"/>
    <s v="MARIA BEATRIZ AGUIAR MARRA"/>
    <s v="GOIANIA"/>
    <x v="2"/>
  </r>
  <r>
    <s v="KM7Y"/>
    <x v="66"/>
    <s v="EDCLEIA PEREIRA DOS SANTOS ALMEIDA"/>
    <s v="MARIA BEATRIZ AGUIAR MARRA"/>
    <s v="APARECIDA DE GOIANIA"/>
    <x v="2"/>
  </r>
  <r>
    <s v="DBP4"/>
    <x v="44"/>
    <s v="WANESSA OLIVEIRA DE QUEIROZ"/>
    <s v="MARIA BEATRIZ AGUIAR MARRA"/>
    <s v="ITABERAI"/>
    <x v="2"/>
  </r>
  <r>
    <s v="R7E0"/>
    <x v="44"/>
    <s v="WANESSA OLIVEIRA DE QUEIROZ"/>
    <s v="MARIA BEATRIZ AGUIAR MARRA"/>
    <s v="GOIANESIA"/>
    <x v="2"/>
  </r>
  <r>
    <s v="EH5T"/>
    <x v="45"/>
    <s v="LIDIANE ALVES CORDEIRO DA SILVA"/>
    <s v="RAINER OLIVEIRA DA CRUZ"/>
    <s v="PALMAS"/>
    <x v="2"/>
  </r>
  <r>
    <s v="EJ3P"/>
    <x v="46"/>
    <s v="VAGO"/>
    <s v="RAINER OLIVEIRA DA CRUZ"/>
    <s v="ARAGUAINA"/>
    <x v="2"/>
  </r>
  <r>
    <s v="HRM1"/>
    <x v="46"/>
    <s v="VAGO"/>
    <s v="RAINER OLIVEIRA DA CRUZ"/>
    <s v="PALMAS"/>
    <x v="2"/>
  </r>
  <r>
    <s v="I2Y8"/>
    <x v="46"/>
    <s v="VAGO"/>
    <s v="RAINER OLIVEIRA DA CRUZ"/>
    <s v="PALMAS"/>
    <x v="2"/>
  </r>
  <r>
    <s v="KO89"/>
    <x v="46"/>
    <s v="VAGO"/>
    <s v="RAINER OLIVEIRA DA CRUZ"/>
    <s v="COLINAS DO TOCANTINS"/>
    <x v="2"/>
  </r>
  <r>
    <s v="O2Z1"/>
    <x v="46"/>
    <s v="VAGO"/>
    <s v="RAINER OLIVEIRA DA CRUZ"/>
    <s v="ARAGUAINA"/>
    <x v="2"/>
  </r>
  <r>
    <s v="S58D"/>
    <x v="45"/>
    <s v="LIDIANE ALVES CORDEIRO DA SILVA"/>
    <s v="RAINER OLIVEIRA DA CRUZ"/>
    <s v="PORTO NACIONAL"/>
    <x v="2"/>
  </r>
  <r>
    <s v="TFO8"/>
    <x v="45"/>
    <s v="LIDIANE ALVES CORDEIRO DA SILVA"/>
    <s v="RAINER OLIVEIRA DA CRUZ"/>
    <s v="PORTO NACIONAL"/>
    <x v="2"/>
  </r>
  <r>
    <s v="B2UT"/>
    <x v="47"/>
    <s v="THIAGO DE SOUSA GOULART"/>
    <s v="MARIA BEATRIZ AGUIAR MARRA"/>
    <s v="MINEIROS"/>
    <x v="2"/>
  </r>
  <r>
    <s v="EK0V"/>
    <x v="47"/>
    <s v="THIAGO DE SOUSA GOULART"/>
    <s v="MARIA BEATRIZ AGUIAR MARRA"/>
    <s v="RIO VERDE"/>
    <x v="2"/>
  </r>
  <r>
    <s v="JFZ4"/>
    <x v="47"/>
    <s v="THIAGO DE SOUSA GOULART"/>
    <s v="MARIA BEATRIZ AGUIAR MARRA"/>
    <s v="MINEIROS"/>
    <x v="2"/>
  </r>
  <r>
    <s v="X0JU"/>
    <x v="47"/>
    <s v="THIAGO DE SOUSA GOULART"/>
    <s v="MARIA BEATRIZ AGUIAR MARRA"/>
    <s v="CALDAS NOVAS"/>
    <x v="2"/>
  </r>
  <r>
    <s v="1OAE"/>
    <x v="47"/>
    <s v="THIAGO DE SOUSA GOULART"/>
    <s v="MARIA BEATRIZ AGUIAR MARRA"/>
    <s v="CATALAO"/>
    <x v="2"/>
  </r>
  <r>
    <s v="AXO3"/>
    <x v="66"/>
    <s v="EDCLEIA PEREIRA DOS SANTOS ALMEIDA"/>
    <s v="MARIA BEATRIZ AGUIAR MARRA"/>
    <s v="PONTALINA"/>
    <x v="2"/>
  </r>
  <r>
    <s v="EM3Y"/>
    <x v="66"/>
    <s v="EDCLEIA PEREIRA DOS SANTOS ALMEIDA"/>
    <s v="MARIA BEATRIZ AGUIAR MARRA"/>
    <s v="CALDAS NOVAS"/>
    <x v="2"/>
  </r>
  <r>
    <s v="G2S9"/>
    <x v="66"/>
    <s v="EDCLEIA PEREIRA DOS SANTOS ALMEIDA"/>
    <s v="MARIA BEATRIZ AGUIAR MARRA"/>
    <s v="CALDAS NOVAS"/>
    <x v="2"/>
  </r>
  <r>
    <s v="EI7U"/>
    <x v="18"/>
    <s v="THIAGO WILLIAM DA SILVA REIS"/>
    <s v="MARIA BEATRIZ AGUIAR MARRA"/>
    <s v="RIO VERDE"/>
    <x v="2"/>
  </r>
  <r>
    <s v="EN1D"/>
    <x v="18"/>
    <s v="THIAGO WILLIAM DA SILVA REIS"/>
    <s v="MARIA BEATRIZ AGUIAR MARRA"/>
    <s v="SANTA HELENA DE GOIAS"/>
    <x v="2"/>
  </r>
  <r>
    <s v="LWZ0"/>
    <x v="18"/>
    <s v="THIAGO WILLIAM DA SILVA REIS"/>
    <s v="MARIA BEATRIZ AGUIAR MARRA"/>
    <s v="ITUMBIARA"/>
    <x v="2"/>
  </r>
  <r>
    <s v="NV04"/>
    <x v="18"/>
    <s v="THIAGO WILLIAM DA SILVA REIS"/>
    <s v="MARIA BEATRIZ AGUIAR MARRA"/>
    <s v="ITUMBIARA"/>
    <x v="2"/>
  </r>
  <r>
    <s v="3LJN"/>
    <x v="67"/>
    <s v="EDCLEIA PEREIRA DOS SANTOS ALMEIDA"/>
    <s v="MARIA BEATRIZ AGUIAR MARRA"/>
    <s v="IPAMERI"/>
    <x v="2"/>
  </r>
  <r>
    <s v="DFB9"/>
    <x v="67"/>
    <s v="EDCLEIA PEREIRA DOS SANTOS ALMEIDA"/>
    <s v="MARIA BEATRIZ AGUIAR MARRA"/>
    <s v="CALDAS NOVAS"/>
    <x v="2"/>
  </r>
  <r>
    <s v="ZULC"/>
    <x v="67"/>
    <s v="EDCLEIA PEREIRA DOS SANTOS ALMEIDA"/>
    <s v="MARIA BEATRIZ AGUIAR MARRA"/>
    <s v="CALDAS NOVAS"/>
    <x v="2"/>
  </r>
  <r>
    <s v="TZKM"/>
    <x v="67"/>
    <s v="EDCLEIA PEREIRA DOS SANTOS ALMEIDA"/>
    <s v="MARIA BEATRIZ AGUIAR MARRA"/>
    <s v="PIRACANJUBA"/>
    <x v="2"/>
  </r>
  <r>
    <s v="RU4V"/>
    <x v="44"/>
    <s v="WANESSA OLIVEIRA DE QUEIROZ"/>
    <s v="MARIA BEATRIZ AGUIAR MARRA"/>
    <s v="PALMEIRAS DE GOIAS"/>
    <x v="2"/>
  </r>
  <r>
    <s v="KQ2C"/>
    <x v="50"/>
    <s v="ANDRE LUIZ GOMES MARCHIORI"/>
    <s v="CELSO DE OLIVEIRA ROMA"/>
    <s v="BARRA DO BUGRES"/>
    <x v="2"/>
  </r>
  <r>
    <s v="OGCU"/>
    <x v="68"/>
    <s v="PEDRO THIAGO DE SOUZA"/>
    <s v="CELSO DE OLIVEIRA ROMA"/>
    <s v="CACERES"/>
    <x v="2"/>
  </r>
  <r>
    <s v="953Y"/>
    <x v="69"/>
    <s v="ANDRE LUIZ GOMES MARCHIORI"/>
    <s v="CELSO DE OLIVEIRA ROMA"/>
    <s v="COMODORO"/>
    <x v="2"/>
  </r>
  <r>
    <s v="NGMG"/>
    <x v="70"/>
    <s v="ANDRE LUIZ GOMES MARCHIORI"/>
    <s v="CELSO DE OLIVEIRA ROMA"/>
    <s v="JURUENA"/>
    <x v="2"/>
  </r>
  <r>
    <s v="62VE"/>
    <x v="48"/>
    <s v="MILANNI FERNANDES FALCÃO DE ARRUDA"/>
    <s v="CELSO DE OLIVEIRA ROMA"/>
    <s v="CUIABA"/>
    <x v="2"/>
  </r>
  <r>
    <s v="MLBO"/>
    <x v="71"/>
    <s v="PEDRO THIAGO DE SOUZA"/>
    <s v="CELSO DE OLIVEIRA ROMA"/>
    <s v="CUIABA"/>
    <x v="2"/>
  </r>
  <r>
    <s v="GD8V"/>
    <x v="48"/>
    <s v="PEDRO THIAGO DE SOUZA"/>
    <s v="CELSO DE OLIVEIRA ROMA"/>
    <s v="CAMPO VERDE"/>
    <x v="2"/>
  </r>
  <r>
    <s v="4M9W"/>
    <x v="48"/>
    <s v="MIQUEIAS MARIANO CORA"/>
    <s v="CELSO DE OLIVEIRA ROMA"/>
    <s v="SORRISO"/>
    <x v="2"/>
  </r>
  <r>
    <s v="1PNB"/>
    <x v="72"/>
    <s v="MIQUEIAS MARIANO CORA"/>
    <s v="CELSO DE OLIVEIRA ROMA"/>
    <s v="ALTA FLORESTA"/>
    <x v="2"/>
  </r>
  <r>
    <s v="8A79"/>
    <x v="18"/>
    <s v="MILANNI FERNANDES FALCÃO DE ARRUDA"/>
    <s v="CELSO DE OLIVEIRA ROMA"/>
    <s v="CUIABA"/>
    <x v="2"/>
  </r>
  <r>
    <s v="MKPG"/>
    <x v="73"/>
    <s v="MIQUEIAS MARIANO CORA"/>
    <s v="CELSO DE OLIVEIRA ROMA"/>
    <s v="ALTA FLORESTA"/>
    <x v="2"/>
  </r>
  <r>
    <s v="P3DQ"/>
    <x v="18"/>
    <s v="FERNANDA APARECIDA SILVA DE SOUZA"/>
    <s v="CELSO DE OLIVEIRA ROMA"/>
    <s v="CUIABA"/>
    <x v="2"/>
  </r>
  <r>
    <s v="KHUZ"/>
    <x v="18"/>
    <s v="PEDRO THIAGO DE SOUZA"/>
    <s v="CELSO DE OLIVEIRA ROMA"/>
    <s v="CUIABA"/>
    <x v="2"/>
  </r>
  <r>
    <s v="PN13"/>
    <x v="18"/>
    <s v="FERNANDA APARECIDA SILVA DE SOUZA"/>
    <s v="CELSO DE OLIVEIRA ROMA"/>
    <s v="LUCAS DO RIO VERDE"/>
    <x v="2"/>
  </r>
  <r>
    <s v="3AT5"/>
    <x v="74"/>
    <s v="FERNANDA APARECIDA SILVA DE SOUZA"/>
    <s v="CELSO DE OLIVEIRA ROMA"/>
    <s v="NOBRES"/>
    <x v="2"/>
  </r>
  <r>
    <s v="YJY0"/>
    <x v="48"/>
    <s v="MILANNI FERNANDES FALCÃO DE ARRUDA"/>
    <s v="CELSO DE OLIVEIRA ROMA"/>
    <s v="VARZEA GRANDE"/>
    <x v="2"/>
  </r>
  <r>
    <s v="3J86"/>
    <x v="46"/>
    <s v="PEDRO THIAGO DE SOUZA"/>
    <s v="CELSO DE OLIVEIRA ROMA"/>
    <s v="VARZEA GRANDE"/>
    <x v="2"/>
  </r>
  <r>
    <s v="Q1MJ"/>
    <x v="75"/>
    <s v="PEDRO THIAGO DE SOUZA"/>
    <s v="CELSO DE OLIVEIRA ROMA"/>
    <s v="VARZEA GRANDE"/>
    <x v="2"/>
  </r>
  <r>
    <s v="T54V"/>
    <x v="18"/>
    <s v="MILANNI FERNANDES FALCÃO DE ARRUDA"/>
    <s v="CELSO DE OLIVEIRA ROMA"/>
    <s v="VARZEA GRANDE"/>
    <x v="2"/>
  </r>
  <r>
    <s v="1NRI"/>
    <x v="18"/>
    <s v="SAMUEL FRANCISCO DA SILVA JUNIOR"/>
    <s v="CELSO DE OLIVEIRA ROMA"/>
    <s v="BARRA DO GARCAS"/>
    <x v="2"/>
  </r>
  <r>
    <s v="P7Q8"/>
    <x v="18"/>
    <s v="SAMUEL FRANCISCO DA SILVA JUNIOR"/>
    <s v="CELSO DE OLIVEIRA ROMA"/>
    <s v="RONDONOPOLIS"/>
    <x v="2"/>
  </r>
  <r>
    <s v="0ATL"/>
    <x v="18"/>
    <s v="SAMUEL FRANCISCO DA SILVA JUNIOR"/>
    <s v="CELSO DE OLIVEIRA ROMA"/>
    <s v="PRIMAVERA DO LESTE"/>
    <x v="2"/>
  </r>
  <r>
    <s v="9LT5"/>
    <x v="46"/>
    <s v="GRAZIELLE FREITAS DE SOUZA"/>
    <s v="FABIO VINICIUS WOLFF"/>
    <s v="CAMPO GRANDE"/>
    <x v="2"/>
  </r>
  <r>
    <s v="DUSN"/>
    <x v="46"/>
    <s v="GRAZIELLE FREITAS DE SOUZA"/>
    <s v="FABIO VINICIUS WOLFF"/>
    <s v="CAMPO GRANDE"/>
    <x v="2"/>
  </r>
  <r>
    <s v="GS9P"/>
    <x v="46"/>
    <s v="GRAZIELLE FREITAS DE SOUZA"/>
    <s v="FABIO VINICIUS WOLFF"/>
    <s v="CAMPO GRANDE"/>
    <x v="2"/>
  </r>
  <r>
    <s v="PVJN"/>
    <x v="46"/>
    <s v="GRAZIELLE FREITAS DE SOUZA"/>
    <s v="FABIO VINICIUS WOLFF"/>
    <s v="CAMPO GRANDE"/>
    <x v="2"/>
  </r>
  <r>
    <s v="QBJS"/>
    <x v="46"/>
    <s v="GRAZIELLE FREITAS DE SOUZA"/>
    <s v="FABIO VINICIUS WOLFF"/>
    <s v="CAMPO GRANDE"/>
    <x v="2"/>
  </r>
  <r>
    <s v="R2TU"/>
    <x v="46"/>
    <s v="GRAZIELLE FREITAS DE SOUZA"/>
    <s v="FABIO VINICIUS WOLFF"/>
    <s v="CAMPO GRANDE"/>
    <x v="2"/>
  </r>
  <r>
    <s v="R9FI"/>
    <x v="46"/>
    <s v="GRAZIELLE FREITAS DE SOUZA"/>
    <s v="FABIO VINICIUS WOLFF"/>
    <s v="CAMPO GRANDE"/>
    <x v="2"/>
  </r>
  <r>
    <s v="85O9"/>
    <x v="76"/>
    <s v="EDUARDO DOS SANTOS KOURI"/>
    <s v="DULCILEIA LIMA PRADO"/>
    <s v="RIO BRANCO"/>
    <x v="2"/>
  </r>
  <r>
    <s v="PI0X"/>
    <x v="76"/>
    <s v="EDUARDO DOS SANTOS KOURI"/>
    <s v="DULCILEIA LIMA PRADO"/>
    <s v="RIO BRANCO"/>
    <x v="2"/>
  </r>
  <r>
    <s v="U3PZ"/>
    <x v="76"/>
    <s v="EDUARDO DOS SANTOS KOURI"/>
    <s v="DULCILEIA LIMA PRADO"/>
    <s v="RIO BRANCO"/>
    <x v="2"/>
  </r>
  <r>
    <s v="AMBF"/>
    <x v="76"/>
    <s v="EDUARDO DOS SANTOS KOURI"/>
    <s v="DULCILEIA LIMA PRADO"/>
    <s v="CRUZEIRO DO SUL"/>
    <x v="2"/>
  </r>
  <r>
    <s v="F484"/>
    <x v="18"/>
    <s v="IAGO FERNANDO DA SILVA FLORES"/>
    <s v="DULCILEIA LIMA PRADO"/>
    <s v="ROLIM DE MOURA"/>
    <x v="2"/>
  </r>
  <r>
    <s v="9FDG"/>
    <x v="18"/>
    <s v="FERNANDA DOS SANTOS MAIA  "/>
    <s v="DULCILEIA LIMA PRADO"/>
    <s v="PORTO VELHO"/>
    <x v="2"/>
  </r>
  <r>
    <s v="FO1V"/>
    <x v="77"/>
    <s v="IAGO FERNANDO DA SILVA FLORES"/>
    <s v="DULCILEIA LIMA PRADO"/>
    <s v="CEREJEIRAS"/>
    <x v="2"/>
  </r>
  <r>
    <s v="RHDB"/>
    <x v="78"/>
    <s v="DAISY PINHEIRO RODRIGUES"/>
    <s v="DULCILEIA LIMA PRADO"/>
    <s v="BURITIS"/>
    <x v="2"/>
  </r>
  <r>
    <s v="WPL3"/>
    <x v="79"/>
    <s v="DAISY PINHEIRO RODRIGUES"/>
    <s v="DULCILEIA LIMA PRADO"/>
    <s v="SAO MIGUEL DO GUAPORE"/>
    <x v="2"/>
  </r>
  <r>
    <s v="EWMC"/>
    <x v="18"/>
    <s v="DAISY PINHEIRO RODRIGUES"/>
    <s v="DULCILEIA LIMA PRADO"/>
    <s v="JARU"/>
    <x v="2"/>
  </r>
  <r>
    <s v="31DR"/>
    <x v="42"/>
    <s v="AMANDA TEOTONIO DE SOUSA BRITO"/>
    <s v="RICARDO LIMA DE OLIVEIRA"/>
    <s v="PLANALTINA"/>
    <x v="2"/>
  </r>
  <r>
    <s v="3QCV"/>
    <x v="18"/>
    <s v="EDDIE MICHAEL LUCAS DA SILVA"/>
    <s v="RICARDO LIMA DE OLIVEIRA"/>
    <s v="BRASILIA"/>
    <x v="2"/>
  </r>
  <r>
    <s v="47N3"/>
    <x v="18"/>
    <s v="AMANDA TEOTONIO DE SOUSA BRITO"/>
    <s v="RICARDO LIMA DE OLIVEIRA"/>
    <s v="VALPARAISO DE GOIAS"/>
    <x v="2"/>
  </r>
  <r>
    <s v="7HUW"/>
    <x v="42"/>
    <s v="BRUNNA KARLA DE MEDEIROS FERREIRA"/>
    <s v="RICARDO LIMA DE OLIVEIRA"/>
    <s v="BRASILIA"/>
    <x v="2"/>
  </r>
  <r>
    <s v="841P"/>
    <x v="42"/>
    <s v="BRUNNA KARLA DE MEDEIROS FERREIRA"/>
    <s v="RICARDO LIMA DE OLIVEIRA"/>
    <s v="BRASILIA"/>
    <x v="2"/>
  </r>
  <r>
    <s v="9GWC"/>
    <x v="18"/>
    <s v="EDDIE MICHAEL LUCAS DA SILVA"/>
    <s v="RICARDO LIMA DE OLIVEIRA"/>
    <s v="BRASILIA"/>
    <x v="2"/>
  </r>
  <r>
    <s v="A6F4"/>
    <x v="18"/>
    <s v="AMANDA TEOTONIO DE SOUSA BRITO"/>
    <s v="RICARDO LIMA DE OLIVEIRA"/>
    <s v="VALPARAISO DE GOIAS"/>
    <x v="2"/>
  </r>
  <r>
    <s v="B5FJ"/>
    <x v="18"/>
    <s v="EDDIE MICHAEL LUCAS DA SILVA"/>
    <s v="RICARDO LIMA DE OLIVEIRA"/>
    <s v="BRASILIA"/>
    <x v="2"/>
  </r>
  <r>
    <s v="B91S"/>
    <x v="18"/>
    <s v="EDDIE MICHAEL LUCAS DA SILVA"/>
    <s v="RICARDO LIMA DE OLIVEIRA"/>
    <s v="AGUAS LINDAS DE GOIAS"/>
    <x v="2"/>
  </r>
  <r>
    <s v="DDS0"/>
    <x v="42"/>
    <s v="BRUNNA KARLA DE MEDEIROS FERREIRA"/>
    <s v="RICARDO LIMA DE OLIVEIRA"/>
    <s v="BRASILIA"/>
    <x v="2"/>
  </r>
  <r>
    <s v="DX9N"/>
    <x v="18"/>
    <s v="EDDIE MICHAEL LUCAS DA SILVA"/>
    <s v="RICARDO LIMA DE OLIVEIRA"/>
    <s v="SANTO ANTONIO DO DESCOBERTO"/>
    <x v="2"/>
  </r>
  <r>
    <s v="G1NS"/>
    <x v="42"/>
    <s v="BRUNNA KARLA DE MEDEIROS FERREIRA"/>
    <s v="RICARDO LIMA DE OLIVEIRA"/>
    <s v="BRASILIA"/>
    <x v="2"/>
  </r>
  <r>
    <s v="HCMY"/>
    <x v="42"/>
    <s v="BRUNNA KARLA DE MEDEIROS FERREIRA"/>
    <s v="RICARDO LIMA DE OLIVEIRA"/>
    <s v="BRASILIA"/>
    <x v="2"/>
  </r>
  <r>
    <s v="HS2M"/>
    <x v="42"/>
    <s v="BRUNNA KARLA DE MEDEIROS FERREIRA"/>
    <s v="RICARDO LIMA DE OLIVEIRA"/>
    <s v="BRASILIA"/>
    <x v="2"/>
  </r>
  <r>
    <s v="IZN3"/>
    <x v="18"/>
    <s v="EDDIE MICHAEL LUCAS DA SILVA"/>
    <s v="RICARDO LIMA DE OLIVEIRA"/>
    <s v="BRASILIA"/>
    <x v="2"/>
  </r>
  <r>
    <s v="JDT4"/>
    <x v="18"/>
    <s v="AMANDA TEOTONIO DE SOUSA BRITO"/>
    <s v="RICARDO LIMA DE OLIVEIRA"/>
    <s v="NOVO GAMA"/>
    <x v="2"/>
  </r>
  <r>
    <s v="K4J5"/>
    <x v="42"/>
    <s v="AMANDA TEOTONIO DE SOUSA BRITO"/>
    <s v="RICARDO LIMA DE OLIVEIRA"/>
    <s v="LUZIANIA"/>
    <x v="2"/>
  </r>
  <r>
    <s v="M7M0"/>
    <x v="42"/>
    <s v="BRUNNA KARLA DE MEDEIROS FERREIRA"/>
    <s v="RICARDO LIMA DE OLIVEIRA"/>
    <s v="BRASILIA"/>
    <x v="2"/>
  </r>
  <r>
    <s v="MSND"/>
    <x v="42"/>
    <s v="BRUNNA KARLA DE MEDEIROS FERREIRA"/>
    <s v="RICARDO LIMA DE OLIVEIRA"/>
    <s v="BRASILIA"/>
    <x v="2"/>
  </r>
  <r>
    <s v="P7Q5"/>
    <x v="42"/>
    <s v="BRUNNA KARLA DE MEDEIROS FERREIRA"/>
    <s v="RICARDO LIMA DE OLIVEIRA"/>
    <s v="BRASILIA"/>
    <x v="2"/>
  </r>
  <r>
    <s v="PNYS"/>
    <x v="42"/>
    <s v="BRUNNA KARLA DE MEDEIROS FERREIRA"/>
    <s v="RICARDO LIMA DE OLIVEIRA"/>
    <s v="BRASILIA"/>
    <x v="2"/>
  </r>
  <r>
    <s v="S5X6"/>
    <x v="18"/>
    <s v="EDDIE MICHAEL LUCAS DA SILVA"/>
    <s v="RICARDO LIMA DE OLIVEIRA"/>
    <s v="BRASILIA"/>
    <x v="2"/>
  </r>
  <r>
    <s v="TAKX"/>
    <x v="42"/>
    <s v="BRUNNA KARLA DE MEDEIROS FERREIRA"/>
    <s v="RICARDO LIMA DE OLIVEIRA"/>
    <s v="BRASILIA"/>
    <x v="2"/>
  </r>
  <r>
    <s v="ELJV"/>
    <x v="42"/>
    <s v="BRUNNA KARLA DE MEDEIROS FERREIRA"/>
    <s v="RICARDO LIMA DE OLIVEIRA"/>
    <s v="BRASILIA"/>
    <x v="2"/>
  </r>
  <r>
    <s v="P4WC"/>
    <x v="63"/>
    <s v="GUSTAVO MARTINS BARBOSA"/>
    <s v="FABIO VINICIUS WOLFF"/>
    <s v="TRES LAGOAS"/>
    <x v="2"/>
  </r>
  <r>
    <s v="HA0B"/>
    <x v="63"/>
    <s v="GUSTAVO MARTINS BARBOSA"/>
    <s v="FABIO VINICIUS WOLFF"/>
    <s v="RIBAS DO RIO PARDO"/>
    <x v="2"/>
  </r>
  <r>
    <s v="HPSI"/>
    <x v="63"/>
    <s v="GUSTAVO MARTINS BARBOSA"/>
    <s v="FABIO VINICIUS WOLFF"/>
    <s v="TRES LAGOAS"/>
    <x v="2"/>
  </r>
  <r>
    <s v="IESP"/>
    <x v="63"/>
    <s v="GUSTAVO MARTINS BARBOSA"/>
    <s v="FABIO VINICIUS WOLFF"/>
    <s v="TRES LAGOAS"/>
    <x v="2"/>
  </r>
  <r>
    <s v="3SZM"/>
    <x v="63"/>
    <s v="GUSTAVO MARTINS BARBOSA"/>
    <s v="FABIO VINICIUS WOLFF"/>
    <s v="AGUA CLARA"/>
    <x v="2"/>
  </r>
  <r>
    <s v="XBSR"/>
    <x v="46"/>
    <s v="GRAZIELLE FREITAS DE SOUZA"/>
    <s v="FABIO VINICIUS WOLFF"/>
    <s v="SIDROLANDIA"/>
    <x v="2"/>
  </r>
  <r>
    <s v="ZK2W"/>
    <x v="59"/>
    <s v="IAGO FERNANDO DA SILVA FLORES"/>
    <s v="DULCILEIA LIMA PRADO"/>
    <s v="CACOAL"/>
    <x v="2"/>
  </r>
  <r>
    <s v="FRFI"/>
    <x v="18"/>
    <s v="FERNANDA APARECIDA SILVA DE SOUZA"/>
    <s v="CELSO DE OLIVEIRA ROMA"/>
    <s v="CUIABA"/>
    <x v="2"/>
  </r>
  <r>
    <s v="C4LY"/>
    <x v="65"/>
    <s v="PABLO LIMA DOS SANTOS"/>
    <s v="FABIO VINICIUS WOLFF"/>
    <s v="MARACAJU"/>
    <x v="2"/>
  </r>
  <r>
    <s v="YEI4"/>
    <x v="65"/>
    <s v="PABLO LIMA DOS SANTOS"/>
    <s v="FABIO VINICIUS WOLFF"/>
    <s v="RIO BRILHANTE"/>
    <x v="2"/>
  </r>
  <r>
    <s v="WMX8"/>
    <x v="65"/>
    <s v="PABLO LIMA DOS SANTOS"/>
    <s v="FABIO VINICIUS WOLFF"/>
    <s v="JARDIM"/>
    <x v="2"/>
  </r>
  <r>
    <s v="7BWY"/>
    <x v="65"/>
    <s v="PABLO LIMA DOS SANTOS"/>
    <s v="FABIO VINICIUS WOLFF"/>
    <s v="BONITO"/>
    <x v="2"/>
  </r>
  <r>
    <s v="9J6X"/>
    <x v="48"/>
    <s v="PABLO LIMA DOS SANTOS"/>
    <s v="FABIO VINICIUS WOLFF"/>
    <s v="CAMPO GRANDE"/>
    <x v="2"/>
  </r>
  <r>
    <s v="6DFQ"/>
    <x v="65"/>
    <s v="JAQUELINE SILVA NANTES"/>
    <s v="FABIO VINICIUS WOLFF"/>
    <s v="ITAPORA"/>
    <x v="2"/>
  </r>
  <r>
    <s v="DFC2"/>
    <x v="80"/>
    <s v="JAQUELINE SILVA NANTES"/>
    <s v="FABIO VINICIUS WOLFF"/>
    <s v="PONTA PORA"/>
    <x v="2"/>
  </r>
  <r>
    <s v="EBDL"/>
    <x v="48"/>
    <s v="JAQUELINE SILVA NANTES"/>
    <s v="FABIO VINICIUS WOLFF"/>
    <s v="DOURADOS"/>
    <x v="2"/>
  </r>
  <r>
    <s v="K93A"/>
    <x v="48"/>
    <s v="JAQUELINE SILVA NANTES"/>
    <s v="FABIO VINICIUS WOLFF"/>
    <s v="DOURADOS"/>
    <x v="2"/>
  </r>
  <r>
    <s v="PJA1"/>
    <x v="81"/>
    <s v="JAQUELINE SILVA NANTES"/>
    <s v="FABIO VINICIUS WOLFF"/>
    <s v="SETE QUEDAS"/>
    <x v="2"/>
  </r>
  <r>
    <s v="5AC2"/>
    <x v="82"/>
    <s v="SAMUEL FRANCISCO DA SILVA JUNIOR"/>
    <s v="CELSO DE OLIVEIRA ROMA"/>
    <s v="JACIARA"/>
    <x v="2"/>
  </r>
  <r>
    <s v="DYMP"/>
    <x v="44"/>
    <s v="WANESSA OLIVEIRA DE QUEIROZ"/>
    <s v="MARIA BEATRIZ AGUIAR MARRA"/>
    <s v="GOIANIRA"/>
    <x v="2"/>
  </r>
  <r>
    <s v="YLDW"/>
    <x v="46"/>
    <s v="VAGO"/>
    <s v="RAINER OLIVEIRA DA CRUZ"/>
    <s v="GUARAI"/>
    <x v="2"/>
  </r>
  <r>
    <s v="VH6P"/>
    <x v="83"/>
    <s v="AMANDA TEOTONIO DE SOUSA BRITO"/>
    <s v="RICARDO LIMA DE OLIVEIRA"/>
    <s v="FORMOSA"/>
    <x v="2"/>
  </r>
  <r>
    <s v="01F5"/>
    <x v="84"/>
    <s v="ANNA PAULA QUINTO MOTA"/>
    <s v="RODRIGO SOARES CABRAL"/>
    <s v="ITABUNA"/>
    <x v="3"/>
  </r>
  <r>
    <s v="0A09"/>
    <x v="85"/>
    <s v="TAMIRES ALMEIDA DA SILVEIRA PINTO"/>
    <s v="CAIO DE ANDRADE DUARTE"/>
    <s v="SALVADOR"/>
    <x v="3"/>
  </r>
  <r>
    <s v="8H3Z"/>
    <x v="86"/>
    <s v="JOSE RICARDO SANTANA RIBEIRO"/>
    <s v="LUAN SADRAQUE FERNANDES DOS SANTOS DANTAS"/>
    <s v="SANTO ESTEVAO"/>
    <x v="3"/>
  </r>
  <r>
    <s v="DOH0"/>
    <x v="84"/>
    <s v="ANNA PAULA QUINTO MOTA"/>
    <s v="RODRIGO SOARES CABRAL"/>
    <s v="ILHEUS"/>
    <x v="3"/>
  </r>
  <r>
    <s v="FC9Q"/>
    <x v="87"/>
    <s v="ANGELICA FEITOSA DE CARVALHO COTA"/>
    <s v="CAIO DE ANDRADE DUARTE"/>
    <s v="LAURO DE FREITAS"/>
    <x v="3"/>
  </r>
  <r>
    <s v="IT27"/>
    <x v="88"/>
    <s v="AMANDA DA COSTA SILVA LEAL"/>
    <s v="LUAN SADRAQUE FERNANDES DOS SANTOS DANTAS"/>
    <s v="SANTO AMARO"/>
    <x v="3"/>
  </r>
  <r>
    <s v="KYJI"/>
    <x v="85"/>
    <s v="TAMIRES ALMEIDA DA SILVEIRA PINTO"/>
    <s v="CAIO DE ANDRADE DUARTE"/>
    <s v="SALVADOR"/>
    <x v="3"/>
  </r>
  <r>
    <s v="LVE6"/>
    <x v="85"/>
    <s v="TAMIRES ALMEIDA DA SILVEIRA PINTO"/>
    <s v="CAIO DE ANDRADE DUARTE"/>
    <s v="SALVADOR"/>
    <x v="3"/>
  </r>
  <r>
    <s v="MJ9B"/>
    <x v="89"/>
    <s v="AMANDA COSTA LIMA"/>
    <s v="CAIO DE ANDRADE DUARTE"/>
    <s v="SIMOES FILHO"/>
    <x v="3"/>
  </r>
  <r>
    <s v="OI4J"/>
    <x v="85"/>
    <s v="ANNA PAULA QUINTO MOTA"/>
    <s v="RODRIGO SOARES CABRAL"/>
    <s v="ILHEUS"/>
    <x v="3"/>
  </r>
  <r>
    <s v="SGD5"/>
    <x v="85"/>
    <s v="AMANDA COSTA LIMA"/>
    <s v="CAIO DE ANDRADE DUARTE"/>
    <s v="SALVADOR"/>
    <x v="3"/>
  </r>
  <r>
    <s v="U2SW"/>
    <x v="84"/>
    <s v="ANNA PAULA QUINTO MOTA"/>
    <s v="RODRIGO SOARES CABRAL"/>
    <s v="ITABUNA"/>
    <x v="3"/>
  </r>
  <r>
    <s v="VOVT"/>
    <x v="85"/>
    <s v="TAMIRES ALMEIDA DA SILVEIRA PINTO"/>
    <s v="CAIO DE ANDRADE DUARTE"/>
    <s v="SALVADOR"/>
    <x v="3"/>
  </r>
  <r>
    <s v="9XE2"/>
    <x v="90"/>
    <s v="ANTONIO THALLES LUAN BRAGA"/>
    <s v="WALTER JAMES FONSECA MACHADO"/>
    <s v="LIVRAMENTO DE NOSSA SENHORA"/>
    <x v="3"/>
  </r>
  <r>
    <s v="0O92"/>
    <x v="91"/>
    <s v="MARILIA GR àsIELE MOREIRA VALOIS DE MIRANDA"/>
    <s v="FABRICIO OLIVEIRA FIGUEREDO"/>
    <s v="CAMPO FORMOSO"/>
    <x v="3"/>
  </r>
  <r>
    <s v="2R4O"/>
    <x v="85"/>
    <s v="AMANDA COSTA LIMA"/>
    <s v="CAIO DE ANDRADE DUARTE"/>
    <s v="SALVADOR"/>
    <x v="3"/>
  </r>
  <r>
    <s v="2Z1U"/>
    <x v="85"/>
    <s v="MARILIA GR àsIELE MOREIRA VALOIS DE MIRANDA"/>
    <s v="FABRICIO OLIVEIRA FIGUEREDO"/>
    <s v="JUAZEIRO"/>
    <x v="3"/>
  </r>
  <r>
    <s v="32JL"/>
    <x v="92"/>
    <s v="JOSE RICARDO SANTANA RIBEIRO"/>
    <s v="LUAN SADRAQUE FERNANDES DOS SANTOS DANTAS"/>
    <s v="SANTA LUZ"/>
    <x v="3"/>
  </r>
  <r>
    <s v="3CHV"/>
    <x v="85"/>
    <s v="AMANDA COSTA LIMA"/>
    <s v="CAIO DE ANDRADE DUARTE"/>
    <s v="SALVADOR"/>
    <x v="3"/>
  </r>
  <r>
    <s v="3WC6"/>
    <x v="93"/>
    <s v="JOSE RICARDO SANTANA RIBEIRO"/>
    <s v="LUAN SADRAQUE FERNANDES DOS SANTOS DANTAS"/>
    <s v="RIBEIRA DO POMBAL"/>
    <x v="3"/>
  </r>
  <r>
    <s v="3ZLG"/>
    <x v="85"/>
    <s v="ANTONIO THALLES LUAN BRAGA"/>
    <s v="WALTER JAMES FONSECA MACHADO"/>
    <s v="BARREIRAS"/>
    <x v="3"/>
  </r>
  <r>
    <s v="4O0E"/>
    <x v="85"/>
    <s v="ANNA PAULA QUINTO MOTA"/>
    <s v="RODRIGO SOARES CABRAL"/>
    <s v="ITABUNA"/>
    <x v="3"/>
  </r>
  <r>
    <s v="4Q73"/>
    <x v="85"/>
    <s v="AMANDA COSTA LIMA"/>
    <s v="CAIO DE ANDRADE DUARTE"/>
    <s v="SALVADOR"/>
    <x v="3"/>
  </r>
  <r>
    <s v="67BL"/>
    <x v="94"/>
    <s v="QUELE OLIVEIRA ROCHA ANDRE"/>
    <s v="RODRIGO SOARES CABRAL"/>
    <s v="JEQUIE"/>
    <x v="3"/>
  </r>
  <r>
    <s v="79W9"/>
    <x v="87"/>
    <s v="ANGELICA FEITOSA DE CARVALHO COTA"/>
    <s v="CAIO DE ANDRADE DUARTE"/>
    <s v="SALVADOR"/>
    <x v="3"/>
  </r>
  <r>
    <s v="7FLK"/>
    <x v="95"/>
    <s v="MARIA APARECIDA ALVES DE OLIVEIRA"/>
    <s v="WALTER JAMES FONSECA MACHADO"/>
    <s v="VITORIA DA CONQUISTA"/>
    <x v="3"/>
  </r>
  <r>
    <s v="8BJ4"/>
    <x v="85"/>
    <s v="MARIA APARECIDA ALVES DE OLIVEIRA"/>
    <s v="WALTER JAMES FONSECA MACHADO"/>
    <s v="VITORIA DA CONQUISTA"/>
    <x v="3"/>
  </r>
  <r>
    <s v="9MVY"/>
    <x v="96"/>
    <s v="AMANDA DA COSTA SILVA LEAL"/>
    <s v="LUAN SADRAQUE FERNANDES DOS SANTOS DANTAS"/>
    <s v="FEIRA DE SANTANA"/>
    <x v="3"/>
  </r>
  <r>
    <s v="9NJ5"/>
    <x v="91"/>
    <s v="MARILIA GR àsIELE MOREIRA VALOIS DE MIRANDA"/>
    <s v="FABRICIO OLIVEIRA FIGUEREDO"/>
    <s v="SENHOR DO BONFIM"/>
    <x v="3"/>
  </r>
  <r>
    <s v="9YT6"/>
    <x v="94"/>
    <s v="ANTONIO THALLES LUAN BRAGA"/>
    <s v="WALTER JAMES FONSECA MACHADO"/>
    <s v="VITORIA DA CONQUISTA"/>
    <x v="3"/>
  </r>
  <r>
    <s v="ADRY"/>
    <x v="85"/>
    <s v="ANA GLEIDE DE OLIVEIRA RODRIGUES"/>
    <s v="MARCIA DA SILVA LIMA OLIVEIRA"/>
    <s v="NOSSA SENHORA DO SOCORRO"/>
    <x v="3"/>
  </r>
  <r>
    <s v="B8VB"/>
    <x v="84"/>
    <s v="ANNA PAULA QUINTO MOTA"/>
    <s v="RODRIGO SOARES CABRAL"/>
    <s v="ILHEUS"/>
    <x v="3"/>
  </r>
  <r>
    <s v="CTAV"/>
    <x v="96"/>
    <s v="AMANDA DA COSTA SILVA LEAL"/>
    <s v="LUAN SADRAQUE FERNANDES DOS SANTOS DANTAS"/>
    <s v="ALAGOINHAS"/>
    <x v="3"/>
  </r>
  <r>
    <s v="CTI7"/>
    <x v="97"/>
    <s v="JOSE RICARDO SANTANA RIBEIRO"/>
    <s v="LUAN SADRAQUE FERNANDES DOS SANTOS DANTAS"/>
    <s v="CONCEICAO DO COITE"/>
    <x v="3"/>
  </r>
  <r>
    <s v="DCYP"/>
    <x v="98"/>
    <s v="QUELE OLIVEIRA ROCHA ANDRE"/>
    <s v="RODRIGO SOARES CABRAL"/>
    <s v="EUNAPOLIS"/>
    <x v="3"/>
  </r>
  <r>
    <s v="FJPL"/>
    <x v="95"/>
    <s v="MARIA APARECIDA ALVES DE OLIVEIRA"/>
    <s v="WALTER JAMES FONSECA MACHADO"/>
    <s v="ITAPETINGA"/>
    <x v="3"/>
  </r>
  <r>
    <s v="FMBI"/>
    <x v="85"/>
    <s v="JOSE RICARDO SANTANA RIBEIRO"/>
    <s v="LUAN SADRAQUE FERNANDES DOS SANTOS DANTAS"/>
    <s v="ALAGOINHAS"/>
    <x v="3"/>
  </r>
  <r>
    <s v="JVSV"/>
    <x v="99"/>
    <s v="MARILIA GR àsIELE MOREIRA VALOIS DE MIRANDA"/>
    <s v="FABRICIO OLIVEIRA FIGUEREDO"/>
    <s v="CASA NOVA"/>
    <x v="3"/>
  </r>
  <r>
    <s v="K48P"/>
    <x v="85"/>
    <s v="BRUNA RACHEL KANO SOBRAL SANTOS"/>
    <s v="MARCIA DA SILVA LIMA OLIVEIRA"/>
    <s v="ARACAJU"/>
    <x v="3"/>
  </r>
  <r>
    <s v="K7B6"/>
    <x v="100"/>
    <s v="ANTONIO THALLES LUAN BRAGA"/>
    <s v="WALTER JAMES FONSECA MACHADO"/>
    <s v="POCOES"/>
    <x v="3"/>
  </r>
  <r>
    <s v="L2H5"/>
    <x v="101"/>
    <s v="MARIA APARECIDA ALVES DE OLIVEIRA"/>
    <s v="WALTER JAMES FONSECA MACHADO"/>
    <s v="GUANAMBI"/>
    <x v="3"/>
  </r>
  <r>
    <s v="M6JB"/>
    <x v="94"/>
    <s v="ANTONIO THALLES LUAN BRAGA"/>
    <s v="WALTER JAMES FONSECA MACHADO"/>
    <s v="VITORIA DA CONQUISTA"/>
    <x v="3"/>
  </r>
  <r>
    <s v="MB3Z"/>
    <x v="96"/>
    <s v="AMANDA DA COSTA SILVA LEAL"/>
    <s v="LUAN SADRAQUE FERNANDES DOS SANTOS DANTAS"/>
    <s v="FEIRA DE SANTANA"/>
    <x v="3"/>
  </r>
  <r>
    <s v="MB8N"/>
    <x v="87"/>
    <s v="ANGELICA FEITOSA DE CARVALHO COTA"/>
    <s v="CAIO DE ANDRADE DUARTE"/>
    <s v="CAMACARI"/>
    <x v="3"/>
  </r>
  <r>
    <s v="ME2A"/>
    <x v="102"/>
    <s v="JOSE RICARDO SANTANA RIBEIRO"/>
    <s v="LUAN SADRAQUE FERNANDES DOS SANTOS DANTAS"/>
    <s v="IRARA"/>
    <x v="3"/>
  </r>
  <r>
    <s v="Q5P8"/>
    <x v="84"/>
    <s v="ANNA PAULA QUINTO MOTA"/>
    <s v="RODRIGO SOARES CABRAL"/>
    <s v="IPIAU"/>
    <x v="3"/>
  </r>
  <r>
    <s v="RENS"/>
    <x v="103"/>
    <s v="ANNA PAULA QUINTO MOTA"/>
    <s v="RODRIGO SOARES CABRAL"/>
    <s v="GANDU"/>
    <x v="3"/>
  </r>
  <r>
    <s v="RLYI"/>
    <x v="87"/>
    <s v="ANGELICA FEITOSA DE CARVALHO COTA"/>
    <s v="CAIO DE ANDRADE DUARTE"/>
    <s v="SALVADOR"/>
    <x v="3"/>
  </r>
  <r>
    <s v="RXGS"/>
    <x v="96"/>
    <s v="AMANDA DA COSTA SILVA LEAL"/>
    <s v="LUAN SADRAQUE FERNANDES DOS SANTOS DANTAS"/>
    <s v="FEIRA DE SANTANA"/>
    <x v="3"/>
  </r>
  <r>
    <s v="UB4X"/>
    <x v="104"/>
    <s v="JOSE RICARDO SANTANA RIBEIRO"/>
    <s v="LUAN SADRAQUE FERNANDES DOS SANTOS DANTAS"/>
    <s v="INHAMBUPE"/>
    <x v="3"/>
  </r>
  <r>
    <s v="UJY5"/>
    <x v="84"/>
    <s v="QUELE OLIVEIRA ROCHA ANDRE"/>
    <s v="RODRIGO SOARES CABRAL"/>
    <s v="PORTO SEGURO"/>
    <x v="3"/>
  </r>
  <r>
    <s v="XDY6"/>
    <x v="105"/>
    <s v="MARILIA GR àsIELE MOREIRA VALOIS DE MIRANDA"/>
    <s v="FABRICIO OLIVEIRA FIGUEREDO"/>
    <s v="JACOBINA"/>
    <x v="3"/>
  </r>
  <r>
    <s v="Z7JT"/>
    <x v="88"/>
    <s v="TAMIRES ALMEIDA DA SILVEIRA PINTO"/>
    <s v="CAIO DE ANDRADE DUARTE"/>
    <s v="CANDEIAS"/>
    <x v="3"/>
  </r>
  <r>
    <s v="ZBRE"/>
    <x v="85"/>
    <s v="BRUNA RACHEL KANO SOBRAL SANTOS"/>
    <s v="MARCIA DA SILVA LIMA OLIVEIRA"/>
    <s v="ARACAJU"/>
    <x v="3"/>
  </r>
  <r>
    <s v="DV1B"/>
    <x v="94"/>
    <s v="QUELE OLIVEIRA ROCHA ANDRE"/>
    <s v="RODRIGO SOARES CABRAL"/>
    <s v="JEQUIE"/>
    <x v="3"/>
  </r>
  <r>
    <s v="CWF8"/>
    <x v="106"/>
    <s v="QUELE OLIVEIRA ROCHA ANDRE"/>
    <s v="RODRIGO SOARES CABRAL"/>
    <s v="TEIXEIRA DE FREITAS"/>
    <x v="3"/>
  </r>
  <r>
    <s v="P0UE"/>
    <x v="99"/>
    <s v="MARILIA GR àsIELE MOREIRA VALOIS DE MIRANDA"/>
    <s v="FABRICIO OLIVEIRA FIGUEREDO"/>
    <s v="JACOBINA"/>
    <x v="3"/>
  </r>
  <r>
    <s v="5F3V"/>
    <x v="94"/>
    <s v="ANTONIO THALLES LUAN BRAGA"/>
    <s v="WALTER JAMES FONSECA MACHADO"/>
    <s v="VITORIA DA CONQUISTA"/>
    <x v="3"/>
  </r>
  <r>
    <s v="6MLN"/>
    <x v="87"/>
    <s v="ANGELICA FEITOSA DE CARVALHO COTA"/>
    <s v="CAIO DE ANDRADE DUARTE"/>
    <s v="CAMACARI"/>
    <x v="3"/>
  </r>
  <r>
    <s v="8PUR"/>
    <x v="85"/>
    <s v="JOSE RICARDO SANTANA RIBEIRO"/>
    <s v="LUAN SADRAQUE FERNANDES DOS SANTOS DANTAS"/>
    <s v="PAULO AFONSO"/>
    <x v="3"/>
  </r>
  <r>
    <s v="7AM2"/>
    <x v="107"/>
    <s v="ANA GLEIDE DE OLIVEIRA RODRIGUES"/>
    <s v="MARCIA DA SILVA LIMA OLIVEIRA"/>
    <s v="ITABAIANA"/>
    <x v="3"/>
  </r>
  <r>
    <s v="RWHB"/>
    <x v="87"/>
    <s v="ANGELICA FEITOSA DE CARVALHO COTA"/>
    <s v="CAIO DE ANDRADE DUARTE"/>
    <s v="SALVADOR"/>
    <x v="3"/>
  </r>
  <r>
    <s v="76CV"/>
    <x v="108"/>
    <s v="SAMARA BARDINI PILARES"/>
    <s v="ANA CAROLINA LIMA DE SOUZA"/>
    <s v="SAO DOMINGOS DO ARAGUAIA"/>
    <x v="4"/>
  </r>
  <r>
    <s v="ETX4"/>
    <x v="109"/>
    <s v="LUCIANA ESTEVES DE ALMEIDA"/>
    <s v="CLAUDIO LADISLAU BORGES CUTRIM"/>
    <s v="SANTA INES"/>
    <x v="4"/>
  </r>
  <r>
    <s v="HLVG"/>
    <x v="110"/>
    <s v="MAYCON DA CRUZ MARINHO"/>
    <s v="CLAUDIO LADISLAU BORGES CUTRIM"/>
    <s v="BACABAL"/>
    <x v="4"/>
  </r>
  <r>
    <s v="KBZ8"/>
    <x v="109"/>
    <s v="LUCIANA ESTEVES DE ALMEIDA"/>
    <s v="CLAUDIO LADISLAU BORGES CUTRIM"/>
    <s v="SANTA INES"/>
    <x v="4"/>
  </r>
  <r>
    <s v="9VK5"/>
    <x v="110"/>
    <s v="MAYCON DA CRUZ MARINHO"/>
    <s v="CLAUDIO LADISLAU BORGES CUTRIM"/>
    <s v="IMPERATRIZ"/>
    <x v="4"/>
  </r>
  <r>
    <s v="M9C0"/>
    <x v="111"/>
    <s v="MAYCON DA CRUZ MARINHO"/>
    <s v="CLAUDIO LADISLAU BORGES CUTRIM"/>
    <s v="CAXIAS"/>
    <x v="4"/>
  </r>
  <r>
    <s v="2CLB"/>
    <x v="3"/>
    <s v="EWERTON MAX ESPINDOLA BRITO DOS REIS"/>
    <s v="ANA CAROLINA LIMA DE SOUZA"/>
    <s v="ANANINDEUA"/>
    <x v="4"/>
  </r>
  <r>
    <s v="BATI"/>
    <x v="112"/>
    <s v="MARCELY ARAUJO COSTA"/>
    <s v="ANA CAROLINA LIMA DE SOUZA"/>
    <s v="MACAPA"/>
    <x v="4"/>
  </r>
  <r>
    <s v="Q8BG"/>
    <x v="3"/>
    <s v="EWERTON MAX ESPINDOLA BRITO DOS REIS"/>
    <s v="ANA CAROLINA LIMA DE SOUZA"/>
    <s v="BELEM"/>
    <x v="4"/>
  </r>
  <r>
    <s v="WPDC"/>
    <x v="113"/>
    <s v="MARCELY ARAUJO COSTA"/>
    <s v="ANA CAROLINA LIMA DE SOUZA"/>
    <s v="MACAPA"/>
    <x v="4"/>
  </r>
  <r>
    <s v="5Y32"/>
    <x v="114"/>
    <s v="THIAGO COSTA CARVALHO"/>
    <s v="CLAUDIO LADISLAU BORGES CUTRIM"/>
    <s v="VIANA"/>
    <x v="4"/>
  </r>
  <r>
    <s v="BG3H"/>
    <x v="115"/>
    <s v="SAMARA NOGUEIRA MENEZES"/>
    <s v="KAREN GABRIELA FERNANDES SILVA"/>
    <s v="PORTO DE MOZ"/>
    <x v="4"/>
  </r>
  <r>
    <s v="CM3Z"/>
    <x v="110"/>
    <s v="THIAGO COSTA CARVALHO"/>
    <s v="CLAUDIO LADISLAU BORGES CUTRIM"/>
    <s v="SAO JOSE DE RIBAMAR"/>
    <x v="4"/>
  </r>
  <r>
    <s v="LMOR"/>
    <x v="116"/>
    <s v="MAYCON DA CRUZ MARINHO"/>
    <s v="CLAUDIO LADISLAU BORGES CUTRIM"/>
    <s v="LAGO DA PEDRA"/>
    <x v="4"/>
  </r>
  <r>
    <s v="Y0I2"/>
    <x v="116"/>
    <s v="MAYCON DA CRUZ MARINHO"/>
    <s v="CLAUDIO LADISLAU BORGES CUTRIM"/>
    <s v="PRESIDENTE DUTRA"/>
    <x v="4"/>
  </r>
  <r>
    <s v="4O3J"/>
    <x v="108"/>
    <s v="SAMARA BARDINI PILARES"/>
    <s v="ANA CAROLINA LIMA DE SOUZA"/>
    <s v="PARAUAPEBAS"/>
    <x v="4"/>
  </r>
  <r>
    <s v="21K1"/>
    <x v="113"/>
    <s v="MARCELY ARAUJO COSTA"/>
    <s v="ANA CAROLINA LIMA DE SOUZA"/>
    <s v="MACAPA"/>
    <x v="4"/>
  </r>
  <r>
    <s v="70FM"/>
    <x v="110"/>
    <s v="THIAGO COSTA CARVALHO"/>
    <s v="CLAUDIO LADISLAU BORGES CUTRIM"/>
    <s v="SAO LUIS"/>
    <x v="4"/>
  </r>
  <r>
    <s v="BGWB"/>
    <x v="111"/>
    <s v="LUCIANA ESTEVES DE ALMEIDA"/>
    <s v="CLAUDIO LADISLAU BORGES CUTRIM"/>
    <s v="SAO LUIS"/>
    <x v="4"/>
  </r>
  <r>
    <s v="ELY3"/>
    <x v="3"/>
    <s v="EWERTON MAX ESPINDOLA BRITO DOS REIS"/>
    <s v="ANA CAROLINA LIMA DE SOUZA"/>
    <s v="BELEM"/>
    <x v="4"/>
  </r>
  <r>
    <s v="ES37"/>
    <x v="110"/>
    <s v="THIAGO COSTA CARVALHO"/>
    <s v="CLAUDIO LADISLAU BORGES CUTRIM"/>
    <s v="SAO LUIS"/>
    <x v="4"/>
  </r>
  <r>
    <s v="RAO1"/>
    <x v="117"/>
    <s v="DANIELA DE SOUZA BRITO"/>
    <s v="KAREN GABRIELA FERNANDES SILVA"/>
    <s v="MANAUS"/>
    <x v="4"/>
  </r>
  <r>
    <s v="HNGL"/>
    <x v="111"/>
    <s v="LUCIANA ESTEVES DE ALMEIDA"/>
    <s v="CLAUDIO LADISLAU BORGES CUTRIM"/>
    <s v="SAO LUIS"/>
    <x v="4"/>
  </r>
  <r>
    <s v="HNGW"/>
    <x v="111"/>
    <s v="LUCIANA ESTEVES DE ALMEIDA"/>
    <s v="CLAUDIO LADISLAU BORGES CUTRIM"/>
    <s v="SAO LUIS"/>
    <x v="4"/>
  </r>
  <r>
    <s v="IM8G"/>
    <x v="3"/>
    <s v="EWERTON MAX ESPINDOLA BRITO DOS REIS"/>
    <s v="ANA CAROLINA LIMA DE SOUZA"/>
    <s v="BELEM"/>
    <x v="4"/>
  </r>
  <r>
    <s v="PVO5"/>
    <x v="112"/>
    <s v="MARCELY ARAUJO COSTA"/>
    <s v="ANA CAROLINA LIMA DE SOUZA"/>
    <s v="SANTANA"/>
    <x v="4"/>
  </r>
  <r>
    <s v="0ZP0"/>
    <x v="118"/>
    <s v="EDU MARLLON BARBOSA MONTEIRO"/>
    <s v="ANA CAROLINA LIMA DE SOUZA"/>
    <s v="CASTANHAL"/>
    <x v="4"/>
  </r>
  <r>
    <s v="LW82"/>
    <x v="118"/>
    <s v="EDU MARLLON BARBOSA MONTEIRO"/>
    <s v="ANA CAROLINA LIMA DE SOUZA"/>
    <s v="PARAGOMINAS"/>
    <x v="4"/>
  </r>
  <r>
    <s v="R1U4"/>
    <x v="110"/>
    <s v="BRUCE DIAS MELO"/>
    <s v="KAREN GABRIELA FERNANDES SILVA"/>
    <s v="BOA VISTA"/>
    <x v="4"/>
  </r>
  <r>
    <s v="JKZY"/>
    <x v="118"/>
    <s v="EDU MARLLON BARBOSA MONTEIRO"/>
    <s v="ANA CAROLINA LIMA DE SOUZA"/>
    <s v="BELEM"/>
    <x v="4"/>
  </r>
  <r>
    <s v="QL1X"/>
    <x v="118"/>
    <s v="EDU MARLLON BARBOSA MONTEIRO"/>
    <s v="ANA CAROLINA LIMA DE SOUZA"/>
    <s v="ABAETETUBA"/>
    <x v="4"/>
  </r>
  <r>
    <s v="RDKG"/>
    <x v="118"/>
    <s v="EDU MARLLON BARBOSA MONTEIRO"/>
    <s v="ANA CAROLINA LIMA DE SOUZA"/>
    <s v="BRAGANCA"/>
    <x v="4"/>
  </r>
  <r>
    <s v="SGHN"/>
    <x v="118"/>
    <s v="SAMARA BARDINI PILARES"/>
    <s v="ANA CAROLINA LIMA DE SOUZA"/>
    <s v="MARABA"/>
    <x v="4"/>
  </r>
  <r>
    <s v="FRLZ"/>
    <x v="111"/>
    <s v="MAYCON DA CRUZ MARINHO"/>
    <s v="CLAUDIO LADISLAU BORGES CUTRIM"/>
    <s v="BARRA DO CORDA"/>
    <x v="4"/>
  </r>
  <r>
    <s v="W5DR"/>
    <x v="114"/>
    <s v="MAYCON DA CRUZ MARINHO"/>
    <s v="CLAUDIO LADISLAU BORGES CUTRIM"/>
    <s v="BALSAS"/>
    <x v="4"/>
  </r>
  <r>
    <s v="OIQL"/>
    <x v="118"/>
    <s v="EDU MARLLON BARBOSA MONTEIRO"/>
    <s v="ANA CAROLINA LIMA DE SOUZA"/>
    <s v="BELEM"/>
    <x v="4"/>
  </r>
  <r>
    <s v="7XKH"/>
    <x v="118"/>
    <s v="SAMARA BARDINI PILARES"/>
    <s v="ANA CAROLINA LIMA DE SOUZA"/>
    <s v="PARAUAPEBAS"/>
    <x v="4"/>
  </r>
  <r>
    <s v="KTI6"/>
    <x v="117"/>
    <s v="DANIELA DE SOUZA BRITO"/>
    <s v="KAREN GABRIELA FERNANDES SILVA"/>
    <s v="MANAUS"/>
    <x v="4"/>
  </r>
  <r>
    <s v="SHIJ"/>
    <x v="111"/>
    <s v="MAYCON DA CRUZ MARINHO"/>
    <s v="CLAUDIO LADISLAU BORGES CUTRIM"/>
    <s v="COLINAS"/>
    <x v="4"/>
  </r>
  <r>
    <s v="0JXI"/>
    <x v="111"/>
    <s v="MAYCON DA CRUZ MARINHO"/>
    <s v="CLAUDIO LADISLAU BORGES CUTRIM"/>
    <s v="CODO"/>
    <x v="4"/>
  </r>
  <r>
    <s v="34B6"/>
    <x v="111"/>
    <s v="LUCIANA ESTEVES DE ALMEIDA"/>
    <s v="CLAUDIO LADISLAU BORGES CUTRIM"/>
    <s v="SAO LUIS"/>
    <x v="4"/>
  </r>
  <r>
    <s v="0KNX"/>
    <x v="119"/>
    <s v="MAYCON DA CRUZ MARINHO"/>
    <s v="CLAUDIO LADISLAU BORGES CUTRIM"/>
    <s v="ACAILANDIA"/>
    <x v="4"/>
  </r>
  <r>
    <s v="6VM6"/>
    <x v="110"/>
    <s v="SAMARA NOGUEIRA MENEZES"/>
    <s v="KAREN GABRIELA FERNANDES SILVA"/>
    <s v="SANTAREM"/>
    <x v="4"/>
  </r>
  <r>
    <s v="872M"/>
    <x v="20"/>
    <s v="FABIO PITZER DE ANDRADE"/>
    <s v="MARCOS AURELIO DE ALMEIDA"/>
    <s v="RIO DE JANEIRO"/>
    <x v="5"/>
  </r>
  <r>
    <s v="8O0N"/>
    <x v="120"/>
    <s v="PAULO ROBERTO TAVARES COSTA"/>
    <s v="MARCOS AURELIO DE ALMEIDA"/>
    <s v="RIO DE JANEIRO"/>
    <x v="5"/>
  </r>
  <r>
    <s v="A7RW"/>
    <x v="121"/>
    <s v="UARLEN DE OLIVEIRA"/>
    <s v="MICHELLE AZEVEDO DE  CARVALHO NEMER "/>
    <s v="MACAE"/>
    <x v="5"/>
  </r>
  <r>
    <s v="CTQX"/>
    <x v="20"/>
    <s v="WALLACE GUIMARAES E SILVA"/>
    <s v="ALEXANDRE VALLE DOS SANTOS LECKAR"/>
    <s v="NITEROI"/>
    <x v="5"/>
  </r>
  <r>
    <s v="E8NF"/>
    <x v="20"/>
    <s v="RODRIGO PEREIRA DE MEDEIROS"/>
    <s v="MICHELLE AZEVEDO DE  CARVALHO NEMER "/>
    <s v="VALENCA"/>
    <x v="5"/>
  </r>
  <r>
    <s v="G1MM"/>
    <x v="121"/>
    <s v="UARLEN DE OLIVEIRA"/>
    <s v="MICHELLE AZEVEDO DE  CARVALHO NEMER "/>
    <s v="ARARUAMA"/>
    <x v="5"/>
  </r>
  <r>
    <s v="GC5P"/>
    <x v="120"/>
    <s v="WALLACE GUIMARAES E SILVA"/>
    <s v="ALEXANDRE VALLE DOS SANTOS LECKAR"/>
    <s v="DUQUE DE CAXIAS"/>
    <x v="5"/>
  </r>
  <r>
    <s v="GG2F"/>
    <x v="122"/>
    <s v="RODRIGO PEREIRA DE MEDEIROS"/>
    <s v="MICHELLE AZEVEDO DE  CARVALHO NEMER "/>
    <s v="NOVA FRIBURGO"/>
    <x v="5"/>
  </r>
  <r>
    <s v="GO7P"/>
    <x v="120"/>
    <s v="FERNANDA FIGLIUZZI FERREIRA NETTO CARVALHO"/>
    <s v="MARCOS AURELIO DE ALMEIDA"/>
    <s v="RIO DE JANEIRO"/>
    <x v="5"/>
  </r>
  <r>
    <s v="GO8P"/>
    <x v="120"/>
    <s v="PAULO ROBERTO TAVARES COSTA"/>
    <s v="MARCOS AURELIO DE ALMEIDA"/>
    <s v="RIO DE JANEIRO"/>
    <x v="5"/>
  </r>
  <r>
    <s v="GP1G"/>
    <x v="120"/>
    <s v="FABIO PITZER DE ANDRADE"/>
    <s v="MARCOS AURELIO DE ALMEIDA"/>
    <s v="RIO DE JANEIRO"/>
    <x v="5"/>
  </r>
  <r>
    <s v="GP2G"/>
    <x v="120"/>
    <s v="FABIO PITZER DE ANDRADE"/>
    <s v="MARCOS AURELIO DE ALMEIDA"/>
    <s v="RIO DE JANEIRO"/>
    <x v="5"/>
  </r>
  <r>
    <s v="GP3C"/>
    <x v="120"/>
    <s v="WALLACE GUIMARAES E SILVA"/>
    <s v="ALEXANDRE VALLE DOS SANTOS LECKAR"/>
    <s v="NITEROI"/>
    <x v="5"/>
  </r>
  <r>
    <s v="GP8C"/>
    <x v="120"/>
    <s v="FABIO PITZER DE ANDRADE"/>
    <s v="MARCOS AURELIO DE ALMEIDA"/>
    <s v="RIO DE JANEIRO"/>
    <x v="5"/>
  </r>
  <r>
    <s v="NHZC"/>
    <x v="121"/>
    <s v="UARLEN DE OLIVEIRA"/>
    <s v="MICHELLE AZEVEDO DE  CARVALHO NEMER "/>
    <s v="RIO DAS OSTRAS"/>
    <x v="5"/>
  </r>
  <r>
    <s v="PGDK"/>
    <x v="20"/>
    <s v="PAULO ROBERTO TAVARES COSTA"/>
    <s v="MARCOS AURELIO DE ALMEIDA"/>
    <s v="RIO DE JANEIRO"/>
    <x v="5"/>
  </r>
  <r>
    <s v="QI0Y"/>
    <x v="123"/>
    <s v="_x000a_VICTOR MOTTA PASCHOA"/>
    <s v="MARCOS AURELIO DE ALMEIDA"/>
    <s v="RIO DE JANEIRO"/>
    <x v="5"/>
  </r>
  <r>
    <s v="T8PV"/>
    <x v="123"/>
    <s v="_x000a_VICTOR MOTTA PASCHOA"/>
    <s v="MARCOS AURELIO DE ALMEIDA"/>
    <s v="RIO DE JANEIRO"/>
    <x v="5"/>
  </r>
  <r>
    <s v="VN4K"/>
    <x v="122"/>
    <s v="RODRIGO PEREIRA DE MEDEIROS"/>
    <s v="MICHELLE AZEVEDO DE  CARVALHO NEMER "/>
    <s v="TRES RIOS"/>
    <x v="5"/>
  </r>
  <r>
    <s v="WPWB"/>
    <x v="20"/>
    <s v="FERNANDA FIGLIUZZI FERREIRA NETTO CARVALHO"/>
    <s v="MARCOS AURELIO DE ALMEIDA"/>
    <s v="RIO DE JANEIRO"/>
    <x v="5"/>
  </r>
  <r>
    <s v="XLJF"/>
    <x v="20"/>
    <s v="NARELISAN BALTHAZAR RESENDE"/>
    <s v="ALEXANDRE VALLE DOS SANTOS LECKAR"/>
    <s v="SAO JOAO DE MERITI"/>
    <x v="5"/>
  </r>
  <r>
    <s v="BR37"/>
    <x v="20"/>
    <s v="WALLACE GUIMARAES E SILVA"/>
    <s v="ALEXANDRE VALLE DOS SANTOS LECKAR"/>
    <s v="SAO GONCALO"/>
    <x v="5"/>
  </r>
  <r>
    <s v="FEYW"/>
    <x v="20"/>
    <s v="PAULA MARQUES SARDINHA"/>
    <s v="MICHELLE AZEVEDO DE  CARVALHO NEMER "/>
    <s v="CAMPOS DOS GOYTACAZES"/>
    <x v="5"/>
  </r>
  <r>
    <s v="K9XU"/>
    <x v="85"/>
    <s v="PAULO HENRIQUE DE ALMEIDA PINHEIRO"/>
    <s v="MICHELLE AZEVEDO DE  CARVALHO NEMER "/>
    <s v="VOLTA REDONDA"/>
    <x v="5"/>
  </r>
  <r>
    <s v="ALED"/>
    <x v="85"/>
    <s v="PAULO HENRIQUE DE ALMEIDA PINHEIRO"/>
    <s v="MICHELLE AZEVEDO DE  CARVALHO NEMER "/>
    <s v="RESENDE"/>
    <x v="5"/>
  </r>
  <r>
    <s v="1KO5"/>
    <x v="123"/>
    <s v="VIVIANA XAVIER"/>
    <s v="JACKELINE MACHADO SINIS GOICOCHEIA"/>
    <s v="VITORIA"/>
    <x v="5"/>
  </r>
  <r>
    <s v="1R0V"/>
    <x v="20"/>
    <s v="RODRIGO PEREIRA DE MEDEIROS"/>
    <s v="MICHELLE AZEVEDO DE  CARVALHO NEMER "/>
    <s v="VASSOURAS"/>
    <x v="5"/>
  </r>
  <r>
    <s v="1XCQ"/>
    <x v="120"/>
    <s v="VICTOR FERREIRA TEIXEIRA MELETTI"/>
    <s v="MARCOS AURELIO DE ALMEIDA"/>
    <s v="RIO DE JANEIRO"/>
    <x v="5"/>
  </r>
  <r>
    <s v="2Y7A"/>
    <x v="120"/>
    <s v="NARELISAN BALTHAZAR RESENDE"/>
    <s v="ALEXANDRE VALLE DOS SANTOS LECKAR"/>
    <s v="DUQUE DE CAXIAS"/>
    <x v="5"/>
  </r>
  <r>
    <s v="3LEK"/>
    <x v="124"/>
    <s v="DIEFFERSON KLIPPEL ALVES"/>
    <s v="JACKELINE MACHADO SINIS GOICOCHEIA"/>
    <s v="GUARAPARI"/>
    <x v="5"/>
  </r>
  <r>
    <s v="4PAY"/>
    <x v="123"/>
    <s v="VIVIANA XAVIER"/>
    <s v="JACKELINE MACHADO SINIS GOICOCHEIA"/>
    <s v="VILA VELHA"/>
    <x v="5"/>
  </r>
  <r>
    <s v="52O5"/>
    <x v="20"/>
    <s v="FABIO PEREIRA DA CUNHA"/>
    <s v="ALEXANDRE VALLE DOS SANTOS LECKAR"/>
    <s v="MAGE"/>
    <x v="5"/>
  </r>
  <r>
    <s v="52UY"/>
    <x v="120"/>
    <s v="VICTOR MOTTA PASCHOA"/>
    <s v="MARCOS AURELIO DE ALMEIDA"/>
    <s v="RIO DE JANEIRO"/>
    <x v="5"/>
  </r>
  <r>
    <s v="6UL0"/>
    <x v="20"/>
    <s v="WALLACE GUIMARAES E SILVA"/>
    <s v="ALEXANDRE VALLE DOS SANTOS LECKAR"/>
    <s v="MARICA"/>
    <x v="5"/>
  </r>
  <r>
    <s v="8ZVJ"/>
    <x v="120"/>
    <s v="BRUNO DA SILVA LIMA"/>
    <s v="ALEXANDRE VALLE DOS SANTOS LECKAR"/>
    <s v="RIO DE JANEIRO"/>
    <x v="5"/>
  </r>
  <r>
    <s v="9BDW"/>
    <x v="123"/>
    <s v="VIVIANA XAVIER"/>
    <s v="JACKELINE MACHADO SINIS GOICOCHEIA"/>
    <s v="SERRA"/>
    <x v="5"/>
  </r>
  <r>
    <s v="A0FH"/>
    <x v="20"/>
    <s v="WALLACE GUIMARAES E SILVA"/>
    <s v="ALEXANDRE VALLE DOS SANTOS LECKAR"/>
    <s v="SAO GONCALO"/>
    <x v="5"/>
  </r>
  <r>
    <s v="BAUR"/>
    <x v="20"/>
    <s v="WALLACE GUIMARAES E SILVA"/>
    <s v="ALEXANDRE VALLE DOS SANTOS LECKAR"/>
    <s v="NITEROI"/>
    <x v="5"/>
  </r>
  <r>
    <s v="CW2E"/>
    <x v="123"/>
    <s v="FABIO LOIOLA DA SILVA"/>
    <s v="ALEXANDRE VALLE DOS SANTOS LECKAR"/>
    <s v="RIO DE JANEIRO"/>
    <x v="5"/>
  </r>
  <r>
    <s v="CZO5"/>
    <x v="121"/>
    <s v="UARLEN DE OLIVEIRA"/>
    <s v="MICHELLE AZEVEDO DE  CARVALHO NEMER "/>
    <s v="SAO PEDRO DA ALDEIA"/>
    <x v="5"/>
  </r>
  <r>
    <s v="EMC2"/>
    <x v="20"/>
    <s v="WALLACE GUIMARAES E SILVA"/>
    <s v="ALEXANDRE VALLE DOS SANTOS LECKAR"/>
    <s v="ITABORAI"/>
    <x v="5"/>
  </r>
  <r>
    <s v="F9H2"/>
    <x v="122"/>
    <s v="RODRIGO PEREIRA DE MEDEIROS"/>
    <s v="MICHELLE AZEVEDO DE  CARVALHO NEMER "/>
    <s v="PETROPOLIS"/>
    <x v="5"/>
  </r>
  <r>
    <s v="FS2E"/>
    <x v="123"/>
    <s v="FABIO LOIOLA DA SILVA"/>
    <s v="ALEXANDRE VALLE DOS SANTOS LECKAR"/>
    <s v="NILOPOLIS"/>
    <x v="5"/>
  </r>
  <r>
    <s v="G1MP"/>
    <x v="122"/>
    <s v="FABIO PEREIRA DA CUNHA"/>
    <s v="ALEXANDRE VALLE DOS SANTOS LECKAR"/>
    <s v="TERESOPOLIS"/>
    <x v="5"/>
  </r>
  <r>
    <s v="G1SL"/>
    <x v="125"/>
    <s v="RODRIGO PEREIRA DE MEDEIROS"/>
    <s v="MICHELLE AZEVEDO DE  CARVALHO NEMER "/>
    <s v="SAO JOSE DO VALE DO RIO PRETO"/>
    <x v="5"/>
  </r>
  <r>
    <s v="G8JY"/>
    <x v="120"/>
    <s v="PAULO ROBERTO TAVARES COSTA"/>
    <s v="MARCOS AURELIO DE ALMEIDA"/>
    <s v="RIO DE JANEIRO"/>
    <x v="5"/>
  </r>
  <r>
    <s v="GC2P"/>
    <x v="120"/>
    <s v="VICTOR MOTTA PASCHOA"/>
    <s v="MARCOS AURELIO DE ALMEIDA"/>
    <s v="RIO DE JANEIRO"/>
    <x v="5"/>
  </r>
  <r>
    <s v="GC3P"/>
    <x v="120"/>
    <s v="VICTOR MOTTA PASCHOA"/>
    <s v="MARCOS AURELIO DE ALMEIDA"/>
    <s v="RIO DE JANEIRO"/>
    <x v="5"/>
  </r>
  <r>
    <s v="GFT1"/>
    <x v="122"/>
    <s v="FABIO PEREIRA DA CUNHA"/>
    <s v="ALEXANDRE VALLE DOS SANTOS LECKAR"/>
    <s v="TERESOPOLIS"/>
    <x v="5"/>
  </r>
  <r>
    <s v="GG1F"/>
    <x v="122"/>
    <s v="RODRIGO PEREIRA DE MEDEIROS"/>
    <s v="MICHELLE AZEVEDO DE  CARVALHO NEMER "/>
    <s v="NOVA FRIBURGO"/>
    <x v="5"/>
  </r>
  <r>
    <s v="GO3P"/>
    <x v="120"/>
    <s v="VICTOR FERREIRA TEIXEIRA MELETTI"/>
    <s v="MARCOS AURELIO DE ALMEIDA"/>
    <s v="RIO DE JANEIRO"/>
    <x v="5"/>
  </r>
  <r>
    <s v="GO5P"/>
    <x v="120"/>
    <s v="BRUNO DA SILVA LIMA"/>
    <s v="ALEXANDRE VALLE DOS SANTOS LECKAR"/>
    <s v="RIO DE JANEIRO"/>
    <x v="5"/>
  </r>
  <r>
    <s v="GO6P"/>
    <x v="120"/>
    <s v="BRUNO DA SILVA LIMA"/>
    <s v="ALEXANDRE VALLE DOS SANTOS LECKAR"/>
    <s v="RIO DE JANEIRO"/>
    <x v="5"/>
  </r>
  <r>
    <s v="I9IL"/>
    <x v="123"/>
    <s v="FABIO PEREIRA DA CUNHA"/>
    <s v="ALEXANDRE VALLE DOS SANTOS LECKAR"/>
    <s v="MAGE"/>
    <x v="5"/>
  </r>
  <r>
    <s v="JSY6"/>
    <x v="123"/>
    <s v="FABIO LOIOLA DA SILVA"/>
    <s v="ALEXANDRE VALLE DOS SANTOS LECKAR"/>
    <s v="QUEIMADOS"/>
    <x v="5"/>
  </r>
  <r>
    <s v="K536"/>
    <x v="123"/>
    <s v="FABIO LOIOLA DA SILVA"/>
    <s v="ALEXANDRE VALLE DOS SANTOS LECKAR"/>
    <s v="PARACAMBI"/>
    <x v="5"/>
  </r>
  <r>
    <s v="KAD3"/>
    <x v="123"/>
    <s v="FABIO LOIOLA DA SILVA"/>
    <s v="ALEXANDRE VALLE DOS SANTOS LECKAR"/>
    <s v="NITEROI"/>
    <x v="5"/>
  </r>
  <r>
    <s v="L2Q2"/>
    <x v="20"/>
    <s v="FABIO PITZER DE ANDRADE"/>
    <s v="MARCOS AURELIO DE ALMEIDA"/>
    <s v="RIO DE JANEIRO"/>
    <x v="5"/>
  </r>
  <r>
    <s v="L7P5"/>
    <x v="120"/>
    <s v="BRUNO DA SILVA LIMA"/>
    <s v="ALEXANDRE VALLE DOS SANTOS LECKAR"/>
    <s v="SAO JOAO DE MERITI"/>
    <x v="5"/>
  </r>
  <r>
    <s v="L864"/>
    <x v="121"/>
    <s v="UARLEN DE OLIVEIRA"/>
    <s v="MICHELLE AZEVEDO DE  CARVALHO NEMER "/>
    <s v="MACAE"/>
    <x v="5"/>
  </r>
  <r>
    <s v="M0DW"/>
    <x v="126"/>
    <s v="DIEFFERSON KLIPPEL ALVES"/>
    <s v="JACKELINE MACHADO SINIS GOICOCHEIA"/>
    <s v="MARATAIZES"/>
    <x v="5"/>
  </r>
  <r>
    <s v="N6H2"/>
    <x v="20"/>
    <s v="NARELISAN BALTHAZAR RESENDE"/>
    <s v="ALEXANDRE VALLE DOS SANTOS LECKAR"/>
    <s v="DUQUE DE CAXIAS"/>
    <x v="5"/>
  </r>
  <r>
    <s v="N6UR"/>
    <x v="20"/>
    <s v="FERNANDA FIGLIUZZI FERREIRA NETTO CARVALHO"/>
    <s v="MARCOS AURELIO DE ALMEIDA"/>
    <s v="RIO DE JANEIRO"/>
    <x v="5"/>
  </r>
  <r>
    <s v="NDTZ"/>
    <x v="20"/>
    <s v="FABIO PITZER DE ANDRADE"/>
    <s v="MARCOS AURELIO DE ALMEIDA"/>
    <s v="RIO DE JANEIRO"/>
    <x v="5"/>
  </r>
  <r>
    <s v="P418"/>
    <x v="123"/>
    <s v="FABIO LOIOLA DA SILVA"/>
    <s v="ALEXANDRE VALLE DOS SANTOS LECKAR"/>
    <s v="NOVA IGUACU"/>
    <x v="5"/>
  </r>
  <r>
    <s v="PAOV"/>
    <x v="123"/>
    <s v="DIEFFERSON KLIPPEL ALVES"/>
    <s v="JACKELINE MACHADO SINIS GOICOCHEIA"/>
    <s v="VILA VELHA"/>
    <x v="5"/>
  </r>
  <r>
    <s v="QHTZ"/>
    <x v="20"/>
    <s v="FABIO PEREIRA DA CUNHA"/>
    <s v="ALEXANDRE VALLE DOS SANTOS LECKAR"/>
    <s v="NOVA IGUACU"/>
    <x v="5"/>
  </r>
  <r>
    <s v="QPO3"/>
    <x v="120"/>
    <s v="PAULO ROBERTO TAVARES COSTA"/>
    <s v="MARCOS AURELIO DE ALMEIDA"/>
    <s v="RIO DE JANEIRO"/>
    <x v="5"/>
  </r>
  <r>
    <s v="RI7X"/>
    <x v="120"/>
    <s v="FABIO LOIOLA DA SILVA"/>
    <s v="ALEXANDRE VALLE DOS SANTOS LECKAR"/>
    <s v="NOVA IGUACU"/>
    <x v="5"/>
  </r>
  <r>
    <s v="RXH5"/>
    <x v="122"/>
    <s v="RODRIGO PEREIRA DE MEDEIROS"/>
    <s v="MICHELLE AZEVEDO DE  CARVALHO NEMER "/>
    <s v="BARRA DO PIRAI"/>
    <x v="5"/>
  </r>
  <r>
    <s v="S71L"/>
    <x v="120"/>
    <s v="VICTOR FERREIRA TEIXEIRA MELETTI"/>
    <s v="MARCOS AURELIO DE ALMEIDA"/>
    <s v="RIO DE JANEIRO"/>
    <x v="5"/>
  </r>
  <r>
    <s v="5BCS"/>
    <x v="127"/>
    <s v="VICTOR FERREIRA TEIXEIRA MELETTI"/>
    <s v="MARCOS AURELIO DE ALMEIDA"/>
    <s v="RIO DE JANEIRO"/>
    <x v="5"/>
  </r>
  <r>
    <s v="SIGP"/>
    <x v="127"/>
    <s v="VICTOR FERREIRA TEIXEIRA MELETTI"/>
    <s v="MARCOS AURELIO DE ALMEIDA"/>
    <s v="RIO DE JANEIRO"/>
    <x v="5"/>
  </r>
  <r>
    <s v="X7D4"/>
    <x v="20"/>
    <s v="FABIO PEREIRA DA CUNHA"/>
    <s v="ALEXANDRE VALLE DOS SANTOS LECKAR"/>
    <s v="ITAGUAI"/>
    <x v="5"/>
  </r>
  <r>
    <s v="X9MG"/>
    <x v="20"/>
    <s v="FABIO PEREIRA DA CUNHA"/>
    <s v="ALEXANDRE VALLE DOS SANTOS LECKAR"/>
    <s v="BELFORD ROXO"/>
    <x v="5"/>
  </r>
  <r>
    <s v="XQK8"/>
    <x v="120"/>
    <s v="PAULO ROBERTO TAVARES COSTA"/>
    <s v="MARCOS AURELIO DE ALMEIDA"/>
    <s v="RIO DE JANEIRO"/>
    <x v="5"/>
  </r>
  <r>
    <s v="Z9DY"/>
    <x v="120"/>
    <s v="BRUNO DA SILVA LIMA"/>
    <s v="ALEXANDRE VALLE DOS SANTOS LECKAR"/>
    <s v="RIO DE JANEIRO"/>
    <x v="5"/>
  </r>
  <r>
    <s v="ZCB3"/>
    <x v="127"/>
    <s v="VICTOR FERREIRA TEIXEIRA MELETTI"/>
    <s v="MARCOS AURELIO DE ALMEIDA"/>
    <s v="RIO DE JANEIRO"/>
    <x v="5"/>
  </r>
  <r>
    <s v="JE97"/>
    <x v="122"/>
    <s v="RODRIGO PEREIRA DE MEDEIROS"/>
    <s v="MICHELLE AZEVEDO DE  CARVALHO NEMER "/>
    <s v="RIO DE JANEIRO"/>
    <x v="5"/>
  </r>
  <r>
    <s v="14RU"/>
    <x v="123"/>
    <s v="DIEFFERSON KLIPPEL ALVES"/>
    <s v="JACKELINE MACHADO SINIS GOICOCHEIA"/>
    <s v="VILA VELHA"/>
    <x v="5"/>
  </r>
  <r>
    <s v="KBVT"/>
    <x v="127"/>
    <s v="FERNANDA FIGLIUZZI FERREIRA NETTO CARVALHO"/>
    <s v="MARCOS AURELIO DE ALMEIDA"/>
    <s v="RIO DE JANEIRO"/>
    <x v="5"/>
  </r>
  <r>
    <s v="I5TV"/>
    <x v="20"/>
    <s v="PAULO HENRIQUE DE ALMEIDA PINHEIRO"/>
    <s v="MICHELLE AZEVEDO DE  CARVALHO NEMER "/>
    <s v="VOLTA REDONDA"/>
    <x v="5"/>
  </r>
  <r>
    <s v="G0XH"/>
    <x v="20"/>
    <s v="PAULA MARQUES SARDINHA"/>
    <s v="MICHELLE AZEVEDO DE  CARVALHO NEMER "/>
    <s v="CAMPOS DOS GOYTACAZES"/>
    <x v="5"/>
  </r>
  <r>
    <s v="WQ3S"/>
    <x v="20"/>
    <s v="PAULA MARQUES SARDINHA"/>
    <s v="MICHELLE AZEVEDO DE  CARVALHO NEMER "/>
    <s v="ITAPERUNA"/>
    <x v="5"/>
  </r>
  <r>
    <s v="POGA"/>
    <x v="20"/>
    <s v="PAULA MARQUES SARDINHA"/>
    <s v="MICHELLE AZEVEDO DE  CARVALHO NEMER "/>
    <s v="ARMACAO DOS BUZIOS"/>
    <x v="5"/>
  </r>
  <r>
    <s v="UT2F"/>
    <x v="20"/>
    <s v="PAULA MARQUES SARDINHA"/>
    <s v="MICHELLE AZEVEDO DE  CARVALHO NEMER "/>
    <s v="CAMPOS DOS GOYTACAZES"/>
    <x v="5"/>
  </r>
  <r>
    <s v="KDBX"/>
    <x v="20"/>
    <s v="PAULA MARQUES SARDINHA"/>
    <s v="MICHELLE AZEVEDO DE  CARVALHO NEMER "/>
    <s v="CABO FRIO"/>
    <x v="5"/>
  </r>
  <r>
    <s v="37W8"/>
    <x v="20"/>
    <s v="PAULA MARQUES SARDINHA"/>
    <s v="MICHELLE AZEVEDO DE  CARVALHO NEMER "/>
    <s v="CABO FRIO"/>
    <x v="5"/>
  </r>
  <r>
    <s v="4Z0R"/>
    <x v="120"/>
    <s v="PAULO ROBERTO TAVARES COSTA"/>
    <s v="MARCOS AURELIO DE ALMEIDA"/>
    <s v="RIO DE JANEIRO"/>
    <x v="5"/>
  </r>
  <r>
    <s v="BMTX"/>
    <x v="85"/>
    <s v="PAULO HENRIQUE DE ALMEIDA PINHEIRO"/>
    <s v="MICHELLE AZEVEDO DE  CARVALHO NEMER "/>
    <s v="PARATY"/>
    <x v="5"/>
  </r>
  <r>
    <s v="F979"/>
    <x v="85"/>
    <s v="PAULO HENRIQUE DE ALMEIDA PINHEIRO"/>
    <s v="MICHELLE AZEVEDO DE  CARVALHO NEMER "/>
    <s v="VOLTA REDONDA"/>
    <x v="5"/>
  </r>
  <r>
    <s v="LRM4"/>
    <x v="85"/>
    <s v="PAULO HENRIQUE DE ALMEIDA PINHEIRO"/>
    <s v="MICHELLE AZEVEDO DE  CARVALHO NEMER "/>
    <s v="BARRA MANSA"/>
    <x v="5"/>
  </r>
  <r>
    <s v="G21T"/>
    <x v="85"/>
    <s v="PAULO HENRIQUE DE ALMEIDA PINHEIRO"/>
    <s v="MICHELLE AZEVEDO DE  CARVALHO NEMER "/>
    <s v="ANGRA DOS REIS"/>
    <x v="5"/>
  </r>
  <r>
    <s v="W5Q0"/>
    <x v="85"/>
    <s v="PAULO HENRIQUE DE ALMEIDA PINHEIRO"/>
    <s v="MICHELLE AZEVEDO DE  CARVALHO NEMER "/>
    <s v="VOLTA REDONDA"/>
    <x v="5"/>
  </r>
  <r>
    <s v="WS5P"/>
    <x v="123"/>
    <s v="VIVIANA XAVIER"/>
    <s v="JACKELINE MACHADO SINIS GOICOCHEIA"/>
    <s v="ARACRUZ"/>
    <x v="5"/>
  </r>
  <r>
    <s v="H928"/>
    <x v="120"/>
    <s v="VICTOR FERREIRA TEIXEIRA MELETTI"/>
    <s v="MARCOS AURELIO DE ALMEIDA"/>
    <s v="RIO DE JANEIRO"/>
    <x v="5"/>
  </r>
  <r>
    <s v=" IOIC"/>
    <x v="122"/>
    <s v="RODRIGO PEREIRA DE MEDEIROS"/>
    <s v="MICHELLE AZEVEDO DE  CARVALHO NEMER "/>
    <s v="PARAIBA DO SUL"/>
    <x v="5"/>
  </r>
  <r>
    <s v="CB1T"/>
    <x v="128"/>
    <s v="REGIANE ALVES DA COSTA"/>
    <s v="JOSIANE MENDES DE AGUIAR"/>
    <s v="ARUJA"/>
    <x v="6"/>
  </r>
  <r>
    <s v="TRM8"/>
    <x v="129"/>
    <s v="ALEXANDRE HORTA HONORIO"/>
    <s v="MARCELO MARTINS SAMPAIO"/>
    <s v="ITAPECERICA DA SERRA"/>
    <x v="6"/>
  </r>
  <r>
    <s v="9G9S"/>
    <x v="130"/>
    <s v="REGIANE ALVES DA COSTA"/>
    <s v="JOSIANE MENDES DE AGUIAR"/>
    <s v="OSASCO"/>
    <x v="6"/>
  </r>
  <r>
    <s v="NOUR"/>
    <x v="130"/>
    <s v="REGIANE ALVES DA COSTA"/>
    <s v="JOSIANE MENDES DE AGUIAR"/>
    <s v="MOGI DAS CRUZES"/>
    <x v="6"/>
  </r>
  <r>
    <s v="3BCQ"/>
    <x v="130"/>
    <s v="REGIANE ALVES DA COSTA"/>
    <s v="JOSIANE MENDES DE AGUIAR"/>
    <s v="OSASCO"/>
    <x v="6"/>
  </r>
  <r>
    <s v="6SX1"/>
    <x v="130"/>
    <s v="REGIANE ALVES DA COSTA"/>
    <s v="JOSIANE MENDES DE AGUIAR"/>
    <s v="SAO PAULO"/>
    <x v="6"/>
  </r>
  <r>
    <s v="CM1A"/>
    <x v="130"/>
    <s v="REGIANE ALVES DA COSTA"/>
    <s v="JOSIANE MENDES DE AGUIAR"/>
    <s v="MOGI DAS CRUZES"/>
    <x v="6"/>
  </r>
  <r>
    <s v="P32C"/>
    <x v="130"/>
    <s v="REGIANE ALVES DA COSTA"/>
    <s v="JOSIANE MENDES DE AGUIAR"/>
    <s v="MOGI DAS CRUZES"/>
    <x v="6"/>
  </r>
  <r>
    <s v="PT5L"/>
    <x v="130"/>
    <s v="REGIANE ALVES DA COSTA"/>
    <s v="JOSIANE MENDES DE AGUIAR"/>
    <s v="EMBU DAS ARTES"/>
    <x v="6"/>
  </r>
  <r>
    <s v="VF3M"/>
    <x v="130"/>
    <s v="REGIANE ALVES DA COSTA"/>
    <s v="JOSIANE MENDES DE AGUIAR"/>
    <s v="MOGI DAS CRUZES"/>
    <x v="6"/>
  </r>
  <r>
    <s v="LNC8"/>
    <x v="131"/>
    <s v="CAROLINA RODRIGUES BATISTA"/>
    <s v="ALANA DALLA COSTA"/>
    <s v="SAO PAULO"/>
    <x v="6"/>
  </r>
  <r>
    <s v="01SE"/>
    <x v="131"/>
    <s v="LUIZ PAULO SANTOS CONCEICAO"/>
    <s v="ALANA DALLA COSTA"/>
    <s v="JANDIRA"/>
    <x v="6"/>
  </r>
  <r>
    <s v="0D0C"/>
    <x v="131"/>
    <s v="CAROLINA RODRIGUES BATISTA"/>
    <s v="ALANA DALLA COSTA"/>
    <s v="SAO PAULO"/>
    <x v="6"/>
  </r>
  <r>
    <s v="0FB6"/>
    <x v="131"/>
    <s v="CAROLINA RODRIGUES BATISTA"/>
    <s v="ALANA DALLA COSTA"/>
    <s v="SAO PAULO"/>
    <x v="6"/>
  </r>
  <r>
    <s v="4AFC"/>
    <x v="131"/>
    <s v="VALQUIRIA APARECIDA DE CARVALHO"/>
    <s v="ALANA DALLA COSTA"/>
    <s v="SAO PAULO"/>
    <x v="6"/>
  </r>
  <r>
    <s v="59R9"/>
    <x v="131"/>
    <s v="LUIZ PAULO SANTOS CONCEICAO"/>
    <s v="ALANA DALLA COSTA"/>
    <s v="SAO PAULO"/>
    <x v="6"/>
  </r>
  <r>
    <s v="5GBA"/>
    <x v="131"/>
    <s v="LUIZ PAULO SANTOS CONCEICAO"/>
    <s v="ALANA DALLA COSTA"/>
    <s v="ITAPEVI"/>
    <x v="6"/>
  </r>
  <r>
    <s v="BIDJ"/>
    <x v="131"/>
    <s v="CAROLINA RODRIGUES BATISTA"/>
    <s v="ALANA DALLA COSTA"/>
    <s v="SAO PAULO"/>
    <x v="6"/>
  </r>
  <r>
    <s v="BTNC"/>
    <x v="131"/>
    <s v="VALQUIRIA APARECIDA DE CARVALHO"/>
    <s v="ALANA DALLA COSTA"/>
    <s v="SAO PAULO"/>
    <x v="6"/>
  </r>
  <r>
    <s v="GN83"/>
    <x v="131"/>
    <s v="VALQUIRIA APARECIDA DE CARVALHO"/>
    <s v="ALANA DALLA COSTA"/>
    <s v="SAO PAULO"/>
    <x v="6"/>
  </r>
  <r>
    <s v="HT50"/>
    <x v="131"/>
    <s v="CAROLINA RODRIGUES BATISTA"/>
    <s v="ALANA DALLA COSTA"/>
    <s v="SAO PAULO"/>
    <x v="6"/>
  </r>
  <r>
    <s v="IEQ3"/>
    <x v="131"/>
    <s v="CAROLINA RODRIGUES BATISTA"/>
    <s v="ALANA DALLA COSTA"/>
    <s v="SAO PAULO"/>
    <x v="6"/>
  </r>
  <r>
    <s v="IVHZ"/>
    <x v="131"/>
    <s v="VALQUIRIA APARECIDA DE CARVALHO"/>
    <s v="ALANA DALLA COSTA"/>
    <s v="SAO PAULO"/>
    <x v="6"/>
  </r>
  <r>
    <s v="O1EF"/>
    <x v="131"/>
    <s v="VALQUIRIA APARECIDA DE CARVALHO"/>
    <s v="ALANA DALLA COSTA"/>
    <s v="SAO PAULO"/>
    <x v="6"/>
  </r>
  <r>
    <s v="TLEF"/>
    <x v="131"/>
    <s v="VALQUIRIA APARECIDA DE CARVALHO"/>
    <s v="ALANA DALLA COSTA"/>
    <s v="SAO PAULO"/>
    <x v="6"/>
  </r>
  <r>
    <s v="U5ZR"/>
    <x v="131"/>
    <s v="LUIZ PAULO SANTOS CONCEICAO"/>
    <s v="ALANA DALLA COSTA"/>
    <s v="CAJAMAR"/>
    <x v="6"/>
  </r>
  <r>
    <s v="ZQMB"/>
    <x v="131"/>
    <s v="LUIZ PAULO SANTOS CONCEICAO"/>
    <s v="ALANA DALLA COSTA"/>
    <s v="SAO PAULO"/>
    <x v="6"/>
  </r>
  <r>
    <s v="2SIK"/>
    <x v="132"/>
    <s v="ALEXANDRE HORTA HONORIO"/>
    <s v="MARCELO MARTINS SAMPAIO"/>
    <s v="DIADEMA"/>
    <x v="6"/>
  </r>
  <r>
    <s v="51GU"/>
    <x v="132"/>
    <s v="ALEXANDRE HORTA HONORIO"/>
    <s v="MARCELO MARTINS SAMPAIO"/>
    <s v="SANTO ANDRE"/>
    <x v="6"/>
  </r>
  <r>
    <s v="5P6E"/>
    <x v="132"/>
    <s v="ALEXANDRE HORTA HONORIO"/>
    <s v="MARCELO MARTINS SAMPAIO"/>
    <s v="SANTO ANDRE"/>
    <x v="6"/>
  </r>
  <r>
    <s v="H9LX"/>
    <x v="117"/>
    <s v="RENATA PREVIATO ALAVEZ"/>
    <s v="MARCELO MARTINS SAMPAIO"/>
    <s v="SUZANO"/>
    <x v="6"/>
  </r>
  <r>
    <s v="0L6Z"/>
    <x v="117"/>
    <s v="MARCIO DINIZ GOMES NALETO"/>
    <s v="MARCELO MARTINS SAMPAIO"/>
    <s v="SAO PAULO"/>
    <x v="6"/>
  </r>
  <r>
    <s v="0LIZ"/>
    <x v="117"/>
    <s v="KELLY COLIADOS VALENTIM"/>
    <s v="MARCELO MARTINS SAMPAIO"/>
    <s v="SAO PAULO"/>
    <x v="6"/>
  </r>
  <r>
    <s v="2GJ0"/>
    <x v="117"/>
    <s v="MARCIO DINIZ GOMES NALETO"/>
    <s v="MARCELO MARTINS SAMPAIO"/>
    <s v="SAO PAULO"/>
    <x v="6"/>
  </r>
  <r>
    <s v="8CLM"/>
    <x v="117"/>
    <s v="RENATA PREVIATO ALAVEZ"/>
    <s v="MARCELO MARTINS SAMPAIO"/>
    <s v="GUARULHOS"/>
    <x v="6"/>
  </r>
  <r>
    <s v="CB2A"/>
    <x v="117"/>
    <s v="RENATA PREVIATO ALAVEZ"/>
    <s v="MARCELO MARTINS SAMPAIO"/>
    <s v="GUARULHOS"/>
    <x v="6"/>
  </r>
  <r>
    <s v="E2YS"/>
    <x v="117"/>
    <s v="KELLY COLIADOS VALENTIM"/>
    <s v="MARCELO MARTINS SAMPAIO"/>
    <s v="MAUA"/>
    <x v="6"/>
  </r>
  <r>
    <s v="E36K"/>
    <x v="117"/>
    <s v="KELLY COLIADOS VALENTIM"/>
    <s v="MARCELO MARTINS SAMPAIO"/>
    <s v="SUZANO"/>
    <x v="6"/>
  </r>
  <r>
    <s v="J0ST"/>
    <x v="117"/>
    <s v="MARCIO DINIZ GOMES NALETO"/>
    <s v="MARCELO MARTINS SAMPAIO"/>
    <s v="SAO PAULO"/>
    <x v="6"/>
  </r>
  <r>
    <s v="K5RE"/>
    <x v="117"/>
    <s v="KELLY COLIADOS VALENTIM"/>
    <s v="MARCELO MARTINS SAMPAIO"/>
    <s v="SAO PAULO"/>
    <x v="6"/>
  </r>
  <r>
    <s v="KPCZ"/>
    <x v="117"/>
    <s v="RENATA PREVIATO ALAVEZ"/>
    <s v="MARCELO MARTINS SAMPAIO"/>
    <s v="SAO PAULO"/>
    <x v="6"/>
  </r>
  <r>
    <s v="LMO5"/>
    <x v="117"/>
    <s v="KELLY COLIADOS VALENTIM"/>
    <s v="MARCELO MARTINS SAMPAIO"/>
    <s v="SAO BERNARDO DO CAMPO"/>
    <x v="6"/>
  </r>
  <r>
    <s v="LPXU"/>
    <x v="117"/>
    <s v="MARCIO DINIZ GOMES NALETO"/>
    <s v="MARCELO MARTINS SAMPAIO"/>
    <s v="SAO PAULO"/>
    <x v="6"/>
  </r>
  <r>
    <s v="S39L"/>
    <x v="117"/>
    <s v="RENATA PREVIATO ALAVEZ"/>
    <s v="MARCELO MARTINS SAMPAIO"/>
    <s v="GUARULHOS"/>
    <x v="6"/>
  </r>
  <r>
    <s v="SE38"/>
    <x v="117"/>
    <s v="RENATA PREVIATO ALAVEZ"/>
    <s v="MARCELO MARTINS SAMPAIO"/>
    <s v="SAO PAULO"/>
    <x v="6"/>
  </r>
  <r>
    <s v="TVRG"/>
    <x v="117"/>
    <s v="MARCIO DINIZ GOMES NALETO"/>
    <s v="MARCELO MARTINS SAMPAIO"/>
    <s v="ITAQUAQUECETUBA"/>
    <x v="6"/>
  </r>
  <r>
    <s v="TVW7"/>
    <x v="117"/>
    <s v="KELLY COLIADOS VALENTIM"/>
    <s v="MARCELO MARTINS SAMPAIO"/>
    <s v="SAO PAULO"/>
    <x v="6"/>
  </r>
  <r>
    <s v="Y4WU"/>
    <x v="117"/>
    <s v="MARCIO DINIZ GOMES NALETO"/>
    <s v="MARCELO MARTINS SAMPAIO"/>
    <s v="SAO PAULO"/>
    <x v="6"/>
  </r>
  <r>
    <s v="S27G"/>
    <x v="132"/>
    <s v="ALEXANDRE HORTA HONORIO"/>
    <s v="MARCELO MARTINS SAMPAIO"/>
    <s v="TABOAO DA SERRA"/>
    <x v="6"/>
  </r>
  <r>
    <s v="BD7Z"/>
    <x v="132"/>
    <s v="ALEXANDRE HORTA HONORIO"/>
    <s v="MARCELO MARTINS SAMPAIO"/>
    <s v="SANTO ANDRE"/>
    <x v="6"/>
  </r>
  <r>
    <s v="6J3J"/>
    <x v="132"/>
    <s v="ALEXANDRE HORTA HONORIO"/>
    <s v="MARCELO MARTINS SAMPAIO"/>
    <s v="TABOAO DA SERRA"/>
    <x v="6"/>
  </r>
  <r>
    <s v="S434"/>
    <x v="132"/>
    <s v="ALEXANDRE HORTA HONORIO"/>
    <s v="MARCELO MARTINS SAMPAIO"/>
    <s v="OSASCO"/>
    <x v="6"/>
  </r>
  <r>
    <s v="XG9I"/>
    <x v="132"/>
    <s v="ALEXANDRE HORTA HONORIO"/>
    <s v="MARCELO MARTINS SAMPAIO"/>
    <s v="CARAPICUIBA"/>
    <x v="6"/>
  </r>
  <r>
    <s v="AFH3"/>
    <x v="133"/>
    <s v="WENDY DAYANE PETELINKAR"/>
    <s v="ALANA DALLA COSTA"/>
    <s v="ATIBAIA"/>
    <x v="6"/>
  </r>
  <r>
    <s v="L6P8"/>
    <x v="133"/>
    <s v="WENDY DAYANE PETELINKAR"/>
    <s v="ALANA DALLA COSTA"/>
    <s v="FRANCO DA ROCHA"/>
    <x v="6"/>
  </r>
  <r>
    <s v="8HWI"/>
    <x v="133"/>
    <s v="WENDY DAYANE PETELINKAR"/>
    <s v="ALANA DALLA COSTA"/>
    <s v="BRAGANCA PAULISTA"/>
    <x v="6"/>
  </r>
  <r>
    <s v="95BC"/>
    <x v="133"/>
    <s v="WENDY DAYANE PETELINKAR"/>
    <s v="ALANA DALLA COSTA"/>
    <s v="GUARULHOS"/>
    <x v="6"/>
  </r>
  <r>
    <s v="QAMP"/>
    <x v="133"/>
    <s v="WENDY DAYANE PETELINKAR"/>
    <s v="ALANA DALLA COSTA"/>
    <s v="FRANCISCO MORATO"/>
    <x v="6"/>
  </r>
  <r>
    <s v="VO79"/>
    <x v="133"/>
    <s v="WENDY DAYANE PETELINKAR"/>
    <s v="ALANA DALLA COSTA"/>
    <s v="JUNDIAI"/>
    <x v="6"/>
  </r>
  <r>
    <s v="03ZG"/>
    <x v="17"/>
    <s v="THIAGO HENRIQUE MENEGALDO MARQUES"/>
    <s v="JOSIANE MENDES DE AGUIAR"/>
    <s v="SAO PAULO"/>
    <x v="6"/>
  </r>
  <r>
    <s v="3LP3"/>
    <x v="17"/>
    <s v="THIAGO HENRIQUE MENEGALDO MARQUES"/>
    <s v="JOSIANE MENDES DE AGUIAR"/>
    <s v="SAO PAULO"/>
    <x v="6"/>
  </r>
  <r>
    <s v="4Z98"/>
    <x v="17"/>
    <s v="THIAGO HENRIQUE MENEGALDO MARQUES"/>
    <s v="JOSIANE MENDES DE AGUIAR"/>
    <s v="SAO BERNARDO DO CAMPO"/>
    <x v="6"/>
  </r>
  <r>
    <s v="6XYP"/>
    <x v="17"/>
    <s v="ADRIANA DA SILVA"/>
    <s v="JOSIANE MENDES DE AGUIAR"/>
    <s v="COTIA"/>
    <x v="6"/>
  </r>
  <r>
    <s v="7YM7"/>
    <x v="17"/>
    <s v="THIAGO HENRIQUE MENEGALDO MARQUES"/>
    <s v="JOSIANE MENDES DE AGUIAR"/>
    <s v="SAO PAULO"/>
    <x v="6"/>
  </r>
  <r>
    <s v="LMB3"/>
    <x v="17"/>
    <s v="THIAGO HENRIQUE MENEGALDO MARQUES"/>
    <s v="JOSIANE MENDES DE AGUIAR"/>
    <s v="RIBEIRAO PIRES"/>
    <x v="6"/>
  </r>
  <r>
    <s v="SR83"/>
    <x v="17"/>
    <s v="THIAGO HENRIQUE MENEGALDO MARQUES"/>
    <s v="JOSIANE MENDES DE AGUIAR"/>
    <s v="SANTO ANDRE"/>
    <x v="6"/>
  </r>
  <r>
    <s v="X54V"/>
    <x v="17"/>
    <s v="THIAGO HENRIQUE MENEGALDO MARQUES"/>
    <s v="JOSIANE MENDES DE AGUIAR"/>
    <s v="VARGEM GRANDE PAULISTA"/>
    <x v="6"/>
  </r>
  <r>
    <s v="XFIO"/>
    <x v="17"/>
    <s v="THIAGO HENRIQUE MENEGALDO MARQUES"/>
    <s v="JOSIANE MENDES DE AGUIAR"/>
    <s v="SAO BERNARDO DO CAMPO"/>
    <x v="6"/>
  </r>
  <r>
    <s v="KFPY"/>
    <x v="17"/>
    <s v="THIAGO HENRIQUE MENEGALDO MARQUES"/>
    <s v="JOSIANE MENDES DE AGUIAR"/>
    <s v="SAO BERNARDO DO CAMPO"/>
    <x v="6"/>
  </r>
  <r>
    <s v="QEBW"/>
    <x v="134"/>
    <s v="ALEXANDRE DE SOUZA BISPO"/>
    <s v="JOSIANE MENDES DE AGUIAR"/>
    <s v="MOGI DAS CRUZES"/>
    <x v="6"/>
  </r>
  <r>
    <s v="02RI"/>
    <x v="135"/>
    <s v="WILLIAM DE OLIVEIRA BONFIM"/>
    <s v="HELBER EMILIANO ZAROS"/>
    <s v="MONTE MOR"/>
    <x v="7"/>
  </r>
  <r>
    <s v="08GH"/>
    <x v="136"/>
    <s v="NELISA APARECIDA BARREIROS FERREIRA MEDEIROS"/>
    <s v="RAFAEL SILVEIRA DE CARVALHO "/>
    <s v="PERUIBE"/>
    <x v="7"/>
  </r>
  <r>
    <s v="0ZXL"/>
    <x v="17"/>
    <s v="RODRIGO DE SOUZA ALBANO"/>
    <s v="HELBER EMILIANO ZAROS"/>
    <s v="PIRASSUNUNGA"/>
    <x v="7"/>
  </r>
  <r>
    <s v="1AP6"/>
    <x v="17"/>
    <s v="VAGO_DDD16"/>
    <s v="EDUARDO ALVES DE QUEIROZ"/>
    <s v="PITANGUEIRAS"/>
    <x v="7"/>
  </r>
  <r>
    <s v="1L9B"/>
    <x v="17"/>
    <s v="RODRIGO DE SOUZA ALBANO"/>
    <s v="HELBER EMILIANO ZAROS"/>
    <s v="ESPIRITO SANTO DO PINHAL"/>
    <x v="7"/>
  </r>
  <r>
    <s v="1QS6"/>
    <x v="85"/>
    <s v="RAFAEL MICHELINI MENONCELLO "/>
    <s v="HELBER EMILIANO ZAROS"/>
    <s v="ARTUR NOGUEIRA"/>
    <x v="7"/>
  </r>
  <r>
    <s v="282U"/>
    <x v="137"/>
    <s v="DAVID GOMES NEGRAO"/>
    <s v="HELBER EMILIANO ZAROS"/>
    <s v="SANTA RITA DO PASSA QUATRO"/>
    <x v="7"/>
  </r>
  <r>
    <s v="2AK7"/>
    <x v="17"/>
    <s v="VALERIA DE SOUZA ZAMBUZI"/>
    <s v="EDUARDO ALVES DE QUEIROZ"/>
    <s v="ITAPETININGA"/>
    <x v="7"/>
  </r>
  <r>
    <s v="2DM4"/>
    <x v="138"/>
    <s v="JOÃO PAULO VENDRAMINI "/>
    <s v="VIVIANE TANGARI LEMOS PONTES"/>
    <s v="AVARE"/>
    <x v="7"/>
  </r>
  <r>
    <s v="2LOC"/>
    <x v="136"/>
    <s v="NELISA APARECIDA BARREIROS FERREIRA MEDEIROS"/>
    <s v="RAFAEL SILVEIRA DE CARVALHO "/>
    <s v="PRAIA GRANDE"/>
    <x v="7"/>
  </r>
  <r>
    <s v="2STD"/>
    <x v="17"/>
    <s v="NATAN DOS SANTOS MOREIRA LIMA "/>
    <s v="RAFAEL SILVEIRA DE CARVALHO "/>
    <s v="SAO SEBASTIAO"/>
    <x v="7"/>
  </r>
  <r>
    <s v="2VB3"/>
    <x v="117"/>
    <s v="RAFAEL MICHELINI MENONCELLO "/>
    <s v="HELBER EMILIANO ZAROS"/>
    <s v="AMPARO"/>
    <x v="7"/>
  </r>
  <r>
    <s v="2YQS"/>
    <x v="17"/>
    <s v="VALERIA DE SOUZA ZAMBUZI"/>
    <s v="EDUARDO ALVES DE QUEIROZ"/>
    <s v="PORTO FELIZ"/>
    <x v="7"/>
  </r>
  <r>
    <s v="3A1I"/>
    <x v="117"/>
    <s v="LEILA CRISTINA NABUCO"/>
    <s v="HELBER EMILIANO ZAROS"/>
    <s v="INDAIATUBA"/>
    <x v="7"/>
  </r>
  <r>
    <s v="3DGA"/>
    <x v="17"/>
    <s v="VIVIAN GABRIELA SOARES MARTINS TOSTES"/>
    <s v="HELBER EMILIANO ZAROS"/>
    <s v="LIMEIRA"/>
    <x v="7"/>
  </r>
  <r>
    <s v="3OWM"/>
    <x v="17"/>
    <s v="MARISTELA CAPARROZ DE LIRA SILVA"/>
    <s v="EDUARDO ALVES DE QUEIROZ"/>
    <s v="SAO CARLOS"/>
    <x v="7"/>
  </r>
  <r>
    <s v="3Q90"/>
    <x v="136"/>
    <s v="NELISA APARECIDA BARREIROS FERREIRA MEDEIROS"/>
    <s v="RAFAEL SILVEIRA DE CARVALHO "/>
    <s v="ITANHAEM"/>
    <x v="7"/>
  </r>
  <r>
    <s v="3U6T"/>
    <x v="17"/>
    <s v="CAMILA DEOLINDA SALGADO"/>
    <s v="RAFAEL SILVEIRA DE CARVALHO "/>
    <s v="TAUBATE"/>
    <x v="7"/>
  </r>
  <r>
    <s v="3UNF"/>
    <x v="139"/>
    <s v="LEILA CRISTINA NABUCO"/>
    <s v="HELBER EMILIANO ZAROS"/>
    <s v="CAMPINAS"/>
    <x v="7"/>
  </r>
  <r>
    <s v="3UW7"/>
    <x v="140"/>
    <s v="DAVID GOMES NEGRAO"/>
    <s v="HELBER EMILIANO ZAROS"/>
    <s v="NOVA ODESSA"/>
    <x v="7"/>
  </r>
  <r>
    <s v="3V70"/>
    <x v="85"/>
    <s v="ANA CLINIO DA SILVA"/>
    <s v="VIVIANE TANGARI LEMOS PONTES"/>
    <s v="FERNANDOPOLIS"/>
    <x v="7"/>
  </r>
  <r>
    <s v="43LW"/>
    <x v="141"/>
    <s v="THIAGO BERNARDES VIEIRA"/>
    <s v="RAFAEL SILVEIRA DE CARVALHO "/>
    <s v="LORENA"/>
    <x v="7"/>
  </r>
  <r>
    <s v="4BNF"/>
    <x v="17"/>
    <s v="RODRIGO DE SOUZA ALBANO"/>
    <s v="HELBER EMILIANO ZAROS"/>
    <s v="MOCOCA"/>
    <x v="7"/>
  </r>
  <r>
    <s v="4C7D"/>
    <x v="117"/>
    <s v="FREDERICO CARNEIRO SANTIAGO"/>
    <s v="HELBER EMILIANO ZAROS"/>
    <s v="AGUAI"/>
    <x v="7"/>
  </r>
  <r>
    <s v="4CB1"/>
    <x v="17"/>
    <s v="VIVIAN GABRIELA SOARES MARTINS TOSTES"/>
    <s v="HELBER EMILIANO ZAROS"/>
    <s v="CAMPINAS"/>
    <x v="7"/>
  </r>
  <r>
    <s v="4UAR"/>
    <x v="85"/>
    <s v="THIAGO BERNARDES VIEIRA"/>
    <s v="RAFAEL SILVEIRA DE CARVALHO "/>
    <s v="CACAPAVA"/>
    <x v="7"/>
  </r>
  <r>
    <s v="508N"/>
    <x v="85"/>
    <s v="WILLIAM DE OLIVEIRA BONFIM"/>
    <s v="HELBER EMILIANO ZAROS"/>
    <s v="VINHEDO"/>
    <x v="7"/>
  </r>
  <r>
    <s v="50L4"/>
    <x v="85"/>
    <s v="WILLIAM DE OLIVEIRA BONFIM"/>
    <s v="HELBER EMILIANO ZAROS"/>
    <s v="VALINHOS"/>
    <x v="7"/>
  </r>
  <r>
    <s v="57HL"/>
    <x v="17"/>
    <s v="NATAN DOS SANTOS MOREIRA LIMA "/>
    <s v="RAFAEL SILVEIRA DE CARVALHO "/>
    <s v="TREMEMBE"/>
    <x v="7"/>
  </r>
  <r>
    <s v="5EO2"/>
    <x v="85"/>
    <s v="TENYSON RICHELLE RODRIGUES BETONI"/>
    <s v="VIVIANE TANGARI LEMOS PONTES"/>
    <s v="BAURU"/>
    <x v="7"/>
  </r>
  <r>
    <s v="5MEN"/>
    <x v="17"/>
    <s v="CAMILA DEOLINDA SALGADO"/>
    <s v="RAFAEL SILVEIRA DE CARVALHO "/>
    <s v="TAUBATE"/>
    <x v="7"/>
  </r>
  <r>
    <s v="5SNA"/>
    <x v="17"/>
    <s v="MARISTELA CAPARROZ DE LIRA SILVA"/>
    <s v="EDUARDO ALVES DE QUEIROZ"/>
    <s v="JABOTICABAL"/>
    <x v="7"/>
  </r>
  <r>
    <s v="5YAX"/>
    <x v="142"/>
    <s v="VANIA DIAS MALAMAN "/>
    <s v="VIVIANE TANGARI LEMOS PONTES"/>
    <s v="PENAPOLIS"/>
    <x v="7"/>
  </r>
  <r>
    <s v="5Z2B"/>
    <x v="117"/>
    <s v="LEILA CRISTINA NABUCO"/>
    <s v="HELBER EMILIANO ZAROS"/>
    <s v="CAMPINAS"/>
    <x v="7"/>
  </r>
  <r>
    <s v="60AJ"/>
    <x v="117"/>
    <s v="PAULA AZEVEDO TIBURCIO "/>
    <s v="RAFAEL SILVEIRA DE CARVALHO "/>
    <s v="SANTOS"/>
    <x v="7"/>
  </r>
  <r>
    <s v="654I"/>
    <x v="117"/>
    <s v="FREDERICO CARNEIRO SANTIAGO"/>
    <s v="HELBER EMILIANO ZAROS"/>
    <s v="LIMEIRA"/>
    <x v="7"/>
  </r>
  <r>
    <s v="65MC"/>
    <x v="85"/>
    <s v="GLAUCIA CAVALCANTE MARTINS"/>
    <s v="EDUARDO ALVES DE QUEIROZ"/>
    <s v="SOROCABA"/>
    <x v="7"/>
  </r>
  <r>
    <s v="65PG"/>
    <x v="117"/>
    <s v="VIVIAN GABRIELA SOARES MARTINS TOSTES"/>
    <s v="HELBER EMILIANO ZAROS"/>
    <s v="SANTA BARBARA D'OESTE"/>
    <x v="7"/>
  </r>
  <r>
    <s v="69IK"/>
    <x v="117"/>
    <s v="FREDERICO CARNEIRO SANTIAGO"/>
    <s v="HELBER EMILIANO ZAROS"/>
    <s v="ARARAS"/>
    <x v="7"/>
  </r>
  <r>
    <s v="6CX7"/>
    <x v="17"/>
    <s v="RODRIGO PROSPERO FERREIRA DA SILVA"/>
    <s v="EDUARDO ALVES DE QUEIROZ"/>
    <s v="ITUVERAVA"/>
    <x v="7"/>
  </r>
  <r>
    <s v="6MA7"/>
    <x v="138"/>
    <s v="JOÃO PAULO VENDRAMINI "/>
    <s v="VIVIANE TANGARI LEMOS PONTES"/>
    <s v="BOTUCATU"/>
    <x v="7"/>
  </r>
  <r>
    <s v="6OYN"/>
    <x v="17"/>
    <s v="NILTON JUNIOR FRANCISCO"/>
    <s v="VIVIANE TANGARI LEMOS PONTES"/>
    <s v="GUARARAPES"/>
    <x v="7"/>
  </r>
  <r>
    <s v="6WBY"/>
    <x v="85"/>
    <s v="MARISTELA CAPARROZ DE LIRA SILVA"/>
    <s v="EDUARDO ALVES DE QUEIROZ"/>
    <s v="MONTE ALTO"/>
    <x v="7"/>
  </r>
  <r>
    <s v="6WG8"/>
    <x v="117"/>
    <s v="RAFAEL MICHELINI MENONCELLO "/>
    <s v="HELBER EMILIANO ZAROS"/>
    <s v="MOGI GUACU"/>
    <x v="7"/>
  </r>
  <r>
    <s v="764T"/>
    <x v="17"/>
    <s v="RODRIGO DE SOUZA ALBANO"/>
    <s v="HELBER EMILIANO ZAROS"/>
    <s v="SAO JOAO DA BOA VISTA"/>
    <x v="7"/>
  </r>
  <r>
    <s v="78B1"/>
    <x v="85"/>
    <s v="THIAGO BERNARDES VIEIRA"/>
    <s v="RAFAEL SILVEIRA DE CARVALHO "/>
    <s v="PINDAMONHANGABA"/>
    <x v="7"/>
  </r>
  <r>
    <s v="7DBW"/>
    <x v="142"/>
    <s v="VANIA DIAS MALAMAN "/>
    <s v="VIVIANE TANGARI LEMOS PONTES"/>
    <s v="DRACENA"/>
    <x v="7"/>
  </r>
  <r>
    <s v="7GMI"/>
    <x v="17"/>
    <s v="VAGO_DDD16"/>
    <s v="EDUARDO ALVES DE QUEIROZ"/>
    <s v="RIBEIRAO PRETO"/>
    <x v="7"/>
  </r>
  <r>
    <s v="7UD6"/>
    <x v="117"/>
    <s v="FREDERICO CARNEIRO SANTIAGO"/>
    <s v="HELBER EMILIANO ZAROS"/>
    <s v="LIMEIRA"/>
    <x v="7"/>
  </r>
  <r>
    <s v="81DQ"/>
    <x v="138"/>
    <s v="JOÃO PAULO VENDRAMINI "/>
    <s v="VIVIANE TANGARI LEMOS PONTES"/>
    <s v="SAO MANUEL"/>
    <x v="7"/>
  </r>
  <r>
    <s v="84Q9"/>
    <x v="117"/>
    <s v="PAULA AZEVEDO TIBURCIO "/>
    <s v="RAFAEL SILVEIRA DE CARVALHO "/>
    <s v="PRAIA GRANDE"/>
    <x v="7"/>
  </r>
  <r>
    <s v="8I04"/>
    <x v="17"/>
    <s v="RODRIGO PROSPERO FERREIRA DA SILVA"/>
    <s v="EDUARDO ALVES DE QUEIROZ"/>
    <s v="ORLANDIA"/>
    <x v="7"/>
  </r>
  <r>
    <s v="8KGP"/>
    <x v="17"/>
    <s v="CAMILA DEOLINDA SALGADO"/>
    <s v="RAFAEL SILVEIRA DE CARVALHO "/>
    <s v="SAO JOSE DOS CAMPOS"/>
    <x v="7"/>
  </r>
  <r>
    <s v="8MCU"/>
    <x v="17"/>
    <s v="CAMILA DEOLINDA SALGADO"/>
    <s v="RAFAEL SILVEIRA DE CARVALHO "/>
    <s v="TAUBATE"/>
    <x v="7"/>
  </r>
  <r>
    <s v="971O"/>
    <x v="17"/>
    <s v="VAGO_DDD16"/>
    <s v="EDUARDO ALVES DE QUEIROZ"/>
    <s v="RIBEIRAO PRETO"/>
    <x v="7"/>
  </r>
  <r>
    <s v="9ZPJ"/>
    <x v="85"/>
    <s v="JOÃO PAULO VENDRAMINI "/>
    <s v="VIVIANE TANGARI LEMOS PONTES"/>
    <s v="BAURU"/>
    <x v="7"/>
  </r>
  <r>
    <s v="A4RA"/>
    <x v="140"/>
    <s v="DAVID GOMES NEGRAO"/>
    <s v="HELBER EMILIANO ZAROS"/>
    <s v="HORTOLANDIA"/>
    <x v="7"/>
  </r>
  <r>
    <s v="ANJT"/>
    <x v="17"/>
    <s v="RODRIGO DE SOUZA ALBANO"/>
    <s v="HELBER EMILIANO ZAROS"/>
    <s v="SAO JOSE DO RIO PARDO"/>
    <x v="7"/>
  </r>
  <r>
    <s v="BABI"/>
    <x v="17"/>
    <s v="MARIA ROSANGELA DE JESUS"/>
    <s v="EDUARDO ALVES DE QUEIROZ"/>
    <s v="FRANCA"/>
    <x v="7"/>
  </r>
  <r>
    <s v="BIVZ"/>
    <x v="117"/>
    <s v="PAULA AZEVEDO TIBURCIO "/>
    <s v="RAFAEL SILVEIRA DE CARVALHO "/>
    <s v="SAO VICENTE"/>
    <x v="7"/>
  </r>
  <r>
    <s v="C2IC"/>
    <x v="85"/>
    <s v="MARIA ROSANGELA DE JESUS"/>
    <s v="EDUARDO ALVES DE QUEIROZ"/>
    <s v="FRANCA"/>
    <x v="7"/>
  </r>
  <r>
    <s v="CI76"/>
    <x v="141"/>
    <s v="THIAGO BERNARDES VIEIRA"/>
    <s v="RAFAEL SILVEIRA DE CARVALHO "/>
    <s v="GUARATINGUETA"/>
    <x v="7"/>
  </r>
  <r>
    <s v="CJIB"/>
    <x v="85"/>
    <s v="JOÃO PAULO VENDRAMINI "/>
    <s v="VIVIANE TANGARI LEMOS PONTES"/>
    <s v="LENCOIS PAULISTA"/>
    <x v="7"/>
  </r>
  <r>
    <s v="D2EH"/>
    <x v="17"/>
    <s v="RODRIGO DE SOUZA ALBANO"/>
    <s v="HELBER EMILIANO ZAROS"/>
    <s v="CASA BRANCA"/>
    <x v="7"/>
  </r>
  <r>
    <s v="D58Q"/>
    <x v="17"/>
    <s v="CAMILA DEOLINDA SALGADO"/>
    <s v="RAFAEL SILVEIRA DE CARVALHO "/>
    <s v="SAO JOSE DOS CAMPOS"/>
    <x v="7"/>
  </r>
  <r>
    <s v="D96E"/>
    <x v="117"/>
    <s v="VIVIAN GABRIELA SOARES MARTINS TOSTES"/>
    <s v="HELBER EMILIANO ZAROS"/>
    <s v="AMERICANA"/>
    <x v="7"/>
  </r>
  <r>
    <s v="DFA5"/>
    <x v="139"/>
    <s v="LEILA CRISTINA NABUCO"/>
    <s v="HELBER EMILIANO ZAROS"/>
    <s v="PAULINIA"/>
    <x v="7"/>
  </r>
  <r>
    <s v="DFLW"/>
    <x v="85"/>
    <s v="RAFAEL MICHELINI MENONCELLO "/>
    <s v="HELBER EMILIANO ZAROS"/>
    <s v="JAGUARIUNA"/>
    <x v="7"/>
  </r>
  <r>
    <s v="DS2Q"/>
    <x v="17"/>
    <s v="VAGO_DDD16"/>
    <s v="EDUARDO ALVES DE QUEIROZ"/>
    <s v="MORRO AGUDO"/>
    <x v="7"/>
  </r>
  <r>
    <s v="DV7G"/>
    <x v="85"/>
    <s v="VITOR FERNANDO FARIA SARAVALLI"/>
    <s v="VIVIANE TANGARI LEMOS PONTES"/>
    <s v="BARRETOS"/>
    <x v="7"/>
  </r>
  <r>
    <s v="E7UC"/>
    <x v="140"/>
    <s v="DAVID GOMES NEGRAO"/>
    <s v="HELBER EMILIANO ZAROS"/>
    <s v="SUMARE"/>
    <x v="7"/>
  </r>
  <r>
    <s v="EJFC"/>
    <x v="117"/>
    <s v="RAFAEL MICHELINI MENONCELLO "/>
    <s v="HELBER EMILIANO ZAROS"/>
    <s v="ITAPIRA"/>
    <x v="7"/>
  </r>
  <r>
    <s v="ERH6"/>
    <x v="85"/>
    <s v="THIAGO BERNARDES VIEIRA"/>
    <s v="RAFAEL SILVEIRA DE CARVALHO "/>
    <s v="SAO JOSE DOS CAMPOS"/>
    <x v="7"/>
  </r>
  <r>
    <s v="ES3M"/>
    <x v="17"/>
    <s v="CAMILA DEOLINDA SALGADO"/>
    <s v="RAFAEL SILVEIRA DE CARVALHO "/>
    <s v="SAO JOSE DOS CAMPOS"/>
    <x v="7"/>
  </r>
  <r>
    <s v="FA4O"/>
    <x v="117"/>
    <s v="LEILA CRISTINA NABUCO"/>
    <s v="HELBER EMILIANO ZAROS"/>
    <s v="CAMPINAS"/>
    <x v="7"/>
  </r>
  <r>
    <s v="FG8V"/>
    <x v="117"/>
    <s v="FREDERICO CARNEIRO SANTIAGO"/>
    <s v="HELBER EMILIANO ZAROS"/>
    <s v="RIO CLARO"/>
    <x v="7"/>
  </r>
  <r>
    <s v="FH75"/>
    <x v="17"/>
    <s v="RODRIGO DE SOUZA ALBANO"/>
    <s v="HELBER EMILIANO ZAROS"/>
    <s v="RIO CLARO"/>
    <x v="7"/>
  </r>
  <r>
    <s v="FOXW"/>
    <x v="17"/>
    <s v="VIVIAN GABRIELA SOARES MARTINS TOSTES"/>
    <s v="HELBER EMILIANO ZAROS"/>
    <s v="AMERICANA"/>
    <x v="7"/>
  </r>
  <r>
    <s v="FP4S"/>
    <x v="136"/>
    <s v="NELISA APARECIDA BARREIROS FERREIRA MEDEIROS"/>
    <s v="RAFAEL SILVEIRA DE CARVALHO "/>
    <s v="REGISTRO"/>
    <x v="7"/>
  </r>
  <r>
    <s v="G7KJ"/>
    <x v="17"/>
    <s v="VALERIA DE SOUZA ZAMBUZI"/>
    <s v="EDUARDO ALVES DE QUEIROZ"/>
    <s v="PIEDADE"/>
    <x v="7"/>
  </r>
  <r>
    <s v="GIW7"/>
    <x v="17"/>
    <s v="NATAN DOS SANTOS MOREIRA LIMA "/>
    <s v="RAFAEL SILVEIRA DE CARVALHO "/>
    <s v="CAMPOS DO JORDAO"/>
    <x v="7"/>
  </r>
  <r>
    <s v="GXNT"/>
    <x v="17"/>
    <s v="NATAN DOS SANTOS MOREIRA LIMA "/>
    <s v="RAFAEL SILVEIRA DE CARVALHO "/>
    <s v="CARAGUATATUBA"/>
    <x v="7"/>
  </r>
  <r>
    <s v="H0BH"/>
    <x v="117"/>
    <s v="PAULA AZEVEDO TIBURCIO "/>
    <s v="RAFAEL SILVEIRA DE CARVALHO "/>
    <s v="GUARUJA"/>
    <x v="7"/>
  </r>
  <r>
    <s v="H83T"/>
    <x v="17"/>
    <s v="RODRIGO DE SOUZA ALBANO"/>
    <s v="HELBER EMILIANO ZAROS"/>
    <s v="LEME"/>
    <x v="7"/>
  </r>
  <r>
    <s v="HFQJ"/>
    <x v="143"/>
    <s v="MARISTELA CAPARROZ DE LIRA SILVA"/>
    <s v="EDUARDO ALVES DE QUEIROZ"/>
    <s v="IBITINGA"/>
    <x v="7"/>
  </r>
  <r>
    <s v="HWJ5"/>
    <x v="17"/>
    <s v="NILTON JUNIOR FRANCISCO"/>
    <s v="VIVIANE TANGARI LEMOS PONTES"/>
    <s v="PRESIDENTE PRUDENTE"/>
    <x v="7"/>
  </r>
  <r>
    <s v="HWY1"/>
    <x v="138"/>
    <s v="JOÃO PAULO VENDRAMINI "/>
    <s v="VIVIANE TANGARI LEMOS PONTES"/>
    <s v="BOTUCATU"/>
    <x v="7"/>
  </r>
  <r>
    <s v="I1CQ"/>
    <x v="142"/>
    <s v="VANIA DIAS MALAMAN "/>
    <s v="VIVIANE TANGARI LEMOS PONTES"/>
    <s v="ANDRADINA"/>
    <x v="7"/>
  </r>
  <r>
    <s v="I28W"/>
    <x v="17"/>
    <s v="VALERIA DE SOUZA ZAMBUZI"/>
    <s v="EDUARDO ALVES DE QUEIROZ"/>
    <s v="SOROCABA"/>
    <x v="7"/>
  </r>
  <r>
    <s v="I3XD"/>
    <x v="142"/>
    <s v="VANIA DIAS MALAMAN "/>
    <s v="VIVIANE TANGARI LEMOS PONTES"/>
    <s v="BIRIGUI"/>
    <x v="7"/>
  </r>
  <r>
    <s v="IYNZ"/>
    <x v="144"/>
    <s v="TENYSON RICHELLE RODRIGUES BETONI"/>
    <s v="VIVIANE TANGARI LEMOS PONTES"/>
    <s v="SANTA CRUZ DO RIO PARDO"/>
    <x v="7"/>
  </r>
  <r>
    <s v="J1EW"/>
    <x v="85"/>
    <s v="TENYSON RICHELLE RODRIGUES BETONI"/>
    <s v="VIVIANE TANGARI LEMOS PONTES"/>
    <s v="BAURU"/>
    <x v="7"/>
  </r>
  <r>
    <s v="J4D7"/>
    <x v="140"/>
    <s v="DAVID GOMES NEGRAO"/>
    <s v="HELBER EMILIANO ZAROS"/>
    <s v="AMERICANA"/>
    <x v="7"/>
  </r>
  <r>
    <s v="JD30"/>
    <x v="17"/>
    <s v="GLAUCIA CAVALCANTE MARTINS"/>
    <s v="EDUARDO ALVES DE QUEIROZ"/>
    <s v="CERQUILHO"/>
    <x v="7"/>
  </r>
  <r>
    <s v="JDRJ"/>
    <x v="17"/>
    <s v="MARIA ROSANGELA DE JESUS"/>
    <s v="EDUARDO ALVES DE QUEIROZ"/>
    <s v="FRANCA"/>
    <x v="7"/>
  </r>
  <r>
    <s v="JF0B"/>
    <x v="142"/>
    <s v="VANIA DIAS MALAMAN "/>
    <s v="VIVIANE TANGARI LEMOS PONTES"/>
    <s v="VALPARAISO"/>
    <x v="7"/>
  </r>
  <r>
    <s v="JOKX"/>
    <x v="144"/>
    <s v="TENYSON RICHELLE RODRIGUES BETONI"/>
    <s v="VIVIANE TANGARI LEMOS PONTES"/>
    <s v="PROMISSAO"/>
    <x v="7"/>
  </r>
  <r>
    <s v="JTX8"/>
    <x v="85"/>
    <s v="RODRIGO PROSPERO FERREIRA DA SILVA"/>
    <s v="EDUARDO ALVES DE QUEIROZ"/>
    <s v="RIBEIRAO PRETO"/>
    <x v="7"/>
  </r>
  <r>
    <s v="K19U"/>
    <x v="117"/>
    <s v="PAULA AZEVEDO TIBURCIO "/>
    <s v="RAFAEL SILVEIRA DE CARVALHO "/>
    <s v="SAO VICENTE"/>
    <x v="7"/>
  </r>
  <r>
    <s v="K1DN"/>
    <x v="17"/>
    <s v="NATAN DOS SANTOS MOREIRA LIMA "/>
    <s v="RAFAEL SILVEIRA DE CARVALHO "/>
    <s v="UBATUBA"/>
    <x v="7"/>
  </r>
  <r>
    <s v="K4HP"/>
    <x v="117"/>
    <s v="VIVIAN GABRIELA SOARES MARTINS TOSTES"/>
    <s v="HELBER EMILIANO ZAROS"/>
    <s v="PIRACICABA"/>
    <x v="7"/>
  </r>
  <r>
    <s v="KBV1"/>
    <x v="17"/>
    <s v="NATAN DOS SANTOS MOREIRA LIMA "/>
    <s v="RAFAEL SILVEIRA DE CARVALHO "/>
    <s v="ILHABELA"/>
    <x v="7"/>
  </r>
  <r>
    <s v="KJN4"/>
    <x v="17"/>
    <s v="RODRIGO PROSPERO FERREIRA DA SILVA"/>
    <s v="EDUARDO ALVES DE QUEIROZ"/>
    <s v="PONTAL"/>
    <x v="7"/>
  </r>
  <r>
    <s v="KL68"/>
    <x v="141"/>
    <s v="THIAGO BERNARDES VIEIRA"/>
    <s v="RAFAEL SILVEIRA DE CARVALHO "/>
    <s v="GUARATINGUETA"/>
    <x v="7"/>
  </r>
  <r>
    <s v="L34L"/>
    <x v="144"/>
    <s v="TENYSON RICHELLE RODRIGUES BETONI"/>
    <s v="VIVIANE TANGARI LEMOS PONTES"/>
    <s v="TUPA"/>
    <x v="7"/>
  </r>
  <r>
    <s v="LAHU"/>
    <x v="85"/>
    <s v="RAFAEL MICHELINI MENONCELLO "/>
    <s v="HELBER EMILIANO ZAROS"/>
    <s v="COSMOPOLIS"/>
    <x v="7"/>
  </r>
  <r>
    <s v="LCK9"/>
    <x v="135"/>
    <s v="WILLIAM DE OLIVEIRA BONFIM"/>
    <s v="HELBER EMILIANO ZAROS"/>
    <s v="PIRACICABA"/>
    <x v="7"/>
  </r>
  <r>
    <s v="LNJ9"/>
    <x v="17"/>
    <s v="RODRIGO PROSPERO FERREIRA DA SILVA"/>
    <s v="EDUARDO ALVES DE QUEIROZ"/>
    <s v="SERRANA"/>
    <x v="7"/>
  </r>
  <r>
    <s v="LVQB"/>
    <x v="117"/>
    <s v="LEILA CRISTINA NABUCO"/>
    <s v="HELBER EMILIANO ZAROS"/>
    <s v="CAMPINAS"/>
    <x v="7"/>
  </r>
  <r>
    <s v="M5D8"/>
    <x v="85"/>
    <s v="RENATO PIQUERA AZEVEDO"/>
    <s v="VIVIANE TANGARI LEMOS PONTES"/>
    <s v="JOSE BONIFACIO"/>
    <x v="7"/>
  </r>
  <r>
    <s v="ME4X"/>
    <x v="17"/>
    <s v="MARIA ROSANGELA DE JESUS"/>
    <s v="EDUARDO ALVES DE QUEIROZ"/>
    <s v="RIBEIRAO PRETO"/>
    <x v="7"/>
  </r>
  <r>
    <s v="MRKD"/>
    <x v="145"/>
    <s v="TENYSON RICHELLE RODRIGUES BETONI"/>
    <s v="VIVIANE TANGARI LEMOS PONTES"/>
    <s v="BARIRI"/>
    <x v="7"/>
  </r>
  <r>
    <s v="N8J5"/>
    <x v="85"/>
    <s v="WILLIAM DE OLIVEIRA BONFIM"/>
    <s v="HELBER EMILIANO ZAROS"/>
    <s v="VALINHOS"/>
    <x v="7"/>
  </r>
  <r>
    <s v="NIMT"/>
    <x v="17"/>
    <s v="VALERIA DE SOUZA ZAMBUZI"/>
    <s v="EDUARDO ALVES DE QUEIROZ"/>
    <s v="TATUI"/>
    <x v="7"/>
  </r>
  <r>
    <s v="NK1R"/>
    <x v="136"/>
    <s v="NELISA APARECIDA BARREIROS FERREIRA MEDEIROS"/>
    <s v="RAFAEL SILVEIRA DE CARVALHO "/>
    <s v="MONGAGUA"/>
    <x v="7"/>
  </r>
  <r>
    <s v="NM0R"/>
    <x v="117"/>
    <s v="VIVIAN GABRIELA SOARES MARTINS TOSTES"/>
    <s v="HELBER EMILIANO ZAROS"/>
    <s v="PIRACICABA"/>
    <x v="7"/>
  </r>
  <r>
    <s v="NT7E"/>
    <x v="137"/>
    <s v="DAVID GOMES NEGRAO"/>
    <s v="HELBER EMILIANO ZAROS"/>
    <s v="PORTO FERREIRA"/>
    <x v="7"/>
  </r>
  <r>
    <s v="NYA0"/>
    <x v="17"/>
    <s v="VAGO_DDD16"/>
    <s v="EDUARDO ALVES DE QUEIROZ"/>
    <s v="BRODOWSKI"/>
    <x v="7"/>
  </r>
  <r>
    <s v="OZX2"/>
    <x v="85"/>
    <s v="THIAGO BERNARDES VIEIRA"/>
    <s v="RAFAEL SILVEIRA DE CARVALHO "/>
    <s v="SAO JOSE DOS CAMPOS"/>
    <x v="7"/>
  </r>
  <r>
    <s v="P5L1"/>
    <x v="146"/>
    <s v="RENATO PIQUERA AZEVEDO"/>
    <s v="VIVIANE TANGARI LEMOS PONTES"/>
    <s v="AURIFLAMA"/>
    <x v="7"/>
  </r>
  <r>
    <s v="PD8V"/>
    <x v="17"/>
    <s v="MARISTELA CAPARROZ DE LIRA SILVA"/>
    <s v="EDUARDO ALVES DE QUEIROZ"/>
    <s v="SAO CARLOS"/>
    <x v="7"/>
  </r>
  <r>
    <s v="PD9V"/>
    <x v="17"/>
    <s v="MARISTELA CAPARROZ DE LIRA SILVA"/>
    <s v="EDUARDO ALVES DE QUEIROZ"/>
    <s v="MATAO"/>
    <x v="7"/>
  </r>
  <r>
    <s v="PE7O"/>
    <x v="137"/>
    <s v="DAVID GOMES NEGRAO"/>
    <s v="HELBER EMILIANO ZAROS"/>
    <s v="DESCALVADO"/>
    <x v="7"/>
  </r>
  <r>
    <s v="PE9P"/>
    <x v="147"/>
    <s v="VITOR FERNANDO FARIA SARAVALLI"/>
    <s v="VIVIANE TANGARI LEMOS PONTES"/>
    <s v="VIRADOURO"/>
    <x v="7"/>
  </r>
  <r>
    <s v="PG8A"/>
    <x v="85"/>
    <s v="NILTON JUNIOR FRANCISCO"/>
    <s v="VIVIANE TANGARI LEMOS PONTES"/>
    <s v="ARACATUBA"/>
    <x v="7"/>
  </r>
  <r>
    <s v="PG8B"/>
    <x v="85"/>
    <s v="TENYSON RICHELLE RODRIGUES BETONI"/>
    <s v="VIVIANE TANGARI LEMOS PONTES"/>
    <s v="JAU"/>
    <x v="7"/>
  </r>
  <r>
    <s v="PG8G"/>
    <x v="85"/>
    <s v="JOÃO PAULO VENDRAMINI "/>
    <s v="VIVIANE TANGARI LEMOS PONTES"/>
    <s v="MARILIA"/>
    <x v="7"/>
  </r>
  <r>
    <s v="PG8H"/>
    <x v="85"/>
    <s v="RODRIGO PROSPERO FERREIRA DA SILVA"/>
    <s v="EDUARDO ALVES DE QUEIROZ"/>
    <s v="SERTAOZINHO"/>
    <x v="7"/>
  </r>
  <r>
    <s v="PG8I"/>
    <x v="85"/>
    <s v="TENYSON RICHELLE RODRIGUES BETONI"/>
    <s v="VIVIANE TANGARI LEMOS PONTES"/>
    <s v="JAU"/>
    <x v="7"/>
  </r>
  <r>
    <s v="PG8J"/>
    <x v="85"/>
    <s v="ANA CLINIO DA SILVA"/>
    <s v="VIVIANE TANGARI LEMOS PONTES"/>
    <s v="VOTUPORANGA"/>
    <x v="7"/>
  </r>
  <r>
    <s v="PG8K"/>
    <x v="85"/>
    <s v="ANA CLINIO DA SILVA"/>
    <s v="VIVIANE TANGARI LEMOS PONTES"/>
    <s v="SAO JOSE DO RIO PRETO"/>
    <x v="7"/>
  </r>
  <r>
    <s v="PG8L"/>
    <x v="85"/>
    <s v="JOÃO PAULO VENDRAMINI "/>
    <s v="VIVIANE TANGARI LEMOS PONTES"/>
    <s v="MARILIA"/>
    <x v="7"/>
  </r>
  <r>
    <s v="PG8M"/>
    <x v="85"/>
    <s v="VITOR FERNANDO FARIA SARAVALLI"/>
    <s v="VIVIANE TANGARI LEMOS PONTES"/>
    <s v="BEBEDOURO"/>
    <x v="7"/>
  </r>
  <r>
    <s v="PG8N"/>
    <x v="85"/>
    <s v="ANA CLINIO DA SILVA"/>
    <s v="VIVIANE TANGARI LEMOS PONTES"/>
    <s v="SAO JOSE DO RIO PRETO"/>
    <x v="7"/>
  </r>
  <r>
    <s v="PG8R"/>
    <x v="85"/>
    <s v="MARIA ROSANGELA DE JESUS"/>
    <s v="EDUARDO ALVES DE QUEIROZ"/>
    <s v="FRANCA"/>
    <x v="7"/>
  </r>
  <r>
    <s v="PG8S"/>
    <x v="85"/>
    <s v="JOÃO PAULO VENDRAMINI "/>
    <s v="VIVIANE TANGARI LEMOS PONTES"/>
    <s v="BAURU"/>
    <x v="7"/>
  </r>
  <r>
    <s v="PG9B"/>
    <x v="85"/>
    <s v="MARISTELA CAPARROZ DE LIRA SILVA"/>
    <s v="EDUARDO ALVES DE QUEIROZ"/>
    <s v="ARARAQUARA"/>
    <x v="7"/>
  </r>
  <r>
    <s v="PMA1"/>
    <x v="17"/>
    <s v="NILTON JUNIOR FRANCISCO"/>
    <s v="VIVIANE TANGARI LEMOS PONTES"/>
    <s v="MIRANDOPOLIS"/>
    <x v="7"/>
  </r>
  <r>
    <s v="PS1E"/>
    <x v="85"/>
    <s v="WILLIAM DE OLIVEIRA BONFIM"/>
    <s v="HELBER EMILIANO ZAROS"/>
    <s v="INDAIATUBA"/>
    <x v="7"/>
  </r>
  <r>
    <s v="PT0E"/>
    <x v="85"/>
    <s v="MARISTELA CAPARROZ DE LIRA SILVA"/>
    <s v="EDUARDO ALVES DE QUEIROZ"/>
    <s v="ARARAQUARA"/>
    <x v="7"/>
  </r>
  <r>
    <s v="PT1E"/>
    <x v="85"/>
    <s v="RODRIGO PROSPERO FERREIRA DA SILVA"/>
    <s v="EDUARDO ALVES DE QUEIROZ"/>
    <s v="RIBEIRAO PRETO"/>
    <x v="7"/>
  </r>
  <r>
    <s v="PT2E"/>
    <x v="85"/>
    <s v="VITOR FERNANDO FARIA SARAVALLI"/>
    <s v="VIVIANE TANGARI LEMOS PONTES"/>
    <s v="BARRETOS"/>
    <x v="7"/>
  </r>
  <r>
    <s v="PT4E"/>
    <x v="85"/>
    <s v="TENYSON RICHELLE RODRIGUES BETONI"/>
    <s v="VIVIANE TANGARI LEMOS PONTES"/>
    <s v="LINS"/>
    <x v="7"/>
  </r>
  <r>
    <s v="PT5E"/>
    <x v="85"/>
    <s v="GLAUCIA CAVALCANTE MARTINS"/>
    <s v="EDUARDO ALVES DE QUEIROZ"/>
    <s v="VOTORANTIM"/>
    <x v="7"/>
  </r>
  <r>
    <s v="PT8E"/>
    <x v="85"/>
    <s v="MARIA ROSANGELA DE JESUS"/>
    <s v="EDUARDO ALVES DE QUEIROZ"/>
    <s v="BATATAIS"/>
    <x v="7"/>
  </r>
  <r>
    <s v="PT9F"/>
    <x v="85"/>
    <s v="MARIA ROSANGELA DE JESUS"/>
    <s v="EDUARDO ALVES DE QUEIROZ"/>
    <s v="RIBEIRAO PRETO"/>
    <x v="7"/>
  </r>
  <r>
    <s v="PT9G"/>
    <x v="85"/>
    <s v="GLAUCIA CAVALCANTE MARTINS"/>
    <s v="EDUARDO ALVES DE QUEIROZ"/>
    <s v="SOROCABA"/>
    <x v="7"/>
  </r>
  <r>
    <s v="PT9H"/>
    <x v="85"/>
    <s v="GLAUCIA CAVALCANTE MARTINS"/>
    <s v="EDUARDO ALVES DE QUEIROZ"/>
    <s v="SOROCABA"/>
    <x v="7"/>
  </r>
  <r>
    <s v="PT9T"/>
    <x v="85"/>
    <s v="RENATO PIQUERA AZEVEDO"/>
    <s v="VIVIANE TANGARI LEMOS PONTES"/>
    <s v="CATANDUVA"/>
    <x v="7"/>
  </r>
  <r>
    <s v="PZ8S"/>
    <x v="85"/>
    <s v="RENATO PIQUERA AZEVEDO"/>
    <s v="VIVIANE TANGARI LEMOS PONTES"/>
    <s v="MIRASSOL"/>
    <x v="7"/>
  </r>
  <r>
    <s v="Q6ED"/>
    <x v="117"/>
    <s v="PAULA AZEVEDO TIBURCIO "/>
    <s v="RAFAEL SILVEIRA DE CARVALHO "/>
    <s v="SANTOS"/>
    <x v="7"/>
  </r>
  <r>
    <s v="QCTV"/>
    <x v="85"/>
    <s v="THIAGO BERNARDES VIEIRA"/>
    <s v="RAFAEL SILVEIRA DE CARVALHO "/>
    <s v="JACAREI"/>
    <x v="7"/>
  </r>
  <r>
    <s v="QDXW"/>
    <x v="17"/>
    <s v="VAGO_DDD16"/>
    <s v="EDUARDO ALVES DE QUEIROZ"/>
    <s v="CRAVINHOS"/>
    <x v="7"/>
  </r>
  <r>
    <s v="QH1N"/>
    <x v="17"/>
    <s v="VAGO_DDD16"/>
    <s v="EDUARDO ALVES DE QUEIROZ"/>
    <s v="SANTA ROSA DE VITERBO"/>
    <x v="7"/>
  </r>
  <r>
    <s v="QLEQ"/>
    <x v="117"/>
    <s v="RAFAEL MICHELINI MENONCELLO "/>
    <s v="HELBER EMILIANO ZAROS"/>
    <s v="MOGI GUACU"/>
    <x v="7"/>
  </r>
  <r>
    <s v="QOUD"/>
    <x v="117"/>
    <s v="PAULA AZEVEDO TIBURCIO "/>
    <s v="RAFAEL SILVEIRA DE CARVALHO "/>
    <s v="CUBATAO"/>
    <x v="7"/>
  </r>
  <r>
    <s v="QRTV"/>
    <x v="85"/>
    <s v="RENATO PIQUERA AZEVEDO"/>
    <s v="VIVIANE TANGARI LEMOS PONTES"/>
    <s v="CATANDUVA"/>
    <x v="7"/>
  </r>
  <r>
    <s v="QSM5"/>
    <x v="117"/>
    <s v="FREDERICO CARNEIRO SANTIAGO"/>
    <s v="HELBER EMILIANO ZAROS"/>
    <s v="SAO JOAO DA BOA VISTA"/>
    <x v="7"/>
  </r>
  <r>
    <s v="QW32"/>
    <x v="117"/>
    <s v="FREDERICO CARNEIRO SANTIAGO"/>
    <s v="HELBER EMILIANO ZAROS"/>
    <s v="SANTA BARBARA D'OESTE"/>
    <x v="7"/>
  </r>
  <r>
    <s v="RUCT"/>
    <x v="17"/>
    <s v="VALERIA DE SOUZA ZAMBUZI"/>
    <s v="EDUARDO ALVES DE QUEIROZ"/>
    <s v="SOROCABA"/>
    <x v="7"/>
  </r>
  <r>
    <s v="TOJ0"/>
    <x v="140"/>
    <s v="DAVID GOMES NEGRAO"/>
    <s v="HELBER EMILIANO ZAROS"/>
    <s v="SUMARE"/>
    <x v="7"/>
  </r>
  <r>
    <s v="TTB1"/>
    <x v="135"/>
    <s v="WILLIAM DE OLIVEIRA BONFIM"/>
    <s v="HELBER EMILIANO ZAROS"/>
    <s v="CAPIVARI"/>
    <x v="7"/>
  </r>
  <r>
    <s v="TU4B"/>
    <x v="85"/>
    <s v="WILLIAM DE OLIVEIRA BONFIM"/>
    <s v="HELBER EMILIANO ZAROS"/>
    <s v="HORTOLANDIA"/>
    <x v="7"/>
  </r>
  <r>
    <s v="UC1U"/>
    <x v="138"/>
    <s v="JOÃO PAULO VENDRAMINI "/>
    <s v="VIVIANE TANGARI LEMOS PONTES"/>
    <s v="OURINHOS"/>
    <x v="7"/>
  </r>
  <r>
    <s v="VUI6"/>
    <x v="85"/>
    <s v="RODRIGO PROSPERO FERREIRA DA SILVA"/>
    <s v="EDUARDO ALVES DE QUEIROZ"/>
    <s v="SERTAOZINHO"/>
    <x v="7"/>
  </r>
  <r>
    <s v="WD3T"/>
    <x v="85"/>
    <s v="VITOR FERNANDO FARIA SARAVALLI"/>
    <s v="VIVIANE TANGARI LEMOS PONTES"/>
    <s v="OLIMPIA"/>
    <x v="7"/>
  </r>
  <r>
    <s v="WEZI"/>
    <x v="17"/>
    <s v="RODRIGO DE SOUZA ALBANO"/>
    <s v="HELBER EMILIANO ZAROS"/>
    <s v="AMERICANA"/>
    <x v="7"/>
  </r>
  <r>
    <s v="WNOQ"/>
    <x v="17"/>
    <s v="VALERIA DE SOUZA ZAMBUZI"/>
    <s v="EDUARDO ALVES DE QUEIROZ"/>
    <s v="ITAPETININGA"/>
    <x v="7"/>
  </r>
  <r>
    <s v="X0GI"/>
    <x v="144"/>
    <s v="TENYSON RICHELLE RODRIGUES BETONI"/>
    <s v="VIVIANE TANGARI LEMOS PONTES"/>
    <s v="GARCA"/>
    <x v="7"/>
  </r>
  <r>
    <s v="X350"/>
    <x v="85"/>
    <s v="WILLIAM DE OLIVEIRA BONFIM"/>
    <s v="HELBER EMILIANO ZAROS"/>
    <s v="INDAIATUBA"/>
    <x v="7"/>
  </r>
  <r>
    <s v="X762"/>
    <x v="17"/>
    <s v="NATAN DOS SANTOS MOREIRA LIMA "/>
    <s v="RAFAEL SILVEIRA DE CARVALHO "/>
    <s v="CRUZEIRO"/>
    <x v="7"/>
  </r>
  <r>
    <s v="XE1A"/>
    <x v="148"/>
    <s v="VITOR FERNANDO FARIA SARAVALLI"/>
    <s v="VIVIANE TANGARI LEMOS PONTES"/>
    <s v="GUAIRA"/>
    <x v="7"/>
  </r>
  <r>
    <s v="XK3I"/>
    <x v="17"/>
    <s v="VAGO_DDD16"/>
    <s v="EDUARDO ALVES DE QUEIROZ"/>
    <s v="IGARAPAVA"/>
    <x v="7"/>
  </r>
  <r>
    <s v="XTHG"/>
    <x v="135"/>
    <s v="GLAUCIA CAVALCANTE MARTINS"/>
    <s v="EDUARDO ALVES DE QUEIROZ"/>
    <s v="TIETE"/>
    <x v="7"/>
  </r>
  <r>
    <s v="Y7KM"/>
    <x v="17"/>
    <s v="NILTON JUNIOR FRANCISCO"/>
    <s v="VIVIANE TANGARI LEMOS PONTES"/>
    <s v="PRESIDENTE PRUDENTE"/>
    <x v="7"/>
  </r>
  <r>
    <s v="YEZ1"/>
    <x v="135"/>
    <s v="GLAUCIA CAVALCANTE MARTINS"/>
    <s v="EDUARDO ALVES DE QUEIROZ"/>
    <s v="BOITUVA"/>
    <x v="7"/>
  </r>
  <r>
    <s v="ZIK2"/>
    <x v="117"/>
    <s v="LEILA CRISTINA NABUCO"/>
    <s v="HELBER EMILIANO ZAROS"/>
    <s v="CAMPINAS"/>
    <x v="7"/>
  </r>
  <r>
    <s v="ZM6L"/>
    <x v="85"/>
    <s v="THIAGO BERNARDES VIEIRA"/>
    <s v="RAFAEL SILVEIRA DE CARVALHO "/>
    <s v="PINDAMONHANGABA"/>
    <x v="7"/>
  </r>
  <r>
    <s v="ZSU5"/>
    <x v="17"/>
    <s v="VAGO_DDD16"/>
    <s v="EDUARDO ALVES DE QUEIROZ"/>
    <s v="JARDINOPOLIS"/>
    <x v="7"/>
  </r>
  <r>
    <s v="ZY9G"/>
    <x v="17"/>
    <s v="RODRIGO PROSPERO FERREIRA DA SILVA"/>
    <s v="EDUARDO ALVES DE QUEIROZ"/>
    <s v="SAO JOAQUIM DA BARRA"/>
    <x v="7"/>
  </r>
  <r>
    <s v="UDTX"/>
    <x v="149"/>
    <s v="ANDRESSA DOWHEPOLY"/>
    <s v="THIAGO REGO SACCHI"/>
    <s v="CURITIBA"/>
    <x v="8"/>
  </r>
  <r>
    <s v="CFTI"/>
    <x v="149"/>
    <s v="ANDRESSA DOWHEPOLY"/>
    <s v="THIAGO REGO SACCHI"/>
    <s v="CURITIBA"/>
    <x v="8"/>
  </r>
  <r>
    <s v="P7YR"/>
    <x v="149"/>
    <s v="ANDRESSA DOWHEPOLY"/>
    <s v="THIAGO REGO SACCHI"/>
    <s v="CURITIBA"/>
    <x v="8"/>
  </r>
  <r>
    <s v="FN6F"/>
    <x v="149"/>
    <s v="ANDRESSA DOWHEPOLY"/>
    <s v="THIAGO REGO SACCHI"/>
    <s v="PARANAGUA"/>
    <x v="8"/>
  </r>
  <r>
    <s v="TS5A"/>
    <x v="149"/>
    <s v="ANDRESSA DOWHEPOLY"/>
    <s v="THIAGO REGO SACCHI"/>
    <s v="PARANAGUA"/>
    <x v="8"/>
  </r>
  <r>
    <s v="YPNE"/>
    <x v="149"/>
    <s v="ANDRESSA DOWHEPOLY"/>
    <s v="THIAGO REGO SACCHI"/>
    <s v="PIRAQUARA"/>
    <x v="8"/>
  </r>
  <r>
    <s v="JAWY"/>
    <x v="17"/>
    <s v="BARBARA GERALDO RODRIGUES"/>
    <s v="TIAGO PETERS BUENO"/>
    <s v="GRAVATAI"/>
    <x v="9"/>
  </r>
  <r>
    <s v="M5XO"/>
    <x v="150"/>
    <s v="BARBARA GERALDO RODRIGUES"/>
    <s v="TIAGO PETERS BUENO"/>
    <s v="PORTO ALEGRE"/>
    <x v="9"/>
  </r>
  <r>
    <s v="5D78"/>
    <x v="150"/>
    <s v="BARBARA GERALDO RODRIGUES"/>
    <s v="TIAGO PETERS BUENO"/>
    <s v="PORTO ALEGRE"/>
    <x v="9"/>
  </r>
  <r>
    <s v="74X7"/>
    <x v="17"/>
    <s v="BARBARA GERALDO RODRIGUES"/>
    <s v="TIAGO PETERS BUENO"/>
    <s v="VIAMAO"/>
    <x v="9"/>
  </r>
  <r>
    <s v="1TQ9"/>
    <x v="150"/>
    <s v="CINTIA LEISSMANN"/>
    <s v="TIAGO PETERS BUENO"/>
    <s v="CACHOEIRA DO SUL"/>
    <x v="9"/>
  </r>
  <r>
    <s v="ITIW"/>
    <x v="150"/>
    <s v="CINTIA LEISSMANN"/>
    <s v="TIAGO PETERS BUENO"/>
    <s v="ENCANTADO"/>
    <x v="9"/>
  </r>
  <r>
    <s v="FCNV"/>
    <x v="150"/>
    <s v="CINTIA LEISSMANN"/>
    <s v="TIAGO PETERS BUENO"/>
    <s v="LAJEADO"/>
    <x v="9"/>
  </r>
  <r>
    <s v="X24S"/>
    <x v="150"/>
    <s v="CINTIA LEISSMANN"/>
    <s v="TIAGO PETERS BUENO"/>
    <s v="MONTENEGRO"/>
    <x v="9"/>
  </r>
  <r>
    <s v="ULW6"/>
    <x v="150"/>
    <s v="CINTIA LEISSMANN"/>
    <s v="TIAGO PETERS BUENO"/>
    <s v="RIO PARDO"/>
    <x v="9"/>
  </r>
  <r>
    <s v="06SK"/>
    <x v="150"/>
    <s v="CINTIA LEISSMANN"/>
    <s v="TIAGO PETERS BUENO"/>
    <s v="SANTA CRUZ DO SUL"/>
    <x v="9"/>
  </r>
  <r>
    <s v="KFO9"/>
    <x v="150"/>
    <s v="CINTIA LEISSMANN"/>
    <s v="TIAGO PETERS BUENO"/>
    <s v="TEUTONIA"/>
    <x v="9"/>
  </r>
  <r>
    <s v="R352"/>
    <x v="150"/>
    <s v="CINTIA LEISSMANN"/>
    <s v="TIAGO PETERS BUENO"/>
    <s v="VENANCIO AIRES"/>
    <x v="9"/>
  </r>
  <r>
    <s v="AP6C"/>
    <x v="151"/>
    <s v="CLEITON DE SOUSA GERBER"/>
    <s v="OSWALDO VALENTE DE ANDRADE JUNIOR"/>
    <s v="CACADOR"/>
    <x v="8"/>
  </r>
  <r>
    <s v="OQ0D"/>
    <x v="151"/>
    <s v="CLEITON DE SOUSA GERBER"/>
    <s v="OSWALDO VALENTE DE ANDRADE JUNIOR"/>
    <s v="CAMPOS NOVOS"/>
    <x v="8"/>
  </r>
  <r>
    <s v="6EQB"/>
    <x v="151"/>
    <s v="CLEITON DE SOUSA GERBER"/>
    <s v="OSWALDO VALENTE DE ANDRADE JUNIOR"/>
    <s v="CURITIBANOS"/>
    <x v="8"/>
  </r>
  <r>
    <s v="AN1W"/>
    <x v="151"/>
    <s v="CLEITON DE SOUSA GERBER"/>
    <s v="OSWALDO VALENTE DE ANDRADE JUNIOR"/>
    <s v="FRAIBURGO"/>
    <x v="8"/>
  </r>
  <r>
    <s v="252O"/>
    <x v="151"/>
    <s v="CLEITON DE SOUSA GERBER"/>
    <s v="OSWALDO VALENTE DE ANDRADE JUNIOR"/>
    <s v="LAGES"/>
    <x v="8"/>
  </r>
  <r>
    <s v="49F0"/>
    <x v="151"/>
    <s v="CLEITON DE SOUSA GERBER"/>
    <s v="OSWALDO VALENTE DE ANDRADE JUNIOR"/>
    <s v="SANTA CECILIA"/>
    <x v="8"/>
  </r>
  <r>
    <s v="VHTP"/>
    <x v="151"/>
    <s v="CLEITON DE SOUSA GERBER"/>
    <s v="OSWALDO VALENTE DE ANDRADE JUNIOR"/>
    <s v="VIDEIRA"/>
    <x v="8"/>
  </r>
  <r>
    <s v="SZPZ"/>
    <x v="17"/>
    <s v="EDELAINE CRISTINA ROMAO DA SILVA"/>
    <s v="MARCELO SBERSE OLIVEIRA"/>
    <s v="BIGUACU"/>
    <x v="8"/>
  </r>
  <r>
    <s v="BXFR"/>
    <x v="17"/>
    <s v="EDELAINE CRISTINA ROMAO DA SILVA"/>
    <s v="MARCELO SBERSE OLIVEIRA"/>
    <s v="PALHOCA"/>
    <x v="8"/>
  </r>
  <r>
    <s v="U7MU"/>
    <x v="17"/>
    <s v="EDELAINE CRISTINA ROMAO DA SILVA"/>
    <s v="MARCELO SBERSE OLIVEIRA"/>
    <s v="PALHOCA"/>
    <x v="8"/>
  </r>
  <r>
    <s v="ASFI"/>
    <x v="152"/>
    <s v="FABIANE BARBOSA CASTANHO"/>
    <s v="MARCELO SBERSE OLIVEIRA"/>
    <s v="ARARANGUA"/>
    <x v="8"/>
  </r>
  <r>
    <s v="V56M"/>
    <x v="17"/>
    <s v="FABIANE BARBOSA CASTANHO"/>
    <s v="MARCELO SBERSE OLIVEIRA"/>
    <s v="CRICIUMA"/>
    <x v="8"/>
  </r>
  <r>
    <s v="PUWE"/>
    <x v="17"/>
    <s v="FABIANE BARBOSA CASTANHO"/>
    <s v="MARCELO SBERSE OLIVEIRA"/>
    <s v="CRICIUMA"/>
    <x v="8"/>
  </r>
  <r>
    <s v="BN5K"/>
    <x v="17"/>
    <s v="FABIANE BARBOSA CASTANHO"/>
    <s v="MARCELO SBERSE OLIVEIRA"/>
    <s v="TUBARAO"/>
    <x v="8"/>
  </r>
  <r>
    <s v="O218"/>
    <x v="17"/>
    <s v="FABIANE BARBOSA CASTANHO"/>
    <s v="MARCELO SBERSE OLIVEIRA"/>
    <s v="TUBARAO"/>
    <x v="8"/>
  </r>
  <r>
    <s v="MGWP"/>
    <x v="153"/>
    <s v="FABRICIO VELASQUES ETCHEVERRIA"/>
    <s v="CARLOS EDUARDO RIVERA TOSETTO"/>
    <s v="CRUZ ALTA"/>
    <x v="9"/>
  </r>
  <r>
    <s v="3A7S"/>
    <x v="153"/>
    <s v="FABRICIO VELASQUES ETCHEVERRIA"/>
    <s v="CARLOS EDUARDO RIVERA TOSETTO"/>
    <s v="FREDERICO WESTPHALEN"/>
    <x v="9"/>
  </r>
  <r>
    <s v="0JTN"/>
    <x v="153"/>
    <s v="FABRICIO VELASQUES ETCHEVERRIA"/>
    <s v="CARLOS EDUARDO RIVERA TOSETTO"/>
    <s v="IJUI"/>
    <x v="9"/>
  </r>
  <r>
    <s v="WXM0"/>
    <x v="153"/>
    <s v="FABRICIO VELASQUES ETCHEVERRIA"/>
    <s v="CARLOS EDUARDO RIVERA TOSETTO"/>
    <s v="IJUI"/>
    <x v="9"/>
  </r>
  <r>
    <s v="TPI3"/>
    <x v="153"/>
    <s v="FABRICIO VELASQUES ETCHEVERRIA"/>
    <s v="CARLOS EDUARDO RIVERA TOSETTO"/>
    <s v="ITAQUI"/>
    <x v="9"/>
  </r>
  <r>
    <s v="HW0N"/>
    <x v="153"/>
    <s v="FABRICIO VELASQUES ETCHEVERRIA"/>
    <s v="CARLOS EDUARDO RIVERA TOSETTO"/>
    <s v="PALMEIRA DAS MISSOES"/>
    <x v="9"/>
  </r>
  <r>
    <s v="QV3P"/>
    <x v="153"/>
    <s v="FABRICIO VELASQUES ETCHEVERRIA"/>
    <s v="CARLOS EDUARDO RIVERA TOSETTO"/>
    <s v="PANAMBI"/>
    <x v="9"/>
  </r>
  <r>
    <s v="RM4X"/>
    <x v="153"/>
    <s v="FABRICIO VELASQUES ETCHEVERRIA"/>
    <s v="CARLOS EDUARDO RIVERA TOSETTO"/>
    <s v="SANTA ROSA"/>
    <x v="9"/>
  </r>
  <r>
    <s v="3SAQ"/>
    <x v="153"/>
    <s v="FABRICIO VELASQUES ETCHEVERRIA"/>
    <s v="CARLOS EDUARDO RIVERA TOSETTO"/>
    <s v="SANTIAGO"/>
    <x v="9"/>
  </r>
  <r>
    <s v="O8K9"/>
    <x v="153"/>
    <s v="FABRICIO VELASQUES ETCHEVERRIA"/>
    <s v="CARLOS EDUARDO RIVERA TOSETTO"/>
    <s v="SANTO ANGELO"/>
    <x v="9"/>
  </r>
  <r>
    <s v="O3GC"/>
    <x v="153"/>
    <s v="FABRICIO VELASQUES ETCHEVERRIA"/>
    <s v="CARLOS EDUARDO RIVERA TOSETTO"/>
    <s v="SAO BORJA"/>
    <x v="9"/>
  </r>
  <r>
    <s v="NZ0T"/>
    <x v="153"/>
    <s v="FABRICIO VELASQUES ETCHEVERRIA"/>
    <s v="CARLOS EDUARDO RIVERA TOSETTO"/>
    <s v="SAO LUIZ GONZAGA"/>
    <x v="9"/>
  </r>
  <r>
    <s v="2CH7"/>
    <x v="150"/>
    <s v="FELIPE REGO COSTA DA ROSA"/>
    <s v="CARLOS EDUARDO RIVERA TOSETTO"/>
    <s v="BAGE"/>
    <x v="9"/>
  </r>
  <r>
    <s v="UWUF"/>
    <x v="150"/>
    <s v="FELIPE REGO COSTA DA ROSA"/>
    <s v="CARLOS EDUARDO RIVERA TOSETTO"/>
    <s v="PELOTAS"/>
    <x v="9"/>
  </r>
  <r>
    <s v="03ZF"/>
    <x v="150"/>
    <s v="FELIPE REGO COSTA DA ROSA"/>
    <s v="CARLOS EDUARDO RIVERA TOSETTO"/>
    <s v="PELOTAS"/>
    <x v="9"/>
  </r>
  <r>
    <s v="38OE"/>
    <x v="150"/>
    <s v="FELIPE REGO COSTA DA ROSA"/>
    <s v="CARLOS EDUARDO RIVERA TOSETTO"/>
    <s v="RIO GRANDE"/>
    <x v="9"/>
  </r>
  <r>
    <s v="PSGA"/>
    <x v="150"/>
    <s v="FELIPE REGO COSTA DA ROSA"/>
    <s v="CARLOS EDUARDO RIVERA TOSETTO"/>
    <s v="SAO LOURENCO DO SUL"/>
    <x v="9"/>
  </r>
  <r>
    <s v="E3L1"/>
    <x v="17"/>
    <s v="FERNANDA COSTA NATIVIDADE"/>
    <s v="MARCELO SBERSE OLIVEIRA"/>
    <s v="FLORIANOPOLIS"/>
    <x v="8"/>
  </r>
  <r>
    <s v="ITDI"/>
    <x v="17"/>
    <s v="FERNANDA COSTA NATIVIDADE"/>
    <s v="MARCELO SBERSE OLIVEIRA"/>
    <s v="FLORIANOPOLIS"/>
    <x v="8"/>
  </r>
  <r>
    <s v="KRB8"/>
    <x v="17"/>
    <s v="FERNANDA COSTA NATIVIDADE"/>
    <s v="MARCELO SBERSE OLIVEIRA"/>
    <s v="FLORIANOPOLIS"/>
    <x v="8"/>
  </r>
  <r>
    <s v="EH4O"/>
    <x v="17"/>
    <s v="FERNANDA COSTA NATIVIDADE"/>
    <s v="MARCELO SBERSE OLIVEIRA"/>
    <s v="FLORIANOPOLIS"/>
    <x v="8"/>
  </r>
  <r>
    <s v="KMQ6"/>
    <x v="17"/>
    <s v="FERNANDA COSTA NATIVIDADE"/>
    <s v="MARCELO SBERSE OLIVEIRA"/>
    <s v="SAO JOSE"/>
    <x v="8"/>
  </r>
  <r>
    <s v="RHXY"/>
    <x v="17"/>
    <s v="FERNANDA COSTA NATIVIDADE"/>
    <s v="MARCELO SBERSE OLIVEIRA"/>
    <s v="SAO JOSE"/>
    <x v="8"/>
  </r>
  <r>
    <s v="7F3N"/>
    <x v="17"/>
    <s v="FLAVIO BATISTA PEREIRA"/>
    <s v="MARCELO SBERSE OLIVEIRA"/>
    <s v="BALNEARIO CAMBORIU"/>
    <x v="8"/>
  </r>
  <r>
    <s v="V6VJ"/>
    <x v="17"/>
    <s v="FLAVIO BATISTA PEREIRA"/>
    <s v="MARCELO SBERSE OLIVEIRA"/>
    <s v="BALNEARIO CAMBORIU"/>
    <x v="8"/>
  </r>
  <r>
    <s v="BGQR"/>
    <x v="17"/>
    <s v="FLAVIO BATISTA PEREIRA"/>
    <s v="MARCELO SBERSE OLIVEIRA"/>
    <s v="CAMBORIU"/>
    <x v="8"/>
  </r>
  <r>
    <s v="2EPB"/>
    <x v="17"/>
    <s v="FLAVIO BATISTA PEREIRA"/>
    <s v="MARCELO SBERSE OLIVEIRA"/>
    <s v="ITAJAI"/>
    <x v="8"/>
  </r>
  <r>
    <s v="OH9Z"/>
    <x v="17"/>
    <s v="FLAVIO BATISTA PEREIRA"/>
    <s v="MARCELO SBERSE OLIVEIRA"/>
    <s v="ITAJAI"/>
    <x v="8"/>
  </r>
  <r>
    <s v="KAVU"/>
    <x v="154"/>
    <s v="FLAVIO BATISTA PEREIRA"/>
    <s v="MARCELO SBERSE OLIVEIRA"/>
    <s v="ITAPEMA"/>
    <x v="8"/>
  </r>
  <r>
    <s v="PGCW"/>
    <x v="17"/>
    <s v="FLAVIO BATISTA PEREIRA"/>
    <s v="MARCELO SBERSE OLIVEIRA"/>
    <s v="ITAPEMA"/>
    <x v="8"/>
  </r>
  <r>
    <s v="UEFJ"/>
    <x v="17"/>
    <s v="FLAVIO BATISTA PEREIRA"/>
    <s v="MARCELO SBERSE OLIVEIRA"/>
    <s v="NAVEGANTES"/>
    <x v="8"/>
  </r>
  <r>
    <s v="LJEQ"/>
    <x v="150"/>
    <s v="GLAUCIA FUCILINI DURGANTE"/>
    <s v="CARLOS EDUARDO RIVERA TOSETTO"/>
    <s v="CACAPAVA DO SUL"/>
    <x v="9"/>
  </r>
  <r>
    <s v="GYBU"/>
    <x v="150"/>
    <s v="GLAUCIA FUCILINI DURGANTE"/>
    <s v="CARLOS EDUARDO RIVERA TOSETTO"/>
    <s v="CACEQUI"/>
    <x v="9"/>
  </r>
  <r>
    <s v="2I91"/>
    <x v="150"/>
    <s v="GLAUCIA FUCILINI DURGANTE"/>
    <s v="CARLOS EDUARDO RIVERA TOSETTO"/>
    <s v="ROSARIO DO SUL"/>
    <x v="9"/>
  </r>
  <r>
    <s v="4T3L"/>
    <x v="150"/>
    <s v="GLAUCIA FUCILINI DURGANTE"/>
    <s v="CARLOS EDUARDO RIVERA TOSETTO"/>
    <s v="SANTA MARIA"/>
    <x v="9"/>
  </r>
  <r>
    <s v="ROEF"/>
    <x v="150"/>
    <s v="GLAUCIA FUCILINI DURGANTE"/>
    <s v="CARLOS EDUARDO RIVERA TOSETTO"/>
    <s v="SANTA MARIA"/>
    <x v="9"/>
  </r>
  <r>
    <s v="NF6A"/>
    <x v="150"/>
    <s v="GLAUCIA FUCILINI DURGANTE"/>
    <s v="CARLOS EDUARDO RIVERA TOSETTO"/>
    <s v="SANTA MARIA"/>
    <x v="9"/>
  </r>
  <r>
    <s v="GI1C"/>
    <x v="150"/>
    <s v="GLAUCIA FUCILINI DURGANTE"/>
    <s v="CARLOS EDUARDO RIVERA TOSETTO"/>
    <s v="SANTANA DO LIVRAMENTO"/>
    <x v="9"/>
  </r>
  <r>
    <s v="X9BR"/>
    <x v="150"/>
    <s v="GLAUCIA FUCILINI DURGANTE"/>
    <s v="CARLOS EDUARDO RIVERA TOSETTO"/>
    <s v="SAO GABRIEL"/>
    <x v="9"/>
  </r>
  <r>
    <s v="UZJ2"/>
    <x v="150"/>
    <s v="GLAUCIA FUCILINI DURGANTE"/>
    <s v="CARLOS EDUARDO RIVERA TOSETTO"/>
    <s v="URUGUAIANA"/>
    <x v="9"/>
  </r>
  <r>
    <s v="IRIC"/>
    <x v="150"/>
    <s v="JANISE GARCIA MARQUES"/>
    <s v="TIAGO PETERS BUENO"/>
    <s v="ESTEIO"/>
    <x v="9"/>
  </r>
  <r>
    <s v="BZLR"/>
    <x v="150"/>
    <s v="JANISE GARCIA MARQUES"/>
    <s v="TIAGO PETERS BUENO"/>
    <s v="IGREJINHA"/>
    <x v="9"/>
  </r>
  <r>
    <s v="2M0Z"/>
    <x v="150"/>
    <s v="JANISE GARCIA MARQUES"/>
    <s v="TIAGO PETERS BUENO"/>
    <s v="NOVO HAMBURGO"/>
    <x v="9"/>
  </r>
  <r>
    <s v="L6TX"/>
    <x v="150"/>
    <s v="JANISE GARCIA MARQUES"/>
    <s v="TIAGO PETERS BUENO"/>
    <s v="NOVO HAMBURGO"/>
    <x v="9"/>
  </r>
  <r>
    <s v="Z8DP"/>
    <x v="150"/>
    <s v="JANISE GARCIA MARQUES"/>
    <s v="TIAGO PETERS BUENO"/>
    <s v="SAPUCAIA DO SUL"/>
    <x v="9"/>
  </r>
  <r>
    <s v="D7LQ"/>
    <x v="150"/>
    <s v="JANISE GARCIA MARQUES"/>
    <s v="TIAGO PETERS BUENO"/>
    <s v="SAPUCAIA DO SUL"/>
    <x v="9"/>
  </r>
  <r>
    <s v="TQ9F"/>
    <x v="154"/>
    <s v="JEAN BARBOSA"/>
    <s v="MARCELO SBERSE OLIVEIRA"/>
    <s v="GUARAMIRIM"/>
    <x v="8"/>
  </r>
  <r>
    <s v="32FA"/>
    <x v="154"/>
    <s v="JEAN BARBOSA"/>
    <s v="MARCELO SBERSE OLIVEIRA"/>
    <s v="JARAGUA DO SUL"/>
    <x v="8"/>
  </r>
  <r>
    <s v="AQ8Z"/>
    <x v="154"/>
    <s v="JEAN BARBOSA"/>
    <s v="MARCELO SBERSE OLIVEIRA"/>
    <s v="JARAGUA DO SUL"/>
    <x v="8"/>
  </r>
  <r>
    <s v="X270"/>
    <x v="154"/>
    <s v="JEAN BARBOSA"/>
    <s v="MARCELO SBERSE OLIVEIRA"/>
    <s v="JARAGUA DO SUL"/>
    <x v="8"/>
  </r>
  <r>
    <s v="CMN2"/>
    <x v="17"/>
    <s v="JEAN BARBOSA"/>
    <s v="MARCELO SBERSE OLIVEIRA"/>
    <s v="JOINVILLE"/>
    <x v="8"/>
  </r>
  <r>
    <s v="7KRL"/>
    <x v="17"/>
    <s v="JEAN BARBOSA"/>
    <s v="MARCELO SBERSE OLIVEIRA"/>
    <s v="JOINVILLE"/>
    <x v="8"/>
  </r>
  <r>
    <s v="B5YQ"/>
    <x v="154"/>
    <s v="JEAN BARBOSA"/>
    <s v="MARCELO SBERSE OLIVEIRA"/>
    <s v="JOINVILLE"/>
    <x v="8"/>
  </r>
  <r>
    <s v="Y13L"/>
    <x v="17"/>
    <s v="JEAN BARBOSA"/>
    <s v="MARCELO SBERSE OLIVEIRA"/>
    <s v="SAO FRANCISCO DO SUL"/>
    <x v="8"/>
  </r>
  <r>
    <s v="IL79"/>
    <x v="17"/>
    <s v="JESSICA MAYARA MARQUES DE SOUZA"/>
    <s v="WILLIAN PEDROSA GOMES MOREIRA"/>
    <s v="CAMBE"/>
    <x v="8"/>
  </r>
  <r>
    <s v="Y4M4"/>
    <x v="17"/>
    <s v="JESSICA MAYARA MARQUES DE SOUZA"/>
    <s v="WILLIAN PEDROSA GOMES MOREIRA"/>
    <s v="CORNELIO PROCOPIO"/>
    <x v="8"/>
  </r>
  <r>
    <s v="7WTZ"/>
    <x v="17"/>
    <s v="JESSICA MAYARA MARQUES DE SOUZA"/>
    <s v="WILLIAN PEDROSA GOMES MOREIRA"/>
    <s v="IBIPORA"/>
    <x v="8"/>
  </r>
  <r>
    <s v="5NYI"/>
    <x v="17"/>
    <s v="JESSICA MAYARA MARQUES DE SOUZA"/>
    <s v="WILLIAN PEDROSA GOMES MOREIRA"/>
    <s v="LONDRINA"/>
    <x v="8"/>
  </r>
  <r>
    <s v="5RP3"/>
    <x v="17"/>
    <s v="JESSICA MAYARA MARQUES DE SOUZA"/>
    <s v="WILLIAN PEDROSA GOMES MOREIRA"/>
    <s v="LONDRINA"/>
    <x v="8"/>
  </r>
  <r>
    <s v="5XCR"/>
    <x v="17"/>
    <s v="JESSICA MAYARA MARQUES DE SOUZA"/>
    <s v="WILLIAN PEDROSA GOMES MOREIRA"/>
    <s v="LONDRINA"/>
    <x v="8"/>
  </r>
  <r>
    <s v="DRON"/>
    <x v="17"/>
    <s v="JESSICA MAYARA MARQUES DE SOUZA"/>
    <s v="WILLIAN PEDROSA GOMES MOREIRA"/>
    <s v="LONDRINA"/>
    <x v="8"/>
  </r>
  <r>
    <s v="VL68"/>
    <x v="17"/>
    <s v="JESSICA MAYARA MARQUES DE SOUZA"/>
    <s v="WILLIAN PEDROSA GOMES MOREIRA"/>
    <s v="LONDRINA"/>
    <x v="8"/>
  </r>
  <r>
    <s v="7QV6"/>
    <x v="17"/>
    <s v="JESSICA MAYARA MARQUES DE SOUZA"/>
    <s v="WILLIAN PEDROSA GOMES MOREIRA"/>
    <s v="ROLANDIA"/>
    <x v="8"/>
  </r>
  <r>
    <s v="8GWC"/>
    <x v="17"/>
    <s v="JOAO PAULO LOPES DOS SANTOS"/>
    <s v="WILLIAN PEDROSA GOMES MOREIRA"/>
    <s v="SARANDI"/>
    <x v="8"/>
  </r>
  <r>
    <s v="US9D"/>
    <x v="155"/>
    <s v="TBD 42"/>
    <s v="THIAGO REGO SACCHI"/>
    <s v="PALMAS"/>
    <x v="8"/>
  </r>
  <r>
    <s v="HALJ"/>
    <x v="17"/>
    <s v="TBD 42"/>
    <s v="THIAGO REGO SACCHI"/>
    <s v="PONTA GROSSA"/>
    <x v="8"/>
  </r>
  <r>
    <s v="53HP"/>
    <x v="17"/>
    <s v="TBD 42"/>
    <s v="THIAGO REGO SACCHI"/>
    <s v="PONTA GROSSA"/>
    <x v="8"/>
  </r>
  <r>
    <s v="V2W5"/>
    <x v="151"/>
    <s v="TBD 42"/>
    <s v="THIAGO REGO SACCHI"/>
    <s v="UNIAO DA VITORIA"/>
    <x v="8"/>
  </r>
  <r>
    <s v="G4E9"/>
    <x v="156"/>
    <s v="KEITH DIAS MANSKE"/>
    <s v="TIAGO PETERS BUENO"/>
    <s v="ARROIO DO SAL"/>
    <x v="9"/>
  </r>
  <r>
    <s v="2CUD"/>
    <x v="156"/>
    <s v="KEITH DIAS MANSKE"/>
    <s v="TIAGO PETERS BUENO"/>
    <s v="CAPAO DA CANOA"/>
    <x v="9"/>
  </r>
  <r>
    <s v="ERIU"/>
    <x v="156"/>
    <s v="KEITH DIAS MANSKE"/>
    <s v="TIAGO PETERS BUENO"/>
    <s v="CAPAO DA CANOA"/>
    <x v="9"/>
  </r>
  <r>
    <s v="VLNL"/>
    <x v="156"/>
    <s v="KEITH DIAS MANSKE"/>
    <s v="TIAGO PETERS BUENO"/>
    <s v="CIDREIRA"/>
    <x v="9"/>
  </r>
  <r>
    <s v="J4OP"/>
    <x v="156"/>
    <s v="KEITH DIAS MANSKE"/>
    <s v="TIAGO PETERS BUENO"/>
    <s v="IMBE"/>
    <x v="9"/>
  </r>
  <r>
    <s v="07AB"/>
    <x v="150"/>
    <s v="KEITH DIAS MANSKE"/>
    <s v="TIAGO PETERS BUENO"/>
    <s v="OSORIO"/>
    <x v="9"/>
  </r>
  <r>
    <s v="XYMX"/>
    <x v="150"/>
    <s v="KEITH DIAS MANSKE"/>
    <s v="TIAGO PETERS BUENO"/>
    <s v="SANTO ANTONIO DA PATRULHA"/>
    <x v="9"/>
  </r>
  <r>
    <s v="H45S"/>
    <x v="156"/>
    <s v="KEITH DIAS MANSKE"/>
    <s v="TIAGO PETERS BUENO"/>
    <s v="TORRES"/>
    <x v="9"/>
  </r>
  <r>
    <s v="KA1P"/>
    <x v="156"/>
    <s v="KEITH DIAS MANSKE"/>
    <s v="TIAGO PETERS BUENO"/>
    <s v="TRAMANDAI"/>
    <x v="9"/>
  </r>
  <r>
    <s v="DJ20"/>
    <x v="17"/>
    <s v="LEANDRO CECONELLO"/>
    <s v="WILLIAN PEDROSA GOMES MOREIRA"/>
    <s v="APUCARANA"/>
    <x v="8"/>
  </r>
  <r>
    <s v="FDJU"/>
    <x v="17"/>
    <s v="LEANDRO CECONELLO"/>
    <s v="WILLIAN PEDROSA GOMES MOREIRA"/>
    <s v="ARAPONGAS"/>
    <x v="8"/>
  </r>
  <r>
    <s v="L3PR"/>
    <x v="155"/>
    <s v="LEANDRO CECONELLO"/>
    <s v="WILLIAN PEDROSA GOMES MOREIRA"/>
    <s v="CAMPO MOURAO"/>
    <x v="8"/>
  </r>
  <r>
    <s v="9K9M"/>
    <x v="17"/>
    <s v="LEANDRO CECONELLO"/>
    <s v="WILLIAN PEDROSA GOMES MOREIRA"/>
    <s v="MARINGA"/>
    <x v="8"/>
  </r>
  <r>
    <s v="VEWQ"/>
    <x v="17"/>
    <s v="LEANDRO CECONELLO"/>
    <s v="WILLIAN PEDROSA GOMES MOREIRA"/>
    <s v="MARINGA"/>
    <x v="8"/>
  </r>
  <r>
    <s v="AJU3"/>
    <x v="17"/>
    <s v="LEANDRO CECONELLO"/>
    <s v="WILLIAN PEDROSA GOMES MOREIRA"/>
    <s v="MARINGA"/>
    <x v="8"/>
  </r>
  <r>
    <s v="AOLQ"/>
    <x v="155"/>
    <s v="LEANDRO CECONELLO"/>
    <s v="WILLIAN PEDROSA GOMES MOREIRA"/>
    <s v="PAICANDU"/>
    <x v="8"/>
  </r>
  <r>
    <s v="6C31"/>
    <x v="150"/>
    <s v="LETICIA DANIEL DA SILVA CHAVES"/>
    <s v="OSWALDO VALENTE DE ANDRADE JUNIOR"/>
    <s v="CHAPECO"/>
    <x v="8"/>
  </r>
  <r>
    <s v="SR8N"/>
    <x v="150"/>
    <s v="LETICIA DANIEL DA SILVA CHAVES"/>
    <s v="OSWALDO VALENTE DE ANDRADE JUNIOR"/>
    <s v="CHAPECO"/>
    <x v="8"/>
  </r>
  <r>
    <s v="ZA1P"/>
    <x v="150"/>
    <s v="LETICIA DANIEL DA SILVA CHAVES"/>
    <s v="OSWALDO VALENTE DE ANDRADE JUNIOR"/>
    <s v="PINHALZINHO"/>
    <x v="8"/>
  </r>
  <r>
    <s v="IFHI"/>
    <x v="151"/>
    <s v="LETICIA DANIEL DA SILVA CHAVES"/>
    <s v="OSWALDO VALENTE DE ANDRADE JUNIOR"/>
    <s v="SAO JOAQUIM"/>
    <x v="8"/>
  </r>
  <r>
    <s v="X5FL"/>
    <x v="150"/>
    <s v="LETICIA DANIEL DA SILVA CHAVES"/>
    <s v="OSWALDO VALENTE DE ANDRADE JUNIOR"/>
    <s v="XAXIM"/>
    <x v="8"/>
  </r>
  <r>
    <s v="26RX"/>
    <x v="154"/>
    <s v="MARCIA GOMES DA COSTA"/>
    <s v="OSWALDO VALENTE DE ANDRADE JUNIOR"/>
    <s v="BLUMENAU"/>
    <x v="8"/>
  </r>
  <r>
    <s v="9XD9"/>
    <x v="154"/>
    <s v="MARCIA GOMES DA COSTA"/>
    <s v="OSWALDO VALENTE DE ANDRADE JUNIOR"/>
    <s v="BLUMENAU"/>
    <x v="8"/>
  </r>
  <r>
    <s v="RN51"/>
    <x v="154"/>
    <s v="MARCIA GOMES DA COSTA"/>
    <s v="OSWALDO VALENTE DE ANDRADE JUNIOR"/>
    <s v="BRUSQUE"/>
    <x v="8"/>
  </r>
  <r>
    <s v="XHMR"/>
    <x v="154"/>
    <s v="MARCIA GOMES DA COSTA"/>
    <s v="OSWALDO VALENTE DE ANDRADE JUNIOR"/>
    <s v="GASPAR"/>
    <x v="8"/>
  </r>
  <r>
    <s v="8S1Z"/>
    <x v="154"/>
    <s v="MARCIA GOMES DA COSTA"/>
    <s v="OSWALDO VALENTE DE ANDRADE JUNIOR"/>
    <s v="INDAIAL"/>
    <x v="8"/>
  </r>
  <r>
    <s v="OM9C"/>
    <x v="154"/>
    <s v="MARCIA GOMES DA COSTA"/>
    <s v="OSWALDO VALENTE DE ANDRADE JUNIOR"/>
    <s v="POMERODE"/>
    <x v="8"/>
  </r>
  <r>
    <s v="AK1H"/>
    <x v="154"/>
    <s v="MARCIA GOMES DA COSTA"/>
    <s v="OSWALDO VALENTE DE ANDRADE JUNIOR"/>
    <s v="RIO DO SUL"/>
    <x v="8"/>
  </r>
  <r>
    <s v="AX2A"/>
    <x v="154"/>
    <s v="MARCIA GOMES DA COSTA"/>
    <s v="OSWALDO VALENTE DE ANDRADE JUNIOR"/>
    <s v="TIMBO"/>
    <x v="8"/>
  </r>
  <r>
    <s v="J8HU"/>
    <x v="150"/>
    <s v="MARCIO LENCINA"/>
    <s v="TIAGO PETERS BUENO"/>
    <s v="CAMAQUA"/>
    <x v="9"/>
  </r>
  <r>
    <s v="2EGU"/>
    <x v="150"/>
    <s v="MARCIO LENCINA"/>
    <s v="TIAGO PETERS BUENO"/>
    <s v="CAMPO BOM"/>
    <x v="9"/>
  </r>
  <r>
    <s v="7OUB"/>
    <x v="150"/>
    <s v="MARCIO LENCINA"/>
    <s v="TIAGO PETERS BUENO"/>
    <s v="CHARQUEADAS"/>
    <x v="9"/>
  </r>
  <r>
    <s v="MF5K"/>
    <x v="150"/>
    <s v="MARCIO LENCINA"/>
    <s v="TIAGO PETERS BUENO"/>
    <s v="GUAIBA"/>
    <x v="9"/>
  </r>
  <r>
    <s v="P157"/>
    <x v="150"/>
    <s v="MARCIO LENCINA"/>
    <s v="TIAGO PETERS BUENO"/>
    <s v="PAROBE"/>
    <x v="9"/>
  </r>
  <r>
    <s v="69ML"/>
    <x v="150"/>
    <s v="MARCIO LENCINA"/>
    <s v="TIAGO PETERS BUENO"/>
    <s v="TAQUARA"/>
    <x v="9"/>
  </r>
  <r>
    <s v="PYO0"/>
    <x v="17"/>
    <s v="RODRIGO EISENBERG CABRAL"/>
    <s v="THIAGO REGO SACCHI"/>
    <s v="CURITIBA"/>
    <x v="8"/>
  </r>
  <r>
    <s v="UVQG"/>
    <x v="17"/>
    <s v="RODRIGO EISENBERG CABRAL"/>
    <s v="THIAGO REGO SACCHI"/>
    <s v="CAMPO LARGO"/>
    <x v="8"/>
  </r>
  <r>
    <s v="Z68A"/>
    <x v="149"/>
    <s v="RODRIGO EISENBERG CABRAL"/>
    <s v="THIAGO REGO SACCHI"/>
    <s v="COLOMBO"/>
    <x v="8"/>
  </r>
  <r>
    <s v="20ZS"/>
    <x v="17"/>
    <s v="RODRIGO EISENBERG CABRAL"/>
    <s v="THIAGO REGO SACCHI"/>
    <s v="CURITIBA"/>
    <x v="8"/>
  </r>
  <r>
    <s v="KNVL"/>
    <x v="17"/>
    <s v="RODRIGO EISENBERG CABRAL"/>
    <s v="THIAGO REGO SACCHI"/>
    <s v="CURITIBA"/>
    <x v="8"/>
  </r>
  <r>
    <s v="050E"/>
    <x v="17"/>
    <s v="RODRIGO EISENBERG CABRAL"/>
    <s v="THIAGO REGO SACCHI"/>
    <s v="CURITIBA"/>
    <x v="8"/>
  </r>
  <r>
    <s v="J39K"/>
    <x v="17"/>
    <s v="RODRIGO EISENBERG CABRAL"/>
    <s v="THIAGO REGO SACCHI"/>
    <s v="CURITIBA"/>
    <x v="8"/>
  </r>
  <r>
    <s v="64CG"/>
    <x v="17"/>
    <s v="RODRIGO EISENBERG CABRAL"/>
    <s v="THIAGO REGO SACCHI"/>
    <s v="CURITIBA"/>
    <x v="8"/>
  </r>
  <r>
    <s v="XIO6"/>
    <x v="17"/>
    <s v="RODRIGO EISENBERG CABRAL"/>
    <s v="THIAGO REGO SACCHI"/>
    <s v="GUARATUBA"/>
    <x v="8"/>
  </r>
  <r>
    <s v="0MR9"/>
    <x v="17"/>
    <s v="RODRIGO EISENBERG CABRAL"/>
    <s v="THIAGO REGO SACCHI"/>
    <s v="SAO JOSE DOS PINHAIS"/>
    <x v="8"/>
  </r>
  <r>
    <s v="LK3R"/>
    <x v="17"/>
    <s v="RODRIGO EISENBERG CABRAL"/>
    <s v="THIAGO REGO SACCHI"/>
    <s v="SAO JOSE DOS PINHAIS"/>
    <x v="8"/>
  </r>
  <r>
    <s v="FWBR"/>
    <x v="157"/>
    <s v="SAMUEL ANDRIOLA ARMILIATO"/>
    <s v="CASSIO VENTURA LORENZET"/>
    <s v="CANELA"/>
    <x v="9"/>
  </r>
  <r>
    <s v="EX47"/>
    <x v="157"/>
    <s v="SAMUEL ANDRIOLA ARMILIATO"/>
    <s v="CASSIO VENTURA LORENZET"/>
    <s v="CAXIAS DO SUL"/>
    <x v="9"/>
  </r>
  <r>
    <s v="HXZ5"/>
    <x v="157"/>
    <s v="SAMUEL ANDRIOLA ARMILIATO"/>
    <s v="CASSIO VENTURA LORENZET"/>
    <s v="CAXIAS DO SUL"/>
    <x v="9"/>
  </r>
  <r>
    <s v="8L05"/>
    <x v="157"/>
    <s v="SAMUEL ANDRIOLA ARMILIATO"/>
    <s v="CASSIO VENTURA LORENZET"/>
    <s v="CAXIAS DO SUL"/>
    <x v="9"/>
  </r>
  <r>
    <s v="XQ30"/>
    <x v="157"/>
    <s v="SAMUEL ANDRIOLA ARMILIATO"/>
    <s v="CASSIO VENTURA LORENZET"/>
    <s v="CAXIAS DO SUL"/>
    <x v="9"/>
  </r>
  <r>
    <s v="RE9N"/>
    <x v="157"/>
    <s v="SAMUEL ANDRIOLA ARMILIATO"/>
    <s v="CASSIO VENTURA LORENZET"/>
    <s v="FLORES DA CUNHA"/>
    <x v="9"/>
  </r>
  <r>
    <s v="D0QD"/>
    <x v="157"/>
    <s v="SAMUEL ANDRIOLA ARMILIATO"/>
    <s v="CASSIO VENTURA LORENZET"/>
    <s v="GRAMADO"/>
    <x v="9"/>
  </r>
  <r>
    <s v="1POQ"/>
    <x v="157"/>
    <s v="SAMUEL ANDRIOLA ARMILIATO"/>
    <s v="CASSIO VENTURA LORENZET"/>
    <s v="NOVA PETROPOLIS"/>
    <x v="9"/>
  </r>
  <r>
    <s v="DE79"/>
    <x v="157"/>
    <s v="SAMUEL ANDRIOLA ARMILIATO"/>
    <s v="CASSIO VENTURA LORENZET"/>
    <s v="VACARIA"/>
    <x v="9"/>
  </r>
  <r>
    <s v="6XY4"/>
    <x v="157"/>
    <s v="SCHEILA SANDRI TEIXEIRA"/>
    <s v="CASSIO VENTURA LORENZET"/>
    <s v="CARAZINHO"/>
    <x v="9"/>
  </r>
  <r>
    <s v="MNUF"/>
    <x v="157"/>
    <s v="SCHEILA SANDRI TEIXEIRA"/>
    <s v="CASSIO VENTURA LORENZET"/>
    <s v="ERECHIM"/>
    <x v="9"/>
  </r>
  <r>
    <s v="NQEZ"/>
    <x v="157"/>
    <s v="SCHEILA SANDRI TEIXEIRA"/>
    <s v="CASSIO VENTURA LORENZET"/>
    <s v="ERECHIM"/>
    <x v="9"/>
  </r>
  <r>
    <s v="MWRO"/>
    <x v="158"/>
    <s v="SCHEILA SANDRI TEIXEIRA"/>
    <s v="CASSIO VENTURA LORENZET"/>
    <s v="ESPUMOSO"/>
    <x v="9"/>
  </r>
  <r>
    <s v="ZGP6"/>
    <x v="157"/>
    <s v="SCHEILA SANDRI TEIXEIRA"/>
    <s v="CASSIO VENTURA LORENZET"/>
    <s v="GETULIO VARGAS"/>
    <x v="9"/>
  </r>
  <r>
    <s v="AHBX"/>
    <x v="157"/>
    <s v="SCHEILA SANDRI TEIXEIRA"/>
    <s v="CASSIO VENTURA LORENZET"/>
    <s v="IBIRUBA"/>
    <x v="9"/>
  </r>
  <r>
    <s v="8H40"/>
    <x v="157"/>
    <s v="SCHEILA SANDRI TEIXEIRA"/>
    <s v="CASSIO VENTURA LORENZET"/>
    <s v="MARAU"/>
    <x v="9"/>
  </r>
  <r>
    <s v="U6RN"/>
    <x v="157"/>
    <s v="SCHEILA SANDRI TEIXEIRA"/>
    <s v="CASSIO VENTURA LORENZET"/>
    <s v="PASSO FUNDO"/>
    <x v="9"/>
  </r>
  <r>
    <s v="JFRL"/>
    <x v="157"/>
    <s v="SCHEILA SANDRI TEIXEIRA"/>
    <s v="CASSIO VENTURA LORENZET"/>
    <s v="PASSO FUNDO"/>
    <x v="9"/>
  </r>
  <r>
    <s v="PNBC"/>
    <x v="157"/>
    <s v="TAINA MISTURINI"/>
    <s v="CASSIO VENTURA LORENZET"/>
    <s v="BENTO GONCALVES"/>
    <x v="9"/>
  </r>
  <r>
    <s v="1CDW"/>
    <x v="157"/>
    <s v="TAINA MISTURINI"/>
    <s v="CASSIO VENTURA LORENZET"/>
    <s v="BENTO GONCALVES"/>
    <x v="9"/>
  </r>
  <r>
    <s v="T7DH"/>
    <x v="157"/>
    <s v="TAINA MISTURINI"/>
    <s v="CASSIO VENTURA LORENZET"/>
    <s v="FARROUPILHA"/>
    <x v="9"/>
  </r>
  <r>
    <s v="6UK0"/>
    <x v="157"/>
    <s v="TAINA MISTURINI"/>
    <s v="CASSIO VENTURA LORENZET"/>
    <s v="VERANOPOLIS"/>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3EA488-2061-41B9-8B49-D13F8A8CC154}" name="Tabela dinâmica4" cacheId="31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4" firstHeaderRow="1" firstDataRow="1" firstDataCol="1" rowPageCount="1" colPageCount="1"/>
  <pivotFields count="6">
    <pivotField dataField="1" compact="0" outline="0" showAll="0">
      <extLst>
        <ext xmlns:x14="http://schemas.microsoft.com/office/spreadsheetml/2009/9/main" uri="{2946ED86-A175-432a-8AC1-64E0C546D7DE}">
          <x14:pivotField fillDownLabels="1"/>
        </ext>
      </extLst>
    </pivotField>
    <pivotField axis="axisPage" compact="0" outline="0" showAll="0" defaultSubtotal="0">
      <items count="159">
        <item x="14"/>
        <item x="90"/>
        <item x="68"/>
        <item x="128"/>
        <item x="135"/>
        <item x="129"/>
        <item x="31"/>
        <item x="119"/>
        <item x="46"/>
        <item x="78"/>
        <item x="10"/>
        <item x="87"/>
        <item x="74"/>
        <item x="49"/>
        <item x="21"/>
        <item x="153"/>
        <item x="70"/>
        <item x="154"/>
        <item x="137"/>
        <item x="109"/>
        <item x="88"/>
        <item x="66"/>
        <item x="94"/>
        <item x="152"/>
        <item x="151"/>
        <item x="1"/>
        <item x="130"/>
        <item x="17"/>
        <item x="42"/>
        <item x="37"/>
        <item x="39"/>
        <item x="131"/>
        <item x="104"/>
        <item x="76"/>
        <item x="43"/>
        <item x="144"/>
        <item x="65"/>
        <item x="53"/>
        <item x="4"/>
        <item x="23"/>
        <item x="136"/>
        <item x="110"/>
        <item x="25"/>
        <item x="140"/>
        <item x="138"/>
        <item x="111"/>
        <item x="112"/>
        <item x="15"/>
        <item x="150"/>
        <item x="121"/>
        <item x="95"/>
        <item x="12"/>
        <item x="114"/>
        <item x="64"/>
        <item x="30"/>
        <item x="60"/>
        <item x="0"/>
        <item x="20"/>
        <item x="117"/>
        <item x="79"/>
        <item x="29"/>
        <item x="77"/>
        <item x="105"/>
        <item x="132"/>
        <item x="26"/>
        <item x="122"/>
        <item x="103"/>
        <item x="115"/>
        <item x="2"/>
        <item x="48"/>
        <item x="85"/>
        <item x="7"/>
        <item x="28"/>
        <item x="118"/>
        <item x="45"/>
        <item x="58"/>
        <item x="61"/>
        <item x="16"/>
        <item x="141"/>
        <item x="72"/>
        <item x="148"/>
        <item x="96"/>
        <item x="59"/>
        <item x="158"/>
        <item x="69"/>
        <item x="106"/>
        <item x="127"/>
        <item x="100"/>
        <item x="133"/>
        <item x="34"/>
        <item x="57"/>
        <item x="113"/>
        <item x="73"/>
        <item x="146"/>
        <item x="71"/>
        <item x="91"/>
        <item x="54"/>
        <item x="40"/>
        <item x="32"/>
        <item x="75"/>
        <item x="67"/>
        <item x="123"/>
        <item x="33"/>
        <item x="13"/>
        <item x="27"/>
        <item x="52"/>
        <item x="9"/>
        <item x="62"/>
        <item x="156"/>
        <item x="80"/>
        <item x="22"/>
        <item x="155"/>
        <item x="92"/>
        <item x="84"/>
        <item x="120"/>
        <item x="142"/>
        <item x="107"/>
        <item x="50"/>
        <item x="93"/>
        <item x="97"/>
        <item x="5"/>
        <item x="55"/>
        <item x="108"/>
        <item x="116"/>
        <item x="82"/>
        <item x="41"/>
        <item x="149"/>
        <item x="83"/>
        <item x="24"/>
        <item x="157"/>
        <item x="102"/>
        <item x="6"/>
        <item x="3"/>
        <item x="125"/>
        <item x="86"/>
        <item x="98"/>
        <item x="19"/>
        <item x="35"/>
        <item x="126"/>
        <item x="81"/>
        <item x="143"/>
        <item x="134"/>
        <item x="44"/>
        <item x="89"/>
        <item x="18"/>
        <item x="99"/>
        <item x="11"/>
        <item x="47"/>
        <item x="51"/>
        <item x="145"/>
        <item x="8"/>
        <item x="36"/>
        <item x="38"/>
        <item x="63"/>
        <item x="124"/>
        <item x="101"/>
        <item x="147"/>
        <item x="56"/>
        <item x="13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1">
        <item x="6"/>
        <item x="7"/>
        <item x="5"/>
        <item x="1"/>
        <item x="8"/>
        <item x="9"/>
        <item x="2"/>
        <item x="3"/>
        <item x="0"/>
        <item x="4"/>
        <item t="default"/>
      </items>
      <extLst>
        <ext xmlns:x14="http://schemas.microsoft.com/office/spreadsheetml/2009/9/main" uri="{2946ED86-A175-432a-8AC1-64E0C546D7DE}">
          <x14:pivotField fillDownLabels="1"/>
        </ext>
      </extLst>
    </pivotField>
  </pivotFields>
  <rowFields count="1">
    <field x="5"/>
  </rowFields>
  <rowItems count="11">
    <i>
      <x/>
    </i>
    <i>
      <x v="1"/>
    </i>
    <i>
      <x v="2"/>
    </i>
    <i>
      <x v="3"/>
    </i>
    <i>
      <x v="4"/>
    </i>
    <i>
      <x v="5"/>
    </i>
    <i>
      <x v="6"/>
    </i>
    <i>
      <x v="7"/>
    </i>
    <i>
      <x v="8"/>
    </i>
    <i>
      <x v="9"/>
    </i>
    <i t="grand">
      <x/>
    </i>
  </rowItems>
  <colItems count="1">
    <i/>
  </colItems>
  <pageFields count="1">
    <pageField fld="1" hier="-1"/>
  </pageFields>
  <dataFields count="1">
    <dataField name="Contagem de CÓ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C03A-31D0-4D1F-8DBD-EE0ACF659699}">
  <dimension ref="A1:H22"/>
  <sheetViews>
    <sheetView showGridLines="0" workbookViewId="0">
      <selection activeCell="A24" sqref="A24"/>
    </sheetView>
  </sheetViews>
  <sheetFormatPr defaultRowHeight="14.45"/>
  <cols>
    <col min="1" max="1" width="36.42578125" customWidth="1"/>
    <col min="2" max="2" width="56.140625" bestFit="1" customWidth="1"/>
    <col min="3" max="3" width="3.42578125" customWidth="1"/>
    <col min="4" max="4" width="1.7109375" customWidth="1"/>
    <col min="5" max="5" width="4.140625" customWidth="1"/>
    <col min="6" max="6" width="2.28515625" customWidth="1"/>
    <col min="7" max="7" width="2.140625" customWidth="1"/>
    <col min="8" max="8" width="2.85546875" customWidth="1"/>
  </cols>
  <sheetData>
    <row r="1" spans="1:8" ht="23.45">
      <c r="A1" s="197" t="s">
        <v>0</v>
      </c>
      <c r="B1" s="197"/>
      <c r="C1" s="197"/>
      <c r="D1" s="197"/>
      <c r="E1" s="197"/>
      <c r="F1" s="197"/>
      <c r="G1" s="197"/>
      <c r="H1" s="197"/>
    </row>
    <row r="2" spans="1:8">
      <c r="A2" s="198" t="s">
        <v>1</v>
      </c>
      <c r="B2" s="198"/>
      <c r="C2" s="198"/>
      <c r="D2" s="198"/>
      <c r="E2" s="198"/>
      <c r="F2" s="198"/>
      <c r="G2" s="198"/>
      <c r="H2" s="198"/>
    </row>
    <row r="4" spans="1:8" ht="15.95">
      <c r="A4" s="199" t="s">
        <v>2</v>
      </c>
      <c r="B4" s="199"/>
      <c r="C4" s="199"/>
      <c r="D4" s="199"/>
      <c r="E4" s="199"/>
      <c r="F4" s="199"/>
      <c r="G4" s="199"/>
      <c r="H4" s="199"/>
    </row>
    <row r="6" spans="1:8">
      <c r="A6" s="121" t="s">
        <v>3</v>
      </c>
      <c r="B6" s="121" t="s">
        <v>4</v>
      </c>
    </row>
    <row r="7" spans="1:8">
      <c r="A7" s="119" t="s">
        <v>5</v>
      </c>
      <c r="B7" s="122" t="s">
        <v>6</v>
      </c>
    </row>
    <row r="8" spans="1:8">
      <c r="A8" s="119" t="s">
        <v>7</v>
      </c>
      <c r="B8" s="122" t="s">
        <v>8</v>
      </c>
    </row>
    <row r="9" spans="1:8">
      <c r="A9" s="119" t="s">
        <v>9</v>
      </c>
      <c r="B9" s="122" t="s">
        <v>10</v>
      </c>
    </row>
    <row r="10" spans="1:8">
      <c r="A10" s="119" t="s">
        <v>11</v>
      </c>
      <c r="B10" s="122" t="s">
        <v>12</v>
      </c>
    </row>
    <row r="11" spans="1:8">
      <c r="A11" s="119" t="s">
        <v>13</v>
      </c>
      <c r="B11" s="122" t="s">
        <v>14</v>
      </c>
    </row>
    <row r="12" spans="1:8">
      <c r="A12" s="119" t="s">
        <v>15</v>
      </c>
      <c r="B12" s="122" t="s">
        <v>16</v>
      </c>
    </row>
    <row r="13" spans="1:8">
      <c r="A13" s="119" t="s">
        <v>17</v>
      </c>
      <c r="B13" s="122" t="s">
        <v>18</v>
      </c>
    </row>
    <row r="14" spans="1:8">
      <c r="A14" s="120" t="s">
        <v>19</v>
      </c>
      <c r="B14" s="123" t="s">
        <v>20</v>
      </c>
    </row>
    <row r="17" spans="1:8" ht="15.95" hidden="1">
      <c r="A17" s="199" t="s">
        <v>21</v>
      </c>
      <c r="B17" s="199"/>
      <c r="C17" s="199"/>
      <c r="D17" s="199"/>
      <c r="E17" s="199"/>
      <c r="F17" s="199"/>
      <c r="G17" s="199"/>
      <c r="H17" s="199"/>
    </row>
    <row r="18" spans="1:8" hidden="1"/>
    <row r="19" spans="1:8" hidden="1">
      <c r="A19" s="119">
        <v>1</v>
      </c>
      <c r="B19" s="84" t="s">
        <v>22</v>
      </c>
    </row>
    <row r="20" spans="1:8" hidden="1">
      <c r="A20" s="119">
        <v>2</v>
      </c>
      <c r="B20" s="84" t="s">
        <v>23</v>
      </c>
    </row>
    <row r="21" spans="1:8" hidden="1">
      <c r="A21" s="120">
        <v>3</v>
      </c>
      <c r="B21" s="124" t="s">
        <v>24</v>
      </c>
    </row>
    <row r="22" spans="1:8" hidden="1"/>
  </sheetData>
  <mergeCells count="4">
    <mergeCell ref="A1:H1"/>
    <mergeCell ref="A2:H2"/>
    <mergeCell ref="A4:H4"/>
    <mergeCell ref="A17:H17"/>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5FC3A-390D-4C2B-AE54-72CDFAA7F4F4}">
  <dimension ref="A1:N31"/>
  <sheetViews>
    <sheetView showGridLines="0" topLeftCell="A9" zoomScale="84" zoomScaleNormal="84" workbookViewId="0">
      <selection activeCell="P10" sqref="P10"/>
    </sheetView>
  </sheetViews>
  <sheetFormatPr defaultRowHeight="14.45"/>
  <cols>
    <col min="1" max="5" width="10.85546875" customWidth="1"/>
    <col min="6" max="6" width="13.5703125" bestFit="1" customWidth="1"/>
    <col min="7" max="7" width="13.28515625" customWidth="1"/>
    <col min="8" max="12" width="10.85546875" customWidth="1"/>
    <col min="13" max="14" width="0" hidden="1" customWidth="1"/>
  </cols>
  <sheetData>
    <row r="1" spans="1:14" ht="23.45">
      <c r="A1" s="197" t="s">
        <v>25</v>
      </c>
      <c r="B1" s="197"/>
      <c r="C1" s="197"/>
      <c r="D1" s="197"/>
      <c r="E1" s="197"/>
      <c r="F1" s="197"/>
      <c r="G1" s="197"/>
      <c r="H1" s="197"/>
      <c r="I1" s="197"/>
      <c r="J1" s="197"/>
      <c r="K1" s="197"/>
      <c r="L1" s="197"/>
      <c r="M1" t="s">
        <v>26</v>
      </c>
      <c r="N1" t="s">
        <v>27</v>
      </c>
    </row>
    <row r="2" spans="1:14">
      <c r="A2" s="198" t="s">
        <v>28</v>
      </c>
      <c r="B2" s="198"/>
      <c r="C2" s="198"/>
      <c r="D2" s="198"/>
      <c r="E2" s="198"/>
      <c r="F2" s="198"/>
      <c r="G2" s="198"/>
      <c r="H2" s="198"/>
      <c r="I2" s="198"/>
      <c r="J2" s="198"/>
      <c r="K2" s="198"/>
      <c r="L2" s="198"/>
      <c r="M2" s="1">
        <v>46023</v>
      </c>
      <c r="N2" s="112">
        <f>'Dashboard Calc'!J2</f>
        <v>2001</v>
      </c>
    </row>
    <row r="3" spans="1:14">
      <c r="A3" s="114" t="s">
        <v>29</v>
      </c>
      <c r="B3" s="115">
        <v>46235</v>
      </c>
      <c r="C3" s="113"/>
      <c r="D3" s="200" t="str">
        <f>"Atualizado com "&amp;TEXT(COUNTIFS(BASE!$A:$A,$B$3),"#,##0")&amp;" PDVs na base do mês selecionado"</f>
        <v>Atualizado com 997,0 PDVs na base do mês selecionado</v>
      </c>
      <c r="E3" s="200"/>
      <c r="F3" s="200"/>
      <c r="G3" s="200"/>
      <c r="H3" s="200"/>
      <c r="I3" s="200"/>
      <c r="J3" s="200"/>
      <c r="K3" s="200"/>
      <c r="L3" s="200"/>
      <c r="M3" s="1">
        <v>46054</v>
      </c>
      <c r="N3" s="112">
        <f>'Dashboard Calc'!J3</f>
        <v>1657</v>
      </c>
    </row>
    <row r="4" spans="1:14">
      <c r="M4" s="1">
        <v>46082</v>
      </c>
      <c r="N4" s="112">
        <f>'Dashboard Calc'!J4</f>
        <v>2965</v>
      </c>
    </row>
    <row r="5" spans="1:14">
      <c r="A5" s="186" t="s">
        <v>30</v>
      </c>
      <c r="B5" s="186"/>
      <c r="C5" s="186"/>
      <c r="D5" s="186" t="s">
        <v>31</v>
      </c>
      <c r="E5" s="186"/>
      <c r="F5" s="186"/>
      <c r="G5" s="186" t="s">
        <v>32</v>
      </c>
      <c r="H5" s="186"/>
      <c r="I5" s="186"/>
      <c r="J5" s="186" t="s">
        <v>33</v>
      </c>
      <c r="K5" s="186"/>
      <c r="L5" s="186"/>
      <c r="M5" s="1">
        <v>46113</v>
      </c>
      <c r="N5" s="112">
        <f>'Dashboard Calc'!J5</f>
        <v>2364</v>
      </c>
    </row>
    <row r="6" spans="1:14">
      <c r="A6" s="182">
        <f>SUMIFS(BASE!$G:$G,BASE!$A:$A,$B$3)</f>
        <v>3844</v>
      </c>
      <c r="B6" s="183"/>
      <c r="C6" s="183"/>
      <c r="D6" s="187">
        <f>IFERROR(SUMIFS(BASE!$G:$G,BASE!$A:$A,$B$3)/SUMIFS(BASE!$F:$F,BASE!$A:$A,$B$3),0)</f>
        <v>0.12726791153489603</v>
      </c>
      <c r="E6" s="183"/>
      <c r="F6" s="183"/>
      <c r="G6" s="182">
        <f>SUM('Dashboard Calc'!$E$2:$E$11)</f>
        <v>937</v>
      </c>
      <c r="H6" s="183"/>
      <c r="I6" s="183"/>
      <c r="J6" s="182">
        <f>'GRUPOS ZERADOS'!D16</f>
        <v>110</v>
      </c>
      <c r="K6" s="183"/>
      <c r="L6" s="183"/>
      <c r="M6" s="1">
        <v>46143</v>
      </c>
      <c r="N6" s="112">
        <f>'Dashboard Calc'!J6</f>
        <v>2940</v>
      </c>
    </row>
    <row r="7" spans="1:14">
      <c r="A7" s="184"/>
      <c r="B7" s="184"/>
      <c r="C7" s="184"/>
      <c r="D7" s="184"/>
      <c r="E7" s="184"/>
      <c r="F7" s="184"/>
      <c r="G7" s="184"/>
      <c r="H7" s="184"/>
      <c r="I7" s="184"/>
      <c r="J7" s="184"/>
      <c r="K7" s="184"/>
      <c r="L7" s="184"/>
      <c r="M7" s="1">
        <v>46174</v>
      </c>
      <c r="N7" s="112">
        <f>'Dashboard Calc'!J7</f>
        <v>3007</v>
      </c>
    </row>
    <row r="8" spans="1:14">
      <c r="M8" s="1">
        <v>46204</v>
      </c>
      <c r="N8" s="112">
        <f>'Dashboard Calc'!J8</f>
        <v>5021</v>
      </c>
    </row>
    <row r="9" spans="1:14" ht="33.950000000000003" customHeight="1">
      <c r="A9" s="185" t="str">
        <f>"💡 Em "&amp;TEXT($B$3,"mmm/aa")&amp;", o Brasil registrou "&amp;TEXT($A$6,"#.##0")&amp;" trocas e "&amp;TEXT($D$6,"0,0%")&amp;" de Attachment. Há "&amp;TEXT($J$6,"#.##0")&amp;" de "&amp;TEXT('GRUPOS ZERADOS'!B16,"#.##0")&amp;" grupos a ativar ("&amp;TEXT('GRUPOS ZERADOS'!F16,"0%")&amp;" zerados), reforçando o potencial comercial."</f>
        <v>💡 Em ago/26, o Brasil registrou 3.844 trocas e 12,7% de Attachment. Há 110 de 159 grupos a ativar (69% zerados), reforçando o potencial comercial.</v>
      </c>
      <c r="B9" s="185"/>
      <c r="C9" s="185"/>
      <c r="D9" s="185"/>
      <c r="E9" s="185"/>
      <c r="F9" s="185"/>
      <c r="G9" s="185"/>
      <c r="H9" s="185"/>
      <c r="I9" s="185"/>
      <c r="J9" s="185"/>
      <c r="K9" s="185"/>
      <c r="L9" s="185"/>
      <c r="M9" s="1">
        <v>46235</v>
      </c>
      <c r="N9" s="112">
        <f>'Dashboard Calc'!J9</f>
        <v>3844</v>
      </c>
    </row>
    <row r="10" spans="1:14">
      <c r="M10" s="1">
        <f>'Dashboard Calc'!I10</f>
        <v>46266</v>
      </c>
      <c r="N10" s="112" t="str">
        <f>'Dashboard Calc'!J10</f>
        <v/>
      </c>
    </row>
    <row r="11" spans="1:14">
      <c r="M11" s="1">
        <f>'Dashboard Calc'!I11</f>
        <v>46296</v>
      </c>
      <c r="N11" s="112" t="str">
        <f>'Dashboard Calc'!J11</f>
        <v/>
      </c>
    </row>
    <row r="12" spans="1:14">
      <c r="M12" s="1">
        <f>'Dashboard Calc'!I12</f>
        <v>46327</v>
      </c>
      <c r="N12" s="112" t="str">
        <f>'Dashboard Calc'!J12</f>
        <v/>
      </c>
    </row>
    <row r="13" spans="1:14">
      <c r="M13" s="1">
        <f>'Dashboard Calc'!I13</f>
        <v>46357</v>
      </c>
      <c r="N13" s="112" t="str">
        <f>'Dashboard Calc'!J13</f>
        <v/>
      </c>
    </row>
    <row r="24" spans="1:12" ht="66.95" customHeight="1"/>
    <row r="25" spans="1:12">
      <c r="A25" s="201" t="s">
        <v>34</v>
      </c>
      <c r="B25" s="201"/>
      <c r="C25" s="201"/>
      <c r="D25" s="201"/>
      <c r="E25" s="201"/>
      <c r="F25" s="201"/>
      <c r="H25" s="201" t="s">
        <v>35</v>
      </c>
      <c r="I25" s="201"/>
      <c r="J25" s="201"/>
      <c r="K25" s="201"/>
      <c r="L25" s="201"/>
    </row>
    <row r="26" spans="1:12">
      <c r="A26" s="94" t="s">
        <v>9</v>
      </c>
      <c r="B26" s="94" t="s">
        <v>36</v>
      </c>
      <c r="C26" s="94" t="s">
        <v>37</v>
      </c>
      <c r="D26" s="94" t="s">
        <v>38</v>
      </c>
      <c r="E26" s="94" t="s">
        <v>39</v>
      </c>
      <c r="F26" s="94" t="s">
        <v>40</v>
      </c>
      <c r="H26" s="94" t="s">
        <v>41</v>
      </c>
      <c r="I26" s="94" t="s">
        <v>42</v>
      </c>
      <c r="J26" s="94" t="s">
        <v>43</v>
      </c>
      <c r="K26" s="94" t="s">
        <v>44</v>
      </c>
      <c r="L26" s="94" t="s">
        <v>45</v>
      </c>
    </row>
    <row r="27" spans="1:12">
      <c r="A27" t="str" cm="1">
        <f t="array" ref="A27:E31">_xlfn.TAKE(_xlfn.SORTBY(_xlfn.HSTACK('Dashboard Calc'!$A$2:$A$11,'Dashboard Calc'!$E$2:$E$11,'Dashboard Calc'!$F$2:$F$11,'Dashboard Calc'!$G$2:$G$11,'Dashboard Calc'!$E$2:$E$11-'Dashboard Calc'!$F$2:$F$11),'Dashboard Calc'!$G$2:$G$11,1),5)</f>
        <v>NO</v>
      </c>
      <c r="B27" s="112">
        <v>24</v>
      </c>
      <c r="C27" s="112">
        <v>2</v>
      </c>
      <c r="D27" s="111">
        <v>8.3333333333333329E-2</v>
      </c>
      <c r="E27" s="112">
        <v>22</v>
      </c>
      <c r="F27" s="119" t="str">
        <f>IF(D27&lt;10%,"CRÍTICA",IF(D27&lt;25%,"ATENÇÃO","ACOMPANHAR"))</f>
        <v>CRÍTICA</v>
      </c>
      <c r="H27" cm="1">
        <f t="array" ref="H27:L31">_xlfn.TAKE('TOP 10 Parceiros'!$A$8:$E$17,5)</f>
        <v>1</v>
      </c>
      <c r="I27" t="str">
        <v>FAJULUTI</v>
      </c>
      <c r="J27" s="112">
        <v>1656</v>
      </c>
      <c r="K27" s="112">
        <v>494</v>
      </c>
      <c r="L27" s="111">
        <v>0.29830917874396135</v>
      </c>
    </row>
    <row r="28" spans="1:12">
      <c r="A28" t="str">
        <v>MG</v>
      </c>
      <c r="B28" s="112">
        <v>89</v>
      </c>
      <c r="C28" s="112">
        <v>30</v>
      </c>
      <c r="D28" s="111">
        <v>0.33707865168539325</v>
      </c>
      <c r="E28" s="112">
        <v>59</v>
      </c>
      <c r="F28" s="119" t="str">
        <f>IF(D28&lt;10%,"CRÍTICA",IF(D28&lt;25%,"ATENÇÃO","ACOMPANHAR"))</f>
        <v>ACOMPANHAR</v>
      </c>
      <c r="H28">
        <v>2</v>
      </c>
      <c r="I28" t="str">
        <v>HS TELECOM</v>
      </c>
      <c r="J28" s="112">
        <v>3700</v>
      </c>
      <c r="K28" s="112">
        <v>1065</v>
      </c>
      <c r="L28" s="111">
        <v>0.28783783783783784</v>
      </c>
    </row>
    <row r="29" spans="1:12">
      <c r="A29" t="str">
        <v>NE</v>
      </c>
      <c r="B29" s="112">
        <v>75</v>
      </c>
      <c r="C29" s="112">
        <v>27</v>
      </c>
      <c r="D29" s="111">
        <v>0.36</v>
      </c>
      <c r="E29" s="112">
        <v>48</v>
      </c>
      <c r="F29" s="119" t="str">
        <f>IF(D29&lt;10%,"CRÍTICA",IF(D29&lt;25%,"ATENÇÃO","ACOMPANHAR"))</f>
        <v>ACOMPANHAR</v>
      </c>
      <c r="H29">
        <v>3</v>
      </c>
      <c r="I29" t="str">
        <v>VIRACLARO</v>
      </c>
      <c r="J29" s="112">
        <v>21</v>
      </c>
      <c r="K29" s="112">
        <v>6</v>
      </c>
      <c r="L29" s="111">
        <v>0.2857142857142857</v>
      </c>
    </row>
    <row r="30" spans="1:12">
      <c r="A30" t="str">
        <v>BA/SE</v>
      </c>
      <c r="B30" s="112">
        <v>61</v>
      </c>
      <c r="C30" s="112">
        <v>26</v>
      </c>
      <c r="D30" s="111">
        <v>0.42622950819672129</v>
      </c>
      <c r="E30" s="112">
        <v>35</v>
      </c>
      <c r="F30" s="119" t="str">
        <f>IF(D30&lt;10%,"CRÍTICA",IF(D30&lt;25%,"ATENÇÃO","ACOMPANHAR"))</f>
        <v>ACOMPANHAR</v>
      </c>
      <c r="H30">
        <v>4</v>
      </c>
      <c r="I30" t="str">
        <v>DOM BARRETO COMERCIAL LTDA - ME</v>
      </c>
      <c r="J30" s="112">
        <v>81</v>
      </c>
      <c r="K30" s="112">
        <v>21</v>
      </c>
      <c r="L30" s="111">
        <v>0.25925925925925924</v>
      </c>
    </row>
    <row r="31" spans="1:12">
      <c r="A31" s="116" t="str">
        <v>CO</v>
      </c>
      <c r="B31" s="117">
        <v>187</v>
      </c>
      <c r="C31" s="117">
        <v>88</v>
      </c>
      <c r="D31" s="118">
        <v>0.47058823529411764</v>
      </c>
      <c r="E31" s="117">
        <v>99</v>
      </c>
      <c r="F31" s="120" t="str">
        <f>IF(D31&lt;10%,"CRÍTICA",IF(D31&lt;25%,"ATENÇÃO","ACOMPANHAR"))</f>
        <v>ACOMPANHAR</v>
      </c>
      <c r="H31" s="116">
        <v>5</v>
      </c>
      <c r="I31" s="116" t="str">
        <v>BANDEIRA</v>
      </c>
      <c r="J31" s="117">
        <v>313</v>
      </c>
      <c r="K31" s="117">
        <v>74</v>
      </c>
      <c r="L31" s="118">
        <v>0.2364217252396166</v>
      </c>
    </row>
  </sheetData>
  <mergeCells count="14">
    <mergeCell ref="J6:L7"/>
    <mergeCell ref="A9:L9"/>
    <mergeCell ref="A25:F25"/>
    <mergeCell ref="H25:L25"/>
    <mergeCell ref="A1:L1"/>
    <mergeCell ref="A2:L2"/>
    <mergeCell ref="D3:L3"/>
    <mergeCell ref="A5:C5"/>
    <mergeCell ref="A6:C7"/>
    <mergeCell ref="D5:F5"/>
    <mergeCell ref="D6:F7"/>
    <mergeCell ref="G5:I5"/>
    <mergeCell ref="G6:I7"/>
    <mergeCell ref="J5:L5"/>
  </mergeCells>
  <dataValidations count="1">
    <dataValidation type="list" allowBlank="1" showInputMessage="1" showErrorMessage="1" errorTitle="Mês inválido" error="Selecione um mês disponível." sqref="B3" xr:uid="{C6E871EB-475E-4F2C-A42F-42E724A2EE3A}">
      <formula1>DashboardMonths</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8BBD6-44C1-4DB6-A9AE-B7AC57B57F2B}">
  <sheetPr>
    <tabColor rgb="FFC00000"/>
  </sheetPr>
  <dimension ref="A1:P20"/>
  <sheetViews>
    <sheetView showGridLines="0" topLeftCell="A3" zoomScale="89" zoomScaleNormal="89" workbookViewId="0">
      <selection activeCell="G9" sqref="G9"/>
    </sheetView>
  </sheetViews>
  <sheetFormatPr defaultColWidth="9.140625" defaultRowHeight="14.45" outlineLevelCol="1"/>
  <cols>
    <col min="1" max="1" width="12.7109375" style="2" customWidth="1"/>
    <col min="2" max="3" width="13.140625" style="2" customWidth="1" outlineLevel="1"/>
    <col min="4" max="5" width="13.140625" style="2" customWidth="1"/>
    <col min="6" max="6" width="17.28515625" style="2" customWidth="1"/>
    <col min="7" max="7" width="19.28515625" style="2" bestFit="1" customWidth="1"/>
    <col min="8" max="9" width="8.140625" customWidth="1"/>
    <col min="10" max="16" width="8.140625" style="40" customWidth="1"/>
  </cols>
  <sheetData>
    <row r="1" spans="1:16" s="18" customFormat="1" ht="30.95" customHeight="1">
      <c r="A1" s="125" t="s">
        <v>46</v>
      </c>
      <c r="B1" s="126"/>
      <c r="C1" s="126"/>
      <c r="D1" s="127"/>
      <c r="E1" s="125"/>
      <c r="F1" s="125"/>
      <c r="G1" s="125"/>
      <c r="H1" s="125"/>
      <c r="J1" s="39"/>
      <c r="K1" s="39"/>
      <c r="L1" s="39"/>
      <c r="M1" s="39"/>
      <c r="N1" s="39"/>
      <c r="O1" s="39"/>
      <c r="P1" s="39"/>
    </row>
    <row r="3" spans="1:16" ht="15" thickBot="1">
      <c r="A3" s="36"/>
      <c r="L3" s="43"/>
    </row>
    <row r="4" spans="1:16" ht="16.5" thickBot="1">
      <c r="A4" s="45"/>
      <c r="D4" s="188" t="s">
        <v>47</v>
      </c>
      <c r="E4" s="189"/>
      <c r="F4" s="189"/>
      <c r="G4" s="190"/>
      <c r="L4" s="43"/>
    </row>
    <row r="5" spans="1:16" ht="15" thickBot="1">
      <c r="A5" s="128" t="s">
        <v>9</v>
      </c>
      <c r="B5" s="128" t="s">
        <v>48</v>
      </c>
      <c r="C5" s="129" t="s">
        <v>36</v>
      </c>
      <c r="D5" s="130" t="s">
        <v>49</v>
      </c>
      <c r="E5" s="128" t="s">
        <v>50</v>
      </c>
      <c r="F5" s="128" t="s">
        <v>51</v>
      </c>
      <c r="G5" s="128" t="s">
        <v>52</v>
      </c>
      <c r="L5" s="43"/>
    </row>
    <row r="6" spans="1:16">
      <c r="A6" s="131" t="s">
        <v>53</v>
      </c>
      <c r="B6" s="132">
        <f>COUNTIFS(PDVS!G:G,A6)</f>
        <v>70</v>
      </c>
      <c r="C6" s="133">
        <f>COUNTIFS(PDVS!G:G,A6,PDVS!J:J,"SIM")</f>
        <v>70</v>
      </c>
      <c r="D6" s="133">
        <f>COUNTIFS(PDVS!$X:$X,D$5,PDVS!$G:$G,$A6,PDVS!J:J,"SIM")</f>
        <v>40</v>
      </c>
      <c r="E6" s="134">
        <f>COUNTIFS(PDVS!$X:$X,E$5,PDVS!$G:$G,$A6,PDVS!$J:$J,"SIM")</f>
        <v>30</v>
      </c>
      <c r="F6" s="135">
        <f t="shared" ref="F6:F16" si="0">D6/B6</f>
        <v>0.5714285714285714</v>
      </c>
      <c r="G6" s="176">
        <f>IFERROR(E6/C6,0)</f>
        <v>0.42857142857142855</v>
      </c>
      <c r="L6" s="43"/>
    </row>
    <row r="7" spans="1:16">
      <c r="A7" s="136" t="s">
        <v>54</v>
      </c>
      <c r="B7" s="137">
        <f>COUNTIFS(PDVS!G:G,A7)</f>
        <v>180</v>
      </c>
      <c r="C7" s="138">
        <f>COUNTIFS(PDVS!G:G,A7,PDVS!J:J,"SIM")</f>
        <v>170</v>
      </c>
      <c r="D7" s="138">
        <f>COUNTIFS(PDVS!$X:$X,D$5,PDVS!$G:$G,$A7,PDVS!J:J,"SIM")</f>
        <v>110</v>
      </c>
      <c r="E7" s="139">
        <f>COUNTIFS(PDVS!$X:$X,E$5,PDVS!$G:$G,$A7,PDVS!$J:$J,"SIM")</f>
        <v>60</v>
      </c>
      <c r="F7" s="140">
        <f t="shared" si="0"/>
        <v>0.61111111111111116</v>
      </c>
      <c r="G7" s="177">
        <f t="shared" ref="G7:G15" si="1">IFERROR(E7/C7,0)</f>
        <v>0.35294117647058826</v>
      </c>
      <c r="L7" s="43"/>
    </row>
    <row r="8" spans="1:16">
      <c r="A8" s="136" t="s">
        <v>55</v>
      </c>
      <c r="B8" s="137">
        <f>COUNTIFS(PDVS!G:G,A8)</f>
        <v>97</v>
      </c>
      <c r="C8" s="138">
        <f>COUNTIFS(PDVS!G:G,A8,PDVS!J:J,"SIM")</f>
        <v>97</v>
      </c>
      <c r="D8" s="138">
        <f>COUNTIFS(PDVS!$X:$X,D$5,PDVS!$G:$G,$A8,PDVS!J:J,"SIM")</f>
        <v>72</v>
      </c>
      <c r="E8" s="139">
        <f>COUNTIFS(PDVS!$X:$X,E$5,PDVS!$G:$G,$A8,PDVS!$J:$J,"SIM")</f>
        <v>25</v>
      </c>
      <c r="F8" s="140">
        <f t="shared" si="0"/>
        <v>0.74226804123711343</v>
      </c>
      <c r="G8" s="177">
        <f t="shared" si="1"/>
        <v>0.25773195876288657</v>
      </c>
      <c r="L8" s="43"/>
    </row>
    <row r="9" spans="1:16">
      <c r="A9" s="136" t="s">
        <v>56</v>
      </c>
      <c r="B9" s="137">
        <f>COUNTIFS(PDVS!G:G,A9)</f>
        <v>93</v>
      </c>
      <c r="C9" s="138">
        <f>COUNTIFS(PDVS!G:G,A9,PDVS!J:J,"SIM")</f>
        <v>89</v>
      </c>
      <c r="D9" s="138">
        <f>COUNTIFS(PDVS!$X:$X,D$5,PDVS!$G:$G,$A9,PDVS!J:J,"SIM")</f>
        <v>30</v>
      </c>
      <c r="E9" s="139">
        <f>COUNTIFS(PDVS!$X:$X,E$5,PDVS!$G:$G,$A9,PDVS!$J:$J,"SIM")</f>
        <v>59</v>
      </c>
      <c r="F9" s="140">
        <f t="shared" si="0"/>
        <v>0.32258064516129031</v>
      </c>
      <c r="G9" s="177">
        <f t="shared" si="1"/>
        <v>0.6629213483146067</v>
      </c>
      <c r="L9" s="43"/>
    </row>
    <row r="10" spans="1:16">
      <c r="A10" s="136" t="s">
        <v>57</v>
      </c>
      <c r="B10" s="137">
        <f>COUNTIFS(PDVS!G:G,A10)</f>
        <v>88</v>
      </c>
      <c r="C10" s="138">
        <f>COUNTIFS(PDVS!G:G,A10,PDVS!J:J,"SIM")</f>
        <v>85</v>
      </c>
      <c r="D10" s="138">
        <f>COUNTIFS(PDVS!$X:$X,D$5,PDVS!$G:$G,$A10,PDVS!J:J,"SIM")</f>
        <v>49</v>
      </c>
      <c r="E10" s="139">
        <f>COUNTIFS(PDVS!$X:$X,E$5,PDVS!$G:$G,$A10,PDVS!$J:$J,"SIM")</f>
        <v>36</v>
      </c>
      <c r="F10" s="140">
        <f t="shared" si="0"/>
        <v>0.55681818181818177</v>
      </c>
      <c r="G10" s="177">
        <f t="shared" si="1"/>
        <v>0.42352941176470588</v>
      </c>
      <c r="L10" s="43"/>
    </row>
    <row r="11" spans="1:16">
      <c r="A11" s="136" t="s">
        <v>58</v>
      </c>
      <c r="B11" s="137">
        <f>COUNTIFS(PDVS!G:G,A11)</f>
        <v>81</v>
      </c>
      <c r="C11" s="138">
        <f>COUNTIFS(PDVS!G:G,A11,PDVS!J:J,"SIM")</f>
        <v>79</v>
      </c>
      <c r="D11" s="138">
        <f>COUNTIFS(PDVS!$X:$X,D$5,PDVS!$G:$G,$A11,PDVS!J:J,"SIM")</f>
        <v>46</v>
      </c>
      <c r="E11" s="139">
        <f>COUNTIFS(PDVS!$X:$X,E$5,PDVS!$G:$G,$A11,PDVS!$J:$J,"SIM")</f>
        <v>33</v>
      </c>
      <c r="F11" s="140">
        <f t="shared" si="0"/>
        <v>0.5679012345679012</v>
      </c>
      <c r="G11" s="177">
        <f t="shared" si="1"/>
        <v>0.41772151898734178</v>
      </c>
      <c r="L11" s="43"/>
    </row>
    <row r="12" spans="1:16">
      <c r="A12" s="136" t="s">
        <v>59</v>
      </c>
      <c r="B12" s="137">
        <f>COUNTIFS(PDVS!G:G,A12)</f>
        <v>197</v>
      </c>
      <c r="C12" s="138">
        <f>COUNTIFS(PDVS!G:G,A12,PDVS!J:J,"SIM")</f>
        <v>187</v>
      </c>
      <c r="D12" s="138">
        <f>COUNTIFS(PDVS!$X:$X,D$5,PDVS!$G:$G,$A12,PDVS!J:J,"SIM")</f>
        <v>88</v>
      </c>
      <c r="E12" s="139">
        <f>COUNTIFS(PDVS!$X:$X,E$5,PDVS!$G:$G,$A12,PDVS!$J:$J,"SIM")</f>
        <v>99</v>
      </c>
      <c r="F12" s="140">
        <f t="shared" si="0"/>
        <v>0.4467005076142132</v>
      </c>
      <c r="G12" s="177">
        <f t="shared" si="1"/>
        <v>0.52941176470588236</v>
      </c>
      <c r="L12" s="43"/>
    </row>
    <row r="13" spans="1:16">
      <c r="A13" s="136" t="s">
        <v>60</v>
      </c>
      <c r="B13" s="137">
        <f>COUNTIFS(PDVS!G:G,A13)</f>
        <v>62</v>
      </c>
      <c r="C13" s="138">
        <f>COUNTIFS(PDVS!G:G,A13,PDVS!J:J,"SIM")</f>
        <v>61</v>
      </c>
      <c r="D13" s="138">
        <f>COUNTIFS(PDVS!$X:$X,D$5,PDVS!$G:$G,$A13,PDVS!J:J,"SIM")</f>
        <v>26</v>
      </c>
      <c r="E13" s="139">
        <f>COUNTIFS(PDVS!$X:$X,E$5,PDVS!$G:$G,$A13,PDVS!$J:$J,"SIM")</f>
        <v>35</v>
      </c>
      <c r="F13" s="140">
        <f t="shared" si="0"/>
        <v>0.41935483870967744</v>
      </c>
      <c r="G13" s="177">
        <f t="shared" si="1"/>
        <v>0.57377049180327866</v>
      </c>
      <c r="L13" s="43"/>
    </row>
    <row r="14" spans="1:16">
      <c r="A14" s="136" t="s">
        <v>61</v>
      </c>
      <c r="B14" s="137">
        <f>COUNTIFS(PDVS!G:G,A14)</f>
        <v>96</v>
      </c>
      <c r="C14" s="138">
        <f>COUNTIFS(PDVS!G:G,A14,PDVS!J:J,"SIM")</f>
        <v>75</v>
      </c>
      <c r="D14" s="138">
        <f>COUNTIFS(PDVS!$X:$X,D$5,PDVS!$G:$G,$A14,PDVS!J:J,"SIM")</f>
        <v>27</v>
      </c>
      <c r="E14" s="139">
        <f>COUNTIFS(PDVS!$X:$X,E$5,PDVS!$G:$G,$A14,PDVS!$J:$J,"SIM")</f>
        <v>48</v>
      </c>
      <c r="F14" s="140">
        <f t="shared" si="0"/>
        <v>0.28125</v>
      </c>
      <c r="G14" s="177">
        <f t="shared" si="1"/>
        <v>0.64</v>
      </c>
      <c r="L14" s="43"/>
    </row>
    <row r="15" spans="1:16" ht="15" thickBot="1">
      <c r="A15" s="141" t="s">
        <v>62</v>
      </c>
      <c r="B15" s="142">
        <f>COUNTIFS(PDVS!G:G,A15)</f>
        <v>43</v>
      </c>
      <c r="C15" s="143">
        <f>COUNTIFS(PDVS!G:G,A15,PDVS!J:J,"SIM")</f>
        <v>24</v>
      </c>
      <c r="D15" s="143">
        <f>COUNTIFS(PDVS!$X:$X,D$5,PDVS!$G:$G,$A15,PDVS!J:J,"SIM")</f>
        <v>2</v>
      </c>
      <c r="E15" s="144">
        <f>COUNTIFS(PDVS!$X:$X,E$5,PDVS!$G:$G,$A15,PDVS!$J:$J,"SIM")</f>
        <v>22</v>
      </c>
      <c r="F15" s="145">
        <f t="shared" si="0"/>
        <v>4.6511627906976744E-2</v>
      </c>
      <c r="G15" s="178">
        <f t="shared" si="1"/>
        <v>0.91666666666666663</v>
      </c>
    </row>
    <row r="16" spans="1:16">
      <c r="A16" s="167" t="s">
        <v>63</v>
      </c>
      <c r="B16" s="168">
        <f>SUM(B6:B15)</f>
        <v>1007</v>
      </c>
      <c r="C16" s="175">
        <f>SUM(C6:C15)</f>
        <v>937</v>
      </c>
      <c r="D16" s="167">
        <f>SUM(D6:D15)</f>
        <v>490</v>
      </c>
      <c r="E16" s="173">
        <f>SUM(E6:E15)</f>
        <v>447</v>
      </c>
      <c r="F16" s="169">
        <f t="shared" si="0"/>
        <v>0.48659384309831183</v>
      </c>
      <c r="G16" s="169">
        <f>IFERROR(E16/C16,0)</f>
        <v>0.47705442902881534</v>
      </c>
    </row>
    <row r="19" spans="3:3">
      <c r="C19" s="60" t="s">
        <v>64</v>
      </c>
    </row>
    <row r="20" spans="3:3">
      <c r="C20" s="60" t="s">
        <v>65</v>
      </c>
    </row>
  </sheetData>
  <dataConsolidate link="1"/>
  <mergeCells count="1">
    <mergeCell ref="D4:G4"/>
  </mergeCell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31F6-7A35-4A54-9DE5-8F2D91C1A7E6}">
  <dimension ref="A1:H17"/>
  <sheetViews>
    <sheetView showGridLines="0" topLeftCell="A5" workbookViewId="0">
      <selection activeCell="F20" sqref="F20"/>
    </sheetView>
  </sheetViews>
  <sheetFormatPr defaultRowHeight="14.45"/>
  <cols>
    <col min="1" max="1" width="8.7109375" customWidth="1"/>
    <col min="2" max="2" width="36.85546875" customWidth="1"/>
    <col min="3" max="3" width="8.7109375" customWidth="1"/>
    <col min="4" max="4" width="12.5703125" bestFit="1" customWidth="1"/>
    <col min="5" max="5" width="16" customWidth="1"/>
    <col min="6" max="6" width="14.85546875" customWidth="1"/>
    <col min="7" max="7" width="22.7109375" customWidth="1"/>
    <col min="8" max="8" width="12.7109375" hidden="1" customWidth="1"/>
  </cols>
  <sheetData>
    <row r="1" spans="1:8" ht="23.45">
      <c r="A1" s="191" t="s">
        <v>66</v>
      </c>
      <c r="B1" s="191"/>
      <c r="C1" s="191"/>
      <c r="D1" s="191"/>
      <c r="E1" s="191"/>
      <c r="F1" s="191"/>
      <c r="G1" s="191"/>
      <c r="H1" t="s">
        <v>67</v>
      </c>
    </row>
    <row r="2" spans="1:8">
      <c r="A2" s="202" t="s">
        <v>68</v>
      </c>
      <c r="B2" s="202"/>
      <c r="C2" s="202"/>
      <c r="D2" s="202"/>
      <c r="E2" s="202"/>
      <c r="F2" s="202"/>
      <c r="G2" s="202"/>
      <c r="H2" s="107" cm="1">
        <f t="array" ref="H2:H9">_xlfn._xlws.SORT(_xlfn.UNIQUE(_xlfn._xlws.FILTER(BASE!$A$2:$A$10000,BASE!$A$2:$A$10000&lt;&gt;"")))</f>
        <v>46023</v>
      </c>
    </row>
    <row r="3" spans="1:8" ht="21">
      <c r="A3" s="91" t="s">
        <v>26</v>
      </c>
      <c r="B3" s="93">
        <v>46235</v>
      </c>
      <c r="C3" s="91" t="s">
        <v>69</v>
      </c>
      <c r="D3" s="192" t="str">
        <f>IFERROR(INDEX(_xlfn.ANCHORARRAY($B$8),1,1),"")</f>
        <v>FAJULUTI</v>
      </c>
      <c r="E3" s="192"/>
      <c r="F3" s="192"/>
      <c r="G3" s="92">
        <f>IFERROR(INDEX(_xlfn.ANCHORARRAY($B$8),1,4),0)</f>
        <v>0.29830917874396135</v>
      </c>
      <c r="H3" s="107">
        <v>46054</v>
      </c>
    </row>
    <row r="4" spans="1:8">
      <c r="A4" s="85"/>
      <c r="B4" s="85"/>
      <c r="C4" s="85"/>
      <c r="D4" s="85"/>
      <c r="E4" s="85"/>
      <c r="F4" s="85"/>
      <c r="G4" s="85"/>
      <c r="H4" s="107">
        <v>46082</v>
      </c>
    </row>
    <row r="5" spans="1:8" ht="33.950000000000003" customHeight="1">
      <c r="A5" s="193" t="str">
        <f>"Em "&amp;TEXT($B$3,"mmm")&amp;"/"&amp;TEXT(MOD(YEAR($B$3),100),"00")&amp;", "&amp;INDEX(_xlfn.ANCHORARRAY($B$8),1,1)&amp;" lidera o Brasil com "&amp;TEXT(INDEX(_xlfn.ANCHORARRAY($B$8),1,4),"0,0%")&amp;" de Attachment: "&amp;FIXED(INDEX(_xlfn.ANCHORARRAY($B$8),1,3),0,FALSE)&amp;" Claro Trocas sobre "&amp;FIXED(INDEX(_xlfn.ANCHORARRAY($B$8),1,2),0,FALSE)&amp;" aparelhos de Sellout."</f>
        <v>Em ago/26, FAJULUTI lidera o Brasil com 29,8% de Attachment: 494 Claro Trocas sobre 1.656 aparelhos de Sellout.</v>
      </c>
      <c r="B5" s="193"/>
      <c r="C5" s="193"/>
      <c r="D5" s="193"/>
      <c r="E5" s="193"/>
      <c r="F5" s="193"/>
      <c r="G5" s="193"/>
      <c r="H5" s="107">
        <v>46113</v>
      </c>
    </row>
    <row r="6" spans="1:8" ht="15.95">
      <c r="A6" s="199" t="s">
        <v>70</v>
      </c>
      <c r="B6" s="199"/>
      <c r="C6" s="199"/>
      <c r="D6" s="199"/>
      <c r="E6" s="199"/>
      <c r="F6" s="199"/>
      <c r="G6" s="199"/>
      <c r="H6" s="107">
        <v>46143</v>
      </c>
    </row>
    <row r="7" spans="1:8">
      <c r="A7" s="94" t="s">
        <v>41</v>
      </c>
      <c r="B7" s="94" t="s">
        <v>71</v>
      </c>
      <c r="C7" s="94" t="s">
        <v>43</v>
      </c>
      <c r="D7" s="94" t="s">
        <v>27</v>
      </c>
      <c r="E7" s="94" t="s">
        <v>45</v>
      </c>
      <c r="F7" s="94" t="s">
        <v>72</v>
      </c>
      <c r="G7" s="94" t="s">
        <v>73</v>
      </c>
      <c r="H7" s="107">
        <v>46174</v>
      </c>
    </row>
    <row r="8" spans="1:8">
      <c r="A8" s="101" cm="1">
        <f t="array" ref="A8:A17">_xlfn.SEQUENCE(ROWS(_xlfn.ANCHORARRAY(B8)))</f>
        <v>1</v>
      </c>
      <c r="B8" s="102" t="str" cm="1">
        <f t="array" ref="B8:E17">_xlfn.LET(_xlpm.m,$B$3,_xlpm.gr,IFERROR(BASE!$J$2:$J$10000,""),_xlpm.g,_xlfn.UNIQUE(_xlfn._xlws.FILTER(_xlpm.gr,(BASE!$A$2:$A$10000=_xlpm.m)*(_xlpm.gr&lt;&gt;""))),_xlpm.s,_xlfn.MAP(_xlpm.g,_xlfn.LAMBDA(_xlpm.x,SUMPRODUCT((BASE!$A$2:$A$10000=_xlpm.m)*(_xlpm.gr=_xlpm.x)*IFERROR(BASE!$F$2:$F$10000,0)))),_xlpm.t,_xlfn.MAP(_xlpm.g,_xlfn.LAMBDA(_xlpm.x,SUMPRODUCT((BASE!$A$2:$A$10000=_xlpm.m)*(_xlpm.gr=_xlpm.x)*IFERROR(BASE!$G$2:$G$10000,0)))),_xlpm.a,IFERROR(_xlpm.t/_xlpm.s,0),_xlfn.TAKE(_xlfn.SORTBY(_xlfn.HSTACK(_xlpm.g,_xlpm.s,_xlpm.t,_xlpm.a),_xlpm.a,-1,_xlpm.t,-1),MIN(10,ROWS(_xlpm.g))))</f>
        <v>FAJULUTI</v>
      </c>
      <c r="C8" s="103">
        <v>1656</v>
      </c>
      <c r="D8" s="103">
        <v>494</v>
      </c>
      <c r="E8" s="104">
        <v>0.29830917874396135</v>
      </c>
      <c r="F8" s="105" cm="1">
        <f t="array" ref="F8">IF(B8="","",COUNTA(_xlfn.UNIQUE(_xlfn._xlws.FILTER(IFERROR(BASE!$L$2:$L$10000,""),(BASE!$A$2:$A$10000=$B$3)*(IFERROR(BASE!$J$2:$J$10000,"")=B8)*(IFERROR(BASE!$L$2:$L$10000,"")&lt;&gt;"")))))</f>
        <v>2</v>
      </c>
      <c r="G8" s="106" t="str" cm="1">
        <f t="array" ref="G8">IF(B8="","",_xlfn.TEXTJOIN(", ",TRUE,_xlfn._xlws.SORT(_xlfn.UNIQUE(_xlfn._xlws.FILTER(IFERROR(BASE!$L$2:$L$10000,""),(BASE!$A$2:$A$10000=$B$3)*(IFERROR(BASE!$J$2:$J$10000,"")=B8)*(IFERROR(BASE!$L$2:$L$10000,"")&lt;&gt;""))))))</f>
        <v>MG, RJ/ES</v>
      </c>
      <c r="H8" s="107">
        <v>46204</v>
      </c>
    </row>
    <row r="9" spans="1:8">
      <c r="A9" s="86">
        <v>2</v>
      </c>
      <c r="B9" s="85" t="str">
        <v>HS TELECOM</v>
      </c>
      <c r="C9" s="87">
        <v>3700</v>
      </c>
      <c r="D9" s="87">
        <v>1065</v>
      </c>
      <c r="E9" s="88">
        <v>0.28783783783783784</v>
      </c>
      <c r="F9" s="89" cm="1">
        <f t="array" ref="F9">IF(B9="","",COUNTA(_xlfn.UNIQUE(_xlfn._xlws.FILTER(IFERROR(BASE!$L$2:$L$10000,""),(BASE!$A$2:$A$10000=$B$3)*(IFERROR(BASE!$J$2:$J$10000,"")=B9)*(IFERROR(BASE!$L$2:$L$10000,"")&lt;&gt;"")))))</f>
        <v>3</v>
      </c>
      <c r="G9" s="90" t="str" cm="1">
        <f t="array" ref="G9">IF(B9="","",_xlfn.TEXTJOIN(", ",TRUE,_xlfn._xlws.SORT(_xlfn.UNIQUE(_xlfn._xlws.FILTER(IFERROR(BASE!$L$2:$L$10000,""),(BASE!$A$2:$A$10000=$B$3)*(IFERROR(BASE!$J$2:$J$10000,"")=B9)*(IFERROR(BASE!$L$2:$L$10000,"")&lt;&gt;""))))))</f>
        <v>BA/SE, RJ/ES, SP2</v>
      </c>
      <c r="H9" s="107">
        <v>46235</v>
      </c>
    </row>
    <row r="10" spans="1:8">
      <c r="A10" s="86">
        <v>3</v>
      </c>
      <c r="B10" s="85" t="str">
        <v>VIRACLARO</v>
      </c>
      <c r="C10" s="87">
        <v>21</v>
      </c>
      <c r="D10" s="87">
        <v>6</v>
      </c>
      <c r="E10" s="88">
        <v>0.2857142857142857</v>
      </c>
      <c r="F10" s="89" cm="1">
        <f t="array" ref="F10">IF(B10="","",COUNTA(_xlfn.UNIQUE(_xlfn._xlws.FILTER(IFERROR(BASE!$L$2:$L$10000,""),(BASE!$A$2:$A$10000=$B$3)*(IFERROR(BASE!$J$2:$J$10000,"")=B10)*(IFERROR(BASE!$L$2:$L$10000,"")&lt;&gt;"")))))</f>
        <v>1</v>
      </c>
      <c r="G10" s="90" t="str" cm="1">
        <f t="array" ref="G10">IF(B10="","",_xlfn.TEXTJOIN(", ",TRUE,_xlfn._xlws.SORT(_xlfn.UNIQUE(_xlfn._xlws.FILTER(IFERROR(BASE!$L$2:$L$10000,""),(BASE!$A$2:$A$10000=$B$3)*(IFERROR(BASE!$J$2:$J$10000,"")=B10)*(IFERROR(BASE!$L$2:$L$10000,"")&lt;&gt;""))))))</f>
        <v>SP2</v>
      </c>
    </row>
    <row r="11" spans="1:8">
      <c r="A11" s="86">
        <v>4</v>
      </c>
      <c r="B11" s="85" t="str">
        <v>DOM BARRETO COMERCIAL LTDA - ME</v>
      </c>
      <c r="C11" s="87">
        <v>81</v>
      </c>
      <c r="D11" s="87">
        <v>21</v>
      </c>
      <c r="E11" s="88">
        <v>0.25925925925925924</v>
      </c>
      <c r="F11" s="89" cm="1">
        <f t="array" ref="F11">IF(B11="","",COUNTA(_xlfn.UNIQUE(_xlfn._xlws.FILTER(IFERROR(BASE!$L$2:$L$10000,""),(BASE!$A$2:$A$10000=$B$3)*(IFERROR(BASE!$J$2:$J$10000,"")=B11)*(IFERROR(BASE!$L$2:$L$10000,"")&lt;&gt;"")))))</f>
        <v>1</v>
      </c>
      <c r="G11" s="90" t="str" cm="1">
        <f t="array" ref="G11">IF(B11="","",_xlfn.TEXTJOIN(", ",TRUE,_xlfn._xlws.SORT(_xlfn.UNIQUE(_xlfn._xlws.FILTER(IFERROR(BASE!$L$2:$L$10000,""),(BASE!$A$2:$A$10000=$B$3)*(IFERROR(BASE!$J$2:$J$10000,"")=B11)*(IFERROR(BASE!$L$2:$L$10000,"")&lt;&gt;""))))))</f>
        <v>SP2</v>
      </c>
    </row>
    <row r="12" spans="1:8">
      <c r="A12" s="86">
        <v>5</v>
      </c>
      <c r="B12" s="85" t="str">
        <v>BANDEIRA</v>
      </c>
      <c r="C12" s="87">
        <v>313</v>
      </c>
      <c r="D12" s="87">
        <v>74</v>
      </c>
      <c r="E12" s="88">
        <v>0.2364217252396166</v>
      </c>
      <c r="F12" s="89" cm="1">
        <f t="array" ref="F12">IF(B12="","",COUNTA(_xlfn.UNIQUE(_xlfn._xlws.FILTER(IFERROR(BASE!$L$2:$L$10000,""),(BASE!$A$2:$A$10000=$B$3)*(IFERROR(BASE!$J$2:$J$10000,"")=B12)*(IFERROR(BASE!$L$2:$L$10000,"")&lt;&gt;"")))))</f>
        <v>1</v>
      </c>
      <c r="G12" s="90" t="str" cm="1">
        <f t="array" ref="G12">IF(B12="","",_xlfn.TEXTJOIN(", ",TRUE,_xlfn._xlws.SORT(_xlfn.UNIQUE(_xlfn._xlws.FILTER(IFERROR(BASE!$L$2:$L$10000,""),(BASE!$A$2:$A$10000=$B$3)*(IFERROR(BASE!$J$2:$J$10000,"")=B12)*(IFERROR(BASE!$L$2:$L$10000,"")&lt;&gt;""))))))</f>
        <v>PR/SC</v>
      </c>
    </row>
    <row r="13" spans="1:8">
      <c r="A13" s="86">
        <v>6</v>
      </c>
      <c r="B13" s="85" t="str">
        <v>R &amp; R HIPER COMERCIO LTDA</v>
      </c>
      <c r="C13" s="87">
        <v>247</v>
      </c>
      <c r="D13" s="87">
        <v>51</v>
      </c>
      <c r="E13" s="88">
        <v>0.20647773279352227</v>
      </c>
      <c r="F13" s="89" cm="1">
        <f t="array" ref="F13">IF(B13="","",COUNTA(_xlfn.UNIQUE(_xlfn._xlws.FILTER(IFERROR(BASE!$L$2:$L$10000,""),(BASE!$A$2:$A$10000=$B$3)*(IFERROR(BASE!$J$2:$J$10000,"")=B13)*(IFERROR(BASE!$L$2:$L$10000,"")&lt;&gt;"")))))</f>
        <v>1</v>
      </c>
      <c r="G13" s="90" t="str" cm="1">
        <f t="array" ref="G13">IF(B13="","",_xlfn.TEXTJOIN(", ",TRUE,_xlfn._xlws.SORT(_xlfn.UNIQUE(_xlfn._xlws.FILTER(IFERROR(BASE!$L$2:$L$10000,""),(BASE!$A$2:$A$10000=$B$3)*(IFERROR(BASE!$J$2:$J$10000,"")=B13)*(IFERROR(BASE!$L$2:$L$10000,"")&lt;&gt;""))))))</f>
        <v>NE</v>
      </c>
    </row>
    <row r="14" spans="1:8">
      <c r="A14" s="86">
        <v>7</v>
      </c>
      <c r="B14" s="85" t="str">
        <v>ADESIENE NUNES MACHADO - ME</v>
      </c>
      <c r="C14" s="87">
        <v>96</v>
      </c>
      <c r="D14" s="87">
        <v>19</v>
      </c>
      <c r="E14" s="88">
        <v>0.19791666666666666</v>
      </c>
      <c r="F14" s="89" cm="1">
        <f t="array" ref="F14">IF(B14="","",COUNTA(_xlfn.UNIQUE(_xlfn._xlws.FILTER(IFERROR(BASE!$L$2:$L$10000,""),(BASE!$A$2:$A$10000=$B$3)*(IFERROR(BASE!$J$2:$J$10000,"")=B14)*(IFERROR(BASE!$L$2:$L$10000,"")&lt;&gt;"")))))</f>
        <v>1</v>
      </c>
      <c r="G14" s="90" t="str" cm="1">
        <f t="array" ref="G14">IF(B14="","",_xlfn.TEXTJOIN(", ",TRUE,_xlfn._xlws.SORT(_xlfn.UNIQUE(_xlfn._xlws.FILTER(IFERROR(BASE!$L$2:$L$10000,""),(BASE!$A$2:$A$10000=$B$3)*(IFERROR(BASE!$J$2:$J$10000,"")=B14)*(IFERROR(BASE!$L$2:$L$10000,"")&lt;&gt;""))))))</f>
        <v>SP2</v>
      </c>
    </row>
    <row r="15" spans="1:8">
      <c r="A15" s="86">
        <v>8</v>
      </c>
      <c r="B15" s="85" t="str">
        <v>HARCOS COMERCIO E SERVICOS LTDA - EPP</v>
      </c>
      <c r="C15" s="87">
        <v>1067</v>
      </c>
      <c r="D15" s="87">
        <v>210</v>
      </c>
      <c r="E15" s="88">
        <v>0.19681349578256796</v>
      </c>
      <c r="F15" s="89" cm="1">
        <f t="array" ref="F15">IF(B15="","",COUNTA(_xlfn.UNIQUE(_xlfn._xlws.FILTER(IFERROR(BASE!$L$2:$L$10000,""),(BASE!$A$2:$A$10000=$B$3)*(IFERROR(BASE!$J$2:$J$10000,"")=B15)*(IFERROR(BASE!$L$2:$L$10000,"")&lt;&gt;"")))))</f>
        <v>1</v>
      </c>
      <c r="G15" s="90" t="str" cm="1">
        <f t="array" ref="G15">IF(B15="","",_xlfn.TEXTJOIN(", ",TRUE,_xlfn._xlws.SORT(_xlfn.UNIQUE(_xlfn._xlws.FILTER(IFERROR(BASE!$L$2:$L$10000,""),(BASE!$A$2:$A$10000=$B$3)*(IFERROR(BASE!$J$2:$J$10000,"")=B15)*(IFERROR(BASE!$L$2:$L$10000,"")&lt;&gt;""))))))</f>
        <v>NE</v>
      </c>
    </row>
    <row r="16" spans="1:8">
      <c r="A16" s="86">
        <v>9</v>
      </c>
      <c r="B16" s="85" t="str">
        <v>CELNET COMERCIO E SERVICOS DE TELEFONIA LTDA ME</v>
      </c>
      <c r="C16" s="87">
        <v>1186</v>
      </c>
      <c r="D16" s="87">
        <v>212</v>
      </c>
      <c r="E16" s="88">
        <v>0.17875210792580101</v>
      </c>
      <c r="F16" s="89" cm="1">
        <f t="array" ref="F16">IF(B16="","",COUNTA(_xlfn.UNIQUE(_xlfn._xlws.FILTER(IFERROR(BASE!$L$2:$L$10000,""),(BASE!$A$2:$A$10000=$B$3)*(IFERROR(BASE!$J$2:$J$10000,"")=B16)*(IFERROR(BASE!$L$2:$L$10000,"")&lt;&gt;"")))))</f>
        <v>1</v>
      </c>
      <c r="G16" s="90" t="str" cm="1">
        <f t="array" ref="G16">IF(B16="","",_xlfn.TEXTJOIN(", ",TRUE,_xlfn._xlws.SORT(_xlfn.UNIQUE(_xlfn._xlws.FILTER(IFERROR(BASE!$L$2:$L$10000,""),(BASE!$A$2:$A$10000=$B$3)*(IFERROR(BASE!$J$2:$J$10000,"")=B16)*(IFERROR(BASE!$L$2:$L$10000,"")&lt;&gt;""))))))</f>
        <v>CO</v>
      </c>
    </row>
    <row r="17" spans="1:7">
      <c r="A17" s="95">
        <v>10</v>
      </c>
      <c r="B17" s="96" t="str">
        <v>FLEX CELL</v>
      </c>
      <c r="C17" s="97">
        <v>1904</v>
      </c>
      <c r="D17" s="97">
        <v>323</v>
      </c>
      <c r="E17" s="98">
        <v>0.16964285714285715</v>
      </c>
      <c r="F17" s="99" cm="1">
        <f t="array" ref="F17">IF(B17="","",COUNTA(_xlfn.UNIQUE(_xlfn._xlws.FILTER(IFERROR(BASE!$L$2:$L$10000,""),(BASE!$A$2:$A$10000=$B$3)*(IFERROR(BASE!$J$2:$J$10000,"")=B17)*(IFERROR(BASE!$L$2:$L$10000,"")&lt;&gt;"")))))</f>
        <v>3</v>
      </c>
      <c r="G17" s="100" t="str" cm="1">
        <f t="array" ref="G17">IF(B17="","",_xlfn.TEXTJOIN(", ",TRUE,_xlfn._xlws.SORT(_xlfn.UNIQUE(_xlfn._xlws.FILTER(IFERROR(BASE!$L$2:$L$10000,""),(BASE!$A$2:$A$10000=$B$3)*(IFERROR(BASE!$J$2:$J$10000,"")=B17)*(IFERROR(BASE!$L$2:$L$10000,"")&lt;&gt;""))))))</f>
        <v>NO, SP1, SP2</v>
      </c>
    </row>
  </sheetData>
  <mergeCells count="5">
    <mergeCell ref="A1:G1"/>
    <mergeCell ref="A2:G2"/>
    <mergeCell ref="D3:F3"/>
    <mergeCell ref="A5:G5"/>
    <mergeCell ref="A6:G6"/>
  </mergeCells>
  <conditionalFormatting sqref="E8:E17">
    <cfRule type="dataBar" priority="1">
      <dataBar>
        <cfvo type="min"/>
        <cfvo type="max"/>
        <color rgb="FF638EC6"/>
      </dataBar>
      <extLst>
        <ext xmlns:x14="http://schemas.microsoft.com/office/spreadsheetml/2009/9/main" uri="{B025F937-C7B1-47D3-B67F-A62EFF666E3E}">
          <x14:id>{6821F8C2-B440-45EC-A01C-A21512321BA5}</x14:id>
        </ext>
      </extLst>
    </cfRule>
  </conditionalFormatting>
  <dataValidations count="1">
    <dataValidation type="list" allowBlank="1" showInputMessage="1" showErrorMessage="1" errorTitle="Mês inválido" error="Selecione um mês da lista." promptTitle="Selecione o mês" prompt="Escolha um mês disponível na BASE." sqref="B3" xr:uid="{F6F71BC5-1446-40F7-B28C-093A9E0540C5}">
      <formula1>$H$2:$H$13</formula1>
    </dataValidation>
  </dataValidations>
  <pageMargins left="0.511811024" right="0.511811024" top="0.78740157499999996" bottom="0.78740157499999996" header="0.31496062000000002" footer="0.31496062000000002"/>
  <extLst>
    <ext xmlns:x14="http://schemas.microsoft.com/office/spreadsheetml/2009/9/main" uri="{78C0D931-6437-407d-A8EE-F0AAD7539E65}">
      <x14:conditionalFormattings>
        <x14:conditionalFormatting xmlns:xm="http://schemas.microsoft.com/office/excel/2006/main">
          <x14:cfRule type="dataBar" id="{6821F8C2-B440-45EC-A01C-A21512321BA5}">
            <x14:dataBar minLength="0" maxLength="100" negativeBarColorSameAsPositive="1" axisPosition="none">
              <x14:cfvo type="min"/>
              <x14:cfvo type="max"/>
            </x14:dataBar>
          </x14:cfRule>
          <xm:sqref>E8:E17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560D-E6D9-4074-B47D-5557F431BFE3}">
  <sheetPr>
    <tabColor rgb="FFC00000"/>
  </sheetPr>
  <dimension ref="A1:N16"/>
  <sheetViews>
    <sheetView showGridLines="0" tabSelected="1" topLeftCell="A2" zoomScale="96" zoomScaleNormal="96" workbookViewId="0">
      <selection activeCell="F9" sqref="F9"/>
    </sheetView>
  </sheetViews>
  <sheetFormatPr defaultRowHeight="14.45" outlineLevelCol="1"/>
  <cols>
    <col min="1" max="1" width="13.140625" customWidth="1"/>
    <col min="2" max="2" width="12.7109375" customWidth="1" outlineLevel="1"/>
    <col min="3" max="4" width="13.140625" customWidth="1"/>
    <col min="5" max="6" width="16.42578125" customWidth="1"/>
    <col min="7" max="14" width="8.140625" customWidth="1"/>
  </cols>
  <sheetData>
    <row r="1" spans="1:14" s="18" customFormat="1" ht="30.95" customHeight="1">
      <c r="A1" s="125" t="s">
        <v>74</v>
      </c>
      <c r="B1" s="126"/>
      <c r="C1" s="127"/>
      <c r="D1" s="125"/>
      <c r="E1" s="125"/>
      <c r="F1" s="125"/>
      <c r="G1" s="125"/>
      <c r="H1" s="39"/>
      <c r="I1" s="39"/>
      <c r="J1" s="39"/>
      <c r="K1" s="39"/>
      <c r="L1" s="39"/>
      <c r="M1" s="39"/>
      <c r="N1" s="39"/>
    </row>
    <row r="2" spans="1:14" ht="12.95" customHeight="1" thickBot="1"/>
    <row r="3" spans="1:14" ht="2.1" hidden="1" customHeight="1" thickBot="1"/>
    <row r="4" spans="1:14" ht="15" thickBot="1">
      <c r="C4" s="179" t="s">
        <v>75</v>
      </c>
      <c r="D4" s="180"/>
      <c r="E4" s="180"/>
      <c r="F4" s="181"/>
    </row>
    <row r="5" spans="1:14" ht="15" thickBot="1">
      <c r="A5" s="146" t="s">
        <v>76</v>
      </c>
      <c r="B5" s="160" t="s">
        <v>13</v>
      </c>
      <c r="C5" s="146" t="s">
        <v>49</v>
      </c>
      <c r="D5" s="147" t="s">
        <v>50</v>
      </c>
      <c r="E5" s="147" t="s">
        <v>77</v>
      </c>
      <c r="F5" s="147" t="s">
        <v>78</v>
      </c>
    </row>
    <row r="6" spans="1:14">
      <c r="A6" s="148" t="s">
        <v>53</v>
      </c>
      <c r="B6" s="149">
        <f>COUNTIFS(GRUPOS!C:C,A6,GRUPOS!$F:$F,"SIM")</f>
        <v>9</v>
      </c>
      <c r="C6" s="150">
        <f>COUNTIFS(GRUPOS!$T:$T,$C$5,GRUPOS!$C:$C,$A6,GRUPOS!$F:$F,"SIM")</f>
        <v>4</v>
      </c>
      <c r="D6" s="151">
        <f>COUNTIFS(GRUPOS!$T:$T,$D$5,GRUPOS!$C:$C,$A6,GRUPOS!F:F,"SIM")</f>
        <v>5</v>
      </c>
      <c r="E6" s="152">
        <f t="shared" ref="E6:E14" si="0">C6/B6</f>
        <v>0.44444444444444442</v>
      </c>
      <c r="F6" s="153">
        <f t="shared" ref="F6:F14" si="1">D6/B6</f>
        <v>0.55555555555555558</v>
      </c>
    </row>
    <row r="7" spans="1:14">
      <c r="A7" s="154" t="s">
        <v>54</v>
      </c>
      <c r="B7" s="155">
        <f>COUNTIFS(GRUPOS!C:C,A7,GRUPOS!$F:$F,"SIM")</f>
        <v>16</v>
      </c>
      <c r="C7" s="156">
        <f>COUNTIFS(GRUPOS!$T:$T,$C$5,GRUPOS!$C:$C,$A7,GRUPOS!F:F,"SIM")</f>
        <v>10</v>
      </c>
      <c r="D7" s="157">
        <f>COUNTIFS(GRUPOS!$T:$T,$D$5,GRUPOS!$C:$C,$A7,GRUPOS!F:F,"SIM")</f>
        <v>6</v>
      </c>
      <c r="E7" s="158">
        <f t="shared" si="0"/>
        <v>0.625</v>
      </c>
      <c r="F7" s="159">
        <f t="shared" si="1"/>
        <v>0.375</v>
      </c>
    </row>
    <row r="8" spans="1:14">
      <c r="A8" s="154" t="s">
        <v>55</v>
      </c>
      <c r="B8" s="155">
        <f>COUNTIFS(GRUPOS!C:C,A8,GRUPOS!$F:$F,"SIM")</f>
        <v>10</v>
      </c>
      <c r="C8" s="156">
        <f>COUNTIFS(GRUPOS!$T:$T,$C$5,GRUPOS!$C:$C,$A8,GRUPOS!F:F,"SIM")</f>
        <v>6</v>
      </c>
      <c r="D8" s="157">
        <f>COUNTIFS(GRUPOS!$T:$T,$D$5,GRUPOS!$C:$C,$A8,GRUPOS!F:F,"SIM")</f>
        <v>4</v>
      </c>
      <c r="E8" s="158">
        <f t="shared" si="0"/>
        <v>0.6</v>
      </c>
      <c r="F8" s="159">
        <f t="shared" si="1"/>
        <v>0.4</v>
      </c>
    </row>
    <row r="9" spans="1:14">
      <c r="A9" s="154" t="s">
        <v>56</v>
      </c>
      <c r="B9" s="155">
        <f>COUNTIFS(GRUPOS!C:C,A9,GRUPOS!$F:$F,"SIM")</f>
        <v>22</v>
      </c>
      <c r="C9" s="156">
        <f>COUNTIFS(GRUPOS!$T:$T,$C$5,GRUPOS!$C:$C,$A9,GRUPOS!F:F,"SIM")</f>
        <v>4</v>
      </c>
      <c r="D9" s="157">
        <f>COUNTIFS(GRUPOS!$T:$T,$D$5,GRUPOS!$C:$C,$A9,GRUPOS!F:F,"SIM")</f>
        <v>18</v>
      </c>
      <c r="E9" s="158">
        <f t="shared" si="0"/>
        <v>0.18181818181818182</v>
      </c>
      <c r="F9" s="159">
        <f t="shared" si="1"/>
        <v>0.81818181818181823</v>
      </c>
    </row>
    <row r="10" spans="1:14">
      <c r="A10" s="154" t="s">
        <v>57</v>
      </c>
      <c r="B10" s="155">
        <f>COUNTIFS(GRUPOS!C:C,A10,GRUPOS!$F:$F,"SIM")</f>
        <v>5</v>
      </c>
      <c r="C10" s="156">
        <f>COUNTIFS(GRUPOS!$T:$T,$C$5,GRUPOS!$C:$C,$A10,GRUPOS!F:F,"SIM")</f>
        <v>4</v>
      </c>
      <c r="D10" s="157">
        <f>COUNTIFS(GRUPOS!$T:$T,$D$5,GRUPOS!$C:$C,$A10,GRUPOS!F:F,"SIM")</f>
        <v>1</v>
      </c>
      <c r="E10" s="158">
        <f t="shared" si="0"/>
        <v>0.8</v>
      </c>
      <c r="F10" s="159">
        <f t="shared" si="1"/>
        <v>0.2</v>
      </c>
    </row>
    <row r="11" spans="1:14">
      <c r="A11" s="154" t="s">
        <v>58</v>
      </c>
      <c r="B11" s="155">
        <f>COUNTIFS(GRUPOS!C:C,A11,GRUPOS!$F:$F,"SIM")</f>
        <v>5</v>
      </c>
      <c r="C11" s="156">
        <f>COUNTIFS(GRUPOS!$T:$T,$C$5,GRUPOS!$C:$C,$A11,GRUPOS!F:F,"SIM")</f>
        <v>4</v>
      </c>
      <c r="D11" s="157">
        <f>COUNTIFS(GRUPOS!$T:$T,$D$5,GRUPOS!$C:$C,$A11,GRUPOS!F:F,"SIM")</f>
        <v>1</v>
      </c>
      <c r="E11" s="158">
        <f t="shared" si="0"/>
        <v>0.8</v>
      </c>
      <c r="F11" s="159">
        <f t="shared" si="1"/>
        <v>0.2</v>
      </c>
    </row>
    <row r="12" spans="1:14">
      <c r="A12" s="154" t="s">
        <v>59</v>
      </c>
      <c r="B12" s="155">
        <f>COUNTIFS(GRUPOS!C:C,A12,GRUPOS!$F:$F,"SIM")</f>
        <v>39</v>
      </c>
      <c r="C12" s="156">
        <f>COUNTIFS(GRUPOS!$T:$T,$C$5,GRUPOS!$C:$C,$A12,GRUPOS!F:F,"SIM")</f>
        <v>7</v>
      </c>
      <c r="D12" s="157">
        <f>COUNTIFS(GRUPOS!$T:$T,$D$5,GRUPOS!$C:$C,$A12,GRUPOS!F:F,"SIM")</f>
        <v>32</v>
      </c>
      <c r="E12" s="158">
        <f t="shared" si="0"/>
        <v>0.17948717948717949</v>
      </c>
      <c r="F12" s="159">
        <f t="shared" si="1"/>
        <v>0.82051282051282048</v>
      </c>
    </row>
    <row r="13" spans="1:14">
      <c r="A13" s="154" t="s">
        <v>60</v>
      </c>
      <c r="B13" s="155">
        <f>COUNTIFS(GRUPOS!C:C,A13,GRUPOS!$F:$F,"SIM")</f>
        <v>24</v>
      </c>
      <c r="C13" s="156">
        <f>COUNTIFS(GRUPOS!$T:$T,$C$5,GRUPOS!$C:$C,$A13,GRUPOS!F:F,"SIM")</f>
        <v>5</v>
      </c>
      <c r="D13" s="157">
        <f>COUNTIFS(GRUPOS!$T:$T,$D$5,GRUPOS!$C:$C,$A13,GRUPOS!F:F,"SIM")</f>
        <v>19</v>
      </c>
      <c r="E13" s="158">
        <f t="shared" si="0"/>
        <v>0.20833333333333334</v>
      </c>
      <c r="F13" s="159">
        <f t="shared" si="1"/>
        <v>0.79166666666666663</v>
      </c>
    </row>
    <row r="14" spans="1:14">
      <c r="A14" s="154" t="s">
        <v>61</v>
      </c>
      <c r="B14" s="155">
        <f>COUNTIFS(GRUPOS!C:C,A14,GRUPOS!$F:$F,"SIM")</f>
        <v>17</v>
      </c>
      <c r="C14" s="156">
        <f>COUNTIFS(GRUPOS!$T:$T,$C$5,GRUPOS!$C:$C,$A14,GRUPOS!F:F,"SIM")</f>
        <v>3</v>
      </c>
      <c r="D14" s="157">
        <f>COUNTIFS(GRUPOS!$T:$T,$D$5,GRUPOS!$C:$C,$A14,GRUPOS!F:F,"SIM")</f>
        <v>14</v>
      </c>
      <c r="E14" s="158">
        <f t="shared" si="0"/>
        <v>0.17647058823529413</v>
      </c>
      <c r="F14" s="159">
        <f t="shared" si="1"/>
        <v>0.82352941176470584</v>
      </c>
    </row>
    <row r="15" spans="1:14" ht="15" thickBot="1">
      <c r="A15" s="161" t="s">
        <v>62</v>
      </c>
      <c r="B15" s="162">
        <f>COUNTIFS(GRUPOS!C:C,A15,GRUPOS!$F:$F,"SIM")</f>
        <v>12</v>
      </c>
      <c r="C15" s="163">
        <f>COUNTIFS(GRUPOS!$T:$T,$C$5,GRUPOS!$C:$C,$A15,GRUPOS!F:F,"SIM")</f>
        <v>2</v>
      </c>
      <c r="D15" s="164">
        <f>COUNTIFS(GRUPOS!$T:$T,$D$5,GRUPOS!$C:$C,$A15,GRUPOS!F:F,"SIM")</f>
        <v>10</v>
      </c>
      <c r="E15" s="165">
        <f>C15/B15</f>
        <v>0.16666666666666666</v>
      </c>
      <c r="F15" s="166">
        <f>D15/B15</f>
        <v>0.83333333333333337</v>
      </c>
    </row>
    <row r="16" spans="1:14">
      <c r="A16" s="167" t="s">
        <v>63</v>
      </c>
      <c r="B16" s="168">
        <f>SUM(B6:B15)</f>
        <v>159</v>
      </c>
      <c r="C16" s="167">
        <f>SUM(C6:C15)</f>
        <v>49</v>
      </c>
      <c r="D16" s="167">
        <f>SUM(D6:D15)</f>
        <v>110</v>
      </c>
      <c r="E16" s="169">
        <f>C16/B16</f>
        <v>0.3081761006289308</v>
      </c>
      <c r="F16" s="169">
        <f>D16/B16</f>
        <v>0.69182389937106914</v>
      </c>
    </row>
  </sheetData>
  <mergeCells count="1">
    <mergeCell ref="C4:F4"/>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64DC-EE69-40EE-86CD-F33D34C7F346}">
  <sheetPr>
    <tabColor rgb="FFC00000"/>
  </sheetPr>
  <dimension ref="B2:T178"/>
  <sheetViews>
    <sheetView showGridLines="0" topLeftCell="A78" workbookViewId="0">
      <selection activeCell="B104" sqref="B104"/>
    </sheetView>
  </sheetViews>
  <sheetFormatPr defaultRowHeight="14.45" outlineLevelCol="1"/>
  <cols>
    <col min="1" max="1" width="4.85546875" customWidth="1"/>
    <col min="2" max="2" width="59.85546875" style="15" bestFit="1" customWidth="1"/>
    <col min="3" max="3" width="10.5703125" style="15" bestFit="1" customWidth="1"/>
    <col min="4" max="5" width="10.5703125" style="15" hidden="1" customWidth="1" outlineLevel="1"/>
    <col min="6" max="6" width="10.5703125" style="15" customWidth="1" collapsed="1"/>
    <col min="7" max="7" width="8.28515625" style="16" hidden="1" customWidth="1" outlineLevel="1"/>
    <col min="8" max="8" width="10.28515625" style="16" hidden="1" customWidth="1" outlineLevel="1"/>
    <col min="9" max="9" width="8.42578125" style="16" hidden="1" customWidth="1" outlineLevel="1"/>
    <col min="10" max="10" width="8.85546875" style="16" hidden="1" customWidth="1" outlineLevel="1"/>
    <col min="11" max="11" width="7.7109375" style="16" hidden="1" customWidth="1" outlineLevel="1"/>
    <col min="12" max="12" width="8.85546875" style="16" hidden="1" customWidth="1" outlineLevel="1"/>
    <col min="13" max="13" width="7.7109375" style="16" hidden="1" customWidth="1" outlineLevel="1"/>
    <col min="14" max="14" width="8.85546875" style="16" customWidth="1" collapsed="1"/>
    <col min="15" max="15" width="7.7109375" style="16" hidden="1" customWidth="1" outlineLevel="1"/>
    <col min="16" max="16" width="8.85546875" style="16" hidden="1" customWidth="1" outlineLevel="1"/>
    <col min="17" max="18" width="9.7109375" style="16" hidden="1" customWidth="1" outlineLevel="1"/>
    <col min="19" max="19" width="9.140625" collapsed="1"/>
    <col min="20" max="20" width="9.140625" style="2"/>
  </cols>
  <sheetData>
    <row r="2" spans="2:20" ht="3" customHeight="1" thickBot="1"/>
    <row r="3" spans="2:20" ht="15" hidden="1" thickBot="1"/>
    <row r="4" spans="2:20" ht="15" hidden="1" thickBot="1">
      <c r="G4" s="41"/>
    </row>
    <row r="5" spans="2:20" ht="15" hidden="1" thickBot="1"/>
    <row r="6" spans="2:20" ht="24.6" thickBot="1">
      <c r="B6" s="11" t="s">
        <v>13</v>
      </c>
      <c r="C6" s="13" t="s">
        <v>73</v>
      </c>
      <c r="D6" s="63" t="s">
        <v>79</v>
      </c>
      <c r="E6" s="64" t="s">
        <v>80</v>
      </c>
      <c r="F6" s="78" t="s">
        <v>81</v>
      </c>
      <c r="G6" s="42">
        <v>46023</v>
      </c>
      <c r="H6" s="42">
        <v>46054</v>
      </c>
      <c r="I6" s="42">
        <v>46082</v>
      </c>
      <c r="J6" s="42">
        <v>46113</v>
      </c>
      <c r="K6" s="42">
        <v>46143</v>
      </c>
      <c r="L6" s="42">
        <v>46174</v>
      </c>
      <c r="M6" s="42">
        <v>46204</v>
      </c>
      <c r="N6" s="42">
        <v>46235</v>
      </c>
      <c r="O6" s="42">
        <v>46266</v>
      </c>
      <c r="P6" s="42">
        <v>46296</v>
      </c>
      <c r="Q6" s="42">
        <v>46327</v>
      </c>
      <c r="R6" s="42">
        <v>46357</v>
      </c>
      <c r="T6" s="38" t="s">
        <v>82</v>
      </c>
    </row>
    <row r="7" spans="2:20">
      <c r="B7" s="66" t="s">
        <v>83</v>
      </c>
      <c r="C7" s="66" t="s">
        <v>61</v>
      </c>
      <c r="D7" s="65">
        <f>COUNTIFS(PDVS!H:H,"SIM",PDVS!C:C,B7)</f>
        <v>0</v>
      </c>
      <c r="E7" s="66">
        <f>COUNTIFS(PDVS!C:C,B7,PDVS!I:I,"SIM")</f>
        <v>0</v>
      </c>
      <c r="F7" s="79" t="str">
        <f>IF(AND(D7=0,E7&gt;=1),"Sim",IF(D7&gt;=1,"Não",IF(AND(D7=0,E7=0),"Sim","")))</f>
        <v>Sim</v>
      </c>
      <c r="G7" s="61">
        <f>SUMIFS(BASE!$G:$G,BASE!$L:$L,$C7,BASE!$J:$J,$B7,BASE!$A:$A,G$6)</f>
        <v>0</v>
      </c>
      <c r="H7" s="17">
        <f>SUMIFS(BASE!$G:$G,BASE!$L:$L,$C7,BASE!$J:$J,$B7,BASE!$A:$A,H$6)</f>
        <v>0</v>
      </c>
      <c r="I7" s="17">
        <f>SUMIFS(BASE!$G:$G,BASE!$L:$L,$C7,BASE!$J:$J,$B7,BASE!$A:$A,I$6)</f>
        <v>0</v>
      </c>
      <c r="J7" s="17">
        <f>SUMIFS(BASE!$G:$G,BASE!$L:$L,$C7,BASE!$J:$J,$B7,BASE!$A:$A,J$6)</f>
        <v>0</v>
      </c>
      <c r="K7" s="17">
        <f>SUMIFS(BASE!$G:$G,BASE!$L:$L,$C7,BASE!$J:$J,$B7,BASE!$A:$A,K$6)</f>
        <v>0</v>
      </c>
      <c r="L7" s="17">
        <f>SUMIFS(BASE!$G:$G,BASE!$L:$L,$C7,BASE!$J:$J,$B7,BASE!$A:$A,L$6)</f>
        <v>0</v>
      </c>
      <c r="M7" s="17">
        <f>SUMIFS(BASE!$G:$G,BASE!$L:$L,$C7,BASE!$J:$J,$B7,BASE!$A:$A,M$6)</f>
        <v>0</v>
      </c>
      <c r="N7" s="73">
        <f>SUMIFS(BASE!$G:$G,BASE!$L:$L,$C7,BASE!$J:$J,$B7,BASE!$A:$A,N$6)</f>
        <v>0</v>
      </c>
      <c r="O7" s="17">
        <f>SUMIFS(BASE!$G:$G,BASE!$L:$L,$C7,BASE!$J:$J,$B7,BASE!$A:$A,O$6)</f>
        <v>0</v>
      </c>
      <c r="P7" s="17">
        <f>SUMIFS(BASE!$G:$G,BASE!$L:$L,$C7,BASE!$J:$J,$B7,BASE!$A:$A,P$6)</f>
        <v>0</v>
      </c>
      <c r="Q7" s="17">
        <f>SUMIFS(BASE!$G:$G,BASE!$L:$L,$C7,BASE!$J:$J,$B7,BASE!$A:$A,Q$6)</f>
        <v>0</v>
      </c>
      <c r="R7" s="17">
        <f>SUMIFS(BASE!$G:$G,BASE!$L:$L,$C7,BASE!$J:$J,$B7,BASE!$A:$A,R$6)</f>
        <v>0</v>
      </c>
      <c r="T7" s="44" t="str">
        <f>IF(AND(N7=0),"ZERADO","COM TROCAS")</f>
        <v>ZERADO</v>
      </c>
    </row>
    <row r="8" spans="2:20">
      <c r="B8" s="71" t="s">
        <v>84</v>
      </c>
      <c r="C8" s="71" t="s">
        <v>60</v>
      </c>
      <c r="D8" s="67">
        <f>COUNTIFS(PDVS!H:H,"SIM",PDVS!C:C,B8)</f>
        <v>0</v>
      </c>
      <c r="E8" s="68">
        <f>COUNTIFS(PDVS!C:C,B8,PDVS!I:I,"SIM")</f>
        <v>1</v>
      </c>
      <c r="F8" s="80" t="str">
        <f t="shared" ref="F8:F71" si="0">IF(AND(D8=0,E8&gt;=1),"Sim",IF(D8&gt;=1,"Não",IF(AND(D8=0,E8=0),"Sim","")))</f>
        <v>Sim</v>
      </c>
      <c r="G8" s="61">
        <f>SUMIFS(BASE!$G:$G,BASE!$L:$L,$C8,BASE!$J:$J,$B8,BASE!$A:$A,G$6)</f>
        <v>0</v>
      </c>
      <c r="H8" s="17">
        <f>SUMIFS(BASE!$G:$G,BASE!$L:$L,$C8,BASE!$J:$J,$B8,BASE!$A:$A,H$6)</f>
        <v>0</v>
      </c>
      <c r="I8" s="17">
        <f>SUMIFS(BASE!$G:$G,BASE!$L:$L,$C8,BASE!$J:$J,$B8,BASE!$A:$A,I$6)</f>
        <v>0</v>
      </c>
      <c r="J8" s="17">
        <f>SUMIFS(BASE!$G:$G,BASE!$L:$L,$C8,BASE!$J:$J,$B8,BASE!$A:$A,J$6)</f>
        <v>0</v>
      </c>
      <c r="K8" s="17">
        <f>SUMIFS(BASE!$G:$G,BASE!$L:$L,$C8,BASE!$J:$J,$B8,BASE!$A:$A,K$6)</f>
        <v>0</v>
      </c>
      <c r="L8" s="17">
        <f>SUMIFS(BASE!$G:$G,BASE!$L:$L,$C8,BASE!$J:$J,$B8,BASE!$A:$A,L$6)</f>
        <v>0</v>
      </c>
      <c r="M8" s="17">
        <f>SUMIFS(BASE!$G:$G,BASE!$L:$L,$C8,BASE!$J:$J,$B8,BASE!$A:$A,M$6)</f>
        <v>0</v>
      </c>
      <c r="N8" s="74">
        <f>SUMIFS(BASE!$G:$G,BASE!$L:$L,$C8,BASE!$J:$J,$B8,BASE!$A:$A,N$6)</f>
        <v>0</v>
      </c>
      <c r="O8" s="17">
        <f>SUMIFS(BASE!$G:$G,BASE!$L:$L,$C8,BASE!$J:$J,$B8,BASE!$A:$A,O$6)</f>
        <v>0</v>
      </c>
      <c r="P8" s="17">
        <f>SUMIFS(BASE!$G:$G,BASE!$L:$L,$C8,BASE!$J:$J,$B8,BASE!$A:$A,P$6)</f>
        <v>0</v>
      </c>
      <c r="Q8" s="17">
        <f>SUMIFS(BASE!$G:$G,BASE!$L:$L,$C8,BASE!$J:$J,$B8,BASE!$A:$A,Q$6)</f>
        <v>0</v>
      </c>
      <c r="R8" s="17">
        <f>SUMIFS(BASE!$G:$G,BASE!$L:$L,$C8,BASE!$J:$J,$B8,BASE!$A:$A,R$6)</f>
        <v>0</v>
      </c>
      <c r="T8" s="44" t="str">
        <f t="shared" ref="T8:T71" si="1">IF(AND(N8=0),"ZERADO","COM TROCAS")</f>
        <v>ZERADO</v>
      </c>
    </row>
    <row r="9" spans="2:20">
      <c r="B9" s="71" t="s">
        <v>85</v>
      </c>
      <c r="C9" s="71" t="s">
        <v>59</v>
      </c>
      <c r="D9" s="67">
        <f>COUNTIFS(PDVS!H:H,"SIM",PDVS!C:C,B9)</f>
        <v>0</v>
      </c>
      <c r="E9" s="68">
        <f>COUNTIFS(PDVS!C:C,B9,PDVS!I:I,"SIM")</f>
        <v>1</v>
      </c>
      <c r="F9" s="80" t="str">
        <f t="shared" si="0"/>
        <v>Sim</v>
      </c>
      <c r="G9" s="61">
        <f>SUMIFS(BASE!$G:$G,BASE!$L:$L,$C9,BASE!$J:$J,$B9,BASE!$A:$A,G$6)</f>
        <v>0</v>
      </c>
      <c r="H9" s="17">
        <f>SUMIFS(BASE!$G:$G,BASE!$L:$L,$C9,BASE!$J:$J,$B9,BASE!$A:$A,H$6)</f>
        <v>0</v>
      </c>
      <c r="I9" s="17">
        <f>SUMIFS(BASE!$G:$G,BASE!$L:$L,$C9,BASE!$J:$J,$B9,BASE!$A:$A,I$6)</f>
        <v>0</v>
      </c>
      <c r="J9" s="17">
        <f>SUMIFS(BASE!$G:$G,BASE!$L:$L,$C9,BASE!$J:$J,$B9,BASE!$A:$A,J$6)</f>
        <v>0</v>
      </c>
      <c r="K9" s="17">
        <f>SUMIFS(BASE!$G:$G,BASE!$L:$L,$C9,BASE!$J:$J,$B9,BASE!$A:$A,K$6)</f>
        <v>0</v>
      </c>
      <c r="L9" s="17">
        <f>SUMIFS(BASE!$G:$G,BASE!$L:$L,$C9,BASE!$J:$J,$B9,BASE!$A:$A,L$6)</f>
        <v>0</v>
      </c>
      <c r="M9" s="17">
        <f>SUMIFS(BASE!$G:$G,BASE!$L:$L,$C9,BASE!$J:$J,$B9,BASE!$A:$A,M$6)</f>
        <v>0</v>
      </c>
      <c r="N9" s="74">
        <f>SUMIFS(BASE!$G:$G,BASE!$L:$L,$C9,BASE!$J:$J,$B9,BASE!$A:$A,N$6)</f>
        <v>0</v>
      </c>
      <c r="O9" s="17">
        <f>SUMIFS(BASE!$G:$G,BASE!$L:$L,$C9,BASE!$J:$J,$B9,BASE!$A:$A,O$6)</f>
        <v>0</v>
      </c>
      <c r="P9" s="17">
        <f>SUMIFS(BASE!$G:$G,BASE!$L:$L,$C9,BASE!$J:$J,$B9,BASE!$A:$A,P$6)</f>
        <v>0</v>
      </c>
      <c r="Q9" s="17">
        <f>SUMIFS(BASE!$G:$G,BASE!$L:$L,$C9,BASE!$J:$J,$B9,BASE!$A:$A,Q$6)</f>
        <v>0</v>
      </c>
      <c r="R9" s="17">
        <f>SUMIFS(BASE!$G:$G,BASE!$L:$L,$C9,BASE!$J:$J,$B9,BASE!$A:$A,R$6)</f>
        <v>0</v>
      </c>
      <c r="T9" s="44" t="str">
        <f t="shared" si="1"/>
        <v>ZERADO</v>
      </c>
    </row>
    <row r="10" spans="2:20">
      <c r="B10" s="71" t="s">
        <v>86</v>
      </c>
      <c r="C10" s="71" t="s">
        <v>53</v>
      </c>
      <c r="D10" s="67">
        <f>COUNTIFS(PDVS!H:H,"SIM",PDVS!C:C,B10)</f>
        <v>0</v>
      </c>
      <c r="E10" s="68">
        <f>COUNTIFS(PDVS!C:C,B10,PDVS!I:I,"SIM")</f>
        <v>1</v>
      </c>
      <c r="F10" s="80" t="str">
        <f t="shared" si="0"/>
        <v>Sim</v>
      </c>
      <c r="G10" s="61">
        <f>SUMIFS(BASE!$G:$G,BASE!$L:$L,$C10,BASE!$J:$J,$B10,BASE!$A:$A,G$6)</f>
        <v>0</v>
      </c>
      <c r="H10" s="17">
        <f>SUMIFS(BASE!$G:$G,BASE!$L:$L,$C10,BASE!$J:$J,$B10,BASE!$A:$A,H$6)</f>
        <v>0</v>
      </c>
      <c r="I10" s="17">
        <f>SUMIFS(BASE!$G:$G,BASE!$L:$L,$C10,BASE!$J:$J,$B10,BASE!$A:$A,I$6)</f>
        <v>0</v>
      </c>
      <c r="J10" s="17">
        <f>SUMIFS(BASE!$G:$G,BASE!$L:$L,$C10,BASE!$J:$J,$B10,BASE!$A:$A,J$6)</f>
        <v>0</v>
      </c>
      <c r="K10" s="17">
        <f>SUMIFS(BASE!$G:$G,BASE!$L:$L,$C10,BASE!$J:$J,$B10,BASE!$A:$A,K$6)</f>
        <v>0</v>
      </c>
      <c r="L10" s="17">
        <f>SUMIFS(BASE!$G:$G,BASE!$L:$L,$C10,BASE!$J:$J,$B10,BASE!$A:$A,L$6)</f>
        <v>0</v>
      </c>
      <c r="M10" s="17">
        <f>SUMIFS(BASE!$G:$G,BASE!$L:$L,$C10,BASE!$J:$J,$B10,BASE!$A:$A,M$6)</f>
        <v>0</v>
      </c>
      <c r="N10" s="74">
        <f>SUMIFS(BASE!$G:$G,BASE!$L:$L,$C10,BASE!$J:$J,$B10,BASE!$A:$A,N$6)</f>
        <v>0</v>
      </c>
      <c r="O10" s="17">
        <f>SUMIFS(BASE!$G:$G,BASE!$L:$L,$C10,BASE!$J:$J,$B10,BASE!$A:$A,O$6)</f>
        <v>0</v>
      </c>
      <c r="P10" s="17">
        <f>SUMIFS(BASE!$G:$G,BASE!$L:$L,$C10,BASE!$J:$J,$B10,BASE!$A:$A,P$6)</f>
        <v>0</v>
      </c>
      <c r="Q10" s="17">
        <f>SUMIFS(BASE!$G:$G,BASE!$L:$L,$C10,BASE!$J:$J,$B10,BASE!$A:$A,Q$6)</f>
        <v>0</v>
      </c>
      <c r="R10" s="17">
        <f>SUMIFS(BASE!$G:$G,BASE!$L:$L,$C10,BASE!$J:$J,$B10,BASE!$A:$A,R$6)</f>
        <v>0</v>
      </c>
      <c r="T10" s="44" t="str">
        <f t="shared" si="1"/>
        <v>ZERADO</v>
      </c>
    </row>
    <row r="11" spans="2:20" ht="15" thickBot="1">
      <c r="B11" s="72" t="s">
        <v>87</v>
      </c>
      <c r="C11" s="72" t="s">
        <v>53</v>
      </c>
      <c r="D11" s="67">
        <f>COUNTIFS(PDVS!H:H,"SIM",PDVS!C:C,B11)</f>
        <v>0</v>
      </c>
      <c r="E11" s="68">
        <f>COUNTIFS(PDVS!C:C,B11,PDVS!I:I,"SIM")</f>
        <v>1</v>
      </c>
      <c r="F11" s="81" t="str">
        <f t="shared" si="0"/>
        <v>Sim</v>
      </c>
      <c r="G11" s="61">
        <f>SUMIFS(BASE!$G:$G,BASE!$L:$L,$C11,BASE!$J:$J,$B11,BASE!$A:$A,G$6)</f>
        <v>0</v>
      </c>
      <c r="H11" s="17">
        <f>SUMIFS(BASE!$G:$G,BASE!$L:$L,$C11,BASE!$J:$J,$B11,BASE!$A:$A,H$6)</f>
        <v>0</v>
      </c>
      <c r="I11" s="17">
        <f>SUMIFS(BASE!$G:$G,BASE!$L:$L,$C11,BASE!$J:$J,$B11,BASE!$A:$A,I$6)</f>
        <v>0</v>
      </c>
      <c r="J11" s="17">
        <f>SUMIFS(BASE!$G:$G,BASE!$L:$L,$C11,BASE!$J:$J,$B11,BASE!$A:$A,J$6)</f>
        <v>0</v>
      </c>
      <c r="K11" s="17">
        <f>SUMIFS(BASE!$G:$G,BASE!$L:$L,$C11,BASE!$J:$J,$B11,BASE!$A:$A,K$6)</f>
        <v>0</v>
      </c>
      <c r="L11" s="17">
        <f>SUMIFS(BASE!$G:$G,BASE!$L:$L,$C11,BASE!$J:$J,$B11,BASE!$A:$A,L$6)</f>
        <v>0</v>
      </c>
      <c r="M11" s="17">
        <f>SUMIFS(BASE!$G:$G,BASE!$L:$L,$C11,BASE!$J:$J,$B11,BASE!$A:$A,M$6)</f>
        <v>0</v>
      </c>
      <c r="N11" s="75">
        <f>SUMIFS(BASE!$G:$G,BASE!$L:$L,$C11,BASE!$J:$J,$B11,BASE!$A:$A,N$6)</f>
        <v>0</v>
      </c>
      <c r="O11" s="17">
        <f>SUMIFS(BASE!$G:$G,BASE!$L:$L,$C11,BASE!$J:$J,$B11,BASE!$A:$A,O$6)</f>
        <v>0</v>
      </c>
      <c r="P11" s="17">
        <f>SUMIFS(BASE!$G:$G,BASE!$L:$L,$C11,BASE!$J:$J,$B11,BASE!$A:$A,P$6)</f>
        <v>0</v>
      </c>
      <c r="Q11" s="17">
        <f>SUMIFS(BASE!$G:$G,BASE!$L:$L,$C11,BASE!$J:$J,$B11,BASE!$A:$A,Q$6)</f>
        <v>0</v>
      </c>
      <c r="R11" s="17">
        <f>SUMIFS(BASE!$G:$G,BASE!$L:$L,$C11,BASE!$J:$J,$B11,BASE!$A:$A,R$6)</f>
        <v>0</v>
      </c>
      <c r="T11" s="44" t="str">
        <f t="shared" si="1"/>
        <v>ZERADO</v>
      </c>
    </row>
    <row r="12" spans="2:20" ht="15" thickBot="1">
      <c r="B12" s="8" t="s">
        <v>88</v>
      </c>
      <c r="C12" s="8" t="s">
        <v>56</v>
      </c>
      <c r="D12" s="62">
        <f>COUNTIFS(PDVS!H:H,"SIM",PDVS!C:C,B12)</f>
        <v>1</v>
      </c>
      <c r="E12" s="62">
        <f>COUNTIFS(PDVS!C:C,B12,PDVS!I:I,"SIM")</f>
        <v>3</v>
      </c>
      <c r="F12" s="62" t="str">
        <f t="shared" si="0"/>
        <v>Não</v>
      </c>
      <c r="G12" s="17">
        <f>SUMIFS(BASE!$G:$G,BASE!$L:$L,$C12,BASE!$J:$J,$B12,BASE!$A:$A,G$6)</f>
        <v>0</v>
      </c>
      <c r="H12" s="17">
        <f>SUMIFS(BASE!$G:$G,BASE!$L:$L,$C12,BASE!$J:$J,$B12,BASE!$A:$A,H$6)</f>
        <v>0</v>
      </c>
      <c r="I12" s="17">
        <f>SUMIFS(BASE!$G:$G,BASE!$L:$L,$C12,BASE!$J:$J,$B12,BASE!$A:$A,I$6)</f>
        <v>0</v>
      </c>
      <c r="J12" s="17">
        <f>SUMIFS(BASE!$G:$G,BASE!$L:$L,$C12,BASE!$J:$J,$B12,BASE!$A:$A,J$6)</f>
        <v>0</v>
      </c>
      <c r="K12" s="17">
        <f>SUMIFS(BASE!$G:$G,BASE!$L:$L,$C12,BASE!$J:$J,$B12,BASE!$A:$A,K$6)</f>
        <v>0</v>
      </c>
      <c r="L12" s="17">
        <f>SUMIFS(BASE!$G:$G,BASE!$L:$L,$C12,BASE!$J:$J,$B12,BASE!$A:$A,L$6)</f>
        <v>0</v>
      </c>
      <c r="M12" s="17">
        <f>SUMIFS(BASE!$G:$G,BASE!$L:$L,$C12,BASE!$J:$J,$B12,BASE!$A:$A,M$6)</f>
        <v>0</v>
      </c>
      <c r="N12" s="17">
        <f>SUMIFS(BASE!$G:$G,BASE!$L:$L,$C12,BASE!$J:$J,$B12,BASE!$A:$A,N$6)</f>
        <v>0</v>
      </c>
      <c r="O12" s="17">
        <f>SUMIFS(BASE!$G:$G,BASE!$L:$L,$C12,BASE!$J:$J,$B12,BASE!$A:$A,O$6)</f>
        <v>0</v>
      </c>
      <c r="P12" s="17">
        <f>SUMIFS(BASE!$G:$G,BASE!$L:$L,$C12,BASE!$J:$J,$B12,BASE!$A:$A,P$6)</f>
        <v>0</v>
      </c>
      <c r="Q12" s="17">
        <f>SUMIFS(BASE!$G:$G,BASE!$L:$L,$C12,BASE!$J:$J,$B12,BASE!$A:$A,Q$6)</f>
        <v>0</v>
      </c>
      <c r="R12" s="17">
        <f>SUMIFS(BASE!$G:$G,BASE!$L:$L,$C12,BASE!$J:$J,$B12,BASE!$A:$A,R$6)</f>
        <v>0</v>
      </c>
      <c r="T12" s="44" t="str">
        <f t="shared" si="1"/>
        <v>ZERADO</v>
      </c>
    </row>
    <row r="13" spans="2:20">
      <c r="B13" s="76" t="s">
        <v>89</v>
      </c>
      <c r="C13" s="76" t="s">
        <v>62</v>
      </c>
      <c r="D13" s="69">
        <f>COUNTIFS(PDVS!H:H,"SIM",PDVS!C:C,B13)</f>
        <v>0</v>
      </c>
      <c r="E13" s="70">
        <f>COUNTIFS(PDVS!C:C,B13,PDVS!I:I,"SIM")</f>
        <v>0</v>
      </c>
      <c r="F13" s="82" t="str">
        <f t="shared" si="0"/>
        <v>Sim</v>
      </c>
      <c r="G13" s="61">
        <f>SUMIFS(BASE!$G:$G,BASE!$L:$L,$C13,BASE!$J:$J,$B13,BASE!$A:$A,G$6)</f>
        <v>0</v>
      </c>
      <c r="H13" s="17">
        <f>SUMIFS(BASE!$G:$G,BASE!$L:$L,$C13,BASE!$J:$J,$B13,BASE!$A:$A,H$6)</f>
        <v>0</v>
      </c>
      <c r="I13" s="17">
        <f>SUMIFS(BASE!$G:$G,BASE!$L:$L,$C13,BASE!$J:$J,$B13,BASE!$A:$A,I$6)</f>
        <v>0</v>
      </c>
      <c r="J13" s="17">
        <f>SUMIFS(BASE!$G:$G,BASE!$L:$L,$C13,BASE!$J:$J,$B13,BASE!$A:$A,J$6)</f>
        <v>0</v>
      </c>
      <c r="K13" s="17">
        <f>SUMIFS(BASE!$G:$G,BASE!$L:$L,$C13,BASE!$J:$J,$B13,BASE!$A:$A,K$6)</f>
        <v>0</v>
      </c>
      <c r="L13" s="17">
        <f>SUMIFS(BASE!$G:$G,BASE!$L:$L,$C13,BASE!$J:$J,$B13,BASE!$A:$A,L$6)</f>
        <v>0</v>
      </c>
      <c r="M13" s="17">
        <f>SUMIFS(BASE!$G:$G,BASE!$L:$L,$C13,BASE!$J:$J,$B13,BASE!$A:$A,M$6)</f>
        <v>0</v>
      </c>
      <c r="N13" s="73">
        <f>SUMIFS(BASE!$G:$G,BASE!$L:$L,$C13,BASE!$J:$J,$B13,BASE!$A:$A,N$6)</f>
        <v>0</v>
      </c>
      <c r="O13" s="17">
        <f>SUMIFS(BASE!$G:$G,BASE!$L:$L,$C13,BASE!$J:$J,$B13,BASE!$A:$A,O$6)</f>
        <v>0</v>
      </c>
      <c r="P13" s="17">
        <f>SUMIFS(BASE!$G:$G,BASE!$L:$L,$C13,BASE!$J:$J,$B13,BASE!$A:$A,P$6)</f>
        <v>0</v>
      </c>
      <c r="Q13" s="17">
        <f>SUMIFS(BASE!$G:$G,BASE!$L:$L,$C13,BASE!$J:$J,$B13,BASE!$A:$A,Q$6)</f>
        <v>0</v>
      </c>
      <c r="R13" s="17">
        <f>SUMIFS(BASE!$G:$G,BASE!$L:$L,$C13,BASE!$J:$J,$B13,BASE!$A:$A,R$6)</f>
        <v>0</v>
      </c>
      <c r="T13" s="44" t="str">
        <f t="shared" si="1"/>
        <v>ZERADO</v>
      </c>
    </row>
    <row r="14" spans="2:20">
      <c r="B14" s="71" t="s">
        <v>90</v>
      </c>
      <c r="C14" s="71" t="s">
        <v>59</v>
      </c>
      <c r="D14" s="67">
        <f>COUNTIFS(PDVS!H:H,"SIM",PDVS!C:C,B14)</f>
        <v>0</v>
      </c>
      <c r="E14" s="68">
        <f>COUNTIFS(PDVS!C:C,B14,PDVS!I:I,"SIM")</f>
        <v>1</v>
      </c>
      <c r="F14" s="80" t="str">
        <f t="shared" si="0"/>
        <v>Sim</v>
      </c>
      <c r="G14" s="61">
        <f>SUMIFS(BASE!$G:$G,BASE!$L:$L,$C14,BASE!$J:$J,$B14,BASE!$A:$A,G$6)</f>
        <v>0</v>
      </c>
      <c r="H14" s="17">
        <f>SUMIFS(BASE!$G:$G,BASE!$L:$L,$C14,BASE!$J:$J,$B14,BASE!$A:$A,H$6)</f>
        <v>0</v>
      </c>
      <c r="I14" s="17">
        <f>SUMIFS(BASE!$G:$G,BASE!$L:$L,$C14,BASE!$J:$J,$B14,BASE!$A:$A,I$6)</f>
        <v>0</v>
      </c>
      <c r="J14" s="17">
        <f>SUMIFS(BASE!$G:$G,BASE!$L:$L,$C14,BASE!$J:$J,$B14,BASE!$A:$A,J$6)</f>
        <v>0</v>
      </c>
      <c r="K14" s="17">
        <f>SUMIFS(BASE!$G:$G,BASE!$L:$L,$C14,BASE!$J:$J,$B14,BASE!$A:$A,K$6)</f>
        <v>0</v>
      </c>
      <c r="L14" s="17">
        <f>SUMIFS(BASE!$G:$G,BASE!$L:$L,$C14,BASE!$J:$J,$B14,BASE!$A:$A,L$6)</f>
        <v>0</v>
      </c>
      <c r="M14" s="17">
        <f>SUMIFS(BASE!$G:$G,BASE!$L:$L,$C14,BASE!$J:$J,$B14,BASE!$A:$A,M$6)</f>
        <v>0</v>
      </c>
      <c r="N14" s="74">
        <f>SUMIFS(BASE!$G:$G,BASE!$L:$L,$C14,BASE!$J:$J,$B14,BASE!$A:$A,N$6)</f>
        <v>0</v>
      </c>
      <c r="O14" s="17">
        <f>SUMIFS(BASE!$G:$G,BASE!$L:$L,$C14,BASE!$J:$J,$B14,BASE!$A:$A,O$6)</f>
        <v>0</v>
      </c>
      <c r="P14" s="17">
        <f>SUMIFS(BASE!$G:$G,BASE!$L:$L,$C14,BASE!$J:$J,$B14,BASE!$A:$A,P$6)</f>
        <v>0</v>
      </c>
      <c r="Q14" s="17">
        <f>SUMIFS(BASE!$G:$G,BASE!$L:$L,$C14,BASE!$J:$J,$B14,BASE!$A:$A,Q$6)</f>
        <v>0</v>
      </c>
      <c r="R14" s="17">
        <f>SUMIFS(BASE!$G:$G,BASE!$L:$L,$C14,BASE!$J:$J,$B14,BASE!$A:$A,R$6)</f>
        <v>0</v>
      </c>
      <c r="T14" s="44" t="str">
        <f t="shared" si="1"/>
        <v>ZERADO</v>
      </c>
    </row>
    <row r="15" spans="2:20">
      <c r="B15" s="71" t="s">
        <v>91</v>
      </c>
      <c r="C15" s="71" t="s">
        <v>61</v>
      </c>
      <c r="D15" s="67">
        <f>COUNTIFS(PDVS!H:H,"SIM",PDVS!C:C,B15)</f>
        <v>0</v>
      </c>
      <c r="E15" s="68">
        <f>COUNTIFS(PDVS!C:C,B15,PDVS!I:I,"SIM")</f>
        <v>1</v>
      </c>
      <c r="F15" s="80" t="str">
        <f t="shared" si="0"/>
        <v>Sim</v>
      </c>
      <c r="G15" s="61">
        <f>SUMIFS(BASE!$G:$G,BASE!$L:$L,$C15,BASE!$J:$J,$B15,BASE!$A:$A,G$6)</f>
        <v>0</v>
      </c>
      <c r="H15" s="17">
        <f>SUMIFS(BASE!$G:$G,BASE!$L:$L,$C15,BASE!$J:$J,$B15,BASE!$A:$A,H$6)</f>
        <v>0</v>
      </c>
      <c r="I15" s="17">
        <f>SUMIFS(BASE!$G:$G,BASE!$L:$L,$C15,BASE!$J:$J,$B15,BASE!$A:$A,I$6)</f>
        <v>0</v>
      </c>
      <c r="J15" s="17">
        <f>SUMIFS(BASE!$G:$G,BASE!$L:$L,$C15,BASE!$J:$J,$B15,BASE!$A:$A,J$6)</f>
        <v>0</v>
      </c>
      <c r="K15" s="17">
        <f>SUMIFS(BASE!$G:$G,BASE!$L:$L,$C15,BASE!$J:$J,$B15,BASE!$A:$A,K$6)</f>
        <v>0</v>
      </c>
      <c r="L15" s="17">
        <f>SUMIFS(BASE!$G:$G,BASE!$L:$L,$C15,BASE!$J:$J,$B15,BASE!$A:$A,L$6)</f>
        <v>0</v>
      </c>
      <c r="M15" s="17">
        <f>SUMIFS(BASE!$G:$G,BASE!$L:$L,$C15,BASE!$J:$J,$B15,BASE!$A:$A,M$6)</f>
        <v>0</v>
      </c>
      <c r="N15" s="74">
        <f>SUMIFS(BASE!$G:$G,BASE!$L:$L,$C15,BASE!$J:$J,$B15,BASE!$A:$A,N$6)</f>
        <v>0</v>
      </c>
      <c r="O15" s="17">
        <f>SUMIFS(BASE!$G:$G,BASE!$L:$L,$C15,BASE!$J:$J,$B15,BASE!$A:$A,O$6)</f>
        <v>0</v>
      </c>
      <c r="P15" s="17">
        <f>SUMIFS(BASE!$G:$G,BASE!$L:$L,$C15,BASE!$J:$J,$B15,BASE!$A:$A,P$6)</f>
        <v>0</v>
      </c>
      <c r="Q15" s="17">
        <f>SUMIFS(BASE!$G:$G,BASE!$L:$L,$C15,BASE!$J:$J,$B15,BASE!$A:$A,Q$6)</f>
        <v>0</v>
      </c>
      <c r="R15" s="17">
        <f>SUMIFS(BASE!$G:$G,BASE!$L:$L,$C15,BASE!$J:$J,$B15,BASE!$A:$A,R$6)</f>
        <v>0</v>
      </c>
      <c r="T15" s="44" t="str">
        <f t="shared" si="1"/>
        <v>ZERADO</v>
      </c>
    </row>
    <row r="16" spans="2:20">
      <c r="B16" s="71" t="s">
        <v>92</v>
      </c>
      <c r="C16" s="71" t="s">
        <v>59</v>
      </c>
      <c r="D16" s="67">
        <f>COUNTIFS(PDVS!H:H,"SIM",PDVS!C:C,B16)</f>
        <v>0</v>
      </c>
      <c r="E16" s="68">
        <f>COUNTIFS(PDVS!C:C,B16,PDVS!I:I,"SIM")</f>
        <v>1</v>
      </c>
      <c r="F16" s="80" t="str">
        <f t="shared" si="0"/>
        <v>Sim</v>
      </c>
      <c r="G16" s="61">
        <f>SUMIFS(BASE!$G:$G,BASE!$L:$L,$C16,BASE!$J:$J,$B16,BASE!$A:$A,G$6)</f>
        <v>0</v>
      </c>
      <c r="H16" s="17">
        <f>SUMIFS(BASE!$G:$G,BASE!$L:$L,$C16,BASE!$J:$J,$B16,BASE!$A:$A,H$6)</f>
        <v>0</v>
      </c>
      <c r="I16" s="17">
        <f>SUMIFS(BASE!$G:$G,BASE!$L:$L,$C16,BASE!$J:$J,$B16,BASE!$A:$A,I$6)</f>
        <v>0</v>
      </c>
      <c r="J16" s="17">
        <f>SUMIFS(BASE!$G:$G,BASE!$L:$L,$C16,BASE!$J:$J,$B16,BASE!$A:$A,J$6)</f>
        <v>0</v>
      </c>
      <c r="K16" s="17">
        <f>SUMIFS(BASE!$G:$G,BASE!$L:$L,$C16,BASE!$J:$J,$B16,BASE!$A:$A,K$6)</f>
        <v>0</v>
      </c>
      <c r="L16" s="17">
        <f>SUMIFS(BASE!$G:$G,BASE!$L:$L,$C16,BASE!$J:$J,$B16,BASE!$A:$A,L$6)</f>
        <v>0</v>
      </c>
      <c r="M16" s="17">
        <f>SUMIFS(BASE!$G:$G,BASE!$L:$L,$C16,BASE!$J:$J,$B16,BASE!$A:$A,M$6)</f>
        <v>0</v>
      </c>
      <c r="N16" s="74">
        <f>SUMIFS(BASE!$G:$G,BASE!$L:$L,$C16,BASE!$J:$J,$B16,BASE!$A:$A,N$6)</f>
        <v>0</v>
      </c>
      <c r="O16" s="17">
        <f>SUMIFS(BASE!$G:$G,BASE!$L:$L,$C16,BASE!$J:$J,$B16,BASE!$A:$A,O$6)</f>
        <v>0</v>
      </c>
      <c r="P16" s="17">
        <f>SUMIFS(BASE!$G:$G,BASE!$L:$L,$C16,BASE!$J:$J,$B16,BASE!$A:$A,P$6)</f>
        <v>0</v>
      </c>
      <c r="Q16" s="17">
        <f>SUMIFS(BASE!$G:$G,BASE!$L:$L,$C16,BASE!$J:$J,$B16,BASE!$A:$A,Q$6)</f>
        <v>0</v>
      </c>
      <c r="R16" s="17">
        <f>SUMIFS(BASE!$G:$G,BASE!$L:$L,$C16,BASE!$J:$J,$B16,BASE!$A:$A,R$6)</f>
        <v>0</v>
      </c>
      <c r="T16" s="44" t="str">
        <f t="shared" si="1"/>
        <v>ZERADO</v>
      </c>
    </row>
    <row r="17" spans="2:20">
      <c r="B17" s="71" t="s">
        <v>93</v>
      </c>
      <c r="C17" s="71" t="s">
        <v>59</v>
      </c>
      <c r="D17" s="67">
        <f>COUNTIFS(PDVS!H:H,"SIM",PDVS!C:C,B17)</f>
        <v>0</v>
      </c>
      <c r="E17" s="68">
        <f>COUNTIFS(PDVS!C:C,B17,PDVS!I:I,"SIM")</f>
        <v>0</v>
      </c>
      <c r="F17" s="80" t="str">
        <f t="shared" si="0"/>
        <v>Sim</v>
      </c>
      <c r="G17" s="61">
        <f>SUMIFS(BASE!$G:$G,BASE!$L:$L,$C17,BASE!$J:$J,$B17,BASE!$A:$A,G$6)</f>
        <v>0</v>
      </c>
      <c r="H17" s="17">
        <f>SUMIFS(BASE!$G:$G,BASE!$L:$L,$C17,BASE!$J:$J,$B17,BASE!$A:$A,H$6)</f>
        <v>0</v>
      </c>
      <c r="I17" s="17">
        <f>SUMIFS(BASE!$G:$G,BASE!$L:$L,$C17,BASE!$J:$J,$B17,BASE!$A:$A,I$6)</f>
        <v>0</v>
      </c>
      <c r="J17" s="17">
        <f>SUMIFS(BASE!$G:$G,BASE!$L:$L,$C17,BASE!$J:$J,$B17,BASE!$A:$A,J$6)</f>
        <v>0</v>
      </c>
      <c r="K17" s="17">
        <f>SUMIFS(BASE!$G:$G,BASE!$L:$L,$C17,BASE!$J:$J,$B17,BASE!$A:$A,K$6)</f>
        <v>0</v>
      </c>
      <c r="L17" s="17">
        <f>SUMIFS(BASE!$G:$G,BASE!$L:$L,$C17,BASE!$J:$J,$B17,BASE!$A:$A,L$6)</f>
        <v>0</v>
      </c>
      <c r="M17" s="17">
        <f>SUMIFS(BASE!$G:$G,BASE!$L:$L,$C17,BASE!$J:$J,$B17,BASE!$A:$A,M$6)</f>
        <v>0</v>
      </c>
      <c r="N17" s="74">
        <f>SUMIFS(BASE!$G:$G,BASE!$L:$L,$C17,BASE!$J:$J,$B17,BASE!$A:$A,N$6)</f>
        <v>0</v>
      </c>
      <c r="O17" s="17">
        <f>SUMIFS(BASE!$G:$G,BASE!$L:$L,$C17,BASE!$J:$J,$B17,BASE!$A:$A,O$6)</f>
        <v>0</v>
      </c>
      <c r="P17" s="17">
        <f>SUMIFS(BASE!$G:$G,BASE!$L:$L,$C17,BASE!$J:$J,$B17,BASE!$A:$A,P$6)</f>
        <v>0</v>
      </c>
      <c r="Q17" s="17">
        <f>SUMIFS(BASE!$G:$G,BASE!$L:$L,$C17,BASE!$J:$J,$B17,BASE!$A:$A,Q$6)</f>
        <v>0</v>
      </c>
      <c r="R17" s="17">
        <f>SUMIFS(BASE!$G:$G,BASE!$L:$L,$C17,BASE!$J:$J,$B17,BASE!$A:$A,R$6)</f>
        <v>0</v>
      </c>
      <c r="T17" s="44" t="str">
        <f t="shared" si="1"/>
        <v>ZERADO</v>
      </c>
    </row>
    <row r="18" spans="2:20">
      <c r="B18" s="71" t="s">
        <v>94</v>
      </c>
      <c r="C18" s="71" t="s">
        <v>56</v>
      </c>
      <c r="D18" s="67">
        <f>COUNTIFS(PDVS!H:H,"SIM",PDVS!C:C,B18)</f>
        <v>1</v>
      </c>
      <c r="E18" s="68">
        <f>COUNTIFS(PDVS!C:C,B18,PDVS!I:I,"SIM")</f>
        <v>1</v>
      </c>
      <c r="F18" s="80" t="str">
        <f t="shared" si="0"/>
        <v>Não</v>
      </c>
      <c r="G18" s="61">
        <f>SUMIFS(BASE!$G:$G,BASE!$L:$L,$C18,BASE!$J:$J,$B18,BASE!$A:$A,G$6)</f>
        <v>0</v>
      </c>
      <c r="H18" s="17">
        <f>SUMIFS(BASE!$G:$G,BASE!$L:$L,$C18,BASE!$J:$J,$B18,BASE!$A:$A,H$6)</f>
        <v>0</v>
      </c>
      <c r="I18" s="17">
        <f>SUMIFS(BASE!$G:$G,BASE!$L:$L,$C18,BASE!$J:$J,$B18,BASE!$A:$A,I$6)</f>
        <v>0</v>
      </c>
      <c r="J18" s="17">
        <f>SUMIFS(BASE!$G:$G,BASE!$L:$L,$C18,BASE!$J:$J,$B18,BASE!$A:$A,J$6)</f>
        <v>0</v>
      </c>
      <c r="K18" s="17">
        <f>SUMIFS(BASE!$G:$G,BASE!$L:$L,$C18,BASE!$J:$J,$B18,BASE!$A:$A,K$6)</f>
        <v>0</v>
      </c>
      <c r="L18" s="17">
        <f>SUMIFS(BASE!$G:$G,BASE!$L:$L,$C18,BASE!$J:$J,$B18,BASE!$A:$A,L$6)</f>
        <v>0</v>
      </c>
      <c r="M18" s="17">
        <f>SUMIFS(BASE!$G:$G,BASE!$L:$L,$C18,BASE!$J:$J,$B18,BASE!$A:$A,M$6)</f>
        <v>0</v>
      </c>
      <c r="N18" s="74">
        <f>SUMIFS(BASE!$G:$G,BASE!$L:$L,$C18,BASE!$J:$J,$B18,BASE!$A:$A,N$6)</f>
        <v>0</v>
      </c>
      <c r="O18" s="17">
        <f>SUMIFS(BASE!$G:$G,BASE!$L:$L,$C18,BASE!$J:$J,$B18,BASE!$A:$A,O$6)</f>
        <v>0</v>
      </c>
      <c r="P18" s="17">
        <f>SUMIFS(BASE!$G:$G,BASE!$L:$L,$C18,BASE!$J:$J,$B18,BASE!$A:$A,P$6)</f>
        <v>0</v>
      </c>
      <c r="Q18" s="17">
        <f>SUMIFS(BASE!$G:$G,BASE!$L:$L,$C18,BASE!$J:$J,$B18,BASE!$A:$A,Q$6)</f>
        <v>0</v>
      </c>
      <c r="R18" s="17">
        <f>SUMIFS(BASE!$G:$G,BASE!$L:$L,$C18,BASE!$J:$J,$B18,BASE!$A:$A,R$6)</f>
        <v>0</v>
      </c>
      <c r="T18" s="44" t="str">
        <f t="shared" si="1"/>
        <v>ZERADO</v>
      </c>
    </row>
    <row r="19" spans="2:20">
      <c r="B19" s="71" t="s">
        <v>95</v>
      </c>
      <c r="C19" s="71" t="s">
        <v>58</v>
      </c>
      <c r="D19" s="67">
        <f>COUNTIFS(PDVS!H:H,"SIM",PDVS!C:C,B19)</f>
        <v>0</v>
      </c>
      <c r="E19" s="68">
        <f>COUNTIFS(PDVS!C:C,B19,PDVS!I:I,"SIM")</f>
        <v>12</v>
      </c>
      <c r="F19" s="80" t="str">
        <f t="shared" si="0"/>
        <v>Sim</v>
      </c>
      <c r="G19" s="61">
        <f>SUMIFS(BASE!$G:$G,BASE!$L:$L,$C19,BASE!$J:$J,$B19,BASE!$A:$A,G$6)</f>
        <v>8</v>
      </c>
      <c r="H19" s="17">
        <f>SUMIFS(BASE!$G:$G,BASE!$L:$L,$C19,BASE!$J:$J,$B19,BASE!$A:$A,H$6)</f>
        <v>5</v>
      </c>
      <c r="I19" s="17">
        <f>SUMIFS(BASE!$G:$G,BASE!$L:$L,$C19,BASE!$J:$J,$B19,BASE!$A:$A,I$6)</f>
        <v>10</v>
      </c>
      <c r="J19" s="17">
        <f>SUMIFS(BASE!$G:$G,BASE!$L:$L,$C19,BASE!$J:$J,$B19,BASE!$A:$A,J$6)</f>
        <v>9</v>
      </c>
      <c r="K19" s="17">
        <f>SUMIFS(BASE!$G:$G,BASE!$L:$L,$C19,BASE!$J:$J,$B19,BASE!$A:$A,K$6)</f>
        <v>8</v>
      </c>
      <c r="L19" s="17">
        <f>SUMIFS(BASE!$G:$G,BASE!$L:$L,$C19,BASE!$J:$J,$B19,BASE!$A:$A,L$6)</f>
        <v>15</v>
      </c>
      <c r="M19" s="17">
        <f>SUMIFS(BASE!$G:$G,BASE!$L:$L,$C19,BASE!$J:$J,$B19,BASE!$A:$A,M$6)</f>
        <v>10</v>
      </c>
      <c r="N19" s="74">
        <f>SUMIFS(BASE!$G:$G,BASE!$L:$L,$C19,BASE!$J:$J,$B19,BASE!$A:$A,N$6)</f>
        <v>17</v>
      </c>
      <c r="O19" s="17">
        <f>SUMIFS(BASE!$G:$G,BASE!$L:$L,$C19,BASE!$J:$J,$B19,BASE!$A:$A,O$6)</f>
        <v>0</v>
      </c>
      <c r="P19" s="17">
        <f>SUMIFS(BASE!$G:$G,BASE!$L:$L,$C19,BASE!$J:$J,$B19,BASE!$A:$A,P$6)</f>
        <v>0</v>
      </c>
      <c r="Q19" s="17">
        <f>SUMIFS(BASE!$G:$G,BASE!$L:$L,$C19,BASE!$J:$J,$B19,BASE!$A:$A,Q$6)</f>
        <v>0</v>
      </c>
      <c r="R19" s="17">
        <f>SUMIFS(BASE!$G:$G,BASE!$L:$L,$C19,BASE!$J:$J,$B19,BASE!$A:$A,R$6)</f>
        <v>0</v>
      </c>
      <c r="T19" s="44" t="str">
        <f t="shared" si="1"/>
        <v>COM TROCAS</v>
      </c>
    </row>
    <row r="20" spans="2:20">
      <c r="B20" s="71" t="s">
        <v>96</v>
      </c>
      <c r="C20" s="71" t="s">
        <v>59</v>
      </c>
      <c r="D20" s="67">
        <f>COUNTIFS(PDVS!H:H,"SIM",PDVS!C:C,B20)</f>
        <v>0</v>
      </c>
      <c r="E20" s="68">
        <f>COUNTIFS(PDVS!C:C,B20,PDVS!I:I,"SIM")</f>
        <v>1</v>
      </c>
      <c r="F20" s="80" t="str">
        <f t="shared" si="0"/>
        <v>Sim</v>
      </c>
      <c r="G20" s="61">
        <f>SUMIFS(BASE!$G:$G,BASE!$L:$L,$C20,BASE!$J:$J,$B20,BASE!$A:$A,G$6)</f>
        <v>0</v>
      </c>
      <c r="H20" s="17">
        <f>SUMIFS(BASE!$G:$G,BASE!$L:$L,$C20,BASE!$J:$J,$B20,BASE!$A:$A,H$6)</f>
        <v>0</v>
      </c>
      <c r="I20" s="17">
        <f>SUMIFS(BASE!$G:$G,BASE!$L:$L,$C20,BASE!$J:$J,$B20,BASE!$A:$A,I$6)</f>
        <v>0</v>
      </c>
      <c r="J20" s="17">
        <f>SUMIFS(BASE!$G:$G,BASE!$L:$L,$C20,BASE!$J:$J,$B20,BASE!$A:$A,J$6)</f>
        <v>0</v>
      </c>
      <c r="K20" s="17">
        <f>SUMIFS(BASE!$G:$G,BASE!$L:$L,$C20,BASE!$J:$J,$B20,BASE!$A:$A,K$6)</f>
        <v>0</v>
      </c>
      <c r="L20" s="17">
        <f>SUMIFS(BASE!$G:$G,BASE!$L:$L,$C20,BASE!$J:$J,$B20,BASE!$A:$A,L$6)</f>
        <v>0</v>
      </c>
      <c r="M20" s="17">
        <f>SUMIFS(BASE!$G:$G,BASE!$L:$L,$C20,BASE!$J:$J,$B20,BASE!$A:$A,M$6)</f>
        <v>0</v>
      </c>
      <c r="N20" s="74">
        <f>SUMIFS(BASE!$G:$G,BASE!$L:$L,$C20,BASE!$J:$J,$B20,BASE!$A:$A,N$6)</f>
        <v>0</v>
      </c>
      <c r="O20" s="17">
        <f>SUMIFS(BASE!$G:$G,BASE!$L:$L,$C20,BASE!$J:$J,$B20,BASE!$A:$A,O$6)</f>
        <v>0</v>
      </c>
      <c r="P20" s="17">
        <f>SUMIFS(BASE!$G:$G,BASE!$L:$L,$C20,BASE!$J:$J,$B20,BASE!$A:$A,P$6)</f>
        <v>0</v>
      </c>
      <c r="Q20" s="17">
        <f>SUMIFS(BASE!$G:$G,BASE!$L:$L,$C20,BASE!$J:$J,$B20,BASE!$A:$A,Q$6)</f>
        <v>0</v>
      </c>
      <c r="R20" s="17">
        <f>SUMIFS(BASE!$G:$G,BASE!$L:$L,$C20,BASE!$J:$J,$B20,BASE!$A:$A,R$6)</f>
        <v>0</v>
      </c>
      <c r="T20" s="44" t="str">
        <f t="shared" si="1"/>
        <v>ZERADO</v>
      </c>
    </row>
    <row r="21" spans="2:20">
      <c r="B21" s="71" t="s">
        <v>97</v>
      </c>
      <c r="C21" s="71" t="s">
        <v>57</v>
      </c>
      <c r="D21" s="67">
        <f>COUNTIFS(PDVS!H:H,"SIM",PDVS!C:C,B21)</f>
        <v>0</v>
      </c>
      <c r="E21" s="68">
        <f>COUNTIFS(PDVS!C:C,B21,PDVS!I:I,"SIM")</f>
        <v>14</v>
      </c>
      <c r="F21" s="80" t="str">
        <f t="shared" si="0"/>
        <v>Sim</v>
      </c>
      <c r="G21" s="61">
        <f>SUMIFS(BASE!$G:$G,BASE!$L:$L,$C21,BASE!$J:$J,$B21,BASE!$A:$A,G$6)</f>
        <v>5</v>
      </c>
      <c r="H21" s="17">
        <f>SUMIFS(BASE!$G:$G,BASE!$L:$L,$C21,BASE!$J:$J,$B21,BASE!$A:$A,H$6)</f>
        <v>4</v>
      </c>
      <c r="I21" s="17">
        <f>SUMIFS(BASE!$G:$G,BASE!$L:$L,$C21,BASE!$J:$J,$B21,BASE!$A:$A,I$6)</f>
        <v>11</v>
      </c>
      <c r="J21" s="17">
        <f>SUMIFS(BASE!$G:$G,BASE!$L:$L,$C21,BASE!$J:$J,$B21,BASE!$A:$A,J$6)</f>
        <v>14</v>
      </c>
      <c r="K21" s="17">
        <f>SUMIFS(BASE!$G:$G,BASE!$L:$L,$C21,BASE!$J:$J,$B21,BASE!$A:$A,K$6)</f>
        <v>17</v>
      </c>
      <c r="L21" s="17">
        <f>SUMIFS(BASE!$G:$G,BASE!$L:$L,$C21,BASE!$J:$J,$B21,BASE!$A:$A,L$6)</f>
        <v>23</v>
      </c>
      <c r="M21" s="17">
        <f>SUMIFS(BASE!$G:$G,BASE!$L:$L,$C21,BASE!$J:$J,$B21,BASE!$A:$A,M$6)</f>
        <v>54</v>
      </c>
      <c r="N21" s="74">
        <f>SUMIFS(BASE!$G:$G,BASE!$L:$L,$C21,BASE!$J:$J,$B21,BASE!$A:$A,N$6)</f>
        <v>74</v>
      </c>
      <c r="O21" s="17">
        <f>SUMIFS(BASE!$G:$G,BASE!$L:$L,$C21,BASE!$J:$J,$B21,BASE!$A:$A,O$6)</f>
        <v>0</v>
      </c>
      <c r="P21" s="17">
        <f>SUMIFS(BASE!$G:$G,BASE!$L:$L,$C21,BASE!$J:$J,$B21,BASE!$A:$A,P$6)</f>
        <v>0</v>
      </c>
      <c r="Q21" s="17">
        <f>SUMIFS(BASE!$G:$G,BASE!$L:$L,$C21,BASE!$J:$J,$B21,BASE!$A:$A,Q$6)</f>
        <v>0</v>
      </c>
      <c r="R21" s="17">
        <f>SUMIFS(BASE!$G:$G,BASE!$L:$L,$C21,BASE!$J:$J,$B21,BASE!$A:$A,R$6)</f>
        <v>0</v>
      </c>
      <c r="T21" s="44" t="str">
        <f t="shared" si="1"/>
        <v>COM TROCAS</v>
      </c>
    </row>
    <row r="22" spans="2:20">
      <c r="B22" s="71" t="s">
        <v>98</v>
      </c>
      <c r="C22" s="71" t="s">
        <v>62</v>
      </c>
      <c r="D22" s="67">
        <f>COUNTIFS(PDVS!H:H,"SIM",PDVS!C:C,B22)</f>
        <v>0</v>
      </c>
      <c r="E22" s="68">
        <f>COUNTIFS(PDVS!C:C,B22,PDVS!I:I,"SIM")</f>
        <v>0</v>
      </c>
      <c r="F22" s="80" t="str">
        <f t="shared" si="0"/>
        <v>Sim</v>
      </c>
      <c r="G22" s="61">
        <f>SUMIFS(BASE!$G:$G,BASE!$L:$L,$C22,BASE!$J:$J,$B22,BASE!$A:$A,G$6)</f>
        <v>0</v>
      </c>
      <c r="H22" s="17">
        <f>SUMIFS(BASE!$G:$G,BASE!$L:$L,$C22,BASE!$J:$J,$B22,BASE!$A:$A,H$6)</f>
        <v>0</v>
      </c>
      <c r="I22" s="17">
        <f>SUMIFS(BASE!$G:$G,BASE!$L:$L,$C22,BASE!$J:$J,$B22,BASE!$A:$A,I$6)</f>
        <v>0</v>
      </c>
      <c r="J22" s="17">
        <f>SUMIFS(BASE!$G:$G,BASE!$L:$L,$C22,BASE!$J:$J,$B22,BASE!$A:$A,J$6)</f>
        <v>0</v>
      </c>
      <c r="K22" s="17">
        <f>SUMIFS(BASE!$G:$G,BASE!$L:$L,$C22,BASE!$J:$J,$B22,BASE!$A:$A,K$6)</f>
        <v>0</v>
      </c>
      <c r="L22" s="17">
        <f>SUMIFS(BASE!$G:$G,BASE!$L:$L,$C22,BASE!$J:$J,$B22,BASE!$A:$A,L$6)</f>
        <v>0</v>
      </c>
      <c r="M22" s="17">
        <f>SUMIFS(BASE!$G:$G,BASE!$L:$L,$C22,BASE!$J:$J,$B22,BASE!$A:$A,M$6)</f>
        <v>0</v>
      </c>
      <c r="N22" s="74">
        <f>SUMIFS(BASE!$G:$G,BASE!$L:$L,$C22,BASE!$J:$J,$B22,BASE!$A:$A,N$6)</f>
        <v>0</v>
      </c>
      <c r="O22" s="17">
        <f>SUMIFS(BASE!$G:$G,BASE!$L:$L,$C22,BASE!$J:$J,$B22,BASE!$A:$A,O$6)</f>
        <v>0</v>
      </c>
      <c r="P22" s="17">
        <f>SUMIFS(BASE!$G:$G,BASE!$L:$L,$C22,BASE!$J:$J,$B22,BASE!$A:$A,P$6)</f>
        <v>0</v>
      </c>
      <c r="Q22" s="17">
        <f>SUMIFS(BASE!$G:$G,BASE!$L:$L,$C22,BASE!$J:$J,$B22,BASE!$A:$A,Q$6)</f>
        <v>0</v>
      </c>
      <c r="R22" s="17">
        <f>SUMIFS(BASE!$G:$G,BASE!$L:$L,$C22,BASE!$J:$J,$B22,BASE!$A:$A,R$6)</f>
        <v>0</v>
      </c>
      <c r="T22" s="44" t="str">
        <f t="shared" si="1"/>
        <v>ZERADO</v>
      </c>
    </row>
    <row r="23" spans="2:20">
      <c r="B23" s="71" t="s">
        <v>99</v>
      </c>
      <c r="C23" s="71" t="s">
        <v>60</v>
      </c>
      <c r="D23" s="67">
        <f>COUNTIFS(PDVS!H:H,"SIM",PDVS!C:C,B23)</f>
        <v>0</v>
      </c>
      <c r="E23" s="68">
        <f>COUNTIFS(PDVS!C:C,B23,PDVS!I:I,"SIM")</f>
        <v>2</v>
      </c>
      <c r="F23" s="80" t="str">
        <f t="shared" si="0"/>
        <v>Sim</v>
      </c>
      <c r="G23" s="61">
        <f>SUMIFS(BASE!$G:$G,BASE!$L:$L,$C23,BASE!$J:$J,$B23,BASE!$A:$A,G$6)</f>
        <v>0</v>
      </c>
      <c r="H23" s="17">
        <f>SUMIFS(BASE!$G:$G,BASE!$L:$L,$C23,BASE!$J:$J,$B23,BASE!$A:$A,H$6)</f>
        <v>0</v>
      </c>
      <c r="I23" s="17">
        <f>SUMIFS(BASE!$G:$G,BASE!$L:$L,$C23,BASE!$J:$J,$B23,BASE!$A:$A,I$6)</f>
        <v>0</v>
      </c>
      <c r="J23" s="17">
        <f>SUMIFS(BASE!$G:$G,BASE!$L:$L,$C23,BASE!$J:$J,$B23,BASE!$A:$A,J$6)</f>
        <v>0</v>
      </c>
      <c r="K23" s="17">
        <f>SUMIFS(BASE!$G:$G,BASE!$L:$L,$C23,BASE!$J:$J,$B23,BASE!$A:$A,K$6)</f>
        <v>0</v>
      </c>
      <c r="L23" s="17">
        <f>SUMIFS(BASE!$G:$G,BASE!$L:$L,$C23,BASE!$J:$J,$B23,BASE!$A:$A,L$6)</f>
        <v>0</v>
      </c>
      <c r="M23" s="17">
        <f>SUMIFS(BASE!$G:$G,BASE!$L:$L,$C23,BASE!$J:$J,$B23,BASE!$A:$A,M$6)</f>
        <v>0</v>
      </c>
      <c r="N23" s="74">
        <f>SUMIFS(BASE!$G:$G,BASE!$L:$L,$C23,BASE!$J:$J,$B23,BASE!$A:$A,N$6)</f>
        <v>0</v>
      </c>
      <c r="O23" s="17">
        <f>SUMIFS(BASE!$G:$G,BASE!$L:$L,$C23,BASE!$J:$J,$B23,BASE!$A:$A,O$6)</f>
        <v>0</v>
      </c>
      <c r="P23" s="17">
        <f>SUMIFS(BASE!$G:$G,BASE!$L:$L,$C23,BASE!$J:$J,$B23,BASE!$A:$A,P$6)</f>
        <v>0</v>
      </c>
      <c r="Q23" s="17">
        <f>SUMIFS(BASE!$G:$G,BASE!$L:$L,$C23,BASE!$J:$J,$B23,BASE!$A:$A,Q$6)</f>
        <v>0</v>
      </c>
      <c r="R23" s="17">
        <f>SUMIFS(BASE!$G:$G,BASE!$L:$L,$C23,BASE!$J:$J,$B23,BASE!$A:$A,R$6)</f>
        <v>0</v>
      </c>
      <c r="T23" s="44" t="str">
        <f t="shared" si="1"/>
        <v>ZERADO</v>
      </c>
    </row>
    <row r="24" spans="2:20">
      <c r="B24" s="71" t="s">
        <v>100</v>
      </c>
      <c r="C24" s="71" t="s">
        <v>59</v>
      </c>
      <c r="D24" s="67">
        <f>COUNTIFS(PDVS!H:H,"SIM",PDVS!C:C,B24)</f>
        <v>0</v>
      </c>
      <c r="E24" s="68">
        <f>COUNTIFS(PDVS!C:C,B24,PDVS!I:I,"SIM")</f>
        <v>7</v>
      </c>
      <c r="F24" s="80" t="str">
        <f t="shared" si="0"/>
        <v>Sim</v>
      </c>
      <c r="G24" s="61">
        <f>SUMIFS(BASE!$G:$G,BASE!$L:$L,$C24,BASE!$J:$J,$B24,BASE!$A:$A,G$6)</f>
        <v>0</v>
      </c>
      <c r="H24" s="17">
        <f>SUMIFS(BASE!$G:$G,BASE!$L:$L,$C24,BASE!$J:$J,$B24,BASE!$A:$A,H$6)</f>
        <v>0</v>
      </c>
      <c r="I24" s="17">
        <f>SUMIFS(BASE!$G:$G,BASE!$L:$L,$C24,BASE!$J:$J,$B24,BASE!$A:$A,I$6)</f>
        <v>0</v>
      </c>
      <c r="J24" s="17">
        <f>SUMIFS(BASE!$G:$G,BASE!$L:$L,$C24,BASE!$J:$J,$B24,BASE!$A:$A,J$6)</f>
        <v>0</v>
      </c>
      <c r="K24" s="17">
        <f>SUMIFS(BASE!$G:$G,BASE!$L:$L,$C24,BASE!$J:$J,$B24,BASE!$A:$A,K$6)</f>
        <v>0</v>
      </c>
      <c r="L24" s="17">
        <f>SUMIFS(BASE!$G:$G,BASE!$L:$L,$C24,BASE!$J:$J,$B24,BASE!$A:$A,L$6)</f>
        <v>0</v>
      </c>
      <c r="M24" s="17">
        <f>SUMIFS(BASE!$G:$G,BASE!$L:$L,$C24,BASE!$J:$J,$B24,BASE!$A:$A,M$6)</f>
        <v>0</v>
      </c>
      <c r="N24" s="74">
        <f>SUMIFS(BASE!$G:$G,BASE!$L:$L,$C24,BASE!$J:$J,$B24,BASE!$A:$A,N$6)</f>
        <v>0</v>
      </c>
      <c r="O24" s="17">
        <f>SUMIFS(BASE!$G:$G,BASE!$L:$L,$C24,BASE!$J:$J,$B24,BASE!$A:$A,O$6)</f>
        <v>0</v>
      </c>
      <c r="P24" s="17">
        <f>SUMIFS(BASE!$G:$G,BASE!$L:$L,$C24,BASE!$J:$J,$B24,BASE!$A:$A,P$6)</f>
        <v>0</v>
      </c>
      <c r="Q24" s="17">
        <f>SUMIFS(BASE!$G:$G,BASE!$L:$L,$C24,BASE!$J:$J,$B24,BASE!$A:$A,Q$6)</f>
        <v>0</v>
      </c>
      <c r="R24" s="17">
        <f>SUMIFS(BASE!$G:$G,BASE!$L:$L,$C24,BASE!$J:$J,$B24,BASE!$A:$A,R$6)</f>
        <v>0</v>
      </c>
      <c r="T24" s="44" t="str">
        <f t="shared" si="1"/>
        <v>ZERADO</v>
      </c>
    </row>
    <row r="25" spans="2:20">
      <c r="B25" s="71" t="s">
        <v>101</v>
      </c>
      <c r="C25" s="71" t="s">
        <v>60</v>
      </c>
      <c r="D25" s="67">
        <f>COUNTIFS(PDVS!H:H,"SIM",PDVS!C:C,B25)</f>
        <v>0</v>
      </c>
      <c r="E25" s="68">
        <f>COUNTIFS(PDVS!C:C,B25,PDVS!I:I,"SIM")</f>
        <v>5</v>
      </c>
      <c r="F25" s="80" t="str">
        <f t="shared" si="0"/>
        <v>Sim</v>
      </c>
      <c r="G25" s="61">
        <f>SUMIFS(BASE!$G:$G,BASE!$L:$L,$C25,BASE!$J:$J,$B25,BASE!$A:$A,G$6)</f>
        <v>0</v>
      </c>
      <c r="H25" s="17">
        <f>SUMIFS(BASE!$G:$G,BASE!$L:$L,$C25,BASE!$J:$J,$B25,BASE!$A:$A,H$6)</f>
        <v>0</v>
      </c>
      <c r="I25" s="17">
        <f>SUMIFS(BASE!$G:$G,BASE!$L:$L,$C25,BASE!$J:$J,$B25,BASE!$A:$A,I$6)</f>
        <v>0</v>
      </c>
      <c r="J25" s="17">
        <f>SUMIFS(BASE!$G:$G,BASE!$L:$L,$C25,BASE!$J:$J,$B25,BASE!$A:$A,J$6)</f>
        <v>0</v>
      </c>
      <c r="K25" s="17">
        <f>SUMIFS(BASE!$G:$G,BASE!$L:$L,$C25,BASE!$J:$J,$B25,BASE!$A:$A,K$6)</f>
        <v>0</v>
      </c>
      <c r="L25" s="17">
        <f>SUMIFS(BASE!$G:$G,BASE!$L:$L,$C25,BASE!$J:$J,$B25,BASE!$A:$A,L$6)</f>
        <v>0</v>
      </c>
      <c r="M25" s="17">
        <f>SUMIFS(BASE!$G:$G,BASE!$L:$L,$C25,BASE!$J:$J,$B25,BASE!$A:$A,M$6)</f>
        <v>0</v>
      </c>
      <c r="N25" s="74">
        <f>SUMIFS(BASE!$G:$G,BASE!$L:$L,$C25,BASE!$J:$J,$B25,BASE!$A:$A,N$6)</f>
        <v>0</v>
      </c>
      <c r="O25" s="17">
        <f>SUMIFS(BASE!$G:$G,BASE!$L:$L,$C25,BASE!$J:$J,$B25,BASE!$A:$A,O$6)</f>
        <v>0</v>
      </c>
      <c r="P25" s="17">
        <f>SUMIFS(BASE!$G:$G,BASE!$L:$L,$C25,BASE!$J:$J,$B25,BASE!$A:$A,P$6)</f>
        <v>0</v>
      </c>
      <c r="Q25" s="17">
        <f>SUMIFS(BASE!$G:$G,BASE!$L:$L,$C25,BASE!$J:$J,$B25,BASE!$A:$A,Q$6)</f>
        <v>0</v>
      </c>
      <c r="R25" s="17">
        <f>SUMIFS(BASE!$G:$G,BASE!$L:$L,$C25,BASE!$J:$J,$B25,BASE!$A:$A,R$6)</f>
        <v>0</v>
      </c>
      <c r="T25" s="44" t="str">
        <f t="shared" si="1"/>
        <v>ZERADO</v>
      </c>
    </row>
    <row r="26" spans="2:20">
      <c r="B26" s="71" t="s">
        <v>102</v>
      </c>
      <c r="C26" s="71" t="s">
        <v>57</v>
      </c>
      <c r="D26" s="67">
        <f>COUNTIFS(PDVS!H:H,"SIM",PDVS!C:C,B26)</f>
        <v>0</v>
      </c>
      <c r="E26" s="68">
        <f>COUNTIFS(PDVS!C:C,B26,PDVS!I:I,"SIM")</f>
        <v>1</v>
      </c>
      <c r="F26" s="80" t="str">
        <f t="shared" si="0"/>
        <v>Sim</v>
      </c>
      <c r="G26" s="61">
        <f>SUMIFS(BASE!$G:$G,BASE!$L:$L,$C26,BASE!$J:$J,$B26,BASE!$A:$A,G$6)</f>
        <v>0</v>
      </c>
      <c r="H26" s="17">
        <f>SUMIFS(BASE!$G:$G,BASE!$L:$L,$C26,BASE!$J:$J,$B26,BASE!$A:$A,H$6)</f>
        <v>0</v>
      </c>
      <c r="I26" s="17">
        <f>SUMIFS(BASE!$G:$G,BASE!$L:$L,$C26,BASE!$J:$J,$B26,BASE!$A:$A,I$6)</f>
        <v>0</v>
      </c>
      <c r="J26" s="17">
        <f>SUMIFS(BASE!$G:$G,BASE!$L:$L,$C26,BASE!$J:$J,$B26,BASE!$A:$A,J$6)</f>
        <v>0</v>
      </c>
      <c r="K26" s="17">
        <f>SUMIFS(BASE!$G:$G,BASE!$L:$L,$C26,BASE!$J:$J,$B26,BASE!$A:$A,K$6)</f>
        <v>0</v>
      </c>
      <c r="L26" s="17">
        <f>SUMIFS(BASE!$G:$G,BASE!$L:$L,$C26,BASE!$J:$J,$B26,BASE!$A:$A,L$6)</f>
        <v>0</v>
      </c>
      <c r="M26" s="17">
        <f>SUMIFS(BASE!$G:$G,BASE!$L:$L,$C26,BASE!$J:$J,$B26,BASE!$A:$A,M$6)</f>
        <v>0</v>
      </c>
      <c r="N26" s="74">
        <f>SUMIFS(BASE!$G:$G,BASE!$L:$L,$C26,BASE!$J:$J,$B26,BASE!$A:$A,N$6)</f>
        <v>0</v>
      </c>
      <c r="O26" s="17">
        <f>SUMIFS(BASE!$G:$G,BASE!$L:$L,$C26,BASE!$J:$J,$B26,BASE!$A:$A,O$6)</f>
        <v>0</v>
      </c>
      <c r="P26" s="17">
        <f>SUMIFS(BASE!$G:$G,BASE!$L:$L,$C26,BASE!$J:$J,$B26,BASE!$A:$A,P$6)</f>
        <v>0</v>
      </c>
      <c r="Q26" s="17">
        <f>SUMIFS(BASE!$G:$G,BASE!$L:$L,$C26,BASE!$J:$J,$B26,BASE!$A:$A,Q$6)</f>
        <v>0</v>
      </c>
      <c r="R26" s="17">
        <f>SUMIFS(BASE!$G:$G,BASE!$L:$L,$C26,BASE!$J:$J,$B26,BASE!$A:$A,R$6)</f>
        <v>0</v>
      </c>
      <c r="T26" s="44" t="str">
        <f t="shared" si="1"/>
        <v>ZERADO</v>
      </c>
    </row>
    <row r="27" spans="2:20">
      <c r="B27" s="71" t="s">
        <v>103</v>
      </c>
      <c r="C27" s="71" t="s">
        <v>57</v>
      </c>
      <c r="D27" s="67">
        <f>COUNTIFS(PDVS!H:H,"SIM",PDVS!C:C,B27)</f>
        <v>0</v>
      </c>
      <c r="E27" s="68">
        <f>COUNTIFS(PDVS!C:C,B27,PDVS!I:I,"SIM")</f>
        <v>9</v>
      </c>
      <c r="F27" s="80" t="str">
        <f t="shared" si="0"/>
        <v>Sim</v>
      </c>
      <c r="G27" s="61">
        <f>SUMIFS(BASE!$G:$G,BASE!$L:$L,$C27,BASE!$J:$J,$B27,BASE!$A:$A,G$6)</f>
        <v>2</v>
      </c>
      <c r="H27" s="17">
        <f>SUMIFS(BASE!$G:$G,BASE!$L:$L,$C27,BASE!$J:$J,$B27,BASE!$A:$A,H$6)</f>
        <v>1</v>
      </c>
      <c r="I27" s="17">
        <f>SUMIFS(BASE!$G:$G,BASE!$L:$L,$C27,BASE!$J:$J,$B27,BASE!$A:$A,I$6)</f>
        <v>3</v>
      </c>
      <c r="J27" s="17">
        <f>SUMIFS(BASE!$G:$G,BASE!$L:$L,$C27,BASE!$J:$J,$B27,BASE!$A:$A,J$6)</f>
        <v>0</v>
      </c>
      <c r="K27" s="17">
        <f>SUMIFS(BASE!$G:$G,BASE!$L:$L,$C27,BASE!$J:$J,$B27,BASE!$A:$A,K$6)</f>
        <v>2</v>
      </c>
      <c r="L27" s="17">
        <f>SUMIFS(BASE!$G:$G,BASE!$L:$L,$C27,BASE!$J:$J,$B27,BASE!$A:$A,L$6)</f>
        <v>3</v>
      </c>
      <c r="M27" s="17">
        <f>SUMIFS(BASE!$G:$G,BASE!$L:$L,$C27,BASE!$J:$J,$B27,BASE!$A:$A,M$6)</f>
        <v>7</v>
      </c>
      <c r="N27" s="74">
        <f>SUMIFS(BASE!$G:$G,BASE!$L:$L,$C27,BASE!$J:$J,$B27,BASE!$A:$A,N$6)</f>
        <v>11</v>
      </c>
      <c r="O27" s="17">
        <f>SUMIFS(BASE!$G:$G,BASE!$L:$L,$C27,BASE!$J:$J,$B27,BASE!$A:$A,O$6)</f>
        <v>0</v>
      </c>
      <c r="P27" s="17">
        <f>SUMIFS(BASE!$G:$G,BASE!$L:$L,$C27,BASE!$J:$J,$B27,BASE!$A:$A,P$6)</f>
        <v>0</v>
      </c>
      <c r="Q27" s="17">
        <f>SUMIFS(BASE!$G:$G,BASE!$L:$L,$C27,BASE!$J:$J,$B27,BASE!$A:$A,Q$6)</f>
        <v>0</v>
      </c>
      <c r="R27" s="17">
        <f>SUMIFS(BASE!$G:$G,BASE!$L:$L,$C27,BASE!$J:$J,$B27,BASE!$A:$A,R$6)</f>
        <v>0</v>
      </c>
      <c r="T27" s="44" t="str">
        <f t="shared" si="1"/>
        <v>COM TROCAS</v>
      </c>
    </row>
    <row r="28" spans="2:20">
      <c r="B28" s="71" t="s">
        <v>104</v>
      </c>
      <c r="C28" s="71" t="s">
        <v>61</v>
      </c>
      <c r="D28" s="67">
        <f>COUNTIFS(PDVS!H:H,"SIM",PDVS!C:C,B28)</f>
        <v>0</v>
      </c>
      <c r="E28" s="68">
        <f>COUNTIFS(PDVS!C:C,B28,PDVS!I:I,"SIM")</f>
        <v>9</v>
      </c>
      <c r="F28" s="80" t="str">
        <f t="shared" si="0"/>
        <v>Sim</v>
      </c>
      <c r="G28" s="61">
        <f>SUMIFS(BASE!$G:$G,BASE!$L:$L,$C28,BASE!$J:$J,$B28,BASE!$A:$A,G$6)</f>
        <v>0</v>
      </c>
      <c r="H28" s="17">
        <f>SUMIFS(BASE!$G:$G,BASE!$L:$L,$C28,BASE!$J:$J,$B28,BASE!$A:$A,H$6)</f>
        <v>0</v>
      </c>
      <c r="I28" s="17">
        <f>SUMIFS(BASE!$G:$G,BASE!$L:$L,$C28,BASE!$J:$J,$B28,BASE!$A:$A,I$6)</f>
        <v>0</v>
      </c>
      <c r="J28" s="17">
        <f>SUMIFS(BASE!$G:$G,BASE!$L:$L,$C28,BASE!$J:$J,$B28,BASE!$A:$A,J$6)</f>
        <v>0</v>
      </c>
      <c r="K28" s="17">
        <f>SUMIFS(BASE!$G:$G,BASE!$L:$L,$C28,BASE!$J:$J,$B28,BASE!$A:$A,K$6)</f>
        <v>0</v>
      </c>
      <c r="L28" s="17">
        <f>SUMIFS(BASE!$G:$G,BASE!$L:$L,$C28,BASE!$J:$J,$B28,BASE!$A:$A,L$6)</f>
        <v>0</v>
      </c>
      <c r="M28" s="17">
        <f>SUMIFS(BASE!$G:$G,BASE!$L:$L,$C28,BASE!$J:$J,$B28,BASE!$A:$A,M$6)</f>
        <v>0</v>
      </c>
      <c r="N28" s="74">
        <f>SUMIFS(BASE!$G:$G,BASE!$L:$L,$C28,BASE!$J:$J,$B28,BASE!$A:$A,N$6)</f>
        <v>0</v>
      </c>
      <c r="O28" s="17">
        <f>SUMIFS(BASE!$G:$G,BASE!$L:$L,$C28,BASE!$J:$J,$B28,BASE!$A:$A,O$6)</f>
        <v>0</v>
      </c>
      <c r="P28" s="17">
        <f>SUMIFS(BASE!$G:$G,BASE!$L:$L,$C28,BASE!$J:$J,$B28,BASE!$A:$A,P$6)</f>
        <v>0</v>
      </c>
      <c r="Q28" s="17">
        <f>SUMIFS(BASE!$G:$G,BASE!$L:$L,$C28,BASE!$J:$J,$B28,BASE!$A:$A,Q$6)</f>
        <v>0</v>
      </c>
      <c r="R28" s="17">
        <f>SUMIFS(BASE!$G:$G,BASE!$L:$L,$C28,BASE!$J:$J,$B28,BASE!$A:$A,R$6)</f>
        <v>0</v>
      </c>
      <c r="T28" s="44" t="str">
        <f t="shared" si="1"/>
        <v>ZERADO</v>
      </c>
    </row>
    <row r="29" spans="2:20">
      <c r="B29" s="71" t="s">
        <v>105</v>
      </c>
      <c r="C29" s="71" t="s">
        <v>53</v>
      </c>
      <c r="D29" s="67">
        <f>COUNTIFS(PDVS!H:H,"SIM",PDVS!C:C,B29)</f>
        <v>0</v>
      </c>
      <c r="E29" s="68">
        <f>COUNTIFS(PDVS!C:C,B29,PDVS!I:I,"SIM")</f>
        <v>8</v>
      </c>
      <c r="F29" s="80" t="str">
        <f t="shared" si="0"/>
        <v>Sim</v>
      </c>
      <c r="G29" s="61">
        <f>SUMIFS(BASE!$G:$G,BASE!$L:$L,$C29,BASE!$J:$J,$B29,BASE!$A:$A,G$6)</f>
        <v>0</v>
      </c>
      <c r="H29" s="17">
        <f>SUMIFS(BASE!$G:$G,BASE!$L:$L,$C29,BASE!$J:$J,$B29,BASE!$A:$A,H$6)</f>
        <v>0</v>
      </c>
      <c r="I29" s="17">
        <f>SUMIFS(BASE!$G:$G,BASE!$L:$L,$C29,BASE!$J:$J,$B29,BASE!$A:$A,I$6)</f>
        <v>0</v>
      </c>
      <c r="J29" s="17">
        <f>SUMIFS(BASE!$G:$G,BASE!$L:$L,$C29,BASE!$J:$J,$B29,BASE!$A:$A,J$6)</f>
        <v>0</v>
      </c>
      <c r="K29" s="17">
        <f>SUMIFS(BASE!$G:$G,BASE!$L:$L,$C29,BASE!$J:$J,$B29,BASE!$A:$A,K$6)</f>
        <v>0</v>
      </c>
      <c r="L29" s="17">
        <f>SUMIFS(BASE!$G:$G,BASE!$L:$L,$C29,BASE!$J:$J,$B29,BASE!$A:$A,L$6)</f>
        <v>0</v>
      </c>
      <c r="M29" s="17">
        <f>SUMIFS(BASE!$G:$G,BASE!$L:$L,$C29,BASE!$J:$J,$B29,BASE!$A:$A,M$6)</f>
        <v>0</v>
      </c>
      <c r="N29" s="74">
        <f>SUMIFS(BASE!$G:$G,BASE!$L:$L,$C29,BASE!$J:$J,$B29,BASE!$A:$A,N$6)</f>
        <v>0</v>
      </c>
      <c r="O29" s="17">
        <f>SUMIFS(BASE!$G:$G,BASE!$L:$L,$C29,BASE!$J:$J,$B29,BASE!$A:$A,O$6)</f>
        <v>0</v>
      </c>
      <c r="P29" s="17">
        <f>SUMIFS(BASE!$G:$G,BASE!$L:$L,$C29,BASE!$J:$J,$B29,BASE!$A:$A,P$6)</f>
        <v>0</v>
      </c>
      <c r="Q29" s="17">
        <f>SUMIFS(BASE!$G:$G,BASE!$L:$L,$C29,BASE!$J:$J,$B29,BASE!$A:$A,Q$6)</f>
        <v>0</v>
      </c>
      <c r="R29" s="17">
        <f>SUMIFS(BASE!$G:$G,BASE!$L:$L,$C29,BASE!$J:$J,$B29,BASE!$A:$A,R$6)</f>
        <v>0</v>
      </c>
      <c r="T29" s="44" t="str">
        <f t="shared" si="1"/>
        <v>ZERADO</v>
      </c>
    </row>
    <row r="30" spans="2:20">
      <c r="B30" s="71" t="s">
        <v>106</v>
      </c>
      <c r="C30" s="71" t="s">
        <v>57</v>
      </c>
      <c r="D30" s="67">
        <f>COUNTIFS(PDVS!H:H,"SIM",PDVS!C:C,B30)</f>
        <v>0</v>
      </c>
      <c r="E30" s="68">
        <f>COUNTIFS(PDVS!C:C,B30,PDVS!I:I,"SIM")</f>
        <v>146</v>
      </c>
      <c r="F30" s="80" t="str">
        <f t="shared" si="0"/>
        <v>Sim</v>
      </c>
      <c r="G30" s="61">
        <f>SUMIFS(BASE!$G:$G,BASE!$L:$L,$C30,BASE!$J:$J,$B30,BASE!$A:$A,G$6)</f>
        <v>2</v>
      </c>
      <c r="H30" s="17">
        <f>SUMIFS(BASE!$G:$G,BASE!$L:$L,$C30,BASE!$J:$J,$B30,BASE!$A:$A,H$6)</f>
        <v>1</v>
      </c>
      <c r="I30" s="17">
        <f>SUMIFS(BASE!$G:$G,BASE!$L:$L,$C30,BASE!$J:$J,$B30,BASE!$A:$A,I$6)</f>
        <v>22</v>
      </c>
      <c r="J30" s="17">
        <f>SUMIFS(BASE!$G:$G,BASE!$L:$L,$C30,BASE!$J:$J,$B30,BASE!$A:$A,J$6)</f>
        <v>23</v>
      </c>
      <c r="K30" s="17">
        <f>SUMIFS(BASE!$G:$G,BASE!$L:$L,$C30,BASE!$J:$J,$B30,BASE!$A:$A,K$6)</f>
        <v>30</v>
      </c>
      <c r="L30" s="17">
        <f>SUMIFS(BASE!$G:$G,BASE!$L:$L,$C30,BASE!$J:$J,$B30,BASE!$A:$A,L$6)</f>
        <v>56</v>
      </c>
      <c r="M30" s="17">
        <f>SUMIFS(BASE!$G:$G,BASE!$L:$L,$C30,BASE!$J:$J,$B30,BASE!$A:$A,M$6)</f>
        <v>100</v>
      </c>
      <c r="N30" s="74">
        <f>SUMIFS(BASE!$G:$G,BASE!$L:$L,$C30,BASE!$J:$J,$B30,BASE!$A:$A,N$6)</f>
        <v>162</v>
      </c>
      <c r="O30" s="17">
        <f>SUMIFS(BASE!$G:$G,BASE!$L:$L,$C30,BASE!$J:$J,$B30,BASE!$A:$A,O$6)</f>
        <v>0</v>
      </c>
      <c r="P30" s="17">
        <f>SUMIFS(BASE!$G:$G,BASE!$L:$L,$C30,BASE!$J:$J,$B30,BASE!$A:$A,P$6)</f>
        <v>0</v>
      </c>
      <c r="Q30" s="17">
        <f>SUMIFS(BASE!$G:$G,BASE!$L:$L,$C30,BASE!$J:$J,$B30,BASE!$A:$A,Q$6)</f>
        <v>0</v>
      </c>
      <c r="R30" s="17">
        <f>SUMIFS(BASE!$G:$G,BASE!$L:$L,$C30,BASE!$J:$J,$B30,BASE!$A:$A,R$6)</f>
        <v>0</v>
      </c>
      <c r="T30" s="44" t="str">
        <f t="shared" si="1"/>
        <v>COM TROCAS</v>
      </c>
    </row>
    <row r="31" spans="2:20">
      <c r="B31" s="71" t="s">
        <v>106</v>
      </c>
      <c r="C31" s="71" t="s">
        <v>58</v>
      </c>
      <c r="D31" s="67">
        <f>COUNTIFS(PDVS!H:H,"SIM",PDVS!C:C,B31)</f>
        <v>0</v>
      </c>
      <c r="E31" s="68">
        <f>COUNTIFS(PDVS!C:C,B31,PDVS!I:I,"SIM")</f>
        <v>146</v>
      </c>
      <c r="F31" s="80" t="str">
        <f t="shared" si="0"/>
        <v>Sim</v>
      </c>
      <c r="G31" s="61">
        <f>SUMIFS(BASE!$G:$G,BASE!$L:$L,$C31,BASE!$J:$J,$B31,BASE!$A:$A,G$6)</f>
        <v>0</v>
      </c>
      <c r="H31" s="17">
        <f>SUMIFS(BASE!$G:$G,BASE!$L:$L,$C31,BASE!$J:$J,$B31,BASE!$A:$A,H$6)</f>
        <v>0</v>
      </c>
      <c r="I31" s="17">
        <f>SUMIFS(BASE!$G:$G,BASE!$L:$L,$C31,BASE!$J:$J,$B31,BASE!$A:$A,I$6)</f>
        <v>0</v>
      </c>
      <c r="J31" s="17">
        <f>SUMIFS(BASE!$G:$G,BASE!$L:$L,$C31,BASE!$J:$J,$B31,BASE!$A:$A,J$6)</f>
        <v>0</v>
      </c>
      <c r="K31" s="17">
        <f>SUMIFS(BASE!$G:$G,BASE!$L:$L,$C31,BASE!$J:$J,$B31,BASE!$A:$A,K$6)</f>
        <v>1</v>
      </c>
      <c r="L31" s="17">
        <f>SUMIFS(BASE!$G:$G,BASE!$L:$L,$C31,BASE!$J:$J,$B31,BASE!$A:$A,L$6)</f>
        <v>0</v>
      </c>
      <c r="M31" s="17">
        <f>SUMIFS(BASE!$G:$G,BASE!$L:$L,$C31,BASE!$J:$J,$B31,BASE!$A:$A,M$6)</f>
        <v>0</v>
      </c>
      <c r="N31" s="74">
        <f>SUMIFS(BASE!$G:$G,BASE!$L:$L,$C31,BASE!$J:$J,$B31,BASE!$A:$A,N$6)</f>
        <v>1</v>
      </c>
      <c r="O31" s="17">
        <f>SUMIFS(BASE!$G:$G,BASE!$L:$L,$C31,BASE!$J:$J,$B31,BASE!$A:$A,O$6)</f>
        <v>0</v>
      </c>
      <c r="P31" s="17">
        <f>SUMIFS(BASE!$G:$G,BASE!$L:$L,$C31,BASE!$J:$J,$B31,BASE!$A:$A,P$6)</f>
        <v>0</v>
      </c>
      <c r="Q31" s="17">
        <f>SUMIFS(BASE!$G:$G,BASE!$L:$L,$C31,BASE!$J:$J,$B31,BASE!$A:$A,Q$6)</f>
        <v>0</v>
      </c>
      <c r="R31" s="17">
        <f>SUMIFS(BASE!$G:$G,BASE!$L:$L,$C31,BASE!$J:$J,$B31,BASE!$A:$A,R$6)</f>
        <v>0</v>
      </c>
      <c r="T31" s="44" t="str">
        <f t="shared" si="1"/>
        <v>COM TROCAS</v>
      </c>
    </row>
    <row r="32" spans="2:20">
      <c r="B32" s="71" t="s">
        <v>107</v>
      </c>
      <c r="C32" s="71" t="s">
        <v>56</v>
      </c>
      <c r="D32" s="67">
        <f>COUNTIFS(PDVS!H:H,"SIM",PDVS!C:C,B32)</f>
        <v>0</v>
      </c>
      <c r="E32" s="68">
        <f>COUNTIFS(PDVS!C:C,B32,PDVS!I:I,"SIM")</f>
        <v>2</v>
      </c>
      <c r="F32" s="80" t="str">
        <f t="shared" si="0"/>
        <v>Sim</v>
      </c>
      <c r="G32" s="61">
        <f>SUMIFS(BASE!$G:$G,BASE!$L:$L,$C32,BASE!$J:$J,$B32,BASE!$A:$A,G$6)</f>
        <v>0</v>
      </c>
      <c r="H32" s="17">
        <f>SUMIFS(BASE!$G:$G,BASE!$L:$L,$C32,BASE!$J:$J,$B32,BASE!$A:$A,H$6)</f>
        <v>0</v>
      </c>
      <c r="I32" s="17">
        <f>SUMIFS(BASE!$G:$G,BASE!$L:$L,$C32,BASE!$J:$J,$B32,BASE!$A:$A,I$6)</f>
        <v>0</v>
      </c>
      <c r="J32" s="17">
        <f>SUMIFS(BASE!$G:$G,BASE!$L:$L,$C32,BASE!$J:$J,$B32,BASE!$A:$A,J$6)</f>
        <v>0</v>
      </c>
      <c r="K32" s="17">
        <f>SUMIFS(BASE!$G:$G,BASE!$L:$L,$C32,BASE!$J:$J,$B32,BASE!$A:$A,K$6)</f>
        <v>0</v>
      </c>
      <c r="L32" s="17">
        <f>SUMIFS(BASE!$G:$G,BASE!$L:$L,$C32,BASE!$J:$J,$B32,BASE!$A:$A,L$6)</f>
        <v>0</v>
      </c>
      <c r="M32" s="17">
        <f>SUMIFS(BASE!$G:$G,BASE!$L:$L,$C32,BASE!$J:$J,$B32,BASE!$A:$A,M$6)</f>
        <v>0</v>
      </c>
      <c r="N32" s="74">
        <f>SUMIFS(BASE!$G:$G,BASE!$L:$L,$C32,BASE!$J:$J,$B32,BASE!$A:$A,N$6)</f>
        <v>0</v>
      </c>
      <c r="O32" s="17">
        <f>SUMIFS(BASE!$G:$G,BASE!$L:$L,$C32,BASE!$J:$J,$B32,BASE!$A:$A,O$6)</f>
        <v>0</v>
      </c>
      <c r="P32" s="17">
        <f>SUMIFS(BASE!$G:$G,BASE!$L:$L,$C32,BASE!$J:$J,$B32,BASE!$A:$A,P$6)</f>
        <v>0</v>
      </c>
      <c r="Q32" s="17">
        <f>SUMIFS(BASE!$G:$G,BASE!$L:$L,$C32,BASE!$J:$J,$B32,BASE!$A:$A,Q$6)</f>
        <v>0</v>
      </c>
      <c r="R32" s="17">
        <f>SUMIFS(BASE!$G:$G,BASE!$L:$L,$C32,BASE!$J:$J,$B32,BASE!$A:$A,R$6)</f>
        <v>0</v>
      </c>
      <c r="T32" s="44" t="str">
        <f t="shared" si="1"/>
        <v>ZERADO</v>
      </c>
    </row>
    <row r="33" spans="2:20">
      <c r="B33" s="71" t="s">
        <v>108</v>
      </c>
      <c r="C33" s="71" t="s">
        <v>56</v>
      </c>
      <c r="D33" s="67">
        <f>COUNTIFS(PDVS!H:H,"SIM",PDVS!C:C,B33)</f>
        <v>0</v>
      </c>
      <c r="E33" s="68">
        <f>COUNTIFS(PDVS!C:C,B33,PDVS!I:I,"SIM")</f>
        <v>1</v>
      </c>
      <c r="F33" s="80" t="str">
        <f t="shared" si="0"/>
        <v>Sim</v>
      </c>
      <c r="G33" s="61">
        <f>SUMIFS(BASE!$G:$G,BASE!$L:$L,$C33,BASE!$J:$J,$B33,BASE!$A:$A,G$6)</f>
        <v>0</v>
      </c>
      <c r="H33" s="17">
        <f>SUMIFS(BASE!$G:$G,BASE!$L:$L,$C33,BASE!$J:$J,$B33,BASE!$A:$A,H$6)</f>
        <v>0</v>
      </c>
      <c r="I33" s="17">
        <f>SUMIFS(BASE!$G:$G,BASE!$L:$L,$C33,BASE!$J:$J,$B33,BASE!$A:$A,I$6)</f>
        <v>0</v>
      </c>
      <c r="J33" s="17">
        <f>SUMIFS(BASE!$G:$G,BASE!$L:$L,$C33,BASE!$J:$J,$B33,BASE!$A:$A,J$6)</f>
        <v>0</v>
      </c>
      <c r="K33" s="17">
        <f>SUMIFS(BASE!$G:$G,BASE!$L:$L,$C33,BASE!$J:$J,$B33,BASE!$A:$A,K$6)</f>
        <v>0</v>
      </c>
      <c r="L33" s="17">
        <f>SUMIFS(BASE!$G:$G,BASE!$L:$L,$C33,BASE!$J:$J,$B33,BASE!$A:$A,L$6)</f>
        <v>0</v>
      </c>
      <c r="M33" s="17">
        <f>SUMIFS(BASE!$G:$G,BASE!$L:$L,$C33,BASE!$J:$J,$B33,BASE!$A:$A,M$6)</f>
        <v>0</v>
      </c>
      <c r="N33" s="74">
        <f>SUMIFS(BASE!$G:$G,BASE!$L:$L,$C33,BASE!$J:$J,$B33,BASE!$A:$A,N$6)</f>
        <v>0</v>
      </c>
      <c r="O33" s="17">
        <f>SUMIFS(BASE!$G:$G,BASE!$L:$L,$C33,BASE!$J:$J,$B33,BASE!$A:$A,O$6)</f>
        <v>0</v>
      </c>
      <c r="P33" s="17">
        <f>SUMIFS(BASE!$G:$G,BASE!$L:$L,$C33,BASE!$J:$J,$B33,BASE!$A:$A,P$6)</f>
        <v>0</v>
      </c>
      <c r="Q33" s="17">
        <f>SUMIFS(BASE!$G:$G,BASE!$L:$L,$C33,BASE!$J:$J,$B33,BASE!$A:$A,Q$6)</f>
        <v>0</v>
      </c>
      <c r="R33" s="17">
        <f>SUMIFS(BASE!$G:$G,BASE!$L:$L,$C33,BASE!$J:$J,$B33,BASE!$A:$A,R$6)</f>
        <v>0</v>
      </c>
      <c r="T33" s="44" t="str">
        <f t="shared" si="1"/>
        <v>ZERADO</v>
      </c>
    </row>
    <row r="34" spans="2:20">
      <c r="B34" s="71" t="s">
        <v>109</v>
      </c>
      <c r="C34" s="71" t="s">
        <v>60</v>
      </c>
      <c r="D34" s="67">
        <f>COUNTIFS(PDVS!H:H,"SIM",PDVS!C:C,B34)</f>
        <v>0</v>
      </c>
      <c r="E34" s="68">
        <f>COUNTIFS(PDVS!C:C,B34,PDVS!I:I,"SIM")</f>
        <v>1</v>
      </c>
      <c r="F34" s="80" t="str">
        <f t="shared" si="0"/>
        <v>Sim</v>
      </c>
      <c r="G34" s="61">
        <f>SUMIFS(BASE!$G:$G,BASE!$L:$L,$C34,BASE!$J:$J,$B34,BASE!$A:$A,G$6)</f>
        <v>0</v>
      </c>
      <c r="H34" s="17">
        <f>SUMIFS(BASE!$G:$G,BASE!$L:$L,$C34,BASE!$J:$J,$B34,BASE!$A:$A,H$6)</f>
        <v>0</v>
      </c>
      <c r="I34" s="17">
        <f>SUMIFS(BASE!$G:$G,BASE!$L:$L,$C34,BASE!$J:$J,$B34,BASE!$A:$A,I$6)</f>
        <v>0</v>
      </c>
      <c r="J34" s="17">
        <f>SUMIFS(BASE!$G:$G,BASE!$L:$L,$C34,BASE!$J:$J,$B34,BASE!$A:$A,J$6)</f>
        <v>0</v>
      </c>
      <c r="K34" s="17">
        <f>SUMIFS(BASE!$G:$G,BASE!$L:$L,$C34,BASE!$J:$J,$B34,BASE!$A:$A,K$6)</f>
        <v>0</v>
      </c>
      <c r="L34" s="17">
        <f>SUMIFS(BASE!$G:$G,BASE!$L:$L,$C34,BASE!$J:$J,$B34,BASE!$A:$A,L$6)</f>
        <v>0</v>
      </c>
      <c r="M34" s="17">
        <f>SUMIFS(BASE!$G:$G,BASE!$L:$L,$C34,BASE!$J:$J,$B34,BASE!$A:$A,M$6)</f>
        <v>0</v>
      </c>
      <c r="N34" s="74">
        <f>SUMIFS(BASE!$G:$G,BASE!$L:$L,$C34,BASE!$J:$J,$B34,BASE!$A:$A,N$6)</f>
        <v>0</v>
      </c>
      <c r="O34" s="17">
        <f>SUMIFS(BASE!$G:$G,BASE!$L:$L,$C34,BASE!$J:$J,$B34,BASE!$A:$A,O$6)</f>
        <v>0</v>
      </c>
      <c r="P34" s="17">
        <f>SUMIFS(BASE!$G:$G,BASE!$L:$L,$C34,BASE!$J:$J,$B34,BASE!$A:$A,P$6)</f>
        <v>0</v>
      </c>
      <c r="Q34" s="17">
        <f>SUMIFS(BASE!$G:$G,BASE!$L:$L,$C34,BASE!$J:$J,$B34,BASE!$A:$A,Q$6)</f>
        <v>0</v>
      </c>
      <c r="R34" s="17">
        <f>SUMIFS(BASE!$G:$G,BASE!$L:$L,$C34,BASE!$J:$J,$B34,BASE!$A:$A,R$6)</f>
        <v>0</v>
      </c>
      <c r="T34" s="44" t="str">
        <f t="shared" si="1"/>
        <v>ZERADO</v>
      </c>
    </row>
    <row r="35" spans="2:20" ht="15" thickBot="1">
      <c r="B35" s="72" t="s">
        <v>110</v>
      </c>
      <c r="C35" s="72" t="s">
        <v>59</v>
      </c>
      <c r="D35" s="67">
        <f>COUNTIFS(PDVS!H:H,"SIM",PDVS!C:C,B35)</f>
        <v>0</v>
      </c>
      <c r="E35" s="68">
        <f>COUNTIFS(PDVS!C:C,B35,PDVS!I:I,"SIM")</f>
        <v>4</v>
      </c>
      <c r="F35" s="81" t="str">
        <f t="shared" si="0"/>
        <v>Sim</v>
      </c>
      <c r="G35" s="61">
        <f>SUMIFS(BASE!$G:$G,BASE!$L:$L,$C35,BASE!$J:$J,$B35,BASE!$A:$A,G$6)</f>
        <v>19</v>
      </c>
      <c r="H35" s="17">
        <f>SUMIFS(BASE!$G:$G,BASE!$L:$L,$C35,BASE!$J:$J,$B35,BASE!$A:$A,H$6)</f>
        <v>13</v>
      </c>
      <c r="I35" s="17">
        <f>SUMIFS(BASE!$G:$G,BASE!$L:$L,$C35,BASE!$J:$J,$B35,BASE!$A:$A,I$6)</f>
        <v>26</v>
      </c>
      <c r="J35" s="17">
        <f>SUMIFS(BASE!$G:$G,BASE!$L:$L,$C35,BASE!$J:$J,$B35,BASE!$A:$A,J$6)</f>
        <v>8</v>
      </c>
      <c r="K35" s="17">
        <f>SUMIFS(BASE!$G:$G,BASE!$L:$L,$C35,BASE!$J:$J,$B35,BASE!$A:$A,K$6)</f>
        <v>23</v>
      </c>
      <c r="L35" s="17">
        <f>SUMIFS(BASE!$G:$G,BASE!$L:$L,$C35,BASE!$J:$J,$B35,BASE!$A:$A,L$6)</f>
        <v>15</v>
      </c>
      <c r="M35" s="17">
        <f>SUMIFS(BASE!$G:$G,BASE!$L:$L,$C35,BASE!$J:$J,$B35,BASE!$A:$A,M$6)</f>
        <v>22</v>
      </c>
      <c r="N35" s="75">
        <f>SUMIFS(BASE!$G:$G,BASE!$L:$L,$C35,BASE!$J:$J,$B35,BASE!$A:$A,N$6)</f>
        <v>2</v>
      </c>
      <c r="O35" s="17">
        <f>SUMIFS(BASE!$G:$G,BASE!$L:$L,$C35,BASE!$J:$J,$B35,BASE!$A:$A,O$6)</f>
        <v>0</v>
      </c>
      <c r="P35" s="17">
        <f>SUMIFS(BASE!$G:$G,BASE!$L:$L,$C35,BASE!$J:$J,$B35,BASE!$A:$A,P$6)</f>
        <v>0</v>
      </c>
      <c r="Q35" s="17">
        <f>SUMIFS(BASE!$G:$G,BASE!$L:$L,$C35,BASE!$J:$J,$B35,BASE!$A:$A,Q$6)</f>
        <v>0</v>
      </c>
      <c r="R35" s="17">
        <f>SUMIFS(BASE!$G:$G,BASE!$L:$L,$C35,BASE!$J:$J,$B35,BASE!$A:$A,R$6)</f>
        <v>0</v>
      </c>
      <c r="T35" s="44" t="str">
        <f t="shared" si="1"/>
        <v>COM TROCAS</v>
      </c>
    </row>
    <row r="36" spans="2:20" ht="15" thickBot="1">
      <c r="B36" s="8" t="s">
        <v>111</v>
      </c>
      <c r="C36" s="8" t="s">
        <v>59</v>
      </c>
      <c r="D36" s="62">
        <f>COUNTIFS(PDVS!H:H,"SIM",PDVS!C:C,B36)</f>
        <v>1</v>
      </c>
      <c r="E36" s="62">
        <f>COUNTIFS(PDVS!C:C,B36,PDVS!I:I,"SIM")</f>
        <v>1</v>
      </c>
      <c r="F36" s="62" t="str">
        <f t="shared" si="0"/>
        <v>Não</v>
      </c>
      <c r="G36" s="17">
        <f>SUMIFS(BASE!$G:$G,BASE!$L:$L,$C36,BASE!$J:$J,$B36,BASE!$A:$A,G$6)</f>
        <v>0</v>
      </c>
      <c r="H36" s="17">
        <f>SUMIFS(BASE!$G:$G,BASE!$L:$L,$C36,BASE!$J:$J,$B36,BASE!$A:$A,H$6)</f>
        <v>0</v>
      </c>
      <c r="I36" s="17">
        <f>SUMIFS(BASE!$G:$G,BASE!$L:$L,$C36,BASE!$J:$J,$B36,BASE!$A:$A,I$6)</f>
        <v>0</v>
      </c>
      <c r="J36" s="17">
        <f>SUMIFS(BASE!$G:$G,BASE!$L:$L,$C36,BASE!$J:$J,$B36,BASE!$A:$A,J$6)</f>
        <v>0</v>
      </c>
      <c r="K36" s="17">
        <f>SUMIFS(BASE!$G:$G,BASE!$L:$L,$C36,BASE!$J:$J,$B36,BASE!$A:$A,K$6)</f>
        <v>0</v>
      </c>
      <c r="L36" s="17">
        <f>SUMIFS(BASE!$G:$G,BASE!$L:$L,$C36,BASE!$J:$J,$B36,BASE!$A:$A,L$6)</f>
        <v>0</v>
      </c>
      <c r="M36" s="17">
        <f>SUMIFS(BASE!$G:$G,BASE!$L:$L,$C36,BASE!$J:$J,$B36,BASE!$A:$A,M$6)</f>
        <v>0</v>
      </c>
      <c r="N36" s="17">
        <f>SUMIFS(BASE!$G:$G,BASE!$L:$L,$C36,BASE!$J:$J,$B36,BASE!$A:$A,N$6)</f>
        <v>0</v>
      </c>
      <c r="O36" s="17">
        <f>SUMIFS(BASE!$G:$G,BASE!$L:$L,$C36,BASE!$J:$J,$B36,BASE!$A:$A,O$6)</f>
        <v>0</v>
      </c>
      <c r="P36" s="17">
        <f>SUMIFS(BASE!$G:$G,BASE!$L:$L,$C36,BASE!$J:$J,$B36,BASE!$A:$A,P$6)</f>
        <v>0</v>
      </c>
      <c r="Q36" s="17">
        <f>SUMIFS(BASE!$G:$G,BASE!$L:$L,$C36,BASE!$J:$J,$B36,BASE!$A:$A,Q$6)</f>
        <v>0</v>
      </c>
      <c r="R36" s="17">
        <f>SUMIFS(BASE!$G:$G,BASE!$L:$L,$C36,BASE!$J:$J,$B36,BASE!$A:$A,R$6)</f>
        <v>0</v>
      </c>
      <c r="T36" s="44" t="str">
        <f t="shared" si="1"/>
        <v>ZERADO</v>
      </c>
    </row>
    <row r="37" spans="2:20">
      <c r="B37" s="76" t="s">
        <v>112</v>
      </c>
      <c r="C37" s="76" t="s">
        <v>54</v>
      </c>
      <c r="D37" s="69">
        <f>COUNTIFS(PDVS!H:H,"SIM",PDVS!C:C,B37)</f>
        <v>0</v>
      </c>
      <c r="E37" s="70">
        <f>COUNTIFS(PDVS!C:C,B37,PDVS!I:I,"SIM")</f>
        <v>3</v>
      </c>
      <c r="F37" s="82" t="str">
        <f t="shared" si="0"/>
        <v>Sim</v>
      </c>
      <c r="G37" s="61">
        <f>SUMIFS(BASE!$G:$G,BASE!$L:$L,$C37,BASE!$J:$J,$B37,BASE!$A:$A,G$6)</f>
        <v>0</v>
      </c>
      <c r="H37" s="17">
        <f>SUMIFS(BASE!$G:$G,BASE!$L:$L,$C37,BASE!$J:$J,$B37,BASE!$A:$A,H$6)</f>
        <v>0</v>
      </c>
      <c r="I37" s="17">
        <f>SUMIFS(BASE!$G:$G,BASE!$L:$L,$C37,BASE!$J:$J,$B37,BASE!$A:$A,I$6)</f>
        <v>0</v>
      </c>
      <c r="J37" s="17">
        <f>SUMIFS(BASE!$G:$G,BASE!$L:$L,$C37,BASE!$J:$J,$B37,BASE!$A:$A,J$6)</f>
        <v>1</v>
      </c>
      <c r="K37" s="17">
        <f>SUMIFS(BASE!$G:$G,BASE!$L:$L,$C37,BASE!$J:$J,$B37,BASE!$A:$A,K$6)</f>
        <v>2</v>
      </c>
      <c r="L37" s="17">
        <f>SUMIFS(BASE!$G:$G,BASE!$L:$L,$C37,BASE!$J:$J,$B37,BASE!$A:$A,L$6)</f>
        <v>4</v>
      </c>
      <c r="M37" s="17">
        <f>SUMIFS(BASE!$G:$G,BASE!$L:$L,$C37,BASE!$J:$J,$B37,BASE!$A:$A,M$6)</f>
        <v>9</v>
      </c>
      <c r="N37" s="73">
        <f>SUMIFS(BASE!$G:$G,BASE!$L:$L,$C37,BASE!$J:$J,$B37,BASE!$A:$A,N$6)</f>
        <v>3</v>
      </c>
      <c r="O37" s="17">
        <f>SUMIFS(BASE!$G:$G,BASE!$L:$L,$C37,BASE!$J:$J,$B37,BASE!$A:$A,O$6)</f>
        <v>0</v>
      </c>
      <c r="P37" s="17">
        <f>SUMIFS(BASE!$G:$G,BASE!$L:$L,$C37,BASE!$J:$J,$B37,BASE!$A:$A,P$6)</f>
        <v>0</v>
      </c>
      <c r="Q37" s="17">
        <f>SUMIFS(BASE!$G:$G,BASE!$L:$L,$C37,BASE!$J:$J,$B37,BASE!$A:$A,Q$6)</f>
        <v>0</v>
      </c>
      <c r="R37" s="17">
        <f>SUMIFS(BASE!$G:$G,BASE!$L:$L,$C37,BASE!$J:$J,$B37,BASE!$A:$A,R$6)</f>
        <v>0</v>
      </c>
      <c r="T37" s="44" t="str">
        <f t="shared" si="1"/>
        <v>COM TROCAS</v>
      </c>
    </row>
    <row r="38" spans="2:20">
      <c r="B38" s="71" t="s">
        <v>113</v>
      </c>
      <c r="C38" s="71" t="s">
        <v>59</v>
      </c>
      <c r="D38" s="67">
        <f>COUNTIFS(PDVS!H:H,"SIM",PDVS!C:C,B38)</f>
        <v>0</v>
      </c>
      <c r="E38" s="68">
        <f>COUNTIFS(PDVS!C:C,B38,PDVS!I:I,"SIM")</f>
        <v>7</v>
      </c>
      <c r="F38" s="80" t="str">
        <f t="shared" si="0"/>
        <v>Sim</v>
      </c>
      <c r="G38" s="61">
        <f>SUMIFS(BASE!$G:$G,BASE!$L:$L,$C38,BASE!$J:$J,$B38,BASE!$A:$A,G$6)</f>
        <v>0</v>
      </c>
      <c r="H38" s="17">
        <f>SUMIFS(BASE!$G:$G,BASE!$L:$L,$C38,BASE!$J:$J,$B38,BASE!$A:$A,H$6)</f>
        <v>0</v>
      </c>
      <c r="I38" s="17">
        <f>SUMIFS(BASE!$G:$G,BASE!$L:$L,$C38,BASE!$J:$J,$B38,BASE!$A:$A,I$6)</f>
        <v>0</v>
      </c>
      <c r="J38" s="17">
        <f>SUMIFS(BASE!$G:$G,BASE!$L:$L,$C38,BASE!$J:$J,$B38,BASE!$A:$A,J$6)</f>
        <v>0</v>
      </c>
      <c r="K38" s="17">
        <f>SUMIFS(BASE!$G:$G,BASE!$L:$L,$C38,BASE!$J:$J,$B38,BASE!$A:$A,K$6)</f>
        <v>0</v>
      </c>
      <c r="L38" s="17">
        <f>SUMIFS(BASE!$G:$G,BASE!$L:$L,$C38,BASE!$J:$J,$B38,BASE!$A:$A,L$6)</f>
        <v>0</v>
      </c>
      <c r="M38" s="17">
        <f>SUMIFS(BASE!$G:$G,BASE!$L:$L,$C38,BASE!$J:$J,$B38,BASE!$A:$A,M$6)</f>
        <v>0</v>
      </c>
      <c r="N38" s="74">
        <f>SUMIFS(BASE!$G:$G,BASE!$L:$L,$C38,BASE!$J:$J,$B38,BASE!$A:$A,N$6)</f>
        <v>0</v>
      </c>
      <c r="O38" s="17">
        <f>SUMIFS(BASE!$G:$G,BASE!$L:$L,$C38,BASE!$J:$J,$B38,BASE!$A:$A,O$6)</f>
        <v>0</v>
      </c>
      <c r="P38" s="17">
        <f>SUMIFS(BASE!$G:$G,BASE!$L:$L,$C38,BASE!$J:$J,$B38,BASE!$A:$A,P$6)</f>
        <v>0</v>
      </c>
      <c r="Q38" s="17">
        <f>SUMIFS(BASE!$G:$G,BASE!$L:$L,$C38,BASE!$J:$J,$B38,BASE!$A:$A,Q$6)</f>
        <v>0</v>
      </c>
      <c r="R38" s="17">
        <f>SUMIFS(BASE!$G:$G,BASE!$L:$L,$C38,BASE!$J:$J,$B38,BASE!$A:$A,R$6)</f>
        <v>0</v>
      </c>
      <c r="T38" s="44" t="str">
        <f t="shared" si="1"/>
        <v>ZERADO</v>
      </c>
    </row>
    <row r="39" spans="2:20">
      <c r="B39" s="71" t="s">
        <v>114</v>
      </c>
      <c r="C39" s="71" t="s">
        <v>59</v>
      </c>
      <c r="D39" s="67">
        <f>COUNTIFS(PDVS!H:H,"SIM",PDVS!C:C,B39)</f>
        <v>0</v>
      </c>
      <c r="E39" s="68">
        <f>COUNTIFS(PDVS!C:C,B39,PDVS!I:I,"SIM")</f>
        <v>1</v>
      </c>
      <c r="F39" s="80" t="str">
        <f t="shared" si="0"/>
        <v>Sim</v>
      </c>
      <c r="G39" s="61">
        <f>SUMIFS(BASE!$G:$G,BASE!$L:$L,$C39,BASE!$J:$J,$B39,BASE!$A:$A,G$6)</f>
        <v>0</v>
      </c>
      <c r="H39" s="17">
        <f>SUMIFS(BASE!$G:$G,BASE!$L:$L,$C39,BASE!$J:$J,$B39,BASE!$A:$A,H$6)</f>
        <v>0</v>
      </c>
      <c r="I39" s="17">
        <f>SUMIFS(BASE!$G:$G,BASE!$L:$L,$C39,BASE!$J:$J,$B39,BASE!$A:$A,I$6)</f>
        <v>0</v>
      </c>
      <c r="J39" s="17">
        <f>SUMIFS(BASE!$G:$G,BASE!$L:$L,$C39,BASE!$J:$J,$B39,BASE!$A:$A,J$6)</f>
        <v>0</v>
      </c>
      <c r="K39" s="17">
        <f>SUMIFS(BASE!$G:$G,BASE!$L:$L,$C39,BASE!$J:$J,$B39,BASE!$A:$A,K$6)</f>
        <v>0</v>
      </c>
      <c r="L39" s="17">
        <f>SUMIFS(BASE!$G:$G,BASE!$L:$L,$C39,BASE!$J:$J,$B39,BASE!$A:$A,L$6)</f>
        <v>0</v>
      </c>
      <c r="M39" s="17">
        <f>SUMIFS(BASE!$G:$G,BASE!$L:$L,$C39,BASE!$J:$J,$B39,BASE!$A:$A,M$6)</f>
        <v>0</v>
      </c>
      <c r="N39" s="74">
        <f>SUMIFS(BASE!$G:$G,BASE!$L:$L,$C39,BASE!$J:$J,$B39,BASE!$A:$A,N$6)</f>
        <v>0</v>
      </c>
      <c r="O39" s="17">
        <f>SUMIFS(BASE!$G:$G,BASE!$L:$L,$C39,BASE!$J:$J,$B39,BASE!$A:$A,O$6)</f>
        <v>0</v>
      </c>
      <c r="P39" s="17">
        <f>SUMIFS(BASE!$G:$G,BASE!$L:$L,$C39,BASE!$J:$J,$B39,BASE!$A:$A,P$6)</f>
        <v>0</v>
      </c>
      <c r="Q39" s="17">
        <f>SUMIFS(BASE!$G:$G,BASE!$L:$L,$C39,BASE!$J:$J,$B39,BASE!$A:$A,Q$6)</f>
        <v>0</v>
      </c>
      <c r="R39" s="17">
        <f>SUMIFS(BASE!$G:$G,BASE!$L:$L,$C39,BASE!$J:$J,$B39,BASE!$A:$A,R$6)</f>
        <v>0</v>
      </c>
      <c r="T39" s="44" t="str">
        <f t="shared" si="1"/>
        <v>ZERADO</v>
      </c>
    </row>
    <row r="40" spans="2:20" ht="15" thickBot="1">
      <c r="B40" s="72" t="s">
        <v>115</v>
      </c>
      <c r="C40" s="72" t="s">
        <v>56</v>
      </c>
      <c r="D40" s="67">
        <f>COUNTIFS(PDVS!H:H,"SIM",PDVS!C:C,B40)</f>
        <v>0</v>
      </c>
      <c r="E40" s="68">
        <f>COUNTIFS(PDVS!C:C,B40,PDVS!I:I,"SIM")</f>
        <v>1</v>
      </c>
      <c r="F40" s="81" t="str">
        <f t="shared" si="0"/>
        <v>Sim</v>
      </c>
      <c r="G40" s="61">
        <f>SUMIFS(BASE!$G:$G,BASE!$L:$L,$C40,BASE!$J:$J,$B40,BASE!$A:$A,G$6)</f>
        <v>0</v>
      </c>
      <c r="H40" s="17">
        <f>SUMIFS(BASE!$G:$G,BASE!$L:$L,$C40,BASE!$J:$J,$B40,BASE!$A:$A,H$6)</f>
        <v>0</v>
      </c>
      <c r="I40" s="17">
        <f>SUMIFS(BASE!$G:$G,BASE!$L:$L,$C40,BASE!$J:$J,$B40,BASE!$A:$A,I$6)</f>
        <v>0</v>
      </c>
      <c r="J40" s="17">
        <f>SUMIFS(BASE!$G:$G,BASE!$L:$L,$C40,BASE!$J:$J,$B40,BASE!$A:$A,J$6)</f>
        <v>1</v>
      </c>
      <c r="K40" s="17">
        <f>SUMIFS(BASE!$G:$G,BASE!$L:$L,$C40,BASE!$J:$J,$B40,BASE!$A:$A,K$6)</f>
        <v>1</v>
      </c>
      <c r="L40" s="17">
        <f>SUMIFS(BASE!$G:$G,BASE!$L:$L,$C40,BASE!$J:$J,$B40,BASE!$A:$A,L$6)</f>
        <v>1</v>
      </c>
      <c r="M40" s="17">
        <f>SUMIFS(BASE!$G:$G,BASE!$L:$L,$C40,BASE!$J:$J,$B40,BASE!$A:$A,M$6)</f>
        <v>0</v>
      </c>
      <c r="N40" s="75">
        <f>SUMIFS(BASE!$G:$G,BASE!$L:$L,$C40,BASE!$J:$J,$B40,BASE!$A:$A,N$6)</f>
        <v>0</v>
      </c>
      <c r="O40" s="17">
        <f>SUMIFS(BASE!$G:$G,BASE!$L:$L,$C40,BASE!$J:$J,$B40,BASE!$A:$A,O$6)</f>
        <v>0</v>
      </c>
      <c r="P40" s="17">
        <f>SUMIFS(BASE!$G:$G,BASE!$L:$L,$C40,BASE!$J:$J,$B40,BASE!$A:$A,P$6)</f>
        <v>0</v>
      </c>
      <c r="Q40" s="17">
        <f>SUMIFS(BASE!$G:$G,BASE!$L:$L,$C40,BASE!$J:$J,$B40,BASE!$A:$A,Q$6)</f>
        <v>0</v>
      </c>
      <c r="R40" s="17">
        <f>SUMIFS(BASE!$G:$G,BASE!$L:$L,$C40,BASE!$J:$J,$B40,BASE!$A:$A,R$6)</f>
        <v>0</v>
      </c>
      <c r="T40" s="44" t="str">
        <f t="shared" si="1"/>
        <v>ZERADO</v>
      </c>
    </row>
    <row r="41" spans="2:20">
      <c r="B41" s="8" t="s">
        <v>116</v>
      </c>
      <c r="C41" s="8" t="s">
        <v>54</v>
      </c>
      <c r="D41" s="7">
        <f>COUNTIFS(PDVS!H:H,"SIM",PDVS!C:C,B41)</f>
        <v>5</v>
      </c>
      <c r="E41" s="7">
        <f>COUNTIFS(PDVS!C:C,B41,PDVS!I:I,"SIM")</f>
        <v>5</v>
      </c>
      <c r="F41" s="7" t="str">
        <f t="shared" si="0"/>
        <v>Não</v>
      </c>
      <c r="G41" s="17">
        <f>SUMIFS(BASE!$G:$G,BASE!$L:$L,$C41,BASE!$J:$J,$B41,BASE!$A:$A,G$6)</f>
        <v>0</v>
      </c>
      <c r="H41" s="17">
        <f>SUMIFS(BASE!$G:$G,BASE!$L:$L,$C41,BASE!$J:$J,$B41,BASE!$A:$A,H$6)</f>
        <v>0</v>
      </c>
      <c r="I41" s="17">
        <f>SUMIFS(BASE!$G:$G,BASE!$L:$L,$C41,BASE!$J:$J,$B41,BASE!$A:$A,I$6)</f>
        <v>0</v>
      </c>
      <c r="J41" s="17">
        <f>SUMIFS(BASE!$G:$G,BASE!$L:$L,$C41,BASE!$J:$J,$B41,BASE!$A:$A,J$6)</f>
        <v>0</v>
      </c>
      <c r="K41" s="17">
        <f>SUMIFS(BASE!$G:$G,BASE!$L:$L,$C41,BASE!$J:$J,$B41,BASE!$A:$A,K$6)</f>
        <v>0</v>
      </c>
      <c r="L41" s="17">
        <f>SUMIFS(BASE!$G:$G,BASE!$L:$L,$C41,BASE!$J:$J,$B41,BASE!$A:$A,L$6)</f>
        <v>0</v>
      </c>
      <c r="M41" s="17">
        <f>SUMIFS(BASE!$G:$G,BASE!$L:$L,$C41,BASE!$J:$J,$B41,BASE!$A:$A,M$6)</f>
        <v>0</v>
      </c>
      <c r="N41" s="17">
        <f>SUMIFS(BASE!$G:$G,BASE!$L:$L,$C41,BASE!$J:$J,$B41,BASE!$A:$A,N$6)</f>
        <v>0</v>
      </c>
      <c r="O41" s="17">
        <f>SUMIFS(BASE!$G:$G,BASE!$L:$L,$C41,BASE!$J:$J,$B41,BASE!$A:$A,O$6)</f>
        <v>0</v>
      </c>
      <c r="P41" s="17">
        <f>SUMIFS(BASE!$G:$G,BASE!$L:$L,$C41,BASE!$J:$J,$B41,BASE!$A:$A,P$6)</f>
        <v>0</v>
      </c>
      <c r="Q41" s="17">
        <f>SUMIFS(BASE!$G:$G,BASE!$L:$L,$C41,BASE!$J:$J,$B41,BASE!$A:$A,Q$6)</f>
        <v>0</v>
      </c>
      <c r="R41" s="17">
        <f>SUMIFS(BASE!$G:$G,BASE!$L:$L,$C41,BASE!$J:$J,$B41,BASE!$A:$A,R$6)</f>
        <v>0</v>
      </c>
      <c r="T41" s="44" t="str">
        <f t="shared" si="1"/>
        <v>ZERADO</v>
      </c>
    </row>
    <row r="42" spans="2:20" ht="15" thickBot="1">
      <c r="B42" s="8" t="s">
        <v>117</v>
      </c>
      <c r="C42" s="8" t="s">
        <v>62</v>
      </c>
      <c r="D42" s="62">
        <f>COUNTIFS(PDVS!H:H,"SIM",PDVS!C:C,B42)</f>
        <v>1</v>
      </c>
      <c r="E42" s="62">
        <f>COUNTIFS(PDVS!C:C,B42,PDVS!I:I,"SIM")</f>
        <v>6</v>
      </c>
      <c r="F42" s="62" t="str">
        <f t="shared" si="0"/>
        <v>Não</v>
      </c>
      <c r="G42" s="17">
        <f>SUMIFS(BASE!$G:$G,BASE!$L:$L,$C42,BASE!$J:$J,$B42,BASE!$A:$A,G$6)</f>
        <v>0</v>
      </c>
      <c r="H42" s="17">
        <f>SUMIFS(BASE!$G:$G,BASE!$L:$L,$C42,BASE!$J:$J,$B42,BASE!$A:$A,H$6)</f>
        <v>0</v>
      </c>
      <c r="I42" s="17">
        <f>SUMIFS(BASE!$G:$G,BASE!$L:$L,$C42,BASE!$J:$J,$B42,BASE!$A:$A,I$6)</f>
        <v>0</v>
      </c>
      <c r="J42" s="17">
        <f>SUMIFS(BASE!$G:$G,BASE!$L:$L,$C42,BASE!$J:$J,$B42,BASE!$A:$A,J$6)</f>
        <v>0</v>
      </c>
      <c r="K42" s="17">
        <f>SUMIFS(BASE!$G:$G,BASE!$L:$L,$C42,BASE!$J:$J,$B42,BASE!$A:$A,K$6)</f>
        <v>0</v>
      </c>
      <c r="L42" s="17">
        <f>SUMIFS(BASE!$G:$G,BASE!$L:$L,$C42,BASE!$J:$J,$B42,BASE!$A:$A,L$6)</f>
        <v>0</v>
      </c>
      <c r="M42" s="17">
        <f>SUMIFS(BASE!$G:$G,BASE!$L:$L,$C42,BASE!$J:$J,$B42,BASE!$A:$A,M$6)</f>
        <v>0</v>
      </c>
      <c r="N42" s="17">
        <f>SUMIFS(BASE!$G:$G,BASE!$L:$L,$C42,BASE!$J:$J,$B42,BASE!$A:$A,N$6)</f>
        <v>0</v>
      </c>
      <c r="O42" s="17">
        <f>SUMIFS(BASE!$G:$G,BASE!$L:$L,$C42,BASE!$J:$J,$B42,BASE!$A:$A,O$6)</f>
        <v>0</v>
      </c>
      <c r="P42" s="17">
        <f>SUMIFS(BASE!$G:$G,BASE!$L:$L,$C42,BASE!$J:$J,$B42,BASE!$A:$A,P$6)</f>
        <v>0</v>
      </c>
      <c r="Q42" s="17">
        <f>SUMIFS(BASE!$G:$G,BASE!$L:$L,$C42,BASE!$J:$J,$B42,BASE!$A:$A,Q$6)</f>
        <v>0</v>
      </c>
      <c r="R42" s="17">
        <f>SUMIFS(BASE!$G:$G,BASE!$L:$L,$C42,BASE!$J:$J,$B42,BASE!$A:$A,R$6)</f>
        <v>0</v>
      </c>
      <c r="T42" s="44" t="str">
        <f t="shared" si="1"/>
        <v>ZERADO</v>
      </c>
    </row>
    <row r="43" spans="2:20">
      <c r="B43" s="76" t="s">
        <v>118</v>
      </c>
      <c r="C43" s="76" t="s">
        <v>56</v>
      </c>
      <c r="D43" s="69">
        <f>COUNTIFS(PDVS!H:H,"SIM",PDVS!C:C,B43)</f>
        <v>0</v>
      </c>
      <c r="E43" s="70">
        <f>COUNTIFS(PDVS!C:C,B43,PDVS!I:I,"SIM")</f>
        <v>1</v>
      </c>
      <c r="F43" s="82" t="str">
        <f t="shared" si="0"/>
        <v>Sim</v>
      </c>
      <c r="G43" s="61">
        <f>SUMIFS(BASE!$G:$G,BASE!$L:$L,$C43,BASE!$J:$J,$B43,BASE!$A:$A,G$6)</f>
        <v>0</v>
      </c>
      <c r="H43" s="17">
        <f>SUMIFS(BASE!$G:$G,BASE!$L:$L,$C43,BASE!$J:$J,$B43,BASE!$A:$A,H$6)</f>
        <v>0</v>
      </c>
      <c r="I43" s="17">
        <f>SUMIFS(BASE!$G:$G,BASE!$L:$L,$C43,BASE!$J:$J,$B43,BASE!$A:$A,I$6)</f>
        <v>0</v>
      </c>
      <c r="J43" s="17">
        <f>SUMIFS(BASE!$G:$G,BASE!$L:$L,$C43,BASE!$J:$J,$B43,BASE!$A:$A,J$6)</f>
        <v>0</v>
      </c>
      <c r="K43" s="17">
        <f>SUMIFS(BASE!$G:$G,BASE!$L:$L,$C43,BASE!$J:$J,$B43,BASE!$A:$A,K$6)</f>
        <v>0</v>
      </c>
      <c r="L43" s="17">
        <f>SUMIFS(BASE!$G:$G,BASE!$L:$L,$C43,BASE!$J:$J,$B43,BASE!$A:$A,L$6)</f>
        <v>0</v>
      </c>
      <c r="M43" s="17">
        <f>SUMIFS(BASE!$G:$G,BASE!$L:$L,$C43,BASE!$J:$J,$B43,BASE!$A:$A,M$6)</f>
        <v>0</v>
      </c>
      <c r="N43" s="73">
        <f>SUMIFS(BASE!$G:$G,BASE!$L:$L,$C43,BASE!$J:$J,$B43,BASE!$A:$A,N$6)</f>
        <v>0</v>
      </c>
      <c r="O43" s="17">
        <f>SUMIFS(BASE!$G:$G,BASE!$L:$L,$C43,BASE!$J:$J,$B43,BASE!$A:$A,O$6)</f>
        <v>0</v>
      </c>
      <c r="P43" s="17">
        <f>SUMIFS(BASE!$G:$G,BASE!$L:$L,$C43,BASE!$J:$J,$B43,BASE!$A:$A,P$6)</f>
        <v>0</v>
      </c>
      <c r="Q43" s="17">
        <f>SUMIFS(BASE!$G:$G,BASE!$L:$L,$C43,BASE!$J:$J,$B43,BASE!$A:$A,Q$6)</f>
        <v>0</v>
      </c>
      <c r="R43" s="17">
        <f>SUMIFS(BASE!$G:$G,BASE!$L:$L,$C43,BASE!$J:$J,$B43,BASE!$A:$A,R$6)</f>
        <v>0</v>
      </c>
      <c r="T43" s="44" t="str">
        <f t="shared" si="1"/>
        <v>ZERADO</v>
      </c>
    </row>
    <row r="44" spans="2:20">
      <c r="B44" s="71" t="s">
        <v>119</v>
      </c>
      <c r="C44" s="71" t="s">
        <v>54</v>
      </c>
      <c r="D44" s="67">
        <f>COUNTIFS(PDVS!H:H,"SIM",PDVS!C:C,B44)</f>
        <v>0</v>
      </c>
      <c r="E44" s="68">
        <f>COUNTIFS(PDVS!C:C,B44,PDVS!I:I,"SIM")</f>
        <v>5</v>
      </c>
      <c r="F44" s="80" t="str">
        <f t="shared" si="0"/>
        <v>Sim</v>
      </c>
      <c r="G44" s="61">
        <f>SUMIFS(BASE!$G:$G,BASE!$L:$L,$C44,BASE!$J:$J,$B44,BASE!$A:$A,G$6)</f>
        <v>12</v>
      </c>
      <c r="H44" s="17">
        <f>SUMIFS(BASE!$G:$G,BASE!$L:$L,$C44,BASE!$J:$J,$B44,BASE!$A:$A,H$6)</f>
        <v>18</v>
      </c>
      <c r="I44" s="17">
        <f>SUMIFS(BASE!$G:$G,BASE!$L:$L,$C44,BASE!$J:$J,$B44,BASE!$A:$A,I$6)</f>
        <v>14</v>
      </c>
      <c r="J44" s="17">
        <f>SUMIFS(BASE!$G:$G,BASE!$L:$L,$C44,BASE!$J:$J,$B44,BASE!$A:$A,J$6)</f>
        <v>3</v>
      </c>
      <c r="K44" s="17">
        <f>SUMIFS(BASE!$G:$G,BASE!$L:$L,$C44,BASE!$J:$J,$B44,BASE!$A:$A,K$6)</f>
        <v>10</v>
      </c>
      <c r="L44" s="17">
        <f>SUMIFS(BASE!$G:$G,BASE!$L:$L,$C44,BASE!$J:$J,$B44,BASE!$A:$A,L$6)</f>
        <v>21</v>
      </c>
      <c r="M44" s="17">
        <f>SUMIFS(BASE!$G:$G,BASE!$L:$L,$C44,BASE!$J:$J,$B44,BASE!$A:$A,M$6)</f>
        <v>51</v>
      </c>
      <c r="N44" s="74">
        <f>SUMIFS(BASE!$G:$G,BASE!$L:$L,$C44,BASE!$J:$J,$B44,BASE!$A:$A,N$6)</f>
        <v>21</v>
      </c>
      <c r="O44" s="17">
        <f>SUMIFS(BASE!$G:$G,BASE!$L:$L,$C44,BASE!$J:$J,$B44,BASE!$A:$A,O$6)</f>
        <v>0</v>
      </c>
      <c r="P44" s="17">
        <f>SUMIFS(BASE!$G:$G,BASE!$L:$L,$C44,BASE!$J:$J,$B44,BASE!$A:$A,P$6)</f>
        <v>0</v>
      </c>
      <c r="Q44" s="17">
        <f>SUMIFS(BASE!$G:$G,BASE!$L:$L,$C44,BASE!$J:$J,$B44,BASE!$A:$A,Q$6)</f>
        <v>0</v>
      </c>
      <c r="R44" s="17">
        <f>SUMIFS(BASE!$G:$G,BASE!$L:$L,$C44,BASE!$J:$J,$B44,BASE!$A:$A,R$6)</f>
        <v>0</v>
      </c>
      <c r="T44" s="44" t="str">
        <f t="shared" si="1"/>
        <v>COM TROCAS</v>
      </c>
    </row>
    <row r="45" spans="2:20">
      <c r="B45" s="71" t="s">
        <v>120</v>
      </c>
      <c r="C45" s="71" t="s">
        <v>54</v>
      </c>
      <c r="D45" s="67">
        <f>COUNTIFS(PDVS!H:H,"SIM",PDVS!C:C,B45)</f>
        <v>0</v>
      </c>
      <c r="E45" s="68">
        <f>COUNTIFS(PDVS!C:C,B45,PDVS!I:I,"SIM")</f>
        <v>5</v>
      </c>
      <c r="F45" s="80" t="str">
        <f t="shared" si="0"/>
        <v>Sim</v>
      </c>
      <c r="G45" s="61">
        <f>SUMIFS(BASE!$G:$G,BASE!$L:$L,$C45,BASE!$J:$J,$B45,BASE!$A:$A,G$6)</f>
        <v>3</v>
      </c>
      <c r="H45" s="17">
        <f>SUMIFS(BASE!$G:$G,BASE!$L:$L,$C45,BASE!$J:$J,$B45,BASE!$A:$A,H$6)</f>
        <v>3</v>
      </c>
      <c r="I45" s="17">
        <f>SUMIFS(BASE!$G:$G,BASE!$L:$L,$C45,BASE!$J:$J,$B45,BASE!$A:$A,I$6)</f>
        <v>2</v>
      </c>
      <c r="J45" s="17">
        <f>SUMIFS(BASE!$G:$G,BASE!$L:$L,$C45,BASE!$J:$J,$B45,BASE!$A:$A,J$6)</f>
        <v>4</v>
      </c>
      <c r="K45" s="17">
        <f>SUMIFS(BASE!$G:$G,BASE!$L:$L,$C45,BASE!$J:$J,$B45,BASE!$A:$A,K$6)</f>
        <v>1</v>
      </c>
      <c r="L45" s="17">
        <f>SUMIFS(BASE!$G:$G,BASE!$L:$L,$C45,BASE!$J:$J,$B45,BASE!$A:$A,L$6)</f>
        <v>4</v>
      </c>
      <c r="M45" s="17">
        <f>SUMIFS(BASE!$G:$G,BASE!$L:$L,$C45,BASE!$J:$J,$B45,BASE!$A:$A,M$6)</f>
        <v>4</v>
      </c>
      <c r="N45" s="74">
        <f>SUMIFS(BASE!$G:$G,BASE!$L:$L,$C45,BASE!$J:$J,$B45,BASE!$A:$A,N$6)</f>
        <v>6</v>
      </c>
      <c r="O45" s="17">
        <f>SUMIFS(BASE!$G:$G,BASE!$L:$L,$C45,BASE!$J:$J,$B45,BASE!$A:$A,O$6)</f>
        <v>0</v>
      </c>
      <c r="P45" s="17">
        <f>SUMIFS(BASE!$G:$G,BASE!$L:$L,$C45,BASE!$J:$J,$B45,BASE!$A:$A,P$6)</f>
        <v>0</v>
      </c>
      <c r="Q45" s="17">
        <f>SUMIFS(BASE!$G:$G,BASE!$L:$L,$C45,BASE!$J:$J,$B45,BASE!$A:$A,Q$6)</f>
        <v>0</v>
      </c>
      <c r="R45" s="17">
        <f>SUMIFS(BASE!$G:$G,BASE!$L:$L,$C45,BASE!$J:$J,$B45,BASE!$A:$A,R$6)</f>
        <v>0</v>
      </c>
      <c r="T45" s="44" t="str">
        <f t="shared" si="1"/>
        <v>COM TROCAS</v>
      </c>
    </row>
    <row r="46" spans="2:20">
      <c r="B46" s="71" t="s">
        <v>121</v>
      </c>
      <c r="C46" s="71" t="s">
        <v>62</v>
      </c>
      <c r="D46" s="67">
        <f>COUNTIFS(PDVS!H:H,"SIM",PDVS!C:C,B46)</f>
        <v>0</v>
      </c>
      <c r="E46" s="68">
        <f>COUNTIFS(PDVS!C:C,B46,PDVS!I:I,"SIM")</f>
        <v>4</v>
      </c>
      <c r="F46" s="80" t="str">
        <f t="shared" si="0"/>
        <v>Sim</v>
      </c>
      <c r="G46" s="61">
        <f>SUMIFS(BASE!$G:$G,BASE!$L:$L,$C46,BASE!$J:$J,$B46,BASE!$A:$A,G$6)</f>
        <v>0</v>
      </c>
      <c r="H46" s="17">
        <f>SUMIFS(BASE!$G:$G,BASE!$L:$L,$C46,BASE!$J:$J,$B46,BASE!$A:$A,H$6)</f>
        <v>0</v>
      </c>
      <c r="I46" s="17">
        <f>SUMIFS(BASE!$G:$G,BASE!$L:$L,$C46,BASE!$J:$J,$B46,BASE!$A:$A,I$6)</f>
        <v>0</v>
      </c>
      <c r="J46" s="17">
        <f>SUMIFS(BASE!$G:$G,BASE!$L:$L,$C46,BASE!$J:$J,$B46,BASE!$A:$A,J$6)</f>
        <v>0</v>
      </c>
      <c r="K46" s="17">
        <f>SUMIFS(BASE!$G:$G,BASE!$L:$L,$C46,BASE!$J:$J,$B46,BASE!$A:$A,K$6)</f>
        <v>0</v>
      </c>
      <c r="L46" s="17">
        <f>SUMIFS(BASE!$G:$G,BASE!$L:$L,$C46,BASE!$J:$J,$B46,BASE!$A:$A,L$6)</f>
        <v>0</v>
      </c>
      <c r="M46" s="17">
        <f>SUMIFS(BASE!$G:$G,BASE!$L:$L,$C46,BASE!$J:$J,$B46,BASE!$A:$A,M$6)</f>
        <v>0</v>
      </c>
      <c r="N46" s="74">
        <f>SUMIFS(BASE!$G:$G,BASE!$L:$L,$C46,BASE!$J:$J,$B46,BASE!$A:$A,N$6)</f>
        <v>0</v>
      </c>
      <c r="O46" s="17">
        <f>SUMIFS(BASE!$G:$G,BASE!$L:$L,$C46,BASE!$J:$J,$B46,BASE!$A:$A,O$6)</f>
        <v>0</v>
      </c>
      <c r="P46" s="17">
        <f>SUMIFS(BASE!$G:$G,BASE!$L:$L,$C46,BASE!$J:$J,$B46,BASE!$A:$A,P$6)</f>
        <v>0</v>
      </c>
      <c r="Q46" s="17">
        <f>SUMIFS(BASE!$G:$G,BASE!$L:$L,$C46,BASE!$J:$J,$B46,BASE!$A:$A,Q$6)</f>
        <v>0</v>
      </c>
      <c r="R46" s="17">
        <f>SUMIFS(BASE!$G:$G,BASE!$L:$L,$C46,BASE!$J:$J,$B46,BASE!$A:$A,R$6)</f>
        <v>0</v>
      </c>
      <c r="T46" s="44" t="str">
        <f t="shared" si="1"/>
        <v>ZERADO</v>
      </c>
    </row>
    <row r="47" spans="2:20">
      <c r="B47" s="71" t="s">
        <v>122</v>
      </c>
      <c r="C47" s="71" t="s">
        <v>62</v>
      </c>
      <c r="D47" s="67">
        <f>COUNTIFS(PDVS!H:H,"SIM",PDVS!C:C,B47)</f>
        <v>0</v>
      </c>
      <c r="E47" s="68">
        <f>COUNTIFS(PDVS!C:C,B47,PDVS!I:I,"SIM")</f>
        <v>2</v>
      </c>
      <c r="F47" s="80" t="str">
        <f t="shared" si="0"/>
        <v>Sim</v>
      </c>
      <c r="G47" s="61">
        <f>SUMIFS(BASE!$G:$G,BASE!$L:$L,$C47,BASE!$J:$J,$B47,BASE!$A:$A,G$6)</f>
        <v>0</v>
      </c>
      <c r="H47" s="17">
        <f>SUMIFS(BASE!$G:$G,BASE!$L:$L,$C47,BASE!$J:$J,$B47,BASE!$A:$A,H$6)</f>
        <v>0</v>
      </c>
      <c r="I47" s="17">
        <f>SUMIFS(BASE!$G:$G,BASE!$L:$L,$C47,BASE!$J:$J,$B47,BASE!$A:$A,I$6)</f>
        <v>0</v>
      </c>
      <c r="J47" s="17">
        <f>SUMIFS(BASE!$G:$G,BASE!$L:$L,$C47,BASE!$J:$J,$B47,BASE!$A:$A,J$6)</f>
        <v>0</v>
      </c>
      <c r="K47" s="17">
        <f>SUMIFS(BASE!$G:$G,BASE!$L:$L,$C47,BASE!$J:$J,$B47,BASE!$A:$A,K$6)</f>
        <v>0</v>
      </c>
      <c r="L47" s="17">
        <f>SUMIFS(BASE!$G:$G,BASE!$L:$L,$C47,BASE!$J:$J,$B47,BASE!$A:$A,L$6)</f>
        <v>0</v>
      </c>
      <c r="M47" s="17">
        <f>SUMIFS(BASE!$G:$G,BASE!$L:$L,$C47,BASE!$J:$J,$B47,BASE!$A:$A,M$6)</f>
        <v>0</v>
      </c>
      <c r="N47" s="74">
        <f>SUMIFS(BASE!$G:$G,BASE!$L:$L,$C47,BASE!$J:$J,$B47,BASE!$A:$A,N$6)</f>
        <v>0</v>
      </c>
      <c r="O47" s="17">
        <f>SUMIFS(BASE!$G:$G,BASE!$L:$L,$C47,BASE!$J:$J,$B47,BASE!$A:$A,O$6)</f>
        <v>0</v>
      </c>
      <c r="P47" s="17">
        <f>SUMIFS(BASE!$G:$G,BASE!$L:$L,$C47,BASE!$J:$J,$B47,BASE!$A:$A,P$6)</f>
        <v>0</v>
      </c>
      <c r="Q47" s="17">
        <f>SUMIFS(BASE!$G:$G,BASE!$L:$L,$C47,BASE!$J:$J,$B47,BASE!$A:$A,Q$6)</f>
        <v>0</v>
      </c>
      <c r="R47" s="17">
        <f>SUMIFS(BASE!$G:$G,BASE!$L:$L,$C47,BASE!$J:$J,$B47,BASE!$A:$A,R$6)</f>
        <v>0</v>
      </c>
      <c r="T47" s="44" t="str">
        <f t="shared" si="1"/>
        <v>ZERADO</v>
      </c>
    </row>
    <row r="48" spans="2:20" ht="15" thickBot="1">
      <c r="B48" s="72" t="s">
        <v>123</v>
      </c>
      <c r="C48" s="72" t="s">
        <v>61</v>
      </c>
      <c r="D48" s="67">
        <f>COUNTIFS(PDVS!H:H,"SIM",PDVS!C:C,B48)</f>
        <v>0</v>
      </c>
      <c r="E48" s="68">
        <f>COUNTIFS(PDVS!C:C,B48,PDVS!I:I,"SIM")</f>
        <v>2</v>
      </c>
      <c r="F48" s="81" t="str">
        <f t="shared" si="0"/>
        <v>Sim</v>
      </c>
      <c r="G48" s="61">
        <f>SUMIFS(BASE!$G:$G,BASE!$L:$L,$C48,BASE!$J:$J,$B48,BASE!$A:$A,G$6)</f>
        <v>0</v>
      </c>
      <c r="H48" s="17">
        <f>SUMIFS(BASE!$G:$G,BASE!$L:$L,$C48,BASE!$J:$J,$B48,BASE!$A:$A,H$6)</f>
        <v>0</v>
      </c>
      <c r="I48" s="17">
        <f>SUMIFS(BASE!$G:$G,BASE!$L:$L,$C48,BASE!$J:$J,$B48,BASE!$A:$A,I$6)</f>
        <v>0</v>
      </c>
      <c r="J48" s="17">
        <f>SUMIFS(BASE!$G:$G,BASE!$L:$L,$C48,BASE!$J:$J,$B48,BASE!$A:$A,J$6)</f>
        <v>0</v>
      </c>
      <c r="K48" s="17">
        <f>SUMIFS(BASE!$G:$G,BASE!$L:$L,$C48,BASE!$J:$J,$B48,BASE!$A:$A,K$6)</f>
        <v>0</v>
      </c>
      <c r="L48" s="17">
        <f>SUMIFS(BASE!$G:$G,BASE!$L:$L,$C48,BASE!$J:$J,$B48,BASE!$A:$A,L$6)</f>
        <v>0</v>
      </c>
      <c r="M48" s="17">
        <f>SUMIFS(BASE!$G:$G,BASE!$L:$L,$C48,BASE!$J:$J,$B48,BASE!$A:$A,M$6)</f>
        <v>0</v>
      </c>
      <c r="N48" s="75">
        <f>SUMIFS(BASE!$G:$G,BASE!$L:$L,$C48,BASE!$J:$J,$B48,BASE!$A:$A,N$6)</f>
        <v>0</v>
      </c>
      <c r="O48" s="17">
        <f>SUMIFS(BASE!$G:$G,BASE!$L:$L,$C48,BASE!$J:$J,$B48,BASE!$A:$A,O$6)</f>
        <v>0</v>
      </c>
      <c r="P48" s="17">
        <f>SUMIFS(BASE!$G:$G,BASE!$L:$L,$C48,BASE!$J:$J,$B48,BASE!$A:$A,P$6)</f>
        <v>0</v>
      </c>
      <c r="Q48" s="17">
        <f>SUMIFS(BASE!$G:$G,BASE!$L:$L,$C48,BASE!$J:$J,$B48,BASE!$A:$A,Q$6)</f>
        <v>0</v>
      </c>
      <c r="R48" s="17">
        <f>SUMIFS(BASE!$G:$G,BASE!$L:$L,$C48,BASE!$J:$J,$B48,BASE!$A:$A,R$6)</f>
        <v>0</v>
      </c>
      <c r="T48" s="44" t="str">
        <f t="shared" si="1"/>
        <v>ZERADO</v>
      </c>
    </row>
    <row r="49" spans="2:20">
      <c r="B49" s="8" t="s">
        <v>124</v>
      </c>
      <c r="C49" s="8" t="s">
        <v>57</v>
      </c>
      <c r="D49" s="7">
        <f>COUNTIFS(PDVS!H:H,"SIM",PDVS!C:C,B49)</f>
        <v>2</v>
      </c>
      <c r="E49" s="7">
        <f>COUNTIFS(PDVS!C:C,B49,PDVS!I:I,"SIM")</f>
        <v>42</v>
      </c>
      <c r="F49" s="7" t="str">
        <f t="shared" si="0"/>
        <v>Não</v>
      </c>
      <c r="G49" s="17">
        <f>SUMIFS(BASE!$G:$G,BASE!$L:$L,$C49,BASE!$J:$J,$B49,BASE!$A:$A,G$6)</f>
        <v>0</v>
      </c>
      <c r="H49" s="17">
        <f>SUMIFS(BASE!$G:$G,BASE!$L:$L,$C49,BASE!$J:$J,$B49,BASE!$A:$A,H$6)</f>
        <v>0</v>
      </c>
      <c r="I49" s="17">
        <f>SUMIFS(BASE!$G:$G,BASE!$L:$L,$C49,BASE!$J:$J,$B49,BASE!$A:$A,I$6)</f>
        <v>0</v>
      </c>
      <c r="J49" s="17">
        <f>SUMIFS(BASE!$G:$G,BASE!$L:$L,$C49,BASE!$J:$J,$B49,BASE!$A:$A,J$6)</f>
        <v>0</v>
      </c>
      <c r="K49" s="17">
        <f>SUMIFS(BASE!$G:$G,BASE!$L:$L,$C49,BASE!$J:$J,$B49,BASE!$A:$A,K$6)</f>
        <v>0</v>
      </c>
      <c r="L49" s="17">
        <f>SUMIFS(BASE!$G:$G,BASE!$L:$L,$C49,BASE!$J:$J,$B49,BASE!$A:$A,L$6)</f>
        <v>2</v>
      </c>
      <c r="M49" s="17">
        <f>SUMIFS(BASE!$G:$G,BASE!$L:$L,$C49,BASE!$J:$J,$B49,BASE!$A:$A,M$6)</f>
        <v>1</v>
      </c>
      <c r="N49" s="17">
        <f>SUMIFS(BASE!$G:$G,BASE!$L:$L,$C49,BASE!$J:$J,$B49,BASE!$A:$A,N$6)</f>
        <v>2</v>
      </c>
      <c r="O49" s="17">
        <f>SUMIFS(BASE!$G:$G,BASE!$L:$L,$C49,BASE!$J:$J,$B49,BASE!$A:$A,O$6)</f>
        <v>0</v>
      </c>
      <c r="P49" s="17">
        <f>SUMIFS(BASE!$G:$G,BASE!$L:$L,$C49,BASE!$J:$J,$B49,BASE!$A:$A,P$6)</f>
        <v>0</v>
      </c>
      <c r="Q49" s="17">
        <f>SUMIFS(BASE!$G:$G,BASE!$L:$L,$C49,BASE!$J:$J,$B49,BASE!$A:$A,Q$6)</f>
        <v>0</v>
      </c>
      <c r="R49" s="17">
        <f>SUMIFS(BASE!$G:$G,BASE!$L:$L,$C49,BASE!$J:$J,$B49,BASE!$A:$A,R$6)</f>
        <v>0</v>
      </c>
      <c r="T49" s="44" t="str">
        <f t="shared" si="1"/>
        <v>COM TROCAS</v>
      </c>
    </row>
    <row r="50" spans="2:20" ht="15" thickBot="1">
      <c r="B50" s="8" t="s">
        <v>124</v>
      </c>
      <c r="C50" s="8" t="s">
        <v>58</v>
      </c>
      <c r="D50" s="62">
        <f>COUNTIFS(PDVS!H:H,"SIM",PDVS!C:C,B50)</f>
        <v>2</v>
      </c>
      <c r="E50" s="62">
        <f>COUNTIFS(PDVS!C:C,B50,PDVS!I:I,"SIM")</f>
        <v>42</v>
      </c>
      <c r="F50" s="62" t="str">
        <f t="shared" si="0"/>
        <v>Não</v>
      </c>
      <c r="G50" s="17">
        <f>SUMIFS(BASE!$G:$G,BASE!$L:$L,$C50,BASE!$J:$J,$B50,BASE!$A:$A,G$6)</f>
        <v>17</v>
      </c>
      <c r="H50" s="17">
        <f>SUMIFS(BASE!$G:$G,BASE!$L:$L,$C50,BASE!$J:$J,$B50,BASE!$A:$A,H$6)</f>
        <v>25</v>
      </c>
      <c r="I50" s="17">
        <f>SUMIFS(BASE!$G:$G,BASE!$L:$L,$C50,BASE!$J:$J,$B50,BASE!$A:$A,I$6)</f>
        <v>51</v>
      </c>
      <c r="J50" s="17">
        <f>SUMIFS(BASE!$G:$G,BASE!$L:$L,$C50,BASE!$J:$J,$B50,BASE!$A:$A,J$6)</f>
        <v>58</v>
      </c>
      <c r="K50" s="17">
        <f>SUMIFS(BASE!$G:$G,BASE!$L:$L,$C50,BASE!$J:$J,$B50,BASE!$A:$A,K$6)</f>
        <v>72</v>
      </c>
      <c r="L50" s="17">
        <f>SUMIFS(BASE!$G:$G,BASE!$L:$L,$C50,BASE!$J:$J,$B50,BASE!$A:$A,L$6)</f>
        <v>84</v>
      </c>
      <c r="M50" s="17">
        <f>SUMIFS(BASE!$G:$G,BASE!$L:$L,$C50,BASE!$J:$J,$B50,BASE!$A:$A,M$6)</f>
        <v>175</v>
      </c>
      <c r="N50" s="17">
        <f>SUMIFS(BASE!$G:$G,BASE!$L:$L,$C50,BASE!$J:$J,$B50,BASE!$A:$A,N$6)</f>
        <v>99</v>
      </c>
      <c r="O50" s="17">
        <f>SUMIFS(BASE!$G:$G,BASE!$L:$L,$C50,BASE!$J:$J,$B50,BASE!$A:$A,O$6)</f>
        <v>0</v>
      </c>
      <c r="P50" s="17">
        <f>SUMIFS(BASE!$G:$G,BASE!$L:$L,$C50,BASE!$J:$J,$B50,BASE!$A:$A,P$6)</f>
        <v>0</v>
      </c>
      <c r="Q50" s="17">
        <f>SUMIFS(BASE!$G:$G,BASE!$L:$L,$C50,BASE!$J:$J,$B50,BASE!$A:$A,Q$6)</f>
        <v>0</v>
      </c>
      <c r="R50" s="17">
        <f>SUMIFS(BASE!$G:$G,BASE!$L:$L,$C50,BASE!$J:$J,$B50,BASE!$A:$A,R$6)</f>
        <v>0</v>
      </c>
      <c r="T50" s="44" t="str">
        <f t="shared" si="1"/>
        <v>COM TROCAS</v>
      </c>
    </row>
    <row r="51" spans="2:20">
      <c r="B51" s="76" t="s">
        <v>125</v>
      </c>
      <c r="C51" s="76" t="s">
        <v>55</v>
      </c>
      <c r="D51" s="69">
        <f>COUNTIFS(PDVS!H:H,"SIM",PDVS!C:C,B51)</f>
        <v>0</v>
      </c>
      <c r="E51" s="70">
        <f>COUNTIFS(PDVS!C:C,B51,PDVS!I:I,"SIM")</f>
        <v>5</v>
      </c>
      <c r="F51" s="82" t="str">
        <f t="shared" si="0"/>
        <v>Sim</v>
      </c>
      <c r="G51" s="61">
        <f>SUMIFS(BASE!$G:$G,BASE!$L:$L,$C51,BASE!$J:$J,$B51,BASE!$A:$A,G$6)</f>
        <v>0</v>
      </c>
      <c r="H51" s="17">
        <f>SUMIFS(BASE!$G:$G,BASE!$L:$L,$C51,BASE!$J:$J,$B51,BASE!$A:$A,H$6)</f>
        <v>0</v>
      </c>
      <c r="I51" s="17">
        <f>SUMIFS(BASE!$G:$G,BASE!$L:$L,$C51,BASE!$J:$J,$B51,BASE!$A:$A,I$6)</f>
        <v>0</v>
      </c>
      <c r="J51" s="17">
        <f>SUMIFS(BASE!$G:$G,BASE!$L:$L,$C51,BASE!$J:$J,$B51,BASE!$A:$A,J$6)</f>
        <v>0</v>
      </c>
      <c r="K51" s="17">
        <f>SUMIFS(BASE!$G:$G,BASE!$L:$L,$C51,BASE!$J:$J,$B51,BASE!$A:$A,K$6)</f>
        <v>0</v>
      </c>
      <c r="L51" s="17">
        <f>SUMIFS(BASE!$G:$G,BASE!$L:$L,$C51,BASE!$J:$J,$B51,BASE!$A:$A,L$6)</f>
        <v>0</v>
      </c>
      <c r="M51" s="17">
        <f>SUMIFS(BASE!$G:$G,BASE!$L:$L,$C51,BASE!$J:$J,$B51,BASE!$A:$A,M$6)</f>
        <v>0</v>
      </c>
      <c r="N51" s="73">
        <f>SUMIFS(BASE!$G:$G,BASE!$L:$L,$C51,BASE!$J:$J,$B51,BASE!$A:$A,N$6)</f>
        <v>0</v>
      </c>
      <c r="O51" s="17">
        <f>SUMIFS(BASE!$G:$G,BASE!$L:$L,$C51,BASE!$J:$J,$B51,BASE!$A:$A,O$6)</f>
        <v>0</v>
      </c>
      <c r="P51" s="17">
        <f>SUMIFS(BASE!$G:$G,BASE!$L:$L,$C51,BASE!$J:$J,$B51,BASE!$A:$A,P$6)</f>
        <v>0</v>
      </c>
      <c r="Q51" s="17">
        <f>SUMIFS(BASE!$G:$G,BASE!$L:$L,$C51,BASE!$J:$J,$B51,BASE!$A:$A,Q$6)</f>
        <v>0</v>
      </c>
      <c r="R51" s="17">
        <f>SUMIFS(BASE!$G:$G,BASE!$L:$L,$C51,BASE!$J:$J,$B51,BASE!$A:$A,R$6)</f>
        <v>0</v>
      </c>
      <c r="T51" s="44" t="str">
        <f t="shared" si="1"/>
        <v>ZERADO</v>
      </c>
    </row>
    <row r="52" spans="2:20">
      <c r="B52" s="71" t="s">
        <v>126</v>
      </c>
      <c r="C52" s="71" t="s">
        <v>60</v>
      </c>
      <c r="D52" s="67">
        <f>COUNTIFS(PDVS!H:H,"SIM",PDVS!C:C,B52)</f>
        <v>0</v>
      </c>
      <c r="E52" s="68">
        <f>COUNTIFS(PDVS!C:C,B52,PDVS!I:I,"SIM")</f>
        <v>2</v>
      </c>
      <c r="F52" s="80" t="str">
        <f t="shared" si="0"/>
        <v>Sim</v>
      </c>
      <c r="G52" s="61">
        <f>SUMIFS(BASE!$G:$G,BASE!$L:$L,$C52,BASE!$J:$J,$B52,BASE!$A:$A,G$6)</f>
        <v>0</v>
      </c>
      <c r="H52" s="17">
        <f>SUMIFS(BASE!$G:$G,BASE!$L:$L,$C52,BASE!$J:$J,$B52,BASE!$A:$A,H$6)</f>
        <v>0</v>
      </c>
      <c r="I52" s="17">
        <f>SUMIFS(BASE!$G:$G,BASE!$L:$L,$C52,BASE!$J:$J,$B52,BASE!$A:$A,I$6)</f>
        <v>0</v>
      </c>
      <c r="J52" s="17">
        <f>SUMIFS(BASE!$G:$G,BASE!$L:$L,$C52,BASE!$J:$J,$B52,BASE!$A:$A,J$6)</f>
        <v>0</v>
      </c>
      <c r="K52" s="17">
        <f>SUMIFS(BASE!$G:$G,BASE!$L:$L,$C52,BASE!$J:$J,$B52,BASE!$A:$A,K$6)</f>
        <v>0</v>
      </c>
      <c r="L52" s="17">
        <f>SUMIFS(BASE!$G:$G,BASE!$L:$L,$C52,BASE!$J:$J,$B52,BASE!$A:$A,L$6)</f>
        <v>0</v>
      </c>
      <c r="M52" s="17">
        <f>SUMIFS(BASE!$G:$G,BASE!$L:$L,$C52,BASE!$J:$J,$B52,BASE!$A:$A,M$6)</f>
        <v>0</v>
      </c>
      <c r="N52" s="74">
        <f>SUMIFS(BASE!$G:$G,BASE!$L:$L,$C52,BASE!$J:$J,$B52,BASE!$A:$A,N$6)</f>
        <v>1</v>
      </c>
      <c r="O52" s="17">
        <f>SUMIFS(BASE!$G:$G,BASE!$L:$L,$C52,BASE!$J:$J,$B52,BASE!$A:$A,O$6)</f>
        <v>0</v>
      </c>
      <c r="P52" s="17">
        <f>SUMIFS(BASE!$G:$G,BASE!$L:$L,$C52,BASE!$J:$J,$B52,BASE!$A:$A,P$6)</f>
        <v>0</v>
      </c>
      <c r="Q52" s="17">
        <f>SUMIFS(BASE!$G:$G,BASE!$L:$L,$C52,BASE!$J:$J,$B52,BASE!$A:$A,Q$6)</f>
        <v>0</v>
      </c>
      <c r="R52" s="17">
        <f>SUMIFS(BASE!$G:$G,BASE!$L:$L,$C52,BASE!$J:$J,$B52,BASE!$A:$A,R$6)</f>
        <v>0</v>
      </c>
      <c r="T52" s="44" t="str">
        <f t="shared" si="1"/>
        <v>COM TROCAS</v>
      </c>
    </row>
    <row r="53" spans="2:20" ht="15" thickBot="1">
      <c r="B53" s="72" t="s">
        <v>127</v>
      </c>
      <c r="C53" s="72" t="s">
        <v>62</v>
      </c>
      <c r="D53" s="67">
        <f>COUNTIFS(PDVS!H:H,"SIM",PDVS!C:C,B53)</f>
        <v>0</v>
      </c>
      <c r="E53" s="68">
        <f>COUNTIFS(PDVS!C:C,B53,PDVS!I:I,"SIM")</f>
        <v>1</v>
      </c>
      <c r="F53" s="81" t="str">
        <f t="shared" si="0"/>
        <v>Sim</v>
      </c>
      <c r="G53" s="61">
        <f>SUMIFS(BASE!$G:$G,BASE!$L:$L,$C53,BASE!$J:$J,$B53,BASE!$A:$A,G$6)</f>
        <v>0</v>
      </c>
      <c r="H53" s="17">
        <f>SUMIFS(BASE!$G:$G,BASE!$L:$L,$C53,BASE!$J:$J,$B53,BASE!$A:$A,H$6)</f>
        <v>0</v>
      </c>
      <c r="I53" s="17">
        <f>SUMIFS(BASE!$G:$G,BASE!$L:$L,$C53,BASE!$J:$J,$B53,BASE!$A:$A,I$6)</f>
        <v>0</v>
      </c>
      <c r="J53" s="17">
        <f>SUMIFS(BASE!$G:$G,BASE!$L:$L,$C53,BASE!$J:$J,$B53,BASE!$A:$A,J$6)</f>
        <v>0</v>
      </c>
      <c r="K53" s="17">
        <f>SUMIFS(BASE!$G:$G,BASE!$L:$L,$C53,BASE!$J:$J,$B53,BASE!$A:$A,K$6)</f>
        <v>0</v>
      </c>
      <c r="L53" s="17">
        <f>SUMIFS(BASE!$G:$G,BASE!$L:$L,$C53,BASE!$J:$J,$B53,BASE!$A:$A,L$6)</f>
        <v>0</v>
      </c>
      <c r="M53" s="17">
        <f>SUMIFS(BASE!$G:$G,BASE!$L:$L,$C53,BASE!$J:$J,$B53,BASE!$A:$A,M$6)</f>
        <v>0</v>
      </c>
      <c r="N53" s="75">
        <f>SUMIFS(BASE!$G:$G,BASE!$L:$L,$C53,BASE!$J:$J,$B53,BASE!$A:$A,N$6)</f>
        <v>0</v>
      </c>
      <c r="O53" s="17">
        <f>SUMIFS(BASE!$G:$G,BASE!$L:$L,$C53,BASE!$J:$J,$B53,BASE!$A:$A,O$6)</f>
        <v>0</v>
      </c>
      <c r="P53" s="17">
        <f>SUMIFS(BASE!$G:$G,BASE!$L:$L,$C53,BASE!$J:$J,$B53,BASE!$A:$A,P$6)</f>
        <v>0</v>
      </c>
      <c r="Q53" s="17">
        <f>SUMIFS(BASE!$G:$G,BASE!$L:$L,$C53,BASE!$J:$J,$B53,BASE!$A:$A,Q$6)</f>
        <v>0</v>
      </c>
      <c r="R53" s="17">
        <f>SUMIFS(BASE!$G:$G,BASE!$L:$L,$C53,BASE!$J:$J,$B53,BASE!$A:$A,R$6)</f>
        <v>0</v>
      </c>
      <c r="T53" s="44" t="str">
        <f t="shared" si="1"/>
        <v>ZERADO</v>
      </c>
    </row>
    <row r="54" spans="2:20" ht="15" thickBot="1">
      <c r="B54" s="8" t="s">
        <v>128</v>
      </c>
      <c r="C54" s="8" t="s">
        <v>59</v>
      </c>
      <c r="D54" s="62">
        <f>COUNTIFS(PDVS!H:H,"SIM",PDVS!C:C,B54)</f>
        <v>1</v>
      </c>
      <c r="E54" s="62">
        <f>COUNTIFS(PDVS!C:C,B54,PDVS!I:I,"SIM")</f>
        <v>1</v>
      </c>
      <c r="F54" s="62" t="str">
        <f t="shared" si="0"/>
        <v>Não</v>
      </c>
      <c r="G54" s="17">
        <f>SUMIFS(BASE!$G:$G,BASE!$L:$L,$C54,BASE!$J:$J,$B54,BASE!$A:$A,G$6)</f>
        <v>0</v>
      </c>
      <c r="H54" s="17">
        <f>SUMIFS(BASE!$G:$G,BASE!$L:$L,$C54,BASE!$J:$J,$B54,BASE!$A:$A,H$6)</f>
        <v>0</v>
      </c>
      <c r="I54" s="17">
        <f>SUMIFS(BASE!$G:$G,BASE!$L:$L,$C54,BASE!$J:$J,$B54,BASE!$A:$A,I$6)</f>
        <v>0</v>
      </c>
      <c r="J54" s="17">
        <f>SUMIFS(BASE!$G:$G,BASE!$L:$L,$C54,BASE!$J:$J,$B54,BASE!$A:$A,J$6)</f>
        <v>0</v>
      </c>
      <c r="K54" s="17">
        <f>SUMIFS(BASE!$G:$G,BASE!$L:$L,$C54,BASE!$J:$J,$B54,BASE!$A:$A,K$6)</f>
        <v>0</v>
      </c>
      <c r="L54" s="17">
        <f>SUMIFS(BASE!$G:$G,BASE!$L:$L,$C54,BASE!$J:$J,$B54,BASE!$A:$A,L$6)</f>
        <v>0</v>
      </c>
      <c r="M54" s="17">
        <f>SUMIFS(BASE!$G:$G,BASE!$L:$L,$C54,BASE!$J:$J,$B54,BASE!$A:$A,M$6)</f>
        <v>0</v>
      </c>
      <c r="N54" s="17">
        <f>SUMIFS(BASE!$G:$G,BASE!$L:$L,$C54,BASE!$J:$J,$B54,BASE!$A:$A,N$6)</f>
        <v>0</v>
      </c>
      <c r="O54" s="17">
        <f>SUMIFS(BASE!$G:$G,BASE!$L:$L,$C54,BASE!$J:$J,$B54,BASE!$A:$A,O$6)</f>
        <v>0</v>
      </c>
      <c r="P54" s="17">
        <f>SUMIFS(BASE!$G:$G,BASE!$L:$L,$C54,BASE!$J:$J,$B54,BASE!$A:$A,P$6)</f>
        <v>0</v>
      </c>
      <c r="Q54" s="17">
        <f>SUMIFS(BASE!$G:$G,BASE!$L:$L,$C54,BASE!$J:$J,$B54,BASE!$A:$A,Q$6)</f>
        <v>0</v>
      </c>
      <c r="R54" s="17">
        <f>SUMIFS(BASE!$G:$G,BASE!$L:$L,$C54,BASE!$J:$J,$B54,BASE!$A:$A,R$6)</f>
        <v>0</v>
      </c>
      <c r="T54" s="44" t="str">
        <f t="shared" si="1"/>
        <v>ZERADO</v>
      </c>
    </row>
    <row r="55" spans="2:20">
      <c r="B55" s="76" t="s">
        <v>129</v>
      </c>
      <c r="C55" s="76" t="s">
        <v>56</v>
      </c>
      <c r="D55" s="69">
        <f>COUNTIFS(PDVS!H:H,"SIM",PDVS!C:C,B55)</f>
        <v>0</v>
      </c>
      <c r="E55" s="70">
        <f>COUNTIFS(PDVS!C:C,B55,PDVS!I:I,"SIM")</f>
        <v>4</v>
      </c>
      <c r="F55" s="82" t="str">
        <f t="shared" si="0"/>
        <v>Sim</v>
      </c>
      <c r="G55" s="61">
        <f>SUMIFS(BASE!$G:$G,BASE!$L:$L,$C55,BASE!$J:$J,$B55,BASE!$A:$A,G$6)</f>
        <v>0</v>
      </c>
      <c r="H55" s="17">
        <f>SUMIFS(BASE!$G:$G,BASE!$L:$L,$C55,BASE!$J:$J,$B55,BASE!$A:$A,H$6)</f>
        <v>0</v>
      </c>
      <c r="I55" s="17">
        <f>SUMIFS(BASE!$G:$G,BASE!$L:$L,$C55,BASE!$J:$J,$B55,BASE!$A:$A,I$6)</f>
        <v>0</v>
      </c>
      <c r="J55" s="17">
        <f>SUMIFS(BASE!$G:$G,BASE!$L:$L,$C55,BASE!$J:$J,$B55,BASE!$A:$A,J$6)</f>
        <v>0</v>
      </c>
      <c r="K55" s="17">
        <f>SUMIFS(BASE!$G:$G,BASE!$L:$L,$C55,BASE!$J:$J,$B55,BASE!$A:$A,K$6)</f>
        <v>0</v>
      </c>
      <c r="L55" s="17">
        <f>SUMIFS(BASE!$G:$G,BASE!$L:$L,$C55,BASE!$J:$J,$B55,BASE!$A:$A,L$6)</f>
        <v>0</v>
      </c>
      <c r="M55" s="17">
        <f>SUMIFS(BASE!$G:$G,BASE!$L:$L,$C55,BASE!$J:$J,$B55,BASE!$A:$A,M$6)</f>
        <v>0</v>
      </c>
      <c r="N55" s="73">
        <f>SUMIFS(BASE!$G:$G,BASE!$L:$L,$C55,BASE!$J:$J,$B55,BASE!$A:$A,N$6)</f>
        <v>0</v>
      </c>
      <c r="O55" s="17">
        <f>SUMIFS(BASE!$G:$G,BASE!$L:$L,$C55,BASE!$J:$J,$B55,BASE!$A:$A,O$6)</f>
        <v>0</v>
      </c>
      <c r="P55" s="17">
        <f>SUMIFS(BASE!$G:$G,BASE!$L:$L,$C55,BASE!$J:$J,$B55,BASE!$A:$A,P$6)</f>
        <v>0</v>
      </c>
      <c r="Q55" s="17">
        <f>SUMIFS(BASE!$G:$G,BASE!$L:$L,$C55,BASE!$J:$J,$B55,BASE!$A:$A,Q$6)</f>
        <v>0</v>
      </c>
      <c r="R55" s="17">
        <f>SUMIFS(BASE!$G:$G,BASE!$L:$L,$C55,BASE!$J:$J,$B55,BASE!$A:$A,R$6)</f>
        <v>0</v>
      </c>
      <c r="T55" s="44" t="str">
        <f t="shared" si="1"/>
        <v>ZERADO</v>
      </c>
    </row>
    <row r="56" spans="2:20">
      <c r="B56" s="71" t="s">
        <v>130</v>
      </c>
      <c r="C56" s="71" t="s">
        <v>59</v>
      </c>
      <c r="D56" s="67">
        <f>COUNTIFS(PDVS!H:H,"SIM",PDVS!C:C,B56)</f>
        <v>0</v>
      </c>
      <c r="E56" s="68">
        <f>COUNTIFS(PDVS!C:C,B56,PDVS!I:I,"SIM")</f>
        <v>1</v>
      </c>
      <c r="F56" s="80" t="str">
        <f t="shared" si="0"/>
        <v>Sim</v>
      </c>
      <c r="G56" s="61">
        <f>SUMIFS(BASE!$G:$G,BASE!$L:$L,$C56,BASE!$J:$J,$B56,BASE!$A:$A,G$6)</f>
        <v>0</v>
      </c>
      <c r="H56" s="17">
        <f>SUMIFS(BASE!$G:$G,BASE!$L:$L,$C56,BASE!$J:$J,$B56,BASE!$A:$A,H$6)</f>
        <v>0</v>
      </c>
      <c r="I56" s="17">
        <f>SUMIFS(BASE!$G:$G,BASE!$L:$L,$C56,BASE!$J:$J,$B56,BASE!$A:$A,I$6)</f>
        <v>0</v>
      </c>
      <c r="J56" s="17">
        <f>SUMIFS(BASE!$G:$G,BASE!$L:$L,$C56,BASE!$J:$J,$B56,BASE!$A:$A,J$6)</f>
        <v>0</v>
      </c>
      <c r="K56" s="17">
        <f>SUMIFS(BASE!$G:$G,BASE!$L:$L,$C56,BASE!$J:$J,$B56,BASE!$A:$A,K$6)</f>
        <v>0</v>
      </c>
      <c r="L56" s="17">
        <f>SUMIFS(BASE!$G:$G,BASE!$L:$L,$C56,BASE!$J:$J,$B56,BASE!$A:$A,L$6)</f>
        <v>0</v>
      </c>
      <c r="M56" s="17">
        <f>SUMIFS(BASE!$G:$G,BASE!$L:$L,$C56,BASE!$J:$J,$B56,BASE!$A:$A,M$6)</f>
        <v>0</v>
      </c>
      <c r="N56" s="74">
        <f>SUMIFS(BASE!$G:$G,BASE!$L:$L,$C56,BASE!$J:$J,$B56,BASE!$A:$A,N$6)</f>
        <v>0</v>
      </c>
      <c r="O56" s="17">
        <f>SUMIFS(BASE!$G:$G,BASE!$L:$L,$C56,BASE!$J:$J,$B56,BASE!$A:$A,O$6)</f>
        <v>0</v>
      </c>
      <c r="P56" s="17">
        <f>SUMIFS(BASE!$G:$G,BASE!$L:$L,$C56,BASE!$J:$J,$B56,BASE!$A:$A,P$6)</f>
        <v>0</v>
      </c>
      <c r="Q56" s="17">
        <f>SUMIFS(BASE!$G:$G,BASE!$L:$L,$C56,BASE!$J:$J,$B56,BASE!$A:$A,Q$6)</f>
        <v>0</v>
      </c>
      <c r="R56" s="17">
        <f>SUMIFS(BASE!$G:$G,BASE!$L:$L,$C56,BASE!$J:$J,$B56,BASE!$A:$A,R$6)</f>
        <v>0</v>
      </c>
      <c r="T56" s="44" t="str">
        <f t="shared" si="1"/>
        <v>ZERADO</v>
      </c>
    </row>
    <row r="57" spans="2:20">
      <c r="B57" s="71" t="s">
        <v>131</v>
      </c>
      <c r="C57" s="71" t="s">
        <v>61</v>
      </c>
      <c r="D57" s="67">
        <f>COUNTIFS(PDVS!H:H,"SIM",PDVS!C:C,B57)</f>
        <v>0</v>
      </c>
      <c r="E57" s="68">
        <f>COUNTIFS(PDVS!C:C,B57,PDVS!I:I,"SIM")</f>
        <v>6</v>
      </c>
      <c r="F57" s="80" t="str">
        <f t="shared" si="0"/>
        <v>Sim</v>
      </c>
      <c r="G57" s="61">
        <f>SUMIFS(BASE!$G:$G,BASE!$L:$L,$C57,BASE!$J:$J,$B57,BASE!$A:$A,G$6)</f>
        <v>0</v>
      </c>
      <c r="H57" s="17">
        <f>SUMIFS(BASE!$G:$G,BASE!$L:$L,$C57,BASE!$J:$J,$B57,BASE!$A:$A,H$6)</f>
        <v>0</v>
      </c>
      <c r="I57" s="17">
        <f>SUMIFS(BASE!$G:$G,BASE!$L:$L,$C57,BASE!$J:$J,$B57,BASE!$A:$A,I$6)</f>
        <v>0</v>
      </c>
      <c r="J57" s="17">
        <f>SUMIFS(BASE!$G:$G,BASE!$L:$L,$C57,BASE!$J:$J,$B57,BASE!$A:$A,J$6)</f>
        <v>0</v>
      </c>
      <c r="K57" s="17">
        <f>SUMIFS(BASE!$G:$G,BASE!$L:$L,$C57,BASE!$J:$J,$B57,BASE!$A:$A,K$6)</f>
        <v>0</v>
      </c>
      <c r="L57" s="17">
        <f>SUMIFS(BASE!$G:$G,BASE!$L:$L,$C57,BASE!$J:$J,$B57,BASE!$A:$A,L$6)</f>
        <v>0</v>
      </c>
      <c r="M57" s="17">
        <f>SUMIFS(BASE!$G:$G,BASE!$L:$L,$C57,BASE!$J:$J,$B57,BASE!$A:$A,M$6)</f>
        <v>0</v>
      </c>
      <c r="N57" s="74">
        <f>SUMIFS(BASE!$G:$G,BASE!$L:$L,$C57,BASE!$J:$J,$B57,BASE!$A:$A,N$6)</f>
        <v>0</v>
      </c>
      <c r="O57" s="17">
        <f>SUMIFS(BASE!$G:$G,BASE!$L:$L,$C57,BASE!$J:$J,$B57,BASE!$A:$A,O$6)</f>
        <v>0</v>
      </c>
      <c r="P57" s="17">
        <f>SUMIFS(BASE!$G:$G,BASE!$L:$L,$C57,BASE!$J:$J,$B57,BASE!$A:$A,P$6)</f>
        <v>0</v>
      </c>
      <c r="Q57" s="17">
        <f>SUMIFS(BASE!$G:$G,BASE!$L:$L,$C57,BASE!$J:$J,$B57,BASE!$A:$A,Q$6)</f>
        <v>0</v>
      </c>
      <c r="R57" s="17">
        <f>SUMIFS(BASE!$G:$G,BASE!$L:$L,$C57,BASE!$J:$J,$B57,BASE!$A:$A,R$6)</f>
        <v>0</v>
      </c>
      <c r="T57" s="44" t="str">
        <f t="shared" si="1"/>
        <v>ZERADO</v>
      </c>
    </row>
    <row r="58" spans="2:20">
      <c r="B58" s="71" t="s">
        <v>132</v>
      </c>
      <c r="C58" s="71" t="s">
        <v>62</v>
      </c>
      <c r="D58" s="67">
        <f>COUNTIFS(PDVS!H:H,"SIM",PDVS!C:C,B58)</f>
        <v>0</v>
      </c>
      <c r="E58" s="68">
        <f>COUNTIFS(PDVS!C:C,B58,PDVS!I:I,"SIM")</f>
        <v>44</v>
      </c>
      <c r="F58" s="80" t="str">
        <f t="shared" si="0"/>
        <v>Sim</v>
      </c>
      <c r="G58" s="61">
        <f>SUMIFS(BASE!$G:$G,BASE!$L:$L,$C58,BASE!$J:$J,$B58,BASE!$A:$A,G$6)</f>
        <v>0</v>
      </c>
      <c r="H58" s="17">
        <f>SUMIFS(BASE!$G:$G,BASE!$L:$L,$C58,BASE!$J:$J,$B58,BASE!$A:$A,H$6)</f>
        <v>0</v>
      </c>
      <c r="I58" s="17">
        <f>SUMIFS(BASE!$G:$G,BASE!$L:$L,$C58,BASE!$J:$J,$B58,BASE!$A:$A,I$6)</f>
        <v>1</v>
      </c>
      <c r="J58" s="17">
        <f>SUMIFS(BASE!$G:$G,BASE!$L:$L,$C58,BASE!$J:$J,$B58,BASE!$A:$A,J$6)</f>
        <v>1</v>
      </c>
      <c r="K58" s="17">
        <f>SUMIFS(BASE!$G:$G,BASE!$L:$L,$C58,BASE!$J:$J,$B58,BASE!$A:$A,K$6)</f>
        <v>3</v>
      </c>
      <c r="L58" s="17">
        <f>SUMIFS(BASE!$G:$G,BASE!$L:$L,$C58,BASE!$J:$J,$B58,BASE!$A:$A,L$6)</f>
        <v>7</v>
      </c>
      <c r="M58" s="17">
        <f>SUMIFS(BASE!$G:$G,BASE!$L:$L,$C58,BASE!$J:$J,$B58,BASE!$A:$A,M$6)</f>
        <v>5</v>
      </c>
      <c r="N58" s="74">
        <f>SUMIFS(BASE!$G:$G,BASE!$L:$L,$C58,BASE!$J:$J,$B58,BASE!$A:$A,N$6)</f>
        <v>3</v>
      </c>
      <c r="O58" s="17">
        <f>SUMIFS(BASE!$G:$G,BASE!$L:$L,$C58,BASE!$J:$J,$B58,BASE!$A:$A,O$6)</f>
        <v>0</v>
      </c>
      <c r="P58" s="17">
        <f>SUMIFS(BASE!$G:$G,BASE!$L:$L,$C58,BASE!$J:$J,$B58,BASE!$A:$A,P$6)</f>
        <v>0</v>
      </c>
      <c r="Q58" s="17">
        <f>SUMIFS(BASE!$G:$G,BASE!$L:$L,$C58,BASE!$J:$J,$B58,BASE!$A:$A,Q$6)</f>
        <v>0</v>
      </c>
      <c r="R58" s="17">
        <f>SUMIFS(BASE!$G:$G,BASE!$L:$L,$C58,BASE!$J:$J,$B58,BASE!$A:$A,R$6)</f>
        <v>0</v>
      </c>
      <c r="T58" s="44" t="str">
        <f t="shared" si="1"/>
        <v>COM TROCAS</v>
      </c>
    </row>
    <row r="59" spans="2:20">
      <c r="B59" s="71" t="s">
        <v>133</v>
      </c>
      <c r="C59" s="71" t="s">
        <v>59</v>
      </c>
      <c r="D59" s="67">
        <f>COUNTIFS(PDVS!H:H,"SIM",PDVS!C:C,B59)</f>
        <v>0</v>
      </c>
      <c r="E59" s="68">
        <f>COUNTIFS(PDVS!C:C,B59,PDVS!I:I,"SIM")</f>
        <v>1</v>
      </c>
      <c r="F59" s="80" t="str">
        <f t="shared" si="0"/>
        <v>Sim</v>
      </c>
      <c r="G59" s="61">
        <f>SUMIFS(BASE!$G:$G,BASE!$L:$L,$C59,BASE!$J:$J,$B59,BASE!$A:$A,G$6)</f>
        <v>0</v>
      </c>
      <c r="H59" s="17">
        <f>SUMIFS(BASE!$G:$G,BASE!$L:$L,$C59,BASE!$J:$J,$B59,BASE!$A:$A,H$6)</f>
        <v>0</v>
      </c>
      <c r="I59" s="17">
        <f>SUMIFS(BASE!$G:$G,BASE!$L:$L,$C59,BASE!$J:$J,$B59,BASE!$A:$A,I$6)</f>
        <v>0</v>
      </c>
      <c r="J59" s="17">
        <f>SUMIFS(BASE!$G:$G,BASE!$L:$L,$C59,BASE!$J:$J,$B59,BASE!$A:$A,J$6)</f>
        <v>0</v>
      </c>
      <c r="K59" s="17">
        <f>SUMIFS(BASE!$G:$G,BASE!$L:$L,$C59,BASE!$J:$J,$B59,BASE!$A:$A,K$6)</f>
        <v>0</v>
      </c>
      <c r="L59" s="17">
        <f>SUMIFS(BASE!$G:$G,BASE!$L:$L,$C59,BASE!$J:$J,$B59,BASE!$A:$A,L$6)</f>
        <v>0</v>
      </c>
      <c r="M59" s="17">
        <f>SUMIFS(BASE!$G:$G,BASE!$L:$L,$C59,BASE!$J:$J,$B59,BASE!$A:$A,M$6)</f>
        <v>0</v>
      </c>
      <c r="N59" s="74">
        <f>SUMIFS(BASE!$G:$G,BASE!$L:$L,$C59,BASE!$J:$J,$B59,BASE!$A:$A,N$6)</f>
        <v>0</v>
      </c>
      <c r="O59" s="17">
        <f>SUMIFS(BASE!$G:$G,BASE!$L:$L,$C59,BASE!$J:$J,$B59,BASE!$A:$A,O$6)</f>
        <v>0</v>
      </c>
      <c r="P59" s="17">
        <f>SUMIFS(BASE!$G:$G,BASE!$L:$L,$C59,BASE!$J:$J,$B59,BASE!$A:$A,P$6)</f>
        <v>0</v>
      </c>
      <c r="Q59" s="17">
        <f>SUMIFS(BASE!$G:$G,BASE!$L:$L,$C59,BASE!$J:$J,$B59,BASE!$A:$A,Q$6)</f>
        <v>0</v>
      </c>
      <c r="R59" s="17">
        <f>SUMIFS(BASE!$G:$G,BASE!$L:$L,$C59,BASE!$J:$J,$B59,BASE!$A:$A,R$6)</f>
        <v>0</v>
      </c>
      <c r="T59" s="44" t="str">
        <f t="shared" si="1"/>
        <v>ZERADO</v>
      </c>
    </row>
    <row r="60" spans="2:20">
      <c r="B60" s="71" t="s">
        <v>134</v>
      </c>
      <c r="C60" s="71" t="s">
        <v>56</v>
      </c>
      <c r="D60" s="67">
        <f>COUNTIFS(PDVS!H:H,"SIM",PDVS!C:C,B60)</f>
        <v>0</v>
      </c>
      <c r="E60" s="68">
        <f>COUNTIFS(PDVS!C:C,B60,PDVS!I:I,"SIM")</f>
        <v>1</v>
      </c>
      <c r="F60" s="80" t="str">
        <f t="shared" si="0"/>
        <v>Sim</v>
      </c>
      <c r="G60" s="61">
        <f>SUMIFS(BASE!$G:$G,BASE!$L:$L,$C60,BASE!$J:$J,$B60,BASE!$A:$A,G$6)</f>
        <v>0</v>
      </c>
      <c r="H60" s="17">
        <f>SUMIFS(BASE!$G:$G,BASE!$L:$L,$C60,BASE!$J:$J,$B60,BASE!$A:$A,H$6)</f>
        <v>0</v>
      </c>
      <c r="I60" s="17">
        <f>SUMIFS(BASE!$G:$G,BASE!$L:$L,$C60,BASE!$J:$J,$B60,BASE!$A:$A,I$6)</f>
        <v>0</v>
      </c>
      <c r="J60" s="17">
        <f>SUMIFS(BASE!$G:$G,BASE!$L:$L,$C60,BASE!$J:$J,$B60,BASE!$A:$A,J$6)</f>
        <v>0</v>
      </c>
      <c r="K60" s="17">
        <f>SUMIFS(BASE!$G:$G,BASE!$L:$L,$C60,BASE!$J:$J,$B60,BASE!$A:$A,K$6)</f>
        <v>0</v>
      </c>
      <c r="L60" s="17">
        <f>SUMIFS(BASE!$G:$G,BASE!$L:$L,$C60,BASE!$J:$J,$B60,BASE!$A:$A,L$6)</f>
        <v>0</v>
      </c>
      <c r="M60" s="17">
        <f>SUMIFS(BASE!$G:$G,BASE!$L:$L,$C60,BASE!$J:$J,$B60,BASE!$A:$A,M$6)</f>
        <v>0</v>
      </c>
      <c r="N60" s="74">
        <f>SUMIFS(BASE!$G:$G,BASE!$L:$L,$C60,BASE!$J:$J,$B60,BASE!$A:$A,N$6)</f>
        <v>0</v>
      </c>
      <c r="O60" s="17">
        <f>SUMIFS(BASE!$G:$G,BASE!$L:$L,$C60,BASE!$J:$J,$B60,BASE!$A:$A,O$6)</f>
        <v>0</v>
      </c>
      <c r="P60" s="17">
        <f>SUMIFS(BASE!$G:$G,BASE!$L:$L,$C60,BASE!$J:$J,$B60,BASE!$A:$A,P$6)</f>
        <v>0</v>
      </c>
      <c r="Q60" s="17">
        <f>SUMIFS(BASE!$G:$G,BASE!$L:$L,$C60,BASE!$J:$J,$B60,BASE!$A:$A,Q$6)</f>
        <v>0</v>
      </c>
      <c r="R60" s="17">
        <f>SUMIFS(BASE!$G:$G,BASE!$L:$L,$C60,BASE!$J:$J,$B60,BASE!$A:$A,R$6)</f>
        <v>0</v>
      </c>
      <c r="T60" s="44" t="str">
        <f t="shared" si="1"/>
        <v>ZERADO</v>
      </c>
    </row>
    <row r="61" spans="2:20">
      <c r="B61" s="71" t="s">
        <v>135</v>
      </c>
      <c r="C61" s="71" t="s">
        <v>59</v>
      </c>
      <c r="D61" s="67">
        <f>COUNTIFS(PDVS!H:H,"SIM",PDVS!C:C,B61)</f>
        <v>0</v>
      </c>
      <c r="E61" s="68">
        <f>COUNTIFS(PDVS!C:C,B61,PDVS!I:I,"SIM")</f>
        <v>1</v>
      </c>
      <c r="F61" s="80" t="str">
        <f t="shared" si="0"/>
        <v>Sim</v>
      </c>
      <c r="G61" s="61">
        <f>SUMIFS(BASE!$G:$G,BASE!$L:$L,$C61,BASE!$J:$J,$B61,BASE!$A:$A,G$6)</f>
        <v>0</v>
      </c>
      <c r="H61" s="17">
        <f>SUMIFS(BASE!$G:$G,BASE!$L:$L,$C61,BASE!$J:$J,$B61,BASE!$A:$A,H$6)</f>
        <v>0</v>
      </c>
      <c r="I61" s="17">
        <f>SUMIFS(BASE!$G:$G,BASE!$L:$L,$C61,BASE!$J:$J,$B61,BASE!$A:$A,I$6)</f>
        <v>0</v>
      </c>
      <c r="J61" s="17">
        <f>SUMIFS(BASE!$G:$G,BASE!$L:$L,$C61,BASE!$J:$J,$B61,BASE!$A:$A,J$6)</f>
        <v>0</v>
      </c>
      <c r="K61" s="17">
        <f>SUMIFS(BASE!$G:$G,BASE!$L:$L,$C61,BASE!$J:$J,$B61,BASE!$A:$A,K$6)</f>
        <v>0</v>
      </c>
      <c r="L61" s="17">
        <f>SUMIFS(BASE!$G:$G,BASE!$L:$L,$C61,BASE!$J:$J,$B61,BASE!$A:$A,L$6)</f>
        <v>0</v>
      </c>
      <c r="M61" s="17">
        <f>SUMIFS(BASE!$G:$G,BASE!$L:$L,$C61,BASE!$J:$J,$B61,BASE!$A:$A,M$6)</f>
        <v>0</v>
      </c>
      <c r="N61" s="74">
        <f>SUMIFS(BASE!$G:$G,BASE!$L:$L,$C61,BASE!$J:$J,$B61,BASE!$A:$A,N$6)</f>
        <v>0</v>
      </c>
      <c r="O61" s="17">
        <f>SUMIFS(BASE!$G:$G,BASE!$L:$L,$C61,BASE!$J:$J,$B61,BASE!$A:$A,O$6)</f>
        <v>0</v>
      </c>
      <c r="P61" s="17">
        <f>SUMIFS(BASE!$G:$G,BASE!$L:$L,$C61,BASE!$J:$J,$B61,BASE!$A:$A,P$6)</f>
        <v>0</v>
      </c>
      <c r="Q61" s="17">
        <f>SUMIFS(BASE!$G:$G,BASE!$L:$L,$C61,BASE!$J:$J,$B61,BASE!$A:$A,Q$6)</f>
        <v>0</v>
      </c>
      <c r="R61" s="17">
        <f>SUMIFS(BASE!$G:$G,BASE!$L:$L,$C61,BASE!$J:$J,$B61,BASE!$A:$A,R$6)</f>
        <v>0</v>
      </c>
      <c r="T61" s="44" t="str">
        <f t="shared" si="1"/>
        <v>ZERADO</v>
      </c>
    </row>
    <row r="62" spans="2:20">
      <c r="B62" s="71" t="s">
        <v>136</v>
      </c>
      <c r="C62" s="71" t="s">
        <v>60</v>
      </c>
      <c r="D62" s="67">
        <f>COUNTIFS(PDVS!H:H,"SIM",PDVS!C:C,B62)</f>
        <v>0</v>
      </c>
      <c r="E62" s="68">
        <f>COUNTIFS(PDVS!C:C,B62,PDVS!I:I,"SIM")</f>
        <v>0</v>
      </c>
      <c r="F62" s="80" t="str">
        <f t="shared" si="0"/>
        <v>Sim</v>
      </c>
      <c r="G62" s="61">
        <f>SUMIFS(BASE!$G:$G,BASE!$L:$L,$C62,BASE!$J:$J,$B62,BASE!$A:$A,G$6)</f>
        <v>0</v>
      </c>
      <c r="H62" s="17">
        <f>SUMIFS(BASE!$G:$G,BASE!$L:$L,$C62,BASE!$J:$J,$B62,BASE!$A:$A,H$6)</f>
        <v>0</v>
      </c>
      <c r="I62" s="17">
        <f>SUMIFS(BASE!$G:$G,BASE!$L:$L,$C62,BASE!$J:$J,$B62,BASE!$A:$A,I$6)</f>
        <v>0</v>
      </c>
      <c r="J62" s="17">
        <f>SUMIFS(BASE!$G:$G,BASE!$L:$L,$C62,BASE!$J:$J,$B62,BASE!$A:$A,J$6)</f>
        <v>0</v>
      </c>
      <c r="K62" s="17">
        <f>SUMIFS(BASE!$G:$G,BASE!$L:$L,$C62,BASE!$J:$J,$B62,BASE!$A:$A,K$6)</f>
        <v>0</v>
      </c>
      <c r="L62" s="17">
        <f>SUMIFS(BASE!$G:$G,BASE!$L:$L,$C62,BASE!$J:$J,$B62,BASE!$A:$A,L$6)</f>
        <v>0</v>
      </c>
      <c r="M62" s="17">
        <f>SUMIFS(BASE!$G:$G,BASE!$L:$L,$C62,BASE!$J:$J,$B62,BASE!$A:$A,M$6)</f>
        <v>0</v>
      </c>
      <c r="N62" s="74">
        <f>SUMIFS(BASE!$G:$G,BASE!$L:$L,$C62,BASE!$J:$J,$B62,BASE!$A:$A,N$6)</f>
        <v>0</v>
      </c>
      <c r="O62" s="17">
        <f>SUMIFS(BASE!$G:$G,BASE!$L:$L,$C62,BASE!$J:$J,$B62,BASE!$A:$A,O$6)</f>
        <v>0</v>
      </c>
      <c r="P62" s="17">
        <f>SUMIFS(BASE!$G:$G,BASE!$L:$L,$C62,BASE!$J:$J,$B62,BASE!$A:$A,P$6)</f>
        <v>0</v>
      </c>
      <c r="Q62" s="17">
        <f>SUMIFS(BASE!$G:$G,BASE!$L:$L,$C62,BASE!$J:$J,$B62,BASE!$A:$A,Q$6)</f>
        <v>0</v>
      </c>
      <c r="R62" s="17">
        <f>SUMIFS(BASE!$G:$G,BASE!$L:$L,$C62,BASE!$J:$J,$B62,BASE!$A:$A,R$6)</f>
        <v>0</v>
      </c>
      <c r="T62" s="44" t="str">
        <f t="shared" si="1"/>
        <v>ZERADO</v>
      </c>
    </row>
    <row r="63" spans="2:20">
      <c r="B63" s="71" t="s">
        <v>137</v>
      </c>
      <c r="C63" s="71" t="s">
        <v>56</v>
      </c>
      <c r="D63" s="67">
        <f>COUNTIFS(PDVS!H:H,"SIM",PDVS!C:C,B63)</f>
        <v>0</v>
      </c>
      <c r="E63" s="68">
        <f>COUNTIFS(PDVS!C:C,B63,PDVS!I:I,"SIM")</f>
        <v>1</v>
      </c>
      <c r="F63" s="80" t="str">
        <f t="shared" si="0"/>
        <v>Sim</v>
      </c>
      <c r="G63" s="61">
        <f>SUMIFS(BASE!$G:$G,BASE!$L:$L,$C63,BASE!$J:$J,$B63,BASE!$A:$A,G$6)</f>
        <v>0</v>
      </c>
      <c r="H63" s="17">
        <f>SUMIFS(BASE!$G:$G,BASE!$L:$L,$C63,BASE!$J:$J,$B63,BASE!$A:$A,H$6)</f>
        <v>0</v>
      </c>
      <c r="I63" s="17">
        <f>SUMIFS(BASE!$G:$G,BASE!$L:$L,$C63,BASE!$J:$J,$B63,BASE!$A:$A,I$6)</f>
        <v>0</v>
      </c>
      <c r="J63" s="17">
        <f>SUMIFS(BASE!$G:$G,BASE!$L:$L,$C63,BASE!$J:$J,$B63,BASE!$A:$A,J$6)</f>
        <v>0</v>
      </c>
      <c r="K63" s="17">
        <f>SUMIFS(BASE!$G:$G,BASE!$L:$L,$C63,BASE!$J:$J,$B63,BASE!$A:$A,K$6)</f>
        <v>0</v>
      </c>
      <c r="L63" s="17">
        <f>SUMIFS(BASE!$G:$G,BASE!$L:$L,$C63,BASE!$J:$J,$B63,BASE!$A:$A,L$6)</f>
        <v>0</v>
      </c>
      <c r="M63" s="17">
        <f>SUMIFS(BASE!$G:$G,BASE!$L:$L,$C63,BASE!$J:$J,$B63,BASE!$A:$A,M$6)</f>
        <v>0</v>
      </c>
      <c r="N63" s="74">
        <f>SUMIFS(BASE!$G:$G,BASE!$L:$L,$C63,BASE!$J:$J,$B63,BASE!$A:$A,N$6)</f>
        <v>0</v>
      </c>
      <c r="O63" s="17">
        <f>SUMIFS(BASE!$G:$G,BASE!$L:$L,$C63,BASE!$J:$J,$B63,BASE!$A:$A,O$6)</f>
        <v>0</v>
      </c>
      <c r="P63" s="17">
        <f>SUMIFS(BASE!$G:$G,BASE!$L:$L,$C63,BASE!$J:$J,$B63,BASE!$A:$A,P$6)</f>
        <v>0</v>
      </c>
      <c r="Q63" s="17">
        <f>SUMIFS(BASE!$G:$G,BASE!$L:$L,$C63,BASE!$J:$J,$B63,BASE!$A:$A,Q$6)</f>
        <v>0</v>
      </c>
      <c r="R63" s="17">
        <f>SUMIFS(BASE!$G:$G,BASE!$L:$L,$C63,BASE!$J:$J,$B63,BASE!$A:$A,R$6)</f>
        <v>0</v>
      </c>
      <c r="T63" s="44" t="str">
        <f t="shared" si="1"/>
        <v>ZERADO</v>
      </c>
    </row>
    <row r="64" spans="2:20">
      <c r="B64" s="71" t="s">
        <v>138</v>
      </c>
      <c r="C64" s="71" t="s">
        <v>55</v>
      </c>
      <c r="D64" s="67">
        <f>COUNTIFS(PDVS!H:H,"SIM",PDVS!C:C,B64)</f>
        <v>0</v>
      </c>
      <c r="E64" s="68">
        <f>COUNTIFS(PDVS!C:C,B64,PDVS!I:I,"SIM")</f>
        <v>9</v>
      </c>
      <c r="F64" s="80" t="str">
        <f t="shared" si="0"/>
        <v>Sim</v>
      </c>
      <c r="G64" s="61">
        <f>SUMIFS(BASE!$G:$G,BASE!$L:$L,$C64,BASE!$J:$J,$B64,BASE!$A:$A,G$6)</f>
        <v>0</v>
      </c>
      <c r="H64" s="17">
        <f>SUMIFS(BASE!$G:$G,BASE!$L:$L,$C64,BASE!$J:$J,$B64,BASE!$A:$A,H$6)</f>
        <v>0</v>
      </c>
      <c r="I64" s="17">
        <f>SUMIFS(BASE!$G:$G,BASE!$L:$L,$C64,BASE!$J:$J,$B64,BASE!$A:$A,I$6)</f>
        <v>0</v>
      </c>
      <c r="J64" s="17">
        <f>SUMIFS(BASE!$G:$G,BASE!$L:$L,$C64,BASE!$J:$J,$B64,BASE!$A:$A,J$6)</f>
        <v>0</v>
      </c>
      <c r="K64" s="17">
        <f>SUMIFS(BASE!$G:$G,BASE!$L:$L,$C64,BASE!$J:$J,$B64,BASE!$A:$A,K$6)</f>
        <v>0</v>
      </c>
      <c r="L64" s="17">
        <f>SUMIFS(BASE!$G:$G,BASE!$L:$L,$C64,BASE!$J:$J,$B64,BASE!$A:$A,L$6)</f>
        <v>2</v>
      </c>
      <c r="M64" s="17">
        <f>SUMIFS(BASE!$G:$G,BASE!$L:$L,$C64,BASE!$J:$J,$B64,BASE!$A:$A,M$6)</f>
        <v>1</v>
      </c>
      <c r="N64" s="74">
        <f>SUMIFS(BASE!$G:$G,BASE!$L:$L,$C64,BASE!$J:$J,$B64,BASE!$A:$A,N$6)</f>
        <v>5</v>
      </c>
      <c r="O64" s="17">
        <f>SUMIFS(BASE!$G:$G,BASE!$L:$L,$C64,BASE!$J:$J,$B64,BASE!$A:$A,O$6)</f>
        <v>0</v>
      </c>
      <c r="P64" s="17">
        <f>SUMIFS(BASE!$G:$G,BASE!$L:$L,$C64,BASE!$J:$J,$B64,BASE!$A:$A,P$6)</f>
        <v>0</v>
      </c>
      <c r="Q64" s="17">
        <f>SUMIFS(BASE!$G:$G,BASE!$L:$L,$C64,BASE!$J:$J,$B64,BASE!$A:$A,Q$6)</f>
        <v>0</v>
      </c>
      <c r="R64" s="17">
        <f>SUMIFS(BASE!$G:$G,BASE!$L:$L,$C64,BASE!$J:$J,$B64,BASE!$A:$A,R$6)</f>
        <v>0</v>
      </c>
      <c r="T64" s="44" t="str">
        <f t="shared" si="1"/>
        <v>COM TROCAS</v>
      </c>
    </row>
    <row r="65" spans="2:20">
      <c r="B65" s="71" t="s">
        <v>139</v>
      </c>
      <c r="C65" s="71" t="s">
        <v>60</v>
      </c>
      <c r="D65" s="67">
        <f>COUNTIFS(PDVS!H:H,"SIM",PDVS!C:C,B65)</f>
        <v>0</v>
      </c>
      <c r="E65" s="68">
        <f>COUNTIFS(PDVS!C:C,B65,PDVS!I:I,"SIM")</f>
        <v>1</v>
      </c>
      <c r="F65" s="80" t="str">
        <f t="shared" si="0"/>
        <v>Sim</v>
      </c>
      <c r="G65" s="61">
        <f>SUMIFS(BASE!$G:$G,BASE!$L:$L,$C65,BASE!$J:$J,$B65,BASE!$A:$A,G$6)</f>
        <v>0</v>
      </c>
      <c r="H65" s="17">
        <f>SUMIFS(BASE!$G:$G,BASE!$L:$L,$C65,BASE!$J:$J,$B65,BASE!$A:$A,H$6)</f>
        <v>0</v>
      </c>
      <c r="I65" s="17">
        <f>SUMIFS(BASE!$G:$G,BASE!$L:$L,$C65,BASE!$J:$J,$B65,BASE!$A:$A,I$6)</f>
        <v>0</v>
      </c>
      <c r="J65" s="17">
        <f>SUMIFS(BASE!$G:$G,BASE!$L:$L,$C65,BASE!$J:$J,$B65,BASE!$A:$A,J$6)</f>
        <v>0</v>
      </c>
      <c r="K65" s="17">
        <f>SUMIFS(BASE!$G:$G,BASE!$L:$L,$C65,BASE!$J:$J,$B65,BASE!$A:$A,K$6)</f>
        <v>0</v>
      </c>
      <c r="L65" s="17">
        <f>SUMIFS(BASE!$G:$G,BASE!$L:$L,$C65,BASE!$J:$J,$B65,BASE!$A:$A,L$6)</f>
        <v>0</v>
      </c>
      <c r="M65" s="17">
        <f>SUMIFS(BASE!$G:$G,BASE!$L:$L,$C65,BASE!$J:$J,$B65,BASE!$A:$A,M$6)</f>
        <v>0</v>
      </c>
      <c r="N65" s="74">
        <f>SUMIFS(BASE!$G:$G,BASE!$L:$L,$C65,BASE!$J:$J,$B65,BASE!$A:$A,N$6)</f>
        <v>0</v>
      </c>
      <c r="O65" s="17">
        <f>SUMIFS(BASE!$G:$G,BASE!$L:$L,$C65,BASE!$J:$J,$B65,BASE!$A:$A,O$6)</f>
        <v>0</v>
      </c>
      <c r="P65" s="17">
        <f>SUMIFS(BASE!$G:$G,BASE!$L:$L,$C65,BASE!$J:$J,$B65,BASE!$A:$A,P$6)</f>
        <v>0</v>
      </c>
      <c r="Q65" s="17">
        <f>SUMIFS(BASE!$G:$G,BASE!$L:$L,$C65,BASE!$J:$J,$B65,BASE!$A:$A,Q$6)</f>
        <v>0</v>
      </c>
      <c r="R65" s="17">
        <f>SUMIFS(BASE!$G:$G,BASE!$L:$L,$C65,BASE!$J:$J,$B65,BASE!$A:$A,R$6)</f>
        <v>0</v>
      </c>
      <c r="T65" s="44" t="str">
        <f t="shared" si="1"/>
        <v>ZERADO</v>
      </c>
    </row>
    <row r="66" spans="2:20">
      <c r="B66" s="71" t="s">
        <v>140</v>
      </c>
      <c r="C66" s="71" t="s">
        <v>62</v>
      </c>
      <c r="D66" s="67">
        <f>COUNTIFS(PDVS!H:H,"SIM",PDVS!C:C,B66)</f>
        <v>0</v>
      </c>
      <c r="E66" s="68">
        <f>COUNTIFS(PDVS!C:C,B66,PDVS!I:I,"SIM")</f>
        <v>0</v>
      </c>
      <c r="F66" s="80" t="str">
        <f t="shared" si="0"/>
        <v>Sim</v>
      </c>
      <c r="G66" s="61">
        <f>SUMIFS(BASE!$G:$G,BASE!$L:$L,$C66,BASE!$J:$J,$B66,BASE!$A:$A,G$6)</f>
        <v>0</v>
      </c>
      <c r="H66" s="17">
        <f>SUMIFS(BASE!$G:$G,BASE!$L:$L,$C66,BASE!$J:$J,$B66,BASE!$A:$A,H$6)</f>
        <v>0</v>
      </c>
      <c r="I66" s="17">
        <f>SUMIFS(BASE!$G:$G,BASE!$L:$L,$C66,BASE!$J:$J,$B66,BASE!$A:$A,I$6)</f>
        <v>0</v>
      </c>
      <c r="J66" s="17">
        <f>SUMIFS(BASE!$G:$G,BASE!$L:$L,$C66,BASE!$J:$J,$B66,BASE!$A:$A,J$6)</f>
        <v>0</v>
      </c>
      <c r="K66" s="17">
        <f>SUMIFS(BASE!$G:$G,BASE!$L:$L,$C66,BASE!$J:$J,$B66,BASE!$A:$A,K$6)</f>
        <v>0</v>
      </c>
      <c r="L66" s="17">
        <f>SUMIFS(BASE!$G:$G,BASE!$L:$L,$C66,BASE!$J:$J,$B66,BASE!$A:$A,L$6)</f>
        <v>0</v>
      </c>
      <c r="M66" s="17">
        <f>SUMIFS(BASE!$G:$G,BASE!$L:$L,$C66,BASE!$J:$J,$B66,BASE!$A:$A,M$6)</f>
        <v>0</v>
      </c>
      <c r="N66" s="74">
        <f>SUMIFS(BASE!$G:$G,BASE!$L:$L,$C66,BASE!$J:$J,$B66,BASE!$A:$A,N$6)</f>
        <v>0</v>
      </c>
      <c r="O66" s="17">
        <f>SUMIFS(BASE!$G:$G,BASE!$L:$L,$C66,BASE!$J:$J,$B66,BASE!$A:$A,O$6)</f>
        <v>0</v>
      </c>
      <c r="P66" s="17">
        <f>SUMIFS(BASE!$G:$G,BASE!$L:$L,$C66,BASE!$J:$J,$B66,BASE!$A:$A,P$6)</f>
        <v>0</v>
      </c>
      <c r="Q66" s="17">
        <f>SUMIFS(BASE!$G:$G,BASE!$L:$L,$C66,BASE!$J:$J,$B66,BASE!$A:$A,Q$6)</f>
        <v>0</v>
      </c>
      <c r="R66" s="17">
        <f>SUMIFS(BASE!$G:$G,BASE!$L:$L,$C66,BASE!$J:$J,$B66,BASE!$A:$A,R$6)</f>
        <v>0</v>
      </c>
      <c r="T66" s="44" t="str">
        <f t="shared" si="1"/>
        <v>ZERADO</v>
      </c>
    </row>
    <row r="67" spans="2:20" ht="15" thickBot="1">
      <c r="B67" s="72" t="s">
        <v>141</v>
      </c>
      <c r="C67" s="72" t="s">
        <v>61</v>
      </c>
      <c r="D67" s="67">
        <f>COUNTIFS(PDVS!H:H,"SIM",PDVS!C:C,B67)</f>
        <v>0</v>
      </c>
      <c r="E67" s="68">
        <f>COUNTIFS(PDVS!C:C,B67,PDVS!I:I,"SIM")</f>
        <v>6</v>
      </c>
      <c r="F67" s="81" t="str">
        <f t="shared" si="0"/>
        <v>Sim</v>
      </c>
      <c r="G67" s="61">
        <f>SUMIFS(BASE!$G:$G,BASE!$L:$L,$C67,BASE!$J:$J,$B67,BASE!$A:$A,G$6)</f>
        <v>0</v>
      </c>
      <c r="H67" s="17">
        <f>SUMIFS(BASE!$G:$G,BASE!$L:$L,$C67,BASE!$J:$J,$B67,BASE!$A:$A,H$6)</f>
        <v>0</v>
      </c>
      <c r="I67" s="17">
        <f>SUMIFS(BASE!$G:$G,BASE!$L:$L,$C67,BASE!$J:$J,$B67,BASE!$A:$A,I$6)</f>
        <v>0</v>
      </c>
      <c r="J67" s="17">
        <f>SUMIFS(BASE!$G:$G,BASE!$L:$L,$C67,BASE!$J:$J,$B67,BASE!$A:$A,J$6)</f>
        <v>0</v>
      </c>
      <c r="K67" s="17">
        <f>SUMIFS(BASE!$G:$G,BASE!$L:$L,$C67,BASE!$J:$J,$B67,BASE!$A:$A,K$6)</f>
        <v>1</v>
      </c>
      <c r="L67" s="17">
        <f>SUMIFS(BASE!$G:$G,BASE!$L:$L,$C67,BASE!$J:$J,$B67,BASE!$A:$A,L$6)</f>
        <v>0</v>
      </c>
      <c r="M67" s="17">
        <f>SUMIFS(BASE!$G:$G,BASE!$L:$L,$C67,BASE!$J:$J,$B67,BASE!$A:$A,M$6)</f>
        <v>0</v>
      </c>
      <c r="N67" s="75">
        <f>SUMIFS(BASE!$G:$G,BASE!$L:$L,$C67,BASE!$J:$J,$B67,BASE!$A:$A,N$6)</f>
        <v>0</v>
      </c>
      <c r="O67" s="17">
        <f>SUMIFS(BASE!$G:$G,BASE!$L:$L,$C67,BASE!$J:$J,$B67,BASE!$A:$A,O$6)</f>
        <v>0</v>
      </c>
      <c r="P67" s="17">
        <f>SUMIFS(BASE!$G:$G,BASE!$L:$L,$C67,BASE!$J:$J,$B67,BASE!$A:$A,P$6)</f>
        <v>0</v>
      </c>
      <c r="Q67" s="17">
        <f>SUMIFS(BASE!$G:$G,BASE!$L:$L,$C67,BASE!$J:$J,$B67,BASE!$A:$A,Q$6)</f>
        <v>0</v>
      </c>
      <c r="R67" s="17">
        <f>SUMIFS(BASE!$G:$G,BASE!$L:$L,$C67,BASE!$J:$J,$B67,BASE!$A:$A,R$6)</f>
        <v>0</v>
      </c>
      <c r="T67" s="44" t="str">
        <f t="shared" si="1"/>
        <v>ZERADO</v>
      </c>
    </row>
    <row r="68" spans="2:20" ht="15" thickBot="1">
      <c r="B68" s="8" t="s">
        <v>142</v>
      </c>
      <c r="C68" s="8" t="s">
        <v>56</v>
      </c>
      <c r="D68" s="62">
        <f>COUNTIFS(PDVS!H:H,"SIM",PDVS!C:C,B68)</f>
        <v>1</v>
      </c>
      <c r="E68" s="62">
        <f>COUNTIFS(PDVS!C:C,B68,PDVS!I:I,"SIM")</f>
        <v>1</v>
      </c>
      <c r="F68" s="62" t="str">
        <f t="shared" si="0"/>
        <v>Não</v>
      </c>
      <c r="G68" s="17">
        <f>SUMIFS(BASE!$G:$G,BASE!$L:$L,$C68,BASE!$J:$J,$B68,BASE!$A:$A,G$6)</f>
        <v>0</v>
      </c>
      <c r="H68" s="17">
        <f>SUMIFS(BASE!$G:$G,BASE!$L:$L,$C68,BASE!$J:$J,$B68,BASE!$A:$A,H$6)</f>
        <v>0</v>
      </c>
      <c r="I68" s="17">
        <f>SUMIFS(BASE!$G:$G,BASE!$L:$L,$C68,BASE!$J:$J,$B68,BASE!$A:$A,I$6)</f>
        <v>0</v>
      </c>
      <c r="J68" s="17">
        <f>SUMIFS(BASE!$G:$G,BASE!$L:$L,$C68,BASE!$J:$J,$B68,BASE!$A:$A,J$6)</f>
        <v>0</v>
      </c>
      <c r="K68" s="17">
        <f>SUMIFS(BASE!$G:$G,BASE!$L:$L,$C68,BASE!$J:$J,$B68,BASE!$A:$A,K$6)</f>
        <v>0</v>
      </c>
      <c r="L68" s="17">
        <f>SUMIFS(BASE!$G:$G,BASE!$L:$L,$C68,BASE!$J:$J,$B68,BASE!$A:$A,L$6)</f>
        <v>0</v>
      </c>
      <c r="M68" s="17">
        <f>SUMIFS(BASE!$G:$G,BASE!$L:$L,$C68,BASE!$J:$J,$B68,BASE!$A:$A,M$6)</f>
        <v>0</v>
      </c>
      <c r="N68" s="17">
        <f>SUMIFS(BASE!$G:$G,BASE!$L:$L,$C68,BASE!$J:$J,$B68,BASE!$A:$A,N$6)</f>
        <v>0</v>
      </c>
      <c r="O68" s="17">
        <f>SUMIFS(BASE!$G:$G,BASE!$L:$L,$C68,BASE!$J:$J,$B68,BASE!$A:$A,O$6)</f>
        <v>0</v>
      </c>
      <c r="P68" s="17">
        <f>SUMIFS(BASE!$G:$G,BASE!$L:$L,$C68,BASE!$J:$J,$B68,BASE!$A:$A,P$6)</f>
        <v>0</v>
      </c>
      <c r="Q68" s="17">
        <f>SUMIFS(BASE!$G:$G,BASE!$L:$L,$C68,BASE!$J:$J,$B68,BASE!$A:$A,Q$6)</f>
        <v>0</v>
      </c>
      <c r="R68" s="17">
        <f>SUMIFS(BASE!$G:$G,BASE!$L:$L,$C68,BASE!$J:$J,$B68,BASE!$A:$A,R$6)</f>
        <v>0</v>
      </c>
      <c r="T68" s="44" t="str">
        <f t="shared" si="1"/>
        <v>ZERADO</v>
      </c>
    </row>
    <row r="69" spans="2:20">
      <c r="B69" s="76" t="s">
        <v>143</v>
      </c>
      <c r="C69" s="76" t="s">
        <v>62</v>
      </c>
      <c r="D69" s="69">
        <f>COUNTIFS(PDVS!H:H,"SIM",PDVS!C:C,B69)</f>
        <v>0</v>
      </c>
      <c r="E69" s="70">
        <f>COUNTIFS(PDVS!C:C,B69,PDVS!I:I,"SIM")</f>
        <v>8</v>
      </c>
      <c r="F69" s="82" t="str">
        <f t="shared" si="0"/>
        <v>Sim</v>
      </c>
      <c r="G69" s="61">
        <f>SUMIFS(BASE!$G:$G,BASE!$L:$L,$C69,BASE!$J:$J,$B69,BASE!$A:$A,G$6)</f>
        <v>0</v>
      </c>
      <c r="H69" s="17">
        <f>SUMIFS(BASE!$G:$G,BASE!$L:$L,$C69,BASE!$J:$J,$B69,BASE!$A:$A,H$6)</f>
        <v>0</v>
      </c>
      <c r="I69" s="17">
        <f>SUMIFS(BASE!$G:$G,BASE!$L:$L,$C69,BASE!$J:$J,$B69,BASE!$A:$A,I$6)</f>
        <v>0</v>
      </c>
      <c r="J69" s="17">
        <f>SUMIFS(BASE!$G:$G,BASE!$L:$L,$C69,BASE!$J:$J,$B69,BASE!$A:$A,J$6)</f>
        <v>0</v>
      </c>
      <c r="K69" s="17">
        <f>SUMIFS(BASE!$G:$G,BASE!$L:$L,$C69,BASE!$J:$J,$B69,BASE!$A:$A,K$6)</f>
        <v>0</v>
      </c>
      <c r="L69" s="17">
        <f>SUMIFS(BASE!$G:$G,BASE!$L:$L,$C69,BASE!$J:$J,$B69,BASE!$A:$A,L$6)</f>
        <v>0</v>
      </c>
      <c r="M69" s="17">
        <f>SUMIFS(BASE!$G:$G,BASE!$L:$L,$C69,BASE!$J:$J,$B69,BASE!$A:$A,M$6)</f>
        <v>1</v>
      </c>
      <c r="N69" s="73">
        <f>SUMIFS(BASE!$G:$G,BASE!$L:$L,$C69,BASE!$J:$J,$B69,BASE!$A:$A,N$6)</f>
        <v>1</v>
      </c>
      <c r="O69" s="17">
        <f>SUMIFS(BASE!$G:$G,BASE!$L:$L,$C69,BASE!$J:$J,$B69,BASE!$A:$A,O$6)</f>
        <v>0</v>
      </c>
      <c r="P69" s="17">
        <f>SUMIFS(BASE!$G:$G,BASE!$L:$L,$C69,BASE!$J:$J,$B69,BASE!$A:$A,P$6)</f>
        <v>0</v>
      </c>
      <c r="Q69" s="17">
        <f>SUMIFS(BASE!$G:$G,BASE!$L:$L,$C69,BASE!$J:$J,$B69,BASE!$A:$A,Q$6)</f>
        <v>0</v>
      </c>
      <c r="R69" s="17">
        <f>SUMIFS(BASE!$G:$G,BASE!$L:$L,$C69,BASE!$J:$J,$B69,BASE!$A:$A,R$6)</f>
        <v>0</v>
      </c>
      <c r="T69" s="44" t="str">
        <f t="shared" si="1"/>
        <v>COM TROCAS</v>
      </c>
    </row>
    <row r="70" spans="2:20">
      <c r="B70" s="71" t="s">
        <v>144</v>
      </c>
      <c r="C70" s="71" t="s">
        <v>59</v>
      </c>
      <c r="D70" s="67">
        <f>COUNTIFS(PDVS!H:H,"SIM",PDVS!C:C,B70)</f>
        <v>0</v>
      </c>
      <c r="E70" s="68">
        <f>COUNTIFS(PDVS!C:C,B70,PDVS!I:I,"SIM")</f>
        <v>4</v>
      </c>
      <c r="F70" s="80" t="str">
        <f t="shared" si="0"/>
        <v>Sim</v>
      </c>
      <c r="G70" s="61">
        <f>SUMIFS(BASE!$G:$G,BASE!$L:$L,$C70,BASE!$J:$J,$B70,BASE!$A:$A,G$6)</f>
        <v>0</v>
      </c>
      <c r="H70" s="17">
        <f>SUMIFS(BASE!$G:$G,BASE!$L:$L,$C70,BASE!$J:$J,$B70,BASE!$A:$A,H$6)</f>
        <v>0</v>
      </c>
      <c r="I70" s="17">
        <f>SUMIFS(BASE!$G:$G,BASE!$L:$L,$C70,BASE!$J:$J,$B70,BASE!$A:$A,I$6)</f>
        <v>0</v>
      </c>
      <c r="J70" s="17">
        <f>SUMIFS(BASE!$G:$G,BASE!$L:$L,$C70,BASE!$J:$J,$B70,BASE!$A:$A,J$6)</f>
        <v>0</v>
      </c>
      <c r="K70" s="17">
        <f>SUMIFS(BASE!$G:$G,BASE!$L:$L,$C70,BASE!$J:$J,$B70,BASE!$A:$A,K$6)</f>
        <v>0</v>
      </c>
      <c r="L70" s="17">
        <f>SUMIFS(BASE!$G:$G,BASE!$L:$L,$C70,BASE!$J:$J,$B70,BASE!$A:$A,L$6)</f>
        <v>0</v>
      </c>
      <c r="M70" s="17">
        <f>SUMIFS(BASE!$G:$G,BASE!$L:$L,$C70,BASE!$J:$J,$B70,BASE!$A:$A,M$6)</f>
        <v>0</v>
      </c>
      <c r="N70" s="74">
        <f>SUMIFS(BASE!$G:$G,BASE!$L:$L,$C70,BASE!$J:$J,$B70,BASE!$A:$A,N$6)</f>
        <v>0</v>
      </c>
      <c r="O70" s="17">
        <f>SUMIFS(BASE!$G:$G,BASE!$L:$L,$C70,BASE!$J:$J,$B70,BASE!$A:$A,O$6)</f>
        <v>0</v>
      </c>
      <c r="P70" s="17">
        <f>SUMIFS(BASE!$G:$G,BASE!$L:$L,$C70,BASE!$J:$J,$B70,BASE!$A:$A,P$6)</f>
        <v>0</v>
      </c>
      <c r="Q70" s="17">
        <f>SUMIFS(BASE!$G:$G,BASE!$L:$L,$C70,BASE!$J:$J,$B70,BASE!$A:$A,Q$6)</f>
        <v>0</v>
      </c>
      <c r="R70" s="17">
        <f>SUMIFS(BASE!$G:$G,BASE!$L:$L,$C70,BASE!$J:$J,$B70,BASE!$A:$A,R$6)</f>
        <v>0</v>
      </c>
      <c r="T70" s="44" t="str">
        <f t="shared" si="1"/>
        <v>ZERADO</v>
      </c>
    </row>
    <row r="71" spans="2:20">
      <c r="B71" s="71" t="s">
        <v>145</v>
      </c>
      <c r="C71" s="71" t="s">
        <v>59</v>
      </c>
      <c r="D71" s="67">
        <f>COUNTIFS(PDVS!H:H,"SIM",PDVS!C:C,B71)</f>
        <v>0</v>
      </c>
      <c r="E71" s="68">
        <f>COUNTIFS(PDVS!C:C,B71,PDVS!I:I,"SIM")</f>
        <v>1</v>
      </c>
      <c r="F71" s="80" t="str">
        <f t="shared" si="0"/>
        <v>Sim</v>
      </c>
      <c r="G71" s="61">
        <f>SUMIFS(BASE!$G:$G,BASE!$L:$L,$C71,BASE!$J:$J,$B71,BASE!$A:$A,G$6)</f>
        <v>0</v>
      </c>
      <c r="H71" s="17">
        <f>SUMIFS(BASE!$G:$G,BASE!$L:$L,$C71,BASE!$J:$J,$B71,BASE!$A:$A,H$6)</f>
        <v>0</v>
      </c>
      <c r="I71" s="17">
        <f>SUMIFS(BASE!$G:$G,BASE!$L:$L,$C71,BASE!$J:$J,$B71,BASE!$A:$A,I$6)</f>
        <v>0</v>
      </c>
      <c r="J71" s="17">
        <f>SUMIFS(BASE!$G:$G,BASE!$L:$L,$C71,BASE!$J:$J,$B71,BASE!$A:$A,J$6)</f>
        <v>0</v>
      </c>
      <c r="K71" s="17">
        <f>SUMIFS(BASE!$G:$G,BASE!$L:$L,$C71,BASE!$J:$J,$B71,BASE!$A:$A,K$6)</f>
        <v>0</v>
      </c>
      <c r="L71" s="17">
        <f>SUMIFS(BASE!$G:$G,BASE!$L:$L,$C71,BASE!$J:$J,$B71,BASE!$A:$A,L$6)</f>
        <v>0</v>
      </c>
      <c r="M71" s="17">
        <f>SUMIFS(BASE!$G:$G,BASE!$L:$L,$C71,BASE!$J:$J,$B71,BASE!$A:$A,M$6)</f>
        <v>0</v>
      </c>
      <c r="N71" s="74">
        <f>SUMIFS(BASE!$G:$G,BASE!$L:$L,$C71,BASE!$J:$J,$B71,BASE!$A:$A,N$6)</f>
        <v>0</v>
      </c>
      <c r="O71" s="17">
        <f>SUMIFS(BASE!$G:$G,BASE!$L:$L,$C71,BASE!$J:$J,$B71,BASE!$A:$A,O$6)</f>
        <v>0</v>
      </c>
      <c r="P71" s="17">
        <f>SUMIFS(BASE!$G:$G,BASE!$L:$L,$C71,BASE!$J:$J,$B71,BASE!$A:$A,P$6)</f>
        <v>0</v>
      </c>
      <c r="Q71" s="17">
        <f>SUMIFS(BASE!$G:$G,BASE!$L:$L,$C71,BASE!$J:$J,$B71,BASE!$A:$A,Q$6)</f>
        <v>0</v>
      </c>
      <c r="R71" s="17">
        <f>SUMIFS(BASE!$G:$G,BASE!$L:$L,$C71,BASE!$J:$J,$B71,BASE!$A:$A,R$6)</f>
        <v>0</v>
      </c>
      <c r="T71" s="44" t="str">
        <f t="shared" si="1"/>
        <v>ZERADO</v>
      </c>
    </row>
    <row r="72" spans="2:20">
      <c r="B72" s="71" t="s">
        <v>146</v>
      </c>
      <c r="C72" s="71" t="s">
        <v>59</v>
      </c>
      <c r="D72" s="67">
        <f>COUNTIFS(PDVS!H:H,"SIM",PDVS!C:C,B72)</f>
        <v>0</v>
      </c>
      <c r="E72" s="68">
        <f>COUNTIFS(PDVS!C:C,B72,PDVS!I:I,"SIM")</f>
        <v>1</v>
      </c>
      <c r="F72" s="80" t="str">
        <f t="shared" ref="F72:F135" si="2">IF(AND(D72=0,E72&gt;=1),"Sim",IF(D72&gt;=1,"Não",IF(AND(D72=0,E72=0),"Sim","")))</f>
        <v>Sim</v>
      </c>
      <c r="G72" s="61">
        <f>SUMIFS(BASE!$G:$G,BASE!$L:$L,$C72,BASE!$J:$J,$B72,BASE!$A:$A,G$6)</f>
        <v>0</v>
      </c>
      <c r="H72" s="17">
        <f>SUMIFS(BASE!$G:$G,BASE!$L:$L,$C72,BASE!$J:$J,$B72,BASE!$A:$A,H$6)</f>
        <v>0</v>
      </c>
      <c r="I72" s="17">
        <f>SUMIFS(BASE!$G:$G,BASE!$L:$L,$C72,BASE!$J:$J,$B72,BASE!$A:$A,I$6)</f>
        <v>0</v>
      </c>
      <c r="J72" s="17">
        <f>SUMIFS(BASE!$G:$G,BASE!$L:$L,$C72,BASE!$J:$J,$B72,BASE!$A:$A,J$6)</f>
        <v>0</v>
      </c>
      <c r="K72" s="17">
        <f>SUMIFS(BASE!$G:$G,BASE!$L:$L,$C72,BASE!$J:$J,$B72,BASE!$A:$A,K$6)</f>
        <v>0</v>
      </c>
      <c r="L72" s="17">
        <f>SUMIFS(BASE!$G:$G,BASE!$L:$L,$C72,BASE!$J:$J,$B72,BASE!$A:$A,L$6)</f>
        <v>0</v>
      </c>
      <c r="M72" s="17">
        <f>SUMIFS(BASE!$G:$G,BASE!$L:$L,$C72,BASE!$J:$J,$B72,BASE!$A:$A,M$6)</f>
        <v>0</v>
      </c>
      <c r="N72" s="74">
        <f>SUMIFS(BASE!$G:$G,BASE!$L:$L,$C72,BASE!$J:$J,$B72,BASE!$A:$A,N$6)</f>
        <v>0</v>
      </c>
      <c r="O72" s="17">
        <f>SUMIFS(BASE!$G:$G,BASE!$L:$L,$C72,BASE!$J:$J,$B72,BASE!$A:$A,O$6)</f>
        <v>0</v>
      </c>
      <c r="P72" s="17">
        <f>SUMIFS(BASE!$G:$G,BASE!$L:$L,$C72,BASE!$J:$J,$B72,BASE!$A:$A,P$6)</f>
        <v>0</v>
      </c>
      <c r="Q72" s="17">
        <f>SUMIFS(BASE!$G:$G,BASE!$L:$L,$C72,BASE!$J:$J,$B72,BASE!$A:$A,Q$6)</f>
        <v>0</v>
      </c>
      <c r="R72" s="17">
        <f>SUMIFS(BASE!$G:$G,BASE!$L:$L,$C72,BASE!$J:$J,$B72,BASE!$A:$A,R$6)</f>
        <v>0</v>
      </c>
      <c r="T72" s="44" t="str">
        <f t="shared" ref="T72:T135" si="3">IF(AND(N72=0),"ZERADO","COM TROCAS")</f>
        <v>ZERADO</v>
      </c>
    </row>
    <row r="73" spans="2:20">
      <c r="B73" s="71" t="s">
        <v>147</v>
      </c>
      <c r="C73" s="71" t="s">
        <v>61</v>
      </c>
      <c r="D73" s="67">
        <f>COUNTIFS(PDVS!H:H,"SIM",PDVS!C:C,B73)</f>
        <v>0</v>
      </c>
      <c r="E73" s="68">
        <f>COUNTIFS(PDVS!C:C,B73,PDVS!I:I,"SIM")</f>
        <v>1</v>
      </c>
      <c r="F73" s="80" t="str">
        <f t="shared" si="2"/>
        <v>Sim</v>
      </c>
      <c r="G73" s="61">
        <f>SUMIFS(BASE!$G:$G,BASE!$L:$L,$C73,BASE!$J:$J,$B73,BASE!$A:$A,G$6)</f>
        <v>0</v>
      </c>
      <c r="H73" s="17">
        <f>SUMIFS(BASE!$G:$G,BASE!$L:$L,$C73,BASE!$J:$J,$B73,BASE!$A:$A,H$6)</f>
        <v>0</v>
      </c>
      <c r="I73" s="17">
        <f>SUMIFS(BASE!$G:$G,BASE!$L:$L,$C73,BASE!$J:$J,$B73,BASE!$A:$A,I$6)</f>
        <v>0</v>
      </c>
      <c r="J73" s="17">
        <f>SUMIFS(BASE!$G:$G,BASE!$L:$L,$C73,BASE!$J:$J,$B73,BASE!$A:$A,J$6)</f>
        <v>0</v>
      </c>
      <c r="K73" s="17">
        <f>SUMIFS(BASE!$G:$G,BASE!$L:$L,$C73,BASE!$J:$J,$B73,BASE!$A:$A,K$6)</f>
        <v>0</v>
      </c>
      <c r="L73" s="17">
        <f>SUMIFS(BASE!$G:$G,BASE!$L:$L,$C73,BASE!$J:$J,$B73,BASE!$A:$A,L$6)</f>
        <v>0</v>
      </c>
      <c r="M73" s="17">
        <f>SUMIFS(BASE!$G:$G,BASE!$L:$L,$C73,BASE!$J:$J,$B73,BASE!$A:$A,M$6)</f>
        <v>0</v>
      </c>
      <c r="N73" s="74">
        <f>SUMIFS(BASE!$G:$G,BASE!$L:$L,$C73,BASE!$J:$J,$B73,BASE!$A:$A,N$6)</f>
        <v>0</v>
      </c>
      <c r="O73" s="17">
        <f>SUMIFS(BASE!$G:$G,BASE!$L:$L,$C73,BASE!$J:$J,$B73,BASE!$A:$A,O$6)</f>
        <v>0</v>
      </c>
      <c r="P73" s="17">
        <f>SUMIFS(BASE!$G:$G,BASE!$L:$L,$C73,BASE!$J:$J,$B73,BASE!$A:$A,P$6)</f>
        <v>0</v>
      </c>
      <c r="Q73" s="17">
        <f>SUMIFS(BASE!$G:$G,BASE!$L:$L,$C73,BASE!$J:$J,$B73,BASE!$A:$A,Q$6)</f>
        <v>0</v>
      </c>
      <c r="R73" s="17">
        <f>SUMIFS(BASE!$G:$G,BASE!$L:$L,$C73,BASE!$J:$J,$B73,BASE!$A:$A,R$6)</f>
        <v>0</v>
      </c>
      <c r="T73" s="44" t="str">
        <f t="shared" si="3"/>
        <v>ZERADO</v>
      </c>
    </row>
    <row r="74" spans="2:20">
      <c r="B74" s="71" t="s">
        <v>148</v>
      </c>
      <c r="C74" s="71" t="s">
        <v>54</v>
      </c>
      <c r="D74" s="67">
        <f>COUNTIFS(PDVS!H:H,"SIM",PDVS!C:C,B74)</f>
        <v>0</v>
      </c>
      <c r="E74" s="68">
        <f>COUNTIFS(PDVS!C:C,B74,PDVS!I:I,"SIM")</f>
        <v>3</v>
      </c>
      <c r="F74" s="80" t="str">
        <f t="shared" si="2"/>
        <v>Sim</v>
      </c>
      <c r="G74" s="61">
        <f>SUMIFS(BASE!$G:$G,BASE!$L:$L,$C74,BASE!$J:$J,$B74,BASE!$A:$A,G$6)</f>
        <v>0</v>
      </c>
      <c r="H74" s="17">
        <f>SUMIFS(BASE!$G:$G,BASE!$L:$L,$C74,BASE!$J:$J,$B74,BASE!$A:$A,H$6)</f>
        <v>0</v>
      </c>
      <c r="I74" s="17">
        <f>SUMIFS(BASE!$G:$G,BASE!$L:$L,$C74,BASE!$J:$J,$B74,BASE!$A:$A,I$6)</f>
        <v>0</v>
      </c>
      <c r="J74" s="17">
        <f>SUMIFS(BASE!$G:$G,BASE!$L:$L,$C74,BASE!$J:$J,$B74,BASE!$A:$A,J$6)</f>
        <v>0</v>
      </c>
      <c r="K74" s="17">
        <f>SUMIFS(BASE!$G:$G,BASE!$L:$L,$C74,BASE!$J:$J,$B74,BASE!$A:$A,K$6)</f>
        <v>0</v>
      </c>
      <c r="L74" s="17">
        <f>SUMIFS(BASE!$G:$G,BASE!$L:$L,$C74,BASE!$J:$J,$B74,BASE!$A:$A,L$6)</f>
        <v>0</v>
      </c>
      <c r="M74" s="17">
        <f>SUMIFS(BASE!$G:$G,BASE!$L:$L,$C74,BASE!$J:$J,$B74,BASE!$A:$A,M$6)</f>
        <v>0</v>
      </c>
      <c r="N74" s="74">
        <f>SUMIFS(BASE!$G:$G,BASE!$L:$L,$C74,BASE!$J:$J,$B74,BASE!$A:$A,N$6)</f>
        <v>0</v>
      </c>
      <c r="O74" s="17">
        <f>SUMIFS(BASE!$G:$G,BASE!$L:$L,$C74,BASE!$J:$J,$B74,BASE!$A:$A,O$6)</f>
        <v>0</v>
      </c>
      <c r="P74" s="17">
        <f>SUMIFS(BASE!$G:$G,BASE!$L:$L,$C74,BASE!$J:$J,$B74,BASE!$A:$A,P$6)</f>
        <v>0</v>
      </c>
      <c r="Q74" s="17">
        <f>SUMIFS(BASE!$G:$G,BASE!$L:$L,$C74,BASE!$J:$J,$B74,BASE!$A:$A,Q$6)</f>
        <v>0</v>
      </c>
      <c r="R74" s="17">
        <f>SUMIFS(BASE!$G:$G,BASE!$L:$L,$C74,BASE!$J:$J,$B74,BASE!$A:$A,R$6)</f>
        <v>0</v>
      </c>
      <c r="T74" s="44" t="str">
        <f t="shared" si="3"/>
        <v>ZERADO</v>
      </c>
    </row>
    <row r="75" spans="2:20">
      <c r="B75" s="71" t="s">
        <v>149</v>
      </c>
      <c r="C75" s="71" t="s">
        <v>59</v>
      </c>
      <c r="D75" s="67">
        <f>COUNTIFS(PDVS!H:H,"SIM",PDVS!C:C,B75)</f>
        <v>0</v>
      </c>
      <c r="E75" s="68">
        <f>COUNTIFS(PDVS!C:C,B75,PDVS!I:I,"SIM")</f>
        <v>1</v>
      </c>
      <c r="F75" s="80" t="str">
        <f t="shared" si="2"/>
        <v>Sim</v>
      </c>
      <c r="G75" s="61">
        <f>SUMIFS(BASE!$G:$G,BASE!$L:$L,$C75,BASE!$J:$J,$B75,BASE!$A:$A,G$6)</f>
        <v>0</v>
      </c>
      <c r="H75" s="17">
        <f>SUMIFS(BASE!$G:$G,BASE!$L:$L,$C75,BASE!$J:$J,$B75,BASE!$A:$A,H$6)</f>
        <v>0</v>
      </c>
      <c r="I75" s="17">
        <f>SUMIFS(BASE!$G:$G,BASE!$L:$L,$C75,BASE!$J:$J,$B75,BASE!$A:$A,I$6)</f>
        <v>0</v>
      </c>
      <c r="J75" s="17">
        <f>SUMIFS(BASE!$G:$G,BASE!$L:$L,$C75,BASE!$J:$J,$B75,BASE!$A:$A,J$6)</f>
        <v>0</v>
      </c>
      <c r="K75" s="17">
        <f>SUMIFS(BASE!$G:$G,BASE!$L:$L,$C75,BASE!$J:$J,$B75,BASE!$A:$A,K$6)</f>
        <v>0</v>
      </c>
      <c r="L75" s="17">
        <f>SUMIFS(BASE!$G:$G,BASE!$L:$L,$C75,BASE!$J:$J,$B75,BASE!$A:$A,L$6)</f>
        <v>0</v>
      </c>
      <c r="M75" s="17">
        <f>SUMIFS(BASE!$G:$G,BASE!$L:$L,$C75,BASE!$J:$J,$B75,BASE!$A:$A,M$6)</f>
        <v>0</v>
      </c>
      <c r="N75" s="74">
        <f>SUMIFS(BASE!$G:$G,BASE!$L:$L,$C75,BASE!$J:$J,$B75,BASE!$A:$A,N$6)</f>
        <v>0</v>
      </c>
      <c r="O75" s="17">
        <f>SUMIFS(BASE!$G:$G,BASE!$L:$L,$C75,BASE!$J:$J,$B75,BASE!$A:$A,O$6)</f>
        <v>0</v>
      </c>
      <c r="P75" s="17">
        <f>SUMIFS(BASE!$G:$G,BASE!$L:$L,$C75,BASE!$J:$J,$B75,BASE!$A:$A,P$6)</f>
        <v>0</v>
      </c>
      <c r="Q75" s="17">
        <f>SUMIFS(BASE!$G:$G,BASE!$L:$L,$C75,BASE!$J:$J,$B75,BASE!$A:$A,Q$6)</f>
        <v>0</v>
      </c>
      <c r="R75" s="17">
        <f>SUMIFS(BASE!$G:$G,BASE!$L:$L,$C75,BASE!$J:$J,$B75,BASE!$A:$A,R$6)</f>
        <v>0</v>
      </c>
      <c r="T75" s="44" t="str">
        <f t="shared" si="3"/>
        <v>ZERADO</v>
      </c>
    </row>
    <row r="76" spans="2:20">
      <c r="B76" s="71" t="s">
        <v>150</v>
      </c>
      <c r="C76" s="71" t="s">
        <v>54</v>
      </c>
      <c r="D76" s="67">
        <f>COUNTIFS(PDVS!H:H,"SIM",PDVS!C:C,B76)</f>
        <v>0</v>
      </c>
      <c r="E76" s="68">
        <f>COUNTIFS(PDVS!C:C,B76,PDVS!I:I,"SIM")</f>
        <v>1</v>
      </c>
      <c r="F76" s="80" t="str">
        <f t="shared" si="2"/>
        <v>Sim</v>
      </c>
      <c r="G76" s="61">
        <f>SUMIFS(BASE!$G:$G,BASE!$L:$L,$C76,BASE!$J:$J,$B76,BASE!$A:$A,G$6)</f>
        <v>0</v>
      </c>
      <c r="H76" s="17">
        <f>SUMIFS(BASE!$G:$G,BASE!$L:$L,$C76,BASE!$J:$J,$B76,BASE!$A:$A,H$6)</f>
        <v>0</v>
      </c>
      <c r="I76" s="17">
        <f>SUMIFS(BASE!$G:$G,BASE!$L:$L,$C76,BASE!$J:$J,$B76,BASE!$A:$A,I$6)</f>
        <v>0</v>
      </c>
      <c r="J76" s="17">
        <f>SUMIFS(BASE!$G:$G,BASE!$L:$L,$C76,BASE!$J:$J,$B76,BASE!$A:$A,J$6)</f>
        <v>0</v>
      </c>
      <c r="K76" s="17">
        <f>SUMIFS(BASE!$G:$G,BASE!$L:$L,$C76,BASE!$J:$J,$B76,BASE!$A:$A,K$6)</f>
        <v>0</v>
      </c>
      <c r="L76" s="17">
        <f>SUMIFS(BASE!$G:$G,BASE!$L:$L,$C76,BASE!$J:$J,$B76,BASE!$A:$A,L$6)</f>
        <v>0</v>
      </c>
      <c r="M76" s="17">
        <f>SUMIFS(BASE!$G:$G,BASE!$L:$L,$C76,BASE!$J:$J,$B76,BASE!$A:$A,M$6)</f>
        <v>0</v>
      </c>
      <c r="N76" s="74">
        <f>SUMIFS(BASE!$G:$G,BASE!$L:$L,$C76,BASE!$J:$J,$B76,BASE!$A:$A,N$6)</f>
        <v>0</v>
      </c>
      <c r="O76" s="17">
        <f>SUMIFS(BASE!$G:$G,BASE!$L:$L,$C76,BASE!$J:$J,$B76,BASE!$A:$A,O$6)</f>
        <v>0</v>
      </c>
      <c r="P76" s="17">
        <f>SUMIFS(BASE!$G:$G,BASE!$L:$L,$C76,BASE!$J:$J,$B76,BASE!$A:$A,P$6)</f>
        <v>0</v>
      </c>
      <c r="Q76" s="17">
        <f>SUMIFS(BASE!$G:$G,BASE!$L:$L,$C76,BASE!$J:$J,$B76,BASE!$A:$A,Q$6)</f>
        <v>0</v>
      </c>
      <c r="R76" s="17">
        <f>SUMIFS(BASE!$G:$G,BASE!$L:$L,$C76,BASE!$J:$J,$B76,BASE!$A:$A,R$6)</f>
        <v>0</v>
      </c>
      <c r="T76" s="44" t="str">
        <f t="shared" si="3"/>
        <v>ZERADO</v>
      </c>
    </row>
    <row r="77" spans="2:20">
      <c r="B77" s="71" t="s">
        <v>151</v>
      </c>
      <c r="C77" s="71" t="s">
        <v>60</v>
      </c>
      <c r="D77" s="67">
        <f>COUNTIFS(PDVS!H:H,"SIM",PDVS!C:C,B77)</f>
        <v>0</v>
      </c>
      <c r="E77" s="68">
        <f>COUNTIFS(PDVS!C:C,B77,PDVS!I:I,"SIM")</f>
        <v>4</v>
      </c>
      <c r="F77" s="80" t="str">
        <f t="shared" si="2"/>
        <v>Sim</v>
      </c>
      <c r="G77" s="61">
        <f>SUMIFS(BASE!$G:$G,BASE!$L:$L,$C77,BASE!$J:$J,$B77,BASE!$A:$A,G$6)</f>
        <v>0</v>
      </c>
      <c r="H77" s="17">
        <f>SUMIFS(BASE!$G:$G,BASE!$L:$L,$C77,BASE!$J:$J,$B77,BASE!$A:$A,H$6)</f>
        <v>0</v>
      </c>
      <c r="I77" s="17">
        <f>SUMIFS(BASE!$G:$G,BASE!$L:$L,$C77,BASE!$J:$J,$B77,BASE!$A:$A,I$6)</f>
        <v>0</v>
      </c>
      <c r="J77" s="17">
        <f>SUMIFS(BASE!$G:$G,BASE!$L:$L,$C77,BASE!$J:$J,$B77,BASE!$A:$A,J$6)</f>
        <v>0</v>
      </c>
      <c r="K77" s="17">
        <f>SUMIFS(BASE!$G:$G,BASE!$L:$L,$C77,BASE!$J:$J,$B77,BASE!$A:$A,K$6)</f>
        <v>0</v>
      </c>
      <c r="L77" s="17">
        <f>SUMIFS(BASE!$G:$G,BASE!$L:$L,$C77,BASE!$J:$J,$B77,BASE!$A:$A,L$6)</f>
        <v>0</v>
      </c>
      <c r="M77" s="17">
        <f>SUMIFS(BASE!$G:$G,BASE!$L:$L,$C77,BASE!$J:$J,$B77,BASE!$A:$A,M$6)</f>
        <v>0</v>
      </c>
      <c r="N77" s="74">
        <f>SUMIFS(BASE!$G:$G,BASE!$L:$L,$C77,BASE!$J:$J,$B77,BASE!$A:$A,N$6)</f>
        <v>0</v>
      </c>
      <c r="O77" s="17">
        <f>SUMIFS(BASE!$G:$G,BASE!$L:$L,$C77,BASE!$J:$J,$B77,BASE!$A:$A,O$6)</f>
        <v>0</v>
      </c>
      <c r="P77" s="17">
        <f>SUMIFS(BASE!$G:$G,BASE!$L:$L,$C77,BASE!$J:$J,$B77,BASE!$A:$A,P$6)</f>
        <v>0</v>
      </c>
      <c r="Q77" s="17">
        <f>SUMIFS(BASE!$G:$G,BASE!$L:$L,$C77,BASE!$J:$J,$B77,BASE!$A:$A,Q$6)</f>
        <v>0</v>
      </c>
      <c r="R77" s="17">
        <f>SUMIFS(BASE!$G:$G,BASE!$L:$L,$C77,BASE!$J:$J,$B77,BASE!$A:$A,R$6)</f>
        <v>0</v>
      </c>
      <c r="T77" s="44" t="str">
        <f t="shared" si="3"/>
        <v>ZERADO</v>
      </c>
    </row>
    <row r="78" spans="2:20">
      <c r="B78" s="71" t="s">
        <v>152</v>
      </c>
      <c r="C78" s="71" t="s">
        <v>59</v>
      </c>
      <c r="D78" s="67">
        <f>COUNTIFS(PDVS!H:H,"SIM",PDVS!C:C,B78)</f>
        <v>0</v>
      </c>
      <c r="E78" s="68">
        <f>COUNTIFS(PDVS!C:C,B78,PDVS!I:I,"SIM")</f>
        <v>0</v>
      </c>
      <c r="F78" s="80" t="str">
        <f t="shared" si="2"/>
        <v>Sim</v>
      </c>
      <c r="G78" s="61">
        <f>SUMIFS(BASE!$G:$G,BASE!$L:$L,$C78,BASE!$J:$J,$B78,BASE!$A:$A,G$6)</f>
        <v>0</v>
      </c>
      <c r="H78" s="17">
        <f>SUMIFS(BASE!$G:$G,BASE!$L:$L,$C78,BASE!$J:$J,$B78,BASE!$A:$A,H$6)</f>
        <v>0</v>
      </c>
      <c r="I78" s="17">
        <f>SUMIFS(BASE!$G:$G,BASE!$L:$L,$C78,BASE!$J:$J,$B78,BASE!$A:$A,I$6)</f>
        <v>0</v>
      </c>
      <c r="J78" s="17">
        <f>SUMIFS(BASE!$G:$G,BASE!$L:$L,$C78,BASE!$J:$J,$B78,BASE!$A:$A,J$6)</f>
        <v>0</v>
      </c>
      <c r="K78" s="17">
        <f>SUMIFS(BASE!$G:$G,BASE!$L:$L,$C78,BASE!$J:$J,$B78,BASE!$A:$A,K$6)</f>
        <v>0</v>
      </c>
      <c r="L78" s="17">
        <f>SUMIFS(BASE!$G:$G,BASE!$L:$L,$C78,BASE!$J:$J,$B78,BASE!$A:$A,L$6)</f>
        <v>0</v>
      </c>
      <c r="M78" s="17">
        <f>SUMIFS(BASE!$G:$G,BASE!$L:$L,$C78,BASE!$J:$J,$B78,BASE!$A:$A,M$6)</f>
        <v>0</v>
      </c>
      <c r="N78" s="74">
        <f>SUMIFS(BASE!$G:$G,BASE!$L:$L,$C78,BASE!$J:$J,$B78,BASE!$A:$A,N$6)</f>
        <v>0</v>
      </c>
      <c r="O78" s="17">
        <f>SUMIFS(BASE!$G:$G,BASE!$L:$L,$C78,BASE!$J:$J,$B78,BASE!$A:$A,O$6)</f>
        <v>0</v>
      </c>
      <c r="P78" s="17">
        <f>SUMIFS(BASE!$G:$G,BASE!$L:$L,$C78,BASE!$J:$J,$B78,BASE!$A:$A,P$6)</f>
        <v>0</v>
      </c>
      <c r="Q78" s="17">
        <f>SUMIFS(BASE!$G:$G,BASE!$L:$L,$C78,BASE!$J:$J,$B78,BASE!$A:$A,Q$6)</f>
        <v>0</v>
      </c>
      <c r="R78" s="17">
        <f>SUMIFS(BASE!$G:$G,BASE!$L:$L,$C78,BASE!$J:$J,$B78,BASE!$A:$A,R$6)</f>
        <v>0</v>
      </c>
      <c r="T78" s="44" t="str">
        <f t="shared" si="3"/>
        <v>ZERADO</v>
      </c>
    </row>
    <row r="79" spans="2:20">
      <c r="B79" s="71" t="s">
        <v>153</v>
      </c>
      <c r="C79" s="71" t="s">
        <v>58</v>
      </c>
      <c r="D79" s="67">
        <f>COUNTIFS(PDVS!H:H,"SIM",PDVS!C:C,B79)</f>
        <v>0</v>
      </c>
      <c r="E79" s="68">
        <f>COUNTIFS(PDVS!C:C,B79,PDVS!I:I,"SIM")</f>
        <v>1</v>
      </c>
      <c r="F79" s="80" t="str">
        <f t="shared" si="2"/>
        <v>Sim</v>
      </c>
      <c r="G79" s="61">
        <f>SUMIFS(BASE!$G:$G,BASE!$L:$L,$C79,BASE!$J:$J,$B79,BASE!$A:$A,G$6)</f>
        <v>0</v>
      </c>
      <c r="H79" s="17">
        <f>SUMIFS(BASE!$G:$G,BASE!$L:$L,$C79,BASE!$J:$J,$B79,BASE!$A:$A,H$6)</f>
        <v>0</v>
      </c>
      <c r="I79" s="17">
        <f>SUMIFS(BASE!$G:$G,BASE!$L:$L,$C79,BASE!$J:$J,$B79,BASE!$A:$A,I$6)</f>
        <v>1</v>
      </c>
      <c r="J79" s="17">
        <f>SUMIFS(BASE!$G:$G,BASE!$L:$L,$C79,BASE!$J:$J,$B79,BASE!$A:$A,J$6)</f>
        <v>0</v>
      </c>
      <c r="K79" s="17">
        <f>SUMIFS(BASE!$G:$G,BASE!$L:$L,$C79,BASE!$J:$J,$B79,BASE!$A:$A,K$6)</f>
        <v>0</v>
      </c>
      <c r="L79" s="17">
        <f>SUMIFS(BASE!$G:$G,BASE!$L:$L,$C79,BASE!$J:$J,$B79,BASE!$A:$A,L$6)</f>
        <v>0</v>
      </c>
      <c r="M79" s="17">
        <f>SUMIFS(BASE!$G:$G,BASE!$L:$L,$C79,BASE!$J:$J,$B79,BASE!$A:$A,M$6)</f>
        <v>0</v>
      </c>
      <c r="N79" s="74">
        <f>SUMIFS(BASE!$G:$G,BASE!$L:$L,$C79,BASE!$J:$J,$B79,BASE!$A:$A,N$6)</f>
        <v>0</v>
      </c>
      <c r="O79" s="17">
        <f>SUMIFS(BASE!$G:$G,BASE!$L:$L,$C79,BASE!$J:$J,$B79,BASE!$A:$A,O$6)</f>
        <v>0</v>
      </c>
      <c r="P79" s="17">
        <f>SUMIFS(BASE!$G:$G,BASE!$L:$L,$C79,BASE!$J:$J,$B79,BASE!$A:$A,P$6)</f>
        <v>0</v>
      </c>
      <c r="Q79" s="17">
        <f>SUMIFS(BASE!$G:$G,BASE!$L:$L,$C79,BASE!$J:$J,$B79,BASE!$A:$A,Q$6)</f>
        <v>0</v>
      </c>
      <c r="R79" s="17">
        <f>SUMIFS(BASE!$G:$G,BASE!$L:$L,$C79,BASE!$J:$J,$B79,BASE!$A:$A,R$6)</f>
        <v>0</v>
      </c>
      <c r="T79" s="44" t="str">
        <f t="shared" si="3"/>
        <v>ZERADO</v>
      </c>
    </row>
    <row r="80" spans="2:20">
      <c r="B80" s="71" t="s">
        <v>154</v>
      </c>
      <c r="C80" s="71" t="s">
        <v>59</v>
      </c>
      <c r="D80" s="67">
        <f>COUNTIFS(PDVS!H:H,"SIM",PDVS!C:C,B80)</f>
        <v>0</v>
      </c>
      <c r="E80" s="68">
        <f>COUNTIFS(PDVS!C:C,B80,PDVS!I:I,"SIM")</f>
        <v>1</v>
      </c>
      <c r="F80" s="80" t="str">
        <f t="shared" si="2"/>
        <v>Sim</v>
      </c>
      <c r="G80" s="61">
        <f>SUMIFS(BASE!$G:$G,BASE!$L:$L,$C80,BASE!$J:$J,$B80,BASE!$A:$A,G$6)</f>
        <v>0</v>
      </c>
      <c r="H80" s="17">
        <f>SUMIFS(BASE!$G:$G,BASE!$L:$L,$C80,BASE!$J:$J,$B80,BASE!$A:$A,H$6)</f>
        <v>0</v>
      </c>
      <c r="I80" s="17">
        <f>SUMIFS(BASE!$G:$G,BASE!$L:$L,$C80,BASE!$J:$J,$B80,BASE!$A:$A,I$6)</f>
        <v>0</v>
      </c>
      <c r="J80" s="17">
        <f>SUMIFS(BASE!$G:$G,BASE!$L:$L,$C80,BASE!$J:$J,$B80,BASE!$A:$A,J$6)</f>
        <v>0</v>
      </c>
      <c r="K80" s="17">
        <f>SUMIFS(BASE!$G:$G,BASE!$L:$L,$C80,BASE!$J:$J,$B80,BASE!$A:$A,K$6)</f>
        <v>0</v>
      </c>
      <c r="L80" s="17">
        <f>SUMIFS(BASE!$G:$G,BASE!$L:$L,$C80,BASE!$J:$J,$B80,BASE!$A:$A,L$6)</f>
        <v>0</v>
      </c>
      <c r="M80" s="17">
        <f>SUMIFS(BASE!$G:$G,BASE!$L:$L,$C80,BASE!$J:$J,$B80,BASE!$A:$A,M$6)</f>
        <v>0</v>
      </c>
      <c r="N80" s="74">
        <f>SUMIFS(BASE!$G:$G,BASE!$L:$L,$C80,BASE!$J:$J,$B80,BASE!$A:$A,N$6)</f>
        <v>0</v>
      </c>
      <c r="O80" s="17">
        <f>SUMIFS(BASE!$G:$G,BASE!$L:$L,$C80,BASE!$J:$J,$B80,BASE!$A:$A,O$6)</f>
        <v>0</v>
      </c>
      <c r="P80" s="17">
        <f>SUMIFS(BASE!$G:$G,BASE!$L:$L,$C80,BASE!$J:$J,$B80,BASE!$A:$A,P$6)</f>
        <v>0</v>
      </c>
      <c r="Q80" s="17">
        <f>SUMIFS(BASE!$G:$G,BASE!$L:$L,$C80,BASE!$J:$J,$B80,BASE!$A:$A,Q$6)</f>
        <v>0</v>
      </c>
      <c r="R80" s="17">
        <f>SUMIFS(BASE!$G:$G,BASE!$L:$L,$C80,BASE!$J:$J,$B80,BASE!$A:$A,R$6)</f>
        <v>0</v>
      </c>
      <c r="T80" s="44" t="str">
        <f t="shared" si="3"/>
        <v>ZERADO</v>
      </c>
    </row>
    <row r="81" spans="2:20">
      <c r="B81" s="71" t="s">
        <v>155</v>
      </c>
      <c r="C81" s="71" t="s">
        <v>60</v>
      </c>
      <c r="D81" s="67">
        <f>COUNTIFS(PDVS!H:H,"SIM",PDVS!C:C,B81)</f>
        <v>0</v>
      </c>
      <c r="E81" s="68">
        <f>COUNTIFS(PDVS!C:C,B81,PDVS!I:I,"SIM")</f>
        <v>1</v>
      </c>
      <c r="F81" s="80" t="str">
        <f t="shared" si="2"/>
        <v>Sim</v>
      </c>
      <c r="G81" s="61">
        <f>SUMIFS(BASE!$G:$G,BASE!$L:$L,$C81,BASE!$J:$J,$B81,BASE!$A:$A,G$6)</f>
        <v>0</v>
      </c>
      <c r="H81" s="17">
        <f>SUMIFS(BASE!$G:$G,BASE!$L:$L,$C81,BASE!$J:$J,$B81,BASE!$A:$A,H$6)</f>
        <v>0</v>
      </c>
      <c r="I81" s="17">
        <f>SUMIFS(BASE!$G:$G,BASE!$L:$L,$C81,BASE!$J:$J,$B81,BASE!$A:$A,I$6)</f>
        <v>0</v>
      </c>
      <c r="J81" s="17">
        <f>SUMIFS(BASE!$G:$G,BASE!$L:$L,$C81,BASE!$J:$J,$B81,BASE!$A:$A,J$6)</f>
        <v>0</v>
      </c>
      <c r="K81" s="17">
        <f>SUMIFS(BASE!$G:$G,BASE!$L:$L,$C81,BASE!$J:$J,$B81,BASE!$A:$A,K$6)</f>
        <v>0</v>
      </c>
      <c r="L81" s="17">
        <f>SUMIFS(BASE!$G:$G,BASE!$L:$L,$C81,BASE!$J:$J,$B81,BASE!$A:$A,L$6)</f>
        <v>0</v>
      </c>
      <c r="M81" s="17">
        <f>SUMIFS(BASE!$G:$G,BASE!$L:$L,$C81,BASE!$J:$J,$B81,BASE!$A:$A,M$6)</f>
        <v>0</v>
      </c>
      <c r="N81" s="74">
        <f>SUMIFS(BASE!$G:$G,BASE!$L:$L,$C81,BASE!$J:$J,$B81,BASE!$A:$A,N$6)</f>
        <v>0</v>
      </c>
      <c r="O81" s="17">
        <f>SUMIFS(BASE!$G:$G,BASE!$L:$L,$C81,BASE!$J:$J,$B81,BASE!$A:$A,O$6)</f>
        <v>0</v>
      </c>
      <c r="P81" s="17">
        <f>SUMIFS(BASE!$G:$G,BASE!$L:$L,$C81,BASE!$J:$J,$B81,BASE!$A:$A,P$6)</f>
        <v>0</v>
      </c>
      <c r="Q81" s="17">
        <f>SUMIFS(BASE!$G:$G,BASE!$L:$L,$C81,BASE!$J:$J,$B81,BASE!$A:$A,Q$6)</f>
        <v>0</v>
      </c>
      <c r="R81" s="17">
        <f>SUMIFS(BASE!$G:$G,BASE!$L:$L,$C81,BASE!$J:$J,$B81,BASE!$A:$A,R$6)</f>
        <v>0</v>
      </c>
      <c r="T81" s="44" t="str">
        <f t="shared" si="3"/>
        <v>ZERADO</v>
      </c>
    </row>
    <row r="82" spans="2:20">
      <c r="B82" s="71" t="s">
        <v>156</v>
      </c>
      <c r="C82" s="71" t="s">
        <v>60</v>
      </c>
      <c r="D82" s="67">
        <f>COUNTIFS(PDVS!H:H,"SIM",PDVS!C:C,B82)</f>
        <v>0</v>
      </c>
      <c r="E82" s="68">
        <f>COUNTIFS(PDVS!C:C,B82,PDVS!I:I,"SIM")</f>
        <v>1</v>
      </c>
      <c r="F82" s="80" t="str">
        <f t="shared" si="2"/>
        <v>Sim</v>
      </c>
      <c r="G82" s="61">
        <f>SUMIFS(BASE!$G:$G,BASE!$L:$L,$C82,BASE!$J:$J,$B82,BASE!$A:$A,G$6)</f>
        <v>0</v>
      </c>
      <c r="H82" s="17">
        <f>SUMIFS(BASE!$G:$G,BASE!$L:$L,$C82,BASE!$J:$J,$B82,BASE!$A:$A,H$6)</f>
        <v>0</v>
      </c>
      <c r="I82" s="17">
        <f>SUMIFS(BASE!$G:$G,BASE!$L:$L,$C82,BASE!$J:$J,$B82,BASE!$A:$A,I$6)</f>
        <v>0</v>
      </c>
      <c r="J82" s="17">
        <f>SUMIFS(BASE!$G:$G,BASE!$L:$L,$C82,BASE!$J:$J,$B82,BASE!$A:$A,J$6)</f>
        <v>0</v>
      </c>
      <c r="K82" s="17">
        <f>SUMIFS(BASE!$G:$G,BASE!$L:$L,$C82,BASE!$J:$J,$B82,BASE!$A:$A,K$6)</f>
        <v>0</v>
      </c>
      <c r="L82" s="17">
        <f>SUMIFS(BASE!$G:$G,BASE!$L:$L,$C82,BASE!$J:$J,$B82,BASE!$A:$A,L$6)</f>
        <v>0</v>
      </c>
      <c r="M82" s="17">
        <f>SUMIFS(BASE!$G:$G,BASE!$L:$L,$C82,BASE!$J:$J,$B82,BASE!$A:$A,M$6)</f>
        <v>0</v>
      </c>
      <c r="N82" s="74">
        <f>SUMIFS(BASE!$G:$G,BASE!$L:$L,$C82,BASE!$J:$J,$B82,BASE!$A:$A,N$6)</f>
        <v>0</v>
      </c>
      <c r="O82" s="17">
        <f>SUMIFS(BASE!$G:$G,BASE!$L:$L,$C82,BASE!$J:$J,$B82,BASE!$A:$A,O$6)</f>
        <v>0</v>
      </c>
      <c r="P82" s="17">
        <f>SUMIFS(BASE!$G:$G,BASE!$L:$L,$C82,BASE!$J:$J,$B82,BASE!$A:$A,P$6)</f>
        <v>0</v>
      </c>
      <c r="Q82" s="17">
        <f>SUMIFS(BASE!$G:$G,BASE!$L:$L,$C82,BASE!$J:$J,$B82,BASE!$A:$A,Q$6)</f>
        <v>0</v>
      </c>
      <c r="R82" s="17">
        <f>SUMIFS(BASE!$G:$G,BASE!$L:$L,$C82,BASE!$J:$J,$B82,BASE!$A:$A,R$6)</f>
        <v>0</v>
      </c>
      <c r="T82" s="44" t="str">
        <f t="shared" si="3"/>
        <v>ZERADO</v>
      </c>
    </row>
    <row r="83" spans="2:20">
      <c r="B83" s="71" t="s">
        <v>157</v>
      </c>
      <c r="C83" s="71" t="s">
        <v>53</v>
      </c>
      <c r="D83" s="67">
        <f>COUNTIFS(PDVS!H:H,"SIM",PDVS!C:C,B83)</f>
        <v>0</v>
      </c>
      <c r="E83" s="68">
        <f>COUNTIFS(PDVS!C:C,B83,PDVS!I:I,"SIM")</f>
        <v>6</v>
      </c>
      <c r="F83" s="80" t="str">
        <f t="shared" si="2"/>
        <v>Sim</v>
      </c>
      <c r="G83" s="61">
        <f>SUMIFS(BASE!$G:$G,BASE!$L:$L,$C83,BASE!$J:$J,$B83,BASE!$A:$A,G$6)</f>
        <v>0</v>
      </c>
      <c r="H83" s="17">
        <f>SUMIFS(BASE!$G:$G,BASE!$L:$L,$C83,BASE!$J:$J,$B83,BASE!$A:$A,H$6)</f>
        <v>0</v>
      </c>
      <c r="I83" s="17">
        <f>SUMIFS(BASE!$G:$G,BASE!$L:$L,$C83,BASE!$J:$J,$B83,BASE!$A:$A,I$6)</f>
        <v>0</v>
      </c>
      <c r="J83" s="17">
        <f>SUMIFS(BASE!$G:$G,BASE!$L:$L,$C83,BASE!$J:$J,$B83,BASE!$A:$A,J$6)</f>
        <v>0</v>
      </c>
      <c r="K83" s="17">
        <f>SUMIFS(BASE!$G:$G,BASE!$L:$L,$C83,BASE!$J:$J,$B83,BASE!$A:$A,K$6)</f>
        <v>0</v>
      </c>
      <c r="L83" s="17">
        <f>SUMIFS(BASE!$G:$G,BASE!$L:$L,$C83,BASE!$J:$J,$B83,BASE!$A:$A,L$6)</f>
        <v>0</v>
      </c>
      <c r="M83" s="17">
        <f>SUMIFS(BASE!$G:$G,BASE!$L:$L,$C83,BASE!$J:$J,$B83,BASE!$A:$A,M$6)</f>
        <v>0</v>
      </c>
      <c r="N83" s="74">
        <f>SUMIFS(BASE!$G:$G,BASE!$L:$L,$C83,BASE!$J:$J,$B83,BASE!$A:$A,N$6)</f>
        <v>0</v>
      </c>
      <c r="O83" s="17">
        <f>SUMIFS(BASE!$G:$G,BASE!$L:$L,$C83,BASE!$J:$J,$B83,BASE!$A:$A,O$6)</f>
        <v>0</v>
      </c>
      <c r="P83" s="17">
        <f>SUMIFS(BASE!$G:$G,BASE!$L:$L,$C83,BASE!$J:$J,$B83,BASE!$A:$A,P$6)</f>
        <v>0</v>
      </c>
      <c r="Q83" s="17">
        <f>SUMIFS(BASE!$G:$G,BASE!$L:$L,$C83,BASE!$J:$J,$B83,BASE!$A:$A,Q$6)</f>
        <v>0</v>
      </c>
      <c r="R83" s="17">
        <f>SUMIFS(BASE!$G:$G,BASE!$L:$L,$C83,BASE!$J:$J,$B83,BASE!$A:$A,R$6)</f>
        <v>0</v>
      </c>
      <c r="T83" s="44" t="str">
        <f t="shared" si="3"/>
        <v>ZERADO</v>
      </c>
    </row>
    <row r="84" spans="2:20" ht="15" thickBot="1">
      <c r="B84" s="72" t="s">
        <v>158</v>
      </c>
      <c r="C84" s="72" t="s">
        <v>56</v>
      </c>
      <c r="D84" s="67">
        <f>COUNTIFS(PDVS!H:H,"SIM",PDVS!C:C,B84)</f>
        <v>0</v>
      </c>
      <c r="E84" s="68">
        <f>COUNTIFS(PDVS!C:C,B84,PDVS!I:I,"SIM")</f>
        <v>1</v>
      </c>
      <c r="F84" s="81" t="str">
        <f t="shared" si="2"/>
        <v>Sim</v>
      </c>
      <c r="G84" s="61">
        <f>SUMIFS(BASE!$G:$G,BASE!$L:$L,$C84,BASE!$J:$J,$B84,BASE!$A:$A,G$6)</f>
        <v>0</v>
      </c>
      <c r="H84" s="17">
        <f>SUMIFS(BASE!$G:$G,BASE!$L:$L,$C84,BASE!$J:$J,$B84,BASE!$A:$A,H$6)</f>
        <v>0</v>
      </c>
      <c r="I84" s="17">
        <f>SUMIFS(BASE!$G:$G,BASE!$L:$L,$C84,BASE!$J:$J,$B84,BASE!$A:$A,I$6)</f>
        <v>0</v>
      </c>
      <c r="J84" s="17">
        <f>SUMIFS(BASE!$G:$G,BASE!$L:$L,$C84,BASE!$J:$J,$B84,BASE!$A:$A,J$6)</f>
        <v>0</v>
      </c>
      <c r="K84" s="17">
        <f>SUMIFS(BASE!$G:$G,BASE!$L:$L,$C84,BASE!$J:$J,$B84,BASE!$A:$A,K$6)</f>
        <v>0</v>
      </c>
      <c r="L84" s="17">
        <f>SUMIFS(BASE!$G:$G,BASE!$L:$L,$C84,BASE!$J:$J,$B84,BASE!$A:$A,L$6)</f>
        <v>0</v>
      </c>
      <c r="M84" s="17">
        <f>SUMIFS(BASE!$G:$G,BASE!$L:$L,$C84,BASE!$J:$J,$B84,BASE!$A:$A,M$6)</f>
        <v>0</v>
      </c>
      <c r="N84" s="75">
        <f>SUMIFS(BASE!$G:$G,BASE!$L:$L,$C84,BASE!$J:$J,$B84,BASE!$A:$A,N$6)</f>
        <v>0</v>
      </c>
      <c r="O84" s="17">
        <f>SUMIFS(BASE!$G:$G,BASE!$L:$L,$C84,BASE!$J:$J,$B84,BASE!$A:$A,O$6)</f>
        <v>0</v>
      </c>
      <c r="P84" s="17">
        <f>SUMIFS(BASE!$G:$G,BASE!$L:$L,$C84,BASE!$J:$J,$B84,BASE!$A:$A,P$6)</f>
        <v>0</v>
      </c>
      <c r="Q84" s="17">
        <f>SUMIFS(BASE!$G:$G,BASE!$L:$L,$C84,BASE!$J:$J,$B84,BASE!$A:$A,Q$6)</f>
        <v>0</v>
      </c>
      <c r="R84" s="17">
        <f>SUMIFS(BASE!$G:$G,BASE!$L:$L,$C84,BASE!$J:$J,$B84,BASE!$A:$A,R$6)</f>
        <v>0</v>
      </c>
      <c r="T84" s="44" t="str">
        <f t="shared" si="3"/>
        <v>ZERADO</v>
      </c>
    </row>
    <row r="85" spans="2:20" ht="15" thickBot="1">
      <c r="B85" s="8" t="s">
        <v>159</v>
      </c>
      <c r="C85" s="8" t="s">
        <v>59</v>
      </c>
      <c r="D85" s="62">
        <f>COUNTIFS(PDVS!H:H,"SIM",PDVS!C:C,B85)</f>
        <v>1</v>
      </c>
      <c r="E85" s="62">
        <f>COUNTIFS(PDVS!C:C,B85,PDVS!I:I,"SIM")</f>
        <v>1</v>
      </c>
      <c r="F85" s="62" t="str">
        <f t="shared" si="2"/>
        <v>Não</v>
      </c>
      <c r="G85" s="17">
        <f>SUMIFS(BASE!$G:$G,BASE!$L:$L,$C85,BASE!$J:$J,$B85,BASE!$A:$A,G$6)</f>
        <v>0</v>
      </c>
      <c r="H85" s="17">
        <f>SUMIFS(BASE!$G:$G,BASE!$L:$L,$C85,BASE!$J:$J,$B85,BASE!$A:$A,H$6)</f>
        <v>0</v>
      </c>
      <c r="I85" s="17">
        <f>SUMIFS(BASE!$G:$G,BASE!$L:$L,$C85,BASE!$J:$J,$B85,BASE!$A:$A,I$6)</f>
        <v>0</v>
      </c>
      <c r="J85" s="17">
        <f>SUMIFS(BASE!$G:$G,BASE!$L:$L,$C85,BASE!$J:$J,$B85,BASE!$A:$A,J$6)</f>
        <v>0</v>
      </c>
      <c r="K85" s="17">
        <f>SUMIFS(BASE!$G:$G,BASE!$L:$L,$C85,BASE!$J:$J,$B85,BASE!$A:$A,K$6)</f>
        <v>0</v>
      </c>
      <c r="L85" s="17">
        <f>SUMIFS(BASE!$G:$G,BASE!$L:$L,$C85,BASE!$J:$J,$B85,BASE!$A:$A,L$6)</f>
        <v>0</v>
      </c>
      <c r="M85" s="17">
        <f>SUMIFS(BASE!$G:$G,BASE!$L:$L,$C85,BASE!$J:$J,$B85,BASE!$A:$A,M$6)</f>
        <v>0</v>
      </c>
      <c r="N85" s="17">
        <f>SUMIFS(BASE!$G:$G,BASE!$L:$L,$C85,BASE!$J:$J,$B85,BASE!$A:$A,N$6)</f>
        <v>0</v>
      </c>
      <c r="O85" s="17">
        <f>SUMIFS(BASE!$G:$G,BASE!$L:$L,$C85,BASE!$J:$J,$B85,BASE!$A:$A,O$6)</f>
        <v>0</v>
      </c>
      <c r="P85" s="17">
        <f>SUMIFS(BASE!$G:$G,BASE!$L:$L,$C85,BASE!$J:$J,$B85,BASE!$A:$A,P$6)</f>
        <v>0</v>
      </c>
      <c r="Q85" s="17">
        <f>SUMIFS(BASE!$G:$G,BASE!$L:$L,$C85,BASE!$J:$J,$B85,BASE!$A:$A,Q$6)</f>
        <v>0</v>
      </c>
      <c r="R85" s="17">
        <f>SUMIFS(BASE!$G:$G,BASE!$L:$L,$C85,BASE!$J:$J,$B85,BASE!$A:$A,R$6)</f>
        <v>0</v>
      </c>
      <c r="T85" s="44" t="str">
        <f t="shared" si="3"/>
        <v>ZERADO</v>
      </c>
    </row>
    <row r="86" spans="2:20">
      <c r="B86" s="76" t="s">
        <v>160</v>
      </c>
      <c r="C86" s="76" t="s">
        <v>62</v>
      </c>
      <c r="D86" s="69">
        <f>COUNTIFS(PDVS!H:H,"SIM",PDVS!C:C,B86)</f>
        <v>0</v>
      </c>
      <c r="E86" s="70">
        <f>COUNTIFS(PDVS!C:C,B86,PDVS!I:I,"SIM")</f>
        <v>2</v>
      </c>
      <c r="F86" s="82" t="str">
        <f t="shared" si="2"/>
        <v>Sim</v>
      </c>
      <c r="G86" s="61">
        <f>SUMIFS(BASE!$G:$G,BASE!$L:$L,$C86,BASE!$J:$J,$B86,BASE!$A:$A,G$6)</f>
        <v>0</v>
      </c>
      <c r="H86" s="17">
        <f>SUMIFS(BASE!$G:$G,BASE!$L:$L,$C86,BASE!$J:$J,$B86,BASE!$A:$A,H$6)</f>
        <v>2</v>
      </c>
      <c r="I86" s="17">
        <f>SUMIFS(BASE!$G:$G,BASE!$L:$L,$C86,BASE!$J:$J,$B86,BASE!$A:$A,I$6)</f>
        <v>0</v>
      </c>
      <c r="J86" s="17">
        <f>SUMIFS(BASE!$G:$G,BASE!$L:$L,$C86,BASE!$J:$J,$B86,BASE!$A:$A,J$6)</f>
        <v>0</v>
      </c>
      <c r="K86" s="17">
        <f>SUMIFS(BASE!$G:$G,BASE!$L:$L,$C86,BASE!$J:$J,$B86,BASE!$A:$A,K$6)</f>
        <v>0</v>
      </c>
      <c r="L86" s="17">
        <f>SUMIFS(BASE!$G:$G,BASE!$L:$L,$C86,BASE!$J:$J,$B86,BASE!$A:$A,L$6)</f>
        <v>0</v>
      </c>
      <c r="M86" s="17">
        <f>SUMIFS(BASE!$G:$G,BASE!$L:$L,$C86,BASE!$J:$J,$B86,BASE!$A:$A,M$6)</f>
        <v>0</v>
      </c>
      <c r="N86" s="73">
        <f>SUMIFS(BASE!$G:$G,BASE!$L:$L,$C86,BASE!$J:$J,$B86,BASE!$A:$A,N$6)</f>
        <v>0</v>
      </c>
      <c r="O86" s="17">
        <f>SUMIFS(BASE!$G:$G,BASE!$L:$L,$C86,BASE!$J:$J,$B86,BASE!$A:$A,O$6)</f>
        <v>0</v>
      </c>
      <c r="P86" s="17">
        <f>SUMIFS(BASE!$G:$G,BASE!$L:$L,$C86,BASE!$J:$J,$B86,BASE!$A:$A,P$6)</f>
        <v>0</v>
      </c>
      <c r="Q86" s="17">
        <f>SUMIFS(BASE!$G:$G,BASE!$L:$L,$C86,BASE!$J:$J,$B86,BASE!$A:$A,Q$6)</f>
        <v>0</v>
      </c>
      <c r="R86" s="17">
        <f>SUMIFS(BASE!$G:$G,BASE!$L:$L,$C86,BASE!$J:$J,$B86,BASE!$A:$A,R$6)</f>
        <v>0</v>
      </c>
      <c r="T86" s="44" t="str">
        <f t="shared" si="3"/>
        <v>ZERADO</v>
      </c>
    </row>
    <row r="87" spans="2:20">
      <c r="B87" s="71" t="s">
        <v>161</v>
      </c>
      <c r="C87" s="71" t="s">
        <v>59</v>
      </c>
      <c r="D87" s="67">
        <f>COUNTIFS(PDVS!H:H,"SIM",PDVS!C:C,B87)</f>
        <v>0</v>
      </c>
      <c r="E87" s="68">
        <f>COUNTIFS(PDVS!C:C,B87,PDVS!I:I,"SIM")</f>
        <v>1</v>
      </c>
      <c r="F87" s="80" t="str">
        <f t="shared" si="2"/>
        <v>Sim</v>
      </c>
      <c r="G87" s="61">
        <f>SUMIFS(BASE!$G:$G,BASE!$L:$L,$C87,BASE!$J:$J,$B87,BASE!$A:$A,G$6)</f>
        <v>0</v>
      </c>
      <c r="H87" s="17">
        <f>SUMIFS(BASE!$G:$G,BASE!$L:$L,$C87,BASE!$J:$J,$B87,BASE!$A:$A,H$6)</f>
        <v>0</v>
      </c>
      <c r="I87" s="17">
        <f>SUMIFS(BASE!$G:$G,BASE!$L:$L,$C87,BASE!$J:$J,$B87,BASE!$A:$A,I$6)</f>
        <v>0</v>
      </c>
      <c r="J87" s="17">
        <f>SUMIFS(BASE!$G:$G,BASE!$L:$L,$C87,BASE!$J:$J,$B87,BASE!$A:$A,J$6)</f>
        <v>0</v>
      </c>
      <c r="K87" s="17">
        <f>SUMIFS(BASE!$G:$G,BASE!$L:$L,$C87,BASE!$J:$J,$B87,BASE!$A:$A,K$6)</f>
        <v>0</v>
      </c>
      <c r="L87" s="17">
        <f>SUMIFS(BASE!$G:$G,BASE!$L:$L,$C87,BASE!$J:$J,$B87,BASE!$A:$A,L$6)</f>
        <v>0</v>
      </c>
      <c r="M87" s="17">
        <f>SUMIFS(BASE!$G:$G,BASE!$L:$L,$C87,BASE!$J:$J,$B87,BASE!$A:$A,M$6)</f>
        <v>0</v>
      </c>
      <c r="N87" s="74">
        <f>SUMIFS(BASE!$G:$G,BASE!$L:$L,$C87,BASE!$J:$J,$B87,BASE!$A:$A,N$6)</f>
        <v>0</v>
      </c>
      <c r="O87" s="17">
        <f>SUMIFS(BASE!$G:$G,BASE!$L:$L,$C87,BASE!$J:$J,$B87,BASE!$A:$A,O$6)</f>
        <v>0</v>
      </c>
      <c r="P87" s="17">
        <f>SUMIFS(BASE!$G:$G,BASE!$L:$L,$C87,BASE!$J:$J,$B87,BASE!$A:$A,P$6)</f>
        <v>0</v>
      </c>
      <c r="Q87" s="17">
        <f>SUMIFS(BASE!$G:$G,BASE!$L:$L,$C87,BASE!$J:$J,$B87,BASE!$A:$A,Q$6)</f>
        <v>0</v>
      </c>
      <c r="R87" s="17">
        <f>SUMIFS(BASE!$G:$G,BASE!$L:$L,$C87,BASE!$J:$J,$B87,BASE!$A:$A,R$6)</f>
        <v>0</v>
      </c>
      <c r="T87" s="44" t="str">
        <f t="shared" si="3"/>
        <v>ZERADO</v>
      </c>
    </row>
    <row r="88" spans="2:20">
      <c r="B88" s="71" t="s">
        <v>162</v>
      </c>
      <c r="C88" s="71" t="s">
        <v>54</v>
      </c>
      <c r="D88" s="67">
        <f>COUNTIFS(PDVS!H:H,"SIM",PDVS!C:C,B88)</f>
        <v>0</v>
      </c>
      <c r="E88" s="68">
        <f>COUNTIFS(PDVS!C:C,B88,PDVS!I:I,"SIM")</f>
        <v>1</v>
      </c>
      <c r="F88" s="80" t="str">
        <f t="shared" si="2"/>
        <v>Sim</v>
      </c>
      <c r="G88" s="61">
        <f>SUMIFS(BASE!$G:$G,BASE!$L:$L,$C88,BASE!$J:$J,$B88,BASE!$A:$A,G$6)</f>
        <v>0</v>
      </c>
      <c r="H88" s="17">
        <f>SUMIFS(BASE!$G:$G,BASE!$L:$L,$C88,BASE!$J:$J,$B88,BASE!$A:$A,H$6)</f>
        <v>0</v>
      </c>
      <c r="I88" s="17">
        <f>SUMIFS(BASE!$G:$G,BASE!$L:$L,$C88,BASE!$J:$J,$B88,BASE!$A:$A,I$6)</f>
        <v>0</v>
      </c>
      <c r="J88" s="17">
        <f>SUMIFS(BASE!$G:$G,BASE!$L:$L,$C88,BASE!$J:$J,$B88,BASE!$A:$A,J$6)</f>
        <v>0</v>
      </c>
      <c r="K88" s="17">
        <f>SUMIFS(BASE!$G:$G,BASE!$L:$L,$C88,BASE!$J:$J,$B88,BASE!$A:$A,K$6)</f>
        <v>0</v>
      </c>
      <c r="L88" s="17">
        <f>SUMIFS(BASE!$G:$G,BASE!$L:$L,$C88,BASE!$J:$J,$B88,BASE!$A:$A,L$6)</f>
        <v>0</v>
      </c>
      <c r="M88" s="17">
        <f>SUMIFS(BASE!$G:$G,BASE!$L:$L,$C88,BASE!$J:$J,$B88,BASE!$A:$A,M$6)</f>
        <v>0</v>
      </c>
      <c r="N88" s="74">
        <f>SUMIFS(BASE!$G:$G,BASE!$L:$L,$C88,BASE!$J:$J,$B88,BASE!$A:$A,N$6)</f>
        <v>0</v>
      </c>
      <c r="O88" s="17">
        <f>SUMIFS(BASE!$G:$G,BASE!$L:$L,$C88,BASE!$J:$J,$B88,BASE!$A:$A,O$6)</f>
        <v>0</v>
      </c>
      <c r="P88" s="17">
        <f>SUMIFS(BASE!$G:$G,BASE!$L:$L,$C88,BASE!$J:$J,$B88,BASE!$A:$A,P$6)</f>
        <v>0</v>
      </c>
      <c r="Q88" s="17">
        <f>SUMIFS(BASE!$G:$G,BASE!$L:$L,$C88,BASE!$J:$J,$B88,BASE!$A:$A,Q$6)</f>
        <v>0</v>
      </c>
      <c r="R88" s="17">
        <f>SUMIFS(BASE!$G:$G,BASE!$L:$L,$C88,BASE!$J:$J,$B88,BASE!$A:$A,R$6)</f>
        <v>0</v>
      </c>
      <c r="T88" s="44" t="str">
        <f t="shared" si="3"/>
        <v>ZERADO</v>
      </c>
    </row>
    <row r="89" spans="2:20">
      <c r="B89" s="71" t="s">
        <v>163</v>
      </c>
      <c r="C89" s="71" t="s">
        <v>59</v>
      </c>
      <c r="D89" s="67">
        <f>COUNTIFS(PDVS!H:H,"SIM",PDVS!C:C,B89)</f>
        <v>0</v>
      </c>
      <c r="E89" s="68">
        <f>COUNTIFS(PDVS!C:C,B89,PDVS!I:I,"SIM")</f>
        <v>1</v>
      </c>
      <c r="F89" s="80" t="str">
        <f t="shared" si="2"/>
        <v>Sim</v>
      </c>
      <c r="G89" s="61">
        <f>SUMIFS(BASE!$G:$G,BASE!$L:$L,$C89,BASE!$J:$J,$B89,BASE!$A:$A,G$6)</f>
        <v>0</v>
      </c>
      <c r="H89" s="17">
        <f>SUMIFS(BASE!$G:$G,BASE!$L:$L,$C89,BASE!$J:$J,$B89,BASE!$A:$A,H$6)</f>
        <v>0</v>
      </c>
      <c r="I89" s="17">
        <f>SUMIFS(BASE!$G:$G,BASE!$L:$L,$C89,BASE!$J:$J,$B89,BASE!$A:$A,I$6)</f>
        <v>0</v>
      </c>
      <c r="J89" s="17">
        <f>SUMIFS(BASE!$G:$G,BASE!$L:$L,$C89,BASE!$J:$J,$B89,BASE!$A:$A,J$6)</f>
        <v>0</v>
      </c>
      <c r="K89" s="17">
        <f>SUMIFS(BASE!$G:$G,BASE!$L:$L,$C89,BASE!$J:$J,$B89,BASE!$A:$A,K$6)</f>
        <v>0</v>
      </c>
      <c r="L89" s="17">
        <f>SUMIFS(BASE!$G:$G,BASE!$L:$L,$C89,BASE!$J:$J,$B89,BASE!$A:$A,L$6)</f>
        <v>0</v>
      </c>
      <c r="M89" s="17">
        <f>SUMIFS(BASE!$G:$G,BASE!$L:$L,$C89,BASE!$J:$J,$B89,BASE!$A:$A,M$6)</f>
        <v>0</v>
      </c>
      <c r="N89" s="74">
        <f>SUMIFS(BASE!$G:$G,BASE!$L:$L,$C89,BASE!$J:$J,$B89,BASE!$A:$A,N$6)</f>
        <v>0</v>
      </c>
      <c r="O89" s="17">
        <f>SUMIFS(BASE!$G:$G,BASE!$L:$L,$C89,BASE!$J:$J,$B89,BASE!$A:$A,O$6)</f>
        <v>0</v>
      </c>
      <c r="P89" s="17">
        <f>SUMIFS(BASE!$G:$G,BASE!$L:$L,$C89,BASE!$J:$J,$B89,BASE!$A:$A,P$6)</f>
        <v>0</v>
      </c>
      <c r="Q89" s="17">
        <f>SUMIFS(BASE!$G:$G,BASE!$L:$L,$C89,BASE!$J:$J,$B89,BASE!$A:$A,Q$6)</f>
        <v>0</v>
      </c>
      <c r="R89" s="17">
        <f>SUMIFS(BASE!$G:$G,BASE!$L:$L,$C89,BASE!$J:$J,$B89,BASE!$A:$A,R$6)</f>
        <v>0</v>
      </c>
      <c r="T89" s="44" t="str">
        <f t="shared" si="3"/>
        <v>ZERADO</v>
      </c>
    </row>
    <row r="90" spans="2:20" ht="15" thickBot="1">
      <c r="B90" s="72" t="s">
        <v>164</v>
      </c>
      <c r="C90" s="72" t="s">
        <v>60</v>
      </c>
      <c r="D90" s="67">
        <f>COUNTIFS(PDVS!H:H,"SIM",PDVS!C:C,B90)</f>
        <v>0</v>
      </c>
      <c r="E90" s="68">
        <f>COUNTIFS(PDVS!C:C,B90,PDVS!I:I,"SIM")</f>
        <v>2</v>
      </c>
      <c r="F90" s="81" t="str">
        <f t="shared" si="2"/>
        <v>Sim</v>
      </c>
      <c r="G90" s="61">
        <f>SUMIFS(BASE!$G:$G,BASE!$L:$L,$C90,BASE!$J:$J,$B90,BASE!$A:$A,G$6)</f>
        <v>0</v>
      </c>
      <c r="H90" s="17">
        <f>SUMIFS(BASE!$G:$G,BASE!$L:$L,$C90,BASE!$J:$J,$B90,BASE!$A:$A,H$6)</f>
        <v>0</v>
      </c>
      <c r="I90" s="17">
        <f>SUMIFS(BASE!$G:$G,BASE!$L:$L,$C90,BASE!$J:$J,$B90,BASE!$A:$A,I$6)</f>
        <v>0</v>
      </c>
      <c r="J90" s="17">
        <f>SUMIFS(BASE!$G:$G,BASE!$L:$L,$C90,BASE!$J:$J,$B90,BASE!$A:$A,J$6)</f>
        <v>0</v>
      </c>
      <c r="K90" s="17">
        <f>SUMIFS(BASE!$G:$G,BASE!$L:$L,$C90,BASE!$J:$J,$B90,BASE!$A:$A,K$6)</f>
        <v>0</v>
      </c>
      <c r="L90" s="17">
        <f>SUMIFS(BASE!$G:$G,BASE!$L:$L,$C90,BASE!$J:$J,$B90,BASE!$A:$A,L$6)</f>
        <v>0</v>
      </c>
      <c r="M90" s="17">
        <f>SUMIFS(BASE!$G:$G,BASE!$L:$L,$C90,BASE!$J:$J,$B90,BASE!$A:$A,M$6)</f>
        <v>0</v>
      </c>
      <c r="N90" s="75">
        <f>SUMIFS(BASE!$G:$G,BASE!$L:$L,$C90,BASE!$J:$J,$B90,BASE!$A:$A,N$6)</f>
        <v>1</v>
      </c>
      <c r="O90" s="17">
        <f>SUMIFS(BASE!$G:$G,BASE!$L:$L,$C90,BASE!$J:$J,$B90,BASE!$A:$A,O$6)</f>
        <v>0</v>
      </c>
      <c r="P90" s="17">
        <f>SUMIFS(BASE!$G:$G,BASE!$L:$L,$C90,BASE!$J:$J,$B90,BASE!$A:$A,P$6)</f>
        <v>0</v>
      </c>
      <c r="Q90" s="17">
        <f>SUMIFS(BASE!$G:$G,BASE!$L:$L,$C90,BASE!$J:$J,$B90,BASE!$A:$A,Q$6)</f>
        <v>0</v>
      </c>
      <c r="R90" s="17">
        <f>SUMIFS(BASE!$G:$G,BASE!$L:$L,$C90,BASE!$J:$J,$B90,BASE!$A:$A,R$6)</f>
        <v>0</v>
      </c>
      <c r="T90" s="44" t="str">
        <f t="shared" si="3"/>
        <v>COM TROCAS</v>
      </c>
    </row>
    <row r="91" spans="2:20" ht="15" thickBot="1">
      <c r="B91" s="8" t="s">
        <v>165</v>
      </c>
      <c r="C91" s="8" t="s">
        <v>59</v>
      </c>
      <c r="D91" s="62">
        <f>COUNTIFS(PDVS!H:H,"SIM",PDVS!C:C,B91)</f>
        <v>3</v>
      </c>
      <c r="E91" s="62">
        <f>COUNTIFS(PDVS!C:C,B91,PDVS!I:I,"SIM")</f>
        <v>3</v>
      </c>
      <c r="F91" s="62" t="str">
        <f t="shared" si="2"/>
        <v>Não</v>
      </c>
      <c r="G91" s="17">
        <f>SUMIFS(BASE!$G:$G,BASE!$L:$L,$C91,BASE!$J:$J,$B91,BASE!$A:$A,G$6)</f>
        <v>0</v>
      </c>
      <c r="H91" s="17">
        <f>SUMIFS(BASE!$G:$G,BASE!$L:$L,$C91,BASE!$J:$J,$B91,BASE!$A:$A,H$6)</f>
        <v>0</v>
      </c>
      <c r="I91" s="17">
        <f>SUMIFS(BASE!$G:$G,BASE!$L:$L,$C91,BASE!$J:$J,$B91,BASE!$A:$A,I$6)</f>
        <v>0</v>
      </c>
      <c r="J91" s="17">
        <f>SUMIFS(BASE!$G:$G,BASE!$L:$L,$C91,BASE!$J:$J,$B91,BASE!$A:$A,J$6)</f>
        <v>0</v>
      </c>
      <c r="K91" s="17">
        <f>SUMIFS(BASE!$G:$G,BASE!$L:$L,$C91,BASE!$J:$J,$B91,BASE!$A:$A,K$6)</f>
        <v>0</v>
      </c>
      <c r="L91" s="17">
        <f>SUMIFS(BASE!$G:$G,BASE!$L:$L,$C91,BASE!$J:$J,$B91,BASE!$A:$A,L$6)</f>
        <v>0</v>
      </c>
      <c r="M91" s="17">
        <f>SUMIFS(BASE!$G:$G,BASE!$L:$L,$C91,BASE!$J:$J,$B91,BASE!$A:$A,M$6)</f>
        <v>0</v>
      </c>
      <c r="N91" s="17">
        <f>SUMIFS(BASE!$G:$G,BASE!$L:$L,$C91,BASE!$J:$J,$B91,BASE!$A:$A,N$6)</f>
        <v>0</v>
      </c>
      <c r="O91" s="17">
        <f>SUMIFS(BASE!$G:$G,BASE!$L:$L,$C91,BASE!$J:$J,$B91,BASE!$A:$A,O$6)</f>
        <v>0</v>
      </c>
      <c r="P91" s="17">
        <f>SUMIFS(BASE!$G:$G,BASE!$L:$L,$C91,BASE!$J:$J,$B91,BASE!$A:$A,P$6)</f>
        <v>0</v>
      </c>
      <c r="Q91" s="17">
        <f>SUMIFS(BASE!$G:$G,BASE!$L:$L,$C91,BASE!$J:$J,$B91,BASE!$A:$A,Q$6)</f>
        <v>0</v>
      </c>
      <c r="R91" s="17">
        <f>SUMIFS(BASE!$G:$G,BASE!$L:$L,$C91,BASE!$J:$J,$B91,BASE!$A:$A,R$6)</f>
        <v>0</v>
      </c>
      <c r="T91" s="44" t="str">
        <f t="shared" si="3"/>
        <v>ZERADO</v>
      </c>
    </row>
    <row r="92" spans="2:20">
      <c r="B92" s="76" t="s">
        <v>166</v>
      </c>
      <c r="C92" s="76" t="s">
        <v>56</v>
      </c>
      <c r="D92" s="69">
        <f>COUNTIFS(PDVS!H:H,"SIM",PDVS!C:C,B92)</f>
        <v>0</v>
      </c>
      <c r="E92" s="70">
        <f>COUNTIFS(PDVS!C:C,B92,PDVS!I:I,"SIM")</f>
        <v>1</v>
      </c>
      <c r="F92" s="82" t="str">
        <f t="shared" si="2"/>
        <v>Sim</v>
      </c>
      <c r="G92" s="61">
        <f>SUMIFS(BASE!$G:$G,BASE!$L:$L,$C92,BASE!$J:$J,$B92,BASE!$A:$A,G$6)</f>
        <v>0</v>
      </c>
      <c r="H92" s="17">
        <f>SUMIFS(BASE!$G:$G,BASE!$L:$L,$C92,BASE!$J:$J,$B92,BASE!$A:$A,H$6)</f>
        <v>0</v>
      </c>
      <c r="I92" s="17">
        <f>SUMIFS(BASE!$G:$G,BASE!$L:$L,$C92,BASE!$J:$J,$B92,BASE!$A:$A,I$6)</f>
        <v>0</v>
      </c>
      <c r="J92" s="17">
        <f>SUMIFS(BASE!$G:$G,BASE!$L:$L,$C92,BASE!$J:$J,$B92,BASE!$A:$A,J$6)</f>
        <v>0</v>
      </c>
      <c r="K92" s="17">
        <f>SUMIFS(BASE!$G:$G,BASE!$L:$L,$C92,BASE!$J:$J,$B92,BASE!$A:$A,K$6)</f>
        <v>0</v>
      </c>
      <c r="L92" s="17">
        <f>SUMIFS(BASE!$G:$G,BASE!$L:$L,$C92,BASE!$J:$J,$B92,BASE!$A:$A,L$6)</f>
        <v>0</v>
      </c>
      <c r="M92" s="17">
        <f>SUMIFS(BASE!$G:$G,BASE!$L:$L,$C92,BASE!$J:$J,$B92,BASE!$A:$A,M$6)</f>
        <v>0</v>
      </c>
      <c r="N92" s="73">
        <f>SUMIFS(BASE!$G:$G,BASE!$L:$L,$C92,BASE!$J:$J,$B92,BASE!$A:$A,N$6)</f>
        <v>0</v>
      </c>
      <c r="O92" s="17">
        <f>SUMIFS(BASE!$G:$G,BASE!$L:$L,$C92,BASE!$J:$J,$B92,BASE!$A:$A,O$6)</f>
        <v>0</v>
      </c>
      <c r="P92" s="17">
        <f>SUMIFS(BASE!$G:$G,BASE!$L:$L,$C92,BASE!$J:$J,$B92,BASE!$A:$A,P$6)</f>
        <v>0</v>
      </c>
      <c r="Q92" s="17">
        <f>SUMIFS(BASE!$G:$G,BASE!$L:$L,$C92,BASE!$J:$J,$B92,BASE!$A:$A,Q$6)</f>
        <v>0</v>
      </c>
      <c r="R92" s="17">
        <f>SUMIFS(BASE!$G:$G,BASE!$L:$L,$C92,BASE!$J:$J,$B92,BASE!$A:$A,R$6)</f>
        <v>0</v>
      </c>
      <c r="T92" s="44" t="str">
        <f t="shared" si="3"/>
        <v>ZERADO</v>
      </c>
    </row>
    <row r="93" spans="2:20">
      <c r="B93" s="71" t="s">
        <v>167</v>
      </c>
      <c r="C93" s="71" t="s">
        <v>56</v>
      </c>
      <c r="D93" s="67">
        <f>COUNTIFS(PDVS!H:H,"SIM",PDVS!C:C,B93)</f>
        <v>0</v>
      </c>
      <c r="E93" s="68">
        <f>COUNTIFS(PDVS!C:C,B93,PDVS!I:I,"SIM")</f>
        <v>4</v>
      </c>
      <c r="F93" s="80" t="str">
        <f t="shared" si="2"/>
        <v>Sim</v>
      </c>
      <c r="G93" s="61">
        <f>SUMIFS(BASE!$G:$G,BASE!$L:$L,$C93,BASE!$J:$J,$B93,BASE!$A:$A,G$6)</f>
        <v>0</v>
      </c>
      <c r="H93" s="17">
        <f>SUMIFS(BASE!$G:$G,BASE!$L:$L,$C93,BASE!$J:$J,$B93,BASE!$A:$A,H$6)</f>
        <v>0</v>
      </c>
      <c r="I93" s="17">
        <f>SUMIFS(BASE!$G:$G,BASE!$L:$L,$C93,BASE!$J:$J,$B93,BASE!$A:$A,I$6)</f>
        <v>0</v>
      </c>
      <c r="J93" s="17">
        <f>SUMIFS(BASE!$G:$G,BASE!$L:$L,$C93,BASE!$J:$J,$B93,BASE!$A:$A,J$6)</f>
        <v>0</v>
      </c>
      <c r="K93" s="17">
        <f>SUMIFS(BASE!$G:$G,BASE!$L:$L,$C93,BASE!$J:$J,$B93,BASE!$A:$A,K$6)</f>
        <v>0</v>
      </c>
      <c r="L93" s="17">
        <f>SUMIFS(BASE!$G:$G,BASE!$L:$L,$C93,BASE!$J:$J,$B93,BASE!$A:$A,L$6)</f>
        <v>0</v>
      </c>
      <c r="M93" s="17">
        <f>SUMIFS(BASE!$G:$G,BASE!$L:$L,$C93,BASE!$J:$J,$B93,BASE!$A:$A,M$6)</f>
        <v>0</v>
      </c>
      <c r="N93" s="74">
        <f>SUMIFS(BASE!$G:$G,BASE!$L:$L,$C93,BASE!$J:$J,$B93,BASE!$A:$A,N$6)</f>
        <v>0</v>
      </c>
      <c r="O93" s="17">
        <f>SUMIFS(BASE!$G:$G,BASE!$L:$L,$C93,BASE!$J:$J,$B93,BASE!$A:$A,O$6)</f>
        <v>0</v>
      </c>
      <c r="P93" s="17">
        <f>SUMIFS(BASE!$G:$G,BASE!$L:$L,$C93,BASE!$J:$J,$B93,BASE!$A:$A,P$6)</f>
        <v>0</v>
      </c>
      <c r="Q93" s="17">
        <f>SUMIFS(BASE!$G:$G,BASE!$L:$L,$C93,BASE!$J:$J,$B93,BASE!$A:$A,Q$6)</f>
        <v>0</v>
      </c>
      <c r="R93" s="17">
        <f>SUMIFS(BASE!$G:$G,BASE!$L:$L,$C93,BASE!$J:$J,$B93,BASE!$A:$A,R$6)</f>
        <v>0</v>
      </c>
      <c r="T93" s="44" t="str">
        <f t="shared" si="3"/>
        <v>ZERADO</v>
      </c>
    </row>
    <row r="94" spans="2:20">
      <c r="B94" s="71" t="s">
        <v>168</v>
      </c>
      <c r="C94" s="71" t="s">
        <v>59</v>
      </c>
      <c r="D94" s="67">
        <f>COUNTIFS(PDVS!H:H,"SIM",PDVS!C:C,B94)</f>
        <v>0</v>
      </c>
      <c r="E94" s="68">
        <f>COUNTIFS(PDVS!C:C,B94,PDVS!I:I,"SIM")</f>
        <v>0</v>
      </c>
      <c r="F94" s="80" t="str">
        <f t="shared" si="2"/>
        <v>Sim</v>
      </c>
      <c r="G94" s="61">
        <f>SUMIFS(BASE!$G:$G,BASE!$L:$L,$C94,BASE!$J:$J,$B94,BASE!$A:$A,G$6)</f>
        <v>0</v>
      </c>
      <c r="H94" s="17">
        <f>SUMIFS(BASE!$G:$G,BASE!$L:$L,$C94,BASE!$J:$J,$B94,BASE!$A:$A,H$6)</f>
        <v>0</v>
      </c>
      <c r="I94" s="17">
        <f>SUMIFS(BASE!$G:$G,BASE!$L:$L,$C94,BASE!$J:$J,$B94,BASE!$A:$A,I$6)</f>
        <v>0</v>
      </c>
      <c r="J94" s="17">
        <f>SUMIFS(BASE!$G:$G,BASE!$L:$L,$C94,BASE!$J:$J,$B94,BASE!$A:$A,J$6)</f>
        <v>0</v>
      </c>
      <c r="K94" s="17">
        <f>SUMIFS(BASE!$G:$G,BASE!$L:$L,$C94,BASE!$J:$J,$B94,BASE!$A:$A,K$6)</f>
        <v>0</v>
      </c>
      <c r="L94" s="17">
        <f>SUMIFS(BASE!$G:$G,BASE!$L:$L,$C94,BASE!$J:$J,$B94,BASE!$A:$A,L$6)</f>
        <v>0</v>
      </c>
      <c r="M94" s="17">
        <f>SUMIFS(BASE!$G:$G,BASE!$L:$L,$C94,BASE!$J:$J,$B94,BASE!$A:$A,M$6)</f>
        <v>0</v>
      </c>
      <c r="N94" s="74">
        <f>SUMIFS(BASE!$G:$G,BASE!$L:$L,$C94,BASE!$J:$J,$B94,BASE!$A:$A,N$6)</f>
        <v>0</v>
      </c>
      <c r="O94" s="17">
        <f>SUMIFS(BASE!$G:$G,BASE!$L:$L,$C94,BASE!$J:$J,$B94,BASE!$A:$A,O$6)</f>
        <v>0</v>
      </c>
      <c r="P94" s="17">
        <f>SUMIFS(BASE!$G:$G,BASE!$L:$L,$C94,BASE!$J:$J,$B94,BASE!$A:$A,P$6)</f>
        <v>0</v>
      </c>
      <c r="Q94" s="17">
        <f>SUMIFS(BASE!$G:$G,BASE!$L:$L,$C94,BASE!$J:$J,$B94,BASE!$A:$A,Q$6)</f>
        <v>0</v>
      </c>
      <c r="R94" s="17">
        <f>SUMIFS(BASE!$G:$G,BASE!$L:$L,$C94,BASE!$J:$J,$B94,BASE!$A:$A,R$6)</f>
        <v>0</v>
      </c>
      <c r="T94" s="44" t="str">
        <f t="shared" si="3"/>
        <v>ZERADO</v>
      </c>
    </row>
    <row r="95" spans="2:20">
      <c r="B95" s="71" t="s">
        <v>169</v>
      </c>
      <c r="C95" s="71" t="s">
        <v>59</v>
      </c>
      <c r="D95" s="67">
        <f>COUNTIFS(PDVS!H:H,"SIM",PDVS!C:C,B95)</f>
        <v>0</v>
      </c>
      <c r="E95" s="68">
        <f>COUNTIFS(PDVS!C:C,B95,PDVS!I:I,"SIM")</f>
        <v>4</v>
      </c>
      <c r="F95" s="80" t="str">
        <f t="shared" si="2"/>
        <v>Sim</v>
      </c>
      <c r="G95" s="61">
        <f>SUMIFS(BASE!$G:$G,BASE!$L:$L,$C95,BASE!$J:$J,$B95,BASE!$A:$A,G$6)</f>
        <v>0</v>
      </c>
      <c r="H95" s="17">
        <f>SUMIFS(BASE!$G:$G,BASE!$L:$L,$C95,BASE!$J:$J,$B95,BASE!$A:$A,H$6)</f>
        <v>0</v>
      </c>
      <c r="I95" s="17">
        <f>SUMIFS(BASE!$G:$G,BASE!$L:$L,$C95,BASE!$J:$J,$B95,BASE!$A:$A,I$6)</f>
        <v>0</v>
      </c>
      <c r="J95" s="17">
        <f>SUMIFS(BASE!$G:$G,BASE!$L:$L,$C95,BASE!$J:$J,$B95,BASE!$A:$A,J$6)</f>
        <v>0</v>
      </c>
      <c r="K95" s="17">
        <f>SUMIFS(BASE!$G:$G,BASE!$L:$L,$C95,BASE!$J:$J,$B95,BASE!$A:$A,K$6)</f>
        <v>2</v>
      </c>
      <c r="L95" s="17">
        <f>SUMIFS(BASE!$G:$G,BASE!$L:$L,$C95,BASE!$J:$J,$B95,BASE!$A:$A,L$6)</f>
        <v>0</v>
      </c>
      <c r="M95" s="17">
        <f>SUMIFS(BASE!$G:$G,BASE!$L:$L,$C95,BASE!$J:$J,$B95,BASE!$A:$A,M$6)</f>
        <v>0</v>
      </c>
      <c r="N95" s="74">
        <f>SUMIFS(BASE!$G:$G,BASE!$L:$L,$C95,BASE!$J:$J,$B95,BASE!$A:$A,N$6)</f>
        <v>0</v>
      </c>
      <c r="O95" s="17">
        <f>SUMIFS(BASE!$G:$G,BASE!$L:$L,$C95,BASE!$J:$J,$B95,BASE!$A:$A,O$6)</f>
        <v>0</v>
      </c>
      <c r="P95" s="17">
        <f>SUMIFS(BASE!$G:$G,BASE!$L:$L,$C95,BASE!$J:$J,$B95,BASE!$A:$A,P$6)</f>
        <v>0</v>
      </c>
      <c r="Q95" s="17">
        <f>SUMIFS(BASE!$G:$G,BASE!$L:$L,$C95,BASE!$J:$J,$B95,BASE!$A:$A,Q$6)</f>
        <v>0</v>
      </c>
      <c r="R95" s="17">
        <f>SUMIFS(BASE!$G:$G,BASE!$L:$L,$C95,BASE!$J:$J,$B95,BASE!$A:$A,R$6)</f>
        <v>0</v>
      </c>
      <c r="T95" s="44" t="str">
        <f t="shared" si="3"/>
        <v>ZERADO</v>
      </c>
    </row>
    <row r="96" spans="2:20">
      <c r="B96" s="71" t="s">
        <v>170</v>
      </c>
      <c r="C96" s="71" t="s">
        <v>56</v>
      </c>
      <c r="D96" s="67">
        <f>COUNTIFS(PDVS!H:H,"SIM",PDVS!C:C,B96)</f>
        <v>0</v>
      </c>
      <c r="E96" s="68">
        <f>COUNTIFS(PDVS!C:C,B96,PDVS!I:I,"SIM")</f>
        <v>2</v>
      </c>
      <c r="F96" s="80" t="str">
        <f t="shared" si="2"/>
        <v>Sim</v>
      </c>
      <c r="G96" s="61">
        <f>SUMIFS(BASE!$G:$G,BASE!$L:$L,$C96,BASE!$J:$J,$B96,BASE!$A:$A,G$6)</f>
        <v>0</v>
      </c>
      <c r="H96" s="17">
        <f>SUMIFS(BASE!$G:$G,BASE!$L:$L,$C96,BASE!$J:$J,$B96,BASE!$A:$A,H$6)</f>
        <v>0</v>
      </c>
      <c r="I96" s="17">
        <f>SUMIFS(BASE!$G:$G,BASE!$L:$L,$C96,BASE!$J:$J,$B96,BASE!$A:$A,I$6)</f>
        <v>0</v>
      </c>
      <c r="J96" s="17">
        <f>SUMIFS(BASE!$G:$G,BASE!$L:$L,$C96,BASE!$J:$J,$B96,BASE!$A:$A,J$6)</f>
        <v>0</v>
      </c>
      <c r="K96" s="17">
        <f>SUMIFS(BASE!$G:$G,BASE!$L:$L,$C96,BASE!$J:$J,$B96,BASE!$A:$A,K$6)</f>
        <v>0</v>
      </c>
      <c r="L96" s="17">
        <f>SUMIFS(BASE!$G:$G,BASE!$L:$L,$C96,BASE!$J:$J,$B96,BASE!$A:$A,L$6)</f>
        <v>0</v>
      </c>
      <c r="M96" s="17">
        <f>SUMIFS(BASE!$G:$G,BASE!$L:$L,$C96,BASE!$J:$J,$B96,BASE!$A:$A,M$6)</f>
        <v>0</v>
      </c>
      <c r="N96" s="74">
        <f>SUMIFS(BASE!$G:$G,BASE!$L:$L,$C96,BASE!$J:$J,$B96,BASE!$A:$A,N$6)</f>
        <v>0</v>
      </c>
      <c r="O96" s="17">
        <f>SUMIFS(BASE!$G:$G,BASE!$L:$L,$C96,BASE!$J:$J,$B96,BASE!$A:$A,O$6)</f>
        <v>0</v>
      </c>
      <c r="P96" s="17">
        <f>SUMIFS(BASE!$G:$G,BASE!$L:$L,$C96,BASE!$J:$J,$B96,BASE!$A:$A,P$6)</f>
        <v>0</v>
      </c>
      <c r="Q96" s="17">
        <f>SUMIFS(BASE!$G:$G,BASE!$L:$L,$C96,BASE!$J:$J,$B96,BASE!$A:$A,Q$6)</f>
        <v>0</v>
      </c>
      <c r="R96" s="17">
        <f>SUMIFS(BASE!$G:$G,BASE!$L:$L,$C96,BASE!$J:$J,$B96,BASE!$A:$A,R$6)</f>
        <v>0</v>
      </c>
      <c r="T96" s="44" t="str">
        <f t="shared" si="3"/>
        <v>ZERADO</v>
      </c>
    </row>
    <row r="97" spans="2:20">
      <c r="B97" s="71" t="s">
        <v>171</v>
      </c>
      <c r="C97" s="71" t="s">
        <v>61</v>
      </c>
      <c r="D97" s="67">
        <f>COUNTIFS(PDVS!H:H,"SIM",PDVS!C:C,B97)</f>
        <v>0</v>
      </c>
      <c r="E97" s="68">
        <f>COUNTIFS(PDVS!C:C,B97,PDVS!I:I,"SIM")</f>
        <v>0</v>
      </c>
      <c r="F97" s="80" t="str">
        <f t="shared" si="2"/>
        <v>Sim</v>
      </c>
      <c r="G97" s="61">
        <f>SUMIFS(BASE!$G:$G,BASE!$L:$L,$C97,BASE!$J:$J,$B97,BASE!$A:$A,G$6)</f>
        <v>0</v>
      </c>
      <c r="H97" s="17">
        <f>SUMIFS(BASE!$G:$G,BASE!$L:$L,$C97,BASE!$J:$J,$B97,BASE!$A:$A,H$6)</f>
        <v>0</v>
      </c>
      <c r="I97" s="17">
        <f>SUMIFS(BASE!$G:$G,BASE!$L:$L,$C97,BASE!$J:$J,$B97,BASE!$A:$A,I$6)</f>
        <v>0</v>
      </c>
      <c r="J97" s="17">
        <f>SUMIFS(BASE!$G:$G,BASE!$L:$L,$C97,BASE!$J:$J,$B97,BASE!$A:$A,J$6)</f>
        <v>0</v>
      </c>
      <c r="K97" s="17">
        <f>SUMIFS(BASE!$G:$G,BASE!$L:$L,$C97,BASE!$J:$J,$B97,BASE!$A:$A,K$6)</f>
        <v>0</v>
      </c>
      <c r="L97" s="17">
        <f>SUMIFS(BASE!$G:$G,BASE!$L:$L,$C97,BASE!$J:$J,$B97,BASE!$A:$A,L$6)</f>
        <v>0</v>
      </c>
      <c r="M97" s="17">
        <f>SUMIFS(BASE!$G:$G,BASE!$L:$L,$C97,BASE!$J:$J,$B97,BASE!$A:$A,M$6)</f>
        <v>0</v>
      </c>
      <c r="N97" s="74">
        <f>SUMIFS(BASE!$G:$G,BASE!$L:$L,$C97,BASE!$J:$J,$B97,BASE!$A:$A,N$6)</f>
        <v>0</v>
      </c>
      <c r="O97" s="17">
        <f>SUMIFS(BASE!$G:$G,BASE!$L:$L,$C97,BASE!$J:$J,$B97,BASE!$A:$A,O$6)</f>
        <v>0</v>
      </c>
      <c r="P97" s="17">
        <f>SUMIFS(BASE!$G:$G,BASE!$L:$L,$C97,BASE!$J:$J,$B97,BASE!$A:$A,P$6)</f>
        <v>0</v>
      </c>
      <c r="Q97" s="17">
        <f>SUMIFS(BASE!$G:$G,BASE!$L:$L,$C97,BASE!$J:$J,$B97,BASE!$A:$A,Q$6)</f>
        <v>0</v>
      </c>
      <c r="R97" s="17">
        <f>SUMIFS(BASE!$G:$G,BASE!$L:$L,$C97,BASE!$J:$J,$B97,BASE!$A:$A,R$6)</f>
        <v>0</v>
      </c>
      <c r="T97" s="44" t="str">
        <f t="shared" si="3"/>
        <v>ZERADO</v>
      </c>
    </row>
    <row r="98" spans="2:20">
      <c r="B98" s="71" t="s">
        <v>172</v>
      </c>
      <c r="C98" s="71" t="s">
        <v>56</v>
      </c>
      <c r="D98" s="67">
        <f>COUNTIFS(PDVS!H:H,"SIM",PDVS!C:C,B98)</f>
        <v>0</v>
      </c>
      <c r="E98" s="68">
        <f>COUNTIFS(PDVS!C:C,B98,PDVS!I:I,"SIM")</f>
        <v>1</v>
      </c>
      <c r="F98" s="80" t="str">
        <f t="shared" si="2"/>
        <v>Sim</v>
      </c>
      <c r="G98" s="61">
        <f>SUMIFS(BASE!$G:$G,BASE!$L:$L,$C98,BASE!$J:$J,$B98,BASE!$A:$A,G$6)</f>
        <v>0</v>
      </c>
      <c r="H98" s="17">
        <f>SUMIFS(BASE!$G:$G,BASE!$L:$L,$C98,BASE!$J:$J,$B98,BASE!$A:$A,H$6)</f>
        <v>0</v>
      </c>
      <c r="I98" s="17">
        <f>SUMIFS(BASE!$G:$G,BASE!$L:$L,$C98,BASE!$J:$J,$B98,BASE!$A:$A,I$6)</f>
        <v>0</v>
      </c>
      <c r="J98" s="17">
        <f>SUMIFS(BASE!$G:$G,BASE!$L:$L,$C98,BASE!$J:$J,$B98,BASE!$A:$A,J$6)</f>
        <v>0</v>
      </c>
      <c r="K98" s="17">
        <f>SUMIFS(BASE!$G:$G,BASE!$L:$L,$C98,BASE!$J:$J,$B98,BASE!$A:$A,K$6)</f>
        <v>0</v>
      </c>
      <c r="L98" s="17">
        <f>SUMIFS(BASE!$G:$G,BASE!$L:$L,$C98,BASE!$J:$J,$B98,BASE!$A:$A,L$6)</f>
        <v>0</v>
      </c>
      <c r="M98" s="17">
        <f>SUMIFS(BASE!$G:$G,BASE!$L:$L,$C98,BASE!$J:$J,$B98,BASE!$A:$A,M$6)</f>
        <v>0</v>
      </c>
      <c r="N98" s="74">
        <f>SUMIFS(BASE!$G:$G,BASE!$L:$L,$C98,BASE!$J:$J,$B98,BASE!$A:$A,N$6)</f>
        <v>0</v>
      </c>
      <c r="O98" s="17">
        <f>SUMIFS(BASE!$G:$G,BASE!$L:$L,$C98,BASE!$J:$J,$B98,BASE!$A:$A,O$6)</f>
        <v>0</v>
      </c>
      <c r="P98" s="17">
        <f>SUMIFS(BASE!$G:$G,BASE!$L:$L,$C98,BASE!$J:$J,$B98,BASE!$A:$A,P$6)</f>
        <v>0</v>
      </c>
      <c r="Q98" s="17">
        <f>SUMIFS(BASE!$G:$G,BASE!$L:$L,$C98,BASE!$J:$J,$B98,BASE!$A:$A,Q$6)</f>
        <v>0</v>
      </c>
      <c r="R98" s="17">
        <f>SUMIFS(BASE!$G:$G,BASE!$L:$L,$C98,BASE!$J:$J,$B98,BASE!$A:$A,R$6)</f>
        <v>0</v>
      </c>
      <c r="T98" s="44" t="str">
        <f t="shared" si="3"/>
        <v>ZERADO</v>
      </c>
    </row>
    <row r="99" spans="2:20">
      <c r="B99" s="71" t="s">
        <v>173</v>
      </c>
      <c r="C99" s="71" t="s">
        <v>59</v>
      </c>
      <c r="D99" s="67">
        <f>COUNTIFS(PDVS!H:H,"SIM",PDVS!C:C,B99)</f>
        <v>0</v>
      </c>
      <c r="E99" s="68">
        <f>COUNTIFS(PDVS!C:C,B99,PDVS!I:I,"SIM")</f>
        <v>2</v>
      </c>
      <c r="F99" s="80" t="str">
        <f t="shared" si="2"/>
        <v>Sim</v>
      </c>
      <c r="G99" s="61">
        <f>SUMIFS(BASE!$G:$G,BASE!$L:$L,$C99,BASE!$J:$J,$B99,BASE!$A:$A,G$6)</f>
        <v>0</v>
      </c>
      <c r="H99" s="17">
        <f>SUMIFS(BASE!$G:$G,BASE!$L:$L,$C99,BASE!$J:$J,$B99,BASE!$A:$A,H$6)</f>
        <v>0</v>
      </c>
      <c r="I99" s="17">
        <f>SUMIFS(BASE!$G:$G,BASE!$L:$L,$C99,BASE!$J:$J,$B99,BASE!$A:$A,I$6)</f>
        <v>0</v>
      </c>
      <c r="J99" s="17">
        <f>SUMIFS(BASE!$G:$G,BASE!$L:$L,$C99,BASE!$J:$J,$B99,BASE!$A:$A,J$6)</f>
        <v>0</v>
      </c>
      <c r="K99" s="17">
        <f>SUMIFS(BASE!$G:$G,BASE!$L:$L,$C99,BASE!$J:$J,$B99,BASE!$A:$A,K$6)</f>
        <v>0</v>
      </c>
      <c r="L99" s="17">
        <f>SUMIFS(BASE!$G:$G,BASE!$L:$L,$C99,BASE!$J:$J,$B99,BASE!$A:$A,L$6)</f>
        <v>0</v>
      </c>
      <c r="M99" s="17">
        <f>SUMIFS(BASE!$G:$G,BASE!$L:$L,$C99,BASE!$J:$J,$B99,BASE!$A:$A,M$6)</f>
        <v>0</v>
      </c>
      <c r="N99" s="74">
        <f>SUMIFS(BASE!$G:$G,BASE!$L:$L,$C99,BASE!$J:$J,$B99,BASE!$A:$A,N$6)</f>
        <v>0</v>
      </c>
      <c r="O99" s="17">
        <f>SUMIFS(BASE!$G:$G,BASE!$L:$L,$C99,BASE!$J:$J,$B99,BASE!$A:$A,O$6)</f>
        <v>0</v>
      </c>
      <c r="P99" s="17">
        <f>SUMIFS(BASE!$G:$G,BASE!$L:$L,$C99,BASE!$J:$J,$B99,BASE!$A:$A,P$6)</f>
        <v>0</v>
      </c>
      <c r="Q99" s="17">
        <f>SUMIFS(BASE!$G:$G,BASE!$L:$L,$C99,BASE!$J:$J,$B99,BASE!$A:$A,Q$6)</f>
        <v>0</v>
      </c>
      <c r="R99" s="17">
        <f>SUMIFS(BASE!$G:$G,BASE!$L:$L,$C99,BASE!$J:$J,$B99,BASE!$A:$A,R$6)</f>
        <v>0</v>
      </c>
      <c r="T99" s="44" t="str">
        <f t="shared" si="3"/>
        <v>ZERADO</v>
      </c>
    </row>
    <row r="100" spans="2:20">
      <c r="B100" s="71" t="s">
        <v>174</v>
      </c>
      <c r="C100" s="71" t="s">
        <v>61</v>
      </c>
      <c r="D100" s="67">
        <f>COUNTIFS(PDVS!H:H,"SIM",PDVS!C:C,B100)</f>
        <v>0</v>
      </c>
      <c r="E100" s="68">
        <f>COUNTIFS(PDVS!C:C,B100,PDVS!I:I,"SIM")</f>
        <v>5</v>
      </c>
      <c r="F100" s="80" t="str">
        <f t="shared" si="2"/>
        <v>Sim</v>
      </c>
      <c r="G100" s="61">
        <f>SUMIFS(BASE!$G:$G,BASE!$L:$L,$C100,BASE!$J:$J,$B100,BASE!$A:$A,G$6)</f>
        <v>0</v>
      </c>
      <c r="H100" s="17">
        <f>SUMIFS(BASE!$G:$G,BASE!$L:$L,$C100,BASE!$J:$J,$B100,BASE!$A:$A,H$6)</f>
        <v>0</v>
      </c>
      <c r="I100" s="17">
        <f>SUMIFS(BASE!$G:$G,BASE!$L:$L,$C100,BASE!$J:$J,$B100,BASE!$A:$A,I$6)</f>
        <v>0</v>
      </c>
      <c r="J100" s="17">
        <f>SUMIFS(BASE!$G:$G,BASE!$L:$L,$C100,BASE!$J:$J,$B100,BASE!$A:$A,J$6)</f>
        <v>0</v>
      </c>
      <c r="K100" s="17">
        <f>SUMIFS(BASE!$G:$G,BASE!$L:$L,$C100,BASE!$J:$J,$B100,BASE!$A:$A,K$6)</f>
        <v>0</v>
      </c>
      <c r="L100" s="17">
        <f>SUMIFS(BASE!$G:$G,BASE!$L:$L,$C100,BASE!$J:$J,$B100,BASE!$A:$A,L$6)</f>
        <v>0</v>
      </c>
      <c r="M100" s="17">
        <f>SUMIFS(BASE!$G:$G,BASE!$L:$L,$C100,BASE!$J:$J,$B100,BASE!$A:$A,M$6)</f>
        <v>0</v>
      </c>
      <c r="N100" s="74">
        <f>SUMIFS(BASE!$G:$G,BASE!$L:$L,$C100,BASE!$J:$J,$B100,BASE!$A:$A,N$6)</f>
        <v>0</v>
      </c>
      <c r="O100" s="17">
        <f>SUMIFS(BASE!$G:$G,BASE!$L:$L,$C100,BASE!$J:$J,$B100,BASE!$A:$A,O$6)</f>
        <v>0</v>
      </c>
      <c r="P100" s="17">
        <f>SUMIFS(BASE!$G:$G,BASE!$L:$L,$C100,BASE!$J:$J,$B100,BASE!$A:$A,P$6)</f>
        <v>0</v>
      </c>
      <c r="Q100" s="17">
        <f>SUMIFS(BASE!$G:$G,BASE!$L:$L,$C100,BASE!$J:$J,$B100,BASE!$A:$A,Q$6)</f>
        <v>0</v>
      </c>
      <c r="R100" s="17">
        <f>SUMIFS(BASE!$G:$G,BASE!$L:$L,$C100,BASE!$J:$J,$B100,BASE!$A:$A,R$6)</f>
        <v>0</v>
      </c>
      <c r="T100" s="44" t="str">
        <f t="shared" si="3"/>
        <v>ZERADO</v>
      </c>
    </row>
    <row r="101" spans="2:20">
      <c r="B101" s="71" t="s">
        <v>175</v>
      </c>
      <c r="C101" s="71" t="s">
        <v>59</v>
      </c>
      <c r="D101" s="67">
        <f>COUNTIFS(PDVS!H:H,"SIM",PDVS!C:C,B101)</f>
        <v>0</v>
      </c>
      <c r="E101" s="68">
        <f>COUNTIFS(PDVS!C:C,B101,PDVS!I:I,"SIM")</f>
        <v>1</v>
      </c>
      <c r="F101" s="80" t="str">
        <f t="shared" si="2"/>
        <v>Sim</v>
      </c>
      <c r="G101" s="61">
        <f>SUMIFS(BASE!$G:$G,BASE!$L:$L,$C101,BASE!$J:$J,$B101,BASE!$A:$A,G$6)</f>
        <v>0</v>
      </c>
      <c r="H101" s="17">
        <f>SUMIFS(BASE!$G:$G,BASE!$L:$L,$C101,BASE!$J:$J,$B101,BASE!$A:$A,H$6)</f>
        <v>0</v>
      </c>
      <c r="I101" s="17">
        <f>SUMIFS(BASE!$G:$G,BASE!$L:$L,$C101,BASE!$J:$J,$B101,BASE!$A:$A,I$6)</f>
        <v>0</v>
      </c>
      <c r="J101" s="17">
        <f>SUMIFS(BASE!$G:$G,BASE!$L:$L,$C101,BASE!$J:$J,$B101,BASE!$A:$A,J$6)</f>
        <v>0</v>
      </c>
      <c r="K101" s="17">
        <f>SUMIFS(BASE!$G:$G,BASE!$L:$L,$C101,BASE!$J:$J,$B101,BASE!$A:$A,K$6)</f>
        <v>0</v>
      </c>
      <c r="L101" s="17">
        <f>SUMIFS(BASE!$G:$G,BASE!$L:$L,$C101,BASE!$J:$J,$B101,BASE!$A:$A,L$6)</f>
        <v>0</v>
      </c>
      <c r="M101" s="17">
        <f>SUMIFS(BASE!$G:$G,BASE!$L:$L,$C101,BASE!$J:$J,$B101,BASE!$A:$A,M$6)</f>
        <v>0</v>
      </c>
      <c r="N101" s="74">
        <f>SUMIFS(BASE!$G:$G,BASE!$L:$L,$C101,BASE!$J:$J,$B101,BASE!$A:$A,N$6)</f>
        <v>0</v>
      </c>
      <c r="O101" s="17">
        <f>SUMIFS(BASE!$G:$G,BASE!$L:$L,$C101,BASE!$J:$J,$B101,BASE!$A:$A,O$6)</f>
        <v>0</v>
      </c>
      <c r="P101" s="17">
        <f>SUMIFS(BASE!$G:$G,BASE!$L:$L,$C101,BASE!$J:$J,$B101,BASE!$A:$A,P$6)</f>
        <v>0</v>
      </c>
      <c r="Q101" s="17">
        <f>SUMIFS(BASE!$G:$G,BASE!$L:$L,$C101,BASE!$J:$J,$B101,BASE!$A:$A,Q$6)</f>
        <v>0</v>
      </c>
      <c r="R101" s="17">
        <f>SUMIFS(BASE!$G:$G,BASE!$L:$L,$C101,BASE!$J:$J,$B101,BASE!$A:$A,R$6)</f>
        <v>0</v>
      </c>
      <c r="T101" s="44" t="str">
        <f t="shared" si="3"/>
        <v>ZERADO</v>
      </c>
    </row>
    <row r="102" spans="2:20">
      <c r="B102" s="71" t="s">
        <v>176</v>
      </c>
      <c r="C102" s="71" t="s">
        <v>58</v>
      </c>
      <c r="D102" s="67">
        <f>COUNTIFS(PDVS!H:H,"SIM",PDVS!C:C,B102)</f>
        <v>0</v>
      </c>
      <c r="E102" s="68">
        <f>COUNTIFS(PDVS!C:C,B102,PDVS!I:I,"SIM")</f>
        <v>7</v>
      </c>
      <c r="F102" s="80" t="str">
        <f t="shared" si="2"/>
        <v>Sim</v>
      </c>
      <c r="G102" s="61">
        <f>SUMIFS(BASE!$G:$G,BASE!$L:$L,$C102,BASE!$J:$J,$B102,BASE!$A:$A,G$6)</f>
        <v>4</v>
      </c>
      <c r="H102" s="17">
        <f>SUMIFS(BASE!$G:$G,BASE!$L:$L,$C102,BASE!$J:$J,$B102,BASE!$A:$A,H$6)</f>
        <v>0</v>
      </c>
      <c r="I102" s="17">
        <f>SUMIFS(BASE!$G:$G,BASE!$L:$L,$C102,BASE!$J:$J,$B102,BASE!$A:$A,I$6)</f>
        <v>2</v>
      </c>
      <c r="J102" s="17">
        <f>SUMIFS(BASE!$G:$G,BASE!$L:$L,$C102,BASE!$J:$J,$B102,BASE!$A:$A,J$6)</f>
        <v>3</v>
      </c>
      <c r="K102" s="17">
        <f>SUMIFS(BASE!$G:$G,BASE!$L:$L,$C102,BASE!$J:$J,$B102,BASE!$A:$A,K$6)</f>
        <v>1</v>
      </c>
      <c r="L102" s="17">
        <f>SUMIFS(BASE!$G:$G,BASE!$L:$L,$C102,BASE!$J:$J,$B102,BASE!$A:$A,L$6)</f>
        <v>7</v>
      </c>
      <c r="M102" s="17">
        <f>SUMIFS(BASE!$G:$G,BASE!$L:$L,$C102,BASE!$J:$J,$B102,BASE!$A:$A,M$6)</f>
        <v>3</v>
      </c>
      <c r="N102" s="74">
        <f>SUMIFS(BASE!$G:$G,BASE!$L:$L,$C102,BASE!$J:$J,$B102,BASE!$A:$A,N$6)</f>
        <v>2</v>
      </c>
      <c r="O102" s="17">
        <f>SUMIFS(BASE!$G:$G,BASE!$L:$L,$C102,BASE!$J:$J,$B102,BASE!$A:$A,O$6)</f>
        <v>0</v>
      </c>
      <c r="P102" s="17">
        <f>SUMIFS(BASE!$G:$G,BASE!$L:$L,$C102,BASE!$J:$J,$B102,BASE!$A:$A,P$6)</f>
        <v>0</v>
      </c>
      <c r="Q102" s="17">
        <f>SUMIFS(BASE!$G:$G,BASE!$L:$L,$C102,BASE!$J:$J,$B102,BASE!$A:$A,Q$6)</f>
        <v>0</v>
      </c>
      <c r="R102" s="17">
        <f>SUMIFS(BASE!$G:$G,BASE!$L:$L,$C102,BASE!$J:$J,$B102,BASE!$A:$A,R$6)</f>
        <v>0</v>
      </c>
      <c r="T102" s="44" t="str">
        <f t="shared" si="3"/>
        <v>COM TROCAS</v>
      </c>
    </row>
    <row r="103" spans="2:20" ht="15" thickBot="1">
      <c r="B103" s="72" t="s">
        <v>177</v>
      </c>
      <c r="C103" s="72" t="s">
        <v>59</v>
      </c>
      <c r="D103" s="67">
        <f>COUNTIFS(PDVS!H:H,"SIM",PDVS!C:C,B103)</f>
        <v>0</v>
      </c>
      <c r="E103" s="68">
        <f>COUNTIFS(PDVS!C:C,B103,PDVS!I:I,"SIM")</f>
        <v>1</v>
      </c>
      <c r="F103" s="81" t="str">
        <f t="shared" si="2"/>
        <v>Sim</v>
      </c>
      <c r="G103" s="61">
        <f>SUMIFS(BASE!$G:$G,BASE!$L:$L,$C103,BASE!$J:$J,$B103,BASE!$A:$A,G$6)</f>
        <v>0</v>
      </c>
      <c r="H103" s="17">
        <f>SUMIFS(BASE!$G:$G,BASE!$L:$L,$C103,BASE!$J:$J,$B103,BASE!$A:$A,H$6)</f>
        <v>0</v>
      </c>
      <c r="I103" s="17">
        <f>SUMIFS(BASE!$G:$G,BASE!$L:$L,$C103,BASE!$J:$J,$B103,BASE!$A:$A,I$6)</f>
        <v>0</v>
      </c>
      <c r="J103" s="17">
        <f>SUMIFS(BASE!$G:$G,BASE!$L:$L,$C103,BASE!$J:$J,$B103,BASE!$A:$A,J$6)</f>
        <v>0</v>
      </c>
      <c r="K103" s="17">
        <f>SUMIFS(BASE!$G:$G,BASE!$L:$L,$C103,BASE!$J:$J,$B103,BASE!$A:$A,K$6)</f>
        <v>0</v>
      </c>
      <c r="L103" s="17">
        <f>SUMIFS(BASE!$G:$G,BASE!$L:$L,$C103,BASE!$J:$J,$B103,BASE!$A:$A,L$6)</f>
        <v>0</v>
      </c>
      <c r="M103" s="17">
        <f>SUMIFS(BASE!$G:$G,BASE!$L:$L,$C103,BASE!$J:$J,$B103,BASE!$A:$A,M$6)</f>
        <v>0</v>
      </c>
      <c r="N103" s="75">
        <f>SUMIFS(BASE!$G:$G,BASE!$L:$L,$C103,BASE!$J:$J,$B103,BASE!$A:$A,N$6)</f>
        <v>0</v>
      </c>
      <c r="O103" s="17">
        <f>SUMIFS(BASE!$G:$G,BASE!$L:$L,$C103,BASE!$J:$J,$B103,BASE!$A:$A,O$6)</f>
        <v>0</v>
      </c>
      <c r="P103" s="17">
        <f>SUMIFS(BASE!$G:$G,BASE!$L:$L,$C103,BASE!$J:$J,$B103,BASE!$A:$A,P$6)</f>
        <v>0</v>
      </c>
      <c r="Q103" s="17">
        <f>SUMIFS(BASE!$G:$G,BASE!$L:$L,$C103,BASE!$J:$J,$B103,BASE!$A:$A,Q$6)</f>
        <v>0</v>
      </c>
      <c r="R103" s="17">
        <f>SUMIFS(BASE!$G:$G,BASE!$L:$L,$C103,BASE!$J:$J,$B103,BASE!$A:$A,R$6)</f>
        <v>0</v>
      </c>
      <c r="T103" s="44" t="str">
        <f t="shared" si="3"/>
        <v>ZERADO</v>
      </c>
    </row>
    <row r="104" spans="2:20" ht="15" thickBot="1">
      <c r="B104" s="8" t="s">
        <v>178</v>
      </c>
      <c r="C104" s="8" t="s">
        <v>57</v>
      </c>
      <c r="D104" s="62">
        <f>COUNTIFS(PDVS!H:H,"SIM",PDVS!C:C,B104)</f>
        <v>3</v>
      </c>
      <c r="E104" s="62">
        <f>COUNTIFS(PDVS!C:C,B104,PDVS!I:I,"SIM")</f>
        <v>0</v>
      </c>
      <c r="F104" s="62" t="str">
        <f t="shared" si="2"/>
        <v>Não</v>
      </c>
      <c r="G104" s="17">
        <f>SUMIFS(BASE!$G:$G,BASE!$L:$L,$C104,BASE!$J:$J,$B104,BASE!$A:$A,G$6)</f>
        <v>0</v>
      </c>
      <c r="H104" s="17">
        <f>SUMIFS(BASE!$G:$G,BASE!$L:$L,$C104,BASE!$J:$J,$B104,BASE!$A:$A,H$6)</f>
        <v>0</v>
      </c>
      <c r="I104" s="17">
        <f>SUMIFS(BASE!$G:$G,BASE!$L:$L,$C104,BASE!$J:$J,$B104,BASE!$A:$A,I$6)</f>
        <v>0</v>
      </c>
      <c r="J104" s="17">
        <f>SUMIFS(BASE!$G:$G,BASE!$L:$L,$C104,BASE!$J:$J,$B104,BASE!$A:$A,J$6)</f>
        <v>0</v>
      </c>
      <c r="K104" s="17">
        <f>SUMIFS(BASE!$G:$G,BASE!$L:$L,$C104,BASE!$J:$J,$B104,BASE!$A:$A,K$6)</f>
        <v>0</v>
      </c>
      <c r="L104" s="17">
        <f>SUMIFS(BASE!$G:$G,BASE!$L:$L,$C104,BASE!$J:$J,$B104,BASE!$A:$A,L$6)</f>
        <v>0</v>
      </c>
      <c r="M104" s="17">
        <f>SUMIFS(BASE!$G:$G,BASE!$L:$L,$C104,BASE!$J:$J,$B104,BASE!$A:$A,M$6)</f>
        <v>0</v>
      </c>
      <c r="N104" s="17">
        <f>SUMIFS(BASE!$G:$G,BASE!$L:$L,$C104,BASE!$J:$J,$B104,BASE!$A:$A,N$6)</f>
        <v>0</v>
      </c>
      <c r="O104" s="17">
        <f>SUMIFS(BASE!$G:$G,BASE!$L:$L,$C104,BASE!$J:$J,$B104,BASE!$A:$A,O$6)</f>
        <v>0</v>
      </c>
      <c r="P104" s="17">
        <f>SUMIFS(BASE!$G:$G,BASE!$L:$L,$C104,BASE!$J:$J,$B104,BASE!$A:$A,P$6)</f>
        <v>0</v>
      </c>
      <c r="Q104" s="17">
        <f>SUMIFS(BASE!$G:$G,BASE!$L:$L,$C104,BASE!$J:$J,$B104,BASE!$A:$A,Q$6)</f>
        <v>0</v>
      </c>
      <c r="R104" s="17">
        <f>SUMIFS(BASE!$G:$G,BASE!$L:$L,$C104,BASE!$J:$J,$B104,BASE!$A:$A,R$6)</f>
        <v>0</v>
      </c>
      <c r="T104" s="44" t="str">
        <f t="shared" si="3"/>
        <v>ZERADO</v>
      </c>
    </row>
    <row r="105" spans="2:20">
      <c r="B105" s="76" t="s">
        <v>179</v>
      </c>
      <c r="C105" s="76" t="s">
        <v>60</v>
      </c>
      <c r="D105" s="69">
        <f>COUNTIFS(PDVS!H:H,"SIM",PDVS!C:C,B105)</f>
        <v>0</v>
      </c>
      <c r="E105" s="70">
        <f>COUNTIFS(PDVS!C:C,B105,PDVS!I:I,"SIM")</f>
        <v>1</v>
      </c>
      <c r="F105" s="82" t="str">
        <f t="shared" si="2"/>
        <v>Sim</v>
      </c>
      <c r="G105" s="61">
        <f>SUMIFS(BASE!$G:$G,BASE!$L:$L,$C105,BASE!$J:$J,$B105,BASE!$A:$A,G$6)</f>
        <v>0</v>
      </c>
      <c r="H105" s="17">
        <f>SUMIFS(BASE!$G:$G,BASE!$L:$L,$C105,BASE!$J:$J,$B105,BASE!$A:$A,H$6)</f>
        <v>0</v>
      </c>
      <c r="I105" s="17">
        <f>SUMIFS(BASE!$G:$G,BASE!$L:$L,$C105,BASE!$J:$J,$B105,BASE!$A:$A,I$6)</f>
        <v>0</v>
      </c>
      <c r="J105" s="17">
        <f>SUMIFS(BASE!$G:$G,BASE!$L:$L,$C105,BASE!$J:$J,$B105,BASE!$A:$A,J$6)</f>
        <v>0</v>
      </c>
      <c r="K105" s="17">
        <f>SUMIFS(BASE!$G:$G,BASE!$L:$L,$C105,BASE!$J:$J,$B105,BASE!$A:$A,K$6)</f>
        <v>0</v>
      </c>
      <c r="L105" s="17">
        <f>SUMIFS(BASE!$G:$G,BASE!$L:$L,$C105,BASE!$J:$J,$B105,BASE!$A:$A,L$6)</f>
        <v>0</v>
      </c>
      <c r="M105" s="17">
        <f>SUMIFS(BASE!$G:$G,BASE!$L:$L,$C105,BASE!$J:$J,$B105,BASE!$A:$A,M$6)</f>
        <v>0</v>
      </c>
      <c r="N105" s="73">
        <f>SUMIFS(BASE!$G:$G,BASE!$L:$L,$C105,BASE!$J:$J,$B105,BASE!$A:$A,N$6)</f>
        <v>0</v>
      </c>
      <c r="O105" s="17">
        <f>SUMIFS(BASE!$G:$G,BASE!$L:$L,$C105,BASE!$J:$J,$B105,BASE!$A:$A,O$6)</f>
        <v>0</v>
      </c>
      <c r="P105" s="17">
        <f>SUMIFS(BASE!$G:$G,BASE!$L:$L,$C105,BASE!$J:$J,$B105,BASE!$A:$A,P$6)</f>
        <v>0</v>
      </c>
      <c r="Q105" s="17">
        <f>SUMIFS(BASE!$G:$G,BASE!$L:$L,$C105,BASE!$J:$J,$B105,BASE!$A:$A,Q$6)</f>
        <v>0</v>
      </c>
      <c r="R105" s="17">
        <f>SUMIFS(BASE!$G:$G,BASE!$L:$L,$C105,BASE!$J:$J,$B105,BASE!$A:$A,R$6)</f>
        <v>0</v>
      </c>
      <c r="T105" s="44" t="str">
        <f t="shared" si="3"/>
        <v>ZERADO</v>
      </c>
    </row>
    <row r="106" spans="2:20">
      <c r="B106" s="71" t="s">
        <v>180</v>
      </c>
      <c r="C106" s="71" t="s">
        <v>54</v>
      </c>
      <c r="D106" s="67">
        <f>COUNTIFS(PDVS!H:H,"SIM",PDVS!C:C,B106)</f>
        <v>0</v>
      </c>
      <c r="E106" s="68">
        <f>COUNTIFS(PDVS!C:C,B106,PDVS!I:I,"SIM")</f>
        <v>3</v>
      </c>
      <c r="F106" s="80" t="str">
        <f t="shared" si="2"/>
        <v>Sim</v>
      </c>
      <c r="G106" s="61">
        <f>SUMIFS(BASE!$G:$G,BASE!$L:$L,$C106,BASE!$J:$J,$B106,BASE!$A:$A,G$6)</f>
        <v>0</v>
      </c>
      <c r="H106" s="17">
        <f>SUMIFS(BASE!$G:$G,BASE!$L:$L,$C106,BASE!$J:$J,$B106,BASE!$A:$A,H$6)</f>
        <v>0</v>
      </c>
      <c r="I106" s="17">
        <f>SUMIFS(BASE!$G:$G,BASE!$L:$L,$C106,BASE!$J:$J,$B106,BASE!$A:$A,I$6)</f>
        <v>0</v>
      </c>
      <c r="J106" s="17">
        <f>SUMIFS(BASE!$G:$G,BASE!$L:$L,$C106,BASE!$J:$J,$B106,BASE!$A:$A,J$6)</f>
        <v>0</v>
      </c>
      <c r="K106" s="17">
        <f>SUMIFS(BASE!$G:$G,BASE!$L:$L,$C106,BASE!$J:$J,$B106,BASE!$A:$A,K$6)</f>
        <v>0</v>
      </c>
      <c r="L106" s="17">
        <f>SUMIFS(BASE!$G:$G,BASE!$L:$L,$C106,BASE!$J:$J,$B106,BASE!$A:$A,L$6)</f>
        <v>0</v>
      </c>
      <c r="M106" s="17">
        <f>SUMIFS(BASE!$G:$G,BASE!$L:$L,$C106,BASE!$J:$J,$B106,BASE!$A:$A,M$6)</f>
        <v>0</v>
      </c>
      <c r="N106" s="74">
        <f>SUMIFS(BASE!$G:$G,BASE!$L:$L,$C106,BASE!$J:$J,$B106,BASE!$A:$A,N$6)</f>
        <v>0</v>
      </c>
      <c r="O106" s="17">
        <f>SUMIFS(BASE!$G:$G,BASE!$L:$L,$C106,BASE!$J:$J,$B106,BASE!$A:$A,O$6)</f>
        <v>0</v>
      </c>
      <c r="P106" s="17">
        <f>SUMIFS(BASE!$G:$G,BASE!$L:$L,$C106,BASE!$J:$J,$B106,BASE!$A:$A,P$6)</f>
        <v>0</v>
      </c>
      <c r="Q106" s="17">
        <f>SUMIFS(BASE!$G:$G,BASE!$L:$L,$C106,BASE!$J:$J,$B106,BASE!$A:$A,Q$6)</f>
        <v>0</v>
      </c>
      <c r="R106" s="17">
        <f>SUMIFS(BASE!$G:$G,BASE!$L:$L,$C106,BASE!$J:$J,$B106,BASE!$A:$A,R$6)</f>
        <v>0</v>
      </c>
      <c r="T106" s="44" t="str">
        <f t="shared" si="3"/>
        <v>ZERADO</v>
      </c>
    </row>
    <row r="107" spans="2:20">
      <c r="B107" s="71" t="s">
        <v>181</v>
      </c>
      <c r="C107" s="71" t="s">
        <v>60</v>
      </c>
      <c r="D107" s="67">
        <f>COUNTIFS(PDVS!H:H,"SIM",PDVS!C:C,B107)</f>
        <v>0</v>
      </c>
      <c r="E107" s="68">
        <f>COUNTIFS(PDVS!C:C,B107,PDVS!I:I,"SIM")</f>
        <v>1</v>
      </c>
      <c r="F107" s="80" t="str">
        <f t="shared" si="2"/>
        <v>Sim</v>
      </c>
      <c r="G107" s="61">
        <f>SUMIFS(BASE!$G:$G,BASE!$L:$L,$C107,BASE!$J:$J,$B107,BASE!$A:$A,G$6)</f>
        <v>0</v>
      </c>
      <c r="H107" s="17">
        <f>SUMIFS(BASE!$G:$G,BASE!$L:$L,$C107,BASE!$J:$J,$B107,BASE!$A:$A,H$6)</f>
        <v>0</v>
      </c>
      <c r="I107" s="17">
        <f>SUMIFS(BASE!$G:$G,BASE!$L:$L,$C107,BASE!$J:$J,$B107,BASE!$A:$A,I$6)</f>
        <v>0</v>
      </c>
      <c r="J107" s="17">
        <f>SUMIFS(BASE!$G:$G,BASE!$L:$L,$C107,BASE!$J:$J,$B107,BASE!$A:$A,J$6)</f>
        <v>0</v>
      </c>
      <c r="K107" s="17">
        <f>SUMIFS(BASE!$G:$G,BASE!$L:$L,$C107,BASE!$J:$J,$B107,BASE!$A:$A,K$6)</f>
        <v>0</v>
      </c>
      <c r="L107" s="17">
        <f>SUMIFS(BASE!$G:$G,BASE!$L:$L,$C107,BASE!$J:$J,$B107,BASE!$A:$A,L$6)</f>
        <v>0</v>
      </c>
      <c r="M107" s="17">
        <f>SUMIFS(BASE!$G:$G,BASE!$L:$L,$C107,BASE!$J:$J,$B107,BASE!$A:$A,M$6)</f>
        <v>0</v>
      </c>
      <c r="N107" s="74">
        <f>SUMIFS(BASE!$G:$G,BASE!$L:$L,$C107,BASE!$J:$J,$B107,BASE!$A:$A,N$6)</f>
        <v>0</v>
      </c>
      <c r="O107" s="17">
        <f>SUMIFS(BASE!$G:$G,BASE!$L:$L,$C107,BASE!$J:$J,$B107,BASE!$A:$A,O$6)</f>
        <v>0</v>
      </c>
      <c r="P107" s="17">
        <f>SUMIFS(BASE!$G:$G,BASE!$L:$L,$C107,BASE!$J:$J,$B107,BASE!$A:$A,P$6)</f>
        <v>0</v>
      </c>
      <c r="Q107" s="17">
        <f>SUMIFS(BASE!$G:$G,BASE!$L:$L,$C107,BASE!$J:$J,$B107,BASE!$A:$A,Q$6)</f>
        <v>0</v>
      </c>
      <c r="R107" s="17">
        <f>SUMIFS(BASE!$G:$G,BASE!$L:$L,$C107,BASE!$J:$J,$B107,BASE!$A:$A,R$6)</f>
        <v>0</v>
      </c>
      <c r="T107" s="44" t="str">
        <f t="shared" si="3"/>
        <v>ZERADO</v>
      </c>
    </row>
    <row r="108" spans="2:20">
      <c r="B108" s="71" t="s">
        <v>182</v>
      </c>
      <c r="C108" s="71" t="s">
        <v>59</v>
      </c>
      <c r="D108" s="67">
        <f>COUNTIFS(PDVS!H:H,"SIM",PDVS!C:C,B108)</f>
        <v>0</v>
      </c>
      <c r="E108" s="68">
        <f>COUNTIFS(PDVS!C:C,B108,PDVS!I:I,"SIM")</f>
        <v>2</v>
      </c>
      <c r="F108" s="80" t="str">
        <f t="shared" si="2"/>
        <v>Sim</v>
      </c>
      <c r="G108" s="61">
        <f>SUMIFS(BASE!$G:$G,BASE!$L:$L,$C108,BASE!$J:$J,$B108,BASE!$A:$A,G$6)</f>
        <v>0</v>
      </c>
      <c r="H108" s="17">
        <f>SUMIFS(BASE!$G:$G,BASE!$L:$L,$C108,BASE!$J:$J,$B108,BASE!$A:$A,H$6)</f>
        <v>0</v>
      </c>
      <c r="I108" s="17">
        <f>SUMIFS(BASE!$G:$G,BASE!$L:$L,$C108,BASE!$J:$J,$B108,BASE!$A:$A,I$6)</f>
        <v>0</v>
      </c>
      <c r="J108" s="17">
        <f>SUMIFS(BASE!$G:$G,BASE!$L:$L,$C108,BASE!$J:$J,$B108,BASE!$A:$A,J$6)</f>
        <v>0</v>
      </c>
      <c r="K108" s="17">
        <f>SUMIFS(BASE!$G:$G,BASE!$L:$L,$C108,BASE!$J:$J,$B108,BASE!$A:$A,K$6)</f>
        <v>0</v>
      </c>
      <c r="L108" s="17">
        <f>SUMIFS(BASE!$G:$G,BASE!$L:$L,$C108,BASE!$J:$J,$B108,BASE!$A:$A,L$6)</f>
        <v>0</v>
      </c>
      <c r="M108" s="17">
        <f>SUMIFS(BASE!$G:$G,BASE!$L:$L,$C108,BASE!$J:$J,$B108,BASE!$A:$A,M$6)</f>
        <v>0</v>
      </c>
      <c r="N108" s="74">
        <f>SUMIFS(BASE!$G:$G,BASE!$L:$L,$C108,BASE!$J:$J,$B108,BASE!$A:$A,N$6)</f>
        <v>0</v>
      </c>
      <c r="O108" s="17">
        <f>SUMIFS(BASE!$G:$G,BASE!$L:$L,$C108,BASE!$J:$J,$B108,BASE!$A:$A,O$6)</f>
        <v>0</v>
      </c>
      <c r="P108" s="17">
        <f>SUMIFS(BASE!$G:$G,BASE!$L:$L,$C108,BASE!$J:$J,$B108,BASE!$A:$A,P$6)</f>
        <v>0</v>
      </c>
      <c r="Q108" s="17">
        <f>SUMIFS(BASE!$G:$G,BASE!$L:$L,$C108,BASE!$J:$J,$B108,BASE!$A:$A,Q$6)</f>
        <v>0</v>
      </c>
      <c r="R108" s="17">
        <f>SUMIFS(BASE!$G:$G,BASE!$L:$L,$C108,BASE!$J:$J,$B108,BASE!$A:$A,R$6)</f>
        <v>0</v>
      </c>
      <c r="T108" s="44" t="str">
        <f t="shared" si="3"/>
        <v>ZERADO</v>
      </c>
    </row>
    <row r="109" spans="2:20">
      <c r="B109" s="71" t="s">
        <v>183</v>
      </c>
      <c r="C109" s="71" t="s">
        <v>60</v>
      </c>
      <c r="D109" s="67">
        <f>COUNTIFS(PDVS!H:H,"SIM",PDVS!C:C,B109)</f>
        <v>0</v>
      </c>
      <c r="E109" s="68">
        <f>COUNTIFS(PDVS!C:C,B109,PDVS!I:I,"SIM")</f>
        <v>1</v>
      </c>
      <c r="F109" s="80" t="str">
        <f t="shared" si="2"/>
        <v>Sim</v>
      </c>
      <c r="G109" s="61">
        <f>SUMIFS(BASE!$G:$G,BASE!$L:$L,$C109,BASE!$J:$J,$B109,BASE!$A:$A,G$6)</f>
        <v>0</v>
      </c>
      <c r="H109" s="17">
        <f>SUMIFS(BASE!$G:$G,BASE!$L:$L,$C109,BASE!$J:$J,$B109,BASE!$A:$A,H$6)</f>
        <v>0</v>
      </c>
      <c r="I109" s="17">
        <f>SUMIFS(BASE!$G:$G,BASE!$L:$L,$C109,BASE!$J:$J,$B109,BASE!$A:$A,I$6)</f>
        <v>0</v>
      </c>
      <c r="J109" s="17">
        <f>SUMIFS(BASE!$G:$G,BASE!$L:$L,$C109,BASE!$J:$J,$B109,BASE!$A:$A,J$6)</f>
        <v>0</v>
      </c>
      <c r="K109" s="17">
        <f>SUMIFS(BASE!$G:$G,BASE!$L:$L,$C109,BASE!$J:$J,$B109,BASE!$A:$A,K$6)</f>
        <v>0</v>
      </c>
      <c r="L109" s="17">
        <f>SUMIFS(BASE!$G:$G,BASE!$L:$L,$C109,BASE!$J:$J,$B109,BASE!$A:$A,L$6)</f>
        <v>0</v>
      </c>
      <c r="M109" s="17">
        <f>SUMIFS(BASE!$G:$G,BASE!$L:$L,$C109,BASE!$J:$J,$B109,BASE!$A:$A,M$6)</f>
        <v>0</v>
      </c>
      <c r="N109" s="74">
        <f>SUMIFS(BASE!$G:$G,BASE!$L:$L,$C109,BASE!$J:$J,$B109,BASE!$A:$A,N$6)</f>
        <v>0</v>
      </c>
      <c r="O109" s="17">
        <f>SUMIFS(BASE!$G:$G,BASE!$L:$L,$C109,BASE!$J:$J,$B109,BASE!$A:$A,O$6)</f>
        <v>0</v>
      </c>
      <c r="P109" s="17">
        <f>SUMIFS(BASE!$G:$G,BASE!$L:$L,$C109,BASE!$J:$J,$B109,BASE!$A:$A,P$6)</f>
        <v>0</v>
      </c>
      <c r="Q109" s="17">
        <f>SUMIFS(BASE!$G:$G,BASE!$L:$L,$C109,BASE!$J:$J,$B109,BASE!$A:$A,Q$6)</f>
        <v>0</v>
      </c>
      <c r="R109" s="17">
        <f>SUMIFS(BASE!$G:$G,BASE!$L:$L,$C109,BASE!$J:$J,$B109,BASE!$A:$A,R$6)</f>
        <v>0</v>
      </c>
      <c r="T109" s="44" t="str">
        <f t="shared" si="3"/>
        <v>ZERADO</v>
      </c>
    </row>
    <row r="110" spans="2:20">
      <c r="B110" s="71" t="s">
        <v>184</v>
      </c>
      <c r="C110" s="71" t="s">
        <v>60</v>
      </c>
      <c r="D110" s="67">
        <f>COUNTIFS(PDVS!H:H,"SIM",PDVS!C:C,B110)</f>
        <v>0</v>
      </c>
      <c r="E110" s="68">
        <f>COUNTIFS(PDVS!C:C,B110,PDVS!I:I,"SIM")</f>
        <v>1</v>
      </c>
      <c r="F110" s="80" t="str">
        <f t="shared" si="2"/>
        <v>Sim</v>
      </c>
      <c r="G110" s="61">
        <f>SUMIFS(BASE!$G:$G,BASE!$L:$L,$C110,BASE!$J:$J,$B110,BASE!$A:$A,G$6)</f>
        <v>0</v>
      </c>
      <c r="H110" s="17">
        <f>SUMIFS(BASE!$G:$G,BASE!$L:$L,$C110,BASE!$J:$J,$B110,BASE!$A:$A,H$6)</f>
        <v>0</v>
      </c>
      <c r="I110" s="17">
        <f>SUMIFS(BASE!$G:$G,BASE!$L:$L,$C110,BASE!$J:$J,$B110,BASE!$A:$A,I$6)</f>
        <v>0</v>
      </c>
      <c r="J110" s="17">
        <f>SUMIFS(BASE!$G:$G,BASE!$L:$L,$C110,BASE!$J:$J,$B110,BASE!$A:$A,J$6)</f>
        <v>0</v>
      </c>
      <c r="K110" s="17">
        <f>SUMIFS(BASE!$G:$G,BASE!$L:$L,$C110,BASE!$J:$J,$B110,BASE!$A:$A,K$6)</f>
        <v>0</v>
      </c>
      <c r="L110" s="17">
        <f>SUMIFS(BASE!$G:$G,BASE!$L:$L,$C110,BASE!$J:$J,$B110,BASE!$A:$A,L$6)</f>
        <v>0</v>
      </c>
      <c r="M110" s="17">
        <f>SUMIFS(BASE!$G:$G,BASE!$L:$L,$C110,BASE!$J:$J,$B110,BASE!$A:$A,M$6)</f>
        <v>0</v>
      </c>
      <c r="N110" s="74">
        <f>SUMIFS(BASE!$G:$G,BASE!$L:$L,$C110,BASE!$J:$J,$B110,BASE!$A:$A,N$6)</f>
        <v>0</v>
      </c>
      <c r="O110" s="17">
        <f>SUMIFS(BASE!$G:$G,BASE!$L:$L,$C110,BASE!$J:$J,$B110,BASE!$A:$A,O$6)</f>
        <v>0</v>
      </c>
      <c r="P110" s="17">
        <f>SUMIFS(BASE!$G:$G,BASE!$L:$L,$C110,BASE!$J:$J,$B110,BASE!$A:$A,P$6)</f>
        <v>0</v>
      </c>
      <c r="Q110" s="17">
        <f>SUMIFS(BASE!$G:$G,BASE!$L:$L,$C110,BASE!$J:$J,$B110,BASE!$A:$A,Q$6)</f>
        <v>0</v>
      </c>
      <c r="R110" s="17">
        <f>SUMIFS(BASE!$G:$G,BASE!$L:$L,$C110,BASE!$J:$J,$B110,BASE!$A:$A,R$6)</f>
        <v>0</v>
      </c>
      <c r="T110" s="44" t="str">
        <f t="shared" si="3"/>
        <v>ZERADO</v>
      </c>
    </row>
    <row r="111" spans="2:20">
      <c r="B111" s="71" t="s">
        <v>185</v>
      </c>
      <c r="C111" s="71" t="s">
        <v>59</v>
      </c>
      <c r="D111" s="67">
        <f>COUNTIFS(PDVS!H:H,"SIM",PDVS!C:C,B111)</f>
        <v>0</v>
      </c>
      <c r="E111" s="68">
        <f>COUNTIFS(PDVS!C:C,B111,PDVS!I:I,"SIM")</f>
        <v>1</v>
      </c>
      <c r="F111" s="80" t="str">
        <f t="shared" si="2"/>
        <v>Sim</v>
      </c>
      <c r="G111" s="61">
        <f>SUMIFS(BASE!$G:$G,BASE!$L:$L,$C111,BASE!$J:$J,$B111,BASE!$A:$A,G$6)</f>
        <v>0</v>
      </c>
      <c r="H111" s="17">
        <f>SUMIFS(BASE!$G:$G,BASE!$L:$L,$C111,BASE!$J:$J,$B111,BASE!$A:$A,H$6)</f>
        <v>0</v>
      </c>
      <c r="I111" s="17">
        <f>SUMIFS(BASE!$G:$G,BASE!$L:$L,$C111,BASE!$J:$J,$B111,BASE!$A:$A,I$6)</f>
        <v>0</v>
      </c>
      <c r="J111" s="17">
        <f>SUMIFS(BASE!$G:$G,BASE!$L:$L,$C111,BASE!$J:$J,$B111,BASE!$A:$A,J$6)</f>
        <v>0</v>
      </c>
      <c r="K111" s="17">
        <f>SUMIFS(BASE!$G:$G,BASE!$L:$L,$C111,BASE!$J:$J,$B111,BASE!$A:$A,K$6)</f>
        <v>0</v>
      </c>
      <c r="L111" s="17">
        <f>SUMIFS(BASE!$G:$G,BASE!$L:$L,$C111,BASE!$J:$J,$B111,BASE!$A:$A,L$6)</f>
        <v>0</v>
      </c>
      <c r="M111" s="17">
        <f>SUMIFS(BASE!$G:$G,BASE!$L:$L,$C111,BASE!$J:$J,$B111,BASE!$A:$A,M$6)</f>
        <v>0</v>
      </c>
      <c r="N111" s="74">
        <f>SUMIFS(BASE!$G:$G,BASE!$L:$L,$C111,BASE!$J:$J,$B111,BASE!$A:$A,N$6)</f>
        <v>0</v>
      </c>
      <c r="O111" s="17">
        <f>SUMIFS(BASE!$G:$G,BASE!$L:$L,$C111,BASE!$J:$J,$B111,BASE!$A:$A,O$6)</f>
        <v>0</v>
      </c>
      <c r="P111" s="17">
        <f>SUMIFS(BASE!$G:$G,BASE!$L:$L,$C111,BASE!$J:$J,$B111,BASE!$A:$A,P$6)</f>
        <v>0</v>
      </c>
      <c r="Q111" s="17">
        <f>SUMIFS(BASE!$G:$G,BASE!$L:$L,$C111,BASE!$J:$J,$B111,BASE!$A:$A,Q$6)</f>
        <v>0</v>
      </c>
      <c r="R111" s="17">
        <f>SUMIFS(BASE!$G:$G,BASE!$L:$L,$C111,BASE!$J:$J,$B111,BASE!$A:$A,R$6)</f>
        <v>0</v>
      </c>
      <c r="T111" s="44" t="str">
        <f t="shared" si="3"/>
        <v>ZERADO</v>
      </c>
    </row>
    <row r="112" spans="2:20">
      <c r="B112" s="71" t="s">
        <v>186</v>
      </c>
      <c r="C112" s="71" t="s">
        <v>62</v>
      </c>
      <c r="D112" s="67">
        <f>COUNTIFS(PDVS!H:H,"SIM",PDVS!C:C,B112)</f>
        <v>0</v>
      </c>
      <c r="E112" s="68">
        <f>COUNTIFS(PDVS!C:C,B112,PDVS!I:I,"SIM")</f>
        <v>0</v>
      </c>
      <c r="F112" s="80" t="str">
        <f t="shared" si="2"/>
        <v>Sim</v>
      </c>
      <c r="G112" s="61">
        <f>SUMIFS(BASE!$G:$G,BASE!$L:$L,$C112,BASE!$J:$J,$B112,BASE!$A:$A,G$6)</f>
        <v>0</v>
      </c>
      <c r="H112" s="17">
        <f>SUMIFS(BASE!$G:$G,BASE!$L:$L,$C112,BASE!$J:$J,$B112,BASE!$A:$A,H$6)</f>
        <v>0</v>
      </c>
      <c r="I112" s="17">
        <f>SUMIFS(BASE!$G:$G,BASE!$L:$L,$C112,BASE!$J:$J,$B112,BASE!$A:$A,I$6)</f>
        <v>0</v>
      </c>
      <c r="J112" s="17">
        <f>SUMIFS(BASE!$G:$G,BASE!$L:$L,$C112,BASE!$J:$J,$B112,BASE!$A:$A,J$6)</f>
        <v>0</v>
      </c>
      <c r="K112" s="17">
        <f>SUMIFS(BASE!$G:$G,BASE!$L:$L,$C112,BASE!$J:$J,$B112,BASE!$A:$A,K$6)</f>
        <v>0</v>
      </c>
      <c r="L112" s="17">
        <f>SUMIFS(BASE!$G:$G,BASE!$L:$L,$C112,BASE!$J:$J,$B112,BASE!$A:$A,L$6)</f>
        <v>0</v>
      </c>
      <c r="M112" s="17">
        <f>SUMIFS(BASE!$G:$G,BASE!$L:$L,$C112,BASE!$J:$J,$B112,BASE!$A:$A,M$6)</f>
        <v>0</v>
      </c>
      <c r="N112" s="74">
        <f>SUMIFS(BASE!$G:$G,BASE!$L:$L,$C112,BASE!$J:$J,$B112,BASE!$A:$A,N$6)</f>
        <v>0</v>
      </c>
      <c r="O112" s="17">
        <f>SUMIFS(BASE!$G:$G,BASE!$L:$L,$C112,BASE!$J:$J,$B112,BASE!$A:$A,O$6)</f>
        <v>0</v>
      </c>
      <c r="P112" s="17">
        <f>SUMIFS(BASE!$G:$G,BASE!$L:$L,$C112,BASE!$J:$J,$B112,BASE!$A:$A,P$6)</f>
        <v>0</v>
      </c>
      <c r="Q112" s="17">
        <f>SUMIFS(BASE!$G:$G,BASE!$L:$L,$C112,BASE!$J:$J,$B112,BASE!$A:$A,Q$6)</f>
        <v>0</v>
      </c>
      <c r="R112" s="17">
        <f>SUMIFS(BASE!$G:$G,BASE!$L:$L,$C112,BASE!$J:$J,$B112,BASE!$A:$A,R$6)</f>
        <v>0</v>
      </c>
      <c r="T112" s="44" t="str">
        <f t="shared" si="3"/>
        <v>ZERADO</v>
      </c>
    </row>
    <row r="113" spans="2:20">
      <c r="B113" s="71" t="s">
        <v>187</v>
      </c>
      <c r="C113" s="71" t="s">
        <v>62</v>
      </c>
      <c r="D113" s="67">
        <f>COUNTIFS(PDVS!H:H,"SIM",PDVS!C:C,B113)</f>
        <v>0</v>
      </c>
      <c r="E113" s="68">
        <f>COUNTIFS(PDVS!C:C,B113,PDVS!I:I,"SIM")</f>
        <v>1</v>
      </c>
      <c r="F113" s="80" t="str">
        <f t="shared" si="2"/>
        <v>Sim</v>
      </c>
      <c r="G113" s="61">
        <f>SUMIFS(BASE!$G:$G,BASE!$L:$L,$C113,BASE!$J:$J,$B113,BASE!$A:$A,G$6)</f>
        <v>0</v>
      </c>
      <c r="H113" s="17">
        <f>SUMIFS(BASE!$G:$G,BASE!$L:$L,$C113,BASE!$J:$J,$B113,BASE!$A:$A,H$6)</f>
        <v>0</v>
      </c>
      <c r="I113" s="17">
        <f>SUMIFS(BASE!$G:$G,BASE!$L:$L,$C113,BASE!$J:$J,$B113,BASE!$A:$A,I$6)</f>
        <v>0</v>
      </c>
      <c r="J113" s="17">
        <f>SUMIFS(BASE!$G:$G,BASE!$L:$L,$C113,BASE!$J:$J,$B113,BASE!$A:$A,J$6)</f>
        <v>0</v>
      </c>
      <c r="K113" s="17">
        <f>SUMIFS(BASE!$G:$G,BASE!$L:$L,$C113,BASE!$J:$J,$B113,BASE!$A:$A,K$6)</f>
        <v>0</v>
      </c>
      <c r="L113" s="17">
        <f>SUMIFS(BASE!$G:$G,BASE!$L:$L,$C113,BASE!$J:$J,$B113,BASE!$A:$A,L$6)</f>
        <v>0</v>
      </c>
      <c r="M113" s="17">
        <f>SUMIFS(BASE!$G:$G,BASE!$L:$L,$C113,BASE!$J:$J,$B113,BASE!$A:$A,M$6)</f>
        <v>0</v>
      </c>
      <c r="N113" s="74">
        <f>SUMIFS(BASE!$G:$G,BASE!$L:$L,$C113,BASE!$J:$J,$B113,BASE!$A:$A,N$6)</f>
        <v>0</v>
      </c>
      <c r="O113" s="17">
        <f>SUMIFS(BASE!$G:$G,BASE!$L:$L,$C113,BASE!$J:$J,$B113,BASE!$A:$A,O$6)</f>
        <v>0</v>
      </c>
      <c r="P113" s="17">
        <f>SUMIFS(BASE!$G:$G,BASE!$L:$L,$C113,BASE!$J:$J,$B113,BASE!$A:$A,P$6)</f>
        <v>0</v>
      </c>
      <c r="Q113" s="17">
        <f>SUMIFS(BASE!$G:$G,BASE!$L:$L,$C113,BASE!$J:$J,$B113,BASE!$A:$A,Q$6)</f>
        <v>0</v>
      </c>
      <c r="R113" s="17">
        <f>SUMIFS(BASE!$G:$G,BASE!$L:$L,$C113,BASE!$J:$J,$B113,BASE!$A:$A,R$6)</f>
        <v>0</v>
      </c>
      <c r="T113" s="44" t="str">
        <f t="shared" si="3"/>
        <v>ZERADO</v>
      </c>
    </row>
    <row r="114" spans="2:20">
      <c r="B114" s="71" t="s">
        <v>188</v>
      </c>
      <c r="C114" s="71" t="s">
        <v>59</v>
      </c>
      <c r="D114" s="67">
        <f>COUNTIFS(PDVS!H:H,"SIM",PDVS!C:C,B114)</f>
        <v>0</v>
      </c>
      <c r="E114" s="68">
        <f>COUNTIFS(PDVS!C:C,B114,PDVS!I:I,"SIM")</f>
        <v>1</v>
      </c>
      <c r="F114" s="80" t="str">
        <f t="shared" si="2"/>
        <v>Sim</v>
      </c>
      <c r="G114" s="61">
        <f>SUMIFS(BASE!$G:$G,BASE!$L:$L,$C114,BASE!$J:$J,$B114,BASE!$A:$A,G$6)</f>
        <v>0</v>
      </c>
      <c r="H114" s="17">
        <f>SUMIFS(BASE!$G:$G,BASE!$L:$L,$C114,BASE!$J:$J,$B114,BASE!$A:$A,H$6)</f>
        <v>0</v>
      </c>
      <c r="I114" s="17">
        <f>SUMIFS(BASE!$G:$G,BASE!$L:$L,$C114,BASE!$J:$J,$B114,BASE!$A:$A,I$6)</f>
        <v>0</v>
      </c>
      <c r="J114" s="17">
        <f>SUMIFS(BASE!$G:$G,BASE!$L:$L,$C114,BASE!$J:$J,$B114,BASE!$A:$A,J$6)</f>
        <v>0</v>
      </c>
      <c r="K114" s="17">
        <f>SUMIFS(BASE!$G:$G,BASE!$L:$L,$C114,BASE!$J:$J,$B114,BASE!$A:$A,K$6)</f>
        <v>0</v>
      </c>
      <c r="L114" s="17">
        <f>SUMIFS(BASE!$G:$G,BASE!$L:$L,$C114,BASE!$J:$J,$B114,BASE!$A:$A,L$6)</f>
        <v>0</v>
      </c>
      <c r="M114" s="17">
        <f>SUMIFS(BASE!$G:$G,BASE!$L:$L,$C114,BASE!$J:$J,$B114,BASE!$A:$A,M$6)</f>
        <v>0</v>
      </c>
      <c r="N114" s="74">
        <f>SUMIFS(BASE!$G:$G,BASE!$L:$L,$C114,BASE!$J:$J,$B114,BASE!$A:$A,N$6)</f>
        <v>0</v>
      </c>
      <c r="O114" s="17">
        <f>SUMIFS(BASE!$G:$G,BASE!$L:$L,$C114,BASE!$J:$J,$B114,BASE!$A:$A,O$6)</f>
        <v>0</v>
      </c>
      <c r="P114" s="17">
        <f>SUMIFS(BASE!$G:$G,BASE!$L:$L,$C114,BASE!$J:$J,$B114,BASE!$A:$A,P$6)</f>
        <v>0</v>
      </c>
      <c r="Q114" s="17">
        <f>SUMIFS(BASE!$G:$G,BASE!$L:$L,$C114,BASE!$J:$J,$B114,BASE!$A:$A,Q$6)</f>
        <v>0</v>
      </c>
      <c r="R114" s="17">
        <f>SUMIFS(BASE!$G:$G,BASE!$L:$L,$C114,BASE!$J:$J,$B114,BASE!$A:$A,R$6)</f>
        <v>0</v>
      </c>
      <c r="T114" s="44" t="str">
        <f t="shared" si="3"/>
        <v>ZERADO</v>
      </c>
    </row>
    <row r="115" spans="2:20">
      <c r="B115" s="71" t="s">
        <v>189</v>
      </c>
      <c r="C115" s="71" t="s">
        <v>56</v>
      </c>
      <c r="D115" s="67">
        <f>COUNTIFS(PDVS!H:H,"SIM",PDVS!C:C,B115)</f>
        <v>0</v>
      </c>
      <c r="E115" s="68">
        <f>COUNTIFS(PDVS!C:C,B115,PDVS!I:I,"SIM")</f>
        <v>1</v>
      </c>
      <c r="F115" s="80" t="str">
        <f t="shared" si="2"/>
        <v>Sim</v>
      </c>
      <c r="G115" s="61">
        <f>SUMIFS(BASE!$G:$G,BASE!$L:$L,$C115,BASE!$J:$J,$B115,BASE!$A:$A,G$6)</f>
        <v>0</v>
      </c>
      <c r="H115" s="17">
        <f>SUMIFS(BASE!$G:$G,BASE!$L:$L,$C115,BASE!$J:$J,$B115,BASE!$A:$A,H$6)</f>
        <v>0</v>
      </c>
      <c r="I115" s="17">
        <f>SUMIFS(BASE!$G:$G,BASE!$L:$L,$C115,BASE!$J:$J,$B115,BASE!$A:$A,I$6)</f>
        <v>0</v>
      </c>
      <c r="J115" s="17">
        <f>SUMIFS(BASE!$G:$G,BASE!$L:$L,$C115,BASE!$J:$J,$B115,BASE!$A:$A,J$6)</f>
        <v>0</v>
      </c>
      <c r="K115" s="17">
        <f>SUMIFS(BASE!$G:$G,BASE!$L:$L,$C115,BASE!$J:$J,$B115,BASE!$A:$A,K$6)</f>
        <v>0</v>
      </c>
      <c r="L115" s="17">
        <f>SUMIFS(BASE!$G:$G,BASE!$L:$L,$C115,BASE!$J:$J,$B115,BASE!$A:$A,L$6)</f>
        <v>0</v>
      </c>
      <c r="M115" s="17">
        <f>SUMIFS(BASE!$G:$G,BASE!$L:$L,$C115,BASE!$J:$J,$B115,BASE!$A:$A,M$6)</f>
        <v>0</v>
      </c>
      <c r="N115" s="74">
        <f>SUMIFS(BASE!$G:$G,BASE!$L:$L,$C115,BASE!$J:$J,$B115,BASE!$A:$A,N$6)</f>
        <v>0</v>
      </c>
      <c r="O115" s="17">
        <f>SUMIFS(BASE!$G:$G,BASE!$L:$L,$C115,BASE!$J:$J,$B115,BASE!$A:$A,O$6)</f>
        <v>0</v>
      </c>
      <c r="P115" s="17">
        <f>SUMIFS(BASE!$G:$G,BASE!$L:$L,$C115,BASE!$J:$J,$B115,BASE!$A:$A,P$6)</f>
        <v>0</v>
      </c>
      <c r="Q115" s="17">
        <f>SUMIFS(BASE!$G:$G,BASE!$L:$L,$C115,BASE!$J:$J,$B115,BASE!$A:$A,Q$6)</f>
        <v>0</v>
      </c>
      <c r="R115" s="17">
        <f>SUMIFS(BASE!$G:$G,BASE!$L:$L,$C115,BASE!$J:$J,$B115,BASE!$A:$A,R$6)</f>
        <v>0</v>
      </c>
      <c r="T115" s="44" t="str">
        <f t="shared" si="3"/>
        <v>ZERADO</v>
      </c>
    </row>
    <row r="116" spans="2:20">
      <c r="B116" s="71" t="s">
        <v>190</v>
      </c>
      <c r="C116" s="71" t="s">
        <v>57</v>
      </c>
      <c r="D116" s="67">
        <f>COUNTIFS(PDVS!H:H,"SIM",PDVS!C:C,B116)</f>
        <v>0</v>
      </c>
      <c r="E116" s="68">
        <f>COUNTIFS(PDVS!C:C,B116,PDVS!I:I,"SIM")</f>
        <v>7</v>
      </c>
      <c r="F116" s="80" t="str">
        <f t="shared" si="2"/>
        <v>Sim</v>
      </c>
      <c r="G116" s="61">
        <f>SUMIFS(BASE!$G:$G,BASE!$L:$L,$C116,BASE!$J:$J,$B116,BASE!$A:$A,G$6)</f>
        <v>9</v>
      </c>
      <c r="H116" s="17">
        <f>SUMIFS(BASE!$G:$G,BASE!$L:$L,$C116,BASE!$J:$J,$B116,BASE!$A:$A,H$6)</f>
        <v>3</v>
      </c>
      <c r="I116" s="17">
        <f>SUMIFS(BASE!$G:$G,BASE!$L:$L,$C116,BASE!$J:$J,$B116,BASE!$A:$A,I$6)</f>
        <v>7</v>
      </c>
      <c r="J116" s="17">
        <f>SUMIFS(BASE!$G:$G,BASE!$L:$L,$C116,BASE!$J:$J,$B116,BASE!$A:$A,J$6)</f>
        <v>6</v>
      </c>
      <c r="K116" s="17">
        <f>SUMIFS(BASE!$G:$G,BASE!$L:$L,$C116,BASE!$J:$J,$B116,BASE!$A:$A,K$6)</f>
        <v>11</v>
      </c>
      <c r="L116" s="17">
        <f>SUMIFS(BASE!$G:$G,BASE!$L:$L,$C116,BASE!$J:$J,$B116,BASE!$A:$A,L$6)</f>
        <v>9</v>
      </c>
      <c r="M116" s="17">
        <f>SUMIFS(BASE!$G:$G,BASE!$L:$L,$C116,BASE!$J:$J,$B116,BASE!$A:$A,M$6)</f>
        <v>19</v>
      </c>
      <c r="N116" s="74">
        <f>SUMIFS(BASE!$G:$G,BASE!$L:$L,$C116,BASE!$J:$J,$B116,BASE!$A:$A,N$6)</f>
        <v>26</v>
      </c>
      <c r="O116" s="17">
        <f>SUMIFS(BASE!$G:$G,BASE!$L:$L,$C116,BASE!$J:$J,$B116,BASE!$A:$A,O$6)</f>
        <v>0</v>
      </c>
      <c r="P116" s="17">
        <f>SUMIFS(BASE!$G:$G,BASE!$L:$L,$C116,BASE!$J:$J,$B116,BASE!$A:$A,P$6)</f>
        <v>0</v>
      </c>
      <c r="Q116" s="17">
        <f>SUMIFS(BASE!$G:$G,BASE!$L:$L,$C116,BASE!$J:$J,$B116,BASE!$A:$A,Q$6)</f>
        <v>0</v>
      </c>
      <c r="R116" s="17">
        <f>SUMIFS(BASE!$G:$G,BASE!$L:$L,$C116,BASE!$J:$J,$B116,BASE!$A:$A,R$6)</f>
        <v>0</v>
      </c>
      <c r="T116" s="44" t="str">
        <f t="shared" si="3"/>
        <v>COM TROCAS</v>
      </c>
    </row>
    <row r="117" spans="2:20">
      <c r="B117" s="71" t="s">
        <v>191</v>
      </c>
      <c r="C117" s="71" t="s">
        <v>59</v>
      </c>
      <c r="D117" s="67">
        <f>COUNTIFS(PDVS!H:H,"SIM",PDVS!C:C,B117)</f>
        <v>0</v>
      </c>
      <c r="E117" s="68">
        <f>COUNTIFS(PDVS!C:C,B117,PDVS!I:I,"SIM")</f>
        <v>1</v>
      </c>
      <c r="F117" s="80" t="str">
        <f t="shared" si="2"/>
        <v>Sim</v>
      </c>
      <c r="G117" s="61">
        <f>SUMIFS(BASE!$G:$G,BASE!$L:$L,$C117,BASE!$J:$J,$B117,BASE!$A:$A,G$6)</f>
        <v>0</v>
      </c>
      <c r="H117" s="17">
        <f>SUMIFS(BASE!$G:$G,BASE!$L:$L,$C117,BASE!$J:$J,$B117,BASE!$A:$A,H$6)</f>
        <v>0</v>
      </c>
      <c r="I117" s="17">
        <f>SUMIFS(BASE!$G:$G,BASE!$L:$L,$C117,BASE!$J:$J,$B117,BASE!$A:$A,I$6)</f>
        <v>0</v>
      </c>
      <c r="J117" s="17">
        <f>SUMIFS(BASE!$G:$G,BASE!$L:$L,$C117,BASE!$J:$J,$B117,BASE!$A:$A,J$6)</f>
        <v>0</v>
      </c>
      <c r="K117" s="17">
        <f>SUMIFS(BASE!$G:$G,BASE!$L:$L,$C117,BASE!$J:$J,$B117,BASE!$A:$A,K$6)</f>
        <v>0</v>
      </c>
      <c r="L117" s="17">
        <f>SUMIFS(BASE!$G:$G,BASE!$L:$L,$C117,BASE!$J:$J,$B117,BASE!$A:$A,L$6)</f>
        <v>0</v>
      </c>
      <c r="M117" s="17">
        <f>SUMIFS(BASE!$G:$G,BASE!$L:$L,$C117,BASE!$J:$J,$B117,BASE!$A:$A,M$6)</f>
        <v>0</v>
      </c>
      <c r="N117" s="74">
        <f>SUMIFS(BASE!$G:$G,BASE!$L:$L,$C117,BASE!$J:$J,$B117,BASE!$A:$A,N$6)</f>
        <v>0</v>
      </c>
      <c r="O117" s="17">
        <f>SUMIFS(BASE!$G:$G,BASE!$L:$L,$C117,BASE!$J:$J,$B117,BASE!$A:$A,O$6)</f>
        <v>0</v>
      </c>
      <c r="P117" s="17">
        <f>SUMIFS(BASE!$G:$G,BASE!$L:$L,$C117,BASE!$J:$J,$B117,BASE!$A:$A,P$6)</f>
        <v>0</v>
      </c>
      <c r="Q117" s="17">
        <f>SUMIFS(BASE!$G:$G,BASE!$L:$L,$C117,BASE!$J:$J,$B117,BASE!$A:$A,Q$6)</f>
        <v>0</v>
      </c>
      <c r="R117" s="17">
        <f>SUMIFS(BASE!$G:$G,BASE!$L:$L,$C117,BASE!$J:$J,$B117,BASE!$A:$A,R$6)</f>
        <v>0</v>
      </c>
      <c r="T117" s="44" t="str">
        <f t="shared" si="3"/>
        <v>ZERADO</v>
      </c>
    </row>
    <row r="118" spans="2:20">
      <c r="B118" s="71" t="s">
        <v>192</v>
      </c>
      <c r="C118" s="71" t="s">
        <v>56</v>
      </c>
      <c r="D118" s="67">
        <f>COUNTIFS(PDVS!H:H,"SIM",PDVS!C:C,B118)</f>
        <v>0</v>
      </c>
      <c r="E118" s="68">
        <f>COUNTIFS(PDVS!C:C,B118,PDVS!I:I,"SIM")</f>
        <v>2</v>
      </c>
      <c r="F118" s="80" t="str">
        <f t="shared" si="2"/>
        <v>Sim</v>
      </c>
      <c r="G118" s="61">
        <f>SUMIFS(BASE!$G:$G,BASE!$L:$L,$C118,BASE!$J:$J,$B118,BASE!$A:$A,G$6)</f>
        <v>0</v>
      </c>
      <c r="H118" s="17">
        <f>SUMIFS(BASE!$G:$G,BASE!$L:$L,$C118,BASE!$J:$J,$B118,BASE!$A:$A,H$6)</f>
        <v>0</v>
      </c>
      <c r="I118" s="17">
        <f>SUMIFS(BASE!$G:$G,BASE!$L:$L,$C118,BASE!$J:$J,$B118,BASE!$A:$A,I$6)</f>
        <v>0</v>
      </c>
      <c r="J118" s="17">
        <f>SUMIFS(BASE!$G:$G,BASE!$L:$L,$C118,BASE!$J:$J,$B118,BASE!$A:$A,J$6)</f>
        <v>0</v>
      </c>
      <c r="K118" s="17">
        <f>SUMIFS(BASE!$G:$G,BASE!$L:$L,$C118,BASE!$J:$J,$B118,BASE!$A:$A,K$6)</f>
        <v>0</v>
      </c>
      <c r="L118" s="17">
        <f>SUMIFS(BASE!$G:$G,BASE!$L:$L,$C118,BASE!$J:$J,$B118,BASE!$A:$A,L$6)</f>
        <v>0</v>
      </c>
      <c r="M118" s="17">
        <f>SUMIFS(BASE!$G:$G,BASE!$L:$L,$C118,BASE!$J:$J,$B118,BASE!$A:$A,M$6)</f>
        <v>0</v>
      </c>
      <c r="N118" s="74">
        <f>SUMIFS(BASE!$G:$G,BASE!$L:$L,$C118,BASE!$J:$J,$B118,BASE!$A:$A,N$6)</f>
        <v>0</v>
      </c>
      <c r="O118" s="17">
        <f>SUMIFS(BASE!$G:$G,BASE!$L:$L,$C118,BASE!$J:$J,$B118,BASE!$A:$A,O$6)</f>
        <v>0</v>
      </c>
      <c r="P118" s="17">
        <f>SUMIFS(BASE!$G:$G,BASE!$L:$L,$C118,BASE!$J:$J,$B118,BASE!$A:$A,P$6)</f>
        <v>0</v>
      </c>
      <c r="Q118" s="17">
        <f>SUMIFS(BASE!$G:$G,BASE!$L:$L,$C118,BASE!$J:$J,$B118,BASE!$A:$A,Q$6)</f>
        <v>0</v>
      </c>
      <c r="R118" s="17">
        <f>SUMIFS(BASE!$G:$G,BASE!$L:$L,$C118,BASE!$J:$J,$B118,BASE!$A:$A,R$6)</f>
        <v>0</v>
      </c>
      <c r="T118" s="44" t="str">
        <f t="shared" si="3"/>
        <v>ZERADO</v>
      </c>
    </row>
    <row r="119" spans="2:20">
      <c r="B119" s="71" t="s">
        <v>193</v>
      </c>
      <c r="C119" s="71" t="s">
        <v>58</v>
      </c>
      <c r="D119" s="67">
        <f>COUNTIFS(PDVS!H:H,"SIM",PDVS!C:C,B119)</f>
        <v>0</v>
      </c>
      <c r="E119" s="68">
        <f>COUNTIFS(PDVS!C:C,B119,PDVS!I:I,"SIM")</f>
        <v>21</v>
      </c>
      <c r="F119" s="80" t="str">
        <f t="shared" si="2"/>
        <v>Sim</v>
      </c>
      <c r="G119" s="61">
        <f>SUMIFS(BASE!$G:$G,BASE!$L:$L,$C119,BASE!$J:$J,$B119,BASE!$A:$A,G$6)</f>
        <v>38</v>
      </c>
      <c r="H119" s="17">
        <f>SUMIFS(BASE!$G:$G,BASE!$L:$L,$C119,BASE!$J:$J,$B119,BASE!$A:$A,H$6)</f>
        <v>35</v>
      </c>
      <c r="I119" s="17">
        <f>SUMIFS(BASE!$G:$G,BASE!$L:$L,$C119,BASE!$J:$J,$B119,BASE!$A:$A,I$6)</f>
        <v>61</v>
      </c>
      <c r="J119" s="17">
        <f>SUMIFS(BASE!$G:$G,BASE!$L:$L,$C119,BASE!$J:$J,$B119,BASE!$A:$A,J$6)</f>
        <v>61</v>
      </c>
      <c r="K119" s="17">
        <f>SUMIFS(BASE!$G:$G,BASE!$L:$L,$C119,BASE!$J:$J,$B119,BASE!$A:$A,K$6)</f>
        <v>84</v>
      </c>
      <c r="L119" s="17">
        <f>SUMIFS(BASE!$G:$G,BASE!$L:$L,$C119,BASE!$J:$J,$B119,BASE!$A:$A,L$6)</f>
        <v>114</v>
      </c>
      <c r="M119" s="17">
        <f>SUMIFS(BASE!$G:$G,BASE!$L:$L,$C119,BASE!$J:$J,$B119,BASE!$A:$A,M$6)</f>
        <v>166</v>
      </c>
      <c r="N119" s="74">
        <f>SUMIFS(BASE!$G:$G,BASE!$L:$L,$C119,BASE!$J:$J,$B119,BASE!$A:$A,N$6)</f>
        <v>59</v>
      </c>
      <c r="O119" s="17">
        <f>SUMIFS(BASE!$G:$G,BASE!$L:$L,$C119,BASE!$J:$J,$B119,BASE!$A:$A,O$6)</f>
        <v>0</v>
      </c>
      <c r="P119" s="17">
        <f>SUMIFS(BASE!$G:$G,BASE!$L:$L,$C119,BASE!$J:$J,$B119,BASE!$A:$A,P$6)</f>
        <v>0</v>
      </c>
      <c r="Q119" s="17">
        <f>SUMIFS(BASE!$G:$G,BASE!$L:$L,$C119,BASE!$J:$J,$B119,BASE!$A:$A,Q$6)</f>
        <v>0</v>
      </c>
      <c r="R119" s="17">
        <f>SUMIFS(BASE!$G:$G,BASE!$L:$L,$C119,BASE!$J:$J,$B119,BASE!$A:$A,R$6)</f>
        <v>0</v>
      </c>
      <c r="T119" s="44" t="str">
        <f t="shared" si="3"/>
        <v>COM TROCAS</v>
      </c>
    </row>
    <row r="120" spans="2:20">
      <c r="B120" s="71" t="s">
        <v>194</v>
      </c>
      <c r="C120" s="71" t="s">
        <v>60</v>
      </c>
      <c r="D120" s="67">
        <f>COUNTIFS(PDVS!H:H,"SIM",PDVS!C:C,B120)</f>
        <v>0</v>
      </c>
      <c r="E120" s="68">
        <f>COUNTIFS(PDVS!C:C,B120,PDVS!I:I,"SIM")</f>
        <v>1</v>
      </c>
      <c r="F120" s="80" t="str">
        <f t="shared" si="2"/>
        <v>Sim</v>
      </c>
      <c r="G120" s="61">
        <f>SUMIFS(BASE!$G:$G,BASE!$L:$L,$C120,BASE!$J:$J,$B120,BASE!$A:$A,G$6)</f>
        <v>0</v>
      </c>
      <c r="H120" s="17">
        <f>SUMIFS(BASE!$G:$G,BASE!$L:$L,$C120,BASE!$J:$J,$B120,BASE!$A:$A,H$6)</f>
        <v>0</v>
      </c>
      <c r="I120" s="17">
        <f>SUMIFS(BASE!$G:$G,BASE!$L:$L,$C120,BASE!$J:$J,$B120,BASE!$A:$A,I$6)</f>
        <v>0</v>
      </c>
      <c r="J120" s="17">
        <f>SUMIFS(BASE!$G:$G,BASE!$L:$L,$C120,BASE!$J:$J,$B120,BASE!$A:$A,J$6)</f>
        <v>0</v>
      </c>
      <c r="K120" s="17">
        <f>SUMIFS(BASE!$G:$G,BASE!$L:$L,$C120,BASE!$J:$J,$B120,BASE!$A:$A,K$6)</f>
        <v>0</v>
      </c>
      <c r="L120" s="17">
        <f>SUMIFS(BASE!$G:$G,BASE!$L:$L,$C120,BASE!$J:$J,$B120,BASE!$A:$A,L$6)</f>
        <v>0</v>
      </c>
      <c r="M120" s="17">
        <f>SUMIFS(BASE!$G:$G,BASE!$L:$L,$C120,BASE!$J:$J,$B120,BASE!$A:$A,M$6)</f>
        <v>0</v>
      </c>
      <c r="N120" s="74">
        <f>SUMIFS(BASE!$G:$G,BASE!$L:$L,$C120,BASE!$J:$J,$B120,BASE!$A:$A,N$6)</f>
        <v>0</v>
      </c>
      <c r="O120" s="17">
        <f>SUMIFS(BASE!$G:$G,BASE!$L:$L,$C120,BASE!$J:$J,$B120,BASE!$A:$A,O$6)</f>
        <v>0</v>
      </c>
      <c r="P120" s="17">
        <f>SUMIFS(BASE!$G:$G,BASE!$L:$L,$C120,BASE!$J:$J,$B120,BASE!$A:$A,P$6)</f>
        <v>0</v>
      </c>
      <c r="Q120" s="17">
        <f>SUMIFS(BASE!$G:$G,BASE!$L:$L,$C120,BASE!$J:$J,$B120,BASE!$A:$A,Q$6)</f>
        <v>0</v>
      </c>
      <c r="R120" s="17">
        <f>SUMIFS(BASE!$G:$G,BASE!$L:$L,$C120,BASE!$J:$J,$B120,BASE!$A:$A,R$6)</f>
        <v>0</v>
      </c>
      <c r="T120" s="44" t="str">
        <f t="shared" si="3"/>
        <v>ZERADO</v>
      </c>
    </row>
    <row r="121" spans="2:20">
      <c r="B121" s="71" t="s">
        <v>195</v>
      </c>
      <c r="C121" s="71" t="s">
        <v>61</v>
      </c>
      <c r="D121" s="67">
        <f>COUNTIFS(PDVS!H:H,"SIM",PDVS!C:C,B121)</f>
        <v>0</v>
      </c>
      <c r="E121" s="68">
        <f>COUNTIFS(PDVS!C:C,B121,PDVS!I:I,"SIM")</f>
        <v>2</v>
      </c>
      <c r="F121" s="80" t="str">
        <f t="shared" si="2"/>
        <v>Sim</v>
      </c>
      <c r="G121" s="61">
        <f>SUMIFS(BASE!$G:$G,BASE!$L:$L,$C121,BASE!$J:$J,$B121,BASE!$A:$A,G$6)</f>
        <v>0</v>
      </c>
      <c r="H121" s="17">
        <f>SUMIFS(BASE!$G:$G,BASE!$L:$L,$C121,BASE!$J:$J,$B121,BASE!$A:$A,H$6)</f>
        <v>0</v>
      </c>
      <c r="I121" s="17">
        <f>SUMIFS(BASE!$G:$G,BASE!$L:$L,$C121,BASE!$J:$J,$B121,BASE!$A:$A,I$6)</f>
        <v>0</v>
      </c>
      <c r="J121" s="17">
        <f>SUMIFS(BASE!$G:$G,BASE!$L:$L,$C121,BASE!$J:$J,$B121,BASE!$A:$A,J$6)</f>
        <v>0</v>
      </c>
      <c r="K121" s="17">
        <f>SUMIFS(BASE!$G:$G,BASE!$L:$L,$C121,BASE!$J:$J,$B121,BASE!$A:$A,K$6)</f>
        <v>0</v>
      </c>
      <c r="L121" s="17">
        <f>SUMIFS(BASE!$G:$G,BASE!$L:$L,$C121,BASE!$J:$J,$B121,BASE!$A:$A,L$6)</f>
        <v>0</v>
      </c>
      <c r="M121" s="17">
        <f>SUMIFS(BASE!$G:$G,BASE!$L:$L,$C121,BASE!$J:$J,$B121,BASE!$A:$A,M$6)</f>
        <v>0</v>
      </c>
      <c r="N121" s="74">
        <f>SUMIFS(BASE!$G:$G,BASE!$L:$L,$C121,BASE!$J:$J,$B121,BASE!$A:$A,N$6)</f>
        <v>0</v>
      </c>
      <c r="O121" s="17">
        <f>SUMIFS(BASE!$G:$G,BASE!$L:$L,$C121,BASE!$J:$J,$B121,BASE!$A:$A,O$6)</f>
        <v>0</v>
      </c>
      <c r="P121" s="17">
        <f>SUMIFS(BASE!$G:$G,BASE!$L:$L,$C121,BASE!$J:$J,$B121,BASE!$A:$A,P$6)</f>
        <v>0</v>
      </c>
      <c r="Q121" s="17">
        <f>SUMIFS(BASE!$G:$G,BASE!$L:$L,$C121,BASE!$J:$J,$B121,BASE!$A:$A,Q$6)</f>
        <v>0</v>
      </c>
      <c r="R121" s="17">
        <f>SUMIFS(BASE!$G:$G,BASE!$L:$L,$C121,BASE!$J:$J,$B121,BASE!$A:$A,R$6)</f>
        <v>0</v>
      </c>
      <c r="T121" s="44" t="str">
        <f t="shared" si="3"/>
        <v>ZERADO</v>
      </c>
    </row>
    <row r="122" spans="2:20">
      <c r="B122" s="71" t="s">
        <v>196</v>
      </c>
      <c r="C122" s="71" t="s">
        <v>61</v>
      </c>
      <c r="D122" s="67">
        <f>COUNTIFS(PDVS!H:H,"SIM",PDVS!C:C,B122)</f>
        <v>0</v>
      </c>
      <c r="E122" s="68">
        <f>COUNTIFS(PDVS!C:C,B122,PDVS!I:I,"SIM")</f>
        <v>0</v>
      </c>
      <c r="F122" s="80" t="str">
        <f t="shared" si="2"/>
        <v>Sim</v>
      </c>
      <c r="G122" s="61">
        <f>SUMIFS(BASE!$G:$G,BASE!$L:$L,$C122,BASE!$J:$J,$B122,BASE!$A:$A,G$6)</f>
        <v>0</v>
      </c>
      <c r="H122" s="17">
        <f>SUMIFS(BASE!$G:$G,BASE!$L:$L,$C122,BASE!$J:$J,$B122,BASE!$A:$A,H$6)</f>
        <v>0</v>
      </c>
      <c r="I122" s="17">
        <f>SUMIFS(BASE!$G:$G,BASE!$L:$L,$C122,BASE!$J:$J,$B122,BASE!$A:$A,I$6)</f>
        <v>0</v>
      </c>
      <c r="J122" s="17">
        <f>SUMIFS(BASE!$G:$G,BASE!$L:$L,$C122,BASE!$J:$J,$B122,BASE!$A:$A,J$6)</f>
        <v>0</v>
      </c>
      <c r="K122" s="17">
        <f>SUMIFS(BASE!$G:$G,BASE!$L:$L,$C122,BASE!$J:$J,$B122,BASE!$A:$A,K$6)</f>
        <v>0</v>
      </c>
      <c r="L122" s="17">
        <f>SUMIFS(BASE!$G:$G,BASE!$L:$L,$C122,BASE!$J:$J,$B122,BASE!$A:$A,L$6)</f>
        <v>0</v>
      </c>
      <c r="M122" s="17">
        <f>SUMIFS(BASE!$G:$G,BASE!$L:$L,$C122,BASE!$J:$J,$B122,BASE!$A:$A,M$6)</f>
        <v>0</v>
      </c>
      <c r="N122" s="74">
        <f>SUMIFS(BASE!$G:$G,BASE!$L:$L,$C122,BASE!$J:$J,$B122,BASE!$A:$A,N$6)</f>
        <v>0</v>
      </c>
      <c r="O122" s="17">
        <f>SUMIFS(BASE!$G:$G,BASE!$L:$L,$C122,BASE!$J:$J,$B122,BASE!$A:$A,O$6)</f>
        <v>0</v>
      </c>
      <c r="P122" s="17">
        <f>SUMIFS(BASE!$G:$G,BASE!$L:$L,$C122,BASE!$J:$J,$B122,BASE!$A:$A,P$6)</f>
        <v>0</v>
      </c>
      <c r="Q122" s="17">
        <f>SUMIFS(BASE!$G:$G,BASE!$L:$L,$C122,BASE!$J:$J,$B122,BASE!$A:$A,Q$6)</f>
        <v>0</v>
      </c>
      <c r="R122" s="17">
        <f>SUMIFS(BASE!$G:$G,BASE!$L:$L,$C122,BASE!$J:$J,$B122,BASE!$A:$A,R$6)</f>
        <v>0</v>
      </c>
      <c r="T122" s="44" t="str">
        <f t="shared" si="3"/>
        <v>ZERADO</v>
      </c>
    </row>
    <row r="123" spans="2:20">
      <c r="B123" s="71" t="s">
        <v>196</v>
      </c>
      <c r="C123" s="71" t="s">
        <v>62</v>
      </c>
      <c r="D123" s="67">
        <f>COUNTIFS(PDVS!H:H,"SIM",PDVS!C:C,B123)</f>
        <v>0</v>
      </c>
      <c r="E123" s="68">
        <f>COUNTIFS(PDVS!C:C,B123,PDVS!I:I,"SIM")</f>
        <v>0</v>
      </c>
      <c r="F123" s="80" t="str">
        <f t="shared" si="2"/>
        <v>Sim</v>
      </c>
      <c r="G123" s="61">
        <f>SUMIFS(BASE!$G:$G,BASE!$L:$L,$C123,BASE!$J:$J,$B123,BASE!$A:$A,G$6)</f>
        <v>0</v>
      </c>
      <c r="H123" s="17">
        <f>SUMIFS(BASE!$G:$G,BASE!$L:$L,$C123,BASE!$J:$J,$B123,BASE!$A:$A,H$6)</f>
        <v>0</v>
      </c>
      <c r="I123" s="17">
        <f>SUMIFS(BASE!$G:$G,BASE!$L:$L,$C123,BASE!$J:$J,$B123,BASE!$A:$A,I$6)</f>
        <v>0</v>
      </c>
      <c r="J123" s="17">
        <f>SUMIFS(BASE!$G:$G,BASE!$L:$L,$C123,BASE!$J:$J,$B123,BASE!$A:$A,J$6)</f>
        <v>0</v>
      </c>
      <c r="K123" s="17">
        <f>SUMIFS(BASE!$G:$G,BASE!$L:$L,$C123,BASE!$J:$J,$B123,BASE!$A:$A,K$6)</f>
        <v>0</v>
      </c>
      <c r="L123" s="17">
        <f>SUMIFS(BASE!$G:$G,BASE!$L:$L,$C123,BASE!$J:$J,$B123,BASE!$A:$A,L$6)</f>
        <v>0</v>
      </c>
      <c r="M123" s="17">
        <f>SUMIFS(BASE!$G:$G,BASE!$L:$L,$C123,BASE!$J:$J,$B123,BASE!$A:$A,M$6)</f>
        <v>0</v>
      </c>
      <c r="N123" s="74">
        <f>SUMIFS(BASE!$G:$G,BASE!$L:$L,$C123,BASE!$J:$J,$B123,BASE!$A:$A,N$6)</f>
        <v>0</v>
      </c>
      <c r="O123" s="17">
        <f>SUMIFS(BASE!$G:$G,BASE!$L:$L,$C123,BASE!$J:$J,$B123,BASE!$A:$A,O$6)</f>
        <v>0</v>
      </c>
      <c r="P123" s="17">
        <f>SUMIFS(BASE!$G:$G,BASE!$L:$L,$C123,BASE!$J:$J,$B123,BASE!$A:$A,P$6)</f>
        <v>0</v>
      </c>
      <c r="Q123" s="17">
        <f>SUMIFS(BASE!$G:$G,BASE!$L:$L,$C123,BASE!$J:$J,$B123,BASE!$A:$A,Q$6)</f>
        <v>0</v>
      </c>
      <c r="R123" s="17">
        <f>SUMIFS(BASE!$G:$G,BASE!$L:$L,$C123,BASE!$J:$J,$B123,BASE!$A:$A,R$6)</f>
        <v>0</v>
      </c>
      <c r="T123" s="44" t="str">
        <f t="shared" si="3"/>
        <v>ZERADO</v>
      </c>
    </row>
    <row r="124" spans="2:20">
      <c r="B124" s="71" t="s">
        <v>197</v>
      </c>
      <c r="C124" s="71" t="s">
        <v>55</v>
      </c>
      <c r="D124" s="67">
        <f>COUNTIFS(PDVS!H:H,"SIM",PDVS!C:C,B124)</f>
        <v>0</v>
      </c>
      <c r="E124" s="68">
        <f>COUNTIFS(PDVS!C:C,B124,PDVS!I:I,"SIM")</f>
        <v>1</v>
      </c>
      <c r="F124" s="80" t="str">
        <f t="shared" si="2"/>
        <v>Sim</v>
      </c>
      <c r="G124" s="61">
        <f>SUMIFS(BASE!$G:$G,BASE!$L:$L,$C124,BASE!$J:$J,$B124,BASE!$A:$A,G$6)</f>
        <v>0</v>
      </c>
      <c r="H124" s="17">
        <f>SUMIFS(BASE!$G:$G,BASE!$L:$L,$C124,BASE!$J:$J,$B124,BASE!$A:$A,H$6)</f>
        <v>0</v>
      </c>
      <c r="I124" s="17">
        <f>SUMIFS(BASE!$G:$G,BASE!$L:$L,$C124,BASE!$J:$J,$B124,BASE!$A:$A,I$6)</f>
        <v>0</v>
      </c>
      <c r="J124" s="17">
        <f>SUMIFS(BASE!$G:$G,BASE!$L:$L,$C124,BASE!$J:$J,$B124,BASE!$A:$A,J$6)</f>
        <v>0</v>
      </c>
      <c r="K124" s="17">
        <f>SUMIFS(BASE!$G:$G,BASE!$L:$L,$C124,BASE!$J:$J,$B124,BASE!$A:$A,K$6)</f>
        <v>0</v>
      </c>
      <c r="L124" s="17">
        <f>SUMIFS(BASE!$G:$G,BASE!$L:$L,$C124,BASE!$J:$J,$B124,BASE!$A:$A,L$6)</f>
        <v>0</v>
      </c>
      <c r="M124" s="17">
        <f>SUMIFS(BASE!$G:$G,BASE!$L:$L,$C124,BASE!$J:$J,$B124,BASE!$A:$A,M$6)</f>
        <v>0</v>
      </c>
      <c r="N124" s="74">
        <f>SUMIFS(BASE!$G:$G,BASE!$L:$L,$C124,BASE!$J:$J,$B124,BASE!$A:$A,N$6)</f>
        <v>0</v>
      </c>
      <c r="O124" s="17">
        <f>SUMIFS(BASE!$G:$G,BASE!$L:$L,$C124,BASE!$J:$J,$B124,BASE!$A:$A,O$6)</f>
        <v>0</v>
      </c>
      <c r="P124" s="17">
        <f>SUMIFS(BASE!$G:$G,BASE!$L:$L,$C124,BASE!$J:$J,$B124,BASE!$A:$A,P$6)</f>
        <v>0</v>
      </c>
      <c r="Q124" s="17">
        <f>SUMIFS(BASE!$G:$G,BASE!$L:$L,$C124,BASE!$J:$J,$B124,BASE!$A:$A,Q$6)</f>
        <v>0</v>
      </c>
      <c r="R124" s="17">
        <f>SUMIFS(BASE!$G:$G,BASE!$L:$L,$C124,BASE!$J:$J,$B124,BASE!$A:$A,R$6)</f>
        <v>0</v>
      </c>
      <c r="T124" s="44" t="str">
        <f t="shared" si="3"/>
        <v>ZERADO</v>
      </c>
    </row>
    <row r="125" spans="2:20">
      <c r="B125" s="71" t="s">
        <v>198</v>
      </c>
      <c r="C125" s="71" t="s">
        <v>60</v>
      </c>
      <c r="D125" s="67">
        <f>COUNTIFS(PDVS!H:H,"SIM",PDVS!C:C,B125)</f>
        <v>0</v>
      </c>
      <c r="E125" s="68">
        <f>COUNTIFS(PDVS!C:C,B125,PDVS!I:I,"SIM")</f>
        <v>1</v>
      </c>
      <c r="F125" s="80" t="str">
        <f t="shared" si="2"/>
        <v>Sim</v>
      </c>
      <c r="G125" s="61">
        <f>SUMIFS(BASE!$G:$G,BASE!$L:$L,$C125,BASE!$J:$J,$B125,BASE!$A:$A,G$6)</f>
        <v>0</v>
      </c>
      <c r="H125" s="17">
        <f>SUMIFS(BASE!$G:$G,BASE!$L:$L,$C125,BASE!$J:$J,$B125,BASE!$A:$A,H$6)</f>
        <v>0</v>
      </c>
      <c r="I125" s="17">
        <f>SUMIFS(BASE!$G:$G,BASE!$L:$L,$C125,BASE!$J:$J,$B125,BASE!$A:$A,I$6)</f>
        <v>0</v>
      </c>
      <c r="J125" s="17">
        <f>SUMIFS(BASE!$G:$G,BASE!$L:$L,$C125,BASE!$J:$J,$B125,BASE!$A:$A,J$6)</f>
        <v>0</v>
      </c>
      <c r="K125" s="17">
        <f>SUMIFS(BASE!$G:$G,BASE!$L:$L,$C125,BASE!$J:$J,$B125,BASE!$A:$A,K$6)</f>
        <v>0</v>
      </c>
      <c r="L125" s="17">
        <f>SUMIFS(BASE!$G:$G,BASE!$L:$L,$C125,BASE!$J:$J,$B125,BASE!$A:$A,L$6)</f>
        <v>0</v>
      </c>
      <c r="M125" s="17">
        <f>SUMIFS(BASE!$G:$G,BASE!$L:$L,$C125,BASE!$J:$J,$B125,BASE!$A:$A,M$6)</f>
        <v>0</v>
      </c>
      <c r="N125" s="74">
        <f>SUMIFS(BASE!$G:$G,BASE!$L:$L,$C125,BASE!$J:$J,$B125,BASE!$A:$A,N$6)</f>
        <v>0</v>
      </c>
      <c r="O125" s="17">
        <f>SUMIFS(BASE!$G:$G,BASE!$L:$L,$C125,BASE!$J:$J,$B125,BASE!$A:$A,O$6)</f>
        <v>0</v>
      </c>
      <c r="P125" s="17">
        <f>SUMIFS(BASE!$G:$G,BASE!$L:$L,$C125,BASE!$J:$J,$B125,BASE!$A:$A,P$6)</f>
        <v>0</v>
      </c>
      <c r="Q125" s="17">
        <f>SUMIFS(BASE!$G:$G,BASE!$L:$L,$C125,BASE!$J:$J,$B125,BASE!$A:$A,Q$6)</f>
        <v>0</v>
      </c>
      <c r="R125" s="17">
        <f>SUMIFS(BASE!$G:$G,BASE!$L:$L,$C125,BASE!$J:$J,$B125,BASE!$A:$A,R$6)</f>
        <v>0</v>
      </c>
      <c r="T125" s="44" t="str">
        <f t="shared" si="3"/>
        <v>ZERADO</v>
      </c>
    </row>
    <row r="126" spans="2:20">
      <c r="B126" s="71" t="s">
        <v>199</v>
      </c>
      <c r="C126" s="71" t="s">
        <v>60</v>
      </c>
      <c r="D126" s="67">
        <f>COUNTIFS(PDVS!H:H,"SIM",PDVS!C:C,B126)</f>
        <v>0</v>
      </c>
      <c r="E126" s="68">
        <f>COUNTIFS(PDVS!C:C,B126,PDVS!I:I,"SIM")</f>
        <v>1</v>
      </c>
      <c r="F126" s="80" t="str">
        <f t="shared" si="2"/>
        <v>Sim</v>
      </c>
      <c r="G126" s="61">
        <f>SUMIFS(BASE!$G:$G,BASE!$L:$L,$C126,BASE!$J:$J,$B126,BASE!$A:$A,G$6)</f>
        <v>0</v>
      </c>
      <c r="H126" s="17">
        <f>SUMIFS(BASE!$G:$G,BASE!$L:$L,$C126,BASE!$J:$J,$B126,BASE!$A:$A,H$6)</f>
        <v>0</v>
      </c>
      <c r="I126" s="17">
        <f>SUMIFS(BASE!$G:$G,BASE!$L:$L,$C126,BASE!$J:$J,$B126,BASE!$A:$A,I$6)</f>
        <v>0</v>
      </c>
      <c r="J126" s="17">
        <f>SUMIFS(BASE!$G:$G,BASE!$L:$L,$C126,BASE!$J:$J,$B126,BASE!$A:$A,J$6)</f>
        <v>0</v>
      </c>
      <c r="K126" s="17">
        <f>SUMIFS(BASE!$G:$G,BASE!$L:$L,$C126,BASE!$J:$J,$B126,BASE!$A:$A,K$6)</f>
        <v>0</v>
      </c>
      <c r="L126" s="17">
        <f>SUMIFS(BASE!$G:$G,BASE!$L:$L,$C126,BASE!$J:$J,$B126,BASE!$A:$A,L$6)</f>
        <v>0</v>
      </c>
      <c r="M126" s="17">
        <f>SUMIFS(BASE!$G:$G,BASE!$L:$L,$C126,BASE!$J:$J,$B126,BASE!$A:$A,M$6)</f>
        <v>0</v>
      </c>
      <c r="N126" s="74">
        <f>SUMIFS(BASE!$G:$G,BASE!$L:$L,$C126,BASE!$J:$J,$B126,BASE!$A:$A,N$6)</f>
        <v>0</v>
      </c>
      <c r="O126" s="17">
        <f>SUMIFS(BASE!$G:$G,BASE!$L:$L,$C126,BASE!$J:$J,$B126,BASE!$A:$A,O$6)</f>
        <v>0</v>
      </c>
      <c r="P126" s="17">
        <f>SUMIFS(BASE!$G:$G,BASE!$L:$L,$C126,BASE!$J:$J,$B126,BASE!$A:$A,P$6)</f>
        <v>0</v>
      </c>
      <c r="Q126" s="17">
        <f>SUMIFS(BASE!$G:$G,BASE!$L:$L,$C126,BASE!$J:$J,$B126,BASE!$A:$A,Q$6)</f>
        <v>0</v>
      </c>
      <c r="R126" s="17">
        <f>SUMIFS(BASE!$G:$G,BASE!$L:$L,$C126,BASE!$J:$J,$B126,BASE!$A:$A,R$6)</f>
        <v>0</v>
      </c>
      <c r="T126" s="44" t="str">
        <f t="shared" si="3"/>
        <v>ZERADO</v>
      </c>
    </row>
    <row r="127" spans="2:20">
      <c r="B127" s="71" t="s">
        <v>200</v>
      </c>
      <c r="C127" s="71" t="s">
        <v>56</v>
      </c>
      <c r="D127" s="67">
        <f>COUNTIFS(PDVS!H:H,"SIM",PDVS!C:C,B127)</f>
        <v>0</v>
      </c>
      <c r="E127" s="68">
        <f>COUNTIFS(PDVS!C:C,B127,PDVS!I:I,"SIM")</f>
        <v>1</v>
      </c>
      <c r="F127" s="80" t="str">
        <f t="shared" si="2"/>
        <v>Sim</v>
      </c>
      <c r="G127" s="61">
        <f>SUMIFS(BASE!$G:$G,BASE!$L:$L,$C127,BASE!$J:$J,$B127,BASE!$A:$A,G$6)</f>
        <v>0</v>
      </c>
      <c r="H127" s="17">
        <f>SUMIFS(BASE!$G:$G,BASE!$L:$L,$C127,BASE!$J:$J,$B127,BASE!$A:$A,H$6)</f>
        <v>0</v>
      </c>
      <c r="I127" s="17">
        <f>SUMIFS(BASE!$G:$G,BASE!$L:$L,$C127,BASE!$J:$J,$B127,BASE!$A:$A,I$6)</f>
        <v>0</v>
      </c>
      <c r="J127" s="17">
        <f>SUMIFS(BASE!$G:$G,BASE!$L:$L,$C127,BASE!$J:$J,$B127,BASE!$A:$A,J$6)</f>
        <v>0</v>
      </c>
      <c r="K127" s="17">
        <f>SUMIFS(BASE!$G:$G,BASE!$L:$L,$C127,BASE!$J:$J,$B127,BASE!$A:$A,K$6)</f>
        <v>0</v>
      </c>
      <c r="L127" s="17">
        <f>SUMIFS(BASE!$G:$G,BASE!$L:$L,$C127,BASE!$J:$J,$B127,BASE!$A:$A,L$6)</f>
        <v>0</v>
      </c>
      <c r="M127" s="17">
        <f>SUMIFS(BASE!$G:$G,BASE!$L:$L,$C127,BASE!$J:$J,$B127,BASE!$A:$A,M$6)</f>
        <v>0</v>
      </c>
      <c r="N127" s="74">
        <f>SUMIFS(BASE!$G:$G,BASE!$L:$L,$C127,BASE!$J:$J,$B127,BASE!$A:$A,N$6)</f>
        <v>0</v>
      </c>
      <c r="O127" s="17">
        <f>SUMIFS(BASE!$G:$G,BASE!$L:$L,$C127,BASE!$J:$J,$B127,BASE!$A:$A,O$6)</f>
        <v>0</v>
      </c>
      <c r="P127" s="17">
        <f>SUMIFS(BASE!$G:$G,BASE!$L:$L,$C127,BASE!$J:$J,$B127,BASE!$A:$A,P$6)</f>
        <v>0</v>
      </c>
      <c r="Q127" s="17">
        <f>SUMIFS(BASE!$G:$G,BASE!$L:$L,$C127,BASE!$J:$J,$B127,BASE!$A:$A,Q$6)</f>
        <v>0</v>
      </c>
      <c r="R127" s="17">
        <f>SUMIFS(BASE!$G:$G,BASE!$L:$L,$C127,BASE!$J:$J,$B127,BASE!$A:$A,R$6)</f>
        <v>0</v>
      </c>
      <c r="T127" s="44" t="str">
        <f t="shared" si="3"/>
        <v>ZERADO</v>
      </c>
    </row>
    <row r="128" spans="2:20">
      <c r="B128" s="71" t="s">
        <v>201</v>
      </c>
      <c r="C128" s="71" t="s">
        <v>56</v>
      </c>
      <c r="D128" s="67">
        <f>COUNTIFS(PDVS!H:H,"SIM",PDVS!C:C,B128)</f>
        <v>0</v>
      </c>
      <c r="E128" s="68">
        <f>COUNTIFS(PDVS!C:C,B128,PDVS!I:I,"SIM")</f>
        <v>2</v>
      </c>
      <c r="F128" s="80" t="str">
        <f t="shared" si="2"/>
        <v>Sim</v>
      </c>
      <c r="G128" s="61">
        <f>SUMIFS(BASE!$G:$G,BASE!$L:$L,$C128,BASE!$J:$J,$B128,BASE!$A:$A,G$6)</f>
        <v>0</v>
      </c>
      <c r="H128" s="17">
        <f>SUMIFS(BASE!$G:$G,BASE!$L:$L,$C128,BASE!$J:$J,$B128,BASE!$A:$A,H$6)</f>
        <v>0</v>
      </c>
      <c r="I128" s="17">
        <f>SUMIFS(BASE!$G:$G,BASE!$L:$L,$C128,BASE!$J:$J,$B128,BASE!$A:$A,I$6)</f>
        <v>0</v>
      </c>
      <c r="J128" s="17">
        <f>SUMIFS(BASE!$G:$G,BASE!$L:$L,$C128,BASE!$J:$J,$B128,BASE!$A:$A,J$6)</f>
        <v>0</v>
      </c>
      <c r="K128" s="17">
        <f>SUMIFS(BASE!$G:$G,BASE!$L:$L,$C128,BASE!$J:$J,$B128,BASE!$A:$A,K$6)</f>
        <v>0</v>
      </c>
      <c r="L128" s="17">
        <f>SUMIFS(BASE!$G:$G,BASE!$L:$L,$C128,BASE!$J:$J,$B128,BASE!$A:$A,L$6)</f>
        <v>0</v>
      </c>
      <c r="M128" s="17">
        <f>SUMIFS(BASE!$G:$G,BASE!$L:$L,$C128,BASE!$J:$J,$B128,BASE!$A:$A,M$6)</f>
        <v>0</v>
      </c>
      <c r="N128" s="74">
        <f>SUMIFS(BASE!$G:$G,BASE!$L:$L,$C128,BASE!$J:$J,$B128,BASE!$A:$A,N$6)</f>
        <v>0</v>
      </c>
      <c r="O128" s="17">
        <f>SUMIFS(BASE!$G:$G,BASE!$L:$L,$C128,BASE!$J:$J,$B128,BASE!$A:$A,O$6)</f>
        <v>0</v>
      </c>
      <c r="P128" s="17">
        <f>SUMIFS(BASE!$G:$G,BASE!$L:$L,$C128,BASE!$J:$J,$B128,BASE!$A:$A,P$6)</f>
        <v>0</v>
      </c>
      <c r="Q128" s="17">
        <f>SUMIFS(BASE!$G:$G,BASE!$L:$L,$C128,BASE!$J:$J,$B128,BASE!$A:$A,Q$6)</f>
        <v>0</v>
      </c>
      <c r="R128" s="17">
        <f>SUMIFS(BASE!$G:$G,BASE!$L:$L,$C128,BASE!$J:$J,$B128,BASE!$A:$A,R$6)</f>
        <v>0</v>
      </c>
      <c r="T128" s="44" t="str">
        <f t="shared" si="3"/>
        <v>ZERADO</v>
      </c>
    </row>
    <row r="129" spans="2:20">
      <c r="B129" s="71" t="s">
        <v>202</v>
      </c>
      <c r="C129" s="71" t="s">
        <v>55</v>
      </c>
      <c r="D129" s="67">
        <f>COUNTIFS(PDVS!H:H,"SIM",PDVS!C:C,B129)</f>
        <v>0</v>
      </c>
      <c r="E129" s="68">
        <f>COUNTIFS(PDVS!C:C,B129,PDVS!I:I,"SIM")</f>
        <v>1</v>
      </c>
      <c r="F129" s="80" t="str">
        <f t="shared" si="2"/>
        <v>Sim</v>
      </c>
      <c r="G129" s="61">
        <f>SUMIFS(BASE!$G:$G,BASE!$L:$L,$C129,BASE!$J:$J,$B129,BASE!$A:$A,G$6)</f>
        <v>0</v>
      </c>
      <c r="H129" s="17">
        <f>SUMIFS(BASE!$G:$G,BASE!$L:$L,$C129,BASE!$J:$J,$B129,BASE!$A:$A,H$6)</f>
        <v>0</v>
      </c>
      <c r="I129" s="17">
        <f>SUMIFS(BASE!$G:$G,BASE!$L:$L,$C129,BASE!$J:$J,$B129,BASE!$A:$A,I$6)</f>
        <v>0</v>
      </c>
      <c r="J129" s="17">
        <f>SUMIFS(BASE!$G:$G,BASE!$L:$L,$C129,BASE!$J:$J,$B129,BASE!$A:$A,J$6)</f>
        <v>0</v>
      </c>
      <c r="K129" s="17">
        <f>SUMIFS(BASE!$G:$G,BASE!$L:$L,$C129,BASE!$J:$J,$B129,BASE!$A:$A,K$6)</f>
        <v>0</v>
      </c>
      <c r="L129" s="17">
        <f>SUMIFS(BASE!$G:$G,BASE!$L:$L,$C129,BASE!$J:$J,$B129,BASE!$A:$A,L$6)</f>
        <v>0</v>
      </c>
      <c r="M129" s="17">
        <f>SUMIFS(BASE!$G:$G,BASE!$L:$L,$C129,BASE!$J:$J,$B129,BASE!$A:$A,M$6)</f>
        <v>0</v>
      </c>
      <c r="N129" s="74">
        <f>SUMIFS(BASE!$G:$G,BASE!$L:$L,$C129,BASE!$J:$J,$B129,BASE!$A:$A,N$6)</f>
        <v>0</v>
      </c>
      <c r="O129" s="17">
        <f>SUMIFS(BASE!$G:$G,BASE!$L:$L,$C129,BASE!$J:$J,$B129,BASE!$A:$A,O$6)</f>
        <v>0</v>
      </c>
      <c r="P129" s="17">
        <f>SUMIFS(BASE!$G:$G,BASE!$L:$L,$C129,BASE!$J:$J,$B129,BASE!$A:$A,P$6)</f>
        <v>0</v>
      </c>
      <c r="Q129" s="17">
        <f>SUMIFS(BASE!$G:$G,BASE!$L:$L,$C129,BASE!$J:$J,$B129,BASE!$A:$A,Q$6)</f>
        <v>0</v>
      </c>
      <c r="R129" s="17">
        <f>SUMIFS(BASE!$G:$G,BASE!$L:$L,$C129,BASE!$J:$J,$B129,BASE!$A:$A,R$6)</f>
        <v>0</v>
      </c>
      <c r="T129" s="44" t="str">
        <f t="shared" si="3"/>
        <v>ZERADO</v>
      </c>
    </row>
    <row r="130" spans="2:20">
      <c r="B130" s="71" t="s">
        <v>203</v>
      </c>
      <c r="C130" s="71" t="s">
        <v>59</v>
      </c>
      <c r="D130" s="67">
        <f>COUNTIFS(PDVS!H:H,"SIM",PDVS!C:C,B130)</f>
        <v>0</v>
      </c>
      <c r="E130" s="68">
        <f>COUNTIFS(PDVS!C:C,B130,PDVS!I:I,"SIM")</f>
        <v>1</v>
      </c>
      <c r="F130" s="80" t="str">
        <f t="shared" si="2"/>
        <v>Sim</v>
      </c>
      <c r="G130" s="61">
        <f>SUMIFS(BASE!$G:$G,BASE!$L:$L,$C130,BASE!$J:$J,$B130,BASE!$A:$A,G$6)</f>
        <v>0</v>
      </c>
      <c r="H130" s="17">
        <f>SUMIFS(BASE!$G:$G,BASE!$L:$L,$C130,BASE!$J:$J,$B130,BASE!$A:$A,H$6)</f>
        <v>0</v>
      </c>
      <c r="I130" s="17">
        <f>SUMIFS(BASE!$G:$G,BASE!$L:$L,$C130,BASE!$J:$J,$B130,BASE!$A:$A,I$6)</f>
        <v>0</v>
      </c>
      <c r="J130" s="17">
        <f>SUMIFS(BASE!$G:$G,BASE!$L:$L,$C130,BASE!$J:$J,$B130,BASE!$A:$A,J$6)</f>
        <v>0</v>
      </c>
      <c r="K130" s="17">
        <f>SUMIFS(BASE!$G:$G,BASE!$L:$L,$C130,BASE!$J:$J,$B130,BASE!$A:$A,K$6)</f>
        <v>0</v>
      </c>
      <c r="L130" s="17">
        <f>SUMIFS(BASE!$G:$G,BASE!$L:$L,$C130,BASE!$J:$J,$B130,BASE!$A:$A,L$6)</f>
        <v>0</v>
      </c>
      <c r="M130" s="17">
        <f>SUMIFS(BASE!$G:$G,BASE!$L:$L,$C130,BASE!$J:$J,$B130,BASE!$A:$A,M$6)</f>
        <v>0</v>
      </c>
      <c r="N130" s="74">
        <f>SUMIFS(BASE!$G:$G,BASE!$L:$L,$C130,BASE!$J:$J,$B130,BASE!$A:$A,N$6)</f>
        <v>0</v>
      </c>
      <c r="O130" s="17">
        <f>SUMIFS(BASE!$G:$G,BASE!$L:$L,$C130,BASE!$J:$J,$B130,BASE!$A:$A,O$6)</f>
        <v>0</v>
      </c>
      <c r="P130" s="17">
        <f>SUMIFS(BASE!$G:$G,BASE!$L:$L,$C130,BASE!$J:$J,$B130,BASE!$A:$A,P$6)</f>
        <v>0</v>
      </c>
      <c r="Q130" s="17">
        <f>SUMIFS(BASE!$G:$G,BASE!$L:$L,$C130,BASE!$J:$J,$B130,BASE!$A:$A,Q$6)</f>
        <v>0</v>
      </c>
      <c r="R130" s="17">
        <f>SUMIFS(BASE!$G:$G,BASE!$L:$L,$C130,BASE!$J:$J,$B130,BASE!$A:$A,R$6)</f>
        <v>0</v>
      </c>
      <c r="T130" s="44" t="str">
        <f t="shared" si="3"/>
        <v>ZERADO</v>
      </c>
    </row>
    <row r="131" spans="2:20">
      <c r="B131" s="71" t="s">
        <v>204</v>
      </c>
      <c r="C131" s="71" t="s">
        <v>54</v>
      </c>
      <c r="D131" s="67">
        <f>COUNTIFS(PDVS!H:H,"SIM",PDVS!C:C,B131)</f>
        <v>0</v>
      </c>
      <c r="E131" s="68">
        <f>COUNTIFS(PDVS!C:C,B131,PDVS!I:I,"SIM")</f>
        <v>1</v>
      </c>
      <c r="F131" s="80" t="str">
        <f t="shared" si="2"/>
        <v>Sim</v>
      </c>
      <c r="G131" s="61">
        <f>SUMIFS(BASE!$G:$G,BASE!$L:$L,$C131,BASE!$J:$J,$B131,BASE!$A:$A,G$6)</f>
        <v>0</v>
      </c>
      <c r="H131" s="17">
        <f>SUMIFS(BASE!$G:$G,BASE!$L:$L,$C131,BASE!$J:$J,$B131,BASE!$A:$A,H$6)</f>
        <v>0</v>
      </c>
      <c r="I131" s="17">
        <f>SUMIFS(BASE!$G:$G,BASE!$L:$L,$C131,BASE!$J:$J,$B131,BASE!$A:$A,I$6)</f>
        <v>0</v>
      </c>
      <c r="J131" s="17">
        <f>SUMIFS(BASE!$G:$G,BASE!$L:$L,$C131,BASE!$J:$J,$B131,BASE!$A:$A,J$6)</f>
        <v>0</v>
      </c>
      <c r="K131" s="17">
        <f>SUMIFS(BASE!$G:$G,BASE!$L:$L,$C131,BASE!$J:$J,$B131,BASE!$A:$A,K$6)</f>
        <v>0</v>
      </c>
      <c r="L131" s="17">
        <f>SUMIFS(BASE!$G:$G,BASE!$L:$L,$C131,BASE!$J:$J,$B131,BASE!$A:$A,L$6)</f>
        <v>0</v>
      </c>
      <c r="M131" s="17">
        <f>SUMIFS(BASE!$G:$G,BASE!$L:$L,$C131,BASE!$J:$J,$B131,BASE!$A:$A,M$6)</f>
        <v>0</v>
      </c>
      <c r="N131" s="74">
        <f>SUMIFS(BASE!$G:$G,BASE!$L:$L,$C131,BASE!$J:$J,$B131,BASE!$A:$A,N$6)</f>
        <v>0</v>
      </c>
      <c r="O131" s="17">
        <f>SUMIFS(BASE!$G:$G,BASE!$L:$L,$C131,BASE!$J:$J,$B131,BASE!$A:$A,O$6)</f>
        <v>0</v>
      </c>
      <c r="P131" s="17">
        <f>SUMIFS(BASE!$G:$G,BASE!$L:$L,$C131,BASE!$J:$J,$B131,BASE!$A:$A,P$6)</f>
        <v>0</v>
      </c>
      <c r="Q131" s="17">
        <f>SUMIFS(BASE!$G:$G,BASE!$L:$L,$C131,BASE!$J:$J,$B131,BASE!$A:$A,Q$6)</f>
        <v>0</v>
      </c>
      <c r="R131" s="17">
        <f>SUMIFS(BASE!$G:$G,BASE!$L:$L,$C131,BASE!$J:$J,$B131,BASE!$A:$A,R$6)</f>
        <v>0</v>
      </c>
      <c r="T131" s="44" t="str">
        <f t="shared" si="3"/>
        <v>ZERADO</v>
      </c>
    </row>
    <row r="132" spans="2:20">
      <c r="B132" s="71" t="s">
        <v>205</v>
      </c>
      <c r="C132" s="71" t="s">
        <v>53</v>
      </c>
      <c r="D132" s="67">
        <f>COUNTIFS(PDVS!H:H,"SIM",PDVS!C:C,B132)</f>
        <v>0</v>
      </c>
      <c r="E132" s="68">
        <f>COUNTIFS(PDVS!C:C,B132,PDVS!I:I,"SIM")</f>
        <v>1</v>
      </c>
      <c r="F132" s="80" t="str">
        <f t="shared" si="2"/>
        <v>Sim</v>
      </c>
      <c r="G132" s="61">
        <f>SUMIFS(BASE!$G:$G,BASE!$L:$L,$C132,BASE!$J:$J,$B132,BASE!$A:$A,G$6)</f>
        <v>0</v>
      </c>
      <c r="H132" s="17">
        <f>SUMIFS(BASE!$G:$G,BASE!$L:$L,$C132,BASE!$J:$J,$B132,BASE!$A:$A,H$6)</f>
        <v>0</v>
      </c>
      <c r="I132" s="17">
        <f>SUMIFS(BASE!$G:$G,BASE!$L:$L,$C132,BASE!$J:$J,$B132,BASE!$A:$A,I$6)</f>
        <v>0</v>
      </c>
      <c r="J132" s="17">
        <f>SUMIFS(BASE!$G:$G,BASE!$L:$L,$C132,BASE!$J:$J,$B132,BASE!$A:$A,J$6)</f>
        <v>0</v>
      </c>
      <c r="K132" s="17">
        <f>SUMIFS(BASE!$G:$G,BASE!$L:$L,$C132,BASE!$J:$J,$B132,BASE!$A:$A,K$6)</f>
        <v>0</v>
      </c>
      <c r="L132" s="17">
        <f>SUMIFS(BASE!$G:$G,BASE!$L:$L,$C132,BASE!$J:$J,$B132,BASE!$A:$A,L$6)</f>
        <v>0</v>
      </c>
      <c r="M132" s="17">
        <f>SUMIFS(BASE!$G:$G,BASE!$L:$L,$C132,BASE!$J:$J,$B132,BASE!$A:$A,M$6)</f>
        <v>0</v>
      </c>
      <c r="N132" s="74">
        <f>SUMIFS(BASE!$G:$G,BASE!$L:$L,$C132,BASE!$J:$J,$B132,BASE!$A:$A,N$6)</f>
        <v>0</v>
      </c>
      <c r="O132" s="17">
        <f>SUMIFS(BASE!$G:$G,BASE!$L:$L,$C132,BASE!$J:$J,$B132,BASE!$A:$A,O$6)</f>
        <v>0</v>
      </c>
      <c r="P132" s="17">
        <f>SUMIFS(BASE!$G:$G,BASE!$L:$L,$C132,BASE!$J:$J,$B132,BASE!$A:$A,P$6)</f>
        <v>0</v>
      </c>
      <c r="Q132" s="17">
        <f>SUMIFS(BASE!$G:$G,BASE!$L:$L,$C132,BASE!$J:$J,$B132,BASE!$A:$A,Q$6)</f>
        <v>0</v>
      </c>
      <c r="R132" s="17">
        <f>SUMIFS(BASE!$G:$G,BASE!$L:$L,$C132,BASE!$J:$J,$B132,BASE!$A:$A,R$6)</f>
        <v>0</v>
      </c>
      <c r="T132" s="44" t="str">
        <f t="shared" si="3"/>
        <v>ZERADO</v>
      </c>
    </row>
    <row r="133" spans="2:20">
      <c r="B133" s="71" t="s">
        <v>206</v>
      </c>
      <c r="C133" s="71" t="s">
        <v>59</v>
      </c>
      <c r="D133" s="67">
        <f>COUNTIFS(PDVS!H:H,"SIM",PDVS!C:C,B133)</f>
        <v>0</v>
      </c>
      <c r="E133" s="68">
        <f>COUNTIFS(PDVS!C:C,B133,PDVS!I:I,"SIM")</f>
        <v>7</v>
      </c>
      <c r="F133" s="80" t="str">
        <f t="shared" si="2"/>
        <v>Sim</v>
      </c>
      <c r="G133" s="61">
        <f>SUMIFS(BASE!$G:$G,BASE!$L:$L,$C133,BASE!$J:$J,$B133,BASE!$A:$A,G$6)</f>
        <v>0</v>
      </c>
      <c r="H133" s="17">
        <f>SUMIFS(BASE!$G:$G,BASE!$L:$L,$C133,BASE!$J:$J,$B133,BASE!$A:$A,H$6)</f>
        <v>0</v>
      </c>
      <c r="I133" s="17">
        <f>SUMIFS(BASE!$G:$G,BASE!$L:$L,$C133,BASE!$J:$J,$B133,BASE!$A:$A,I$6)</f>
        <v>0</v>
      </c>
      <c r="J133" s="17">
        <f>SUMIFS(BASE!$G:$G,BASE!$L:$L,$C133,BASE!$J:$J,$B133,BASE!$A:$A,J$6)</f>
        <v>0</v>
      </c>
      <c r="K133" s="17">
        <f>SUMIFS(BASE!$G:$G,BASE!$L:$L,$C133,BASE!$J:$J,$B133,BASE!$A:$A,K$6)</f>
        <v>0</v>
      </c>
      <c r="L133" s="17">
        <f>SUMIFS(BASE!$G:$G,BASE!$L:$L,$C133,BASE!$J:$J,$B133,BASE!$A:$A,L$6)</f>
        <v>0</v>
      </c>
      <c r="M133" s="17">
        <f>SUMIFS(BASE!$G:$G,BASE!$L:$L,$C133,BASE!$J:$J,$B133,BASE!$A:$A,M$6)</f>
        <v>0</v>
      </c>
      <c r="N133" s="74">
        <f>SUMIFS(BASE!$G:$G,BASE!$L:$L,$C133,BASE!$J:$J,$B133,BASE!$A:$A,N$6)</f>
        <v>0</v>
      </c>
      <c r="O133" s="17">
        <f>SUMIFS(BASE!$G:$G,BASE!$L:$L,$C133,BASE!$J:$J,$B133,BASE!$A:$A,O$6)</f>
        <v>0</v>
      </c>
      <c r="P133" s="17">
        <f>SUMIFS(BASE!$G:$G,BASE!$L:$L,$C133,BASE!$J:$J,$B133,BASE!$A:$A,P$6)</f>
        <v>0</v>
      </c>
      <c r="Q133" s="17">
        <f>SUMIFS(BASE!$G:$G,BASE!$L:$L,$C133,BASE!$J:$J,$B133,BASE!$A:$A,Q$6)</f>
        <v>0</v>
      </c>
      <c r="R133" s="17">
        <f>SUMIFS(BASE!$G:$G,BASE!$L:$L,$C133,BASE!$J:$J,$B133,BASE!$A:$A,R$6)</f>
        <v>0</v>
      </c>
      <c r="T133" s="44" t="str">
        <f t="shared" si="3"/>
        <v>ZERADO</v>
      </c>
    </row>
    <row r="134" spans="2:20">
      <c r="B134" s="71" t="s">
        <v>207</v>
      </c>
      <c r="C134" s="71" t="s">
        <v>60</v>
      </c>
      <c r="D134" s="67">
        <f>COUNTIFS(PDVS!H:H,"SIM",PDVS!C:C,B134)</f>
        <v>0</v>
      </c>
      <c r="E134" s="68">
        <f>COUNTIFS(PDVS!C:C,B134,PDVS!I:I,"SIM")</f>
        <v>1</v>
      </c>
      <c r="F134" s="80" t="str">
        <f t="shared" si="2"/>
        <v>Sim</v>
      </c>
      <c r="G134" s="61">
        <f>SUMIFS(BASE!$G:$G,BASE!$L:$L,$C134,BASE!$J:$J,$B134,BASE!$A:$A,G$6)</f>
        <v>0</v>
      </c>
      <c r="H134" s="17">
        <f>SUMIFS(BASE!$G:$G,BASE!$L:$L,$C134,BASE!$J:$J,$B134,BASE!$A:$A,H$6)</f>
        <v>0</v>
      </c>
      <c r="I134" s="17">
        <f>SUMIFS(BASE!$G:$G,BASE!$L:$L,$C134,BASE!$J:$J,$B134,BASE!$A:$A,I$6)</f>
        <v>0</v>
      </c>
      <c r="J134" s="17">
        <f>SUMIFS(BASE!$G:$G,BASE!$L:$L,$C134,BASE!$J:$J,$B134,BASE!$A:$A,J$6)</f>
        <v>0</v>
      </c>
      <c r="K134" s="17">
        <f>SUMIFS(BASE!$G:$G,BASE!$L:$L,$C134,BASE!$J:$J,$B134,BASE!$A:$A,K$6)</f>
        <v>0</v>
      </c>
      <c r="L134" s="17">
        <f>SUMIFS(BASE!$G:$G,BASE!$L:$L,$C134,BASE!$J:$J,$B134,BASE!$A:$A,L$6)</f>
        <v>0</v>
      </c>
      <c r="M134" s="17">
        <f>SUMIFS(BASE!$G:$G,BASE!$L:$L,$C134,BASE!$J:$J,$B134,BASE!$A:$A,M$6)</f>
        <v>0</v>
      </c>
      <c r="N134" s="74">
        <f>SUMIFS(BASE!$G:$G,BASE!$L:$L,$C134,BASE!$J:$J,$B134,BASE!$A:$A,N$6)</f>
        <v>0</v>
      </c>
      <c r="O134" s="17">
        <f>SUMIFS(BASE!$G:$G,BASE!$L:$L,$C134,BASE!$J:$J,$B134,BASE!$A:$A,O$6)</f>
        <v>0</v>
      </c>
      <c r="P134" s="17">
        <f>SUMIFS(BASE!$G:$G,BASE!$L:$L,$C134,BASE!$J:$J,$B134,BASE!$A:$A,P$6)</f>
        <v>0</v>
      </c>
      <c r="Q134" s="17">
        <f>SUMIFS(BASE!$G:$G,BASE!$L:$L,$C134,BASE!$J:$J,$B134,BASE!$A:$A,Q$6)</f>
        <v>0</v>
      </c>
      <c r="R134" s="17">
        <f>SUMIFS(BASE!$G:$G,BASE!$L:$L,$C134,BASE!$J:$J,$B134,BASE!$A:$A,R$6)</f>
        <v>0</v>
      </c>
      <c r="T134" s="44" t="str">
        <f t="shared" si="3"/>
        <v>ZERADO</v>
      </c>
    </row>
    <row r="135" spans="2:20">
      <c r="B135" s="71" t="s">
        <v>208</v>
      </c>
      <c r="C135" s="71" t="s">
        <v>60</v>
      </c>
      <c r="D135" s="67">
        <f>COUNTIFS(PDVS!H:H,"SIM",PDVS!C:C,B135)</f>
        <v>0</v>
      </c>
      <c r="E135" s="68">
        <f>COUNTIFS(PDVS!C:C,B135,PDVS!I:I,"SIM")</f>
        <v>2</v>
      </c>
      <c r="F135" s="80" t="str">
        <f t="shared" si="2"/>
        <v>Sim</v>
      </c>
      <c r="G135" s="61">
        <f>SUMIFS(BASE!$G:$G,BASE!$L:$L,$C135,BASE!$J:$J,$B135,BASE!$A:$A,G$6)</f>
        <v>0</v>
      </c>
      <c r="H135" s="17">
        <f>SUMIFS(BASE!$G:$G,BASE!$L:$L,$C135,BASE!$J:$J,$B135,BASE!$A:$A,H$6)</f>
        <v>0</v>
      </c>
      <c r="I135" s="17">
        <f>SUMIFS(BASE!$G:$G,BASE!$L:$L,$C135,BASE!$J:$J,$B135,BASE!$A:$A,I$6)</f>
        <v>0</v>
      </c>
      <c r="J135" s="17">
        <f>SUMIFS(BASE!$G:$G,BASE!$L:$L,$C135,BASE!$J:$J,$B135,BASE!$A:$A,J$6)</f>
        <v>0</v>
      </c>
      <c r="K135" s="17">
        <f>SUMIFS(BASE!$G:$G,BASE!$L:$L,$C135,BASE!$J:$J,$B135,BASE!$A:$A,K$6)</f>
        <v>0</v>
      </c>
      <c r="L135" s="17">
        <f>SUMIFS(BASE!$G:$G,BASE!$L:$L,$C135,BASE!$J:$J,$B135,BASE!$A:$A,L$6)</f>
        <v>0</v>
      </c>
      <c r="M135" s="17">
        <f>SUMIFS(BASE!$G:$G,BASE!$L:$L,$C135,BASE!$J:$J,$B135,BASE!$A:$A,M$6)</f>
        <v>0</v>
      </c>
      <c r="N135" s="74">
        <f>SUMIFS(BASE!$G:$G,BASE!$L:$L,$C135,BASE!$J:$J,$B135,BASE!$A:$A,N$6)</f>
        <v>0</v>
      </c>
      <c r="O135" s="17">
        <f>SUMIFS(BASE!$G:$G,BASE!$L:$L,$C135,BASE!$J:$J,$B135,BASE!$A:$A,O$6)</f>
        <v>0</v>
      </c>
      <c r="P135" s="17">
        <f>SUMIFS(BASE!$G:$G,BASE!$L:$L,$C135,BASE!$J:$J,$B135,BASE!$A:$A,P$6)</f>
        <v>0</v>
      </c>
      <c r="Q135" s="17">
        <f>SUMIFS(BASE!$G:$G,BASE!$L:$L,$C135,BASE!$J:$J,$B135,BASE!$A:$A,Q$6)</f>
        <v>0</v>
      </c>
      <c r="R135" s="17">
        <f>SUMIFS(BASE!$G:$G,BASE!$L:$L,$C135,BASE!$J:$J,$B135,BASE!$A:$A,R$6)</f>
        <v>0</v>
      </c>
      <c r="T135" s="44" t="str">
        <f t="shared" si="3"/>
        <v>ZERADO</v>
      </c>
    </row>
    <row r="136" spans="2:20">
      <c r="B136" s="71" t="s">
        <v>209</v>
      </c>
      <c r="C136" s="71" t="s">
        <v>61</v>
      </c>
      <c r="D136" s="67">
        <f>COUNTIFS(PDVS!H:H,"SIM",PDVS!C:C,B136)</f>
        <v>0</v>
      </c>
      <c r="E136" s="68">
        <f>COUNTIFS(PDVS!C:C,B136,PDVS!I:I,"SIM")</f>
        <v>1</v>
      </c>
      <c r="F136" s="80" t="str">
        <f t="shared" ref="F136:F177" si="4">IF(AND(D136=0,E136&gt;=1),"Sim",IF(D136&gt;=1,"Não",IF(AND(D136=0,E136=0),"Sim","")))</f>
        <v>Sim</v>
      </c>
      <c r="G136" s="61">
        <f>SUMIFS(BASE!$G:$G,BASE!$L:$L,$C136,BASE!$J:$J,$B136,BASE!$A:$A,G$6)</f>
        <v>0</v>
      </c>
      <c r="H136" s="17">
        <f>SUMIFS(BASE!$G:$G,BASE!$L:$L,$C136,BASE!$J:$J,$B136,BASE!$A:$A,H$6)</f>
        <v>0</v>
      </c>
      <c r="I136" s="17">
        <f>SUMIFS(BASE!$G:$G,BASE!$L:$L,$C136,BASE!$J:$J,$B136,BASE!$A:$A,I$6)</f>
        <v>0</v>
      </c>
      <c r="J136" s="17">
        <f>SUMIFS(BASE!$G:$G,BASE!$L:$L,$C136,BASE!$J:$J,$B136,BASE!$A:$A,J$6)</f>
        <v>0</v>
      </c>
      <c r="K136" s="17">
        <f>SUMIFS(BASE!$G:$G,BASE!$L:$L,$C136,BASE!$J:$J,$B136,BASE!$A:$A,K$6)</f>
        <v>0</v>
      </c>
      <c r="L136" s="17">
        <f>SUMIFS(BASE!$G:$G,BASE!$L:$L,$C136,BASE!$J:$J,$B136,BASE!$A:$A,L$6)</f>
        <v>0</v>
      </c>
      <c r="M136" s="17">
        <f>SUMIFS(BASE!$G:$G,BASE!$L:$L,$C136,BASE!$J:$J,$B136,BASE!$A:$A,M$6)</f>
        <v>0</v>
      </c>
      <c r="N136" s="74">
        <f>SUMIFS(BASE!$G:$G,BASE!$L:$L,$C136,BASE!$J:$J,$B136,BASE!$A:$A,N$6)</f>
        <v>0</v>
      </c>
      <c r="O136" s="17">
        <f>SUMIFS(BASE!$G:$G,BASE!$L:$L,$C136,BASE!$J:$J,$B136,BASE!$A:$A,O$6)</f>
        <v>0</v>
      </c>
      <c r="P136" s="17">
        <f>SUMIFS(BASE!$G:$G,BASE!$L:$L,$C136,BASE!$J:$J,$B136,BASE!$A:$A,P$6)</f>
        <v>0</v>
      </c>
      <c r="Q136" s="17">
        <f>SUMIFS(BASE!$G:$G,BASE!$L:$L,$C136,BASE!$J:$J,$B136,BASE!$A:$A,Q$6)</f>
        <v>0</v>
      </c>
      <c r="R136" s="17">
        <f>SUMIFS(BASE!$G:$G,BASE!$L:$L,$C136,BASE!$J:$J,$B136,BASE!$A:$A,R$6)</f>
        <v>0</v>
      </c>
      <c r="T136" s="44" t="str">
        <f t="shared" ref="T136:T177" si="5">IF(AND(N136=0),"ZERADO","COM TROCAS")</f>
        <v>ZERADO</v>
      </c>
    </row>
    <row r="137" spans="2:20">
      <c r="B137" s="71" t="s">
        <v>210</v>
      </c>
      <c r="C137" s="71" t="s">
        <v>59</v>
      </c>
      <c r="D137" s="67">
        <f>COUNTIFS(PDVS!H:H,"SIM",PDVS!C:C,B137)</f>
        <v>0</v>
      </c>
      <c r="E137" s="68">
        <f>COUNTIFS(PDVS!C:C,B137,PDVS!I:I,"SIM")</f>
        <v>1</v>
      </c>
      <c r="F137" s="80" t="str">
        <f t="shared" si="4"/>
        <v>Sim</v>
      </c>
      <c r="G137" s="61">
        <f>SUMIFS(BASE!$G:$G,BASE!$L:$L,$C137,BASE!$J:$J,$B137,BASE!$A:$A,G$6)</f>
        <v>0</v>
      </c>
      <c r="H137" s="17">
        <f>SUMIFS(BASE!$G:$G,BASE!$L:$L,$C137,BASE!$J:$J,$B137,BASE!$A:$A,H$6)</f>
        <v>0</v>
      </c>
      <c r="I137" s="17">
        <f>SUMIFS(BASE!$G:$G,BASE!$L:$L,$C137,BASE!$J:$J,$B137,BASE!$A:$A,I$6)</f>
        <v>0</v>
      </c>
      <c r="J137" s="17">
        <f>SUMIFS(BASE!$G:$G,BASE!$L:$L,$C137,BASE!$J:$J,$B137,BASE!$A:$A,J$6)</f>
        <v>0</v>
      </c>
      <c r="K137" s="17">
        <f>SUMIFS(BASE!$G:$G,BASE!$L:$L,$C137,BASE!$J:$J,$B137,BASE!$A:$A,K$6)</f>
        <v>0</v>
      </c>
      <c r="L137" s="17">
        <f>SUMIFS(BASE!$G:$G,BASE!$L:$L,$C137,BASE!$J:$J,$B137,BASE!$A:$A,L$6)</f>
        <v>0</v>
      </c>
      <c r="M137" s="17">
        <f>SUMIFS(BASE!$G:$G,BASE!$L:$L,$C137,BASE!$J:$J,$B137,BASE!$A:$A,M$6)</f>
        <v>0</v>
      </c>
      <c r="N137" s="74">
        <f>SUMIFS(BASE!$G:$G,BASE!$L:$L,$C137,BASE!$J:$J,$B137,BASE!$A:$A,N$6)</f>
        <v>0</v>
      </c>
      <c r="O137" s="17">
        <f>SUMIFS(BASE!$G:$G,BASE!$L:$L,$C137,BASE!$J:$J,$B137,BASE!$A:$A,O$6)</f>
        <v>0</v>
      </c>
      <c r="P137" s="17">
        <f>SUMIFS(BASE!$G:$G,BASE!$L:$L,$C137,BASE!$J:$J,$B137,BASE!$A:$A,P$6)</f>
        <v>0</v>
      </c>
      <c r="Q137" s="17">
        <f>SUMIFS(BASE!$G:$G,BASE!$L:$L,$C137,BASE!$J:$J,$B137,BASE!$A:$A,Q$6)</f>
        <v>0</v>
      </c>
      <c r="R137" s="17">
        <f>SUMIFS(BASE!$G:$G,BASE!$L:$L,$C137,BASE!$J:$J,$B137,BASE!$A:$A,R$6)</f>
        <v>0</v>
      </c>
      <c r="T137" s="44" t="str">
        <f t="shared" si="5"/>
        <v>ZERADO</v>
      </c>
    </row>
    <row r="138" spans="2:20">
      <c r="B138" s="71" t="s">
        <v>211</v>
      </c>
      <c r="C138" s="71" t="s">
        <v>54</v>
      </c>
      <c r="D138" s="67">
        <f>COUNTIFS(PDVS!H:H,"SIM",PDVS!C:C,B138)</f>
        <v>0</v>
      </c>
      <c r="E138" s="68">
        <f>COUNTIFS(PDVS!C:C,B138,PDVS!I:I,"SIM")</f>
        <v>1</v>
      </c>
      <c r="F138" s="80" t="str">
        <f t="shared" si="4"/>
        <v>Sim</v>
      </c>
      <c r="G138" s="61">
        <f>SUMIFS(BASE!$G:$G,BASE!$L:$L,$C138,BASE!$J:$J,$B138,BASE!$A:$A,G$6)</f>
        <v>0</v>
      </c>
      <c r="H138" s="17">
        <f>SUMIFS(BASE!$G:$G,BASE!$L:$L,$C138,BASE!$J:$J,$B138,BASE!$A:$A,H$6)</f>
        <v>0</v>
      </c>
      <c r="I138" s="17">
        <f>SUMIFS(BASE!$G:$G,BASE!$L:$L,$C138,BASE!$J:$J,$B138,BASE!$A:$A,I$6)</f>
        <v>0</v>
      </c>
      <c r="J138" s="17">
        <f>SUMIFS(BASE!$G:$G,BASE!$L:$L,$C138,BASE!$J:$J,$B138,BASE!$A:$A,J$6)</f>
        <v>0</v>
      </c>
      <c r="K138" s="17">
        <f>SUMIFS(BASE!$G:$G,BASE!$L:$L,$C138,BASE!$J:$J,$B138,BASE!$A:$A,K$6)</f>
        <v>0</v>
      </c>
      <c r="L138" s="17">
        <f>SUMIFS(BASE!$G:$G,BASE!$L:$L,$C138,BASE!$J:$J,$B138,BASE!$A:$A,L$6)</f>
        <v>0</v>
      </c>
      <c r="M138" s="17">
        <f>SUMIFS(BASE!$G:$G,BASE!$L:$L,$C138,BASE!$J:$J,$B138,BASE!$A:$A,M$6)</f>
        <v>0</v>
      </c>
      <c r="N138" s="74">
        <f>SUMIFS(BASE!$G:$G,BASE!$L:$L,$C138,BASE!$J:$J,$B138,BASE!$A:$A,N$6)</f>
        <v>0</v>
      </c>
      <c r="O138" s="17">
        <f>SUMIFS(BASE!$G:$G,BASE!$L:$L,$C138,BASE!$J:$J,$B138,BASE!$A:$A,O$6)</f>
        <v>0</v>
      </c>
      <c r="P138" s="17">
        <f>SUMIFS(BASE!$G:$G,BASE!$L:$L,$C138,BASE!$J:$J,$B138,BASE!$A:$A,P$6)</f>
        <v>0</v>
      </c>
      <c r="Q138" s="17">
        <f>SUMIFS(BASE!$G:$G,BASE!$L:$L,$C138,BASE!$J:$J,$B138,BASE!$A:$A,Q$6)</f>
        <v>0</v>
      </c>
      <c r="R138" s="17">
        <f>SUMIFS(BASE!$G:$G,BASE!$L:$L,$C138,BASE!$J:$J,$B138,BASE!$A:$A,R$6)</f>
        <v>0</v>
      </c>
      <c r="T138" s="44" t="str">
        <f t="shared" si="5"/>
        <v>ZERADO</v>
      </c>
    </row>
    <row r="139" spans="2:20">
      <c r="B139" s="71" t="s">
        <v>212</v>
      </c>
      <c r="C139" s="71" t="s">
        <v>61</v>
      </c>
      <c r="D139" s="67">
        <f>COUNTIFS(PDVS!H:H,"SIM",PDVS!C:C,B139)</f>
        <v>0</v>
      </c>
      <c r="E139" s="68">
        <f>COUNTIFS(PDVS!C:C,B139,PDVS!I:I,"SIM")</f>
        <v>0</v>
      </c>
      <c r="F139" s="80" t="str">
        <f t="shared" si="4"/>
        <v>Sim</v>
      </c>
      <c r="G139" s="61">
        <f>SUMIFS(BASE!$G:$G,BASE!$L:$L,$C139,BASE!$J:$J,$B139,BASE!$A:$A,G$6)</f>
        <v>0</v>
      </c>
      <c r="H139" s="17">
        <f>SUMIFS(BASE!$G:$G,BASE!$L:$L,$C139,BASE!$J:$J,$B139,BASE!$A:$A,H$6)</f>
        <v>0</v>
      </c>
      <c r="I139" s="17">
        <f>SUMIFS(BASE!$G:$G,BASE!$L:$L,$C139,BASE!$J:$J,$B139,BASE!$A:$A,I$6)</f>
        <v>0</v>
      </c>
      <c r="J139" s="17">
        <f>SUMIFS(BASE!$G:$G,BASE!$L:$L,$C139,BASE!$J:$J,$B139,BASE!$A:$A,J$6)</f>
        <v>0</v>
      </c>
      <c r="K139" s="17">
        <f>SUMIFS(BASE!$G:$G,BASE!$L:$L,$C139,BASE!$J:$J,$B139,BASE!$A:$A,K$6)</f>
        <v>0</v>
      </c>
      <c r="L139" s="17">
        <f>SUMIFS(BASE!$G:$G,BASE!$L:$L,$C139,BASE!$J:$J,$B139,BASE!$A:$A,L$6)</f>
        <v>0</v>
      </c>
      <c r="M139" s="17">
        <f>SUMIFS(BASE!$G:$G,BASE!$L:$L,$C139,BASE!$J:$J,$B139,BASE!$A:$A,M$6)</f>
        <v>0</v>
      </c>
      <c r="N139" s="74">
        <f>SUMIFS(BASE!$G:$G,BASE!$L:$L,$C139,BASE!$J:$J,$B139,BASE!$A:$A,N$6)</f>
        <v>0</v>
      </c>
      <c r="O139" s="17">
        <f>SUMIFS(BASE!$G:$G,BASE!$L:$L,$C139,BASE!$J:$J,$B139,BASE!$A:$A,O$6)</f>
        <v>0</v>
      </c>
      <c r="P139" s="17">
        <f>SUMIFS(BASE!$G:$G,BASE!$L:$L,$C139,BASE!$J:$J,$B139,BASE!$A:$A,P$6)</f>
        <v>0</v>
      </c>
      <c r="Q139" s="17">
        <f>SUMIFS(BASE!$G:$G,BASE!$L:$L,$C139,BASE!$J:$J,$B139,BASE!$A:$A,Q$6)</f>
        <v>0</v>
      </c>
      <c r="R139" s="17">
        <f>SUMIFS(BASE!$G:$G,BASE!$L:$L,$C139,BASE!$J:$J,$B139,BASE!$A:$A,R$6)</f>
        <v>0</v>
      </c>
      <c r="T139" s="44" t="str">
        <f t="shared" si="5"/>
        <v>ZERADO</v>
      </c>
    </row>
    <row r="140" spans="2:20">
      <c r="B140" s="71" t="s">
        <v>213</v>
      </c>
      <c r="C140" s="71" t="s">
        <v>56</v>
      </c>
      <c r="D140" s="67">
        <f>COUNTIFS(PDVS!H:H,"SIM",PDVS!C:C,B140)</f>
        <v>0</v>
      </c>
      <c r="E140" s="68">
        <f>COUNTIFS(PDVS!C:C,B140,PDVS!I:I,"SIM")</f>
        <v>1</v>
      </c>
      <c r="F140" s="80" t="str">
        <f t="shared" si="4"/>
        <v>Sim</v>
      </c>
      <c r="G140" s="61">
        <f>SUMIFS(BASE!$G:$G,BASE!$L:$L,$C140,BASE!$J:$J,$B140,BASE!$A:$A,G$6)</f>
        <v>0</v>
      </c>
      <c r="H140" s="17">
        <f>SUMIFS(BASE!$G:$G,BASE!$L:$L,$C140,BASE!$J:$J,$B140,BASE!$A:$A,H$6)</f>
        <v>0</v>
      </c>
      <c r="I140" s="17">
        <f>SUMIFS(BASE!$G:$G,BASE!$L:$L,$C140,BASE!$J:$J,$B140,BASE!$A:$A,I$6)</f>
        <v>0</v>
      </c>
      <c r="J140" s="17">
        <f>SUMIFS(BASE!$G:$G,BASE!$L:$L,$C140,BASE!$J:$J,$B140,BASE!$A:$A,J$6)</f>
        <v>0</v>
      </c>
      <c r="K140" s="17">
        <f>SUMIFS(BASE!$G:$G,BASE!$L:$L,$C140,BASE!$J:$J,$B140,BASE!$A:$A,K$6)</f>
        <v>0</v>
      </c>
      <c r="L140" s="17">
        <f>SUMIFS(BASE!$G:$G,BASE!$L:$L,$C140,BASE!$J:$J,$B140,BASE!$A:$A,L$6)</f>
        <v>0</v>
      </c>
      <c r="M140" s="17">
        <f>SUMIFS(BASE!$G:$G,BASE!$L:$L,$C140,BASE!$J:$J,$B140,BASE!$A:$A,M$6)</f>
        <v>0</v>
      </c>
      <c r="N140" s="74">
        <f>SUMIFS(BASE!$G:$G,BASE!$L:$L,$C140,BASE!$J:$J,$B140,BASE!$A:$A,N$6)</f>
        <v>0</v>
      </c>
      <c r="O140" s="17">
        <f>SUMIFS(BASE!$G:$G,BASE!$L:$L,$C140,BASE!$J:$J,$B140,BASE!$A:$A,O$6)</f>
        <v>0</v>
      </c>
      <c r="P140" s="17">
        <f>SUMIFS(BASE!$G:$G,BASE!$L:$L,$C140,BASE!$J:$J,$B140,BASE!$A:$A,P$6)</f>
        <v>0</v>
      </c>
      <c r="Q140" s="17">
        <f>SUMIFS(BASE!$G:$G,BASE!$L:$L,$C140,BASE!$J:$J,$B140,BASE!$A:$A,Q$6)</f>
        <v>0</v>
      </c>
      <c r="R140" s="17">
        <f>SUMIFS(BASE!$G:$G,BASE!$L:$L,$C140,BASE!$J:$J,$B140,BASE!$A:$A,R$6)</f>
        <v>0</v>
      </c>
      <c r="T140" s="44" t="str">
        <f t="shared" si="5"/>
        <v>ZERADO</v>
      </c>
    </row>
    <row r="141" spans="2:20">
      <c r="B141" s="71" t="s">
        <v>214</v>
      </c>
      <c r="C141" s="71" t="s">
        <v>56</v>
      </c>
      <c r="D141" s="67">
        <f>COUNTIFS(PDVS!H:H,"SIM",PDVS!C:C,B141)</f>
        <v>0</v>
      </c>
      <c r="E141" s="68">
        <f>COUNTIFS(PDVS!C:C,B141,PDVS!I:I,"SIM")</f>
        <v>1</v>
      </c>
      <c r="F141" s="80" t="str">
        <f t="shared" si="4"/>
        <v>Sim</v>
      </c>
      <c r="G141" s="61">
        <f>SUMIFS(BASE!$G:$G,BASE!$L:$L,$C141,BASE!$J:$J,$B141,BASE!$A:$A,G$6)</f>
        <v>0</v>
      </c>
      <c r="H141" s="17">
        <f>SUMIFS(BASE!$G:$G,BASE!$L:$L,$C141,BASE!$J:$J,$B141,BASE!$A:$A,H$6)</f>
        <v>1</v>
      </c>
      <c r="I141" s="17">
        <f>SUMIFS(BASE!$G:$G,BASE!$L:$L,$C141,BASE!$J:$J,$B141,BASE!$A:$A,I$6)</f>
        <v>0</v>
      </c>
      <c r="J141" s="17">
        <f>SUMIFS(BASE!$G:$G,BASE!$L:$L,$C141,BASE!$J:$J,$B141,BASE!$A:$A,J$6)</f>
        <v>0</v>
      </c>
      <c r="K141" s="17">
        <f>SUMIFS(BASE!$G:$G,BASE!$L:$L,$C141,BASE!$J:$J,$B141,BASE!$A:$A,K$6)</f>
        <v>0</v>
      </c>
      <c r="L141" s="17">
        <f>SUMIFS(BASE!$G:$G,BASE!$L:$L,$C141,BASE!$J:$J,$B141,BASE!$A:$A,L$6)</f>
        <v>0</v>
      </c>
      <c r="M141" s="17">
        <f>SUMIFS(BASE!$G:$G,BASE!$L:$L,$C141,BASE!$J:$J,$B141,BASE!$A:$A,M$6)</f>
        <v>0</v>
      </c>
      <c r="N141" s="74">
        <f>SUMIFS(BASE!$G:$G,BASE!$L:$L,$C141,BASE!$J:$J,$B141,BASE!$A:$A,N$6)</f>
        <v>0</v>
      </c>
      <c r="O141" s="17">
        <f>SUMIFS(BASE!$G:$G,BASE!$L:$L,$C141,BASE!$J:$J,$B141,BASE!$A:$A,O$6)</f>
        <v>0</v>
      </c>
      <c r="P141" s="17">
        <f>SUMIFS(BASE!$G:$G,BASE!$L:$L,$C141,BASE!$J:$J,$B141,BASE!$A:$A,P$6)</f>
        <v>0</v>
      </c>
      <c r="Q141" s="17">
        <f>SUMIFS(BASE!$G:$G,BASE!$L:$L,$C141,BASE!$J:$J,$B141,BASE!$A:$A,Q$6)</f>
        <v>0</v>
      </c>
      <c r="R141" s="17">
        <f>SUMIFS(BASE!$G:$G,BASE!$L:$L,$C141,BASE!$J:$J,$B141,BASE!$A:$A,R$6)</f>
        <v>0</v>
      </c>
      <c r="T141" s="44" t="str">
        <f t="shared" si="5"/>
        <v>ZERADO</v>
      </c>
    </row>
    <row r="142" spans="2:20">
      <c r="B142" s="71" t="s">
        <v>215</v>
      </c>
      <c r="C142" s="71" t="s">
        <v>59</v>
      </c>
      <c r="D142" s="67">
        <f>COUNTIFS(PDVS!H:H,"SIM",PDVS!C:C,B142)</f>
        <v>0</v>
      </c>
      <c r="E142" s="68">
        <f>COUNTIFS(PDVS!C:C,B142,PDVS!I:I,"SIM")</f>
        <v>6</v>
      </c>
      <c r="F142" s="80" t="str">
        <f t="shared" si="4"/>
        <v>Sim</v>
      </c>
      <c r="G142" s="61">
        <f>SUMIFS(BASE!$G:$G,BASE!$L:$L,$C142,BASE!$J:$J,$B142,BASE!$A:$A,G$6)</f>
        <v>3</v>
      </c>
      <c r="H142" s="17">
        <f>SUMIFS(BASE!$G:$G,BASE!$L:$L,$C142,BASE!$J:$J,$B142,BASE!$A:$A,H$6)</f>
        <v>5</v>
      </c>
      <c r="I142" s="17">
        <f>SUMIFS(BASE!$G:$G,BASE!$L:$L,$C142,BASE!$J:$J,$B142,BASE!$A:$A,I$6)</f>
        <v>3</v>
      </c>
      <c r="J142" s="17">
        <f>SUMIFS(BASE!$G:$G,BASE!$L:$L,$C142,BASE!$J:$J,$B142,BASE!$A:$A,J$6)</f>
        <v>6</v>
      </c>
      <c r="K142" s="17">
        <f>SUMIFS(BASE!$G:$G,BASE!$L:$L,$C142,BASE!$J:$J,$B142,BASE!$A:$A,K$6)</f>
        <v>12</v>
      </c>
      <c r="L142" s="17">
        <f>SUMIFS(BASE!$G:$G,BASE!$L:$L,$C142,BASE!$J:$J,$B142,BASE!$A:$A,L$6)</f>
        <v>14</v>
      </c>
      <c r="M142" s="17">
        <f>SUMIFS(BASE!$G:$G,BASE!$L:$L,$C142,BASE!$J:$J,$B142,BASE!$A:$A,M$6)</f>
        <v>29</v>
      </c>
      <c r="N142" s="74">
        <f>SUMIFS(BASE!$G:$G,BASE!$L:$L,$C142,BASE!$J:$J,$B142,BASE!$A:$A,N$6)</f>
        <v>12</v>
      </c>
      <c r="O142" s="17">
        <f>SUMIFS(BASE!$G:$G,BASE!$L:$L,$C142,BASE!$J:$J,$B142,BASE!$A:$A,O$6)</f>
        <v>0</v>
      </c>
      <c r="P142" s="17">
        <f>SUMIFS(BASE!$G:$G,BASE!$L:$L,$C142,BASE!$J:$J,$B142,BASE!$A:$A,P$6)</f>
        <v>0</v>
      </c>
      <c r="Q142" s="17">
        <f>SUMIFS(BASE!$G:$G,BASE!$L:$L,$C142,BASE!$J:$J,$B142,BASE!$A:$A,Q$6)</f>
        <v>0</v>
      </c>
      <c r="R142" s="17">
        <f>SUMIFS(BASE!$G:$G,BASE!$L:$L,$C142,BASE!$J:$J,$B142,BASE!$A:$A,R$6)</f>
        <v>0</v>
      </c>
      <c r="T142" s="44" t="str">
        <f t="shared" si="5"/>
        <v>COM TROCAS</v>
      </c>
    </row>
    <row r="143" spans="2:20">
      <c r="B143" s="71" t="s">
        <v>216</v>
      </c>
      <c r="C143" s="71" t="s">
        <v>55</v>
      </c>
      <c r="D143" s="67">
        <f>COUNTIFS(PDVS!H:H,"SIM",PDVS!C:C,B143)</f>
        <v>0</v>
      </c>
      <c r="E143" s="68">
        <f>COUNTIFS(PDVS!C:C,B143,PDVS!I:I,"SIM")</f>
        <v>1</v>
      </c>
      <c r="F143" s="80" t="str">
        <f t="shared" si="4"/>
        <v>Sim</v>
      </c>
      <c r="G143" s="61">
        <f>SUMIFS(BASE!$G:$G,BASE!$L:$L,$C143,BASE!$J:$J,$B143,BASE!$A:$A,G$6)</f>
        <v>0</v>
      </c>
      <c r="H143" s="17">
        <f>SUMIFS(BASE!$G:$G,BASE!$L:$L,$C143,BASE!$J:$J,$B143,BASE!$A:$A,H$6)</f>
        <v>0</v>
      </c>
      <c r="I143" s="17">
        <f>SUMIFS(BASE!$G:$G,BASE!$L:$L,$C143,BASE!$J:$J,$B143,BASE!$A:$A,I$6)</f>
        <v>0</v>
      </c>
      <c r="J143" s="17">
        <f>SUMIFS(BASE!$G:$G,BASE!$L:$L,$C143,BASE!$J:$J,$B143,BASE!$A:$A,J$6)</f>
        <v>0</v>
      </c>
      <c r="K143" s="17">
        <f>SUMIFS(BASE!$G:$G,BASE!$L:$L,$C143,BASE!$J:$J,$B143,BASE!$A:$A,K$6)</f>
        <v>0</v>
      </c>
      <c r="L143" s="17">
        <f>SUMIFS(BASE!$G:$G,BASE!$L:$L,$C143,BASE!$J:$J,$B143,BASE!$A:$A,L$6)</f>
        <v>0</v>
      </c>
      <c r="M143" s="17">
        <f>SUMIFS(BASE!$G:$G,BASE!$L:$L,$C143,BASE!$J:$J,$B143,BASE!$A:$A,M$6)</f>
        <v>0</v>
      </c>
      <c r="N143" s="74">
        <f>SUMIFS(BASE!$G:$G,BASE!$L:$L,$C143,BASE!$J:$J,$B143,BASE!$A:$A,N$6)</f>
        <v>0</v>
      </c>
      <c r="O143" s="17">
        <f>SUMIFS(BASE!$G:$G,BASE!$L:$L,$C143,BASE!$J:$J,$B143,BASE!$A:$A,O$6)</f>
        <v>0</v>
      </c>
      <c r="P143" s="17">
        <f>SUMIFS(BASE!$G:$G,BASE!$L:$L,$C143,BASE!$J:$J,$B143,BASE!$A:$A,P$6)</f>
        <v>0</v>
      </c>
      <c r="Q143" s="17">
        <f>SUMIFS(BASE!$G:$G,BASE!$L:$L,$C143,BASE!$J:$J,$B143,BASE!$A:$A,Q$6)</f>
        <v>0</v>
      </c>
      <c r="R143" s="17">
        <f>SUMIFS(BASE!$G:$G,BASE!$L:$L,$C143,BASE!$J:$J,$B143,BASE!$A:$A,R$6)</f>
        <v>0</v>
      </c>
      <c r="T143" s="44" t="str">
        <f t="shared" si="5"/>
        <v>ZERADO</v>
      </c>
    </row>
    <row r="144" spans="2:20">
      <c r="B144" s="71" t="s">
        <v>217</v>
      </c>
      <c r="C144" s="71" t="s">
        <v>60</v>
      </c>
      <c r="D144" s="67">
        <f>COUNTIFS(PDVS!H:H,"SIM",PDVS!C:C,B144)</f>
        <v>0</v>
      </c>
      <c r="E144" s="68">
        <f>COUNTIFS(PDVS!C:C,B144,PDVS!I:I,"SIM")</f>
        <v>1</v>
      </c>
      <c r="F144" s="80" t="str">
        <f t="shared" si="4"/>
        <v>Sim</v>
      </c>
      <c r="G144" s="61">
        <f>SUMIFS(BASE!$G:$G,BASE!$L:$L,$C144,BASE!$J:$J,$B144,BASE!$A:$A,G$6)</f>
        <v>0</v>
      </c>
      <c r="H144" s="17">
        <f>SUMIFS(BASE!$G:$G,BASE!$L:$L,$C144,BASE!$J:$J,$B144,BASE!$A:$A,H$6)</f>
        <v>0</v>
      </c>
      <c r="I144" s="17">
        <f>SUMIFS(BASE!$G:$G,BASE!$L:$L,$C144,BASE!$J:$J,$B144,BASE!$A:$A,I$6)</f>
        <v>0</v>
      </c>
      <c r="J144" s="17">
        <f>SUMIFS(BASE!$G:$G,BASE!$L:$L,$C144,BASE!$J:$J,$B144,BASE!$A:$A,J$6)</f>
        <v>0</v>
      </c>
      <c r="K144" s="17">
        <f>SUMIFS(BASE!$G:$G,BASE!$L:$L,$C144,BASE!$J:$J,$B144,BASE!$A:$A,K$6)</f>
        <v>0</v>
      </c>
      <c r="L144" s="17">
        <f>SUMIFS(BASE!$G:$G,BASE!$L:$L,$C144,BASE!$J:$J,$B144,BASE!$A:$A,L$6)</f>
        <v>0</v>
      </c>
      <c r="M144" s="17">
        <f>SUMIFS(BASE!$G:$G,BASE!$L:$L,$C144,BASE!$J:$J,$B144,BASE!$A:$A,M$6)</f>
        <v>0</v>
      </c>
      <c r="N144" s="74">
        <f>SUMIFS(BASE!$G:$G,BASE!$L:$L,$C144,BASE!$J:$J,$B144,BASE!$A:$A,N$6)</f>
        <v>0</v>
      </c>
      <c r="O144" s="17">
        <f>SUMIFS(BASE!$G:$G,BASE!$L:$L,$C144,BASE!$J:$J,$B144,BASE!$A:$A,O$6)</f>
        <v>0</v>
      </c>
      <c r="P144" s="17">
        <f>SUMIFS(BASE!$G:$G,BASE!$L:$L,$C144,BASE!$J:$J,$B144,BASE!$A:$A,P$6)</f>
        <v>0</v>
      </c>
      <c r="Q144" s="17">
        <f>SUMIFS(BASE!$G:$G,BASE!$L:$L,$C144,BASE!$J:$J,$B144,BASE!$A:$A,Q$6)</f>
        <v>0</v>
      </c>
      <c r="R144" s="17">
        <f>SUMIFS(BASE!$G:$G,BASE!$L:$L,$C144,BASE!$J:$J,$B144,BASE!$A:$A,R$6)</f>
        <v>0</v>
      </c>
      <c r="T144" s="44" t="str">
        <f t="shared" si="5"/>
        <v>ZERADO</v>
      </c>
    </row>
    <row r="145" spans="2:20">
      <c r="B145" s="71" t="s">
        <v>218</v>
      </c>
      <c r="C145" s="71" t="s">
        <v>59</v>
      </c>
      <c r="D145" s="67">
        <f>COUNTIFS(PDVS!H:H,"SIM",PDVS!C:C,B145)</f>
        <v>0</v>
      </c>
      <c r="E145" s="68">
        <f>COUNTIFS(PDVS!C:C,B145,PDVS!I:I,"SIM")</f>
        <v>1</v>
      </c>
      <c r="F145" s="80" t="str">
        <f t="shared" si="4"/>
        <v>Sim</v>
      </c>
      <c r="G145" s="61">
        <f>SUMIFS(BASE!$G:$G,BASE!$L:$L,$C145,BASE!$J:$J,$B145,BASE!$A:$A,G$6)</f>
        <v>0</v>
      </c>
      <c r="H145" s="17">
        <f>SUMIFS(BASE!$G:$G,BASE!$L:$L,$C145,BASE!$J:$J,$B145,BASE!$A:$A,H$6)</f>
        <v>0</v>
      </c>
      <c r="I145" s="17">
        <f>SUMIFS(BASE!$G:$G,BASE!$L:$L,$C145,BASE!$J:$J,$B145,BASE!$A:$A,I$6)</f>
        <v>0</v>
      </c>
      <c r="J145" s="17">
        <f>SUMIFS(BASE!$G:$G,BASE!$L:$L,$C145,BASE!$J:$J,$B145,BASE!$A:$A,J$6)</f>
        <v>0</v>
      </c>
      <c r="K145" s="17">
        <f>SUMIFS(BASE!$G:$G,BASE!$L:$L,$C145,BASE!$J:$J,$B145,BASE!$A:$A,K$6)</f>
        <v>0</v>
      </c>
      <c r="L145" s="17">
        <f>SUMIFS(BASE!$G:$G,BASE!$L:$L,$C145,BASE!$J:$J,$B145,BASE!$A:$A,L$6)</f>
        <v>0</v>
      </c>
      <c r="M145" s="17">
        <f>SUMIFS(BASE!$G:$G,BASE!$L:$L,$C145,BASE!$J:$J,$B145,BASE!$A:$A,M$6)</f>
        <v>0</v>
      </c>
      <c r="N145" s="74">
        <f>SUMIFS(BASE!$G:$G,BASE!$L:$L,$C145,BASE!$J:$J,$B145,BASE!$A:$A,N$6)</f>
        <v>0</v>
      </c>
      <c r="O145" s="17">
        <f>SUMIFS(BASE!$G:$G,BASE!$L:$L,$C145,BASE!$J:$J,$B145,BASE!$A:$A,O$6)</f>
        <v>0</v>
      </c>
      <c r="P145" s="17">
        <f>SUMIFS(BASE!$G:$G,BASE!$L:$L,$C145,BASE!$J:$J,$B145,BASE!$A:$A,P$6)</f>
        <v>0</v>
      </c>
      <c r="Q145" s="17">
        <f>SUMIFS(BASE!$G:$G,BASE!$L:$L,$C145,BASE!$J:$J,$B145,BASE!$A:$A,Q$6)</f>
        <v>0</v>
      </c>
      <c r="R145" s="17">
        <f>SUMIFS(BASE!$G:$G,BASE!$L:$L,$C145,BASE!$J:$J,$B145,BASE!$A:$A,R$6)</f>
        <v>0</v>
      </c>
      <c r="T145" s="44" t="str">
        <f t="shared" si="5"/>
        <v>ZERADO</v>
      </c>
    </row>
    <row r="146" spans="2:20">
      <c r="B146" s="71" t="s">
        <v>219</v>
      </c>
      <c r="C146" s="71" t="s">
        <v>54</v>
      </c>
      <c r="D146" s="67">
        <f>COUNTIFS(PDVS!H:H,"SIM",PDVS!C:C,B146)</f>
        <v>0</v>
      </c>
      <c r="E146" s="68">
        <f>COUNTIFS(PDVS!C:C,B146,PDVS!I:I,"SIM")</f>
        <v>2</v>
      </c>
      <c r="F146" s="80" t="str">
        <f t="shared" si="4"/>
        <v>Sim</v>
      </c>
      <c r="G146" s="61">
        <f>SUMIFS(BASE!$G:$G,BASE!$L:$L,$C146,BASE!$J:$J,$B146,BASE!$A:$A,G$6)</f>
        <v>4</v>
      </c>
      <c r="H146" s="17">
        <f>SUMIFS(BASE!$G:$G,BASE!$L:$L,$C146,BASE!$J:$J,$B146,BASE!$A:$A,H$6)</f>
        <v>3</v>
      </c>
      <c r="I146" s="17">
        <f>SUMIFS(BASE!$G:$G,BASE!$L:$L,$C146,BASE!$J:$J,$B146,BASE!$A:$A,I$6)</f>
        <v>8</v>
      </c>
      <c r="J146" s="17">
        <f>SUMIFS(BASE!$G:$G,BASE!$L:$L,$C146,BASE!$J:$J,$B146,BASE!$A:$A,J$6)</f>
        <v>5</v>
      </c>
      <c r="K146" s="17">
        <f>SUMIFS(BASE!$G:$G,BASE!$L:$L,$C146,BASE!$J:$J,$B146,BASE!$A:$A,K$6)</f>
        <v>11</v>
      </c>
      <c r="L146" s="17">
        <f>SUMIFS(BASE!$G:$G,BASE!$L:$L,$C146,BASE!$J:$J,$B146,BASE!$A:$A,L$6)</f>
        <v>5</v>
      </c>
      <c r="M146" s="17">
        <f>SUMIFS(BASE!$G:$G,BASE!$L:$L,$C146,BASE!$J:$J,$B146,BASE!$A:$A,M$6)</f>
        <v>9</v>
      </c>
      <c r="N146" s="74">
        <f>SUMIFS(BASE!$G:$G,BASE!$L:$L,$C146,BASE!$J:$J,$B146,BASE!$A:$A,N$6)</f>
        <v>9</v>
      </c>
      <c r="O146" s="17">
        <f>SUMIFS(BASE!$G:$G,BASE!$L:$L,$C146,BASE!$J:$J,$B146,BASE!$A:$A,O$6)</f>
        <v>0</v>
      </c>
      <c r="P146" s="17">
        <f>SUMIFS(BASE!$G:$G,BASE!$L:$L,$C146,BASE!$J:$J,$B146,BASE!$A:$A,P$6)</f>
        <v>0</v>
      </c>
      <c r="Q146" s="17">
        <f>SUMIFS(BASE!$G:$G,BASE!$L:$L,$C146,BASE!$J:$J,$B146,BASE!$A:$A,Q$6)</f>
        <v>0</v>
      </c>
      <c r="R146" s="17">
        <f>SUMIFS(BASE!$G:$G,BASE!$L:$L,$C146,BASE!$J:$J,$B146,BASE!$A:$A,R$6)</f>
        <v>0</v>
      </c>
      <c r="T146" s="44" t="str">
        <f t="shared" si="5"/>
        <v>COM TROCAS</v>
      </c>
    </row>
    <row r="147" spans="2:20">
      <c r="B147" s="71" t="s">
        <v>220</v>
      </c>
      <c r="C147" s="71" t="s">
        <v>54</v>
      </c>
      <c r="D147" s="7">
        <f>COUNTIFS(PDVS!H:H,"SIM",PDVS!C:C,B147)</f>
        <v>0</v>
      </c>
      <c r="E147" s="7">
        <f>COUNTIFS(PDVS!C:C,B147,PDVS!I:I,"SIM")</f>
        <v>5</v>
      </c>
      <c r="F147" s="80" t="str">
        <f t="shared" si="4"/>
        <v>Sim</v>
      </c>
      <c r="G147" s="61">
        <f>SUMIFS(BASE!$G:$G,BASE!$L:$L,$C147,BASE!$J:$J,$B147,BASE!$A:$A,G$6)</f>
        <v>13</v>
      </c>
      <c r="H147" s="17">
        <f>SUMIFS(BASE!$G:$G,BASE!$L:$L,$C147,BASE!$J:$J,$B147,BASE!$A:$A,H$6)</f>
        <v>6</v>
      </c>
      <c r="I147" s="17">
        <f>SUMIFS(BASE!$G:$G,BASE!$L:$L,$C147,BASE!$J:$J,$B147,BASE!$A:$A,I$6)</f>
        <v>16</v>
      </c>
      <c r="J147" s="17">
        <f>SUMIFS(BASE!$G:$G,BASE!$L:$L,$C147,BASE!$J:$J,$B147,BASE!$A:$A,J$6)</f>
        <v>6</v>
      </c>
      <c r="K147" s="17">
        <f>SUMIFS(BASE!$G:$G,BASE!$L:$L,$C147,BASE!$J:$J,$B147,BASE!$A:$A,K$6)</f>
        <v>15</v>
      </c>
      <c r="L147" s="17">
        <f>SUMIFS(BASE!$G:$G,BASE!$L:$L,$C147,BASE!$J:$J,$B147,BASE!$A:$A,L$6)</f>
        <v>10</v>
      </c>
      <c r="M147" s="17">
        <f>SUMIFS(BASE!$G:$G,BASE!$L:$L,$C147,BASE!$J:$J,$B147,BASE!$A:$A,M$6)</f>
        <v>19</v>
      </c>
      <c r="N147" s="74">
        <f>SUMIFS(BASE!$G:$G,BASE!$L:$L,$C147,BASE!$J:$J,$B147,BASE!$A:$A,N$6)</f>
        <v>19</v>
      </c>
      <c r="O147" s="17">
        <f>SUMIFS(BASE!$G:$G,BASE!$L:$L,$C147,BASE!$J:$J,$B147,BASE!$A:$A,O$6)</f>
        <v>0</v>
      </c>
      <c r="P147" s="17">
        <f>SUMIFS(BASE!$G:$G,BASE!$L:$L,$C147,BASE!$J:$J,$B147,BASE!$A:$A,P$6)</f>
        <v>0</v>
      </c>
      <c r="Q147" s="17">
        <f>SUMIFS(BASE!$G:$G,BASE!$L:$L,$C147,BASE!$J:$J,$B147,BASE!$A:$A,Q$6)</f>
        <v>0</v>
      </c>
      <c r="R147" s="17">
        <f>SUMIFS(BASE!$G:$G,BASE!$L:$L,$C147,BASE!$J:$J,$B147,BASE!$A:$A,R$6)</f>
        <v>0</v>
      </c>
      <c r="T147" s="44" t="str">
        <f t="shared" si="5"/>
        <v>COM TROCAS</v>
      </c>
    </row>
    <row r="148" spans="2:20">
      <c r="B148" s="71" t="s">
        <v>221</v>
      </c>
      <c r="C148" s="71" t="s">
        <v>59</v>
      </c>
      <c r="D148" s="7">
        <f>COUNTIFS(PDVS!H:H,"SIM",PDVS!C:C,B148)</f>
        <v>0</v>
      </c>
      <c r="E148" s="7">
        <f>COUNTIFS(PDVS!C:C,B148,PDVS!I:I,"SIM")</f>
        <v>18</v>
      </c>
      <c r="F148" s="80" t="str">
        <f t="shared" si="4"/>
        <v>Sim</v>
      </c>
      <c r="G148" s="61">
        <f>SUMIFS(BASE!$G:$G,BASE!$L:$L,$C148,BASE!$J:$J,$B148,BASE!$A:$A,G$6)</f>
        <v>61</v>
      </c>
      <c r="H148" s="17">
        <f>SUMIFS(BASE!$G:$G,BASE!$L:$L,$C148,BASE!$J:$J,$B148,BASE!$A:$A,H$6)</f>
        <v>38</v>
      </c>
      <c r="I148" s="17">
        <f>SUMIFS(BASE!$G:$G,BASE!$L:$L,$C148,BASE!$J:$J,$B148,BASE!$A:$A,I$6)</f>
        <v>67</v>
      </c>
      <c r="J148" s="17">
        <f>SUMIFS(BASE!$G:$G,BASE!$L:$L,$C148,BASE!$J:$J,$B148,BASE!$A:$A,J$6)</f>
        <v>47</v>
      </c>
      <c r="K148" s="17">
        <f>SUMIFS(BASE!$G:$G,BASE!$L:$L,$C148,BASE!$J:$J,$B148,BASE!$A:$A,K$6)</f>
        <v>47</v>
      </c>
      <c r="L148" s="17">
        <f>SUMIFS(BASE!$G:$G,BASE!$L:$L,$C148,BASE!$J:$J,$B148,BASE!$A:$A,L$6)</f>
        <v>48</v>
      </c>
      <c r="M148" s="17">
        <f>SUMIFS(BASE!$G:$G,BASE!$L:$L,$C148,BASE!$J:$J,$B148,BASE!$A:$A,M$6)</f>
        <v>93</v>
      </c>
      <c r="N148" s="74">
        <f>SUMIFS(BASE!$G:$G,BASE!$L:$L,$C148,BASE!$J:$J,$B148,BASE!$A:$A,N$6)</f>
        <v>52</v>
      </c>
      <c r="O148" s="17">
        <f>SUMIFS(BASE!$G:$G,BASE!$L:$L,$C148,BASE!$J:$J,$B148,BASE!$A:$A,O$6)</f>
        <v>0</v>
      </c>
      <c r="P148" s="17">
        <f>SUMIFS(BASE!$G:$G,BASE!$L:$L,$C148,BASE!$J:$J,$B148,BASE!$A:$A,P$6)</f>
        <v>0</v>
      </c>
      <c r="Q148" s="17">
        <f>SUMIFS(BASE!$G:$G,BASE!$L:$L,$C148,BASE!$J:$J,$B148,BASE!$A:$A,Q$6)</f>
        <v>0</v>
      </c>
      <c r="R148" s="17">
        <f>SUMIFS(BASE!$G:$G,BASE!$L:$L,$C148,BASE!$J:$J,$B148,BASE!$A:$A,R$6)</f>
        <v>0</v>
      </c>
      <c r="T148" s="44" t="str">
        <f t="shared" si="5"/>
        <v>COM TROCAS</v>
      </c>
    </row>
    <row r="149" spans="2:20" ht="15" thickBot="1">
      <c r="B149" s="71" t="s">
        <v>222</v>
      </c>
      <c r="C149" s="71" t="s">
        <v>60</v>
      </c>
      <c r="D149" s="62">
        <f>COUNTIFS(PDVS!H:H,"SIM",PDVS!C:C,B149)</f>
        <v>0</v>
      </c>
      <c r="E149" s="62">
        <f>COUNTIFS(PDVS!C:C,B149,PDVS!I:I,"SIM")</f>
        <v>6</v>
      </c>
      <c r="F149" s="80" t="str">
        <f t="shared" si="4"/>
        <v>Sim</v>
      </c>
      <c r="G149" s="61">
        <f>SUMIFS(BASE!$G:$G,BASE!$L:$L,$C149,BASE!$J:$J,$B149,BASE!$A:$A,G$6)</f>
        <v>10</v>
      </c>
      <c r="H149" s="17">
        <f>SUMIFS(BASE!$G:$G,BASE!$L:$L,$C149,BASE!$J:$J,$B149,BASE!$A:$A,H$6)</f>
        <v>7</v>
      </c>
      <c r="I149" s="17">
        <f>SUMIFS(BASE!$G:$G,BASE!$L:$L,$C149,BASE!$J:$J,$B149,BASE!$A:$A,I$6)</f>
        <v>9</v>
      </c>
      <c r="J149" s="17">
        <f>SUMIFS(BASE!$G:$G,BASE!$L:$L,$C149,BASE!$J:$J,$B149,BASE!$A:$A,J$6)</f>
        <v>6</v>
      </c>
      <c r="K149" s="17">
        <f>SUMIFS(BASE!$G:$G,BASE!$L:$L,$C149,BASE!$J:$J,$B149,BASE!$A:$A,K$6)</f>
        <v>5</v>
      </c>
      <c r="L149" s="17">
        <f>SUMIFS(BASE!$G:$G,BASE!$L:$L,$C149,BASE!$J:$J,$B149,BASE!$A:$A,L$6)</f>
        <v>3</v>
      </c>
      <c r="M149" s="17">
        <f>SUMIFS(BASE!$G:$G,BASE!$L:$L,$C149,BASE!$J:$J,$B149,BASE!$A:$A,M$6)</f>
        <v>6</v>
      </c>
      <c r="N149" s="74">
        <f>SUMIFS(BASE!$G:$G,BASE!$L:$L,$C149,BASE!$J:$J,$B149,BASE!$A:$A,N$6)</f>
        <v>11</v>
      </c>
      <c r="O149" s="17">
        <f>SUMIFS(BASE!$G:$G,BASE!$L:$L,$C149,BASE!$J:$J,$B149,BASE!$A:$A,O$6)</f>
        <v>0</v>
      </c>
      <c r="P149" s="17">
        <f>SUMIFS(BASE!$G:$G,BASE!$L:$L,$C149,BASE!$J:$J,$B149,BASE!$A:$A,P$6)</f>
        <v>0</v>
      </c>
      <c r="Q149" s="17">
        <f>SUMIFS(BASE!$G:$G,BASE!$L:$L,$C149,BASE!$J:$J,$B149,BASE!$A:$A,Q$6)</f>
        <v>0</v>
      </c>
      <c r="R149" s="17">
        <f>SUMIFS(BASE!$G:$G,BASE!$L:$L,$C149,BASE!$J:$J,$B149,BASE!$A:$A,R$6)</f>
        <v>0</v>
      </c>
      <c r="T149" s="44" t="str">
        <f t="shared" si="5"/>
        <v>COM TROCAS</v>
      </c>
    </row>
    <row r="150" spans="2:20">
      <c r="B150" s="71" t="s">
        <v>223</v>
      </c>
      <c r="C150" s="71" t="s">
        <v>54</v>
      </c>
      <c r="D150" s="69">
        <f>COUNTIFS(PDVS!H:H,"SIM",PDVS!C:C,B150)</f>
        <v>0</v>
      </c>
      <c r="E150" s="70">
        <f>COUNTIFS(PDVS!C:C,B150,PDVS!I:I,"SIM")</f>
        <v>3</v>
      </c>
      <c r="F150" s="80" t="str">
        <f t="shared" si="4"/>
        <v>Sim</v>
      </c>
      <c r="G150" s="61">
        <f>SUMIFS(BASE!$G:$G,BASE!$L:$L,$C150,BASE!$J:$J,$B150,BASE!$A:$A,G$6)</f>
        <v>4</v>
      </c>
      <c r="H150" s="17">
        <f>SUMIFS(BASE!$G:$G,BASE!$L:$L,$C150,BASE!$J:$J,$B150,BASE!$A:$A,H$6)</f>
        <v>2</v>
      </c>
      <c r="I150" s="17">
        <f>SUMIFS(BASE!$G:$G,BASE!$L:$L,$C150,BASE!$J:$J,$B150,BASE!$A:$A,I$6)</f>
        <v>11</v>
      </c>
      <c r="J150" s="17">
        <f>SUMIFS(BASE!$G:$G,BASE!$L:$L,$C150,BASE!$J:$J,$B150,BASE!$A:$A,J$6)</f>
        <v>2</v>
      </c>
      <c r="K150" s="17">
        <f>SUMIFS(BASE!$G:$G,BASE!$L:$L,$C150,BASE!$J:$J,$B150,BASE!$A:$A,K$6)</f>
        <v>14</v>
      </c>
      <c r="L150" s="17">
        <f>SUMIFS(BASE!$G:$G,BASE!$L:$L,$C150,BASE!$J:$J,$B150,BASE!$A:$A,L$6)</f>
        <v>9</v>
      </c>
      <c r="M150" s="17">
        <f>SUMIFS(BASE!$G:$G,BASE!$L:$L,$C150,BASE!$J:$J,$B150,BASE!$A:$A,M$6)</f>
        <v>7</v>
      </c>
      <c r="N150" s="74">
        <f>SUMIFS(BASE!$G:$G,BASE!$L:$L,$C150,BASE!$J:$J,$B150,BASE!$A:$A,N$6)</f>
        <v>9</v>
      </c>
      <c r="O150" s="17">
        <f>SUMIFS(BASE!$G:$G,BASE!$L:$L,$C150,BASE!$J:$J,$B150,BASE!$A:$A,O$6)</f>
        <v>0</v>
      </c>
      <c r="P150" s="17">
        <f>SUMIFS(BASE!$G:$G,BASE!$L:$L,$C150,BASE!$J:$J,$B150,BASE!$A:$A,P$6)</f>
        <v>0</v>
      </c>
      <c r="Q150" s="17">
        <f>SUMIFS(BASE!$G:$G,BASE!$L:$L,$C150,BASE!$J:$J,$B150,BASE!$A:$A,Q$6)</f>
        <v>0</v>
      </c>
      <c r="R150" s="17">
        <f>SUMIFS(BASE!$G:$G,BASE!$L:$L,$C150,BASE!$J:$J,$B150,BASE!$A:$A,R$6)</f>
        <v>0</v>
      </c>
      <c r="T150" s="44" t="str">
        <f t="shared" si="5"/>
        <v>COM TROCAS</v>
      </c>
    </row>
    <row r="151" spans="2:20">
      <c r="B151" s="71" t="s">
        <v>106</v>
      </c>
      <c r="C151" s="71" t="s">
        <v>56</v>
      </c>
      <c r="D151" s="7">
        <f>COUNTIFS(PDVS!H:H,"SIM",PDVS!C:C,B151)</f>
        <v>0</v>
      </c>
      <c r="E151" s="7">
        <f>COUNTIFS(PDVS!C:C,B151,PDVS!I:I,"SIM")</f>
        <v>146</v>
      </c>
      <c r="F151" s="80" t="str">
        <f t="shared" si="4"/>
        <v>Sim</v>
      </c>
      <c r="G151" s="61">
        <f>SUMIFS(BASE!$G:$G,BASE!$L:$L,$C151,BASE!$J:$J,$B151,BASE!$A:$A,G$6)</f>
        <v>0</v>
      </c>
      <c r="H151" s="17">
        <f>SUMIFS(BASE!$G:$G,BASE!$L:$L,$C151,BASE!$J:$J,$B151,BASE!$A:$A,H$6)</f>
        <v>0</v>
      </c>
      <c r="I151" s="17">
        <f>SUMIFS(BASE!$G:$G,BASE!$L:$L,$C151,BASE!$J:$J,$B151,BASE!$A:$A,I$6)</f>
        <v>3</v>
      </c>
      <c r="J151" s="17">
        <f>SUMIFS(BASE!$G:$G,BASE!$L:$L,$C151,BASE!$J:$J,$B151,BASE!$A:$A,J$6)</f>
        <v>5</v>
      </c>
      <c r="K151" s="17">
        <f>SUMIFS(BASE!$G:$G,BASE!$L:$L,$C151,BASE!$J:$J,$B151,BASE!$A:$A,K$6)</f>
        <v>6</v>
      </c>
      <c r="L151" s="17">
        <f>SUMIFS(BASE!$G:$G,BASE!$L:$L,$C151,BASE!$J:$J,$B151,BASE!$A:$A,L$6)</f>
        <v>11</v>
      </c>
      <c r="M151" s="17">
        <f>SUMIFS(BASE!$G:$G,BASE!$L:$L,$C151,BASE!$J:$J,$B151,BASE!$A:$A,M$6)</f>
        <v>31</v>
      </c>
      <c r="N151" s="74">
        <f>SUMIFS(BASE!$G:$G,BASE!$L:$L,$C151,BASE!$J:$J,$B151,BASE!$A:$A,N$6)</f>
        <v>37</v>
      </c>
      <c r="O151" s="17">
        <f>SUMIFS(BASE!$G:$G,BASE!$L:$L,$C151,BASE!$J:$J,$B151,BASE!$A:$A,O$6)</f>
        <v>0</v>
      </c>
      <c r="P151" s="17">
        <f>SUMIFS(BASE!$G:$G,BASE!$L:$L,$C151,BASE!$J:$J,$B151,BASE!$A:$A,P$6)</f>
        <v>0</v>
      </c>
      <c r="Q151" s="17">
        <f>SUMIFS(BASE!$G:$G,BASE!$L:$L,$C151,BASE!$J:$J,$B151,BASE!$A:$A,Q$6)</f>
        <v>0</v>
      </c>
      <c r="R151" s="17">
        <f>SUMIFS(BASE!$G:$G,BASE!$L:$L,$C151,BASE!$J:$J,$B151,BASE!$A:$A,R$6)</f>
        <v>0</v>
      </c>
      <c r="T151" s="44" t="str">
        <f t="shared" si="5"/>
        <v>COM TROCAS</v>
      </c>
    </row>
    <row r="152" spans="2:20">
      <c r="B152" s="71" t="s">
        <v>106</v>
      </c>
      <c r="C152" s="71" t="s">
        <v>53</v>
      </c>
      <c r="D152" s="7">
        <f>COUNTIFS(PDVS!H:H,"SIM",PDVS!C:C,B152)</f>
        <v>0</v>
      </c>
      <c r="E152" s="7">
        <f>COUNTIFS(PDVS!C:C,B152,PDVS!I:I,"SIM")</f>
        <v>146</v>
      </c>
      <c r="F152" s="80" t="str">
        <f t="shared" si="4"/>
        <v>Sim</v>
      </c>
      <c r="G152" s="61">
        <f>SUMIFS(BASE!$G:$G,BASE!$L:$L,$C152,BASE!$J:$J,$B152,BASE!$A:$A,G$6)</f>
        <v>0</v>
      </c>
      <c r="H152" s="17">
        <f>SUMIFS(BASE!$G:$G,BASE!$L:$L,$C152,BASE!$J:$J,$B152,BASE!$A:$A,H$6)</f>
        <v>1</v>
      </c>
      <c r="I152" s="17">
        <f>SUMIFS(BASE!$G:$G,BASE!$L:$L,$C152,BASE!$J:$J,$B152,BASE!$A:$A,I$6)</f>
        <v>7</v>
      </c>
      <c r="J152" s="17">
        <f>SUMIFS(BASE!$G:$G,BASE!$L:$L,$C152,BASE!$J:$J,$B152,BASE!$A:$A,J$6)</f>
        <v>2</v>
      </c>
      <c r="K152" s="17">
        <f>SUMIFS(BASE!$G:$G,BASE!$L:$L,$C152,BASE!$J:$J,$B152,BASE!$A:$A,K$6)</f>
        <v>5</v>
      </c>
      <c r="L152" s="17">
        <f>SUMIFS(BASE!$G:$G,BASE!$L:$L,$C152,BASE!$J:$J,$B152,BASE!$A:$A,L$6)</f>
        <v>10</v>
      </c>
      <c r="M152" s="17">
        <f>SUMIFS(BASE!$G:$G,BASE!$L:$L,$C152,BASE!$J:$J,$B152,BASE!$A:$A,M$6)</f>
        <v>8</v>
      </c>
      <c r="N152" s="74">
        <f>SUMIFS(BASE!$G:$G,BASE!$L:$L,$C152,BASE!$J:$J,$B152,BASE!$A:$A,N$6)</f>
        <v>14</v>
      </c>
      <c r="O152" s="17">
        <f>SUMIFS(BASE!$G:$G,BASE!$L:$L,$C152,BASE!$J:$J,$B152,BASE!$A:$A,O$6)</f>
        <v>0</v>
      </c>
      <c r="P152" s="17">
        <f>SUMIFS(BASE!$G:$G,BASE!$L:$L,$C152,BASE!$J:$J,$B152,BASE!$A:$A,P$6)</f>
        <v>0</v>
      </c>
      <c r="Q152" s="17">
        <f>SUMIFS(BASE!$G:$G,BASE!$L:$L,$C152,BASE!$J:$J,$B152,BASE!$A:$A,Q$6)</f>
        <v>0</v>
      </c>
      <c r="R152" s="17">
        <f>SUMIFS(BASE!$G:$G,BASE!$L:$L,$C152,BASE!$J:$J,$B152,BASE!$A:$A,R$6)</f>
        <v>0</v>
      </c>
      <c r="T152" s="44" t="str">
        <f t="shared" si="5"/>
        <v>COM TROCAS</v>
      </c>
    </row>
    <row r="153" spans="2:20">
      <c r="B153" s="71" t="s">
        <v>106</v>
      </c>
      <c r="C153" s="71" t="s">
        <v>54</v>
      </c>
      <c r="D153" s="7">
        <f>COUNTIFS(PDVS!H:H,"SIM",PDVS!C:C,B153)</f>
        <v>0</v>
      </c>
      <c r="E153" s="7">
        <f>COUNTIFS(PDVS!C:C,B153,PDVS!I:I,"SIM")</f>
        <v>146</v>
      </c>
      <c r="F153" s="80" t="str">
        <f t="shared" si="4"/>
        <v>Sim</v>
      </c>
      <c r="G153" s="61">
        <f>SUMIFS(BASE!$G:$G,BASE!$L:$L,$C153,BASE!$J:$J,$B153,BASE!$A:$A,G$6)</f>
        <v>1</v>
      </c>
      <c r="H153" s="17">
        <f>SUMIFS(BASE!$G:$G,BASE!$L:$L,$C153,BASE!$J:$J,$B153,BASE!$A:$A,H$6)</f>
        <v>0</v>
      </c>
      <c r="I153" s="17">
        <f>SUMIFS(BASE!$G:$G,BASE!$L:$L,$C153,BASE!$J:$J,$B153,BASE!$A:$A,I$6)</f>
        <v>6</v>
      </c>
      <c r="J153" s="17">
        <f>SUMIFS(BASE!$G:$G,BASE!$L:$L,$C153,BASE!$J:$J,$B153,BASE!$A:$A,J$6)</f>
        <v>9</v>
      </c>
      <c r="K153" s="17">
        <f>SUMIFS(BASE!$G:$G,BASE!$L:$L,$C153,BASE!$J:$J,$B153,BASE!$A:$A,K$6)</f>
        <v>37</v>
      </c>
      <c r="L153" s="17">
        <f>SUMIFS(BASE!$G:$G,BASE!$L:$L,$C153,BASE!$J:$J,$B153,BASE!$A:$A,L$6)</f>
        <v>52</v>
      </c>
      <c r="M153" s="17">
        <f>SUMIFS(BASE!$G:$G,BASE!$L:$L,$C153,BASE!$J:$J,$B153,BASE!$A:$A,M$6)</f>
        <v>79</v>
      </c>
      <c r="N153" s="74">
        <f>SUMIFS(BASE!$G:$G,BASE!$L:$L,$C153,BASE!$J:$J,$B153,BASE!$A:$A,N$6)</f>
        <v>99</v>
      </c>
      <c r="O153" s="17">
        <f>SUMIFS(BASE!$G:$G,BASE!$L:$L,$C153,BASE!$J:$J,$B153,BASE!$A:$A,O$6)</f>
        <v>0</v>
      </c>
      <c r="P153" s="17">
        <f>SUMIFS(BASE!$G:$G,BASE!$L:$L,$C153,BASE!$J:$J,$B153,BASE!$A:$A,P$6)</f>
        <v>0</v>
      </c>
      <c r="Q153" s="17">
        <f>SUMIFS(BASE!$G:$G,BASE!$L:$L,$C153,BASE!$J:$J,$B153,BASE!$A:$A,Q$6)</f>
        <v>0</v>
      </c>
      <c r="R153" s="17">
        <f>SUMIFS(BASE!$G:$G,BASE!$L:$L,$C153,BASE!$J:$J,$B153,BASE!$A:$A,R$6)</f>
        <v>0</v>
      </c>
      <c r="T153" s="44" t="str">
        <f t="shared" si="5"/>
        <v>COM TROCAS</v>
      </c>
    </row>
    <row r="154" spans="2:20">
      <c r="B154" s="71" t="s">
        <v>224</v>
      </c>
      <c r="C154" s="71" t="s">
        <v>59</v>
      </c>
      <c r="D154" s="7">
        <f>COUNTIFS(PDVS!H:H,"SIM",PDVS!C:C,B154)</f>
        <v>0</v>
      </c>
      <c r="E154" s="7">
        <f>COUNTIFS(PDVS!C:C,B154,PDVS!I:I,"SIM")</f>
        <v>25</v>
      </c>
      <c r="F154" s="80" t="str">
        <f t="shared" si="4"/>
        <v>Sim</v>
      </c>
      <c r="G154" s="61">
        <f>SUMIFS(BASE!$G:$G,BASE!$L:$L,$C154,BASE!$J:$J,$B154,BASE!$A:$A,G$6)</f>
        <v>222</v>
      </c>
      <c r="H154" s="17">
        <f>SUMIFS(BASE!$G:$G,BASE!$L:$L,$C154,BASE!$J:$J,$B154,BASE!$A:$A,H$6)</f>
        <v>171</v>
      </c>
      <c r="I154" s="17">
        <f>SUMIFS(BASE!$G:$G,BASE!$L:$L,$C154,BASE!$J:$J,$B154,BASE!$A:$A,I$6)</f>
        <v>299</v>
      </c>
      <c r="J154" s="17">
        <f>SUMIFS(BASE!$G:$G,BASE!$L:$L,$C154,BASE!$J:$J,$B154,BASE!$A:$A,J$6)</f>
        <v>224</v>
      </c>
      <c r="K154" s="17">
        <f>SUMIFS(BASE!$G:$G,BASE!$L:$L,$C154,BASE!$J:$J,$B154,BASE!$A:$A,K$6)</f>
        <v>187</v>
      </c>
      <c r="L154" s="17">
        <f>SUMIFS(BASE!$G:$G,BASE!$L:$L,$C154,BASE!$J:$J,$B154,BASE!$A:$A,L$6)</f>
        <v>252</v>
      </c>
      <c r="M154" s="17">
        <f>SUMIFS(BASE!$G:$G,BASE!$L:$L,$C154,BASE!$J:$J,$B154,BASE!$A:$A,M$6)</f>
        <v>422</v>
      </c>
      <c r="N154" s="74">
        <f>SUMIFS(BASE!$G:$G,BASE!$L:$L,$C154,BASE!$J:$J,$B154,BASE!$A:$A,N$6)</f>
        <v>212</v>
      </c>
      <c r="O154" s="17">
        <f>SUMIFS(BASE!$G:$G,BASE!$L:$L,$C154,BASE!$J:$J,$B154,BASE!$A:$A,O$6)</f>
        <v>0</v>
      </c>
      <c r="P154" s="17">
        <f>SUMIFS(BASE!$G:$G,BASE!$L:$L,$C154,BASE!$J:$J,$B154,BASE!$A:$A,P$6)</f>
        <v>0</v>
      </c>
      <c r="Q154" s="17">
        <f>SUMIFS(BASE!$G:$G,BASE!$L:$L,$C154,BASE!$J:$J,$B154,BASE!$A:$A,Q$6)</f>
        <v>0</v>
      </c>
      <c r="R154" s="17">
        <f>SUMIFS(BASE!$G:$G,BASE!$L:$L,$C154,BASE!$J:$J,$B154,BASE!$A:$A,R$6)</f>
        <v>0</v>
      </c>
      <c r="T154" s="44" t="str">
        <f t="shared" si="5"/>
        <v>COM TROCAS</v>
      </c>
    </row>
    <row r="155" spans="2:20" ht="15" thickBot="1">
      <c r="B155" s="71" t="s">
        <v>225</v>
      </c>
      <c r="C155" s="71" t="s">
        <v>53</v>
      </c>
      <c r="D155" s="62">
        <f>COUNTIFS(PDVS!H:H,"SIM",PDVS!C:C,B155)</f>
        <v>0</v>
      </c>
      <c r="E155" s="62">
        <f>COUNTIFS(PDVS!C:C,B155,PDVS!I:I,"SIM")</f>
        <v>17</v>
      </c>
      <c r="F155" s="80" t="str">
        <f t="shared" si="4"/>
        <v>Sim</v>
      </c>
      <c r="G155" s="61">
        <f>SUMIFS(BASE!$G:$G,BASE!$L:$L,$C155,BASE!$J:$J,$B155,BASE!$A:$A,G$6)</f>
        <v>32</v>
      </c>
      <c r="H155" s="17">
        <f>SUMIFS(BASE!$G:$G,BASE!$L:$L,$C155,BASE!$J:$J,$B155,BASE!$A:$A,H$6)</f>
        <v>30</v>
      </c>
      <c r="I155" s="17">
        <f>SUMIFS(BASE!$G:$G,BASE!$L:$L,$C155,BASE!$J:$J,$B155,BASE!$A:$A,I$6)</f>
        <v>57</v>
      </c>
      <c r="J155" s="17">
        <f>SUMIFS(BASE!$G:$G,BASE!$L:$L,$C155,BASE!$J:$J,$B155,BASE!$A:$A,J$6)</f>
        <v>67</v>
      </c>
      <c r="K155" s="17">
        <f>SUMIFS(BASE!$G:$G,BASE!$L:$L,$C155,BASE!$J:$J,$B155,BASE!$A:$A,K$6)</f>
        <v>68</v>
      </c>
      <c r="L155" s="17">
        <f>SUMIFS(BASE!$G:$G,BASE!$L:$L,$C155,BASE!$J:$J,$B155,BASE!$A:$A,L$6)</f>
        <v>63</v>
      </c>
      <c r="M155" s="17">
        <f>SUMIFS(BASE!$G:$G,BASE!$L:$L,$C155,BASE!$J:$J,$B155,BASE!$A:$A,M$6)</f>
        <v>123</v>
      </c>
      <c r="N155" s="74">
        <f>SUMIFS(BASE!$G:$G,BASE!$L:$L,$C155,BASE!$J:$J,$B155,BASE!$A:$A,N$6)</f>
        <v>116</v>
      </c>
      <c r="O155" s="17">
        <f>SUMIFS(BASE!$G:$G,BASE!$L:$L,$C155,BASE!$J:$J,$B155,BASE!$A:$A,O$6)</f>
        <v>0</v>
      </c>
      <c r="P155" s="17">
        <f>SUMIFS(BASE!$G:$G,BASE!$L:$L,$C155,BASE!$J:$J,$B155,BASE!$A:$A,P$6)</f>
        <v>0</v>
      </c>
      <c r="Q155" s="17">
        <f>SUMIFS(BASE!$G:$G,BASE!$L:$L,$C155,BASE!$J:$J,$B155,BASE!$A:$A,Q$6)</f>
        <v>0</v>
      </c>
      <c r="R155" s="17">
        <f>SUMIFS(BASE!$G:$G,BASE!$L:$L,$C155,BASE!$J:$J,$B155,BASE!$A:$A,R$6)</f>
        <v>0</v>
      </c>
      <c r="T155" s="44" t="str">
        <f t="shared" si="5"/>
        <v>COM TROCAS</v>
      </c>
    </row>
    <row r="156" spans="2:20">
      <c r="B156" s="71" t="s">
        <v>226</v>
      </c>
      <c r="C156" s="71" t="s">
        <v>61</v>
      </c>
      <c r="D156" s="69">
        <f>COUNTIFS(PDVS!H:H,"SIM",PDVS!C:C,B156)</f>
        <v>0</v>
      </c>
      <c r="E156" s="70">
        <f>COUNTIFS(PDVS!C:C,B156,PDVS!I:I,"SIM")</f>
        <v>8</v>
      </c>
      <c r="F156" s="80" t="str">
        <f t="shared" si="4"/>
        <v>Sim</v>
      </c>
      <c r="G156" s="61">
        <f>SUMIFS(BASE!$G:$G,BASE!$L:$L,$C156,BASE!$J:$J,$B156,BASE!$A:$A,G$6)</f>
        <v>0</v>
      </c>
      <c r="H156" s="17">
        <f>SUMIFS(BASE!$G:$G,BASE!$L:$L,$C156,BASE!$J:$J,$B156,BASE!$A:$A,H$6)</f>
        <v>0</v>
      </c>
      <c r="I156" s="17">
        <f>SUMIFS(BASE!$G:$G,BASE!$L:$L,$C156,BASE!$J:$J,$B156,BASE!$A:$A,I$6)</f>
        <v>0</v>
      </c>
      <c r="J156" s="17">
        <f>SUMIFS(BASE!$G:$G,BASE!$L:$L,$C156,BASE!$J:$J,$B156,BASE!$A:$A,J$6)</f>
        <v>1</v>
      </c>
      <c r="K156" s="17">
        <f>SUMIFS(BASE!$G:$G,BASE!$L:$L,$C156,BASE!$J:$J,$B156,BASE!$A:$A,K$6)</f>
        <v>0</v>
      </c>
      <c r="L156" s="17">
        <f>SUMIFS(BASE!$G:$G,BASE!$L:$L,$C156,BASE!$J:$J,$B156,BASE!$A:$A,L$6)</f>
        <v>0</v>
      </c>
      <c r="M156" s="17">
        <f>SUMIFS(BASE!$G:$G,BASE!$L:$L,$C156,BASE!$J:$J,$B156,BASE!$A:$A,M$6)</f>
        <v>0</v>
      </c>
      <c r="N156" s="74">
        <f>SUMIFS(BASE!$G:$G,BASE!$L:$L,$C156,BASE!$J:$J,$B156,BASE!$A:$A,N$6)</f>
        <v>0</v>
      </c>
      <c r="O156" s="17">
        <f>SUMIFS(BASE!$G:$G,BASE!$L:$L,$C156,BASE!$J:$J,$B156,BASE!$A:$A,O$6)</f>
        <v>0</v>
      </c>
      <c r="P156" s="17">
        <f>SUMIFS(BASE!$G:$G,BASE!$L:$L,$C156,BASE!$J:$J,$B156,BASE!$A:$A,P$6)</f>
        <v>0</v>
      </c>
      <c r="Q156" s="17">
        <f>SUMIFS(BASE!$G:$G,BASE!$L:$L,$C156,BASE!$J:$J,$B156,BASE!$A:$A,Q$6)</f>
        <v>0</v>
      </c>
      <c r="R156" s="17">
        <f>SUMIFS(BASE!$G:$G,BASE!$L:$L,$C156,BASE!$J:$J,$B156,BASE!$A:$A,R$6)</f>
        <v>0</v>
      </c>
      <c r="T156" s="44" t="str">
        <f t="shared" si="5"/>
        <v>ZERADO</v>
      </c>
    </row>
    <row r="157" spans="2:20">
      <c r="B157" s="71" t="s">
        <v>227</v>
      </c>
      <c r="C157" s="71" t="s">
        <v>61</v>
      </c>
      <c r="D157" s="7">
        <f>COUNTIFS(PDVS!H:H,"SIM",PDVS!C:C,B157)</f>
        <v>0</v>
      </c>
      <c r="E157" s="7">
        <f>COUNTIFS(PDVS!C:C,B157,PDVS!I:I,"SIM")</f>
        <v>7</v>
      </c>
      <c r="F157" s="80" t="str">
        <f t="shared" si="4"/>
        <v>Sim</v>
      </c>
      <c r="G157" s="61">
        <f>SUMIFS(BASE!$G:$G,BASE!$L:$L,$C157,BASE!$J:$J,$B157,BASE!$A:$A,G$6)</f>
        <v>0</v>
      </c>
      <c r="H157" s="17">
        <f>SUMIFS(BASE!$G:$G,BASE!$L:$L,$C157,BASE!$J:$J,$B157,BASE!$A:$A,H$6)</f>
        <v>0</v>
      </c>
      <c r="I157" s="17">
        <f>SUMIFS(BASE!$G:$G,BASE!$L:$L,$C157,BASE!$J:$J,$B157,BASE!$A:$A,I$6)</f>
        <v>0</v>
      </c>
      <c r="J157" s="17">
        <f>SUMIFS(BASE!$G:$G,BASE!$L:$L,$C157,BASE!$J:$J,$B157,BASE!$A:$A,J$6)</f>
        <v>2</v>
      </c>
      <c r="K157" s="17">
        <f>SUMIFS(BASE!$G:$G,BASE!$L:$L,$C157,BASE!$J:$J,$B157,BASE!$A:$A,K$6)</f>
        <v>2</v>
      </c>
      <c r="L157" s="17">
        <f>SUMIFS(BASE!$G:$G,BASE!$L:$L,$C157,BASE!$J:$J,$B157,BASE!$A:$A,L$6)</f>
        <v>0</v>
      </c>
      <c r="M157" s="17">
        <f>SUMIFS(BASE!$G:$G,BASE!$L:$L,$C157,BASE!$J:$J,$B157,BASE!$A:$A,M$6)</f>
        <v>3</v>
      </c>
      <c r="N157" s="74">
        <f>SUMIFS(BASE!$G:$G,BASE!$L:$L,$C157,BASE!$J:$J,$B157,BASE!$A:$A,N$6)</f>
        <v>4</v>
      </c>
      <c r="O157" s="17">
        <f>SUMIFS(BASE!$G:$G,BASE!$L:$L,$C157,BASE!$J:$J,$B157,BASE!$A:$A,O$6)</f>
        <v>0</v>
      </c>
      <c r="P157" s="17">
        <f>SUMIFS(BASE!$G:$G,BASE!$L:$L,$C157,BASE!$J:$J,$B157,BASE!$A:$A,P$6)</f>
        <v>0</v>
      </c>
      <c r="Q157" s="17">
        <f>SUMIFS(BASE!$G:$G,BASE!$L:$L,$C157,BASE!$J:$J,$B157,BASE!$A:$A,Q$6)</f>
        <v>0</v>
      </c>
      <c r="R157" s="17">
        <f>SUMIFS(BASE!$G:$G,BASE!$L:$L,$C157,BASE!$J:$J,$B157,BASE!$A:$A,R$6)</f>
        <v>0</v>
      </c>
      <c r="T157" s="44" t="str">
        <f t="shared" si="5"/>
        <v>COM TROCAS</v>
      </c>
    </row>
    <row r="158" spans="2:20">
      <c r="B158" s="71" t="s">
        <v>228</v>
      </c>
      <c r="C158" s="71" t="s">
        <v>56</v>
      </c>
      <c r="D158" s="7">
        <f>COUNTIFS(PDVS!H:H,"SIM",PDVS!C:C,B158)</f>
        <v>0</v>
      </c>
      <c r="E158" s="7">
        <f>COUNTIFS(PDVS!C:C,B158,PDVS!I:I,"SIM")</f>
        <v>43</v>
      </c>
      <c r="F158" s="80" t="str">
        <f t="shared" si="4"/>
        <v>Sim</v>
      </c>
      <c r="G158" s="61">
        <f>SUMIFS(BASE!$G:$G,BASE!$L:$L,$C158,BASE!$J:$J,$B158,BASE!$A:$A,G$6)</f>
        <v>52</v>
      </c>
      <c r="H158" s="17">
        <f>SUMIFS(BASE!$G:$G,BASE!$L:$L,$C158,BASE!$J:$J,$B158,BASE!$A:$A,H$6)</f>
        <v>52</v>
      </c>
      <c r="I158" s="17">
        <f>SUMIFS(BASE!$G:$G,BASE!$L:$L,$C158,BASE!$J:$J,$B158,BASE!$A:$A,I$6)</f>
        <v>92</v>
      </c>
      <c r="J158" s="17">
        <f>SUMIFS(BASE!$G:$G,BASE!$L:$L,$C158,BASE!$J:$J,$B158,BASE!$A:$A,J$6)</f>
        <v>107</v>
      </c>
      <c r="K158" s="17">
        <f>SUMIFS(BASE!$G:$G,BASE!$L:$L,$C158,BASE!$J:$J,$B158,BASE!$A:$A,K$6)</f>
        <v>121</v>
      </c>
      <c r="L158" s="17">
        <f>SUMIFS(BASE!$G:$G,BASE!$L:$L,$C158,BASE!$J:$J,$B158,BASE!$A:$A,L$6)</f>
        <v>123</v>
      </c>
      <c r="M158" s="17">
        <f>SUMIFS(BASE!$G:$G,BASE!$L:$L,$C158,BASE!$J:$J,$B158,BASE!$A:$A,M$6)</f>
        <v>240</v>
      </c>
      <c r="N158" s="74">
        <f>SUMIFS(BASE!$G:$G,BASE!$L:$L,$C158,BASE!$J:$J,$B158,BASE!$A:$A,N$6)</f>
        <v>171</v>
      </c>
      <c r="O158" s="17">
        <f>SUMIFS(BASE!$G:$G,BASE!$L:$L,$C158,BASE!$J:$J,$B158,BASE!$A:$A,O$6)</f>
        <v>0</v>
      </c>
      <c r="P158" s="17">
        <f>SUMIFS(BASE!$G:$G,BASE!$L:$L,$C158,BASE!$J:$J,$B158,BASE!$A:$A,P$6)</f>
        <v>0</v>
      </c>
      <c r="Q158" s="17">
        <f>SUMIFS(BASE!$G:$G,BASE!$L:$L,$C158,BASE!$J:$J,$B158,BASE!$A:$A,Q$6)</f>
        <v>0</v>
      </c>
      <c r="R158" s="17">
        <f>SUMIFS(BASE!$G:$G,BASE!$L:$L,$C158,BASE!$J:$J,$B158,BASE!$A:$A,R$6)</f>
        <v>0</v>
      </c>
      <c r="T158" s="44" t="str">
        <f t="shared" si="5"/>
        <v>COM TROCAS</v>
      </c>
    </row>
    <row r="159" spans="2:20">
      <c r="B159" s="71" t="s">
        <v>228</v>
      </c>
      <c r="C159" s="71" t="s">
        <v>55</v>
      </c>
      <c r="D159" s="7">
        <f>COUNTIFS(PDVS!H:H,"SIM",PDVS!C:C,B159)</f>
        <v>0</v>
      </c>
      <c r="E159" s="7">
        <f>COUNTIFS(PDVS!C:C,B159,PDVS!I:I,"SIM")</f>
        <v>43</v>
      </c>
      <c r="F159" s="80" t="str">
        <f t="shared" si="4"/>
        <v>Sim</v>
      </c>
      <c r="G159" s="61">
        <f>SUMIFS(BASE!$G:$G,BASE!$L:$L,$C159,BASE!$J:$J,$B159,BASE!$A:$A,G$6)</f>
        <v>150</v>
      </c>
      <c r="H159" s="17">
        <f>SUMIFS(BASE!$G:$G,BASE!$L:$L,$C159,BASE!$J:$J,$B159,BASE!$A:$A,H$6)</f>
        <v>161</v>
      </c>
      <c r="I159" s="17">
        <f>SUMIFS(BASE!$G:$G,BASE!$L:$L,$C159,BASE!$J:$J,$B159,BASE!$A:$A,I$6)</f>
        <v>237</v>
      </c>
      <c r="J159" s="17">
        <f>SUMIFS(BASE!$G:$G,BASE!$L:$L,$C159,BASE!$J:$J,$B159,BASE!$A:$A,J$6)</f>
        <v>221</v>
      </c>
      <c r="K159" s="17">
        <f>SUMIFS(BASE!$G:$G,BASE!$L:$L,$C159,BASE!$J:$J,$B159,BASE!$A:$A,K$6)</f>
        <v>234</v>
      </c>
      <c r="L159" s="17">
        <f>SUMIFS(BASE!$G:$G,BASE!$L:$L,$C159,BASE!$J:$J,$B159,BASE!$A:$A,L$6)</f>
        <v>277</v>
      </c>
      <c r="M159" s="17">
        <f>SUMIFS(BASE!$G:$G,BASE!$L:$L,$C159,BASE!$J:$J,$B159,BASE!$A:$A,M$6)</f>
        <v>436</v>
      </c>
      <c r="N159" s="74">
        <f>SUMIFS(BASE!$G:$G,BASE!$L:$L,$C159,BASE!$J:$J,$B159,BASE!$A:$A,N$6)</f>
        <v>323</v>
      </c>
      <c r="O159" s="17">
        <f>SUMIFS(BASE!$G:$G,BASE!$L:$L,$C159,BASE!$J:$J,$B159,BASE!$A:$A,O$6)</f>
        <v>0</v>
      </c>
      <c r="P159" s="17">
        <f>SUMIFS(BASE!$G:$G,BASE!$L:$L,$C159,BASE!$J:$J,$B159,BASE!$A:$A,P$6)</f>
        <v>0</v>
      </c>
      <c r="Q159" s="17">
        <f>SUMIFS(BASE!$G:$G,BASE!$L:$L,$C159,BASE!$J:$J,$B159,BASE!$A:$A,Q$6)</f>
        <v>0</v>
      </c>
      <c r="R159" s="17">
        <f>SUMIFS(BASE!$G:$G,BASE!$L:$L,$C159,BASE!$J:$J,$B159,BASE!$A:$A,R$6)</f>
        <v>0</v>
      </c>
      <c r="T159" s="44" t="str">
        <f t="shared" si="5"/>
        <v>COM TROCAS</v>
      </c>
    </row>
    <row r="160" spans="2:20">
      <c r="B160" s="71" t="s">
        <v>132</v>
      </c>
      <c r="C160" s="71" t="s">
        <v>53</v>
      </c>
      <c r="D160" s="7">
        <f>COUNTIFS(PDVS!H:H,"SIM",PDVS!C:C,B160)</f>
        <v>0</v>
      </c>
      <c r="E160" s="7">
        <f>COUNTIFS(PDVS!C:C,B160,PDVS!I:I,"SIM")</f>
        <v>44</v>
      </c>
      <c r="F160" s="80" t="str">
        <f t="shared" si="4"/>
        <v>Sim</v>
      </c>
      <c r="G160" s="61">
        <f>SUMIFS(BASE!$G:$G,BASE!$L:$L,$C160,BASE!$J:$J,$B160,BASE!$A:$A,G$6)</f>
        <v>62</v>
      </c>
      <c r="H160" s="17">
        <f>SUMIFS(BASE!$G:$G,BASE!$L:$L,$C160,BASE!$J:$J,$B160,BASE!$A:$A,H$6)</f>
        <v>57</v>
      </c>
      <c r="I160" s="17">
        <f>SUMIFS(BASE!$G:$G,BASE!$L:$L,$C160,BASE!$J:$J,$B160,BASE!$A:$A,I$6)</f>
        <v>121</v>
      </c>
      <c r="J160" s="17">
        <f>SUMIFS(BASE!$G:$G,BASE!$L:$L,$C160,BASE!$J:$J,$B160,BASE!$A:$A,J$6)</f>
        <v>115</v>
      </c>
      <c r="K160" s="17">
        <f>SUMIFS(BASE!$G:$G,BASE!$L:$L,$C160,BASE!$J:$J,$B160,BASE!$A:$A,K$6)</f>
        <v>118</v>
      </c>
      <c r="L160" s="17">
        <f>SUMIFS(BASE!$G:$G,BASE!$L:$L,$C160,BASE!$J:$J,$B160,BASE!$A:$A,L$6)</f>
        <v>132</v>
      </c>
      <c r="M160" s="17">
        <f>SUMIFS(BASE!$G:$G,BASE!$L:$L,$C160,BASE!$J:$J,$B160,BASE!$A:$A,M$6)</f>
        <v>243</v>
      </c>
      <c r="N160" s="74">
        <f>SUMIFS(BASE!$G:$G,BASE!$L:$L,$C160,BASE!$J:$J,$B160,BASE!$A:$A,N$6)</f>
        <v>175</v>
      </c>
      <c r="O160" s="17">
        <f>SUMIFS(BASE!$G:$G,BASE!$L:$L,$C160,BASE!$J:$J,$B160,BASE!$A:$A,O$6)</f>
        <v>0</v>
      </c>
      <c r="P160" s="17">
        <f>SUMIFS(BASE!$G:$G,BASE!$L:$L,$C160,BASE!$J:$J,$B160,BASE!$A:$A,P$6)</f>
        <v>0</v>
      </c>
      <c r="Q160" s="17">
        <f>SUMIFS(BASE!$G:$G,BASE!$L:$L,$C160,BASE!$J:$J,$B160,BASE!$A:$A,Q$6)</f>
        <v>0</v>
      </c>
      <c r="R160" s="17">
        <f>SUMIFS(BASE!$G:$G,BASE!$L:$L,$C160,BASE!$J:$J,$B160,BASE!$A:$A,R$6)</f>
        <v>0</v>
      </c>
      <c r="T160" s="44" t="str">
        <f t="shared" si="5"/>
        <v>COM TROCAS</v>
      </c>
    </row>
    <row r="161" spans="2:20">
      <c r="B161" s="71" t="s">
        <v>132</v>
      </c>
      <c r="C161" s="71" t="s">
        <v>54</v>
      </c>
      <c r="D161" s="7">
        <f>COUNTIFS(PDVS!H:H,"SIM",PDVS!C:C,B161)</f>
        <v>0</v>
      </c>
      <c r="E161" s="7">
        <f>COUNTIFS(PDVS!C:C,B161,PDVS!I:I,"SIM")</f>
        <v>44</v>
      </c>
      <c r="F161" s="80" t="str">
        <f t="shared" si="4"/>
        <v>Sim</v>
      </c>
      <c r="G161" s="61">
        <f>SUMIFS(BASE!$G:$G,BASE!$L:$L,$C161,BASE!$J:$J,$B161,BASE!$A:$A,G$6)</f>
        <v>146</v>
      </c>
      <c r="H161" s="17">
        <f>SUMIFS(BASE!$G:$G,BASE!$L:$L,$C161,BASE!$J:$J,$B161,BASE!$A:$A,H$6)</f>
        <v>104</v>
      </c>
      <c r="I161" s="17">
        <f>SUMIFS(BASE!$G:$G,BASE!$L:$L,$C161,BASE!$J:$J,$B161,BASE!$A:$A,I$6)</f>
        <v>199</v>
      </c>
      <c r="J161" s="17">
        <f>SUMIFS(BASE!$G:$G,BASE!$L:$L,$C161,BASE!$J:$J,$B161,BASE!$A:$A,J$6)</f>
        <v>183</v>
      </c>
      <c r="K161" s="17">
        <f>SUMIFS(BASE!$G:$G,BASE!$L:$L,$C161,BASE!$J:$J,$B161,BASE!$A:$A,K$6)</f>
        <v>155</v>
      </c>
      <c r="L161" s="17">
        <f>SUMIFS(BASE!$G:$G,BASE!$L:$L,$C161,BASE!$J:$J,$B161,BASE!$A:$A,L$6)</f>
        <v>152</v>
      </c>
      <c r="M161" s="17">
        <f>SUMIFS(BASE!$G:$G,BASE!$L:$L,$C161,BASE!$J:$J,$B161,BASE!$A:$A,M$6)</f>
        <v>268</v>
      </c>
      <c r="N161" s="74">
        <f>SUMIFS(BASE!$G:$G,BASE!$L:$L,$C161,BASE!$J:$J,$B161,BASE!$A:$A,N$6)</f>
        <v>145</v>
      </c>
      <c r="O161" s="17">
        <f>SUMIFS(BASE!$G:$G,BASE!$L:$L,$C161,BASE!$J:$J,$B161,BASE!$A:$A,O$6)</f>
        <v>0</v>
      </c>
      <c r="P161" s="17">
        <f>SUMIFS(BASE!$G:$G,BASE!$L:$L,$C161,BASE!$J:$J,$B161,BASE!$A:$A,P$6)</f>
        <v>0</v>
      </c>
      <c r="Q161" s="17">
        <f>SUMIFS(BASE!$G:$G,BASE!$L:$L,$C161,BASE!$J:$J,$B161,BASE!$A:$A,Q$6)</f>
        <v>0</v>
      </c>
      <c r="R161" s="17">
        <f>SUMIFS(BASE!$G:$G,BASE!$L:$L,$C161,BASE!$J:$J,$B161,BASE!$A:$A,R$6)</f>
        <v>0</v>
      </c>
      <c r="T161" s="44" t="str">
        <f t="shared" si="5"/>
        <v>COM TROCAS</v>
      </c>
    </row>
    <row r="162" spans="2:20">
      <c r="B162" s="71" t="s">
        <v>229</v>
      </c>
      <c r="C162" s="71" t="s">
        <v>53</v>
      </c>
      <c r="D162" s="7">
        <f>COUNTIFS(PDVS!H:H,"SIM",PDVS!C:C,B162)</f>
        <v>0</v>
      </c>
      <c r="E162" s="7">
        <f>COUNTIFS(PDVS!C:C,B162,PDVS!I:I,"SIM")</f>
        <v>8</v>
      </c>
      <c r="F162" s="80" t="str">
        <f t="shared" si="4"/>
        <v>Sim</v>
      </c>
      <c r="G162" s="61">
        <f>SUMIFS(BASE!$G:$G,BASE!$L:$L,$C162,BASE!$J:$J,$B162,BASE!$A:$A,G$6)</f>
        <v>19</v>
      </c>
      <c r="H162" s="17">
        <f>SUMIFS(BASE!$G:$G,BASE!$L:$L,$C162,BASE!$J:$J,$B162,BASE!$A:$A,H$6)</f>
        <v>11</v>
      </c>
      <c r="I162" s="17">
        <f>SUMIFS(BASE!$G:$G,BASE!$L:$L,$C162,BASE!$J:$J,$B162,BASE!$A:$A,I$6)</f>
        <v>20</v>
      </c>
      <c r="J162" s="17">
        <f>SUMIFS(BASE!$G:$G,BASE!$L:$L,$C162,BASE!$J:$J,$B162,BASE!$A:$A,J$6)</f>
        <v>8</v>
      </c>
      <c r="K162" s="17">
        <f>SUMIFS(BASE!$G:$G,BASE!$L:$L,$C162,BASE!$J:$J,$B162,BASE!$A:$A,K$6)</f>
        <v>12</v>
      </c>
      <c r="L162" s="17">
        <f>SUMIFS(BASE!$G:$G,BASE!$L:$L,$C162,BASE!$J:$J,$B162,BASE!$A:$A,L$6)</f>
        <v>11</v>
      </c>
      <c r="M162" s="17">
        <f>SUMIFS(BASE!$G:$G,BASE!$L:$L,$C162,BASE!$J:$J,$B162,BASE!$A:$A,M$6)</f>
        <v>13</v>
      </c>
      <c r="N162" s="74">
        <f>SUMIFS(BASE!$G:$G,BASE!$L:$L,$C162,BASE!$J:$J,$B162,BASE!$A:$A,N$6)</f>
        <v>16</v>
      </c>
      <c r="O162" s="17">
        <f>SUMIFS(BASE!$G:$G,BASE!$L:$L,$C162,BASE!$J:$J,$B162,BASE!$A:$A,O$6)</f>
        <v>0</v>
      </c>
      <c r="P162" s="17">
        <f>SUMIFS(BASE!$G:$G,BASE!$L:$L,$C162,BASE!$J:$J,$B162,BASE!$A:$A,P$6)</f>
        <v>0</v>
      </c>
      <c r="Q162" s="17">
        <f>SUMIFS(BASE!$G:$G,BASE!$L:$L,$C162,BASE!$J:$J,$B162,BASE!$A:$A,Q$6)</f>
        <v>0</v>
      </c>
      <c r="R162" s="17">
        <f>SUMIFS(BASE!$G:$G,BASE!$L:$L,$C162,BASE!$J:$J,$B162,BASE!$A:$A,R$6)</f>
        <v>0</v>
      </c>
      <c r="T162" s="44" t="str">
        <f t="shared" si="5"/>
        <v>COM TROCAS</v>
      </c>
    </row>
    <row r="163" spans="2:20" ht="15" thickBot="1">
      <c r="B163" s="71" t="s">
        <v>230</v>
      </c>
      <c r="C163" s="71" t="s">
        <v>61</v>
      </c>
      <c r="D163" s="62">
        <f>COUNTIFS(PDVS!H:H,"SIM",PDVS!C:C,B163)</f>
        <v>0</v>
      </c>
      <c r="E163" s="62">
        <f>COUNTIFS(PDVS!C:C,B163,PDVS!I:I,"SIM")</f>
        <v>19</v>
      </c>
      <c r="F163" s="80" t="str">
        <f t="shared" si="4"/>
        <v>Sim</v>
      </c>
      <c r="G163" s="61">
        <f>SUMIFS(BASE!$G:$G,BASE!$L:$L,$C163,BASE!$J:$J,$B163,BASE!$A:$A,G$6)</f>
        <v>122</v>
      </c>
      <c r="H163" s="17">
        <f>SUMIFS(BASE!$G:$G,BASE!$L:$L,$C163,BASE!$J:$J,$B163,BASE!$A:$A,H$6)</f>
        <v>92</v>
      </c>
      <c r="I163" s="17">
        <f>SUMIFS(BASE!$G:$G,BASE!$L:$L,$C163,BASE!$J:$J,$B163,BASE!$A:$A,I$6)</f>
        <v>137</v>
      </c>
      <c r="J163" s="17">
        <f>SUMIFS(BASE!$G:$G,BASE!$L:$L,$C163,BASE!$J:$J,$B163,BASE!$A:$A,J$6)</f>
        <v>127</v>
      </c>
      <c r="K163" s="17">
        <f>SUMIFS(BASE!$G:$G,BASE!$L:$L,$C163,BASE!$J:$J,$B163,BASE!$A:$A,K$6)</f>
        <v>178</v>
      </c>
      <c r="L163" s="17">
        <f>SUMIFS(BASE!$G:$G,BASE!$L:$L,$C163,BASE!$J:$J,$B163,BASE!$A:$A,L$6)</f>
        <v>159</v>
      </c>
      <c r="M163" s="17">
        <f>SUMIFS(BASE!$G:$G,BASE!$L:$L,$C163,BASE!$J:$J,$B163,BASE!$A:$A,M$6)</f>
        <v>255</v>
      </c>
      <c r="N163" s="74">
        <f>SUMIFS(BASE!$G:$G,BASE!$L:$L,$C163,BASE!$J:$J,$B163,BASE!$A:$A,N$6)</f>
        <v>210</v>
      </c>
      <c r="O163" s="17">
        <f>SUMIFS(BASE!$G:$G,BASE!$L:$L,$C163,BASE!$J:$J,$B163,BASE!$A:$A,O$6)</f>
        <v>0</v>
      </c>
      <c r="P163" s="17">
        <f>SUMIFS(BASE!$G:$G,BASE!$L:$L,$C163,BASE!$J:$J,$B163,BASE!$A:$A,P$6)</f>
        <v>0</v>
      </c>
      <c r="Q163" s="17">
        <f>SUMIFS(BASE!$G:$G,BASE!$L:$L,$C163,BASE!$J:$J,$B163,BASE!$A:$A,Q$6)</f>
        <v>0</v>
      </c>
      <c r="R163" s="17">
        <f>SUMIFS(BASE!$G:$G,BASE!$L:$L,$C163,BASE!$J:$J,$B163,BASE!$A:$A,R$6)</f>
        <v>0</v>
      </c>
      <c r="T163" s="44" t="str">
        <f t="shared" si="5"/>
        <v>COM TROCAS</v>
      </c>
    </row>
    <row r="164" spans="2:20">
      <c r="B164" s="71" t="s">
        <v>231</v>
      </c>
      <c r="C164" s="71" t="s">
        <v>59</v>
      </c>
      <c r="D164" s="69">
        <f>COUNTIFS(PDVS!H:H,"SIM",PDVS!C:C,B164)</f>
        <v>0</v>
      </c>
      <c r="E164" s="70">
        <f>COUNTIFS(PDVS!C:C,B164,PDVS!I:I,"SIM")</f>
        <v>12</v>
      </c>
      <c r="F164" s="80" t="str">
        <f t="shared" si="4"/>
        <v>Sim</v>
      </c>
      <c r="G164" s="61">
        <f>SUMIFS(BASE!$G:$G,BASE!$L:$L,$C164,BASE!$J:$J,$B164,BASE!$A:$A,G$6)</f>
        <v>3</v>
      </c>
      <c r="H164" s="17">
        <f>SUMIFS(BASE!$G:$G,BASE!$L:$L,$C164,BASE!$J:$J,$B164,BASE!$A:$A,H$6)</f>
        <v>2</v>
      </c>
      <c r="I164" s="17">
        <f>SUMIFS(BASE!$G:$G,BASE!$L:$L,$C164,BASE!$J:$J,$B164,BASE!$A:$A,I$6)</f>
        <v>4</v>
      </c>
      <c r="J164" s="17">
        <f>SUMIFS(BASE!$G:$G,BASE!$L:$L,$C164,BASE!$J:$J,$B164,BASE!$A:$A,J$6)</f>
        <v>5</v>
      </c>
      <c r="K164" s="17">
        <f>SUMIFS(BASE!$G:$G,BASE!$L:$L,$C164,BASE!$J:$J,$B164,BASE!$A:$A,K$6)</f>
        <v>4</v>
      </c>
      <c r="L164" s="17">
        <f>SUMIFS(BASE!$G:$G,BASE!$L:$L,$C164,BASE!$J:$J,$B164,BASE!$A:$A,L$6)</f>
        <v>8</v>
      </c>
      <c r="M164" s="17">
        <f>SUMIFS(BASE!$G:$G,BASE!$L:$L,$C164,BASE!$J:$J,$B164,BASE!$A:$A,M$6)</f>
        <v>5</v>
      </c>
      <c r="N164" s="74">
        <f>SUMIFS(BASE!$G:$G,BASE!$L:$L,$C164,BASE!$J:$J,$B164,BASE!$A:$A,N$6)</f>
        <v>7</v>
      </c>
      <c r="O164" s="17">
        <f>SUMIFS(BASE!$G:$G,BASE!$L:$L,$C164,BASE!$J:$J,$B164,BASE!$A:$A,O$6)</f>
        <v>0</v>
      </c>
      <c r="P164" s="17">
        <f>SUMIFS(BASE!$G:$G,BASE!$L:$L,$C164,BASE!$J:$J,$B164,BASE!$A:$A,P$6)</f>
        <v>0</v>
      </c>
      <c r="Q164" s="17">
        <f>SUMIFS(BASE!$G:$G,BASE!$L:$L,$C164,BASE!$J:$J,$B164,BASE!$A:$A,Q$6)</f>
        <v>0</v>
      </c>
      <c r="R164" s="17">
        <f>SUMIFS(BASE!$G:$G,BASE!$L:$L,$C164,BASE!$J:$J,$B164,BASE!$A:$A,R$6)</f>
        <v>0</v>
      </c>
      <c r="T164" s="44" t="str">
        <f t="shared" si="5"/>
        <v>COM TROCAS</v>
      </c>
    </row>
    <row r="165" spans="2:20">
      <c r="B165" s="71" t="s">
        <v>232</v>
      </c>
      <c r="C165" s="71" t="s">
        <v>60</v>
      </c>
      <c r="D165" s="7">
        <f>COUNTIFS(PDVS!H:H,"SIM",PDVS!C:C,B165)</f>
        <v>0</v>
      </c>
      <c r="E165" s="7">
        <f>COUNTIFS(PDVS!C:C,B165,PDVS!I:I,"SIM")</f>
        <v>78</v>
      </c>
      <c r="F165" s="80" t="str">
        <f t="shared" si="4"/>
        <v>Sim</v>
      </c>
      <c r="G165" s="61">
        <f>SUMIFS(BASE!$G:$G,BASE!$L:$L,$C165,BASE!$J:$J,$B165,BASE!$A:$A,G$6)</f>
        <v>116</v>
      </c>
      <c r="H165" s="17">
        <f>SUMIFS(BASE!$G:$G,BASE!$L:$L,$C165,BASE!$J:$J,$B165,BASE!$A:$A,H$6)</f>
        <v>78</v>
      </c>
      <c r="I165" s="17">
        <f>SUMIFS(BASE!$G:$G,BASE!$L:$L,$C165,BASE!$J:$J,$B165,BASE!$A:$A,I$6)</f>
        <v>148</v>
      </c>
      <c r="J165" s="17">
        <f>SUMIFS(BASE!$G:$G,BASE!$L:$L,$C165,BASE!$J:$J,$B165,BASE!$A:$A,J$6)</f>
        <v>100</v>
      </c>
      <c r="K165" s="17">
        <f>SUMIFS(BASE!$G:$G,BASE!$L:$L,$C165,BASE!$J:$J,$B165,BASE!$A:$A,K$6)</f>
        <v>120</v>
      </c>
      <c r="L165" s="17">
        <f>SUMIFS(BASE!$G:$G,BASE!$L:$L,$C165,BASE!$J:$J,$B165,BASE!$A:$A,L$6)</f>
        <v>108</v>
      </c>
      <c r="M165" s="17">
        <f>SUMIFS(BASE!$G:$G,BASE!$L:$L,$C165,BASE!$J:$J,$B165,BASE!$A:$A,M$6)</f>
        <v>196</v>
      </c>
      <c r="N165" s="74">
        <f>SUMIFS(BASE!$G:$G,BASE!$L:$L,$C165,BASE!$J:$J,$B165,BASE!$A:$A,N$6)</f>
        <v>148</v>
      </c>
      <c r="O165" s="17">
        <f>SUMIFS(BASE!$G:$G,BASE!$L:$L,$C165,BASE!$J:$J,$B165,BASE!$A:$A,O$6)</f>
        <v>0</v>
      </c>
      <c r="P165" s="17">
        <f>SUMIFS(BASE!$G:$G,BASE!$L:$L,$C165,BASE!$J:$J,$B165,BASE!$A:$A,P$6)</f>
        <v>0</v>
      </c>
      <c r="Q165" s="17">
        <f>SUMIFS(BASE!$G:$G,BASE!$L:$L,$C165,BASE!$J:$J,$B165,BASE!$A:$A,Q$6)</f>
        <v>0</v>
      </c>
      <c r="R165" s="17">
        <f>SUMIFS(BASE!$G:$G,BASE!$L:$L,$C165,BASE!$J:$J,$B165,BASE!$A:$A,R$6)</f>
        <v>0</v>
      </c>
      <c r="T165" s="44" t="str">
        <f t="shared" si="5"/>
        <v>COM TROCAS</v>
      </c>
    </row>
    <row r="166" spans="2:20">
      <c r="B166" s="71" t="s">
        <v>232</v>
      </c>
      <c r="C166" s="71" t="s">
        <v>55</v>
      </c>
      <c r="D166" s="7">
        <f>COUNTIFS(PDVS!H:H,"SIM",PDVS!C:C,B166)</f>
        <v>0</v>
      </c>
      <c r="E166" s="7">
        <f>COUNTIFS(PDVS!C:C,B166,PDVS!I:I,"SIM")</f>
        <v>78</v>
      </c>
      <c r="F166" s="80" t="str">
        <f t="shared" si="4"/>
        <v>Sim</v>
      </c>
      <c r="G166" s="61">
        <f>SUMIFS(BASE!$G:$G,BASE!$L:$L,$C166,BASE!$J:$J,$B166,BASE!$A:$A,G$6)</f>
        <v>0</v>
      </c>
      <c r="H166" s="17">
        <f>SUMIFS(BASE!$G:$G,BASE!$L:$L,$C166,BASE!$J:$J,$B166,BASE!$A:$A,H$6)</f>
        <v>0</v>
      </c>
      <c r="I166" s="17">
        <f>SUMIFS(BASE!$G:$G,BASE!$L:$L,$C166,BASE!$J:$J,$B166,BASE!$A:$A,I$6)</f>
        <v>17</v>
      </c>
      <c r="J166" s="17">
        <f>SUMIFS(BASE!$G:$G,BASE!$L:$L,$C166,BASE!$J:$J,$B166,BASE!$A:$A,J$6)</f>
        <v>18</v>
      </c>
      <c r="K166" s="17">
        <f>SUMIFS(BASE!$G:$G,BASE!$L:$L,$C166,BASE!$J:$J,$B166,BASE!$A:$A,K$6)</f>
        <v>16</v>
      </c>
      <c r="L166" s="17">
        <f>SUMIFS(BASE!$G:$G,BASE!$L:$L,$C166,BASE!$J:$J,$B166,BASE!$A:$A,L$6)</f>
        <v>17</v>
      </c>
      <c r="M166" s="17">
        <f>SUMIFS(BASE!$G:$G,BASE!$L:$L,$C166,BASE!$J:$J,$B166,BASE!$A:$A,M$6)</f>
        <v>38</v>
      </c>
      <c r="N166" s="74">
        <f>SUMIFS(BASE!$G:$G,BASE!$L:$L,$C166,BASE!$J:$J,$B166,BASE!$A:$A,N$6)</f>
        <v>32</v>
      </c>
      <c r="O166" s="17">
        <f>SUMIFS(BASE!$G:$G,BASE!$L:$L,$C166,BASE!$J:$J,$B166,BASE!$A:$A,O$6)</f>
        <v>0</v>
      </c>
      <c r="P166" s="17">
        <f>SUMIFS(BASE!$G:$G,BASE!$L:$L,$C166,BASE!$J:$J,$B166,BASE!$A:$A,P$6)</f>
        <v>0</v>
      </c>
      <c r="Q166" s="17">
        <f>SUMIFS(BASE!$G:$G,BASE!$L:$L,$C166,BASE!$J:$J,$B166,BASE!$A:$A,Q$6)</f>
        <v>0</v>
      </c>
      <c r="R166" s="17">
        <f>SUMIFS(BASE!$G:$G,BASE!$L:$L,$C166,BASE!$J:$J,$B166,BASE!$A:$A,R$6)</f>
        <v>0</v>
      </c>
      <c r="T166" s="44" t="str">
        <f t="shared" si="5"/>
        <v>COM TROCAS</v>
      </c>
    </row>
    <row r="167" spans="2:20">
      <c r="B167" s="71" t="s">
        <v>232</v>
      </c>
      <c r="C167" s="71" t="s">
        <v>54</v>
      </c>
      <c r="D167" s="7">
        <f>COUNTIFS(PDVS!H:H,"SIM",PDVS!C:C,B167)</f>
        <v>0</v>
      </c>
      <c r="E167" s="7">
        <f>COUNTIFS(PDVS!C:C,B167,PDVS!I:I,"SIM")</f>
        <v>78</v>
      </c>
      <c r="F167" s="80" t="str">
        <f t="shared" si="4"/>
        <v>Sim</v>
      </c>
      <c r="G167" s="61">
        <f>SUMIFS(BASE!$G:$G,BASE!$L:$L,$C167,BASE!$J:$J,$B167,BASE!$A:$A,G$6)</f>
        <v>628</v>
      </c>
      <c r="H167" s="17">
        <f>SUMIFS(BASE!$G:$G,BASE!$L:$L,$C167,BASE!$J:$J,$B167,BASE!$A:$A,H$6)</f>
        <v>544</v>
      </c>
      <c r="I167" s="17">
        <f>SUMIFS(BASE!$G:$G,BASE!$L:$L,$C167,BASE!$J:$J,$B167,BASE!$A:$A,I$6)</f>
        <v>862</v>
      </c>
      <c r="J167" s="17">
        <f>SUMIFS(BASE!$G:$G,BASE!$L:$L,$C167,BASE!$J:$J,$B167,BASE!$A:$A,J$6)</f>
        <v>610</v>
      </c>
      <c r="K167" s="17">
        <f>SUMIFS(BASE!$G:$G,BASE!$L:$L,$C167,BASE!$J:$J,$B167,BASE!$A:$A,K$6)</f>
        <v>870</v>
      </c>
      <c r="L167" s="17">
        <f>SUMIFS(BASE!$G:$G,BASE!$L:$L,$C167,BASE!$J:$J,$B167,BASE!$A:$A,L$6)</f>
        <v>786</v>
      </c>
      <c r="M167" s="17">
        <f>SUMIFS(BASE!$G:$G,BASE!$L:$L,$C167,BASE!$J:$J,$B167,BASE!$A:$A,M$6)</f>
        <v>1161</v>
      </c>
      <c r="N167" s="74">
        <f>SUMIFS(BASE!$G:$G,BASE!$L:$L,$C167,BASE!$J:$J,$B167,BASE!$A:$A,N$6)</f>
        <v>885</v>
      </c>
      <c r="O167" s="17">
        <f>SUMIFS(BASE!$G:$G,BASE!$L:$L,$C167,BASE!$J:$J,$B167,BASE!$A:$A,O$6)</f>
        <v>0</v>
      </c>
      <c r="P167" s="17">
        <f>SUMIFS(BASE!$G:$G,BASE!$L:$L,$C167,BASE!$J:$J,$B167,BASE!$A:$A,P$6)</f>
        <v>0</v>
      </c>
      <c r="Q167" s="17">
        <f>SUMIFS(BASE!$G:$G,BASE!$L:$L,$C167,BASE!$J:$J,$B167,BASE!$A:$A,Q$6)</f>
        <v>0</v>
      </c>
      <c r="R167" s="17">
        <f>SUMIFS(BASE!$G:$G,BASE!$L:$L,$C167,BASE!$J:$J,$B167,BASE!$A:$A,R$6)</f>
        <v>0</v>
      </c>
      <c r="T167" s="44" t="str">
        <f t="shared" si="5"/>
        <v>COM TROCAS</v>
      </c>
    </row>
    <row r="168" spans="2:20">
      <c r="B168" s="71" t="s">
        <v>233</v>
      </c>
      <c r="C168" s="71" t="s">
        <v>55</v>
      </c>
      <c r="D168" s="7">
        <f>COUNTIFS(PDVS!H:H,"SIM",PDVS!C:C,B168)</f>
        <v>0</v>
      </c>
      <c r="E168" s="7">
        <f>COUNTIFS(PDVS!C:C,B168,PDVS!I:I,"SIM")</f>
        <v>4</v>
      </c>
      <c r="F168" s="80" t="str">
        <f t="shared" si="4"/>
        <v>Sim</v>
      </c>
      <c r="G168" s="61">
        <f>SUMIFS(BASE!$G:$G,BASE!$L:$L,$C168,BASE!$J:$J,$B168,BASE!$A:$A,G$6)</f>
        <v>10</v>
      </c>
      <c r="H168" s="17">
        <f>SUMIFS(BASE!$G:$G,BASE!$L:$L,$C168,BASE!$J:$J,$B168,BASE!$A:$A,H$6)</f>
        <v>3</v>
      </c>
      <c r="I168" s="17">
        <f>SUMIFS(BASE!$G:$G,BASE!$L:$L,$C168,BASE!$J:$J,$B168,BASE!$A:$A,I$6)</f>
        <v>5</v>
      </c>
      <c r="J168" s="17">
        <f>SUMIFS(BASE!$G:$G,BASE!$L:$L,$C168,BASE!$J:$J,$B168,BASE!$A:$A,J$6)</f>
        <v>6</v>
      </c>
      <c r="K168" s="17">
        <f>SUMIFS(BASE!$G:$G,BASE!$L:$L,$C168,BASE!$J:$J,$B168,BASE!$A:$A,K$6)</f>
        <v>8</v>
      </c>
      <c r="L168" s="17">
        <f>SUMIFS(BASE!$G:$G,BASE!$L:$L,$C168,BASE!$J:$J,$B168,BASE!$A:$A,L$6)</f>
        <v>11</v>
      </c>
      <c r="M168" s="17">
        <f>SUMIFS(BASE!$G:$G,BASE!$L:$L,$C168,BASE!$J:$J,$B168,BASE!$A:$A,M$6)</f>
        <v>15</v>
      </c>
      <c r="N168" s="74">
        <f>SUMIFS(BASE!$G:$G,BASE!$L:$L,$C168,BASE!$J:$J,$B168,BASE!$A:$A,N$6)</f>
        <v>11</v>
      </c>
      <c r="O168" s="17">
        <f>SUMIFS(BASE!$G:$G,BASE!$L:$L,$C168,BASE!$J:$J,$B168,BASE!$A:$A,O$6)</f>
        <v>0</v>
      </c>
      <c r="P168" s="17">
        <f>SUMIFS(BASE!$G:$G,BASE!$L:$L,$C168,BASE!$J:$J,$B168,BASE!$A:$A,P$6)</f>
        <v>0</v>
      </c>
      <c r="Q168" s="17">
        <f>SUMIFS(BASE!$G:$G,BASE!$L:$L,$C168,BASE!$J:$J,$B168,BASE!$A:$A,Q$6)</f>
        <v>0</v>
      </c>
      <c r="R168" s="17">
        <f>SUMIFS(BASE!$G:$G,BASE!$L:$L,$C168,BASE!$J:$J,$B168,BASE!$A:$A,R$6)</f>
        <v>0</v>
      </c>
      <c r="T168" s="44" t="str">
        <f t="shared" si="5"/>
        <v>COM TROCAS</v>
      </c>
    </row>
    <row r="169" spans="2:20" ht="15" thickBot="1">
      <c r="B169" s="71" t="s">
        <v>234</v>
      </c>
      <c r="C169" s="71" t="s">
        <v>55</v>
      </c>
      <c r="D169" s="62">
        <f>COUNTIFS(PDVS!H:H,"SIM",PDVS!C:C,B169)</f>
        <v>0</v>
      </c>
      <c r="E169" s="62">
        <f>COUNTIFS(PDVS!C:C,B169,PDVS!I:I,"SIM")</f>
        <v>15</v>
      </c>
      <c r="F169" s="80" t="str">
        <f t="shared" si="4"/>
        <v>Sim</v>
      </c>
      <c r="G169" s="61">
        <f>SUMIFS(BASE!$G:$G,BASE!$L:$L,$C169,BASE!$J:$J,$B169,BASE!$A:$A,G$6)</f>
        <v>41</v>
      </c>
      <c r="H169" s="17">
        <f>SUMIFS(BASE!$G:$G,BASE!$L:$L,$C169,BASE!$J:$J,$B169,BASE!$A:$A,H$6)</f>
        <v>27</v>
      </c>
      <c r="I169" s="17">
        <f>SUMIFS(BASE!$G:$G,BASE!$L:$L,$C169,BASE!$J:$J,$B169,BASE!$A:$A,I$6)</f>
        <v>43</v>
      </c>
      <c r="J169" s="17">
        <f>SUMIFS(BASE!$G:$G,BASE!$L:$L,$C169,BASE!$J:$J,$B169,BASE!$A:$A,J$6)</f>
        <v>30</v>
      </c>
      <c r="K169" s="17">
        <f>SUMIFS(BASE!$G:$G,BASE!$L:$L,$C169,BASE!$J:$J,$B169,BASE!$A:$A,K$6)</f>
        <v>36</v>
      </c>
      <c r="L169" s="17">
        <f>SUMIFS(BASE!$G:$G,BASE!$L:$L,$C169,BASE!$J:$J,$B169,BASE!$A:$A,L$6)</f>
        <v>32</v>
      </c>
      <c r="M169" s="17">
        <f>SUMIFS(BASE!$G:$G,BASE!$L:$L,$C169,BASE!$J:$J,$B169,BASE!$A:$A,M$6)</f>
        <v>42</v>
      </c>
      <c r="N169" s="74">
        <f>SUMIFS(BASE!$G:$G,BASE!$L:$L,$C169,BASE!$J:$J,$B169,BASE!$A:$A,N$6)</f>
        <v>46</v>
      </c>
      <c r="O169" s="17">
        <f>SUMIFS(BASE!$G:$G,BASE!$L:$L,$C169,BASE!$J:$J,$B169,BASE!$A:$A,O$6)</f>
        <v>0</v>
      </c>
      <c r="P169" s="17">
        <f>SUMIFS(BASE!$G:$G,BASE!$L:$L,$C169,BASE!$J:$J,$B169,BASE!$A:$A,P$6)</f>
        <v>0</v>
      </c>
      <c r="Q169" s="17">
        <f>SUMIFS(BASE!$G:$G,BASE!$L:$L,$C169,BASE!$J:$J,$B169,BASE!$A:$A,Q$6)</f>
        <v>0</v>
      </c>
      <c r="R169" s="17">
        <f>SUMIFS(BASE!$G:$G,BASE!$L:$L,$C169,BASE!$J:$J,$B169,BASE!$A:$A,R$6)</f>
        <v>0</v>
      </c>
      <c r="T169" s="44" t="str">
        <f t="shared" si="5"/>
        <v>COM TROCAS</v>
      </c>
    </row>
    <row r="170" spans="2:20">
      <c r="B170" s="71" t="s">
        <v>235</v>
      </c>
      <c r="C170" s="71" t="s">
        <v>56</v>
      </c>
      <c r="D170" s="69">
        <f>COUNTIFS(PDVS!H:H,"SIM",PDVS!C:C,B170)</f>
        <v>0</v>
      </c>
      <c r="E170" s="70">
        <f>COUNTIFS(PDVS!C:C,B170,PDVS!I:I,"SIM")</f>
        <v>7</v>
      </c>
      <c r="F170" s="80" t="str">
        <f t="shared" si="4"/>
        <v>Sim</v>
      </c>
      <c r="G170" s="61">
        <f>SUMIFS(BASE!$G:$G,BASE!$L:$L,$C170,BASE!$J:$J,$B170,BASE!$A:$A,G$6)</f>
        <v>2</v>
      </c>
      <c r="H170" s="17">
        <f>SUMIFS(BASE!$G:$G,BASE!$L:$L,$C170,BASE!$J:$J,$B170,BASE!$A:$A,H$6)</f>
        <v>3</v>
      </c>
      <c r="I170" s="17">
        <f>SUMIFS(BASE!$G:$G,BASE!$L:$L,$C170,BASE!$J:$J,$B170,BASE!$A:$A,I$6)</f>
        <v>1</v>
      </c>
      <c r="J170" s="17">
        <f>SUMIFS(BASE!$G:$G,BASE!$L:$L,$C170,BASE!$J:$J,$B170,BASE!$A:$A,J$6)</f>
        <v>2</v>
      </c>
      <c r="K170" s="17">
        <f>SUMIFS(BASE!$G:$G,BASE!$L:$L,$C170,BASE!$J:$J,$B170,BASE!$A:$A,K$6)</f>
        <v>0</v>
      </c>
      <c r="L170" s="17">
        <f>SUMIFS(BASE!$G:$G,BASE!$L:$L,$C170,BASE!$J:$J,$B170,BASE!$A:$A,L$6)</f>
        <v>3</v>
      </c>
      <c r="M170" s="17">
        <f>SUMIFS(BASE!$G:$G,BASE!$L:$L,$C170,BASE!$J:$J,$B170,BASE!$A:$A,M$6)</f>
        <v>5</v>
      </c>
      <c r="N170" s="74">
        <f>SUMIFS(BASE!$G:$G,BASE!$L:$L,$C170,BASE!$J:$J,$B170,BASE!$A:$A,N$6)</f>
        <v>5</v>
      </c>
      <c r="O170" s="17">
        <f>SUMIFS(BASE!$G:$G,BASE!$L:$L,$C170,BASE!$J:$J,$B170,BASE!$A:$A,O$6)</f>
        <v>0</v>
      </c>
      <c r="P170" s="17">
        <f>SUMIFS(BASE!$G:$G,BASE!$L:$L,$C170,BASE!$J:$J,$B170,BASE!$A:$A,P$6)</f>
        <v>0</v>
      </c>
      <c r="Q170" s="17">
        <f>SUMIFS(BASE!$G:$G,BASE!$L:$L,$C170,BASE!$J:$J,$B170,BASE!$A:$A,Q$6)</f>
        <v>0</v>
      </c>
      <c r="R170" s="17">
        <f>SUMIFS(BASE!$G:$G,BASE!$L:$L,$C170,BASE!$J:$J,$B170,BASE!$A:$A,R$6)</f>
        <v>0</v>
      </c>
      <c r="T170" s="44" t="str">
        <f t="shared" si="5"/>
        <v>COM TROCAS</v>
      </c>
    </row>
    <row r="171" spans="2:20">
      <c r="B171" s="71" t="s">
        <v>236</v>
      </c>
      <c r="C171" s="71" t="s">
        <v>60</v>
      </c>
      <c r="D171" s="67">
        <f>COUNTIFS(PDVS!H:H,"SIM",PDVS!C:C,B171)</f>
        <v>0</v>
      </c>
      <c r="E171" s="68">
        <f>COUNTIFS(PDVS!C:C,B171,PDVS!I:I,"SIM")</f>
        <v>6</v>
      </c>
      <c r="F171" s="80" t="str">
        <f t="shared" si="4"/>
        <v>Sim</v>
      </c>
      <c r="G171" s="61">
        <f>SUMIFS(BASE!$G:$G,BASE!$L:$L,$C171,BASE!$J:$J,$B171,BASE!$A:$A,G$6)</f>
        <v>0</v>
      </c>
      <c r="H171" s="17">
        <f>SUMIFS(BASE!$G:$G,BASE!$L:$L,$C171,BASE!$J:$J,$B171,BASE!$A:$A,H$6)</f>
        <v>1</v>
      </c>
      <c r="I171" s="17">
        <f>SUMIFS(BASE!$G:$G,BASE!$L:$L,$C171,BASE!$J:$J,$B171,BASE!$A:$A,I$6)</f>
        <v>1</v>
      </c>
      <c r="J171" s="17">
        <f>SUMIFS(BASE!$G:$G,BASE!$L:$L,$C171,BASE!$J:$J,$B171,BASE!$A:$A,J$6)</f>
        <v>0</v>
      </c>
      <c r="K171" s="17">
        <f>SUMIFS(BASE!$G:$G,BASE!$L:$L,$C171,BASE!$J:$J,$B171,BASE!$A:$A,K$6)</f>
        <v>3</v>
      </c>
      <c r="L171" s="17">
        <f>SUMIFS(BASE!$G:$G,BASE!$L:$L,$C171,BASE!$J:$J,$B171,BASE!$A:$A,L$6)</f>
        <v>5</v>
      </c>
      <c r="M171" s="17">
        <f>SUMIFS(BASE!$G:$G,BASE!$L:$L,$C171,BASE!$J:$J,$B171,BASE!$A:$A,M$6)</f>
        <v>2</v>
      </c>
      <c r="N171" s="74">
        <f>SUMIFS(BASE!$G:$G,BASE!$L:$L,$C171,BASE!$J:$J,$B171,BASE!$A:$A,N$6)</f>
        <v>6</v>
      </c>
      <c r="O171" s="17">
        <f>SUMIFS(BASE!$G:$G,BASE!$L:$L,$C171,BASE!$J:$J,$B171,BASE!$A:$A,O$6)</f>
        <v>0</v>
      </c>
      <c r="P171" s="17">
        <f>SUMIFS(BASE!$G:$G,BASE!$L:$L,$C171,BASE!$J:$J,$B171,BASE!$A:$A,P$6)</f>
        <v>0</v>
      </c>
      <c r="Q171" s="17">
        <f>SUMIFS(BASE!$G:$G,BASE!$L:$L,$C171,BASE!$J:$J,$B171,BASE!$A:$A,Q$6)</f>
        <v>0</v>
      </c>
      <c r="R171" s="17">
        <f>SUMIFS(BASE!$G:$G,BASE!$L:$L,$C171,BASE!$J:$J,$B171,BASE!$A:$A,R$6)</f>
        <v>0</v>
      </c>
      <c r="T171" s="44" t="str">
        <f t="shared" si="5"/>
        <v>COM TROCAS</v>
      </c>
    </row>
    <row r="172" spans="2:20">
      <c r="B172" s="71" t="s">
        <v>237</v>
      </c>
      <c r="C172" s="71" t="s">
        <v>55</v>
      </c>
      <c r="D172" s="7">
        <f>COUNTIFS(PDVS!H:H,"SIM",PDVS!C:C,B172)</f>
        <v>0</v>
      </c>
      <c r="E172" s="7">
        <f>COUNTIFS(PDVS!C:C,B172,PDVS!I:I,"SIM")</f>
        <v>26</v>
      </c>
      <c r="F172" s="80" t="str">
        <f t="shared" si="4"/>
        <v>Sim</v>
      </c>
      <c r="G172" s="61">
        <f>SUMIFS(BASE!$G:$G,BASE!$L:$L,$C172,BASE!$J:$J,$B172,BASE!$A:$A,G$6)</f>
        <v>28</v>
      </c>
      <c r="H172" s="17">
        <f>SUMIFS(BASE!$G:$G,BASE!$L:$L,$C172,BASE!$J:$J,$B172,BASE!$A:$A,H$6)</f>
        <v>25</v>
      </c>
      <c r="I172" s="17">
        <f>SUMIFS(BASE!$G:$G,BASE!$L:$L,$C172,BASE!$J:$J,$B172,BASE!$A:$A,I$6)</f>
        <v>76</v>
      </c>
      <c r="J172" s="17">
        <f>SUMIFS(BASE!$G:$G,BASE!$L:$L,$C172,BASE!$J:$J,$B172,BASE!$A:$A,J$6)</f>
        <v>67</v>
      </c>
      <c r="K172" s="17">
        <f>SUMIFS(BASE!$G:$G,BASE!$L:$L,$C172,BASE!$J:$J,$B172,BASE!$A:$A,K$6)</f>
        <v>97</v>
      </c>
      <c r="L172" s="17">
        <f>SUMIFS(BASE!$G:$G,BASE!$L:$L,$C172,BASE!$J:$J,$B172,BASE!$A:$A,L$6)</f>
        <v>71</v>
      </c>
      <c r="M172" s="17">
        <f>SUMIFS(BASE!$G:$G,BASE!$L:$L,$C172,BASE!$J:$J,$B172,BASE!$A:$A,M$6)</f>
        <v>125</v>
      </c>
      <c r="N172" s="74">
        <f>SUMIFS(BASE!$G:$G,BASE!$L:$L,$C172,BASE!$J:$J,$B172,BASE!$A:$A,N$6)</f>
        <v>186</v>
      </c>
      <c r="O172" s="17">
        <f>SUMIFS(BASE!$G:$G,BASE!$L:$L,$C172,BASE!$J:$J,$B172,BASE!$A:$A,O$6)</f>
        <v>0</v>
      </c>
      <c r="P172" s="17">
        <f>SUMIFS(BASE!$G:$G,BASE!$L:$L,$C172,BASE!$J:$J,$B172,BASE!$A:$A,P$6)</f>
        <v>0</v>
      </c>
      <c r="Q172" s="17">
        <f>SUMIFS(BASE!$G:$G,BASE!$L:$L,$C172,BASE!$J:$J,$B172,BASE!$A:$A,Q$6)</f>
        <v>0</v>
      </c>
      <c r="R172" s="17">
        <f>SUMIFS(BASE!$G:$G,BASE!$L:$L,$C172,BASE!$J:$J,$B172,BASE!$A:$A,R$6)</f>
        <v>0</v>
      </c>
      <c r="T172" s="44" t="str">
        <f t="shared" si="5"/>
        <v>COM TROCAS</v>
      </c>
    </row>
    <row r="173" spans="2:20">
      <c r="B173" s="71" t="s">
        <v>238</v>
      </c>
      <c r="C173" s="71" t="s">
        <v>61</v>
      </c>
      <c r="D173" s="7">
        <f>COUNTIFS(PDVS!H:H,"SIM",PDVS!C:C,B173)</f>
        <v>0</v>
      </c>
      <c r="E173" s="7">
        <f>COUNTIFS(PDVS!C:C,B173,PDVS!I:I,"SIM")</f>
        <v>8</v>
      </c>
      <c r="F173" s="80" t="str">
        <f t="shared" si="4"/>
        <v>Sim</v>
      </c>
      <c r="G173" s="61">
        <f>SUMIFS(BASE!$G:$G,BASE!$L:$L,$C173,BASE!$J:$J,$B173,BASE!$A:$A,G$6)</f>
        <v>5</v>
      </c>
      <c r="H173" s="17">
        <f>SUMIFS(BASE!$G:$G,BASE!$L:$L,$C173,BASE!$J:$J,$B173,BASE!$A:$A,H$6)</f>
        <v>5</v>
      </c>
      <c r="I173" s="17">
        <f>SUMIFS(BASE!$G:$G,BASE!$L:$L,$C173,BASE!$J:$J,$B173,BASE!$A:$A,I$6)</f>
        <v>8</v>
      </c>
      <c r="J173" s="17">
        <f>SUMIFS(BASE!$G:$G,BASE!$L:$L,$C173,BASE!$J:$J,$B173,BASE!$A:$A,J$6)</f>
        <v>15</v>
      </c>
      <c r="K173" s="17">
        <f>SUMIFS(BASE!$G:$G,BASE!$L:$L,$C173,BASE!$J:$J,$B173,BASE!$A:$A,K$6)</f>
        <v>18</v>
      </c>
      <c r="L173" s="17">
        <f>SUMIFS(BASE!$G:$G,BASE!$L:$L,$C173,BASE!$J:$J,$B173,BASE!$A:$A,L$6)</f>
        <v>13</v>
      </c>
      <c r="M173" s="17">
        <f>SUMIFS(BASE!$G:$G,BASE!$L:$L,$C173,BASE!$J:$J,$B173,BASE!$A:$A,M$6)</f>
        <v>41</v>
      </c>
      <c r="N173" s="74">
        <f>SUMIFS(BASE!$G:$G,BASE!$L:$L,$C173,BASE!$J:$J,$B173,BASE!$A:$A,N$6)</f>
        <v>51</v>
      </c>
      <c r="O173" s="17">
        <f>SUMIFS(BASE!$G:$G,BASE!$L:$L,$C173,BASE!$J:$J,$B173,BASE!$A:$A,O$6)</f>
        <v>0</v>
      </c>
      <c r="P173" s="17">
        <f>SUMIFS(BASE!$G:$G,BASE!$L:$L,$C173,BASE!$J:$J,$B173,BASE!$A:$A,P$6)</f>
        <v>0</v>
      </c>
      <c r="Q173" s="17">
        <f>SUMIFS(BASE!$G:$G,BASE!$L:$L,$C173,BASE!$J:$J,$B173,BASE!$A:$A,Q$6)</f>
        <v>0</v>
      </c>
      <c r="R173" s="17">
        <f>SUMIFS(BASE!$G:$G,BASE!$L:$L,$C173,BASE!$J:$J,$B173,BASE!$A:$A,R$6)</f>
        <v>0</v>
      </c>
      <c r="T173" s="44" t="str">
        <f t="shared" si="5"/>
        <v>COM TROCAS</v>
      </c>
    </row>
    <row r="174" spans="2:20">
      <c r="B174" s="71" t="s">
        <v>239</v>
      </c>
      <c r="C174" s="71" t="s">
        <v>59</v>
      </c>
      <c r="D174" s="7">
        <f>COUNTIFS(PDVS!H:H,"SIM",PDVS!C:C,B174)</f>
        <v>0</v>
      </c>
      <c r="E174" s="7">
        <f>COUNTIFS(PDVS!C:C,B174,PDVS!I:I,"SIM")</f>
        <v>65</v>
      </c>
      <c r="F174" s="80" t="str">
        <f t="shared" si="4"/>
        <v>Sim</v>
      </c>
      <c r="G174" s="61">
        <f>SUMIFS(BASE!$G:$G,BASE!$L:$L,$C174,BASE!$J:$J,$B174,BASE!$A:$A,G$6)</f>
        <v>125</v>
      </c>
      <c r="H174" s="17">
        <f>SUMIFS(BASE!$G:$G,BASE!$L:$L,$C174,BASE!$J:$J,$B174,BASE!$A:$A,H$6)</f>
        <v>96</v>
      </c>
      <c r="I174" s="17">
        <f>SUMIFS(BASE!$G:$G,BASE!$L:$L,$C174,BASE!$J:$J,$B174,BASE!$A:$A,I$6)</f>
        <v>233</v>
      </c>
      <c r="J174" s="17">
        <f>SUMIFS(BASE!$G:$G,BASE!$L:$L,$C174,BASE!$J:$J,$B174,BASE!$A:$A,J$6)</f>
        <v>139</v>
      </c>
      <c r="K174" s="17">
        <f>SUMIFS(BASE!$G:$G,BASE!$L:$L,$C174,BASE!$J:$J,$B174,BASE!$A:$A,K$6)</f>
        <v>209</v>
      </c>
      <c r="L174" s="17">
        <f>SUMIFS(BASE!$G:$G,BASE!$L:$L,$C174,BASE!$J:$J,$B174,BASE!$A:$A,L$6)</f>
        <v>202</v>
      </c>
      <c r="M174" s="17">
        <f>SUMIFS(BASE!$G:$G,BASE!$L:$L,$C174,BASE!$J:$J,$B174,BASE!$A:$A,M$6)</f>
        <v>374</v>
      </c>
      <c r="N174" s="74">
        <f>SUMIFS(BASE!$G:$G,BASE!$L:$L,$C174,BASE!$J:$J,$B174,BASE!$A:$A,N$6)</f>
        <v>276</v>
      </c>
      <c r="O174" s="17">
        <f>SUMIFS(BASE!$G:$G,BASE!$L:$L,$C174,BASE!$J:$J,$B174,BASE!$A:$A,O$6)</f>
        <v>0</v>
      </c>
      <c r="P174" s="17">
        <f>SUMIFS(BASE!$G:$G,BASE!$L:$L,$C174,BASE!$J:$J,$B174,BASE!$A:$A,P$6)</f>
        <v>0</v>
      </c>
      <c r="Q174" s="17">
        <f>SUMIFS(BASE!$G:$G,BASE!$L:$L,$C174,BASE!$J:$J,$B174,BASE!$A:$A,Q$6)</f>
        <v>0</v>
      </c>
      <c r="R174" s="17">
        <f>SUMIFS(BASE!$G:$G,BASE!$L:$L,$C174,BASE!$J:$J,$B174,BASE!$A:$A,R$6)</f>
        <v>0</v>
      </c>
      <c r="T174" s="44" t="str">
        <f t="shared" si="5"/>
        <v>COM TROCAS</v>
      </c>
    </row>
    <row r="175" spans="2:20" ht="15" thickBot="1">
      <c r="B175" s="71" t="s">
        <v>239</v>
      </c>
      <c r="C175" s="71" t="s">
        <v>56</v>
      </c>
      <c r="D175" s="62">
        <f>COUNTIFS(PDVS!H:H,"SIM",PDVS!C:C,B175)</f>
        <v>0</v>
      </c>
      <c r="E175" s="62">
        <f>COUNTIFS(PDVS!C:C,B175,PDVS!I:I,"SIM")</f>
        <v>65</v>
      </c>
      <c r="F175" s="80" t="str">
        <f t="shared" si="4"/>
        <v>Sim</v>
      </c>
      <c r="G175" s="61">
        <f>SUMIFS(BASE!$G:$G,BASE!$L:$L,$C175,BASE!$J:$J,$B175,BASE!$A:$A,G$6)</f>
        <v>11</v>
      </c>
      <c r="H175" s="17">
        <f>SUMIFS(BASE!$G:$G,BASE!$L:$L,$C175,BASE!$J:$J,$B175,BASE!$A:$A,H$6)</f>
        <v>11</v>
      </c>
      <c r="I175" s="17">
        <f>SUMIFS(BASE!$G:$G,BASE!$L:$L,$C175,BASE!$J:$J,$B175,BASE!$A:$A,I$6)</f>
        <v>33</v>
      </c>
      <c r="J175" s="17">
        <f>SUMIFS(BASE!$G:$G,BASE!$L:$L,$C175,BASE!$J:$J,$B175,BASE!$A:$A,J$6)</f>
        <v>22</v>
      </c>
      <c r="K175" s="17">
        <f>SUMIFS(BASE!$G:$G,BASE!$L:$L,$C175,BASE!$J:$J,$B175,BASE!$A:$A,K$6)</f>
        <v>26</v>
      </c>
      <c r="L175" s="17">
        <f>SUMIFS(BASE!$G:$G,BASE!$L:$L,$C175,BASE!$J:$J,$B175,BASE!$A:$A,L$6)</f>
        <v>23</v>
      </c>
      <c r="M175" s="17">
        <f>SUMIFS(BASE!$G:$G,BASE!$L:$L,$C175,BASE!$J:$J,$B175,BASE!$A:$A,M$6)</f>
        <v>57</v>
      </c>
      <c r="N175" s="74">
        <f>SUMIFS(BASE!$G:$G,BASE!$L:$L,$C175,BASE!$J:$J,$B175,BASE!$A:$A,N$6)</f>
        <v>23</v>
      </c>
      <c r="O175" s="17">
        <f>SUMIFS(BASE!$G:$G,BASE!$L:$L,$C175,BASE!$J:$J,$B175,BASE!$A:$A,O$6)</f>
        <v>0</v>
      </c>
      <c r="P175" s="17">
        <f>SUMIFS(BASE!$G:$G,BASE!$L:$L,$C175,BASE!$J:$J,$B175,BASE!$A:$A,P$6)</f>
        <v>0</v>
      </c>
      <c r="Q175" s="17">
        <f>SUMIFS(BASE!$G:$G,BASE!$L:$L,$C175,BASE!$J:$J,$B175,BASE!$A:$A,Q$6)</f>
        <v>0</v>
      </c>
      <c r="R175" s="17">
        <f>SUMIFS(BASE!$G:$G,BASE!$L:$L,$C175,BASE!$J:$J,$B175,BASE!$A:$A,R$6)</f>
        <v>0</v>
      </c>
      <c r="T175" s="44" t="str">
        <f t="shared" si="5"/>
        <v>COM TROCAS</v>
      </c>
    </row>
    <row r="176" spans="2:20">
      <c r="B176" s="71" t="s">
        <v>240</v>
      </c>
      <c r="C176" s="71" t="s">
        <v>59</v>
      </c>
      <c r="D176" s="69">
        <f>COUNTIFS(PDVS!H:H,"SIM",PDVS!C:C,B176)</f>
        <v>0</v>
      </c>
      <c r="E176" s="70">
        <f>COUNTIFS(PDVS!C:C,B176,PDVS!I:I,"SIM")</f>
        <v>13</v>
      </c>
      <c r="F176" s="80" t="str">
        <f t="shared" si="4"/>
        <v>Sim</v>
      </c>
      <c r="G176" s="61">
        <f>SUMIFS(BASE!$G:$G,BASE!$L:$L,$C176,BASE!$J:$J,$B176,BASE!$A:$A,G$6)</f>
        <v>1</v>
      </c>
      <c r="H176" s="17">
        <f>SUMIFS(BASE!$G:$G,BASE!$L:$L,$C176,BASE!$J:$J,$B176,BASE!$A:$A,H$6)</f>
        <v>5</v>
      </c>
      <c r="I176" s="17">
        <f>SUMIFS(BASE!$G:$G,BASE!$L:$L,$C176,BASE!$J:$J,$B176,BASE!$A:$A,I$6)</f>
        <v>18</v>
      </c>
      <c r="J176" s="17">
        <f>SUMIFS(BASE!$G:$G,BASE!$L:$L,$C176,BASE!$J:$J,$B176,BASE!$A:$A,J$6)</f>
        <v>7</v>
      </c>
      <c r="K176" s="17">
        <f>SUMIFS(BASE!$G:$G,BASE!$L:$L,$C176,BASE!$J:$J,$B176,BASE!$A:$A,K$6)</f>
        <v>15</v>
      </c>
      <c r="L176" s="17">
        <f>SUMIFS(BASE!$G:$G,BASE!$L:$L,$C176,BASE!$J:$J,$B176,BASE!$A:$A,L$6)</f>
        <v>25</v>
      </c>
      <c r="M176" s="17">
        <f>SUMIFS(BASE!$G:$G,BASE!$L:$L,$C176,BASE!$J:$J,$B176,BASE!$A:$A,M$6)</f>
        <v>46</v>
      </c>
      <c r="N176" s="74">
        <f>SUMIFS(BASE!$G:$G,BASE!$L:$L,$C176,BASE!$J:$J,$B176,BASE!$A:$A,N$6)</f>
        <v>30</v>
      </c>
      <c r="O176" s="17">
        <f>SUMIFS(BASE!$G:$G,BASE!$L:$L,$C176,BASE!$J:$J,$B176,BASE!$A:$A,O$6)</f>
        <v>0</v>
      </c>
      <c r="P176" s="17">
        <f>SUMIFS(BASE!$G:$G,BASE!$L:$L,$C176,BASE!$J:$J,$B176,BASE!$A:$A,P$6)</f>
        <v>0</v>
      </c>
      <c r="Q176" s="17">
        <f>SUMIFS(BASE!$G:$G,BASE!$L:$L,$C176,BASE!$J:$J,$B176,BASE!$A:$A,Q$6)</f>
        <v>0</v>
      </c>
      <c r="R176" s="17">
        <f>SUMIFS(BASE!$G:$G,BASE!$L:$L,$C176,BASE!$J:$J,$B176,BASE!$A:$A,R$6)</f>
        <v>0</v>
      </c>
      <c r="T176" s="44" t="str">
        <f t="shared" si="5"/>
        <v>COM TROCAS</v>
      </c>
    </row>
    <row r="177" spans="2:20" ht="15" thickBot="1">
      <c r="B177" s="77" t="s">
        <v>241</v>
      </c>
      <c r="C177" s="77" t="s">
        <v>54</v>
      </c>
      <c r="D177" s="67">
        <f>COUNTIFS(PDVS!H:H,"SIM",PDVS!C:C,B177)</f>
        <v>0</v>
      </c>
      <c r="E177" s="68">
        <f>COUNTIFS(PDVS!C:C,B177,PDVS!I:I,"SIM")</f>
        <v>1</v>
      </c>
      <c r="F177" s="81" t="str">
        <f t="shared" si="4"/>
        <v>Sim</v>
      </c>
      <c r="G177" s="61">
        <f>SUMIFS(BASE!$G:$G,BASE!$L:$L,$C177,BASE!$J:$J,$B177,BASE!$A:$A,G$6)</f>
        <v>2</v>
      </c>
      <c r="H177" s="17">
        <f>SUMIFS(BASE!$G:$G,BASE!$L:$L,$C177,BASE!$J:$J,$B177,BASE!$A:$A,H$6)</f>
        <v>0</v>
      </c>
      <c r="I177" s="17">
        <f>SUMIFS(BASE!$G:$G,BASE!$L:$L,$C177,BASE!$J:$J,$B177,BASE!$A:$A,I$6)</f>
        <v>3</v>
      </c>
      <c r="J177" s="17">
        <f>SUMIFS(BASE!$G:$G,BASE!$L:$L,$C177,BASE!$J:$J,$B177,BASE!$A:$A,J$6)</f>
        <v>1</v>
      </c>
      <c r="K177" s="17">
        <f>SUMIFS(BASE!$G:$G,BASE!$L:$L,$C177,BASE!$J:$J,$B177,BASE!$A:$A,K$6)</f>
        <v>1</v>
      </c>
      <c r="L177" s="17">
        <f>SUMIFS(BASE!$G:$G,BASE!$L:$L,$C177,BASE!$J:$J,$B177,BASE!$A:$A,L$6)</f>
        <v>2</v>
      </c>
      <c r="M177" s="17">
        <f>SUMIFS(BASE!$G:$G,BASE!$L:$L,$C177,BASE!$J:$J,$B177,BASE!$A:$A,M$6)</f>
        <v>2</v>
      </c>
      <c r="N177" s="75">
        <f>SUMIFS(BASE!$G:$G,BASE!$L:$L,$C177,BASE!$J:$J,$B177,BASE!$A:$A,N$6)</f>
        <v>6</v>
      </c>
      <c r="O177" s="17">
        <f>SUMIFS(BASE!$G:$G,BASE!$L:$L,$C177,BASE!$J:$J,$B177,BASE!$A:$A,O$6)</f>
        <v>0</v>
      </c>
      <c r="P177" s="17">
        <f>SUMIFS(BASE!$G:$G,BASE!$L:$L,$C177,BASE!$J:$J,$B177,BASE!$A:$A,P$6)</f>
        <v>0</v>
      </c>
      <c r="Q177" s="17">
        <f>SUMIFS(BASE!$G:$G,BASE!$L:$L,$C177,BASE!$J:$J,$B177,BASE!$A:$A,Q$6)</f>
        <v>0</v>
      </c>
      <c r="R177" s="17">
        <f>SUMIFS(BASE!$G:$G,BASE!$L:$L,$C177,BASE!$J:$J,$B177,BASE!$A:$A,R$6)</f>
        <v>0</v>
      </c>
      <c r="T177" s="44" t="str">
        <f t="shared" si="5"/>
        <v>COM TROCAS</v>
      </c>
    </row>
    <row r="178" spans="2:20">
      <c r="G178" s="16">
        <f t="shared" ref="G178:R178" si="6">SUM(G7:G177)</f>
        <v>1992</v>
      </c>
      <c r="H178" s="16">
        <f t="shared" si="6"/>
        <v>1651</v>
      </c>
      <c r="I178" s="16">
        <f t="shared" si="6"/>
        <v>2955</v>
      </c>
      <c r="J178" s="16">
        <f t="shared" si="6"/>
        <v>2357</v>
      </c>
      <c r="K178" s="16">
        <f t="shared" si="6"/>
        <v>2919</v>
      </c>
      <c r="L178" s="16">
        <f t="shared" si="6"/>
        <v>3004</v>
      </c>
      <c r="M178" s="16">
        <f t="shared" si="6"/>
        <v>5021</v>
      </c>
      <c r="N178" s="16">
        <f t="shared" si="6"/>
        <v>3842</v>
      </c>
      <c r="O178" s="16">
        <f t="shared" si="6"/>
        <v>0</v>
      </c>
      <c r="P178" s="16">
        <f t="shared" si="6"/>
        <v>0</v>
      </c>
      <c r="Q178" s="16">
        <f t="shared" si="6"/>
        <v>0</v>
      </c>
      <c r="R178" s="16">
        <f t="shared" si="6"/>
        <v>0</v>
      </c>
      <c r="T178"/>
    </row>
  </sheetData>
  <autoFilter ref="B6:T178" xr:uid="{FCE864DC-EE69-40EE-86CD-F33D34C7F346}"/>
  <sortState xmlns:xlrd2="http://schemas.microsoft.com/office/spreadsheetml/2017/richdata2" ref="B6:T177">
    <sortCondition descending="1" ref="T6:T177"/>
  </sortState>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93C1-8CA3-4491-9DC0-9AD8FDDC54FA}">
  <sheetPr filterMode="1">
    <tabColor rgb="FFC00000"/>
  </sheetPr>
  <dimension ref="B1:X1010"/>
  <sheetViews>
    <sheetView showGridLines="0" topLeftCell="A994" workbookViewId="0">
      <selection activeCell="J3" sqref="J3:J1010"/>
    </sheetView>
  </sheetViews>
  <sheetFormatPr defaultRowHeight="14.45" outlineLevelCol="1"/>
  <cols>
    <col min="1" max="1" width="5.28515625" customWidth="1"/>
    <col min="3" max="3" width="50.42578125" bestFit="1" customWidth="1"/>
    <col min="4" max="6" width="9.140625" hidden="1" customWidth="1" outlineLevel="1"/>
    <col min="7" max="7" width="9.140625" collapsed="1"/>
    <col min="8" max="9" width="9.140625" hidden="1" customWidth="1" outlineLevel="1"/>
    <col min="10" max="10" width="9.140625" collapsed="1"/>
    <col min="12" max="12" width="10.42578125" customWidth="1"/>
    <col min="13" max="13" width="9.140625" style="4"/>
    <col min="14" max="14" width="11" style="4" customWidth="1"/>
    <col min="15" max="15" width="9.140625" style="4"/>
    <col min="16" max="16" width="10" style="4" bestFit="1" customWidth="1"/>
    <col min="17" max="17" width="9.140625" style="4"/>
    <col min="18" max="18" width="10.5703125" style="4" customWidth="1"/>
    <col min="19" max="19" width="9.140625" style="4"/>
    <col min="20" max="20" width="10" style="4" bestFit="1" customWidth="1"/>
    <col min="21" max="21" width="9.140625" style="4"/>
    <col min="22" max="22" width="10" style="4" customWidth="1"/>
  </cols>
  <sheetData>
    <row r="1" spans="2:24" s="5" customFormat="1" ht="14.25" customHeight="1" thickBot="1">
      <c r="M1" s="194"/>
      <c r="N1" s="195"/>
      <c r="O1" s="194"/>
      <c r="P1" s="195"/>
      <c r="Q1" s="194"/>
      <c r="R1" s="195"/>
      <c r="S1" s="194"/>
      <c r="T1" s="195"/>
      <c r="U1" s="194"/>
      <c r="V1" s="195"/>
    </row>
    <row r="2" spans="2:24" ht="24.6" thickBot="1">
      <c r="B2" s="11" t="s">
        <v>242</v>
      </c>
      <c r="C2" s="11" t="s">
        <v>243</v>
      </c>
      <c r="D2" s="11" t="s">
        <v>244</v>
      </c>
      <c r="E2" s="11" t="s">
        <v>245</v>
      </c>
      <c r="F2" s="11" t="s">
        <v>246</v>
      </c>
      <c r="G2" s="13" t="s">
        <v>76</v>
      </c>
      <c r="H2" s="47" t="s">
        <v>247</v>
      </c>
      <c r="I2" s="47" t="s">
        <v>248</v>
      </c>
      <c r="J2" s="47" t="s">
        <v>249</v>
      </c>
      <c r="K2" s="42">
        <v>46023</v>
      </c>
      <c r="L2" s="42">
        <v>46054</v>
      </c>
      <c r="M2" s="42">
        <v>46082</v>
      </c>
      <c r="N2" s="42">
        <v>46113</v>
      </c>
      <c r="O2" s="42">
        <v>46143</v>
      </c>
      <c r="P2" s="42">
        <v>46174</v>
      </c>
      <c r="Q2" s="42">
        <v>46204</v>
      </c>
      <c r="R2" s="42">
        <v>46235</v>
      </c>
      <c r="S2" s="42">
        <v>46266</v>
      </c>
      <c r="T2" s="42">
        <v>46296</v>
      </c>
      <c r="U2" s="42">
        <v>46327</v>
      </c>
      <c r="V2" s="42">
        <v>46357</v>
      </c>
      <c r="X2" s="38" t="s">
        <v>82</v>
      </c>
    </row>
    <row r="3" spans="2:24">
      <c r="B3" s="6" t="s">
        <v>250</v>
      </c>
      <c r="C3" s="7" t="s">
        <v>131</v>
      </c>
      <c r="D3" s="7" t="s">
        <v>251</v>
      </c>
      <c r="E3" s="7" t="s">
        <v>252</v>
      </c>
      <c r="F3" s="7" t="s">
        <v>253</v>
      </c>
      <c r="G3" s="7" t="s">
        <v>61</v>
      </c>
      <c r="H3" s="7" t="str">
        <f>IFERROR(IF(_xlfn.XLOOKUP(B3,REPASSE!D:D,REPASSE!D:D)="","Não","Sim"),"Não")</f>
        <v>Não</v>
      </c>
      <c r="I3" s="7" t="str">
        <f>IF(_xlfn.XLOOKUP(B3,'BOOST LIBERADO'!B:B,'BOOST LIBERADO'!B:B,"Não")="Não","Não","Sim")</f>
        <v>Sim</v>
      </c>
      <c r="J3" s="83" t="str">
        <f>IF(AND(H3="Não",I3="Sim"),"Sim","Não")</f>
        <v>Sim</v>
      </c>
      <c r="K3" s="12">
        <f>SUMIFS(BASE!$G:$G,BASE!$B:$B,$B3,BASE!$L:$L,$G3,BASE!$J:$J,$C3,BASE!$A:$A,K$2)</f>
        <v>0</v>
      </c>
      <c r="L3" s="12">
        <f>SUMIFS(BASE!$G:$G,BASE!$B:$B,$B3,BASE!$L:$L,$G3,BASE!$J:$J,$C3,BASE!$A:$A,L$2)</f>
        <v>0</v>
      </c>
      <c r="M3" s="12">
        <f>SUMIFS(BASE!$G:$G,BASE!$B:$B,$B3,BASE!$L:$L,$G3,BASE!$J:$J,$C3,BASE!$A:$A,M$2)</f>
        <v>0</v>
      </c>
      <c r="N3" s="12">
        <f>SUMIFS(BASE!$G:$G,BASE!$B:$B,$B3,BASE!$L:$L,$G3,BASE!$J:$J,$C3,BASE!$A:$A,N$2)</f>
        <v>0</v>
      </c>
      <c r="O3" s="12">
        <f>SUMIFS(BASE!$G:$G,BASE!$B:$B,$B3,BASE!$L:$L,$G3,BASE!$J:$J,$C3,BASE!$A:$A,O$2)</f>
        <v>0</v>
      </c>
      <c r="P3" s="12">
        <f>SUMIFS(BASE!$G:$G,BASE!$B:$B,$B3,BASE!$L:$L,$G3,BASE!$J:$J,$C3,BASE!$A:$A,P$2)</f>
        <v>0</v>
      </c>
      <c r="Q3" s="12">
        <f>SUMIFS(BASE!$G:$G,BASE!$B:$B,$B3,BASE!$L:$L,$G3,BASE!$J:$J,$C3,BASE!$A:$A,Q$2)</f>
        <v>0</v>
      </c>
      <c r="R3" s="12">
        <f>SUMIFS(BASE!$G:$G,BASE!$B:$B,$B3,BASE!$L:$L,$G3,BASE!$J:$J,$C3,BASE!$A:$A,R$2)</f>
        <v>0</v>
      </c>
      <c r="S3" s="12">
        <f>SUMIFS(BASE!$G:$G,BASE!$B:$B,$B3,BASE!$L:$L,$G3,BASE!$J:$J,$C3,BASE!$A:$A,S$2)</f>
        <v>0</v>
      </c>
      <c r="T3" s="12">
        <f>SUMIFS(BASE!$G:$G,BASE!$B:$B,$B3,BASE!$L:$L,$G3,BASE!$J:$J,$C3,BASE!$A:$A,T$2)</f>
        <v>0</v>
      </c>
      <c r="U3" s="12">
        <f>SUMIFS(BASE!$G:$G,BASE!$B:$B,$B3,BASE!$L:$L,$G3,BASE!$J:$J,$C3,BASE!$A:$A,U$2)</f>
        <v>0</v>
      </c>
      <c r="V3" s="12">
        <f>SUMIFS(BASE!$G:$G,BASE!$B:$B,$B3,BASE!$L:$L,$G3,BASE!$J:$J,$C3,BASE!$A:$A,V$2)</f>
        <v>0</v>
      </c>
      <c r="X3" t="str">
        <f>IF(AND(R3=0),"ZERADO","COM TROCAS")</f>
        <v>ZERADO</v>
      </c>
    </row>
    <row r="4" spans="2:24">
      <c r="B4" s="8" t="s">
        <v>254</v>
      </c>
      <c r="C4" s="9" t="s">
        <v>104</v>
      </c>
      <c r="D4" s="9" t="s">
        <v>255</v>
      </c>
      <c r="E4" s="9" t="s">
        <v>256</v>
      </c>
      <c r="F4" s="9" t="s">
        <v>257</v>
      </c>
      <c r="G4" s="9" t="s">
        <v>61</v>
      </c>
      <c r="H4" s="7" t="str">
        <f>IFERROR(IF(_xlfn.XLOOKUP(B4,REPASSE!D:D,REPASSE!D:D)="","Não","Sim"),"Não")</f>
        <v>Não</v>
      </c>
      <c r="I4" s="7" t="str">
        <f>IF(_xlfn.XLOOKUP(B4,'BOOST LIBERADO'!B:B,'BOOST LIBERADO'!B:B,"Não")="Não","Não","Sim")</f>
        <v>Sim</v>
      </c>
      <c r="J4" s="83" t="str">
        <f t="shared" ref="J4:J67" si="0">IF(AND(H4="Não",I4="Sim"),"Sim","Não")</f>
        <v>Sim</v>
      </c>
      <c r="K4" s="12">
        <f>SUMIFS(BASE!$G:$G,BASE!$B:$B,$B4,BASE!$L:$L,$G4,BASE!$J:$J,$C4,BASE!$A:$A,K$2)</f>
        <v>0</v>
      </c>
      <c r="L4" s="12">
        <f>SUMIFS(BASE!$G:$G,BASE!$B:$B,$B4,BASE!$L:$L,$G4,BASE!$J:$J,$C4,BASE!$A:$A,L$2)</f>
        <v>0</v>
      </c>
      <c r="M4" s="12">
        <f>SUMIFS(BASE!$G:$G,BASE!$B:$B,$B4,BASE!$L:$L,$G4,BASE!$J:$J,$C4,BASE!$A:$A,M$2)</f>
        <v>0</v>
      </c>
      <c r="N4" s="12">
        <f>SUMIFS(BASE!$G:$G,BASE!$B:$B,$B4,BASE!$L:$L,$G4,BASE!$J:$J,$C4,BASE!$A:$A,N$2)</f>
        <v>0</v>
      </c>
      <c r="O4" s="12">
        <f>SUMIFS(BASE!$G:$G,BASE!$B:$B,$B4,BASE!$L:$L,$G4,BASE!$J:$J,$C4,BASE!$A:$A,O$2)</f>
        <v>0</v>
      </c>
      <c r="P4" s="12">
        <f>SUMIFS(BASE!$G:$G,BASE!$B:$B,$B4,BASE!$L:$L,$G4,BASE!$J:$J,$C4,BASE!$A:$A,P$2)</f>
        <v>0</v>
      </c>
      <c r="Q4" s="12">
        <f>SUMIFS(BASE!$G:$G,BASE!$B:$B,$B4,BASE!$L:$L,$G4,BASE!$J:$J,$C4,BASE!$A:$A,Q$2)</f>
        <v>0</v>
      </c>
      <c r="R4" s="12">
        <f>SUMIFS(BASE!$G:$G,BASE!$B:$B,$B4,BASE!$L:$L,$G4,BASE!$J:$J,$C4,BASE!$A:$A,R$2)</f>
        <v>0</v>
      </c>
      <c r="S4" s="12">
        <f>SUMIFS(BASE!$G:$G,BASE!$B:$B,$B4,BASE!$L:$L,$G4,BASE!$J:$J,$C4,BASE!$A:$A,S$2)</f>
        <v>0</v>
      </c>
      <c r="T4" s="12">
        <f>SUMIFS(BASE!$G:$G,BASE!$B:$B,$B4,BASE!$L:$L,$G4,BASE!$J:$J,$C4,BASE!$A:$A,T$2)</f>
        <v>0</v>
      </c>
      <c r="U4" s="12">
        <f>SUMIFS(BASE!$G:$G,BASE!$B:$B,$B4,BASE!$L:$L,$G4,BASE!$J:$J,$C4,BASE!$A:$A,U$2)</f>
        <v>0</v>
      </c>
      <c r="V4" s="12">
        <f>SUMIFS(BASE!$G:$G,BASE!$B:$B,$B4,BASE!$L:$L,$G4,BASE!$J:$J,$C4,BASE!$A:$A,V$2)</f>
        <v>0</v>
      </c>
      <c r="X4" t="str">
        <f t="shared" ref="X4:X67" si="1">IF(AND(R4=0),"ZERADO","COM TROCAS")</f>
        <v>ZERADO</v>
      </c>
    </row>
    <row r="5" spans="2:24">
      <c r="B5" s="8" t="s">
        <v>258</v>
      </c>
      <c r="C5" s="9" t="s">
        <v>230</v>
      </c>
      <c r="D5" s="9" t="s">
        <v>259</v>
      </c>
      <c r="E5" s="9" t="s">
        <v>260</v>
      </c>
      <c r="F5" s="9" t="s">
        <v>261</v>
      </c>
      <c r="G5" s="9" t="s">
        <v>61</v>
      </c>
      <c r="H5" s="7" t="str">
        <f>IFERROR(IF(_xlfn.XLOOKUP(B5,REPASSE!D:D,REPASSE!D:D)="","Não","Sim"),"Não")</f>
        <v>Não</v>
      </c>
      <c r="I5" s="7" t="str">
        <f>IF(_xlfn.XLOOKUP(B5,'BOOST LIBERADO'!B:B,'BOOST LIBERADO'!B:B,"Não")="Não","Não","Sim")</f>
        <v>Sim</v>
      </c>
      <c r="J5" s="83" t="str">
        <f t="shared" si="0"/>
        <v>Sim</v>
      </c>
      <c r="K5" s="12">
        <f>SUMIFS(BASE!$G:$G,BASE!$B:$B,$B5,BASE!$L:$L,$G5,BASE!$J:$J,$C5,BASE!$A:$A,K$2)</f>
        <v>28</v>
      </c>
      <c r="L5" s="12">
        <f>SUMIFS(BASE!$G:$G,BASE!$B:$B,$B5,BASE!$L:$L,$G5,BASE!$J:$J,$C5,BASE!$A:$A,L$2)</f>
        <v>20</v>
      </c>
      <c r="M5" s="12">
        <f>SUMIFS(BASE!$G:$G,BASE!$B:$B,$B5,BASE!$L:$L,$G5,BASE!$J:$J,$C5,BASE!$A:$A,M$2)</f>
        <v>9</v>
      </c>
      <c r="N5" s="12">
        <f>SUMIFS(BASE!$G:$G,BASE!$B:$B,$B5,BASE!$L:$L,$G5,BASE!$J:$J,$C5,BASE!$A:$A,N$2)</f>
        <v>7</v>
      </c>
      <c r="O5" s="12">
        <f>SUMIFS(BASE!$G:$G,BASE!$B:$B,$B5,BASE!$L:$L,$G5,BASE!$J:$J,$C5,BASE!$A:$A,O$2)</f>
        <v>8</v>
      </c>
      <c r="P5" s="12">
        <f>SUMIFS(BASE!$G:$G,BASE!$B:$B,$B5,BASE!$L:$L,$G5,BASE!$J:$J,$C5,BASE!$A:$A,P$2)</f>
        <v>16</v>
      </c>
      <c r="Q5" s="12">
        <f>SUMIFS(BASE!$G:$G,BASE!$B:$B,$B5,BASE!$L:$L,$G5,BASE!$J:$J,$C5,BASE!$A:$A,Q$2)</f>
        <v>29</v>
      </c>
      <c r="R5" s="12">
        <f>SUMIFS(BASE!$G:$G,BASE!$B:$B,$B5,BASE!$L:$L,$G5,BASE!$J:$J,$C5,BASE!$A:$A,R$2)</f>
        <v>19</v>
      </c>
      <c r="S5" s="12">
        <f>SUMIFS(BASE!$G:$G,BASE!$B:$B,$B5,BASE!$L:$L,$G5,BASE!$J:$J,$C5,BASE!$A:$A,S$2)</f>
        <v>0</v>
      </c>
      <c r="T5" s="12">
        <f>SUMIFS(BASE!$G:$G,BASE!$B:$B,$B5,BASE!$L:$L,$G5,BASE!$J:$J,$C5,BASE!$A:$A,T$2)</f>
        <v>0</v>
      </c>
      <c r="U5" s="12">
        <f>SUMIFS(BASE!$G:$G,BASE!$B:$B,$B5,BASE!$L:$L,$G5,BASE!$J:$J,$C5,BASE!$A:$A,U$2)</f>
        <v>0</v>
      </c>
      <c r="V5" s="12">
        <f>SUMIFS(BASE!$G:$G,BASE!$B:$B,$B5,BASE!$L:$L,$G5,BASE!$J:$J,$C5,BASE!$A:$A,V$2)</f>
        <v>0</v>
      </c>
      <c r="X5" t="str">
        <f t="shared" si="1"/>
        <v>COM TROCAS</v>
      </c>
    </row>
    <row r="6" spans="2:24">
      <c r="B6" s="8" t="s">
        <v>262</v>
      </c>
      <c r="C6" s="9" t="s">
        <v>230</v>
      </c>
      <c r="D6" s="9" t="s">
        <v>263</v>
      </c>
      <c r="E6" s="9" t="s">
        <v>264</v>
      </c>
      <c r="F6" s="9" t="s">
        <v>265</v>
      </c>
      <c r="G6" s="9" t="s">
        <v>61</v>
      </c>
      <c r="H6" s="7" t="str">
        <f>IFERROR(IF(_xlfn.XLOOKUP(B6,REPASSE!D:D,REPASSE!D:D)="","Não","Sim"),"Não")</f>
        <v>Não</v>
      </c>
      <c r="I6" s="7" t="str">
        <f>IF(_xlfn.XLOOKUP(B6,'BOOST LIBERADO'!B:B,'BOOST LIBERADO'!B:B,"Não")="Não","Não","Sim")</f>
        <v>Sim</v>
      </c>
      <c r="J6" s="83" t="str">
        <f t="shared" si="0"/>
        <v>Sim</v>
      </c>
      <c r="K6" s="12">
        <f>SUMIFS(BASE!$G:$G,BASE!$B:$B,$B6,BASE!$L:$L,$G6,BASE!$J:$J,$C6,BASE!$A:$A,K$2)</f>
        <v>8</v>
      </c>
      <c r="L6" s="12">
        <f>SUMIFS(BASE!$G:$G,BASE!$B:$B,$B6,BASE!$L:$L,$G6,BASE!$J:$J,$C6,BASE!$A:$A,L$2)</f>
        <v>11</v>
      </c>
      <c r="M6" s="12">
        <f>SUMIFS(BASE!$G:$G,BASE!$B:$B,$B6,BASE!$L:$L,$G6,BASE!$J:$J,$C6,BASE!$A:$A,M$2)</f>
        <v>17</v>
      </c>
      <c r="N6" s="12">
        <f>SUMIFS(BASE!$G:$G,BASE!$B:$B,$B6,BASE!$L:$L,$G6,BASE!$J:$J,$C6,BASE!$A:$A,N$2)</f>
        <v>10</v>
      </c>
      <c r="O6" s="12">
        <f>SUMIFS(BASE!$G:$G,BASE!$B:$B,$B6,BASE!$L:$L,$G6,BASE!$J:$J,$C6,BASE!$A:$A,O$2)</f>
        <v>15</v>
      </c>
      <c r="P6" s="12">
        <f>SUMIFS(BASE!$G:$G,BASE!$B:$B,$B6,BASE!$L:$L,$G6,BASE!$J:$J,$C6,BASE!$A:$A,P$2)</f>
        <v>11</v>
      </c>
      <c r="Q6" s="12">
        <f>SUMIFS(BASE!$G:$G,BASE!$B:$B,$B6,BASE!$L:$L,$G6,BASE!$J:$J,$C6,BASE!$A:$A,Q$2)</f>
        <v>20</v>
      </c>
      <c r="R6" s="12">
        <f>SUMIFS(BASE!$G:$G,BASE!$B:$B,$B6,BASE!$L:$L,$G6,BASE!$J:$J,$C6,BASE!$A:$A,R$2)</f>
        <v>3</v>
      </c>
      <c r="S6" s="12">
        <f>SUMIFS(BASE!$G:$G,BASE!$B:$B,$B6,BASE!$L:$L,$G6,BASE!$J:$J,$C6,BASE!$A:$A,S$2)</f>
        <v>0</v>
      </c>
      <c r="T6" s="12">
        <f>SUMIFS(BASE!$G:$G,BASE!$B:$B,$B6,BASE!$L:$L,$G6,BASE!$J:$J,$C6,BASE!$A:$A,T$2)</f>
        <v>0</v>
      </c>
      <c r="U6" s="12">
        <f>SUMIFS(BASE!$G:$G,BASE!$B:$B,$B6,BASE!$L:$L,$G6,BASE!$J:$J,$C6,BASE!$A:$A,U$2)</f>
        <v>0</v>
      </c>
      <c r="V6" s="12">
        <f>SUMIFS(BASE!$G:$G,BASE!$B:$B,$B6,BASE!$L:$L,$G6,BASE!$J:$J,$C6,BASE!$A:$A,V$2)</f>
        <v>0</v>
      </c>
      <c r="X6" t="str">
        <f t="shared" si="1"/>
        <v>COM TROCAS</v>
      </c>
    </row>
    <row r="7" spans="2:24">
      <c r="B7" s="8" t="s">
        <v>266</v>
      </c>
      <c r="C7" s="9" t="s">
        <v>196</v>
      </c>
      <c r="D7" s="9" t="s">
        <v>267</v>
      </c>
      <c r="E7" s="9" t="s">
        <v>268</v>
      </c>
      <c r="F7" s="9" t="s">
        <v>269</v>
      </c>
      <c r="G7" s="9" t="s">
        <v>61</v>
      </c>
      <c r="H7" s="7" t="str">
        <f>IFERROR(IF(_xlfn.XLOOKUP(B7,REPASSE!D:D,REPASSE!D:D)="","Não","Sim"),"Não")</f>
        <v>Não</v>
      </c>
      <c r="I7" s="7" t="str">
        <f>IF(_xlfn.XLOOKUP(B7,'BOOST LIBERADO'!B:B,'BOOST LIBERADO'!B:B,"Não")="Não","Não","Sim")</f>
        <v>Não</v>
      </c>
      <c r="J7" s="83" t="str">
        <f t="shared" si="0"/>
        <v>Não</v>
      </c>
      <c r="K7" s="12">
        <f>SUMIFS(BASE!$G:$G,BASE!$B:$B,$B7,BASE!$L:$L,$G7,BASE!$J:$J,$C7,BASE!$A:$A,K$2)</f>
        <v>0</v>
      </c>
      <c r="L7" s="12">
        <f>SUMIFS(BASE!$G:$G,BASE!$B:$B,$B7,BASE!$L:$L,$G7,BASE!$J:$J,$C7,BASE!$A:$A,L$2)</f>
        <v>0</v>
      </c>
      <c r="M7" s="12">
        <f>SUMIFS(BASE!$G:$G,BASE!$B:$B,$B7,BASE!$L:$L,$G7,BASE!$J:$J,$C7,BASE!$A:$A,M$2)</f>
        <v>0</v>
      </c>
      <c r="N7" s="12">
        <f>SUMIFS(BASE!$G:$G,BASE!$B:$B,$B7,BASE!$L:$L,$G7,BASE!$J:$J,$C7,BASE!$A:$A,N$2)</f>
        <v>0</v>
      </c>
      <c r="O7" s="12">
        <f>SUMIFS(BASE!$G:$G,BASE!$B:$B,$B7,BASE!$L:$L,$G7,BASE!$J:$J,$C7,BASE!$A:$A,O$2)</f>
        <v>0</v>
      </c>
      <c r="P7" s="12">
        <f>SUMIFS(BASE!$G:$G,BASE!$B:$B,$B7,BASE!$L:$L,$G7,BASE!$J:$J,$C7,BASE!$A:$A,P$2)</f>
        <v>0</v>
      </c>
      <c r="Q7" s="12">
        <f>SUMIFS(BASE!$G:$G,BASE!$B:$B,$B7,BASE!$L:$L,$G7,BASE!$J:$J,$C7,BASE!$A:$A,Q$2)</f>
        <v>0</v>
      </c>
      <c r="R7" s="12">
        <f>SUMIFS(BASE!$G:$G,BASE!$B:$B,$B7,BASE!$L:$L,$G7,BASE!$J:$J,$C7,BASE!$A:$A,R$2)</f>
        <v>0</v>
      </c>
      <c r="S7" s="12">
        <f>SUMIFS(BASE!$G:$G,BASE!$B:$B,$B7,BASE!$L:$L,$G7,BASE!$J:$J,$C7,BASE!$A:$A,S$2)</f>
        <v>0</v>
      </c>
      <c r="T7" s="12">
        <f>SUMIFS(BASE!$G:$G,BASE!$B:$B,$B7,BASE!$L:$L,$G7,BASE!$J:$J,$C7,BASE!$A:$A,T$2)</f>
        <v>0</v>
      </c>
      <c r="U7" s="12">
        <f>SUMIFS(BASE!$G:$G,BASE!$B:$B,$B7,BASE!$L:$L,$G7,BASE!$J:$J,$C7,BASE!$A:$A,U$2)</f>
        <v>0</v>
      </c>
      <c r="V7" s="12">
        <f>SUMIFS(BASE!$G:$G,BASE!$B:$B,$B7,BASE!$L:$L,$G7,BASE!$J:$J,$C7,BASE!$A:$A,V$2)</f>
        <v>0</v>
      </c>
      <c r="X7" t="str">
        <f t="shared" si="1"/>
        <v>ZERADO</v>
      </c>
    </row>
    <row r="8" spans="2:24">
      <c r="B8" s="8" t="s">
        <v>270</v>
      </c>
      <c r="C8" s="9" t="s">
        <v>196</v>
      </c>
      <c r="D8" s="9" t="s">
        <v>267</v>
      </c>
      <c r="E8" s="9" t="s">
        <v>268</v>
      </c>
      <c r="F8" s="9" t="s">
        <v>269</v>
      </c>
      <c r="G8" s="9" t="s">
        <v>61</v>
      </c>
      <c r="H8" s="7" t="str">
        <f>IFERROR(IF(_xlfn.XLOOKUP(B8,REPASSE!D:D,REPASSE!D:D)="","Não","Sim"),"Não")</f>
        <v>Não</v>
      </c>
      <c r="I8" s="7" t="str">
        <f>IF(_xlfn.XLOOKUP(B8,'BOOST LIBERADO'!B:B,'BOOST LIBERADO'!B:B,"Não")="Não","Não","Sim")</f>
        <v>Não</v>
      </c>
      <c r="J8" s="83" t="str">
        <f t="shared" si="0"/>
        <v>Não</v>
      </c>
      <c r="K8" s="12">
        <f>SUMIFS(BASE!$G:$G,BASE!$B:$B,$B8,BASE!$L:$L,$G8,BASE!$J:$J,$C8,BASE!$A:$A,K$2)</f>
        <v>0</v>
      </c>
      <c r="L8" s="12">
        <f>SUMIFS(BASE!$G:$G,BASE!$B:$B,$B8,BASE!$L:$L,$G8,BASE!$J:$J,$C8,BASE!$A:$A,L$2)</f>
        <v>0</v>
      </c>
      <c r="M8" s="12">
        <f>SUMIFS(BASE!$G:$G,BASE!$B:$B,$B8,BASE!$L:$L,$G8,BASE!$J:$J,$C8,BASE!$A:$A,M$2)</f>
        <v>0</v>
      </c>
      <c r="N8" s="12">
        <f>SUMIFS(BASE!$G:$G,BASE!$B:$B,$B8,BASE!$L:$L,$G8,BASE!$J:$J,$C8,BASE!$A:$A,N$2)</f>
        <v>0</v>
      </c>
      <c r="O8" s="12">
        <f>SUMIFS(BASE!$G:$G,BASE!$B:$B,$B8,BASE!$L:$L,$G8,BASE!$J:$J,$C8,BASE!$A:$A,O$2)</f>
        <v>0</v>
      </c>
      <c r="P8" s="12">
        <f>SUMIFS(BASE!$G:$G,BASE!$B:$B,$B8,BASE!$L:$L,$G8,BASE!$J:$J,$C8,BASE!$A:$A,P$2)</f>
        <v>0</v>
      </c>
      <c r="Q8" s="12">
        <f>SUMIFS(BASE!$G:$G,BASE!$B:$B,$B8,BASE!$L:$L,$G8,BASE!$J:$J,$C8,BASE!$A:$A,Q$2)</f>
        <v>0</v>
      </c>
      <c r="R8" s="12">
        <f>SUMIFS(BASE!$G:$G,BASE!$B:$B,$B8,BASE!$L:$L,$G8,BASE!$J:$J,$C8,BASE!$A:$A,R$2)</f>
        <v>0</v>
      </c>
      <c r="S8" s="12">
        <f>SUMIFS(BASE!$G:$G,BASE!$B:$B,$B8,BASE!$L:$L,$G8,BASE!$J:$J,$C8,BASE!$A:$A,S$2)</f>
        <v>0</v>
      </c>
      <c r="T8" s="12">
        <f>SUMIFS(BASE!$G:$G,BASE!$B:$B,$B8,BASE!$L:$L,$G8,BASE!$J:$J,$C8,BASE!$A:$A,T$2)</f>
        <v>0</v>
      </c>
      <c r="U8" s="12">
        <f>SUMIFS(BASE!$G:$G,BASE!$B:$B,$B8,BASE!$L:$L,$G8,BASE!$J:$J,$C8,BASE!$A:$A,U$2)</f>
        <v>0</v>
      </c>
      <c r="V8" s="12">
        <f>SUMIFS(BASE!$G:$G,BASE!$B:$B,$B8,BASE!$L:$L,$G8,BASE!$J:$J,$C8,BASE!$A:$A,V$2)</f>
        <v>0</v>
      </c>
      <c r="X8" t="str">
        <f t="shared" si="1"/>
        <v>ZERADO</v>
      </c>
    </row>
    <row r="9" spans="2:24">
      <c r="B9" s="8" t="s">
        <v>271</v>
      </c>
      <c r="C9" s="9" t="s">
        <v>104</v>
      </c>
      <c r="D9" s="9" t="s">
        <v>272</v>
      </c>
      <c r="E9" s="9" t="s">
        <v>256</v>
      </c>
      <c r="F9" s="9" t="s">
        <v>257</v>
      </c>
      <c r="G9" s="9" t="s">
        <v>61</v>
      </c>
      <c r="H9" s="7" t="str">
        <f>IFERROR(IF(_xlfn.XLOOKUP(B9,REPASSE!D:D,REPASSE!D:D)="","Não","Sim"),"Não")</f>
        <v>Não</v>
      </c>
      <c r="I9" s="7" t="str">
        <f>IF(_xlfn.XLOOKUP(B9,'BOOST LIBERADO'!B:B,'BOOST LIBERADO'!B:B,"Não")="Não","Não","Sim")</f>
        <v>Sim</v>
      </c>
      <c r="J9" s="83" t="str">
        <f t="shared" si="0"/>
        <v>Sim</v>
      </c>
      <c r="K9" s="12">
        <f>SUMIFS(BASE!$G:$G,BASE!$B:$B,$B9,BASE!$L:$L,$G9,BASE!$J:$J,$C9,BASE!$A:$A,K$2)</f>
        <v>0</v>
      </c>
      <c r="L9" s="12">
        <f>SUMIFS(BASE!$G:$G,BASE!$B:$B,$B9,BASE!$L:$L,$G9,BASE!$J:$J,$C9,BASE!$A:$A,L$2)</f>
        <v>0</v>
      </c>
      <c r="M9" s="12">
        <f>SUMIFS(BASE!$G:$G,BASE!$B:$B,$B9,BASE!$L:$L,$G9,BASE!$J:$J,$C9,BASE!$A:$A,M$2)</f>
        <v>0</v>
      </c>
      <c r="N9" s="12">
        <f>SUMIFS(BASE!$G:$G,BASE!$B:$B,$B9,BASE!$L:$L,$G9,BASE!$J:$J,$C9,BASE!$A:$A,N$2)</f>
        <v>0</v>
      </c>
      <c r="O9" s="12">
        <f>SUMIFS(BASE!$G:$G,BASE!$B:$B,$B9,BASE!$L:$L,$G9,BASE!$J:$J,$C9,BASE!$A:$A,O$2)</f>
        <v>0</v>
      </c>
      <c r="P9" s="12">
        <f>SUMIFS(BASE!$G:$G,BASE!$B:$B,$B9,BASE!$L:$L,$G9,BASE!$J:$J,$C9,BASE!$A:$A,P$2)</f>
        <v>0</v>
      </c>
      <c r="Q9" s="12">
        <f>SUMIFS(BASE!$G:$G,BASE!$B:$B,$B9,BASE!$L:$L,$G9,BASE!$J:$J,$C9,BASE!$A:$A,Q$2)</f>
        <v>0</v>
      </c>
      <c r="R9" s="12">
        <f>SUMIFS(BASE!$G:$G,BASE!$B:$B,$B9,BASE!$L:$L,$G9,BASE!$J:$J,$C9,BASE!$A:$A,R$2)</f>
        <v>0</v>
      </c>
      <c r="S9" s="12">
        <f>SUMIFS(BASE!$G:$G,BASE!$B:$B,$B9,BASE!$L:$L,$G9,BASE!$J:$J,$C9,BASE!$A:$A,S$2)</f>
        <v>0</v>
      </c>
      <c r="T9" s="12">
        <f>SUMIFS(BASE!$G:$G,BASE!$B:$B,$B9,BASE!$L:$L,$G9,BASE!$J:$J,$C9,BASE!$A:$A,T$2)</f>
        <v>0</v>
      </c>
      <c r="U9" s="12">
        <f>SUMIFS(BASE!$G:$G,BASE!$B:$B,$B9,BASE!$L:$L,$G9,BASE!$J:$J,$C9,BASE!$A:$A,U$2)</f>
        <v>0</v>
      </c>
      <c r="V9" s="12">
        <f>SUMIFS(BASE!$G:$G,BASE!$B:$B,$B9,BASE!$L:$L,$G9,BASE!$J:$J,$C9,BASE!$A:$A,V$2)</f>
        <v>0</v>
      </c>
      <c r="X9" t="str">
        <f t="shared" si="1"/>
        <v>ZERADO</v>
      </c>
    </row>
    <row r="10" spans="2:24">
      <c r="B10" s="8" t="s">
        <v>273</v>
      </c>
      <c r="C10" s="9" t="s">
        <v>226</v>
      </c>
      <c r="D10" s="9" t="s">
        <v>274</v>
      </c>
      <c r="E10" s="9" t="s">
        <v>275</v>
      </c>
      <c r="F10" s="9" t="s">
        <v>276</v>
      </c>
      <c r="G10" s="9" t="s">
        <v>61</v>
      </c>
      <c r="H10" s="7" t="str">
        <f>IFERROR(IF(_xlfn.XLOOKUP(B10,REPASSE!D:D,REPASSE!D:D)="","Não","Sim"),"Não")</f>
        <v>Não</v>
      </c>
      <c r="I10" s="7" t="str">
        <f>IF(_xlfn.XLOOKUP(B10,'BOOST LIBERADO'!B:B,'BOOST LIBERADO'!B:B,"Não")="Não","Não","Sim")</f>
        <v>Sim</v>
      </c>
      <c r="J10" s="83" t="str">
        <f t="shared" si="0"/>
        <v>Sim</v>
      </c>
      <c r="K10" s="12">
        <f>SUMIFS(BASE!$G:$G,BASE!$B:$B,$B10,BASE!$L:$L,$G10,BASE!$J:$J,$C10,BASE!$A:$A,K$2)</f>
        <v>0</v>
      </c>
      <c r="L10" s="12">
        <f>SUMIFS(BASE!$G:$G,BASE!$B:$B,$B10,BASE!$L:$L,$G10,BASE!$J:$J,$C10,BASE!$A:$A,L$2)</f>
        <v>0</v>
      </c>
      <c r="M10" s="12">
        <f>SUMIFS(BASE!$G:$G,BASE!$B:$B,$B10,BASE!$L:$L,$G10,BASE!$J:$J,$C10,BASE!$A:$A,M$2)</f>
        <v>0</v>
      </c>
      <c r="N10" s="12">
        <f>SUMIFS(BASE!$G:$G,BASE!$B:$B,$B10,BASE!$L:$L,$G10,BASE!$J:$J,$C10,BASE!$A:$A,N$2)</f>
        <v>0</v>
      </c>
      <c r="O10" s="12">
        <f>SUMIFS(BASE!$G:$G,BASE!$B:$B,$B10,BASE!$L:$L,$G10,BASE!$J:$J,$C10,BASE!$A:$A,O$2)</f>
        <v>0</v>
      </c>
      <c r="P10" s="12">
        <f>SUMIFS(BASE!$G:$G,BASE!$B:$B,$B10,BASE!$L:$L,$G10,BASE!$J:$J,$C10,BASE!$A:$A,P$2)</f>
        <v>0</v>
      </c>
      <c r="Q10" s="12">
        <f>SUMIFS(BASE!$G:$G,BASE!$B:$B,$B10,BASE!$L:$L,$G10,BASE!$J:$J,$C10,BASE!$A:$A,Q$2)</f>
        <v>0</v>
      </c>
      <c r="R10" s="12">
        <f>SUMIFS(BASE!$G:$G,BASE!$B:$B,$B10,BASE!$L:$L,$G10,BASE!$J:$J,$C10,BASE!$A:$A,R$2)</f>
        <v>0</v>
      </c>
      <c r="S10" s="12">
        <f>SUMIFS(BASE!$G:$G,BASE!$B:$B,$B10,BASE!$L:$L,$G10,BASE!$J:$J,$C10,BASE!$A:$A,S$2)</f>
        <v>0</v>
      </c>
      <c r="T10" s="12">
        <f>SUMIFS(BASE!$G:$G,BASE!$B:$B,$B10,BASE!$L:$L,$G10,BASE!$J:$J,$C10,BASE!$A:$A,T$2)</f>
        <v>0</v>
      </c>
      <c r="U10" s="12">
        <f>SUMIFS(BASE!$G:$G,BASE!$B:$B,$B10,BASE!$L:$L,$G10,BASE!$J:$J,$C10,BASE!$A:$A,U$2)</f>
        <v>0</v>
      </c>
      <c r="V10" s="12">
        <f>SUMIFS(BASE!$G:$G,BASE!$B:$B,$B10,BASE!$L:$L,$G10,BASE!$J:$J,$C10,BASE!$A:$A,V$2)</f>
        <v>0</v>
      </c>
      <c r="X10" t="str">
        <f t="shared" si="1"/>
        <v>ZERADO</v>
      </c>
    </row>
    <row r="11" spans="2:24">
      <c r="B11" s="8" t="s">
        <v>277</v>
      </c>
      <c r="C11" s="9" t="s">
        <v>238</v>
      </c>
      <c r="D11" s="9" t="s">
        <v>278</v>
      </c>
      <c r="E11" s="9" t="s">
        <v>260</v>
      </c>
      <c r="F11" s="9" t="s">
        <v>261</v>
      </c>
      <c r="G11" s="9" t="s">
        <v>61</v>
      </c>
      <c r="H11" s="7" t="str">
        <f>IFERROR(IF(_xlfn.XLOOKUP(B11,REPASSE!D:D,REPASSE!D:D)="","Não","Sim"),"Não")</f>
        <v>Não</v>
      </c>
      <c r="I11" s="7" t="str">
        <f>IF(_xlfn.XLOOKUP(B11,'BOOST LIBERADO'!B:B,'BOOST LIBERADO'!B:B,"Não")="Não","Não","Sim")</f>
        <v>Sim</v>
      </c>
      <c r="J11" s="83" t="str">
        <f t="shared" si="0"/>
        <v>Sim</v>
      </c>
      <c r="K11" s="12">
        <f>SUMIFS(BASE!$G:$G,BASE!$B:$B,$B11,BASE!$L:$L,$G11,BASE!$J:$J,$C11,BASE!$A:$A,K$2)</f>
        <v>3</v>
      </c>
      <c r="L11" s="12">
        <f>SUMIFS(BASE!$G:$G,BASE!$B:$B,$B11,BASE!$L:$L,$G11,BASE!$J:$J,$C11,BASE!$A:$A,L$2)</f>
        <v>2</v>
      </c>
      <c r="M11" s="12">
        <f>SUMIFS(BASE!$G:$G,BASE!$B:$B,$B11,BASE!$L:$L,$G11,BASE!$J:$J,$C11,BASE!$A:$A,M$2)</f>
        <v>0</v>
      </c>
      <c r="N11" s="12">
        <f>SUMIFS(BASE!$G:$G,BASE!$B:$B,$B11,BASE!$L:$L,$G11,BASE!$J:$J,$C11,BASE!$A:$A,N$2)</f>
        <v>3</v>
      </c>
      <c r="O11" s="12">
        <f>SUMIFS(BASE!$G:$G,BASE!$B:$B,$B11,BASE!$L:$L,$G11,BASE!$J:$J,$C11,BASE!$A:$A,O$2)</f>
        <v>8</v>
      </c>
      <c r="P11" s="12">
        <f>SUMIFS(BASE!$G:$G,BASE!$B:$B,$B11,BASE!$L:$L,$G11,BASE!$J:$J,$C11,BASE!$A:$A,P$2)</f>
        <v>3</v>
      </c>
      <c r="Q11" s="12">
        <f>SUMIFS(BASE!$G:$G,BASE!$B:$B,$B11,BASE!$L:$L,$G11,BASE!$J:$J,$C11,BASE!$A:$A,Q$2)</f>
        <v>16</v>
      </c>
      <c r="R11" s="12">
        <f>SUMIFS(BASE!$G:$G,BASE!$B:$B,$B11,BASE!$L:$L,$G11,BASE!$J:$J,$C11,BASE!$A:$A,R$2)</f>
        <v>15</v>
      </c>
      <c r="S11" s="12">
        <f>SUMIFS(BASE!$G:$G,BASE!$B:$B,$B11,BASE!$L:$L,$G11,BASE!$J:$J,$C11,BASE!$A:$A,S$2)</f>
        <v>0</v>
      </c>
      <c r="T11" s="12">
        <f>SUMIFS(BASE!$G:$G,BASE!$B:$B,$B11,BASE!$L:$L,$G11,BASE!$J:$J,$C11,BASE!$A:$A,T$2)</f>
        <v>0</v>
      </c>
      <c r="U11" s="12">
        <f>SUMIFS(BASE!$G:$G,BASE!$B:$B,$B11,BASE!$L:$L,$G11,BASE!$J:$J,$C11,BASE!$A:$A,U$2)</f>
        <v>0</v>
      </c>
      <c r="V11" s="12">
        <f>SUMIFS(BASE!$G:$G,BASE!$B:$B,$B11,BASE!$L:$L,$G11,BASE!$J:$J,$C11,BASE!$A:$A,V$2)</f>
        <v>0</v>
      </c>
      <c r="X11" t="str">
        <f t="shared" si="1"/>
        <v>COM TROCAS</v>
      </c>
    </row>
    <row r="12" spans="2:24">
      <c r="B12" s="8" t="s">
        <v>279</v>
      </c>
      <c r="C12" s="9" t="s">
        <v>230</v>
      </c>
      <c r="D12" s="9" t="s">
        <v>263</v>
      </c>
      <c r="E12" s="9" t="s">
        <v>264</v>
      </c>
      <c r="F12" s="9" t="s">
        <v>265</v>
      </c>
      <c r="G12" s="9" t="s">
        <v>61</v>
      </c>
      <c r="H12" s="7" t="str">
        <f>IFERROR(IF(_xlfn.XLOOKUP(B12,REPASSE!D:D,REPASSE!D:D)="","Não","Sim"),"Não")</f>
        <v>Não</v>
      </c>
      <c r="I12" s="7" t="str">
        <f>IF(_xlfn.XLOOKUP(B12,'BOOST LIBERADO'!B:B,'BOOST LIBERADO'!B:B,"Não")="Não","Não","Sim")</f>
        <v>Sim</v>
      </c>
      <c r="J12" s="83" t="str">
        <f t="shared" si="0"/>
        <v>Sim</v>
      </c>
      <c r="K12" s="12">
        <f>SUMIFS(BASE!$G:$G,BASE!$B:$B,$B12,BASE!$L:$L,$G12,BASE!$J:$J,$C12,BASE!$A:$A,K$2)</f>
        <v>20</v>
      </c>
      <c r="L12" s="12">
        <f>SUMIFS(BASE!$G:$G,BASE!$B:$B,$B12,BASE!$L:$L,$G12,BASE!$J:$J,$C12,BASE!$A:$A,L$2)</f>
        <v>5</v>
      </c>
      <c r="M12" s="12">
        <f>SUMIFS(BASE!$G:$G,BASE!$B:$B,$B12,BASE!$L:$L,$G12,BASE!$J:$J,$C12,BASE!$A:$A,M$2)</f>
        <v>22</v>
      </c>
      <c r="N12" s="12">
        <f>SUMIFS(BASE!$G:$G,BASE!$B:$B,$B12,BASE!$L:$L,$G12,BASE!$J:$J,$C12,BASE!$A:$A,N$2)</f>
        <v>14</v>
      </c>
      <c r="O12" s="12">
        <f>SUMIFS(BASE!$G:$G,BASE!$B:$B,$B12,BASE!$L:$L,$G12,BASE!$J:$J,$C12,BASE!$A:$A,O$2)</f>
        <v>10</v>
      </c>
      <c r="P12" s="12">
        <f>SUMIFS(BASE!$G:$G,BASE!$B:$B,$B12,BASE!$L:$L,$G12,BASE!$J:$J,$C12,BASE!$A:$A,P$2)</f>
        <v>20</v>
      </c>
      <c r="Q12" s="12">
        <f>SUMIFS(BASE!$G:$G,BASE!$B:$B,$B12,BASE!$L:$L,$G12,BASE!$J:$J,$C12,BASE!$A:$A,Q$2)</f>
        <v>23</v>
      </c>
      <c r="R12" s="12">
        <f>SUMIFS(BASE!$G:$G,BASE!$B:$B,$B12,BASE!$L:$L,$G12,BASE!$J:$J,$C12,BASE!$A:$A,R$2)</f>
        <v>27</v>
      </c>
      <c r="S12" s="12">
        <f>SUMIFS(BASE!$G:$G,BASE!$B:$B,$B12,BASE!$L:$L,$G12,BASE!$J:$J,$C12,BASE!$A:$A,S$2)</f>
        <v>0</v>
      </c>
      <c r="T12" s="12">
        <f>SUMIFS(BASE!$G:$G,BASE!$B:$B,$B12,BASE!$L:$L,$G12,BASE!$J:$J,$C12,BASE!$A:$A,T$2)</f>
        <v>0</v>
      </c>
      <c r="U12" s="12">
        <f>SUMIFS(BASE!$G:$G,BASE!$B:$B,$B12,BASE!$L:$L,$G12,BASE!$J:$J,$C12,BASE!$A:$A,U$2)</f>
        <v>0</v>
      </c>
      <c r="V12" s="12">
        <f>SUMIFS(BASE!$G:$G,BASE!$B:$B,$B12,BASE!$L:$L,$G12,BASE!$J:$J,$C12,BASE!$A:$A,V$2)</f>
        <v>0</v>
      </c>
      <c r="X12" t="str">
        <f t="shared" si="1"/>
        <v>COM TROCAS</v>
      </c>
    </row>
    <row r="13" spans="2:24">
      <c r="B13" s="8" t="s">
        <v>280</v>
      </c>
      <c r="C13" s="9" t="s">
        <v>230</v>
      </c>
      <c r="D13" s="9" t="s">
        <v>263</v>
      </c>
      <c r="E13" s="9" t="s">
        <v>264</v>
      </c>
      <c r="F13" s="9" t="s">
        <v>265</v>
      </c>
      <c r="G13" s="9" t="s">
        <v>61</v>
      </c>
      <c r="H13" s="7" t="str">
        <f>IFERROR(IF(_xlfn.XLOOKUP(B13,REPASSE!D:D,REPASSE!D:D)="","Não","Sim"),"Não")</f>
        <v>Não</v>
      </c>
      <c r="I13" s="7" t="str">
        <f>IF(_xlfn.XLOOKUP(B13,'BOOST LIBERADO'!B:B,'BOOST LIBERADO'!B:B,"Não")="Não","Não","Sim")</f>
        <v>Sim</v>
      </c>
      <c r="J13" s="83" t="str">
        <f t="shared" si="0"/>
        <v>Sim</v>
      </c>
      <c r="K13" s="12">
        <f>SUMIFS(BASE!$G:$G,BASE!$B:$B,$B13,BASE!$L:$L,$G13,BASE!$J:$J,$C13,BASE!$A:$A,K$2)</f>
        <v>10</v>
      </c>
      <c r="L13" s="12">
        <f>SUMIFS(BASE!$G:$G,BASE!$B:$B,$B13,BASE!$L:$L,$G13,BASE!$J:$J,$C13,BASE!$A:$A,L$2)</f>
        <v>6</v>
      </c>
      <c r="M13" s="12">
        <f>SUMIFS(BASE!$G:$G,BASE!$B:$B,$B13,BASE!$L:$L,$G13,BASE!$J:$J,$C13,BASE!$A:$A,M$2)</f>
        <v>10</v>
      </c>
      <c r="N13" s="12">
        <f>SUMIFS(BASE!$G:$G,BASE!$B:$B,$B13,BASE!$L:$L,$G13,BASE!$J:$J,$C13,BASE!$A:$A,N$2)</f>
        <v>12</v>
      </c>
      <c r="O13" s="12">
        <f>SUMIFS(BASE!$G:$G,BASE!$B:$B,$B13,BASE!$L:$L,$G13,BASE!$J:$J,$C13,BASE!$A:$A,O$2)</f>
        <v>9</v>
      </c>
      <c r="P13" s="12">
        <f>SUMIFS(BASE!$G:$G,BASE!$B:$B,$B13,BASE!$L:$L,$G13,BASE!$J:$J,$C13,BASE!$A:$A,P$2)</f>
        <v>10</v>
      </c>
      <c r="Q13" s="12">
        <f>SUMIFS(BASE!$G:$G,BASE!$B:$B,$B13,BASE!$L:$L,$G13,BASE!$J:$J,$C13,BASE!$A:$A,Q$2)</f>
        <v>20</v>
      </c>
      <c r="R13" s="12">
        <f>SUMIFS(BASE!$G:$G,BASE!$B:$B,$B13,BASE!$L:$L,$G13,BASE!$J:$J,$C13,BASE!$A:$A,R$2)</f>
        <v>26</v>
      </c>
      <c r="S13" s="12">
        <f>SUMIFS(BASE!$G:$G,BASE!$B:$B,$B13,BASE!$L:$L,$G13,BASE!$J:$J,$C13,BASE!$A:$A,S$2)</f>
        <v>0</v>
      </c>
      <c r="T13" s="12">
        <f>SUMIFS(BASE!$G:$G,BASE!$B:$B,$B13,BASE!$L:$L,$G13,BASE!$J:$J,$C13,BASE!$A:$A,T$2)</f>
        <v>0</v>
      </c>
      <c r="U13" s="12">
        <f>SUMIFS(BASE!$G:$G,BASE!$B:$B,$B13,BASE!$L:$L,$G13,BASE!$J:$J,$C13,BASE!$A:$A,U$2)</f>
        <v>0</v>
      </c>
      <c r="V13" s="12">
        <f>SUMIFS(BASE!$G:$G,BASE!$B:$B,$B13,BASE!$L:$L,$G13,BASE!$J:$J,$C13,BASE!$A:$A,V$2)</f>
        <v>0</v>
      </c>
      <c r="X13" t="str">
        <f t="shared" si="1"/>
        <v>COM TROCAS</v>
      </c>
    </row>
    <row r="14" spans="2:24">
      <c r="B14" s="8" t="s">
        <v>281</v>
      </c>
      <c r="C14" s="9" t="s">
        <v>195</v>
      </c>
      <c r="D14" s="9" t="s">
        <v>282</v>
      </c>
      <c r="E14" s="9" t="s">
        <v>264</v>
      </c>
      <c r="F14" s="9" t="s">
        <v>283</v>
      </c>
      <c r="G14" s="9" t="s">
        <v>61</v>
      </c>
      <c r="H14" s="7" t="str">
        <f>IFERROR(IF(_xlfn.XLOOKUP(B14,REPASSE!D:D,REPASSE!D:D)="","Não","Sim"),"Não")</f>
        <v>Não</v>
      </c>
      <c r="I14" s="7" t="str">
        <f>IF(_xlfn.XLOOKUP(B14,'BOOST LIBERADO'!B:B,'BOOST LIBERADO'!B:B,"Não")="Não","Não","Sim")</f>
        <v>Sim</v>
      </c>
      <c r="J14" s="83" t="str">
        <f t="shared" si="0"/>
        <v>Sim</v>
      </c>
      <c r="K14" s="12">
        <f>SUMIFS(BASE!$G:$G,BASE!$B:$B,$B14,BASE!$L:$L,$G14,BASE!$J:$J,$C14,BASE!$A:$A,K$2)</f>
        <v>0</v>
      </c>
      <c r="L14" s="12">
        <f>SUMIFS(BASE!$G:$G,BASE!$B:$B,$B14,BASE!$L:$L,$G14,BASE!$J:$J,$C14,BASE!$A:$A,L$2)</f>
        <v>0</v>
      </c>
      <c r="M14" s="12">
        <f>SUMIFS(BASE!$G:$G,BASE!$B:$B,$B14,BASE!$L:$L,$G14,BASE!$J:$J,$C14,BASE!$A:$A,M$2)</f>
        <v>0</v>
      </c>
      <c r="N14" s="12">
        <f>SUMIFS(BASE!$G:$G,BASE!$B:$B,$B14,BASE!$L:$L,$G14,BASE!$J:$J,$C14,BASE!$A:$A,N$2)</f>
        <v>0</v>
      </c>
      <c r="O14" s="12">
        <f>SUMIFS(BASE!$G:$G,BASE!$B:$B,$B14,BASE!$L:$L,$G14,BASE!$J:$J,$C14,BASE!$A:$A,O$2)</f>
        <v>0</v>
      </c>
      <c r="P14" s="12">
        <f>SUMIFS(BASE!$G:$G,BASE!$B:$B,$B14,BASE!$L:$L,$G14,BASE!$J:$J,$C14,BASE!$A:$A,P$2)</f>
        <v>0</v>
      </c>
      <c r="Q14" s="12">
        <f>SUMIFS(BASE!$G:$G,BASE!$B:$B,$B14,BASE!$L:$L,$G14,BASE!$J:$J,$C14,BASE!$A:$A,Q$2)</f>
        <v>0</v>
      </c>
      <c r="R14" s="12">
        <f>SUMIFS(BASE!$G:$G,BASE!$B:$B,$B14,BASE!$L:$L,$G14,BASE!$J:$J,$C14,BASE!$A:$A,R$2)</f>
        <v>0</v>
      </c>
      <c r="S14" s="12">
        <f>SUMIFS(BASE!$G:$G,BASE!$B:$B,$B14,BASE!$L:$L,$G14,BASE!$J:$J,$C14,BASE!$A:$A,S$2)</f>
        <v>0</v>
      </c>
      <c r="T14" s="12">
        <f>SUMIFS(BASE!$G:$G,BASE!$B:$B,$B14,BASE!$L:$L,$G14,BASE!$J:$J,$C14,BASE!$A:$A,T$2)</f>
        <v>0</v>
      </c>
      <c r="U14" s="12">
        <f>SUMIFS(BASE!$G:$G,BASE!$B:$B,$B14,BASE!$L:$L,$G14,BASE!$J:$J,$C14,BASE!$A:$A,U$2)</f>
        <v>0</v>
      </c>
      <c r="V14" s="12">
        <f>SUMIFS(BASE!$G:$G,BASE!$B:$B,$B14,BASE!$L:$L,$G14,BASE!$J:$J,$C14,BASE!$A:$A,V$2)</f>
        <v>0</v>
      </c>
      <c r="X14" t="str">
        <f t="shared" si="1"/>
        <v>ZERADO</v>
      </c>
    </row>
    <row r="15" spans="2:24">
      <c r="B15" s="8" t="s">
        <v>284</v>
      </c>
      <c r="C15" s="9" t="s">
        <v>104</v>
      </c>
      <c r="D15" s="9" t="s">
        <v>255</v>
      </c>
      <c r="E15" s="9" t="s">
        <v>256</v>
      </c>
      <c r="F15" s="9" t="s">
        <v>285</v>
      </c>
      <c r="G15" s="9" t="s">
        <v>61</v>
      </c>
      <c r="H15" s="7" t="str">
        <f>IFERROR(IF(_xlfn.XLOOKUP(B15,REPASSE!D:D,REPASSE!D:D)="","Não","Sim"),"Não")</f>
        <v>Não</v>
      </c>
      <c r="I15" s="7" t="str">
        <f>IF(_xlfn.XLOOKUP(B15,'BOOST LIBERADO'!B:B,'BOOST LIBERADO'!B:B,"Não")="Não","Não","Sim")</f>
        <v>Sim</v>
      </c>
      <c r="J15" s="83" t="str">
        <f t="shared" si="0"/>
        <v>Sim</v>
      </c>
      <c r="K15" s="12">
        <f>SUMIFS(BASE!$G:$G,BASE!$B:$B,$B15,BASE!$L:$L,$G15,BASE!$J:$J,$C15,BASE!$A:$A,K$2)</f>
        <v>0</v>
      </c>
      <c r="L15" s="12">
        <f>SUMIFS(BASE!$G:$G,BASE!$B:$B,$B15,BASE!$L:$L,$G15,BASE!$J:$J,$C15,BASE!$A:$A,L$2)</f>
        <v>0</v>
      </c>
      <c r="M15" s="12">
        <f>SUMIFS(BASE!$G:$G,BASE!$B:$B,$B15,BASE!$L:$L,$G15,BASE!$J:$J,$C15,BASE!$A:$A,M$2)</f>
        <v>0</v>
      </c>
      <c r="N15" s="12">
        <f>SUMIFS(BASE!$G:$G,BASE!$B:$B,$B15,BASE!$L:$L,$G15,BASE!$J:$J,$C15,BASE!$A:$A,N$2)</f>
        <v>0</v>
      </c>
      <c r="O15" s="12">
        <f>SUMIFS(BASE!$G:$G,BASE!$B:$B,$B15,BASE!$L:$L,$G15,BASE!$J:$J,$C15,BASE!$A:$A,O$2)</f>
        <v>0</v>
      </c>
      <c r="P15" s="12">
        <f>SUMIFS(BASE!$G:$G,BASE!$B:$B,$B15,BASE!$L:$L,$G15,BASE!$J:$J,$C15,BASE!$A:$A,P$2)</f>
        <v>0</v>
      </c>
      <c r="Q15" s="12">
        <f>SUMIFS(BASE!$G:$G,BASE!$B:$B,$B15,BASE!$L:$L,$G15,BASE!$J:$J,$C15,BASE!$A:$A,Q$2)</f>
        <v>0</v>
      </c>
      <c r="R15" s="12">
        <f>SUMIFS(BASE!$G:$G,BASE!$B:$B,$B15,BASE!$L:$L,$G15,BASE!$J:$J,$C15,BASE!$A:$A,R$2)</f>
        <v>0</v>
      </c>
      <c r="S15" s="12">
        <f>SUMIFS(BASE!$G:$G,BASE!$B:$B,$B15,BASE!$L:$L,$G15,BASE!$J:$J,$C15,BASE!$A:$A,S$2)</f>
        <v>0</v>
      </c>
      <c r="T15" s="12">
        <f>SUMIFS(BASE!$G:$G,BASE!$B:$B,$B15,BASE!$L:$L,$G15,BASE!$J:$J,$C15,BASE!$A:$A,T$2)</f>
        <v>0</v>
      </c>
      <c r="U15" s="12">
        <f>SUMIFS(BASE!$G:$G,BASE!$B:$B,$B15,BASE!$L:$L,$G15,BASE!$J:$J,$C15,BASE!$A:$A,U$2)</f>
        <v>0</v>
      </c>
      <c r="V15" s="12">
        <f>SUMIFS(BASE!$G:$G,BASE!$B:$B,$B15,BASE!$L:$L,$G15,BASE!$J:$J,$C15,BASE!$A:$A,V$2)</f>
        <v>0</v>
      </c>
      <c r="X15" t="str">
        <f t="shared" si="1"/>
        <v>ZERADO</v>
      </c>
    </row>
    <row r="16" spans="2:24">
      <c r="B16" s="8" t="s">
        <v>286</v>
      </c>
      <c r="C16" s="9" t="s">
        <v>230</v>
      </c>
      <c r="D16" s="9" t="s">
        <v>287</v>
      </c>
      <c r="E16" s="9" t="s">
        <v>252</v>
      </c>
      <c r="F16" s="9" t="s">
        <v>288</v>
      </c>
      <c r="G16" s="9" t="s">
        <v>61</v>
      </c>
      <c r="H16" s="7" t="str">
        <f>IFERROR(IF(_xlfn.XLOOKUP(B16,REPASSE!D:D,REPASSE!D:D)="","Não","Sim"),"Não")</f>
        <v>Não</v>
      </c>
      <c r="I16" s="7" t="str">
        <f>IF(_xlfn.XLOOKUP(B16,'BOOST LIBERADO'!B:B,'BOOST LIBERADO'!B:B,"Não")="Não","Não","Sim")</f>
        <v>Sim</v>
      </c>
      <c r="J16" s="83" t="str">
        <f t="shared" si="0"/>
        <v>Sim</v>
      </c>
      <c r="K16" s="12">
        <f>SUMIFS(BASE!$G:$G,BASE!$B:$B,$B16,BASE!$L:$L,$G16,BASE!$J:$J,$C16,BASE!$A:$A,K$2)</f>
        <v>11</v>
      </c>
      <c r="L16" s="12">
        <f>SUMIFS(BASE!$G:$G,BASE!$B:$B,$B16,BASE!$L:$L,$G16,BASE!$J:$J,$C16,BASE!$A:$A,L$2)</f>
        <v>10</v>
      </c>
      <c r="M16" s="12">
        <f>SUMIFS(BASE!$G:$G,BASE!$B:$B,$B16,BASE!$L:$L,$G16,BASE!$J:$J,$C16,BASE!$A:$A,M$2)</f>
        <v>14</v>
      </c>
      <c r="N16" s="12">
        <f>SUMIFS(BASE!$G:$G,BASE!$B:$B,$B16,BASE!$L:$L,$G16,BASE!$J:$J,$C16,BASE!$A:$A,N$2)</f>
        <v>17</v>
      </c>
      <c r="O16" s="12">
        <f>SUMIFS(BASE!$G:$G,BASE!$B:$B,$B16,BASE!$L:$L,$G16,BASE!$J:$J,$C16,BASE!$A:$A,O$2)</f>
        <v>39</v>
      </c>
      <c r="P16" s="12">
        <f>SUMIFS(BASE!$G:$G,BASE!$B:$B,$B16,BASE!$L:$L,$G16,BASE!$J:$J,$C16,BASE!$A:$A,P$2)</f>
        <v>22</v>
      </c>
      <c r="Q16" s="12">
        <f>SUMIFS(BASE!$G:$G,BASE!$B:$B,$B16,BASE!$L:$L,$G16,BASE!$J:$J,$C16,BASE!$A:$A,Q$2)</f>
        <v>24</v>
      </c>
      <c r="R16" s="12">
        <f>SUMIFS(BASE!$G:$G,BASE!$B:$B,$B16,BASE!$L:$L,$G16,BASE!$J:$J,$C16,BASE!$A:$A,R$2)</f>
        <v>25</v>
      </c>
      <c r="S16" s="12">
        <f>SUMIFS(BASE!$G:$G,BASE!$B:$B,$B16,BASE!$L:$L,$G16,BASE!$J:$J,$C16,BASE!$A:$A,S$2)</f>
        <v>0</v>
      </c>
      <c r="T16" s="12">
        <f>SUMIFS(BASE!$G:$G,BASE!$B:$B,$B16,BASE!$L:$L,$G16,BASE!$J:$J,$C16,BASE!$A:$A,T$2)</f>
        <v>0</v>
      </c>
      <c r="U16" s="12">
        <f>SUMIFS(BASE!$G:$G,BASE!$B:$B,$B16,BASE!$L:$L,$G16,BASE!$J:$J,$C16,BASE!$A:$A,U$2)</f>
        <v>0</v>
      </c>
      <c r="V16" s="12">
        <f>SUMIFS(BASE!$G:$G,BASE!$B:$B,$B16,BASE!$L:$L,$G16,BASE!$J:$J,$C16,BASE!$A:$A,V$2)</f>
        <v>0</v>
      </c>
      <c r="X16" t="str">
        <f t="shared" si="1"/>
        <v>COM TROCAS</v>
      </c>
    </row>
    <row r="17" spans="2:24">
      <c r="B17" s="8" t="s">
        <v>289</v>
      </c>
      <c r="C17" s="9" t="s">
        <v>230</v>
      </c>
      <c r="D17" s="9" t="s">
        <v>290</v>
      </c>
      <c r="E17" s="9" t="s">
        <v>252</v>
      </c>
      <c r="F17" s="9" t="s">
        <v>291</v>
      </c>
      <c r="G17" s="9" t="s">
        <v>61</v>
      </c>
      <c r="H17" s="7" t="str">
        <f>IFERROR(IF(_xlfn.XLOOKUP(B17,REPASSE!D:D,REPASSE!D:D)="","Não","Sim"),"Não")</f>
        <v>Não</v>
      </c>
      <c r="I17" s="7" t="str">
        <f>IF(_xlfn.XLOOKUP(B17,'BOOST LIBERADO'!B:B,'BOOST LIBERADO'!B:B,"Não")="Não","Não","Sim")</f>
        <v>Sim</v>
      </c>
      <c r="J17" s="83" t="str">
        <f t="shared" si="0"/>
        <v>Sim</v>
      </c>
      <c r="K17" s="12">
        <f>SUMIFS(BASE!$G:$G,BASE!$B:$B,$B17,BASE!$L:$L,$G17,BASE!$J:$J,$C17,BASE!$A:$A,K$2)</f>
        <v>0</v>
      </c>
      <c r="L17" s="12">
        <f>SUMIFS(BASE!$G:$G,BASE!$B:$B,$B17,BASE!$L:$L,$G17,BASE!$J:$J,$C17,BASE!$A:$A,L$2)</f>
        <v>0</v>
      </c>
      <c r="M17" s="12">
        <f>SUMIFS(BASE!$G:$G,BASE!$B:$B,$B17,BASE!$L:$L,$G17,BASE!$J:$J,$C17,BASE!$A:$A,M$2)</f>
        <v>0</v>
      </c>
      <c r="N17" s="12">
        <f>SUMIFS(BASE!$G:$G,BASE!$B:$B,$B17,BASE!$L:$L,$G17,BASE!$J:$J,$C17,BASE!$A:$A,N$2)</f>
        <v>0</v>
      </c>
      <c r="O17" s="12">
        <f>SUMIFS(BASE!$G:$G,BASE!$B:$B,$B17,BASE!$L:$L,$G17,BASE!$J:$J,$C17,BASE!$A:$A,O$2)</f>
        <v>3</v>
      </c>
      <c r="P17" s="12">
        <f>SUMIFS(BASE!$G:$G,BASE!$B:$B,$B17,BASE!$L:$L,$G17,BASE!$J:$J,$C17,BASE!$A:$A,P$2)</f>
        <v>1</v>
      </c>
      <c r="Q17" s="12">
        <f>SUMIFS(BASE!$G:$G,BASE!$B:$B,$B17,BASE!$L:$L,$G17,BASE!$J:$J,$C17,BASE!$A:$A,Q$2)</f>
        <v>5</v>
      </c>
      <c r="R17" s="12">
        <f>SUMIFS(BASE!$G:$G,BASE!$B:$B,$B17,BASE!$L:$L,$G17,BASE!$J:$J,$C17,BASE!$A:$A,R$2)</f>
        <v>3</v>
      </c>
      <c r="S17" s="12">
        <f>SUMIFS(BASE!$G:$G,BASE!$B:$B,$B17,BASE!$L:$L,$G17,BASE!$J:$J,$C17,BASE!$A:$A,S$2)</f>
        <v>0</v>
      </c>
      <c r="T17" s="12">
        <f>SUMIFS(BASE!$G:$G,BASE!$B:$B,$B17,BASE!$L:$L,$G17,BASE!$J:$J,$C17,BASE!$A:$A,T$2)</f>
        <v>0</v>
      </c>
      <c r="U17" s="12">
        <f>SUMIFS(BASE!$G:$G,BASE!$B:$B,$B17,BASE!$L:$L,$G17,BASE!$J:$J,$C17,BASE!$A:$A,U$2)</f>
        <v>0</v>
      </c>
      <c r="V17" s="12">
        <f>SUMIFS(BASE!$G:$G,BASE!$B:$B,$B17,BASE!$L:$L,$G17,BASE!$J:$J,$C17,BASE!$A:$A,V$2)</f>
        <v>0</v>
      </c>
      <c r="X17" t="str">
        <f t="shared" si="1"/>
        <v>COM TROCAS</v>
      </c>
    </row>
    <row r="18" spans="2:24">
      <c r="B18" s="8" t="s">
        <v>292</v>
      </c>
      <c r="C18" s="9" t="s">
        <v>104</v>
      </c>
      <c r="D18" s="9" t="s">
        <v>287</v>
      </c>
      <c r="E18" s="9" t="s">
        <v>252</v>
      </c>
      <c r="F18" s="9" t="s">
        <v>288</v>
      </c>
      <c r="G18" s="9" t="s">
        <v>61</v>
      </c>
      <c r="H18" s="7" t="str">
        <f>IFERROR(IF(_xlfn.XLOOKUP(B18,REPASSE!D:D,REPASSE!D:D)="","Não","Sim"),"Não")</f>
        <v>Não</v>
      </c>
      <c r="I18" s="7" t="str">
        <f>IF(_xlfn.XLOOKUP(B18,'BOOST LIBERADO'!B:B,'BOOST LIBERADO'!B:B,"Não")="Não","Não","Sim")</f>
        <v>Sim</v>
      </c>
      <c r="J18" s="83" t="str">
        <f t="shared" si="0"/>
        <v>Sim</v>
      </c>
      <c r="K18" s="12">
        <f>SUMIFS(BASE!$G:$G,BASE!$B:$B,$B18,BASE!$L:$L,$G18,BASE!$J:$J,$C18,BASE!$A:$A,K$2)</f>
        <v>0</v>
      </c>
      <c r="L18" s="12">
        <f>SUMIFS(BASE!$G:$G,BASE!$B:$B,$B18,BASE!$L:$L,$G18,BASE!$J:$J,$C18,BASE!$A:$A,L$2)</f>
        <v>0</v>
      </c>
      <c r="M18" s="12">
        <f>SUMIFS(BASE!$G:$G,BASE!$B:$B,$B18,BASE!$L:$L,$G18,BASE!$J:$J,$C18,BASE!$A:$A,M$2)</f>
        <v>0</v>
      </c>
      <c r="N18" s="12">
        <f>SUMIFS(BASE!$G:$G,BASE!$B:$B,$B18,BASE!$L:$L,$G18,BASE!$J:$J,$C18,BASE!$A:$A,N$2)</f>
        <v>0</v>
      </c>
      <c r="O18" s="12">
        <f>SUMIFS(BASE!$G:$G,BASE!$B:$B,$B18,BASE!$L:$L,$G18,BASE!$J:$J,$C18,BASE!$A:$A,O$2)</f>
        <v>0</v>
      </c>
      <c r="P18" s="12">
        <f>SUMIFS(BASE!$G:$G,BASE!$B:$B,$B18,BASE!$L:$L,$G18,BASE!$J:$J,$C18,BASE!$A:$A,P$2)</f>
        <v>0</v>
      </c>
      <c r="Q18" s="12">
        <f>SUMIFS(BASE!$G:$G,BASE!$B:$B,$B18,BASE!$L:$L,$G18,BASE!$J:$J,$C18,BASE!$A:$A,Q$2)</f>
        <v>0</v>
      </c>
      <c r="R18" s="12">
        <f>SUMIFS(BASE!$G:$G,BASE!$B:$B,$B18,BASE!$L:$L,$G18,BASE!$J:$J,$C18,BASE!$A:$A,R$2)</f>
        <v>0</v>
      </c>
      <c r="S18" s="12">
        <f>SUMIFS(BASE!$G:$G,BASE!$B:$B,$B18,BASE!$L:$L,$G18,BASE!$J:$J,$C18,BASE!$A:$A,S$2)</f>
        <v>0</v>
      </c>
      <c r="T18" s="12">
        <f>SUMIFS(BASE!$G:$G,BASE!$B:$B,$B18,BASE!$L:$L,$G18,BASE!$J:$J,$C18,BASE!$A:$A,T$2)</f>
        <v>0</v>
      </c>
      <c r="U18" s="12">
        <f>SUMIFS(BASE!$G:$G,BASE!$B:$B,$B18,BASE!$L:$L,$G18,BASE!$J:$J,$C18,BASE!$A:$A,U$2)</f>
        <v>0</v>
      </c>
      <c r="V18" s="12">
        <f>SUMIFS(BASE!$G:$G,BASE!$B:$B,$B18,BASE!$L:$L,$G18,BASE!$J:$J,$C18,BASE!$A:$A,V$2)</f>
        <v>0</v>
      </c>
      <c r="X18" t="str">
        <f t="shared" si="1"/>
        <v>ZERADO</v>
      </c>
    </row>
    <row r="19" spans="2:24">
      <c r="B19" s="8" t="s">
        <v>293</v>
      </c>
      <c r="C19" s="9" t="s">
        <v>230</v>
      </c>
      <c r="D19" s="9" t="s">
        <v>263</v>
      </c>
      <c r="E19" s="9" t="s">
        <v>264</v>
      </c>
      <c r="F19" s="9" t="s">
        <v>265</v>
      </c>
      <c r="G19" s="9" t="s">
        <v>61</v>
      </c>
      <c r="H19" s="7" t="str">
        <f>IFERROR(IF(_xlfn.XLOOKUP(B19,REPASSE!D:D,REPASSE!D:D)="","Não","Sim"),"Não")</f>
        <v>Não</v>
      </c>
      <c r="I19" s="7" t="str">
        <f>IF(_xlfn.XLOOKUP(B19,'BOOST LIBERADO'!B:B,'BOOST LIBERADO'!B:B,"Não")="Não","Não","Sim")</f>
        <v>Sim</v>
      </c>
      <c r="J19" s="83" t="str">
        <f t="shared" si="0"/>
        <v>Sim</v>
      </c>
      <c r="K19" s="12">
        <f>SUMIFS(BASE!$G:$G,BASE!$B:$B,$B19,BASE!$L:$L,$G19,BASE!$J:$J,$C19,BASE!$A:$A,K$2)</f>
        <v>8</v>
      </c>
      <c r="L19" s="12">
        <f>SUMIFS(BASE!$G:$G,BASE!$B:$B,$B19,BASE!$L:$L,$G19,BASE!$J:$J,$C19,BASE!$A:$A,L$2)</f>
        <v>8</v>
      </c>
      <c r="M19" s="12">
        <f>SUMIFS(BASE!$G:$G,BASE!$B:$B,$B19,BASE!$L:$L,$G19,BASE!$J:$J,$C19,BASE!$A:$A,M$2)</f>
        <v>4</v>
      </c>
      <c r="N19" s="12">
        <f>SUMIFS(BASE!$G:$G,BASE!$B:$B,$B19,BASE!$L:$L,$G19,BASE!$J:$J,$C19,BASE!$A:$A,N$2)</f>
        <v>13</v>
      </c>
      <c r="O19" s="12">
        <f>SUMIFS(BASE!$G:$G,BASE!$B:$B,$B19,BASE!$L:$L,$G19,BASE!$J:$J,$C19,BASE!$A:$A,O$2)</f>
        <v>19</v>
      </c>
      <c r="P19" s="12">
        <f>SUMIFS(BASE!$G:$G,BASE!$B:$B,$B19,BASE!$L:$L,$G19,BASE!$J:$J,$C19,BASE!$A:$A,P$2)</f>
        <v>10</v>
      </c>
      <c r="Q19" s="12">
        <f>SUMIFS(BASE!$G:$G,BASE!$B:$B,$B19,BASE!$L:$L,$G19,BASE!$J:$J,$C19,BASE!$A:$A,Q$2)</f>
        <v>14</v>
      </c>
      <c r="R19" s="12">
        <f>SUMIFS(BASE!$G:$G,BASE!$B:$B,$B19,BASE!$L:$L,$G19,BASE!$J:$J,$C19,BASE!$A:$A,R$2)</f>
        <v>12</v>
      </c>
      <c r="S19" s="12">
        <f>SUMIFS(BASE!$G:$G,BASE!$B:$B,$B19,BASE!$L:$L,$G19,BASE!$J:$J,$C19,BASE!$A:$A,S$2)</f>
        <v>0</v>
      </c>
      <c r="T19" s="12">
        <f>SUMIFS(BASE!$G:$G,BASE!$B:$B,$B19,BASE!$L:$L,$G19,BASE!$J:$J,$C19,BASE!$A:$A,T$2)</f>
        <v>0</v>
      </c>
      <c r="U19" s="12">
        <f>SUMIFS(BASE!$G:$G,BASE!$B:$B,$B19,BASE!$L:$L,$G19,BASE!$J:$J,$C19,BASE!$A:$A,U$2)</f>
        <v>0</v>
      </c>
      <c r="V19" s="12">
        <f>SUMIFS(BASE!$G:$G,BASE!$B:$B,$B19,BASE!$L:$L,$G19,BASE!$J:$J,$C19,BASE!$A:$A,V$2)</f>
        <v>0</v>
      </c>
      <c r="X19" t="str">
        <f t="shared" si="1"/>
        <v>COM TROCAS</v>
      </c>
    </row>
    <row r="20" spans="2:24">
      <c r="B20" s="8" t="s">
        <v>294</v>
      </c>
      <c r="C20" s="9" t="s">
        <v>141</v>
      </c>
      <c r="D20" s="9" t="s">
        <v>251</v>
      </c>
      <c r="E20" s="9" t="s">
        <v>252</v>
      </c>
      <c r="F20" s="9" t="s">
        <v>295</v>
      </c>
      <c r="G20" s="9" t="s">
        <v>61</v>
      </c>
      <c r="H20" s="7" t="str">
        <f>IFERROR(IF(_xlfn.XLOOKUP(B20,REPASSE!D:D,REPASSE!D:D)="","Não","Sim"),"Não")</f>
        <v>Não</v>
      </c>
      <c r="I20" s="7" t="str">
        <f>IF(_xlfn.XLOOKUP(B20,'BOOST LIBERADO'!B:B,'BOOST LIBERADO'!B:B,"Não")="Não","Não","Sim")</f>
        <v>Sim</v>
      </c>
      <c r="J20" s="83" t="str">
        <f t="shared" si="0"/>
        <v>Sim</v>
      </c>
      <c r="K20" s="12">
        <f>SUMIFS(BASE!$G:$G,BASE!$B:$B,$B20,BASE!$L:$L,$G20,BASE!$J:$J,$C20,BASE!$A:$A,K$2)</f>
        <v>0</v>
      </c>
      <c r="L20" s="12">
        <f>SUMIFS(BASE!$G:$G,BASE!$B:$B,$B20,BASE!$L:$L,$G20,BASE!$J:$J,$C20,BASE!$A:$A,L$2)</f>
        <v>0</v>
      </c>
      <c r="M20" s="12">
        <f>SUMIFS(BASE!$G:$G,BASE!$B:$B,$B20,BASE!$L:$L,$G20,BASE!$J:$J,$C20,BASE!$A:$A,M$2)</f>
        <v>0</v>
      </c>
      <c r="N20" s="12">
        <f>SUMIFS(BASE!$G:$G,BASE!$B:$B,$B20,BASE!$L:$L,$G20,BASE!$J:$J,$C20,BASE!$A:$A,N$2)</f>
        <v>0</v>
      </c>
      <c r="O20" s="12">
        <f>SUMIFS(BASE!$G:$G,BASE!$B:$B,$B20,BASE!$L:$L,$G20,BASE!$J:$J,$C20,BASE!$A:$A,O$2)</f>
        <v>0</v>
      </c>
      <c r="P20" s="12">
        <f>SUMIFS(BASE!$G:$G,BASE!$B:$B,$B20,BASE!$L:$L,$G20,BASE!$J:$J,$C20,BASE!$A:$A,P$2)</f>
        <v>0</v>
      </c>
      <c r="Q20" s="12">
        <f>SUMIFS(BASE!$G:$G,BASE!$B:$B,$B20,BASE!$L:$L,$G20,BASE!$J:$J,$C20,BASE!$A:$A,Q$2)</f>
        <v>0</v>
      </c>
      <c r="R20" s="12">
        <f>SUMIFS(BASE!$G:$G,BASE!$B:$B,$B20,BASE!$L:$L,$G20,BASE!$J:$J,$C20,BASE!$A:$A,R$2)</f>
        <v>0</v>
      </c>
      <c r="S20" s="12">
        <f>SUMIFS(BASE!$G:$G,BASE!$B:$B,$B20,BASE!$L:$L,$G20,BASE!$J:$J,$C20,BASE!$A:$A,S$2)</f>
        <v>0</v>
      </c>
      <c r="T20" s="12">
        <f>SUMIFS(BASE!$G:$G,BASE!$B:$B,$B20,BASE!$L:$L,$G20,BASE!$J:$J,$C20,BASE!$A:$A,T$2)</f>
        <v>0</v>
      </c>
      <c r="U20" s="12">
        <f>SUMIFS(BASE!$G:$G,BASE!$B:$B,$B20,BASE!$L:$L,$G20,BASE!$J:$J,$C20,BASE!$A:$A,U$2)</f>
        <v>0</v>
      </c>
      <c r="V20" s="12">
        <f>SUMIFS(BASE!$G:$G,BASE!$B:$B,$B20,BASE!$L:$L,$G20,BASE!$J:$J,$C20,BASE!$A:$A,V$2)</f>
        <v>0</v>
      </c>
      <c r="X20" t="str">
        <f t="shared" si="1"/>
        <v>ZERADO</v>
      </c>
    </row>
    <row r="21" spans="2:24">
      <c r="B21" s="8" t="s">
        <v>296</v>
      </c>
      <c r="C21" s="9" t="s">
        <v>212</v>
      </c>
      <c r="D21" s="9" t="s">
        <v>287</v>
      </c>
      <c r="E21" s="9" t="s">
        <v>252</v>
      </c>
      <c r="F21" s="9" t="s">
        <v>288</v>
      </c>
      <c r="G21" s="9" t="s">
        <v>61</v>
      </c>
      <c r="H21" s="7" t="str">
        <f>IFERROR(IF(_xlfn.XLOOKUP(B21,REPASSE!D:D,REPASSE!D:D)="","Não","Sim"),"Não")</f>
        <v>Não</v>
      </c>
      <c r="I21" s="7" t="str">
        <f>IF(_xlfn.XLOOKUP(B21,'BOOST LIBERADO'!B:B,'BOOST LIBERADO'!B:B,"Não")="Não","Não","Sim")</f>
        <v>Não</v>
      </c>
      <c r="J21" s="83" t="str">
        <f t="shared" si="0"/>
        <v>Não</v>
      </c>
      <c r="K21" s="12">
        <f>SUMIFS(BASE!$G:$G,BASE!$B:$B,$B21,BASE!$L:$L,$G21,BASE!$J:$J,$C21,BASE!$A:$A,K$2)</f>
        <v>0</v>
      </c>
      <c r="L21" s="12">
        <f>SUMIFS(BASE!$G:$G,BASE!$B:$B,$B21,BASE!$L:$L,$G21,BASE!$J:$J,$C21,BASE!$A:$A,L$2)</f>
        <v>0</v>
      </c>
      <c r="M21" s="12">
        <f>SUMIFS(BASE!$G:$G,BASE!$B:$B,$B21,BASE!$L:$L,$G21,BASE!$J:$J,$C21,BASE!$A:$A,M$2)</f>
        <v>0</v>
      </c>
      <c r="N21" s="12">
        <f>SUMIFS(BASE!$G:$G,BASE!$B:$B,$B21,BASE!$L:$L,$G21,BASE!$J:$J,$C21,BASE!$A:$A,N$2)</f>
        <v>0</v>
      </c>
      <c r="O21" s="12">
        <f>SUMIFS(BASE!$G:$G,BASE!$B:$B,$B21,BASE!$L:$L,$G21,BASE!$J:$J,$C21,BASE!$A:$A,O$2)</f>
        <v>0</v>
      </c>
      <c r="P21" s="12">
        <f>SUMIFS(BASE!$G:$G,BASE!$B:$B,$B21,BASE!$L:$L,$G21,BASE!$J:$J,$C21,BASE!$A:$A,P$2)</f>
        <v>0</v>
      </c>
      <c r="Q21" s="12">
        <f>SUMIFS(BASE!$G:$G,BASE!$B:$B,$B21,BASE!$L:$L,$G21,BASE!$J:$J,$C21,BASE!$A:$A,Q$2)</f>
        <v>0</v>
      </c>
      <c r="R21" s="12">
        <f>SUMIFS(BASE!$G:$G,BASE!$B:$B,$B21,BASE!$L:$L,$G21,BASE!$J:$J,$C21,BASE!$A:$A,R$2)</f>
        <v>0</v>
      </c>
      <c r="S21" s="12">
        <f>SUMIFS(BASE!$G:$G,BASE!$B:$B,$B21,BASE!$L:$L,$G21,BASE!$J:$J,$C21,BASE!$A:$A,S$2)</f>
        <v>0</v>
      </c>
      <c r="T21" s="12">
        <f>SUMIFS(BASE!$G:$G,BASE!$B:$B,$B21,BASE!$L:$L,$G21,BASE!$J:$J,$C21,BASE!$A:$A,T$2)</f>
        <v>0</v>
      </c>
      <c r="U21" s="12">
        <f>SUMIFS(BASE!$G:$G,BASE!$B:$B,$B21,BASE!$L:$L,$G21,BASE!$J:$J,$C21,BASE!$A:$A,U$2)</f>
        <v>0</v>
      </c>
      <c r="V21" s="12">
        <f>SUMIFS(BASE!$G:$G,BASE!$B:$B,$B21,BASE!$L:$L,$G21,BASE!$J:$J,$C21,BASE!$A:$A,V$2)</f>
        <v>0</v>
      </c>
      <c r="X21" t="str">
        <f t="shared" si="1"/>
        <v>ZERADO</v>
      </c>
    </row>
    <row r="22" spans="2:24">
      <c r="B22" s="8" t="s">
        <v>297</v>
      </c>
      <c r="C22" s="9" t="s">
        <v>238</v>
      </c>
      <c r="D22" s="9" t="s">
        <v>259</v>
      </c>
      <c r="E22" s="9" t="s">
        <v>260</v>
      </c>
      <c r="F22" s="9" t="s">
        <v>261</v>
      </c>
      <c r="G22" s="9" t="s">
        <v>61</v>
      </c>
      <c r="H22" s="7" t="str">
        <f>IFERROR(IF(_xlfn.XLOOKUP(B22,REPASSE!D:D,REPASSE!D:D)="","Não","Sim"),"Não")</f>
        <v>Não</v>
      </c>
      <c r="I22" s="7" t="str">
        <f>IF(_xlfn.XLOOKUP(B22,'BOOST LIBERADO'!B:B,'BOOST LIBERADO'!B:B,"Não")="Não","Não","Sim")</f>
        <v>Sim</v>
      </c>
      <c r="J22" s="83" t="str">
        <f t="shared" si="0"/>
        <v>Sim</v>
      </c>
      <c r="K22" s="12">
        <f>SUMIFS(BASE!$G:$G,BASE!$B:$B,$B22,BASE!$L:$L,$G22,BASE!$J:$J,$C22,BASE!$A:$A,K$2)</f>
        <v>0</v>
      </c>
      <c r="L22" s="12">
        <f>SUMIFS(BASE!$G:$G,BASE!$B:$B,$B22,BASE!$L:$L,$G22,BASE!$J:$J,$C22,BASE!$A:$A,L$2)</f>
        <v>0</v>
      </c>
      <c r="M22" s="12">
        <f>SUMIFS(BASE!$G:$G,BASE!$B:$B,$B22,BASE!$L:$L,$G22,BASE!$J:$J,$C22,BASE!$A:$A,M$2)</f>
        <v>1</v>
      </c>
      <c r="N22" s="12">
        <f>SUMIFS(BASE!$G:$G,BASE!$B:$B,$B22,BASE!$L:$L,$G22,BASE!$J:$J,$C22,BASE!$A:$A,N$2)</f>
        <v>0</v>
      </c>
      <c r="O22" s="12">
        <f>SUMIFS(BASE!$G:$G,BASE!$B:$B,$B22,BASE!$L:$L,$G22,BASE!$J:$J,$C22,BASE!$A:$A,O$2)</f>
        <v>0</v>
      </c>
      <c r="P22" s="12">
        <f>SUMIFS(BASE!$G:$G,BASE!$B:$B,$B22,BASE!$L:$L,$G22,BASE!$J:$J,$C22,BASE!$A:$A,P$2)</f>
        <v>0</v>
      </c>
      <c r="Q22" s="12">
        <f>SUMIFS(BASE!$G:$G,BASE!$B:$B,$B22,BASE!$L:$L,$G22,BASE!$J:$J,$C22,BASE!$A:$A,Q$2)</f>
        <v>0</v>
      </c>
      <c r="R22" s="12">
        <f>SUMIFS(BASE!$G:$G,BASE!$B:$B,$B22,BASE!$L:$L,$G22,BASE!$J:$J,$C22,BASE!$A:$A,R$2)</f>
        <v>1</v>
      </c>
      <c r="S22" s="12">
        <f>SUMIFS(BASE!$G:$G,BASE!$B:$B,$B22,BASE!$L:$L,$G22,BASE!$J:$J,$C22,BASE!$A:$A,S$2)</f>
        <v>0</v>
      </c>
      <c r="T22" s="12">
        <f>SUMIFS(BASE!$G:$G,BASE!$B:$B,$B22,BASE!$L:$L,$G22,BASE!$J:$J,$C22,BASE!$A:$A,T$2)</f>
        <v>0</v>
      </c>
      <c r="U22" s="12">
        <f>SUMIFS(BASE!$G:$G,BASE!$B:$B,$B22,BASE!$L:$L,$G22,BASE!$J:$J,$C22,BASE!$A:$A,U$2)</f>
        <v>0</v>
      </c>
      <c r="V22" s="12">
        <f>SUMIFS(BASE!$G:$G,BASE!$B:$B,$B22,BASE!$L:$L,$G22,BASE!$J:$J,$C22,BASE!$A:$A,V$2)</f>
        <v>0</v>
      </c>
      <c r="X22" t="str">
        <f t="shared" si="1"/>
        <v>COM TROCAS</v>
      </c>
    </row>
    <row r="23" spans="2:24">
      <c r="B23" s="8" t="s">
        <v>298</v>
      </c>
      <c r="C23" s="9" t="s">
        <v>104</v>
      </c>
      <c r="D23" s="9" t="s">
        <v>272</v>
      </c>
      <c r="E23" s="9" t="s">
        <v>256</v>
      </c>
      <c r="F23" s="9" t="s">
        <v>257</v>
      </c>
      <c r="G23" s="9" t="s">
        <v>61</v>
      </c>
      <c r="H23" s="7" t="str">
        <f>IFERROR(IF(_xlfn.XLOOKUP(B23,REPASSE!D:D,REPASSE!D:D)="","Não","Sim"),"Não")</f>
        <v>Não</v>
      </c>
      <c r="I23" s="7" t="str">
        <f>IF(_xlfn.XLOOKUP(B23,'BOOST LIBERADO'!B:B,'BOOST LIBERADO'!B:B,"Não")="Não","Não","Sim")</f>
        <v>Sim</v>
      </c>
      <c r="J23" s="83" t="str">
        <f t="shared" si="0"/>
        <v>Sim</v>
      </c>
      <c r="K23" s="12">
        <f>SUMIFS(BASE!$G:$G,BASE!$B:$B,$B23,BASE!$L:$L,$G23,BASE!$J:$J,$C23,BASE!$A:$A,K$2)</f>
        <v>0</v>
      </c>
      <c r="L23" s="12">
        <f>SUMIFS(BASE!$G:$G,BASE!$B:$B,$B23,BASE!$L:$L,$G23,BASE!$J:$J,$C23,BASE!$A:$A,L$2)</f>
        <v>0</v>
      </c>
      <c r="M23" s="12">
        <f>SUMIFS(BASE!$G:$G,BASE!$B:$B,$B23,BASE!$L:$L,$G23,BASE!$J:$J,$C23,BASE!$A:$A,M$2)</f>
        <v>0</v>
      </c>
      <c r="N23" s="12">
        <f>SUMIFS(BASE!$G:$G,BASE!$B:$B,$B23,BASE!$L:$L,$G23,BASE!$J:$J,$C23,BASE!$A:$A,N$2)</f>
        <v>0</v>
      </c>
      <c r="O23" s="12">
        <f>SUMIFS(BASE!$G:$G,BASE!$B:$B,$B23,BASE!$L:$L,$G23,BASE!$J:$J,$C23,BASE!$A:$A,O$2)</f>
        <v>0</v>
      </c>
      <c r="P23" s="12">
        <f>SUMIFS(BASE!$G:$G,BASE!$B:$B,$B23,BASE!$L:$L,$G23,BASE!$J:$J,$C23,BASE!$A:$A,P$2)</f>
        <v>0</v>
      </c>
      <c r="Q23" s="12">
        <f>SUMIFS(BASE!$G:$G,BASE!$B:$B,$B23,BASE!$L:$L,$G23,BASE!$J:$J,$C23,BASE!$A:$A,Q$2)</f>
        <v>0</v>
      </c>
      <c r="R23" s="12">
        <f>SUMIFS(BASE!$G:$G,BASE!$B:$B,$B23,BASE!$L:$L,$G23,BASE!$J:$J,$C23,BASE!$A:$A,R$2)</f>
        <v>0</v>
      </c>
      <c r="S23" s="12">
        <f>SUMIFS(BASE!$G:$G,BASE!$B:$B,$B23,BASE!$L:$L,$G23,BASE!$J:$J,$C23,BASE!$A:$A,S$2)</f>
        <v>0</v>
      </c>
      <c r="T23" s="12">
        <f>SUMIFS(BASE!$G:$G,BASE!$B:$B,$B23,BASE!$L:$L,$G23,BASE!$J:$J,$C23,BASE!$A:$A,T$2)</f>
        <v>0</v>
      </c>
      <c r="U23" s="12">
        <f>SUMIFS(BASE!$G:$G,BASE!$B:$B,$B23,BASE!$L:$L,$G23,BASE!$J:$J,$C23,BASE!$A:$A,U$2)</f>
        <v>0</v>
      </c>
      <c r="V23" s="12">
        <f>SUMIFS(BASE!$G:$G,BASE!$B:$B,$B23,BASE!$L:$L,$G23,BASE!$J:$J,$C23,BASE!$A:$A,V$2)</f>
        <v>0</v>
      </c>
      <c r="X23" t="str">
        <f t="shared" si="1"/>
        <v>ZERADO</v>
      </c>
    </row>
    <row r="24" spans="2:24">
      <c r="B24" s="8" t="s">
        <v>299</v>
      </c>
      <c r="C24" s="9" t="s">
        <v>238</v>
      </c>
      <c r="D24" s="9" t="s">
        <v>278</v>
      </c>
      <c r="E24" s="9" t="s">
        <v>260</v>
      </c>
      <c r="F24" s="9" t="s">
        <v>300</v>
      </c>
      <c r="G24" s="9" t="s">
        <v>61</v>
      </c>
      <c r="H24" s="7" t="str">
        <f>IFERROR(IF(_xlfn.XLOOKUP(B24,REPASSE!D:D,REPASSE!D:D)="","Não","Sim"),"Não")</f>
        <v>Não</v>
      </c>
      <c r="I24" s="7" t="str">
        <f>IF(_xlfn.XLOOKUP(B24,'BOOST LIBERADO'!B:B,'BOOST LIBERADO'!B:B,"Não")="Não","Não","Sim")</f>
        <v>Sim</v>
      </c>
      <c r="J24" s="83" t="str">
        <f t="shared" si="0"/>
        <v>Sim</v>
      </c>
      <c r="K24" s="12">
        <f>SUMIFS(BASE!$G:$G,BASE!$B:$B,$B24,BASE!$L:$L,$G24,BASE!$J:$J,$C24,BASE!$A:$A,K$2)</f>
        <v>0</v>
      </c>
      <c r="L24" s="12">
        <f>SUMIFS(BASE!$G:$G,BASE!$B:$B,$B24,BASE!$L:$L,$G24,BASE!$J:$J,$C24,BASE!$A:$A,L$2)</f>
        <v>0</v>
      </c>
      <c r="M24" s="12">
        <f>SUMIFS(BASE!$G:$G,BASE!$B:$B,$B24,BASE!$L:$L,$G24,BASE!$J:$J,$C24,BASE!$A:$A,M$2)</f>
        <v>0</v>
      </c>
      <c r="N24" s="12">
        <f>SUMIFS(BASE!$G:$G,BASE!$B:$B,$B24,BASE!$L:$L,$G24,BASE!$J:$J,$C24,BASE!$A:$A,N$2)</f>
        <v>0</v>
      </c>
      <c r="O24" s="12">
        <f>SUMIFS(BASE!$G:$G,BASE!$B:$B,$B24,BASE!$L:$L,$G24,BASE!$J:$J,$C24,BASE!$A:$A,O$2)</f>
        <v>0</v>
      </c>
      <c r="P24" s="12">
        <f>SUMIFS(BASE!$G:$G,BASE!$B:$B,$B24,BASE!$L:$L,$G24,BASE!$J:$J,$C24,BASE!$A:$A,P$2)</f>
        <v>1</v>
      </c>
      <c r="Q24" s="12">
        <f>SUMIFS(BASE!$G:$G,BASE!$B:$B,$B24,BASE!$L:$L,$G24,BASE!$J:$J,$C24,BASE!$A:$A,Q$2)</f>
        <v>3</v>
      </c>
      <c r="R24" s="12">
        <f>SUMIFS(BASE!$G:$G,BASE!$B:$B,$B24,BASE!$L:$L,$G24,BASE!$J:$J,$C24,BASE!$A:$A,R$2)</f>
        <v>3</v>
      </c>
      <c r="S24" s="12">
        <f>SUMIFS(BASE!$G:$G,BASE!$B:$B,$B24,BASE!$L:$L,$G24,BASE!$J:$J,$C24,BASE!$A:$A,S$2)</f>
        <v>0</v>
      </c>
      <c r="T24" s="12">
        <f>SUMIFS(BASE!$G:$G,BASE!$B:$B,$B24,BASE!$L:$L,$G24,BASE!$J:$J,$C24,BASE!$A:$A,T$2)</f>
        <v>0</v>
      </c>
      <c r="U24" s="12">
        <f>SUMIFS(BASE!$G:$G,BASE!$B:$B,$B24,BASE!$L:$L,$G24,BASE!$J:$J,$C24,BASE!$A:$A,U$2)</f>
        <v>0</v>
      </c>
      <c r="V24" s="12">
        <f>SUMIFS(BASE!$G:$G,BASE!$B:$B,$B24,BASE!$L:$L,$G24,BASE!$J:$J,$C24,BASE!$A:$A,V$2)</f>
        <v>0</v>
      </c>
      <c r="X24" t="str">
        <f t="shared" si="1"/>
        <v>COM TROCAS</v>
      </c>
    </row>
    <row r="25" spans="2:24">
      <c r="B25" s="8" t="s">
        <v>301</v>
      </c>
      <c r="C25" s="9" t="s">
        <v>226</v>
      </c>
      <c r="D25" s="9" t="s">
        <v>302</v>
      </c>
      <c r="E25" s="9" t="s">
        <v>275</v>
      </c>
      <c r="F25" s="9" t="s">
        <v>303</v>
      </c>
      <c r="G25" s="9" t="s">
        <v>61</v>
      </c>
      <c r="H25" s="7" t="str">
        <f>IFERROR(IF(_xlfn.XLOOKUP(B25,REPASSE!D:D,REPASSE!D:D)="","Não","Sim"),"Não")</f>
        <v>Não</v>
      </c>
      <c r="I25" s="7" t="str">
        <f>IF(_xlfn.XLOOKUP(B25,'BOOST LIBERADO'!B:B,'BOOST LIBERADO'!B:B,"Não")="Não","Não","Sim")</f>
        <v>Sim</v>
      </c>
      <c r="J25" s="83" t="str">
        <f t="shared" si="0"/>
        <v>Sim</v>
      </c>
      <c r="K25" s="12">
        <f>SUMIFS(BASE!$G:$G,BASE!$B:$B,$B25,BASE!$L:$L,$G25,BASE!$J:$J,$C25,BASE!$A:$A,K$2)</f>
        <v>0</v>
      </c>
      <c r="L25" s="12">
        <f>SUMIFS(BASE!$G:$G,BASE!$B:$B,$B25,BASE!$L:$L,$G25,BASE!$J:$J,$C25,BASE!$A:$A,L$2)</f>
        <v>0</v>
      </c>
      <c r="M25" s="12">
        <f>SUMIFS(BASE!$G:$G,BASE!$B:$B,$B25,BASE!$L:$L,$G25,BASE!$J:$J,$C25,BASE!$A:$A,M$2)</f>
        <v>0</v>
      </c>
      <c r="N25" s="12">
        <f>SUMIFS(BASE!$G:$G,BASE!$B:$B,$B25,BASE!$L:$L,$G25,BASE!$J:$J,$C25,BASE!$A:$A,N$2)</f>
        <v>0</v>
      </c>
      <c r="O25" s="12">
        <f>SUMIFS(BASE!$G:$G,BASE!$B:$B,$B25,BASE!$L:$L,$G25,BASE!$J:$J,$C25,BASE!$A:$A,O$2)</f>
        <v>0</v>
      </c>
      <c r="P25" s="12">
        <f>SUMIFS(BASE!$G:$G,BASE!$B:$B,$B25,BASE!$L:$L,$G25,BASE!$J:$J,$C25,BASE!$A:$A,P$2)</f>
        <v>0</v>
      </c>
      <c r="Q25" s="12">
        <f>SUMIFS(BASE!$G:$G,BASE!$B:$B,$B25,BASE!$L:$L,$G25,BASE!$J:$J,$C25,BASE!$A:$A,Q$2)</f>
        <v>0</v>
      </c>
      <c r="R25" s="12">
        <f>SUMIFS(BASE!$G:$G,BASE!$B:$B,$B25,BASE!$L:$L,$G25,BASE!$J:$J,$C25,BASE!$A:$A,R$2)</f>
        <v>0</v>
      </c>
      <c r="S25" s="12">
        <f>SUMIFS(BASE!$G:$G,BASE!$B:$B,$B25,BASE!$L:$L,$G25,BASE!$J:$J,$C25,BASE!$A:$A,S$2)</f>
        <v>0</v>
      </c>
      <c r="T25" s="12">
        <f>SUMIFS(BASE!$G:$G,BASE!$B:$B,$B25,BASE!$L:$L,$G25,BASE!$J:$J,$C25,BASE!$A:$A,T$2)</f>
        <v>0</v>
      </c>
      <c r="U25" s="12">
        <f>SUMIFS(BASE!$G:$G,BASE!$B:$B,$B25,BASE!$L:$L,$G25,BASE!$J:$J,$C25,BASE!$A:$A,U$2)</f>
        <v>0</v>
      </c>
      <c r="V25" s="12">
        <f>SUMIFS(BASE!$G:$G,BASE!$B:$B,$B25,BASE!$L:$L,$G25,BASE!$J:$J,$C25,BASE!$A:$A,V$2)</f>
        <v>0</v>
      </c>
      <c r="X25" t="str">
        <f t="shared" si="1"/>
        <v>ZERADO</v>
      </c>
    </row>
    <row r="26" spans="2:24">
      <c r="B26" s="8" t="s">
        <v>304</v>
      </c>
      <c r="C26" s="9" t="s">
        <v>196</v>
      </c>
      <c r="D26" s="9" t="s">
        <v>305</v>
      </c>
      <c r="E26" s="9" t="s">
        <v>268</v>
      </c>
      <c r="F26" s="9" t="s">
        <v>269</v>
      </c>
      <c r="G26" s="9" t="s">
        <v>61</v>
      </c>
      <c r="H26" s="7" t="str">
        <f>IFERROR(IF(_xlfn.XLOOKUP(B26,REPASSE!D:D,REPASSE!D:D)="","Não","Sim"),"Não")</f>
        <v>Não</v>
      </c>
      <c r="I26" s="7" t="str">
        <f>IF(_xlfn.XLOOKUP(B26,'BOOST LIBERADO'!B:B,'BOOST LIBERADO'!B:B,"Não")="Não","Não","Sim")</f>
        <v>Não</v>
      </c>
      <c r="J26" s="83" t="str">
        <f t="shared" si="0"/>
        <v>Não</v>
      </c>
      <c r="K26" s="12">
        <f>SUMIFS(BASE!$G:$G,BASE!$B:$B,$B26,BASE!$L:$L,$G26,BASE!$J:$J,$C26,BASE!$A:$A,K$2)</f>
        <v>0</v>
      </c>
      <c r="L26" s="12">
        <f>SUMIFS(BASE!$G:$G,BASE!$B:$B,$B26,BASE!$L:$L,$G26,BASE!$J:$J,$C26,BASE!$A:$A,L$2)</f>
        <v>0</v>
      </c>
      <c r="M26" s="12">
        <f>SUMIFS(BASE!$G:$G,BASE!$B:$B,$B26,BASE!$L:$L,$G26,BASE!$J:$J,$C26,BASE!$A:$A,M$2)</f>
        <v>0</v>
      </c>
      <c r="N26" s="12">
        <f>SUMIFS(BASE!$G:$G,BASE!$B:$B,$B26,BASE!$L:$L,$G26,BASE!$J:$J,$C26,BASE!$A:$A,N$2)</f>
        <v>0</v>
      </c>
      <c r="O26" s="12">
        <f>SUMIFS(BASE!$G:$G,BASE!$B:$B,$B26,BASE!$L:$L,$G26,BASE!$J:$J,$C26,BASE!$A:$A,O$2)</f>
        <v>0</v>
      </c>
      <c r="P26" s="12">
        <f>SUMIFS(BASE!$G:$G,BASE!$B:$B,$B26,BASE!$L:$L,$G26,BASE!$J:$J,$C26,BASE!$A:$A,P$2)</f>
        <v>0</v>
      </c>
      <c r="Q26" s="12">
        <f>SUMIFS(BASE!$G:$G,BASE!$B:$B,$B26,BASE!$L:$L,$G26,BASE!$J:$J,$C26,BASE!$A:$A,Q$2)</f>
        <v>0</v>
      </c>
      <c r="R26" s="12">
        <f>SUMIFS(BASE!$G:$G,BASE!$B:$B,$B26,BASE!$L:$L,$G26,BASE!$J:$J,$C26,BASE!$A:$A,R$2)</f>
        <v>0</v>
      </c>
      <c r="S26" s="12">
        <f>SUMIFS(BASE!$G:$G,BASE!$B:$B,$B26,BASE!$L:$L,$G26,BASE!$J:$J,$C26,BASE!$A:$A,S$2)</f>
        <v>0</v>
      </c>
      <c r="T26" s="12">
        <f>SUMIFS(BASE!$G:$G,BASE!$B:$B,$B26,BASE!$L:$L,$G26,BASE!$J:$J,$C26,BASE!$A:$A,T$2)</f>
        <v>0</v>
      </c>
      <c r="U26" s="12">
        <f>SUMIFS(BASE!$G:$G,BASE!$B:$B,$B26,BASE!$L:$L,$G26,BASE!$J:$J,$C26,BASE!$A:$A,U$2)</f>
        <v>0</v>
      </c>
      <c r="V26" s="12">
        <f>SUMIFS(BASE!$G:$G,BASE!$B:$B,$B26,BASE!$L:$L,$G26,BASE!$J:$J,$C26,BASE!$A:$A,V$2)</f>
        <v>0</v>
      </c>
      <c r="X26" t="str">
        <f t="shared" si="1"/>
        <v>ZERADO</v>
      </c>
    </row>
    <row r="27" spans="2:24">
      <c r="B27" s="8" t="s">
        <v>306</v>
      </c>
      <c r="C27" s="9" t="s">
        <v>230</v>
      </c>
      <c r="D27" s="9" t="s">
        <v>307</v>
      </c>
      <c r="E27" s="9" t="s">
        <v>264</v>
      </c>
      <c r="F27" s="9" t="s">
        <v>308</v>
      </c>
      <c r="G27" s="9" t="s">
        <v>61</v>
      </c>
      <c r="H27" s="7" t="str">
        <f>IFERROR(IF(_xlfn.XLOOKUP(B27,REPASSE!D:D,REPASSE!D:D)="","Não","Sim"),"Não")</f>
        <v>Não</v>
      </c>
      <c r="I27" s="7" t="str">
        <f>IF(_xlfn.XLOOKUP(B27,'BOOST LIBERADO'!B:B,'BOOST LIBERADO'!B:B,"Não")="Não","Não","Sim")</f>
        <v>Sim</v>
      </c>
      <c r="J27" s="83" t="str">
        <f t="shared" si="0"/>
        <v>Sim</v>
      </c>
      <c r="K27" s="12">
        <f>SUMIFS(BASE!$G:$G,BASE!$B:$B,$B27,BASE!$L:$L,$G27,BASE!$J:$J,$C27,BASE!$A:$A,K$2)</f>
        <v>3</v>
      </c>
      <c r="L27" s="12">
        <f>SUMIFS(BASE!$G:$G,BASE!$B:$B,$B27,BASE!$L:$L,$G27,BASE!$J:$J,$C27,BASE!$A:$A,L$2)</f>
        <v>7</v>
      </c>
      <c r="M27" s="12">
        <f>SUMIFS(BASE!$G:$G,BASE!$B:$B,$B27,BASE!$L:$L,$G27,BASE!$J:$J,$C27,BASE!$A:$A,M$2)</f>
        <v>4</v>
      </c>
      <c r="N27" s="12">
        <f>SUMIFS(BASE!$G:$G,BASE!$B:$B,$B27,BASE!$L:$L,$G27,BASE!$J:$J,$C27,BASE!$A:$A,N$2)</f>
        <v>7</v>
      </c>
      <c r="O27" s="12">
        <f>SUMIFS(BASE!$G:$G,BASE!$B:$B,$B27,BASE!$L:$L,$G27,BASE!$J:$J,$C27,BASE!$A:$A,O$2)</f>
        <v>3</v>
      </c>
      <c r="P27" s="12">
        <f>SUMIFS(BASE!$G:$G,BASE!$B:$B,$B27,BASE!$L:$L,$G27,BASE!$J:$J,$C27,BASE!$A:$A,P$2)</f>
        <v>4</v>
      </c>
      <c r="Q27" s="12">
        <f>SUMIFS(BASE!$G:$G,BASE!$B:$B,$B27,BASE!$L:$L,$G27,BASE!$J:$J,$C27,BASE!$A:$A,Q$2)</f>
        <v>9</v>
      </c>
      <c r="R27" s="12">
        <f>SUMIFS(BASE!$G:$G,BASE!$B:$B,$B27,BASE!$L:$L,$G27,BASE!$J:$J,$C27,BASE!$A:$A,R$2)</f>
        <v>3</v>
      </c>
      <c r="S27" s="12">
        <f>SUMIFS(BASE!$G:$G,BASE!$B:$B,$B27,BASE!$L:$L,$G27,BASE!$J:$J,$C27,BASE!$A:$A,S$2)</f>
        <v>0</v>
      </c>
      <c r="T27" s="12">
        <f>SUMIFS(BASE!$G:$G,BASE!$B:$B,$B27,BASE!$L:$L,$G27,BASE!$J:$J,$C27,BASE!$A:$A,T$2)</f>
        <v>0</v>
      </c>
      <c r="U27" s="12">
        <f>SUMIFS(BASE!$G:$G,BASE!$B:$B,$B27,BASE!$L:$L,$G27,BASE!$J:$J,$C27,BASE!$A:$A,U$2)</f>
        <v>0</v>
      </c>
      <c r="V27" s="12">
        <f>SUMIFS(BASE!$G:$G,BASE!$B:$B,$B27,BASE!$L:$L,$G27,BASE!$J:$J,$C27,BASE!$A:$A,V$2)</f>
        <v>0</v>
      </c>
      <c r="X27" t="str">
        <f t="shared" si="1"/>
        <v>COM TROCAS</v>
      </c>
    </row>
    <row r="28" spans="2:24">
      <c r="B28" s="8" t="s">
        <v>309</v>
      </c>
      <c r="C28" s="9" t="s">
        <v>230</v>
      </c>
      <c r="D28" s="9" t="s">
        <v>307</v>
      </c>
      <c r="E28" s="9" t="s">
        <v>264</v>
      </c>
      <c r="F28" s="9" t="s">
        <v>265</v>
      </c>
      <c r="G28" s="9" t="s">
        <v>61</v>
      </c>
      <c r="H28" s="7" t="str">
        <f>IFERROR(IF(_xlfn.XLOOKUP(B28,REPASSE!D:D,REPASSE!D:D)="","Não","Sim"),"Não")</f>
        <v>Não</v>
      </c>
      <c r="I28" s="7" t="str">
        <f>IF(_xlfn.XLOOKUP(B28,'BOOST LIBERADO'!B:B,'BOOST LIBERADO'!B:B,"Não")="Não","Não","Sim")</f>
        <v>Sim</v>
      </c>
      <c r="J28" s="83" t="str">
        <f t="shared" si="0"/>
        <v>Sim</v>
      </c>
      <c r="K28" s="12">
        <f>SUMIFS(BASE!$G:$G,BASE!$B:$B,$B28,BASE!$L:$L,$G28,BASE!$J:$J,$C28,BASE!$A:$A,K$2)</f>
        <v>4</v>
      </c>
      <c r="L28" s="12">
        <f>SUMIFS(BASE!$G:$G,BASE!$B:$B,$B28,BASE!$L:$L,$G28,BASE!$J:$J,$C28,BASE!$A:$A,L$2)</f>
        <v>0</v>
      </c>
      <c r="M28" s="12">
        <f>SUMIFS(BASE!$G:$G,BASE!$B:$B,$B28,BASE!$L:$L,$G28,BASE!$J:$J,$C28,BASE!$A:$A,M$2)</f>
        <v>6</v>
      </c>
      <c r="N28" s="12">
        <f>SUMIFS(BASE!$G:$G,BASE!$B:$B,$B28,BASE!$L:$L,$G28,BASE!$J:$J,$C28,BASE!$A:$A,N$2)</f>
        <v>4</v>
      </c>
      <c r="O28" s="12">
        <f>SUMIFS(BASE!$G:$G,BASE!$B:$B,$B28,BASE!$L:$L,$G28,BASE!$J:$J,$C28,BASE!$A:$A,O$2)</f>
        <v>3</v>
      </c>
      <c r="P28" s="12">
        <f>SUMIFS(BASE!$G:$G,BASE!$B:$B,$B28,BASE!$L:$L,$G28,BASE!$J:$J,$C28,BASE!$A:$A,P$2)</f>
        <v>4</v>
      </c>
      <c r="Q28" s="12">
        <f>SUMIFS(BASE!$G:$G,BASE!$B:$B,$B28,BASE!$L:$L,$G28,BASE!$J:$J,$C28,BASE!$A:$A,Q$2)</f>
        <v>8</v>
      </c>
      <c r="R28" s="12">
        <f>SUMIFS(BASE!$G:$G,BASE!$B:$B,$B28,BASE!$L:$L,$G28,BASE!$J:$J,$C28,BASE!$A:$A,R$2)</f>
        <v>10</v>
      </c>
      <c r="S28" s="12">
        <f>SUMIFS(BASE!$G:$G,BASE!$B:$B,$B28,BASE!$L:$L,$G28,BASE!$J:$J,$C28,BASE!$A:$A,S$2)</f>
        <v>0</v>
      </c>
      <c r="T28" s="12">
        <f>SUMIFS(BASE!$G:$G,BASE!$B:$B,$B28,BASE!$L:$L,$G28,BASE!$J:$J,$C28,BASE!$A:$A,T$2)</f>
        <v>0</v>
      </c>
      <c r="U28" s="12">
        <f>SUMIFS(BASE!$G:$G,BASE!$B:$B,$B28,BASE!$L:$L,$G28,BASE!$J:$J,$C28,BASE!$A:$A,U$2)</f>
        <v>0</v>
      </c>
      <c r="V28" s="12">
        <f>SUMIFS(BASE!$G:$G,BASE!$B:$B,$B28,BASE!$L:$L,$G28,BASE!$J:$J,$C28,BASE!$A:$A,V$2)</f>
        <v>0</v>
      </c>
      <c r="X28" t="str">
        <f t="shared" si="1"/>
        <v>COM TROCAS</v>
      </c>
    </row>
    <row r="29" spans="2:24">
      <c r="B29" s="8" t="s">
        <v>310</v>
      </c>
      <c r="C29" s="9" t="s">
        <v>230</v>
      </c>
      <c r="D29" s="9" t="s">
        <v>282</v>
      </c>
      <c r="E29" s="9" t="s">
        <v>264</v>
      </c>
      <c r="F29" s="9" t="s">
        <v>311</v>
      </c>
      <c r="G29" s="9" t="s">
        <v>61</v>
      </c>
      <c r="H29" s="7" t="str">
        <f>IFERROR(IF(_xlfn.XLOOKUP(B29,REPASSE!D:D,REPASSE!D:D)="","Não","Sim"),"Não")</f>
        <v>Não</v>
      </c>
      <c r="I29" s="7" t="str">
        <f>IF(_xlfn.XLOOKUP(B29,'BOOST LIBERADO'!B:B,'BOOST LIBERADO'!B:B,"Não")="Não","Não","Sim")</f>
        <v>Sim</v>
      </c>
      <c r="J29" s="83" t="str">
        <f t="shared" si="0"/>
        <v>Sim</v>
      </c>
      <c r="K29" s="12">
        <f>SUMIFS(BASE!$G:$G,BASE!$B:$B,$B29,BASE!$L:$L,$G29,BASE!$J:$J,$C29,BASE!$A:$A,K$2)</f>
        <v>0</v>
      </c>
      <c r="L29" s="12">
        <f>SUMIFS(BASE!$G:$G,BASE!$B:$B,$B29,BASE!$L:$L,$G29,BASE!$J:$J,$C29,BASE!$A:$A,L$2)</f>
        <v>1</v>
      </c>
      <c r="M29" s="12">
        <f>SUMIFS(BASE!$G:$G,BASE!$B:$B,$B29,BASE!$L:$L,$G29,BASE!$J:$J,$C29,BASE!$A:$A,M$2)</f>
        <v>3</v>
      </c>
      <c r="N29" s="12">
        <f>SUMIFS(BASE!$G:$G,BASE!$B:$B,$B29,BASE!$L:$L,$G29,BASE!$J:$J,$C29,BASE!$A:$A,N$2)</f>
        <v>1</v>
      </c>
      <c r="O29" s="12">
        <f>SUMIFS(BASE!$G:$G,BASE!$B:$B,$B29,BASE!$L:$L,$G29,BASE!$J:$J,$C29,BASE!$A:$A,O$2)</f>
        <v>3</v>
      </c>
      <c r="P29" s="12">
        <f>SUMIFS(BASE!$G:$G,BASE!$B:$B,$B29,BASE!$L:$L,$G29,BASE!$J:$J,$C29,BASE!$A:$A,P$2)</f>
        <v>6</v>
      </c>
      <c r="Q29" s="12">
        <f>SUMIFS(BASE!$G:$G,BASE!$B:$B,$B29,BASE!$L:$L,$G29,BASE!$J:$J,$C29,BASE!$A:$A,Q$2)</f>
        <v>3</v>
      </c>
      <c r="R29" s="12">
        <f>SUMIFS(BASE!$G:$G,BASE!$B:$B,$B29,BASE!$L:$L,$G29,BASE!$J:$J,$C29,BASE!$A:$A,R$2)</f>
        <v>3</v>
      </c>
      <c r="S29" s="12">
        <f>SUMIFS(BASE!$G:$G,BASE!$B:$B,$B29,BASE!$L:$L,$G29,BASE!$J:$J,$C29,BASE!$A:$A,S$2)</f>
        <v>0</v>
      </c>
      <c r="T29" s="12">
        <f>SUMIFS(BASE!$G:$G,BASE!$B:$B,$B29,BASE!$L:$L,$G29,BASE!$J:$J,$C29,BASE!$A:$A,T$2)</f>
        <v>0</v>
      </c>
      <c r="U29" s="12">
        <f>SUMIFS(BASE!$G:$G,BASE!$B:$B,$B29,BASE!$L:$L,$G29,BASE!$J:$J,$C29,BASE!$A:$A,U$2)</f>
        <v>0</v>
      </c>
      <c r="V29" s="12">
        <f>SUMIFS(BASE!$G:$G,BASE!$B:$B,$B29,BASE!$L:$L,$G29,BASE!$J:$J,$C29,BASE!$A:$A,V$2)</f>
        <v>0</v>
      </c>
      <c r="X29" t="str">
        <f t="shared" si="1"/>
        <v>COM TROCAS</v>
      </c>
    </row>
    <row r="30" spans="2:24">
      <c r="B30" s="8" t="s">
        <v>312</v>
      </c>
      <c r="C30" s="9" t="s">
        <v>196</v>
      </c>
      <c r="D30" s="9" t="s">
        <v>313</v>
      </c>
      <c r="E30" s="9" t="s">
        <v>252</v>
      </c>
      <c r="F30" s="9" t="s">
        <v>314</v>
      </c>
      <c r="G30" s="9" t="s">
        <v>61</v>
      </c>
      <c r="H30" s="7" t="str">
        <f>IFERROR(IF(_xlfn.XLOOKUP(B30,REPASSE!D:D,REPASSE!D:D)="","Não","Sim"),"Não")</f>
        <v>Não</v>
      </c>
      <c r="I30" s="7" t="str">
        <f>IF(_xlfn.XLOOKUP(B30,'BOOST LIBERADO'!B:B,'BOOST LIBERADO'!B:B,"Não")="Não","Não","Sim")</f>
        <v>Não</v>
      </c>
      <c r="J30" s="83" t="str">
        <f t="shared" si="0"/>
        <v>Não</v>
      </c>
      <c r="K30" s="12">
        <f>SUMIFS(BASE!$G:$G,BASE!$B:$B,$B30,BASE!$L:$L,$G30,BASE!$J:$J,$C30,BASE!$A:$A,K$2)</f>
        <v>0</v>
      </c>
      <c r="L30" s="12">
        <f>SUMIFS(BASE!$G:$G,BASE!$B:$B,$B30,BASE!$L:$L,$G30,BASE!$J:$J,$C30,BASE!$A:$A,L$2)</f>
        <v>0</v>
      </c>
      <c r="M30" s="12">
        <f>SUMIFS(BASE!$G:$G,BASE!$B:$B,$B30,BASE!$L:$L,$G30,BASE!$J:$J,$C30,BASE!$A:$A,M$2)</f>
        <v>0</v>
      </c>
      <c r="N30" s="12">
        <f>SUMIFS(BASE!$G:$G,BASE!$B:$B,$B30,BASE!$L:$L,$G30,BASE!$J:$J,$C30,BASE!$A:$A,N$2)</f>
        <v>0</v>
      </c>
      <c r="O30" s="12">
        <f>SUMIFS(BASE!$G:$G,BASE!$B:$B,$B30,BASE!$L:$L,$G30,BASE!$J:$J,$C30,BASE!$A:$A,O$2)</f>
        <v>0</v>
      </c>
      <c r="P30" s="12">
        <f>SUMIFS(BASE!$G:$G,BASE!$B:$B,$B30,BASE!$L:$L,$G30,BASE!$J:$J,$C30,BASE!$A:$A,P$2)</f>
        <v>0</v>
      </c>
      <c r="Q30" s="12">
        <f>SUMIFS(BASE!$G:$G,BASE!$B:$B,$B30,BASE!$L:$L,$G30,BASE!$J:$J,$C30,BASE!$A:$A,Q$2)</f>
        <v>0</v>
      </c>
      <c r="R30" s="12">
        <f>SUMIFS(BASE!$G:$G,BASE!$B:$B,$B30,BASE!$L:$L,$G30,BASE!$J:$J,$C30,BASE!$A:$A,R$2)</f>
        <v>0</v>
      </c>
      <c r="S30" s="12">
        <f>SUMIFS(BASE!$G:$G,BASE!$B:$B,$B30,BASE!$L:$L,$G30,BASE!$J:$J,$C30,BASE!$A:$A,S$2)</f>
        <v>0</v>
      </c>
      <c r="T30" s="12">
        <f>SUMIFS(BASE!$G:$G,BASE!$B:$B,$B30,BASE!$L:$L,$G30,BASE!$J:$J,$C30,BASE!$A:$A,T$2)</f>
        <v>0</v>
      </c>
      <c r="U30" s="12">
        <f>SUMIFS(BASE!$G:$G,BASE!$B:$B,$B30,BASE!$L:$L,$G30,BASE!$J:$J,$C30,BASE!$A:$A,U$2)</f>
        <v>0</v>
      </c>
      <c r="V30" s="12">
        <f>SUMIFS(BASE!$G:$G,BASE!$B:$B,$B30,BASE!$L:$L,$G30,BASE!$J:$J,$C30,BASE!$A:$A,V$2)</f>
        <v>0</v>
      </c>
      <c r="X30" t="str">
        <f t="shared" si="1"/>
        <v>ZERADO</v>
      </c>
    </row>
    <row r="31" spans="2:24">
      <c r="B31" s="8" t="s">
        <v>315</v>
      </c>
      <c r="C31" s="9" t="s">
        <v>226</v>
      </c>
      <c r="D31" s="9" t="s">
        <v>274</v>
      </c>
      <c r="E31" s="9" t="s">
        <v>275</v>
      </c>
      <c r="F31" s="9" t="s">
        <v>316</v>
      </c>
      <c r="G31" s="9" t="s">
        <v>61</v>
      </c>
      <c r="H31" s="7" t="str">
        <f>IFERROR(IF(_xlfn.XLOOKUP(B31,REPASSE!D:D,REPASSE!D:D)="","Não","Sim"),"Não")</f>
        <v>Não</v>
      </c>
      <c r="I31" s="7" t="str">
        <f>IF(_xlfn.XLOOKUP(B31,'BOOST LIBERADO'!B:B,'BOOST LIBERADO'!B:B,"Não")="Não","Não","Sim")</f>
        <v>Sim</v>
      </c>
      <c r="J31" s="83" t="str">
        <f t="shared" si="0"/>
        <v>Sim</v>
      </c>
      <c r="K31" s="12">
        <f>SUMIFS(BASE!$G:$G,BASE!$B:$B,$B31,BASE!$L:$L,$G31,BASE!$J:$J,$C31,BASE!$A:$A,K$2)</f>
        <v>0</v>
      </c>
      <c r="L31" s="12">
        <f>SUMIFS(BASE!$G:$G,BASE!$B:$B,$B31,BASE!$L:$L,$G31,BASE!$J:$J,$C31,BASE!$A:$A,L$2)</f>
        <v>0</v>
      </c>
      <c r="M31" s="12">
        <f>SUMIFS(BASE!$G:$G,BASE!$B:$B,$B31,BASE!$L:$L,$G31,BASE!$J:$J,$C31,BASE!$A:$A,M$2)</f>
        <v>0</v>
      </c>
      <c r="N31" s="12">
        <f>SUMIFS(BASE!$G:$G,BASE!$B:$B,$B31,BASE!$L:$L,$G31,BASE!$J:$J,$C31,BASE!$A:$A,N$2)</f>
        <v>0</v>
      </c>
      <c r="O31" s="12">
        <f>SUMIFS(BASE!$G:$G,BASE!$B:$B,$B31,BASE!$L:$L,$G31,BASE!$J:$J,$C31,BASE!$A:$A,O$2)</f>
        <v>0</v>
      </c>
      <c r="P31" s="12">
        <f>SUMIFS(BASE!$G:$G,BASE!$B:$B,$B31,BASE!$L:$L,$G31,BASE!$J:$J,$C31,BASE!$A:$A,P$2)</f>
        <v>0</v>
      </c>
      <c r="Q31" s="12">
        <f>SUMIFS(BASE!$G:$G,BASE!$B:$B,$B31,BASE!$L:$L,$G31,BASE!$J:$J,$C31,BASE!$A:$A,Q$2)</f>
        <v>0</v>
      </c>
      <c r="R31" s="12">
        <f>SUMIFS(BASE!$G:$G,BASE!$B:$B,$B31,BASE!$L:$L,$G31,BASE!$J:$J,$C31,BASE!$A:$A,R$2)</f>
        <v>0</v>
      </c>
      <c r="S31" s="12">
        <f>SUMIFS(BASE!$G:$G,BASE!$B:$B,$B31,BASE!$L:$L,$G31,BASE!$J:$J,$C31,BASE!$A:$A,S$2)</f>
        <v>0</v>
      </c>
      <c r="T31" s="12">
        <f>SUMIFS(BASE!$G:$G,BASE!$B:$B,$B31,BASE!$L:$L,$G31,BASE!$J:$J,$C31,BASE!$A:$A,T$2)</f>
        <v>0</v>
      </c>
      <c r="U31" s="12">
        <f>SUMIFS(BASE!$G:$G,BASE!$B:$B,$B31,BASE!$L:$L,$G31,BASE!$J:$J,$C31,BASE!$A:$A,U$2)</f>
        <v>0</v>
      </c>
      <c r="V31" s="12">
        <f>SUMIFS(BASE!$G:$G,BASE!$B:$B,$B31,BASE!$L:$L,$G31,BASE!$J:$J,$C31,BASE!$A:$A,V$2)</f>
        <v>0</v>
      </c>
      <c r="X31" t="str">
        <f t="shared" si="1"/>
        <v>ZERADO</v>
      </c>
    </row>
    <row r="32" spans="2:24">
      <c r="B32" s="8" t="s">
        <v>317</v>
      </c>
      <c r="C32" s="9" t="s">
        <v>174</v>
      </c>
      <c r="D32" s="9" t="s">
        <v>318</v>
      </c>
      <c r="E32" s="9" t="s">
        <v>260</v>
      </c>
      <c r="F32" s="9" t="s">
        <v>261</v>
      </c>
      <c r="G32" s="9" t="s">
        <v>61</v>
      </c>
      <c r="H32" s="7" t="str">
        <f>IFERROR(IF(_xlfn.XLOOKUP(B32,REPASSE!D:D,REPASSE!D:D)="","Não","Sim"),"Não")</f>
        <v>Não</v>
      </c>
      <c r="I32" s="7" t="str">
        <f>IF(_xlfn.XLOOKUP(B32,'BOOST LIBERADO'!B:B,'BOOST LIBERADO'!B:B,"Não")="Não","Não","Sim")</f>
        <v>Sim</v>
      </c>
      <c r="J32" s="83" t="str">
        <f t="shared" si="0"/>
        <v>Sim</v>
      </c>
      <c r="K32" s="12">
        <f>SUMIFS(BASE!$G:$G,BASE!$B:$B,$B32,BASE!$L:$L,$G32,BASE!$J:$J,$C32,BASE!$A:$A,K$2)</f>
        <v>0</v>
      </c>
      <c r="L32" s="12">
        <f>SUMIFS(BASE!$G:$G,BASE!$B:$B,$B32,BASE!$L:$L,$G32,BASE!$J:$J,$C32,BASE!$A:$A,L$2)</f>
        <v>0</v>
      </c>
      <c r="M32" s="12">
        <f>SUMIFS(BASE!$G:$G,BASE!$B:$B,$B32,BASE!$L:$L,$G32,BASE!$J:$J,$C32,BASE!$A:$A,M$2)</f>
        <v>0</v>
      </c>
      <c r="N32" s="12">
        <f>SUMIFS(BASE!$G:$G,BASE!$B:$B,$B32,BASE!$L:$L,$G32,BASE!$J:$J,$C32,BASE!$A:$A,N$2)</f>
        <v>0</v>
      </c>
      <c r="O32" s="12">
        <f>SUMIFS(BASE!$G:$G,BASE!$B:$B,$B32,BASE!$L:$L,$G32,BASE!$J:$J,$C32,BASE!$A:$A,O$2)</f>
        <v>0</v>
      </c>
      <c r="P32" s="12">
        <f>SUMIFS(BASE!$G:$G,BASE!$B:$B,$B32,BASE!$L:$L,$G32,BASE!$J:$J,$C32,BASE!$A:$A,P$2)</f>
        <v>0</v>
      </c>
      <c r="Q32" s="12">
        <f>SUMIFS(BASE!$G:$G,BASE!$B:$B,$B32,BASE!$L:$L,$G32,BASE!$J:$J,$C32,BASE!$A:$A,Q$2)</f>
        <v>0</v>
      </c>
      <c r="R32" s="12">
        <f>SUMIFS(BASE!$G:$G,BASE!$B:$B,$B32,BASE!$L:$L,$G32,BASE!$J:$J,$C32,BASE!$A:$A,R$2)</f>
        <v>0</v>
      </c>
      <c r="S32" s="12">
        <f>SUMIFS(BASE!$G:$G,BASE!$B:$B,$B32,BASE!$L:$L,$G32,BASE!$J:$J,$C32,BASE!$A:$A,S$2)</f>
        <v>0</v>
      </c>
      <c r="T32" s="12">
        <f>SUMIFS(BASE!$G:$G,BASE!$B:$B,$B32,BASE!$L:$L,$G32,BASE!$J:$J,$C32,BASE!$A:$A,T$2)</f>
        <v>0</v>
      </c>
      <c r="U32" s="12">
        <f>SUMIFS(BASE!$G:$G,BASE!$B:$B,$B32,BASE!$L:$L,$G32,BASE!$J:$J,$C32,BASE!$A:$A,U$2)</f>
        <v>0</v>
      </c>
      <c r="V32" s="12">
        <f>SUMIFS(BASE!$G:$G,BASE!$B:$B,$B32,BASE!$L:$L,$G32,BASE!$J:$J,$C32,BASE!$A:$A,V$2)</f>
        <v>0</v>
      </c>
      <c r="X32" t="str">
        <f t="shared" si="1"/>
        <v>ZERADO</v>
      </c>
    </row>
    <row r="33" spans="2:24">
      <c r="B33" s="8" t="s">
        <v>319</v>
      </c>
      <c r="C33" s="9" t="s">
        <v>131</v>
      </c>
      <c r="D33" s="9" t="s">
        <v>290</v>
      </c>
      <c r="E33" s="9" t="s">
        <v>252</v>
      </c>
      <c r="F33" s="9" t="s">
        <v>320</v>
      </c>
      <c r="G33" s="9" t="s">
        <v>61</v>
      </c>
      <c r="H33" s="7" t="str">
        <f>IFERROR(IF(_xlfn.XLOOKUP(B33,REPASSE!D:D,REPASSE!D:D)="","Não","Sim"),"Não")</f>
        <v>Não</v>
      </c>
      <c r="I33" s="7" t="str">
        <f>IF(_xlfn.XLOOKUP(B33,'BOOST LIBERADO'!B:B,'BOOST LIBERADO'!B:B,"Não")="Não","Não","Sim")</f>
        <v>Sim</v>
      </c>
      <c r="J33" s="83" t="str">
        <f t="shared" si="0"/>
        <v>Sim</v>
      </c>
      <c r="K33" s="12">
        <f>SUMIFS(BASE!$G:$G,BASE!$B:$B,$B33,BASE!$L:$L,$G33,BASE!$J:$J,$C33,BASE!$A:$A,K$2)</f>
        <v>0</v>
      </c>
      <c r="L33" s="12">
        <f>SUMIFS(BASE!$G:$G,BASE!$B:$B,$B33,BASE!$L:$L,$G33,BASE!$J:$J,$C33,BASE!$A:$A,L$2)</f>
        <v>0</v>
      </c>
      <c r="M33" s="12">
        <f>SUMIFS(BASE!$G:$G,BASE!$B:$B,$B33,BASE!$L:$L,$G33,BASE!$J:$J,$C33,BASE!$A:$A,M$2)</f>
        <v>0</v>
      </c>
      <c r="N33" s="12">
        <f>SUMIFS(BASE!$G:$G,BASE!$B:$B,$B33,BASE!$L:$L,$G33,BASE!$J:$J,$C33,BASE!$A:$A,N$2)</f>
        <v>0</v>
      </c>
      <c r="O33" s="12">
        <f>SUMIFS(BASE!$G:$G,BASE!$B:$B,$B33,BASE!$L:$L,$G33,BASE!$J:$J,$C33,BASE!$A:$A,O$2)</f>
        <v>0</v>
      </c>
      <c r="P33" s="12">
        <f>SUMIFS(BASE!$G:$G,BASE!$B:$B,$B33,BASE!$L:$L,$G33,BASE!$J:$J,$C33,BASE!$A:$A,P$2)</f>
        <v>0</v>
      </c>
      <c r="Q33" s="12">
        <f>SUMIFS(BASE!$G:$G,BASE!$B:$B,$B33,BASE!$L:$L,$G33,BASE!$J:$J,$C33,BASE!$A:$A,Q$2)</f>
        <v>0</v>
      </c>
      <c r="R33" s="12">
        <f>SUMIFS(BASE!$G:$G,BASE!$B:$B,$B33,BASE!$L:$L,$G33,BASE!$J:$J,$C33,BASE!$A:$A,R$2)</f>
        <v>0</v>
      </c>
      <c r="S33" s="12">
        <f>SUMIFS(BASE!$G:$G,BASE!$B:$B,$B33,BASE!$L:$L,$G33,BASE!$J:$J,$C33,BASE!$A:$A,S$2)</f>
        <v>0</v>
      </c>
      <c r="T33" s="12">
        <f>SUMIFS(BASE!$G:$G,BASE!$B:$B,$B33,BASE!$L:$L,$G33,BASE!$J:$J,$C33,BASE!$A:$A,T$2)</f>
        <v>0</v>
      </c>
      <c r="U33" s="12">
        <f>SUMIFS(BASE!$G:$G,BASE!$B:$B,$B33,BASE!$L:$L,$G33,BASE!$J:$J,$C33,BASE!$A:$A,U$2)</f>
        <v>0</v>
      </c>
      <c r="V33" s="12">
        <f>SUMIFS(BASE!$G:$G,BASE!$B:$B,$B33,BASE!$L:$L,$G33,BASE!$J:$J,$C33,BASE!$A:$A,V$2)</f>
        <v>0</v>
      </c>
      <c r="X33" t="str">
        <f t="shared" si="1"/>
        <v>ZERADO</v>
      </c>
    </row>
    <row r="34" spans="2:24">
      <c r="B34" s="8" t="s">
        <v>321</v>
      </c>
      <c r="C34" s="9" t="s">
        <v>174</v>
      </c>
      <c r="D34" s="9" t="s">
        <v>318</v>
      </c>
      <c r="E34" s="9" t="s">
        <v>260</v>
      </c>
      <c r="F34" s="9" t="s">
        <v>322</v>
      </c>
      <c r="G34" s="9" t="s">
        <v>61</v>
      </c>
      <c r="H34" s="7" t="str">
        <f>IFERROR(IF(_xlfn.XLOOKUP(B34,REPASSE!D:D,REPASSE!D:D)="","Não","Sim"),"Não")</f>
        <v>Não</v>
      </c>
      <c r="I34" s="7" t="str">
        <f>IF(_xlfn.XLOOKUP(B34,'BOOST LIBERADO'!B:B,'BOOST LIBERADO'!B:B,"Não")="Não","Não","Sim")</f>
        <v>Sim</v>
      </c>
      <c r="J34" s="83" t="str">
        <f t="shared" si="0"/>
        <v>Sim</v>
      </c>
      <c r="K34" s="12">
        <f>SUMIFS(BASE!$G:$G,BASE!$B:$B,$B34,BASE!$L:$L,$G34,BASE!$J:$J,$C34,BASE!$A:$A,K$2)</f>
        <v>0</v>
      </c>
      <c r="L34" s="12">
        <f>SUMIFS(BASE!$G:$G,BASE!$B:$B,$B34,BASE!$L:$L,$G34,BASE!$J:$J,$C34,BASE!$A:$A,L$2)</f>
        <v>0</v>
      </c>
      <c r="M34" s="12">
        <f>SUMIFS(BASE!$G:$G,BASE!$B:$B,$B34,BASE!$L:$L,$G34,BASE!$J:$J,$C34,BASE!$A:$A,M$2)</f>
        <v>0</v>
      </c>
      <c r="N34" s="12">
        <f>SUMIFS(BASE!$G:$G,BASE!$B:$B,$B34,BASE!$L:$L,$G34,BASE!$J:$J,$C34,BASE!$A:$A,N$2)</f>
        <v>0</v>
      </c>
      <c r="O34" s="12">
        <f>SUMIFS(BASE!$G:$G,BASE!$B:$B,$B34,BASE!$L:$L,$G34,BASE!$J:$J,$C34,BASE!$A:$A,O$2)</f>
        <v>0</v>
      </c>
      <c r="P34" s="12">
        <f>SUMIFS(BASE!$G:$G,BASE!$B:$B,$B34,BASE!$L:$L,$G34,BASE!$J:$J,$C34,BASE!$A:$A,P$2)</f>
        <v>0</v>
      </c>
      <c r="Q34" s="12">
        <f>SUMIFS(BASE!$G:$G,BASE!$B:$B,$B34,BASE!$L:$L,$G34,BASE!$J:$J,$C34,BASE!$A:$A,Q$2)</f>
        <v>0</v>
      </c>
      <c r="R34" s="12">
        <f>SUMIFS(BASE!$G:$G,BASE!$B:$B,$B34,BASE!$L:$L,$G34,BASE!$J:$J,$C34,BASE!$A:$A,R$2)</f>
        <v>0</v>
      </c>
      <c r="S34" s="12">
        <f>SUMIFS(BASE!$G:$G,BASE!$B:$B,$B34,BASE!$L:$L,$G34,BASE!$J:$J,$C34,BASE!$A:$A,S$2)</f>
        <v>0</v>
      </c>
      <c r="T34" s="12">
        <f>SUMIFS(BASE!$G:$G,BASE!$B:$B,$B34,BASE!$L:$L,$G34,BASE!$J:$J,$C34,BASE!$A:$A,T$2)</f>
        <v>0</v>
      </c>
      <c r="U34" s="12">
        <f>SUMIFS(BASE!$G:$G,BASE!$B:$B,$B34,BASE!$L:$L,$G34,BASE!$J:$J,$C34,BASE!$A:$A,U$2)</f>
        <v>0</v>
      </c>
      <c r="V34" s="12">
        <f>SUMIFS(BASE!$G:$G,BASE!$B:$B,$B34,BASE!$L:$L,$G34,BASE!$J:$J,$C34,BASE!$A:$A,V$2)</f>
        <v>0</v>
      </c>
      <c r="X34" t="str">
        <f t="shared" si="1"/>
        <v>ZERADO</v>
      </c>
    </row>
    <row r="35" spans="2:24">
      <c r="B35" s="8" t="s">
        <v>323</v>
      </c>
      <c r="C35" s="9" t="s">
        <v>196</v>
      </c>
      <c r="D35" s="9" t="s">
        <v>287</v>
      </c>
      <c r="E35" s="9" t="s">
        <v>252</v>
      </c>
      <c r="F35" s="9" t="s">
        <v>324</v>
      </c>
      <c r="G35" s="9" t="s">
        <v>61</v>
      </c>
      <c r="H35" s="7" t="str">
        <f>IFERROR(IF(_xlfn.XLOOKUP(B35,REPASSE!D:D,REPASSE!D:D)="","Não","Sim"),"Não")</f>
        <v>Não</v>
      </c>
      <c r="I35" s="7" t="str">
        <f>IF(_xlfn.XLOOKUP(B35,'BOOST LIBERADO'!B:B,'BOOST LIBERADO'!B:B,"Não")="Não","Não","Sim")</f>
        <v>Não</v>
      </c>
      <c r="J35" s="83" t="str">
        <f t="shared" si="0"/>
        <v>Não</v>
      </c>
      <c r="K35" s="12">
        <f>SUMIFS(BASE!$G:$G,BASE!$B:$B,$B35,BASE!$L:$L,$G35,BASE!$J:$J,$C35,BASE!$A:$A,K$2)</f>
        <v>0</v>
      </c>
      <c r="L35" s="12">
        <f>SUMIFS(BASE!$G:$G,BASE!$B:$B,$B35,BASE!$L:$L,$G35,BASE!$J:$J,$C35,BASE!$A:$A,L$2)</f>
        <v>0</v>
      </c>
      <c r="M35" s="12">
        <f>SUMIFS(BASE!$G:$G,BASE!$B:$B,$B35,BASE!$L:$L,$G35,BASE!$J:$J,$C35,BASE!$A:$A,M$2)</f>
        <v>0</v>
      </c>
      <c r="N35" s="12">
        <f>SUMIFS(BASE!$G:$G,BASE!$B:$B,$B35,BASE!$L:$L,$G35,BASE!$J:$J,$C35,BASE!$A:$A,N$2)</f>
        <v>0</v>
      </c>
      <c r="O35" s="12">
        <f>SUMIFS(BASE!$G:$G,BASE!$B:$B,$B35,BASE!$L:$L,$G35,BASE!$J:$J,$C35,BASE!$A:$A,O$2)</f>
        <v>0</v>
      </c>
      <c r="P35" s="12">
        <f>SUMIFS(BASE!$G:$G,BASE!$B:$B,$B35,BASE!$L:$L,$G35,BASE!$J:$J,$C35,BASE!$A:$A,P$2)</f>
        <v>0</v>
      </c>
      <c r="Q35" s="12">
        <f>SUMIFS(BASE!$G:$G,BASE!$B:$B,$B35,BASE!$L:$L,$G35,BASE!$J:$J,$C35,BASE!$A:$A,Q$2)</f>
        <v>0</v>
      </c>
      <c r="R35" s="12">
        <f>SUMIFS(BASE!$G:$G,BASE!$B:$B,$B35,BASE!$L:$L,$G35,BASE!$J:$J,$C35,BASE!$A:$A,R$2)</f>
        <v>0</v>
      </c>
      <c r="S35" s="12">
        <f>SUMIFS(BASE!$G:$G,BASE!$B:$B,$B35,BASE!$L:$L,$G35,BASE!$J:$J,$C35,BASE!$A:$A,S$2)</f>
        <v>0</v>
      </c>
      <c r="T35" s="12">
        <f>SUMIFS(BASE!$G:$G,BASE!$B:$B,$B35,BASE!$L:$L,$G35,BASE!$J:$J,$C35,BASE!$A:$A,T$2)</f>
        <v>0</v>
      </c>
      <c r="U35" s="12">
        <f>SUMIFS(BASE!$G:$G,BASE!$B:$B,$B35,BASE!$L:$L,$G35,BASE!$J:$J,$C35,BASE!$A:$A,U$2)</f>
        <v>0</v>
      </c>
      <c r="V35" s="12">
        <f>SUMIFS(BASE!$G:$G,BASE!$B:$B,$B35,BASE!$L:$L,$G35,BASE!$J:$J,$C35,BASE!$A:$A,V$2)</f>
        <v>0</v>
      </c>
      <c r="X35" t="str">
        <f t="shared" si="1"/>
        <v>ZERADO</v>
      </c>
    </row>
    <row r="36" spans="2:24">
      <c r="B36" s="8" t="s">
        <v>325</v>
      </c>
      <c r="C36" s="9" t="s">
        <v>196</v>
      </c>
      <c r="D36" s="9" t="s">
        <v>326</v>
      </c>
      <c r="E36" s="9" t="s">
        <v>268</v>
      </c>
      <c r="F36" s="9" t="s">
        <v>327</v>
      </c>
      <c r="G36" s="9" t="s">
        <v>61</v>
      </c>
      <c r="H36" s="7" t="str">
        <f>IFERROR(IF(_xlfn.XLOOKUP(B36,REPASSE!D:D,REPASSE!D:D)="","Não","Sim"),"Não")</f>
        <v>Não</v>
      </c>
      <c r="I36" s="7" t="str">
        <f>IF(_xlfn.XLOOKUP(B36,'BOOST LIBERADO'!B:B,'BOOST LIBERADO'!B:B,"Não")="Não","Não","Sim")</f>
        <v>Não</v>
      </c>
      <c r="J36" s="83" t="str">
        <f t="shared" si="0"/>
        <v>Não</v>
      </c>
      <c r="K36" s="12">
        <f>SUMIFS(BASE!$G:$G,BASE!$B:$B,$B36,BASE!$L:$L,$G36,BASE!$J:$J,$C36,BASE!$A:$A,K$2)</f>
        <v>0</v>
      </c>
      <c r="L36" s="12">
        <f>SUMIFS(BASE!$G:$G,BASE!$B:$B,$B36,BASE!$L:$L,$G36,BASE!$J:$J,$C36,BASE!$A:$A,L$2)</f>
        <v>0</v>
      </c>
      <c r="M36" s="12">
        <f>SUMIFS(BASE!$G:$G,BASE!$B:$B,$B36,BASE!$L:$L,$G36,BASE!$J:$J,$C36,BASE!$A:$A,M$2)</f>
        <v>0</v>
      </c>
      <c r="N36" s="12">
        <f>SUMIFS(BASE!$G:$G,BASE!$B:$B,$B36,BASE!$L:$L,$G36,BASE!$J:$J,$C36,BASE!$A:$A,N$2)</f>
        <v>0</v>
      </c>
      <c r="O36" s="12">
        <f>SUMIFS(BASE!$G:$G,BASE!$B:$B,$B36,BASE!$L:$L,$G36,BASE!$J:$J,$C36,BASE!$A:$A,O$2)</f>
        <v>0</v>
      </c>
      <c r="P36" s="12">
        <f>SUMIFS(BASE!$G:$G,BASE!$B:$B,$B36,BASE!$L:$L,$G36,BASE!$J:$J,$C36,BASE!$A:$A,P$2)</f>
        <v>0</v>
      </c>
      <c r="Q36" s="12">
        <f>SUMIFS(BASE!$G:$G,BASE!$B:$B,$B36,BASE!$L:$L,$G36,BASE!$J:$J,$C36,BASE!$A:$A,Q$2)</f>
        <v>0</v>
      </c>
      <c r="R36" s="12">
        <f>SUMIFS(BASE!$G:$G,BASE!$B:$B,$B36,BASE!$L:$L,$G36,BASE!$J:$J,$C36,BASE!$A:$A,R$2)</f>
        <v>0</v>
      </c>
      <c r="S36" s="12">
        <f>SUMIFS(BASE!$G:$G,BASE!$B:$B,$B36,BASE!$L:$L,$G36,BASE!$J:$J,$C36,BASE!$A:$A,S$2)</f>
        <v>0</v>
      </c>
      <c r="T36" s="12">
        <f>SUMIFS(BASE!$G:$G,BASE!$B:$B,$B36,BASE!$L:$L,$G36,BASE!$J:$J,$C36,BASE!$A:$A,T$2)</f>
        <v>0</v>
      </c>
      <c r="U36" s="12">
        <f>SUMIFS(BASE!$G:$G,BASE!$B:$B,$B36,BASE!$L:$L,$G36,BASE!$J:$J,$C36,BASE!$A:$A,U$2)</f>
        <v>0</v>
      </c>
      <c r="V36" s="12">
        <f>SUMIFS(BASE!$G:$G,BASE!$B:$B,$B36,BASE!$L:$L,$G36,BASE!$J:$J,$C36,BASE!$A:$A,V$2)</f>
        <v>0</v>
      </c>
      <c r="X36" t="str">
        <f t="shared" si="1"/>
        <v>ZERADO</v>
      </c>
    </row>
    <row r="37" spans="2:24">
      <c r="B37" s="8" t="s">
        <v>328</v>
      </c>
      <c r="C37" s="9" t="s">
        <v>174</v>
      </c>
      <c r="D37" s="9" t="s">
        <v>278</v>
      </c>
      <c r="E37" s="9" t="s">
        <v>260</v>
      </c>
      <c r="F37" s="9" t="s">
        <v>329</v>
      </c>
      <c r="G37" s="9" t="s">
        <v>61</v>
      </c>
      <c r="H37" s="7" t="str">
        <f>IFERROR(IF(_xlfn.XLOOKUP(B37,REPASSE!D:D,REPASSE!D:D)="","Não","Sim"),"Não")</f>
        <v>Não</v>
      </c>
      <c r="I37" s="7" t="str">
        <f>IF(_xlfn.XLOOKUP(B37,'BOOST LIBERADO'!B:B,'BOOST LIBERADO'!B:B,"Não")="Não","Não","Sim")</f>
        <v>Sim</v>
      </c>
      <c r="J37" s="83" t="str">
        <f t="shared" si="0"/>
        <v>Sim</v>
      </c>
      <c r="K37" s="12">
        <f>SUMIFS(BASE!$G:$G,BASE!$B:$B,$B37,BASE!$L:$L,$G37,BASE!$J:$J,$C37,BASE!$A:$A,K$2)</f>
        <v>0</v>
      </c>
      <c r="L37" s="12">
        <f>SUMIFS(BASE!$G:$G,BASE!$B:$B,$B37,BASE!$L:$L,$G37,BASE!$J:$J,$C37,BASE!$A:$A,L$2)</f>
        <v>0</v>
      </c>
      <c r="M37" s="12">
        <f>SUMIFS(BASE!$G:$G,BASE!$B:$B,$B37,BASE!$L:$L,$G37,BASE!$J:$J,$C37,BASE!$A:$A,M$2)</f>
        <v>0</v>
      </c>
      <c r="N37" s="12">
        <f>SUMIFS(BASE!$G:$G,BASE!$B:$B,$B37,BASE!$L:$L,$G37,BASE!$J:$J,$C37,BASE!$A:$A,N$2)</f>
        <v>0</v>
      </c>
      <c r="O37" s="12">
        <f>SUMIFS(BASE!$G:$G,BASE!$B:$B,$B37,BASE!$L:$L,$G37,BASE!$J:$J,$C37,BASE!$A:$A,O$2)</f>
        <v>0</v>
      </c>
      <c r="P37" s="12">
        <f>SUMIFS(BASE!$G:$G,BASE!$B:$B,$B37,BASE!$L:$L,$G37,BASE!$J:$J,$C37,BASE!$A:$A,P$2)</f>
        <v>0</v>
      </c>
      <c r="Q37" s="12">
        <f>SUMIFS(BASE!$G:$G,BASE!$B:$B,$B37,BASE!$L:$L,$G37,BASE!$J:$J,$C37,BASE!$A:$A,Q$2)</f>
        <v>0</v>
      </c>
      <c r="R37" s="12">
        <f>SUMIFS(BASE!$G:$G,BASE!$B:$B,$B37,BASE!$L:$L,$G37,BASE!$J:$J,$C37,BASE!$A:$A,R$2)</f>
        <v>0</v>
      </c>
      <c r="S37" s="12">
        <f>SUMIFS(BASE!$G:$G,BASE!$B:$B,$B37,BASE!$L:$L,$G37,BASE!$J:$J,$C37,BASE!$A:$A,S$2)</f>
        <v>0</v>
      </c>
      <c r="T37" s="12">
        <f>SUMIFS(BASE!$G:$G,BASE!$B:$B,$B37,BASE!$L:$L,$G37,BASE!$J:$J,$C37,BASE!$A:$A,T$2)</f>
        <v>0</v>
      </c>
      <c r="U37" s="12">
        <f>SUMIFS(BASE!$G:$G,BASE!$B:$B,$B37,BASE!$L:$L,$G37,BASE!$J:$J,$C37,BASE!$A:$A,U$2)</f>
        <v>0</v>
      </c>
      <c r="V37" s="12">
        <f>SUMIFS(BASE!$G:$G,BASE!$B:$B,$B37,BASE!$L:$L,$G37,BASE!$J:$J,$C37,BASE!$A:$A,V$2)</f>
        <v>0</v>
      </c>
      <c r="X37" t="str">
        <f t="shared" si="1"/>
        <v>ZERADO</v>
      </c>
    </row>
    <row r="38" spans="2:24">
      <c r="B38" s="8" t="s">
        <v>330</v>
      </c>
      <c r="C38" s="9" t="s">
        <v>131</v>
      </c>
      <c r="D38" s="9" t="s">
        <v>251</v>
      </c>
      <c r="E38" s="9" t="s">
        <v>252</v>
      </c>
      <c r="F38" s="9" t="s">
        <v>331</v>
      </c>
      <c r="G38" s="9" t="s">
        <v>61</v>
      </c>
      <c r="H38" s="7" t="str">
        <f>IFERROR(IF(_xlfn.XLOOKUP(B38,REPASSE!D:D,REPASSE!D:D)="","Não","Sim"),"Não")</f>
        <v>Não</v>
      </c>
      <c r="I38" s="7" t="str">
        <f>IF(_xlfn.XLOOKUP(B38,'BOOST LIBERADO'!B:B,'BOOST LIBERADO'!B:B,"Não")="Não","Não","Sim")</f>
        <v>Sim</v>
      </c>
      <c r="J38" s="83" t="str">
        <f t="shared" si="0"/>
        <v>Sim</v>
      </c>
      <c r="K38" s="12">
        <f>SUMIFS(BASE!$G:$G,BASE!$B:$B,$B38,BASE!$L:$L,$G38,BASE!$J:$J,$C38,BASE!$A:$A,K$2)</f>
        <v>0</v>
      </c>
      <c r="L38" s="12">
        <f>SUMIFS(BASE!$G:$G,BASE!$B:$B,$B38,BASE!$L:$L,$G38,BASE!$J:$J,$C38,BASE!$A:$A,L$2)</f>
        <v>0</v>
      </c>
      <c r="M38" s="12">
        <f>SUMIFS(BASE!$G:$G,BASE!$B:$B,$B38,BASE!$L:$L,$G38,BASE!$J:$J,$C38,BASE!$A:$A,M$2)</f>
        <v>0</v>
      </c>
      <c r="N38" s="12">
        <f>SUMIFS(BASE!$G:$G,BASE!$B:$B,$B38,BASE!$L:$L,$G38,BASE!$J:$J,$C38,BASE!$A:$A,N$2)</f>
        <v>0</v>
      </c>
      <c r="O38" s="12">
        <f>SUMIFS(BASE!$G:$G,BASE!$B:$B,$B38,BASE!$L:$L,$G38,BASE!$J:$J,$C38,BASE!$A:$A,O$2)</f>
        <v>0</v>
      </c>
      <c r="P38" s="12">
        <f>SUMIFS(BASE!$G:$G,BASE!$B:$B,$B38,BASE!$L:$L,$G38,BASE!$J:$J,$C38,BASE!$A:$A,P$2)</f>
        <v>0</v>
      </c>
      <c r="Q38" s="12">
        <f>SUMIFS(BASE!$G:$G,BASE!$B:$B,$B38,BASE!$L:$L,$G38,BASE!$J:$J,$C38,BASE!$A:$A,Q$2)</f>
        <v>0</v>
      </c>
      <c r="R38" s="12">
        <f>SUMIFS(BASE!$G:$G,BASE!$B:$B,$B38,BASE!$L:$L,$G38,BASE!$J:$J,$C38,BASE!$A:$A,R$2)</f>
        <v>0</v>
      </c>
      <c r="S38" s="12">
        <f>SUMIFS(BASE!$G:$G,BASE!$B:$B,$B38,BASE!$L:$L,$G38,BASE!$J:$J,$C38,BASE!$A:$A,S$2)</f>
        <v>0</v>
      </c>
      <c r="T38" s="12">
        <f>SUMIFS(BASE!$G:$G,BASE!$B:$B,$B38,BASE!$L:$L,$G38,BASE!$J:$J,$C38,BASE!$A:$A,T$2)</f>
        <v>0</v>
      </c>
      <c r="U38" s="12">
        <f>SUMIFS(BASE!$G:$G,BASE!$B:$B,$B38,BASE!$L:$L,$G38,BASE!$J:$J,$C38,BASE!$A:$A,U$2)</f>
        <v>0</v>
      </c>
      <c r="V38" s="12">
        <f>SUMIFS(BASE!$G:$G,BASE!$B:$B,$B38,BASE!$L:$L,$G38,BASE!$J:$J,$C38,BASE!$A:$A,V$2)</f>
        <v>0</v>
      </c>
      <c r="X38" t="str">
        <f t="shared" si="1"/>
        <v>ZERADO</v>
      </c>
    </row>
    <row r="39" spans="2:24">
      <c r="B39" s="8" t="s">
        <v>332</v>
      </c>
      <c r="C39" s="9" t="s">
        <v>104</v>
      </c>
      <c r="D39" s="9" t="s">
        <v>287</v>
      </c>
      <c r="E39" s="9" t="s">
        <v>252</v>
      </c>
      <c r="F39" s="9" t="s">
        <v>288</v>
      </c>
      <c r="G39" s="9" t="s">
        <v>61</v>
      </c>
      <c r="H39" s="7" t="str">
        <f>IFERROR(IF(_xlfn.XLOOKUP(B39,REPASSE!D:D,REPASSE!D:D)="","Não","Sim"),"Não")</f>
        <v>Não</v>
      </c>
      <c r="I39" s="7" t="str">
        <f>IF(_xlfn.XLOOKUP(B39,'BOOST LIBERADO'!B:B,'BOOST LIBERADO'!B:B,"Não")="Não","Não","Sim")</f>
        <v>Sim</v>
      </c>
      <c r="J39" s="83" t="str">
        <f t="shared" si="0"/>
        <v>Sim</v>
      </c>
      <c r="K39" s="12">
        <f>SUMIFS(BASE!$G:$G,BASE!$B:$B,$B39,BASE!$L:$L,$G39,BASE!$J:$J,$C39,BASE!$A:$A,K$2)</f>
        <v>0</v>
      </c>
      <c r="L39" s="12">
        <f>SUMIFS(BASE!$G:$G,BASE!$B:$B,$B39,BASE!$L:$L,$G39,BASE!$J:$J,$C39,BASE!$A:$A,L$2)</f>
        <v>0</v>
      </c>
      <c r="M39" s="12">
        <f>SUMIFS(BASE!$G:$G,BASE!$B:$B,$B39,BASE!$L:$L,$G39,BASE!$J:$J,$C39,BASE!$A:$A,M$2)</f>
        <v>0</v>
      </c>
      <c r="N39" s="12">
        <f>SUMIFS(BASE!$G:$G,BASE!$B:$B,$B39,BASE!$L:$L,$G39,BASE!$J:$J,$C39,BASE!$A:$A,N$2)</f>
        <v>0</v>
      </c>
      <c r="O39" s="12">
        <f>SUMIFS(BASE!$G:$G,BASE!$B:$B,$B39,BASE!$L:$L,$G39,BASE!$J:$J,$C39,BASE!$A:$A,O$2)</f>
        <v>0</v>
      </c>
      <c r="P39" s="12">
        <f>SUMIFS(BASE!$G:$G,BASE!$B:$B,$B39,BASE!$L:$L,$G39,BASE!$J:$J,$C39,BASE!$A:$A,P$2)</f>
        <v>0</v>
      </c>
      <c r="Q39" s="12">
        <f>SUMIFS(BASE!$G:$G,BASE!$B:$B,$B39,BASE!$L:$L,$G39,BASE!$J:$J,$C39,BASE!$A:$A,Q$2)</f>
        <v>0</v>
      </c>
      <c r="R39" s="12">
        <f>SUMIFS(BASE!$G:$G,BASE!$B:$B,$B39,BASE!$L:$L,$G39,BASE!$J:$J,$C39,BASE!$A:$A,R$2)</f>
        <v>0</v>
      </c>
      <c r="S39" s="12">
        <f>SUMIFS(BASE!$G:$G,BASE!$B:$B,$B39,BASE!$L:$L,$G39,BASE!$J:$J,$C39,BASE!$A:$A,S$2)</f>
        <v>0</v>
      </c>
      <c r="T39" s="12">
        <f>SUMIFS(BASE!$G:$G,BASE!$B:$B,$B39,BASE!$L:$L,$G39,BASE!$J:$J,$C39,BASE!$A:$A,T$2)</f>
        <v>0</v>
      </c>
      <c r="U39" s="12">
        <f>SUMIFS(BASE!$G:$G,BASE!$B:$B,$B39,BASE!$L:$L,$G39,BASE!$J:$J,$C39,BASE!$A:$A,U$2)</f>
        <v>0</v>
      </c>
      <c r="V39" s="12">
        <f>SUMIFS(BASE!$G:$G,BASE!$B:$B,$B39,BASE!$L:$L,$G39,BASE!$J:$J,$C39,BASE!$A:$A,V$2)</f>
        <v>0</v>
      </c>
      <c r="X39" t="str">
        <f t="shared" si="1"/>
        <v>ZERADO</v>
      </c>
    </row>
    <row r="40" spans="2:24">
      <c r="B40" s="8" t="s">
        <v>333</v>
      </c>
      <c r="C40" s="9" t="s">
        <v>141</v>
      </c>
      <c r="D40" s="9" t="s">
        <v>334</v>
      </c>
      <c r="E40" s="9" t="s">
        <v>252</v>
      </c>
      <c r="F40" s="9" t="s">
        <v>335</v>
      </c>
      <c r="G40" s="9" t="s">
        <v>61</v>
      </c>
      <c r="H40" s="7" t="str">
        <f>IFERROR(IF(_xlfn.XLOOKUP(B40,REPASSE!D:D,REPASSE!D:D)="","Não","Sim"),"Não")</f>
        <v>Não</v>
      </c>
      <c r="I40" s="7" t="str">
        <f>IF(_xlfn.XLOOKUP(B40,'BOOST LIBERADO'!B:B,'BOOST LIBERADO'!B:B,"Não")="Não","Não","Sim")</f>
        <v>Sim</v>
      </c>
      <c r="J40" s="83" t="str">
        <f t="shared" si="0"/>
        <v>Sim</v>
      </c>
      <c r="K40" s="12">
        <f>SUMIFS(BASE!$G:$G,BASE!$B:$B,$B40,BASE!$L:$L,$G40,BASE!$J:$J,$C40,BASE!$A:$A,K$2)</f>
        <v>0</v>
      </c>
      <c r="L40" s="12">
        <f>SUMIFS(BASE!$G:$G,BASE!$B:$B,$B40,BASE!$L:$L,$G40,BASE!$J:$J,$C40,BASE!$A:$A,L$2)</f>
        <v>0</v>
      </c>
      <c r="M40" s="12">
        <f>SUMIFS(BASE!$G:$G,BASE!$B:$B,$B40,BASE!$L:$L,$G40,BASE!$J:$J,$C40,BASE!$A:$A,M$2)</f>
        <v>0</v>
      </c>
      <c r="N40" s="12">
        <f>SUMIFS(BASE!$G:$G,BASE!$B:$B,$B40,BASE!$L:$L,$G40,BASE!$J:$J,$C40,BASE!$A:$A,N$2)</f>
        <v>0</v>
      </c>
      <c r="O40" s="12">
        <f>SUMIFS(BASE!$G:$G,BASE!$B:$B,$B40,BASE!$L:$L,$G40,BASE!$J:$J,$C40,BASE!$A:$A,O$2)</f>
        <v>0</v>
      </c>
      <c r="P40" s="12">
        <f>SUMIFS(BASE!$G:$G,BASE!$B:$B,$B40,BASE!$L:$L,$G40,BASE!$J:$J,$C40,BASE!$A:$A,P$2)</f>
        <v>0</v>
      </c>
      <c r="Q40" s="12">
        <f>SUMIFS(BASE!$G:$G,BASE!$B:$B,$B40,BASE!$L:$L,$G40,BASE!$J:$J,$C40,BASE!$A:$A,Q$2)</f>
        <v>0</v>
      </c>
      <c r="R40" s="12">
        <f>SUMIFS(BASE!$G:$G,BASE!$B:$B,$B40,BASE!$L:$L,$G40,BASE!$J:$J,$C40,BASE!$A:$A,R$2)</f>
        <v>0</v>
      </c>
      <c r="S40" s="12">
        <f>SUMIFS(BASE!$G:$G,BASE!$B:$B,$B40,BASE!$L:$L,$G40,BASE!$J:$J,$C40,BASE!$A:$A,S$2)</f>
        <v>0</v>
      </c>
      <c r="T40" s="12">
        <f>SUMIFS(BASE!$G:$G,BASE!$B:$B,$B40,BASE!$L:$L,$G40,BASE!$J:$J,$C40,BASE!$A:$A,T$2)</f>
        <v>0</v>
      </c>
      <c r="U40" s="12">
        <f>SUMIFS(BASE!$G:$G,BASE!$B:$B,$B40,BASE!$L:$L,$G40,BASE!$J:$J,$C40,BASE!$A:$A,U$2)</f>
        <v>0</v>
      </c>
      <c r="V40" s="12">
        <f>SUMIFS(BASE!$G:$G,BASE!$B:$B,$B40,BASE!$L:$L,$G40,BASE!$J:$J,$C40,BASE!$A:$A,V$2)</f>
        <v>0</v>
      </c>
      <c r="X40" t="str">
        <f t="shared" si="1"/>
        <v>ZERADO</v>
      </c>
    </row>
    <row r="41" spans="2:24">
      <c r="B41" s="8" t="s">
        <v>336</v>
      </c>
      <c r="C41" s="9" t="s">
        <v>226</v>
      </c>
      <c r="D41" s="9" t="s">
        <v>274</v>
      </c>
      <c r="E41" s="9" t="s">
        <v>275</v>
      </c>
      <c r="F41" s="9" t="s">
        <v>337</v>
      </c>
      <c r="G41" s="9" t="s">
        <v>61</v>
      </c>
      <c r="H41" s="7" t="str">
        <f>IFERROR(IF(_xlfn.XLOOKUP(B41,REPASSE!D:D,REPASSE!D:D)="","Não","Sim"),"Não")</f>
        <v>Não</v>
      </c>
      <c r="I41" s="7" t="str">
        <f>IF(_xlfn.XLOOKUP(B41,'BOOST LIBERADO'!B:B,'BOOST LIBERADO'!B:B,"Não")="Não","Não","Sim")</f>
        <v>Sim</v>
      </c>
      <c r="J41" s="83" t="str">
        <f t="shared" si="0"/>
        <v>Sim</v>
      </c>
      <c r="K41" s="12">
        <f>SUMIFS(BASE!$G:$G,BASE!$B:$B,$B41,BASE!$L:$L,$G41,BASE!$J:$J,$C41,BASE!$A:$A,K$2)</f>
        <v>0</v>
      </c>
      <c r="L41" s="12">
        <f>SUMIFS(BASE!$G:$G,BASE!$B:$B,$B41,BASE!$L:$L,$G41,BASE!$J:$J,$C41,BASE!$A:$A,L$2)</f>
        <v>0</v>
      </c>
      <c r="M41" s="12">
        <f>SUMIFS(BASE!$G:$G,BASE!$B:$B,$B41,BASE!$L:$L,$G41,BASE!$J:$J,$C41,BASE!$A:$A,M$2)</f>
        <v>0</v>
      </c>
      <c r="N41" s="12">
        <f>SUMIFS(BASE!$G:$G,BASE!$B:$B,$B41,BASE!$L:$L,$G41,BASE!$J:$J,$C41,BASE!$A:$A,N$2)</f>
        <v>1</v>
      </c>
      <c r="O41" s="12">
        <f>SUMIFS(BASE!$G:$G,BASE!$B:$B,$B41,BASE!$L:$L,$G41,BASE!$J:$J,$C41,BASE!$A:$A,O$2)</f>
        <v>0</v>
      </c>
      <c r="P41" s="12">
        <f>SUMIFS(BASE!$G:$G,BASE!$B:$B,$B41,BASE!$L:$L,$G41,BASE!$J:$J,$C41,BASE!$A:$A,P$2)</f>
        <v>0</v>
      </c>
      <c r="Q41" s="12">
        <f>SUMIFS(BASE!$G:$G,BASE!$B:$B,$B41,BASE!$L:$L,$G41,BASE!$J:$J,$C41,BASE!$A:$A,Q$2)</f>
        <v>0</v>
      </c>
      <c r="R41" s="12">
        <f>SUMIFS(BASE!$G:$G,BASE!$B:$B,$B41,BASE!$L:$L,$G41,BASE!$J:$J,$C41,BASE!$A:$A,R$2)</f>
        <v>0</v>
      </c>
      <c r="S41" s="12">
        <f>SUMIFS(BASE!$G:$G,BASE!$B:$B,$B41,BASE!$L:$L,$G41,BASE!$J:$J,$C41,BASE!$A:$A,S$2)</f>
        <v>0</v>
      </c>
      <c r="T41" s="12">
        <f>SUMIFS(BASE!$G:$G,BASE!$B:$B,$B41,BASE!$L:$L,$G41,BASE!$J:$J,$C41,BASE!$A:$A,T$2)</f>
        <v>0</v>
      </c>
      <c r="U41" s="12">
        <f>SUMIFS(BASE!$G:$G,BASE!$B:$B,$B41,BASE!$L:$L,$G41,BASE!$J:$J,$C41,BASE!$A:$A,U$2)</f>
        <v>0</v>
      </c>
      <c r="V41" s="12">
        <f>SUMIFS(BASE!$G:$G,BASE!$B:$B,$B41,BASE!$L:$L,$G41,BASE!$J:$J,$C41,BASE!$A:$A,V$2)</f>
        <v>0</v>
      </c>
      <c r="X41" t="str">
        <f t="shared" si="1"/>
        <v>ZERADO</v>
      </c>
    </row>
    <row r="42" spans="2:24">
      <c r="B42" s="8" t="s">
        <v>338</v>
      </c>
      <c r="C42" s="9" t="s">
        <v>141</v>
      </c>
      <c r="D42" s="9" t="s">
        <v>251</v>
      </c>
      <c r="E42" s="9" t="s">
        <v>252</v>
      </c>
      <c r="F42" s="9" t="s">
        <v>339</v>
      </c>
      <c r="G42" s="9" t="s">
        <v>61</v>
      </c>
      <c r="H42" s="7" t="str">
        <f>IFERROR(IF(_xlfn.XLOOKUP(B42,REPASSE!D:D,REPASSE!D:D)="","Não","Sim"),"Não")</f>
        <v>Não</v>
      </c>
      <c r="I42" s="7" t="str">
        <f>IF(_xlfn.XLOOKUP(B42,'BOOST LIBERADO'!B:B,'BOOST LIBERADO'!B:B,"Não")="Não","Não","Sim")</f>
        <v>Sim</v>
      </c>
      <c r="J42" s="83" t="str">
        <f t="shared" si="0"/>
        <v>Sim</v>
      </c>
      <c r="K42" s="12">
        <f>SUMIFS(BASE!$G:$G,BASE!$B:$B,$B42,BASE!$L:$L,$G42,BASE!$J:$J,$C42,BASE!$A:$A,K$2)</f>
        <v>0</v>
      </c>
      <c r="L42" s="12">
        <f>SUMIFS(BASE!$G:$G,BASE!$B:$B,$B42,BASE!$L:$L,$G42,BASE!$J:$J,$C42,BASE!$A:$A,L$2)</f>
        <v>0</v>
      </c>
      <c r="M42" s="12">
        <f>SUMIFS(BASE!$G:$G,BASE!$B:$B,$B42,BASE!$L:$L,$G42,BASE!$J:$J,$C42,BASE!$A:$A,M$2)</f>
        <v>0</v>
      </c>
      <c r="N42" s="12">
        <f>SUMIFS(BASE!$G:$G,BASE!$B:$B,$B42,BASE!$L:$L,$G42,BASE!$J:$J,$C42,BASE!$A:$A,N$2)</f>
        <v>0</v>
      </c>
      <c r="O42" s="12">
        <f>SUMIFS(BASE!$G:$G,BASE!$B:$B,$B42,BASE!$L:$L,$G42,BASE!$J:$J,$C42,BASE!$A:$A,O$2)</f>
        <v>1</v>
      </c>
      <c r="P42" s="12">
        <f>SUMIFS(BASE!$G:$G,BASE!$B:$B,$B42,BASE!$L:$L,$G42,BASE!$J:$J,$C42,BASE!$A:$A,P$2)</f>
        <v>0</v>
      </c>
      <c r="Q42" s="12">
        <f>SUMIFS(BASE!$G:$G,BASE!$B:$B,$B42,BASE!$L:$L,$G42,BASE!$J:$J,$C42,BASE!$A:$A,Q$2)</f>
        <v>0</v>
      </c>
      <c r="R42" s="12">
        <f>SUMIFS(BASE!$G:$G,BASE!$B:$B,$B42,BASE!$L:$L,$G42,BASE!$J:$J,$C42,BASE!$A:$A,R$2)</f>
        <v>0</v>
      </c>
      <c r="S42" s="12">
        <f>SUMIFS(BASE!$G:$G,BASE!$B:$B,$B42,BASE!$L:$L,$G42,BASE!$J:$J,$C42,BASE!$A:$A,S$2)</f>
        <v>0</v>
      </c>
      <c r="T42" s="12">
        <f>SUMIFS(BASE!$G:$G,BASE!$B:$B,$B42,BASE!$L:$L,$G42,BASE!$J:$J,$C42,BASE!$A:$A,T$2)</f>
        <v>0</v>
      </c>
      <c r="U42" s="12">
        <f>SUMIFS(BASE!$G:$G,BASE!$B:$B,$B42,BASE!$L:$L,$G42,BASE!$J:$J,$C42,BASE!$A:$A,U$2)</f>
        <v>0</v>
      </c>
      <c r="V42" s="12">
        <f>SUMIFS(BASE!$G:$G,BASE!$B:$B,$B42,BASE!$L:$L,$G42,BASE!$J:$J,$C42,BASE!$A:$A,V$2)</f>
        <v>0</v>
      </c>
      <c r="X42" t="str">
        <f t="shared" si="1"/>
        <v>ZERADO</v>
      </c>
    </row>
    <row r="43" spans="2:24">
      <c r="B43" s="8" t="s">
        <v>340</v>
      </c>
      <c r="C43" s="9" t="s">
        <v>131</v>
      </c>
      <c r="D43" s="9" t="s">
        <v>290</v>
      </c>
      <c r="E43" s="9" t="s">
        <v>252</v>
      </c>
      <c r="F43" s="9" t="s">
        <v>341</v>
      </c>
      <c r="G43" s="9" t="s">
        <v>61</v>
      </c>
      <c r="H43" s="7" t="str">
        <f>IFERROR(IF(_xlfn.XLOOKUP(B43,REPASSE!D:D,REPASSE!D:D)="","Não","Sim"),"Não")</f>
        <v>Não</v>
      </c>
      <c r="I43" s="7" t="str">
        <f>IF(_xlfn.XLOOKUP(B43,'BOOST LIBERADO'!B:B,'BOOST LIBERADO'!B:B,"Não")="Não","Não","Sim")</f>
        <v>Sim</v>
      </c>
      <c r="J43" s="83" t="str">
        <f t="shared" si="0"/>
        <v>Sim</v>
      </c>
      <c r="K43" s="12">
        <f>SUMIFS(BASE!$G:$G,BASE!$B:$B,$B43,BASE!$L:$L,$G43,BASE!$J:$J,$C43,BASE!$A:$A,K$2)</f>
        <v>0</v>
      </c>
      <c r="L43" s="12">
        <f>SUMIFS(BASE!$G:$G,BASE!$B:$B,$B43,BASE!$L:$L,$G43,BASE!$J:$J,$C43,BASE!$A:$A,L$2)</f>
        <v>0</v>
      </c>
      <c r="M43" s="12">
        <f>SUMIFS(BASE!$G:$G,BASE!$B:$B,$B43,BASE!$L:$L,$G43,BASE!$J:$J,$C43,BASE!$A:$A,M$2)</f>
        <v>0</v>
      </c>
      <c r="N43" s="12">
        <f>SUMIFS(BASE!$G:$G,BASE!$B:$B,$B43,BASE!$L:$L,$G43,BASE!$J:$J,$C43,BASE!$A:$A,N$2)</f>
        <v>0</v>
      </c>
      <c r="O43" s="12">
        <f>SUMIFS(BASE!$G:$G,BASE!$B:$B,$B43,BASE!$L:$L,$G43,BASE!$J:$J,$C43,BASE!$A:$A,O$2)</f>
        <v>0</v>
      </c>
      <c r="P43" s="12">
        <f>SUMIFS(BASE!$G:$G,BASE!$B:$B,$B43,BASE!$L:$L,$G43,BASE!$J:$J,$C43,BASE!$A:$A,P$2)</f>
        <v>0</v>
      </c>
      <c r="Q43" s="12">
        <f>SUMIFS(BASE!$G:$G,BASE!$B:$B,$B43,BASE!$L:$L,$G43,BASE!$J:$J,$C43,BASE!$A:$A,Q$2)</f>
        <v>0</v>
      </c>
      <c r="R43" s="12">
        <f>SUMIFS(BASE!$G:$G,BASE!$B:$B,$B43,BASE!$L:$L,$G43,BASE!$J:$J,$C43,BASE!$A:$A,R$2)</f>
        <v>0</v>
      </c>
      <c r="S43" s="12">
        <f>SUMIFS(BASE!$G:$G,BASE!$B:$B,$B43,BASE!$L:$L,$G43,BASE!$J:$J,$C43,BASE!$A:$A,S$2)</f>
        <v>0</v>
      </c>
      <c r="T43" s="12">
        <f>SUMIFS(BASE!$G:$G,BASE!$B:$B,$B43,BASE!$L:$L,$G43,BASE!$J:$J,$C43,BASE!$A:$A,T$2)</f>
        <v>0</v>
      </c>
      <c r="U43" s="12">
        <f>SUMIFS(BASE!$G:$G,BASE!$B:$B,$B43,BASE!$L:$L,$G43,BASE!$J:$J,$C43,BASE!$A:$A,U$2)</f>
        <v>0</v>
      </c>
      <c r="V43" s="12">
        <f>SUMIFS(BASE!$G:$G,BASE!$B:$B,$B43,BASE!$L:$L,$G43,BASE!$J:$J,$C43,BASE!$A:$A,V$2)</f>
        <v>0</v>
      </c>
      <c r="X43" t="str">
        <f t="shared" si="1"/>
        <v>ZERADO</v>
      </c>
    </row>
    <row r="44" spans="2:24">
      <c r="B44" s="8" t="s">
        <v>342</v>
      </c>
      <c r="C44" s="9" t="s">
        <v>196</v>
      </c>
      <c r="D44" s="9" t="s">
        <v>313</v>
      </c>
      <c r="E44" s="9" t="s">
        <v>252</v>
      </c>
      <c r="F44" s="9" t="s">
        <v>343</v>
      </c>
      <c r="G44" s="9" t="s">
        <v>61</v>
      </c>
      <c r="H44" s="7" t="str">
        <f>IFERROR(IF(_xlfn.XLOOKUP(B44,REPASSE!D:D,REPASSE!D:D)="","Não","Sim"),"Não")</f>
        <v>Não</v>
      </c>
      <c r="I44" s="7" t="str">
        <f>IF(_xlfn.XLOOKUP(B44,'BOOST LIBERADO'!B:B,'BOOST LIBERADO'!B:B,"Não")="Não","Não","Sim")</f>
        <v>Não</v>
      </c>
      <c r="J44" s="83" t="str">
        <f t="shared" si="0"/>
        <v>Não</v>
      </c>
      <c r="K44" s="12">
        <f>SUMIFS(BASE!$G:$G,BASE!$B:$B,$B44,BASE!$L:$L,$G44,BASE!$J:$J,$C44,BASE!$A:$A,K$2)</f>
        <v>0</v>
      </c>
      <c r="L44" s="12">
        <f>SUMIFS(BASE!$G:$G,BASE!$B:$B,$B44,BASE!$L:$L,$G44,BASE!$J:$J,$C44,BASE!$A:$A,L$2)</f>
        <v>0</v>
      </c>
      <c r="M44" s="12">
        <f>SUMIFS(BASE!$G:$G,BASE!$B:$B,$B44,BASE!$L:$L,$G44,BASE!$J:$J,$C44,BASE!$A:$A,M$2)</f>
        <v>0</v>
      </c>
      <c r="N44" s="12">
        <f>SUMIFS(BASE!$G:$G,BASE!$B:$B,$B44,BASE!$L:$L,$G44,BASE!$J:$J,$C44,BASE!$A:$A,N$2)</f>
        <v>0</v>
      </c>
      <c r="O44" s="12">
        <f>SUMIFS(BASE!$G:$G,BASE!$B:$B,$B44,BASE!$L:$L,$G44,BASE!$J:$J,$C44,BASE!$A:$A,O$2)</f>
        <v>0</v>
      </c>
      <c r="P44" s="12">
        <f>SUMIFS(BASE!$G:$G,BASE!$B:$B,$B44,BASE!$L:$L,$G44,BASE!$J:$J,$C44,BASE!$A:$A,P$2)</f>
        <v>0</v>
      </c>
      <c r="Q44" s="12">
        <f>SUMIFS(BASE!$G:$G,BASE!$B:$B,$B44,BASE!$L:$L,$G44,BASE!$J:$J,$C44,BASE!$A:$A,Q$2)</f>
        <v>0</v>
      </c>
      <c r="R44" s="12">
        <f>SUMIFS(BASE!$G:$G,BASE!$B:$B,$B44,BASE!$L:$L,$G44,BASE!$J:$J,$C44,BASE!$A:$A,R$2)</f>
        <v>0</v>
      </c>
      <c r="S44" s="12">
        <f>SUMIFS(BASE!$G:$G,BASE!$B:$B,$B44,BASE!$L:$L,$G44,BASE!$J:$J,$C44,BASE!$A:$A,S$2)</f>
        <v>0</v>
      </c>
      <c r="T44" s="12">
        <f>SUMIFS(BASE!$G:$G,BASE!$B:$B,$B44,BASE!$L:$L,$G44,BASE!$J:$J,$C44,BASE!$A:$A,T$2)</f>
        <v>0</v>
      </c>
      <c r="U44" s="12">
        <f>SUMIFS(BASE!$G:$G,BASE!$B:$B,$B44,BASE!$L:$L,$G44,BASE!$J:$J,$C44,BASE!$A:$A,U$2)</f>
        <v>0</v>
      </c>
      <c r="V44" s="12">
        <f>SUMIFS(BASE!$G:$G,BASE!$B:$B,$B44,BASE!$L:$L,$G44,BASE!$J:$J,$C44,BASE!$A:$A,V$2)</f>
        <v>0</v>
      </c>
      <c r="X44" t="str">
        <f t="shared" si="1"/>
        <v>ZERADO</v>
      </c>
    </row>
    <row r="45" spans="2:24">
      <c r="B45" s="8" t="s">
        <v>344</v>
      </c>
      <c r="C45" s="9" t="s">
        <v>104</v>
      </c>
      <c r="D45" s="9" t="s">
        <v>272</v>
      </c>
      <c r="E45" s="9" t="s">
        <v>256</v>
      </c>
      <c r="F45" s="9" t="s">
        <v>257</v>
      </c>
      <c r="G45" s="9" t="s">
        <v>61</v>
      </c>
      <c r="H45" s="7" t="str">
        <f>IFERROR(IF(_xlfn.XLOOKUP(B45,REPASSE!D:D,REPASSE!D:D)="","Não","Sim"),"Não")</f>
        <v>Não</v>
      </c>
      <c r="I45" s="7" t="str">
        <f>IF(_xlfn.XLOOKUP(B45,'BOOST LIBERADO'!B:B,'BOOST LIBERADO'!B:B,"Não")="Não","Não","Sim")</f>
        <v>Sim</v>
      </c>
      <c r="J45" s="83" t="str">
        <f t="shared" si="0"/>
        <v>Sim</v>
      </c>
      <c r="K45" s="12">
        <f>SUMIFS(BASE!$G:$G,BASE!$B:$B,$B45,BASE!$L:$L,$G45,BASE!$J:$J,$C45,BASE!$A:$A,K$2)</f>
        <v>0</v>
      </c>
      <c r="L45" s="12">
        <f>SUMIFS(BASE!$G:$G,BASE!$B:$B,$B45,BASE!$L:$L,$G45,BASE!$J:$J,$C45,BASE!$A:$A,L$2)</f>
        <v>0</v>
      </c>
      <c r="M45" s="12">
        <f>SUMIFS(BASE!$G:$G,BASE!$B:$B,$B45,BASE!$L:$L,$G45,BASE!$J:$J,$C45,BASE!$A:$A,M$2)</f>
        <v>0</v>
      </c>
      <c r="N45" s="12">
        <f>SUMIFS(BASE!$G:$G,BASE!$B:$B,$B45,BASE!$L:$L,$G45,BASE!$J:$J,$C45,BASE!$A:$A,N$2)</f>
        <v>0</v>
      </c>
      <c r="O45" s="12">
        <f>SUMIFS(BASE!$G:$G,BASE!$B:$B,$B45,BASE!$L:$L,$G45,BASE!$J:$J,$C45,BASE!$A:$A,O$2)</f>
        <v>0</v>
      </c>
      <c r="P45" s="12">
        <f>SUMIFS(BASE!$G:$G,BASE!$B:$B,$B45,BASE!$L:$L,$G45,BASE!$J:$J,$C45,BASE!$A:$A,P$2)</f>
        <v>0</v>
      </c>
      <c r="Q45" s="12">
        <f>SUMIFS(BASE!$G:$G,BASE!$B:$B,$B45,BASE!$L:$L,$G45,BASE!$J:$J,$C45,BASE!$A:$A,Q$2)</f>
        <v>0</v>
      </c>
      <c r="R45" s="12">
        <f>SUMIFS(BASE!$G:$G,BASE!$B:$B,$B45,BASE!$L:$L,$G45,BASE!$J:$J,$C45,BASE!$A:$A,R$2)</f>
        <v>0</v>
      </c>
      <c r="S45" s="12">
        <f>SUMIFS(BASE!$G:$G,BASE!$B:$B,$B45,BASE!$L:$L,$G45,BASE!$J:$J,$C45,BASE!$A:$A,S$2)</f>
        <v>0</v>
      </c>
      <c r="T45" s="12">
        <f>SUMIFS(BASE!$G:$G,BASE!$B:$B,$B45,BASE!$L:$L,$G45,BASE!$J:$J,$C45,BASE!$A:$A,T$2)</f>
        <v>0</v>
      </c>
      <c r="U45" s="12">
        <f>SUMIFS(BASE!$G:$G,BASE!$B:$B,$B45,BASE!$L:$L,$G45,BASE!$J:$J,$C45,BASE!$A:$A,U$2)</f>
        <v>0</v>
      </c>
      <c r="V45" s="12">
        <f>SUMIFS(BASE!$G:$G,BASE!$B:$B,$B45,BASE!$L:$L,$G45,BASE!$J:$J,$C45,BASE!$A:$A,V$2)</f>
        <v>0</v>
      </c>
      <c r="X45" t="str">
        <f t="shared" si="1"/>
        <v>ZERADO</v>
      </c>
    </row>
    <row r="46" spans="2:24">
      <c r="B46" s="8" t="s">
        <v>345</v>
      </c>
      <c r="C46" s="9" t="s">
        <v>91</v>
      </c>
      <c r="D46" s="9" t="s">
        <v>255</v>
      </c>
      <c r="E46" s="9" t="s">
        <v>256</v>
      </c>
      <c r="F46" s="9" t="s">
        <v>257</v>
      </c>
      <c r="G46" s="9" t="s">
        <v>61</v>
      </c>
      <c r="H46" s="7" t="str">
        <f>IFERROR(IF(_xlfn.XLOOKUP(B46,REPASSE!D:D,REPASSE!D:D)="","Não","Sim"),"Não")</f>
        <v>Não</v>
      </c>
      <c r="I46" s="7" t="str">
        <f>IF(_xlfn.XLOOKUP(B46,'BOOST LIBERADO'!B:B,'BOOST LIBERADO'!B:B,"Não")="Não","Não","Sim")</f>
        <v>Sim</v>
      </c>
      <c r="J46" s="83" t="str">
        <f t="shared" si="0"/>
        <v>Sim</v>
      </c>
      <c r="K46" s="12">
        <f>SUMIFS(BASE!$G:$G,BASE!$B:$B,$B46,BASE!$L:$L,$G46,BASE!$J:$J,$C46,BASE!$A:$A,K$2)</f>
        <v>0</v>
      </c>
      <c r="L46" s="12">
        <f>SUMIFS(BASE!$G:$G,BASE!$B:$B,$B46,BASE!$L:$L,$G46,BASE!$J:$J,$C46,BASE!$A:$A,L$2)</f>
        <v>0</v>
      </c>
      <c r="M46" s="12">
        <f>SUMIFS(BASE!$G:$G,BASE!$B:$B,$B46,BASE!$L:$L,$G46,BASE!$J:$J,$C46,BASE!$A:$A,M$2)</f>
        <v>0</v>
      </c>
      <c r="N46" s="12">
        <f>SUMIFS(BASE!$G:$G,BASE!$B:$B,$B46,BASE!$L:$L,$G46,BASE!$J:$J,$C46,BASE!$A:$A,N$2)</f>
        <v>0</v>
      </c>
      <c r="O46" s="12">
        <f>SUMIFS(BASE!$G:$G,BASE!$B:$B,$B46,BASE!$L:$L,$G46,BASE!$J:$J,$C46,BASE!$A:$A,O$2)</f>
        <v>0</v>
      </c>
      <c r="P46" s="12">
        <f>SUMIFS(BASE!$G:$G,BASE!$B:$B,$B46,BASE!$L:$L,$G46,BASE!$J:$J,$C46,BASE!$A:$A,P$2)</f>
        <v>0</v>
      </c>
      <c r="Q46" s="12">
        <f>SUMIFS(BASE!$G:$G,BASE!$B:$B,$B46,BASE!$L:$L,$G46,BASE!$J:$J,$C46,BASE!$A:$A,Q$2)</f>
        <v>0</v>
      </c>
      <c r="R46" s="12">
        <f>SUMIFS(BASE!$G:$G,BASE!$B:$B,$B46,BASE!$L:$L,$G46,BASE!$J:$J,$C46,BASE!$A:$A,R$2)</f>
        <v>0</v>
      </c>
      <c r="S46" s="12">
        <f>SUMIFS(BASE!$G:$G,BASE!$B:$B,$B46,BASE!$L:$L,$G46,BASE!$J:$J,$C46,BASE!$A:$A,S$2)</f>
        <v>0</v>
      </c>
      <c r="T46" s="12">
        <f>SUMIFS(BASE!$G:$G,BASE!$B:$B,$B46,BASE!$L:$L,$G46,BASE!$J:$J,$C46,BASE!$A:$A,T$2)</f>
        <v>0</v>
      </c>
      <c r="U46" s="12">
        <f>SUMIFS(BASE!$G:$G,BASE!$B:$B,$B46,BASE!$L:$L,$G46,BASE!$J:$J,$C46,BASE!$A:$A,U$2)</f>
        <v>0</v>
      </c>
      <c r="V46" s="12">
        <f>SUMIFS(BASE!$G:$G,BASE!$B:$B,$B46,BASE!$L:$L,$G46,BASE!$J:$J,$C46,BASE!$A:$A,V$2)</f>
        <v>0</v>
      </c>
      <c r="X46" t="str">
        <f t="shared" si="1"/>
        <v>ZERADO</v>
      </c>
    </row>
    <row r="47" spans="2:24">
      <c r="B47" s="8" t="s">
        <v>346</v>
      </c>
      <c r="C47" s="9" t="s">
        <v>196</v>
      </c>
      <c r="D47" s="9" t="s">
        <v>267</v>
      </c>
      <c r="E47" s="9" t="s">
        <v>268</v>
      </c>
      <c r="F47" s="9" t="s">
        <v>269</v>
      </c>
      <c r="G47" s="9" t="s">
        <v>61</v>
      </c>
      <c r="H47" s="7" t="str">
        <f>IFERROR(IF(_xlfn.XLOOKUP(B47,REPASSE!D:D,REPASSE!D:D)="","Não","Sim"),"Não")</f>
        <v>Não</v>
      </c>
      <c r="I47" s="7" t="str">
        <f>IF(_xlfn.XLOOKUP(B47,'BOOST LIBERADO'!B:B,'BOOST LIBERADO'!B:B,"Não")="Não","Não","Sim")</f>
        <v>Não</v>
      </c>
      <c r="J47" s="83" t="str">
        <f t="shared" si="0"/>
        <v>Não</v>
      </c>
      <c r="K47" s="12">
        <f>SUMIFS(BASE!$G:$G,BASE!$B:$B,$B47,BASE!$L:$L,$G47,BASE!$J:$J,$C47,BASE!$A:$A,K$2)</f>
        <v>0</v>
      </c>
      <c r="L47" s="12">
        <f>SUMIFS(BASE!$G:$G,BASE!$B:$B,$B47,BASE!$L:$L,$G47,BASE!$J:$J,$C47,BASE!$A:$A,L$2)</f>
        <v>0</v>
      </c>
      <c r="M47" s="12">
        <f>SUMIFS(BASE!$G:$G,BASE!$B:$B,$B47,BASE!$L:$L,$G47,BASE!$J:$J,$C47,BASE!$A:$A,M$2)</f>
        <v>0</v>
      </c>
      <c r="N47" s="12">
        <f>SUMIFS(BASE!$G:$G,BASE!$B:$B,$B47,BASE!$L:$L,$G47,BASE!$J:$J,$C47,BASE!$A:$A,N$2)</f>
        <v>0</v>
      </c>
      <c r="O47" s="12">
        <f>SUMIFS(BASE!$G:$G,BASE!$B:$B,$B47,BASE!$L:$L,$G47,BASE!$J:$J,$C47,BASE!$A:$A,O$2)</f>
        <v>0</v>
      </c>
      <c r="P47" s="12">
        <f>SUMIFS(BASE!$G:$G,BASE!$B:$B,$B47,BASE!$L:$L,$G47,BASE!$J:$J,$C47,BASE!$A:$A,P$2)</f>
        <v>0</v>
      </c>
      <c r="Q47" s="12">
        <f>SUMIFS(BASE!$G:$G,BASE!$B:$B,$B47,BASE!$L:$L,$G47,BASE!$J:$J,$C47,BASE!$A:$A,Q$2)</f>
        <v>0</v>
      </c>
      <c r="R47" s="12">
        <f>SUMIFS(BASE!$G:$G,BASE!$B:$B,$B47,BASE!$L:$L,$G47,BASE!$J:$J,$C47,BASE!$A:$A,R$2)</f>
        <v>0</v>
      </c>
      <c r="S47" s="12">
        <f>SUMIFS(BASE!$G:$G,BASE!$B:$B,$B47,BASE!$L:$L,$G47,BASE!$J:$J,$C47,BASE!$A:$A,S$2)</f>
        <v>0</v>
      </c>
      <c r="T47" s="12">
        <f>SUMIFS(BASE!$G:$G,BASE!$B:$B,$B47,BASE!$L:$L,$G47,BASE!$J:$J,$C47,BASE!$A:$A,T$2)</f>
        <v>0</v>
      </c>
      <c r="U47" s="12">
        <f>SUMIFS(BASE!$G:$G,BASE!$B:$B,$B47,BASE!$L:$L,$G47,BASE!$J:$J,$C47,BASE!$A:$A,U$2)</f>
        <v>0</v>
      </c>
      <c r="V47" s="12">
        <f>SUMIFS(BASE!$G:$G,BASE!$B:$B,$B47,BASE!$L:$L,$G47,BASE!$J:$J,$C47,BASE!$A:$A,V$2)</f>
        <v>0</v>
      </c>
      <c r="X47" t="str">
        <f t="shared" si="1"/>
        <v>ZERADO</v>
      </c>
    </row>
    <row r="48" spans="2:24">
      <c r="B48" s="8" t="s">
        <v>347</v>
      </c>
      <c r="C48" s="9" t="s">
        <v>131</v>
      </c>
      <c r="D48" s="9" t="s">
        <v>290</v>
      </c>
      <c r="E48" s="9" t="s">
        <v>252</v>
      </c>
      <c r="F48" s="9" t="s">
        <v>348</v>
      </c>
      <c r="G48" s="9" t="s">
        <v>61</v>
      </c>
      <c r="H48" s="7" t="str">
        <f>IFERROR(IF(_xlfn.XLOOKUP(B48,REPASSE!D:D,REPASSE!D:D)="","Não","Sim"),"Não")</f>
        <v>Não</v>
      </c>
      <c r="I48" s="7" t="str">
        <f>IF(_xlfn.XLOOKUP(B48,'BOOST LIBERADO'!B:B,'BOOST LIBERADO'!B:B,"Não")="Não","Não","Sim")</f>
        <v>Sim</v>
      </c>
      <c r="J48" s="83" t="str">
        <f t="shared" si="0"/>
        <v>Sim</v>
      </c>
      <c r="K48" s="12">
        <f>SUMIFS(BASE!$G:$G,BASE!$B:$B,$B48,BASE!$L:$L,$G48,BASE!$J:$J,$C48,BASE!$A:$A,K$2)</f>
        <v>0</v>
      </c>
      <c r="L48" s="12">
        <f>SUMIFS(BASE!$G:$G,BASE!$B:$B,$B48,BASE!$L:$L,$G48,BASE!$J:$J,$C48,BASE!$A:$A,L$2)</f>
        <v>0</v>
      </c>
      <c r="M48" s="12">
        <f>SUMIFS(BASE!$G:$G,BASE!$B:$B,$B48,BASE!$L:$L,$G48,BASE!$J:$J,$C48,BASE!$A:$A,M$2)</f>
        <v>0</v>
      </c>
      <c r="N48" s="12">
        <f>SUMIFS(BASE!$G:$G,BASE!$B:$B,$B48,BASE!$L:$L,$G48,BASE!$J:$J,$C48,BASE!$A:$A,N$2)</f>
        <v>0</v>
      </c>
      <c r="O48" s="12">
        <f>SUMIFS(BASE!$G:$G,BASE!$B:$B,$B48,BASE!$L:$L,$G48,BASE!$J:$J,$C48,BASE!$A:$A,O$2)</f>
        <v>0</v>
      </c>
      <c r="P48" s="12">
        <f>SUMIFS(BASE!$G:$G,BASE!$B:$B,$B48,BASE!$L:$L,$G48,BASE!$J:$J,$C48,BASE!$A:$A,P$2)</f>
        <v>0</v>
      </c>
      <c r="Q48" s="12">
        <f>SUMIFS(BASE!$G:$G,BASE!$B:$B,$B48,BASE!$L:$L,$G48,BASE!$J:$J,$C48,BASE!$A:$A,Q$2)</f>
        <v>0</v>
      </c>
      <c r="R48" s="12">
        <f>SUMIFS(BASE!$G:$G,BASE!$B:$B,$B48,BASE!$L:$L,$G48,BASE!$J:$J,$C48,BASE!$A:$A,R$2)</f>
        <v>0</v>
      </c>
      <c r="S48" s="12">
        <f>SUMIFS(BASE!$G:$G,BASE!$B:$B,$B48,BASE!$L:$L,$G48,BASE!$J:$J,$C48,BASE!$A:$A,S$2)</f>
        <v>0</v>
      </c>
      <c r="T48" s="12">
        <f>SUMIFS(BASE!$G:$G,BASE!$B:$B,$B48,BASE!$L:$L,$G48,BASE!$J:$J,$C48,BASE!$A:$A,T$2)</f>
        <v>0</v>
      </c>
      <c r="U48" s="12">
        <f>SUMIFS(BASE!$G:$G,BASE!$B:$B,$B48,BASE!$L:$L,$G48,BASE!$J:$J,$C48,BASE!$A:$A,U$2)</f>
        <v>0</v>
      </c>
      <c r="V48" s="12">
        <f>SUMIFS(BASE!$G:$G,BASE!$B:$B,$B48,BASE!$L:$L,$G48,BASE!$J:$J,$C48,BASE!$A:$A,V$2)</f>
        <v>0</v>
      </c>
      <c r="X48" t="str">
        <f t="shared" si="1"/>
        <v>ZERADO</v>
      </c>
    </row>
    <row r="49" spans="2:24">
      <c r="B49" s="8" t="s">
        <v>349</v>
      </c>
      <c r="C49" s="9" t="s">
        <v>209</v>
      </c>
      <c r="D49" s="9" t="s">
        <v>350</v>
      </c>
      <c r="E49" s="9" t="s">
        <v>268</v>
      </c>
      <c r="F49" s="9" t="s">
        <v>351</v>
      </c>
      <c r="G49" s="9" t="s">
        <v>61</v>
      </c>
      <c r="H49" s="7" t="str">
        <f>IFERROR(IF(_xlfn.XLOOKUP(B49,REPASSE!D:D,REPASSE!D:D)="","Não","Sim"),"Não")</f>
        <v>Não</v>
      </c>
      <c r="I49" s="7" t="str">
        <f>IF(_xlfn.XLOOKUP(B49,'BOOST LIBERADO'!B:B,'BOOST LIBERADO'!B:B,"Não")="Não","Não","Sim")</f>
        <v>Sim</v>
      </c>
      <c r="J49" s="83" t="str">
        <f t="shared" si="0"/>
        <v>Sim</v>
      </c>
      <c r="K49" s="12">
        <f>SUMIFS(BASE!$G:$G,BASE!$B:$B,$B49,BASE!$L:$L,$G49,BASE!$J:$J,$C49,BASE!$A:$A,K$2)</f>
        <v>0</v>
      </c>
      <c r="L49" s="12">
        <f>SUMIFS(BASE!$G:$G,BASE!$B:$B,$B49,BASE!$L:$L,$G49,BASE!$J:$J,$C49,BASE!$A:$A,L$2)</f>
        <v>0</v>
      </c>
      <c r="M49" s="12">
        <f>SUMIFS(BASE!$G:$G,BASE!$B:$B,$B49,BASE!$L:$L,$G49,BASE!$J:$J,$C49,BASE!$A:$A,M$2)</f>
        <v>0</v>
      </c>
      <c r="N49" s="12">
        <f>SUMIFS(BASE!$G:$G,BASE!$B:$B,$B49,BASE!$L:$L,$G49,BASE!$J:$J,$C49,BASE!$A:$A,N$2)</f>
        <v>0</v>
      </c>
      <c r="O49" s="12">
        <f>SUMIFS(BASE!$G:$G,BASE!$B:$B,$B49,BASE!$L:$L,$G49,BASE!$J:$J,$C49,BASE!$A:$A,O$2)</f>
        <v>0</v>
      </c>
      <c r="P49" s="12">
        <f>SUMIFS(BASE!$G:$G,BASE!$B:$B,$B49,BASE!$L:$L,$G49,BASE!$J:$J,$C49,BASE!$A:$A,P$2)</f>
        <v>0</v>
      </c>
      <c r="Q49" s="12">
        <f>SUMIFS(BASE!$G:$G,BASE!$B:$B,$B49,BASE!$L:$L,$G49,BASE!$J:$J,$C49,BASE!$A:$A,Q$2)</f>
        <v>0</v>
      </c>
      <c r="R49" s="12">
        <f>SUMIFS(BASE!$G:$G,BASE!$B:$B,$B49,BASE!$L:$L,$G49,BASE!$J:$J,$C49,BASE!$A:$A,R$2)</f>
        <v>0</v>
      </c>
      <c r="S49" s="12">
        <f>SUMIFS(BASE!$G:$G,BASE!$B:$B,$B49,BASE!$L:$L,$G49,BASE!$J:$J,$C49,BASE!$A:$A,S$2)</f>
        <v>0</v>
      </c>
      <c r="T49" s="12">
        <f>SUMIFS(BASE!$G:$G,BASE!$B:$B,$B49,BASE!$L:$L,$G49,BASE!$J:$J,$C49,BASE!$A:$A,T$2)</f>
        <v>0</v>
      </c>
      <c r="U49" s="12">
        <f>SUMIFS(BASE!$G:$G,BASE!$B:$B,$B49,BASE!$L:$L,$G49,BASE!$J:$J,$C49,BASE!$A:$A,U$2)</f>
        <v>0</v>
      </c>
      <c r="V49" s="12">
        <f>SUMIFS(BASE!$G:$G,BASE!$B:$B,$B49,BASE!$L:$L,$G49,BASE!$J:$J,$C49,BASE!$A:$A,V$2)</f>
        <v>0</v>
      </c>
      <c r="X49" t="str">
        <f t="shared" si="1"/>
        <v>ZERADO</v>
      </c>
    </row>
    <row r="50" spans="2:24">
      <c r="B50" s="8" t="s">
        <v>352</v>
      </c>
      <c r="C50" s="9" t="s">
        <v>238</v>
      </c>
      <c r="D50" s="9" t="s">
        <v>278</v>
      </c>
      <c r="E50" s="9" t="s">
        <v>260</v>
      </c>
      <c r="F50" s="9" t="s">
        <v>261</v>
      </c>
      <c r="G50" s="9" t="s">
        <v>61</v>
      </c>
      <c r="H50" s="7" t="str">
        <f>IFERROR(IF(_xlfn.XLOOKUP(B50,REPASSE!D:D,REPASSE!D:D)="","Não","Sim"),"Não")</f>
        <v>Não</v>
      </c>
      <c r="I50" s="7" t="str">
        <f>IF(_xlfn.XLOOKUP(B50,'BOOST LIBERADO'!B:B,'BOOST LIBERADO'!B:B,"Não")="Não","Não","Sim")</f>
        <v>Sim</v>
      </c>
      <c r="J50" s="83" t="str">
        <f t="shared" si="0"/>
        <v>Sim</v>
      </c>
      <c r="K50" s="12">
        <f>SUMIFS(BASE!$G:$G,BASE!$B:$B,$B50,BASE!$L:$L,$G50,BASE!$J:$J,$C50,BASE!$A:$A,K$2)</f>
        <v>2</v>
      </c>
      <c r="L50" s="12">
        <f>SUMIFS(BASE!$G:$G,BASE!$B:$B,$B50,BASE!$L:$L,$G50,BASE!$J:$J,$C50,BASE!$A:$A,L$2)</f>
        <v>3</v>
      </c>
      <c r="M50" s="12">
        <f>SUMIFS(BASE!$G:$G,BASE!$B:$B,$B50,BASE!$L:$L,$G50,BASE!$J:$J,$C50,BASE!$A:$A,M$2)</f>
        <v>7</v>
      </c>
      <c r="N50" s="12">
        <f>SUMIFS(BASE!$G:$G,BASE!$B:$B,$B50,BASE!$L:$L,$G50,BASE!$J:$J,$C50,BASE!$A:$A,N$2)</f>
        <v>12</v>
      </c>
      <c r="O50" s="12">
        <f>SUMIFS(BASE!$G:$G,BASE!$B:$B,$B50,BASE!$L:$L,$G50,BASE!$J:$J,$C50,BASE!$A:$A,O$2)</f>
        <v>10</v>
      </c>
      <c r="P50" s="12">
        <f>SUMIFS(BASE!$G:$G,BASE!$B:$B,$B50,BASE!$L:$L,$G50,BASE!$J:$J,$C50,BASE!$A:$A,P$2)</f>
        <v>8</v>
      </c>
      <c r="Q50" s="12">
        <f>SUMIFS(BASE!$G:$G,BASE!$B:$B,$B50,BASE!$L:$L,$G50,BASE!$J:$J,$C50,BASE!$A:$A,Q$2)</f>
        <v>21</v>
      </c>
      <c r="R50" s="12">
        <f>SUMIFS(BASE!$G:$G,BASE!$B:$B,$B50,BASE!$L:$L,$G50,BASE!$J:$J,$C50,BASE!$A:$A,R$2)</f>
        <v>30</v>
      </c>
      <c r="S50" s="12">
        <f>SUMIFS(BASE!$G:$G,BASE!$B:$B,$B50,BASE!$L:$L,$G50,BASE!$J:$J,$C50,BASE!$A:$A,S$2)</f>
        <v>0</v>
      </c>
      <c r="T50" s="12">
        <f>SUMIFS(BASE!$G:$G,BASE!$B:$B,$B50,BASE!$L:$L,$G50,BASE!$J:$J,$C50,BASE!$A:$A,T$2)</f>
        <v>0</v>
      </c>
      <c r="U50" s="12">
        <f>SUMIFS(BASE!$G:$G,BASE!$B:$B,$B50,BASE!$L:$L,$G50,BASE!$J:$J,$C50,BASE!$A:$A,U$2)</f>
        <v>0</v>
      </c>
      <c r="V50" s="12">
        <f>SUMIFS(BASE!$G:$G,BASE!$B:$B,$B50,BASE!$L:$L,$G50,BASE!$J:$J,$C50,BASE!$A:$A,V$2)</f>
        <v>0</v>
      </c>
      <c r="X50" t="str">
        <f t="shared" si="1"/>
        <v>COM TROCAS</v>
      </c>
    </row>
    <row r="51" spans="2:24">
      <c r="B51" s="8" t="s">
        <v>353</v>
      </c>
      <c r="C51" s="9" t="s">
        <v>196</v>
      </c>
      <c r="D51" s="9" t="s">
        <v>251</v>
      </c>
      <c r="E51" s="9" t="s">
        <v>252</v>
      </c>
      <c r="F51" s="9" t="s">
        <v>354</v>
      </c>
      <c r="G51" s="9" t="s">
        <v>61</v>
      </c>
      <c r="H51" s="7" t="str">
        <f>IFERROR(IF(_xlfn.XLOOKUP(B51,REPASSE!D:D,REPASSE!D:D)="","Não","Sim"),"Não")</f>
        <v>Não</v>
      </c>
      <c r="I51" s="7" t="str">
        <f>IF(_xlfn.XLOOKUP(B51,'BOOST LIBERADO'!B:B,'BOOST LIBERADO'!B:B,"Não")="Não","Não","Sim")</f>
        <v>Não</v>
      </c>
      <c r="J51" s="83" t="str">
        <f t="shared" si="0"/>
        <v>Não</v>
      </c>
      <c r="K51" s="12">
        <f>SUMIFS(BASE!$G:$G,BASE!$B:$B,$B51,BASE!$L:$L,$G51,BASE!$J:$J,$C51,BASE!$A:$A,K$2)</f>
        <v>0</v>
      </c>
      <c r="L51" s="12">
        <f>SUMIFS(BASE!$G:$G,BASE!$B:$B,$B51,BASE!$L:$L,$G51,BASE!$J:$J,$C51,BASE!$A:$A,L$2)</f>
        <v>0</v>
      </c>
      <c r="M51" s="12">
        <f>SUMIFS(BASE!$G:$G,BASE!$B:$B,$B51,BASE!$L:$L,$G51,BASE!$J:$J,$C51,BASE!$A:$A,M$2)</f>
        <v>0</v>
      </c>
      <c r="N51" s="12">
        <f>SUMIFS(BASE!$G:$G,BASE!$B:$B,$B51,BASE!$L:$L,$G51,BASE!$J:$J,$C51,BASE!$A:$A,N$2)</f>
        <v>0</v>
      </c>
      <c r="O51" s="12">
        <f>SUMIFS(BASE!$G:$G,BASE!$B:$B,$B51,BASE!$L:$L,$G51,BASE!$J:$J,$C51,BASE!$A:$A,O$2)</f>
        <v>0</v>
      </c>
      <c r="P51" s="12">
        <f>SUMIFS(BASE!$G:$G,BASE!$B:$B,$B51,BASE!$L:$L,$G51,BASE!$J:$J,$C51,BASE!$A:$A,P$2)</f>
        <v>0</v>
      </c>
      <c r="Q51" s="12">
        <f>SUMIFS(BASE!$G:$G,BASE!$B:$B,$B51,BASE!$L:$L,$G51,BASE!$J:$J,$C51,BASE!$A:$A,Q$2)</f>
        <v>0</v>
      </c>
      <c r="R51" s="12">
        <f>SUMIFS(BASE!$G:$G,BASE!$B:$B,$B51,BASE!$L:$L,$G51,BASE!$J:$J,$C51,BASE!$A:$A,R$2)</f>
        <v>0</v>
      </c>
      <c r="S51" s="12">
        <f>SUMIFS(BASE!$G:$G,BASE!$B:$B,$B51,BASE!$L:$L,$G51,BASE!$J:$J,$C51,BASE!$A:$A,S$2)</f>
        <v>0</v>
      </c>
      <c r="T51" s="12">
        <f>SUMIFS(BASE!$G:$G,BASE!$B:$B,$B51,BASE!$L:$L,$G51,BASE!$J:$J,$C51,BASE!$A:$A,T$2)</f>
        <v>0</v>
      </c>
      <c r="U51" s="12">
        <f>SUMIFS(BASE!$G:$G,BASE!$B:$B,$B51,BASE!$L:$L,$G51,BASE!$J:$J,$C51,BASE!$A:$A,U$2)</f>
        <v>0</v>
      </c>
      <c r="V51" s="12">
        <f>SUMIFS(BASE!$G:$G,BASE!$B:$B,$B51,BASE!$L:$L,$G51,BASE!$J:$J,$C51,BASE!$A:$A,V$2)</f>
        <v>0</v>
      </c>
      <c r="X51" t="str">
        <f t="shared" si="1"/>
        <v>ZERADO</v>
      </c>
    </row>
    <row r="52" spans="2:24">
      <c r="B52" s="8" t="s">
        <v>355</v>
      </c>
      <c r="C52" s="9" t="s">
        <v>131</v>
      </c>
      <c r="D52" s="9" t="s">
        <v>287</v>
      </c>
      <c r="E52" s="9" t="s">
        <v>252</v>
      </c>
      <c r="F52" s="9" t="s">
        <v>356</v>
      </c>
      <c r="G52" s="9" t="s">
        <v>61</v>
      </c>
      <c r="H52" s="7" t="str">
        <f>IFERROR(IF(_xlfn.XLOOKUP(B52,REPASSE!D:D,REPASSE!D:D)="","Não","Sim"),"Não")</f>
        <v>Não</v>
      </c>
      <c r="I52" s="7" t="str">
        <f>IF(_xlfn.XLOOKUP(B52,'BOOST LIBERADO'!B:B,'BOOST LIBERADO'!B:B,"Não")="Não","Não","Sim")</f>
        <v>Sim</v>
      </c>
      <c r="J52" s="83" t="str">
        <f t="shared" si="0"/>
        <v>Sim</v>
      </c>
      <c r="K52" s="12">
        <f>SUMIFS(BASE!$G:$G,BASE!$B:$B,$B52,BASE!$L:$L,$G52,BASE!$J:$J,$C52,BASE!$A:$A,K$2)</f>
        <v>0</v>
      </c>
      <c r="L52" s="12">
        <f>SUMIFS(BASE!$G:$G,BASE!$B:$B,$B52,BASE!$L:$L,$G52,BASE!$J:$J,$C52,BASE!$A:$A,L$2)</f>
        <v>0</v>
      </c>
      <c r="M52" s="12">
        <f>SUMIFS(BASE!$G:$G,BASE!$B:$B,$B52,BASE!$L:$L,$G52,BASE!$J:$J,$C52,BASE!$A:$A,M$2)</f>
        <v>0</v>
      </c>
      <c r="N52" s="12">
        <f>SUMIFS(BASE!$G:$G,BASE!$B:$B,$B52,BASE!$L:$L,$G52,BASE!$J:$J,$C52,BASE!$A:$A,N$2)</f>
        <v>0</v>
      </c>
      <c r="O52" s="12">
        <f>SUMIFS(BASE!$G:$G,BASE!$B:$B,$B52,BASE!$L:$L,$G52,BASE!$J:$J,$C52,BASE!$A:$A,O$2)</f>
        <v>0</v>
      </c>
      <c r="P52" s="12">
        <f>SUMIFS(BASE!$G:$G,BASE!$B:$B,$B52,BASE!$L:$L,$G52,BASE!$J:$J,$C52,BASE!$A:$A,P$2)</f>
        <v>0</v>
      </c>
      <c r="Q52" s="12">
        <f>SUMIFS(BASE!$G:$G,BASE!$B:$B,$B52,BASE!$L:$L,$G52,BASE!$J:$J,$C52,BASE!$A:$A,Q$2)</f>
        <v>0</v>
      </c>
      <c r="R52" s="12">
        <f>SUMIFS(BASE!$G:$G,BASE!$B:$B,$B52,BASE!$L:$L,$G52,BASE!$J:$J,$C52,BASE!$A:$A,R$2)</f>
        <v>0</v>
      </c>
      <c r="S52" s="12">
        <f>SUMIFS(BASE!$G:$G,BASE!$B:$B,$B52,BASE!$L:$L,$G52,BASE!$J:$J,$C52,BASE!$A:$A,S$2)</f>
        <v>0</v>
      </c>
      <c r="T52" s="12">
        <f>SUMIFS(BASE!$G:$G,BASE!$B:$B,$B52,BASE!$L:$L,$G52,BASE!$J:$J,$C52,BASE!$A:$A,T$2)</f>
        <v>0</v>
      </c>
      <c r="U52" s="12">
        <f>SUMIFS(BASE!$G:$G,BASE!$B:$B,$B52,BASE!$L:$L,$G52,BASE!$J:$J,$C52,BASE!$A:$A,U$2)</f>
        <v>0</v>
      </c>
      <c r="V52" s="12">
        <f>SUMIFS(BASE!$G:$G,BASE!$B:$B,$B52,BASE!$L:$L,$G52,BASE!$J:$J,$C52,BASE!$A:$A,V$2)</f>
        <v>0</v>
      </c>
      <c r="X52" t="str">
        <f t="shared" si="1"/>
        <v>ZERADO</v>
      </c>
    </row>
    <row r="53" spans="2:24">
      <c r="B53" s="8" t="s">
        <v>357</v>
      </c>
      <c r="C53" s="9" t="s">
        <v>230</v>
      </c>
      <c r="D53" s="9" t="s">
        <v>251</v>
      </c>
      <c r="E53" s="9" t="s">
        <v>252</v>
      </c>
      <c r="F53" s="9" t="s">
        <v>358</v>
      </c>
      <c r="G53" s="9" t="s">
        <v>61</v>
      </c>
      <c r="H53" s="7" t="str">
        <f>IFERROR(IF(_xlfn.XLOOKUP(B53,REPASSE!D:D,REPASSE!D:D)="","Não","Sim"),"Não")</f>
        <v>Não</v>
      </c>
      <c r="I53" s="7" t="str">
        <f>IF(_xlfn.XLOOKUP(B53,'BOOST LIBERADO'!B:B,'BOOST LIBERADO'!B:B,"Não")="Não","Não","Sim")</f>
        <v>Sim</v>
      </c>
      <c r="J53" s="83" t="str">
        <f t="shared" si="0"/>
        <v>Sim</v>
      </c>
      <c r="K53" s="12">
        <f>SUMIFS(BASE!$G:$G,BASE!$B:$B,$B53,BASE!$L:$L,$G53,BASE!$J:$J,$C53,BASE!$A:$A,K$2)</f>
        <v>1</v>
      </c>
      <c r="L53" s="12">
        <f>SUMIFS(BASE!$G:$G,BASE!$B:$B,$B53,BASE!$L:$L,$G53,BASE!$J:$J,$C53,BASE!$A:$A,L$2)</f>
        <v>0</v>
      </c>
      <c r="M53" s="12">
        <f>SUMIFS(BASE!$G:$G,BASE!$B:$B,$B53,BASE!$L:$L,$G53,BASE!$J:$J,$C53,BASE!$A:$A,M$2)</f>
        <v>0</v>
      </c>
      <c r="N53" s="12">
        <f>SUMIFS(BASE!$G:$G,BASE!$B:$B,$B53,BASE!$L:$L,$G53,BASE!$J:$J,$C53,BASE!$A:$A,N$2)</f>
        <v>2</v>
      </c>
      <c r="O53" s="12">
        <f>SUMIFS(BASE!$G:$G,BASE!$B:$B,$B53,BASE!$L:$L,$G53,BASE!$J:$J,$C53,BASE!$A:$A,O$2)</f>
        <v>1</v>
      </c>
      <c r="P53" s="12">
        <f>SUMIFS(BASE!$G:$G,BASE!$B:$B,$B53,BASE!$L:$L,$G53,BASE!$J:$J,$C53,BASE!$A:$A,P$2)</f>
        <v>0</v>
      </c>
      <c r="Q53" s="12">
        <f>SUMIFS(BASE!$G:$G,BASE!$B:$B,$B53,BASE!$L:$L,$G53,BASE!$J:$J,$C53,BASE!$A:$A,Q$2)</f>
        <v>6</v>
      </c>
      <c r="R53" s="12">
        <f>SUMIFS(BASE!$G:$G,BASE!$B:$B,$B53,BASE!$L:$L,$G53,BASE!$J:$J,$C53,BASE!$A:$A,R$2)</f>
        <v>0</v>
      </c>
      <c r="S53" s="12">
        <f>SUMIFS(BASE!$G:$G,BASE!$B:$B,$B53,BASE!$L:$L,$G53,BASE!$J:$J,$C53,BASE!$A:$A,S$2)</f>
        <v>0</v>
      </c>
      <c r="T53" s="12">
        <f>SUMIFS(BASE!$G:$G,BASE!$B:$B,$B53,BASE!$L:$L,$G53,BASE!$J:$J,$C53,BASE!$A:$A,T$2)</f>
        <v>0</v>
      </c>
      <c r="U53" s="12">
        <f>SUMIFS(BASE!$G:$G,BASE!$B:$B,$B53,BASE!$L:$L,$G53,BASE!$J:$J,$C53,BASE!$A:$A,U$2)</f>
        <v>0</v>
      </c>
      <c r="V53" s="12">
        <f>SUMIFS(BASE!$G:$G,BASE!$B:$B,$B53,BASE!$L:$L,$G53,BASE!$J:$J,$C53,BASE!$A:$A,V$2)</f>
        <v>0</v>
      </c>
      <c r="X53" t="str">
        <f t="shared" si="1"/>
        <v>ZERADO</v>
      </c>
    </row>
    <row r="54" spans="2:24">
      <c r="B54" s="8" t="s">
        <v>359</v>
      </c>
      <c r="C54" s="9" t="s">
        <v>227</v>
      </c>
      <c r="D54" s="9" t="s">
        <v>350</v>
      </c>
      <c r="E54" s="9" t="s">
        <v>268</v>
      </c>
      <c r="F54" s="9" t="s">
        <v>360</v>
      </c>
      <c r="G54" s="9" t="s">
        <v>61</v>
      </c>
      <c r="H54" s="7" t="str">
        <f>IFERROR(IF(_xlfn.XLOOKUP(B54,REPASSE!D:D,REPASSE!D:D)="","Não","Sim"),"Não")</f>
        <v>Não</v>
      </c>
      <c r="I54" s="7" t="str">
        <f>IF(_xlfn.XLOOKUP(B54,'BOOST LIBERADO'!B:B,'BOOST LIBERADO'!B:B,"Não")="Não","Não","Sim")</f>
        <v>Sim</v>
      </c>
      <c r="J54" s="83" t="str">
        <f t="shared" si="0"/>
        <v>Sim</v>
      </c>
      <c r="K54" s="12">
        <f>SUMIFS(BASE!$G:$G,BASE!$B:$B,$B54,BASE!$L:$L,$G54,BASE!$J:$J,$C54,BASE!$A:$A,K$2)</f>
        <v>0</v>
      </c>
      <c r="L54" s="12">
        <f>SUMIFS(BASE!$G:$G,BASE!$B:$B,$B54,BASE!$L:$L,$G54,BASE!$J:$J,$C54,BASE!$A:$A,L$2)</f>
        <v>0</v>
      </c>
      <c r="M54" s="12">
        <f>SUMIFS(BASE!$G:$G,BASE!$B:$B,$B54,BASE!$L:$L,$G54,BASE!$J:$J,$C54,BASE!$A:$A,M$2)</f>
        <v>0</v>
      </c>
      <c r="N54" s="12">
        <f>SUMIFS(BASE!$G:$G,BASE!$B:$B,$B54,BASE!$L:$L,$G54,BASE!$J:$J,$C54,BASE!$A:$A,N$2)</f>
        <v>0</v>
      </c>
      <c r="O54" s="12">
        <f>SUMIFS(BASE!$G:$G,BASE!$B:$B,$B54,BASE!$L:$L,$G54,BASE!$J:$J,$C54,BASE!$A:$A,O$2)</f>
        <v>0</v>
      </c>
      <c r="P54" s="12">
        <f>SUMIFS(BASE!$G:$G,BASE!$B:$B,$B54,BASE!$L:$L,$G54,BASE!$J:$J,$C54,BASE!$A:$A,P$2)</f>
        <v>0</v>
      </c>
      <c r="Q54" s="12">
        <f>SUMIFS(BASE!$G:$G,BASE!$B:$B,$B54,BASE!$L:$L,$G54,BASE!$J:$J,$C54,BASE!$A:$A,Q$2)</f>
        <v>0</v>
      </c>
      <c r="R54" s="12">
        <f>SUMIFS(BASE!$G:$G,BASE!$B:$B,$B54,BASE!$L:$L,$G54,BASE!$J:$J,$C54,BASE!$A:$A,R$2)</f>
        <v>0</v>
      </c>
      <c r="S54" s="12">
        <f>SUMIFS(BASE!$G:$G,BASE!$B:$B,$B54,BASE!$L:$L,$G54,BASE!$J:$J,$C54,BASE!$A:$A,S$2)</f>
        <v>0</v>
      </c>
      <c r="T54" s="12">
        <f>SUMIFS(BASE!$G:$G,BASE!$B:$B,$B54,BASE!$L:$L,$G54,BASE!$J:$J,$C54,BASE!$A:$A,T$2)</f>
        <v>0</v>
      </c>
      <c r="U54" s="12">
        <f>SUMIFS(BASE!$G:$G,BASE!$B:$B,$B54,BASE!$L:$L,$G54,BASE!$J:$J,$C54,BASE!$A:$A,U$2)</f>
        <v>0</v>
      </c>
      <c r="V54" s="12">
        <f>SUMIFS(BASE!$G:$G,BASE!$B:$B,$B54,BASE!$L:$L,$G54,BASE!$J:$J,$C54,BASE!$A:$A,V$2)</f>
        <v>0</v>
      </c>
      <c r="X54" t="str">
        <f t="shared" si="1"/>
        <v>ZERADO</v>
      </c>
    </row>
    <row r="55" spans="2:24">
      <c r="B55" s="8" t="s">
        <v>361</v>
      </c>
      <c r="C55" s="9" t="s">
        <v>226</v>
      </c>
      <c r="D55" s="9" t="s">
        <v>326</v>
      </c>
      <c r="E55" s="9" t="s">
        <v>268</v>
      </c>
      <c r="F55" s="9" t="s">
        <v>362</v>
      </c>
      <c r="G55" s="9" t="s">
        <v>61</v>
      </c>
      <c r="H55" s="7" t="str">
        <f>IFERROR(IF(_xlfn.XLOOKUP(B55,REPASSE!D:D,REPASSE!D:D)="","Não","Sim"),"Não")</f>
        <v>Não</v>
      </c>
      <c r="I55" s="7" t="str">
        <f>IF(_xlfn.XLOOKUP(B55,'BOOST LIBERADO'!B:B,'BOOST LIBERADO'!B:B,"Não")="Não","Não","Sim")</f>
        <v>Sim</v>
      </c>
      <c r="J55" s="83" t="str">
        <f t="shared" si="0"/>
        <v>Sim</v>
      </c>
      <c r="K55" s="12">
        <f>SUMIFS(BASE!$G:$G,BASE!$B:$B,$B55,BASE!$L:$L,$G55,BASE!$J:$J,$C55,BASE!$A:$A,K$2)</f>
        <v>0</v>
      </c>
      <c r="L55" s="12">
        <f>SUMIFS(BASE!$G:$G,BASE!$B:$B,$B55,BASE!$L:$L,$G55,BASE!$J:$J,$C55,BASE!$A:$A,L$2)</f>
        <v>0</v>
      </c>
      <c r="M55" s="12">
        <f>SUMIFS(BASE!$G:$G,BASE!$B:$B,$B55,BASE!$L:$L,$G55,BASE!$J:$J,$C55,BASE!$A:$A,M$2)</f>
        <v>0</v>
      </c>
      <c r="N55" s="12">
        <f>SUMIFS(BASE!$G:$G,BASE!$B:$B,$B55,BASE!$L:$L,$G55,BASE!$J:$J,$C55,BASE!$A:$A,N$2)</f>
        <v>0</v>
      </c>
      <c r="O55" s="12">
        <f>SUMIFS(BASE!$G:$G,BASE!$B:$B,$B55,BASE!$L:$L,$G55,BASE!$J:$J,$C55,BASE!$A:$A,O$2)</f>
        <v>0</v>
      </c>
      <c r="P55" s="12">
        <f>SUMIFS(BASE!$G:$G,BASE!$B:$B,$B55,BASE!$L:$L,$G55,BASE!$J:$J,$C55,BASE!$A:$A,P$2)</f>
        <v>0</v>
      </c>
      <c r="Q55" s="12">
        <f>SUMIFS(BASE!$G:$G,BASE!$B:$B,$B55,BASE!$L:$L,$G55,BASE!$J:$J,$C55,BASE!$A:$A,Q$2)</f>
        <v>0</v>
      </c>
      <c r="R55" s="12">
        <f>SUMIFS(BASE!$G:$G,BASE!$B:$B,$B55,BASE!$L:$L,$G55,BASE!$J:$J,$C55,BASE!$A:$A,R$2)</f>
        <v>0</v>
      </c>
      <c r="S55" s="12">
        <f>SUMIFS(BASE!$G:$G,BASE!$B:$B,$B55,BASE!$L:$L,$G55,BASE!$J:$J,$C55,BASE!$A:$A,S$2)</f>
        <v>0</v>
      </c>
      <c r="T55" s="12">
        <f>SUMIFS(BASE!$G:$G,BASE!$B:$B,$B55,BASE!$L:$L,$G55,BASE!$J:$J,$C55,BASE!$A:$A,T$2)</f>
        <v>0</v>
      </c>
      <c r="U55" s="12">
        <f>SUMIFS(BASE!$G:$G,BASE!$B:$B,$B55,BASE!$L:$L,$G55,BASE!$J:$J,$C55,BASE!$A:$A,U$2)</f>
        <v>0</v>
      </c>
      <c r="V55" s="12">
        <f>SUMIFS(BASE!$G:$G,BASE!$B:$B,$B55,BASE!$L:$L,$G55,BASE!$J:$J,$C55,BASE!$A:$A,V$2)</f>
        <v>0</v>
      </c>
      <c r="X55" t="str">
        <f t="shared" si="1"/>
        <v>ZERADO</v>
      </c>
    </row>
    <row r="56" spans="2:24">
      <c r="B56" s="8" t="s">
        <v>363</v>
      </c>
      <c r="C56" s="9" t="s">
        <v>141</v>
      </c>
      <c r="D56" s="9" t="s">
        <v>334</v>
      </c>
      <c r="E56" s="9" t="s">
        <v>252</v>
      </c>
      <c r="F56" s="9" t="s">
        <v>335</v>
      </c>
      <c r="G56" s="9" t="s">
        <v>61</v>
      </c>
      <c r="H56" s="7" t="str">
        <f>IFERROR(IF(_xlfn.XLOOKUP(B56,REPASSE!D:D,REPASSE!D:D)="","Não","Sim"),"Não")</f>
        <v>Não</v>
      </c>
      <c r="I56" s="7" t="str">
        <f>IF(_xlfn.XLOOKUP(B56,'BOOST LIBERADO'!B:B,'BOOST LIBERADO'!B:B,"Não")="Não","Não","Sim")</f>
        <v>Sim</v>
      </c>
      <c r="J56" s="83" t="str">
        <f t="shared" si="0"/>
        <v>Sim</v>
      </c>
      <c r="K56" s="12">
        <f>SUMIFS(BASE!$G:$G,BASE!$B:$B,$B56,BASE!$L:$L,$G56,BASE!$J:$J,$C56,BASE!$A:$A,K$2)</f>
        <v>0</v>
      </c>
      <c r="L56" s="12">
        <f>SUMIFS(BASE!$G:$G,BASE!$B:$B,$B56,BASE!$L:$L,$G56,BASE!$J:$J,$C56,BASE!$A:$A,L$2)</f>
        <v>0</v>
      </c>
      <c r="M56" s="12">
        <f>SUMIFS(BASE!$G:$G,BASE!$B:$B,$B56,BASE!$L:$L,$G56,BASE!$J:$J,$C56,BASE!$A:$A,M$2)</f>
        <v>0</v>
      </c>
      <c r="N56" s="12">
        <f>SUMIFS(BASE!$G:$G,BASE!$B:$B,$B56,BASE!$L:$L,$G56,BASE!$J:$J,$C56,BASE!$A:$A,N$2)</f>
        <v>0</v>
      </c>
      <c r="O56" s="12">
        <f>SUMIFS(BASE!$G:$G,BASE!$B:$B,$B56,BASE!$L:$L,$G56,BASE!$J:$J,$C56,BASE!$A:$A,O$2)</f>
        <v>0</v>
      </c>
      <c r="P56" s="12">
        <f>SUMIFS(BASE!$G:$G,BASE!$B:$B,$B56,BASE!$L:$L,$G56,BASE!$J:$J,$C56,BASE!$A:$A,P$2)</f>
        <v>0</v>
      </c>
      <c r="Q56" s="12">
        <f>SUMIFS(BASE!$G:$G,BASE!$B:$B,$B56,BASE!$L:$L,$G56,BASE!$J:$J,$C56,BASE!$A:$A,Q$2)</f>
        <v>0</v>
      </c>
      <c r="R56" s="12">
        <f>SUMIFS(BASE!$G:$G,BASE!$B:$B,$B56,BASE!$L:$L,$G56,BASE!$J:$J,$C56,BASE!$A:$A,R$2)</f>
        <v>0</v>
      </c>
      <c r="S56" s="12">
        <f>SUMIFS(BASE!$G:$G,BASE!$B:$B,$B56,BASE!$L:$L,$G56,BASE!$J:$J,$C56,BASE!$A:$A,S$2)</f>
        <v>0</v>
      </c>
      <c r="T56" s="12">
        <f>SUMIFS(BASE!$G:$G,BASE!$B:$B,$B56,BASE!$L:$L,$G56,BASE!$J:$J,$C56,BASE!$A:$A,T$2)</f>
        <v>0</v>
      </c>
      <c r="U56" s="12">
        <f>SUMIFS(BASE!$G:$G,BASE!$B:$B,$B56,BASE!$L:$L,$G56,BASE!$J:$J,$C56,BASE!$A:$A,U$2)</f>
        <v>0</v>
      </c>
      <c r="V56" s="12">
        <f>SUMIFS(BASE!$G:$G,BASE!$B:$B,$B56,BASE!$L:$L,$G56,BASE!$J:$J,$C56,BASE!$A:$A,V$2)</f>
        <v>0</v>
      </c>
      <c r="X56" t="str">
        <f t="shared" si="1"/>
        <v>ZERADO</v>
      </c>
    </row>
    <row r="57" spans="2:24">
      <c r="B57" s="8" t="s">
        <v>364</v>
      </c>
      <c r="C57" s="9" t="s">
        <v>196</v>
      </c>
      <c r="D57" s="9" t="s">
        <v>287</v>
      </c>
      <c r="E57" s="9" t="s">
        <v>252</v>
      </c>
      <c r="F57" s="9" t="s">
        <v>288</v>
      </c>
      <c r="G57" s="9" t="s">
        <v>61</v>
      </c>
      <c r="H57" s="7" t="str">
        <f>IFERROR(IF(_xlfn.XLOOKUP(B57,REPASSE!D:D,REPASSE!D:D)="","Não","Sim"),"Não")</f>
        <v>Não</v>
      </c>
      <c r="I57" s="7" t="str">
        <f>IF(_xlfn.XLOOKUP(B57,'BOOST LIBERADO'!B:B,'BOOST LIBERADO'!B:B,"Não")="Não","Não","Sim")</f>
        <v>Não</v>
      </c>
      <c r="J57" s="83" t="str">
        <f t="shared" si="0"/>
        <v>Não</v>
      </c>
      <c r="K57" s="12">
        <f>SUMIFS(BASE!$G:$G,BASE!$B:$B,$B57,BASE!$L:$L,$G57,BASE!$J:$J,$C57,BASE!$A:$A,K$2)</f>
        <v>0</v>
      </c>
      <c r="L57" s="12">
        <f>SUMIFS(BASE!$G:$G,BASE!$B:$B,$B57,BASE!$L:$L,$G57,BASE!$J:$J,$C57,BASE!$A:$A,L$2)</f>
        <v>0</v>
      </c>
      <c r="M57" s="12">
        <f>SUMIFS(BASE!$G:$G,BASE!$B:$B,$B57,BASE!$L:$L,$G57,BASE!$J:$J,$C57,BASE!$A:$A,M$2)</f>
        <v>0</v>
      </c>
      <c r="N57" s="12">
        <f>SUMIFS(BASE!$G:$G,BASE!$B:$B,$B57,BASE!$L:$L,$G57,BASE!$J:$J,$C57,BASE!$A:$A,N$2)</f>
        <v>0</v>
      </c>
      <c r="O57" s="12">
        <f>SUMIFS(BASE!$G:$G,BASE!$B:$B,$B57,BASE!$L:$L,$G57,BASE!$J:$J,$C57,BASE!$A:$A,O$2)</f>
        <v>0</v>
      </c>
      <c r="P57" s="12">
        <f>SUMIFS(BASE!$G:$G,BASE!$B:$B,$B57,BASE!$L:$L,$G57,BASE!$J:$J,$C57,BASE!$A:$A,P$2)</f>
        <v>0</v>
      </c>
      <c r="Q57" s="12">
        <f>SUMIFS(BASE!$G:$G,BASE!$B:$B,$B57,BASE!$L:$L,$G57,BASE!$J:$J,$C57,BASE!$A:$A,Q$2)</f>
        <v>0</v>
      </c>
      <c r="R57" s="12">
        <f>SUMIFS(BASE!$G:$G,BASE!$B:$B,$B57,BASE!$L:$L,$G57,BASE!$J:$J,$C57,BASE!$A:$A,R$2)</f>
        <v>0</v>
      </c>
      <c r="S57" s="12">
        <f>SUMIFS(BASE!$G:$G,BASE!$B:$B,$B57,BASE!$L:$L,$G57,BASE!$J:$J,$C57,BASE!$A:$A,S$2)</f>
        <v>0</v>
      </c>
      <c r="T57" s="12">
        <f>SUMIFS(BASE!$G:$G,BASE!$B:$B,$B57,BASE!$L:$L,$G57,BASE!$J:$J,$C57,BASE!$A:$A,T$2)</f>
        <v>0</v>
      </c>
      <c r="U57" s="12">
        <f>SUMIFS(BASE!$G:$G,BASE!$B:$B,$B57,BASE!$L:$L,$G57,BASE!$J:$J,$C57,BASE!$A:$A,U$2)</f>
        <v>0</v>
      </c>
      <c r="V57" s="12">
        <f>SUMIFS(BASE!$G:$G,BASE!$B:$B,$B57,BASE!$L:$L,$G57,BASE!$J:$J,$C57,BASE!$A:$A,V$2)</f>
        <v>0</v>
      </c>
      <c r="X57" t="str">
        <f t="shared" si="1"/>
        <v>ZERADO</v>
      </c>
    </row>
    <row r="58" spans="2:24">
      <c r="B58" s="8" t="s">
        <v>365</v>
      </c>
      <c r="C58" s="9" t="s">
        <v>230</v>
      </c>
      <c r="D58" s="9" t="s">
        <v>259</v>
      </c>
      <c r="E58" s="9" t="s">
        <v>260</v>
      </c>
      <c r="F58" s="9" t="s">
        <v>261</v>
      </c>
      <c r="G58" s="9" t="s">
        <v>61</v>
      </c>
      <c r="H58" s="7" t="str">
        <f>IFERROR(IF(_xlfn.XLOOKUP(B58,REPASSE!D:D,REPASSE!D:D)="","Não","Sim"),"Não")</f>
        <v>Não</v>
      </c>
      <c r="I58" s="7" t="str">
        <f>IF(_xlfn.XLOOKUP(B58,'BOOST LIBERADO'!B:B,'BOOST LIBERADO'!B:B,"Não")="Não","Não","Sim")</f>
        <v>Sim</v>
      </c>
      <c r="J58" s="83" t="str">
        <f t="shared" si="0"/>
        <v>Sim</v>
      </c>
      <c r="K58" s="12">
        <f>SUMIFS(BASE!$G:$G,BASE!$B:$B,$B58,BASE!$L:$L,$G58,BASE!$J:$J,$C58,BASE!$A:$A,K$2)</f>
        <v>0</v>
      </c>
      <c r="L58" s="12">
        <f>SUMIFS(BASE!$G:$G,BASE!$B:$B,$B58,BASE!$L:$L,$G58,BASE!$J:$J,$C58,BASE!$A:$A,L$2)</f>
        <v>1</v>
      </c>
      <c r="M58" s="12">
        <f>SUMIFS(BASE!$G:$G,BASE!$B:$B,$B58,BASE!$L:$L,$G58,BASE!$J:$J,$C58,BASE!$A:$A,M$2)</f>
        <v>1</v>
      </c>
      <c r="N58" s="12">
        <f>SUMIFS(BASE!$G:$G,BASE!$B:$B,$B58,BASE!$L:$L,$G58,BASE!$J:$J,$C58,BASE!$A:$A,N$2)</f>
        <v>1</v>
      </c>
      <c r="O58" s="12">
        <f>SUMIFS(BASE!$G:$G,BASE!$B:$B,$B58,BASE!$L:$L,$G58,BASE!$J:$J,$C58,BASE!$A:$A,O$2)</f>
        <v>1</v>
      </c>
      <c r="P58" s="12">
        <f>SUMIFS(BASE!$G:$G,BASE!$B:$B,$B58,BASE!$L:$L,$G58,BASE!$J:$J,$C58,BASE!$A:$A,P$2)</f>
        <v>3</v>
      </c>
      <c r="Q58" s="12">
        <f>SUMIFS(BASE!$G:$G,BASE!$B:$B,$B58,BASE!$L:$L,$G58,BASE!$J:$J,$C58,BASE!$A:$A,Q$2)</f>
        <v>3</v>
      </c>
      <c r="R58" s="12">
        <f>SUMIFS(BASE!$G:$G,BASE!$B:$B,$B58,BASE!$L:$L,$G58,BASE!$J:$J,$C58,BASE!$A:$A,R$2)</f>
        <v>11</v>
      </c>
      <c r="S58" s="12">
        <f>SUMIFS(BASE!$G:$G,BASE!$B:$B,$B58,BASE!$L:$L,$G58,BASE!$J:$J,$C58,BASE!$A:$A,S$2)</f>
        <v>0</v>
      </c>
      <c r="T58" s="12">
        <f>SUMIFS(BASE!$G:$G,BASE!$B:$B,$B58,BASE!$L:$L,$G58,BASE!$J:$J,$C58,BASE!$A:$A,T$2)</f>
        <v>0</v>
      </c>
      <c r="U58" s="12">
        <f>SUMIFS(BASE!$G:$G,BASE!$B:$B,$B58,BASE!$L:$L,$G58,BASE!$J:$J,$C58,BASE!$A:$A,U$2)</f>
        <v>0</v>
      </c>
      <c r="V58" s="12">
        <f>SUMIFS(BASE!$G:$G,BASE!$B:$B,$B58,BASE!$L:$L,$G58,BASE!$J:$J,$C58,BASE!$A:$A,V$2)</f>
        <v>0</v>
      </c>
      <c r="X58" t="str">
        <f t="shared" si="1"/>
        <v>COM TROCAS</v>
      </c>
    </row>
    <row r="59" spans="2:24">
      <c r="B59" s="8" t="s">
        <v>366</v>
      </c>
      <c r="C59" s="9" t="s">
        <v>171</v>
      </c>
      <c r="D59" s="9" t="s">
        <v>367</v>
      </c>
      <c r="E59" s="9" t="s">
        <v>256</v>
      </c>
      <c r="F59" s="9" t="s">
        <v>368</v>
      </c>
      <c r="G59" s="9" t="s">
        <v>61</v>
      </c>
      <c r="H59" s="7" t="str">
        <f>IFERROR(IF(_xlfn.XLOOKUP(B59,REPASSE!D:D,REPASSE!D:D)="","Não","Sim"),"Não")</f>
        <v>Não</v>
      </c>
      <c r="I59" s="7" t="str">
        <f>IF(_xlfn.XLOOKUP(B59,'BOOST LIBERADO'!B:B,'BOOST LIBERADO'!B:B,"Não")="Não","Não","Sim")</f>
        <v>Não</v>
      </c>
      <c r="J59" s="83" t="str">
        <f t="shared" si="0"/>
        <v>Não</v>
      </c>
      <c r="K59" s="12">
        <f>SUMIFS(BASE!$G:$G,BASE!$B:$B,$B59,BASE!$L:$L,$G59,BASE!$J:$J,$C59,BASE!$A:$A,K$2)</f>
        <v>0</v>
      </c>
      <c r="L59" s="12">
        <f>SUMIFS(BASE!$G:$G,BASE!$B:$B,$B59,BASE!$L:$L,$G59,BASE!$J:$J,$C59,BASE!$A:$A,L$2)</f>
        <v>0</v>
      </c>
      <c r="M59" s="12">
        <f>SUMIFS(BASE!$G:$G,BASE!$B:$B,$B59,BASE!$L:$L,$G59,BASE!$J:$J,$C59,BASE!$A:$A,M$2)</f>
        <v>0</v>
      </c>
      <c r="N59" s="12">
        <f>SUMIFS(BASE!$G:$G,BASE!$B:$B,$B59,BASE!$L:$L,$G59,BASE!$J:$J,$C59,BASE!$A:$A,N$2)</f>
        <v>0</v>
      </c>
      <c r="O59" s="12">
        <f>SUMIFS(BASE!$G:$G,BASE!$B:$B,$B59,BASE!$L:$L,$G59,BASE!$J:$J,$C59,BASE!$A:$A,O$2)</f>
        <v>0</v>
      </c>
      <c r="P59" s="12">
        <f>SUMIFS(BASE!$G:$G,BASE!$B:$B,$B59,BASE!$L:$L,$G59,BASE!$J:$J,$C59,BASE!$A:$A,P$2)</f>
        <v>0</v>
      </c>
      <c r="Q59" s="12">
        <f>SUMIFS(BASE!$G:$G,BASE!$B:$B,$B59,BASE!$L:$L,$G59,BASE!$J:$J,$C59,BASE!$A:$A,Q$2)</f>
        <v>0</v>
      </c>
      <c r="R59" s="12">
        <f>SUMIFS(BASE!$G:$G,BASE!$B:$B,$B59,BASE!$L:$L,$G59,BASE!$J:$J,$C59,BASE!$A:$A,R$2)</f>
        <v>0</v>
      </c>
      <c r="S59" s="12">
        <f>SUMIFS(BASE!$G:$G,BASE!$B:$B,$B59,BASE!$L:$L,$G59,BASE!$J:$J,$C59,BASE!$A:$A,S$2)</f>
        <v>0</v>
      </c>
      <c r="T59" s="12">
        <f>SUMIFS(BASE!$G:$G,BASE!$B:$B,$B59,BASE!$L:$L,$G59,BASE!$J:$J,$C59,BASE!$A:$A,T$2)</f>
        <v>0</v>
      </c>
      <c r="U59" s="12">
        <f>SUMIFS(BASE!$G:$G,BASE!$B:$B,$B59,BASE!$L:$L,$G59,BASE!$J:$J,$C59,BASE!$A:$A,U$2)</f>
        <v>0</v>
      </c>
      <c r="V59" s="12">
        <f>SUMIFS(BASE!$G:$G,BASE!$B:$B,$B59,BASE!$L:$L,$G59,BASE!$J:$J,$C59,BASE!$A:$A,V$2)</f>
        <v>0</v>
      </c>
      <c r="X59" t="str">
        <f t="shared" si="1"/>
        <v>ZERADO</v>
      </c>
    </row>
    <row r="60" spans="2:24">
      <c r="B60" s="8" t="s">
        <v>369</v>
      </c>
      <c r="C60" s="9" t="s">
        <v>230</v>
      </c>
      <c r="D60" s="9" t="s">
        <v>307</v>
      </c>
      <c r="E60" s="9" t="s">
        <v>264</v>
      </c>
      <c r="F60" s="9" t="s">
        <v>370</v>
      </c>
      <c r="G60" s="9" t="s">
        <v>61</v>
      </c>
      <c r="H60" s="7" t="str">
        <f>IFERROR(IF(_xlfn.XLOOKUP(B60,REPASSE!D:D,REPASSE!D:D)="","Não","Sim"),"Não")</f>
        <v>Não</v>
      </c>
      <c r="I60" s="7" t="str">
        <f>IF(_xlfn.XLOOKUP(B60,'BOOST LIBERADO'!B:B,'BOOST LIBERADO'!B:B,"Não")="Não","Não","Sim")</f>
        <v>Sim</v>
      </c>
      <c r="J60" s="83" t="str">
        <f t="shared" si="0"/>
        <v>Sim</v>
      </c>
      <c r="K60" s="12">
        <f>SUMIFS(BASE!$G:$G,BASE!$B:$B,$B60,BASE!$L:$L,$G60,BASE!$J:$J,$C60,BASE!$A:$A,K$2)</f>
        <v>3</v>
      </c>
      <c r="L60" s="12">
        <f>SUMIFS(BASE!$G:$G,BASE!$B:$B,$B60,BASE!$L:$L,$G60,BASE!$J:$J,$C60,BASE!$A:$A,L$2)</f>
        <v>7</v>
      </c>
      <c r="M60" s="12">
        <f>SUMIFS(BASE!$G:$G,BASE!$B:$B,$B60,BASE!$L:$L,$G60,BASE!$J:$J,$C60,BASE!$A:$A,M$2)</f>
        <v>6</v>
      </c>
      <c r="N60" s="12">
        <f>SUMIFS(BASE!$G:$G,BASE!$B:$B,$B60,BASE!$L:$L,$G60,BASE!$J:$J,$C60,BASE!$A:$A,N$2)</f>
        <v>8</v>
      </c>
      <c r="O60" s="12">
        <f>SUMIFS(BASE!$G:$G,BASE!$B:$B,$B60,BASE!$L:$L,$G60,BASE!$J:$J,$C60,BASE!$A:$A,O$2)</f>
        <v>7</v>
      </c>
      <c r="P60" s="12">
        <f>SUMIFS(BASE!$G:$G,BASE!$B:$B,$B60,BASE!$L:$L,$G60,BASE!$J:$J,$C60,BASE!$A:$A,P$2)</f>
        <v>5</v>
      </c>
      <c r="Q60" s="12">
        <f>SUMIFS(BASE!$G:$G,BASE!$B:$B,$B60,BASE!$L:$L,$G60,BASE!$J:$J,$C60,BASE!$A:$A,Q$2)</f>
        <v>10</v>
      </c>
      <c r="R60" s="12">
        <f>SUMIFS(BASE!$G:$G,BASE!$B:$B,$B60,BASE!$L:$L,$G60,BASE!$J:$J,$C60,BASE!$A:$A,R$2)</f>
        <v>15</v>
      </c>
      <c r="S60" s="12">
        <f>SUMIFS(BASE!$G:$G,BASE!$B:$B,$B60,BASE!$L:$L,$G60,BASE!$J:$J,$C60,BASE!$A:$A,S$2)</f>
        <v>0</v>
      </c>
      <c r="T60" s="12">
        <f>SUMIFS(BASE!$G:$G,BASE!$B:$B,$B60,BASE!$L:$L,$G60,BASE!$J:$J,$C60,BASE!$A:$A,T$2)</f>
        <v>0</v>
      </c>
      <c r="U60" s="12">
        <f>SUMIFS(BASE!$G:$G,BASE!$B:$B,$B60,BASE!$L:$L,$G60,BASE!$J:$J,$C60,BASE!$A:$A,U$2)</f>
        <v>0</v>
      </c>
      <c r="V60" s="12">
        <f>SUMIFS(BASE!$G:$G,BASE!$B:$B,$B60,BASE!$L:$L,$G60,BASE!$J:$J,$C60,BASE!$A:$A,V$2)</f>
        <v>0</v>
      </c>
      <c r="X60" t="str">
        <f t="shared" si="1"/>
        <v>COM TROCAS</v>
      </c>
    </row>
    <row r="61" spans="2:24">
      <c r="B61" s="8" t="s">
        <v>371</v>
      </c>
      <c r="C61" s="9" t="s">
        <v>230</v>
      </c>
      <c r="D61" s="9" t="s">
        <v>290</v>
      </c>
      <c r="E61" s="9" t="s">
        <v>252</v>
      </c>
      <c r="F61" s="9" t="s">
        <v>291</v>
      </c>
      <c r="G61" s="9" t="s">
        <v>61</v>
      </c>
      <c r="H61" s="7" t="str">
        <f>IFERROR(IF(_xlfn.XLOOKUP(B61,REPASSE!D:D,REPASSE!D:D)="","Não","Sim"),"Não")</f>
        <v>Não</v>
      </c>
      <c r="I61" s="7" t="str">
        <f>IF(_xlfn.XLOOKUP(B61,'BOOST LIBERADO'!B:B,'BOOST LIBERADO'!B:B,"Não")="Não","Não","Sim")</f>
        <v>Sim</v>
      </c>
      <c r="J61" s="83" t="str">
        <f t="shared" si="0"/>
        <v>Sim</v>
      </c>
      <c r="K61" s="12">
        <f>SUMIFS(BASE!$G:$G,BASE!$B:$B,$B61,BASE!$L:$L,$G61,BASE!$J:$J,$C61,BASE!$A:$A,K$2)</f>
        <v>10</v>
      </c>
      <c r="L61" s="12">
        <f>SUMIFS(BASE!$G:$G,BASE!$B:$B,$B61,BASE!$L:$L,$G61,BASE!$J:$J,$C61,BASE!$A:$A,L$2)</f>
        <v>7</v>
      </c>
      <c r="M61" s="12">
        <f>SUMIFS(BASE!$G:$G,BASE!$B:$B,$B61,BASE!$L:$L,$G61,BASE!$J:$J,$C61,BASE!$A:$A,M$2)</f>
        <v>9</v>
      </c>
      <c r="N61" s="12">
        <f>SUMIFS(BASE!$G:$G,BASE!$B:$B,$B61,BASE!$L:$L,$G61,BASE!$J:$J,$C61,BASE!$A:$A,N$2)</f>
        <v>7</v>
      </c>
      <c r="O61" s="12">
        <f>SUMIFS(BASE!$G:$G,BASE!$B:$B,$B61,BASE!$L:$L,$G61,BASE!$J:$J,$C61,BASE!$A:$A,O$2)</f>
        <v>16</v>
      </c>
      <c r="P61" s="12">
        <f>SUMIFS(BASE!$G:$G,BASE!$B:$B,$B61,BASE!$L:$L,$G61,BASE!$J:$J,$C61,BASE!$A:$A,P$2)</f>
        <v>11</v>
      </c>
      <c r="Q61" s="12">
        <f>SUMIFS(BASE!$G:$G,BASE!$B:$B,$B61,BASE!$L:$L,$G61,BASE!$J:$J,$C61,BASE!$A:$A,Q$2)</f>
        <v>22</v>
      </c>
      <c r="R61" s="12">
        <f>SUMIFS(BASE!$G:$G,BASE!$B:$B,$B61,BASE!$L:$L,$G61,BASE!$J:$J,$C61,BASE!$A:$A,R$2)</f>
        <v>12</v>
      </c>
      <c r="S61" s="12">
        <f>SUMIFS(BASE!$G:$G,BASE!$B:$B,$B61,BASE!$L:$L,$G61,BASE!$J:$J,$C61,BASE!$A:$A,S$2)</f>
        <v>0</v>
      </c>
      <c r="T61" s="12">
        <f>SUMIFS(BASE!$G:$G,BASE!$B:$B,$B61,BASE!$L:$L,$G61,BASE!$J:$J,$C61,BASE!$A:$A,T$2)</f>
        <v>0</v>
      </c>
      <c r="U61" s="12">
        <f>SUMIFS(BASE!$G:$G,BASE!$B:$B,$B61,BASE!$L:$L,$G61,BASE!$J:$J,$C61,BASE!$A:$A,U$2)</f>
        <v>0</v>
      </c>
      <c r="V61" s="12">
        <f>SUMIFS(BASE!$G:$G,BASE!$B:$B,$B61,BASE!$L:$L,$G61,BASE!$J:$J,$C61,BASE!$A:$A,V$2)</f>
        <v>0</v>
      </c>
      <c r="X61" t="str">
        <f t="shared" si="1"/>
        <v>COM TROCAS</v>
      </c>
    </row>
    <row r="62" spans="2:24">
      <c r="B62" s="8" t="s">
        <v>372</v>
      </c>
      <c r="C62" s="9" t="s">
        <v>83</v>
      </c>
      <c r="D62" s="9" t="s">
        <v>259</v>
      </c>
      <c r="E62" s="9" t="s">
        <v>260</v>
      </c>
      <c r="F62" s="9" t="s">
        <v>373</v>
      </c>
      <c r="G62" s="9" t="s">
        <v>61</v>
      </c>
      <c r="H62" s="7" t="str">
        <f>IFERROR(IF(_xlfn.XLOOKUP(B62,REPASSE!D:D,REPASSE!D:D)="","Não","Sim"),"Não")</f>
        <v>Não</v>
      </c>
      <c r="I62" s="7" t="str">
        <f>IF(_xlfn.XLOOKUP(B62,'BOOST LIBERADO'!B:B,'BOOST LIBERADO'!B:B,"Não")="Não","Não","Sim")</f>
        <v>Não</v>
      </c>
      <c r="J62" s="83" t="str">
        <f t="shared" si="0"/>
        <v>Não</v>
      </c>
      <c r="K62" s="12">
        <f>SUMIFS(BASE!$G:$G,BASE!$B:$B,$B62,BASE!$L:$L,$G62,BASE!$J:$J,$C62,BASE!$A:$A,K$2)</f>
        <v>0</v>
      </c>
      <c r="L62" s="12">
        <f>SUMIFS(BASE!$G:$G,BASE!$B:$B,$B62,BASE!$L:$L,$G62,BASE!$J:$J,$C62,BASE!$A:$A,L$2)</f>
        <v>0</v>
      </c>
      <c r="M62" s="12">
        <f>SUMIFS(BASE!$G:$G,BASE!$B:$B,$B62,BASE!$L:$L,$G62,BASE!$J:$J,$C62,BASE!$A:$A,M$2)</f>
        <v>0</v>
      </c>
      <c r="N62" s="12">
        <f>SUMIFS(BASE!$G:$G,BASE!$B:$B,$B62,BASE!$L:$L,$G62,BASE!$J:$J,$C62,BASE!$A:$A,N$2)</f>
        <v>0</v>
      </c>
      <c r="O62" s="12">
        <f>SUMIFS(BASE!$G:$G,BASE!$B:$B,$B62,BASE!$L:$L,$G62,BASE!$J:$J,$C62,BASE!$A:$A,O$2)</f>
        <v>0</v>
      </c>
      <c r="P62" s="12">
        <f>SUMIFS(BASE!$G:$G,BASE!$B:$B,$B62,BASE!$L:$L,$G62,BASE!$J:$J,$C62,BASE!$A:$A,P$2)</f>
        <v>0</v>
      </c>
      <c r="Q62" s="12">
        <f>SUMIFS(BASE!$G:$G,BASE!$B:$B,$B62,BASE!$L:$L,$G62,BASE!$J:$J,$C62,BASE!$A:$A,Q$2)</f>
        <v>0</v>
      </c>
      <c r="R62" s="12">
        <f>SUMIFS(BASE!$G:$G,BASE!$B:$B,$B62,BASE!$L:$L,$G62,BASE!$J:$J,$C62,BASE!$A:$A,R$2)</f>
        <v>0</v>
      </c>
      <c r="S62" s="12">
        <f>SUMIFS(BASE!$G:$G,BASE!$B:$B,$B62,BASE!$L:$L,$G62,BASE!$J:$J,$C62,BASE!$A:$A,S$2)</f>
        <v>0</v>
      </c>
      <c r="T62" s="12">
        <f>SUMIFS(BASE!$G:$G,BASE!$B:$B,$B62,BASE!$L:$L,$G62,BASE!$J:$J,$C62,BASE!$A:$A,T$2)</f>
        <v>0</v>
      </c>
      <c r="U62" s="12">
        <f>SUMIFS(BASE!$G:$G,BASE!$B:$B,$B62,BASE!$L:$L,$G62,BASE!$J:$J,$C62,BASE!$A:$A,U$2)</f>
        <v>0</v>
      </c>
      <c r="V62" s="12">
        <f>SUMIFS(BASE!$G:$G,BASE!$B:$B,$B62,BASE!$L:$L,$G62,BASE!$J:$J,$C62,BASE!$A:$A,V$2)</f>
        <v>0</v>
      </c>
      <c r="X62" t="str">
        <f t="shared" si="1"/>
        <v>ZERADO</v>
      </c>
    </row>
    <row r="63" spans="2:24">
      <c r="B63" s="8" t="s">
        <v>374</v>
      </c>
      <c r="C63" s="9" t="s">
        <v>174</v>
      </c>
      <c r="D63" s="9" t="s">
        <v>255</v>
      </c>
      <c r="E63" s="9" t="s">
        <v>256</v>
      </c>
      <c r="F63" s="9" t="s">
        <v>257</v>
      </c>
      <c r="G63" s="9" t="s">
        <v>61</v>
      </c>
      <c r="H63" s="7" t="str">
        <f>IFERROR(IF(_xlfn.XLOOKUP(B63,REPASSE!D:D,REPASSE!D:D)="","Não","Sim"),"Não")</f>
        <v>Não</v>
      </c>
      <c r="I63" s="7" t="str">
        <f>IF(_xlfn.XLOOKUP(B63,'BOOST LIBERADO'!B:B,'BOOST LIBERADO'!B:B,"Não")="Não","Não","Sim")</f>
        <v>Sim</v>
      </c>
      <c r="J63" s="83" t="str">
        <f t="shared" si="0"/>
        <v>Sim</v>
      </c>
      <c r="K63" s="12">
        <f>SUMIFS(BASE!$G:$G,BASE!$B:$B,$B63,BASE!$L:$L,$G63,BASE!$J:$J,$C63,BASE!$A:$A,K$2)</f>
        <v>0</v>
      </c>
      <c r="L63" s="12">
        <f>SUMIFS(BASE!$G:$G,BASE!$B:$B,$B63,BASE!$L:$L,$G63,BASE!$J:$J,$C63,BASE!$A:$A,L$2)</f>
        <v>0</v>
      </c>
      <c r="M63" s="12">
        <f>SUMIFS(BASE!$G:$G,BASE!$B:$B,$B63,BASE!$L:$L,$G63,BASE!$J:$J,$C63,BASE!$A:$A,M$2)</f>
        <v>0</v>
      </c>
      <c r="N63" s="12">
        <f>SUMIFS(BASE!$G:$G,BASE!$B:$B,$B63,BASE!$L:$L,$G63,BASE!$J:$J,$C63,BASE!$A:$A,N$2)</f>
        <v>0</v>
      </c>
      <c r="O63" s="12">
        <f>SUMIFS(BASE!$G:$G,BASE!$B:$B,$B63,BASE!$L:$L,$G63,BASE!$J:$J,$C63,BASE!$A:$A,O$2)</f>
        <v>0</v>
      </c>
      <c r="P63" s="12">
        <f>SUMIFS(BASE!$G:$G,BASE!$B:$B,$B63,BASE!$L:$L,$G63,BASE!$J:$J,$C63,BASE!$A:$A,P$2)</f>
        <v>0</v>
      </c>
      <c r="Q63" s="12">
        <f>SUMIFS(BASE!$G:$G,BASE!$B:$B,$B63,BASE!$L:$L,$G63,BASE!$J:$J,$C63,BASE!$A:$A,Q$2)</f>
        <v>0</v>
      </c>
      <c r="R63" s="12">
        <f>SUMIFS(BASE!$G:$G,BASE!$B:$B,$B63,BASE!$L:$L,$G63,BASE!$J:$J,$C63,BASE!$A:$A,R$2)</f>
        <v>0</v>
      </c>
      <c r="S63" s="12">
        <f>SUMIFS(BASE!$G:$G,BASE!$B:$B,$B63,BASE!$L:$L,$G63,BASE!$J:$J,$C63,BASE!$A:$A,S$2)</f>
        <v>0</v>
      </c>
      <c r="T63" s="12">
        <f>SUMIFS(BASE!$G:$G,BASE!$B:$B,$B63,BASE!$L:$L,$G63,BASE!$J:$J,$C63,BASE!$A:$A,T$2)</f>
        <v>0</v>
      </c>
      <c r="U63" s="12">
        <f>SUMIFS(BASE!$G:$G,BASE!$B:$B,$B63,BASE!$L:$L,$G63,BASE!$J:$J,$C63,BASE!$A:$A,U$2)</f>
        <v>0</v>
      </c>
      <c r="V63" s="12">
        <f>SUMIFS(BASE!$G:$G,BASE!$B:$B,$B63,BASE!$L:$L,$G63,BASE!$J:$J,$C63,BASE!$A:$A,V$2)</f>
        <v>0</v>
      </c>
      <c r="X63" t="str">
        <f t="shared" si="1"/>
        <v>ZERADO</v>
      </c>
    </row>
    <row r="64" spans="2:24">
      <c r="B64" s="8" t="s">
        <v>375</v>
      </c>
      <c r="C64" s="9" t="s">
        <v>230</v>
      </c>
      <c r="D64" s="9" t="s">
        <v>307</v>
      </c>
      <c r="E64" s="9" t="s">
        <v>264</v>
      </c>
      <c r="F64" s="9" t="s">
        <v>376</v>
      </c>
      <c r="G64" s="9" t="s">
        <v>61</v>
      </c>
      <c r="H64" s="7" t="str">
        <f>IFERROR(IF(_xlfn.XLOOKUP(B64,REPASSE!D:D,REPASSE!D:D)="","Não","Sim"),"Não")</f>
        <v>Não</v>
      </c>
      <c r="I64" s="7" t="str">
        <f>IF(_xlfn.XLOOKUP(B64,'BOOST LIBERADO'!B:B,'BOOST LIBERADO'!B:B,"Não")="Não","Não","Sim")</f>
        <v>Sim</v>
      </c>
      <c r="J64" s="83" t="str">
        <f t="shared" si="0"/>
        <v>Sim</v>
      </c>
      <c r="K64" s="12">
        <f>SUMIFS(BASE!$G:$G,BASE!$B:$B,$B64,BASE!$L:$L,$G64,BASE!$J:$J,$C64,BASE!$A:$A,K$2)</f>
        <v>6</v>
      </c>
      <c r="L64" s="12">
        <f>SUMIFS(BASE!$G:$G,BASE!$B:$B,$B64,BASE!$L:$L,$G64,BASE!$J:$J,$C64,BASE!$A:$A,L$2)</f>
        <v>4</v>
      </c>
      <c r="M64" s="12">
        <f>SUMIFS(BASE!$G:$G,BASE!$B:$B,$B64,BASE!$L:$L,$G64,BASE!$J:$J,$C64,BASE!$A:$A,M$2)</f>
        <v>6</v>
      </c>
      <c r="N64" s="12">
        <f>SUMIFS(BASE!$G:$G,BASE!$B:$B,$B64,BASE!$L:$L,$G64,BASE!$J:$J,$C64,BASE!$A:$A,N$2)</f>
        <v>10</v>
      </c>
      <c r="O64" s="12">
        <f>SUMIFS(BASE!$G:$G,BASE!$B:$B,$B64,BASE!$L:$L,$G64,BASE!$J:$J,$C64,BASE!$A:$A,O$2)</f>
        <v>8</v>
      </c>
      <c r="P64" s="12">
        <f>SUMIFS(BASE!$G:$G,BASE!$B:$B,$B64,BASE!$L:$L,$G64,BASE!$J:$J,$C64,BASE!$A:$A,P$2)</f>
        <v>9</v>
      </c>
      <c r="Q64" s="12">
        <f>SUMIFS(BASE!$G:$G,BASE!$B:$B,$B64,BASE!$L:$L,$G64,BASE!$J:$J,$C64,BASE!$A:$A,Q$2)</f>
        <v>18</v>
      </c>
      <c r="R64" s="12">
        <f>SUMIFS(BASE!$G:$G,BASE!$B:$B,$B64,BASE!$L:$L,$G64,BASE!$J:$J,$C64,BASE!$A:$A,R$2)</f>
        <v>18</v>
      </c>
      <c r="S64" s="12">
        <f>SUMIFS(BASE!$G:$G,BASE!$B:$B,$B64,BASE!$L:$L,$G64,BASE!$J:$J,$C64,BASE!$A:$A,S$2)</f>
        <v>0</v>
      </c>
      <c r="T64" s="12">
        <f>SUMIFS(BASE!$G:$G,BASE!$B:$B,$B64,BASE!$L:$L,$G64,BASE!$J:$J,$C64,BASE!$A:$A,T$2)</f>
        <v>0</v>
      </c>
      <c r="U64" s="12">
        <f>SUMIFS(BASE!$G:$G,BASE!$B:$B,$B64,BASE!$L:$L,$G64,BASE!$J:$J,$C64,BASE!$A:$A,U$2)</f>
        <v>0</v>
      </c>
      <c r="V64" s="12">
        <f>SUMIFS(BASE!$G:$G,BASE!$B:$B,$B64,BASE!$L:$L,$G64,BASE!$J:$J,$C64,BASE!$A:$A,V$2)</f>
        <v>0</v>
      </c>
      <c r="X64" t="str">
        <f t="shared" si="1"/>
        <v>COM TROCAS</v>
      </c>
    </row>
    <row r="65" spans="2:24">
      <c r="B65" s="8" t="s">
        <v>377</v>
      </c>
      <c r="C65" s="9" t="s">
        <v>230</v>
      </c>
      <c r="D65" s="9" t="s">
        <v>259</v>
      </c>
      <c r="E65" s="9" t="s">
        <v>260</v>
      </c>
      <c r="F65" s="9" t="s">
        <v>261</v>
      </c>
      <c r="G65" s="9" t="s">
        <v>61</v>
      </c>
      <c r="H65" s="7" t="str">
        <f>IFERROR(IF(_xlfn.XLOOKUP(B65,REPASSE!D:D,REPASSE!D:D)="","Não","Sim"),"Não")</f>
        <v>Não</v>
      </c>
      <c r="I65" s="7" t="str">
        <f>IF(_xlfn.XLOOKUP(B65,'BOOST LIBERADO'!B:B,'BOOST LIBERADO'!B:B,"Não")="Não","Não","Sim")</f>
        <v>Sim</v>
      </c>
      <c r="J65" s="83" t="str">
        <f t="shared" si="0"/>
        <v>Sim</v>
      </c>
      <c r="K65" s="12">
        <f>SUMIFS(BASE!$G:$G,BASE!$B:$B,$B65,BASE!$L:$L,$G65,BASE!$J:$J,$C65,BASE!$A:$A,K$2)</f>
        <v>6</v>
      </c>
      <c r="L65" s="12">
        <f>SUMIFS(BASE!$G:$G,BASE!$B:$B,$B65,BASE!$L:$L,$G65,BASE!$J:$J,$C65,BASE!$A:$A,L$2)</f>
        <v>4</v>
      </c>
      <c r="M65" s="12">
        <f>SUMIFS(BASE!$G:$G,BASE!$B:$B,$B65,BASE!$L:$L,$G65,BASE!$J:$J,$C65,BASE!$A:$A,M$2)</f>
        <v>20</v>
      </c>
      <c r="N65" s="12">
        <f>SUMIFS(BASE!$G:$G,BASE!$B:$B,$B65,BASE!$L:$L,$G65,BASE!$J:$J,$C65,BASE!$A:$A,N$2)</f>
        <v>12</v>
      </c>
      <c r="O65" s="12">
        <f>SUMIFS(BASE!$G:$G,BASE!$B:$B,$B65,BASE!$L:$L,$G65,BASE!$J:$J,$C65,BASE!$A:$A,O$2)</f>
        <v>26</v>
      </c>
      <c r="P65" s="12">
        <f>SUMIFS(BASE!$G:$G,BASE!$B:$B,$B65,BASE!$L:$L,$G65,BASE!$J:$J,$C65,BASE!$A:$A,P$2)</f>
        <v>22</v>
      </c>
      <c r="Q65" s="12">
        <f>SUMIFS(BASE!$G:$G,BASE!$B:$B,$B65,BASE!$L:$L,$G65,BASE!$J:$J,$C65,BASE!$A:$A,Q$2)</f>
        <v>27</v>
      </c>
      <c r="R65" s="12">
        <f>SUMIFS(BASE!$G:$G,BASE!$B:$B,$B65,BASE!$L:$L,$G65,BASE!$J:$J,$C65,BASE!$A:$A,R$2)</f>
        <v>11</v>
      </c>
      <c r="S65" s="12">
        <f>SUMIFS(BASE!$G:$G,BASE!$B:$B,$B65,BASE!$L:$L,$G65,BASE!$J:$J,$C65,BASE!$A:$A,S$2)</f>
        <v>0</v>
      </c>
      <c r="T65" s="12">
        <f>SUMIFS(BASE!$G:$G,BASE!$B:$B,$B65,BASE!$L:$L,$G65,BASE!$J:$J,$C65,BASE!$A:$A,T$2)</f>
        <v>0</v>
      </c>
      <c r="U65" s="12">
        <f>SUMIFS(BASE!$G:$G,BASE!$B:$B,$B65,BASE!$L:$L,$G65,BASE!$J:$J,$C65,BASE!$A:$A,U$2)</f>
        <v>0</v>
      </c>
      <c r="V65" s="12">
        <f>SUMIFS(BASE!$G:$G,BASE!$B:$B,$B65,BASE!$L:$L,$G65,BASE!$J:$J,$C65,BASE!$A:$A,V$2)</f>
        <v>0</v>
      </c>
      <c r="X65" t="str">
        <f t="shared" si="1"/>
        <v>COM TROCAS</v>
      </c>
    </row>
    <row r="66" spans="2:24">
      <c r="B66" s="8" t="s">
        <v>378</v>
      </c>
      <c r="C66" s="9" t="s">
        <v>195</v>
      </c>
      <c r="D66" s="9" t="s">
        <v>282</v>
      </c>
      <c r="E66" s="9" t="s">
        <v>264</v>
      </c>
      <c r="F66" s="9" t="s">
        <v>311</v>
      </c>
      <c r="G66" s="9" t="s">
        <v>61</v>
      </c>
      <c r="H66" s="7" t="str">
        <f>IFERROR(IF(_xlfn.XLOOKUP(B66,REPASSE!D:D,REPASSE!D:D)="","Não","Sim"),"Não")</f>
        <v>Não</v>
      </c>
      <c r="I66" s="7" t="str">
        <f>IF(_xlfn.XLOOKUP(B66,'BOOST LIBERADO'!B:B,'BOOST LIBERADO'!B:B,"Não")="Não","Não","Sim")</f>
        <v>Sim</v>
      </c>
      <c r="J66" s="83" t="str">
        <f t="shared" si="0"/>
        <v>Sim</v>
      </c>
      <c r="K66" s="12">
        <f>SUMIFS(BASE!$G:$G,BASE!$B:$B,$B66,BASE!$L:$L,$G66,BASE!$J:$J,$C66,BASE!$A:$A,K$2)</f>
        <v>0</v>
      </c>
      <c r="L66" s="12">
        <f>SUMIFS(BASE!$G:$G,BASE!$B:$B,$B66,BASE!$L:$L,$G66,BASE!$J:$J,$C66,BASE!$A:$A,L$2)</f>
        <v>0</v>
      </c>
      <c r="M66" s="12">
        <f>SUMIFS(BASE!$G:$G,BASE!$B:$B,$B66,BASE!$L:$L,$G66,BASE!$J:$J,$C66,BASE!$A:$A,M$2)</f>
        <v>0</v>
      </c>
      <c r="N66" s="12">
        <f>SUMIFS(BASE!$G:$G,BASE!$B:$B,$B66,BASE!$L:$L,$G66,BASE!$J:$J,$C66,BASE!$A:$A,N$2)</f>
        <v>0</v>
      </c>
      <c r="O66" s="12">
        <f>SUMIFS(BASE!$G:$G,BASE!$B:$B,$B66,BASE!$L:$L,$G66,BASE!$J:$J,$C66,BASE!$A:$A,O$2)</f>
        <v>0</v>
      </c>
      <c r="P66" s="12">
        <f>SUMIFS(BASE!$G:$G,BASE!$B:$B,$B66,BASE!$L:$L,$G66,BASE!$J:$J,$C66,BASE!$A:$A,P$2)</f>
        <v>0</v>
      </c>
      <c r="Q66" s="12">
        <f>SUMIFS(BASE!$G:$G,BASE!$B:$B,$B66,BASE!$L:$L,$G66,BASE!$J:$J,$C66,BASE!$A:$A,Q$2)</f>
        <v>0</v>
      </c>
      <c r="R66" s="12">
        <f>SUMIFS(BASE!$G:$G,BASE!$B:$B,$B66,BASE!$L:$L,$G66,BASE!$J:$J,$C66,BASE!$A:$A,R$2)</f>
        <v>0</v>
      </c>
      <c r="S66" s="12">
        <f>SUMIFS(BASE!$G:$G,BASE!$B:$B,$B66,BASE!$L:$L,$G66,BASE!$J:$J,$C66,BASE!$A:$A,S$2)</f>
        <v>0</v>
      </c>
      <c r="T66" s="12">
        <f>SUMIFS(BASE!$G:$G,BASE!$B:$B,$B66,BASE!$L:$L,$G66,BASE!$J:$J,$C66,BASE!$A:$A,T$2)</f>
        <v>0</v>
      </c>
      <c r="U66" s="12">
        <f>SUMIFS(BASE!$G:$G,BASE!$B:$B,$B66,BASE!$L:$L,$G66,BASE!$J:$J,$C66,BASE!$A:$A,U$2)</f>
        <v>0</v>
      </c>
      <c r="V66" s="12">
        <f>SUMIFS(BASE!$G:$G,BASE!$B:$B,$B66,BASE!$L:$L,$G66,BASE!$J:$J,$C66,BASE!$A:$A,V$2)</f>
        <v>0</v>
      </c>
      <c r="X66" t="str">
        <f t="shared" si="1"/>
        <v>ZERADO</v>
      </c>
    </row>
    <row r="67" spans="2:24">
      <c r="B67" s="8" t="s">
        <v>379</v>
      </c>
      <c r="C67" s="9" t="s">
        <v>123</v>
      </c>
      <c r="D67" s="9" t="s">
        <v>272</v>
      </c>
      <c r="E67" s="9" t="s">
        <v>256</v>
      </c>
      <c r="F67" s="9" t="s">
        <v>380</v>
      </c>
      <c r="G67" s="9" t="s">
        <v>61</v>
      </c>
      <c r="H67" s="7" t="str">
        <f>IFERROR(IF(_xlfn.XLOOKUP(B67,REPASSE!D:D,REPASSE!D:D)="","Não","Sim"),"Não")</f>
        <v>Não</v>
      </c>
      <c r="I67" s="7" t="str">
        <f>IF(_xlfn.XLOOKUP(B67,'BOOST LIBERADO'!B:B,'BOOST LIBERADO'!B:B,"Não")="Não","Não","Sim")</f>
        <v>Sim</v>
      </c>
      <c r="J67" s="83" t="str">
        <f t="shared" si="0"/>
        <v>Sim</v>
      </c>
      <c r="K67" s="12">
        <f>SUMIFS(BASE!$G:$G,BASE!$B:$B,$B67,BASE!$L:$L,$G67,BASE!$J:$J,$C67,BASE!$A:$A,K$2)</f>
        <v>0</v>
      </c>
      <c r="L67" s="12">
        <f>SUMIFS(BASE!$G:$G,BASE!$B:$B,$B67,BASE!$L:$L,$G67,BASE!$J:$J,$C67,BASE!$A:$A,L$2)</f>
        <v>0</v>
      </c>
      <c r="M67" s="12">
        <f>SUMIFS(BASE!$G:$G,BASE!$B:$B,$B67,BASE!$L:$L,$G67,BASE!$J:$J,$C67,BASE!$A:$A,M$2)</f>
        <v>0</v>
      </c>
      <c r="N67" s="12">
        <f>SUMIFS(BASE!$G:$G,BASE!$B:$B,$B67,BASE!$L:$L,$G67,BASE!$J:$J,$C67,BASE!$A:$A,N$2)</f>
        <v>0</v>
      </c>
      <c r="O67" s="12">
        <f>SUMIFS(BASE!$G:$G,BASE!$B:$B,$B67,BASE!$L:$L,$G67,BASE!$J:$J,$C67,BASE!$A:$A,O$2)</f>
        <v>0</v>
      </c>
      <c r="P67" s="12">
        <f>SUMIFS(BASE!$G:$G,BASE!$B:$B,$B67,BASE!$L:$L,$G67,BASE!$J:$J,$C67,BASE!$A:$A,P$2)</f>
        <v>0</v>
      </c>
      <c r="Q67" s="12">
        <f>SUMIFS(BASE!$G:$G,BASE!$B:$B,$B67,BASE!$L:$L,$G67,BASE!$J:$J,$C67,BASE!$A:$A,Q$2)</f>
        <v>0</v>
      </c>
      <c r="R67" s="12">
        <f>SUMIFS(BASE!$G:$G,BASE!$B:$B,$B67,BASE!$L:$L,$G67,BASE!$J:$J,$C67,BASE!$A:$A,R$2)</f>
        <v>0</v>
      </c>
      <c r="S67" s="12">
        <f>SUMIFS(BASE!$G:$G,BASE!$B:$B,$B67,BASE!$L:$L,$G67,BASE!$J:$J,$C67,BASE!$A:$A,S$2)</f>
        <v>0</v>
      </c>
      <c r="T67" s="12">
        <f>SUMIFS(BASE!$G:$G,BASE!$B:$B,$B67,BASE!$L:$L,$G67,BASE!$J:$J,$C67,BASE!$A:$A,T$2)</f>
        <v>0</v>
      </c>
      <c r="U67" s="12">
        <f>SUMIFS(BASE!$G:$G,BASE!$B:$B,$B67,BASE!$L:$L,$G67,BASE!$J:$J,$C67,BASE!$A:$A,U$2)</f>
        <v>0</v>
      </c>
      <c r="V67" s="12">
        <f>SUMIFS(BASE!$G:$G,BASE!$B:$B,$B67,BASE!$L:$L,$G67,BASE!$J:$J,$C67,BASE!$A:$A,V$2)</f>
        <v>0</v>
      </c>
      <c r="X67" t="str">
        <f t="shared" si="1"/>
        <v>ZERADO</v>
      </c>
    </row>
    <row r="68" spans="2:24">
      <c r="B68" s="8" t="s">
        <v>381</v>
      </c>
      <c r="C68" s="9" t="s">
        <v>226</v>
      </c>
      <c r="D68" s="9" t="s">
        <v>302</v>
      </c>
      <c r="E68" s="9" t="s">
        <v>275</v>
      </c>
      <c r="F68" s="9" t="s">
        <v>382</v>
      </c>
      <c r="G68" s="9" t="s">
        <v>61</v>
      </c>
      <c r="H68" s="7" t="str">
        <f>IFERROR(IF(_xlfn.XLOOKUP(B68,REPASSE!D:D,REPASSE!D:D)="","Não","Sim"),"Não")</f>
        <v>Não</v>
      </c>
      <c r="I68" s="7" t="str">
        <f>IF(_xlfn.XLOOKUP(B68,'BOOST LIBERADO'!B:B,'BOOST LIBERADO'!B:B,"Não")="Não","Não","Sim")</f>
        <v>Sim</v>
      </c>
      <c r="J68" s="83" t="str">
        <f t="shared" ref="J68:J131" si="2">IF(AND(H68="Não",I68="Sim"),"Sim","Não")</f>
        <v>Sim</v>
      </c>
      <c r="K68" s="12">
        <f>SUMIFS(BASE!$G:$G,BASE!$B:$B,$B68,BASE!$L:$L,$G68,BASE!$J:$J,$C68,BASE!$A:$A,K$2)</f>
        <v>0</v>
      </c>
      <c r="L68" s="12">
        <f>SUMIFS(BASE!$G:$G,BASE!$B:$B,$B68,BASE!$L:$L,$G68,BASE!$J:$J,$C68,BASE!$A:$A,L$2)</f>
        <v>0</v>
      </c>
      <c r="M68" s="12">
        <f>SUMIFS(BASE!$G:$G,BASE!$B:$B,$B68,BASE!$L:$L,$G68,BASE!$J:$J,$C68,BASE!$A:$A,M$2)</f>
        <v>0</v>
      </c>
      <c r="N68" s="12">
        <f>SUMIFS(BASE!$G:$G,BASE!$B:$B,$B68,BASE!$L:$L,$G68,BASE!$J:$J,$C68,BASE!$A:$A,N$2)</f>
        <v>0</v>
      </c>
      <c r="O68" s="12">
        <f>SUMIFS(BASE!$G:$G,BASE!$B:$B,$B68,BASE!$L:$L,$G68,BASE!$J:$J,$C68,BASE!$A:$A,O$2)</f>
        <v>0</v>
      </c>
      <c r="P68" s="12">
        <f>SUMIFS(BASE!$G:$G,BASE!$B:$B,$B68,BASE!$L:$L,$G68,BASE!$J:$J,$C68,BASE!$A:$A,P$2)</f>
        <v>0</v>
      </c>
      <c r="Q68" s="12">
        <f>SUMIFS(BASE!$G:$G,BASE!$B:$B,$B68,BASE!$L:$L,$G68,BASE!$J:$J,$C68,BASE!$A:$A,Q$2)</f>
        <v>0</v>
      </c>
      <c r="R68" s="12">
        <f>SUMIFS(BASE!$G:$G,BASE!$B:$B,$B68,BASE!$L:$L,$G68,BASE!$J:$J,$C68,BASE!$A:$A,R$2)</f>
        <v>0</v>
      </c>
      <c r="S68" s="12">
        <f>SUMIFS(BASE!$G:$G,BASE!$B:$B,$B68,BASE!$L:$L,$G68,BASE!$J:$J,$C68,BASE!$A:$A,S$2)</f>
        <v>0</v>
      </c>
      <c r="T68" s="12">
        <f>SUMIFS(BASE!$G:$G,BASE!$B:$B,$B68,BASE!$L:$L,$G68,BASE!$J:$J,$C68,BASE!$A:$A,T$2)</f>
        <v>0</v>
      </c>
      <c r="U68" s="12">
        <f>SUMIFS(BASE!$G:$G,BASE!$B:$B,$B68,BASE!$L:$L,$G68,BASE!$J:$J,$C68,BASE!$A:$A,U$2)</f>
        <v>0</v>
      </c>
      <c r="V68" s="12">
        <f>SUMIFS(BASE!$G:$G,BASE!$B:$B,$B68,BASE!$L:$L,$G68,BASE!$J:$J,$C68,BASE!$A:$A,V$2)</f>
        <v>0</v>
      </c>
      <c r="X68" t="str">
        <f t="shared" ref="X68:X131" si="3">IF(AND(R68=0),"ZERADO","COM TROCAS")</f>
        <v>ZERADO</v>
      </c>
    </row>
    <row r="69" spans="2:24">
      <c r="B69" s="8" t="s">
        <v>383</v>
      </c>
      <c r="C69" s="9" t="s">
        <v>104</v>
      </c>
      <c r="D69" s="9" t="s">
        <v>255</v>
      </c>
      <c r="E69" s="9" t="s">
        <v>256</v>
      </c>
      <c r="F69" s="9" t="s">
        <v>257</v>
      </c>
      <c r="G69" s="9" t="s">
        <v>61</v>
      </c>
      <c r="H69" s="7" t="str">
        <f>IFERROR(IF(_xlfn.XLOOKUP(B69,REPASSE!D:D,REPASSE!D:D)="","Não","Sim"),"Não")</f>
        <v>Não</v>
      </c>
      <c r="I69" s="7" t="str">
        <f>IF(_xlfn.XLOOKUP(B69,'BOOST LIBERADO'!B:B,'BOOST LIBERADO'!B:B,"Não")="Não","Não","Sim")</f>
        <v>Sim</v>
      </c>
      <c r="J69" s="83" t="str">
        <f t="shared" si="2"/>
        <v>Sim</v>
      </c>
      <c r="K69" s="12">
        <f>SUMIFS(BASE!$G:$G,BASE!$B:$B,$B69,BASE!$L:$L,$G69,BASE!$J:$J,$C69,BASE!$A:$A,K$2)</f>
        <v>0</v>
      </c>
      <c r="L69" s="12">
        <f>SUMIFS(BASE!$G:$G,BASE!$B:$B,$B69,BASE!$L:$L,$G69,BASE!$J:$J,$C69,BASE!$A:$A,L$2)</f>
        <v>0</v>
      </c>
      <c r="M69" s="12">
        <f>SUMIFS(BASE!$G:$G,BASE!$B:$B,$B69,BASE!$L:$L,$G69,BASE!$J:$J,$C69,BASE!$A:$A,M$2)</f>
        <v>0</v>
      </c>
      <c r="N69" s="12">
        <f>SUMIFS(BASE!$G:$G,BASE!$B:$B,$B69,BASE!$L:$L,$G69,BASE!$J:$J,$C69,BASE!$A:$A,N$2)</f>
        <v>0</v>
      </c>
      <c r="O69" s="12">
        <f>SUMIFS(BASE!$G:$G,BASE!$B:$B,$B69,BASE!$L:$L,$G69,BASE!$J:$J,$C69,BASE!$A:$A,O$2)</f>
        <v>0</v>
      </c>
      <c r="P69" s="12">
        <f>SUMIFS(BASE!$G:$G,BASE!$B:$B,$B69,BASE!$L:$L,$G69,BASE!$J:$J,$C69,BASE!$A:$A,P$2)</f>
        <v>0</v>
      </c>
      <c r="Q69" s="12">
        <f>SUMIFS(BASE!$G:$G,BASE!$B:$B,$B69,BASE!$L:$L,$G69,BASE!$J:$J,$C69,BASE!$A:$A,Q$2)</f>
        <v>0</v>
      </c>
      <c r="R69" s="12">
        <f>SUMIFS(BASE!$G:$G,BASE!$B:$B,$B69,BASE!$L:$L,$G69,BASE!$J:$J,$C69,BASE!$A:$A,R$2)</f>
        <v>0</v>
      </c>
      <c r="S69" s="12">
        <f>SUMIFS(BASE!$G:$G,BASE!$B:$B,$B69,BASE!$L:$L,$G69,BASE!$J:$J,$C69,BASE!$A:$A,S$2)</f>
        <v>0</v>
      </c>
      <c r="T69" s="12">
        <f>SUMIFS(BASE!$G:$G,BASE!$B:$B,$B69,BASE!$L:$L,$G69,BASE!$J:$J,$C69,BASE!$A:$A,T$2)</f>
        <v>0</v>
      </c>
      <c r="U69" s="12">
        <f>SUMIFS(BASE!$G:$G,BASE!$B:$B,$B69,BASE!$L:$L,$G69,BASE!$J:$J,$C69,BASE!$A:$A,U$2)</f>
        <v>0</v>
      </c>
      <c r="V69" s="12">
        <f>SUMIFS(BASE!$G:$G,BASE!$B:$B,$B69,BASE!$L:$L,$G69,BASE!$J:$J,$C69,BASE!$A:$A,V$2)</f>
        <v>0</v>
      </c>
      <c r="X69" t="str">
        <f t="shared" si="3"/>
        <v>ZERADO</v>
      </c>
    </row>
    <row r="70" spans="2:24">
      <c r="B70" s="8" t="s">
        <v>384</v>
      </c>
      <c r="C70" s="9" t="s">
        <v>141</v>
      </c>
      <c r="D70" s="9" t="s">
        <v>251</v>
      </c>
      <c r="E70" s="9" t="s">
        <v>252</v>
      </c>
      <c r="F70" s="9" t="s">
        <v>385</v>
      </c>
      <c r="G70" s="9" t="s">
        <v>61</v>
      </c>
      <c r="H70" s="7" t="str">
        <f>IFERROR(IF(_xlfn.XLOOKUP(B70,REPASSE!D:D,REPASSE!D:D)="","Não","Sim"),"Não")</f>
        <v>Não</v>
      </c>
      <c r="I70" s="7" t="str">
        <f>IF(_xlfn.XLOOKUP(B70,'BOOST LIBERADO'!B:B,'BOOST LIBERADO'!B:B,"Não")="Não","Não","Sim")</f>
        <v>Sim</v>
      </c>
      <c r="J70" s="83" t="str">
        <f t="shared" si="2"/>
        <v>Sim</v>
      </c>
      <c r="K70" s="12">
        <f>SUMIFS(BASE!$G:$G,BASE!$B:$B,$B70,BASE!$L:$L,$G70,BASE!$J:$J,$C70,BASE!$A:$A,K$2)</f>
        <v>0</v>
      </c>
      <c r="L70" s="12">
        <f>SUMIFS(BASE!$G:$G,BASE!$B:$B,$B70,BASE!$L:$L,$G70,BASE!$J:$J,$C70,BASE!$A:$A,L$2)</f>
        <v>0</v>
      </c>
      <c r="M70" s="12">
        <f>SUMIFS(BASE!$G:$G,BASE!$B:$B,$B70,BASE!$L:$L,$G70,BASE!$J:$J,$C70,BASE!$A:$A,M$2)</f>
        <v>0</v>
      </c>
      <c r="N70" s="12">
        <f>SUMIFS(BASE!$G:$G,BASE!$B:$B,$B70,BASE!$L:$L,$G70,BASE!$J:$J,$C70,BASE!$A:$A,N$2)</f>
        <v>0</v>
      </c>
      <c r="O70" s="12">
        <f>SUMIFS(BASE!$G:$G,BASE!$B:$B,$B70,BASE!$L:$L,$G70,BASE!$J:$J,$C70,BASE!$A:$A,O$2)</f>
        <v>0</v>
      </c>
      <c r="P70" s="12">
        <f>SUMIFS(BASE!$G:$G,BASE!$B:$B,$B70,BASE!$L:$L,$G70,BASE!$J:$J,$C70,BASE!$A:$A,P$2)</f>
        <v>0</v>
      </c>
      <c r="Q70" s="12">
        <f>SUMIFS(BASE!$G:$G,BASE!$B:$B,$B70,BASE!$L:$L,$G70,BASE!$J:$J,$C70,BASE!$A:$A,Q$2)</f>
        <v>0</v>
      </c>
      <c r="R70" s="12">
        <f>SUMIFS(BASE!$G:$G,BASE!$B:$B,$B70,BASE!$L:$L,$G70,BASE!$J:$J,$C70,BASE!$A:$A,R$2)</f>
        <v>0</v>
      </c>
      <c r="S70" s="12">
        <f>SUMIFS(BASE!$G:$G,BASE!$B:$B,$B70,BASE!$L:$L,$G70,BASE!$J:$J,$C70,BASE!$A:$A,S$2)</f>
        <v>0</v>
      </c>
      <c r="T70" s="12">
        <f>SUMIFS(BASE!$G:$G,BASE!$B:$B,$B70,BASE!$L:$L,$G70,BASE!$J:$J,$C70,BASE!$A:$A,T$2)</f>
        <v>0</v>
      </c>
      <c r="U70" s="12">
        <f>SUMIFS(BASE!$G:$G,BASE!$B:$B,$B70,BASE!$L:$L,$G70,BASE!$J:$J,$C70,BASE!$A:$A,U$2)</f>
        <v>0</v>
      </c>
      <c r="V70" s="12">
        <f>SUMIFS(BASE!$G:$G,BASE!$B:$B,$B70,BASE!$L:$L,$G70,BASE!$J:$J,$C70,BASE!$A:$A,V$2)</f>
        <v>0</v>
      </c>
      <c r="X70" t="str">
        <f t="shared" si="3"/>
        <v>ZERADO</v>
      </c>
    </row>
    <row r="71" spans="2:24">
      <c r="B71" s="8" t="s">
        <v>386</v>
      </c>
      <c r="C71" s="9" t="s">
        <v>227</v>
      </c>
      <c r="D71" s="9" t="s">
        <v>350</v>
      </c>
      <c r="E71" s="9" t="s">
        <v>268</v>
      </c>
      <c r="F71" s="9" t="s">
        <v>387</v>
      </c>
      <c r="G71" s="9" t="s">
        <v>61</v>
      </c>
      <c r="H71" s="7" t="str">
        <f>IFERROR(IF(_xlfn.XLOOKUP(B71,REPASSE!D:D,REPASSE!D:D)="","Não","Sim"),"Não")</f>
        <v>Não</v>
      </c>
      <c r="I71" s="7" t="str">
        <f>IF(_xlfn.XLOOKUP(B71,'BOOST LIBERADO'!B:B,'BOOST LIBERADO'!B:B,"Não")="Não","Não","Sim")</f>
        <v>Sim</v>
      </c>
      <c r="J71" s="83" t="str">
        <f t="shared" si="2"/>
        <v>Sim</v>
      </c>
      <c r="K71" s="12">
        <f>SUMIFS(BASE!$G:$G,BASE!$B:$B,$B71,BASE!$L:$L,$G71,BASE!$J:$J,$C71,BASE!$A:$A,K$2)</f>
        <v>0</v>
      </c>
      <c r="L71" s="12">
        <f>SUMIFS(BASE!$G:$G,BASE!$B:$B,$B71,BASE!$L:$L,$G71,BASE!$J:$J,$C71,BASE!$A:$A,L$2)</f>
        <v>0</v>
      </c>
      <c r="M71" s="12">
        <f>SUMIFS(BASE!$G:$G,BASE!$B:$B,$B71,BASE!$L:$L,$G71,BASE!$J:$J,$C71,BASE!$A:$A,M$2)</f>
        <v>0</v>
      </c>
      <c r="N71" s="12">
        <f>SUMIFS(BASE!$G:$G,BASE!$B:$B,$B71,BASE!$L:$L,$G71,BASE!$J:$J,$C71,BASE!$A:$A,N$2)</f>
        <v>0</v>
      </c>
      <c r="O71" s="12">
        <f>SUMIFS(BASE!$G:$G,BASE!$B:$B,$B71,BASE!$L:$L,$G71,BASE!$J:$J,$C71,BASE!$A:$A,O$2)</f>
        <v>0</v>
      </c>
      <c r="P71" s="12">
        <f>SUMIFS(BASE!$G:$G,BASE!$B:$B,$B71,BASE!$L:$L,$G71,BASE!$J:$J,$C71,BASE!$A:$A,P$2)</f>
        <v>0</v>
      </c>
      <c r="Q71" s="12">
        <f>SUMIFS(BASE!$G:$G,BASE!$B:$B,$B71,BASE!$L:$L,$G71,BASE!$J:$J,$C71,BASE!$A:$A,Q$2)</f>
        <v>0</v>
      </c>
      <c r="R71" s="12">
        <f>SUMIFS(BASE!$G:$G,BASE!$B:$B,$B71,BASE!$L:$L,$G71,BASE!$J:$J,$C71,BASE!$A:$A,R$2)</f>
        <v>0</v>
      </c>
      <c r="S71" s="12">
        <f>SUMIFS(BASE!$G:$G,BASE!$B:$B,$B71,BASE!$L:$L,$G71,BASE!$J:$J,$C71,BASE!$A:$A,S$2)</f>
        <v>0</v>
      </c>
      <c r="T71" s="12">
        <f>SUMIFS(BASE!$G:$G,BASE!$B:$B,$B71,BASE!$L:$L,$G71,BASE!$J:$J,$C71,BASE!$A:$A,T$2)</f>
        <v>0</v>
      </c>
      <c r="U71" s="12">
        <f>SUMIFS(BASE!$G:$G,BASE!$B:$B,$B71,BASE!$L:$L,$G71,BASE!$J:$J,$C71,BASE!$A:$A,U$2)</f>
        <v>0</v>
      </c>
      <c r="V71" s="12">
        <f>SUMIFS(BASE!$G:$G,BASE!$B:$B,$B71,BASE!$L:$L,$G71,BASE!$J:$J,$C71,BASE!$A:$A,V$2)</f>
        <v>0</v>
      </c>
      <c r="X71" t="str">
        <f t="shared" si="3"/>
        <v>ZERADO</v>
      </c>
    </row>
    <row r="72" spans="2:24">
      <c r="B72" s="8" t="s">
        <v>388</v>
      </c>
      <c r="C72" s="9" t="s">
        <v>123</v>
      </c>
      <c r="D72" s="9" t="s">
        <v>272</v>
      </c>
      <c r="E72" s="9" t="s">
        <v>256</v>
      </c>
      <c r="F72" s="9" t="s">
        <v>389</v>
      </c>
      <c r="G72" s="9" t="s">
        <v>61</v>
      </c>
      <c r="H72" s="7" t="str">
        <f>IFERROR(IF(_xlfn.XLOOKUP(B72,REPASSE!D:D,REPASSE!D:D)="","Não","Sim"),"Não")</f>
        <v>Não</v>
      </c>
      <c r="I72" s="7" t="str">
        <f>IF(_xlfn.XLOOKUP(B72,'BOOST LIBERADO'!B:B,'BOOST LIBERADO'!B:B,"Não")="Não","Não","Sim")</f>
        <v>Sim</v>
      </c>
      <c r="J72" s="83" t="str">
        <f t="shared" si="2"/>
        <v>Sim</v>
      </c>
      <c r="K72" s="12">
        <f>SUMIFS(BASE!$G:$G,BASE!$B:$B,$B72,BASE!$L:$L,$G72,BASE!$J:$J,$C72,BASE!$A:$A,K$2)</f>
        <v>0</v>
      </c>
      <c r="L72" s="12">
        <f>SUMIFS(BASE!$G:$G,BASE!$B:$B,$B72,BASE!$L:$L,$G72,BASE!$J:$J,$C72,BASE!$A:$A,L$2)</f>
        <v>0</v>
      </c>
      <c r="M72" s="12">
        <f>SUMIFS(BASE!$G:$G,BASE!$B:$B,$B72,BASE!$L:$L,$G72,BASE!$J:$J,$C72,BASE!$A:$A,M$2)</f>
        <v>0</v>
      </c>
      <c r="N72" s="12">
        <f>SUMIFS(BASE!$G:$G,BASE!$B:$B,$B72,BASE!$L:$L,$G72,BASE!$J:$J,$C72,BASE!$A:$A,N$2)</f>
        <v>0</v>
      </c>
      <c r="O72" s="12">
        <f>SUMIFS(BASE!$G:$G,BASE!$B:$B,$B72,BASE!$L:$L,$G72,BASE!$J:$J,$C72,BASE!$A:$A,O$2)</f>
        <v>0</v>
      </c>
      <c r="P72" s="12">
        <f>SUMIFS(BASE!$G:$G,BASE!$B:$B,$B72,BASE!$L:$L,$G72,BASE!$J:$J,$C72,BASE!$A:$A,P$2)</f>
        <v>0</v>
      </c>
      <c r="Q72" s="12">
        <f>SUMIFS(BASE!$G:$G,BASE!$B:$B,$B72,BASE!$L:$L,$G72,BASE!$J:$J,$C72,BASE!$A:$A,Q$2)</f>
        <v>0</v>
      </c>
      <c r="R72" s="12">
        <f>SUMIFS(BASE!$G:$G,BASE!$B:$B,$B72,BASE!$L:$L,$G72,BASE!$J:$J,$C72,BASE!$A:$A,R$2)</f>
        <v>0</v>
      </c>
      <c r="S72" s="12">
        <f>SUMIFS(BASE!$G:$G,BASE!$B:$B,$B72,BASE!$L:$L,$G72,BASE!$J:$J,$C72,BASE!$A:$A,S$2)</f>
        <v>0</v>
      </c>
      <c r="T72" s="12">
        <f>SUMIFS(BASE!$G:$G,BASE!$B:$B,$B72,BASE!$L:$L,$G72,BASE!$J:$J,$C72,BASE!$A:$A,T$2)</f>
        <v>0</v>
      </c>
      <c r="U72" s="12">
        <f>SUMIFS(BASE!$G:$G,BASE!$B:$B,$B72,BASE!$L:$L,$G72,BASE!$J:$J,$C72,BASE!$A:$A,U$2)</f>
        <v>0</v>
      </c>
      <c r="V72" s="12">
        <f>SUMIFS(BASE!$G:$G,BASE!$B:$B,$B72,BASE!$L:$L,$G72,BASE!$J:$J,$C72,BASE!$A:$A,V$2)</f>
        <v>0</v>
      </c>
      <c r="X72" t="str">
        <f t="shared" si="3"/>
        <v>ZERADO</v>
      </c>
    </row>
    <row r="73" spans="2:24">
      <c r="B73" s="8" t="s">
        <v>390</v>
      </c>
      <c r="C73" s="9" t="s">
        <v>238</v>
      </c>
      <c r="D73" s="9" t="s">
        <v>278</v>
      </c>
      <c r="E73" s="9" t="s">
        <v>260</v>
      </c>
      <c r="F73" s="9" t="s">
        <v>261</v>
      </c>
      <c r="G73" s="9" t="s">
        <v>61</v>
      </c>
      <c r="H73" s="7" t="str">
        <f>IFERROR(IF(_xlfn.XLOOKUP(B73,REPASSE!D:D,REPASSE!D:D)="","Não","Sim"),"Não")</f>
        <v>Não</v>
      </c>
      <c r="I73" s="7" t="str">
        <f>IF(_xlfn.XLOOKUP(B73,'BOOST LIBERADO'!B:B,'BOOST LIBERADO'!B:B,"Não")="Não","Não","Sim")</f>
        <v>Sim</v>
      </c>
      <c r="J73" s="83" t="str">
        <f t="shared" si="2"/>
        <v>Sim</v>
      </c>
      <c r="K73" s="12">
        <f>SUMIFS(BASE!$G:$G,BASE!$B:$B,$B73,BASE!$L:$L,$G73,BASE!$J:$J,$C73,BASE!$A:$A,K$2)</f>
        <v>0</v>
      </c>
      <c r="L73" s="12">
        <f>SUMIFS(BASE!$G:$G,BASE!$B:$B,$B73,BASE!$L:$L,$G73,BASE!$J:$J,$C73,BASE!$A:$A,L$2)</f>
        <v>0</v>
      </c>
      <c r="M73" s="12">
        <f>SUMIFS(BASE!$G:$G,BASE!$B:$B,$B73,BASE!$L:$L,$G73,BASE!$J:$J,$C73,BASE!$A:$A,M$2)</f>
        <v>0</v>
      </c>
      <c r="N73" s="12">
        <f>SUMIFS(BASE!$G:$G,BASE!$B:$B,$B73,BASE!$L:$L,$G73,BASE!$J:$J,$C73,BASE!$A:$A,N$2)</f>
        <v>0</v>
      </c>
      <c r="O73" s="12">
        <f>SUMIFS(BASE!$G:$G,BASE!$B:$B,$B73,BASE!$L:$L,$G73,BASE!$J:$J,$C73,BASE!$A:$A,O$2)</f>
        <v>0</v>
      </c>
      <c r="P73" s="12">
        <f>SUMIFS(BASE!$G:$G,BASE!$B:$B,$B73,BASE!$L:$L,$G73,BASE!$J:$J,$C73,BASE!$A:$A,P$2)</f>
        <v>0</v>
      </c>
      <c r="Q73" s="12">
        <f>SUMIFS(BASE!$G:$G,BASE!$B:$B,$B73,BASE!$L:$L,$G73,BASE!$J:$J,$C73,BASE!$A:$A,Q$2)</f>
        <v>0</v>
      </c>
      <c r="R73" s="12">
        <f>SUMIFS(BASE!$G:$G,BASE!$B:$B,$B73,BASE!$L:$L,$G73,BASE!$J:$J,$C73,BASE!$A:$A,R$2)</f>
        <v>0</v>
      </c>
      <c r="S73" s="12">
        <f>SUMIFS(BASE!$G:$G,BASE!$B:$B,$B73,BASE!$L:$L,$G73,BASE!$J:$J,$C73,BASE!$A:$A,S$2)</f>
        <v>0</v>
      </c>
      <c r="T73" s="12">
        <f>SUMIFS(BASE!$G:$G,BASE!$B:$B,$B73,BASE!$L:$L,$G73,BASE!$J:$J,$C73,BASE!$A:$A,T$2)</f>
        <v>0</v>
      </c>
      <c r="U73" s="12">
        <f>SUMIFS(BASE!$G:$G,BASE!$B:$B,$B73,BASE!$L:$L,$G73,BASE!$J:$J,$C73,BASE!$A:$A,U$2)</f>
        <v>0</v>
      </c>
      <c r="V73" s="12">
        <f>SUMIFS(BASE!$G:$G,BASE!$B:$B,$B73,BASE!$L:$L,$G73,BASE!$J:$J,$C73,BASE!$A:$A,V$2)</f>
        <v>0</v>
      </c>
      <c r="X73" t="str">
        <f t="shared" si="3"/>
        <v>ZERADO</v>
      </c>
    </row>
    <row r="74" spans="2:24">
      <c r="B74" s="8" t="s">
        <v>391</v>
      </c>
      <c r="C74" s="9" t="s">
        <v>196</v>
      </c>
      <c r="D74" s="9" t="s">
        <v>267</v>
      </c>
      <c r="E74" s="9" t="s">
        <v>268</v>
      </c>
      <c r="F74" s="9" t="s">
        <v>392</v>
      </c>
      <c r="G74" s="9" t="s">
        <v>61</v>
      </c>
      <c r="H74" s="7" t="str">
        <f>IFERROR(IF(_xlfn.XLOOKUP(B74,REPASSE!D:D,REPASSE!D:D)="","Não","Sim"),"Não")</f>
        <v>Não</v>
      </c>
      <c r="I74" s="7" t="str">
        <f>IF(_xlfn.XLOOKUP(B74,'BOOST LIBERADO'!B:B,'BOOST LIBERADO'!B:B,"Não")="Não","Não","Sim")</f>
        <v>Não</v>
      </c>
      <c r="J74" s="83" t="str">
        <f t="shared" si="2"/>
        <v>Não</v>
      </c>
      <c r="K74" s="12">
        <f>SUMIFS(BASE!$G:$G,BASE!$B:$B,$B74,BASE!$L:$L,$G74,BASE!$J:$J,$C74,BASE!$A:$A,K$2)</f>
        <v>0</v>
      </c>
      <c r="L74" s="12">
        <f>SUMIFS(BASE!$G:$G,BASE!$B:$B,$B74,BASE!$L:$L,$G74,BASE!$J:$J,$C74,BASE!$A:$A,L$2)</f>
        <v>0</v>
      </c>
      <c r="M74" s="12">
        <f>SUMIFS(BASE!$G:$G,BASE!$B:$B,$B74,BASE!$L:$L,$G74,BASE!$J:$J,$C74,BASE!$A:$A,M$2)</f>
        <v>0</v>
      </c>
      <c r="N74" s="12">
        <f>SUMIFS(BASE!$G:$G,BASE!$B:$B,$B74,BASE!$L:$L,$G74,BASE!$J:$J,$C74,BASE!$A:$A,N$2)</f>
        <v>0</v>
      </c>
      <c r="O74" s="12">
        <f>SUMIFS(BASE!$G:$G,BASE!$B:$B,$B74,BASE!$L:$L,$G74,BASE!$J:$J,$C74,BASE!$A:$A,O$2)</f>
        <v>0</v>
      </c>
      <c r="P74" s="12">
        <f>SUMIFS(BASE!$G:$G,BASE!$B:$B,$B74,BASE!$L:$L,$G74,BASE!$J:$J,$C74,BASE!$A:$A,P$2)</f>
        <v>0</v>
      </c>
      <c r="Q74" s="12">
        <f>SUMIFS(BASE!$G:$G,BASE!$B:$B,$B74,BASE!$L:$L,$G74,BASE!$J:$J,$C74,BASE!$A:$A,Q$2)</f>
        <v>0</v>
      </c>
      <c r="R74" s="12">
        <f>SUMIFS(BASE!$G:$G,BASE!$B:$B,$B74,BASE!$L:$L,$G74,BASE!$J:$J,$C74,BASE!$A:$A,R$2)</f>
        <v>0</v>
      </c>
      <c r="S74" s="12">
        <f>SUMIFS(BASE!$G:$G,BASE!$B:$B,$B74,BASE!$L:$L,$G74,BASE!$J:$J,$C74,BASE!$A:$A,S$2)</f>
        <v>0</v>
      </c>
      <c r="T74" s="12">
        <f>SUMIFS(BASE!$G:$G,BASE!$B:$B,$B74,BASE!$L:$L,$G74,BASE!$J:$J,$C74,BASE!$A:$A,T$2)</f>
        <v>0</v>
      </c>
      <c r="U74" s="12">
        <f>SUMIFS(BASE!$G:$G,BASE!$B:$B,$B74,BASE!$L:$L,$G74,BASE!$J:$J,$C74,BASE!$A:$A,U$2)</f>
        <v>0</v>
      </c>
      <c r="V74" s="12">
        <f>SUMIFS(BASE!$G:$G,BASE!$B:$B,$B74,BASE!$L:$L,$G74,BASE!$J:$J,$C74,BASE!$A:$A,V$2)</f>
        <v>0</v>
      </c>
      <c r="X74" t="str">
        <f t="shared" si="3"/>
        <v>ZERADO</v>
      </c>
    </row>
    <row r="75" spans="2:24">
      <c r="B75" s="8" t="s">
        <v>393</v>
      </c>
      <c r="C75" s="9" t="s">
        <v>226</v>
      </c>
      <c r="D75" s="9" t="s">
        <v>274</v>
      </c>
      <c r="E75" s="9" t="s">
        <v>275</v>
      </c>
      <c r="F75" s="9" t="s">
        <v>337</v>
      </c>
      <c r="G75" s="9" t="s">
        <v>61</v>
      </c>
      <c r="H75" s="7" t="str">
        <f>IFERROR(IF(_xlfn.XLOOKUP(B75,REPASSE!D:D,REPASSE!D:D)="","Não","Sim"),"Não")</f>
        <v>Não</v>
      </c>
      <c r="I75" s="7" t="str">
        <f>IF(_xlfn.XLOOKUP(B75,'BOOST LIBERADO'!B:B,'BOOST LIBERADO'!B:B,"Não")="Não","Não","Sim")</f>
        <v>Sim</v>
      </c>
      <c r="J75" s="83" t="str">
        <f t="shared" si="2"/>
        <v>Sim</v>
      </c>
      <c r="K75" s="12">
        <f>SUMIFS(BASE!$G:$G,BASE!$B:$B,$B75,BASE!$L:$L,$G75,BASE!$J:$J,$C75,BASE!$A:$A,K$2)</f>
        <v>0</v>
      </c>
      <c r="L75" s="12">
        <f>SUMIFS(BASE!$G:$G,BASE!$B:$B,$B75,BASE!$L:$L,$G75,BASE!$J:$J,$C75,BASE!$A:$A,L$2)</f>
        <v>0</v>
      </c>
      <c r="M75" s="12">
        <f>SUMIFS(BASE!$G:$G,BASE!$B:$B,$B75,BASE!$L:$L,$G75,BASE!$J:$J,$C75,BASE!$A:$A,M$2)</f>
        <v>0</v>
      </c>
      <c r="N75" s="12">
        <f>SUMIFS(BASE!$G:$G,BASE!$B:$B,$B75,BASE!$L:$L,$G75,BASE!$J:$J,$C75,BASE!$A:$A,N$2)</f>
        <v>0</v>
      </c>
      <c r="O75" s="12">
        <f>SUMIFS(BASE!$G:$G,BASE!$B:$B,$B75,BASE!$L:$L,$G75,BASE!$J:$J,$C75,BASE!$A:$A,O$2)</f>
        <v>0</v>
      </c>
      <c r="P75" s="12">
        <f>SUMIFS(BASE!$G:$G,BASE!$B:$B,$B75,BASE!$L:$L,$G75,BASE!$J:$J,$C75,BASE!$A:$A,P$2)</f>
        <v>0</v>
      </c>
      <c r="Q75" s="12">
        <f>SUMIFS(BASE!$G:$G,BASE!$B:$B,$B75,BASE!$L:$L,$G75,BASE!$J:$J,$C75,BASE!$A:$A,Q$2)</f>
        <v>0</v>
      </c>
      <c r="R75" s="12">
        <f>SUMIFS(BASE!$G:$G,BASE!$B:$B,$B75,BASE!$L:$L,$G75,BASE!$J:$J,$C75,BASE!$A:$A,R$2)</f>
        <v>0</v>
      </c>
      <c r="S75" s="12">
        <f>SUMIFS(BASE!$G:$G,BASE!$B:$B,$B75,BASE!$L:$L,$G75,BASE!$J:$J,$C75,BASE!$A:$A,S$2)</f>
        <v>0</v>
      </c>
      <c r="T75" s="12">
        <f>SUMIFS(BASE!$G:$G,BASE!$B:$B,$B75,BASE!$L:$L,$G75,BASE!$J:$J,$C75,BASE!$A:$A,T$2)</f>
        <v>0</v>
      </c>
      <c r="U75" s="12">
        <f>SUMIFS(BASE!$G:$G,BASE!$B:$B,$B75,BASE!$L:$L,$G75,BASE!$J:$J,$C75,BASE!$A:$A,U$2)</f>
        <v>0</v>
      </c>
      <c r="V75" s="12">
        <f>SUMIFS(BASE!$G:$G,BASE!$B:$B,$B75,BASE!$L:$L,$G75,BASE!$J:$J,$C75,BASE!$A:$A,V$2)</f>
        <v>0</v>
      </c>
      <c r="X75" t="str">
        <f t="shared" si="3"/>
        <v>ZERADO</v>
      </c>
    </row>
    <row r="76" spans="2:24">
      <c r="B76" s="8" t="s">
        <v>394</v>
      </c>
      <c r="C76" s="9" t="s">
        <v>238</v>
      </c>
      <c r="D76" s="9" t="s">
        <v>318</v>
      </c>
      <c r="E76" s="9" t="s">
        <v>260</v>
      </c>
      <c r="F76" s="9" t="s">
        <v>395</v>
      </c>
      <c r="G76" s="9" t="s">
        <v>61</v>
      </c>
      <c r="H76" s="7" t="str">
        <f>IFERROR(IF(_xlfn.XLOOKUP(B76,REPASSE!D:D,REPASSE!D:D)="","Não","Sim"),"Não")</f>
        <v>Não</v>
      </c>
      <c r="I76" s="7" t="str">
        <f>IF(_xlfn.XLOOKUP(B76,'BOOST LIBERADO'!B:B,'BOOST LIBERADO'!B:B,"Não")="Não","Não","Sim")</f>
        <v>Sim</v>
      </c>
      <c r="J76" s="83" t="str">
        <f t="shared" si="2"/>
        <v>Sim</v>
      </c>
      <c r="K76" s="12">
        <f>SUMIFS(BASE!$G:$G,BASE!$B:$B,$B76,BASE!$L:$L,$G76,BASE!$J:$J,$C76,BASE!$A:$A,K$2)</f>
        <v>0</v>
      </c>
      <c r="L76" s="12">
        <f>SUMIFS(BASE!$G:$G,BASE!$B:$B,$B76,BASE!$L:$L,$G76,BASE!$J:$J,$C76,BASE!$A:$A,L$2)</f>
        <v>0</v>
      </c>
      <c r="M76" s="12">
        <f>SUMIFS(BASE!$G:$G,BASE!$B:$B,$B76,BASE!$L:$L,$G76,BASE!$J:$J,$C76,BASE!$A:$A,M$2)</f>
        <v>0</v>
      </c>
      <c r="N76" s="12">
        <f>SUMIFS(BASE!$G:$G,BASE!$B:$B,$B76,BASE!$L:$L,$G76,BASE!$J:$J,$C76,BASE!$A:$A,N$2)</f>
        <v>0</v>
      </c>
      <c r="O76" s="12">
        <f>SUMIFS(BASE!$G:$G,BASE!$B:$B,$B76,BASE!$L:$L,$G76,BASE!$J:$J,$C76,BASE!$A:$A,O$2)</f>
        <v>0</v>
      </c>
      <c r="P76" s="12">
        <f>SUMIFS(BASE!$G:$G,BASE!$B:$B,$B76,BASE!$L:$L,$G76,BASE!$J:$J,$C76,BASE!$A:$A,P$2)</f>
        <v>0</v>
      </c>
      <c r="Q76" s="12">
        <f>SUMIFS(BASE!$G:$G,BASE!$B:$B,$B76,BASE!$L:$L,$G76,BASE!$J:$J,$C76,BASE!$A:$A,Q$2)</f>
        <v>0</v>
      </c>
      <c r="R76" s="12">
        <f>SUMIFS(BASE!$G:$G,BASE!$B:$B,$B76,BASE!$L:$L,$G76,BASE!$J:$J,$C76,BASE!$A:$A,R$2)</f>
        <v>1</v>
      </c>
      <c r="S76" s="12">
        <f>SUMIFS(BASE!$G:$G,BASE!$B:$B,$B76,BASE!$L:$L,$G76,BASE!$J:$J,$C76,BASE!$A:$A,S$2)</f>
        <v>0</v>
      </c>
      <c r="T76" s="12">
        <f>SUMIFS(BASE!$G:$G,BASE!$B:$B,$B76,BASE!$L:$L,$G76,BASE!$J:$J,$C76,BASE!$A:$A,T$2)</f>
        <v>0</v>
      </c>
      <c r="U76" s="12">
        <f>SUMIFS(BASE!$G:$G,BASE!$B:$B,$B76,BASE!$L:$L,$G76,BASE!$J:$J,$C76,BASE!$A:$A,U$2)</f>
        <v>0</v>
      </c>
      <c r="V76" s="12">
        <f>SUMIFS(BASE!$G:$G,BASE!$B:$B,$B76,BASE!$L:$L,$G76,BASE!$J:$J,$C76,BASE!$A:$A,V$2)</f>
        <v>0</v>
      </c>
      <c r="X76" t="str">
        <f t="shared" si="3"/>
        <v>COM TROCAS</v>
      </c>
    </row>
    <row r="77" spans="2:24">
      <c r="B77" s="8" t="s">
        <v>396</v>
      </c>
      <c r="C77" s="9" t="s">
        <v>196</v>
      </c>
      <c r="D77" s="9" t="s">
        <v>305</v>
      </c>
      <c r="E77" s="9" t="s">
        <v>268</v>
      </c>
      <c r="F77" s="9" t="s">
        <v>269</v>
      </c>
      <c r="G77" s="9" t="s">
        <v>61</v>
      </c>
      <c r="H77" s="7" t="str">
        <f>IFERROR(IF(_xlfn.XLOOKUP(B77,REPASSE!D:D,REPASSE!D:D)="","Não","Sim"),"Não")</f>
        <v>Não</v>
      </c>
      <c r="I77" s="7" t="str">
        <f>IF(_xlfn.XLOOKUP(B77,'BOOST LIBERADO'!B:B,'BOOST LIBERADO'!B:B,"Não")="Não","Não","Sim")</f>
        <v>Não</v>
      </c>
      <c r="J77" s="83" t="str">
        <f t="shared" si="2"/>
        <v>Não</v>
      </c>
      <c r="K77" s="12">
        <f>SUMIFS(BASE!$G:$G,BASE!$B:$B,$B77,BASE!$L:$L,$G77,BASE!$J:$J,$C77,BASE!$A:$A,K$2)</f>
        <v>0</v>
      </c>
      <c r="L77" s="12">
        <f>SUMIFS(BASE!$G:$G,BASE!$B:$B,$B77,BASE!$L:$L,$G77,BASE!$J:$J,$C77,BASE!$A:$A,L$2)</f>
        <v>0</v>
      </c>
      <c r="M77" s="12">
        <f>SUMIFS(BASE!$G:$G,BASE!$B:$B,$B77,BASE!$L:$L,$G77,BASE!$J:$J,$C77,BASE!$A:$A,M$2)</f>
        <v>0</v>
      </c>
      <c r="N77" s="12">
        <f>SUMIFS(BASE!$G:$G,BASE!$B:$B,$B77,BASE!$L:$L,$G77,BASE!$J:$J,$C77,BASE!$A:$A,N$2)</f>
        <v>0</v>
      </c>
      <c r="O77" s="12">
        <f>SUMIFS(BASE!$G:$G,BASE!$B:$B,$B77,BASE!$L:$L,$G77,BASE!$J:$J,$C77,BASE!$A:$A,O$2)</f>
        <v>0</v>
      </c>
      <c r="P77" s="12">
        <f>SUMIFS(BASE!$G:$G,BASE!$B:$B,$B77,BASE!$L:$L,$G77,BASE!$J:$J,$C77,BASE!$A:$A,P$2)</f>
        <v>0</v>
      </c>
      <c r="Q77" s="12">
        <f>SUMIFS(BASE!$G:$G,BASE!$B:$B,$B77,BASE!$L:$L,$G77,BASE!$J:$J,$C77,BASE!$A:$A,Q$2)</f>
        <v>0</v>
      </c>
      <c r="R77" s="12">
        <f>SUMIFS(BASE!$G:$G,BASE!$B:$B,$B77,BASE!$L:$L,$G77,BASE!$J:$J,$C77,BASE!$A:$A,R$2)</f>
        <v>0</v>
      </c>
      <c r="S77" s="12">
        <f>SUMIFS(BASE!$G:$G,BASE!$B:$B,$B77,BASE!$L:$L,$G77,BASE!$J:$J,$C77,BASE!$A:$A,S$2)</f>
        <v>0</v>
      </c>
      <c r="T77" s="12">
        <f>SUMIFS(BASE!$G:$G,BASE!$B:$B,$B77,BASE!$L:$L,$G77,BASE!$J:$J,$C77,BASE!$A:$A,T$2)</f>
        <v>0</v>
      </c>
      <c r="U77" s="12">
        <f>SUMIFS(BASE!$G:$G,BASE!$B:$B,$B77,BASE!$L:$L,$G77,BASE!$J:$J,$C77,BASE!$A:$A,U$2)</f>
        <v>0</v>
      </c>
      <c r="V77" s="12">
        <f>SUMIFS(BASE!$G:$G,BASE!$B:$B,$B77,BASE!$L:$L,$G77,BASE!$J:$J,$C77,BASE!$A:$A,V$2)</f>
        <v>0</v>
      </c>
      <c r="X77" t="str">
        <f t="shared" si="3"/>
        <v>ZERADO</v>
      </c>
    </row>
    <row r="78" spans="2:24">
      <c r="B78" s="8" t="s">
        <v>397</v>
      </c>
      <c r="C78" s="9" t="s">
        <v>174</v>
      </c>
      <c r="D78" s="9" t="s">
        <v>318</v>
      </c>
      <c r="E78" s="9" t="s">
        <v>260</v>
      </c>
      <c r="F78" s="9" t="s">
        <v>398</v>
      </c>
      <c r="G78" s="9" t="s">
        <v>61</v>
      </c>
      <c r="H78" s="7" t="str">
        <f>IFERROR(IF(_xlfn.XLOOKUP(B78,REPASSE!D:D,REPASSE!D:D)="","Não","Sim"),"Não")</f>
        <v>Não</v>
      </c>
      <c r="I78" s="7" t="str">
        <f>IF(_xlfn.XLOOKUP(B78,'BOOST LIBERADO'!B:B,'BOOST LIBERADO'!B:B,"Não")="Não","Não","Sim")</f>
        <v>Sim</v>
      </c>
      <c r="J78" s="83" t="str">
        <f t="shared" si="2"/>
        <v>Sim</v>
      </c>
      <c r="K78" s="12">
        <f>SUMIFS(BASE!$G:$G,BASE!$B:$B,$B78,BASE!$L:$L,$G78,BASE!$J:$J,$C78,BASE!$A:$A,K$2)</f>
        <v>0</v>
      </c>
      <c r="L78" s="12">
        <f>SUMIFS(BASE!$G:$G,BASE!$B:$B,$B78,BASE!$L:$L,$G78,BASE!$J:$J,$C78,BASE!$A:$A,L$2)</f>
        <v>0</v>
      </c>
      <c r="M78" s="12">
        <f>SUMIFS(BASE!$G:$G,BASE!$B:$B,$B78,BASE!$L:$L,$G78,BASE!$J:$J,$C78,BASE!$A:$A,M$2)</f>
        <v>0</v>
      </c>
      <c r="N78" s="12">
        <f>SUMIFS(BASE!$G:$G,BASE!$B:$B,$B78,BASE!$L:$L,$G78,BASE!$J:$J,$C78,BASE!$A:$A,N$2)</f>
        <v>0</v>
      </c>
      <c r="O78" s="12">
        <f>SUMIFS(BASE!$G:$G,BASE!$B:$B,$B78,BASE!$L:$L,$G78,BASE!$J:$J,$C78,BASE!$A:$A,O$2)</f>
        <v>0</v>
      </c>
      <c r="P78" s="12">
        <f>SUMIFS(BASE!$G:$G,BASE!$B:$B,$B78,BASE!$L:$L,$G78,BASE!$J:$J,$C78,BASE!$A:$A,P$2)</f>
        <v>0</v>
      </c>
      <c r="Q78" s="12">
        <f>SUMIFS(BASE!$G:$G,BASE!$B:$B,$B78,BASE!$L:$L,$G78,BASE!$J:$J,$C78,BASE!$A:$A,Q$2)</f>
        <v>0</v>
      </c>
      <c r="R78" s="12">
        <f>SUMIFS(BASE!$G:$G,BASE!$B:$B,$B78,BASE!$L:$L,$G78,BASE!$J:$J,$C78,BASE!$A:$A,R$2)</f>
        <v>0</v>
      </c>
      <c r="S78" s="12">
        <f>SUMIFS(BASE!$G:$G,BASE!$B:$B,$B78,BASE!$L:$L,$G78,BASE!$J:$J,$C78,BASE!$A:$A,S$2)</f>
        <v>0</v>
      </c>
      <c r="T78" s="12">
        <f>SUMIFS(BASE!$G:$G,BASE!$B:$B,$B78,BASE!$L:$L,$G78,BASE!$J:$J,$C78,BASE!$A:$A,T$2)</f>
        <v>0</v>
      </c>
      <c r="U78" s="12">
        <f>SUMIFS(BASE!$G:$G,BASE!$B:$B,$B78,BASE!$L:$L,$G78,BASE!$J:$J,$C78,BASE!$A:$A,U$2)</f>
        <v>0</v>
      </c>
      <c r="V78" s="12">
        <f>SUMIFS(BASE!$G:$G,BASE!$B:$B,$B78,BASE!$L:$L,$G78,BASE!$J:$J,$C78,BASE!$A:$A,V$2)</f>
        <v>0</v>
      </c>
      <c r="X78" t="str">
        <f t="shared" si="3"/>
        <v>ZERADO</v>
      </c>
    </row>
    <row r="79" spans="2:24">
      <c r="B79" s="8" t="s">
        <v>399</v>
      </c>
      <c r="C79" s="9" t="s">
        <v>227</v>
      </c>
      <c r="D79" s="9" t="s">
        <v>400</v>
      </c>
      <c r="E79" s="9" t="s">
        <v>268</v>
      </c>
      <c r="F79" s="9" t="s">
        <v>401</v>
      </c>
      <c r="G79" s="9" t="s">
        <v>61</v>
      </c>
      <c r="H79" s="7" t="str">
        <f>IFERROR(IF(_xlfn.XLOOKUP(B79,REPASSE!D:D,REPASSE!D:D)="","Não","Sim"),"Não")</f>
        <v>Não</v>
      </c>
      <c r="I79" s="7" t="str">
        <f>IF(_xlfn.XLOOKUP(B79,'BOOST LIBERADO'!B:B,'BOOST LIBERADO'!B:B,"Não")="Não","Não","Sim")</f>
        <v>Sim</v>
      </c>
      <c r="J79" s="83" t="str">
        <f t="shared" si="2"/>
        <v>Sim</v>
      </c>
      <c r="K79" s="12">
        <f>SUMIFS(BASE!$G:$G,BASE!$B:$B,$B79,BASE!$L:$L,$G79,BASE!$J:$J,$C79,BASE!$A:$A,K$2)</f>
        <v>0</v>
      </c>
      <c r="L79" s="12">
        <f>SUMIFS(BASE!$G:$G,BASE!$B:$B,$B79,BASE!$L:$L,$G79,BASE!$J:$J,$C79,BASE!$A:$A,L$2)</f>
        <v>0</v>
      </c>
      <c r="M79" s="12">
        <f>SUMIFS(BASE!$G:$G,BASE!$B:$B,$B79,BASE!$L:$L,$G79,BASE!$J:$J,$C79,BASE!$A:$A,M$2)</f>
        <v>0</v>
      </c>
      <c r="N79" s="12">
        <f>SUMIFS(BASE!$G:$G,BASE!$B:$B,$B79,BASE!$L:$L,$G79,BASE!$J:$J,$C79,BASE!$A:$A,N$2)</f>
        <v>0</v>
      </c>
      <c r="O79" s="12">
        <f>SUMIFS(BASE!$G:$G,BASE!$B:$B,$B79,BASE!$L:$L,$G79,BASE!$J:$J,$C79,BASE!$A:$A,O$2)</f>
        <v>0</v>
      </c>
      <c r="P79" s="12">
        <f>SUMIFS(BASE!$G:$G,BASE!$B:$B,$B79,BASE!$L:$L,$G79,BASE!$J:$J,$C79,BASE!$A:$A,P$2)</f>
        <v>0</v>
      </c>
      <c r="Q79" s="12">
        <f>SUMIFS(BASE!$G:$G,BASE!$B:$B,$B79,BASE!$L:$L,$G79,BASE!$J:$J,$C79,BASE!$A:$A,Q$2)</f>
        <v>0</v>
      </c>
      <c r="R79" s="12">
        <f>SUMIFS(BASE!$G:$G,BASE!$B:$B,$B79,BASE!$L:$L,$G79,BASE!$J:$J,$C79,BASE!$A:$A,R$2)</f>
        <v>0</v>
      </c>
      <c r="S79" s="12">
        <f>SUMIFS(BASE!$G:$G,BASE!$B:$B,$B79,BASE!$L:$L,$G79,BASE!$J:$J,$C79,BASE!$A:$A,S$2)</f>
        <v>0</v>
      </c>
      <c r="T79" s="12">
        <f>SUMIFS(BASE!$G:$G,BASE!$B:$B,$B79,BASE!$L:$L,$G79,BASE!$J:$J,$C79,BASE!$A:$A,T$2)</f>
        <v>0</v>
      </c>
      <c r="U79" s="12">
        <f>SUMIFS(BASE!$G:$G,BASE!$B:$B,$B79,BASE!$L:$L,$G79,BASE!$J:$J,$C79,BASE!$A:$A,U$2)</f>
        <v>0</v>
      </c>
      <c r="V79" s="12">
        <f>SUMIFS(BASE!$G:$G,BASE!$B:$B,$B79,BASE!$L:$L,$G79,BASE!$J:$J,$C79,BASE!$A:$A,V$2)</f>
        <v>0</v>
      </c>
      <c r="X79" t="str">
        <f t="shared" si="3"/>
        <v>ZERADO</v>
      </c>
    </row>
    <row r="80" spans="2:24">
      <c r="B80" s="8" t="s">
        <v>402</v>
      </c>
      <c r="C80" s="9" t="s">
        <v>227</v>
      </c>
      <c r="D80" s="9" t="s">
        <v>400</v>
      </c>
      <c r="E80" s="9" t="s">
        <v>268</v>
      </c>
      <c r="F80" s="9" t="s">
        <v>269</v>
      </c>
      <c r="G80" s="9" t="s">
        <v>61</v>
      </c>
      <c r="H80" s="7" t="str">
        <f>IFERROR(IF(_xlfn.XLOOKUP(B80,REPASSE!D:D,REPASSE!D:D)="","Não","Sim"),"Não")</f>
        <v>Não</v>
      </c>
      <c r="I80" s="7" t="str">
        <f>IF(_xlfn.XLOOKUP(B80,'BOOST LIBERADO'!B:B,'BOOST LIBERADO'!B:B,"Não")="Não","Não","Sim")</f>
        <v>Sim</v>
      </c>
      <c r="J80" s="83" t="str">
        <f t="shared" si="2"/>
        <v>Sim</v>
      </c>
      <c r="K80" s="12">
        <f>SUMIFS(BASE!$G:$G,BASE!$B:$B,$B80,BASE!$L:$L,$G80,BASE!$J:$J,$C80,BASE!$A:$A,K$2)</f>
        <v>0</v>
      </c>
      <c r="L80" s="12">
        <f>SUMIFS(BASE!$G:$G,BASE!$B:$B,$B80,BASE!$L:$L,$G80,BASE!$J:$J,$C80,BASE!$A:$A,L$2)</f>
        <v>0</v>
      </c>
      <c r="M80" s="12">
        <f>SUMIFS(BASE!$G:$G,BASE!$B:$B,$B80,BASE!$L:$L,$G80,BASE!$J:$J,$C80,BASE!$A:$A,M$2)</f>
        <v>0</v>
      </c>
      <c r="N80" s="12">
        <f>SUMIFS(BASE!$G:$G,BASE!$B:$B,$B80,BASE!$L:$L,$G80,BASE!$J:$J,$C80,BASE!$A:$A,N$2)</f>
        <v>2</v>
      </c>
      <c r="O80" s="12">
        <f>SUMIFS(BASE!$G:$G,BASE!$B:$B,$B80,BASE!$L:$L,$G80,BASE!$J:$J,$C80,BASE!$A:$A,O$2)</f>
        <v>1</v>
      </c>
      <c r="P80" s="12">
        <f>SUMIFS(BASE!$G:$G,BASE!$B:$B,$B80,BASE!$L:$L,$G80,BASE!$J:$J,$C80,BASE!$A:$A,P$2)</f>
        <v>0</v>
      </c>
      <c r="Q80" s="12">
        <f>SUMIFS(BASE!$G:$G,BASE!$B:$B,$B80,BASE!$L:$L,$G80,BASE!$J:$J,$C80,BASE!$A:$A,Q$2)</f>
        <v>1</v>
      </c>
      <c r="R80" s="12">
        <f>SUMIFS(BASE!$G:$G,BASE!$B:$B,$B80,BASE!$L:$L,$G80,BASE!$J:$J,$C80,BASE!$A:$A,R$2)</f>
        <v>2</v>
      </c>
      <c r="S80" s="12">
        <f>SUMIFS(BASE!$G:$G,BASE!$B:$B,$B80,BASE!$L:$L,$G80,BASE!$J:$J,$C80,BASE!$A:$A,S$2)</f>
        <v>0</v>
      </c>
      <c r="T80" s="12">
        <f>SUMIFS(BASE!$G:$G,BASE!$B:$B,$B80,BASE!$L:$L,$G80,BASE!$J:$J,$C80,BASE!$A:$A,T$2)</f>
        <v>0</v>
      </c>
      <c r="U80" s="12">
        <f>SUMIFS(BASE!$G:$G,BASE!$B:$B,$B80,BASE!$L:$L,$G80,BASE!$J:$J,$C80,BASE!$A:$A,U$2)</f>
        <v>0</v>
      </c>
      <c r="V80" s="12">
        <f>SUMIFS(BASE!$G:$G,BASE!$B:$B,$B80,BASE!$L:$L,$G80,BASE!$J:$J,$C80,BASE!$A:$A,V$2)</f>
        <v>0</v>
      </c>
      <c r="X80" t="str">
        <f t="shared" si="3"/>
        <v>COM TROCAS</v>
      </c>
    </row>
    <row r="81" spans="2:24">
      <c r="B81" s="8" t="s">
        <v>403</v>
      </c>
      <c r="C81" s="9" t="s">
        <v>196</v>
      </c>
      <c r="D81" s="9" t="s">
        <v>267</v>
      </c>
      <c r="E81" s="9" t="s">
        <v>268</v>
      </c>
      <c r="F81" s="9" t="s">
        <v>269</v>
      </c>
      <c r="G81" s="9" t="s">
        <v>61</v>
      </c>
      <c r="H81" s="7" t="str">
        <f>IFERROR(IF(_xlfn.XLOOKUP(B81,REPASSE!D:D,REPASSE!D:D)="","Não","Sim"),"Não")</f>
        <v>Não</v>
      </c>
      <c r="I81" s="7" t="str">
        <f>IF(_xlfn.XLOOKUP(B81,'BOOST LIBERADO'!B:B,'BOOST LIBERADO'!B:B,"Não")="Não","Não","Sim")</f>
        <v>Não</v>
      </c>
      <c r="J81" s="83" t="str">
        <f t="shared" si="2"/>
        <v>Não</v>
      </c>
      <c r="K81" s="12">
        <f>SUMIFS(BASE!$G:$G,BASE!$B:$B,$B81,BASE!$L:$L,$G81,BASE!$J:$J,$C81,BASE!$A:$A,K$2)</f>
        <v>0</v>
      </c>
      <c r="L81" s="12">
        <f>SUMIFS(BASE!$G:$G,BASE!$B:$B,$B81,BASE!$L:$L,$G81,BASE!$J:$J,$C81,BASE!$A:$A,L$2)</f>
        <v>0</v>
      </c>
      <c r="M81" s="12">
        <f>SUMIFS(BASE!$G:$G,BASE!$B:$B,$B81,BASE!$L:$L,$G81,BASE!$J:$J,$C81,BASE!$A:$A,M$2)</f>
        <v>0</v>
      </c>
      <c r="N81" s="12">
        <f>SUMIFS(BASE!$G:$G,BASE!$B:$B,$B81,BASE!$L:$L,$G81,BASE!$J:$J,$C81,BASE!$A:$A,N$2)</f>
        <v>0</v>
      </c>
      <c r="O81" s="12">
        <f>SUMIFS(BASE!$G:$G,BASE!$B:$B,$B81,BASE!$L:$L,$G81,BASE!$J:$J,$C81,BASE!$A:$A,O$2)</f>
        <v>0</v>
      </c>
      <c r="P81" s="12">
        <f>SUMIFS(BASE!$G:$G,BASE!$B:$B,$B81,BASE!$L:$L,$G81,BASE!$J:$J,$C81,BASE!$A:$A,P$2)</f>
        <v>0</v>
      </c>
      <c r="Q81" s="12">
        <f>SUMIFS(BASE!$G:$G,BASE!$B:$B,$B81,BASE!$L:$L,$G81,BASE!$J:$J,$C81,BASE!$A:$A,Q$2)</f>
        <v>0</v>
      </c>
      <c r="R81" s="12">
        <f>SUMIFS(BASE!$G:$G,BASE!$B:$B,$B81,BASE!$L:$L,$G81,BASE!$J:$J,$C81,BASE!$A:$A,R$2)</f>
        <v>0</v>
      </c>
      <c r="S81" s="12">
        <f>SUMIFS(BASE!$G:$G,BASE!$B:$B,$B81,BASE!$L:$L,$G81,BASE!$J:$J,$C81,BASE!$A:$A,S$2)</f>
        <v>0</v>
      </c>
      <c r="T81" s="12">
        <f>SUMIFS(BASE!$G:$G,BASE!$B:$B,$B81,BASE!$L:$L,$G81,BASE!$J:$J,$C81,BASE!$A:$A,T$2)</f>
        <v>0</v>
      </c>
      <c r="U81" s="12">
        <f>SUMIFS(BASE!$G:$G,BASE!$B:$B,$B81,BASE!$L:$L,$G81,BASE!$J:$J,$C81,BASE!$A:$A,U$2)</f>
        <v>0</v>
      </c>
      <c r="V81" s="12">
        <f>SUMIFS(BASE!$G:$G,BASE!$B:$B,$B81,BASE!$L:$L,$G81,BASE!$J:$J,$C81,BASE!$A:$A,V$2)</f>
        <v>0</v>
      </c>
      <c r="X81" t="str">
        <f t="shared" si="3"/>
        <v>ZERADO</v>
      </c>
    </row>
    <row r="82" spans="2:24">
      <c r="B82" s="8" t="s">
        <v>404</v>
      </c>
      <c r="C82" s="9" t="s">
        <v>230</v>
      </c>
      <c r="D82" s="9" t="s">
        <v>313</v>
      </c>
      <c r="E82" s="9" t="s">
        <v>252</v>
      </c>
      <c r="F82" s="9" t="s">
        <v>288</v>
      </c>
      <c r="G82" s="9" t="s">
        <v>61</v>
      </c>
      <c r="H82" s="7" t="str">
        <f>IFERROR(IF(_xlfn.XLOOKUP(B82,REPASSE!D:D,REPASSE!D:D)="","Não","Sim"),"Não")</f>
        <v>Não</v>
      </c>
      <c r="I82" s="7" t="str">
        <f>IF(_xlfn.XLOOKUP(B82,'BOOST LIBERADO'!B:B,'BOOST LIBERADO'!B:B,"Não")="Não","Não","Sim")</f>
        <v>Sim</v>
      </c>
      <c r="J82" s="83" t="str">
        <f t="shared" si="2"/>
        <v>Sim</v>
      </c>
      <c r="K82" s="12">
        <f>SUMIFS(BASE!$G:$G,BASE!$B:$B,$B82,BASE!$L:$L,$G82,BASE!$J:$J,$C82,BASE!$A:$A,K$2)</f>
        <v>4</v>
      </c>
      <c r="L82" s="12">
        <f>SUMIFS(BASE!$G:$G,BASE!$B:$B,$B82,BASE!$L:$L,$G82,BASE!$J:$J,$C82,BASE!$A:$A,L$2)</f>
        <v>0</v>
      </c>
      <c r="M82" s="12">
        <f>SUMIFS(BASE!$G:$G,BASE!$B:$B,$B82,BASE!$L:$L,$G82,BASE!$J:$J,$C82,BASE!$A:$A,M$2)</f>
        <v>5</v>
      </c>
      <c r="N82" s="12">
        <f>SUMIFS(BASE!$G:$G,BASE!$B:$B,$B82,BASE!$L:$L,$G82,BASE!$J:$J,$C82,BASE!$A:$A,N$2)</f>
        <v>2</v>
      </c>
      <c r="O82" s="12">
        <f>SUMIFS(BASE!$G:$G,BASE!$B:$B,$B82,BASE!$L:$L,$G82,BASE!$J:$J,$C82,BASE!$A:$A,O$2)</f>
        <v>7</v>
      </c>
      <c r="P82" s="12">
        <f>SUMIFS(BASE!$G:$G,BASE!$B:$B,$B82,BASE!$L:$L,$G82,BASE!$J:$J,$C82,BASE!$A:$A,P$2)</f>
        <v>2</v>
      </c>
      <c r="Q82" s="12">
        <f>SUMIFS(BASE!$G:$G,BASE!$B:$B,$B82,BASE!$L:$L,$G82,BASE!$J:$J,$C82,BASE!$A:$A,Q$2)</f>
        <v>5</v>
      </c>
      <c r="R82" s="12">
        <f>SUMIFS(BASE!$G:$G,BASE!$B:$B,$B82,BASE!$L:$L,$G82,BASE!$J:$J,$C82,BASE!$A:$A,R$2)</f>
        <v>10</v>
      </c>
      <c r="S82" s="12">
        <f>SUMIFS(BASE!$G:$G,BASE!$B:$B,$B82,BASE!$L:$L,$G82,BASE!$J:$J,$C82,BASE!$A:$A,S$2)</f>
        <v>0</v>
      </c>
      <c r="T82" s="12">
        <f>SUMIFS(BASE!$G:$G,BASE!$B:$B,$B82,BASE!$L:$L,$G82,BASE!$J:$J,$C82,BASE!$A:$A,T$2)</f>
        <v>0</v>
      </c>
      <c r="U82" s="12">
        <f>SUMIFS(BASE!$G:$G,BASE!$B:$B,$B82,BASE!$L:$L,$G82,BASE!$J:$J,$C82,BASE!$A:$A,U$2)</f>
        <v>0</v>
      </c>
      <c r="V82" s="12">
        <f>SUMIFS(BASE!$G:$G,BASE!$B:$B,$B82,BASE!$L:$L,$G82,BASE!$J:$J,$C82,BASE!$A:$A,V$2)</f>
        <v>0</v>
      </c>
      <c r="X82" t="str">
        <f t="shared" si="3"/>
        <v>COM TROCAS</v>
      </c>
    </row>
    <row r="83" spans="2:24">
      <c r="B83" s="8" t="s">
        <v>405</v>
      </c>
      <c r="C83" s="9" t="s">
        <v>230</v>
      </c>
      <c r="D83" s="9" t="s">
        <v>313</v>
      </c>
      <c r="E83" s="9" t="s">
        <v>252</v>
      </c>
      <c r="F83" s="9" t="s">
        <v>406</v>
      </c>
      <c r="G83" s="9" t="s">
        <v>61</v>
      </c>
      <c r="H83" s="7" t="str">
        <f>IFERROR(IF(_xlfn.XLOOKUP(B83,REPASSE!D:D,REPASSE!D:D)="","Não","Sim"),"Não")</f>
        <v>Não</v>
      </c>
      <c r="I83" s="7" t="str">
        <f>IF(_xlfn.XLOOKUP(B83,'BOOST LIBERADO'!B:B,'BOOST LIBERADO'!B:B,"Não")="Não","Não","Sim")</f>
        <v>Sim</v>
      </c>
      <c r="J83" s="83" t="str">
        <f t="shared" si="2"/>
        <v>Sim</v>
      </c>
      <c r="K83" s="12">
        <f>SUMIFS(BASE!$G:$G,BASE!$B:$B,$B83,BASE!$L:$L,$G83,BASE!$J:$J,$C83,BASE!$A:$A,K$2)</f>
        <v>0</v>
      </c>
      <c r="L83" s="12">
        <f>SUMIFS(BASE!$G:$G,BASE!$B:$B,$B83,BASE!$L:$L,$G83,BASE!$J:$J,$C83,BASE!$A:$A,L$2)</f>
        <v>0</v>
      </c>
      <c r="M83" s="12">
        <f>SUMIFS(BASE!$G:$G,BASE!$B:$B,$B83,BASE!$L:$L,$G83,BASE!$J:$J,$C83,BASE!$A:$A,M$2)</f>
        <v>1</v>
      </c>
      <c r="N83" s="12">
        <f>SUMIFS(BASE!$G:$G,BASE!$B:$B,$B83,BASE!$L:$L,$G83,BASE!$J:$J,$C83,BASE!$A:$A,N$2)</f>
        <v>0</v>
      </c>
      <c r="O83" s="12">
        <f>SUMIFS(BASE!$G:$G,BASE!$B:$B,$B83,BASE!$L:$L,$G83,BASE!$J:$J,$C83,BASE!$A:$A,O$2)</f>
        <v>0</v>
      </c>
      <c r="P83" s="12">
        <f>SUMIFS(BASE!$G:$G,BASE!$B:$B,$B83,BASE!$L:$L,$G83,BASE!$J:$J,$C83,BASE!$A:$A,P$2)</f>
        <v>0</v>
      </c>
      <c r="Q83" s="12">
        <f>SUMIFS(BASE!$G:$G,BASE!$B:$B,$B83,BASE!$L:$L,$G83,BASE!$J:$J,$C83,BASE!$A:$A,Q$2)</f>
        <v>0</v>
      </c>
      <c r="R83" s="12">
        <f>SUMIFS(BASE!$G:$G,BASE!$B:$B,$B83,BASE!$L:$L,$G83,BASE!$J:$J,$C83,BASE!$A:$A,R$2)</f>
        <v>1</v>
      </c>
      <c r="S83" s="12">
        <f>SUMIFS(BASE!$G:$G,BASE!$B:$B,$B83,BASE!$L:$L,$G83,BASE!$J:$J,$C83,BASE!$A:$A,S$2)</f>
        <v>0</v>
      </c>
      <c r="T83" s="12">
        <f>SUMIFS(BASE!$G:$G,BASE!$B:$B,$B83,BASE!$L:$L,$G83,BASE!$J:$J,$C83,BASE!$A:$A,T$2)</f>
        <v>0</v>
      </c>
      <c r="U83" s="12">
        <f>SUMIFS(BASE!$G:$G,BASE!$B:$B,$B83,BASE!$L:$L,$G83,BASE!$J:$J,$C83,BASE!$A:$A,U$2)</f>
        <v>0</v>
      </c>
      <c r="V83" s="12">
        <f>SUMIFS(BASE!$G:$G,BASE!$B:$B,$B83,BASE!$L:$L,$G83,BASE!$J:$J,$C83,BASE!$A:$A,V$2)</f>
        <v>0</v>
      </c>
      <c r="X83" t="str">
        <f t="shared" si="3"/>
        <v>COM TROCAS</v>
      </c>
    </row>
    <row r="84" spans="2:24">
      <c r="B84" s="8" t="s">
        <v>407</v>
      </c>
      <c r="C84" s="9" t="s">
        <v>230</v>
      </c>
      <c r="D84" s="9" t="s">
        <v>313</v>
      </c>
      <c r="E84" s="9" t="s">
        <v>252</v>
      </c>
      <c r="F84" s="9" t="s">
        <v>288</v>
      </c>
      <c r="G84" s="9" t="s">
        <v>61</v>
      </c>
      <c r="H84" s="7" t="str">
        <f>IFERROR(IF(_xlfn.XLOOKUP(B84,REPASSE!D:D,REPASSE!D:D)="","Não","Sim"),"Não")</f>
        <v>Não</v>
      </c>
      <c r="I84" s="7" t="str">
        <f>IF(_xlfn.XLOOKUP(B84,'BOOST LIBERADO'!B:B,'BOOST LIBERADO'!B:B,"Não")="Não","Não","Sim")</f>
        <v>Sim</v>
      </c>
      <c r="J84" s="83" t="str">
        <f t="shared" si="2"/>
        <v>Sim</v>
      </c>
      <c r="K84" s="12">
        <f>SUMIFS(BASE!$G:$G,BASE!$B:$B,$B84,BASE!$L:$L,$G84,BASE!$J:$J,$C84,BASE!$A:$A,K$2)</f>
        <v>0</v>
      </c>
      <c r="L84" s="12">
        <f>SUMIFS(BASE!$G:$G,BASE!$B:$B,$B84,BASE!$L:$L,$G84,BASE!$J:$J,$C84,BASE!$A:$A,L$2)</f>
        <v>1</v>
      </c>
      <c r="M84" s="12">
        <f>SUMIFS(BASE!$G:$G,BASE!$B:$B,$B84,BASE!$L:$L,$G84,BASE!$J:$J,$C84,BASE!$A:$A,M$2)</f>
        <v>0</v>
      </c>
      <c r="N84" s="12">
        <f>SUMIFS(BASE!$G:$G,BASE!$B:$B,$B84,BASE!$L:$L,$G84,BASE!$J:$J,$C84,BASE!$A:$A,N$2)</f>
        <v>0</v>
      </c>
      <c r="O84" s="12">
        <f>SUMIFS(BASE!$G:$G,BASE!$B:$B,$B84,BASE!$L:$L,$G84,BASE!$J:$J,$C84,BASE!$A:$A,O$2)</f>
        <v>0</v>
      </c>
      <c r="P84" s="12">
        <f>SUMIFS(BASE!$G:$G,BASE!$B:$B,$B84,BASE!$L:$L,$G84,BASE!$J:$J,$C84,BASE!$A:$A,P$2)</f>
        <v>3</v>
      </c>
      <c r="Q84" s="12">
        <f>SUMIFS(BASE!$G:$G,BASE!$B:$B,$B84,BASE!$L:$L,$G84,BASE!$J:$J,$C84,BASE!$A:$A,Q$2)</f>
        <v>9</v>
      </c>
      <c r="R84" s="12">
        <f>SUMIFS(BASE!$G:$G,BASE!$B:$B,$B84,BASE!$L:$L,$G84,BASE!$J:$J,$C84,BASE!$A:$A,R$2)</f>
        <v>1</v>
      </c>
      <c r="S84" s="12">
        <f>SUMIFS(BASE!$G:$G,BASE!$B:$B,$B84,BASE!$L:$L,$G84,BASE!$J:$J,$C84,BASE!$A:$A,S$2)</f>
        <v>0</v>
      </c>
      <c r="T84" s="12">
        <f>SUMIFS(BASE!$G:$G,BASE!$B:$B,$B84,BASE!$L:$L,$G84,BASE!$J:$J,$C84,BASE!$A:$A,T$2)</f>
        <v>0</v>
      </c>
      <c r="U84" s="12">
        <f>SUMIFS(BASE!$G:$G,BASE!$B:$B,$B84,BASE!$L:$L,$G84,BASE!$J:$J,$C84,BASE!$A:$A,U$2)</f>
        <v>0</v>
      </c>
      <c r="V84" s="12">
        <f>SUMIFS(BASE!$G:$G,BASE!$B:$B,$B84,BASE!$L:$L,$G84,BASE!$J:$J,$C84,BASE!$A:$A,V$2)</f>
        <v>0</v>
      </c>
      <c r="X84" t="str">
        <f t="shared" si="3"/>
        <v>COM TROCAS</v>
      </c>
    </row>
    <row r="85" spans="2:24">
      <c r="B85" s="8" t="s">
        <v>408</v>
      </c>
      <c r="C85" s="9" t="s">
        <v>196</v>
      </c>
      <c r="D85" s="9" t="s">
        <v>290</v>
      </c>
      <c r="E85" s="9" t="s">
        <v>252</v>
      </c>
      <c r="F85" s="9" t="s">
        <v>291</v>
      </c>
      <c r="G85" s="9" t="s">
        <v>61</v>
      </c>
      <c r="H85" s="7" t="str">
        <f>IFERROR(IF(_xlfn.XLOOKUP(B85,REPASSE!D:D,REPASSE!D:D)="","Não","Sim"),"Não")</f>
        <v>Não</v>
      </c>
      <c r="I85" s="7" t="str">
        <f>IF(_xlfn.XLOOKUP(B85,'BOOST LIBERADO'!B:B,'BOOST LIBERADO'!B:B,"Não")="Não","Não","Sim")</f>
        <v>Não</v>
      </c>
      <c r="J85" s="83" t="str">
        <f t="shared" si="2"/>
        <v>Não</v>
      </c>
      <c r="K85" s="12">
        <f>SUMIFS(BASE!$G:$G,BASE!$B:$B,$B85,BASE!$L:$L,$G85,BASE!$J:$J,$C85,BASE!$A:$A,K$2)</f>
        <v>0</v>
      </c>
      <c r="L85" s="12">
        <f>SUMIFS(BASE!$G:$G,BASE!$B:$B,$B85,BASE!$L:$L,$G85,BASE!$J:$J,$C85,BASE!$A:$A,L$2)</f>
        <v>0</v>
      </c>
      <c r="M85" s="12">
        <f>SUMIFS(BASE!$G:$G,BASE!$B:$B,$B85,BASE!$L:$L,$G85,BASE!$J:$J,$C85,BASE!$A:$A,M$2)</f>
        <v>0</v>
      </c>
      <c r="N85" s="12">
        <f>SUMIFS(BASE!$G:$G,BASE!$B:$B,$B85,BASE!$L:$L,$G85,BASE!$J:$J,$C85,BASE!$A:$A,N$2)</f>
        <v>0</v>
      </c>
      <c r="O85" s="12">
        <f>SUMIFS(BASE!$G:$G,BASE!$B:$B,$B85,BASE!$L:$L,$G85,BASE!$J:$J,$C85,BASE!$A:$A,O$2)</f>
        <v>0</v>
      </c>
      <c r="P85" s="12">
        <f>SUMIFS(BASE!$G:$G,BASE!$B:$B,$B85,BASE!$L:$L,$G85,BASE!$J:$J,$C85,BASE!$A:$A,P$2)</f>
        <v>0</v>
      </c>
      <c r="Q85" s="12">
        <f>SUMIFS(BASE!$G:$G,BASE!$B:$B,$B85,BASE!$L:$L,$G85,BASE!$J:$J,$C85,BASE!$A:$A,Q$2)</f>
        <v>0</v>
      </c>
      <c r="R85" s="12">
        <f>SUMIFS(BASE!$G:$G,BASE!$B:$B,$B85,BASE!$L:$L,$G85,BASE!$J:$J,$C85,BASE!$A:$A,R$2)</f>
        <v>0</v>
      </c>
      <c r="S85" s="12">
        <f>SUMIFS(BASE!$G:$G,BASE!$B:$B,$B85,BASE!$L:$L,$G85,BASE!$J:$J,$C85,BASE!$A:$A,S$2)</f>
        <v>0</v>
      </c>
      <c r="T85" s="12">
        <f>SUMIFS(BASE!$G:$G,BASE!$B:$B,$B85,BASE!$L:$L,$G85,BASE!$J:$J,$C85,BASE!$A:$A,T$2)</f>
        <v>0</v>
      </c>
      <c r="U85" s="12">
        <f>SUMIFS(BASE!$G:$G,BASE!$B:$B,$B85,BASE!$L:$L,$G85,BASE!$J:$J,$C85,BASE!$A:$A,U$2)</f>
        <v>0</v>
      </c>
      <c r="V85" s="12">
        <f>SUMIFS(BASE!$G:$G,BASE!$B:$B,$B85,BASE!$L:$L,$G85,BASE!$J:$J,$C85,BASE!$A:$A,V$2)</f>
        <v>0</v>
      </c>
      <c r="X85" t="str">
        <f t="shared" si="3"/>
        <v>ZERADO</v>
      </c>
    </row>
    <row r="86" spans="2:24">
      <c r="B86" s="8" t="s">
        <v>409</v>
      </c>
      <c r="C86" s="9" t="s">
        <v>104</v>
      </c>
      <c r="D86" s="9" t="s">
        <v>255</v>
      </c>
      <c r="E86" s="9" t="s">
        <v>256</v>
      </c>
      <c r="F86" s="9" t="s">
        <v>257</v>
      </c>
      <c r="G86" s="9" t="s">
        <v>61</v>
      </c>
      <c r="H86" s="7" t="str">
        <f>IFERROR(IF(_xlfn.XLOOKUP(B86,REPASSE!D:D,REPASSE!D:D)="","Não","Sim"),"Não")</f>
        <v>Não</v>
      </c>
      <c r="I86" s="7" t="str">
        <f>IF(_xlfn.XLOOKUP(B86,'BOOST LIBERADO'!B:B,'BOOST LIBERADO'!B:B,"Não")="Não","Não","Sim")</f>
        <v>Sim</v>
      </c>
      <c r="J86" s="83" t="str">
        <f t="shared" si="2"/>
        <v>Sim</v>
      </c>
      <c r="K86" s="12">
        <f>SUMIFS(BASE!$G:$G,BASE!$B:$B,$B86,BASE!$L:$L,$G86,BASE!$J:$J,$C86,BASE!$A:$A,K$2)</f>
        <v>0</v>
      </c>
      <c r="L86" s="12">
        <f>SUMIFS(BASE!$G:$G,BASE!$B:$B,$B86,BASE!$L:$L,$G86,BASE!$J:$J,$C86,BASE!$A:$A,L$2)</f>
        <v>0</v>
      </c>
      <c r="M86" s="12">
        <f>SUMIFS(BASE!$G:$G,BASE!$B:$B,$B86,BASE!$L:$L,$G86,BASE!$J:$J,$C86,BASE!$A:$A,M$2)</f>
        <v>0</v>
      </c>
      <c r="N86" s="12">
        <f>SUMIFS(BASE!$G:$G,BASE!$B:$B,$B86,BASE!$L:$L,$G86,BASE!$J:$J,$C86,BASE!$A:$A,N$2)</f>
        <v>0</v>
      </c>
      <c r="O86" s="12">
        <f>SUMIFS(BASE!$G:$G,BASE!$B:$B,$B86,BASE!$L:$L,$G86,BASE!$J:$J,$C86,BASE!$A:$A,O$2)</f>
        <v>0</v>
      </c>
      <c r="P86" s="12">
        <f>SUMIFS(BASE!$G:$G,BASE!$B:$B,$B86,BASE!$L:$L,$G86,BASE!$J:$J,$C86,BASE!$A:$A,P$2)</f>
        <v>0</v>
      </c>
      <c r="Q86" s="12">
        <f>SUMIFS(BASE!$G:$G,BASE!$B:$B,$B86,BASE!$L:$L,$G86,BASE!$J:$J,$C86,BASE!$A:$A,Q$2)</f>
        <v>0</v>
      </c>
      <c r="R86" s="12">
        <f>SUMIFS(BASE!$G:$G,BASE!$B:$B,$B86,BASE!$L:$L,$G86,BASE!$J:$J,$C86,BASE!$A:$A,R$2)</f>
        <v>0</v>
      </c>
      <c r="S86" s="12">
        <f>SUMIFS(BASE!$G:$G,BASE!$B:$B,$B86,BASE!$L:$L,$G86,BASE!$J:$J,$C86,BASE!$A:$A,S$2)</f>
        <v>0</v>
      </c>
      <c r="T86" s="12">
        <f>SUMIFS(BASE!$G:$G,BASE!$B:$B,$B86,BASE!$L:$L,$G86,BASE!$J:$J,$C86,BASE!$A:$A,T$2)</f>
        <v>0</v>
      </c>
      <c r="U86" s="12">
        <f>SUMIFS(BASE!$G:$G,BASE!$B:$B,$B86,BASE!$L:$L,$G86,BASE!$J:$J,$C86,BASE!$A:$A,U$2)</f>
        <v>0</v>
      </c>
      <c r="V86" s="12">
        <f>SUMIFS(BASE!$G:$G,BASE!$B:$B,$B86,BASE!$L:$L,$G86,BASE!$J:$J,$C86,BASE!$A:$A,V$2)</f>
        <v>0</v>
      </c>
      <c r="X86" t="str">
        <f t="shared" si="3"/>
        <v>ZERADO</v>
      </c>
    </row>
    <row r="87" spans="2:24">
      <c r="B87" s="8" t="s">
        <v>410</v>
      </c>
      <c r="C87" s="9" t="s">
        <v>238</v>
      </c>
      <c r="D87" s="9" t="s">
        <v>367</v>
      </c>
      <c r="E87" s="9" t="s">
        <v>256</v>
      </c>
      <c r="F87" s="9" t="s">
        <v>411</v>
      </c>
      <c r="G87" s="9" t="s">
        <v>61</v>
      </c>
      <c r="H87" s="7" t="str">
        <f>IFERROR(IF(_xlfn.XLOOKUP(B87,REPASSE!D:D,REPASSE!D:D)="","Não","Sim"),"Não")</f>
        <v>Não</v>
      </c>
      <c r="I87" s="7" t="str">
        <f>IF(_xlfn.XLOOKUP(B87,'BOOST LIBERADO'!B:B,'BOOST LIBERADO'!B:B,"Não")="Não","Não","Sim")</f>
        <v>Sim</v>
      </c>
      <c r="J87" s="83" t="str">
        <f t="shared" si="2"/>
        <v>Sim</v>
      </c>
      <c r="K87" s="12">
        <f>SUMIFS(BASE!$G:$G,BASE!$B:$B,$B87,BASE!$L:$L,$G87,BASE!$J:$J,$C87,BASE!$A:$A,K$2)</f>
        <v>0</v>
      </c>
      <c r="L87" s="12">
        <f>SUMIFS(BASE!$G:$G,BASE!$B:$B,$B87,BASE!$L:$L,$G87,BASE!$J:$J,$C87,BASE!$A:$A,L$2)</f>
        <v>0</v>
      </c>
      <c r="M87" s="12">
        <f>SUMIFS(BASE!$G:$G,BASE!$B:$B,$B87,BASE!$L:$L,$G87,BASE!$J:$J,$C87,BASE!$A:$A,M$2)</f>
        <v>0</v>
      </c>
      <c r="N87" s="12">
        <f>SUMIFS(BASE!$G:$G,BASE!$B:$B,$B87,BASE!$L:$L,$G87,BASE!$J:$J,$C87,BASE!$A:$A,N$2)</f>
        <v>0</v>
      </c>
      <c r="O87" s="12">
        <f>SUMIFS(BASE!$G:$G,BASE!$B:$B,$B87,BASE!$L:$L,$G87,BASE!$J:$J,$C87,BASE!$A:$A,O$2)</f>
        <v>0</v>
      </c>
      <c r="P87" s="12">
        <f>SUMIFS(BASE!$G:$G,BASE!$B:$B,$B87,BASE!$L:$L,$G87,BASE!$J:$J,$C87,BASE!$A:$A,P$2)</f>
        <v>0</v>
      </c>
      <c r="Q87" s="12">
        <f>SUMIFS(BASE!$G:$G,BASE!$B:$B,$B87,BASE!$L:$L,$G87,BASE!$J:$J,$C87,BASE!$A:$A,Q$2)</f>
        <v>0</v>
      </c>
      <c r="R87" s="12">
        <f>SUMIFS(BASE!$G:$G,BASE!$B:$B,$B87,BASE!$L:$L,$G87,BASE!$J:$J,$C87,BASE!$A:$A,R$2)</f>
        <v>0</v>
      </c>
      <c r="S87" s="12">
        <f>SUMIFS(BASE!$G:$G,BASE!$B:$B,$B87,BASE!$L:$L,$G87,BASE!$J:$J,$C87,BASE!$A:$A,S$2)</f>
        <v>0</v>
      </c>
      <c r="T87" s="12">
        <f>SUMIFS(BASE!$G:$G,BASE!$B:$B,$B87,BASE!$L:$L,$G87,BASE!$J:$J,$C87,BASE!$A:$A,T$2)</f>
        <v>0</v>
      </c>
      <c r="U87" s="12">
        <f>SUMIFS(BASE!$G:$G,BASE!$B:$B,$B87,BASE!$L:$L,$G87,BASE!$J:$J,$C87,BASE!$A:$A,U$2)</f>
        <v>0</v>
      </c>
      <c r="V87" s="12">
        <f>SUMIFS(BASE!$G:$G,BASE!$B:$B,$B87,BASE!$L:$L,$G87,BASE!$J:$J,$C87,BASE!$A:$A,V$2)</f>
        <v>0</v>
      </c>
      <c r="X87" t="str">
        <f t="shared" si="3"/>
        <v>ZERADO</v>
      </c>
    </row>
    <row r="88" spans="2:24">
      <c r="B88" s="8" t="s">
        <v>412</v>
      </c>
      <c r="C88" s="9" t="s">
        <v>196</v>
      </c>
      <c r="D88" s="9" t="s">
        <v>302</v>
      </c>
      <c r="E88" s="9" t="s">
        <v>275</v>
      </c>
      <c r="F88" s="9" t="s">
        <v>382</v>
      </c>
      <c r="G88" s="9" t="s">
        <v>61</v>
      </c>
      <c r="H88" s="7" t="str">
        <f>IFERROR(IF(_xlfn.XLOOKUP(B88,REPASSE!D:D,REPASSE!D:D)="","Não","Sim"),"Não")</f>
        <v>Não</v>
      </c>
      <c r="I88" s="7" t="str">
        <f>IF(_xlfn.XLOOKUP(B88,'BOOST LIBERADO'!B:B,'BOOST LIBERADO'!B:B,"Não")="Não","Não","Sim")</f>
        <v>Não</v>
      </c>
      <c r="J88" s="83" t="str">
        <f t="shared" si="2"/>
        <v>Não</v>
      </c>
      <c r="K88" s="12">
        <f>SUMIFS(BASE!$G:$G,BASE!$B:$B,$B88,BASE!$L:$L,$G88,BASE!$J:$J,$C88,BASE!$A:$A,K$2)</f>
        <v>0</v>
      </c>
      <c r="L88" s="12">
        <f>SUMIFS(BASE!$G:$G,BASE!$B:$B,$B88,BASE!$L:$L,$G88,BASE!$J:$J,$C88,BASE!$A:$A,L$2)</f>
        <v>0</v>
      </c>
      <c r="M88" s="12">
        <f>SUMIFS(BASE!$G:$G,BASE!$B:$B,$B88,BASE!$L:$L,$G88,BASE!$J:$J,$C88,BASE!$A:$A,M$2)</f>
        <v>0</v>
      </c>
      <c r="N88" s="12">
        <f>SUMIFS(BASE!$G:$G,BASE!$B:$B,$B88,BASE!$L:$L,$G88,BASE!$J:$J,$C88,BASE!$A:$A,N$2)</f>
        <v>0</v>
      </c>
      <c r="O88" s="12">
        <f>SUMIFS(BASE!$G:$G,BASE!$B:$B,$B88,BASE!$L:$L,$G88,BASE!$J:$J,$C88,BASE!$A:$A,O$2)</f>
        <v>0</v>
      </c>
      <c r="P88" s="12">
        <f>SUMIFS(BASE!$G:$G,BASE!$B:$B,$B88,BASE!$L:$L,$G88,BASE!$J:$J,$C88,BASE!$A:$A,P$2)</f>
        <v>0</v>
      </c>
      <c r="Q88" s="12">
        <f>SUMIFS(BASE!$G:$G,BASE!$B:$B,$B88,BASE!$L:$L,$G88,BASE!$J:$J,$C88,BASE!$A:$A,Q$2)</f>
        <v>0</v>
      </c>
      <c r="R88" s="12">
        <f>SUMIFS(BASE!$G:$G,BASE!$B:$B,$B88,BASE!$L:$L,$G88,BASE!$J:$J,$C88,BASE!$A:$A,R$2)</f>
        <v>0</v>
      </c>
      <c r="S88" s="12">
        <f>SUMIFS(BASE!$G:$G,BASE!$B:$B,$B88,BASE!$L:$L,$G88,BASE!$J:$J,$C88,BASE!$A:$A,S$2)</f>
        <v>0</v>
      </c>
      <c r="T88" s="12">
        <f>SUMIFS(BASE!$G:$G,BASE!$B:$B,$B88,BASE!$L:$L,$G88,BASE!$J:$J,$C88,BASE!$A:$A,T$2)</f>
        <v>0</v>
      </c>
      <c r="U88" s="12">
        <f>SUMIFS(BASE!$G:$G,BASE!$B:$B,$B88,BASE!$L:$L,$G88,BASE!$J:$J,$C88,BASE!$A:$A,U$2)</f>
        <v>0</v>
      </c>
      <c r="V88" s="12">
        <f>SUMIFS(BASE!$G:$G,BASE!$B:$B,$B88,BASE!$L:$L,$G88,BASE!$J:$J,$C88,BASE!$A:$A,V$2)</f>
        <v>0</v>
      </c>
      <c r="X88" t="str">
        <f t="shared" si="3"/>
        <v>ZERADO</v>
      </c>
    </row>
    <row r="89" spans="2:24">
      <c r="B89" s="8" t="s">
        <v>413</v>
      </c>
      <c r="C89" s="9" t="s">
        <v>196</v>
      </c>
      <c r="D89" s="9" t="s">
        <v>302</v>
      </c>
      <c r="E89" s="9" t="s">
        <v>275</v>
      </c>
      <c r="F89" s="9" t="s">
        <v>382</v>
      </c>
      <c r="G89" s="9" t="s">
        <v>61</v>
      </c>
      <c r="H89" s="7" t="str">
        <f>IFERROR(IF(_xlfn.XLOOKUP(B89,REPASSE!D:D,REPASSE!D:D)="","Não","Sim"),"Não")</f>
        <v>Não</v>
      </c>
      <c r="I89" s="7" t="str">
        <f>IF(_xlfn.XLOOKUP(B89,'BOOST LIBERADO'!B:B,'BOOST LIBERADO'!B:B,"Não")="Não","Não","Sim")</f>
        <v>Não</v>
      </c>
      <c r="J89" s="83" t="str">
        <f t="shared" si="2"/>
        <v>Não</v>
      </c>
      <c r="K89" s="12">
        <f>SUMIFS(BASE!$G:$G,BASE!$B:$B,$B89,BASE!$L:$L,$G89,BASE!$J:$J,$C89,BASE!$A:$A,K$2)</f>
        <v>0</v>
      </c>
      <c r="L89" s="12">
        <f>SUMIFS(BASE!$G:$G,BASE!$B:$B,$B89,BASE!$L:$L,$G89,BASE!$J:$J,$C89,BASE!$A:$A,L$2)</f>
        <v>0</v>
      </c>
      <c r="M89" s="12">
        <f>SUMIFS(BASE!$G:$G,BASE!$B:$B,$B89,BASE!$L:$L,$G89,BASE!$J:$J,$C89,BASE!$A:$A,M$2)</f>
        <v>0</v>
      </c>
      <c r="N89" s="12">
        <f>SUMIFS(BASE!$G:$G,BASE!$B:$B,$B89,BASE!$L:$L,$G89,BASE!$J:$J,$C89,BASE!$A:$A,N$2)</f>
        <v>0</v>
      </c>
      <c r="O89" s="12">
        <f>SUMIFS(BASE!$G:$G,BASE!$B:$B,$B89,BASE!$L:$L,$G89,BASE!$J:$J,$C89,BASE!$A:$A,O$2)</f>
        <v>0</v>
      </c>
      <c r="P89" s="12">
        <f>SUMIFS(BASE!$G:$G,BASE!$B:$B,$B89,BASE!$L:$L,$G89,BASE!$J:$J,$C89,BASE!$A:$A,P$2)</f>
        <v>0</v>
      </c>
      <c r="Q89" s="12">
        <f>SUMIFS(BASE!$G:$G,BASE!$B:$B,$B89,BASE!$L:$L,$G89,BASE!$J:$J,$C89,BASE!$A:$A,Q$2)</f>
        <v>0</v>
      </c>
      <c r="R89" s="12">
        <f>SUMIFS(BASE!$G:$G,BASE!$B:$B,$B89,BASE!$L:$L,$G89,BASE!$J:$J,$C89,BASE!$A:$A,R$2)</f>
        <v>0</v>
      </c>
      <c r="S89" s="12">
        <f>SUMIFS(BASE!$G:$G,BASE!$B:$B,$B89,BASE!$L:$L,$G89,BASE!$J:$J,$C89,BASE!$A:$A,S$2)</f>
        <v>0</v>
      </c>
      <c r="T89" s="12">
        <f>SUMIFS(BASE!$G:$G,BASE!$B:$B,$B89,BASE!$L:$L,$G89,BASE!$J:$J,$C89,BASE!$A:$A,T$2)</f>
        <v>0</v>
      </c>
      <c r="U89" s="12">
        <f>SUMIFS(BASE!$G:$G,BASE!$B:$B,$B89,BASE!$L:$L,$G89,BASE!$J:$J,$C89,BASE!$A:$A,U$2)</f>
        <v>0</v>
      </c>
      <c r="V89" s="12">
        <f>SUMIFS(BASE!$G:$G,BASE!$B:$B,$B89,BASE!$L:$L,$G89,BASE!$J:$J,$C89,BASE!$A:$A,V$2)</f>
        <v>0</v>
      </c>
      <c r="X89" t="str">
        <f t="shared" si="3"/>
        <v>ZERADO</v>
      </c>
    </row>
    <row r="90" spans="2:24">
      <c r="B90" s="8" t="s">
        <v>414</v>
      </c>
      <c r="C90" s="9" t="s">
        <v>212</v>
      </c>
      <c r="D90" s="9" t="s">
        <v>287</v>
      </c>
      <c r="E90" s="9" t="s">
        <v>252</v>
      </c>
      <c r="F90" s="9" t="s">
        <v>415</v>
      </c>
      <c r="G90" s="9" t="s">
        <v>61</v>
      </c>
      <c r="H90" s="7" t="str">
        <f>IFERROR(IF(_xlfn.XLOOKUP(B90,REPASSE!D:D,REPASSE!D:D)="","Não","Sim"),"Não")</f>
        <v>Não</v>
      </c>
      <c r="I90" s="7" t="str">
        <f>IF(_xlfn.XLOOKUP(B90,'BOOST LIBERADO'!B:B,'BOOST LIBERADO'!B:B,"Não")="Não","Não","Sim")</f>
        <v>Não</v>
      </c>
      <c r="J90" s="83" t="str">
        <f t="shared" si="2"/>
        <v>Não</v>
      </c>
      <c r="K90" s="12">
        <f>SUMIFS(BASE!$G:$G,BASE!$B:$B,$B90,BASE!$L:$L,$G90,BASE!$J:$J,$C90,BASE!$A:$A,K$2)</f>
        <v>0</v>
      </c>
      <c r="L90" s="12">
        <f>SUMIFS(BASE!$G:$G,BASE!$B:$B,$B90,BASE!$L:$L,$G90,BASE!$J:$J,$C90,BASE!$A:$A,L$2)</f>
        <v>0</v>
      </c>
      <c r="M90" s="12">
        <f>SUMIFS(BASE!$G:$G,BASE!$B:$B,$B90,BASE!$L:$L,$G90,BASE!$J:$J,$C90,BASE!$A:$A,M$2)</f>
        <v>0</v>
      </c>
      <c r="N90" s="12">
        <f>SUMIFS(BASE!$G:$G,BASE!$B:$B,$B90,BASE!$L:$L,$G90,BASE!$J:$J,$C90,BASE!$A:$A,N$2)</f>
        <v>0</v>
      </c>
      <c r="O90" s="12">
        <f>SUMIFS(BASE!$G:$G,BASE!$B:$B,$B90,BASE!$L:$L,$G90,BASE!$J:$J,$C90,BASE!$A:$A,O$2)</f>
        <v>0</v>
      </c>
      <c r="P90" s="12">
        <f>SUMIFS(BASE!$G:$G,BASE!$B:$B,$B90,BASE!$L:$L,$G90,BASE!$J:$J,$C90,BASE!$A:$A,P$2)</f>
        <v>0</v>
      </c>
      <c r="Q90" s="12">
        <f>SUMIFS(BASE!$G:$G,BASE!$B:$B,$B90,BASE!$L:$L,$G90,BASE!$J:$J,$C90,BASE!$A:$A,Q$2)</f>
        <v>0</v>
      </c>
      <c r="R90" s="12">
        <f>SUMIFS(BASE!$G:$G,BASE!$B:$B,$B90,BASE!$L:$L,$G90,BASE!$J:$J,$C90,BASE!$A:$A,R$2)</f>
        <v>0</v>
      </c>
      <c r="S90" s="12">
        <f>SUMIFS(BASE!$G:$G,BASE!$B:$B,$B90,BASE!$L:$L,$G90,BASE!$J:$J,$C90,BASE!$A:$A,S$2)</f>
        <v>0</v>
      </c>
      <c r="T90" s="12">
        <f>SUMIFS(BASE!$G:$G,BASE!$B:$B,$B90,BASE!$L:$L,$G90,BASE!$J:$J,$C90,BASE!$A:$A,T$2)</f>
        <v>0</v>
      </c>
      <c r="U90" s="12">
        <f>SUMIFS(BASE!$G:$G,BASE!$B:$B,$B90,BASE!$L:$L,$G90,BASE!$J:$J,$C90,BASE!$A:$A,U$2)</f>
        <v>0</v>
      </c>
      <c r="V90" s="12">
        <f>SUMIFS(BASE!$G:$G,BASE!$B:$B,$B90,BASE!$L:$L,$G90,BASE!$J:$J,$C90,BASE!$A:$A,V$2)</f>
        <v>0</v>
      </c>
      <c r="X90" t="str">
        <f t="shared" si="3"/>
        <v>ZERADO</v>
      </c>
    </row>
    <row r="91" spans="2:24">
      <c r="B91" s="8" t="s">
        <v>416</v>
      </c>
      <c r="C91" s="9" t="s">
        <v>226</v>
      </c>
      <c r="D91" s="9" t="s">
        <v>326</v>
      </c>
      <c r="E91" s="9" t="s">
        <v>268</v>
      </c>
      <c r="F91" s="9" t="s">
        <v>327</v>
      </c>
      <c r="G91" s="9" t="s">
        <v>61</v>
      </c>
      <c r="H91" s="7" t="str">
        <f>IFERROR(IF(_xlfn.XLOOKUP(B91,REPASSE!D:D,REPASSE!D:D)="","Não","Sim"),"Não")</f>
        <v>Não</v>
      </c>
      <c r="I91" s="7" t="str">
        <f>IF(_xlfn.XLOOKUP(B91,'BOOST LIBERADO'!B:B,'BOOST LIBERADO'!B:B,"Não")="Não","Não","Sim")</f>
        <v>Sim</v>
      </c>
      <c r="J91" s="83" t="str">
        <f t="shared" si="2"/>
        <v>Sim</v>
      </c>
      <c r="K91" s="12">
        <f>SUMIFS(BASE!$G:$G,BASE!$B:$B,$B91,BASE!$L:$L,$G91,BASE!$J:$J,$C91,BASE!$A:$A,K$2)</f>
        <v>0</v>
      </c>
      <c r="L91" s="12">
        <f>SUMIFS(BASE!$G:$G,BASE!$B:$B,$B91,BASE!$L:$L,$G91,BASE!$J:$J,$C91,BASE!$A:$A,L$2)</f>
        <v>0</v>
      </c>
      <c r="M91" s="12">
        <f>SUMIFS(BASE!$G:$G,BASE!$B:$B,$B91,BASE!$L:$L,$G91,BASE!$J:$J,$C91,BASE!$A:$A,M$2)</f>
        <v>0</v>
      </c>
      <c r="N91" s="12">
        <f>SUMIFS(BASE!$G:$G,BASE!$B:$B,$B91,BASE!$L:$L,$G91,BASE!$J:$J,$C91,BASE!$A:$A,N$2)</f>
        <v>0</v>
      </c>
      <c r="O91" s="12">
        <f>SUMIFS(BASE!$G:$G,BASE!$B:$B,$B91,BASE!$L:$L,$G91,BASE!$J:$J,$C91,BASE!$A:$A,O$2)</f>
        <v>0</v>
      </c>
      <c r="P91" s="12">
        <f>SUMIFS(BASE!$G:$G,BASE!$B:$B,$B91,BASE!$L:$L,$G91,BASE!$J:$J,$C91,BASE!$A:$A,P$2)</f>
        <v>0</v>
      </c>
      <c r="Q91" s="12">
        <f>SUMIFS(BASE!$G:$G,BASE!$B:$B,$B91,BASE!$L:$L,$G91,BASE!$J:$J,$C91,BASE!$A:$A,Q$2)</f>
        <v>0</v>
      </c>
      <c r="R91" s="12">
        <f>SUMIFS(BASE!$G:$G,BASE!$B:$B,$B91,BASE!$L:$L,$G91,BASE!$J:$J,$C91,BASE!$A:$A,R$2)</f>
        <v>0</v>
      </c>
      <c r="S91" s="12">
        <f>SUMIFS(BASE!$G:$G,BASE!$B:$B,$B91,BASE!$L:$L,$G91,BASE!$J:$J,$C91,BASE!$A:$A,S$2)</f>
        <v>0</v>
      </c>
      <c r="T91" s="12">
        <f>SUMIFS(BASE!$G:$G,BASE!$B:$B,$B91,BASE!$L:$L,$G91,BASE!$J:$J,$C91,BASE!$A:$A,T$2)</f>
        <v>0</v>
      </c>
      <c r="U91" s="12">
        <f>SUMIFS(BASE!$G:$G,BASE!$B:$B,$B91,BASE!$L:$L,$G91,BASE!$J:$J,$C91,BASE!$A:$A,U$2)</f>
        <v>0</v>
      </c>
      <c r="V91" s="12">
        <f>SUMIFS(BASE!$G:$G,BASE!$B:$B,$B91,BASE!$L:$L,$G91,BASE!$J:$J,$C91,BASE!$A:$A,V$2)</f>
        <v>0</v>
      </c>
      <c r="X91" t="str">
        <f t="shared" si="3"/>
        <v>ZERADO</v>
      </c>
    </row>
    <row r="92" spans="2:24">
      <c r="B92" s="8" t="s">
        <v>417</v>
      </c>
      <c r="C92" s="9" t="s">
        <v>227</v>
      </c>
      <c r="D92" s="9" t="s">
        <v>400</v>
      </c>
      <c r="E92" s="9" t="s">
        <v>268</v>
      </c>
      <c r="F92" s="9" t="s">
        <v>418</v>
      </c>
      <c r="G92" s="9" t="s">
        <v>61</v>
      </c>
      <c r="H92" s="7" t="str">
        <f>IFERROR(IF(_xlfn.XLOOKUP(B92,REPASSE!D:D,REPASSE!D:D)="","Não","Sim"),"Não")</f>
        <v>Não</v>
      </c>
      <c r="I92" s="7" t="str">
        <f>IF(_xlfn.XLOOKUP(B92,'BOOST LIBERADO'!B:B,'BOOST LIBERADO'!B:B,"Não")="Não","Não","Sim")</f>
        <v>Não</v>
      </c>
      <c r="J92" s="83" t="str">
        <f t="shared" si="2"/>
        <v>Não</v>
      </c>
      <c r="K92" s="12">
        <f>SUMIFS(BASE!$G:$G,BASE!$B:$B,$B92,BASE!$L:$L,$G92,BASE!$J:$J,$C92,BASE!$A:$A,K$2)</f>
        <v>0</v>
      </c>
      <c r="L92" s="12">
        <f>SUMIFS(BASE!$G:$G,BASE!$B:$B,$B92,BASE!$L:$L,$G92,BASE!$J:$J,$C92,BASE!$A:$A,L$2)</f>
        <v>0</v>
      </c>
      <c r="M92" s="12">
        <f>SUMIFS(BASE!$G:$G,BASE!$B:$B,$B92,BASE!$L:$L,$G92,BASE!$J:$J,$C92,BASE!$A:$A,M$2)</f>
        <v>0</v>
      </c>
      <c r="N92" s="12">
        <f>SUMIFS(BASE!$G:$G,BASE!$B:$B,$B92,BASE!$L:$L,$G92,BASE!$J:$J,$C92,BASE!$A:$A,N$2)</f>
        <v>0</v>
      </c>
      <c r="O92" s="12">
        <f>SUMIFS(BASE!$G:$G,BASE!$B:$B,$B92,BASE!$L:$L,$G92,BASE!$J:$J,$C92,BASE!$A:$A,O$2)</f>
        <v>0</v>
      </c>
      <c r="P92" s="12">
        <f>SUMIFS(BASE!$G:$G,BASE!$B:$B,$B92,BASE!$L:$L,$G92,BASE!$J:$J,$C92,BASE!$A:$A,P$2)</f>
        <v>0</v>
      </c>
      <c r="Q92" s="12">
        <f>SUMIFS(BASE!$G:$G,BASE!$B:$B,$B92,BASE!$L:$L,$G92,BASE!$J:$J,$C92,BASE!$A:$A,Q$2)</f>
        <v>0</v>
      </c>
      <c r="R92" s="12">
        <f>SUMIFS(BASE!$G:$G,BASE!$B:$B,$B92,BASE!$L:$L,$G92,BASE!$J:$J,$C92,BASE!$A:$A,R$2)</f>
        <v>0</v>
      </c>
      <c r="S92" s="12">
        <f>SUMIFS(BASE!$G:$G,BASE!$B:$B,$B92,BASE!$L:$L,$G92,BASE!$J:$J,$C92,BASE!$A:$A,S$2)</f>
        <v>0</v>
      </c>
      <c r="T92" s="12">
        <f>SUMIFS(BASE!$G:$G,BASE!$B:$B,$B92,BASE!$L:$L,$G92,BASE!$J:$J,$C92,BASE!$A:$A,T$2)</f>
        <v>0</v>
      </c>
      <c r="U92" s="12">
        <f>SUMIFS(BASE!$G:$G,BASE!$B:$B,$B92,BASE!$L:$L,$G92,BASE!$J:$J,$C92,BASE!$A:$A,U$2)</f>
        <v>0</v>
      </c>
      <c r="V92" s="12">
        <f>SUMIFS(BASE!$G:$G,BASE!$B:$B,$B92,BASE!$L:$L,$G92,BASE!$J:$J,$C92,BASE!$A:$A,V$2)</f>
        <v>0</v>
      </c>
      <c r="X92" t="str">
        <f t="shared" si="3"/>
        <v>ZERADO</v>
      </c>
    </row>
    <row r="93" spans="2:24">
      <c r="B93" s="8" t="s">
        <v>419</v>
      </c>
      <c r="C93" s="9" t="s">
        <v>238</v>
      </c>
      <c r="D93" s="9" t="s">
        <v>367</v>
      </c>
      <c r="E93" s="9" t="s">
        <v>256</v>
      </c>
      <c r="F93" s="9" t="s">
        <v>411</v>
      </c>
      <c r="G93" s="9" t="s">
        <v>61</v>
      </c>
      <c r="H93" s="7" t="str">
        <f>IFERROR(IF(_xlfn.XLOOKUP(B93,REPASSE!D:D,REPASSE!D:D)="","Não","Sim"),"Não")</f>
        <v>Não</v>
      </c>
      <c r="I93" s="7" t="str">
        <f>IF(_xlfn.XLOOKUP(B93,'BOOST LIBERADO'!B:B,'BOOST LIBERADO'!B:B,"Não")="Não","Não","Sim")</f>
        <v>Sim</v>
      </c>
      <c r="J93" s="83" t="str">
        <f t="shared" si="2"/>
        <v>Sim</v>
      </c>
      <c r="K93" s="12">
        <f>SUMIFS(BASE!$G:$G,BASE!$B:$B,$B93,BASE!$L:$L,$G93,BASE!$J:$J,$C93,BASE!$A:$A,K$2)</f>
        <v>0</v>
      </c>
      <c r="L93" s="12">
        <f>SUMIFS(BASE!$G:$G,BASE!$B:$B,$B93,BASE!$L:$L,$G93,BASE!$J:$J,$C93,BASE!$A:$A,L$2)</f>
        <v>0</v>
      </c>
      <c r="M93" s="12">
        <f>SUMIFS(BASE!$G:$G,BASE!$B:$B,$B93,BASE!$L:$L,$G93,BASE!$J:$J,$C93,BASE!$A:$A,M$2)</f>
        <v>0</v>
      </c>
      <c r="N93" s="12">
        <f>SUMIFS(BASE!$G:$G,BASE!$B:$B,$B93,BASE!$L:$L,$G93,BASE!$J:$J,$C93,BASE!$A:$A,N$2)</f>
        <v>0</v>
      </c>
      <c r="O93" s="12">
        <f>SUMIFS(BASE!$G:$G,BASE!$B:$B,$B93,BASE!$L:$L,$G93,BASE!$J:$J,$C93,BASE!$A:$A,O$2)</f>
        <v>0</v>
      </c>
      <c r="P93" s="12">
        <f>SUMIFS(BASE!$G:$G,BASE!$B:$B,$B93,BASE!$L:$L,$G93,BASE!$J:$J,$C93,BASE!$A:$A,P$2)</f>
        <v>1</v>
      </c>
      <c r="Q93" s="12">
        <f>SUMIFS(BASE!$G:$G,BASE!$B:$B,$B93,BASE!$L:$L,$G93,BASE!$J:$J,$C93,BASE!$A:$A,Q$2)</f>
        <v>1</v>
      </c>
      <c r="R93" s="12">
        <f>SUMIFS(BASE!$G:$G,BASE!$B:$B,$B93,BASE!$L:$L,$G93,BASE!$J:$J,$C93,BASE!$A:$A,R$2)</f>
        <v>1</v>
      </c>
      <c r="S93" s="12">
        <f>SUMIFS(BASE!$G:$G,BASE!$B:$B,$B93,BASE!$L:$L,$G93,BASE!$J:$J,$C93,BASE!$A:$A,S$2)</f>
        <v>0</v>
      </c>
      <c r="T93" s="12">
        <f>SUMIFS(BASE!$G:$G,BASE!$B:$B,$B93,BASE!$L:$L,$G93,BASE!$J:$J,$C93,BASE!$A:$A,T$2)</f>
        <v>0</v>
      </c>
      <c r="U93" s="12">
        <f>SUMIFS(BASE!$G:$G,BASE!$B:$B,$B93,BASE!$L:$L,$G93,BASE!$J:$J,$C93,BASE!$A:$A,U$2)</f>
        <v>0</v>
      </c>
      <c r="V93" s="12">
        <f>SUMIFS(BASE!$G:$G,BASE!$B:$B,$B93,BASE!$L:$L,$G93,BASE!$J:$J,$C93,BASE!$A:$A,V$2)</f>
        <v>0</v>
      </c>
      <c r="X93" t="str">
        <f t="shared" si="3"/>
        <v>COM TROCAS</v>
      </c>
    </row>
    <row r="94" spans="2:24">
      <c r="B94" s="8" t="s">
        <v>420</v>
      </c>
      <c r="C94" s="9" t="s">
        <v>147</v>
      </c>
      <c r="D94" s="9" t="s">
        <v>313</v>
      </c>
      <c r="E94" s="9" t="s">
        <v>252</v>
      </c>
      <c r="F94" s="9" t="s">
        <v>421</v>
      </c>
      <c r="G94" s="9" t="s">
        <v>61</v>
      </c>
      <c r="H94" s="7" t="str">
        <f>IFERROR(IF(_xlfn.XLOOKUP(B94,REPASSE!D:D,REPASSE!D:D)="","Não","Sim"),"Não")</f>
        <v>Não</v>
      </c>
      <c r="I94" s="7" t="str">
        <f>IF(_xlfn.XLOOKUP(B94,'BOOST LIBERADO'!B:B,'BOOST LIBERADO'!B:B,"Não")="Não","Não","Sim")</f>
        <v>Sim</v>
      </c>
      <c r="J94" s="83" t="str">
        <f t="shared" si="2"/>
        <v>Sim</v>
      </c>
      <c r="K94" s="12">
        <f>SUMIFS(BASE!$G:$G,BASE!$B:$B,$B94,BASE!$L:$L,$G94,BASE!$J:$J,$C94,BASE!$A:$A,K$2)</f>
        <v>0</v>
      </c>
      <c r="L94" s="12">
        <f>SUMIFS(BASE!$G:$G,BASE!$B:$B,$B94,BASE!$L:$L,$G94,BASE!$J:$J,$C94,BASE!$A:$A,L$2)</f>
        <v>0</v>
      </c>
      <c r="M94" s="12">
        <f>SUMIFS(BASE!$G:$G,BASE!$B:$B,$B94,BASE!$L:$L,$G94,BASE!$J:$J,$C94,BASE!$A:$A,M$2)</f>
        <v>0</v>
      </c>
      <c r="N94" s="12">
        <f>SUMIFS(BASE!$G:$G,BASE!$B:$B,$B94,BASE!$L:$L,$G94,BASE!$J:$J,$C94,BASE!$A:$A,N$2)</f>
        <v>0</v>
      </c>
      <c r="O94" s="12">
        <f>SUMIFS(BASE!$G:$G,BASE!$B:$B,$B94,BASE!$L:$L,$G94,BASE!$J:$J,$C94,BASE!$A:$A,O$2)</f>
        <v>0</v>
      </c>
      <c r="P94" s="12">
        <f>SUMIFS(BASE!$G:$G,BASE!$B:$B,$B94,BASE!$L:$L,$G94,BASE!$J:$J,$C94,BASE!$A:$A,P$2)</f>
        <v>0</v>
      </c>
      <c r="Q94" s="12">
        <f>SUMIFS(BASE!$G:$G,BASE!$B:$B,$B94,BASE!$L:$L,$G94,BASE!$J:$J,$C94,BASE!$A:$A,Q$2)</f>
        <v>0</v>
      </c>
      <c r="R94" s="12">
        <f>SUMIFS(BASE!$G:$G,BASE!$B:$B,$B94,BASE!$L:$L,$G94,BASE!$J:$J,$C94,BASE!$A:$A,R$2)</f>
        <v>0</v>
      </c>
      <c r="S94" s="12">
        <f>SUMIFS(BASE!$G:$G,BASE!$B:$B,$B94,BASE!$L:$L,$G94,BASE!$J:$J,$C94,BASE!$A:$A,S$2)</f>
        <v>0</v>
      </c>
      <c r="T94" s="12">
        <f>SUMIFS(BASE!$G:$G,BASE!$B:$B,$B94,BASE!$L:$L,$G94,BASE!$J:$J,$C94,BASE!$A:$A,T$2)</f>
        <v>0</v>
      </c>
      <c r="U94" s="12">
        <f>SUMIFS(BASE!$G:$G,BASE!$B:$B,$B94,BASE!$L:$L,$G94,BASE!$J:$J,$C94,BASE!$A:$A,U$2)</f>
        <v>0</v>
      </c>
      <c r="V94" s="12">
        <f>SUMIFS(BASE!$G:$G,BASE!$B:$B,$B94,BASE!$L:$L,$G94,BASE!$J:$J,$C94,BASE!$A:$A,V$2)</f>
        <v>0</v>
      </c>
      <c r="X94" t="str">
        <f t="shared" si="3"/>
        <v>ZERADO</v>
      </c>
    </row>
    <row r="95" spans="2:24">
      <c r="B95" s="8" t="s">
        <v>422</v>
      </c>
      <c r="C95" s="9" t="s">
        <v>141</v>
      </c>
      <c r="D95" s="9" t="s">
        <v>251</v>
      </c>
      <c r="E95" s="9" t="s">
        <v>252</v>
      </c>
      <c r="F95" s="9" t="s">
        <v>423</v>
      </c>
      <c r="G95" s="9" t="s">
        <v>61</v>
      </c>
      <c r="H95" s="7" t="str">
        <f>IFERROR(IF(_xlfn.XLOOKUP(B95,REPASSE!D:D,REPASSE!D:D)="","Não","Sim"),"Não")</f>
        <v>Não</v>
      </c>
      <c r="I95" s="7" t="str">
        <f>IF(_xlfn.XLOOKUP(B95,'BOOST LIBERADO'!B:B,'BOOST LIBERADO'!B:B,"Não")="Não","Não","Sim")</f>
        <v>Sim</v>
      </c>
      <c r="J95" s="83" t="str">
        <f t="shared" si="2"/>
        <v>Sim</v>
      </c>
      <c r="K95" s="12">
        <f>SUMIFS(BASE!$G:$G,BASE!$B:$B,$B95,BASE!$L:$L,$G95,BASE!$J:$J,$C95,BASE!$A:$A,K$2)</f>
        <v>0</v>
      </c>
      <c r="L95" s="12">
        <f>SUMIFS(BASE!$G:$G,BASE!$B:$B,$B95,BASE!$L:$L,$G95,BASE!$J:$J,$C95,BASE!$A:$A,L$2)</f>
        <v>0</v>
      </c>
      <c r="M95" s="12">
        <f>SUMIFS(BASE!$G:$G,BASE!$B:$B,$B95,BASE!$L:$L,$G95,BASE!$J:$J,$C95,BASE!$A:$A,M$2)</f>
        <v>0</v>
      </c>
      <c r="N95" s="12">
        <f>SUMIFS(BASE!$G:$G,BASE!$B:$B,$B95,BASE!$L:$L,$G95,BASE!$J:$J,$C95,BASE!$A:$A,N$2)</f>
        <v>0</v>
      </c>
      <c r="O95" s="12">
        <f>SUMIFS(BASE!$G:$G,BASE!$B:$B,$B95,BASE!$L:$L,$G95,BASE!$J:$J,$C95,BASE!$A:$A,O$2)</f>
        <v>0</v>
      </c>
      <c r="P95" s="12">
        <f>SUMIFS(BASE!$G:$G,BASE!$B:$B,$B95,BASE!$L:$L,$G95,BASE!$J:$J,$C95,BASE!$A:$A,P$2)</f>
        <v>0</v>
      </c>
      <c r="Q95" s="12">
        <f>SUMIFS(BASE!$G:$G,BASE!$B:$B,$B95,BASE!$L:$L,$G95,BASE!$J:$J,$C95,BASE!$A:$A,Q$2)</f>
        <v>0</v>
      </c>
      <c r="R95" s="12">
        <f>SUMIFS(BASE!$G:$G,BASE!$B:$B,$B95,BASE!$L:$L,$G95,BASE!$J:$J,$C95,BASE!$A:$A,R$2)</f>
        <v>0</v>
      </c>
      <c r="S95" s="12">
        <f>SUMIFS(BASE!$G:$G,BASE!$B:$B,$B95,BASE!$L:$L,$G95,BASE!$J:$J,$C95,BASE!$A:$A,S$2)</f>
        <v>0</v>
      </c>
      <c r="T95" s="12">
        <f>SUMIFS(BASE!$G:$G,BASE!$B:$B,$B95,BASE!$L:$L,$G95,BASE!$J:$J,$C95,BASE!$A:$A,T$2)</f>
        <v>0</v>
      </c>
      <c r="U95" s="12">
        <f>SUMIFS(BASE!$G:$G,BASE!$B:$B,$B95,BASE!$L:$L,$G95,BASE!$J:$J,$C95,BASE!$A:$A,U$2)</f>
        <v>0</v>
      </c>
      <c r="V95" s="12">
        <f>SUMIFS(BASE!$G:$G,BASE!$B:$B,$B95,BASE!$L:$L,$G95,BASE!$J:$J,$C95,BASE!$A:$A,V$2)</f>
        <v>0</v>
      </c>
      <c r="X95" t="str">
        <f t="shared" si="3"/>
        <v>ZERADO</v>
      </c>
    </row>
    <row r="96" spans="2:24">
      <c r="B96" s="8" t="s">
        <v>424</v>
      </c>
      <c r="C96" s="9" t="s">
        <v>227</v>
      </c>
      <c r="D96" s="9" t="s">
        <v>400</v>
      </c>
      <c r="E96" s="9" t="s">
        <v>268</v>
      </c>
      <c r="F96" s="9" t="s">
        <v>269</v>
      </c>
      <c r="G96" s="9" t="s">
        <v>61</v>
      </c>
      <c r="H96" s="7" t="str">
        <f>IFERROR(IF(_xlfn.XLOOKUP(B96,REPASSE!D:D,REPASSE!D:D)="","Não","Sim"),"Não")</f>
        <v>Não</v>
      </c>
      <c r="I96" s="7" t="str">
        <f>IF(_xlfn.XLOOKUP(B96,'BOOST LIBERADO'!B:B,'BOOST LIBERADO'!B:B,"Não")="Não","Não","Sim")</f>
        <v>Sim</v>
      </c>
      <c r="J96" s="83" t="str">
        <f t="shared" si="2"/>
        <v>Sim</v>
      </c>
      <c r="K96" s="12">
        <f>SUMIFS(BASE!$G:$G,BASE!$B:$B,$B96,BASE!$L:$L,$G96,BASE!$J:$J,$C96,BASE!$A:$A,K$2)</f>
        <v>0</v>
      </c>
      <c r="L96" s="12">
        <f>SUMIFS(BASE!$G:$G,BASE!$B:$B,$B96,BASE!$L:$L,$G96,BASE!$J:$J,$C96,BASE!$A:$A,L$2)</f>
        <v>0</v>
      </c>
      <c r="M96" s="12">
        <f>SUMIFS(BASE!$G:$G,BASE!$B:$B,$B96,BASE!$L:$L,$G96,BASE!$J:$J,$C96,BASE!$A:$A,M$2)</f>
        <v>0</v>
      </c>
      <c r="N96" s="12">
        <f>SUMIFS(BASE!$G:$G,BASE!$B:$B,$B96,BASE!$L:$L,$G96,BASE!$J:$J,$C96,BASE!$A:$A,N$2)</f>
        <v>0</v>
      </c>
      <c r="O96" s="12">
        <f>SUMIFS(BASE!$G:$G,BASE!$B:$B,$B96,BASE!$L:$L,$G96,BASE!$J:$J,$C96,BASE!$A:$A,O$2)</f>
        <v>0</v>
      </c>
      <c r="P96" s="12">
        <f>SUMIFS(BASE!$G:$G,BASE!$B:$B,$B96,BASE!$L:$L,$G96,BASE!$J:$J,$C96,BASE!$A:$A,P$2)</f>
        <v>0</v>
      </c>
      <c r="Q96" s="12">
        <f>SUMIFS(BASE!$G:$G,BASE!$B:$B,$B96,BASE!$L:$L,$G96,BASE!$J:$J,$C96,BASE!$A:$A,Q$2)</f>
        <v>1</v>
      </c>
      <c r="R96" s="12">
        <f>SUMIFS(BASE!$G:$G,BASE!$B:$B,$B96,BASE!$L:$L,$G96,BASE!$J:$J,$C96,BASE!$A:$A,R$2)</f>
        <v>0</v>
      </c>
      <c r="S96" s="12">
        <f>SUMIFS(BASE!$G:$G,BASE!$B:$B,$B96,BASE!$L:$L,$G96,BASE!$J:$J,$C96,BASE!$A:$A,S$2)</f>
        <v>0</v>
      </c>
      <c r="T96" s="12">
        <f>SUMIFS(BASE!$G:$G,BASE!$B:$B,$B96,BASE!$L:$L,$G96,BASE!$J:$J,$C96,BASE!$A:$A,T$2)</f>
        <v>0</v>
      </c>
      <c r="U96" s="12">
        <f>SUMIFS(BASE!$G:$G,BASE!$B:$B,$B96,BASE!$L:$L,$G96,BASE!$J:$J,$C96,BASE!$A:$A,U$2)</f>
        <v>0</v>
      </c>
      <c r="V96" s="12">
        <f>SUMIFS(BASE!$G:$G,BASE!$B:$B,$B96,BASE!$L:$L,$G96,BASE!$J:$J,$C96,BASE!$A:$A,V$2)</f>
        <v>0</v>
      </c>
      <c r="X96" t="str">
        <f t="shared" si="3"/>
        <v>ZERADO</v>
      </c>
    </row>
    <row r="97" spans="2:24">
      <c r="B97" s="8" t="s">
        <v>425</v>
      </c>
      <c r="C97" s="9" t="s">
        <v>227</v>
      </c>
      <c r="D97" s="9" t="s">
        <v>400</v>
      </c>
      <c r="E97" s="9" t="s">
        <v>268</v>
      </c>
      <c r="F97" s="9" t="s">
        <v>269</v>
      </c>
      <c r="G97" s="9" t="s">
        <v>61</v>
      </c>
      <c r="H97" s="7" t="str">
        <f>IFERROR(IF(_xlfn.XLOOKUP(B97,REPASSE!D:D,REPASSE!D:D)="","Não","Sim"),"Não")</f>
        <v>Não</v>
      </c>
      <c r="I97" s="7" t="str">
        <f>IF(_xlfn.XLOOKUP(B97,'BOOST LIBERADO'!B:B,'BOOST LIBERADO'!B:B,"Não")="Não","Não","Sim")</f>
        <v>Sim</v>
      </c>
      <c r="J97" s="83" t="str">
        <f t="shared" si="2"/>
        <v>Sim</v>
      </c>
      <c r="K97" s="12">
        <f>SUMIFS(BASE!$G:$G,BASE!$B:$B,$B97,BASE!$L:$L,$G97,BASE!$J:$J,$C97,BASE!$A:$A,K$2)</f>
        <v>0</v>
      </c>
      <c r="L97" s="12">
        <f>SUMIFS(BASE!$G:$G,BASE!$B:$B,$B97,BASE!$L:$L,$G97,BASE!$J:$J,$C97,BASE!$A:$A,L$2)</f>
        <v>0</v>
      </c>
      <c r="M97" s="12">
        <f>SUMIFS(BASE!$G:$G,BASE!$B:$B,$B97,BASE!$L:$L,$G97,BASE!$J:$J,$C97,BASE!$A:$A,M$2)</f>
        <v>0</v>
      </c>
      <c r="N97" s="12">
        <f>SUMIFS(BASE!$G:$G,BASE!$B:$B,$B97,BASE!$L:$L,$G97,BASE!$J:$J,$C97,BASE!$A:$A,N$2)</f>
        <v>0</v>
      </c>
      <c r="O97" s="12">
        <f>SUMIFS(BASE!$G:$G,BASE!$B:$B,$B97,BASE!$L:$L,$G97,BASE!$J:$J,$C97,BASE!$A:$A,O$2)</f>
        <v>0</v>
      </c>
      <c r="P97" s="12">
        <f>SUMIFS(BASE!$G:$G,BASE!$B:$B,$B97,BASE!$L:$L,$G97,BASE!$J:$J,$C97,BASE!$A:$A,P$2)</f>
        <v>0</v>
      </c>
      <c r="Q97" s="12">
        <f>SUMIFS(BASE!$G:$G,BASE!$B:$B,$B97,BASE!$L:$L,$G97,BASE!$J:$J,$C97,BASE!$A:$A,Q$2)</f>
        <v>1</v>
      </c>
      <c r="R97" s="12">
        <f>SUMIFS(BASE!$G:$G,BASE!$B:$B,$B97,BASE!$L:$L,$G97,BASE!$J:$J,$C97,BASE!$A:$A,R$2)</f>
        <v>1</v>
      </c>
      <c r="S97" s="12">
        <f>SUMIFS(BASE!$G:$G,BASE!$B:$B,$B97,BASE!$L:$L,$G97,BASE!$J:$J,$C97,BASE!$A:$A,S$2)</f>
        <v>0</v>
      </c>
      <c r="T97" s="12">
        <f>SUMIFS(BASE!$G:$G,BASE!$B:$B,$B97,BASE!$L:$L,$G97,BASE!$J:$J,$C97,BASE!$A:$A,T$2)</f>
        <v>0</v>
      </c>
      <c r="U97" s="12">
        <f>SUMIFS(BASE!$G:$G,BASE!$B:$B,$B97,BASE!$L:$L,$G97,BASE!$J:$J,$C97,BASE!$A:$A,U$2)</f>
        <v>0</v>
      </c>
      <c r="V97" s="12">
        <f>SUMIFS(BASE!$G:$G,BASE!$B:$B,$B97,BASE!$L:$L,$G97,BASE!$J:$J,$C97,BASE!$A:$A,V$2)</f>
        <v>0</v>
      </c>
      <c r="X97" t="str">
        <f t="shared" si="3"/>
        <v>COM TROCAS</v>
      </c>
    </row>
    <row r="98" spans="2:24">
      <c r="B98" s="8" t="s">
        <v>426</v>
      </c>
      <c r="C98" s="9" t="s">
        <v>227</v>
      </c>
      <c r="D98" s="9" t="s">
        <v>400</v>
      </c>
      <c r="E98" s="9" t="s">
        <v>268</v>
      </c>
      <c r="F98" s="9" t="s">
        <v>269</v>
      </c>
      <c r="G98" s="9" t="s">
        <v>61</v>
      </c>
      <c r="H98" s="7" t="str">
        <f>IFERROR(IF(_xlfn.XLOOKUP(B98,REPASSE!D:D,REPASSE!D:D)="","Não","Sim"),"Não")</f>
        <v>Não</v>
      </c>
      <c r="I98" s="7" t="str">
        <f>IF(_xlfn.XLOOKUP(B98,'BOOST LIBERADO'!B:B,'BOOST LIBERADO'!B:B,"Não")="Não","Não","Sim")</f>
        <v>Sim</v>
      </c>
      <c r="J98" s="83" t="str">
        <f t="shared" si="2"/>
        <v>Sim</v>
      </c>
      <c r="K98" s="12">
        <f>SUMIFS(BASE!$G:$G,BASE!$B:$B,$B98,BASE!$L:$L,$G98,BASE!$J:$J,$C98,BASE!$A:$A,K$2)</f>
        <v>0</v>
      </c>
      <c r="L98" s="12">
        <f>SUMIFS(BASE!$G:$G,BASE!$B:$B,$B98,BASE!$L:$L,$G98,BASE!$J:$J,$C98,BASE!$A:$A,L$2)</f>
        <v>0</v>
      </c>
      <c r="M98" s="12">
        <f>SUMIFS(BASE!$G:$G,BASE!$B:$B,$B98,BASE!$L:$L,$G98,BASE!$J:$J,$C98,BASE!$A:$A,M$2)</f>
        <v>0</v>
      </c>
      <c r="N98" s="12">
        <f>SUMIFS(BASE!$G:$G,BASE!$B:$B,$B98,BASE!$L:$L,$G98,BASE!$J:$J,$C98,BASE!$A:$A,N$2)</f>
        <v>0</v>
      </c>
      <c r="O98" s="12">
        <f>SUMIFS(BASE!$G:$G,BASE!$B:$B,$B98,BASE!$L:$L,$G98,BASE!$J:$J,$C98,BASE!$A:$A,O$2)</f>
        <v>1</v>
      </c>
      <c r="P98" s="12">
        <f>SUMIFS(BASE!$G:$G,BASE!$B:$B,$B98,BASE!$L:$L,$G98,BASE!$J:$J,$C98,BASE!$A:$A,P$2)</f>
        <v>0</v>
      </c>
      <c r="Q98" s="12">
        <f>SUMIFS(BASE!$G:$G,BASE!$B:$B,$B98,BASE!$L:$L,$G98,BASE!$J:$J,$C98,BASE!$A:$A,Q$2)</f>
        <v>0</v>
      </c>
      <c r="R98" s="12">
        <f>SUMIFS(BASE!$G:$G,BASE!$B:$B,$B98,BASE!$L:$L,$G98,BASE!$J:$J,$C98,BASE!$A:$A,R$2)</f>
        <v>1</v>
      </c>
      <c r="S98" s="12">
        <f>SUMIFS(BASE!$G:$G,BASE!$B:$B,$B98,BASE!$L:$L,$G98,BASE!$J:$J,$C98,BASE!$A:$A,S$2)</f>
        <v>0</v>
      </c>
      <c r="T98" s="12">
        <f>SUMIFS(BASE!$G:$G,BASE!$B:$B,$B98,BASE!$L:$L,$G98,BASE!$J:$J,$C98,BASE!$A:$A,T$2)</f>
        <v>0</v>
      </c>
      <c r="U98" s="12">
        <f>SUMIFS(BASE!$G:$G,BASE!$B:$B,$B98,BASE!$L:$L,$G98,BASE!$J:$J,$C98,BASE!$A:$A,U$2)</f>
        <v>0</v>
      </c>
      <c r="V98" s="12">
        <f>SUMIFS(BASE!$G:$G,BASE!$B:$B,$B98,BASE!$L:$L,$G98,BASE!$J:$J,$C98,BASE!$A:$A,V$2)</f>
        <v>0</v>
      </c>
      <c r="X98" t="str">
        <f t="shared" si="3"/>
        <v>COM TROCAS</v>
      </c>
    </row>
    <row r="99" spans="2:24">
      <c r="B99" s="8" t="s">
        <v>427</v>
      </c>
      <c r="C99" s="9" t="s">
        <v>106</v>
      </c>
      <c r="D99" s="9" t="s">
        <v>428</v>
      </c>
      <c r="E99" s="9" t="s">
        <v>429</v>
      </c>
      <c r="F99" s="9" t="s">
        <v>430</v>
      </c>
      <c r="G99" s="9" t="s">
        <v>56</v>
      </c>
      <c r="H99" s="7" t="str">
        <f>IFERROR(IF(_xlfn.XLOOKUP(B99,REPASSE!D:D,REPASSE!D:D)="","Não","Sim"),"Não")</f>
        <v>Não</v>
      </c>
      <c r="I99" s="7" t="str">
        <f>IF(_xlfn.XLOOKUP(B99,'BOOST LIBERADO'!B:B,'BOOST LIBERADO'!B:B,"Não")="Não","Não","Sim")</f>
        <v>Sim</v>
      </c>
      <c r="J99" s="83" t="str">
        <f t="shared" si="2"/>
        <v>Sim</v>
      </c>
      <c r="K99" s="12">
        <f>SUMIFS(BASE!$G:$G,BASE!$B:$B,$B99,BASE!$L:$L,$G99,BASE!$J:$J,$C99,BASE!$A:$A,K$2)</f>
        <v>0</v>
      </c>
      <c r="L99" s="12">
        <f>SUMIFS(BASE!$G:$G,BASE!$B:$B,$B99,BASE!$L:$L,$G99,BASE!$J:$J,$C99,BASE!$A:$A,L$2)</f>
        <v>0</v>
      </c>
      <c r="M99" s="12">
        <f>SUMIFS(BASE!$G:$G,BASE!$B:$B,$B99,BASE!$L:$L,$G99,BASE!$J:$J,$C99,BASE!$A:$A,M$2)</f>
        <v>0</v>
      </c>
      <c r="N99" s="12">
        <f>SUMIFS(BASE!$G:$G,BASE!$B:$B,$B99,BASE!$L:$L,$G99,BASE!$J:$J,$C99,BASE!$A:$A,N$2)</f>
        <v>0</v>
      </c>
      <c r="O99" s="12">
        <f>SUMIFS(BASE!$G:$G,BASE!$B:$B,$B99,BASE!$L:$L,$G99,BASE!$J:$J,$C99,BASE!$A:$A,O$2)</f>
        <v>0</v>
      </c>
      <c r="P99" s="12">
        <f>SUMIFS(BASE!$G:$G,BASE!$B:$B,$B99,BASE!$L:$L,$G99,BASE!$J:$J,$C99,BASE!$A:$A,P$2)</f>
        <v>0</v>
      </c>
      <c r="Q99" s="12">
        <f>SUMIFS(BASE!$G:$G,BASE!$B:$B,$B99,BASE!$L:$L,$G99,BASE!$J:$J,$C99,BASE!$A:$A,Q$2)</f>
        <v>0</v>
      </c>
      <c r="R99" s="12">
        <f>SUMIFS(BASE!$G:$G,BASE!$B:$B,$B99,BASE!$L:$L,$G99,BASE!$J:$J,$C99,BASE!$A:$A,R$2)</f>
        <v>0</v>
      </c>
      <c r="S99" s="12">
        <f>SUMIFS(BASE!$G:$G,BASE!$B:$B,$B99,BASE!$L:$L,$G99,BASE!$J:$J,$C99,BASE!$A:$A,S$2)</f>
        <v>0</v>
      </c>
      <c r="T99" s="12">
        <f>SUMIFS(BASE!$G:$G,BASE!$B:$B,$B99,BASE!$L:$L,$G99,BASE!$J:$J,$C99,BASE!$A:$A,T$2)</f>
        <v>0</v>
      </c>
      <c r="U99" s="12">
        <f>SUMIFS(BASE!$G:$G,BASE!$B:$B,$B99,BASE!$L:$L,$G99,BASE!$J:$J,$C99,BASE!$A:$A,U$2)</f>
        <v>0</v>
      </c>
      <c r="V99" s="12">
        <f>SUMIFS(BASE!$G:$G,BASE!$B:$B,$B99,BASE!$L:$L,$G99,BASE!$J:$J,$C99,BASE!$A:$A,V$2)</f>
        <v>0</v>
      </c>
      <c r="X99" t="str">
        <f t="shared" si="3"/>
        <v>ZERADO</v>
      </c>
    </row>
    <row r="100" spans="2:24">
      <c r="B100" s="8" t="s">
        <v>431</v>
      </c>
      <c r="C100" s="9" t="s">
        <v>106</v>
      </c>
      <c r="D100" s="9" t="s">
        <v>432</v>
      </c>
      <c r="E100" s="9" t="s">
        <v>429</v>
      </c>
      <c r="F100" s="9" t="s">
        <v>433</v>
      </c>
      <c r="G100" s="9" t="s">
        <v>56</v>
      </c>
      <c r="H100" s="7" t="str">
        <f>IFERROR(IF(_xlfn.XLOOKUP(B100,REPASSE!D:D,REPASSE!D:D)="","Não","Sim"),"Não")</f>
        <v>Não</v>
      </c>
      <c r="I100" s="7" t="str">
        <f>IF(_xlfn.XLOOKUP(B100,'BOOST LIBERADO'!B:B,'BOOST LIBERADO'!B:B,"Não")="Não","Não","Sim")</f>
        <v>Sim</v>
      </c>
      <c r="J100" s="83" t="str">
        <f t="shared" si="2"/>
        <v>Sim</v>
      </c>
      <c r="K100" s="12">
        <f>SUMIFS(BASE!$G:$G,BASE!$B:$B,$B100,BASE!$L:$L,$G100,BASE!$J:$J,$C100,BASE!$A:$A,K$2)</f>
        <v>0</v>
      </c>
      <c r="L100" s="12">
        <f>SUMIFS(BASE!$G:$G,BASE!$B:$B,$B100,BASE!$L:$L,$G100,BASE!$J:$J,$C100,BASE!$A:$A,L$2)</f>
        <v>0</v>
      </c>
      <c r="M100" s="12">
        <f>SUMIFS(BASE!$G:$G,BASE!$B:$B,$B100,BASE!$L:$L,$G100,BASE!$J:$J,$C100,BASE!$A:$A,M$2)</f>
        <v>0</v>
      </c>
      <c r="N100" s="12">
        <f>SUMIFS(BASE!$G:$G,BASE!$B:$B,$B100,BASE!$L:$L,$G100,BASE!$J:$J,$C100,BASE!$A:$A,N$2)</f>
        <v>0</v>
      </c>
      <c r="O100" s="12">
        <f>SUMIFS(BASE!$G:$G,BASE!$B:$B,$B100,BASE!$L:$L,$G100,BASE!$J:$J,$C100,BASE!$A:$A,O$2)</f>
        <v>0</v>
      </c>
      <c r="P100" s="12">
        <f>SUMIFS(BASE!$G:$G,BASE!$B:$B,$B100,BASE!$L:$L,$G100,BASE!$J:$J,$C100,BASE!$A:$A,P$2)</f>
        <v>0</v>
      </c>
      <c r="Q100" s="12">
        <f>SUMIFS(BASE!$G:$G,BASE!$B:$B,$B100,BASE!$L:$L,$G100,BASE!$J:$J,$C100,BASE!$A:$A,Q$2)</f>
        <v>0</v>
      </c>
      <c r="R100" s="12">
        <f>SUMIFS(BASE!$G:$G,BASE!$B:$B,$B100,BASE!$L:$L,$G100,BASE!$J:$J,$C100,BASE!$A:$A,R$2)</f>
        <v>1</v>
      </c>
      <c r="S100" s="12">
        <f>SUMIFS(BASE!$G:$G,BASE!$B:$B,$B100,BASE!$L:$L,$G100,BASE!$J:$J,$C100,BASE!$A:$A,S$2)</f>
        <v>0</v>
      </c>
      <c r="T100" s="12">
        <f>SUMIFS(BASE!$G:$G,BASE!$B:$B,$B100,BASE!$L:$L,$G100,BASE!$J:$J,$C100,BASE!$A:$A,T$2)</f>
        <v>0</v>
      </c>
      <c r="U100" s="12">
        <f>SUMIFS(BASE!$G:$G,BASE!$B:$B,$B100,BASE!$L:$L,$G100,BASE!$J:$J,$C100,BASE!$A:$A,U$2)</f>
        <v>0</v>
      </c>
      <c r="V100" s="12">
        <f>SUMIFS(BASE!$G:$G,BASE!$B:$B,$B100,BASE!$L:$L,$G100,BASE!$J:$J,$C100,BASE!$A:$A,V$2)</f>
        <v>0</v>
      </c>
      <c r="X100" t="str">
        <f t="shared" si="3"/>
        <v>COM TROCAS</v>
      </c>
    </row>
    <row r="101" spans="2:24">
      <c r="B101" s="8" t="s">
        <v>434</v>
      </c>
      <c r="C101" s="9" t="s">
        <v>106</v>
      </c>
      <c r="D101" s="9" t="s">
        <v>428</v>
      </c>
      <c r="E101" s="9" t="s">
        <v>429</v>
      </c>
      <c r="F101" s="9" t="s">
        <v>430</v>
      </c>
      <c r="G101" s="9" t="s">
        <v>56</v>
      </c>
      <c r="H101" s="7" t="str">
        <f>IFERROR(IF(_xlfn.XLOOKUP(B101,REPASSE!D:D,REPASSE!D:D)="","Não","Sim"),"Não")</f>
        <v>Não</v>
      </c>
      <c r="I101" s="7" t="str">
        <f>IF(_xlfn.XLOOKUP(B101,'BOOST LIBERADO'!B:B,'BOOST LIBERADO'!B:B,"Não")="Não","Não","Sim")</f>
        <v>Sim</v>
      </c>
      <c r="J101" s="83" t="str">
        <f t="shared" si="2"/>
        <v>Sim</v>
      </c>
      <c r="K101" s="12">
        <f>SUMIFS(BASE!$G:$G,BASE!$B:$B,$B101,BASE!$L:$L,$G101,BASE!$J:$J,$C101,BASE!$A:$A,K$2)</f>
        <v>0</v>
      </c>
      <c r="L101" s="12">
        <f>SUMIFS(BASE!$G:$G,BASE!$B:$B,$B101,BASE!$L:$L,$G101,BASE!$J:$J,$C101,BASE!$A:$A,L$2)</f>
        <v>0</v>
      </c>
      <c r="M101" s="12">
        <f>SUMIFS(BASE!$G:$G,BASE!$B:$B,$B101,BASE!$L:$L,$G101,BASE!$J:$J,$C101,BASE!$A:$A,M$2)</f>
        <v>0</v>
      </c>
      <c r="N101" s="12">
        <f>SUMIFS(BASE!$G:$G,BASE!$B:$B,$B101,BASE!$L:$L,$G101,BASE!$J:$J,$C101,BASE!$A:$A,N$2)</f>
        <v>0</v>
      </c>
      <c r="O101" s="12">
        <f>SUMIFS(BASE!$G:$G,BASE!$B:$B,$B101,BASE!$L:$L,$G101,BASE!$J:$J,$C101,BASE!$A:$A,O$2)</f>
        <v>0</v>
      </c>
      <c r="P101" s="12">
        <f>SUMIFS(BASE!$G:$G,BASE!$B:$B,$B101,BASE!$L:$L,$G101,BASE!$J:$J,$C101,BASE!$A:$A,P$2)</f>
        <v>0</v>
      </c>
      <c r="Q101" s="12">
        <f>SUMIFS(BASE!$G:$G,BASE!$B:$B,$B101,BASE!$L:$L,$G101,BASE!$J:$J,$C101,BASE!$A:$A,Q$2)</f>
        <v>0</v>
      </c>
      <c r="R101" s="12">
        <f>SUMIFS(BASE!$G:$G,BASE!$B:$B,$B101,BASE!$L:$L,$G101,BASE!$J:$J,$C101,BASE!$A:$A,R$2)</f>
        <v>1</v>
      </c>
      <c r="S101" s="12">
        <f>SUMIFS(BASE!$G:$G,BASE!$B:$B,$B101,BASE!$L:$L,$G101,BASE!$J:$J,$C101,BASE!$A:$A,S$2)</f>
        <v>0</v>
      </c>
      <c r="T101" s="12">
        <f>SUMIFS(BASE!$G:$G,BASE!$B:$B,$B101,BASE!$L:$L,$G101,BASE!$J:$J,$C101,BASE!$A:$A,T$2)</f>
        <v>0</v>
      </c>
      <c r="U101" s="12">
        <f>SUMIFS(BASE!$G:$G,BASE!$B:$B,$B101,BASE!$L:$L,$G101,BASE!$J:$J,$C101,BASE!$A:$A,U$2)</f>
        <v>0</v>
      </c>
      <c r="V101" s="12">
        <f>SUMIFS(BASE!$G:$G,BASE!$B:$B,$B101,BASE!$L:$L,$G101,BASE!$J:$J,$C101,BASE!$A:$A,V$2)</f>
        <v>0</v>
      </c>
      <c r="X101" t="str">
        <f t="shared" si="3"/>
        <v>COM TROCAS</v>
      </c>
    </row>
    <row r="102" spans="2:24">
      <c r="B102" s="8" t="s">
        <v>435</v>
      </c>
      <c r="C102" s="9" t="s">
        <v>106</v>
      </c>
      <c r="D102" s="9" t="s">
        <v>436</v>
      </c>
      <c r="E102" s="9" t="s">
        <v>437</v>
      </c>
      <c r="F102" s="9" t="s">
        <v>430</v>
      </c>
      <c r="G102" s="9" t="s">
        <v>56</v>
      </c>
      <c r="H102" s="7" t="str">
        <f>IFERROR(IF(_xlfn.XLOOKUP(B102,REPASSE!D:D,REPASSE!D:D)="","Não","Sim"),"Não")</f>
        <v>Não</v>
      </c>
      <c r="I102" s="7" t="str">
        <f>IF(_xlfn.XLOOKUP(B102,'BOOST LIBERADO'!B:B,'BOOST LIBERADO'!B:B,"Não")="Não","Não","Sim")</f>
        <v>Sim</v>
      </c>
      <c r="J102" s="83" t="str">
        <f t="shared" si="2"/>
        <v>Sim</v>
      </c>
      <c r="K102" s="12">
        <f>SUMIFS(BASE!$G:$G,BASE!$B:$B,$B102,BASE!$L:$L,$G102,BASE!$J:$J,$C102,BASE!$A:$A,K$2)</f>
        <v>0</v>
      </c>
      <c r="L102" s="12">
        <f>SUMIFS(BASE!$G:$G,BASE!$B:$B,$B102,BASE!$L:$L,$G102,BASE!$J:$J,$C102,BASE!$A:$A,L$2)</f>
        <v>0</v>
      </c>
      <c r="M102" s="12">
        <f>SUMIFS(BASE!$G:$G,BASE!$B:$B,$B102,BASE!$L:$L,$G102,BASE!$J:$J,$C102,BASE!$A:$A,M$2)</f>
        <v>0</v>
      </c>
      <c r="N102" s="12">
        <f>SUMIFS(BASE!$G:$G,BASE!$B:$B,$B102,BASE!$L:$L,$G102,BASE!$J:$J,$C102,BASE!$A:$A,N$2)</f>
        <v>0</v>
      </c>
      <c r="O102" s="12">
        <f>SUMIFS(BASE!$G:$G,BASE!$B:$B,$B102,BASE!$L:$L,$G102,BASE!$J:$J,$C102,BASE!$A:$A,O$2)</f>
        <v>0</v>
      </c>
      <c r="P102" s="12">
        <f>SUMIFS(BASE!$G:$G,BASE!$B:$B,$B102,BASE!$L:$L,$G102,BASE!$J:$J,$C102,BASE!$A:$A,P$2)</f>
        <v>0</v>
      </c>
      <c r="Q102" s="12">
        <f>SUMIFS(BASE!$G:$G,BASE!$B:$B,$B102,BASE!$L:$L,$G102,BASE!$J:$J,$C102,BASE!$A:$A,Q$2)</f>
        <v>0</v>
      </c>
      <c r="R102" s="12">
        <f>SUMIFS(BASE!$G:$G,BASE!$B:$B,$B102,BASE!$L:$L,$G102,BASE!$J:$J,$C102,BASE!$A:$A,R$2)</f>
        <v>0</v>
      </c>
      <c r="S102" s="12">
        <f>SUMIFS(BASE!$G:$G,BASE!$B:$B,$B102,BASE!$L:$L,$G102,BASE!$J:$J,$C102,BASE!$A:$A,S$2)</f>
        <v>0</v>
      </c>
      <c r="T102" s="12">
        <f>SUMIFS(BASE!$G:$G,BASE!$B:$B,$B102,BASE!$L:$L,$G102,BASE!$J:$J,$C102,BASE!$A:$A,T$2)</f>
        <v>0</v>
      </c>
      <c r="U102" s="12">
        <f>SUMIFS(BASE!$G:$G,BASE!$B:$B,$B102,BASE!$L:$L,$G102,BASE!$J:$J,$C102,BASE!$A:$A,U$2)</f>
        <v>0</v>
      </c>
      <c r="V102" s="12">
        <f>SUMIFS(BASE!$G:$G,BASE!$B:$B,$B102,BASE!$L:$L,$G102,BASE!$J:$J,$C102,BASE!$A:$A,V$2)</f>
        <v>0</v>
      </c>
      <c r="X102" t="str">
        <f t="shared" si="3"/>
        <v>ZERADO</v>
      </c>
    </row>
    <row r="103" spans="2:24">
      <c r="B103" s="8" t="s">
        <v>438</v>
      </c>
      <c r="C103" s="9" t="s">
        <v>239</v>
      </c>
      <c r="D103" s="9" t="s">
        <v>439</v>
      </c>
      <c r="E103" s="9" t="s">
        <v>440</v>
      </c>
      <c r="F103" s="9" t="s">
        <v>441</v>
      </c>
      <c r="G103" s="9" t="s">
        <v>56</v>
      </c>
      <c r="H103" s="7" t="str">
        <f>IFERROR(IF(_xlfn.XLOOKUP(B103,REPASSE!D:D,REPASSE!D:D)="","Não","Sim"),"Não")</f>
        <v>Não</v>
      </c>
      <c r="I103" s="7" t="str">
        <f>IF(_xlfn.XLOOKUP(B103,'BOOST LIBERADO'!B:B,'BOOST LIBERADO'!B:B,"Não")="Não","Não","Sim")</f>
        <v>Sim</v>
      </c>
      <c r="J103" s="83" t="str">
        <f t="shared" si="2"/>
        <v>Sim</v>
      </c>
      <c r="K103" s="12">
        <f>SUMIFS(BASE!$G:$G,BASE!$B:$B,$B103,BASE!$L:$L,$G103,BASE!$J:$J,$C103,BASE!$A:$A,K$2)</f>
        <v>0</v>
      </c>
      <c r="L103" s="12">
        <f>SUMIFS(BASE!$G:$G,BASE!$B:$B,$B103,BASE!$L:$L,$G103,BASE!$J:$J,$C103,BASE!$A:$A,L$2)</f>
        <v>0</v>
      </c>
      <c r="M103" s="12">
        <f>SUMIFS(BASE!$G:$G,BASE!$B:$B,$B103,BASE!$L:$L,$G103,BASE!$J:$J,$C103,BASE!$A:$A,M$2)</f>
        <v>0</v>
      </c>
      <c r="N103" s="12">
        <f>SUMIFS(BASE!$G:$G,BASE!$B:$B,$B103,BASE!$L:$L,$G103,BASE!$J:$J,$C103,BASE!$A:$A,N$2)</f>
        <v>2</v>
      </c>
      <c r="O103" s="12">
        <f>SUMIFS(BASE!$G:$G,BASE!$B:$B,$B103,BASE!$L:$L,$G103,BASE!$J:$J,$C103,BASE!$A:$A,O$2)</f>
        <v>7</v>
      </c>
      <c r="P103" s="12">
        <f>SUMIFS(BASE!$G:$G,BASE!$B:$B,$B103,BASE!$L:$L,$G103,BASE!$J:$J,$C103,BASE!$A:$A,P$2)</f>
        <v>5</v>
      </c>
      <c r="Q103" s="12">
        <f>SUMIFS(BASE!$G:$G,BASE!$B:$B,$B103,BASE!$L:$L,$G103,BASE!$J:$J,$C103,BASE!$A:$A,Q$2)</f>
        <v>9</v>
      </c>
      <c r="R103" s="12">
        <f>SUMIFS(BASE!$G:$G,BASE!$B:$B,$B103,BASE!$L:$L,$G103,BASE!$J:$J,$C103,BASE!$A:$A,R$2)</f>
        <v>6</v>
      </c>
      <c r="S103" s="12">
        <f>SUMIFS(BASE!$G:$G,BASE!$B:$B,$B103,BASE!$L:$L,$G103,BASE!$J:$J,$C103,BASE!$A:$A,S$2)</f>
        <v>0</v>
      </c>
      <c r="T103" s="12">
        <f>SUMIFS(BASE!$G:$G,BASE!$B:$B,$B103,BASE!$L:$L,$G103,BASE!$J:$J,$C103,BASE!$A:$A,T$2)</f>
        <v>0</v>
      </c>
      <c r="U103" s="12">
        <f>SUMIFS(BASE!$G:$G,BASE!$B:$B,$B103,BASE!$L:$L,$G103,BASE!$J:$J,$C103,BASE!$A:$A,U$2)</f>
        <v>0</v>
      </c>
      <c r="V103" s="12">
        <f>SUMIFS(BASE!$G:$G,BASE!$B:$B,$B103,BASE!$L:$L,$G103,BASE!$J:$J,$C103,BASE!$A:$A,V$2)</f>
        <v>0</v>
      </c>
      <c r="X103" t="str">
        <f t="shared" si="3"/>
        <v>COM TROCAS</v>
      </c>
    </row>
    <row r="104" spans="2:24">
      <c r="B104" s="8" t="s">
        <v>442</v>
      </c>
      <c r="C104" s="9" t="s">
        <v>106</v>
      </c>
      <c r="D104" s="9" t="s">
        <v>443</v>
      </c>
      <c r="E104" s="9" t="s">
        <v>437</v>
      </c>
      <c r="F104" s="9" t="s">
        <v>430</v>
      </c>
      <c r="G104" s="9" t="s">
        <v>56</v>
      </c>
      <c r="H104" s="7" t="str">
        <f>IFERROR(IF(_xlfn.XLOOKUP(B104,REPASSE!D:D,REPASSE!D:D)="","Não","Sim"),"Não")</f>
        <v>Não</v>
      </c>
      <c r="I104" s="7" t="str">
        <f>IF(_xlfn.XLOOKUP(B104,'BOOST LIBERADO'!B:B,'BOOST LIBERADO'!B:B,"Não")="Não","Não","Sim")</f>
        <v>Sim</v>
      </c>
      <c r="J104" s="83" t="str">
        <f t="shared" si="2"/>
        <v>Sim</v>
      </c>
      <c r="K104" s="12">
        <f>SUMIFS(BASE!$G:$G,BASE!$B:$B,$B104,BASE!$L:$L,$G104,BASE!$J:$J,$C104,BASE!$A:$A,K$2)</f>
        <v>0</v>
      </c>
      <c r="L104" s="12">
        <f>SUMIFS(BASE!$G:$G,BASE!$B:$B,$B104,BASE!$L:$L,$G104,BASE!$J:$J,$C104,BASE!$A:$A,L$2)</f>
        <v>0</v>
      </c>
      <c r="M104" s="12">
        <f>SUMIFS(BASE!$G:$G,BASE!$B:$B,$B104,BASE!$L:$L,$G104,BASE!$J:$J,$C104,BASE!$A:$A,M$2)</f>
        <v>0</v>
      </c>
      <c r="N104" s="12">
        <f>SUMIFS(BASE!$G:$G,BASE!$B:$B,$B104,BASE!$L:$L,$G104,BASE!$J:$J,$C104,BASE!$A:$A,N$2)</f>
        <v>0</v>
      </c>
      <c r="O104" s="12">
        <f>SUMIFS(BASE!$G:$G,BASE!$B:$B,$B104,BASE!$L:$L,$G104,BASE!$J:$J,$C104,BASE!$A:$A,O$2)</f>
        <v>0</v>
      </c>
      <c r="P104" s="12">
        <f>SUMIFS(BASE!$G:$G,BASE!$B:$B,$B104,BASE!$L:$L,$G104,BASE!$J:$J,$C104,BASE!$A:$A,P$2)</f>
        <v>0</v>
      </c>
      <c r="Q104" s="12">
        <f>SUMIFS(BASE!$G:$G,BASE!$B:$B,$B104,BASE!$L:$L,$G104,BASE!$J:$J,$C104,BASE!$A:$A,Q$2)</f>
        <v>0</v>
      </c>
      <c r="R104" s="12">
        <f>SUMIFS(BASE!$G:$G,BASE!$B:$B,$B104,BASE!$L:$L,$G104,BASE!$J:$J,$C104,BASE!$A:$A,R$2)</f>
        <v>0</v>
      </c>
      <c r="S104" s="12">
        <f>SUMIFS(BASE!$G:$G,BASE!$B:$B,$B104,BASE!$L:$L,$G104,BASE!$J:$J,$C104,BASE!$A:$A,S$2)</f>
        <v>0</v>
      </c>
      <c r="T104" s="12">
        <f>SUMIFS(BASE!$G:$G,BASE!$B:$B,$B104,BASE!$L:$L,$G104,BASE!$J:$J,$C104,BASE!$A:$A,T$2)</f>
        <v>0</v>
      </c>
      <c r="U104" s="12">
        <f>SUMIFS(BASE!$G:$G,BASE!$B:$B,$B104,BASE!$L:$L,$G104,BASE!$J:$J,$C104,BASE!$A:$A,U$2)</f>
        <v>0</v>
      </c>
      <c r="V104" s="12">
        <f>SUMIFS(BASE!$G:$G,BASE!$B:$B,$B104,BASE!$L:$L,$G104,BASE!$J:$J,$C104,BASE!$A:$A,V$2)</f>
        <v>0</v>
      </c>
      <c r="X104" t="str">
        <f t="shared" si="3"/>
        <v>ZERADO</v>
      </c>
    </row>
    <row r="105" spans="2:24">
      <c r="B105" s="8" t="s">
        <v>444</v>
      </c>
      <c r="C105" s="9" t="s">
        <v>200</v>
      </c>
      <c r="D105" s="9" t="s">
        <v>445</v>
      </c>
      <c r="E105" s="9" t="s">
        <v>437</v>
      </c>
      <c r="F105" s="9" t="s">
        <v>446</v>
      </c>
      <c r="G105" s="9" t="s">
        <v>56</v>
      </c>
      <c r="H105" s="7" t="str">
        <f>IFERROR(IF(_xlfn.XLOOKUP(B105,REPASSE!D:D,REPASSE!D:D)="","Não","Sim"),"Não")</f>
        <v>Não</v>
      </c>
      <c r="I105" s="7" t="str">
        <f>IF(_xlfn.XLOOKUP(B105,'BOOST LIBERADO'!B:B,'BOOST LIBERADO'!B:B,"Não")="Não","Não","Sim")</f>
        <v>Sim</v>
      </c>
      <c r="J105" s="83" t="str">
        <f t="shared" si="2"/>
        <v>Sim</v>
      </c>
      <c r="K105" s="12">
        <f>SUMIFS(BASE!$G:$G,BASE!$B:$B,$B105,BASE!$L:$L,$G105,BASE!$J:$J,$C105,BASE!$A:$A,K$2)</f>
        <v>0</v>
      </c>
      <c r="L105" s="12">
        <f>SUMIFS(BASE!$G:$G,BASE!$B:$B,$B105,BASE!$L:$L,$G105,BASE!$J:$J,$C105,BASE!$A:$A,L$2)</f>
        <v>0</v>
      </c>
      <c r="M105" s="12">
        <f>SUMIFS(BASE!$G:$G,BASE!$B:$B,$B105,BASE!$L:$L,$G105,BASE!$J:$J,$C105,BASE!$A:$A,M$2)</f>
        <v>0</v>
      </c>
      <c r="N105" s="12">
        <f>SUMIFS(BASE!$G:$G,BASE!$B:$B,$B105,BASE!$L:$L,$G105,BASE!$J:$J,$C105,BASE!$A:$A,N$2)</f>
        <v>0</v>
      </c>
      <c r="O105" s="12">
        <f>SUMIFS(BASE!$G:$G,BASE!$B:$B,$B105,BASE!$L:$L,$G105,BASE!$J:$J,$C105,BASE!$A:$A,O$2)</f>
        <v>0</v>
      </c>
      <c r="P105" s="12">
        <f>SUMIFS(BASE!$G:$G,BASE!$B:$B,$B105,BASE!$L:$L,$G105,BASE!$J:$J,$C105,BASE!$A:$A,P$2)</f>
        <v>0</v>
      </c>
      <c r="Q105" s="12">
        <f>SUMIFS(BASE!$G:$G,BASE!$B:$B,$B105,BASE!$L:$L,$G105,BASE!$J:$J,$C105,BASE!$A:$A,Q$2)</f>
        <v>0</v>
      </c>
      <c r="R105" s="12">
        <f>SUMIFS(BASE!$G:$G,BASE!$B:$B,$B105,BASE!$L:$L,$G105,BASE!$J:$J,$C105,BASE!$A:$A,R$2)</f>
        <v>0</v>
      </c>
      <c r="S105" s="12">
        <f>SUMIFS(BASE!$G:$G,BASE!$B:$B,$B105,BASE!$L:$L,$G105,BASE!$J:$J,$C105,BASE!$A:$A,S$2)</f>
        <v>0</v>
      </c>
      <c r="T105" s="12">
        <f>SUMIFS(BASE!$G:$G,BASE!$B:$B,$B105,BASE!$L:$L,$G105,BASE!$J:$J,$C105,BASE!$A:$A,T$2)</f>
        <v>0</v>
      </c>
      <c r="U105" s="12">
        <f>SUMIFS(BASE!$G:$G,BASE!$B:$B,$B105,BASE!$L:$L,$G105,BASE!$J:$J,$C105,BASE!$A:$A,U$2)</f>
        <v>0</v>
      </c>
      <c r="V105" s="12">
        <f>SUMIFS(BASE!$G:$G,BASE!$B:$B,$B105,BASE!$L:$L,$G105,BASE!$J:$J,$C105,BASE!$A:$A,V$2)</f>
        <v>0</v>
      </c>
      <c r="X105" t="str">
        <f t="shared" si="3"/>
        <v>ZERADO</v>
      </c>
    </row>
    <row r="106" spans="2:24">
      <c r="B106" s="8" t="s">
        <v>447</v>
      </c>
      <c r="C106" s="9" t="s">
        <v>228</v>
      </c>
      <c r="D106" s="9" t="s">
        <v>448</v>
      </c>
      <c r="E106" s="9" t="s">
        <v>437</v>
      </c>
      <c r="F106" s="9" t="s">
        <v>449</v>
      </c>
      <c r="G106" s="9" t="s">
        <v>56</v>
      </c>
      <c r="H106" s="7" t="str">
        <f>IFERROR(IF(_xlfn.XLOOKUP(B106,REPASSE!D:D,REPASSE!D:D)="","Não","Sim"),"Não")</f>
        <v>Não</v>
      </c>
      <c r="I106" s="7" t="str">
        <f>IF(_xlfn.XLOOKUP(B106,'BOOST LIBERADO'!B:B,'BOOST LIBERADO'!B:B,"Não")="Não","Não","Sim")</f>
        <v>Sim</v>
      </c>
      <c r="J106" s="83" t="str">
        <f t="shared" si="2"/>
        <v>Sim</v>
      </c>
      <c r="K106" s="12">
        <f>SUMIFS(BASE!$G:$G,BASE!$B:$B,$B106,BASE!$L:$L,$G106,BASE!$J:$J,$C106,BASE!$A:$A,K$2)</f>
        <v>4</v>
      </c>
      <c r="L106" s="12">
        <f>SUMIFS(BASE!$G:$G,BASE!$B:$B,$B106,BASE!$L:$L,$G106,BASE!$J:$J,$C106,BASE!$A:$A,L$2)</f>
        <v>2</v>
      </c>
      <c r="M106" s="12">
        <f>SUMIFS(BASE!$G:$G,BASE!$B:$B,$B106,BASE!$L:$L,$G106,BASE!$J:$J,$C106,BASE!$A:$A,M$2)</f>
        <v>4</v>
      </c>
      <c r="N106" s="12">
        <f>SUMIFS(BASE!$G:$G,BASE!$B:$B,$B106,BASE!$L:$L,$G106,BASE!$J:$J,$C106,BASE!$A:$A,N$2)</f>
        <v>6</v>
      </c>
      <c r="O106" s="12">
        <f>SUMIFS(BASE!$G:$G,BASE!$B:$B,$B106,BASE!$L:$L,$G106,BASE!$J:$J,$C106,BASE!$A:$A,O$2)</f>
        <v>4</v>
      </c>
      <c r="P106" s="12">
        <f>SUMIFS(BASE!$G:$G,BASE!$B:$B,$B106,BASE!$L:$L,$G106,BASE!$J:$J,$C106,BASE!$A:$A,P$2)</f>
        <v>6</v>
      </c>
      <c r="Q106" s="12">
        <f>SUMIFS(BASE!$G:$G,BASE!$B:$B,$B106,BASE!$L:$L,$G106,BASE!$J:$J,$C106,BASE!$A:$A,Q$2)</f>
        <v>23</v>
      </c>
      <c r="R106" s="12">
        <f>SUMIFS(BASE!$G:$G,BASE!$B:$B,$B106,BASE!$L:$L,$G106,BASE!$J:$J,$C106,BASE!$A:$A,R$2)</f>
        <v>15</v>
      </c>
      <c r="S106" s="12">
        <f>SUMIFS(BASE!$G:$G,BASE!$B:$B,$B106,BASE!$L:$L,$G106,BASE!$J:$J,$C106,BASE!$A:$A,S$2)</f>
        <v>0</v>
      </c>
      <c r="T106" s="12">
        <f>SUMIFS(BASE!$G:$G,BASE!$B:$B,$B106,BASE!$L:$L,$G106,BASE!$J:$J,$C106,BASE!$A:$A,T$2)</f>
        <v>0</v>
      </c>
      <c r="U106" s="12">
        <f>SUMIFS(BASE!$G:$G,BASE!$B:$B,$B106,BASE!$L:$L,$G106,BASE!$J:$J,$C106,BASE!$A:$A,U$2)</f>
        <v>0</v>
      </c>
      <c r="V106" s="12">
        <f>SUMIFS(BASE!$G:$G,BASE!$B:$B,$B106,BASE!$L:$L,$G106,BASE!$J:$J,$C106,BASE!$A:$A,V$2)</f>
        <v>0</v>
      </c>
      <c r="X106" t="str">
        <f t="shared" si="3"/>
        <v>COM TROCAS</v>
      </c>
    </row>
    <row r="107" spans="2:24">
      <c r="B107" s="8" t="s">
        <v>450</v>
      </c>
      <c r="C107" s="8" t="s">
        <v>228</v>
      </c>
      <c r="D107" s="8" t="s">
        <v>451</v>
      </c>
      <c r="E107" s="8" t="s">
        <v>429</v>
      </c>
      <c r="F107" s="8" t="s">
        <v>430</v>
      </c>
      <c r="G107" s="8" t="s">
        <v>56</v>
      </c>
      <c r="H107" s="7" t="str">
        <f>IFERROR(IF(_xlfn.XLOOKUP(B107,REPASSE!D:D,REPASSE!D:D)="","Não","Sim"),"Não")</f>
        <v>Não</v>
      </c>
      <c r="I107" s="7" t="str">
        <f>IF(_xlfn.XLOOKUP(B107,'BOOST LIBERADO'!B:B,'BOOST LIBERADO'!B:B,"Não")="Não","Não","Sim")</f>
        <v>Sim</v>
      </c>
      <c r="J107" s="83" t="str">
        <f t="shared" si="2"/>
        <v>Sim</v>
      </c>
      <c r="K107" s="12">
        <f>SUMIFS(BASE!$G:$G,BASE!$B:$B,$B107,BASE!$L:$L,$G107,BASE!$J:$J,$C107,BASE!$A:$A,K$2)</f>
        <v>0</v>
      </c>
      <c r="L107" s="12">
        <f>SUMIFS(BASE!$G:$G,BASE!$B:$B,$B107,BASE!$L:$L,$G107,BASE!$J:$J,$C107,BASE!$A:$A,L$2)</f>
        <v>0</v>
      </c>
      <c r="M107" s="12">
        <f>SUMIFS(BASE!$G:$G,BASE!$B:$B,$B107,BASE!$L:$L,$G107,BASE!$J:$J,$C107,BASE!$A:$A,M$2)</f>
        <v>0</v>
      </c>
      <c r="N107" s="12">
        <f>SUMIFS(BASE!$G:$G,BASE!$B:$B,$B107,BASE!$L:$L,$G107,BASE!$J:$J,$C107,BASE!$A:$A,N$2)</f>
        <v>0</v>
      </c>
      <c r="O107" s="12">
        <f>SUMIFS(BASE!$G:$G,BASE!$B:$B,$B107,BASE!$L:$L,$G107,BASE!$J:$J,$C107,BASE!$A:$A,O$2)</f>
        <v>0</v>
      </c>
      <c r="P107" s="12">
        <f>SUMIFS(BASE!$G:$G,BASE!$B:$B,$B107,BASE!$L:$L,$G107,BASE!$J:$J,$C107,BASE!$A:$A,P$2)</f>
        <v>0</v>
      </c>
      <c r="Q107" s="12">
        <f>SUMIFS(BASE!$G:$G,BASE!$B:$B,$B107,BASE!$L:$L,$G107,BASE!$J:$J,$C107,BASE!$A:$A,Q$2)</f>
        <v>0</v>
      </c>
      <c r="R107" s="12">
        <f>SUMIFS(BASE!$G:$G,BASE!$B:$B,$B107,BASE!$L:$L,$G107,BASE!$J:$J,$C107,BASE!$A:$A,R$2)</f>
        <v>0</v>
      </c>
      <c r="S107" s="12">
        <f>SUMIFS(BASE!$G:$G,BASE!$B:$B,$B107,BASE!$L:$L,$G107,BASE!$J:$J,$C107,BASE!$A:$A,S$2)</f>
        <v>0</v>
      </c>
      <c r="T107" s="12">
        <f>SUMIFS(BASE!$G:$G,BASE!$B:$B,$B107,BASE!$L:$L,$G107,BASE!$J:$J,$C107,BASE!$A:$A,T$2)</f>
        <v>0</v>
      </c>
      <c r="U107" s="12">
        <f>SUMIFS(BASE!$G:$G,BASE!$B:$B,$B107,BASE!$L:$L,$G107,BASE!$J:$J,$C107,BASE!$A:$A,U$2)</f>
        <v>0</v>
      </c>
      <c r="V107" s="12">
        <f>SUMIFS(BASE!$G:$G,BASE!$B:$B,$B107,BASE!$L:$L,$G107,BASE!$J:$J,$C107,BASE!$A:$A,V$2)</f>
        <v>0</v>
      </c>
      <c r="X107" t="str">
        <f t="shared" si="3"/>
        <v>ZERADO</v>
      </c>
    </row>
    <row r="108" spans="2:24">
      <c r="B108" s="8" t="s">
        <v>452</v>
      </c>
      <c r="C108" s="8" t="s">
        <v>94</v>
      </c>
      <c r="D108" s="8" t="s">
        <v>453</v>
      </c>
      <c r="E108" s="8" t="s">
        <v>454</v>
      </c>
      <c r="F108" s="8" t="s">
        <v>455</v>
      </c>
      <c r="G108" s="8" t="s">
        <v>56</v>
      </c>
      <c r="H108" s="7" t="str">
        <f>IFERROR(IF(_xlfn.XLOOKUP(B108,REPASSE!D:D,REPASSE!D:D)="","Não","Sim"),"Não")</f>
        <v>Sim</v>
      </c>
      <c r="I108" s="7" t="str">
        <f>IF(_xlfn.XLOOKUP(B108,'BOOST LIBERADO'!B:B,'BOOST LIBERADO'!B:B,"Não")="Não","Não","Sim")</f>
        <v>Sim</v>
      </c>
      <c r="J108" s="83" t="str">
        <f t="shared" si="2"/>
        <v>Não</v>
      </c>
      <c r="K108" s="12">
        <f>SUMIFS(BASE!$G:$G,BASE!$B:$B,$B108,BASE!$L:$L,$G108,BASE!$J:$J,$C108,BASE!$A:$A,K$2)</f>
        <v>0</v>
      </c>
      <c r="L108" s="12">
        <f>SUMIFS(BASE!$G:$G,BASE!$B:$B,$B108,BASE!$L:$L,$G108,BASE!$J:$J,$C108,BASE!$A:$A,L$2)</f>
        <v>0</v>
      </c>
      <c r="M108" s="12">
        <f>SUMIFS(BASE!$G:$G,BASE!$B:$B,$B108,BASE!$L:$L,$G108,BASE!$J:$J,$C108,BASE!$A:$A,M$2)</f>
        <v>0</v>
      </c>
      <c r="N108" s="12">
        <f>SUMIFS(BASE!$G:$G,BASE!$B:$B,$B108,BASE!$L:$L,$G108,BASE!$J:$J,$C108,BASE!$A:$A,N$2)</f>
        <v>0</v>
      </c>
      <c r="O108" s="12">
        <f>SUMIFS(BASE!$G:$G,BASE!$B:$B,$B108,BASE!$L:$L,$G108,BASE!$J:$J,$C108,BASE!$A:$A,O$2)</f>
        <v>0</v>
      </c>
      <c r="P108" s="12">
        <f>SUMIFS(BASE!$G:$G,BASE!$B:$B,$B108,BASE!$L:$L,$G108,BASE!$J:$J,$C108,BASE!$A:$A,P$2)</f>
        <v>0</v>
      </c>
      <c r="Q108" s="12">
        <f>SUMIFS(BASE!$G:$G,BASE!$B:$B,$B108,BASE!$L:$L,$G108,BASE!$J:$J,$C108,BASE!$A:$A,Q$2)</f>
        <v>0</v>
      </c>
      <c r="R108" s="12">
        <f>SUMIFS(BASE!$G:$G,BASE!$B:$B,$B108,BASE!$L:$L,$G108,BASE!$J:$J,$C108,BASE!$A:$A,R$2)</f>
        <v>0</v>
      </c>
      <c r="S108" s="12">
        <f>SUMIFS(BASE!$G:$G,BASE!$B:$B,$B108,BASE!$L:$L,$G108,BASE!$J:$J,$C108,BASE!$A:$A,S$2)</f>
        <v>0</v>
      </c>
      <c r="T108" s="12">
        <f>SUMIFS(BASE!$G:$G,BASE!$B:$B,$B108,BASE!$L:$L,$G108,BASE!$J:$J,$C108,BASE!$A:$A,T$2)</f>
        <v>0</v>
      </c>
      <c r="U108" s="12">
        <f>SUMIFS(BASE!$G:$G,BASE!$B:$B,$B108,BASE!$L:$L,$G108,BASE!$J:$J,$C108,BASE!$A:$A,U$2)</f>
        <v>0</v>
      </c>
      <c r="V108" s="12">
        <f>SUMIFS(BASE!$G:$G,BASE!$B:$B,$B108,BASE!$L:$L,$G108,BASE!$J:$J,$C108,BASE!$A:$A,V$2)</f>
        <v>0</v>
      </c>
      <c r="X108" t="str">
        <f t="shared" si="3"/>
        <v>ZERADO</v>
      </c>
    </row>
    <row r="109" spans="2:24">
      <c r="B109" s="8" t="s">
        <v>456</v>
      </c>
      <c r="C109" s="8" t="s">
        <v>235</v>
      </c>
      <c r="D109" s="8" t="s">
        <v>457</v>
      </c>
      <c r="E109" s="8" t="s">
        <v>454</v>
      </c>
      <c r="F109" s="8" t="s">
        <v>458</v>
      </c>
      <c r="G109" s="8" t="s">
        <v>56</v>
      </c>
      <c r="H109" s="7" t="str">
        <f>IFERROR(IF(_xlfn.XLOOKUP(B109,REPASSE!D:D,REPASSE!D:D)="","Não","Sim"),"Não")</f>
        <v>Não</v>
      </c>
      <c r="I109" s="7" t="str">
        <f>IF(_xlfn.XLOOKUP(B109,'BOOST LIBERADO'!B:B,'BOOST LIBERADO'!B:B,"Não")="Não","Não","Sim")</f>
        <v>Sim</v>
      </c>
      <c r="J109" s="83" t="str">
        <f t="shared" si="2"/>
        <v>Sim</v>
      </c>
      <c r="K109" s="12">
        <f>SUMIFS(BASE!$G:$G,BASE!$B:$B,$B109,BASE!$L:$L,$G109,BASE!$J:$J,$C109,BASE!$A:$A,K$2)</f>
        <v>0</v>
      </c>
      <c r="L109" s="12">
        <f>SUMIFS(BASE!$G:$G,BASE!$B:$B,$B109,BASE!$L:$L,$G109,BASE!$J:$J,$C109,BASE!$A:$A,L$2)</f>
        <v>0</v>
      </c>
      <c r="M109" s="12">
        <f>SUMIFS(BASE!$G:$G,BASE!$B:$B,$B109,BASE!$L:$L,$G109,BASE!$J:$J,$C109,BASE!$A:$A,M$2)</f>
        <v>0</v>
      </c>
      <c r="N109" s="12">
        <f>SUMIFS(BASE!$G:$G,BASE!$B:$B,$B109,BASE!$L:$L,$G109,BASE!$J:$J,$C109,BASE!$A:$A,N$2)</f>
        <v>0</v>
      </c>
      <c r="O109" s="12">
        <f>SUMIFS(BASE!$G:$G,BASE!$B:$B,$B109,BASE!$L:$L,$G109,BASE!$J:$J,$C109,BASE!$A:$A,O$2)</f>
        <v>0</v>
      </c>
      <c r="P109" s="12">
        <f>SUMIFS(BASE!$G:$G,BASE!$B:$B,$B109,BASE!$L:$L,$G109,BASE!$J:$J,$C109,BASE!$A:$A,P$2)</f>
        <v>0</v>
      </c>
      <c r="Q109" s="12">
        <f>SUMIFS(BASE!$G:$G,BASE!$B:$B,$B109,BASE!$L:$L,$G109,BASE!$J:$J,$C109,BASE!$A:$A,Q$2)</f>
        <v>0</v>
      </c>
      <c r="R109" s="12">
        <f>SUMIFS(BASE!$G:$G,BASE!$B:$B,$B109,BASE!$L:$L,$G109,BASE!$J:$J,$C109,BASE!$A:$A,R$2)</f>
        <v>0</v>
      </c>
      <c r="S109" s="12">
        <f>SUMIFS(BASE!$G:$G,BASE!$B:$B,$B109,BASE!$L:$L,$G109,BASE!$J:$J,$C109,BASE!$A:$A,S$2)</f>
        <v>0</v>
      </c>
      <c r="T109" s="12">
        <f>SUMIFS(BASE!$G:$G,BASE!$B:$B,$B109,BASE!$L:$L,$G109,BASE!$J:$J,$C109,BASE!$A:$A,T$2)</f>
        <v>0</v>
      </c>
      <c r="U109" s="12">
        <f>SUMIFS(BASE!$G:$G,BASE!$B:$B,$B109,BASE!$L:$L,$G109,BASE!$J:$J,$C109,BASE!$A:$A,U$2)</f>
        <v>0</v>
      </c>
      <c r="V109" s="12">
        <f>SUMIFS(BASE!$G:$G,BASE!$B:$B,$B109,BASE!$L:$L,$G109,BASE!$J:$J,$C109,BASE!$A:$A,V$2)</f>
        <v>0</v>
      </c>
      <c r="X109" t="str">
        <f t="shared" si="3"/>
        <v>ZERADO</v>
      </c>
    </row>
    <row r="110" spans="2:24">
      <c r="B110" s="8" t="s">
        <v>459</v>
      </c>
      <c r="C110" s="8" t="s">
        <v>115</v>
      </c>
      <c r="D110" s="8" t="s">
        <v>445</v>
      </c>
      <c r="E110" s="8" t="s">
        <v>437</v>
      </c>
      <c r="F110" s="8" t="s">
        <v>460</v>
      </c>
      <c r="G110" s="8" t="s">
        <v>56</v>
      </c>
      <c r="H110" s="7" t="str">
        <f>IFERROR(IF(_xlfn.XLOOKUP(B110,REPASSE!D:D,REPASSE!D:D)="","Não","Sim"),"Não")</f>
        <v>Não</v>
      </c>
      <c r="I110" s="7" t="str">
        <f>IF(_xlfn.XLOOKUP(B110,'BOOST LIBERADO'!B:B,'BOOST LIBERADO'!B:B,"Não")="Não","Não","Sim")</f>
        <v>Sim</v>
      </c>
      <c r="J110" s="83" t="str">
        <f t="shared" si="2"/>
        <v>Sim</v>
      </c>
      <c r="K110" s="12">
        <f>SUMIFS(BASE!$G:$G,BASE!$B:$B,$B110,BASE!$L:$L,$G110,BASE!$J:$J,$C110,BASE!$A:$A,K$2)</f>
        <v>0</v>
      </c>
      <c r="L110" s="12">
        <f>SUMIFS(BASE!$G:$G,BASE!$B:$B,$B110,BASE!$L:$L,$G110,BASE!$J:$J,$C110,BASE!$A:$A,L$2)</f>
        <v>0</v>
      </c>
      <c r="M110" s="12">
        <f>SUMIFS(BASE!$G:$G,BASE!$B:$B,$B110,BASE!$L:$L,$G110,BASE!$J:$J,$C110,BASE!$A:$A,M$2)</f>
        <v>0</v>
      </c>
      <c r="N110" s="12">
        <f>SUMIFS(BASE!$G:$G,BASE!$B:$B,$B110,BASE!$L:$L,$G110,BASE!$J:$J,$C110,BASE!$A:$A,N$2)</f>
        <v>1</v>
      </c>
      <c r="O110" s="12">
        <f>SUMIFS(BASE!$G:$G,BASE!$B:$B,$B110,BASE!$L:$L,$G110,BASE!$J:$J,$C110,BASE!$A:$A,O$2)</f>
        <v>1</v>
      </c>
      <c r="P110" s="12">
        <f>SUMIFS(BASE!$G:$G,BASE!$B:$B,$B110,BASE!$L:$L,$G110,BASE!$J:$J,$C110,BASE!$A:$A,P$2)</f>
        <v>1</v>
      </c>
      <c r="Q110" s="12">
        <f>SUMIFS(BASE!$G:$G,BASE!$B:$B,$B110,BASE!$L:$L,$G110,BASE!$J:$J,$C110,BASE!$A:$A,Q$2)</f>
        <v>0</v>
      </c>
      <c r="R110" s="12">
        <f>SUMIFS(BASE!$G:$G,BASE!$B:$B,$B110,BASE!$L:$L,$G110,BASE!$J:$J,$C110,BASE!$A:$A,R$2)</f>
        <v>0</v>
      </c>
      <c r="S110" s="12">
        <f>SUMIFS(BASE!$G:$G,BASE!$B:$B,$B110,BASE!$L:$L,$G110,BASE!$J:$J,$C110,BASE!$A:$A,S$2)</f>
        <v>0</v>
      </c>
      <c r="T110" s="12">
        <f>SUMIFS(BASE!$G:$G,BASE!$B:$B,$B110,BASE!$L:$L,$G110,BASE!$J:$J,$C110,BASE!$A:$A,T$2)</f>
        <v>0</v>
      </c>
      <c r="U110" s="12">
        <f>SUMIFS(BASE!$G:$G,BASE!$B:$B,$B110,BASE!$L:$L,$G110,BASE!$J:$J,$C110,BASE!$A:$A,U$2)</f>
        <v>0</v>
      </c>
      <c r="V110" s="12">
        <f>SUMIFS(BASE!$G:$G,BASE!$B:$B,$B110,BASE!$L:$L,$G110,BASE!$J:$J,$C110,BASE!$A:$A,V$2)</f>
        <v>0</v>
      </c>
      <c r="X110" t="str">
        <f t="shared" si="3"/>
        <v>ZERADO</v>
      </c>
    </row>
    <row r="111" spans="2:24">
      <c r="B111" s="8" t="s">
        <v>461</v>
      </c>
      <c r="C111" s="8" t="s">
        <v>192</v>
      </c>
      <c r="D111" s="8" t="s">
        <v>462</v>
      </c>
      <c r="E111" s="8" t="s">
        <v>440</v>
      </c>
      <c r="F111" s="8" t="s">
        <v>463</v>
      </c>
      <c r="G111" s="8" t="s">
        <v>56</v>
      </c>
      <c r="H111" s="7" t="str">
        <f>IFERROR(IF(_xlfn.XLOOKUP(B111,REPASSE!D:D,REPASSE!D:D)="","Não","Sim"),"Não")</f>
        <v>Não</v>
      </c>
      <c r="I111" s="7" t="str">
        <f>IF(_xlfn.XLOOKUP(B111,'BOOST LIBERADO'!B:B,'BOOST LIBERADO'!B:B,"Não")="Não","Não","Sim")</f>
        <v>Sim</v>
      </c>
      <c r="J111" s="83" t="str">
        <f t="shared" si="2"/>
        <v>Sim</v>
      </c>
      <c r="K111" s="12">
        <f>SUMIFS(BASE!$G:$G,BASE!$B:$B,$B111,BASE!$L:$L,$G111,BASE!$J:$J,$C111,BASE!$A:$A,K$2)</f>
        <v>0</v>
      </c>
      <c r="L111" s="12">
        <f>SUMIFS(BASE!$G:$G,BASE!$B:$B,$B111,BASE!$L:$L,$G111,BASE!$J:$J,$C111,BASE!$A:$A,L$2)</f>
        <v>0</v>
      </c>
      <c r="M111" s="12">
        <f>SUMIFS(BASE!$G:$G,BASE!$B:$B,$B111,BASE!$L:$L,$G111,BASE!$J:$J,$C111,BASE!$A:$A,M$2)</f>
        <v>0</v>
      </c>
      <c r="N111" s="12">
        <f>SUMIFS(BASE!$G:$G,BASE!$B:$B,$B111,BASE!$L:$L,$G111,BASE!$J:$J,$C111,BASE!$A:$A,N$2)</f>
        <v>0</v>
      </c>
      <c r="O111" s="12">
        <f>SUMIFS(BASE!$G:$G,BASE!$B:$B,$B111,BASE!$L:$L,$G111,BASE!$J:$J,$C111,BASE!$A:$A,O$2)</f>
        <v>0</v>
      </c>
      <c r="P111" s="12">
        <f>SUMIFS(BASE!$G:$G,BASE!$B:$B,$B111,BASE!$L:$L,$G111,BASE!$J:$J,$C111,BASE!$A:$A,P$2)</f>
        <v>0</v>
      </c>
      <c r="Q111" s="12">
        <f>SUMIFS(BASE!$G:$G,BASE!$B:$B,$B111,BASE!$L:$L,$G111,BASE!$J:$J,$C111,BASE!$A:$A,Q$2)</f>
        <v>0</v>
      </c>
      <c r="R111" s="12">
        <f>SUMIFS(BASE!$G:$G,BASE!$B:$B,$B111,BASE!$L:$L,$G111,BASE!$J:$J,$C111,BASE!$A:$A,R$2)</f>
        <v>0</v>
      </c>
      <c r="S111" s="12">
        <f>SUMIFS(BASE!$G:$G,BASE!$B:$B,$B111,BASE!$L:$L,$G111,BASE!$J:$J,$C111,BASE!$A:$A,S$2)</f>
        <v>0</v>
      </c>
      <c r="T111" s="12">
        <f>SUMIFS(BASE!$G:$G,BASE!$B:$B,$B111,BASE!$L:$L,$G111,BASE!$J:$J,$C111,BASE!$A:$A,T$2)</f>
        <v>0</v>
      </c>
      <c r="U111" s="12">
        <f>SUMIFS(BASE!$G:$G,BASE!$B:$B,$B111,BASE!$L:$L,$G111,BASE!$J:$J,$C111,BASE!$A:$A,U$2)</f>
        <v>0</v>
      </c>
      <c r="V111" s="12">
        <f>SUMIFS(BASE!$G:$G,BASE!$B:$B,$B111,BASE!$L:$L,$G111,BASE!$J:$J,$C111,BASE!$A:$A,V$2)</f>
        <v>0</v>
      </c>
      <c r="X111" t="str">
        <f t="shared" si="3"/>
        <v>ZERADO</v>
      </c>
    </row>
    <row r="112" spans="2:24">
      <c r="B112" s="8" t="s">
        <v>464</v>
      </c>
      <c r="C112" s="9" t="s">
        <v>106</v>
      </c>
      <c r="D112" s="9" t="s">
        <v>465</v>
      </c>
      <c r="E112" s="9" t="s">
        <v>429</v>
      </c>
      <c r="F112" s="9" t="s">
        <v>466</v>
      </c>
      <c r="G112" s="9" t="s">
        <v>56</v>
      </c>
      <c r="H112" s="7" t="str">
        <f>IFERROR(IF(_xlfn.XLOOKUP(B112,REPASSE!D:D,REPASSE!D:D)="","Não","Sim"),"Não")</f>
        <v>Não</v>
      </c>
      <c r="I112" s="7" t="str">
        <f>IF(_xlfn.XLOOKUP(B112,'BOOST LIBERADO'!B:B,'BOOST LIBERADO'!B:B,"Não")="Não","Não","Sim")</f>
        <v>Sim</v>
      </c>
      <c r="J112" s="83" t="str">
        <f t="shared" si="2"/>
        <v>Sim</v>
      </c>
      <c r="K112" s="12">
        <f>SUMIFS(BASE!$G:$G,BASE!$B:$B,$B112,BASE!$L:$L,$G112,BASE!$J:$J,$C112,BASE!$A:$A,K$2)</f>
        <v>0</v>
      </c>
      <c r="L112" s="12">
        <f>SUMIFS(BASE!$G:$G,BASE!$B:$B,$B112,BASE!$L:$L,$G112,BASE!$J:$J,$C112,BASE!$A:$A,L$2)</f>
        <v>0</v>
      </c>
      <c r="M112" s="12">
        <f>SUMIFS(BASE!$G:$G,BASE!$B:$B,$B112,BASE!$L:$L,$G112,BASE!$J:$J,$C112,BASE!$A:$A,M$2)</f>
        <v>0</v>
      </c>
      <c r="N112" s="12">
        <f>SUMIFS(BASE!$G:$G,BASE!$B:$B,$B112,BASE!$L:$L,$G112,BASE!$J:$J,$C112,BASE!$A:$A,N$2)</f>
        <v>0</v>
      </c>
      <c r="O112" s="12">
        <f>SUMIFS(BASE!$G:$G,BASE!$B:$B,$B112,BASE!$L:$L,$G112,BASE!$J:$J,$C112,BASE!$A:$A,O$2)</f>
        <v>0</v>
      </c>
      <c r="P112" s="12">
        <f>SUMIFS(BASE!$G:$G,BASE!$B:$B,$B112,BASE!$L:$L,$G112,BASE!$J:$J,$C112,BASE!$A:$A,P$2)</f>
        <v>0</v>
      </c>
      <c r="Q112" s="12">
        <f>SUMIFS(BASE!$G:$G,BASE!$B:$B,$B112,BASE!$L:$L,$G112,BASE!$J:$J,$C112,BASE!$A:$A,Q$2)</f>
        <v>0</v>
      </c>
      <c r="R112" s="12">
        <f>SUMIFS(BASE!$G:$G,BASE!$B:$B,$B112,BASE!$L:$L,$G112,BASE!$J:$J,$C112,BASE!$A:$A,R$2)</f>
        <v>1</v>
      </c>
      <c r="S112" s="12">
        <f>SUMIFS(BASE!$G:$G,BASE!$B:$B,$B112,BASE!$L:$L,$G112,BASE!$J:$J,$C112,BASE!$A:$A,S$2)</f>
        <v>0</v>
      </c>
      <c r="T112" s="12">
        <f>SUMIFS(BASE!$G:$G,BASE!$B:$B,$B112,BASE!$L:$L,$G112,BASE!$J:$J,$C112,BASE!$A:$A,T$2)</f>
        <v>0</v>
      </c>
      <c r="U112" s="12">
        <f>SUMIFS(BASE!$G:$G,BASE!$B:$B,$B112,BASE!$L:$L,$G112,BASE!$J:$J,$C112,BASE!$A:$A,U$2)</f>
        <v>0</v>
      </c>
      <c r="V112" s="12">
        <f>SUMIFS(BASE!$G:$G,BASE!$B:$B,$B112,BASE!$L:$L,$G112,BASE!$J:$J,$C112,BASE!$A:$A,V$2)</f>
        <v>0</v>
      </c>
      <c r="X112" t="str">
        <f t="shared" si="3"/>
        <v>COM TROCAS</v>
      </c>
    </row>
    <row r="113" spans="2:24">
      <c r="B113" s="8" t="s">
        <v>467</v>
      </c>
      <c r="C113" s="9" t="s">
        <v>106</v>
      </c>
      <c r="D113" s="9" t="s">
        <v>468</v>
      </c>
      <c r="E113" s="9" t="s">
        <v>429</v>
      </c>
      <c r="F113" s="9" t="s">
        <v>430</v>
      </c>
      <c r="G113" s="9" t="s">
        <v>56</v>
      </c>
      <c r="H113" s="7" t="str">
        <f>IFERROR(IF(_xlfn.XLOOKUP(B113,REPASSE!D:D,REPASSE!D:D)="","Não","Sim"),"Não")</f>
        <v>Não</v>
      </c>
      <c r="I113" s="7" t="str">
        <f>IF(_xlfn.XLOOKUP(B113,'BOOST LIBERADO'!B:B,'BOOST LIBERADO'!B:B,"Não")="Não","Não","Sim")</f>
        <v>Sim</v>
      </c>
      <c r="J113" s="83" t="str">
        <f t="shared" si="2"/>
        <v>Sim</v>
      </c>
      <c r="K113" s="12">
        <f>SUMIFS(BASE!$G:$G,BASE!$B:$B,$B113,BASE!$L:$L,$G113,BASE!$J:$J,$C113,BASE!$A:$A,K$2)</f>
        <v>0</v>
      </c>
      <c r="L113" s="12">
        <f>SUMIFS(BASE!$G:$G,BASE!$B:$B,$B113,BASE!$L:$L,$G113,BASE!$J:$J,$C113,BASE!$A:$A,L$2)</f>
        <v>0</v>
      </c>
      <c r="M113" s="12">
        <f>SUMIFS(BASE!$G:$G,BASE!$B:$B,$B113,BASE!$L:$L,$G113,BASE!$J:$J,$C113,BASE!$A:$A,M$2)</f>
        <v>0</v>
      </c>
      <c r="N113" s="12">
        <f>SUMIFS(BASE!$G:$G,BASE!$B:$B,$B113,BASE!$L:$L,$G113,BASE!$J:$J,$C113,BASE!$A:$A,N$2)</f>
        <v>0</v>
      </c>
      <c r="O113" s="12">
        <f>SUMIFS(BASE!$G:$G,BASE!$B:$B,$B113,BASE!$L:$L,$G113,BASE!$J:$J,$C113,BASE!$A:$A,O$2)</f>
        <v>0</v>
      </c>
      <c r="P113" s="12">
        <f>SUMIFS(BASE!$G:$G,BASE!$B:$B,$B113,BASE!$L:$L,$G113,BASE!$J:$J,$C113,BASE!$A:$A,P$2)</f>
        <v>0</v>
      </c>
      <c r="Q113" s="12">
        <f>SUMIFS(BASE!$G:$G,BASE!$B:$B,$B113,BASE!$L:$L,$G113,BASE!$J:$J,$C113,BASE!$A:$A,Q$2)</f>
        <v>0</v>
      </c>
      <c r="R113" s="12">
        <f>SUMIFS(BASE!$G:$G,BASE!$B:$B,$B113,BASE!$L:$L,$G113,BASE!$J:$J,$C113,BASE!$A:$A,R$2)</f>
        <v>0</v>
      </c>
      <c r="S113" s="12">
        <f>SUMIFS(BASE!$G:$G,BASE!$B:$B,$B113,BASE!$L:$L,$G113,BASE!$J:$J,$C113,BASE!$A:$A,S$2)</f>
        <v>0</v>
      </c>
      <c r="T113" s="12">
        <f>SUMIFS(BASE!$G:$G,BASE!$B:$B,$B113,BASE!$L:$L,$G113,BASE!$J:$J,$C113,BASE!$A:$A,T$2)</f>
        <v>0</v>
      </c>
      <c r="U113" s="12">
        <f>SUMIFS(BASE!$G:$G,BASE!$B:$B,$B113,BASE!$L:$L,$G113,BASE!$J:$J,$C113,BASE!$A:$A,U$2)</f>
        <v>0</v>
      </c>
      <c r="V113" s="12">
        <f>SUMIFS(BASE!$G:$G,BASE!$B:$B,$B113,BASE!$L:$L,$G113,BASE!$J:$J,$C113,BASE!$A:$A,V$2)</f>
        <v>0</v>
      </c>
      <c r="X113" t="str">
        <f t="shared" si="3"/>
        <v>ZERADO</v>
      </c>
    </row>
    <row r="114" spans="2:24">
      <c r="B114" s="8" t="s">
        <v>469</v>
      </c>
      <c r="C114" s="9" t="s">
        <v>106</v>
      </c>
      <c r="D114" s="9" t="s">
        <v>468</v>
      </c>
      <c r="E114" s="9" t="s">
        <v>429</v>
      </c>
      <c r="F114" s="9" t="s">
        <v>430</v>
      </c>
      <c r="G114" s="9" t="s">
        <v>56</v>
      </c>
      <c r="H114" s="7" t="str">
        <f>IFERROR(IF(_xlfn.XLOOKUP(B114,REPASSE!D:D,REPASSE!D:D)="","Não","Sim"),"Não")</f>
        <v>Não</v>
      </c>
      <c r="I114" s="7" t="str">
        <f>IF(_xlfn.XLOOKUP(B114,'BOOST LIBERADO'!B:B,'BOOST LIBERADO'!B:B,"Não")="Não","Não","Sim")</f>
        <v>Sim</v>
      </c>
      <c r="J114" s="83" t="str">
        <f t="shared" si="2"/>
        <v>Sim</v>
      </c>
      <c r="K114" s="12">
        <f>SUMIFS(BASE!$G:$G,BASE!$B:$B,$B114,BASE!$L:$L,$G114,BASE!$J:$J,$C114,BASE!$A:$A,K$2)</f>
        <v>0</v>
      </c>
      <c r="L114" s="12">
        <f>SUMIFS(BASE!$G:$G,BASE!$B:$B,$B114,BASE!$L:$L,$G114,BASE!$J:$J,$C114,BASE!$A:$A,L$2)</f>
        <v>0</v>
      </c>
      <c r="M114" s="12">
        <f>SUMIFS(BASE!$G:$G,BASE!$B:$B,$B114,BASE!$L:$L,$G114,BASE!$J:$J,$C114,BASE!$A:$A,M$2)</f>
        <v>0</v>
      </c>
      <c r="N114" s="12">
        <f>SUMIFS(BASE!$G:$G,BASE!$B:$B,$B114,BASE!$L:$L,$G114,BASE!$J:$J,$C114,BASE!$A:$A,N$2)</f>
        <v>0</v>
      </c>
      <c r="O114" s="12">
        <f>SUMIFS(BASE!$G:$G,BASE!$B:$B,$B114,BASE!$L:$L,$G114,BASE!$J:$J,$C114,BASE!$A:$A,O$2)</f>
        <v>0</v>
      </c>
      <c r="P114" s="12">
        <f>SUMIFS(BASE!$G:$G,BASE!$B:$B,$B114,BASE!$L:$L,$G114,BASE!$J:$J,$C114,BASE!$A:$A,P$2)</f>
        <v>0</v>
      </c>
      <c r="Q114" s="12">
        <f>SUMIFS(BASE!$G:$G,BASE!$B:$B,$B114,BASE!$L:$L,$G114,BASE!$J:$J,$C114,BASE!$A:$A,Q$2)</f>
        <v>0</v>
      </c>
      <c r="R114" s="12">
        <f>SUMIFS(BASE!$G:$G,BASE!$B:$B,$B114,BASE!$L:$L,$G114,BASE!$J:$J,$C114,BASE!$A:$A,R$2)</f>
        <v>7</v>
      </c>
      <c r="S114" s="12">
        <f>SUMIFS(BASE!$G:$G,BASE!$B:$B,$B114,BASE!$L:$L,$G114,BASE!$J:$J,$C114,BASE!$A:$A,S$2)</f>
        <v>0</v>
      </c>
      <c r="T114" s="12">
        <f>SUMIFS(BASE!$G:$G,BASE!$B:$B,$B114,BASE!$L:$L,$G114,BASE!$J:$J,$C114,BASE!$A:$A,T$2)</f>
        <v>0</v>
      </c>
      <c r="U114" s="12">
        <f>SUMIFS(BASE!$G:$G,BASE!$B:$B,$B114,BASE!$L:$L,$G114,BASE!$J:$J,$C114,BASE!$A:$A,U$2)</f>
        <v>0</v>
      </c>
      <c r="V114" s="12">
        <f>SUMIFS(BASE!$G:$G,BASE!$B:$B,$B114,BASE!$L:$L,$G114,BASE!$J:$J,$C114,BASE!$A:$A,V$2)</f>
        <v>0</v>
      </c>
      <c r="X114" t="str">
        <f t="shared" si="3"/>
        <v>COM TROCAS</v>
      </c>
    </row>
    <row r="115" spans="2:24">
      <c r="B115" s="8" t="s">
        <v>470</v>
      </c>
      <c r="C115" s="9" t="s">
        <v>235</v>
      </c>
      <c r="D115" s="9" t="s">
        <v>457</v>
      </c>
      <c r="E115" s="9" t="s">
        <v>454</v>
      </c>
      <c r="F115" s="9" t="s">
        <v>471</v>
      </c>
      <c r="G115" s="9" t="s">
        <v>56</v>
      </c>
      <c r="H115" s="7" t="str">
        <f>IFERROR(IF(_xlfn.XLOOKUP(B115,REPASSE!D:D,REPASSE!D:D)="","Não","Sim"),"Não")</f>
        <v>Não</v>
      </c>
      <c r="I115" s="7" t="str">
        <f>IF(_xlfn.XLOOKUP(B115,'BOOST LIBERADO'!B:B,'BOOST LIBERADO'!B:B,"Não")="Não","Não","Sim")</f>
        <v>Sim</v>
      </c>
      <c r="J115" s="83" t="str">
        <f t="shared" si="2"/>
        <v>Sim</v>
      </c>
      <c r="K115" s="12">
        <f>SUMIFS(BASE!$G:$G,BASE!$B:$B,$B115,BASE!$L:$L,$G115,BASE!$J:$J,$C115,BASE!$A:$A,K$2)</f>
        <v>2</v>
      </c>
      <c r="L115" s="12">
        <f>SUMIFS(BASE!$G:$G,BASE!$B:$B,$B115,BASE!$L:$L,$G115,BASE!$J:$J,$C115,BASE!$A:$A,L$2)</f>
        <v>2</v>
      </c>
      <c r="M115" s="12">
        <f>SUMIFS(BASE!$G:$G,BASE!$B:$B,$B115,BASE!$L:$L,$G115,BASE!$J:$J,$C115,BASE!$A:$A,M$2)</f>
        <v>1</v>
      </c>
      <c r="N115" s="12">
        <f>SUMIFS(BASE!$G:$G,BASE!$B:$B,$B115,BASE!$L:$L,$G115,BASE!$J:$J,$C115,BASE!$A:$A,N$2)</f>
        <v>1</v>
      </c>
      <c r="O115" s="12">
        <f>SUMIFS(BASE!$G:$G,BASE!$B:$B,$B115,BASE!$L:$L,$G115,BASE!$J:$J,$C115,BASE!$A:$A,O$2)</f>
        <v>0</v>
      </c>
      <c r="P115" s="12">
        <f>SUMIFS(BASE!$G:$G,BASE!$B:$B,$B115,BASE!$L:$L,$G115,BASE!$J:$J,$C115,BASE!$A:$A,P$2)</f>
        <v>0</v>
      </c>
      <c r="Q115" s="12">
        <f>SUMIFS(BASE!$G:$G,BASE!$B:$B,$B115,BASE!$L:$L,$G115,BASE!$J:$J,$C115,BASE!$A:$A,Q$2)</f>
        <v>0</v>
      </c>
      <c r="R115" s="12">
        <f>SUMIFS(BASE!$G:$G,BASE!$B:$B,$B115,BASE!$L:$L,$G115,BASE!$J:$J,$C115,BASE!$A:$A,R$2)</f>
        <v>1</v>
      </c>
      <c r="S115" s="12">
        <f>SUMIFS(BASE!$G:$G,BASE!$B:$B,$B115,BASE!$L:$L,$G115,BASE!$J:$J,$C115,BASE!$A:$A,S$2)</f>
        <v>0</v>
      </c>
      <c r="T115" s="12">
        <f>SUMIFS(BASE!$G:$G,BASE!$B:$B,$B115,BASE!$L:$L,$G115,BASE!$J:$J,$C115,BASE!$A:$A,T$2)</f>
        <v>0</v>
      </c>
      <c r="U115" s="12">
        <f>SUMIFS(BASE!$G:$G,BASE!$B:$B,$B115,BASE!$L:$L,$G115,BASE!$J:$J,$C115,BASE!$A:$A,U$2)</f>
        <v>0</v>
      </c>
      <c r="V115" s="12">
        <f>SUMIFS(BASE!$G:$G,BASE!$B:$B,$B115,BASE!$L:$L,$G115,BASE!$J:$J,$C115,BASE!$A:$A,V$2)</f>
        <v>0</v>
      </c>
      <c r="X115" t="str">
        <f t="shared" si="3"/>
        <v>COM TROCAS</v>
      </c>
    </row>
    <row r="116" spans="2:24">
      <c r="B116" s="8" t="s">
        <v>472</v>
      </c>
      <c r="C116" s="9" t="s">
        <v>228</v>
      </c>
      <c r="D116" s="9" t="s">
        <v>473</v>
      </c>
      <c r="E116" s="9" t="s">
        <v>474</v>
      </c>
      <c r="F116" s="9" t="s">
        <v>475</v>
      </c>
      <c r="G116" s="9" t="s">
        <v>56</v>
      </c>
      <c r="H116" s="7" t="str">
        <f>IFERROR(IF(_xlfn.XLOOKUP(B116,REPASSE!D:D,REPASSE!D:D)="","Não","Sim"),"Não")</f>
        <v>Não</v>
      </c>
      <c r="I116" s="7" t="str">
        <f>IF(_xlfn.XLOOKUP(B116,'BOOST LIBERADO'!B:B,'BOOST LIBERADO'!B:B,"Não")="Não","Não","Sim")</f>
        <v>Sim</v>
      </c>
      <c r="J116" s="83" t="str">
        <f t="shared" si="2"/>
        <v>Sim</v>
      </c>
      <c r="K116" s="12">
        <f>SUMIFS(BASE!$G:$G,BASE!$B:$B,$B116,BASE!$L:$L,$G116,BASE!$J:$J,$C116,BASE!$A:$A,K$2)</f>
        <v>1</v>
      </c>
      <c r="L116" s="12">
        <f>SUMIFS(BASE!$G:$G,BASE!$B:$B,$B116,BASE!$L:$L,$G116,BASE!$J:$J,$C116,BASE!$A:$A,L$2)</f>
        <v>0</v>
      </c>
      <c r="M116" s="12">
        <f>SUMIFS(BASE!$G:$G,BASE!$B:$B,$B116,BASE!$L:$L,$G116,BASE!$J:$J,$C116,BASE!$A:$A,M$2)</f>
        <v>2</v>
      </c>
      <c r="N116" s="12">
        <f>SUMIFS(BASE!$G:$G,BASE!$B:$B,$B116,BASE!$L:$L,$G116,BASE!$J:$J,$C116,BASE!$A:$A,N$2)</f>
        <v>2</v>
      </c>
      <c r="O116" s="12">
        <f>SUMIFS(BASE!$G:$G,BASE!$B:$B,$B116,BASE!$L:$L,$G116,BASE!$J:$J,$C116,BASE!$A:$A,O$2)</f>
        <v>0</v>
      </c>
      <c r="P116" s="12">
        <f>SUMIFS(BASE!$G:$G,BASE!$B:$B,$B116,BASE!$L:$L,$G116,BASE!$J:$J,$C116,BASE!$A:$A,P$2)</f>
        <v>4</v>
      </c>
      <c r="Q116" s="12">
        <f>SUMIFS(BASE!$G:$G,BASE!$B:$B,$B116,BASE!$L:$L,$G116,BASE!$J:$J,$C116,BASE!$A:$A,Q$2)</f>
        <v>15</v>
      </c>
      <c r="R116" s="12">
        <f>SUMIFS(BASE!$G:$G,BASE!$B:$B,$B116,BASE!$L:$L,$G116,BASE!$J:$J,$C116,BASE!$A:$A,R$2)</f>
        <v>6</v>
      </c>
      <c r="S116" s="12">
        <f>SUMIFS(BASE!$G:$G,BASE!$B:$B,$B116,BASE!$L:$L,$G116,BASE!$J:$J,$C116,BASE!$A:$A,S$2)</f>
        <v>0</v>
      </c>
      <c r="T116" s="12">
        <f>SUMIFS(BASE!$G:$G,BASE!$B:$B,$B116,BASE!$L:$L,$G116,BASE!$J:$J,$C116,BASE!$A:$A,T$2)</f>
        <v>0</v>
      </c>
      <c r="U116" s="12">
        <f>SUMIFS(BASE!$G:$G,BASE!$B:$B,$B116,BASE!$L:$L,$G116,BASE!$J:$J,$C116,BASE!$A:$A,U$2)</f>
        <v>0</v>
      </c>
      <c r="V116" s="12">
        <f>SUMIFS(BASE!$G:$G,BASE!$B:$B,$B116,BASE!$L:$L,$G116,BASE!$J:$J,$C116,BASE!$A:$A,V$2)</f>
        <v>0</v>
      </c>
      <c r="X116" t="str">
        <f t="shared" si="3"/>
        <v>COM TROCAS</v>
      </c>
    </row>
    <row r="117" spans="2:24">
      <c r="B117" s="8" t="s">
        <v>476</v>
      </c>
      <c r="C117" s="9" t="s">
        <v>106</v>
      </c>
      <c r="D117" s="9" t="s">
        <v>432</v>
      </c>
      <c r="E117" s="9" t="s">
        <v>429</v>
      </c>
      <c r="F117" s="9" t="s">
        <v>430</v>
      </c>
      <c r="G117" s="9" t="s">
        <v>56</v>
      </c>
      <c r="H117" s="7" t="str">
        <f>IFERROR(IF(_xlfn.XLOOKUP(B117,REPASSE!D:D,REPASSE!D:D)="","Não","Sim"),"Não")</f>
        <v>Não</v>
      </c>
      <c r="I117" s="7" t="str">
        <f>IF(_xlfn.XLOOKUP(B117,'BOOST LIBERADO'!B:B,'BOOST LIBERADO'!B:B,"Não")="Não","Não","Sim")</f>
        <v>Sim</v>
      </c>
      <c r="J117" s="83" t="str">
        <f t="shared" si="2"/>
        <v>Sim</v>
      </c>
      <c r="K117" s="12">
        <f>SUMIFS(BASE!$G:$G,BASE!$B:$B,$B117,BASE!$L:$L,$G117,BASE!$J:$J,$C117,BASE!$A:$A,K$2)</f>
        <v>0</v>
      </c>
      <c r="L117" s="12">
        <f>SUMIFS(BASE!$G:$G,BASE!$B:$B,$B117,BASE!$L:$L,$G117,BASE!$J:$J,$C117,BASE!$A:$A,L$2)</f>
        <v>0</v>
      </c>
      <c r="M117" s="12">
        <f>SUMIFS(BASE!$G:$G,BASE!$B:$B,$B117,BASE!$L:$L,$G117,BASE!$J:$J,$C117,BASE!$A:$A,M$2)</f>
        <v>0</v>
      </c>
      <c r="N117" s="12">
        <f>SUMIFS(BASE!$G:$G,BASE!$B:$B,$B117,BASE!$L:$L,$G117,BASE!$J:$J,$C117,BASE!$A:$A,N$2)</f>
        <v>0</v>
      </c>
      <c r="O117" s="12">
        <f>SUMIFS(BASE!$G:$G,BASE!$B:$B,$B117,BASE!$L:$L,$G117,BASE!$J:$J,$C117,BASE!$A:$A,O$2)</f>
        <v>1</v>
      </c>
      <c r="P117" s="12">
        <f>SUMIFS(BASE!$G:$G,BASE!$B:$B,$B117,BASE!$L:$L,$G117,BASE!$J:$J,$C117,BASE!$A:$A,P$2)</f>
        <v>5</v>
      </c>
      <c r="Q117" s="12">
        <f>SUMIFS(BASE!$G:$G,BASE!$B:$B,$B117,BASE!$L:$L,$G117,BASE!$J:$J,$C117,BASE!$A:$A,Q$2)</f>
        <v>13</v>
      </c>
      <c r="R117" s="12">
        <f>SUMIFS(BASE!$G:$G,BASE!$B:$B,$B117,BASE!$L:$L,$G117,BASE!$J:$J,$C117,BASE!$A:$A,R$2)</f>
        <v>10</v>
      </c>
      <c r="S117" s="12">
        <f>SUMIFS(BASE!$G:$G,BASE!$B:$B,$B117,BASE!$L:$L,$G117,BASE!$J:$J,$C117,BASE!$A:$A,S$2)</f>
        <v>0</v>
      </c>
      <c r="T117" s="12">
        <f>SUMIFS(BASE!$G:$G,BASE!$B:$B,$B117,BASE!$L:$L,$G117,BASE!$J:$J,$C117,BASE!$A:$A,T$2)</f>
        <v>0</v>
      </c>
      <c r="U117" s="12">
        <f>SUMIFS(BASE!$G:$G,BASE!$B:$B,$B117,BASE!$L:$L,$G117,BASE!$J:$J,$C117,BASE!$A:$A,U$2)</f>
        <v>0</v>
      </c>
      <c r="V117" s="12">
        <f>SUMIFS(BASE!$G:$G,BASE!$B:$B,$B117,BASE!$L:$L,$G117,BASE!$J:$J,$C117,BASE!$A:$A,V$2)</f>
        <v>0</v>
      </c>
      <c r="X117" t="str">
        <f t="shared" si="3"/>
        <v>COM TROCAS</v>
      </c>
    </row>
    <row r="118" spans="2:24">
      <c r="B118" s="8" t="s">
        <v>477</v>
      </c>
      <c r="C118" s="9" t="s">
        <v>118</v>
      </c>
      <c r="D118" s="9" t="s">
        <v>473</v>
      </c>
      <c r="E118" s="9" t="s">
        <v>474</v>
      </c>
      <c r="F118" s="9" t="s">
        <v>478</v>
      </c>
      <c r="G118" s="9" t="s">
        <v>56</v>
      </c>
      <c r="H118" s="7" t="str">
        <f>IFERROR(IF(_xlfn.XLOOKUP(B118,REPASSE!D:D,REPASSE!D:D)="","Não","Sim"),"Não")</f>
        <v>Não</v>
      </c>
      <c r="I118" s="7" t="str">
        <f>IF(_xlfn.XLOOKUP(B118,'BOOST LIBERADO'!B:B,'BOOST LIBERADO'!B:B,"Não")="Não","Não","Sim")</f>
        <v>Sim</v>
      </c>
      <c r="J118" s="83" t="str">
        <f t="shared" si="2"/>
        <v>Sim</v>
      </c>
      <c r="K118" s="12">
        <f>SUMIFS(BASE!$G:$G,BASE!$B:$B,$B118,BASE!$L:$L,$G118,BASE!$J:$J,$C118,BASE!$A:$A,K$2)</f>
        <v>0</v>
      </c>
      <c r="L118" s="12">
        <f>SUMIFS(BASE!$G:$G,BASE!$B:$B,$B118,BASE!$L:$L,$G118,BASE!$J:$J,$C118,BASE!$A:$A,L$2)</f>
        <v>0</v>
      </c>
      <c r="M118" s="12">
        <f>SUMIFS(BASE!$G:$G,BASE!$B:$B,$B118,BASE!$L:$L,$G118,BASE!$J:$J,$C118,BASE!$A:$A,M$2)</f>
        <v>0</v>
      </c>
      <c r="N118" s="12">
        <f>SUMIFS(BASE!$G:$G,BASE!$B:$B,$B118,BASE!$L:$L,$G118,BASE!$J:$J,$C118,BASE!$A:$A,N$2)</f>
        <v>0</v>
      </c>
      <c r="O118" s="12">
        <f>SUMIFS(BASE!$G:$G,BASE!$B:$B,$B118,BASE!$L:$L,$G118,BASE!$J:$J,$C118,BASE!$A:$A,O$2)</f>
        <v>0</v>
      </c>
      <c r="P118" s="12">
        <f>SUMIFS(BASE!$G:$G,BASE!$B:$B,$B118,BASE!$L:$L,$G118,BASE!$J:$J,$C118,BASE!$A:$A,P$2)</f>
        <v>0</v>
      </c>
      <c r="Q118" s="12">
        <f>SUMIFS(BASE!$G:$G,BASE!$B:$B,$B118,BASE!$L:$L,$G118,BASE!$J:$J,$C118,BASE!$A:$A,Q$2)</f>
        <v>0</v>
      </c>
      <c r="R118" s="12">
        <f>SUMIFS(BASE!$G:$G,BASE!$B:$B,$B118,BASE!$L:$L,$G118,BASE!$J:$J,$C118,BASE!$A:$A,R$2)</f>
        <v>0</v>
      </c>
      <c r="S118" s="12">
        <f>SUMIFS(BASE!$G:$G,BASE!$B:$B,$B118,BASE!$L:$L,$G118,BASE!$J:$J,$C118,BASE!$A:$A,S$2)</f>
        <v>0</v>
      </c>
      <c r="T118" s="12">
        <f>SUMIFS(BASE!$G:$G,BASE!$B:$B,$B118,BASE!$L:$L,$G118,BASE!$J:$J,$C118,BASE!$A:$A,T$2)</f>
        <v>0</v>
      </c>
      <c r="U118" s="12">
        <f>SUMIFS(BASE!$G:$G,BASE!$B:$B,$B118,BASE!$L:$L,$G118,BASE!$J:$J,$C118,BASE!$A:$A,U$2)</f>
        <v>0</v>
      </c>
      <c r="V118" s="12">
        <f>SUMIFS(BASE!$G:$G,BASE!$B:$B,$B118,BASE!$L:$L,$G118,BASE!$J:$J,$C118,BASE!$A:$A,V$2)</f>
        <v>0</v>
      </c>
      <c r="X118" t="str">
        <f t="shared" si="3"/>
        <v>ZERADO</v>
      </c>
    </row>
    <row r="119" spans="2:24">
      <c r="B119" s="8" t="s">
        <v>479</v>
      </c>
      <c r="C119" s="9" t="s">
        <v>106</v>
      </c>
      <c r="D119" s="9" t="s">
        <v>443</v>
      </c>
      <c r="E119" s="9" t="s">
        <v>437</v>
      </c>
      <c r="F119" s="9" t="s">
        <v>480</v>
      </c>
      <c r="G119" s="9" t="s">
        <v>56</v>
      </c>
      <c r="H119" s="7" t="str">
        <f>IFERROR(IF(_xlfn.XLOOKUP(B119,REPASSE!D:D,REPASSE!D:D)="","Não","Sim"),"Não")</f>
        <v>Não</v>
      </c>
      <c r="I119" s="7" t="str">
        <f>IF(_xlfn.XLOOKUP(B119,'BOOST LIBERADO'!B:B,'BOOST LIBERADO'!B:B,"Não")="Não","Não","Sim")</f>
        <v>Sim</v>
      </c>
      <c r="J119" s="83" t="str">
        <f t="shared" si="2"/>
        <v>Sim</v>
      </c>
      <c r="K119" s="12">
        <f>SUMIFS(BASE!$G:$G,BASE!$B:$B,$B119,BASE!$L:$L,$G119,BASE!$J:$J,$C119,BASE!$A:$A,K$2)</f>
        <v>0</v>
      </c>
      <c r="L119" s="12">
        <f>SUMIFS(BASE!$G:$G,BASE!$B:$B,$B119,BASE!$L:$L,$G119,BASE!$J:$J,$C119,BASE!$A:$A,L$2)</f>
        <v>0</v>
      </c>
      <c r="M119" s="12">
        <f>SUMIFS(BASE!$G:$G,BASE!$B:$B,$B119,BASE!$L:$L,$G119,BASE!$J:$J,$C119,BASE!$A:$A,M$2)</f>
        <v>0</v>
      </c>
      <c r="N119" s="12">
        <f>SUMIFS(BASE!$G:$G,BASE!$B:$B,$B119,BASE!$L:$L,$G119,BASE!$J:$J,$C119,BASE!$A:$A,N$2)</f>
        <v>0</v>
      </c>
      <c r="O119" s="12">
        <f>SUMIFS(BASE!$G:$G,BASE!$B:$B,$B119,BASE!$L:$L,$G119,BASE!$J:$J,$C119,BASE!$A:$A,O$2)</f>
        <v>0</v>
      </c>
      <c r="P119" s="12">
        <f>SUMIFS(BASE!$G:$G,BASE!$B:$B,$B119,BASE!$L:$L,$G119,BASE!$J:$J,$C119,BASE!$A:$A,P$2)</f>
        <v>0</v>
      </c>
      <c r="Q119" s="12">
        <f>SUMIFS(BASE!$G:$G,BASE!$B:$B,$B119,BASE!$L:$L,$G119,BASE!$J:$J,$C119,BASE!$A:$A,Q$2)</f>
        <v>0</v>
      </c>
      <c r="R119" s="12">
        <f>SUMIFS(BASE!$G:$G,BASE!$B:$B,$B119,BASE!$L:$L,$G119,BASE!$J:$J,$C119,BASE!$A:$A,R$2)</f>
        <v>0</v>
      </c>
      <c r="S119" s="12">
        <f>SUMIFS(BASE!$G:$G,BASE!$B:$B,$B119,BASE!$L:$L,$G119,BASE!$J:$J,$C119,BASE!$A:$A,S$2)</f>
        <v>0</v>
      </c>
      <c r="T119" s="12">
        <f>SUMIFS(BASE!$G:$G,BASE!$B:$B,$B119,BASE!$L:$L,$G119,BASE!$J:$J,$C119,BASE!$A:$A,T$2)</f>
        <v>0</v>
      </c>
      <c r="U119" s="12">
        <f>SUMIFS(BASE!$G:$G,BASE!$B:$B,$B119,BASE!$L:$L,$G119,BASE!$J:$J,$C119,BASE!$A:$A,U$2)</f>
        <v>0</v>
      </c>
      <c r="V119" s="12">
        <f>SUMIFS(BASE!$G:$G,BASE!$B:$B,$B119,BASE!$L:$L,$G119,BASE!$J:$J,$C119,BASE!$A:$A,V$2)</f>
        <v>0</v>
      </c>
      <c r="X119" t="str">
        <f t="shared" si="3"/>
        <v>ZERADO</v>
      </c>
    </row>
    <row r="120" spans="2:24">
      <c r="B120" s="8" t="s">
        <v>481</v>
      </c>
      <c r="C120" s="9" t="s">
        <v>228</v>
      </c>
      <c r="D120" s="9" t="s">
        <v>482</v>
      </c>
      <c r="E120" s="9" t="s">
        <v>474</v>
      </c>
      <c r="F120" s="9" t="s">
        <v>483</v>
      </c>
      <c r="G120" s="9" t="s">
        <v>56</v>
      </c>
      <c r="H120" s="7" t="str">
        <f>IFERROR(IF(_xlfn.XLOOKUP(B120,REPASSE!D:D,REPASSE!D:D)="","Não","Sim"),"Não")</f>
        <v>Não</v>
      </c>
      <c r="I120" s="7" t="str">
        <f>IF(_xlfn.XLOOKUP(B120,'BOOST LIBERADO'!B:B,'BOOST LIBERADO'!B:B,"Não")="Não","Não","Sim")</f>
        <v>Sim</v>
      </c>
      <c r="J120" s="83" t="str">
        <f t="shared" si="2"/>
        <v>Sim</v>
      </c>
      <c r="K120" s="12">
        <f>SUMIFS(BASE!$G:$G,BASE!$B:$B,$B120,BASE!$L:$L,$G120,BASE!$J:$J,$C120,BASE!$A:$A,K$2)</f>
        <v>2</v>
      </c>
      <c r="L120" s="12">
        <f>SUMIFS(BASE!$G:$G,BASE!$B:$B,$B120,BASE!$L:$L,$G120,BASE!$J:$J,$C120,BASE!$A:$A,L$2)</f>
        <v>1</v>
      </c>
      <c r="M120" s="12">
        <f>SUMIFS(BASE!$G:$G,BASE!$B:$B,$B120,BASE!$L:$L,$G120,BASE!$J:$J,$C120,BASE!$A:$A,M$2)</f>
        <v>6</v>
      </c>
      <c r="N120" s="12">
        <f>SUMIFS(BASE!$G:$G,BASE!$B:$B,$B120,BASE!$L:$L,$G120,BASE!$J:$J,$C120,BASE!$A:$A,N$2)</f>
        <v>11</v>
      </c>
      <c r="O120" s="12">
        <f>SUMIFS(BASE!$G:$G,BASE!$B:$B,$B120,BASE!$L:$L,$G120,BASE!$J:$J,$C120,BASE!$A:$A,O$2)</f>
        <v>18</v>
      </c>
      <c r="P120" s="12">
        <f>SUMIFS(BASE!$G:$G,BASE!$B:$B,$B120,BASE!$L:$L,$G120,BASE!$J:$J,$C120,BASE!$A:$A,P$2)</f>
        <v>8</v>
      </c>
      <c r="Q120" s="12">
        <f>SUMIFS(BASE!$G:$G,BASE!$B:$B,$B120,BASE!$L:$L,$G120,BASE!$J:$J,$C120,BASE!$A:$A,Q$2)</f>
        <v>16</v>
      </c>
      <c r="R120" s="12">
        <f>SUMIFS(BASE!$G:$G,BASE!$B:$B,$B120,BASE!$L:$L,$G120,BASE!$J:$J,$C120,BASE!$A:$A,R$2)</f>
        <v>8</v>
      </c>
      <c r="S120" s="12">
        <f>SUMIFS(BASE!$G:$G,BASE!$B:$B,$B120,BASE!$L:$L,$G120,BASE!$J:$J,$C120,BASE!$A:$A,S$2)</f>
        <v>0</v>
      </c>
      <c r="T120" s="12">
        <f>SUMIFS(BASE!$G:$G,BASE!$B:$B,$B120,BASE!$L:$L,$G120,BASE!$J:$J,$C120,BASE!$A:$A,T$2)</f>
        <v>0</v>
      </c>
      <c r="U120" s="12">
        <f>SUMIFS(BASE!$G:$G,BASE!$B:$B,$B120,BASE!$L:$L,$G120,BASE!$J:$J,$C120,BASE!$A:$A,U$2)</f>
        <v>0</v>
      </c>
      <c r="V120" s="12">
        <f>SUMIFS(BASE!$G:$G,BASE!$B:$B,$B120,BASE!$L:$L,$G120,BASE!$J:$J,$C120,BASE!$A:$A,V$2)</f>
        <v>0</v>
      </c>
      <c r="X120" t="str">
        <f t="shared" si="3"/>
        <v>COM TROCAS</v>
      </c>
    </row>
    <row r="121" spans="2:24">
      <c r="B121" s="8" t="s">
        <v>484</v>
      </c>
      <c r="C121" s="9" t="s">
        <v>235</v>
      </c>
      <c r="D121" s="9" t="s">
        <v>462</v>
      </c>
      <c r="E121" s="9" t="s">
        <v>440</v>
      </c>
      <c r="F121" s="9" t="s">
        <v>485</v>
      </c>
      <c r="G121" s="9" t="s">
        <v>56</v>
      </c>
      <c r="H121" s="7" t="str">
        <f>IFERROR(IF(_xlfn.XLOOKUP(B121,REPASSE!D:D,REPASSE!D:D)="","Não","Sim"),"Não")</f>
        <v>Não</v>
      </c>
      <c r="I121" s="7" t="str">
        <f>IF(_xlfn.XLOOKUP(B121,'BOOST LIBERADO'!B:B,'BOOST LIBERADO'!B:B,"Não")="Não","Não","Sim")</f>
        <v>Sim</v>
      </c>
      <c r="J121" s="83" t="str">
        <f t="shared" si="2"/>
        <v>Sim</v>
      </c>
      <c r="K121" s="12">
        <f>SUMIFS(BASE!$G:$G,BASE!$B:$B,$B121,BASE!$L:$L,$G121,BASE!$J:$J,$C121,BASE!$A:$A,K$2)</f>
        <v>0</v>
      </c>
      <c r="L121" s="12">
        <f>SUMIFS(BASE!$G:$G,BASE!$B:$B,$B121,BASE!$L:$L,$G121,BASE!$J:$J,$C121,BASE!$A:$A,L$2)</f>
        <v>0</v>
      </c>
      <c r="M121" s="12">
        <f>SUMIFS(BASE!$G:$G,BASE!$B:$B,$B121,BASE!$L:$L,$G121,BASE!$J:$J,$C121,BASE!$A:$A,M$2)</f>
        <v>0</v>
      </c>
      <c r="N121" s="12">
        <f>SUMIFS(BASE!$G:$G,BASE!$B:$B,$B121,BASE!$L:$L,$G121,BASE!$J:$J,$C121,BASE!$A:$A,N$2)</f>
        <v>0</v>
      </c>
      <c r="O121" s="12">
        <f>SUMIFS(BASE!$G:$G,BASE!$B:$B,$B121,BASE!$L:$L,$G121,BASE!$J:$J,$C121,BASE!$A:$A,O$2)</f>
        <v>0</v>
      </c>
      <c r="P121" s="12">
        <f>SUMIFS(BASE!$G:$G,BASE!$B:$B,$B121,BASE!$L:$L,$G121,BASE!$J:$J,$C121,BASE!$A:$A,P$2)</f>
        <v>0</v>
      </c>
      <c r="Q121" s="12">
        <f>SUMIFS(BASE!$G:$G,BASE!$B:$B,$B121,BASE!$L:$L,$G121,BASE!$J:$J,$C121,BASE!$A:$A,Q$2)</f>
        <v>0</v>
      </c>
      <c r="R121" s="12">
        <f>SUMIFS(BASE!$G:$G,BASE!$B:$B,$B121,BASE!$L:$L,$G121,BASE!$J:$J,$C121,BASE!$A:$A,R$2)</f>
        <v>0</v>
      </c>
      <c r="S121" s="12">
        <f>SUMIFS(BASE!$G:$G,BASE!$B:$B,$B121,BASE!$L:$L,$G121,BASE!$J:$J,$C121,BASE!$A:$A,S$2)</f>
        <v>0</v>
      </c>
      <c r="T121" s="12">
        <f>SUMIFS(BASE!$G:$G,BASE!$B:$B,$B121,BASE!$L:$L,$G121,BASE!$J:$J,$C121,BASE!$A:$A,T$2)</f>
        <v>0</v>
      </c>
      <c r="U121" s="12">
        <f>SUMIFS(BASE!$G:$G,BASE!$B:$B,$B121,BASE!$L:$L,$G121,BASE!$J:$J,$C121,BASE!$A:$A,U$2)</f>
        <v>0</v>
      </c>
      <c r="V121" s="12">
        <f>SUMIFS(BASE!$G:$G,BASE!$B:$B,$B121,BASE!$L:$L,$G121,BASE!$J:$J,$C121,BASE!$A:$A,V$2)</f>
        <v>0</v>
      </c>
      <c r="X121" t="str">
        <f t="shared" si="3"/>
        <v>ZERADO</v>
      </c>
    </row>
    <row r="122" spans="2:24">
      <c r="B122" s="8" t="s">
        <v>486</v>
      </c>
      <c r="C122" s="9" t="s">
        <v>137</v>
      </c>
      <c r="D122" s="9" t="s">
        <v>448</v>
      </c>
      <c r="E122" s="9" t="s">
        <v>437</v>
      </c>
      <c r="F122" s="9" t="s">
        <v>487</v>
      </c>
      <c r="G122" s="9" t="s">
        <v>56</v>
      </c>
      <c r="H122" s="7" t="str">
        <f>IFERROR(IF(_xlfn.XLOOKUP(B122,REPASSE!D:D,REPASSE!D:D)="","Não","Sim"),"Não")</f>
        <v>Não</v>
      </c>
      <c r="I122" s="7" t="str">
        <f>IF(_xlfn.XLOOKUP(B122,'BOOST LIBERADO'!B:B,'BOOST LIBERADO'!B:B,"Não")="Não","Não","Sim")</f>
        <v>Sim</v>
      </c>
      <c r="J122" s="83" t="str">
        <f t="shared" si="2"/>
        <v>Sim</v>
      </c>
      <c r="K122" s="12">
        <f>SUMIFS(BASE!$G:$G,BASE!$B:$B,$B122,BASE!$L:$L,$G122,BASE!$J:$J,$C122,BASE!$A:$A,K$2)</f>
        <v>0</v>
      </c>
      <c r="L122" s="12">
        <f>SUMIFS(BASE!$G:$G,BASE!$B:$B,$B122,BASE!$L:$L,$G122,BASE!$J:$J,$C122,BASE!$A:$A,L$2)</f>
        <v>0</v>
      </c>
      <c r="M122" s="12">
        <f>SUMIFS(BASE!$G:$G,BASE!$B:$B,$B122,BASE!$L:$L,$G122,BASE!$J:$J,$C122,BASE!$A:$A,M$2)</f>
        <v>0</v>
      </c>
      <c r="N122" s="12">
        <f>SUMIFS(BASE!$G:$G,BASE!$B:$B,$B122,BASE!$L:$L,$G122,BASE!$J:$J,$C122,BASE!$A:$A,N$2)</f>
        <v>0</v>
      </c>
      <c r="O122" s="12">
        <f>SUMIFS(BASE!$G:$G,BASE!$B:$B,$B122,BASE!$L:$L,$G122,BASE!$J:$J,$C122,BASE!$A:$A,O$2)</f>
        <v>0</v>
      </c>
      <c r="P122" s="12">
        <f>SUMIFS(BASE!$G:$G,BASE!$B:$B,$B122,BASE!$L:$L,$G122,BASE!$J:$J,$C122,BASE!$A:$A,P$2)</f>
        <v>0</v>
      </c>
      <c r="Q122" s="12">
        <f>SUMIFS(BASE!$G:$G,BASE!$B:$B,$B122,BASE!$L:$L,$G122,BASE!$J:$J,$C122,BASE!$A:$A,Q$2)</f>
        <v>0</v>
      </c>
      <c r="R122" s="12">
        <f>SUMIFS(BASE!$G:$G,BASE!$B:$B,$B122,BASE!$L:$L,$G122,BASE!$J:$J,$C122,BASE!$A:$A,R$2)</f>
        <v>0</v>
      </c>
      <c r="S122" s="12">
        <f>SUMIFS(BASE!$G:$G,BASE!$B:$B,$B122,BASE!$L:$L,$G122,BASE!$J:$J,$C122,BASE!$A:$A,S$2)</f>
        <v>0</v>
      </c>
      <c r="T122" s="12">
        <f>SUMIFS(BASE!$G:$G,BASE!$B:$B,$B122,BASE!$L:$L,$G122,BASE!$J:$J,$C122,BASE!$A:$A,T$2)</f>
        <v>0</v>
      </c>
      <c r="U122" s="12">
        <f>SUMIFS(BASE!$G:$G,BASE!$B:$B,$B122,BASE!$L:$L,$G122,BASE!$J:$J,$C122,BASE!$A:$A,U$2)</f>
        <v>0</v>
      </c>
      <c r="V122" s="12">
        <f>SUMIFS(BASE!$G:$G,BASE!$B:$B,$B122,BASE!$L:$L,$G122,BASE!$J:$J,$C122,BASE!$A:$A,V$2)</f>
        <v>0</v>
      </c>
      <c r="X122" t="str">
        <f t="shared" si="3"/>
        <v>ZERADO</v>
      </c>
    </row>
    <row r="123" spans="2:24">
      <c r="B123" s="8" t="s">
        <v>488</v>
      </c>
      <c r="C123" s="9" t="s">
        <v>228</v>
      </c>
      <c r="D123" s="9" t="s">
        <v>448</v>
      </c>
      <c r="E123" s="9" t="s">
        <v>437</v>
      </c>
      <c r="F123" s="9" t="s">
        <v>489</v>
      </c>
      <c r="G123" s="9" t="s">
        <v>56</v>
      </c>
      <c r="H123" s="7" t="str">
        <f>IFERROR(IF(_xlfn.XLOOKUP(B123,REPASSE!D:D,REPASSE!D:D)="","Não","Sim"),"Não")</f>
        <v>Não</v>
      </c>
      <c r="I123" s="7" t="str">
        <f>IF(_xlfn.XLOOKUP(B123,'BOOST LIBERADO'!B:B,'BOOST LIBERADO'!B:B,"Não")="Não","Não","Sim")</f>
        <v>Sim</v>
      </c>
      <c r="J123" s="83" t="str">
        <f t="shared" si="2"/>
        <v>Sim</v>
      </c>
      <c r="K123" s="12">
        <f>SUMIFS(BASE!$G:$G,BASE!$B:$B,$B123,BASE!$L:$L,$G123,BASE!$J:$J,$C123,BASE!$A:$A,K$2)</f>
        <v>0</v>
      </c>
      <c r="L123" s="12">
        <f>SUMIFS(BASE!$G:$G,BASE!$B:$B,$B123,BASE!$L:$L,$G123,BASE!$J:$J,$C123,BASE!$A:$A,L$2)</f>
        <v>0</v>
      </c>
      <c r="M123" s="12">
        <f>SUMIFS(BASE!$G:$G,BASE!$B:$B,$B123,BASE!$L:$L,$G123,BASE!$J:$J,$C123,BASE!$A:$A,M$2)</f>
        <v>3</v>
      </c>
      <c r="N123" s="12">
        <f>SUMIFS(BASE!$G:$G,BASE!$B:$B,$B123,BASE!$L:$L,$G123,BASE!$J:$J,$C123,BASE!$A:$A,N$2)</f>
        <v>2</v>
      </c>
      <c r="O123" s="12">
        <f>SUMIFS(BASE!$G:$G,BASE!$B:$B,$B123,BASE!$L:$L,$G123,BASE!$J:$J,$C123,BASE!$A:$A,O$2)</f>
        <v>4</v>
      </c>
      <c r="P123" s="12">
        <f>SUMIFS(BASE!$G:$G,BASE!$B:$B,$B123,BASE!$L:$L,$G123,BASE!$J:$J,$C123,BASE!$A:$A,P$2)</f>
        <v>1</v>
      </c>
      <c r="Q123" s="12">
        <f>SUMIFS(BASE!$G:$G,BASE!$B:$B,$B123,BASE!$L:$L,$G123,BASE!$J:$J,$C123,BASE!$A:$A,Q$2)</f>
        <v>8</v>
      </c>
      <c r="R123" s="12">
        <f>SUMIFS(BASE!$G:$G,BASE!$B:$B,$B123,BASE!$L:$L,$G123,BASE!$J:$J,$C123,BASE!$A:$A,R$2)</f>
        <v>3</v>
      </c>
      <c r="S123" s="12">
        <f>SUMIFS(BASE!$G:$G,BASE!$B:$B,$B123,BASE!$L:$L,$G123,BASE!$J:$J,$C123,BASE!$A:$A,S$2)</f>
        <v>0</v>
      </c>
      <c r="T123" s="12">
        <f>SUMIFS(BASE!$G:$G,BASE!$B:$B,$B123,BASE!$L:$L,$G123,BASE!$J:$J,$C123,BASE!$A:$A,T$2)</f>
        <v>0</v>
      </c>
      <c r="U123" s="12">
        <f>SUMIFS(BASE!$G:$G,BASE!$B:$B,$B123,BASE!$L:$L,$G123,BASE!$J:$J,$C123,BASE!$A:$A,U$2)</f>
        <v>0</v>
      </c>
      <c r="V123" s="12">
        <f>SUMIFS(BASE!$G:$G,BASE!$B:$B,$B123,BASE!$L:$L,$G123,BASE!$J:$J,$C123,BASE!$A:$A,V$2)</f>
        <v>0</v>
      </c>
      <c r="X123" t="str">
        <f t="shared" si="3"/>
        <v>COM TROCAS</v>
      </c>
    </row>
    <row r="124" spans="2:24">
      <c r="B124" s="8" t="s">
        <v>490</v>
      </c>
      <c r="C124" s="9" t="s">
        <v>235</v>
      </c>
      <c r="D124" s="9" t="s">
        <v>453</v>
      </c>
      <c r="E124" s="9" t="s">
        <v>454</v>
      </c>
      <c r="F124" s="9" t="s">
        <v>491</v>
      </c>
      <c r="G124" s="9" t="s">
        <v>56</v>
      </c>
      <c r="H124" s="7" t="str">
        <f>IFERROR(IF(_xlfn.XLOOKUP(B124,REPASSE!D:D,REPASSE!D:D)="","Não","Sim"),"Não")</f>
        <v>Não</v>
      </c>
      <c r="I124" s="7" t="str">
        <f>IF(_xlfn.XLOOKUP(B124,'BOOST LIBERADO'!B:B,'BOOST LIBERADO'!B:B,"Não")="Não","Não","Sim")</f>
        <v>Sim</v>
      </c>
      <c r="J124" s="83" t="str">
        <f t="shared" si="2"/>
        <v>Sim</v>
      </c>
      <c r="K124" s="12">
        <f>SUMIFS(BASE!$G:$G,BASE!$B:$B,$B124,BASE!$L:$L,$G124,BASE!$J:$J,$C124,BASE!$A:$A,K$2)</f>
        <v>0</v>
      </c>
      <c r="L124" s="12">
        <f>SUMIFS(BASE!$G:$G,BASE!$B:$B,$B124,BASE!$L:$L,$G124,BASE!$J:$J,$C124,BASE!$A:$A,L$2)</f>
        <v>0</v>
      </c>
      <c r="M124" s="12">
        <f>SUMIFS(BASE!$G:$G,BASE!$B:$B,$B124,BASE!$L:$L,$G124,BASE!$J:$J,$C124,BASE!$A:$A,M$2)</f>
        <v>0</v>
      </c>
      <c r="N124" s="12">
        <f>SUMIFS(BASE!$G:$G,BASE!$B:$B,$B124,BASE!$L:$L,$G124,BASE!$J:$J,$C124,BASE!$A:$A,N$2)</f>
        <v>0</v>
      </c>
      <c r="O124" s="12">
        <f>SUMIFS(BASE!$G:$G,BASE!$B:$B,$B124,BASE!$L:$L,$G124,BASE!$J:$J,$C124,BASE!$A:$A,O$2)</f>
        <v>0</v>
      </c>
      <c r="P124" s="12">
        <f>SUMIFS(BASE!$G:$G,BASE!$B:$B,$B124,BASE!$L:$L,$G124,BASE!$J:$J,$C124,BASE!$A:$A,P$2)</f>
        <v>1</v>
      </c>
      <c r="Q124" s="12">
        <f>SUMIFS(BASE!$G:$G,BASE!$B:$B,$B124,BASE!$L:$L,$G124,BASE!$J:$J,$C124,BASE!$A:$A,Q$2)</f>
        <v>3</v>
      </c>
      <c r="R124" s="12">
        <f>SUMIFS(BASE!$G:$G,BASE!$B:$B,$B124,BASE!$L:$L,$G124,BASE!$J:$J,$C124,BASE!$A:$A,R$2)</f>
        <v>0</v>
      </c>
      <c r="S124" s="12">
        <f>SUMIFS(BASE!$G:$G,BASE!$B:$B,$B124,BASE!$L:$L,$G124,BASE!$J:$J,$C124,BASE!$A:$A,S$2)</f>
        <v>0</v>
      </c>
      <c r="T124" s="12">
        <f>SUMIFS(BASE!$G:$G,BASE!$B:$B,$B124,BASE!$L:$L,$G124,BASE!$J:$J,$C124,BASE!$A:$A,T$2)</f>
        <v>0</v>
      </c>
      <c r="U124" s="12">
        <f>SUMIFS(BASE!$G:$G,BASE!$B:$B,$B124,BASE!$L:$L,$G124,BASE!$J:$J,$C124,BASE!$A:$A,U$2)</f>
        <v>0</v>
      </c>
      <c r="V124" s="12">
        <f>SUMIFS(BASE!$G:$G,BASE!$B:$B,$B124,BASE!$L:$L,$G124,BASE!$J:$J,$C124,BASE!$A:$A,V$2)</f>
        <v>0</v>
      </c>
      <c r="X124" t="str">
        <f t="shared" si="3"/>
        <v>ZERADO</v>
      </c>
    </row>
    <row r="125" spans="2:24">
      <c r="B125" s="8" t="s">
        <v>492</v>
      </c>
      <c r="C125" s="9" t="s">
        <v>239</v>
      </c>
      <c r="D125" s="9" t="s">
        <v>493</v>
      </c>
      <c r="E125" s="9" t="s">
        <v>440</v>
      </c>
      <c r="F125" s="9" t="s">
        <v>494</v>
      </c>
      <c r="G125" s="9" t="s">
        <v>56</v>
      </c>
      <c r="H125" s="7" t="str">
        <f>IFERROR(IF(_xlfn.XLOOKUP(B125,REPASSE!D:D,REPASSE!D:D)="","Não","Sim"),"Não")</f>
        <v>Não</v>
      </c>
      <c r="I125" s="7" t="str">
        <f>IF(_xlfn.XLOOKUP(B125,'BOOST LIBERADO'!B:B,'BOOST LIBERADO'!B:B,"Não")="Não","Não","Sim")</f>
        <v>Sim</v>
      </c>
      <c r="J125" s="83" t="str">
        <f t="shared" si="2"/>
        <v>Sim</v>
      </c>
      <c r="K125" s="12">
        <f>SUMIFS(BASE!$G:$G,BASE!$B:$B,$B125,BASE!$L:$L,$G125,BASE!$J:$J,$C125,BASE!$A:$A,K$2)</f>
        <v>0</v>
      </c>
      <c r="L125" s="12">
        <f>SUMIFS(BASE!$G:$G,BASE!$B:$B,$B125,BASE!$L:$L,$G125,BASE!$J:$J,$C125,BASE!$A:$A,L$2)</f>
        <v>0</v>
      </c>
      <c r="M125" s="12">
        <f>SUMIFS(BASE!$G:$G,BASE!$B:$B,$B125,BASE!$L:$L,$G125,BASE!$J:$J,$C125,BASE!$A:$A,M$2)</f>
        <v>5</v>
      </c>
      <c r="N125" s="12">
        <f>SUMIFS(BASE!$G:$G,BASE!$B:$B,$B125,BASE!$L:$L,$G125,BASE!$J:$J,$C125,BASE!$A:$A,N$2)</f>
        <v>0</v>
      </c>
      <c r="O125" s="12">
        <f>SUMIFS(BASE!$G:$G,BASE!$B:$B,$B125,BASE!$L:$L,$G125,BASE!$J:$J,$C125,BASE!$A:$A,O$2)</f>
        <v>4</v>
      </c>
      <c r="P125" s="12">
        <f>SUMIFS(BASE!$G:$G,BASE!$B:$B,$B125,BASE!$L:$L,$G125,BASE!$J:$J,$C125,BASE!$A:$A,P$2)</f>
        <v>0</v>
      </c>
      <c r="Q125" s="12">
        <f>SUMIFS(BASE!$G:$G,BASE!$B:$B,$B125,BASE!$L:$L,$G125,BASE!$J:$J,$C125,BASE!$A:$A,Q$2)</f>
        <v>5</v>
      </c>
      <c r="R125" s="12">
        <f>SUMIFS(BASE!$G:$G,BASE!$B:$B,$B125,BASE!$L:$L,$G125,BASE!$J:$J,$C125,BASE!$A:$A,R$2)</f>
        <v>0</v>
      </c>
      <c r="S125" s="12">
        <f>SUMIFS(BASE!$G:$G,BASE!$B:$B,$B125,BASE!$L:$L,$G125,BASE!$J:$J,$C125,BASE!$A:$A,S$2)</f>
        <v>0</v>
      </c>
      <c r="T125" s="12">
        <f>SUMIFS(BASE!$G:$G,BASE!$B:$B,$B125,BASE!$L:$L,$G125,BASE!$J:$J,$C125,BASE!$A:$A,T$2)</f>
        <v>0</v>
      </c>
      <c r="U125" s="12">
        <f>SUMIFS(BASE!$G:$G,BASE!$B:$B,$B125,BASE!$L:$L,$G125,BASE!$J:$J,$C125,BASE!$A:$A,U$2)</f>
        <v>0</v>
      </c>
      <c r="V125" s="12">
        <f>SUMIFS(BASE!$G:$G,BASE!$B:$B,$B125,BASE!$L:$L,$G125,BASE!$J:$J,$C125,BASE!$A:$A,V$2)</f>
        <v>0</v>
      </c>
      <c r="X125" t="str">
        <f t="shared" si="3"/>
        <v>ZERADO</v>
      </c>
    </row>
    <row r="126" spans="2:24">
      <c r="B126" s="8" t="s">
        <v>495</v>
      </c>
      <c r="C126" s="9" t="s">
        <v>239</v>
      </c>
      <c r="D126" s="9" t="s">
        <v>462</v>
      </c>
      <c r="E126" s="9" t="s">
        <v>440</v>
      </c>
      <c r="F126" s="9" t="s">
        <v>496</v>
      </c>
      <c r="G126" s="9" t="s">
        <v>56</v>
      </c>
      <c r="H126" s="7" t="str">
        <f>IFERROR(IF(_xlfn.XLOOKUP(B126,REPASSE!D:D,REPASSE!D:D)="","Não","Sim"),"Não")</f>
        <v>Não</v>
      </c>
      <c r="I126" s="7" t="str">
        <f>IF(_xlfn.XLOOKUP(B126,'BOOST LIBERADO'!B:B,'BOOST LIBERADO'!B:B,"Não")="Não","Não","Sim")</f>
        <v>Sim</v>
      </c>
      <c r="J126" s="83" t="str">
        <f t="shared" si="2"/>
        <v>Sim</v>
      </c>
      <c r="K126" s="12">
        <f>SUMIFS(BASE!$G:$G,BASE!$B:$B,$B126,BASE!$L:$L,$G126,BASE!$J:$J,$C126,BASE!$A:$A,K$2)</f>
        <v>2</v>
      </c>
      <c r="L126" s="12">
        <f>SUMIFS(BASE!$G:$G,BASE!$B:$B,$B126,BASE!$L:$L,$G126,BASE!$J:$J,$C126,BASE!$A:$A,L$2)</f>
        <v>4</v>
      </c>
      <c r="M126" s="12">
        <f>SUMIFS(BASE!$G:$G,BASE!$B:$B,$B126,BASE!$L:$L,$G126,BASE!$J:$J,$C126,BASE!$A:$A,M$2)</f>
        <v>9</v>
      </c>
      <c r="N126" s="12">
        <f>SUMIFS(BASE!$G:$G,BASE!$B:$B,$B126,BASE!$L:$L,$G126,BASE!$J:$J,$C126,BASE!$A:$A,N$2)</f>
        <v>4</v>
      </c>
      <c r="O126" s="12">
        <f>SUMIFS(BASE!$G:$G,BASE!$B:$B,$B126,BASE!$L:$L,$G126,BASE!$J:$J,$C126,BASE!$A:$A,O$2)</f>
        <v>5</v>
      </c>
      <c r="P126" s="12">
        <f>SUMIFS(BASE!$G:$G,BASE!$B:$B,$B126,BASE!$L:$L,$G126,BASE!$J:$J,$C126,BASE!$A:$A,P$2)</f>
        <v>4</v>
      </c>
      <c r="Q126" s="12">
        <f>SUMIFS(BASE!$G:$G,BASE!$B:$B,$B126,BASE!$L:$L,$G126,BASE!$J:$J,$C126,BASE!$A:$A,Q$2)</f>
        <v>11</v>
      </c>
      <c r="R126" s="12">
        <f>SUMIFS(BASE!$G:$G,BASE!$B:$B,$B126,BASE!$L:$L,$G126,BASE!$J:$J,$C126,BASE!$A:$A,R$2)</f>
        <v>5</v>
      </c>
      <c r="S126" s="12">
        <f>SUMIFS(BASE!$G:$G,BASE!$B:$B,$B126,BASE!$L:$L,$G126,BASE!$J:$J,$C126,BASE!$A:$A,S$2)</f>
        <v>0</v>
      </c>
      <c r="T126" s="12">
        <f>SUMIFS(BASE!$G:$G,BASE!$B:$B,$B126,BASE!$L:$L,$G126,BASE!$J:$J,$C126,BASE!$A:$A,T$2)</f>
        <v>0</v>
      </c>
      <c r="U126" s="12">
        <f>SUMIFS(BASE!$G:$G,BASE!$B:$B,$B126,BASE!$L:$L,$G126,BASE!$J:$J,$C126,BASE!$A:$A,U$2)</f>
        <v>0</v>
      </c>
      <c r="V126" s="12">
        <f>SUMIFS(BASE!$G:$G,BASE!$B:$B,$B126,BASE!$L:$L,$G126,BASE!$J:$J,$C126,BASE!$A:$A,V$2)</f>
        <v>0</v>
      </c>
      <c r="X126" t="str">
        <f t="shared" si="3"/>
        <v>COM TROCAS</v>
      </c>
    </row>
    <row r="127" spans="2:24">
      <c r="B127" s="8" t="s">
        <v>497</v>
      </c>
      <c r="C127" s="9" t="s">
        <v>239</v>
      </c>
      <c r="D127" s="9" t="s">
        <v>493</v>
      </c>
      <c r="E127" s="9" t="s">
        <v>440</v>
      </c>
      <c r="F127" s="9" t="s">
        <v>498</v>
      </c>
      <c r="G127" s="9" t="s">
        <v>56</v>
      </c>
      <c r="H127" s="7" t="str">
        <f>IFERROR(IF(_xlfn.XLOOKUP(B127,REPASSE!D:D,REPASSE!D:D)="","Não","Sim"),"Não")</f>
        <v>Não</v>
      </c>
      <c r="I127" s="7" t="str">
        <f>IF(_xlfn.XLOOKUP(B127,'BOOST LIBERADO'!B:B,'BOOST LIBERADO'!B:B,"Não")="Não","Não","Sim")</f>
        <v>Sim</v>
      </c>
      <c r="J127" s="83" t="str">
        <f t="shared" si="2"/>
        <v>Sim</v>
      </c>
      <c r="K127" s="12">
        <f>SUMIFS(BASE!$G:$G,BASE!$B:$B,$B127,BASE!$L:$L,$G127,BASE!$J:$J,$C127,BASE!$A:$A,K$2)</f>
        <v>0</v>
      </c>
      <c r="L127" s="12">
        <f>SUMIFS(BASE!$G:$G,BASE!$B:$B,$B127,BASE!$L:$L,$G127,BASE!$J:$J,$C127,BASE!$A:$A,L$2)</f>
        <v>0</v>
      </c>
      <c r="M127" s="12">
        <f>SUMIFS(BASE!$G:$G,BASE!$B:$B,$B127,BASE!$L:$L,$G127,BASE!$J:$J,$C127,BASE!$A:$A,M$2)</f>
        <v>0</v>
      </c>
      <c r="N127" s="12">
        <f>SUMIFS(BASE!$G:$G,BASE!$B:$B,$B127,BASE!$L:$L,$G127,BASE!$J:$J,$C127,BASE!$A:$A,N$2)</f>
        <v>0</v>
      </c>
      <c r="O127" s="12">
        <f>SUMIFS(BASE!$G:$G,BASE!$B:$B,$B127,BASE!$L:$L,$G127,BASE!$J:$J,$C127,BASE!$A:$A,O$2)</f>
        <v>0</v>
      </c>
      <c r="P127" s="12">
        <f>SUMIFS(BASE!$G:$G,BASE!$B:$B,$B127,BASE!$L:$L,$G127,BASE!$J:$J,$C127,BASE!$A:$A,P$2)</f>
        <v>0</v>
      </c>
      <c r="Q127" s="12">
        <f>SUMIFS(BASE!$G:$G,BASE!$B:$B,$B127,BASE!$L:$L,$G127,BASE!$J:$J,$C127,BASE!$A:$A,Q$2)</f>
        <v>0</v>
      </c>
      <c r="R127" s="12">
        <f>SUMIFS(BASE!$G:$G,BASE!$B:$B,$B127,BASE!$L:$L,$G127,BASE!$J:$J,$C127,BASE!$A:$A,R$2)</f>
        <v>0</v>
      </c>
      <c r="S127" s="12">
        <f>SUMIFS(BASE!$G:$G,BASE!$B:$B,$B127,BASE!$L:$L,$G127,BASE!$J:$J,$C127,BASE!$A:$A,S$2)</f>
        <v>0</v>
      </c>
      <c r="T127" s="12">
        <f>SUMIFS(BASE!$G:$G,BASE!$B:$B,$B127,BASE!$L:$L,$G127,BASE!$J:$J,$C127,BASE!$A:$A,T$2)</f>
        <v>0</v>
      </c>
      <c r="U127" s="12">
        <f>SUMIFS(BASE!$G:$G,BASE!$B:$B,$B127,BASE!$L:$L,$G127,BASE!$J:$J,$C127,BASE!$A:$A,U$2)</f>
        <v>0</v>
      </c>
      <c r="V127" s="12">
        <f>SUMIFS(BASE!$G:$G,BASE!$B:$B,$B127,BASE!$L:$L,$G127,BASE!$J:$J,$C127,BASE!$A:$A,V$2)</f>
        <v>0</v>
      </c>
      <c r="X127" t="str">
        <f t="shared" si="3"/>
        <v>ZERADO</v>
      </c>
    </row>
    <row r="128" spans="2:24">
      <c r="B128" s="8" t="s">
        <v>499</v>
      </c>
      <c r="C128" s="9" t="s">
        <v>239</v>
      </c>
      <c r="D128" s="9" t="s">
        <v>457</v>
      </c>
      <c r="E128" s="9" t="s">
        <v>454</v>
      </c>
      <c r="F128" s="9" t="s">
        <v>500</v>
      </c>
      <c r="G128" s="9" t="s">
        <v>56</v>
      </c>
      <c r="H128" s="7" t="str">
        <f>IFERROR(IF(_xlfn.XLOOKUP(B128,REPASSE!D:D,REPASSE!D:D)="","Não","Sim"),"Não")</f>
        <v>Não</v>
      </c>
      <c r="I128" s="7" t="str">
        <f>IF(_xlfn.XLOOKUP(B128,'BOOST LIBERADO'!B:B,'BOOST LIBERADO'!B:B,"Não")="Não","Não","Sim")</f>
        <v>Sim</v>
      </c>
      <c r="J128" s="83" t="str">
        <f t="shared" si="2"/>
        <v>Sim</v>
      </c>
      <c r="K128" s="12">
        <f>SUMIFS(BASE!$G:$G,BASE!$B:$B,$B128,BASE!$L:$L,$G128,BASE!$J:$J,$C128,BASE!$A:$A,K$2)</f>
        <v>0</v>
      </c>
      <c r="L128" s="12">
        <f>SUMIFS(BASE!$G:$G,BASE!$B:$B,$B128,BASE!$L:$L,$G128,BASE!$J:$J,$C128,BASE!$A:$A,L$2)</f>
        <v>0</v>
      </c>
      <c r="M128" s="12">
        <f>SUMIFS(BASE!$G:$G,BASE!$B:$B,$B128,BASE!$L:$L,$G128,BASE!$J:$J,$C128,BASE!$A:$A,M$2)</f>
        <v>0</v>
      </c>
      <c r="N128" s="12">
        <f>SUMIFS(BASE!$G:$G,BASE!$B:$B,$B128,BASE!$L:$L,$G128,BASE!$J:$J,$C128,BASE!$A:$A,N$2)</f>
        <v>0</v>
      </c>
      <c r="O128" s="12">
        <f>SUMIFS(BASE!$G:$G,BASE!$B:$B,$B128,BASE!$L:$L,$G128,BASE!$J:$J,$C128,BASE!$A:$A,O$2)</f>
        <v>0</v>
      </c>
      <c r="P128" s="12">
        <f>SUMIFS(BASE!$G:$G,BASE!$B:$B,$B128,BASE!$L:$L,$G128,BASE!$J:$J,$C128,BASE!$A:$A,P$2)</f>
        <v>0</v>
      </c>
      <c r="Q128" s="12">
        <f>SUMIFS(BASE!$G:$G,BASE!$B:$B,$B128,BASE!$L:$L,$G128,BASE!$J:$J,$C128,BASE!$A:$A,Q$2)</f>
        <v>4</v>
      </c>
      <c r="R128" s="12">
        <f>SUMIFS(BASE!$G:$G,BASE!$B:$B,$B128,BASE!$L:$L,$G128,BASE!$J:$J,$C128,BASE!$A:$A,R$2)</f>
        <v>0</v>
      </c>
      <c r="S128" s="12">
        <f>SUMIFS(BASE!$G:$G,BASE!$B:$B,$B128,BASE!$L:$L,$G128,BASE!$J:$J,$C128,BASE!$A:$A,S$2)</f>
        <v>0</v>
      </c>
      <c r="T128" s="12">
        <f>SUMIFS(BASE!$G:$G,BASE!$B:$B,$B128,BASE!$L:$L,$G128,BASE!$J:$J,$C128,BASE!$A:$A,T$2)</f>
        <v>0</v>
      </c>
      <c r="U128" s="12">
        <f>SUMIFS(BASE!$G:$G,BASE!$B:$B,$B128,BASE!$L:$L,$G128,BASE!$J:$J,$C128,BASE!$A:$A,U$2)</f>
        <v>0</v>
      </c>
      <c r="V128" s="12">
        <f>SUMIFS(BASE!$G:$G,BASE!$B:$B,$B128,BASE!$L:$L,$G128,BASE!$J:$J,$C128,BASE!$A:$A,V$2)</f>
        <v>0</v>
      </c>
      <c r="X128" t="str">
        <f t="shared" si="3"/>
        <v>ZERADO</v>
      </c>
    </row>
    <row r="129" spans="2:24">
      <c r="B129" s="8" t="s">
        <v>501</v>
      </c>
      <c r="C129" s="9" t="s">
        <v>239</v>
      </c>
      <c r="D129" s="9" t="s">
        <v>502</v>
      </c>
      <c r="E129" s="9" t="s">
        <v>454</v>
      </c>
      <c r="F129" s="9" t="s">
        <v>503</v>
      </c>
      <c r="G129" s="9" t="s">
        <v>56</v>
      </c>
      <c r="H129" s="7" t="str">
        <f>IFERROR(IF(_xlfn.XLOOKUP(B129,REPASSE!D:D,REPASSE!D:D)="","Não","Sim"),"Não")</f>
        <v>Não</v>
      </c>
      <c r="I129" s="7" t="str">
        <f>IF(_xlfn.XLOOKUP(B129,'BOOST LIBERADO'!B:B,'BOOST LIBERADO'!B:B,"Não")="Não","Não","Sim")</f>
        <v>Sim</v>
      </c>
      <c r="J129" s="83" t="str">
        <f t="shared" si="2"/>
        <v>Sim</v>
      </c>
      <c r="K129" s="12">
        <f>SUMIFS(BASE!$G:$G,BASE!$B:$B,$B129,BASE!$L:$L,$G129,BASE!$J:$J,$C129,BASE!$A:$A,K$2)</f>
        <v>0</v>
      </c>
      <c r="L129" s="12">
        <f>SUMIFS(BASE!$G:$G,BASE!$B:$B,$B129,BASE!$L:$L,$G129,BASE!$J:$J,$C129,BASE!$A:$A,L$2)</f>
        <v>0</v>
      </c>
      <c r="M129" s="12">
        <f>SUMIFS(BASE!$G:$G,BASE!$B:$B,$B129,BASE!$L:$L,$G129,BASE!$J:$J,$C129,BASE!$A:$A,M$2)</f>
        <v>0</v>
      </c>
      <c r="N129" s="12">
        <f>SUMIFS(BASE!$G:$G,BASE!$B:$B,$B129,BASE!$L:$L,$G129,BASE!$J:$J,$C129,BASE!$A:$A,N$2)</f>
        <v>0</v>
      </c>
      <c r="O129" s="12">
        <f>SUMIFS(BASE!$G:$G,BASE!$B:$B,$B129,BASE!$L:$L,$G129,BASE!$J:$J,$C129,BASE!$A:$A,O$2)</f>
        <v>0</v>
      </c>
      <c r="P129" s="12">
        <f>SUMIFS(BASE!$G:$G,BASE!$B:$B,$B129,BASE!$L:$L,$G129,BASE!$J:$J,$C129,BASE!$A:$A,P$2)</f>
        <v>0</v>
      </c>
      <c r="Q129" s="12">
        <f>SUMIFS(BASE!$G:$G,BASE!$B:$B,$B129,BASE!$L:$L,$G129,BASE!$J:$J,$C129,BASE!$A:$A,Q$2)</f>
        <v>9</v>
      </c>
      <c r="R129" s="12">
        <f>SUMIFS(BASE!$G:$G,BASE!$B:$B,$B129,BASE!$L:$L,$G129,BASE!$J:$J,$C129,BASE!$A:$A,R$2)</f>
        <v>6</v>
      </c>
      <c r="S129" s="12">
        <f>SUMIFS(BASE!$G:$G,BASE!$B:$B,$B129,BASE!$L:$L,$G129,BASE!$J:$J,$C129,BASE!$A:$A,S$2)</f>
        <v>0</v>
      </c>
      <c r="T129" s="12">
        <f>SUMIFS(BASE!$G:$G,BASE!$B:$B,$B129,BASE!$L:$L,$G129,BASE!$J:$J,$C129,BASE!$A:$A,T$2)</f>
        <v>0</v>
      </c>
      <c r="U129" s="12">
        <f>SUMIFS(BASE!$G:$G,BASE!$B:$B,$B129,BASE!$L:$L,$G129,BASE!$J:$J,$C129,BASE!$A:$A,U$2)</f>
        <v>0</v>
      </c>
      <c r="V129" s="12">
        <f>SUMIFS(BASE!$G:$G,BASE!$B:$B,$B129,BASE!$L:$L,$G129,BASE!$J:$J,$C129,BASE!$A:$A,V$2)</f>
        <v>0</v>
      </c>
      <c r="X129" t="str">
        <f t="shared" si="3"/>
        <v>COM TROCAS</v>
      </c>
    </row>
    <row r="130" spans="2:24">
      <c r="B130" s="8" t="s">
        <v>504</v>
      </c>
      <c r="C130" s="9" t="s">
        <v>106</v>
      </c>
      <c r="D130" s="9" t="s">
        <v>465</v>
      </c>
      <c r="E130" s="9" t="s">
        <v>429</v>
      </c>
      <c r="F130" s="9" t="s">
        <v>505</v>
      </c>
      <c r="G130" s="9" t="s">
        <v>56</v>
      </c>
      <c r="H130" s="7" t="str">
        <f>IFERROR(IF(_xlfn.XLOOKUP(B130,REPASSE!D:D,REPASSE!D:D)="","Não","Sim"),"Não")</f>
        <v>Não</v>
      </c>
      <c r="I130" s="7" t="str">
        <f>IF(_xlfn.XLOOKUP(B130,'BOOST LIBERADO'!B:B,'BOOST LIBERADO'!B:B,"Não")="Não","Não","Sim")</f>
        <v>Sim</v>
      </c>
      <c r="J130" s="83" t="str">
        <f t="shared" si="2"/>
        <v>Sim</v>
      </c>
      <c r="K130" s="12">
        <f>SUMIFS(BASE!$G:$G,BASE!$B:$B,$B130,BASE!$L:$L,$G130,BASE!$J:$J,$C130,BASE!$A:$A,K$2)</f>
        <v>0</v>
      </c>
      <c r="L130" s="12">
        <f>SUMIFS(BASE!$G:$G,BASE!$B:$B,$B130,BASE!$L:$L,$G130,BASE!$J:$J,$C130,BASE!$A:$A,L$2)</f>
        <v>0</v>
      </c>
      <c r="M130" s="12">
        <f>SUMIFS(BASE!$G:$G,BASE!$B:$B,$B130,BASE!$L:$L,$G130,BASE!$J:$J,$C130,BASE!$A:$A,M$2)</f>
        <v>0</v>
      </c>
      <c r="N130" s="12">
        <f>SUMIFS(BASE!$G:$G,BASE!$B:$B,$B130,BASE!$L:$L,$G130,BASE!$J:$J,$C130,BASE!$A:$A,N$2)</f>
        <v>0</v>
      </c>
      <c r="O130" s="12">
        <f>SUMIFS(BASE!$G:$G,BASE!$B:$B,$B130,BASE!$L:$L,$G130,BASE!$J:$J,$C130,BASE!$A:$A,O$2)</f>
        <v>0</v>
      </c>
      <c r="P130" s="12">
        <f>SUMIFS(BASE!$G:$G,BASE!$B:$B,$B130,BASE!$L:$L,$G130,BASE!$J:$J,$C130,BASE!$A:$A,P$2)</f>
        <v>0</v>
      </c>
      <c r="Q130" s="12">
        <f>SUMIFS(BASE!$G:$G,BASE!$B:$B,$B130,BASE!$L:$L,$G130,BASE!$J:$J,$C130,BASE!$A:$A,Q$2)</f>
        <v>0</v>
      </c>
      <c r="R130" s="12">
        <f>SUMIFS(BASE!$G:$G,BASE!$B:$B,$B130,BASE!$L:$L,$G130,BASE!$J:$J,$C130,BASE!$A:$A,R$2)</f>
        <v>0</v>
      </c>
      <c r="S130" s="12">
        <f>SUMIFS(BASE!$G:$G,BASE!$B:$B,$B130,BASE!$L:$L,$G130,BASE!$J:$J,$C130,BASE!$A:$A,S$2)</f>
        <v>0</v>
      </c>
      <c r="T130" s="12">
        <f>SUMIFS(BASE!$G:$G,BASE!$B:$B,$B130,BASE!$L:$L,$G130,BASE!$J:$J,$C130,BASE!$A:$A,T$2)</f>
        <v>0</v>
      </c>
      <c r="U130" s="12">
        <f>SUMIFS(BASE!$G:$G,BASE!$B:$B,$B130,BASE!$L:$L,$G130,BASE!$J:$J,$C130,BASE!$A:$A,U$2)</f>
        <v>0</v>
      </c>
      <c r="V130" s="12">
        <f>SUMIFS(BASE!$G:$G,BASE!$B:$B,$B130,BASE!$L:$L,$G130,BASE!$J:$J,$C130,BASE!$A:$A,V$2)</f>
        <v>0</v>
      </c>
      <c r="X130" t="str">
        <f t="shared" si="3"/>
        <v>ZERADO</v>
      </c>
    </row>
    <row r="131" spans="2:24">
      <c r="B131" s="8" t="s">
        <v>506</v>
      </c>
      <c r="C131" s="9" t="s">
        <v>106</v>
      </c>
      <c r="D131" s="9" t="s">
        <v>468</v>
      </c>
      <c r="E131" s="9" t="s">
        <v>429</v>
      </c>
      <c r="F131" s="9" t="s">
        <v>507</v>
      </c>
      <c r="G131" s="9" t="s">
        <v>56</v>
      </c>
      <c r="H131" s="7" t="str">
        <f>IFERROR(IF(_xlfn.XLOOKUP(B131,REPASSE!D:D,REPASSE!D:D)="","Não","Sim"),"Não")</f>
        <v>Não</v>
      </c>
      <c r="I131" s="7" t="str">
        <f>IF(_xlfn.XLOOKUP(B131,'BOOST LIBERADO'!B:B,'BOOST LIBERADO'!B:B,"Não")="Não","Não","Sim")</f>
        <v>Sim</v>
      </c>
      <c r="J131" s="83" t="str">
        <f t="shared" si="2"/>
        <v>Sim</v>
      </c>
      <c r="K131" s="12">
        <f>SUMIFS(BASE!$G:$G,BASE!$B:$B,$B131,BASE!$L:$L,$G131,BASE!$J:$J,$C131,BASE!$A:$A,K$2)</f>
        <v>0</v>
      </c>
      <c r="L131" s="12">
        <f>SUMIFS(BASE!$G:$G,BASE!$B:$B,$B131,BASE!$L:$L,$G131,BASE!$J:$J,$C131,BASE!$A:$A,L$2)</f>
        <v>0</v>
      </c>
      <c r="M131" s="12">
        <f>SUMIFS(BASE!$G:$G,BASE!$B:$B,$B131,BASE!$L:$L,$G131,BASE!$J:$J,$C131,BASE!$A:$A,M$2)</f>
        <v>0</v>
      </c>
      <c r="N131" s="12">
        <f>SUMIFS(BASE!$G:$G,BASE!$B:$B,$B131,BASE!$L:$L,$G131,BASE!$J:$J,$C131,BASE!$A:$A,N$2)</f>
        <v>0</v>
      </c>
      <c r="O131" s="12">
        <f>SUMIFS(BASE!$G:$G,BASE!$B:$B,$B131,BASE!$L:$L,$G131,BASE!$J:$J,$C131,BASE!$A:$A,O$2)</f>
        <v>0</v>
      </c>
      <c r="P131" s="12">
        <f>SUMIFS(BASE!$G:$G,BASE!$B:$B,$B131,BASE!$L:$L,$G131,BASE!$J:$J,$C131,BASE!$A:$A,P$2)</f>
        <v>0</v>
      </c>
      <c r="Q131" s="12">
        <f>SUMIFS(BASE!$G:$G,BASE!$B:$B,$B131,BASE!$L:$L,$G131,BASE!$J:$J,$C131,BASE!$A:$A,Q$2)</f>
        <v>0</v>
      </c>
      <c r="R131" s="12">
        <f>SUMIFS(BASE!$G:$G,BASE!$B:$B,$B131,BASE!$L:$L,$G131,BASE!$J:$J,$C131,BASE!$A:$A,R$2)</f>
        <v>0</v>
      </c>
      <c r="S131" s="12">
        <f>SUMIFS(BASE!$G:$G,BASE!$B:$B,$B131,BASE!$L:$L,$G131,BASE!$J:$J,$C131,BASE!$A:$A,S$2)</f>
        <v>0</v>
      </c>
      <c r="T131" s="12">
        <f>SUMIFS(BASE!$G:$G,BASE!$B:$B,$B131,BASE!$L:$L,$G131,BASE!$J:$J,$C131,BASE!$A:$A,T$2)</f>
        <v>0</v>
      </c>
      <c r="U131" s="12">
        <f>SUMIFS(BASE!$G:$G,BASE!$B:$B,$B131,BASE!$L:$L,$G131,BASE!$J:$J,$C131,BASE!$A:$A,U$2)</f>
        <v>0</v>
      </c>
      <c r="V131" s="12">
        <f>SUMIFS(BASE!$G:$G,BASE!$B:$B,$B131,BASE!$L:$L,$G131,BASE!$J:$J,$C131,BASE!$A:$A,V$2)</f>
        <v>0</v>
      </c>
      <c r="X131" t="str">
        <f t="shared" si="3"/>
        <v>ZERADO</v>
      </c>
    </row>
    <row r="132" spans="2:24">
      <c r="B132" s="8" t="s">
        <v>508</v>
      </c>
      <c r="C132" s="9" t="s">
        <v>106</v>
      </c>
      <c r="D132" s="9" t="s">
        <v>436</v>
      </c>
      <c r="E132" s="9" t="s">
        <v>437</v>
      </c>
      <c r="F132" s="9" t="s">
        <v>509</v>
      </c>
      <c r="G132" s="9" t="s">
        <v>56</v>
      </c>
      <c r="H132" s="7" t="str">
        <f>IFERROR(IF(_xlfn.XLOOKUP(B132,REPASSE!D:D,REPASSE!D:D)="","Não","Sim"),"Não")</f>
        <v>Não</v>
      </c>
      <c r="I132" s="7" t="str">
        <f>IF(_xlfn.XLOOKUP(B132,'BOOST LIBERADO'!B:B,'BOOST LIBERADO'!B:B,"Não")="Não","Não","Sim")</f>
        <v>Sim</v>
      </c>
      <c r="J132" s="83" t="str">
        <f t="shared" ref="J132:J195" si="4">IF(AND(H132="Não",I132="Sim"),"Sim","Não")</f>
        <v>Sim</v>
      </c>
      <c r="K132" s="12">
        <f>SUMIFS(BASE!$G:$G,BASE!$B:$B,$B132,BASE!$L:$L,$G132,BASE!$J:$J,$C132,BASE!$A:$A,K$2)</f>
        <v>0</v>
      </c>
      <c r="L132" s="12">
        <f>SUMIFS(BASE!$G:$G,BASE!$B:$B,$B132,BASE!$L:$L,$G132,BASE!$J:$J,$C132,BASE!$A:$A,L$2)</f>
        <v>0</v>
      </c>
      <c r="M132" s="12">
        <f>SUMIFS(BASE!$G:$G,BASE!$B:$B,$B132,BASE!$L:$L,$G132,BASE!$J:$J,$C132,BASE!$A:$A,M$2)</f>
        <v>0</v>
      </c>
      <c r="N132" s="12">
        <f>SUMIFS(BASE!$G:$G,BASE!$B:$B,$B132,BASE!$L:$L,$G132,BASE!$J:$J,$C132,BASE!$A:$A,N$2)</f>
        <v>0</v>
      </c>
      <c r="O132" s="12">
        <f>SUMIFS(BASE!$G:$G,BASE!$B:$B,$B132,BASE!$L:$L,$G132,BASE!$J:$J,$C132,BASE!$A:$A,O$2)</f>
        <v>0</v>
      </c>
      <c r="P132" s="12">
        <f>SUMIFS(BASE!$G:$G,BASE!$B:$B,$B132,BASE!$L:$L,$G132,BASE!$J:$J,$C132,BASE!$A:$A,P$2)</f>
        <v>0</v>
      </c>
      <c r="Q132" s="12">
        <f>SUMIFS(BASE!$G:$G,BASE!$B:$B,$B132,BASE!$L:$L,$G132,BASE!$J:$J,$C132,BASE!$A:$A,Q$2)</f>
        <v>0</v>
      </c>
      <c r="R132" s="12">
        <f>SUMIFS(BASE!$G:$G,BASE!$B:$B,$B132,BASE!$L:$L,$G132,BASE!$J:$J,$C132,BASE!$A:$A,R$2)</f>
        <v>0</v>
      </c>
      <c r="S132" s="12">
        <f>SUMIFS(BASE!$G:$G,BASE!$B:$B,$B132,BASE!$L:$L,$G132,BASE!$J:$J,$C132,BASE!$A:$A,S$2)</f>
        <v>0</v>
      </c>
      <c r="T132" s="12">
        <f>SUMIFS(BASE!$G:$G,BASE!$B:$B,$B132,BASE!$L:$L,$G132,BASE!$J:$J,$C132,BASE!$A:$A,T$2)</f>
        <v>0</v>
      </c>
      <c r="U132" s="12">
        <f>SUMIFS(BASE!$G:$G,BASE!$B:$B,$B132,BASE!$L:$L,$G132,BASE!$J:$J,$C132,BASE!$A:$A,U$2)</f>
        <v>0</v>
      </c>
      <c r="V132" s="12">
        <f>SUMIFS(BASE!$G:$G,BASE!$B:$B,$B132,BASE!$L:$L,$G132,BASE!$J:$J,$C132,BASE!$A:$A,V$2)</f>
        <v>0</v>
      </c>
      <c r="X132" t="str">
        <f t="shared" ref="X132:X195" si="5">IF(AND(R132=0),"ZERADO","COM TROCAS")</f>
        <v>ZERADO</v>
      </c>
    </row>
    <row r="133" spans="2:24">
      <c r="B133" s="8" t="s">
        <v>510</v>
      </c>
      <c r="C133" s="9" t="s">
        <v>172</v>
      </c>
      <c r="D133" s="9" t="s">
        <v>502</v>
      </c>
      <c r="E133" s="9" t="s">
        <v>454</v>
      </c>
      <c r="F133" s="9" t="s">
        <v>511</v>
      </c>
      <c r="G133" s="9" t="s">
        <v>56</v>
      </c>
      <c r="H133" s="7" t="str">
        <f>IFERROR(IF(_xlfn.XLOOKUP(B133,REPASSE!D:D,REPASSE!D:D)="","Não","Sim"),"Não")</f>
        <v>Não</v>
      </c>
      <c r="I133" s="7" t="str">
        <f>IF(_xlfn.XLOOKUP(B133,'BOOST LIBERADO'!B:B,'BOOST LIBERADO'!B:B,"Não")="Não","Não","Sim")</f>
        <v>Sim</v>
      </c>
      <c r="J133" s="83" t="str">
        <f t="shared" si="4"/>
        <v>Sim</v>
      </c>
      <c r="K133" s="12">
        <f>SUMIFS(BASE!$G:$G,BASE!$B:$B,$B133,BASE!$L:$L,$G133,BASE!$J:$J,$C133,BASE!$A:$A,K$2)</f>
        <v>0</v>
      </c>
      <c r="L133" s="12">
        <f>SUMIFS(BASE!$G:$G,BASE!$B:$B,$B133,BASE!$L:$L,$G133,BASE!$J:$J,$C133,BASE!$A:$A,L$2)</f>
        <v>0</v>
      </c>
      <c r="M133" s="12">
        <f>SUMIFS(BASE!$G:$G,BASE!$B:$B,$B133,BASE!$L:$L,$G133,BASE!$J:$J,$C133,BASE!$A:$A,M$2)</f>
        <v>0</v>
      </c>
      <c r="N133" s="12">
        <f>SUMIFS(BASE!$G:$G,BASE!$B:$B,$B133,BASE!$L:$L,$G133,BASE!$J:$J,$C133,BASE!$A:$A,N$2)</f>
        <v>0</v>
      </c>
      <c r="O133" s="12">
        <f>SUMIFS(BASE!$G:$G,BASE!$B:$B,$B133,BASE!$L:$L,$G133,BASE!$J:$J,$C133,BASE!$A:$A,O$2)</f>
        <v>0</v>
      </c>
      <c r="P133" s="12">
        <f>SUMIFS(BASE!$G:$G,BASE!$B:$B,$B133,BASE!$L:$L,$G133,BASE!$J:$J,$C133,BASE!$A:$A,P$2)</f>
        <v>0</v>
      </c>
      <c r="Q133" s="12">
        <f>SUMIFS(BASE!$G:$G,BASE!$B:$B,$B133,BASE!$L:$L,$G133,BASE!$J:$J,$C133,BASE!$A:$A,Q$2)</f>
        <v>0</v>
      </c>
      <c r="R133" s="12">
        <f>SUMIFS(BASE!$G:$G,BASE!$B:$B,$B133,BASE!$L:$L,$G133,BASE!$J:$J,$C133,BASE!$A:$A,R$2)</f>
        <v>0</v>
      </c>
      <c r="S133" s="12">
        <f>SUMIFS(BASE!$G:$G,BASE!$B:$B,$B133,BASE!$L:$L,$G133,BASE!$J:$J,$C133,BASE!$A:$A,S$2)</f>
        <v>0</v>
      </c>
      <c r="T133" s="12">
        <f>SUMIFS(BASE!$G:$G,BASE!$B:$B,$B133,BASE!$L:$L,$G133,BASE!$J:$J,$C133,BASE!$A:$A,T$2)</f>
        <v>0</v>
      </c>
      <c r="U133" s="12">
        <f>SUMIFS(BASE!$G:$G,BASE!$B:$B,$B133,BASE!$L:$L,$G133,BASE!$J:$J,$C133,BASE!$A:$A,U$2)</f>
        <v>0</v>
      </c>
      <c r="V133" s="12">
        <f>SUMIFS(BASE!$G:$G,BASE!$B:$B,$B133,BASE!$L:$L,$G133,BASE!$J:$J,$C133,BASE!$A:$A,V$2)</f>
        <v>0</v>
      </c>
      <c r="X133" t="str">
        <f t="shared" si="5"/>
        <v>ZERADO</v>
      </c>
    </row>
    <row r="134" spans="2:24">
      <c r="B134" s="8" t="s">
        <v>512</v>
      </c>
      <c r="C134" s="9" t="s">
        <v>228</v>
      </c>
      <c r="D134" s="9" t="s">
        <v>445</v>
      </c>
      <c r="E134" s="9" t="s">
        <v>437</v>
      </c>
      <c r="F134" s="9" t="s">
        <v>513</v>
      </c>
      <c r="G134" s="9" t="s">
        <v>56</v>
      </c>
      <c r="H134" s="7" t="str">
        <f>IFERROR(IF(_xlfn.XLOOKUP(B134,REPASSE!D:D,REPASSE!D:D)="","Não","Sim"),"Não")</f>
        <v>Não</v>
      </c>
      <c r="I134" s="7" t="str">
        <f>IF(_xlfn.XLOOKUP(B134,'BOOST LIBERADO'!B:B,'BOOST LIBERADO'!B:B,"Não")="Não","Não","Sim")</f>
        <v>Sim</v>
      </c>
      <c r="J134" s="83" t="str">
        <f t="shared" si="4"/>
        <v>Sim</v>
      </c>
      <c r="K134" s="12">
        <f>SUMIFS(BASE!$G:$G,BASE!$B:$B,$B134,BASE!$L:$L,$G134,BASE!$J:$J,$C134,BASE!$A:$A,K$2)</f>
        <v>4</v>
      </c>
      <c r="L134" s="12">
        <f>SUMIFS(BASE!$G:$G,BASE!$B:$B,$B134,BASE!$L:$L,$G134,BASE!$J:$J,$C134,BASE!$A:$A,L$2)</f>
        <v>4</v>
      </c>
      <c r="M134" s="12">
        <f>SUMIFS(BASE!$G:$G,BASE!$B:$B,$B134,BASE!$L:$L,$G134,BASE!$J:$J,$C134,BASE!$A:$A,M$2)</f>
        <v>10</v>
      </c>
      <c r="N134" s="12">
        <f>SUMIFS(BASE!$G:$G,BASE!$B:$B,$B134,BASE!$L:$L,$G134,BASE!$J:$J,$C134,BASE!$A:$A,N$2)</f>
        <v>4</v>
      </c>
      <c r="O134" s="12">
        <f>SUMIFS(BASE!$G:$G,BASE!$B:$B,$B134,BASE!$L:$L,$G134,BASE!$J:$J,$C134,BASE!$A:$A,O$2)</f>
        <v>4</v>
      </c>
      <c r="P134" s="12">
        <f>SUMIFS(BASE!$G:$G,BASE!$B:$B,$B134,BASE!$L:$L,$G134,BASE!$J:$J,$C134,BASE!$A:$A,P$2)</f>
        <v>2</v>
      </c>
      <c r="Q134" s="12">
        <f>SUMIFS(BASE!$G:$G,BASE!$B:$B,$B134,BASE!$L:$L,$G134,BASE!$J:$J,$C134,BASE!$A:$A,Q$2)</f>
        <v>11</v>
      </c>
      <c r="R134" s="12">
        <f>SUMIFS(BASE!$G:$G,BASE!$B:$B,$B134,BASE!$L:$L,$G134,BASE!$J:$J,$C134,BASE!$A:$A,R$2)</f>
        <v>14</v>
      </c>
      <c r="S134" s="12">
        <f>SUMIFS(BASE!$G:$G,BASE!$B:$B,$B134,BASE!$L:$L,$G134,BASE!$J:$J,$C134,BASE!$A:$A,S$2)</f>
        <v>0</v>
      </c>
      <c r="T134" s="12">
        <f>SUMIFS(BASE!$G:$G,BASE!$B:$B,$B134,BASE!$L:$L,$G134,BASE!$J:$J,$C134,BASE!$A:$A,T$2)</f>
        <v>0</v>
      </c>
      <c r="U134" s="12">
        <f>SUMIFS(BASE!$G:$G,BASE!$B:$B,$B134,BASE!$L:$L,$G134,BASE!$J:$J,$C134,BASE!$A:$A,U$2)</f>
        <v>0</v>
      </c>
      <c r="V134" s="12">
        <f>SUMIFS(BASE!$G:$G,BASE!$B:$B,$B134,BASE!$L:$L,$G134,BASE!$J:$J,$C134,BASE!$A:$A,V$2)</f>
        <v>0</v>
      </c>
      <c r="X134" t="str">
        <f t="shared" si="5"/>
        <v>COM TROCAS</v>
      </c>
    </row>
    <row r="135" spans="2:24">
      <c r="B135" s="8" t="s">
        <v>514</v>
      </c>
      <c r="C135" s="9" t="s">
        <v>239</v>
      </c>
      <c r="D135" s="9" t="s">
        <v>473</v>
      </c>
      <c r="E135" s="9" t="s">
        <v>474</v>
      </c>
      <c r="F135" s="9" t="s">
        <v>515</v>
      </c>
      <c r="G135" s="9" t="s">
        <v>56</v>
      </c>
      <c r="H135" s="7" t="str">
        <f>IFERROR(IF(_xlfn.XLOOKUP(B135,REPASSE!D:D,REPASSE!D:D)="","Não","Sim"),"Não")</f>
        <v>Não</v>
      </c>
      <c r="I135" s="7" t="str">
        <f>IF(_xlfn.XLOOKUP(B135,'BOOST LIBERADO'!B:B,'BOOST LIBERADO'!B:B,"Não")="Não","Não","Sim")</f>
        <v>Sim</v>
      </c>
      <c r="J135" s="83" t="str">
        <f t="shared" si="4"/>
        <v>Sim</v>
      </c>
      <c r="K135" s="12">
        <f>SUMIFS(BASE!$G:$G,BASE!$B:$B,$B135,BASE!$L:$L,$G135,BASE!$J:$J,$C135,BASE!$A:$A,K$2)</f>
        <v>0</v>
      </c>
      <c r="L135" s="12">
        <f>SUMIFS(BASE!$G:$G,BASE!$B:$B,$B135,BASE!$L:$L,$G135,BASE!$J:$J,$C135,BASE!$A:$A,L$2)</f>
        <v>0</v>
      </c>
      <c r="M135" s="12">
        <f>SUMIFS(BASE!$G:$G,BASE!$B:$B,$B135,BASE!$L:$L,$G135,BASE!$J:$J,$C135,BASE!$A:$A,M$2)</f>
        <v>0</v>
      </c>
      <c r="N135" s="12">
        <f>SUMIFS(BASE!$G:$G,BASE!$B:$B,$B135,BASE!$L:$L,$G135,BASE!$J:$J,$C135,BASE!$A:$A,N$2)</f>
        <v>0</v>
      </c>
      <c r="O135" s="12">
        <f>SUMIFS(BASE!$G:$G,BASE!$B:$B,$B135,BASE!$L:$L,$G135,BASE!$J:$J,$C135,BASE!$A:$A,O$2)</f>
        <v>0</v>
      </c>
      <c r="P135" s="12">
        <f>SUMIFS(BASE!$G:$G,BASE!$B:$B,$B135,BASE!$L:$L,$G135,BASE!$J:$J,$C135,BASE!$A:$A,P$2)</f>
        <v>0</v>
      </c>
      <c r="Q135" s="12">
        <f>SUMIFS(BASE!$G:$G,BASE!$B:$B,$B135,BASE!$L:$L,$G135,BASE!$J:$J,$C135,BASE!$A:$A,Q$2)</f>
        <v>2</v>
      </c>
      <c r="R135" s="12">
        <f>SUMIFS(BASE!$G:$G,BASE!$B:$B,$B135,BASE!$L:$L,$G135,BASE!$J:$J,$C135,BASE!$A:$A,R$2)</f>
        <v>0</v>
      </c>
      <c r="S135" s="12">
        <f>SUMIFS(BASE!$G:$G,BASE!$B:$B,$B135,BASE!$L:$L,$G135,BASE!$J:$J,$C135,BASE!$A:$A,S$2)</f>
        <v>0</v>
      </c>
      <c r="T135" s="12">
        <f>SUMIFS(BASE!$G:$G,BASE!$B:$B,$B135,BASE!$L:$L,$G135,BASE!$J:$J,$C135,BASE!$A:$A,T$2)</f>
        <v>0</v>
      </c>
      <c r="U135" s="12">
        <f>SUMIFS(BASE!$G:$G,BASE!$B:$B,$B135,BASE!$L:$L,$G135,BASE!$J:$J,$C135,BASE!$A:$A,U$2)</f>
        <v>0</v>
      </c>
      <c r="V135" s="12">
        <f>SUMIFS(BASE!$G:$G,BASE!$B:$B,$B135,BASE!$L:$L,$G135,BASE!$J:$J,$C135,BASE!$A:$A,V$2)</f>
        <v>0</v>
      </c>
      <c r="X135" t="str">
        <f t="shared" si="5"/>
        <v>ZERADO</v>
      </c>
    </row>
    <row r="136" spans="2:24">
      <c r="B136" s="8" t="s">
        <v>516</v>
      </c>
      <c r="C136" s="9" t="s">
        <v>142</v>
      </c>
      <c r="D136" s="9" t="s">
        <v>457</v>
      </c>
      <c r="E136" s="9" t="s">
        <v>454</v>
      </c>
      <c r="F136" s="9" t="s">
        <v>517</v>
      </c>
      <c r="G136" s="9" t="s">
        <v>56</v>
      </c>
      <c r="H136" s="7" t="str">
        <f>IFERROR(IF(_xlfn.XLOOKUP(B136,REPASSE!D:D,REPASSE!D:D)="","Não","Sim"),"Não")</f>
        <v>Sim</v>
      </c>
      <c r="I136" s="7" t="str">
        <f>IF(_xlfn.XLOOKUP(B136,'BOOST LIBERADO'!B:B,'BOOST LIBERADO'!B:B,"Não")="Não","Não","Sim")</f>
        <v>Sim</v>
      </c>
      <c r="J136" s="83" t="str">
        <f t="shared" si="4"/>
        <v>Não</v>
      </c>
      <c r="K136" s="12">
        <f>SUMIFS(BASE!$G:$G,BASE!$B:$B,$B136,BASE!$L:$L,$G136,BASE!$J:$J,$C136,BASE!$A:$A,K$2)</f>
        <v>0</v>
      </c>
      <c r="L136" s="12">
        <f>SUMIFS(BASE!$G:$G,BASE!$B:$B,$B136,BASE!$L:$L,$G136,BASE!$J:$J,$C136,BASE!$A:$A,L$2)</f>
        <v>0</v>
      </c>
      <c r="M136" s="12">
        <f>SUMIFS(BASE!$G:$G,BASE!$B:$B,$B136,BASE!$L:$L,$G136,BASE!$J:$J,$C136,BASE!$A:$A,M$2)</f>
        <v>0</v>
      </c>
      <c r="N136" s="12">
        <f>SUMIFS(BASE!$G:$G,BASE!$B:$B,$B136,BASE!$L:$L,$G136,BASE!$J:$J,$C136,BASE!$A:$A,N$2)</f>
        <v>0</v>
      </c>
      <c r="O136" s="12">
        <f>SUMIFS(BASE!$G:$G,BASE!$B:$B,$B136,BASE!$L:$L,$G136,BASE!$J:$J,$C136,BASE!$A:$A,O$2)</f>
        <v>0</v>
      </c>
      <c r="P136" s="12">
        <f>SUMIFS(BASE!$G:$G,BASE!$B:$B,$B136,BASE!$L:$L,$G136,BASE!$J:$J,$C136,BASE!$A:$A,P$2)</f>
        <v>0</v>
      </c>
      <c r="Q136" s="12">
        <f>SUMIFS(BASE!$G:$G,BASE!$B:$B,$B136,BASE!$L:$L,$G136,BASE!$J:$J,$C136,BASE!$A:$A,Q$2)</f>
        <v>0</v>
      </c>
      <c r="R136" s="12">
        <f>SUMIFS(BASE!$G:$G,BASE!$B:$B,$B136,BASE!$L:$L,$G136,BASE!$J:$J,$C136,BASE!$A:$A,R$2)</f>
        <v>0</v>
      </c>
      <c r="S136" s="12">
        <f>SUMIFS(BASE!$G:$G,BASE!$B:$B,$B136,BASE!$L:$L,$G136,BASE!$J:$J,$C136,BASE!$A:$A,S$2)</f>
        <v>0</v>
      </c>
      <c r="T136" s="12">
        <f>SUMIFS(BASE!$G:$G,BASE!$B:$B,$B136,BASE!$L:$L,$G136,BASE!$J:$J,$C136,BASE!$A:$A,T$2)</f>
        <v>0</v>
      </c>
      <c r="U136" s="12">
        <f>SUMIFS(BASE!$G:$G,BASE!$B:$B,$B136,BASE!$L:$L,$G136,BASE!$J:$J,$C136,BASE!$A:$A,U$2)</f>
        <v>0</v>
      </c>
      <c r="V136" s="12">
        <f>SUMIFS(BASE!$G:$G,BASE!$B:$B,$B136,BASE!$L:$L,$G136,BASE!$J:$J,$C136,BASE!$A:$A,V$2)</f>
        <v>0</v>
      </c>
      <c r="X136" t="str">
        <f t="shared" si="5"/>
        <v>ZERADO</v>
      </c>
    </row>
    <row r="137" spans="2:24">
      <c r="B137" s="8" t="s">
        <v>518</v>
      </c>
      <c r="C137" s="9" t="s">
        <v>106</v>
      </c>
      <c r="D137" s="9" t="s">
        <v>428</v>
      </c>
      <c r="E137" s="9" t="s">
        <v>429</v>
      </c>
      <c r="F137" s="9" t="s">
        <v>507</v>
      </c>
      <c r="G137" s="9" t="s">
        <v>56</v>
      </c>
      <c r="H137" s="7" t="str">
        <f>IFERROR(IF(_xlfn.XLOOKUP(B137,REPASSE!D:D,REPASSE!D:D)="","Não","Sim"),"Não")</f>
        <v>Não</v>
      </c>
      <c r="I137" s="7" t="str">
        <f>IF(_xlfn.XLOOKUP(B137,'BOOST LIBERADO'!B:B,'BOOST LIBERADO'!B:B,"Não")="Não","Não","Sim")</f>
        <v>Sim</v>
      </c>
      <c r="J137" s="83" t="str">
        <f t="shared" si="4"/>
        <v>Sim</v>
      </c>
      <c r="K137" s="12">
        <f>SUMIFS(BASE!$G:$G,BASE!$B:$B,$B137,BASE!$L:$L,$G137,BASE!$J:$J,$C137,BASE!$A:$A,K$2)</f>
        <v>0</v>
      </c>
      <c r="L137" s="12">
        <f>SUMIFS(BASE!$G:$G,BASE!$B:$B,$B137,BASE!$L:$L,$G137,BASE!$J:$J,$C137,BASE!$A:$A,L$2)</f>
        <v>0</v>
      </c>
      <c r="M137" s="12">
        <f>SUMIFS(BASE!$G:$G,BASE!$B:$B,$B137,BASE!$L:$L,$G137,BASE!$J:$J,$C137,BASE!$A:$A,M$2)</f>
        <v>0</v>
      </c>
      <c r="N137" s="12">
        <f>SUMIFS(BASE!$G:$G,BASE!$B:$B,$B137,BASE!$L:$L,$G137,BASE!$J:$J,$C137,BASE!$A:$A,N$2)</f>
        <v>0</v>
      </c>
      <c r="O137" s="12">
        <f>SUMIFS(BASE!$G:$G,BASE!$B:$B,$B137,BASE!$L:$L,$G137,BASE!$J:$J,$C137,BASE!$A:$A,O$2)</f>
        <v>0</v>
      </c>
      <c r="P137" s="12">
        <f>SUMIFS(BASE!$G:$G,BASE!$B:$B,$B137,BASE!$L:$L,$G137,BASE!$J:$J,$C137,BASE!$A:$A,P$2)</f>
        <v>0</v>
      </c>
      <c r="Q137" s="12">
        <f>SUMIFS(BASE!$G:$G,BASE!$B:$B,$B137,BASE!$L:$L,$G137,BASE!$J:$J,$C137,BASE!$A:$A,Q$2)</f>
        <v>0</v>
      </c>
      <c r="R137" s="12">
        <f>SUMIFS(BASE!$G:$G,BASE!$B:$B,$B137,BASE!$L:$L,$G137,BASE!$J:$J,$C137,BASE!$A:$A,R$2)</f>
        <v>0</v>
      </c>
      <c r="S137" s="12">
        <f>SUMIFS(BASE!$G:$G,BASE!$B:$B,$B137,BASE!$L:$L,$G137,BASE!$J:$J,$C137,BASE!$A:$A,S$2)</f>
        <v>0</v>
      </c>
      <c r="T137" s="12">
        <f>SUMIFS(BASE!$G:$G,BASE!$B:$B,$B137,BASE!$L:$L,$G137,BASE!$J:$J,$C137,BASE!$A:$A,T$2)</f>
        <v>0</v>
      </c>
      <c r="U137" s="12">
        <f>SUMIFS(BASE!$G:$G,BASE!$B:$B,$B137,BASE!$L:$L,$G137,BASE!$J:$J,$C137,BASE!$A:$A,U$2)</f>
        <v>0</v>
      </c>
      <c r="V137" s="12">
        <f>SUMIFS(BASE!$G:$G,BASE!$B:$B,$B137,BASE!$L:$L,$G137,BASE!$J:$J,$C137,BASE!$A:$A,V$2)</f>
        <v>0</v>
      </c>
      <c r="X137" t="str">
        <f t="shared" si="5"/>
        <v>ZERADO</v>
      </c>
    </row>
    <row r="138" spans="2:24">
      <c r="B138" s="8" t="s">
        <v>519</v>
      </c>
      <c r="C138" s="9" t="s">
        <v>235</v>
      </c>
      <c r="D138" s="9" t="s">
        <v>453</v>
      </c>
      <c r="E138" s="9" t="s">
        <v>454</v>
      </c>
      <c r="F138" s="9" t="s">
        <v>520</v>
      </c>
      <c r="G138" s="9" t="s">
        <v>56</v>
      </c>
      <c r="H138" s="7" t="str">
        <f>IFERROR(IF(_xlfn.XLOOKUP(B138,REPASSE!D:D,REPASSE!D:D)="","Não","Sim"),"Não")</f>
        <v>Não</v>
      </c>
      <c r="I138" s="7" t="str">
        <f>IF(_xlfn.XLOOKUP(B138,'BOOST LIBERADO'!B:B,'BOOST LIBERADO'!B:B,"Não")="Não","Não","Sim")</f>
        <v>Sim</v>
      </c>
      <c r="J138" s="83" t="str">
        <f t="shared" si="4"/>
        <v>Sim</v>
      </c>
      <c r="K138" s="12">
        <f>SUMIFS(BASE!$G:$G,BASE!$B:$B,$B138,BASE!$L:$L,$G138,BASE!$J:$J,$C138,BASE!$A:$A,K$2)</f>
        <v>0</v>
      </c>
      <c r="L138" s="12">
        <f>SUMIFS(BASE!$G:$G,BASE!$B:$B,$B138,BASE!$L:$L,$G138,BASE!$J:$J,$C138,BASE!$A:$A,L$2)</f>
        <v>0</v>
      </c>
      <c r="M138" s="12">
        <f>SUMIFS(BASE!$G:$G,BASE!$B:$B,$B138,BASE!$L:$L,$G138,BASE!$J:$J,$C138,BASE!$A:$A,M$2)</f>
        <v>0</v>
      </c>
      <c r="N138" s="12">
        <f>SUMIFS(BASE!$G:$G,BASE!$B:$B,$B138,BASE!$L:$L,$G138,BASE!$J:$J,$C138,BASE!$A:$A,N$2)</f>
        <v>0</v>
      </c>
      <c r="O138" s="12">
        <f>SUMIFS(BASE!$G:$G,BASE!$B:$B,$B138,BASE!$L:$L,$G138,BASE!$J:$J,$C138,BASE!$A:$A,O$2)</f>
        <v>0</v>
      </c>
      <c r="P138" s="12">
        <f>SUMIFS(BASE!$G:$G,BASE!$B:$B,$B138,BASE!$L:$L,$G138,BASE!$J:$J,$C138,BASE!$A:$A,P$2)</f>
        <v>1</v>
      </c>
      <c r="Q138" s="12">
        <f>SUMIFS(BASE!$G:$G,BASE!$B:$B,$B138,BASE!$L:$L,$G138,BASE!$J:$J,$C138,BASE!$A:$A,Q$2)</f>
        <v>2</v>
      </c>
      <c r="R138" s="12">
        <f>SUMIFS(BASE!$G:$G,BASE!$B:$B,$B138,BASE!$L:$L,$G138,BASE!$J:$J,$C138,BASE!$A:$A,R$2)</f>
        <v>3</v>
      </c>
      <c r="S138" s="12">
        <f>SUMIFS(BASE!$G:$G,BASE!$B:$B,$B138,BASE!$L:$L,$G138,BASE!$J:$J,$C138,BASE!$A:$A,S$2)</f>
        <v>0</v>
      </c>
      <c r="T138" s="12">
        <f>SUMIFS(BASE!$G:$G,BASE!$B:$B,$B138,BASE!$L:$L,$G138,BASE!$J:$J,$C138,BASE!$A:$A,T$2)</f>
        <v>0</v>
      </c>
      <c r="U138" s="12">
        <f>SUMIFS(BASE!$G:$G,BASE!$B:$B,$B138,BASE!$L:$L,$G138,BASE!$J:$J,$C138,BASE!$A:$A,U$2)</f>
        <v>0</v>
      </c>
      <c r="V138" s="12">
        <f>SUMIFS(BASE!$G:$G,BASE!$B:$B,$B138,BASE!$L:$L,$G138,BASE!$J:$J,$C138,BASE!$A:$A,V$2)</f>
        <v>0</v>
      </c>
      <c r="X138" t="str">
        <f t="shared" si="5"/>
        <v>COM TROCAS</v>
      </c>
    </row>
    <row r="139" spans="2:24">
      <c r="B139" s="8" t="s">
        <v>521</v>
      </c>
      <c r="C139" s="9" t="s">
        <v>134</v>
      </c>
      <c r="D139" s="9" t="s">
        <v>445</v>
      </c>
      <c r="E139" s="9" t="s">
        <v>437</v>
      </c>
      <c r="F139" s="9" t="s">
        <v>522</v>
      </c>
      <c r="G139" s="9" t="s">
        <v>56</v>
      </c>
      <c r="H139" s="7" t="str">
        <f>IFERROR(IF(_xlfn.XLOOKUP(B139,REPASSE!D:D,REPASSE!D:D)="","Não","Sim"),"Não")</f>
        <v>Não</v>
      </c>
      <c r="I139" s="7" t="str">
        <f>IF(_xlfn.XLOOKUP(B139,'BOOST LIBERADO'!B:B,'BOOST LIBERADO'!B:B,"Não")="Não","Não","Sim")</f>
        <v>Sim</v>
      </c>
      <c r="J139" s="83" t="str">
        <f t="shared" si="4"/>
        <v>Sim</v>
      </c>
      <c r="K139" s="12">
        <f>SUMIFS(BASE!$G:$G,BASE!$B:$B,$B139,BASE!$L:$L,$G139,BASE!$J:$J,$C139,BASE!$A:$A,K$2)</f>
        <v>0</v>
      </c>
      <c r="L139" s="12">
        <f>SUMIFS(BASE!$G:$G,BASE!$B:$B,$B139,BASE!$L:$L,$G139,BASE!$J:$J,$C139,BASE!$A:$A,L$2)</f>
        <v>0</v>
      </c>
      <c r="M139" s="12">
        <f>SUMIFS(BASE!$G:$G,BASE!$B:$B,$B139,BASE!$L:$L,$G139,BASE!$J:$J,$C139,BASE!$A:$A,M$2)</f>
        <v>0</v>
      </c>
      <c r="N139" s="12">
        <f>SUMIFS(BASE!$G:$G,BASE!$B:$B,$B139,BASE!$L:$L,$G139,BASE!$J:$J,$C139,BASE!$A:$A,N$2)</f>
        <v>0</v>
      </c>
      <c r="O139" s="12">
        <f>SUMIFS(BASE!$G:$G,BASE!$B:$B,$B139,BASE!$L:$L,$G139,BASE!$J:$J,$C139,BASE!$A:$A,O$2)</f>
        <v>0</v>
      </c>
      <c r="P139" s="12">
        <f>SUMIFS(BASE!$G:$G,BASE!$B:$B,$B139,BASE!$L:$L,$G139,BASE!$J:$J,$C139,BASE!$A:$A,P$2)</f>
        <v>0</v>
      </c>
      <c r="Q139" s="12">
        <f>SUMIFS(BASE!$G:$G,BASE!$B:$B,$B139,BASE!$L:$L,$G139,BASE!$J:$J,$C139,BASE!$A:$A,Q$2)</f>
        <v>0</v>
      </c>
      <c r="R139" s="12">
        <f>SUMIFS(BASE!$G:$G,BASE!$B:$B,$B139,BASE!$L:$L,$G139,BASE!$J:$J,$C139,BASE!$A:$A,R$2)</f>
        <v>0</v>
      </c>
      <c r="S139" s="12">
        <f>SUMIFS(BASE!$G:$G,BASE!$B:$B,$B139,BASE!$L:$L,$G139,BASE!$J:$J,$C139,BASE!$A:$A,S$2)</f>
        <v>0</v>
      </c>
      <c r="T139" s="12">
        <f>SUMIFS(BASE!$G:$G,BASE!$B:$B,$B139,BASE!$L:$L,$G139,BASE!$J:$J,$C139,BASE!$A:$A,T$2)</f>
        <v>0</v>
      </c>
      <c r="U139" s="12">
        <f>SUMIFS(BASE!$G:$G,BASE!$B:$B,$B139,BASE!$L:$L,$G139,BASE!$J:$J,$C139,BASE!$A:$A,U$2)</f>
        <v>0</v>
      </c>
      <c r="V139" s="12">
        <f>SUMIFS(BASE!$G:$G,BASE!$B:$B,$B139,BASE!$L:$L,$G139,BASE!$J:$J,$C139,BASE!$A:$A,V$2)</f>
        <v>0</v>
      </c>
      <c r="X139" t="str">
        <f t="shared" si="5"/>
        <v>ZERADO</v>
      </c>
    </row>
    <row r="140" spans="2:24">
      <c r="B140" s="8" t="s">
        <v>523</v>
      </c>
      <c r="C140" s="9" t="s">
        <v>239</v>
      </c>
      <c r="D140" s="9" t="s">
        <v>457</v>
      </c>
      <c r="E140" s="9" t="s">
        <v>454</v>
      </c>
      <c r="F140" s="9" t="s">
        <v>524</v>
      </c>
      <c r="G140" s="9" t="s">
        <v>56</v>
      </c>
      <c r="H140" s="7" t="str">
        <f>IFERROR(IF(_xlfn.XLOOKUP(B140,REPASSE!D:D,REPASSE!D:D)="","Não","Sim"),"Não")</f>
        <v>Não</v>
      </c>
      <c r="I140" s="7" t="str">
        <f>IF(_xlfn.XLOOKUP(B140,'BOOST LIBERADO'!B:B,'BOOST LIBERADO'!B:B,"Não")="Não","Não","Sim")</f>
        <v>Sim</v>
      </c>
      <c r="J140" s="83" t="str">
        <f t="shared" si="4"/>
        <v>Sim</v>
      </c>
      <c r="K140" s="12">
        <f>SUMIFS(BASE!$G:$G,BASE!$B:$B,$B140,BASE!$L:$L,$G140,BASE!$J:$J,$C140,BASE!$A:$A,K$2)</f>
        <v>0</v>
      </c>
      <c r="L140" s="12">
        <f>SUMIFS(BASE!$G:$G,BASE!$B:$B,$B140,BASE!$L:$L,$G140,BASE!$J:$J,$C140,BASE!$A:$A,L$2)</f>
        <v>0</v>
      </c>
      <c r="M140" s="12">
        <f>SUMIFS(BASE!$G:$G,BASE!$B:$B,$B140,BASE!$L:$L,$G140,BASE!$J:$J,$C140,BASE!$A:$A,M$2)</f>
        <v>0</v>
      </c>
      <c r="N140" s="12">
        <f>SUMIFS(BASE!$G:$G,BASE!$B:$B,$B140,BASE!$L:$L,$G140,BASE!$J:$J,$C140,BASE!$A:$A,N$2)</f>
        <v>0</v>
      </c>
      <c r="O140" s="12">
        <f>SUMIFS(BASE!$G:$G,BASE!$B:$B,$B140,BASE!$L:$L,$G140,BASE!$J:$J,$C140,BASE!$A:$A,O$2)</f>
        <v>0</v>
      </c>
      <c r="P140" s="12">
        <f>SUMIFS(BASE!$G:$G,BASE!$B:$B,$B140,BASE!$L:$L,$G140,BASE!$J:$J,$C140,BASE!$A:$A,P$2)</f>
        <v>1</v>
      </c>
      <c r="Q140" s="12">
        <f>SUMIFS(BASE!$G:$G,BASE!$B:$B,$B140,BASE!$L:$L,$G140,BASE!$J:$J,$C140,BASE!$A:$A,Q$2)</f>
        <v>2</v>
      </c>
      <c r="R140" s="12">
        <f>SUMIFS(BASE!$G:$G,BASE!$B:$B,$B140,BASE!$L:$L,$G140,BASE!$J:$J,$C140,BASE!$A:$A,R$2)</f>
        <v>2</v>
      </c>
      <c r="S140" s="12">
        <f>SUMIFS(BASE!$G:$G,BASE!$B:$B,$B140,BASE!$L:$L,$G140,BASE!$J:$J,$C140,BASE!$A:$A,S$2)</f>
        <v>0</v>
      </c>
      <c r="T140" s="12">
        <f>SUMIFS(BASE!$G:$G,BASE!$B:$B,$B140,BASE!$L:$L,$G140,BASE!$J:$J,$C140,BASE!$A:$A,T$2)</f>
        <v>0</v>
      </c>
      <c r="U140" s="12">
        <f>SUMIFS(BASE!$G:$G,BASE!$B:$B,$B140,BASE!$L:$L,$G140,BASE!$J:$J,$C140,BASE!$A:$A,U$2)</f>
        <v>0</v>
      </c>
      <c r="V140" s="12">
        <f>SUMIFS(BASE!$G:$G,BASE!$B:$B,$B140,BASE!$L:$L,$G140,BASE!$J:$J,$C140,BASE!$A:$A,V$2)</f>
        <v>0</v>
      </c>
      <c r="X140" t="str">
        <f t="shared" si="5"/>
        <v>COM TROCAS</v>
      </c>
    </row>
    <row r="141" spans="2:24">
      <c r="B141" s="8" t="s">
        <v>525</v>
      </c>
      <c r="C141" s="9" t="s">
        <v>228</v>
      </c>
      <c r="D141" s="9" t="s">
        <v>482</v>
      </c>
      <c r="E141" s="9" t="s">
        <v>474</v>
      </c>
      <c r="F141" s="9" t="s">
        <v>526</v>
      </c>
      <c r="G141" s="9" t="s">
        <v>56</v>
      </c>
      <c r="H141" s="7" t="str">
        <f>IFERROR(IF(_xlfn.XLOOKUP(B141,REPASSE!D:D,REPASSE!D:D)="","Não","Sim"),"Não")</f>
        <v>Não</v>
      </c>
      <c r="I141" s="7" t="str">
        <f>IF(_xlfn.XLOOKUP(B141,'BOOST LIBERADO'!B:B,'BOOST LIBERADO'!B:B,"Não")="Não","Não","Sim")</f>
        <v>Sim</v>
      </c>
      <c r="J141" s="83" t="str">
        <f t="shared" si="4"/>
        <v>Sim</v>
      </c>
      <c r="K141" s="12">
        <f>SUMIFS(BASE!$G:$G,BASE!$B:$B,$B141,BASE!$L:$L,$G141,BASE!$J:$J,$C141,BASE!$A:$A,K$2)</f>
        <v>4</v>
      </c>
      <c r="L141" s="12">
        <f>SUMIFS(BASE!$G:$G,BASE!$B:$B,$B141,BASE!$L:$L,$G141,BASE!$J:$J,$C141,BASE!$A:$A,L$2)</f>
        <v>4</v>
      </c>
      <c r="M141" s="12">
        <f>SUMIFS(BASE!$G:$G,BASE!$B:$B,$B141,BASE!$L:$L,$G141,BASE!$J:$J,$C141,BASE!$A:$A,M$2)</f>
        <v>7</v>
      </c>
      <c r="N141" s="12">
        <f>SUMIFS(BASE!$G:$G,BASE!$B:$B,$B141,BASE!$L:$L,$G141,BASE!$J:$J,$C141,BASE!$A:$A,N$2)</f>
        <v>6</v>
      </c>
      <c r="O141" s="12">
        <f>SUMIFS(BASE!$G:$G,BASE!$B:$B,$B141,BASE!$L:$L,$G141,BASE!$J:$J,$C141,BASE!$A:$A,O$2)</f>
        <v>9</v>
      </c>
      <c r="P141" s="12">
        <f>SUMIFS(BASE!$G:$G,BASE!$B:$B,$B141,BASE!$L:$L,$G141,BASE!$J:$J,$C141,BASE!$A:$A,P$2)</f>
        <v>8</v>
      </c>
      <c r="Q141" s="12">
        <f>SUMIFS(BASE!$G:$G,BASE!$B:$B,$B141,BASE!$L:$L,$G141,BASE!$J:$J,$C141,BASE!$A:$A,Q$2)</f>
        <v>13</v>
      </c>
      <c r="R141" s="12">
        <f>SUMIFS(BASE!$G:$G,BASE!$B:$B,$B141,BASE!$L:$L,$G141,BASE!$J:$J,$C141,BASE!$A:$A,R$2)</f>
        <v>4</v>
      </c>
      <c r="S141" s="12">
        <f>SUMIFS(BASE!$G:$G,BASE!$B:$B,$B141,BASE!$L:$L,$G141,BASE!$J:$J,$C141,BASE!$A:$A,S$2)</f>
        <v>0</v>
      </c>
      <c r="T141" s="12">
        <f>SUMIFS(BASE!$G:$G,BASE!$B:$B,$B141,BASE!$L:$L,$G141,BASE!$J:$J,$C141,BASE!$A:$A,T$2)</f>
        <v>0</v>
      </c>
      <c r="U141" s="12">
        <f>SUMIFS(BASE!$G:$G,BASE!$B:$B,$B141,BASE!$L:$L,$G141,BASE!$J:$J,$C141,BASE!$A:$A,U$2)</f>
        <v>0</v>
      </c>
      <c r="V141" s="12">
        <f>SUMIFS(BASE!$G:$G,BASE!$B:$B,$B141,BASE!$L:$L,$G141,BASE!$J:$J,$C141,BASE!$A:$A,V$2)</f>
        <v>0</v>
      </c>
      <c r="X141" t="str">
        <f t="shared" si="5"/>
        <v>COM TROCAS</v>
      </c>
    </row>
    <row r="142" spans="2:24">
      <c r="B142" s="8" t="s">
        <v>527</v>
      </c>
      <c r="C142" s="9" t="s">
        <v>239</v>
      </c>
      <c r="D142" s="9" t="s">
        <v>502</v>
      </c>
      <c r="E142" s="9" t="s">
        <v>454</v>
      </c>
      <c r="F142" s="9" t="s">
        <v>503</v>
      </c>
      <c r="G142" s="9" t="s">
        <v>56</v>
      </c>
      <c r="H142" s="7" t="str">
        <f>IFERROR(IF(_xlfn.XLOOKUP(B142,REPASSE!D:D,REPASSE!D:D)="","Não","Sim"),"Não")</f>
        <v>Não</v>
      </c>
      <c r="I142" s="7" t="str">
        <f>IF(_xlfn.XLOOKUP(B142,'BOOST LIBERADO'!B:B,'BOOST LIBERADO'!B:B,"Não")="Não","Não","Sim")</f>
        <v>Sim</v>
      </c>
      <c r="J142" s="83" t="str">
        <f t="shared" si="4"/>
        <v>Sim</v>
      </c>
      <c r="K142" s="12">
        <f>SUMIFS(BASE!$G:$G,BASE!$B:$B,$B142,BASE!$L:$L,$G142,BASE!$J:$J,$C142,BASE!$A:$A,K$2)</f>
        <v>0</v>
      </c>
      <c r="L142" s="12">
        <f>SUMIFS(BASE!$G:$G,BASE!$B:$B,$B142,BASE!$L:$L,$G142,BASE!$J:$J,$C142,BASE!$A:$A,L$2)</f>
        <v>0</v>
      </c>
      <c r="M142" s="12">
        <f>SUMIFS(BASE!$G:$G,BASE!$B:$B,$B142,BASE!$L:$L,$G142,BASE!$J:$J,$C142,BASE!$A:$A,M$2)</f>
        <v>0</v>
      </c>
      <c r="N142" s="12">
        <f>SUMIFS(BASE!$G:$G,BASE!$B:$B,$B142,BASE!$L:$L,$G142,BASE!$J:$J,$C142,BASE!$A:$A,N$2)</f>
        <v>0</v>
      </c>
      <c r="O142" s="12">
        <f>SUMIFS(BASE!$G:$G,BASE!$B:$B,$B142,BASE!$L:$L,$G142,BASE!$J:$J,$C142,BASE!$A:$A,O$2)</f>
        <v>0</v>
      </c>
      <c r="P142" s="12">
        <f>SUMIFS(BASE!$G:$G,BASE!$B:$B,$B142,BASE!$L:$L,$G142,BASE!$J:$J,$C142,BASE!$A:$A,P$2)</f>
        <v>0</v>
      </c>
      <c r="Q142" s="12">
        <f>SUMIFS(BASE!$G:$G,BASE!$B:$B,$B142,BASE!$L:$L,$G142,BASE!$J:$J,$C142,BASE!$A:$A,Q$2)</f>
        <v>0</v>
      </c>
      <c r="R142" s="12">
        <f>SUMIFS(BASE!$G:$G,BASE!$B:$B,$B142,BASE!$L:$L,$G142,BASE!$J:$J,$C142,BASE!$A:$A,R$2)</f>
        <v>0</v>
      </c>
      <c r="S142" s="12">
        <f>SUMIFS(BASE!$G:$G,BASE!$B:$B,$B142,BASE!$L:$L,$G142,BASE!$J:$J,$C142,BASE!$A:$A,S$2)</f>
        <v>0</v>
      </c>
      <c r="T142" s="12">
        <f>SUMIFS(BASE!$G:$G,BASE!$B:$B,$B142,BASE!$L:$L,$G142,BASE!$J:$J,$C142,BASE!$A:$A,T$2)</f>
        <v>0</v>
      </c>
      <c r="U142" s="12">
        <f>SUMIFS(BASE!$G:$G,BASE!$B:$B,$B142,BASE!$L:$L,$G142,BASE!$J:$J,$C142,BASE!$A:$A,U$2)</f>
        <v>0</v>
      </c>
      <c r="V142" s="12">
        <f>SUMIFS(BASE!$G:$G,BASE!$B:$B,$B142,BASE!$L:$L,$G142,BASE!$J:$J,$C142,BASE!$A:$A,V$2)</f>
        <v>0</v>
      </c>
      <c r="X142" t="str">
        <f t="shared" si="5"/>
        <v>ZERADO</v>
      </c>
    </row>
    <row r="143" spans="2:24">
      <c r="B143" s="8" t="s">
        <v>528</v>
      </c>
      <c r="C143" s="9" t="s">
        <v>106</v>
      </c>
      <c r="D143" s="9" t="s">
        <v>428</v>
      </c>
      <c r="E143" s="9" t="s">
        <v>429</v>
      </c>
      <c r="F143" s="9" t="s">
        <v>430</v>
      </c>
      <c r="G143" s="9" t="s">
        <v>56</v>
      </c>
      <c r="H143" s="7" t="str">
        <f>IFERROR(IF(_xlfn.XLOOKUP(B143,REPASSE!D:D,REPASSE!D:D)="","Não","Sim"),"Não")</f>
        <v>Não</v>
      </c>
      <c r="I143" s="7" t="str">
        <f>IF(_xlfn.XLOOKUP(B143,'BOOST LIBERADO'!B:B,'BOOST LIBERADO'!B:B,"Não")="Não","Não","Sim")</f>
        <v>Sim</v>
      </c>
      <c r="J143" s="83" t="str">
        <f t="shared" si="4"/>
        <v>Sim</v>
      </c>
      <c r="K143" s="12">
        <f>SUMIFS(BASE!$G:$G,BASE!$B:$B,$B143,BASE!$L:$L,$G143,BASE!$J:$J,$C143,BASE!$A:$A,K$2)</f>
        <v>0</v>
      </c>
      <c r="L143" s="12">
        <f>SUMIFS(BASE!$G:$G,BASE!$B:$B,$B143,BASE!$L:$L,$G143,BASE!$J:$J,$C143,BASE!$A:$A,L$2)</f>
        <v>0</v>
      </c>
      <c r="M143" s="12">
        <f>SUMIFS(BASE!$G:$G,BASE!$B:$B,$B143,BASE!$L:$L,$G143,BASE!$J:$J,$C143,BASE!$A:$A,M$2)</f>
        <v>0</v>
      </c>
      <c r="N143" s="12">
        <f>SUMIFS(BASE!$G:$G,BASE!$B:$B,$B143,BASE!$L:$L,$G143,BASE!$J:$J,$C143,BASE!$A:$A,N$2)</f>
        <v>0</v>
      </c>
      <c r="O143" s="12">
        <f>SUMIFS(BASE!$G:$G,BASE!$B:$B,$B143,BASE!$L:$L,$G143,BASE!$J:$J,$C143,BASE!$A:$A,O$2)</f>
        <v>0</v>
      </c>
      <c r="P143" s="12">
        <f>SUMIFS(BASE!$G:$G,BASE!$B:$B,$B143,BASE!$L:$L,$G143,BASE!$J:$J,$C143,BASE!$A:$A,P$2)</f>
        <v>1</v>
      </c>
      <c r="Q143" s="12">
        <f>SUMIFS(BASE!$G:$G,BASE!$B:$B,$B143,BASE!$L:$L,$G143,BASE!$J:$J,$C143,BASE!$A:$A,Q$2)</f>
        <v>0</v>
      </c>
      <c r="R143" s="12">
        <f>SUMIFS(BASE!$G:$G,BASE!$B:$B,$B143,BASE!$L:$L,$G143,BASE!$J:$J,$C143,BASE!$A:$A,R$2)</f>
        <v>0</v>
      </c>
      <c r="S143" s="12">
        <f>SUMIFS(BASE!$G:$G,BASE!$B:$B,$B143,BASE!$L:$L,$G143,BASE!$J:$J,$C143,BASE!$A:$A,S$2)</f>
        <v>0</v>
      </c>
      <c r="T143" s="12">
        <f>SUMIFS(BASE!$G:$G,BASE!$B:$B,$B143,BASE!$L:$L,$G143,BASE!$J:$J,$C143,BASE!$A:$A,T$2)</f>
        <v>0</v>
      </c>
      <c r="U143" s="12">
        <f>SUMIFS(BASE!$G:$G,BASE!$B:$B,$B143,BASE!$L:$L,$G143,BASE!$J:$J,$C143,BASE!$A:$A,U$2)</f>
        <v>0</v>
      </c>
      <c r="V143" s="12">
        <f>SUMIFS(BASE!$G:$G,BASE!$B:$B,$B143,BASE!$L:$L,$G143,BASE!$J:$J,$C143,BASE!$A:$A,V$2)</f>
        <v>0</v>
      </c>
      <c r="X143" t="str">
        <f t="shared" si="5"/>
        <v>ZERADO</v>
      </c>
    </row>
    <row r="144" spans="2:24">
      <c r="B144" s="8" t="s">
        <v>529</v>
      </c>
      <c r="C144" s="9" t="s">
        <v>228</v>
      </c>
      <c r="D144" s="9" t="s">
        <v>482</v>
      </c>
      <c r="E144" s="9" t="s">
        <v>474</v>
      </c>
      <c r="F144" s="9" t="s">
        <v>530</v>
      </c>
      <c r="G144" s="9" t="s">
        <v>56</v>
      </c>
      <c r="H144" s="7" t="str">
        <f>IFERROR(IF(_xlfn.XLOOKUP(B144,REPASSE!D:D,REPASSE!D:D)="","Não","Sim"),"Não")</f>
        <v>Não</v>
      </c>
      <c r="I144" s="7" t="str">
        <f>IF(_xlfn.XLOOKUP(B144,'BOOST LIBERADO'!B:B,'BOOST LIBERADO'!B:B,"Não")="Não","Não","Sim")</f>
        <v>Sim</v>
      </c>
      <c r="J144" s="83" t="str">
        <f t="shared" si="4"/>
        <v>Sim</v>
      </c>
      <c r="K144" s="12">
        <f>SUMIFS(BASE!$G:$G,BASE!$B:$B,$B144,BASE!$L:$L,$G144,BASE!$J:$J,$C144,BASE!$A:$A,K$2)</f>
        <v>0</v>
      </c>
      <c r="L144" s="12">
        <f>SUMIFS(BASE!$G:$G,BASE!$B:$B,$B144,BASE!$L:$L,$G144,BASE!$J:$J,$C144,BASE!$A:$A,L$2)</f>
        <v>1</v>
      </c>
      <c r="M144" s="12">
        <f>SUMIFS(BASE!$G:$G,BASE!$B:$B,$B144,BASE!$L:$L,$G144,BASE!$J:$J,$C144,BASE!$A:$A,M$2)</f>
        <v>3</v>
      </c>
      <c r="N144" s="12">
        <f>SUMIFS(BASE!$G:$G,BASE!$B:$B,$B144,BASE!$L:$L,$G144,BASE!$J:$J,$C144,BASE!$A:$A,N$2)</f>
        <v>3</v>
      </c>
      <c r="O144" s="12">
        <f>SUMIFS(BASE!$G:$G,BASE!$B:$B,$B144,BASE!$L:$L,$G144,BASE!$J:$J,$C144,BASE!$A:$A,O$2)</f>
        <v>4</v>
      </c>
      <c r="P144" s="12">
        <f>SUMIFS(BASE!$G:$G,BASE!$B:$B,$B144,BASE!$L:$L,$G144,BASE!$J:$J,$C144,BASE!$A:$A,P$2)</f>
        <v>9</v>
      </c>
      <c r="Q144" s="12">
        <f>SUMIFS(BASE!$G:$G,BASE!$B:$B,$B144,BASE!$L:$L,$G144,BASE!$J:$J,$C144,BASE!$A:$A,Q$2)</f>
        <v>6</v>
      </c>
      <c r="R144" s="12">
        <f>SUMIFS(BASE!$G:$G,BASE!$B:$B,$B144,BASE!$L:$L,$G144,BASE!$J:$J,$C144,BASE!$A:$A,R$2)</f>
        <v>5</v>
      </c>
      <c r="S144" s="12">
        <f>SUMIFS(BASE!$G:$G,BASE!$B:$B,$B144,BASE!$L:$L,$G144,BASE!$J:$J,$C144,BASE!$A:$A,S$2)</f>
        <v>0</v>
      </c>
      <c r="T144" s="12">
        <f>SUMIFS(BASE!$G:$G,BASE!$B:$B,$B144,BASE!$L:$L,$G144,BASE!$J:$J,$C144,BASE!$A:$A,T$2)</f>
        <v>0</v>
      </c>
      <c r="U144" s="12">
        <f>SUMIFS(BASE!$G:$G,BASE!$B:$B,$B144,BASE!$L:$L,$G144,BASE!$J:$J,$C144,BASE!$A:$A,U$2)</f>
        <v>0</v>
      </c>
      <c r="V144" s="12">
        <f>SUMIFS(BASE!$G:$G,BASE!$B:$B,$B144,BASE!$L:$L,$G144,BASE!$J:$J,$C144,BASE!$A:$A,V$2)</f>
        <v>0</v>
      </c>
      <c r="X144" t="str">
        <f t="shared" si="5"/>
        <v>COM TROCAS</v>
      </c>
    </row>
    <row r="145" spans="2:24">
      <c r="B145" s="8" t="s">
        <v>531</v>
      </c>
      <c r="C145" s="9" t="s">
        <v>129</v>
      </c>
      <c r="D145" s="9" t="s">
        <v>443</v>
      </c>
      <c r="E145" s="9" t="s">
        <v>437</v>
      </c>
      <c r="F145" s="9" t="s">
        <v>532</v>
      </c>
      <c r="G145" s="9" t="s">
        <v>56</v>
      </c>
      <c r="H145" s="7" t="str">
        <f>IFERROR(IF(_xlfn.XLOOKUP(B145,REPASSE!D:D,REPASSE!D:D)="","Não","Sim"),"Não")</f>
        <v>Não</v>
      </c>
      <c r="I145" s="7" t="str">
        <f>IF(_xlfn.XLOOKUP(B145,'BOOST LIBERADO'!B:B,'BOOST LIBERADO'!B:B,"Não")="Não","Não","Sim")</f>
        <v>Sim</v>
      </c>
      <c r="J145" s="83" t="str">
        <f t="shared" si="4"/>
        <v>Sim</v>
      </c>
      <c r="K145" s="12">
        <f>SUMIFS(BASE!$G:$G,BASE!$B:$B,$B145,BASE!$L:$L,$G145,BASE!$J:$J,$C145,BASE!$A:$A,K$2)</f>
        <v>0</v>
      </c>
      <c r="L145" s="12">
        <f>SUMIFS(BASE!$G:$G,BASE!$B:$B,$B145,BASE!$L:$L,$G145,BASE!$J:$J,$C145,BASE!$A:$A,L$2)</f>
        <v>0</v>
      </c>
      <c r="M145" s="12">
        <f>SUMIFS(BASE!$G:$G,BASE!$B:$B,$B145,BASE!$L:$L,$G145,BASE!$J:$J,$C145,BASE!$A:$A,M$2)</f>
        <v>0</v>
      </c>
      <c r="N145" s="12">
        <f>SUMIFS(BASE!$G:$G,BASE!$B:$B,$B145,BASE!$L:$L,$G145,BASE!$J:$J,$C145,BASE!$A:$A,N$2)</f>
        <v>0</v>
      </c>
      <c r="O145" s="12">
        <f>SUMIFS(BASE!$G:$G,BASE!$B:$B,$B145,BASE!$L:$L,$G145,BASE!$J:$J,$C145,BASE!$A:$A,O$2)</f>
        <v>0</v>
      </c>
      <c r="P145" s="12">
        <f>SUMIFS(BASE!$G:$G,BASE!$B:$B,$B145,BASE!$L:$L,$G145,BASE!$J:$J,$C145,BASE!$A:$A,P$2)</f>
        <v>0</v>
      </c>
      <c r="Q145" s="12">
        <f>SUMIFS(BASE!$G:$G,BASE!$B:$B,$B145,BASE!$L:$L,$G145,BASE!$J:$J,$C145,BASE!$A:$A,Q$2)</f>
        <v>0</v>
      </c>
      <c r="R145" s="12">
        <f>SUMIFS(BASE!$G:$G,BASE!$B:$B,$B145,BASE!$L:$L,$G145,BASE!$J:$J,$C145,BASE!$A:$A,R$2)</f>
        <v>0</v>
      </c>
      <c r="S145" s="12">
        <f>SUMIFS(BASE!$G:$G,BASE!$B:$B,$B145,BASE!$L:$L,$G145,BASE!$J:$J,$C145,BASE!$A:$A,S$2)</f>
        <v>0</v>
      </c>
      <c r="T145" s="12">
        <f>SUMIFS(BASE!$G:$G,BASE!$B:$B,$B145,BASE!$L:$L,$G145,BASE!$J:$J,$C145,BASE!$A:$A,T$2)</f>
        <v>0</v>
      </c>
      <c r="U145" s="12">
        <f>SUMIFS(BASE!$G:$G,BASE!$B:$B,$B145,BASE!$L:$L,$G145,BASE!$J:$J,$C145,BASE!$A:$A,U$2)</f>
        <v>0</v>
      </c>
      <c r="V145" s="12">
        <f>SUMIFS(BASE!$G:$G,BASE!$B:$B,$B145,BASE!$L:$L,$G145,BASE!$J:$J,$C145,BASE!$A:$A,V$2)</f>
        <v>0</v>
      </c>
      <c r="X145" t="str">
        <f t="shared" si="5"/>
        <v>ZERADO</v>
      </c>
    </row>
    <row r="146" spans="2:24">
      <c r="B146" s="8" t="s">
        <v>533</v>
      </c>
      <c r="C146" s="9" t="s">
        <v>88</v>
      </c>
      <c r="D146" s="9" t="s">
        <v>493</v>
      </c>
      <c r="E146" s="9" t="s">
        <v>440</v>
      </c>
      <c r="F146" s="9" t="s">
        <v>534</v>
      </c>
      <c r="G146" s="9" t="s">
        <v>56</v>
      </c>
      <c r="H146" s="7" t="str">
        <f>IFERROR(IF(_xlfn.XLOOKUP(B146,REPASSE!D:D,REPASSE!D:D)="","Não","Sim"),"Não")</f>
        <v>Não</v>
      </c>
      <c r="I146" s="7" t="str">
        <f>IF(_xlfn.XLOOKUP(B146,'BOOST LIBERADO'!B:B,'BOOST LIBERADO'!B:B,"Não")="Não","Não","Sim")</f>
        <v>Sim</v>
      </c>
      <c r="J146" s="83" t="str">
        <f t="shared" si="4"/>
        <v>Sim</v>
      </c>
      <c r="K146" s="12">
        <f>SUMIFS(BASE!$G:$G,BASE!$B:$B,$B146,BASE!$L:$L,$G146,BASE!$J:$J,$C146,BASE!$A:$A,K$2)</f>
        <v>0</v>
      </c>
      <c r="L146" s="12">
        <f>SUMIFS(BASE!$G:$G,BASE!$B:$B,$B146,BASE!$L:$L,$G146,BASE!$J:$J,$C146,BASE!$A:$A,L$2)</f>
        <v>0</v>
      </c>
      <c r="M146" s="12">
        <f>SUMIFS(BASE!$G:$G,BASE!$B:$B,$B146,BASE!$L:$L,$G146,BASE!$J:$J,$C146,BASE!$A:$A,M$2)</f>
        <v>0</v>
      </c>
      <c r="N146" s="12">
        <f>SUMIFS(BASE!$G:$G,BASE!$B:$B,$B146,BASE!$L:$L,$G146,BASE!$J:$J,$C146,BASE!$A:$A,N$2)</f>
        <v>0</v>
      </c>
      <c r="O146" s="12">
        <f>SUMIFS(BASE!$G:$G,BASE!$B:$B,$B146,BASE!$L:$L,$G146,BASE!$J:$J,$C146,BASE!$A:$A,O$2)</f>
        <v>0</v>
      </c>
      <c r="P146" s="12">
        <f>SUMIFS(BASE!$G:$G,BASE!$B:$B,$B146,BASE!$L:$L,$G146,BASE!$J:$J,$C146,BASE!$A:$A,P$2)</f>
        <v>0</v>
      </c>
      <c r="Q146" s="12">
        <f>SUMIFS(BASE!$G:$G,BASE!$B:$B,$B146,BASE!$L:$L,$G146,BASE!$J:$J,$C146,BASE!$A:$A,Q$2)</f>
        <v>0</v>
      </c>
      <c r="R146" s="12">
        <f>SUMIFS(BASE!$G:$G,BASE!$B:$B,$B146,BASE!$L:$L,$G146,BASE!$J:$J,$C146,BASE!$A:$A,R$2)</f>
        <v>0</v>
      </c>
      <c r="S146" s="12">
        <f>SUMIFS(BASE!$G:$G,BASE!$B:$B,$B146,BASE!$L:$L,$G146,BASE!$J:$J,$C146,BASE!$A:$A,S$2)</f>
        <v>0</v>
      </c>
      <c r="T146" s="12">
        <f>SUMIFS(BASE!$G:$G,BASE!$B:$B,$B146,BASE!$L:$L,$G146,BASE!$J:$J,$C146,BASE!$A:$A,T$2)</f>
        <v>0</v>
      </c>
      <c r="U146" s="12">
        <f>SUMIFS(BASE!$G:$G,BASE!$B:$B,$B146,BASE!$L:$L,$G146,BASE!$J:$J,$C146,BASE!$A:$A,U$2)</f>
        <v>0</v>
      </c>
      <c r="V146" s="12">
        <f>SUMIFS(BASE!$G:$G,BASE!$B:$B,$B146,BASE!$L:$L,$G146,BASE!$J:$J,$C146,BASE!$A:$A,V$2)</f>
        <v>0</v>
      </c>
      <c r="X146" t="str">
        <f t="shared" si="5"/>
        <v>ZERADO</v>
      </c>
    </row>
    <row r="147" spans="2:24">
      <c r="B147" s="8" t="s">
        <v>535</v>
      </c>
      <c r="C147" s="9" t="s">
        <v>106</v>
      </c>
      <c r="D147" s="9" t="s">
        <v>436</v>
      </c>
      <c r="E147" s="9" t="s">
        <v>437</v>
      </c>
      <c r="F147" s="9" t="s">
        <v>430</v>
      </c>
      <c r="G147" s="9" t="s">
        <v>56</v>
      </c>
      <c r="H147" s="7" t="str">
        <f>IFERROR(IF(_xlfn.XLOOKUP(B147,REPASSE!D:D,REPASSE!D:D)="","Não","Sim"),"Não")</f>
        <v>Não</v>
      </c>
      <c r="I147" s="7" t="str">
        <f>IF(_xlfn.XLOOKUP(B147,'BOOST LIBERADO'!B:B,'BOOST LIBERADO'!B:B,"Não")="Não","Não","Sim")</f>
        <v>Sim</v>
      </c>
      <c r="J147" s="83" t="str">
        <f t="shared" si="4"/>
        <v>Sim</v>
      </c>
      <c r="K147" s="12">
        <f>SUMIFS(BASE!$G:$G,BASE!$B:$B,$B147,BASE!$L:$L,$G147,BASE!$J:$J,$C147,BASE!$A:$A,K$2)</f>
        <v>0</v>
      </c>
      <c r="L147" s="12">
        <f>SUMIFS(BASE!$G:$G,BASE!$B:$B,$B147,BASE!$L:$L,$G147,BASE!$J:$J,$C147,BASE!$A:$A,L$2)</f>
        <v>0</v>
      </c>
      <c r="M147" s="12">
        <f>SUMIFS(BASE!$G:$G,BASE!$B:$B,$B147,BASE!$L:$L,$G147,BASE!$J:$J,$C147,BASE!$A:$A,M$2)</f>
        <v>0</v>
      </c>
      <c r="N147" s="12">
        <f>SUMIFS(BASE!$G:$G,BASE!$B:$B,$B147,BASE!$L:$L,$G147,BASE!$J:$J,$C147,BASE!$A:$A,N$2)</f>
        <v>0</v>
      </c>
      <c r="O147" s="12">
        <f>SUMIFS(BASE!$G:$G,BASE!$B:$B,$B147,BASE!$L:$L,$G147,BASE!$J:$J,$C147,BASE!$A:$A,O$2)</f>
        <v>0</v>
      </c>
      <c r="P147" s="12">
        <f>SUMIFS(BASE!$G:$G,BASE!$B:$B,$B147,BASE!$L:$L,$G147,BASE!$J:$J,$C147,BASE!$A:$A,P$2)</f>
        <v>0</v>
      </c>
      <c r="Q147" s="12">
        <f>SUMIFS(BASE!$G:$G,BASE!$B:$B,$B147,BASE!$L:$L,$G147,BASE!$J:$J,$C147,BASE!$A:$A,Q$2)</f>
        <v>0</v>
      </c>
      <c r="R147" s="12">
        <f>SUMIFS(BASE!$G:$G,BASE!$B:$B,$B147,BASE!$L:$L,$G147,BASE!$J:$J,$C147,BASE!$A:$A,R$2)</f>
        <v>0</v>
      </c>
      <c r="S147" s="12">
        <f>SUMIFS(BASE!$G:$G,BASE!$B:$B,$B147,BASE!$L:$L,$G147,BASE!$J:$J,$C147,BASE!$A:$A,S$2)</f>
        <v>0</v>
      </c>
      <c r="T147" s="12">
        <f>SUMIFS(BASE!$G:$G,BASE!$B:$B,$B147,BASE!$L:$L,$G147,BASE!$J:$J,$C147,BASE!$A:$A,T$2)</f>
        <v>0</v>
      </c>
      <c r="U147" s="12">
        <f>SUMIFS(BASE!$G:$G,BASE!$B:$B,$B147,BASE!$L:$L,$G147,BASE!$J:$J,$C147,BASE!$A:$A,U$2)</f>
        <v>0</v>
      </c>
      <c r="V147" s="12">
        <f>SUMIFS(BASE!$G:$G,BASE!$B:$B,$B147,BASE!$L:$L,$G147,BASE!$J:$J,$C147,BASE!$A:$A,V$2)</f>
        <v>0</v>
      </c>
      <c r="X147" t="str">
        <f t="shared" si="5"/>
        <v>ZERADO</v>
      </c>
    </row>
    <row r="148" spans="2:24">
      <c r="B148" s="8" t="s">
        <v>536</v>
      </c>
      <c r="C148" s="9" t="s">
        <v>88</v>
      </c>
      <c r="D148" s="9" t="s">
        <v>439</v>
      </c>
      <c r="E148" s="9" t="s">
        <v>440</v>
      </c>
      <c r="F148" s="9" t="s">
        <v>537</v>
      </c>
      <c r="G148" s="9" t="s">
        <v>56</v>
      </c>
      <c r="H148" s="7" t="str">
        <f>IFERROR(IF(_xlfn.XLOOKUP(B148,REPASSE!D:D,REPASSE!D:D)="","Não","Sim"),"Não")</f>
        <v>Não</v>
      </c>
      <c r="I148" s="7" t="str">
        <f>IF(_xlfn.XLOOKUP(B148,'BOOST LIBERADO'!B:B,'BOOST LIBERADO'!B:B,"Não")="Não","Não","Sim")</f>
        <v>Sim</v>
      </c>
      <c r="J148" s="83" t="str">
        <f t="shared" si="4"/>
        <v>Sim</v>
      </c>
      <c r="K148" s="12">
        <f>SUMIFS(BASE!$G:$G,BASE!$B:$B,$B148,BASE!$L:$L,$G148,BASE!$J:$J,$C148,BASE!$A:$A,K$2)</f>
        <v>0</v>
      </c>
      <c r="L148" s="12">
        <f>SUMIFS(BASE!$G:$G,BASE!$B:$B,$B148,BASE!$L:$L,$G148,BASE!$J:$J,$C148,BASE!$A:$A,L$2)</f>
        <v>0</v>
      </c>
      <c r="M148" s="12">
        <f>SUMIFS(BASE!$G:$G,BASE!$B:$B,$B148,BASE!$L:$L,$G148,BASE!$J:$J,$C148,BASE!$A:$A,M$2)</f>
        <v>0</v>
      </c>
      <c r="N148" s="12">
        <f>SUMIFS(BASE!$G:$G,BASE!$B:$B,$B148,BASE!$L:$L,$G148,BASE!$J:$J,$C148,BASE!$A:$A,N$2)</f>
        <v>0</v>
      </c>
      <c r="O148" s="12">
        <f>SUMIFS(BASE!$G:$G,BASE!$B:$B,$B148,BASE!$L:$L,$G148,BASE!$J:$J,$C148,BASE!$A:$A,O$2)</f>
        <v>0</v>
      </c>
      <c r="P148" s="12">
        <f>SUMIFS(BASE!$G:$G,BASE!$B:$B,$B148,BASE!$L:$L,$G148,BASE!$J:$J,$C148,BASE!$A:$A,P$2)</f>
        <v>0</v>
      </c>
      <c r="Q148" s="12">
        <f>SUMIFS(BASE!$G:$G,BASE!$B:$B,$B148,BASE!$L:$L,$G148,BASE!$J:$J,$C148,BASE!$A:$A,Q$2)</f>
        <v>0</v>
      </c>
      <c r="R148" s="12">
        <f>SUMIFS(BASE!$G:$G,BASE!$B:$B,$B148,BASE!$L:$L,$G148,BASE!$J:$J,$C148,BASE!$A:$A,R$2)</f>
        <v>0</v>
      </c>
      <c r="S148" s="12">
        <f>SUMIFS(BASE!$G:$G,BASE!$B:$B,$B148,BASE!$L:$L,$G148,BASE!$J:$J,$C148,BASE!$A:$A,S$2)</f>
        <v>0</v>
      </c>
      <c r="T148" s="12">
        <f>SUMIFS(BASE!$G:$G,BASE!$B:$B,$B148,BASE!$L:$L,$G148,BASE!$J:$J,$C148,BASE!$A:$A,T$2)</f>
        <v>0</v>
      </c>
      <c r="U148" s="12">
        <f>SUMIFS(BASE!$G:$G,BASE!$B:$B,$B148,BASE!$L:$L,$G148,BASE!$J:$J,$C148,BASE!$A:$A,U$2)</f>
        <v>0</v>
      </c>
      <c r="V148" s="12">
        <f>SUMIFS(BASE!$G:$G,BASE!$B:$B,$B148,BASE!$L:$L,$G148,BASE!$J:$J,$C148,BASE!$A:$A,V$2)</f>
        <v>0</v>
      </c>
      <c r="X148" t="str">
        <f t="shared" si="5"/>
        <v>ZERADO</v>
      </c>
    </row>
    <row r="149" spans="2:24">
      <c r="B149" s="8" t="s">
        <v>538</v>
      </c>
      <c r="C149" s="9" t="s">
        <v>192</v>
      </c>
      <c r="D149" s="9" t="s">
        <v>462</v>
      </c>
      <c r="E149" s="9" t="s">
        <v>440</v>
      </c>
      <c r="F149" s="9" t="s">
        <v>496</v>
      </c>
      <c r="G149" s="9" t="s">
        <v>56</v>
      </c>
      <c r="H149" s="7" t="str">
        <f>IFERROR(IF(_xlfn.XLOOKUP(B149,REPASSE!D:D,REPASSE!D:D)="","Não","Sim"),"Não")</f>
        <v>Não</v>
      </c>
      <c r="I149" s="7" t="str">
        <f>IF(_xlfn.XLOOKUP(B149,'BOOST LIBERADO'!B:B,'BOOST LIBERADO'!B:B,"Não")="Não","Não","Sim")</f>
        <v>Sim</v>
      </c>
      <c r="J149" s="83" t="str">
        <f t="shared" si="4"/>
        <v>Sim</v>
      </c>
      <c r="K149" s="12">
        <f>SUMIFS(BASE!$G:$G,BASE!$B:$B,$B149,BASE!$L:$L,$G149,BASE!$J:$J,$C149,BASE!$A:$A,K$2)</f>
        <v>0</v>
      </c>
      <c r="L149" s="12">
        <f>SUMIFS(BASE!$G:$G,BASE!$B:$B,$B149,BASE!$L:$L,$G149,BASE!$J:$J,$C149,BASE!$A:$A,L$2)</f>
        <v>0</v>
      </c>
      <c r="M149" s="12">
        <f>SUMIFS(BASE!$G:$G,BASE!$B:$B,$B149,BASE!$L:$L,$G149,BASE!$J:$J,$C149,BASE!$A:$A,M$2)</f>
        <v>0</v>
      </c>
      <c r="N149" s="12">
        <f>SUMIFS(BASE!$G:$G,BASE!$B:$B,$B149,BASE!$L:$L,$G149,BASE!$J:$J,$C149,BASE!$A:$A,N$2)</f>
        <v>0</v>
      </c>
      <c r="O149" s="12">
        <f>SUMIFS(BASE!$G:$G,BASE!$B:$B,$B149,BASE!$L:$L,$G149,BASE!$J:$J,$C149,BASE!$A:$A,O$2)</f>
        <v>0</v>
      </c>
      <c r="P149" s="12">
        <f>SUMIFS(BASE!$G:$G,BASE!$B:$B,$B149,BASE!$L:$L,$G149,BASE!$J:$J,$C149,BASE!$A:$A,P$2)</f>
        <v>0</v>
      </c>
      <c r="Q149" s="12">
        <f>SUMIFS(BASE!$G:$G,BASE!$B:$B,$B149,BASE!$L:$L,$G149,BASE!$J:$J,$C149,BASE!$A:$A,Q$2)</f>
        <v>0</v>
      </c>
      <c r="R149" s="12">
        <f>SUMIFS(BASE!$G:$G,BASE!$B:$B,$B149,BASE!$L:$L,$G149,BASE!$J:$J,$C149,BASE!$A:$A,R$2)</f>
        <v>0</v>
      </c>
      <c r="S149" s="12">
        <f>SUMIFS(BASE!$G:$G,BASE!$B:$B,$B149,BASE!$L:$L,$G149,BASE!$J:$J,$C149,BASE!$A:$A,S$2)</f>
        <v>0</v>
      </c>
      <c r="T149" s="12">
        <f>SUMIFS(BASE!$G:$G,BASE!$B:$B,$B149,BASE!$L:$L,$G149,BASE!$J:$J,$C149,BASE!$A:$A,T$2)</f>
        <v>0</v>
      </c>
      <c r="U149" s="12">
        <f>SUMIFS(BASE!$G:$G,BASE!$B:$B,$B149,BASE!$L:$L,$G149,BASE!$J:$J,$C149,BASE!$A:$A,U$2)</f>
        <v>0</v>
      </c>
      <c r="V149" s="12">
        <f>SUMIFS(BASE!$G:$G,BASE!$B:$B,$B149,BASE!$L:$L,$G149,BASE!$J:$J,$C149,BASE!$A:$A,V$2)</f>
        <v>0</v>
      </c>
      <c r="X149" t="str">
        <f t="shared" si="5"/>
        <v>ZERADO</v>
      </c>
    </row>
    <row r="150" spans="2:24">
      <c r="B150" s="8" t="s">
        <v>539</v>
      </c>
      <c r="C150" s="9" t="s">
        <v>106</v>
      </c>
      <c r="D150" s="9" t="s">
        <v>432</v>
      </c>
      <c r="E150" s="9" t="s">
        <v>429</v>
      </c>
      <c r="F150" s="9" t="s">
        <v>433</v>
      </c>
      <c r="G150" s="9" t="s">
        <v>56</v>
      </c>
      <c r="H150" s="7" t="str">
        <f>IFERROR(IF(_xlfn.XLOOKUP(B150,REPASSE!D:D,REPASSE!D:D)="","Não","Sim"),"Não")</f>
        <v>Não</v>
      </c>
      <c r="I150" s="7" t="str">
        <f>IF(_xlfn.XLOOKUP(B150,'BOOST LIBERADO'!B:B,'BOOST LIBERADO'!B:B,"Não")="Não","Não","Sim")</f>
        <v>Sim</v>
      </c>
      <c r="J150" s="83" t="str">
        <f t="shared" si="4"/>
        <v>Sim</v>
      </c>
      <c r="K150" s="12">
        <f>SUMIFS(BASE!$G:$G,BASE!$B:$B,$B150,BASE!$L:$L,$G150,BASE!$J:$J,$C150,BASE!$A:$A,K$2)</f>
        <v>0</v>
      </c>
      <c r="L150" s="12">
        <f>SUMIFS(BASE!$G:$G,BASE!$B:$B,$B150,BASE!$L:$L,$G150,BASE!$J:$J,$C150,BASE!$A:$A,L$2)</f>
        <v>0</v>
      </c>
      <c r="M150" s="12">
        <f>SUMIFS(BASE!$G:$G,BASE!$B:$B,$B150,BASE!$L:$L,$G150,BASE!$J:$J,$C150,BASE!$A:$A,M$2)</f>
        <v>2</v>
      </c>
      <c r="N150" s="12">
        <f>SUMIFS(BASE!$G:$G,BASE!$B:$B,$B150,BASE!$L:$L,$G150,BASE!$J:$J,$C150,BASE!$A:$A,N$2)</f>
        <v>5</v>
      </c>
      <c r="O150" s="12">
        <f>SUMIFS(BASE!$G:$G,BASE!$B:$B,$B150,BASE!$L:$L,$G150,BASE!$J:$J,$C150,BASE!$A:$A,O$2)</f>
        <v>1</v>
      </c>
      <c r="P150" s="12">
        <f>SUMIFS(BASE!$G:$G,BASE!$B:$B,$B150,BASE!$L:$L,$G150,BASE!$J:$J,$C150,BASE!$A:$A,P$2)</f>
        <v>4</v>
      </c>
      <c r="Q150" s="12">
        <f>SUMIFS(BASE!$G:$G,BASE!$B:$B,$B150,BASE!$L:$L,$G150,BASE!$J:$J,$C150,BASE!$A:$A,Q$2)</f>
        <v>11</v>
      </c>
      <c r="R150" s="12">
        <f>SUMIFS(BASE!$G:$G,BASE!$B:$B,$B150,BASE!$L:$L,$G150,BASE!$J:$J,$C150,BASE!$A:$A,R$2)</f>
        <v>8</v>
      </c>
      <c r="S150" s="12">
        <f>SUMIFS(BASE!$G:$G,BASE!$B:$B,$B150,BASE!$L:$L,$G150,BASE!$J:$J,$C150,BASE!$A:$A,S$2)</f>
        <v>0</v>
      </c>
      <c r="T150" s="12">
        <f>SUMIFS(BASE!$G:$G,BASE!$B:$B,$B150,BASE!$L:$L,$G150,BASE!$J:$J,$C150,BASE!$A:$A,T$2)</f>
        <v>0</v>
      </c>
      <c r="U150" s="12">
        <f>SUMIFS(BASE!$G:$G,BASE!$B:$B,$B150,BASE!$L:$L,$G150,BASE!$J:$J,$C150,BASE!$A:$A,U$2)</f>
        <v>0</v>
      </c>
      <c r="V150" s="12">
        <f>SUMIFS(BASE!$G:$G,BASE!$B:$B,$B150,BASE!$L:$L,$G150,BASE!$J:$J,$C150,BASE!$A:$A,V$2)</f>
        <v>0</v>
      </c>
      <c r="X150" t="str">
        <f t="shared" si="5"/>
        <v>COM TROCAS</v>
      </c>
    </row>
    <row r="151" spans="2:24">
      <c r="B151" s="8" t="s">
        <v>540</v>
      </c>
      <c r="C151" s="9" t="s">
        <v>106</v>
      </c>
      <c r="D151" s="9" t="s">
        <v>451</v>
      </c>
      <c r="E151" s="9" t="s">
        <v>429</v>
      </c>
      <c r="F151" s="9" t="s">
        <v>430</v>
      </c>
      <c r="G151" s="9" t="s">
        <v>56</v>
      </c>
      <c r="H151" s="7" t="str">
        <f>IFERROR(IF(_xlfn.XLOOKUP(B151,REPASSE!D:D,REPASSE!D:D)="","Não","Sim"),"Não")</f>
        <v>Não</v>
      </c>
      <c r="I151" s="7" t="str">
        <f>IF(_xlfn.XLOOKUP(B151,'BOOST LIBERADO'!B:B,'BOOST LIBERADO'!B:B,"Não")="Não","Não","Sim")</f>
        <v>Sim</v>
      </c>
      <c r="J151" s="83" t="str">
        <f t="shared" si="4"/>
        <v>Sim</v>
      </c>
      <c r="K151" s="12">
        <f>SUMIFS(BASE!$G:$G,BASE!$B:$B,$B151,BASE!$L:$L,$G151,BASE!$J:$J,$C151,BASE!$A:$A,K$2)</f>
        <v>0</v>
      </c>
      <c r="L151" s="12">
        <f>SUMIFS(BASE!$G:$G,BASE!$B:$B,$B151,BASE!$L:$L,$G151,BASE!$J:$J,$C151,BASE!$A:$A,L$2)</f>
        <v>0</v>
      </c>
      <c r="M151" s="12">
        <f>SUMIFS(BASE!$G:$G,BASE!$B:$B,$B151,BASE!$L:$L,$G151,BASE!$J:$J,$C151,BASE!$A:$A,M$2)</f>
        <v>0</v>
      </c>
      <c r="N151" s="12">
        <f>SUMIFS(BASE!$G:$G,BASE!$B:$B,$B151,BASE!$L:$L,$G151,BASE!$J:$J,$C151,BASE!$A:$A,N$2)</f>
        <v>0</v>
      </c>
      <c r="O151" s="12">
        <f>SUMIFS(BASE!$G:$G,BASE!$B:$B,$B151,BASE!$L:$L,$G151,BASE!$J:$J,$C151,BASE!$A:$A,O$2)</f>
        <v>0</v>
      </c>
      <c r="P151" s="12">
        <f>SUMIFS(BASE!$G:$G,BASE!$B:$B,$B151,BASE!$L:$L,$G151,BASE!$J:$J,$C151,BASE!$A:$A,P$2)</f>
        <v>0</v>
      </c>
      <c r="Q151" s="12">
        <f>SUMIFS(BASE!$G:$G,BASE!$B:$B,$B151,BASE!$L:$L,$G151,BASE!$J:$J,$C151,BASE!$A:$A,Q$2)</f>
        <v>0</v>
      </c>
      <c r="R151" s="12">
        <f>SUMIFS(BASE!$G:$G,BASE!$B:$B,$B151,BASE!$L:$L,$G151,BASE!$J:$J,$C151,BASE!$A:$A,R$2)</f>
        <v>0</v>
      </c>
      <c r="S151" s="12">
        <f>SUMIFS(BASE!$G:$G,BASE!$B:$B,$B151,BASE!$L:$L,$G151,BASE!$J:$J,$C151,BASE!$A:$A,S$2)</f>
        <v>0</v>
      </c>
      <c r="T151" s="12">
        <f>SUMIFS(BASE!$G:$G,BASE!$B:$B,$B151,BASE!$L:$L,$G151,BASE!$J:$J,$C151,BASE!$A:$A,T$2)</f>
        <v>0</v>
      </c>
      <c r="U151" s="12">
        <f>SUMIFS(BASE!$G:$G,BASE!$B:$B,$B151,BASE!$L:$L,$G151,BASE!$J:$J,$C151,BASE!$A:$A,U$2)</f>
        <v>0</v>
      </c>
      <c r="V151" s="12">
        <f>SUMIFS(BASE!$G:$G,BASE!$B:$B,$B151,BASE!$L:$L,$G151,BASE!$J:$J,$C151,BASE!$A:$A,V$2)</f>
        <v>0</v>
      </c>
      <c r="X151" t="str">
        <f t="shared" si="5"/>
        <v>ZERADO</v>
      </c>
    </row>
    <row r="152" spans="2:24">
      <c r="B152" s="8" t="s">
        <v>541</v>
      </c>
      <c r="C152" s="9" t="s">
        <v>106</v>
      </c>
      <c r="D152" s="9" t="s">
        <v>436</v>
      </c>
      <c r="E152" s="9" t="s">
        <v>437</v>
      </c>
      <c r="F152" s="9" t="s">
        <v>542</v>
      </c>
      <c r="G152" s="9" t="s">
        <v>56</v>
      </c>
      <c r="H152" s="7" t="str">
        <f>IFERROR(IF(_xlfn.XLOOKUP(B152,REPASSE!D:D,REPASSE!D:D)="","Não","Sim"),"Não")</f>
        <v>Não</v>
      </c>
      <c r="I152" s="7" t="str">
        <f>IF(_xlfn.XLOOKUP(B152,'BOOST LIBERADO'!B:B,'BOOST LIBERADO'!B:B,"Não")="Não","Não","Sim")</f>
        <v>Sim</v>
      </c>
      <c r="J152" s="83" t="str">
        <f t="shared" si="4"/>
        <v>Sim</v>
      </c>
      <c r="K152" s="12">
        <f>SUMIFS(BASE!$G:$G,BASE!$B:$B,$B152,BASE!$L:$L,$G152,BASE!$J:$J,$C152,BASE!$A:$A,K$2)</f>
        <v>0</v>
      </c>
      <c r="L152" s="12">
        <f>SUMIFS(BASE!$G:$G,BASE!$B:$B,$B152,BASE!$L:$L,$G152,BASE!$J:$J,$C152,BASE!$A:$A,L$2)</f>
        <v>0</v>
      </c>
      <c r="M152" s="12">
        <f>SUMIFS(BASE!$G:$G,BASE!$B:$B,$B152,BASE!$L:$L,$G152,BASE!$J:$J,$C152,BASE!$A:$A,M$2)</f>
        <v>0</v>
      </c>
      <c r="N152" s="12">
        <f>SUMIFS(BASE!$G:$G,BASE!$B:$B,$B152,BASE!$L:$L,$G152,BASE!$J:$J,$C152,BASE!$A:$A,N$2)</f>
        <v>0</v>
      </c>
      <c r="O152" s="12">
        <f>SUMIFS(BASE!$G:$G,BASE!$B:$B,$B152,BASE!$L:$L,$G152,BASE!$J:$J,$C152,BASE!$A:$A,O$2)</f>
        <v>0</v>
      </c>
      <c r="P152" s="12">
        <f>SUMIFS(BASE!$G:$G,BASE!$B:$B,$B152,BASE!$L:$L,$G152,BASE!$J:$J,$C152,BASE!$A:$A,P$2)</f>
        <v>0</v>
      </c>
      <c r="Q152" s="12">
        <f>SUMIFS(BASE!$G:$G,BASE!$B:$B,$B152,BASE!$L:$L,$G152,BASE!$J:$J,$C152,BASE!$A:$A,Q$2)</f>
        <v>0</v>
      </c>
      <c r="R152" s="12">
        <f>SUMIFS(BASE!$G:$G,BASE!$B:$B,$B152,BASE!$L:$L,$G152,BASE!$J:$J,$C152,BASE!$A:$A,R$2)</f>
        <v>0</v>
      </c>
      <c r="S152" s="12">
        <f>SUMIFS(BASE!$G:$G,BASE!$B:$B,$B152,BASE!$L:$L,$G152,BASE!$J:$J,$C152,BASE!$A:$A,S$2)</f>
        <v>0</v>
      </c>
      <c r="T152" s="12">
        <f>SUMIFS(BASE!$G:$G,BASE!$B:$B,$B152,BASE!$L:$L,$G152,BASE!$J:$J,$C152,BASE!$A:$A,T$2)</f>
        <v>0</v>
      </c>
      <c r="U152" s="12">
        <f>SUMIFS(BASE!$G:$G,BASE!$B:$B,$B152,BASE!$L:$L,$G152,BASE!$J:$J,$C152,BASE!$A:$A,U$2)</f>
        <v>0</v>
      </c>
      <c r="V152" s="12">
        <f>SUMIFS(BASE!$G:$G,BASE!$B:$B,$B152,BASE!$L:$L,$G152,BASE!$J:$J,$C152,BASE!$A:$A,V$2)</f>
        <v>0</v>
      </c>
      <c r="X152" t="str">
        <f t="shared" si="5"/>
        <v>ZERADO</v>
      </c>
    </row>
    <row r="153" spans="2:24">
      <c r="B153" s="8" t="s">
        <v>543</v>
      </c>
      <c r="C153" s="9" t="s">
        <v>129</v>
      </c>
      <c r="D153" s="9" t="s">
        <v>443</v>
      </c>
      <c r="E153" s="9" t="s">
        <v>437</v>
      </c>
      <c r="F153" s="9" t="s">
        <v>544</v>
      </c>
      <c r="G153" s="9" t="s">
        <v>56</v>
      </c>
      <c r="H153" s="7" t="str">
        <f>IFERROR(IF(_xlfn.XLOOKUP(B153,REPASSE!D:D,REPASSE!D:D)="","Não","Sim"),"Não")</f>
        <v>Não</v>
      </c>
      <c r="I153" s="7" t="str">
        <f>IF(_xlfn.XLOOKUP(B153,'BOOST LIBERADO'!B:B,'BOOST LIBERADO'!B:B,"Não")="Não","Não","Sim")</f>
        <v>Sim</v>
      </c>
      <c r="J153" s="83" t="str">
        <f t="shared" si="4"/>
        <v>Sim</v>
      </c>
      <c r="K153" s="12">
        <f>SUMIFS(BASE!$G:$G,BASE!$B:$B,$B153,BASE!$L:$L,$G153,BASE!$J:$J,$C153,BASE!$A:$A,K$2)</f>
        <v>0</v>
      </c>
      <c r="L153" s="12">
        <f>SUMIFS(BASE!$G:$G,BASE!$B:$B,$B153,BASE!$L:$L,$G153,BASE!$J:$J,$C153,BASE!$A:$A,L$2)</f>
        <v>0</v>
      </c>
      <c r="M153" s="12">
        <f>SUMIFS(BASE!$G:$G,BASE!$B:$B,$B153,BASE!$L:$L,$G153,BASE!$J:$J,$C153,BASE!$A:$A,M$2)</f>
        <v>0</v>
      </c>
      <c r="N153" s="12">
        <f>SUMIFS(BASE!$G:$G,BASE!$B:$B,$B153,BASE!$L:$L,$G153,BASE!$J:$J,$C153,BASE!$A:$A,N$2)</f>
        <v>0</v>
      </c>
      <c r="O153" s="12">
        <f>SUMIFS(BASE!$G:$G,BASE!$B:$B,$B153,BASE!$L:$L,$G153,BASE!$J:$J,$C153,BASE!$A:$A,O$2)</f>
        <v>0</v>
      </c>
      <c r="P153" s="12">
        <f>SUMIFS(BASE!$G:$G,BASE!$B:$B,$B153,BASE!$L:$L,$G153,BASE!$J:$J,$C153,BASE!$A:$A,P$2)</f>
        <v>0</v>
      </c>
      <c r="Q153" s="12">
        <f>SUMIFS(BASE!$G:$G,BASE!$B:$B,$B153,BASE!$L:$L,$G153,BASE!$J:$J,$C153,BASE!$A:$A,Q$2)</f>
        <v>0</v>
      </c>
      <c r="R153" s="12">
        <f>SUMIFS(BASE!$G:$G,BASE!$B:$B,$B153,BASE!$L:$L,$G153,BASE!$J:$J,$C153,BASE!$A:$A,R$2)</f>
        <v>0</v>
      </c>
      <c r="S153" s="12">
        <f>SUMIFS(BASE!$G:$G,BASE!$B:$B,$B153,BASE!$L:$L,$G153,BASE!$J:$J,$C153,BASE!$A:$A,S$2)</f>
        <v>0</v>
      </c>
      <c r="T153" s="12">
        <f>SUMIFS(BASE!$G:$G,BASE!$B:$B,$B153,BASE!$L:$L,$G153,BASE!$J:$J,$C153,BASE!$A:$A,T$2)</f>
        <v>0</v>
      </c>
      <c r="U153" s="12">
        <f>SUMIFS(BASE!$G:$G,BASE!$B:$B,$B153,BASE!$L:$L,$G153,BASE!$J:$J,$C153,BASE!$A:$A,U$2)</f>
        <v>0</v>
      </c>
      <c r="V153" s="12">
        <f>SUMIFS(BASE!$G:$G,BASE!$B:$B,$B153,BASE!$L:$L,$G153,BASE!$J:$J,$C153,BASE!$A:$A,V$2)</f>
        <v>0</v>
      </c>
      <c r="X153" t="str">
        <f t="shared" si="5"/>
        <v>ZERADO</v>
      </c>
    </row>
    <row r="154" spans="2:24">
      <c r="B154" s="8" t="s">
        <v>545</v>
      </c>
      <c r="C154" s="9" t="s">
        <v>167</v>
      </c>
      <c r="D154" s="9" t="s">
        <v>453</v>
      </c>
      <c r="E154" s="9" t="s">
        <v>454</v>
      </c>
      <c r="F154" s="9" t="s">
        <v>546</v>
      </c>
      <c r="G154" s="9" t="s">
        <v>56</v>
      </c>
      <c r="H154" s="7" t="str">
        <f>IFERROR(IF(_xlfn.XLOOKUP(B154,REPASSE!D:D,REPASSE!D:D)="","Não","Sim"),"Não")</f>
        <v>Não</v>
      </c>
      <c r="I154" s="7" t="str">
        <f>IF(_xlfn.XLOOKUP(B154,'BOOST LIBERADO'!B:B,'BOOST LIBERADO'!B:B,"Não")="Não","Não","Sim")</f>
        <v>Sim</v>
      </c>
      <c r="J154" s="83" t="str">
        <f t="shared" si="4"/>
        <v>Sim</v>
      </c>
      <c r="K154" s="12">
        <f>SUMIFS(BASE!$G:$G,BASE!$B:$B,$B154,BASE!$L:$L,$G154,BASE!$J:$J,$C154,BASE!$A:$A,K$2)</f>
        <v>0</v>
      </c>
      <c r="L154" s="12">
        <f>SUMIFS(BASE!$G:$G,BASE!$B:$B,$B154,BASE!$L:$L,$G154,BASE!$J:$J,$C154,BASE!$A:$A,L$2)</f>
        <v>0</v>
      </c>
      <c r="M154" s="12">
        <f>SUMIFS(BASE!$G:$G,BASE!$B:$B,$B154,BASE!$L:$L,$G154,BASE!$J:$J,$C154,BASE!$A:$A,M$2)</f>
        <v>0</v>
      </c>
      <c r="N154" s="12">
        <f>SUMIFS(BASE!$G:$G,BASE!$B:$B,$B154,BASE!$L:$L,$G154,BASE!$J:$J,$C154,BASE!$A:$A,N$2)</f>
        <v>0</v>
      </c>
      <c r="O154" s="12">
        <f>SUMIFS(BASE!$G:$G,BASE!$B:$B,$B154,BASE!$L:$L,$G154,BASE!$J:$J,$C154,BASE!$A:$A,O$2)</f>
        <v>0</v>
      </c>
      <c r="P154" s="12">
        <f>SUMIFS(BASE!$G:$G,BASE!$B:$B,$B154,BASE!$L:$L,$G154,BASE!$J:$J,$C154,BASE!$A:$A,P$2)</f>
        <v>0</v>
      </c>
      <c r="Q154" s="12">
        <f>SUMIFS(BASE!$G:$G,BASE!$B:$B,$B154,BASE!$L:$L,$G154,BASE!$J:$J,$C154,BASE!$A:$A,Q$2)</f>
        <v>0</v>
      </c>
      <c r="R154" s="12">
        <f>SUMIFS(BASE!$G:$G,BASE!$B:$B,$B154,BASE!$L:$L,$G154,BASE!$J:$J,$C154,BASE!$A:$A,R$2)</f>
        <v>0</v>
      </c>
      <c r="S154" s="12">
        <f>SUMIFS(BASE!$G:$G,BASE!$B:$B,$B154,BASE!$L:$L,$G154,BASE!$J:$J,$C154,BASE!$A:$A,S$2)</f>
        <v>0</v>
      </c>
      <c r="T154" s="12">
        <f>SUMIFS(BASE!$G:$G,BASE!$B:$B,$B154,BASE!$L:$L,$G154,BASE!$J:$J,$C154,BASE!$A:$A,T$2)</f>
        <v>0</v>
      </c>
      <c r="U154" s="12">
        <f>SUMIFS(BASE!$G:$G,BASE!$B:$B,$B154,BASE!$L:$L,$G154,BASE!$J:$J,$C154,BASE!$A:$A,U$2)</f>
        <v>0</v>
      </c>
      <c r="V154" s="12">
        <f>SUMIFS(BASE!$G:$G,BASE!$B:$B,$B154,BASE!$L:$L,$G154,BASE!$J:$J,$C154,BASE!$A:$A,V$2)</f>
        <v>0</v>
      </c>
      <c r="X154" t="str">
        <f t="shared" si="5"/>
        <v>ZERADO</v>
      </c>
    </row>
    <row r="155" spans="2:24">
      <c r="B155" s="8" t="s">
        <v>547</v>
      </c>
      <c r="C155" s="9" t="s">
        <v>129</v>
      </c>
      <c r="D155" s="9" t="s">
        <v>443</v>
      </c>
      <c r="E155" s="9" t="s">
        <v>437</v>
      </c>
      <c r="F155" s="9" t="s">
        <v>544</v>
      </c>
      <c r="G155" s="9" t="s">
        <v>56</v>
      </c>
      <c r="H155" s="7" t="str">
        <f>IFERROR(IF(_xlfn.XLOOKUP(B155,REPASSE!D:D,REPASSE!D:D)="","Não","Sim"),"Não")</f>
        <v>Não</v>
      </c>
      <c r="I155" s="7" t="str">
        <f>IF(_xlfn.XLOOKUP(B155,'BOOST LIBERADO'!B:B,'BOOST LIBERADO'!B:B,"Não")="Não","Não","Sim")</f>
        <v>Sim</v>
      </c>
      <c r="J155" s="83" t="str">
        <f t="shared" si="4"/>
        <v>Sim</v>
      </c>
      <c r="K155" s="12">
        <f>SUMIFS(BASE!$G:$G,BASE!$B:$B,$B155,BASE!$L:$L,$G155,BASE!$J:$J,$C155,BASE!$A:$A,K$2)</f>
        <v>0</v>
      </c>
      <c r="L155" s="12">
        <f>SUMIFS(BASE!$G:$G,BASE!$B:$B,$B155,BASE!$L:$L,$G155,BASE!$J:$J,$C155,BASE!$A:$A,L$2)</f>
        <v>0</v>
      </c>
      <c r="M155" s="12">
        <f>SUMIFS(BASE!$G:$G,BASE!$B:$B,$B155,BASE!$L:$L,$G155,BASE!$J:$J,$C155,BASE!$A:$A,M$2)</f>
        <v>0</v>
      </c>
      <c r="N155" s="12">
        <f>SUMIFS(BASE!$G:$G,BASE!$B:$B,$B155,BASE!$L:$L,$G155,BASE!$J:$J,$C155,BASE!$A:$A,N$2)</f>
        <v>0</v>
      </c>
      <c r="O155" s="12">
        <f>SUMIFS(BASE!$G:$G,BASE!$B:$B,$B155,BASE!$L:$L,$G155,BASE!$J:$J,$C155,BASE!$A:$A,O$2)</f>
        <v>0</v>
      </c>
      <c r="P155" s="12">
        <f>SUMIFS(BASE!$G:$G,BASE!$B:$B,$B155,BASE!$L:$L,$G155,BASE!$J:$J,$C155,BASE!$A:$A,P$2)</f>
        <v>0</v>
      </c>
      <c r="Q155" s="12">
        <f>SUMIFS(BASE!$G:$G,BASE!$B:$B,$B155,BASE!$L:$L,$G155,BASE!$J:$J,$C155,BASE!$A:$A,Q$2)</f>
        <v>0</v>
      </c>
      <c r="R155" s="12">
        <f>SUMIFS(BASE!$G:$G,BASE!$B:$B,$B155,BASE!$L:$L,$G155,BASE!$J:$J,$C155,BASE!$A:$A,R$2)</f>
        <v>0</v>
      </c>
      <c r="S155" s="12">
        <f>SUMIFS(BASE!$G:$G,BASE!$B:$B,$B155,BASE!$L:$L,$G155,BASE!$J:$J,$C155,BASE!$A:$A,S$2)</f>
        <v>0</v>
      </c>
      <c r="T155" s="12">
        <f>SUMIFS(BASE!$G:$G,BASE!$B:$B,$B155,BASE!$L:$L,$G155,BASE!$J:$J,$C155,BASE!$A:$A,T$2)</f>
        <v>0</v>
      </c>
      <c r="U155" s="12">
        <f>SUMIFS(BASE!$G:$G,BASE!$B:$B,$B155,BASE!$L:$L,$G155,BASE!$J:$J,$C155,BASE!$A:$A,U$2)</f>
        <v>0</v>
      </c>
      <c r="V155" s="12">
        <f>SUMIFS(BASE!$G:$G,BASE!$B:$B,$B155,BASE!$L:$L,$G155,BASE!$J:$J,$C155,BASE!$A:$A,V$2)</f>
        <v>0</v>
      </c>
      <c r="X155" t="str">
        <f t="shared" si="5"/>
        <v>ZERADO</v>
      </c>
    </row>
    <row r="156" spans="2:24">
      <c r="B156" s="8" t="s">
        <v>548</v>
      </c>
      <c r="C156" s="9" t="s">
        <v>228</v>
      </c>
      <c r="D156" s="9" t="s">
        <v>473</v>
      </c>
      <c r="E156" s="9" t="s">
        <v>474</v>
      </c>
      <c r="F156" s="9" t="s">
        <v>475</v>
      </c>
      <c r="G156" s="9" t="s">
        <v>56</v>
      </c>
      <c r="H156" s="7" t="str">
        <f>IFERROR(IF(_xlfn.XLOOKUP(B156,REPASSE!D:D,REPASSE!D:D)="","Não","Sim"),"Não")</f>
        <v>Não</v>
      </c>
      <c r="I156" s="7" t="str">
        <f>IF(_xlfn.XLOOKUP(B156,'BOOST LIBERADO'!B:B,'BOOST LIBERADO'!B:B,"Não")="Não","Não","Sim")</f>
        <v>Sim</v>
      </c>
      <c r="J156" s="83" t="str">
        <f t="shared" si="4"/>
        <v>Sim</v>
      </c>
      <c r="K156" s="12">
        <f>SUMIFS(BASE!$G:$G,BASE!$B:$B,$B156,BASE!$L:$L,$G156,BASE!$J:$J,$C156,BASE!$A:$A,K$2)</f>
        <v>19</v>
      </c>
      <c r="L156" s="12">
        <f>SUMIFS(BASE!$G:$G,BASE!$B:$B,$B156,BASE!$L:$L,$G156,BASE!$J:$J,$C156,BASE!$A:$A,L$2)</f>
        <v>25</v>
      </c>
      <c r="M156" s="12">
        <f>SUMIFS(BASE!$G:$G,BASE!$B:$B,$B156,BASE!$L:$L,$G156,BASE!$J:$J,$C156,BASE!$A:$A,M$2)</f>
        <v>20</v>
      </c>
      <c r="N156" s="12">
        <f>SUMIFS(BASE!$G:$G,BASE!$B:$B,$B156,BASE!$L:$L,$G156,BASE!$J:$J,$C156,BASE!$A:$A,N$2)</f>
        <v>30</v>
      </c>
      <c r="O156" s="12">
        <f>SUMIFS(BASE!$G:$G,BASE!$B:$B,$B156,BASE!$L:$L,$G156,BASE!$J:$J,$C156,BASE!$A:$A,O$2)</f>
        <v>36</v>
      </c>
      <c r="P156" s="12">
        <f>SUMIFS(BASE!$G:$G,BASE!$B:$B,$B156,BASE!$L:$L,$G156,BASE!$J:$J,$C156,BASE!$A:$A,P$2)</f>
        <v>40</v>
      </c>
      <c r="Q156" s="12">
        <f>SUMIFS(BASE!$G:$G,BASE!$B:$B,$B156,BASE!$L:$L,$G156,BASE!$J:$J,$C156,BASE!$A:$A,Q$2)</f>
        <v>43</v>
      </c>
      <c r="R156" s="12">
        <f>SUMIFS(BASE!$G:$G,BASE!$B:$B,$B156,BASE!$L:$L,$G156,BASE!$J:$J,$C156,BASE!$A:$A,R$2)</f>
        <v>46</v>
      </c>
      <c r="S156" s="12">
        <f>SUMIFS(BASE!$G:$G,BASE!$B:$B,$B156,BASE!$L:$L,$G156,BASE!$J:$J,$C156,BASE!$A:$A,S$2)</f>
        <v>0</v>
      </c>
      <c r="T156" s="12">
        <f>SUMIFS(BASE!$G:$G,BASE!$B:$B,$B156,BASE!$L:$L,$G156,BASE!$J:$J,$C156,BASE!$A:$A,T$2)</f>
        <v>0</v>
      </c>
      <c r="U156" s="12">
        <f>SUMIFS(BASE!$G:$G,BASE!$B:$B,$B156,BASE!$L:$L,$G156,BASE!$J:$J,$C156,BASE!$A:$A,U$2)</f>
        <v>0</v>
      </c>
      <c r="V156" s="12">
        <f>SUMIFS(BASE!$G:$G,BASE!$B:$B,$B156,BASE!$L:$L,$G156,BASE!$J:$J,$C156,BASE!$A:$A,V$2)</f>
        <v>0</v>
      </c>
      <c r="X156" t="str">
        <f t="shared" si="5"/>
        <v>COM TROCAS</v>
      </c>
    </row>
    <row r="157" spans="2:24">
      <c r="B157" s="8" t="s">
        <v>549</v>
      </c>
      <c r="C157" s="9" t="s">
        <v>170</v>
      </c>
      <c r="D157" s="9" t="s">
        <v>445</v>
      </c>
      <c r="E157" s="9" t="s">
        <v>437</v>
      </c>
      <c r="F157" s="9" t="s">
        <v>446</v>
      </c>
      <c r="G157" s="9" t="s">
        <v>56</v>
      </c>
      <c r="H157" s="7" t="str">
        <f>IFERROR(IF(_xlfn.XLOOKUP(B157,REPASSE!D:D,REPASSE!D:D)="","Não","Sim"),"Não")</f>
        <v>Não</v>
      </c>
      <c r="I157" s="7" t="str">
        <f>IF(_xlfn.XLOOKUP(B157,'BOOST LIBERADO'!B:B,'BOOST LIBERADO'!B:B,"Não")="Não","Não","Sim")</f>
        <v>Sim</v>
      </c>
      <c r="J157" s="83" t="str">
        <f t="shared" si="4"/>
        <v>Sim</v>
      </c>
      <c r="K157" s="12">
        <f>SUMIFS(BASE!$G:$G,BASE!$B:$B,$B157,BASE!$L:$L,$G157,BASE!$J:$J,$C157,BASE!$A:$A,K$2)</f>
        <v>0</v>
      </c>
      <c r="L157" s="12">
        <f>SUMIFS(BASE!$G:$G,BASE!$B:$B,$B157,BASE!$L:$L,$G157,BASE!$J:$J,$C157,BASE!$A:$A,L$2)</f>
        <v>0</v>
      </c>
      <c r="M157" s="12">
        <f>SUMIFS(BASE!$G:$G,BASE!$B:$B,$B157,BASE!$L:$L,$G157,BASE!$J:$J,$C157,BASE!$A:$A,M$2)</f>
        <v>0</v>
      </c>
      <c r="N157" s="12">
        <f>SUMIFS(BASE!$G:$G,BASE!$B:$B,$B157,BASE!$L:$L,$G157,BASE!$J:$J,$C157,BASE!$A:$A,N$2)</f>
        <v>0</v>
      </c>
      <c r="O157" s="12">
        <f>SUMIFS(BASE!$G:$G,BASE!$B:$B,$B157,BASE!$L:$L,$G157,BASE!$J:$J,$C157,BASE!$A:$A,O$2)</f>
        <v>0</v>
      </c>
      <c r="P157" s="12">
        <f>SUMIFS(BASE!$G:$G,BASE!$B:$B,$B157,BASE!$L:$L,$G157,BASE!$J:$J,$C157,BASE!$A:$A,P$2)</f>
        <v>0</v>
      </c>
      <c r="Q157" s="12">
        <f>SUMIFS(BASE!$G:$G,BASE!$B:$B,$B157,BASE!$L:$L,$G157,BASE!$J:$J,$C157,BASE!$A:$A,Q$2)</f>
        <v>0</v>
      </c>
      <c r="R157" s="12">
        <f>SUMIFS(BASE!$G:$G,BASE!$B:$B,$B157,BASE!$L:$L,$G157,BASE!$J:$J,$C157,BASE!$A:$A,R$2)</f>
        <v>0</v>
      </c>
      <c r="S157" s="12">
        <f>SUMIFS(BASE!$G:$G,BASE!$B:$B,$B157,BASE!$L:$L,$G157,BASE!$J:$J,$C157,BASE!$A:$A,S$2)</f>
        <v>0</v>
      </c>
      <c r="T157" s="12">
        <f>SUMIFS(BASE!$G:$G,BASE!$B:$B,$B157,BASE!$L:$L,$G157,BASE!$J:$J,$C157,BASE!$A:$A,T$2)</f>
        <v>0</v>
      </c>
      <c r="U157" s="12">
        <f>SUMIFS(BASE!$G:$G,BASE!$B:$B,$B157,BASE!$L:$L,$G157,BASE!$J:$J,$C157,BASE!$A:$A,U$2)</f>
        <v>0</v>
      </c>
      <c r="V157" s="12">
        <f>SUMIFS(BASE!$G:$G,BASE!$B:$B,$B157,BASE!$L:$L,$G157,BASE!$J:$J,$C157,BASE!$A:$A,V$2)</f>
        <v>0</v>
      </c>
      <c r="X157" t="str">
        <f t="shared" si="5"/>
        <v>ZERADO</v>
      </c>
    </row>
    <row r="158" spans="2:24">
      <c r="B158" s="8" t="s">
        <v>550</v>
      </c>
      <c r="C158" s="9" t="s">
        <v>158</v>
      </c>
      <c r="D158" s="9" t="s">
        <v>448</v>
      </c>
      <c r="E158" s="9" t="s">
        <v>437</v>
      </c>
      <c r="F158" s="9" t="s">
        <v>551</v>
      </c>
      <c r="G158" s="9" t="s">
        <v>56</v>
      </c>
      <c r="H158" s="7" t="str">
        <f>IFERROR(IF(_xlfn.XLOOKUP(B158,REPASSE!D:D,REPASSE!D:D)="","Não","Sim"),"Não")</f>
        <v>Não</v>
      </c>
      <c r="I158" s="7" t="str">
        <f>IF(_xlfn.XLOOKUP(B158,'BOOST LIBERADO'!B:B,'BOOST LIBERADO'!B:B,"Não")="Não","Não","Sim")</f>
        <v>Sim</v>
      </c>
      <c r="J158" s="83" t="str">
        <f t="shared" si="4"/>
        <v>Sim</v>
      </c>
      <c r="K158" s="12">
        <f>SUMIFS(BASE!$G:$G,BASE!$B:$B,$B158,BASE!$L:$L,$G158,BASE!$J:$J,$C158,BASE!$A:$A,K$2)</f>
        <v>0</v>
      </c>
      <c r="L158" s="12">
        <f>SUMIFS(BASE!$G:$G,BASE!$B:$B,$B158,BASE!$L:$L,$G158,BASE!$J:$J,$C158,BASE!$A:$A,L$2)</f>
        <v>0</v>
      </c>
      <c r="M158" s="12">
        <f>SUMIFS(BASE!$G:$G,BASE!$B:$B,$B158,BASE!$L:$L,$G158,BASE!$J:$J,$C158,BASE!$A:$A,M$2)</f>
        <v>0</v>
      </c>
      <c r="N158" s="12">
        <f>SUMIFS(BASE!$G:$G,BASE!$B:$B,$B158,BASE!$L:$L,$G158,BASE!$J:$J,$C158,BASE!$A:$A,N$2)</f>
        <v>0</v>
      </c>
      <c r="O158" s="12">
        <f>SUMIFS(BASE!$G:$G,BASE!$B:$B,$B158,BASE!$L:$L,$G158,BASE!$J:$J,$C158,BASE!$A:$A,O$2)</f>
        <v>0</v>
      </c>
      <c r="P158" s="12">
        <f>SUMIFS(BASE!$G:$G,BASE!$B:$B,$B158,BASE!$L:$L,$G158,BASE!$J:$J,$C158,BASE!$A:$A,P$2)</f>
        <v>0</v>
      </c>
      <c r="Q158" s="12">
        <f>SUMIFS(BASE!$G:$G,BASE!$B:$B,$B158,BASE!$L:$L,$G158,BASE!$J:$J,$C158,BASE!$A:$A,Q$2)</f>
        <v>0</v>
      </c>
      <c r="R158" s="12">
        <f>SUMIFS(BASE!$G:$G,BASE!$B:$B,$B158,BASE!$L:$L,$G158,BASE!$J:$J,$C158,BASE!$A:$A,R$2)</f>
        <v>0</v>
      </c>
      <c r="S158" s="12">
        <f>SUMIFS(BASE!$G:$G,BASE!$B:$B,$B158,BASE!$L:$L,$G158,BASE!$J:$J,$C158,BASE!$A:$A,S$2)</f>
        <v>0</v>
      </c>
      <c r="T158" s="12">
        <f>SUMIFS(BASE!$G:$G,BASE!$B:$B,$B158,BASE!$L:$L,$G158,BASE!$J:$J,$C158,BASE!$A:$A,T$2)</f>
        <v>0</v>
      </c>
      <c r="U158" s="12">
        <f>SUMIFS(BASE!$G:$G,BASE!$B:$B,$B158,BASE!$L:$L,$G158,BASE!$J:$J,$C158,BASE!$A:$A,U$2)</f>
        <v>0</v>
      </c>
      <c r="V158" s="12">
        <f>SUMIFS(BASE!$G:$G,BASE!$B:$B,$B158,BASE!$L:$L,$G158,BASE!$J:$J,$C158,BASE!$A:$A,V$2)</f>
        <v>0</v>
      </c>
      <c r="X158" t="str">
        <f t="shared" si="5"/>
        <v>ZERADO</v>
      </c>
    </row>
    <row r="159" spans="2:24">
      <c r="B159" s="8" t="s">
        <v>552</v>
      </c>
      <c r="C159" s="8" t="s">
        <v>228</v>
      </c>
      <c r="D159" s="8" t="s">
        <v>482</v>
      </c>
      <c r="E159" s="8" t="s">
        <v>474</v>
      </c>
      <c r="F159" s="8" t="s">
        <v>483</v>
      </c>
      <c r="G159" s="8" t="s">
        <v>56</v>
      </c>
      <c r="H159" s="7" t="str">
        <f>IFERROR(IF(_xlfn.XLOOKUP(B159,REPASSE!D:D,REPASSE!D:D)="","Não","Sim"),"Não")</f>
        <v>Não</v>
      </c>
      <c r="I159" s="7" t="str">
        <f>IF(_xlfn.XLOOKUP(B159,'BOOST LIBERADO'!B:B,'BOOST LIBERADO'!B:B,"Não")="Não","Não","Sim")</f>
        <v>Sim</v>
      </c>
      <c r="J159" s="83" t="str">
        <f t="shared" si="4"/>
        <v>Sim</v>
      </c>
      <c r="K159" s="12">
        <f>SUMIFS(BASE!$G:$G,BASE!$B:$B,$B159,BASE!$L:$L,$G159,BASE!$J:$J,$C159,BASE!$A:$A,K$2)</f>
        <v>11</v>
      </c>
      <c r="L159" s="12">
        <f>SUMIFS(BASE!$G:$G,BASE!$B:$B,$B159,BASE!$L:$L,$G159,BASE!$J:$J,$C159,BASE!$A:$A,L$2)</f>
        <v>7</v>
      </c>
      <c r="M159" s="12">
        <f>SUMIFS(BASE!$G:$G,BASE!$B:$B,$B159,BASE!$L:$L,$G159,BASE!$J:$J,$C159,BASE!$A:$A,M$2)</f>
        <v>20</v>
      </c>
      <c r="N159" s="12">
        <f>SUMIFS(BASE!$G:$G,BASE!$B:$B,$B159,BASE!$L:$L,$G159,BASE!$J:$J,$C159,BASE!$A:$A,N$2)</f>
        <v>23</v>
      </c>
      <c r="O159" s="12">
        <f>SUMIFS(BASE!$G:$G,BASE!$B:$B,$B159,BASE!$L:$L,$G159,BASE!$J:$J,$C159,BASE!$A:$A,O$2)</f>
        <v>8</v>
      </c>
      <c r="P159" s="12">
        <f>SUMIFS(BASE!$G:$G,BASE!$B:$B,$B159,BASE!$L:$L,$G159,BASE!$J:$J,$C159,BASE!$A:$A,P$2)</f>
        <v>27</v>
      </c>
      <c r="Q159" s="12">
        <f>SUMIFS(BASE!$G:$G,BASE!$B:$B,$B159,BASE!$L:$L,$G159,BASE!$J:$J,$C159,BASE!$A:$A,Q$2)</f>
        <v>55</v>
      </c>
      <c r="R159" s="12">
        <f>SUMIFS(BASE!$G:$G,BASE!$B:$B,$B159,BASE!$L:$L,$G159,BASE!$J:$J,$C159,BASE!$A:$A,R$2)</f>
        <v>32</v>
      </c>
      <c r="S159" s="12">
        <f>SUMIFS(BASE!$G:$G,BASE!$B:$B,$B159,BASE!$L:$L,$G159,BASE!$J:$J,$C159,BASE!$A:$A,S$2)</f>
        <v>0</v>
      </c>
      <c r="T159" s="12">
        <f>SUMIFS(BASE!$G:$G,BASE!$B:$B,$B159,BASE!$L:$L,$G159,BASE!$J:$J,$C159,BASE!$A:$A,T$2)</f>
        <v>0</v>
      </c>
      <c r="U159" s="12">
        <f>SUMIFS(BASE!$G:$G,BASE!$B:$B,$B159,BASE!$L:$L,$G159,BASE!$J:$J,$C159,BASE!$A:$A,U$2)</f>
        <v>0</v>
      </c>
      <c r="V159" s="12">
        <f>SUMIFS(BASE!$G:$G,BASE!$B:$B,$B159,BASE!$L:$L,$G159,BASE!$J:$J,$C159,BASE!$A:$A,V$2)</f>
        <v>0</v>
      </c>
      <c r="X159" t="str">
        <f t="shared" si="5"/>
        <v>COM TROCAS</v>
      </c>
    </row>
    <row r="160" spans="2:24">
      <c r="B160" s="8" t="s">
        <v>553</v>
      </c>
      <c r="C160" s="8" t="s">
        <v>235</v>
      </c>
      <c r="D160" s="8" t="s">
        <v>457</v>
      </c>
      <c r="E160" s="8" t="s">
        <v>454</v>
      </c>
      <c r="F160" s="8" t="s">
        <v>554</v>
      </c>
      <c r="G160" s="8" t="s">
        <v>56</v>
      </c>
      <c r="H160" s="7" t="str">
        <f>IFERROR(IF(_xlfn.XLOOKUP(B160,REPASSE!D:D,REPASSE!D:D)="","Não","Sim"),"Não")</f>
        <v>Não</v>
      </c>
      <c r="I160" s="7" t="str">
        <f>IF(_xlfn.XLOOKUP(B160,'BOOST LIBERADO'!B:B,'BOOST LIBERADO'!B:B,"Não")="Não","Não","Sim")</f>
        <v>Sim</v>
      </c>
      <c r="J160" s="83" t="str">
        <f t="shared" si="4"/>
        <v>Sim</v>
      </c>
      <c r="K160" s="12">
        <f>SUMIFS(BASE!$G:$G,BASE!$B:$B,$B160,BASE!$L:$L,$G160,BASE!$J:$J,$C160,BASE!$A:$A,K$2)</f>
        <v>0</v>
      </c>
      <c r="L160" s="12">
        <f>SUMIFS(BASE!$G:$G,BASE!$B:$B,$B160,BASE!$L:$L,$G160,BASE!$J:$J,$C160,BASE!$A:$A,L$2)</f>
        <v>1</v>
      </c>
      <c r="M160" s="12">
        <f>SUMIFS(BASE!$G:$G,BASE!$B:$B,$B160,BASE!$L:$L,$G160,BASE!$J:$J,$C160,BASE!$A:$A,M$2)</f>
        <v>0</v>
      </c>
      <c r="N160" s="12">
        <f>SUMIFS(BASE!$G:$G,BASE!$B:$B,$B160,BASE!$L:$L,$G160,BASE!$J:$J,$C160,BASE!$A:$A,N$2)</f>
        <v>1</v>
      </c>
      <c r="O160" s="12">
        <f>SUMIFS(BASE!$G:$G,BASE!$B:$B,$B160,BASE!$L:$L,$G160,BASE!$J:$J,$C160,BASE!$A:$A,O$2)</f>
        <v>0</v>
      </c>
      <c r="P160" s="12">
        <f>SUMIFS(BASE!$G:$G,BASE!$B:$B,$B160,BASE!$L:$L,$G160,BASE!$J:$J,$C160,BASE!$A:$A,P$2)</f>
        <v>1</v>
      </c>
      <c r="Q160" s="12">
        <f>SUMIFS(BASE!$G:$G,BASE!$B:$B,$B160,BASE!$L:$L,$G160,BASE!$J:$J,$C160,BASE!$A:$A,Q$2)</f>
        <v>0</v>
      </c>
      <c r="R160" s="12">
        <f>SUMIFS(BASE!$G:$G,BASE!$B:$B,$B160,BASE!$L:$L,$G160,BASE!$J:$J,$C160,BASE!$A:$A,R$2)</f>
        <v>0</v>
      </c>
      <c r="S160" s="12">
        <f>SUMIFS(BASE!$G:$G,BASE!$B:$B,$B160,BASE!$L:$L,$G160,BASE!$J:$J,$C160,BASE!$A:$A,S$2)</f>
        <v>0</v>
      </c>
      <c r="T160" s="12">
        <f>SUMIFS(BASE!$G:$G,BASE!$B:$B,$B160,BASE!$L:$L,$G160,BASE!$J:$J,$C160,BASE!$A:$A,T$2)</f>
        <v>0</v>
      </c>
      <c r="U160" s="12">
        <f>SUMIFS(BASE!$G:$G,BASE!$B:$B,$B160,BASE!$L:$L,$G160,BASE!$J:$J,$C160,BASE!$A:$A,U$2)</f>
        <v>0</v>
      </c>
      <c r="V160" s="12">
        <f>SUMIFS(BASE!$G:$G,BASE!$B:$B,$B160,BASE!$L:$L,$G160,BASE!$J:$J,$C160,BASE!$A:$A,V$2)</f>
        <v>0</v>
      </c>
      <c r="X160" t="str">
        <f t="shared" si="5"/>
        <v>ZERADO</v>
      </c>
    </row>
    <row r="161" spans="2:24">
      <c r="B161" s="8" t="s">
        <v>555</v>
      </c>
      <c r="C161" s="9" t="s">
        <v>201</v>
      </c>
      <c r="D161" s="9" t="s">
        <v>432</v>
      </c>
      <c r="E161" s="9" t="s">
        <v>429</v>
      </c>
      <c r="F161" s="9" t="s">
        <v>433</v>
      </c>
      <c r="G161" s="9" t="s">
        <v>56</v>
      </c>
      <c r="H161" s="7" t="str">
        <f>IFERROR(IF(_xlfn.XLOOKUP(B161,REPASSE!D:D,REPASSE!D:D)="","Não","Sim"),"Não")</f>
        <v>Não</v>
      </c>
      <c r="I161" s="7" t="str">
        <f>IF(_xlfn.XLOOKUP(B161,'BOOST LIBERADO'!B:B,'BOOST LIBERADO'!B:B,"Não")="Não","Não","Sim")</f>
        <v>Sim</v>
      </c>
      <c r="J161" s="83" t="str">
        <f t="shared" si="4"/>
        <v>Sim</v>
      </c>
      <c r="K161" s="12">
        <f>SUMIFS(BASE!$G:$G,BASE!$B:$B,$B161,BASE!$L:$L,$G161,BASE!$J:$J,$C161,BASE!$A:$A,K$2)</f>
        <v>0</v>
      </c>
      <c r="L161" s="12">
        <f>SUMIFS(BASE!$G:$G,BASE!$B:$B,$B161,BASE!$L:$L,$G161,BASE!$J:$J,$C161,BASE!$A:$A,L$2)</f>
        <v>0</v>
      </c>
      <c r="M161" s="12">
        <f>SUMIFS(BASE!$G:$G,BASE!$B:$B,$B161,BASE!$L:$L,$G161,BASE!$J:$J,$C161,BASE!$A:$A,M$2)</f>
        <v>0</v>
      </c>
      <c r="N161" s="12">
        <f>SUMIFS(BASE!$G:$G,BASE!$B:$B,$B161,BASE!$L:$L,$G161,BASE!$J:$J,$C161,BASE!$A:$A,N$2)</f>
        <v>0</v>
      </c>
      <c r="O161" s="12">
        <f>SUMIFS(BASE!$G:$G,BASE!$B:$B,$B161,BASE!$L:$L,$G161,BASE!$J:$J,$C161,BASE!$A:$A,O$2)</f>
        <v>0</v>
      </c>
      <c r="P161" s="12">
        <f>SUMIFS(BASE!$G:$G,BASE!$B:$B,$B161,BASE!$L:$L,$G161,BASE!$J:$J,$C161,BASE!$A:$A,P$2)</f>
        <v>0</v>
      </c>
      <c r="Q161" s="12">
        <f>SUMIFS(BASE!$G:$G,BASE!$B:$B,$B161,BASE!$L:$L,$G161,BASE!$J:$J,$C161,BASE!$A:$A,Q$2)</f>
        <v>0</v>
      </c>
      <c r="R161" s="12">
        <f>SUMIFS(BASE!$G:$G,BASE!$B:$B,$B161,BASE!$L:$L,$G161,BASE!$J:$J,$C161,BASE!$A:$A,R$2)</f>
        <v>0</v>
      </c>
      <c r="S161" s="12">
        <f>SUMIFS(BASE!$G:$G,BASE!$B:$B,$B161,BASE!$L:$L,$G161,BASE!$J:$J,$C161,BASE!$A:$A,S$2)</f>
        <v>0</v>
      </c>
      <c r="T161" s="12">
        <f>SUMIFS(BASE!$G:$G,BASE!$B:$B,$B161,BASE!$L:$L,$G161,BASE!$J:$J,$C161,BASE!$A:$A,T$2)</f>
        <v>0</v>
      </c>
      <c r="U161" s="12">
        <f>SUMIFS(BASE!$G:$G,BASE!$B:$B,$B161,BASE!$L:$L,$G161,BASE!$J:$J,$C161,BASE!$A:$A,U$2)</f>
        <v>0</v>
      </c>
      <c r="V161" s="12">
        <f>SUMIFS(BASE!$G:$G,BASE!$B:$B,$B161,BASE!$L:$L,$G161,BASE!$J:$J,$C161,BASE!$A:$A,V$2)</f>
        <v>0</v>
      </c>
      <c r="X161" t="str">
        <f t="shared" si="5"/>
        <v>ZERADO</v>
      </c>
    </row>
    <row r="162" spans="2:24">
      <c r="B162" s="8" t="s">
        <v>556</v>
      </c>
      <c r="C162" s="9" t="s">
        <v>167</v>
      </c>
      <c r="D162" s="9" t="s">
        <v>453</v>
      </c>
      <c r="E162" s="9" t="s">
        <v>454</v>
      </c>
      <c r="F162" s="9" t="s">
        <v>546</v>
      </c>
      <c r="G162" s="9" t="s">
        <v>56</v>
      </c>
      <c r="H162" s="7" t="str">
        <f>IFERROR(IF(_xlfn.XLOOKUP(B162,REPASSE!D:D,REPASSE!D:D)="","Não","Sim"),"Não")</f>
        <v>Não</v>
      </c>
      <c r="I162" s="7" t="str">
        <f>IF(_xlfn.XLOOKUP(B162,'BOOST LIBERADO'!B:B,'BOOST LIBERADO'!B:B,"Não")="Não","Não","Sim")</f>
        <v>Sim</v>
      </c>
      <c r="J162" s="83" t="str">
        <f t="shared" si="4"/>
        <v>Sim</v>
      </c>
      <c r="K162" s="12">
        <f>SUMIFS(BASE!$G:$G,BASE!$B:$B,$B162,BASE!$L:$L,$G162,BASE!$J:$J,$C162,BASE!$A:$A,K$2)</f>
        <v>0</v>
      </c>
      <c r="L162" s="12">
        <f>SUMIFS(BASE!$G:$G,BASE!$B:$B,$B162,BASE!$L:$L,$G162,BASE!$J:$J,$C162,BASE!$A:$A,L$2)</f>
        <v>0</v>
      </c>
      <c r="M162" s="12">
        <f>SUMIFS(BASE!$G:$G,BASE!$B:$B,$B162,BASE!$L:$L,$G162,BASE!$J:$J,$C162,BASE!$A:$A,M$2)</f>
        <v>0</v>
      </c>
      <c r="N162" s="12">
        <f>SUMIFS(BASE!$G:$G,BASE!$B:$B,$B162,BASE!$L:$L,$G162,BASE!$J:$J,$C162,BASE!$A:$A,N$2)</f>
        <v>0</v>
      </c>
      <c r="O162" s="12">
        <f>SUMIFS(BASE!$G:$G,BASE!$B:$B,$B162,BASE!$L:$L,$G162,BASE!$J:$J,$C162,BASE!$A:$A,O$2)</f>
        <v>0</v>
      </c>
      <c r="P162" s="12">
        <f>SUMIFS(BASE!$G:$G,BASE!$B:$B,$B162,BASE!$L:$L,$G162,BASE!$J:$J,$C162,BASE!$A:$A,P$2)</f>
        <v>0</v>
      </c>
      <c r="Q162" s="12">
        <f>SUMIFS(BASE!$G:$G,BASE!$B:$B,$B162,BASE!$L:$L,$G162,BASE!$J:$J,$C162,BASE!$A:$A,Q$2)</f>
        <v>0</v>
      </c>
      <c r="R162" s="12">
        <f>SUMIFS(BASE!$G:$G,BASE!$B:$B,$B162,BASE!$L:$L,$G162,BASE!$J:$J,$C162,BASE!$A:$A,R$2)</f>
        <v>0</v>
      </c>
      <c r="S162" s="12">
        <f>SUMIFS(BASE!$G:$G,BASE!$B:$B,$B162,BASE!$L:$L,$G162,BASE!$J:$J,$C162,BASE!$A:$A,S$2)</f>
        <v>0</v>
      </c>
      <c r="T162" s="12">
        <f>SUMIFS(BASE!$G:$G,BASE!$B:$B,$B162,BASE!$L:$L,$G162,BASE!$J:$J,$C162,BASE!$A:$A,T$2)</f>
        <v>0</v>
      </c>
      <c r="U162" s="12">
        <f>SUMIFS(BASE!$G:$G,BASE!$B:$B,$B162,BASE!$L:$L,$G162,BASE!$J:$J,$C162,BASE!$A:$A,U$2)</f>
        <v>0</v>
      </c>
      <c r="V162" s="12">
        <f>SUMIFS(BASE!$G:$G,BASE!$B:$B,$B162,BASE!$L:$L,$G162,BASE!$J:$J,$C162,BASE!$A:$A,V$2)</f>
        <v>0</v>
      </c>
      <c r="X162" t="str">
        <f t="shared" si="5"/>
        <v>ZERADO</v>
      </c>
    </row>
    <row r="163" spans="2:24">
      <c r="B163" s="8" t="s">
        <v>557</v>
      </c>
      <c r="C163" s="9" t="s">
        <v>129</v>
      </c>
      <c r="D163" s="9" t="s">
        <v>443</v>
      </c>
      <c r="E163" s="9" t="s">
        <v>437</v>
      </c>
      <c r="F163" s="9" t="s">
        <v>558</v>
      </c>
      <c r="G163" s="9" t="s">
        <v>56</v>
      </c>
      <c r="H163" s="7" t="str">
        <f>IFERROR(IF(_xlfn.XLOOKUP(B163,REPASSE!D:D,REPASSE!D:D)="","Não","Sim"),"Não")</f>
        <v>Não</v>
      </c>
      <c r="I163" s="7" t="str">
        <f>IF(_xlfn.XLOOKUP(B163,'BOOST LIBERADO'!B:B,'BOOST LIBERADO'!B:B,"Não")="Não","Não","Sim")</f>
        <v>Sim</v>
      </c>
      <c r="J163" s="83" t="str">
        <f t="shared" si="4"/>
        <v>Sim</v>
      </c>
      <c r="K163" s="12">
        <f>SUMIFS(BASE!$G:$G,BASE!$B:$B,$B163,BASE!$L:$L,$G163,BASE!$J:$J,$C163,BASE!$A:$A,K$2)</f>
        <v>0</v>
      </c>
      <c r="L163" s="12">
        <f>SUMIFS(BASE!$G:$G,BASE!$B:$B,$B163,BASE!$L:$L,$G163,BASE!$J:$J,$C163,BASE!$A:$A,L$2)</f>
        <v>0</v>
      </c>
      <c r="M163" s="12">
        <f>SUMIFS(BASE!$G:$G,BASE!$B:$B,$B163,BASE!$L:$L,$G163,BASE!$J:$J,$C163,BASE!$A:$A,M$2)</f>
        <v>0</v>
      </c>
      <c r="N163" s="12">
        <f>SUMIFS(BASE!$G:$G,BASE!$B:$B,$B163,BASE!$L:$L,$G163,BASE!$J:$J,$C163,BASE!$A:$A,N$2)</f>
        <v>0</v>
      </c>
      <c r="O163" s="12">
        <f>SUMIFS(BASE!$G:$G,BASE!$B:$B,$B163,BASE!$L:$L,$G163,BASE!$J:$J,$C163,BASE!$A:$A,O$2)</f>
        <v>0</v>
      </c>
      <c r="P163" s="12">
        <f>SUMIFS(BASE!$G:$G,BASE!$B:$B,$B163,BASE!$L:$L,$G163,BASE!$J:$J,$C163,BASE!$A:$A,P$2)</f>
        <v>0</v>
      </c>
      <c r="Q163" s="12">
        <f>SUMIFS(BASE!$G:$G,BASE!$B:$B,$B163,BASE!$L:$L,$G163,BASE!$J:$J,$C163,BASE!$A:$A,Q$2)</f>
        <v>0</v>
      </c>
      <c r="R163" s="12">
        <f>SUMIFS(BASE!$G:$G,BASE!$B:$B,$B163,BASE!$L:$L,$G163,BASE!$J:$J,$C163,BASE!$A:$A,R$2)</f>
        <v>0</v>
      </c>
      <c r="S163" s="12">
        <f>SUMIFS(BASE!$G:$G,BASE!$B:$B,$B163,BASE!$L:$L,$G163,BASE!$J:$J,$C163,BASE!$A:$A,S$2)</f>
        <v>0</v>
      </c>
      <c r="T163" s="12">
        <f>SUMIFS(BASE!$G:$G,BASE!$B:$B,$B163,BASE!$L:$L,$G163,BASE!$J:$J,$C163,BASE!$A:$A,T$2)</f>
        <v>0</v>
      </c>
      <c r="U163" s="12">
        <f>SUMIFS(BASE!$G:$G,BASE!$B:$B,$B163,BASE!$L:$L,$G163,BASE!$J:$J,$C163,BASE!$A:$A,U$2)</f>
        <v>0</v>
      </c>
      <c r="V163" s="12">
        <f>SUMIFS(BASE!$G:$G,BASE!$B:$B,$B163,BASE!$L:$L,$G163,BASE!$J:$J,$C163,BASE!$A:$A,V$2)</f>
        <v>0</v>
      </c>
      <c r="X163" t="str">
        <f t="shared" si="5"/>
        <v>ZERADO</v>
      </c>
    </row>
    <row r="164" spans="2:24">
      <c r="B164" s="8" t="s">
        <v>559</v>
      </c>
      <c r="C164" s="9" t="s">
        <v>213</v>
      </c>
      <c r="D164" s="9" t="s">
        <v>482</v>
      </c>
      <c r="E164" s="9" t="s">
        <v>474</v>
      </c>
      <c r="F164" s="9" t="s">
        <v>483</v>
      </c>
      <c r="G164" s="9" t="s">
        <v>56</v>
      </c>
      <c r="H164" s="7" t="str">
        <f>IFERROR(IF(_xlfn.XLOOKUP(B164,REPASSE!D:D,REPASSE!D:D)="","Não","Sim"),"Não")</f>
        <v>Não</v>
      </c>
      <c r="I164" s="7" t="str">
        <f>IF(_xlfn.XLOOKUP(B164,'BOOST LIBERADO'!B:B,'BOOST LIBERADO'!B:B,"Não")="Não","Não","Sim")</f>
        <v>Sim</v>
      </c>
      <c r="J164" s="83" t="str">
        <f t="shared" si="4"/>
        <v>Sim</v>
      </c>
      <c r="K164" s="12">
        <f>SUMIFS(BASE!$G:$G,BASE!$B:$B,$B164,BASE!$L:$L,$G164,BASE!$J:$J,$C164,BASE!$A:$A,K$2)</f>
        <v>0</v>
      </c>
      <c r="L164" s="12">
        <f>SUMIFS(BASE!$G:$G,BASE!$B:$B,$B164,BASE!$L:$L,$G164,BASE!$J:$J,$C164,BASE!$A:$A,L$2)</f>
        <v>0</v>
      </c>
      <c r="M164" s="12">
        <f>SUMIFS(BASE!$G:$G,BASE!$B:$B,$B164,BASE!$L:$L,$G164,BASE!$J:$J,$C164,BASE!$A:$A,M$2)</f>
        <v>0</v>
      </c>
      <c r="N164" s="12">
        <f>SUMIFS(BASE!$G:$G,BASE!$B:$B,$B164,BASE!$L:$L,$G164,BASE!$J:$J,$C164,BASE!$A:$A,N$2)</f>
        <v>0</v>
      </c>
      <c r="O164" s="12">
        <f>SUMIFS(BASE!$G:$G,BASE!$B:$B,$B164,BASE!$L:$L,$G164,BASE!$J:$J,$C164,BASE!$A:$A,O$2)</f>
        <v>0</v>
      </c>
      <c r="P164" s="12">
        <f>SUMIFS(BASE!$G:$G,BASE!$B:$B,$B164,BASE!$L:$L,$G164,BASE!$J:$J,$C164,BASE!$A:$A,P$2)</f>
        <v>0</v>
      </c>
      <c r="Q164" s="12">
        <f>SUMIFS(BASE!$G:$G,BASE!$B:$B,$B164,BASE!$L:$L,$G164,BASE!$J:$J,$C164,BASE!$A:$A,Q$2)</f>
        <v>0</v>
      </c>
      <c r="R164" s="12">
        <f>SUMIFS(BASE!$G:$G,BASE!$B:$B,$B164,BASE!$L:$L,$G164,BASE!$J:$J,$C164,BASE!$A:$A,R$2)</f>
        <v>0</v>
      </c>
      <c r="S164" s="12">
        <f>SUMIFS(BASE!$G:$G,BASE!$B:$B,$B164,BASE!$L:$L,$G164,BASE!$J:$J,$C164,BASE!$A:$A,S$2)</f>
        <v>0</v>
      </c>
      <c r="T164" s="12">
        <f>SUMIFS(BASE!$G:$G,BASE!$B:$B,$B164,BASE!$L:$L,$G164,BASE!$J:$J,$C164,BASE!$A:$A,T$2)</f>
        <v>0</v>
      </c>
      <c r="U164" s="12">
        <f>SUMIFS(BASE!$G:$G,BASE!$B:$B,$B164,BASE!$L:$L,$G164,BASE!$J:$J,$C164,BASE!$A:$A,U$2)</f>
        <v>0</v>
      </c>
      <c r="V164" s="12">
        <f>SUMIFS(BASE!$G:$G,BASE!$B:$B,$B164,BASE!$L:$L,$G164,BASE!$J:$J,$C164,BASE!$A:$A,V$2)</f>
        <v>0</v>
      </c>
      <c r="X164" t="str">
        <f t="shared" si="5"/>
        <v>ZERADO</v>
      </c>
    </row>
    <row r="165" spans="2:24">
      <c r="B165" s="8" t="s">
        <v>560</v>
      </c>
      <c r="C165" s="9" t="s">
        <v>201</v>
      </c>
      <c r="D165" s="9" t="s">
        <v>432</v>
      </c>
      <c r="E165" s="9" t="s">
        <v>429</v>
      </c>
      <c r="F165" s="9" t="s">
        <v>561</v>
      </c>
      <c r="G165" s="9" t="s">
        <v>56</v>
      </c>
      <c r="H165" s="7" t="str">
        <f>IFERROR(IF(_xlfn.XLOOKUP(B165,REPASSE!D:D,REPASSE!D:D)="","Não","Sim"),"Não")</f>
        <v>Não</v>
      </c>
      <c r="I165" s="7" t="str">
        <f>IF(_xlfn.XLOOKUP(B165,'BOOST LIBERADO'!B:B,'BOOST LIBERADO'!B:B,"Não")="Não","Não","Sim")</f>
        <v>Sim</v>
      </c>
      <c r="J165" s="83" t="str">
        <f t="shared" si="4"/>
        <v>Sim</v>
      </c>
      <c r="K165" s="12">
        <f>SUMIFS(BASE!$G:$G,BASE!$B:$B,$B165,BASE!$L:$L,$G165,BASE!$J:$J,$C165,BASE!$A:$A,K$2)</f>
        <v>0</v>
      </c>
      <c r="L165" s="12">
        <f>SUMIFS(BASE!$G:$G,BASE!$B:$B,$B165,BASE!$L:$L,$G165,BASE!$J:$J,$C165,BASE!$A:$A,L$2)</f>
        <v>0</v>
      </c>
      <c r="M165" s="12">
        <f>SUMIFS(BASE!$G:$G,BASE!$B:$B,$B165,BASE!$L:$L,$G165,BASE!$J:$J,$C165,BASE!$A:$A,M$2)</f>
        <v>0</v>
      </c>
      <c r="N165" s="12">
        <f>SUMIFS(BASE!$G:$G,BASE!$B:$B,$B165,BASE!$L:$L,$G165,BASE!$J:$J,$C165,BASE!$A:$A,N$2)</f>
        <v>0</v>
      </c>
      <c r="O165" s="12">
        <f>SUMIFS(BASE!$G:$G,BASE!$B:$B,$B165,BASE!$L:$L,$G165,BASE!$J:$J,$C165,BASE!$A:$A,O$2)</f>
        <v>0</v>
      </c>
      <c r="P165" s="12">
        <f>SUMIFS(BASE!$G:$G,BASE!$B:$B,$B165,BASE!$L:$L,$G165,BASE!$J:$J,$C165,BASE!$A:$A,P$2)</f>
        <v>0</v>
      </c>
      <c r="Q165" s="12">
        <f>SUMIFS(BASE!$G:$G,BASE!$B:$B,$B165,BASE!$L:$L,$G165,BASE!$J:$J,$C165,BASE!$A:$A,Q$2)</f>
        <v>0</v>
      </c>
      <c r="R165" s="12">
        <f>SUMIFS(BASE!$G:$G,BASE!$B:$B,$B165,BASE!$L:$L,$G165,BASE!$J:$J,$C165,BASE!$A:$A,R$2)</f>
        <v>0</v>
      </c>
      <c r="S165" s="12">
        <f>SUMIFS(BASE!$G:$G,BASE!$B:$B,$B165,BASE!$L:$L,$G165,BASE!$J:$J,$C165,BASE!$A:$A,S$2)</f>
        <v>0</v>
      </c>
      <c r="T165" s="12">
        <f>SUMIFS(BASE!$G:$G,BASE!$B:$B,$B165,BASE!$L:$L,$G165,BASE!$J:$J,$C165,BASE!$A:$A,T$2)</f>
        <v>0</v>
      </c>
      <c r="U165" s="12">
        <f>SUMIFS(BASE!$G:$G,BASE!$B:$B,$B165,BASE!$L:$L,$G165,BASE!$J:$J,$C165,BASE!$A:$A,U$2)</f>
        <v>0</v>
      </c>
      <c r="V165" s="12">
        <f>SUMIFS(BASE!$G:$G,BASE!$B:$B,$B165,BASE!$L:$L,$G165,BASE!$J:$J,$C165,BASE!$A:$A,V$2)</f>
        <v>0</v>
      </c>
      <c r="X165" t="str">
        <f t="shared" si="5"/>
        <v>ZERADO</v>
      </c>
    </row>
    <row r="166" spans="2:24">
      <c r="B166" s="8" t="s">
        <v>562</v>
      </c>
      <c r="C166" s="9" t="s">
        <v>106</v>
      </c>
      <c r="D166" s="9" t="s">
        <v>451</v>
      </c>
      <c r="E166" s="9" t="s">
        <v>429</v>
      </c>
      <c r="F166" s="9" t="s">
        <v>507</v>
      </c>
      <c r="G166" s="9" t="s">
        <v>56</v>
      </c>
      <c r="H166" s="7" t="str">
        <f>IFERROR(IF(_xlfn.XLOOKUP(B166,REPASSE!D:D,REPASSE!D:D)="","Não","Sim"),"Não")</f>
        <v>Não</v>
      </c>
      <c r="I166" s="7" t="str">
        <f>IF(_xlfn.XLOOKUP(B166,'BOOST LIBERADO'!B:B,'BOOST LIBERADO'!B:B,"Não")="Não","Não","Sim")</f>
        <v>Sim</v>
      </c>
      <c r="J166" s="83" t="str">
        <f t="shared" si="4"/>
        <v>Sim</v>
      </c>
      <c r="K166" s="12">
        <f>SUMIFS(BASE!$G:$G,BASE!$B:$B,$B166,BASE!$L:$L,$G166,BASE!$J:$J,$C166,BASE!$A:$A,K$2)</f>
        <v>0</v>
      </c>
      <c r="L166" s="12">
        <f>SUMIFS(BASE!$G:$G,BASE!$B:$B,$B166,BASE!$L:$L,$G166,BASE!$J:$J,$C166,BASE!$A:$A,L$2)</f>
        <v>0</v>
      </c>
      <c r="M166" s="12">
        <f>SUMIFS(BASE!$G:$G,BASE!$B:$B,$B166,BASE!$L:$L,$G166,BASE!$J:$J,$C166,BASE!$A:$A,M$2)</f>
        <v>1</v>
      </c>
      <c r="N166" s="12">
        <f>SUMIFS(BASE!$G:$G,BASE!$B:$B,$B166,BASE!$L:$L,$G166,BASE!$J:$J,$C166,BASE!$A:$A,N$2)</f>
        <v>0</v>
      </c>
      <c r="O166" s="12">
        <f>SUMIFS(BASE!$G:$G,BASE!$B:$B,$B166,BASE!$L:$L,$G166,BASE!$J:$J,$C166,BASE!$A:$A,O$2)</f>
        <v>4</v>
      </c>
      <c r="P166" s="12">
        <f>SUMIFS(BASE!$G:$G,BASE!$B:$B,$B166,BASE!$L:$L,$G166,BASE!$J:$J,$C166,BASE!$A:$A,P$2)</f>
        <v>1</v>
      </c>
      <c r="Q166" s="12">
        <f>SUMIFS(BASE!$G:$G,BASE!$B:$B,$B166,BASE!$L:$L,$G166,BASE!$J:$J,$C166,BASE!$A:$A,Q$2)</f>
        <v>6</v>
      </c>
      <c r="R166" s="12">
        <f>SUMIFS(BASE!$G:$G,BASE!$B:$B,$B166,BASE!$L:$L,$G166,BASE!$J:$J,$C166,BASE!$A:$A,R$2)</f>
        <v>6</v>
      </c>
      <c r="S166" s="12">
        <f>SUMIFS(BASE!$G:$G,BASE!$B:$B,$B166,BASE!$L:$L,$G166,BASE!$J:$J,$C166,BASE!$A:$A,S$2)</f>
        <v>0</v>
      </c>
      <c r="T166" s="12">
        <f>SUMIFS(BASE!$G:$G,BASE!$B:$B,$B166,BASE!$L:$L,$G166,BASE!$J:$J,$C166,BASE!$A:$A,T$2)</f>
        <v>0</v>
      </c>
      <c r="U166" s="12">
        <f>SUMIFS(BASE!$G:$G,BASE!$B:$B,$B166,BASE!$L:$L,$G166,BASE!$J:$J,$C166,BASE!$A:$A,U$2)</f>
        <v>0</v>
      </c>
      <c r="V166" s="12">
        <f>SUMIFS(BASE!$G:$G,BASE!$B:$B,$B166,BASE!$L:$L,$G166,BASE!$J:$J,$C166,BASE!$A:$A,V$2)</f>
        <v>0</v>
      </c>
      <c r="X166" t="str">
        <f t="shared" si="5"/>
        <v>COM TROCAS</v>
      </c>
    </row>
    <row r="167" spans="2:24">
      <c r="B167" s="8" t="s">
        <v>563</v>
      </c>
      <c r="C167" s="9" t="s">
        <v>106</v>
      </c>
      <c r="D167" s="9" t="s">
        <v>451</v>
      </c>
      <c r="E167" s="9" t="s">
        <v>429</v>
      </c>
      <c r="F167" s="9" t="s">
        <v>430</v>
      </c>
      <c r="G167" s="9" t="s">
        <v>56</v>
      </c>
      <c r="H167" s="7" t="str">
        <f>IFERROR(IF(_xlfn.XLOOKUP(B167,REPASSE!D:D,REPASSE!D:D)="","Não","Sim"),"Não")</f>
        <v>Não</v>
      </c>
      <c r="I167" s="7" t="str">
        <f>IF(_xlfn.XLOOKUP(B167,'BOOST LIBERADO'!B:B,'BOOST LIBERADO'!B:B,"Não")="Não","Não","Sim")</f>
        <v>Sim</v>
      </c>
      <c r="J167" s="83" t="str">
        <f t="shared" si="4"/>
        <v>Sim</v>
      </c>
      <c r="K167" s="12">
        <f>SUMIFS(BASE!$G:$G,BASE!$B:$B,$B167,BASE!$L:$L,$G167,BASE!$J:$J,$C167,BASE!$A:$A,K$2)</f>
        <v>0</v>
      </c>
      <c r="L167" s="12">
        <f>SUMIFS(BASE!$G:$G,BASE!$B:$B,$B167,BASE!$L:$L,$G167,BASE!$J:$J,$C167,BASE!$A:$A,L$2)</f>
        <v>0</v>
      </c>
      <c r="M167" s="12">
        <f>SUMIFS(BASE!$G:$G,BASE!$B:$B,$B167,BASE!$L:$L,$G167,BASE!$J:$J,$C167,BASE!$A:$A,M$2)</f>
        <v>0</v>
      </c>
      <c r="N167" s="12">
        <f>SUMIFS(BASE!$G:$G,BASE!$B:$B,$B167,BASE!$L:$L,$G167,BASE!$J:$J,$C167,BASE!$A:$A,N$2)</f>
        <v>0</v>
      </c>
      <c r="O167" s="12">
        <f>SUMIFS(BASE!$G:$G,BASE!$B:$B,$B167,BASE!$L:$L,$G167,BASE!$J:$J,$C167,BASE!$A:$A,O$2)</f>
        <v>0</v>
      </c>
      <c r="P167" s="12">
        <f>SUMIFS(BASE!$G:$G,BASE!$B:$B,$B167,BASE!$L:$L,$G167,BASE!$J:$J,$C167,BASE!$A:$A,P$2)</f>
        <v>0</v>
      </c>
      <c r="Q167" s="12">
        <f>SUMIFS(BASE!$G:$G,BASE!$B:$B,$B167,BASE!$L:$L,$G167,BASE!$J:$J,$C167,BASE!$A:$A,Q$2)</f>
        <v>0</v>
      </c>
      <c r="R167" s="12">
        <f>SUMIFS(BASE!$G:$G,BASE!$B:$B,$B167,BASE!$L:$L,$G167,BASE!$J:$J,$C167,BASE!$A:$A,R$2)</f>
        <v>0</v>
      </c>
      <c r="S167" s="12">
        <f>SUMIFS(BASE!$G:$G,BASE!$B:$B,$B167,BASE!$L:$L,$G167,BASE!$J:$J,$C167,BASE!$A:$A,S$2)</f>
        <v>0</v>
      </c>
      <c r="T167" s="12">
        <f>SUMIFS(BASE!$G:$G,BASE!$B:$B,$B167,BASE!$L:$L,$G167,BASE!$J:$J,$C167,BASE!$A:$A,T$2)</f>
        <v>0</v>
      </c>
      <c r="U167" s="12">
        <f>SUMIFS(BASE!$G:$G,BASE!$B:$B,$B167,BASE!$L:$L,$G167,BASE!$J:$J,$C167,BASE!$A:$A,U$2)</f>
        <v>0</v>
      </c>
      <c r="V167" s="12">
        <f>SUMIFS(BASE!$G:$G,BASE!$B:$B,$B167,BASE!$L:$L,$G167,BASE!$J:$J,$C167,BASE!$A:$A,V$2)</f>
        <v>0</v>
      </c>
      <c r="X167" t="str">
        <f t="shared" si="5"/>
        <v>ZERADO</v>
      </c>
    </row>
    <row r="168" spans="2:24">
      <c r="B168" s="8" t="s">
        <v>564</v>
      </c>
      <c r="C168" s="9" t="s">
        <v>106</v>
      </c>
      <c r="D168" s="9" t="s">
        <v>436</v>
      </c>
      <c r="E168" s="9" t="s">
        <v>437</v>
      </c>
      <c r="F168" s="9" t="s">
        <v>509</v>
      </c>
      <c r="G168" s="9" t="s">
        <v>56</v>
      </c>
      <c r="H168" s="7" t="str">
        <f>IFERROR(IF(_xlfn.XLOOKUP(B168,REPASSE!D:D,REPASSE!D:D)="","Não","Sim"),"Não")</f>
        <v>Não</v>
      </c>
      <c r="I168" s="7" t="str">
        <f>IF(_xlfn.XLOOKUP(B168,'BOOST LIBERADO'!B:B,'BOOST LIBERADO'!B:B,"Não")="Não","Não","Sim")</f>
        <v>Sim</v>
      </c>
      <c r="J168" s="83" t="str">
        <f t="shared" si="4"/>
        <v>Sim</v>
      </c>
      <c r="K168" s="12">
        <f>SUMIFS(BASE!$G:$G,BASE!$B:$B,$B168,BASE!$L:$L,$G168,BASE!$J:$J,$C168,BASE!$A:$A,K$2)</f>
        <v>0</v>
      </c>
      <c r="L168" s="12">
        <f>SUMIFS(BASE!$G:$G,BASE!$B:$B,$B168,BASE!$L:$L,$G168,BASE!$J:$J,$C168,BASE!$A:$A,L$2)</f>
        <v>0</v>
      </c>
      <c r="M168" s="12">
        <f>SUMIFS(BASE!$G:$G,BASE!$B:$B,$B168,BASE!$L:$L,$G168,BASE!$J:$J,$C168,BASE!$A:$A,M$2)</f>
        <v>0</v>
      </c>
      <c r="N168" s="12">
        <f>SUMIFS(BASE!$G:$G,BASE!$B:$B,$B168,BASE!$L:$L,$G168,BASE!$J:$J,$C168,BASE!$A:$A,N$2)</f>
        <v>0</v>
      </c>
      <c r="O168" s="12">
        <f>SUMIFS(BASE!$G:$G,BASE!$B:$B,$B168,BASE!$L:$L,$G168,BASE!$J:$J,$C168,BASE!$A:$A,O$2)</f>
        <v>0</v>
      </c>
      <c r="P168" s="12">
        <f>SUMIFS(BASE!$G:$G,BASE!$B:$B,$B168,BASE!$L:$L,$G168,BASE!$J:$J,$C168,BASE!$A:$A,P$2)</f>
        <v>0</v>
      </c>
      <c r="Q168" s="12">
        <f>SUMIFS(BASE!$G:$G,BASE!$B:$B,$B168,BASE!$L:$L,$G168,BASE!$J:$J,$C168,BASE!$A:$A,Q$2)</f>
        <v>0</v>
      </c>
      <c r="R168" s="12">
        <f>SUMIFS(BASE!$G:$G,BASE!$B:$B,$B168,BASE!$L:$L,$G168,BASE!$J:$J,$C168,BASE!$A:$A,R$2)</f>
        <v>0</v>
      </c>
      <c r="S168" s="12">
        <f>SUMIFS(BASE!$G:$G,BASE!$B:$B,$B168,BASE!$L:$L,$G168,BASE!$J:$J,$C168,BASE!$A:$A,S$2)</f>
        <v>0</v>
      </c>
      <c r="T168" s="12">
        <f>SUMIFS(BASE!$G:$G,BASE!$B:$B,$B168,BASE!$L:$L,$G168,BASE!$J:$J,$C168,BASE!$A:$A,T$2)</f>
        <v>0</v>
      </c>
      <c r="U168" s="12">
        <f>SUMIFS(BASE!$G:$G,BASE!$B:$B,$B168,BASE!$L:$L,$G168,BASE!$J:$J,$C168,BASE!$A:$A,U$2)</f>
        <v>0</v>
      </c>
      <c r="V168" s="12">
        <f>SUMIFS(BASE!$G:$G,BASE!$B:$B,$B168,BASE!$L:$L,$G168,BASE!$J:$J,$C168,BASE!$A:$A,V$2)</f>
        <v>0</v>
      </c>
      <c r="X168" t="str">
        <f t="shared" si="5"/>
        <v>ZERADO</v>
      </c>
    </row>
    <row r="169" spans="2:24">
      <c r="B169" s="8" t="s">
        <v>565</v>
      </c>
      <c r="C169" s="9" t="s">
        <v>228</v>
      </c>
      <c r="D169" s="9" t="s">
        <v>473</v>
      </c>
      <c r="E169" s="9" t="s">
        <v>474</v>
      </c>
      <c r="F169" s="9" t="s">
        <v>478</v>
      </c>
      <c r="G169" s="9" t="s">
        <v>56</v>
      </c>
      <c r="H169" s="7" t="str">
        <f>IFERROR(IF(_xlfn.XLOOKUP(B169,REPASSE!D:D,REPASSE!D:D)="","Não","Sim"),"Não")</f>
        <v>Não</v>
      </c>
      <c r="I169" s="7" t="str">
        <f>IF(_xlfn.XLOOKUP(B169,'BOOST LIBERADO'!B:B,'BOOST LIBERADO'!B:B,"Não")="Não","Não","Sim")</f>
        <v>Sim</v>
      </c>
      <c r="J169" s="83" t="str">
        <f t="shared" si="4"/>
        <v>Sim</v>
      </c>
      <c r="K169" s="12">
        <f>SUMIFS(BASE!$G:$G,BASE!$B:$B,$B169,BASE!$L:$L,$G169,BASE!$J:$J,$C169,BASE!$A:$A,K$2)</f>
        <v>1</v>
      </c>
      <c r="L169" s="12">
        <f>SUMIFS(BASE!$G:$G,BASE!$B:$B,$B169,BASE!$L:$L,$G169,BASE!$J:$J,$C169,BASE!$A:$A,L$2)</f>
        <v>1</v>
      </c>
      <c r="M169" s="12">
        <f>SUMIFS(BASE!$G:$G,BASE!$B:$B,$B169,BASE!$L:$L,$G169,BASE!$J:$J,$C169,BASE!$A:$A,M$2)</f>
        <v>6</v>
      </c>
      <c r="N169" s="12">
        <f>SUMIFS(BASE!$G:$G,BASE!$B:$B,$B169,BASE!$L:$L,$G169,BASE!$J:$J,$C169,BASE!$A:$A,N$2)</f>
        <v>2</v>
      </c>
      <c r="O169" s="12">
        <f>SUMIFS(BASE!$G:$G,BASE!$B:$B,$B169,BASE!$L:$L,$G169,BASE!$J:$J,$C169,BASE!$A:$A,O$2)</f>
        <v>5</v>
      </c>
      <c r="P169" s="12">
        <f>SUMIFS(BASE!$G:$G,BASE!$B:$B,$B169,BASE!$L:$L,$G169,BASE!$J:$J,$C169,BASE!$A:$A,P$2)</f>
        <v>2</v>
      </c>
      <c r="Q169" s="12">
        <f>SUMIFS(BASE!$G:$G,BASE!$B:$B,$B169,BASE!$L:$L,$G169,BASE!$J:$J,$C169,BASE!$A:$A,Q$2)</f>
        <v>8</v>
      </c>
      <c r="R169" s="12">
        <f>SUMIFS(BASE!$G:$G,BASE!$B:$B,$B169,BASE!$L:$L,$G169,BASE!$J:$J,$C169,BASE!$A:$A,R$2)</f>
        <v>6</v>
      </c>
      <c r="S169" s="12">
        <f>SUMIFS(BASE!$G:$G,BASE!$B:$B,$B169,BASE!$L:$L,$G169,BASE!$J:$J,$C169,BASE!$A:$A,S$2)</f>
        <v>0</v>
      </c>
      <c r="T169" s="12">
        <f>SUMIFS(BASE!$G:$G,BASE!$B:$B,$B169,BASE!$L:$L,$G169,BASE!$J:$J,$C169,BASE!$A:$A,T$2)</f>
        <v>0</v>
      </c>
      <c r="U169" s="12">
        <f>SUMIFS(BASE!$G:$G,BASE!$B:$B,$B169,BASE!$L:$L,$G169,BASE!$J:$J,$C169,BASE!$A:$A,U$2)</f>
        <v>0</v>
      </c>
      <c r="V169" s="12">
        <f>SUMIFS(BASE!$G:$G,BASE!$B:$B,$B169,BASE!$L:$L,$G169,BASE!$J:$J,$C169,BASE!$A:$A,V$2)</f>
        <v>0</v>
      </c>
      <c r="X169" t="str">
        <f t="shared" si="5"/>
        <v>COM TROCAS</v>
      </c>
    </row>
    <row r="170" spans="2:24">
      <c r="B170" s="8" t="s">
        <v>566</v>
      </c>
      <c r="C170" s="9" t="s">
        <v>88</v>
      </c>
      <c r="D170" s="9" t="s">
        <v>493</v>
      </c>
      <c r="E170" s="9" t="s">
        <v>440</v>
      </c>
      <c r="F170" s="9" t="s">
        <v>567</v>
      </c>
      <c r="G170" s="9" t="s">
        <v>56</v>
      </c>
      <c r="H170" s="7" t="str">
        <f>IFERROR(IF(_xlfn.XLOOKUP(B170,REPASSE!D:D,REPASSE!D:D)="","Não","Sim"),"Não")</f>
        <v>Sim</v>
      </c>
      <c r="I170" s="7" t="str">
        <f>IF(_xlfn.XLOOKUP(B170,'BOOST LIBERADO'!B:B,'BOOST LIBERADO'!B:B,"Não")="Não","Não","Sim")</f>
        <v>Sim</v>
      </c>
      <c r="J170" s="83" t="str">
        <f t="shared" si="4"/>
        <v>Não</v>
      </c>
      <c r="K170" s="12">
        <f>SUMIFS(BASE!$G:$G,BASE!$B:$B,$B170,BASE!$L:$L,$G170,BASE!$J:$J,$C170,BASE!$A:$A,K$2)</f>
        <v>0</v>
      </c>
      <c r="L170" s="12">
        <f>SUMIFS(BASE!$G:$G,BASE!$B:$B,$B170,BASE!$L:$L,$G170,BASE!$J:$J,$C170,BASE!$A:$A,L$2)</f>
        <v>0</v>
      </c>
      <c r="M170" s="12">
        <f>SUMIFS(BASE!$G:$G,BASE!$B:$B,$B170,BASE!$L:$L,$G170,BASE!$J:$J,$C170,BASE!$A:$A,M$2)</f>
        <v>0</v>
      </c>
      <c r="N170" s="12">
        <f>SUMIFS(BASE!$G:$G,BASE!$B:$B,$B170,BASE!$L:$L,$G170,BASE!$J:$J,$C170,BASE!$A:$A,N$2)</f>
        <v>0</v>
      </c>
      <c r="O170" s="12">
        <f>SUMIFS(BASE!$G:$G,BASE!$B:$B,$B170,BASE!$L:$L,$G170,BASE!$J:$J,$C170,BASE!$A:$A,O$2)</f>
        <v>0</v>
      </c>
      <c r="P170" s="12">
        <f>SUMIFS(BASE!$G:$G,BASE!$B:$B,$B170,BASE!$L:$L,$G170,BASE!$J:$J,$C170,BASE!$A:$A,P$2)</f>
        <v>0</v>
      </c>
      <c r="Q170" s="12">
        <f>SUMIFS(BASE!$G:$G,BASE!$B:$B,$B170,BASE!$L:$L,$G170,BASE!$J:$J,$C170,BASE!$A:$A,Q$2)</f>
        <v>0</v>
      </c>
      <c r="R170" s="12">
        <f>SUMIFS(BASE!$G:$G,BASE!$B:$B,$B170,BASE!$L:$L,$G170,BASE!$J:$J,$C170,BASE!$A:$A,R$2)</f>
        <v>0</v>
      </c>
      <c r="S170" s="12">
        <f>SUMIFS(BASE!$G:$G,BASE!$B:$B,$B170,BASE!$L:$L,$G170,BASE!$J:$J,$C170,BASE!$A:$A,S$2)</f>
        <v>0</v>
      </c>
      <c r="T170" s="12">
        <f>SUMIFS(BASE!$G:$G,BASE!$B:$B,$B170,BASE!$L:$L,$G170,BASE!$J:$J,$C170,BASE!$A:$A,T$2)</f>
        <v>0</v>
      </c>
      <c r="U170" s="12">
        <f>SUMIFS(BASE!$G:$G,BASE!$B:$B,$B170,BASE!$L:$L,$G170,BASE!$J:$J,$C170,BASE!$A:$A,U$2)</f>
        <v>0</v>
      </c>
      <c r="V170" s="12">
        <f>SUMIFS(BASE!$G:$G,BASE!$B:$B,$B170,BASE!$L:$L,$G170,BASE!$J:$J,$C170,BASE!$A:$A,V$2)</f>
        <v>0</v>
      </c>
      <c r="X170" t="str">
        <f t="shared" si="5"/>
        <v>ZERADO</v>
      </c>
    </row>
    <row r="171" spans="2:24">
      <c r="B171" s="8" t="s">
        <v>568</v>
      </c>
      <c r="C171" s="9" t="s">
        <v>228</v>
      </c>
      <c r="D171" s="9" t="s">
        <v>439</v>
      </c>
      <c r="E171" s="9" t="s">
        <v>440</v>
      </c>
      <c r="F171" s="9" t="s">
        <v>441</v>
      </c>
      <c r="G171" s="9" t="s">
        <v>56</v>
      </c>
      <c r="H171" s="7" t="str">
        <f>IFERROR(IF(_xlfn.XLOOKUP(B171,REPASSE!D:D,REPASSE!D:D)="","Não","Sim"),"Não")</f>
        <v>Não</v>
      </c>
      <c r="I171" s="7" t="str">
        <f>IF(_xlfn.XLOOKUP(B171,'BOOST LIBERADO'!B:B,'BOOST LIBERADO'!B:B,"Não")="Não","Não","Sim")</f>
        <v>Sim</v>
      </c>
      <c r="J171" s="83" t="str">
        <f t="shared" si="4"/>
        <v>Sim</v>
      </c>
      <c r="K171" s="12">
        <f>SUMIFS(BASE!$G:$G,BASE!$B:$B,$B171,BASE!$L:$L,$G171,BASE!$J:$J,$C171,BASE!$A:$A,K$2)</f>
        <v>3</v>
      </c>
      <c r="L171" s="12">
        <f>SUMIFS(BASE!$G:$G,BASE!$B:$B,$B171,BASE!$L:$L,$G171,BASE!$J:$J,$C171,BASE!$A:$A,L$2)</f>
        <v>6</v>
      </c>
      <c r="M171" s="12">
        <f>SUMIFS(BASE!$G:$G,BASE!$B:$B,$B171,BASE!$L:$L,$G171,BASE!$J:$J,$C171,BASE!$A:$A,M$2)</f>
        <v>6</v>
      </c>
      <c r="N171" s="12">
        <f>SUMIFS(BASE!$G:$G,BASE!$B:$B,$B171,BASE!$L:$L,$G171,BASE!$J:$J,$C171,BASE!$A:$A,N$2)</f>
        <v>4</v>
      </c>
      <c r="O171" s="12">
        <f>SUMIFS(BASE!$G:$G,BASE!$B:$B,$B171,BASE!$L:$L,$G171,BASE!$J:$J,$C171,BASE!$A:$A,O$2)</f>
        <v>14</v>
      </c>
      <c r="P171" s="12">
        <f>SUMIFS(BASE!$G:$G,BASE!$B:$B,$B171,BASE!$L:$L,$G171,BASE!$J:$J,$C171,BASE!$A:$A,P$2)</f>
        <v>6</v>
      </c>
      <c r="Q171" s="12">
        <f>SUMIFS(BASE!$G:$G,BASE!$B:$B,$B171,BASE!$L:$L,$G171,BASE!$J:$J,$C171,BASE!$A:$A,Q$2)</f>
        <v>15</v>
      </c>
      <c r="R171" s="12">
        <f>SUMIFS(BASE!$G:$G,BASE!$B:$B,$B171,BASE!$L:$L,$G171,BASE!$J:$J,$C171,BASE!$A:$A,R$2)</f>
        <v>11</v>
      </c>
      <c r="S171" s="12">
        <f>SUMIFS(BASE!$G:$G,BASE!$B:$B,$B171,BASE!$L:$L,$G171,BASE!$J:$J,$C171,BASE!$A:$A,S$2)</f>
        <v>0</v>
      </c>
      <c r="T171" s="12">
        <f>SUMIFS(BASE!$G:$G,BASE!$B:$B,$B171,BASE!$L:$L,$G171,BASE!$J:$J,$C171,BASE!$A:$A,T$2)</f>
        <v>0</v>
      </c>
      <c r="U171" s="12">
        <f>SUMIFS(BASE!$G:$G,BASE!$B:$B,$B171,BASE!$L:$L,$G171,BASE!$J:$J,$C171,BASE!$A:$A,U$2)</f>
        <v>0</v>
      </c>
      <c r="V171" s="12">
        <f>SUMIFS(BASE!$G:$G,BASE!$B:$B,$B171,BASE!$L:$L,$G171,BASE!$J:$J,$C171,BASE!$A:$A,V$2)</f>
        <v>0</v>
      </c>
      <c r="X171" t="str">
        <f t="shared" si="5"/>
        <v>COM TROCAS</v>
      </c>
    </row>
    <row r="172" spans="2:24">
      <c r="B172" s="8" t="s">
        <v>569</v>
      </c>
      <c r="C172" s="9" t="s">
        <v>167</v>
      </c>
      <c r="D172" s="9" t="s">
        <v>502</v>
      </c>
      <c r="E172" s="9" t="s">
        <v>454</v>
      </c>
      <c r="F172" s="9" t="s">
        <v>570</v>
      </c>
      <c r="G172" s="9" t="s">
        <v>56</v>
      </c>
      <c r="H172" s="7" t="str">
        <f>IFERROR(IF(_xlfn.XLOOKUP(B172,REPASSE!D:D,REPASSE!D:D)="","Não","Sim"),"Não")</f>
        <v>Não</v>
      </c>
      <c r="I172" s="7" t="str">
        <f>IF(_xlfn.XLOOKUP(B172,'BOOST LIBERADO'!B:B,'BOOST LIBERADO'!B:B,"Não")="Não","Não","Sim")</f>
        <v>Sim</v>
      </c>
      <c r="J172" s="83" t="str">
        <f t="shared" si="4"/>
        <v>Sim</v>
      </c>
      <c r="K172" s="12">
        <f>SUMIFS(BASE!$G:$G,BASE!$B:$B,$B172,BASE!$L:$L,$G172,BASE!$J:$J,$C172,BASE!$A:$A,K$2)</f>
        <v>0</v>
      </c>
      <c r="L172" s="12">
        <f>SUMIFS(BASE!$G:$G,BASE!$B:$B,$B172,BASE!$L:$L,$G172,BASE!$J:$J,$C172,BASE!$A:$A,L$2)</f>
        <v>0</v>
      </c>
      <c r="M172" s="12">
        <f>SUMIFS(BASE!$G:$G,BASE!$B:$B,$B172,BASE!$L:$L,$G172,BASE!$J:$J,$C172,BASE!$A:$A,M$2)</f>
        <v>0</v>
      </c>
      <c r="N172" s="12">
        <f>SUMIFS(BASE!$G:$G,BASE!$B:$B,$B172,BASE!$L:$L,$G172,BASE!$J:$J,$C172,BASE!$A:$A,N$2)</f>
        <v>0</v>
      </c>
      <c r="O172" s="12">
        <f>SUMIFS(BASE!$G:$G,BASE!$B:$B,$B172,BASE!$L:$L,$G172,BASE!$J:$J,$C172,BASE!$A:$A,O$2)</f>
        <v>0</v>
      </c>
      <c r="P172" s="12">
        <f>SUMIFS(BASE!$G:$G,BASE!$B:$B,$B172,BASE!$L:$L,$G172,BASE!$J:$J,$C172,BASE!$A:$A,P$2)</f>
        <v>0</v>
      </c>
      <c r="Q172" s="12">
        <f>SUMIFS(BASE!$G:$G,BASE!$B:$B,$B172,BASE!$L:$L,$G172,BASE!$J:$J,$C172,BASE!$A:$A,Q$2)</f>
        <v>0</v>
      </c>
      <c r="R172" s="12">
        <f>SUMIFS(BASE!$G:$G,BASE!$B:$B,$B172,BASE!$L:$L,$G172,BASE!$J:$J,$C172,BASE!$A:$A,R$2)</f>
        <v>0</v>
      </c>
      <c r="S172" s="12">
        <f>SUMIFS(BASE!$G:$G,BASE!$B:$B,$B172,BASE!$L:$L,$G172,BASE!$J:$J,$C172,BASE!$A:$A,S$2)</f>
        <v>0</v>
      </c>
      <c r="T172" s="12">
        <f>SUMIFS(BASE!$G:$G,BASE!$B:$B,$B172,BASE!$L:$L,$G172,BASE!$J:$J,$C172,BASE!$A:$A,T$2)</f>
        <v>0</v>
      </c>
      <c r="U172" s="12">
        <f>SUMIFS(BASE!$G:$G,BASE!$B:$B,$B172,BASE!$L:$L,$G172,BASE!$J:$J,$C172,BASE!$A:$A,U$2)</f>
        <v>0</v>
      </c>
      <c r="V172" s="12">
        <f>SUMIFS(BASE!$G:$G,BASE!$B:$B,$B172,BASE!$L:$L,$G172,BASE!$J:$J,$C172,BASE!$A:$A,V$2)</f>
        <v>0</v>
      </c>
      <c r="X172" t="str">
        <f t="shared" si="5"/>
        <v>ZERADO</v>
      </c>
    </row>
    <row r="173" spans="2:24">
      <c r="B173" s="8" t="s">
        <v>571</v>
      </c>
      <c r="C173" s="9" t="s">
        <v>106</v>
      </c>
      <c r="D173" s="9" t="s">
        <v>451</v>
      </c>
      <c r="E173" s="9" t="s">
        <v>429</v>
      </c>
      <c r="F173" s="9" t="s">
        <v>572</v>
      </c>
      <c r="G173" s="9" t="s">
        <v>56</v>
      </c>
      <c r="H173" s="7" t="str">
        <f>IFERROR(IF(_xlfn.XLOOKUP(B173,REPASSE!D:D,REPASSE!D:D)="","Não","Sim"),"Não")</f>
        <v>Não</v>
      </c>
      <c r="I173" s="7" t="str">
        <f>IF(_xlfn.XLOOKUP(B173,'BOOST LIBERADO'!B:B,'BOOST LIBERADO'!B:B,"Não")="Não","Não","Sim")</f>
        <v>Sim</v>
      </c>
      <c r="J173" s="83" t="str">
        <f t="shared" si="4"/>
        <v>Sim</v>
      </c>
      <c r="K173" s="12">
        <f>SUMIFS(BASE!$G:$G,BASE!$B:$B,$B173,BASE!$L:$L,$G173,BASE!$J:$J,$C173,BASE!$A:$A,K$2)</f>
        <v>0</v>
      </c>
      <c r="L173" s="12">
        <f>SUMIFS(BASE!$G:$G,BASE!$B:$B,$B173,BASE!$L:$L,$G173,BASE!$J:$J,$C173,BASE!$A:$A,L$2)</f>
        <v>0</v>
      </c>
      <c r="M173" s="12">
        <f>SUMIFS(BASE!$G:$G,BASE!$B:$B,$B173,BASE!$L:$L,$G173,BASE!$J:$J,$C173,BASE!$A:$A,M$2)</f>
        <v>0</v>
      </c>
      <c r="N173" s="12">
        <f>SUMIFS(BASE!$G:$G,BASE!$B:$B,$B173,BASE!$L:$L,$G173,BASE!$J:$J,$C173,BASE!$A:$A,N$2)</f>
        <v>0</v>
      </c>
      <c r="O173" s="12">
        <f>SUMIFS(BASE!$G:$G,BASE!$B:$B,$B173,BASE!$L:$L,$G173,BASE!$J:$J,$C173,BASE!$A:$A,O$2)</f>
        <v>0</v>
      </c>
      <c r="P173" s="12">
        <f>SUMIFS(BASE!$G:$G,BASE!$B:$B,$B173,BASE!$L:$L,$G173,BASE!$J:$J,$C173,BASE!$A:$A,P$2)</f>
        <v>0</v>
      </c>
      <c r="Q173" s="12">
        <f>SUMIFS(BASE!$G:$G,BASE!$B:$B,$B173,BASE!$L:$L,$G173,BASE!$J:$J,$C173,BASE!$A:$A,Q$2)</f>
        <v>1</v>
      </c>
      <c r="R173" s="12">
        <f>SUMIFS(BASE!$G:$G,BASE!$B:$B,$B173,BASE!$L:$L,$G173,BASE!$J:$J,$C173,BASE!$A:$A,R$2)</f>
        <v>3</v>
      </c>
      <c r="S173" s="12">
        <f>SUMIFS(BASE!$G:$G,BASE!$B:$B,$B173,BASE!$L:$L,$G173,BASE!$J:$J,$C173,BASE!$A:$A,S$2)</f>
        <v>0</v>
      </c>
      <c r="T173" s="12">
        <f>SUMIFS(BASE!$G:$G,BASE!$B:$B,$B173,BASE!$L:$L,$G173,BASE!$J:$J,$C173,BASE!$A:$A,T$2)</f>
        <v>0</v>
      </c>
      <c r="U173" s="12">
        <f>SUMIFS(BASE!$G:$G,BASE!$B:$B,$B173,BASE!$L:$L,$G173,BASE!$J:$J,$C173,BASE!$A:$A,U$2)</f>
        <v>0</v>
      </c>
      <c r="V173" s="12">
        <f>SUMIFS(BASE!$G:$G,BASE!$B:$B,$B173,BASE!$L:$L,$G173,BASE!$J:$J,$C173,BASE!$A:$A,V$2)</f>
        <v>0</v>
      </c>
      <c r="X173" t="str">
        <f t="shared" si="5"/>
        <v>COM TROCAS</v>
      </c>
    </row>
    <row r="174" spans="2:24">
      <c r="B174" s="8" t="s">
        <v>573</v>
      </c>
      <c r="C174" s="9" t="s">
        <v>228</v>
      </c>
      <c r="D174" s="9" t="s">
        <v>445</v>
      </c>
      <c r="E174" s="9" t="s">
        <v>437</v>
      </c>
      <c r="F174" s="9" t="s">
        <v>574</v>
      </c>
      <c r="G174" s="9" t="s">
        <v>56</v>
      </c>
      <c r="H174" s="7" t="str">
        <f>IFERROR(IF(_xlfn.XLOOKUP(B174,REPASSE!D:D,REPASSE!D:D)="","Não","Sim"),"Não")</f>
        <v>Não</v>
      </c>
      <c r="I174" s="7" t="str">
        <f>IF(_xlfn.XLOOKUP(B174,'BOOST LIBERADO'!B:B,'BOOST LIBERADO'!B:B,"Não")="Não","Não","Sim")</f>
        <v>Sim</v>
      </c>
      <c r="J174" s="83" t="str">
        <f t="shared" si="4"/>
        <v>Sim</v>
      </c>
      <c r="K174" s="12">
        <f>SUMIFS(BASE!$G:$G,BASE!$B:$B,$B174,BASE!$L:$L,$G174,BASE!$J:$J,$C174,BASE!$A:$A,K$2)</f>
        <v>0</v>
      </c>
      <c r="L174" s="12">
        <f>SUMIFS(BASE!$G:$G,BASE!$B:$B,$B174,BASE!$L:$L,$G174,BASE!$J:$J,$C174,BASE!$A:$A,L$2)</f>
        <v>0</v>
      </c>
      <c r="M174" s="12">
        <f>SUMIFS(BASE!$G:$G,BASE!$B:$B,$B174,BASE!$L:$L,$G174,BASE!$J:$J,$C174,BASE!$A:$A,M$2)</f>
        <v>0</v>
      </c>
      <c r="N174" s="12">
        <f>SUMIFS(BASE!$G:$G,BASE!$B:$B,$B174,BASE!$L:$L,$G174,BASE!$J:$J,$C174,BASE!$A:$A,N$2)</f>
        <v>10</v>
      </c>
      <c r="O174" s="12">
        <f>SUMIFS(BASE!$G:$G,BASE!$B:$B,$B174,BASE!$L:$L,$G174,BASE!$J:$J,$C174,BASE!$A:$A,O$2)</f>
        <v>5</v>
      </c>
      <c r="P174" s="12">
        <f>SUMIFS(BASE!$G:$G,BASE!$B:$B,$B174,BASE!$L:$L,$G174,BASE!$J:$J,$C174,BASE!$A:$A,P$2)</f>
        <v>0</v>
      </c>
      <c r="Q174" s="12">
        <f>SUMIFS(BASE!$G:$G,BASE!$B:$B,$B174,BASE!$L:$L,$G174,BASE!$J:$J,$C174,BASE!$A:$A,Q$2)</f>
        <v>12</v>
      </c>
      <c r="R174" s="12">
        <f>SUMIFS(BASE!$G:$G,BASE!$B:$B,$B174,BASE!$L:$L,$G174,BASE!$J:$J,$C174,BASE!$A:$A,R$2)</f>
        <v>9</v>
      </c>
      <c r="S174" s="12">
        <f>SUMIFS(BASE!$G:$G,BASE!$B:$B,$B174,BASE!$L:$L,$G174,BASE!$J:$J,$C174,BASE!$A:$A,S$2)</f>
        <v>0</v>
      </c>
      <c r="T174" s="12">
        <f>SUMIFS(BASE!$G:$G,BASE!$B:$B,$B174,BASE!$L:$L,$G174,BASE!$J:$J,$C174,BASE!$A:$A,T$2)</f>
        <v>0</v>
      </c>
      <c r="U174" s="12">
        <f>SUMIFS(BASE!$G:$G,BASE!$B:$B,$B174,BASE!$L:$L,$G174,BASE!$J:$J,$C174,BASE!$A:$A,U$2)</f>
        <v>0</v>
      </c>
      <c r="V174" s="12">
        <f>SUMIFS(BASE!$G:$G,BASE!$B:$B,$B174,BASE!$L:$L,$G174,BASE!$J:$J,$C174,BASE!$A:$A,V$2)</f>
        <v>0</v>
      </c>
      <c r="X174" t="str">
        <f t="shared" si="5"/>
        <v>COM TROCAS</v>
      </c>
    </row>
    <row r="175" spans="2:24">
      <c r="B175" s="8" t="s">
        <v>575</v>
      </c>
      <c r="C175" s="9" t="s">
        <v>107</v>
      </c>
      <c r="D175" s="9" t="s">
        <v>453</v>
      </c>
      <c r="E175" s="9" t="s">
        <v>454</v>
      </c>
      <c r="F175" s="9" t="s">
        <v>576</v>
      </c>
      <c r="G175" s="9" t="s">
        <v>56</v>
      </c>
      <c r="H175" s="7" t="str">
        <f>IFERROR(IF(_xlfn.XLOOKUP(B175,REPASSE!D:D,REPASSE!D:D)="","Não","Sim"),"Não")</f>
        <v>Não</v>
      </c>
      <c r="I175" s="7" t="str">
        <f>IF(_xlfn.XLOOKUP(B175,'BOOST LIBERADO'!B:B,'BOOST LIBERADO'!B:B,"Não")="Não","Não","Sim")</f>
        <v>Sim</v>
      </c>
      <c r="J175" s="83" t="str">
        <f t="shared" si="4"/>
        <v>Sim</v>
      </c>
      <c r="K175" s="12">
        <f>SUMIFS(BASE!$G:$G,BASE!$B:$B,$B175,BASE!$L:$L,$G175,BASE!$J:$J,$C175,BASE!$A:$A,K$2)</f>
        <v>0</v>
      </c>
      <c r="L175" s="12">
        <f>SUMIFS(BASE!$G:$G,BASE!$B:$B,$B175,BASE!$L:$L,$G175,BASE!$J:$J,$C175,BASE!$A:$A,L$2)</f>
        <v>0</v>
      </c>
      <c r="M175" s="12">
        <f>SUMIFS(BASE!$G:$G,BASE!$B:$B,$B175,BASE!$L:$L,$G175,BASE!$J:$J,$C175,BASE!$A:$A,M$2)</f>
        <v>0</v>
      </c>
      <c r="N175" s="12">
        <f>SUMIFS(BASE!$G:$G,BASE!$B:$B,$B175,BASE!$L:$L,$G175,BASE!$J:$J,$C175,BASE!$A:$A,N$2)</f>
        <v>0</v>
      </c>
      <c r="O175" s="12">
        <f>SUMIFS(BASE!$G:$G,BASE!$B:$B,$B175,BASE!$L:$L,$G175,BASE!$J:$J,$C175,BASE!$A:$A,O$2)</f>
        <v>0</v>
      </c>
      <c r="P175" s="12">
        <f>SUMIFS(BASE!$G:$G,BASE!$B:$B,$B175,BASE!$L:$L,$G175,BASE!$J:$J,$C175,BASE!$A:$A,P$2)</f>
        <v>0</v>
      </c>
      <c r="Q175" s="12">
        <f>SUMIFS(BASE!$G:$G,BASE!$B:$B,$B175,BASE!$L:$L,$G175,BASE!$J:$J,$C175,BASE!$A:$A,Q$2)</f>
        <v>0</v>
      </c>
      <c r="R175" s="12">
        <f>SUMIFS(BASE!$G:$G,BASE!$B:$B,$B175,BASE!$L:$L,$G175,BASE!$J:$J,$C175,BASE!$A:$A,R$2)</f>
        <v>0</v>
      </c>
      <c r="S175" s="12">
        <f>SUMIFS(BASE!$G:$G,BASE!$B:$B,$B175,BASE!$L:$L,$G175,BASE!$J:$J,$C175,BASE!$A:$A,S$2)</f>
        <v>0</v>
      </c>
      <c r="T175" s="12">
        <f>SUMIFS(BASE!$G:$G,BASE!$B:$B,$B175,BASE!$L:$L,$G175,BASE!$J:$J,$C175,BASE!$A:$A,T$2)</f>
        <v>0</v>
      </c>
      <c r="U175" s="12">
        <f>SUMIFS(BASE!$G:$G,BASE!$B:$B,$B175,BASE!$L:$L,$G175,BASE!$J:$J,$C175,BASE!$A:$A,U$2)</f>
        <v>0</v>
      </c>
      <c r="V175" s="12">
        <f>SUMIFS(BASE!$G:$G,BASE!$B:$B,$B175,BASE!$L:$L,$G175,BASE!$J:$J,$C175,BASE!$A:$A,V$2)</f>
        <v>0</v>
      </c>
      <c r="X175" t="str">
        <f t="shared" si="5"/>
        <v>ZERADO</v>
      </c>
    </row>
    <row r="176" spans="2:24">
      <c r="B176" s="8" t="s">
        <v>577</v>
      </c>
      <c r="C176" s="9" t="s">
        <v>228</v>
      </c>
      <c r="D176" s="9" t="s">
        <v>473</v>
      </c>
      <c r="E176" s="9" t="s">
        <v>474</v>
      </c>
      <c r="F176" s="9" t="s">
        <v>578</v>
      </c>
      <c r="G176" s="9" t="s">
        <v>56</v>
      </c>
      <c r="H176" s="7" t="str">
        <f>IFERROR(IF(_xlfn.XLOOKUP(B176,REPASSE!D:D,REPASSE!D:D)="","Não","Sim"),"Não")</f>
        <v>Não</v>
      </c>
      <c r="I176" s="7" t="str">
        <f>IF(_xlfn.XLOOKUP(B176,'BOOST LIBERADO'!B:B,'BOOST LIBERADO'!B:B,"Não")="Não","Não","Sim")</f>
        <v>Sim</v>
      </c>
      <c r="J176" s="83" t="str">
        <f t="shared" si="4"/>
        <v>Sim</v>
      </c>
      <c r="K176" s="12">
        <f>SUMIFS(BASE!$G:$G,BASE!$B:$B,$B176,BASE!$L:$L,$G176,BASE!$J:$J,$C176,BASE!$A:$A,K$2)</f>
        <v>3</v>
      </c>
      <c r="L176" s="12">
        <f>SUMIFS(BASE!$G:$G,BASE!$B:$B,$B176,BASE!$L:$L,$G176,BASE!$J:$J,$C176,BASE!$A:$A,L$2)</f>
        <v>1</v>
      </c>
      <c r="M176" s="12">
        <f>SUMIFS(BASE!$G:$G,BASE!$B:$B,$B176,BASE!$L:$L,$G176,BASE!$J:$J,$C176,BASE!$A:$A,M$2)</f>
        <v>5</v>
      </c>
      <c r="N176" s="12">
        <f>SUMIFS(BASE!$G:$G,BASE!$B:$B,$B176,BASE!$L:$L,$G176,BASE!$J:$J,$C176,BASE!$A:$A,N$2)</f>
        <v>4</v>
      </c>
      <c r="O176" s="12">
        <f>SUMIFS(BASE!$G:$G,BASE!$B:$B,$B176,BASE!$L:$L,$G176,BASE!$J:$J,$C176,BASE!$A:$A,O$2)</f>
        <v>9</v>
      </c>
      <c r="P176" s="12">
        <f>SUMIFS(BASE!$G:$G,BASE!$B:$B,$B176,BASE!$L:$L,$G176,BASE!$J:$J,$C176,BASE!$A:$A,P$2)</f>
        <v>9</v>
      </c>
      <c r="Q176" s="12">
        <f>SUMIFS(BASE!$G:$G,BASE!$B:$B,$B176,BASE!$L:$L,$G176,BASE!$J:$J,$C176,BASE!$A:$A,Q$2)</f>
        <v>11</v>
      </c>
      <c r="R176" s="12">
        <f>SUMIFS(BASE!$G:$G,BASE!$B:$B,$B176,BASE!$L:$L,$G176,BASE!$J:$J,$C176,BASE!$A:$A,R$2)</f>
        <v>8</v>
      </c>
      <c r="S176" s="12">
        <f>SUMIFS(BASE!$G:$G,BASE!$B:$B,$B176,BASE!$L:$L,$G176,BASE!$J:$J,$C176,BASE!$A:$A,S$2)</f>
        <v>0</v>
      </c>
      <c r="T176" s="12">
        <f>SUMIFS(BASE!$G:$G,BASE!$B:$B,$B176,BASE!$L:$L,$G176,BASE!$J:$J,$C176,BASE!$A:$A,T$2)</f>
        <v>0</v>
      </c>
      <c r="U176" s="12">
        <f>SUMIFS(BASE!$G:$G,BASE!$B:$B,$B176,BASE!$L:$L,$G176,BASE!$J:$J,$C176,BASE!$A:$A,U$2)</f>
        <v>0</v>
      </c>
      <c r="V176" s="12">
        <f>SUMIFS(BASE!$G:$G,BASE!$B:$B,$B176,BASE!$L:$L,$G176,BASE!$J:$J,$C176,BASE!$A:$A,V$2)</f>
        <v>0</v>
      </c>
      <c r="X176" t="str">
        <f t="shared" si="5"/>
        <v>COM TROCAS</v>
      </c>
    </row>
    <row r="177" spans="2:24">
      <c r="B177" s="8" t="s">
        <v>579</v>
      </c>
      <c r="C177" s="9" t="s">
        <v>106</v>
      </c>
      <c r="D177" s="9" t="s">
        <v>465</v>
      </c>
      <c r="E177" s="9" t="s">
        <v>429</v>
      </c>
      <c r="F177" s="9" t="s">
        <v>580</v>
      </c>
      <c r="G177" s="9" t="s">
        <v>56</v>
      </c>
      <c r="H177" s="7" t="str">
        <f>IFERROR(IF(_xlfn.XLOOKUP(B177,REPASSE!D:D,REPASSE!D:D)="","Não","Sim"),"Não")</f>
        <v>Não</v>
      </c>
      <c r="I177" s="7" t="str">
        <f>IF(_xlfn.XLOOKUP(B177,'BOOST LIBERADO'!B:B,'BOOST LIBERADO'!B:B,"Não")="Não","Não","Sim")</f>
        <v>Sim</v>
      </c>
      <c r="J177" s="83" t="str">
        <f t="shared" si="4"/>
        <v>Sim</v>
      </c>
      <c r="K177" s="12">
        <f>SUMIFS(BASE!$G:$G,BASE!$B:$B,$B177,BASE!$L:$L,$G177,BASE!$J:$J,$C177,BASE!$A:$A,K$2)</f>
        <v>0</v>
      </c>
      <c r="L177" s="12">
        <f>SUMIFS(BASE!$G:$G,BASE!$B:$B,$B177,BASE!$L:$L,$G177,BASE!$J:$J,$C177,BASE!$A:$A,L$2)</f>
        <v>0</v>
      </c>
      <c r="M177" s="12">
        <f>SUMIFS(BASE!$G:$G,BASE!$B:$B,$B177,BASE!$L:$L,$G177,BASE!$J:$J,$C177,BASE!$A:$A,M$2)</f>
        <v>0</v>
      </c>
      <c r="N177" s="12">
        <f>SUMIFS(BASE!$G:$G,BASE!$B:$B,$B177,BASE!$L:$L,$G177,BASE!$J:$J,$C177,BASE!$A:$A,N$2)</f>
        <v>0</v>
      </c>
      <c r="O177" s="12">
        <f>SUMIFS(BASE!$G:$G,BASE!$B:$B,$B177,BASE!$L:$L,$G177,BASE!$J:$J,$C177,BASE!$A:$A,O$2)</f>
        <v>0</v>
      </c>
      <c r="P177" s="12">
        <f>SUMIFS(BASE!$G:$G,BASE!$B:$B,$B177,BASE!$L:$L,$G177,BASE!$J:$J,$C177,BASE!$A:$A,P$2)</f>
        <v>0</v>
      </c>
      <c r="Q177" s="12">
        <f>SUMIFS(BASE!$G:$G,BASE!$B:$B,$B177,BASE!$L:$L,$G177,BASE!$J:$J,$C177,BASE!$A:$A,Q$2)</f>
        <v>0</v>
      </c>
      <c r="R177" s="12">
        <f>SUMIFS(BASE!$G:$G,BASE!$B:$B,$B177,BASE!$L:$L,$G177,BASE!$J:$J,$C177,BASE!$A:$A,R$2)</f>
        <v>0</v>
      </c>
      <c r="S177" s="12">
        <f>SUMIFS(BASE!$G:$G,BASE!$B:$B,$B177,BASE!$L:$L,$G177,BASE!$J:$J,$C177,BASE!$A:$A,S$2)</f>
        <v>0</v>
      </c>
      <c r="T177" s="12">
        <f>SUMIFS(BASE!$G:$G,BASE!$B:$B,$B177,BASE!$L:$L,$G177,BASE!$J:$J,$C177,BASE!$A:$A,T$2)</f>
        <v>0</v>
      </c>
      <c r="U177" s="12">
        <f>SUMIFS(BASE!$G:$G,BASE!$B:$B,$B177,BASE!$L:$L,$G177,BASE!$J:$J,$C177,BASE!$A:$A,U$2)</f>
        <v>0</v>
      </c>
      <c r="V177" s="12">
        <f>SUMIFS(BASE!$G:$G,BASE!$B:$B,$B177,BASE!$L:$L,$G177,BASE!$J:$J,$C177,BASE!$A:$A,V$2)</f>
        <v>0</v>
      </c>
      <c r="X177" t="str">
        <f t="shared" si="5"/>
        <v>ZERADO</v>
      </c>
    </row>
    <row r="178" spans="2:24">
      <c r="B178" s="8" t="s">
        <v>581</v>
      </c>
      <c r="C178" s="9" t="s">
        <v>214</v>
      </c>
      <c r="D178" s="9" t="s">
        <v>502</v>
      </c>
      <c r="E178" s="9" t="s">
        <v>454</v>
      </c>
      <c r="F178" s="9" t="s">
        <v>582</v>
      </c>
      <c r="G178" s="9" t="s">
        <v>56</v>
      </c>
      <c r="H178" s="7" t="str">
        <f>IFERROR(IF(_xlfn.XLOOKUP(B178,REPASSE!D:D,REPASSE!D:D)="","Não","Sim"),"Não")</f>
        <v>Não</v>
      </c>
      <c r="I178" s="7" t="str">
        <f>IF(_xlfn.XLOOKUP(B178,'BOOST LIBERADO'!B:B,'BOOST LIBERADO'!B:B,"Não")="Não","Não","Sim")</f>
        <v>Sim</v>
      </c>
      <c r="J178" s="83" t="str">
        <f t="shared" si="4"/>
        <v>Sim</v>
      </c>
      <c r="K178" s="12">
        <f>SUMIFS(BASE!$G:$G,BASE!$B:$B,$B178,BASE!$L:$L,$G178,BASE!$J:$J,$C178,BASE!$A:$A,K$2)</f>
        <v>0</v>
      </c>
      <c r="L178" s="12">
        <f>SUMIFS(BASE!$G:$G,BASE!$B:$B,$B178,BASE!$L:$L,$G178,BASE!$J:$J,$C178,BASE!$A:$A,L$2)</f>
        <v>1</v>
      </c>
      <c r="M178" s="12">
        <f>SUMIFS(BASE!$G:$G,BASE!$B:$B,$B178,BASE!$L:$L,$G178,BASE!$J:$J,$C178,BASE!$A:$A,M$2)</f>
        <v>0</v>
      </c>
      <c r="N178" s="12">
        <f>SUMIFS(BASE!$G:$G,BASE!$B:$B,$B178,BASE!$L:$L,$G178,BASE!$J:$J,$C178,BASE!$A:$A,N$2)</f>
        <v>0</v>
      </c>
      <c r="O178" s="12">
        <f>SUMIFS(BASE!$G:$G,BASE!$B:$B,$B178,BASE!$L:$L,$G178,BASE!$J:$J,$C178,BASE!$A:$A,O$2)</f>
        <v>0</v>
      </c>
      <c r="P178" s="12">
        <f>SUMIFS(BASE!$G:$G,BASE!$B:$B,$B178,BASE!$L:$L,$G178,BASE!$J:$J,$C178,BASE!$A:$A,P$2)</f>
        <v>0</v>
      </c>
      <c r="Q178" s="12">
        <f>SUMIFS(BASE!$G:$G,BASE!$B:$B,$B178,BASE!$L:$L,$G178,BASE!$J:$J,$C178,BASE!$A:$A,Q$2)</f>
        <v>0</v>
      </c>
      <c r="R178" s="12">
        <f>SUMIFS(BASE!$G:$G,BASE!$B:$B,$B178,BASE!$L:$L,$G178,BASE!$J:$J,$C178,BASE!$A:$A,R$2)</f>
        <v>0</v>
      </c>
      <c r="S178" s="12">
        <f>SUMIFS(BASE!$G:$G,BASE!$B:$B,$B178,BASE!$L:$L,$G178,BASE!$J:$J,$C178,BASE!$A:$A,S$2)</f>
        <v>0</v>
      </c>
      <c r="T178" s="12">
        <f>SUMIFS(BASE!$G:$G,BASE!$B:$B,$B178,BASE!$L:$L,$G178,BASE!$J:$J,$C178,BASE!$A:$A,T$2)</f>
        <v>0</v>
      </c>
      <c r="U178" s="12">
        <f>SUMIFS(BASE!$G:$G,BASE!$B:$B,$B178,BASE!$L:$L,$G178,BASE!$J:$J,$C178,BASE!$A:$A,U$2)</f>
        <v>0</v>
      </c>
      <c r="V178" s="12">
        <f>SUMIFS(BASE!$G:$G,BASE!$B:$B,$B178,BASE!$L:$L,$G178,BASE!$J:$J,$C178,BASE!$A:$A,V$2)</f>
        <v>0</v>
      </c>
      <c r="X178" t="str">
        <f t="shared" si="5"/>
        <v>ZERADO</v>
      </c>
    </row>
    <row r="179" spans="2:24">
      <c r="B179" s="8" t="s">
        <v>583</v>
      </c>
      <c r="C179" s="9" t="s">
        <v>108</v>
      </c>
      <c r="D179" s="9" t="s">
        <v>473</v>
      </c>
      <c r="E179" s="9" t="s">
        <v>474</v>
      </c>
      <c r="F179" s="9" t="s">
        <v>584</v>
      </c>
      <c r="G179" s="9" t="s">
        <v>56</v>
      </c>
      <c r="H179" s="7" t="str">
        <f>IFERROR(IF(_xlfn.XLOOKUP(B179,REPASSE!D:D,REPASSE!D:D)="","Não","Sim"),"Não")</f>
        <v>Não</v>
      </c>
      <c r="I179" s="7" t="str">
        <f>IF(_xlfn.XLOOKUP(B179,'BOOST LIBERADO'!B:B,'BOOST LIBERADO'!B:B,"Não")="Não","Não","Sim")</f>
        <v>Sim</v>
      </c>
      <c r="J179" s="83" t="str">
        <f t="shared" si="4"/>
        <v>Sim</v>
      </c>
      <c r="K179" s="12">
        <f>SUMIFS(BASE!$G:$G,BASE!$B:$B,$B179,BASE!$L:$L,$G179,BASE!$J:$J,$C179,BASE!$A:$A,K$2)</f>
        <v>0</v>
      </c>
      <c r="L179" s="12">
        <f>SUMIFS(BASE!$G:$G,BASE!$B:$B,$B179,BASE!$L:$L,$G179,BASE!$J:$J,$C179,BASE!$A:$A,L$2)</f>
        <v>0</v>
      </c>
      <c r="M179" s="12">
        <f>SUMIFS(BASE!$G:$G,BASE!$B:$B,$B179,BASE!$L:$L,$G179,BASE!$J:$J,$C179,BASE!$A:$A,M$2)</f>
        <v>0</v>
      </c>
      <c r="N179" s="12">
        <f>SUMIFS(BASE!$G:$G,BASE!$B:$B,$B179,BASE!$L:$L,$G179,BASE!$J:$J,$C179,BASE!$A:$A,N$2)</f>
        <v>0</v>
      </c>
      <c r="O179" s="12">
        <f>SUMIFS(BASE!$G:$G,BASE!$B:$B,$B179,BASE!$L:$L,$G179,BASE!$J:$J,$C179,BASE!$A:$A,O$2)</f>
        <v>0</v>
      </c>
      <c r="P179" s="12">
        <f>SUMIFS(BASE!$G:$G,BASE!$B:$B,$B179,BASE!$L:$L,$G179,BASE!$J:$J,$C179,BASE!$A:$A,P$2)</f>
        <v>0</v>
      </c>
      <c r="Q179" s="12">
        <f>SUMIFS(BASE!$G:$G,BASE!$B:$B,$B179,BASE!$L:$L,$G179,BASE!$J:$J,$C179,BASE!$A:$A,Q$2)</f>
        <v>0</v>
      </c>
      <c r="R179" s="12">
        <f>SUMIFS(BASE!$G:$G,BASE!$B:$B,$B179,BASE!$L:$L,$G179,BASE!$J:$J,$C179,BASE!$A:$A,R$2)</f>
        <v>0</v>
      </c>
      <c r="S179" s="12">
        <f>SUMIFS(BASE!$G:$G,BASE!$B:$B,$B179,BASE!$L:$L,$G179,BASE!$J:$J,$C179,BASE!$A:$A,S$2)</f>
        <v>0</v>
      </c>
      <c r="T179" s="12">
        <f>SUMIFS(BASE!$G:$G,BASE!$B:$B,$B179,BASE!$L:$L,$G179,BASE!$J:$J,$C179,BASE!$A:$A,T$2)</f>
        <v>0</v>
      </c>
      <c r="U179" s="12">
        <f>SUMIFS(BASE!$G:$G,BASE!$B:$B,$B179,BASE!$L:$L,$G179,BASE!$J:$J,$C179,BASE!$A:$A,U$2)</f>
        <v>0</v>
      </c>
      <c r="V179" s="12">
        <f>SUMIFS(BASE!$G:$G,BASE!$B:$B,$B179,BASE!$L:$L,$G179,BASE!$J:$J,$C179,BASE!$A:$A,V$2)</f>
        <v>0</v>
      </c>
      <c r="X179" t="str">
        <f t="shared" si="5"/>
        <v>ZERADO</v>
      </c>
    </row>
    <row r="180" spans="2:24">
      <c r="B180" s="8" t="s">
        <v>585</v>
      </c>
      <c r="C180" s="9" t="s">
        <v>107</v>
      </c>
      <c r="D180" s="9" t="s">
        <v>493</v>
      </c>
      <c r="E180" s="9" t="s">
        <v>440</v>
      </c>
      <c r="F180" s="9" t="s">
        <v>586</v>
      </c>
      <c r="G180" s="9" t="s">
        <v>56</v>
      </c>
      <c r="H180" s="7" t="str">
        <f>IFERROR(IF(_xlfn.XLOOKUP(B180,REPASSE!D:D,REPASSE!D:D)="","Não","Sim"),"Não")</f>
        <v>Não</v>
      </c>
      <c r="I180" s="7" t="str">
        <f>IF(_xlfn.XLOOKUP(B180,'BOOST LIBERADO'!B:B,'BOOST LIBERADO'!B:B,"Não")="Não","Não","Sim")</f>
        <v>Sim</v>
      </c>
      <c r="J180" s="83" t="str">
        <f t="shared" si="4"/>
        <v>Sim</v>
      </c>
      <c r="K180" s="12">
        <f>SUMIFS(BASE!$G:$G,BASE!$B:$B,$B180,BASE!$L:$L,$G180,BASE!$J:$J,$C180,BASE!$A:$A,K$2)</f>
        <v>0</v>
      </c>
      <c r="L180" s="12">
        <f>SUMIFS(BASE!$G:$G,BASE!$B:$B,$B180,BASE!$L:$L,$G180,BASE!$J:$J,$C180,BASE!$A:$A,L$2)</f>
        <v>0</v>
      </c>
      <c r="M180" s="12">
        <f>SUMIFS(BASE!$G:$G,BASE!$B:$B,$B180,BASE!$L:$L,$G180,BASE!$J:$J,$C180,BASE!$A:$A,M$2)</f>
        <v>0</v>
      </c>
      <c r="N180" s="12">
        <f>SUMIFS(BASE!$G:$G,BASE!$B:$B,$B180,BASE!$L:$L,$G180,BASE!$J:$J,$C180,BASE!$A:$A,N$2)</f>
        <v>0</v>
      </c>
      <c r="O180" s="12">
        <f>SUMIFS(BASE!$G:$G,BASE!$B:$B,$B180,BASE!$L:$L,$G180,BASE!$J:$J,$C180,BASE!$A:$A,O$2)</f>
        <v>0</v>
      </c>
      <c r="P180" s="12">
        <f>SUMIFS(BASE!$G:$G,BASE!$B:$B,$B180,BASE!$L:$L,$G180,BASE!$J:$J,$C180,BASE!$A:$A,P$2)</f>
        <v>0</v>
      </c>
      <c r="Q180" s="12">
        <f>SUMIFS(BASE!$G:$G,BASE!$B:$B,$B180,BASE!$L:$L,$G180,BASE!$J:$J,$C180,BASE!$A:$A,Q$2)</f>
        <v>0</v>
      </c>
      <c r="R180" s="12">
        <f>SUMIFS(BASE!$G:$G,BASE!$B:$B,$B180,BASE!$L:$L,$G180,BASE!$J:$J,$C180,BASE!$A:$A,R$2)</f>
        <v>0</v>
      </c>
      <c r="S180" s="12">
        <f>SUMIFS(BASE!$G:$G,BASE!$B:$B,$B180,BASE!$L:$L,$G180,BASE!$J:$J,$C180,BASE!$A:$A,S$2)</f>
        <v>0</v>
      </c>
      <c r="T180" s="12">
        <f>SUMIFS(BASE!$G:$G,BASE!$B:$B,$B180,BASE!$L:$L,$G180,BASE!$J:$J,$C180,BASE!$A:$A,T$2)</f>
        <v>0</v>
      </c>
      <c r="U180" s="12">
        <f>SUMIFS(BASE!$G:$G,BASE!$B:$B,$B180,BASE!$L:$L,$G180,BASE!$J:$J,$C180,BASE!$A:$A,U$2)</f>
        <v>0</v>
      </c>
      <c r="V180" s="12">
        <f>SUMIFS(BASE!$G:$G,BASE!$B:$B,$B180,BASE!$L:$L,$G180,BASE!$J:$J,$C180,BASE!$A:$A,V$2)</f>
        <v>0</v>
      </c>
      <c r="X180" t="str">
        <f t="shared" si="5"/>
        <v>ZERADO</v>
      </c>
    </row>
    <row r="181" spans="2:24">
      <c r="B181" s="8">
        <v>4540</v>
      </c>
      <c r="C181" s="9" t="s">
        <v>106</v>
      </c>
      <c r="D181" s="9" t="s">
        <v>436</v>
      </c>
      <c r="E181" s="9" t="s">
        <v>437</v>
      </c>
      <c r="F181" s="9" t="s">
        <v>587</v>
      </c>
      <c r="G181" s="9" t="s">
        <v>56</v>
      </c>
      <c r="H181" s="7" t="str">
        <f>IFERROR(IF(_xlfn.XLOOKUP(B181,REPASSE!D:D,REPASSE!D:D)="","Não","Sim"),"Não")</f>
        <v>Não</v>
      </c>
      <c r="I181" s="7" t="str">
        <f>IF(_xlfn.XLOOKUP(B181,'BOOST LIBERADO'!B:B,'BOOST LIBERADO'!B:B,"Não")="Não","Não","Sim")</f>
        <v>Não</v>
      </c>
      <c r="J181" s="83" t="str">
        <f t="shared" si="4"/>
        <v>Não</v>
      </c>
      <c r="K181" s="12">
        <f>SUMIFS(BASE!$G:$G,BASE!$B:$B,$B181,BASE!$L:$L,$G181,BASE!$J:$J,$C181,BASE!$A:$A,K$2)</f>
        <v>0</v>
      </c>
      <c r="L181" s="12">
        <f>SUMIFS(BASE!$G:$G,BASE!$B:$B,$B181,BASE!$L:$L,$G181,BASE!$J:$J,$C181,BASE!$A:$A,L$2)</f>
        <v>0</v>
      </c>
      <c r="M181" s="12">
        <f>SUMIFS(BASE!$G:$G,BASE!$B:$B,$B181,BASE!$L:$L,$G181,BASE!$J:$J,$C181,BASE!$A:$A,M$2)</f>
        <v>0</v>
      </c>
      <c r="N181" s="12">
        <f>SUMIFS(BASE!$G:$G,BASE!$B:$B,$B181,BASE!$L:$L,$G181,BASE!$J:$J,$C181,BASE!$A:$A,N$2)</f>
        <v>0</v>
      </c>
      <c r="O181" s="12">
        <f>SUMIFS(BASE!$G:$G,BASE!$B:$B,$B181,BASE!$L:$L,$G181,BASE!$J:$J,$C181,BASE!$A:$A,O$2)</f>
        <v>0</v>
      </c>
      <c r="P181" s="12">
        <f>SUMIFS(BASE!$G:$G,BASE!$B:$B,$B181,BASE!$L:$L,$G181,BASE!$J:$J,$C181,BASE!$A:$A,P$2)</f>
        <v>0</v>
      </c>
      <c r="Q181" s="12">
        <f>SUMIFS(BASE!$G:$G,BASE!$B:$B,$B181,BASE!$L:$L,$G181,BASE!$J:$J,$C181,BASE!$A:$A,Q$2)</f>
        <v>0</v>
      </c>
      <c r="R181" s="12">
        <f>SUMIFS(BASE!$G:$G,BASE!$B:$B,$B181,BASE!$L:$L,$G181,BASE!$J:$J,$C181,BASE!$A:$A,R$2)</f>
        <v>0</v>
      </c>
      <c r="S181" s="12">
        <f>SUMIFS(BASE!$G:$G,BASE!$B:$B,$B181,BASE!$L:$L,$G181,BASE!$J:$J,$C181,BASE!$A:$A,S$2)</f>
        <v>0</v>
      </c>
      <c r="T181" s="12">
        <f>SUMIFS(BASE!$G:$G,BASE!$B:$B,$B181,BASE!$L:$L,$G181,BASE!$J:$J,$C181,BASE!$A:$A,T$2)</f>
        <v>0</v>
      </c>
      <c r="U181" s="12">
        <f>SUMIFS(BASE!$G:$G,BASE!$B:$B,$B181,BASE!$L:$L,$G181,BASE!$J:$J,$C181,BASE!$A:$A,U$2)</f>
        <v>0</v>
      </c>
      <c r="V181" s="12">
        <f>SUMIFS(BASE!$G:$G,BASE!$B:$B,$B181,BASE!$L:$L,$G181,BASE!$J:$J,$C181,BASE!$A:$A,V$2)</f>
        <v>0</v>
      </c>
      <c r="X181" t="str">
        <f t="shared" si="5"/>
        <v>ZERADO</v>
      </c>
    </row>
    <row r="182" spans="2:24">
      <c r="B182" s="8" t="s">
        <v>588</v>
      </c>
      <c r="C182" s="9" t="s">
        <v>106</v>
      </c>
      <c r="D182" s="9" t="s">
        <v>468</v>
      </c>
      <c r="E182" s="9" t="s">
        <v>429</v>
      </c>
      <c r="F182" s="9" t="s">
        <v>589</v>
      </c>
      <c r="G182" s="9" t="s">
        <v>56</v>
      </c>
      <c r="H182" s="7" t="str">
        <f>IFERROR(IF(_xlfn.XLOOKUP(B182,REPASSE!D:D,REPASSE!D:D)="","Não","Sim"),"Não")</f>
        <v>Não</v>
      </c>
      <c r="I182" s="7" t="str">
        <f>IF(_xlfn.XLOOKUP(B182,'BOOST LIBERADO'!B:B,'BOOST LIBERADO'!B:B,"Não")="Não","Não","Sim")</f>
        <v>Sim</v>
      </c>
      <c r="J182" s="83" t="str">
        <f t="shared" si="4"/>
        <v>Sim</v>
      </c>
      <c r="K182" s="12">
        <f>SUMIFS(BASE!$G:$G,BASE!$B:$B,$B182,BASE!$L:$L,$G182,BASE!$J:$J,$C182,BASE!$A:$A,K$2)</f>
        <v>0</v>
      </c>
      <c r="L182" s="12">
        <f>SUMIFS(BASE!$G:$G,BASE!$B:$B,$B182,BASE!$L:$L,$G182,BASE!$J:$J,$C182,BASE!$A:$A,L$2)</f>
        <v>0</v>
      </c>
      <c r="M182" s="12">
        <f>SUMIFS(BASE!$G:$G,BASE!$B:$B,$B182,BASE!$L:$L,$G182,BASE!$J:$J,$C182,BASE!$A:$A,M$2)</f>
        <v>0</v>
      </c>
      <c r="N182" s="12">
        <f>SUMIFS(BASE!$G:$G,BASE!$B:$B,$B182,BASE!$L:$L,$G182,BASE!$J:$J,$C182,BASE!$A:$A,N$2)</f>
        <v>0</v>
      </c>
      <c r="O182" s="12">
        <f>SUMIFS(BASE!$G:$G,BASE!$B:$B,$B182,BASE!$L:$L,$G182,BASE!$J:$J,$C182,BASE!$A:$A,O$2)</f>
        <v>0</v>
      </c>
      <c r="P182" s="12">
        <f>SUMIFS(BASE!$G:$G,BASE!$B:$B,$B182,BASE!$L:$L,$G182,BASE!$J:$J,$C182,BASE!$A:$A,P$2)</f>
        <v>0</v>
      </c>
      <c r="Q182" s="12">
        <f>SUMIFS(BASE!$G:$G,BASE!$B:$B,$B182,BASE!$L:$L,$G182,BASE!$J:$J,$C182,BASE!$A:$A,Q$2)</f>
        <v>0</v>
      </c>
      <c r="R182" s="12">
        <f>SUMIFS(BASE!$G:$G,BASE!$B:$B,$B182,BASE!$L:$L,$G182,BASE!$J:$J,$C182,BASE!$A:$A,R$2)</f>
        <v>0</v>
      </c>
      <c r="S182" s="12">
        <f>SUMIFS(BASE!$G:$G,BASE!$B:$B,$B182,BASE!$L:$L,$G182,BASE!$J:$J,$C182,BASE!$A:$A,S$2)</f>
        <v>0</v>
      </c>
      <c r="T182" s="12">
        <f>SUMIFS(BASE!$G:$G,BASE!$B:$B,$B182,BASE!$L:$L,$G182,BASE!$J:$J,$C182,BASE!$A:$A,T$2)</f>
        <v>0</v>
      </c>
      <c r="U182" s="12">
        <f>SUMIFS(BASE!$G:$G,BASE!$B:$B,$B182,BASE!$L:$L,$G182,BASE!$J:$J,$C182,BASE!$A:$A,U$2)</f>
        <v>0</v>
      </c>
      <c r="V182" s="12">
        <f>SUMIFS(BASE!$G:$G,BASE!$B:$B,$B182,BASE!$L:$L,$G182,BASE!$J:$J,$C182,BASE!$A:$A,V$2)</f>
        <v>0</v>
      </c>
      <c r="X182" t="str">
        <f t="shared" si="5"/>
        <v>ZERADO</v>
      </c>
    </row>
    <row r="183" spans="2:24">
      <c r="B183" s="8" t="s">
        <v>590</v>
      </c>
      <c r="C183" s="9" t="s">
        <v>106</v>
      </c>
      <c r="D183" s="9" t="s">
        <v>465</v>
      </c>
      <c r="E183" s="9" t="s">
        <v>429</v>
      </c>
      <c r="F183" s="9" t="s">
        <v>591</v>
      </c>
      <c r="G183" s="9" t="s">
        <v>56</v>
      </c>
      <c r="H183" s="7" t="str">
        <f>IFERROR(IF(_xlfn.XLOOKUP(B183,REPASSE!D:D,REPASSE!D:D)="","Não","Sim"),"Não")</f>
        <v>Não</v>
      </c>
      <c r="I183" s="7" t="str">
        <f>IF(_xlfn.XLOOKUP(B183,'BOOST LIBERADO'!B:B,'BOOST LIBERADO'!B:B,"Não")="Não","Não","Sim")</f>
        <v>Sim</v>
      </c>
      <c r="J183" s="83" t="str">
        <f t="shared" si="4"/>
        <v>Sim</v>
      </c>
      <c r="K183" s="12">
        <f>SUMIFS(BASE!$G:$G,BASE!$B:$B,$B183,BASE!$L:$L,$G183,BASE!$J:$J,$C183,BASE!$A:$A,K$2)</f>
        <v>0</v>
      </c>
      <c r="L183" s="12">
        <f>SUMIFS(BASE!$G:$G,BASE!$B:$B,$B183,BASE!$L:$L,$G183,BASE!$J:$J,$C183,BASE!$A:$A,L$2)</f>
        <v>0</v>
      </c>
      <c r="M183" s="12">
        <f>SUMIFS(BASE!$G:$G,BASE!$B:$B,$B183,BASE!$L:$L,$G183,BASE!$J:$J,$C183,BASE!$A:$A,M$2)</f>
        <v>0</v>
      </c>
      <c r="N183" s="12">
        <f>SUMIFS(BASE!$G:$G,BASE!$B:$B,$B183,BASE!$L:$L,$G183,BASE!$J:$J,$C183,BASE!$A:$A,N$2)</f>
        <v>0</v>
      </c>
      <c r="O183" s="12">
        <f>SUMIFS(BASE!$G:$G,BASE!$B:$B,$B183,BASE!$L:$L,$G183,BASE!$J:$J,$C183,BASE!$A:$A,O$2)</f>
        <v>0</v>
      </c>
      <c r="P183" s="12">
        <f>SUMIFS(BASE!$G:$G,BASE!$B:$B,$B183,BASE!$L:$L,$G183,BASE!$J:$J,$C183,BASE!$A:$A,P$2)</f>
        <v>0</v>
      </c>
      <c r="Q183" s="12">
        <f>SUMIFS(BASE!$G:$G,BASE!$B:$B,$B183,BASE!$L:$L,$G183,BASE!$J:$J,$C183,BASE!$A:$A,Q$2)</f>
        <v>0</v>
      </c>
      <c r="R183" s="12">
        <f>SUMIFS(BASE!$G:$G,BASE!$B:$B,$B183,BASE!$L:$L,$G183,BASE!$J:$J,$C183,BASE!$A:$A,R$2)</f>
        <v>0</v>
      </c>
      <c r="S183" s="12">
        <f>SUMIFS(BASE!$G:$G,BASE!$B:$B,$B183,BASE!$L:$L,$G183,BASE!$J:$J,$C183,BASE!$A:$A,S$2)</f>
        <v>0</v>
      </c>
      <c r="T183" s="12">
        <f>SUMIFS(BASE!$G:$G,BASE!$B:$B,$B183,BASE!$L:$L,$G183,BASE!$J:$J,$C183,BASE!$A:$A,T$2)</f>
        <v>0</v>
      </c>
      <c r="U183" s="12">
        <f>SUMIFS(BASE!$G:$G,BASE!$B:$B,$B183,BASE!$L:$L,$G183,BASE!$J:$J,$C183,BASE!$A:$A,U$2)</f>
        <v>0</v>
      </c>
      <c r="V183" s="12">
        <f>SUMIFS(BASE!$G:$G,BASE!$B:$B,$B183,BASE!$L:$L,$G183,BASE!$J:$J,$C183,BASE!$A:$A,V$2)</f>
        <v>0</v>
      </c>
      <c r="X183" t="str">
        <f t="shared" si="5"/>
        <v>ZERADO</v>
      </c>
    </row>
    <row r="184" spans="2:24">
      <c r="B184" s="8" t="s">
        <v>592</v>
      </c>
      <c r="C184" s="9" t="s">
        <v>167</v>
      </c>
      <c r="D184" s="9" t="s">
        <v>502</v>
      </c>
      <c r="E184" s="9" t="s">
        <v>454</v>
      </c>
      <c r="F184" s="9" t="s">
        <v>593</v>
      </c>
      <c r="G184" s="9" t="s">
        <v>56</v>
      </c>
      <c r="H184" s="7" t="str">
        <f>IFERROR(IF(_xlfn.XLOOKUP(B184,REPASSE!D:D,REPASSE!D:D)="","Não","Sim"),"Não")</f>
        <v>Não</v>
      </c>
      <c r="I184" s="7" t="str">
        <f>IF(_xlfn.XLOOKUP(B184,'BOOST LIBERADO'!B:B,'BOOST LIBERADO'!B:B,"Não")="Não","Não","Sim")</f>
        <v>Sim</v>
      </c>
      <c r="J184" s="83" t="str">
        <f t="shared" si="4"/>
        <v>Sim</v>
      </c>
      <c r="K184" s="12">
        <f>SUMIFS(BASE!$G:$G,BASE!$B:$B,$B184,BASE!$L:$L,$G184,BASE!$J:$J,$C184,BASE!$A:$A,K$2)</f>
        <v>0</v>
      </c>
      <c r="L184" s="12">
        <f>SUMIFS(BASE!$G:$G,BASE!$B:$B,$B184,BASE!$L:$L,$G184,BASE!$J:$J,$C184,BASE!$A:$A,L$2)</f>
        <v>0</v>
      </c>
      <c r="M184" s="12">
        <f>SUMIFS(BASE!$G:$G,BASE!$B:$B,$B184,BASE!$L:$L,$G184,BASE!$J:$J,$C184,BASE!$A:$A,M$2)</f>
        <v>0</v>
      </c>
      <c r="N184" s="12">
        <f>SUMIFS(BASE!$G:$G,BASE!$B:$B,$B184,BASE!$L:$L,$G184,BASE!$J:$J,$C184,BASE!$A:$A,N$2)</f>
        <v>0</v>
      </c>
      <c r="O184" s="12">
        <f>SUMIFS(BASE!$G:$G,BASE!$B:$B,$B184,BASE!$L:$L,$G184,BASE!$J:$J,$C184,BASE!$A:$A,O$2)</f>
        <v>0</v>
      </c>
      <c r="P184" s="12">
        <f>SUMIFS(BASE!$G:$G,BASE!$B:$B,$B184,BASE!$L:$L,$G184,BASE!$J:$J,$C184,BASE!$A:$A,P$2)</f>
        <v>0</v>
      </c>
      <c r="Q184" s="12">
        <f>SUMIFS(BASE!$G:$G,BASE!$B:$B,$B184,BASE!$L:$L,$G184,BASE!$J:$J,$C184,BASE!$A:$A,Q$2)</f>
        <v>0</v>
      </c>
      <c r="R184" s="12">
        <f>SUMIFS(BASE!$G:$G,BASE!$B:$B,$B184,BASE!$L:$L,$G184,BASE!$J:$J,$C184,BASE!$A:$A,R$2)</f>
        <v>0</v>
      </c>
      <c r="S184" s="12">
        <f>SUMIFS(BASE!$G:$G,BASE!$B:$B,$B184,BASE!$L:$L,$G184,BASE!$J:$J,$C184,BASE!$A:$A,S$2)</f>
        <v>0</v>
      </c>
      <c r="T184" s="12">
        <f>SUMIFS(BASE!$G:$G,BASE!$B:$B,$B184,BASE!$L:$L,$G184,BASE!$J:$J,$C184,BASE!$A:$A,T$2)</f>
        <v>0</v>
      </c>
      <c r="U184" s="12">
        <f>SUMIFS(BASE!$G:$G,BASE!$B:$B,$B184,BASE!$L:$L,$G184,BASE!$J:$J,$C184,BASE!$A:$A,U$2)</f>
        <v>0</v>
      </c>
      <c r="V184" s="12">
        <f>SUMIFS(BASE!$G:$G,BASE!$B:$B,$B184,BASE!$L:$L,$G184,BASE!$J:$J,$C184,BASE!$A:$A,V$2)</f>
        <v>0</v>
      </c>
      <c r="X184" t="str">
        <f t="shared" si="5"/>
        <v>ZERADO</v>
      </c>
    </row>
    <row r="185" spans="2:24">
      <c r="B185" s="8" t="s">
        <v>594</v>
      </c>
      <c r="C185" s="9" t="s">
        <v>166</v>
      </c>
      <c r="D185" s="9" t="s">
        <v>502</v>
      </c>
      <c r="E185" s="9" t="s">
        <v>454</v>
      </c>
      <c r="F185" s="9" t="s">
        <v>570</v>
      </c>
      <c r="G185" s="9" t="s">
        <v>56</v>
      </c>
      <c r="H185" s="7" t="str">
        <f>IFERROR(IF(_xlfn.XLOOKUP(B185,REPASSE!D:D,REPASSE!D:D)="","Não","Sim"),"Não")</f>
        <v>Não</v>
      </c>
      <c r="I185" s="7" t="str">
        <f>IF(_xlfn.XLOOKUP(B185,'BOOST LIBERADO'!B:B,'BOOST LIBERADO'!B:B,"Não")="Não","Não","Sim")</f>
        <v>Sim</v>
      </c>
      <c r="J185" s="83" t="str">
        <f t="shared" si="4"/>
        <v>Sim</v>
      </c>
      <c r="K185" s="12">
        <f>SUMIFS(BASE!$G:$G,BASE!$B:$B,$B185,BASE!$L:$L,$G185,BASE!$J:$J,$C185,BASE!$A:$A,K$2)</f>
        <v>0</v>
      </c>
      <c r="L185" s="12">
        <f>SUMIFS(BASE!$G:$G,BASE!$B:$B,$B185,BASE!$L:$L,$G185,BASE!$J:$J,$C185,BASE!$A:$A,L$2)</f>
        <v>0</v>
      </c>
      <c r="M185" s="12">
        <f>SUMIFS(BASE!$G:$G,BASE!$B:$B,$B185,BASE!$L:$L,$G185,BASE!$J:$J,$C185,BASE!$A:$A,M$2)</f>
        <v>0</v>
      </c>
      <c r="N185" s="12">
        <f>SUMIFS(BASE!$G:$G,BASE!$B:$B,$B185,BASE!$L:$L,$G185,BASE!$J:$J,$C185,BASE!$A:$A,N$2)</f>
        <v>0</v>
      </c>
      <c r="O185" s="12">
        <f>SUMIFS(BASE!$G:$G,BASE!$B:$B,$B185,BASE!$L:$L,$G185,BASE!$J:$J,$C185,BASE!$A:$A,O$2)</f>
        <v>0</v>
      </c>
      <c r="P185" s="12">
        <f>SUMIFS(BASE!$G:$G,BASE!$B:$B,$B185,BASE!$L:$L,$G185,BASE!$J:$J,$C185,BASE!$A:$A,P$2)</f>
        <v>0</v>
      </c>
      <c r="Q185" s="12">
        <f>SUMIFS(BASE!$G:$G,BASE!$B:$B,$B185,BASE!$L:$L,$G185,BASE!$J:$J,$C185,BASE!$A:$A,Q$2)</f>
        <v>0</v>
      </c>
      <c r="R185" s="12">
        <f>SUMIFS(BASE!$G:$G,BASE!$B:$B,$B185,BASE!$L:$L,$G185,BASE!$J:$J,$C185,BASE!$A:$A,R$2)</f>
        <v>0</v>
      </c>
      <c r="S185" s="12">
        <f>SUMIFS(BASE!$G:$G,BASE!$B:$B,$B185,BASE!$L:$L,$G185,BASE!$J:$J,$C185,BASE!$A:$A,S$2)</f>
        <v>0</v>
      </c>
      <c r="T185" s="12">
        <f>SUMIFS(BASE!$G:$G,BASE!$B:$B,$B185,BASE!$L:$L,$G185,BASE!$J:$J,$C185,BASE!$A:$A,T$2)</f>
        <v>0</v>
      </c>
      <c r="U185" s="12">
        <f>SUMIFS(BASE!$G:$G,BASE!$B:$B,$B185,BASE!$L:$L,$G185,BASE!$J:$J,$C185,BASE!$A:$A,U$2)</f>
        <v>0</v>
      </c>
      <c r="V185" s="12">
        <f>SUMIFS(BASE!$G:$G,BASE!$B:$B,$B185,BASE!$L:$L,$G185,BASE!$J:$J,$C185,BASE!$A:$A,V$2)</f>
        <v>0</v>
      </c>
      <c r="X185" t="str">
        <f t="shared" si="5"/>
        <v>ZERADO</v>
      </c>
    </row>
    <row r="186" spans="2:24">
      <c r="B186" s="8" t="s">
        <v>595</v>
      </c>
      <c r="C186" s="9" t="s">
        <v>239</v>
      </c>
      <c r="D186" s="9" t="s">
        <v>493</v>
      </c>
      <c r="E186" s="9" t="s">
        <v>440</v>
      </c>
      <c r="F186" s="9" t="s">
        <v>596</v>
      </c>
      <c r="G186" s="9" t="s">
        <v>56</v>
      </c>
      <c r="H186" s="7" t="str">
        <f>IFERROR(IF(_xlfn.XLOOKUP(B186,REPASSE!D:D,REPASSE!D:D)="","Não","Sim"),"Não")</f>
        <v>Não</v>
      </c>
      <c r="I186" s="7" t="str">
        <f>IF(_xlfn.XLOOKUP(B186,'BOOST LIBERADO'!B:B,'BOOST LIBERADO'!B:B,"Não")="Não","Não","Sim")</f>
        <v>Sim</v>
      </c>
      <c r="J186" s="83" t="str">
        <f t="shared" si="4"/>
        <v>Sim</v>
      </c>
      <c r="K186" s="12">
        <f>SUMIFS(BASE!$G:$G,BASE!$B:$B,$B186,BASE!$L:$L,$G186,BASE!$J:$J,$C186,BASE!$A:$A,K$2)</f>
        <v>9</v>
      </c>
      <c r="L186" s="12">
        <f>SUMIFS(BASE!$G:$G,BASE!$B:$B,$B186,BASE!$L:$L,$G186,BASE!$J:$J,$C186,BASE!$A:$A,L$2)</f>
        <v>7</v>
      </c>
      <c r="M186" s="12">
        <f>SUMIFS(BASE!$G:$G,BASE!$B:$B,$B186,BASE!$L:$L,$G186,BASE!$J:$J,$C186,BASE!$A:$A,M$2)</f>
        <v>19</v>
      </c>
      <c r="N186" s="12">
        <f>SUMIFS(BASE!$G:$G,BASE!$B:$B,$B186,BASE!$L:$L,$G186,BASE!$J:$J,$C186,BASE!$A:$A,N$2)</f>
        <v>16</v>
      </c>
      <c r="O186" s="12">
        <f>SUMIFS(BASE!$G:$G,BASE!$B:$B,$B186,BASE!$L:$L,$G186,BASE!$J:$J,$C186,BASE!$A:$A,O$2)</f>
        <v>10</v>
      </c>
      <c r="P186" s="12">
        <f>SUMIFS(BASE!$G:$G,BASE!$B:$B,$B186,BASE!$L:$L,$G186,BASE!$J:$J,$C186,BASE!$A:$A,P$2)</f>
        <v>13</v>
      </c>
      <c r="Q186" s="12">
        <f>SUMIFS(BASE!$G:$G,BASE!$B:$B,$B186,BASE!$L:$L,$G186,BASE!$J:$J,$C186,BASE!$A:$A,Q$2)</f>
        <v>13</v>
      </c>
      <c r="R186" s="12">
        <f>SUMIFS(BASE!$G:$G,BASE!$B:$B,$B186,BASE!$L:$L,$G186,BASE!$J:$J,$C186,BASE!$A:$A,R$2)</f>
        <v>4</v>
      </c>
      <c r="S186" s="12">
        <f>SUMIFS(BASE!$G:$G,BASE!$B:$B,$B186,BASE!$L:$L,$G186,BASE!$J:$J,$C186,BASE!$A:$A,S$2)</f>
        <v>0</v>
      </c>
      <c r="T186" s="12">
        <f>SUMIFS(BASE!$G:$G,BASE!$B:$B,$B186,BASE!$L:$L,$G186,BASE!$J:$J,$C186,BASE!$A:$A,T$2)</f>
        <v>0</v>
      </c>
      <c r="U186" s="12">
        <f>SUMIFS(BASE!$G:$G,BASE!$B:$B,$B186,BASE!$L:$L,$G186,BASE!$J:$J,$C186,BASE!$A:$A,U$2)</f>
        <v>0</v>
      </c>
      <c r="V186" s="12">
        <f>SUMIFS(BASE!$G:$G,BASE!$B:$B,$B186,BASE!$L:$L,$G186,BASE!$J:$J,$C186,BASE!$A:$A,V$2)</f>
        <v>0</v>
      </c>
      <c r="X186" t="str">
        <f t="shared" si="5"/>
        <v>COM TROCAS</v>
      </c>
    </row>
    <row r="187" spans="2:24">
      <c r="B187" s="8" t="s">
        <v>597</v>
      </c>
      <c r="C187" s="9" t="s">
        <v>228</v>
      </c>
      <c r="D187" s="9" t="s">
        <v>448</v>
      </c>
      <c r="E187" s="9" t="s">
        <v>437</v>
      </c>
      <c r="F187" s="9" t="s">
        <v>598</v>
      </c>
      <c r="G187" s="9" t="s">
        <v>56</v>
      </c>
      <c r="H187" s="7" t="str">
        <f>IFERROR(IF(_xlfn.XLOOKUP(B187,REPASSE!D:D,REPASSE!D:D)="","Não","Sim"),"Não")</f>
        <v>Não</v>
      </c>
      <c r="I187" s="7" t="str">
        <f>IF(_xlfn.XLOOKUP(B187,'BOOST LIBERADO'!B:B,'BOOST LIBERADO'!B:B,"Não")="Não","Não","Sim")</f>
        <v>Sim</v>
      </c>
      <c r="J187" s="83" t="str">
        <f t="shared" si="4"/>
        <v>Sim</v>
      </c>
      <c r="K187" s="12">
        <f>SUMIFS(BASE!$G:$G,BASE!$B:$B,$B187,BASE!$L:$L,$G187,BASE!$J:$J,$C187,BASE!$A:$A,K$2)</f>
        <v>0</v>
      </c>
      <c r="L187" s="12">
        <f>SUMIFS(BASE!$G:$G,BASE!$B:$B,$B187,BASE!$L:$L,$G187,BASE!$J:$J,$C187,BASE!$A:$A,L$2)</f>
        <v>0</v>
      </c>
      <c r="M187" s="12">
        <f>SUMIFS(BASE!$G:$G,BASE!$B:$B,$B187,BASE!$L:$L,$G187,BASE!$J:$J,$C187,BASE!$A:$A,M$2)</f>
        <v>0</v>
      </c>
      <c r="N187" s="12">
        <f>SUMIFS(BASE!$G:$G,BASE!$B:$B,$B187,BASE!$L:$L,$G187,BASE!$J:$J,$C187,BASE!$A:$A,N$2)</f>
        <v>0</v>
      </c>
      <c r="O187" s="12">
        <f>SUMIFS(BASE!$G:$G,BASE!$B:$B,$B187,BASE!$L:$L,$G187,BASE!$J:$J,$C187,BASE!$A:$A,O$2)</f>
        <v>1</v>
      </c>
      <c r="P187" s="12">
        <f>SUMIFS(BASE!$G:$G,BASE!$B:$B,$B187,BASE!$L:$L,$G187,BASE!$J:$J,$C187,BASE!$A:$A,P$2)</f>
        <v>1</v>
      </c>
      <c r="Q187" s="12">
        <f>SUMIFS(BASE!$G:$G,BASE!$B:$B,$B187,BASE!$L:$L,$G187,BASE!$J:$J,$C187,BASE!$A:$A,Q$2)</f>
        <v>4</v>
      </c>
      <c r="R187" s="12">
        <f>SUMIFS(BASE!$G:$G,BASE!$B:$B,$B187,BASE!$L:$L,$G187,BASE!$J:$J,$C187,BASE!$A:$A,R$2)</f>
        <v>4</v>
      </c>
      <c r="S187" s="12">
        <f>SUMIFS(BASE!$G:$G,BASE!$B:$B,$B187,BASE!$L:$L,$G187,BASE!$J:$J,$C187,BASE!$A:$A,S$2)</f>
        <v>0</v>
      </c>
      <c r="T187" s="12">
        <f>SUMIFS(BASE!$G:$G,BASE!$B:$B,$B187,BASE!$L:$L,$G187,BASE!$J:$J,$C187,BASE!$A:$A,T$2)</f>
        <v>0</v>
      </c>
      <c r="U187" s="12">
        <f>SUMIFS(BASE!$G:$G,BASE!$B:$B,$B187,BASE!$L:$L,$G187,BASE!$J:$J,$C187,BASE!$A:$A,U$2)</f>
        <v>0</v>
      </c>
      <c r="V187" s="12">
        <f>SUMIFS(BASE!$G:$G,BASE!$B:$B,$B187,BASE!$L:$L,$G187,BASE!$J:$J,$C187,BASE!$A:$A,V$2)</f>
        <v>0</v>
      </c>
      <c r="X187" t="str">
        <f t="shared" si="5"/>
        <v>COM TROCAS</v>
      </c>
    </row>
    <row r="188" spans="2:24">
      <c r="B188" s="8" t="s">
        <v>599</v>
      </c>
      <c r="C188" s="9" t="s">
        <v>235</v>
      </c>
      <c r="D188" s="9" t="s">
        <v>453</v>
      </c>
      <c r="E188" s="9" t="s">
        <v>454</v>
      </c>
      <c r="F188" s="9" t="s">
        <v>600</v>
      </c>
      <c r="G188" s="9" t="s">
        <v>56</v>
      </c>
      <c r="H188" s="7" t="str">
        <f>IFERROR(IF(_xlfn.XLOOKUP(B188,REPASSE!D:D,REPASSE!D:D)="","Não","Sim"),"Não")</f>
        <v>Não</v>
      </c>
      <c r="I188" s="7" t="str">
        <f>IF(_xlfn.XLOOKUP(B188,'BOOST LIBERADO'!B:B,'BOOST LIBERADO'!B:B,"Não")="Não","Não","Sim")</f>
        <v>Sim</v>
      </c>
      <c r="J188" s="83" t="str">
        <f t="shared" si="4"/>
        <v>Sim</v>
      </c>
      <c r="K188" s="12">
        <f>SUMIFS(BASE!$G:$G,BASE!$B:$B,$B188,BASE!$L:$L,$G188,BASE!$J:$J,$C188,BASE!$A:$A,K$2)</f>
        <v>0</v>
      </c>
      <c r="L188" s="12">
        <f>SUMIFS(BASE!$G:$G,BASE!$B:$B,$B188,BASE!$L:$L,$G188,BASE!$J:$J,$C188,BASE!$A:$A,L$2)</f>
        <v>0</v>
      </c>
      <c r="M188" s="12">
        <f>SUMIFS(BASE!$G:$G,BASE!$B:$B,$B188,BASE!$L:$L,$G188,BASE!$J:$J,$C188,BASE!$A:$A,M$2)</f>
        <v>0</v>
      </c>
      <c r="N188" s="12">
        <f>SUMIFS(BASE!$G:$G,BASE!$B:$B,$B188,BASE!$L:$L,$G188,BASE!$J:$J,$C188,BASE!$A:$A,N$2)</f>
        <v>0</v>
      </c>
      <c r="O188" s="12">
        <f>SUMIFS(BASE!$G:$G,BASE!$B:$B,$B188,BASE!$L:$L,$G188,BASE!$J:$J,$C188,BASE!$A:$A,O$2)</f>
        <v>0</v>
      </c>
      <c r="P188" s="12">
        <f>SUMIFS(BASE!$G:$G,BASE!$B:$B,$B188,BASE!$L:$L,$G188,BASE!$J:$J,$C188,BASE!$A:$A,P$2)</f>
        <v>0</v>
      </c>
      <c r="Q188" s="12">
        <f>SUMIFS(BASE!$G:$G,BASE!$B:$B,$B188,BASE!$L:$L,$G188,BASE!$J:$J,$C188,BASE!$A:$A,Q$2)</f>
        <v>0</v>
      </c>
      <c r="R188" s="12">
        <f>SUMIFS(BASE!$G:$G,BASE!$B:$B,$B188,BASE!$L:$L,$G188,BASE!$J:$J,$C188,BASE!$A:$A,R$2)</f>
        <v>1</v>
      </c>
      <c r="S188" s="12">
        <f>SUMIFS(BASE!$G:$G,BASE!$B:$B,$B188,BASE!$L:$L,$G188,BASE!$J:$J,$C188,BASE!$A:$A,S$2)</f>
        <v>0</v>
      </c>
      <c r="T188" s="12">
        <f>SUMIFS(BASE!$G:$G,BASE!$B:$B,$B188,BASE!$L:$L,$G188,BASE!$J:$J,$C188,BASE!$A:$A,T$2)</f>
        <v>0</v>
      </c>
      <c r="U188" s="12">
        <f>SUMIFS(BASE!$G:$G,BASE!$B:$B,$B188,BASE!$L:$L,$G188,BASE!$J:$J,$C188,BASE!$A:$A,U$2)</f>
        <v>0</v>
      </c>
      <c r="V188" s="12">
        <f>SUMIFS(BASE!$G:$G,BASE!$B:$B,$B188,BASE!$L:$L,$G188,BASE!$J:$J,$C188,BASE!$A:$A,V$2)</f>
        <v>0</v>
      </c>
      <c r="X188" t="str">
        <f t="shared" si="5"/>
        <v>COM TROCAS</v>
      </c>
    </row>
    <row r="189" spans="2:24">
      <c r="B189" s="8" t="s">
        <v>601</v>
      </c>
      <c r="C189" s="9" t="s">
        <v>239</v>
      </c>
      <c r="D189" s="9" t="s">
        <v>462</v>
      </c>
      <c r="E189" s="9" t="s">
        <v>440</v>
      </c>
      <c r="F189" s="9" t="s">
        <v>602</v>
      </c>
      <c r="G189" s="9" t="s">
        <v>56</v>
      </c>
      <c r="H189" s="7" t="str">
        <f>IFERROR(IF(_xlfn.XLOOKUP(B189,REPASSE!D:D,REPASSE!D:D)="","Não","Sim"),"Não")</f>
        <v>Não</v>
      </c>
      <c r="I189" s="7" t="str">
        <f>IF(_xlfn.XLOOKUP(B189,'BOOST LIBERADO'!B:B,'BOOST LIBERADO'!B:B,"Não")="Não","Não","Sim")</f>
        <v>Sim</v>
      </c>
      <c r="J189" s="83" t="str">
        <f t="shared" si="4"/>
        <v>Sim</v>
      </c>
      <c r="K189" s="12">
        <f>SUMIFS(BASE!$G:$G,BASE!$B:$B,$B189,BASE!$L:$L,$G189,BASE!$J:$J,$C189,BASE!$A:$A,K$2)</f>
        <v>0</v>
      </c>
      <c r="L189" s="12">
        <f>SUMIFS(BASE!$G:$G,BASE!$B:$B,$B189,BASE!$L:$L,$G189,BASE!$J:$J,$C189,BASE!$A:$A,L$2)</f>
        <v>0</v>
      </c>
      <c r="M189" s="12">
        <f>SUMIFS(BASE!$G:$G,BASE!$B:$B,$B189,BASE!$L:$L,$G189,BASE!$J:$J,$C189,BASE!$A:$A,M$2)</f>
        <v>0</v>
      </c>
      <c r="N189" s="12">
        <f>SUMIFS(BASE!$G:$G,BASE!$B:$B,$B189,BASE!$L:$L,$G189,BASE!$J:$J,$C189,BASE!$A:$A,N$2)</f>
        <v>0</v>
      </c>
      <c r="O189" s="12">
        <f>SUMIFS(BASE!$G:$G,BASE!$B:$B,$B189,BASE!$L:$L,$G189,BASE!$J:$J,$C189,BASE!$A:$A,O$2)</f>
        <v>0</v>
      </c>
      <c r="P189" s="12">
        <f>SUMIFS(BASE!$G:$G,BASE!$B:$B,$B189,BASE!$L:$L,$G189,BASE!$J:$J,$C189,BASE!$A:$A,P$2)</f>
        <v>0</v>
      </c>
      <c r="Q189" s="12">
        <f>SUMIFS(BASE!$G:$G,BASE!$B:$B,$B189,BASE!$L:$L,$G189,BASE!$J:$J,$C189,BASE!$A:$A,Q$2)</f>
        <v>2</v>
      </c>
      <c r="R189" s="12">
        <f>SUMIFS(BASE!$G:$G,BASE!$B:$B,$B189,BASE!$L:$L,$G189,BASE!$J:$J,$C189,BASE!$A:$A,R$2)</f>
        <v>0</v>
      </c>
      <c r="S189" s="12">
        <f>SUMIFS(BASE!$G:$G,BASE!$B:$B,$B189,BASE!$L:$L,$G189,BASE!$J:$J,$C189,BASE!$A:$A,S$2)</f>
        <v>0</v>
      </c>
      <c r="T189" s="12">
        <f>SUMIFS(BASE!$G:$G,BASE!$B:$B,$B189,BASE!$L:$L,$G189,BASE!$J:$J,$C189,BASE!$A:$A,T$2)</f>
        <v>0</v>
      </c>
      <c r="U189" s="12">
        <f>SUMIFS(BASE!$G:$G,BASE!$B:$B,$B189,BASE!$L:$L,$G189,BASE!$J:$J,$C189,BASE!$A:$A,U$2)</f>
        <v>0</v>
      </c>
      <c r="V189" s="12">
        <f>SUMIFS(BASE!$G:$G,BASE!$B:$B,$B189,BASE!$L:$L,$G189,BASE!$J:$J,$C189,BASE!$A:$A,V$2)</f>
        <v>0</v>
      </c>
      <c r="X189" t="str">
        <f t="shared" si="5"/>
        <v>ZERADO</v>
      </c>
    </row>
    <row r="190" spans="2:24">
      <c r="B190" s="8" t="s">
        <v>603</v>
      </c>
      <c r="C190" s="9" t="s">
        <v>170</v>
      </c>
      <c r="D190" s="9" t="s">
        <v>445</v>
      </c>
      <c r="E190" s="9" t="s">
        <v>437</v>
      </c>
      <c r="F190" s="9" t="s">
        <v>604</v>
      </c>
      <c r="G190" s="9" t="s">
        <v>56</v>
      </c>
      <c r="H190" s="7" t="str">
        <f>IFERROR(IF(_xlfn.XLOOKUP(B190,REPASSE!D:D,REPASSE!D:D)="","Não","Sim"),"Não")</f>
        <v>Não</v>
      </c>
      <c r="I190" s="7" t="str">
        <f>IF(_xlfn.XLOOKUP(B190,'BOOST LIBERADO'!B:B,'BOOST LIBERADO'!B:B,"Não")="Não","Não","Sim")</f>
        <v>Sim</v>
      </c>
      <c r="J190" s="83" t="str">
        <f t="shared" si="4"/>
        <v>Sim</v>
      </c>
      <c r="K190" s="12">
        <f>SUMIFS(BASE!$G:$G,BASE!$B:$B,$B190,BASE!$L:$L,$G190,BASE!$J:$J,$C190,BASE!$A:$A,K$2)</f>
        <v>0</v>
      </c>
      <c r="L190" s="12">
        <f>SUMIFS(BASE!$G:$G,BASE!$B:$B,$B190,BASE!$L:$L,$G190,BASE!$J:$J,$C190,BASE!$A:$A,L$2)</f>
        <v>0</v>
      </c>
      <c r="M190" s="12">
        <f>SUMIFS(BASE!$G:$G,BASE!$B:$B,$B190,BASE!$L:$L,$G190,BASE!$J:$J,$C190,BASE!$A:$A,M$2)</f>
        <v>0</v>
      </c>
      <c r="N190" s="12">
        <f>SUMIFS(BASE!$G:$G,BASE!$B:$B,$B190,BASE!$L:$L,$G190,BASE!$J:$J,$C190,BASE!$A:$A,N$2)</f>
        <v>0</v>
      </c>
      <c r="O190" s="12">
        <f>SUMIFS(BASE!$G:$G,BASE!$B:$B,$B190,BASE!$L:$L,$G190,BASE!$J:$J,$C190,BASE!$A:$A,O$2)</f>
        <v>0</v>
      </c>
      <c r="P190" s="12">
        <f>SUMIFS(BASE!$G:$G,BASE!$B:$B,$B190,BASE!$L:$L,$G190,BASE!$J:$J,$C190,BASE!$A:$A,P$2)</f>
        <v>0</v>
      </c>
      <c r="Q190" s="12">
        <f>SUMIFS(BASE!$G:$G,BASE!$B:$B,$B190,BASE!$L:$L,$G190,BASE!$J:$J,$C190,BASE!$A:$A,Q$2)</f>
        <v>0</v>
      </c>
      <c r="R190" s="12">
        <f>SUMIFS(BASE!$G:$G,BASE!$B:$B,$B190,BASE!$L:$L,$G190,BASE!$J:$J,$C190,BASE!$A:$A,R$2)</f>
        <v>0</v>
      </c>
      <c r="S190" s="12">
        <f>SUMIFS(BASE!$G:$G,BASE!$B:$B,$B190,BASE!$L:$L,$G190,BASE!$J:$J,$C190,BASE!$A:$A,S$2)</f>
        <v>0</v>
      </c>
      <c r="T190" s="12">
        <f>SUMIFS(BASE!$G:$G,BASE!$B:$B,$B190,BASE!$L:$L,$G190,BASE!$J:$J,$C190,BASE!$A:$A,T$2)</f>
        <v>0</v>
      </c>
      <c r="U190" s="12">
        <f>SUMIFS(BASE!$G:$G,BASE!$B:$B,$B190,BASE!$L:$L,$G190,BASE!$J:$J,$C190,BASE!$A:$A,U$2)</f>
        <v>0</v>
      </c>
      <c r="V190" s="12">
        <f>SUMIFS(BASE!$G:$G,BASE!$B:$B,$B190,BASE!$L:$L,$G190,BASE!$J:$J,$C190,BASE!$A:$A,V$2)</f>
        <v>0</v>
      </c>
      <c r="X190" t="str">
        <f t="shared" si="5"/>
        <v>ZERADO</v>
      </c>
    </row>
    <row r="191" spans="2:24">
      <c r="B191" s="8" t="s">
        <v>605</v>
      </c>
      <c r="C191" s="9" t="s">
        <v>189</v>
      </c>
      <c r="D191" s="9" t="s">
        <v>462</v>
      </c>
      <c r="E191" s="9" t="s">
        <v>440</v>
      </c>
      <c r="F191" s="9" t="s">
        <v>606</v>
      </c>
      <c r="G191" s="9" t="s">
        <v>56</v>
      </c>
      <c r="H191" s="7" t="str">
        <f>IFERROR(IF(_xlfn.XLOOKUP(B191,REPASSE!D:D,REPASSE!D:D)="","Não","Sim"),"Não")</f>
        <v>Não</v>
      </c>
      <c r="I191" s="7" t="str">
        <f>IF(_xlfn.XLOOKUP(B191,'BOOST LIBERADO'!B:B,'BOOST LIBERADO'!B:B,"Não")="Não","Não","Sim")</f>
        <v>Sim</v>
      </c>
      <c r="J191" s="83" t="str">
        <f t="shared" si="4"/>
        <v>Sim</v>
      </c>
      <c r="K191" s="12">
        <f>SUMIFS(BASE!$G:$G,BASE!$B:$B,$B191,BASE!$L:$L,$G191,BASE!$J:$J,$C191,BASE!$A:$A,K$2)</f>
        <v>0</v>
      </c>
      <c r="L191" s="12">
        <f>SUMIFS(BASE!$G:$G,BASE!$B:$B,$B191,BASE!$L:$L,$G191,BASE!$J:$J,$C191,BASE!$A:$A,L$2)</f>
        <v>0</v>
      </c>
      <c r="M191" s="12">
        <f>SUMIFS(BASE!$G:$G,BASE!$B:$B,$B191,BASE!$L:$L,$G191,BASE!$J:$J,$C191,BASE!$A:$A,M$2)</f>
        <v>0</v>
      </c>
      <c r="N191" s="12">
        <f>SUMIFS(BASE!$G:$G,BASE!$B:$B,$B191,BASE!$L:$L,$G191,BASE!$J:$J,$C191,BASE!$A:$A,N$2)</f>
        <v>0</v>
      </c>
      <c r="O191" s="12">
        <f>SUMIFS(BASE!$G:$G,BASE!$B:$B,$B191,BASE!$L:$L,$G191,BASE!$J:$J,$C191,BASE!$A:$A,O$2)</f>
        <v>0</v>
      </c>
      <c r="P191" s="12">
        <f>SUMIFS(BASE!$G:$G,BASE!$B:$B,$B191,BASE!$L:$L,$G191,BASE!$J:$J,$C191,BASE!$A:$A,P$2)</f>
        <v>0</v>
      </c>
      <c r="Q191" s="12">
        <f>SUMIFS(BASE!$G:$G,BASE!$B:$B,$B191,BASE!$L:$L,$G191,BASE!$J:$J,$C191,BASE!$A:$A,Q$2)</f>
        <v>0</v>
      </c>
      <c r="R191" s="12">
        <f>SUMIFS(BASE!$G:$G,BASE!$B:$B,$B191,BASE!$L:$L,$G191,BASE!$J:$J,$C191,BASE!$A:$A,R$2)</f>
        <v>0</v>
      </c>
      <c r="S191" s="12">
        <f>SUMIFS(BASE!$G:$G,BASE!$B:$B,$B191,BASE!$L:$L,$G191,BASE!$J:$J,$C191,BASE!$A:$A,S$2)</f>
        <v>0</v>
      </c>
      <c r="T191" s="12">
        <f>SUMIFS(BASE!$G:$G,BASE!$B:$B,$B191,BASE!$L:$L,$G191,BASE!$J:$J,$C191,BASE!$A:$A,T$2)</f>
        <v>0</v>
      </c>
      <c r="U191" s="12">
        <f>SUMIFS(BASE!$G:$G,BASE!$B:$B,$B191,BASE!$L:$L,$G191,BASE!$J:$J,$C191,BASE!$A:$A,U$2)</f>
        <v>0</v>
      </c>
      <c r="V191" s="12">
        <f>SUMIFS(BASE!$G:$G,BASE!$B:$B,$B191,BASE!$L:$L,$G191,BASE!$J:$J,$C191,BASE!$A:$A,V$2)</f>
        <v>0</v>
      </c>
      <c r="X191" t="str">
        <f t="shared" si="5"/>
        <v>ZERADO</v>
      </c>
    </row>
    <row r="192" spans="2:24">
      <c r="B192" s="8" t="s">
        <v>607</v>
      </c>
      <c r="C192" s="9" t="s">
        <v>224</v>
      </c>
      <c r="D192" s="9" t="s">
        <v>608</v>
      </c>
      <c r="E192" s="9" t="s">
        <v>609</v>
      </c>
      <c r="F192" s="9" t="s">
        <v>610</v>
      </c>
      <c r="G192" s="9" t="s">
        <v>59</v>
      </c>
      <c r="H192" s="7" t="str">
        <f>IFERROR(IF(_xlfn.XLOOKUP(B192,REPASSE!D:D,REPASSE!D:D)="","Não","Sim"),"Não")</f>
        <v>Não</v>
      </c>
      <c r="I192" s="7" t="str">
        <f>IF(_xlfn.XLOOKUP(B192,'BOOST LIBERADO'!B:B,'BOOST LIBERADO'!B:B,"Não")="Não","Não","Sim")</f>
        <v>Sim</v>
      </c>
      <c r="J192" s="83" t="str">
        <f t="shared" si="4"/>
        <v>Sim</v>
      </c>
      <c r="K192" s="12">
        <f>SUMIFS(BASE!$G:$G,BASE!$B:$B,$B192,BASE!$L:$L,$G192,BASE!$J:$J,$C192,BASE!$A:$A,K$2)</f>
        <v>0</v>
      </c>
      <c r="L192" s="12">
        <f>SUMIFS(BASE!$G:$G,BASE!$B:$B,$B192,BASE!$L:$L,$G192,BASE!$J:$J,$C192,BASE!$A:$A,L$2)</f>
        <v>0</v>
      </c>
      <c r="M192" s="12">
        <f>SUMIFS(BASE!$G:$G,BASE!$B:$B,$B192,BASE!$L:$L,$G192,BASE!$J:$J,$C192,BASE!$A:$A,M$2)</f>
        <v>2</v>
      </c>
      <c r="N192" s="12">
        <f>SUMIFS(BASE!$G:$G,BASE!$B:$B,$B192,BASE!$L:$L,$G192,BASE!$J:$J,$C192,BASE!$A:$A,N$2)</f>
        <v>1</v>
      </c>
      <c r="O192" s="12">
        <f>SUMIFS(BASE!$G:$G,BASE!$B:$B,$B192,BASE!$L:$L,$G192,BASE!$J:$J,$C192,BASE!$A:$A,O$2)</f>
        <v>2</v>
      </c>
      <c r="P192" s="12">
        <f>SUMIFS(BASE!$G:$G,BASE!$B:$B,$B192,BASE!$L:$L,$G192,BASE!$J:$J,$C192,BASE!$A:$A,P$2)</f>
        <v>2</v>
      </c>
      <c r="Q192" s="12">
        <f>SUMIFS(BASE!$G:$G,BASE!$B:$B,$B192,BASE!$L:$L,$G192,BASE!$J:$J,$C192,BASE!$A:$A,Q$2)</f>
        <v>2</v>
      </c>
      <c r="R192" s="12">
        <f>SUMIFS(BASE!$G:$G,BASE!$B:$B,$B192,BASE!$L:$L,$G192,BASE!$J:$J,$C192,BASE!$A:$A,R$2)</f>
        <v>2</v>
      </c>
      <c r="S192" s="12">
        <f>SUMIFS(BASE!$G:$G,BASE!$B:$B,$B192,BASE!$L:$L,$G192,BASE!$J:$J,$C192,BASE!$A:$A,S$2)</f>
        <v>0</v>
      </c>
      <c r="T192" s="12">
        <f>SUMIFS(BASE!$G:$G,BASE!$B:$B,$B192,BASE!$L:$L,$G192,BASE!$J:$J,$C192,BASE!$A:$A,T$2)</f>
        <v>0</v>
      </c>
      <c r="U192" s="12">
        <f>SUMIFS(BASE!$G:$G,BASE!$B:$B,$B192,BASE!$L:$L,$G192,BASE!$J:$J,$C192,BASE!$A:$A,U$2)</f>
        <v>0</v>
      </c>
      <c r="V192" s="12">
        <f>SUMIFS(BASE!$G:$G,BASE!$B:$B,$B192,BASE!$L:$L,$G192,BASE!$J:$J,$C192,BASE!$A:$A,V$2)</f>
        <v>0</v>
      </c>
      <c r="X192" t="str">
        <f t="shared" si="5"/>
        <v>COM TROCAS</v>
      </c>
    </row>
    <row r="193" spans="2:24">
      <c r="B193" s="8" t="s">
        <v>611</v>
      </c>
      <c r="C193" s="9" t="s">
        <v>239</v>
      </c>
      <c r="D193" s="9" t="s">
        <v>612</v>
      </c>
      <c r="E193" s="9" t="s">
        <v>609</v>
      </c>
      <c r="F193" s="9" t="s">
        <v>610</v>
      </c>
      <c r="G193" s="9" t="s">
        <v>59</v>
      </c>
      <c r="H193" s="7" t="str">
        <f>IFERROR(IF(_xlfn.XLOOKUP(B193,REPASSE!D:D,REPASSE!D:D)="","Não","Sim"),"Não")</f>
        <v>Não</v>
      </c>
      <c r="I193" s="7" t="str">
        <f>IF(_xlfn.XLOOKUP(B193,'BOOST LIBERADO'!B:B,'BOOST LIBERADO'!B:B,"Não")="Não","Não","Sim")</f>
        <v>Sim</v>
      </c>
      <c r="J193" s="83" t="str">
        <f t="shared" si="4"/>
        <v>Sim</v>
      </c>
      <c r="K193" s="12">
        <f>SUMIFS(BASE!$G:$G,BASE!$B:$B,$B193,BASE!$L:$L,$G193,BASE!$J:$J,$C193,BASE!$A:$A,K$2)</f>
        <v>2</v>
      </c>
      <c r="L193" s="12">
        <f>SUMIFS(BASE!$G:$G,BASE!$B:$B,$B193,BASE!$L:$L,$G193,BASE!$J:$J,$C193,BASE!$A:$A,L$2)</f>
        <v>0</v>
      </c>
      <c r="M193" s="12">
        <f>SUMIFS(BASE!$G:$G,BASE!$B:$B,$B193,BASE!$L:$L,$G193,BASE!$J:$J,$C193,BASE!$A:$A,M$2)</f>
        <v>4</v>
      </c>
      <c r="N193" s="12">
        <f>SUMIFS(BASE!$G:$G,BASE!$B:$B,$B193,BASE!$L:$L,$G193,BASE!$J:$J,$C193,BASE!$A:$A,N$2)</f>
        <v>2</v>
      </c>
      <c r="O193" s="12">
        <f>SUMIFS(BASE!$G:$G,BASE!$B:$B,$B193,BASE!$L:$L,$G193,BASE!$J:$J,$C193,BASE!$A:$A,O$2)</f>
        <v>0</v>
      </c>
      <c r="P193" s="12">
        <f>SUMIFS(BASE!$G:$G,BASE!$B:$B,$B193,BASE!$L:$L,$G193,BASE!$J:$J,$C193,BASE!$A:$A,P$2)</f>
        <v>1</v>
      </c>
      <c r="Q193" s="12">
        <f>SUMIFS(BASE!$G:$G,BASE!$B:$B,$B193,BASE!$L:$L,$G193,BASE!$J:$J,$C193,BASE!$A:$A,Q$2)</f>
        <v>2</v>
      </c>
      <c r="R193" s="12">
        <f>SUMIFS(BASE!$G:$G,BASE!$B:$B,$B193,BASE!$L:$L,$G193,BASE!$J:$J,$C193,BASE!$A:$A,R$2)</f>
        <v>0</v>
      </c>
      <c r="S193" s="12">
        <f>SUMIFS(BASE!$G:$G,BASE!$B:$B,$B193,BASE!$L:$L,$G193,BASE!$J:$J,$C193,BASE!$A:$A,S$2)</f>
        <v>0</v>
      </c>
      <c r="T193" s="12">
        <f>SUMIFS(BASE!$G:$G,BASE!$B:$B,$B193,BASE!$L:$L,$G193,BASE!$J:$J,$C193,BASE!$A:$A,T$2)</f>
        <v>0</v>
      </c>
      <c r="U193" s="12">
        <f>SUMIFS(BASE!$G:$G,BASE!$B:$B,$B193,BASE!$L:$L,$G193,BASE!$J:$J,$C193,BASE!$A:$A,U$2)</f>
        <v>0</v>
      </c>
      <c r="V193" s="12">
        <f>SUMIFS(BASE!$G:$G,BASE!$B:$B,$B193,BASE!$L:$L,$G193,BASE!$J:$J,$C193,BASE!$A:$A,V$2)</f>
        <v>0</v>
      </c>
      <c r="X193" t="str">
        <f t="shared" si="5"/>
        <v>ZERADO</v>
      </c>
    </row>
    <row r="194" spans="2:24">
      <c r="B194" s="8" t="s">
        <v>613</v>
      </c>
      <c r="C194" s="9" t="s">
        <v>239</v>
      </c>
      <c r="D194" s="9" t="s">
        <v>612</v>
      </c>
      <c r="E194" s="9" t="s">
        <v>609</v>
      </c>
      <c r="F194" s="9" t="s">
        <v>610</v>
      </c>
      <c r="G194" s="9" t="s">
        <v>59</v>
      </c>
      <c r="H194" s="7" t="str">
        <f>IFERROR(IF(_xlfn.XLOOKUP(B194,REPASSE!D:D,REPASSE!D:D)="","Não","Sim"),"Não")</f>
        <v>Não</v>
      </c>
      <c r="I194" s="7" t="str">
        <f>IF(_xlfn.XLOOKUP(B194,'BOOST LIBERADO'!B:B,'BOOST LIBERADO'!B:B,"Não")="Não","Não","Sim")</f>
        <v>Sim</v>
      </c>
      <c r="J194" s="83" t="str">
        <f t="shared" si="4"/>
        <v>Sim</v>
      </c>
      <c r="K194" s="12">
        <f>SUMIFS(BASE!$G:$G,BASE!$B:$B,$B194,BASE!$L:$L,$G194,BASE!$J:$J,$C194,BASE!$A:$A,K$2)</f>
        <v>5</v>
      </c>
      <c r="L194" s="12">
        <f>SUMIFS(BASE!$G:$G,BASE!$B:$B,$B194,BASE!$L:$L,$G194,BASE!$J:$J,$C194,BASE!$A:$A,L$2)</f>
        <v>5</v>
      </c>
      <c r="M194" s="12">
        <f>SUMIFS(BASE!$G:$G,BASE!$B:$B,$B194,BASE!$L:$L,$G194,BASE!$J:$J,$C194,BASE!$A:$A,M$2)</f>
        <v>7</v>
      </c>
      <c r="N194" s="12">
        <f>SUMIFS(BASE!$G:$G,BASE!$B:$B,$B194,BASE!$L:$L,$G194,BASE!$J:$J,$C194,BASE!$A:$A,N$2)</f>
        <v>5</v>
      </c>
      <c r="O194" s="12">
        <f>SUMIFS(BASE!$G:$G,BASE!$B:$B,$B194,BASE!$L:$L,$G194,BASE!$J:$J,$C194,BASE!$A:$A,O$2)</f>
        <v>15</v>
      </c>
      <c r="P194" s="12">
        <f>SUMIFS(BASE!$G:$G,BASE!$B:$B,$B194,BASE!$L:$L,$G194,BASE!$J:$J,$C194,BASE!$A:$A,P$2)</f>
        <v>12</v>
      </c>
      <c r="Q194" s="12">
        <f>SUMIFS(BASE!$G:$G,BASE!$B:$B,$B194,BASE!$L:$L,$G194,BASE!$J:$J,$C194,BASE!$A:$A,Q$2)</f>
        <v>22</v>
      </c>
      <c r="R194" s="12">
        <f>SUMIFS(BASE!$G:$G,BASE!$B:$B,$B194,BASE!$L:$L,$G194,BASE!$J:$J,$C194,BASE!$A:$A,R$2)</f>
        <v>10</v>
      </c>
      <c r="S194" s="12">
        <f>SUMIFS(BASE!$G:$G,BASE!$B:$B,$B194,BASE!$L:$L,$G194,BASE!$J:$J,$C194,BASE!$A:$A,S$2)</f>
        <v>0</v>
      </c>
      <c r="T194" s="12">
        <f>SUMIFS(BASE!$G:$G,BASE!$B:$B,$B194,BASE!$L:$L,$G194,BASE!$J:$J,$C194,BASE!$A:$A,T$2)</f>
        <v>0</v>
      </c>
      <c r="U194" s="12">
        <f>SUMIFS(BASE!$G:$G,BASE!$B:$B,$B194,BASE!$L:$L,$G194,BASE!$J:$J,$C194,BASE!$A:$A,U$2)</f>
        <v>0</v>
      </c>
      <c r="V194" s="12">
        <f>SUMIFS(BASE!$G:$G,BASE!$B:$B,$B194,BASE!$L:$L,$G194,BASE!$J:$J,$C194,BASE!$A:$A,V$2)</f>
        <v>0</v>
      </c>
      <c r="X194" t="str">
        <f t="shared" si="5"/>
        <v>COM TROCAS</v>
      </c>
    </row>
    <row r="195" spans="2:24">
      <c r="B195" s="8" t="s">
        <v>614</v>
      </c>
      <c r="C195" s="9" t="s">
        <v>239</v>
      </c>
      <c r="D195" s="9" t="s">
        <v>615</v>
      </c>
      <c r="E195" s="9" t="s">
        <v>609</v>
      </c>
      <c r="F195" s="9" t="s">
        <v>616</v>
      </c>
      <c r="G195" s="9" t="s">
        <v>59</v>
      </c>
      <c r="H195" s="7" t="str">
        <f>IFERROR(IF(_xlfn.XLOOKUP(B195,REPASSE!D:D,REPASSE!D:D)="","Não","Sim"),"Não")</f>
        <v>Não</v>
      </c>
      <c r="I195" s="7" t="str">
        <f>IF(_xlfn.XLOOKUP(B195,'BOOST LIBERADO'!B:B,'BOOST LIBERADO'!B:B,"Não")="Não","Não","Sim")</f>
        <v>Sim</v>
      </c>
      <c r="J195" s="83" t="str">
        <f t="shared" si="4"/>
        <v>Sim</v>
      </c>
      <c r="K195" s="12">
        <f>SUMIFS(BASE!$G:$G,BASE!$B:$B,$B195,BASE!$L:$L,$G195,BASE!$J:$J,$C195,BASE!$A:$A,K$2)</f>
        <v>1</v>
      </c>
      <c r="L195" s="12">
        <f>SUMIFS(BASE!$G:$G,BASE!$B:$B,$B195,BASE!$L:$L,$G195,BASE!$J:$J,$C195,BASE!$A:$A,L$2)</f>
        <v>1</v>
      </c>
      <c r="M195" s="12">
        <f>SUMIFS(BASE!$G:$G,BASE!$B:$B,$B195,BASE!$L:$L,$G195,BASE!$J:$J,$C195,BASE!$A:$A,M$2)</f>
        <v>5</v>
      </c>
      <c r="N195" s="12">
        <f>SUMIFS(BASE!$G:$G,BASE!$B:$B,$B195,BASE!$L:$L,$G195,BASE!$J:$J,$C195,BASE!$A:$A,N$2)</f>
        <v>1</v>
      </c>
      <c r="O195" s="12">
        <f>SUMIFS(BASE!$G:$G,BASE!$B:$B,$B195,BASE!$L:$L,$G195,BASE!$J:$J,$C195,BASE!$A:$A,O$2)</f>
        <v>0</v>
      </c>
      <c r="P195" s="12">
        <f>SUMIFS(BASE!$G:$G,BASE!$B:$B,$B195,BASE!$L:$L,$G195,BASE!$J:$J,$C195,BASE!$A:$A,P$2)</f>
        <v>2</v>
      </c>
      <c r="Q195" s="12">
        <f>SUMIFS(BASE!$G:$G,BASE!$B:$B,$B195,BASE!$L:$L,$G195,BASE!$J:$J,$C195,BASE!$A:$A,Q$2)</f>
        <v>0</v>
      </c>
      <c r="R195" s="12">
        <f>SUMIFS(BASE!$G:$G,BASE!$B:$B,$B195,BASE!$L:$L,$G195,BASE!$J:$J,$C195,BASE!$A:$A,R$2)</f>
        <v>0</v>
      </c>
      <c r="S195" s="12">
        <f>SUMIFS(BASE!$G:$G,BASE!$B:$B,$B195,BASE!$L:$L,$G195,BASE!$J:$J,$C195,BASE!$A:$A,S$2)</f>
        <v>0</v>
      </c>
      <c r="T195" s="12">
        <f>SUMIFS(BASE!$G:$G,BASE!$B:$B,$B195,BASE!$L:$L,$G195,BASE!$J:$J,$C195,BASE!$A:$A,T$2)</f>
        <v>0</v>
      </c>
      <c r="U195" s="12">
        <f>SUMIFS(BASE!$G:$G,BASE!$B:$B,$B195,BASE!$L:$L,$G195,BASE!$J:$J,$C195,BASE!$A:$A,U$2)</f>
        <v>0</v>
      </c>
      <c r="V195" s="12">
        <f>SUMIFS(BASE!$G:$G,BASE!$B:$B,$B195,BASE!$L:$L,$G195,BASE!$J:$J,$C195,BASE!$A:$A,V$2)</f>
        <v>0</v>
      </c>
      <c r="X195" t="str">
        <f t="shared" si="5"/>
        <v>ZERADO</v>
      </c>
    </row>
    <row r="196" spans="2:24">
      <c r="B196" s="8" t="s">
        <v>617</v>
      </c>
      <c r="C196" s="9" t="s">
        <v>239</v>
      </c>
      <c r="D196" s="9" t="s">
        <v>612</v>
      </c>
      <c r="E196" s="9" t="s">
        <v>609</v>
      </c>
      <c r="F196" s="9" t="s">
        <v>616</v>
      </c>
      <c r="G196" s="9" t="s">
        <v>59</v>
      </c>
      <c r="H196" s="7" t="str">
        <f>IFERROR(IF(_xlfn.XLOOKUP(B196,REPASSE!D:D,REPASSE!D:D)="","Não","Sim"),"Não")</f>
        <v>Não</v>
      </c>
      <c r="I196" s="7" t="str">
        <f>IF(_xlfn.XLOOKUP(B196,'BOOST LIBERADO'!B:B,'BOOST LIBERADO'!B:B,"Não")="Não","Não","Sim")</f>
        <v>Sim</v>
      </c>
      <c r="J196" s="83" t="str">
        <f t="shared" ref="J196:J259" si="6">IF(AND(H196="Não",I196="Sim"),"Sim","Não")</f>
        <v>Sim</v>
      </c>
      <c r="K196" s="12">
        <f>SUMIFS(BASE!$G:$G,BASE!$B:$B,$B196,BASE!$L:$L,$G196,BASE!$J:$J,$C196,BASE!$A:$A,K$2)</f>
        <v>1</v>
      </c>
      <c r="L196" s="12">
        <f>SUMIFS(BASE!$G:$G,BASE!$B:$B,$B196,BASE!$L:$L,$G196,BASE!$J:$J,$C196,BASE!$A:$A,L$2)</f>
        <v>0</v>
      </c>
      <c r="M196" s="12">
        <f>SUMIFS(BASE!$G:$G,BASE!$B:$B,$B196,BASE!$L:$L,$G196,BASE!$J:$J,$C196,BASE!$A:$A,M$2)</f>
        <v>0</v>
      </c>
      <c r="N196" s="12">
        <f>SUMIFS(BASE!$G:$G,BASE!$B:$B,$B196,BASE!$L:$L,$G196,BASE!$J:$J,$C196,BASE!$A:$A,N$2)</f>
        <v>7</v>
      </c>
      <c r="O196" s="12">
        <f>SUMIFS(BASE!$G:$G,BASE!$B:$B,$B196,BASE!$L:$L,$G196,BASE!$J:$J,$C196,BASE!$A:$A,O$2)</f>
        <v>12</v>
      </c>
      <c r="P196" s="12">
        <f>SUMIFS(BASE!$G:$G,BASE!$B:$B,$B196,BASE!$L:$L,$G196,BASE!$J:$J,$C196,BASE!$A:$A,P$2)</f>
        <v>14</v>
      </c>
      <c r="Q196" s="12">
        <f>SUMIFS(BASE!$G:$G,BASE!$B:$B,$B196,BASE!$L:$L,$G196,BASE!$J:$J,$C196,BASE!$A:$A,Q$2)</f>
        <v>17</v>
      </c>
      <c r="R196" s="12">
        <f>SUMIFS(BASE!$G:$G,BASE!$B:$B,$B196,BASE!$L:$L,$G196,BASE!$J:$J,$C196,BASE!$A:$A,R$2)</f>
        <v>14</v>
      </c>
      <c r="S196" s="12">
        <f>SUMIFS(BASE!$G:$G,BASE!$B:$B,$B196,BASE!$L:$L,$G196,BASE!$J:$J,$C196,BASE!$A:$A,S$2)</f>
        <v>0</v>
      </c>
      <c r="T196" s="12">
        <f>SUMIFS(BASE!$G:$G,BASE!$B:$B,$B196,BASE!$L:$L,$G196,BASE!$J:$J,$C196,BASE!$A:$A,T$2)</f>
        <v>0</v>
      </c>
      <c r="U196" s="12">
        <f>SUMIFS(BASE!$G:$G,BASE!$B:$B,$B196,BASE!$L:$L,$G196,BASE!$J:$J,$C196,BASE!$A:$A,U$2)</f>
        <v>0</v>
      </c>
      <c r="V196" s="12">
        <f>SUMIFS(BASE!$G:$G,BASE!$B:$B,$B196,BASE!$L:$L,$G196,BASE!$J:$J,$C196,BASE!$A:$A,V$2)</f>
        <v>0</v>
      </c>
      <c r="X196" t="str">
        <f t="shared" ref="X196:X259" si="7">IF(AND(R196=0),"ZERADO","COM TROCAS")</f>
        <v>COM TROCAS</v>
      </c>
    </row>
    <row r="197" spans="2:24">
      <c r="B197" s="8" t="s">
        <v>618</v>
      </c>
      <c r="C197" s="9" t="s">
        <v>224</v>
      </c>
      <c r="D197" s="9" t="s">
        <v>608</v>
      </c>
      <c r="E197" s="9" t="s">
        <v>609</v>
      </c>
      <c r="F197" s="9" t="s">
        <v>619</v>
      </c>
      <c r="G197" s="9" t="s">
        <v>59</v>
      </c>
      <c r="H197" s="7" t="str">
        <f>IFERROR(IF(_xlfn.XLOOKUP(B197,REPASSE!D:D,REPASSE!D:D)="","Não","Sim"),"Não")</f>
        <v>Não</v>
      </c>
      <c r="I197" s="7" t="str">
        <f>IF(_xlfn.XLOOKUP(B197,'BOOST LIBERADO'!B:B,'BOOST LIBERADO'!B:B,"Não")="Não","Não","Sim")</f>
        <v>Sim</v>
      </c>
      <c r="J197" s="83" t="str">
        <f t="shared" si="6"/>
        <v>Sim</v>
      </c>
      <c r="K197" s="12">
        <f>SUMIFS(BASE!$G:$G,BASE!$B:$B,$B197,BASE!$L:$L,$G197,BASE!$J:$J,$C197,BASE!$A:$A,K$2)</f>
        <v>0</v>
      </c>
      <c r="L197" s="12">
        <f>SUMIFS(BASE!$G:$G,BASE!$B:$B,$B197,BASE!$L:$L,$G197,BASE!$J:$J,$C197,BASE!$A:$A,L$2)</f>
        <v>0</v>
      </c>
      <c r="M197" s="12">
        <f>SUMIFS(BASE!$G:$G,BASE!$B:$B,$B197,BASE!$L:$L,$G197,BASE!$J:$J,$C197,BASE!$A:$A,M$2)</f>
        <v>0</v>
      </c>
      <c r="N197" s="12">
        <f>SUMIFS(BASE!$G:$G,BASE!$B:$B,$B197,BASE!$L:$L,$G197,BASE!$J:$J,$C197,BASE!$A:$A,N$2)</f>
        <v>0</v>
      </c>
      <c r="O197" s="12">
        <f>SUMIFS(BASE!$G:$G,BASE!$B:$B,$B197,BASE!$L:$L,$G197,BASE!$J:$J,$C197,BASE!$A:$A,O$2)</f>
        <v>0</v>
      </c>
      <c r="P197" s="12">
        <f>SUMIFS(BASE!$G:$G,BASE!$B:$B,$B197,BASE!$L:$L,$G197,BASE!$J:$J,$C197,BASE!$A:$A,P$2)</f>
        <v>0</v>
      </c>
      <c r="Q197" s="12">
        <f>SUMIFS(BASE!$G:$G,BASE!$B:$B,$B197,BASE!$L:$L,$G197,BASE!$J:$J,$C197,BASE!$A:$A,Q$2)</f>
        <v>0</v>
      </c>
      <c r="R197" s="12">
        <f>SUMIFS(BASE!$G:$G,BASE!$B:$B,$B197,BASE!$L:$L,$G197,BASE!$J:$J,$C197,BASE!$A:$A,R$2)</f>
        <v>0</v>
      </c>
      <c r="S197" s="12">
        <f>SUMIFS(BASE!$G:$G,BASE!$B:$B,$B197,BASE!$L:$L,$G197,BASE!$J:$J,$C197,BASE!$A:$A,S$2)</f>
        <v>0</v>
      </c>
      <c r="T197" s="12">
        <f>SUMIFS(BASE!$G:$G,BASE!$B:$B,$B197,BASE!$L:$L,$G197,BASE!$J:$J,$C197,BASE!$A:$A,T$2)</f>
        <v>0</v>
      </c>
      <c r="U197" s="12">
        <f>SUMIFS(BASE!$G:$G,BASE!$B:$B,$B197,BASE!$L:$L,$G197,BASE!$J:$J,$C197,BASE!$A:$A,U$2)</f>
        <v>0</v>
      </c>
      <c r="V197" s="12">
        <f>SUMIFS(BASE!$G:$G,BASE!$B:$B,$B197,BASE!$L:$L,$G197,BASE!$J:$J,$C197,BASE!$A:$A,V$2)</f>
        <v>0</v>
      </c>
      <c r="X197" t="str">
        <f t="shared" si="7"/>
        <v>ZERADO</v>
      </c>
    </row>
    <row r="198" spans="2:24">
      <c r="B198" s="8" t="s">
        <v>620</v>
      </c>
      <c r="C198" s="9" t="s">
        <v>224</v>
      </c>
      <c r="D198" s="9" t="s">
        <v>608</v>
      </c>
      <c r="E198" s="9" t="s">
        <v>609</v>
      </c>
      <c r="F198" s="9" t="s">
        <v>619</v>
      </c>
      <c r="G198" s="9" t="s">
        <v>59</v>
      </c>
      <c r="H198" s="7" t="str">
        <f>IFERROR(IF(_xlfn.XLOOKUP(B198,REPASSE!D:D,REPASSE!D:D)="","Não","Sim"),"Não")</f>
        <v>Não</v>
      </c>
      <c r="I198" s="7" t="str">
        <f>IF(_xlfn.XLOOKUP(B198,'BOOST LIBERADO'!B:B,'BOOST LIBERADO'!B:B,"Não")="Não","Não","Sim")</f>
        <v>Sim</v>
      </c>
      <c r="J198" s="83" t="str">
        <f t="shared" si="6"/>
        <v>Sim</v>
      </c>
      <c r="K198" s="12">
        <f>SUMIFS(BASE!$G:$G,BASE!$B:$B,$B198,BASE!$L:$L,$G198,BASE!$J:$J,$C198,BASE!$A:$A,K$2)</f>
        <v>0</v>
      </c>
      <c r="L198" s="12">
        <f>SUMIFS(BASE!$G:$G,BASE!$B:$B,$B198,BASE!$L:$L,$G198,BASE!$J:$J,$C198,BASE!$A:$A,L$2)</f>
        <v>0</v>
      </c>
      <c r="M198" s="12">
        <f>SUMIFS(BASE!$G:$G,BASE!$B:$B,$B198,BASE!$L:$L,$G198,BASE!$J:$J,$C198,BASE!$A:$A,M$2)</f>
        <v>0</v>
      </c>
      <c r="N198" s="12">
        <f>SUMIFS(BASE!$G:$G,BASE!$B:$B,$B198,BASE!$L:$L,$G198,BASE!$J:$J,$C198,BASE!$A:$A,N$2)</f>
        <v>0</v>
      </c>
      <c r="O198" s="12">
        <f>SUMIFS(BASE!$G:$G,BASE!$B:$B,$B198,BASE!$L:$L,$G198,BASE!$J:$J,$C198,BASE!$A:$A,O$2)</f>
        <v>0</v>
      </c>
      <c r="P198" s="12">
        <f>SUMIFS(BASE!$G:$G,BASE!$B:$B,$B198,BASE!$L:$L,$G198,BASE!$J:$J,$C198,BASE!$A:$A,P$2)</f>
        <v>0</v>
      </c>
      <c r="Q198" s="12">
        <f>SUMIFS(BASE!$G:$G,BASE!$B:$B,$B198,BASE!$L:$L,$G198,BASE!$J:$J,$C198,BASE!$A:$A,Q$2)</f>
        <v>1</v>
      </c>
      <c r="R198" s="12">
        <f>SUMIFS(BASE!$G:$G,BASE!$B:$B,$B198,BASE!$L:$L,$G198,BASE!$J:$J,$C198,BASE!$A:$A,R$2)</f>
        <v>4</v>
      </c>
      <c r="S198" s="12">
        <f>SUMIFS(BASE!$G:$G,BASE!$B:$B,$B198,BASE!$L:$L,$G198,BASE!$J:$J,$C198,BASE!$A:$A,S$2)</f>
        <v>0</v>
      </c>
      <c r="T198" s="12">
        <f>SUMIFS(BASE!$G:$G,BASE!$B:$B,$B198,BASE!$L:$L,$G198,BASE!$J:$J,$C198,BASE!$A:$A,T$2)</f>
        <v>0</v>
      </c>
      <c r="U198" s="12">
        <f>SUMIFS(BASE!$G:$G,BASE!$B:$B,$B198,BASE!$L:$L,$G198,BASE!$J:$J,$C198,BASE!$A:$A,U$2)</f>
        <v>0</v>
      </c>
      <c r="V198" s="12">
        <f>SUMIFS(BASE!$G:$G,BASE!$B:$B,$B198,BASE!$L:$L,$G198,BASE!$J:$J,$C198,BASE!$A:$A,V$2)</f>
        <v>0</v>
      </c>
      <c r="X198" t="str">
        <f t="shared" si="7"/>
        <v>COM TROCAS</v>
      </c>
    </row>
    <row r="199" spans="2:24">
      <c r="B199" s="8" t="s">
        <v>621</v>
      </c>
      <c r="C199" s="9" t="s">
        <v>224</v>
      </c>
      <c r="D199" s="9" t="s">
        <v>608</v>
      </c>
      <c r="E199" s="9" t="s">
        <v>609</v>
      </c>
      <c r="F199" s="9" t="s">
        <v>622</v>
      </c>
      <c r="G199" s="9" t="s">
        <v>59</v>
      </c>
      <c r="H199" s="7" t="str">
        <f>IFERROR(IF(_xlfn.XLOOKUP(B199,REPASSE!D:D,REPASSE!D:D)="","Não","Sim"),"Não")</f>
        <v>Não</v>
      </c>
      <c r="I199" s="7" t="str">
        <f>IF(_xlfn.XLOOKUP(B199,'BOOST LIBERADO'!B:B,'BOOST LIBERADO'!B:B,"Não")="Não","Não","Sim")</f>
        <v>Sim</v>
      </c>
      <c r="J199" s="83" t="str">
        <f t="shared" si="6"/>
        <v>Sim</v>
      </c>
      <c r="K199" s="12">
        <f>SUMIFS(BASE!$G:$G,BASE!$B:$B,$B199,BASE!$L:$L,$G199,BASE!$J:$J,$C199,BASE!$A:$A,K$2)</f>
        <v>0</v>
      </c>
      <c r="L199" s="12">
        <f>SUMIFS(BASE!$G:$G,BASE!$B:$B,$B199,BASE!$L:$L,$G199,BASE!$J:$J,$C199,BASE!$A:$A,L$2)</f>
        <v>0</v>
      </c>
      <c r="M199" s="12">
        <f>SUMIFS(BASE!$G:$G,BASE!$B:$B,$B199,BASE!$L:$L,$G199,BASE!$J:$J,$C199,BASE!$A:$A,M$2)</f>
        <v>0</v>
      </c>
      <c r="N199" s="12">
        <f>SUMIFS(BASE!$G:$G,BASE!$B:$B,$B199,BASE!$L:$L,$G199,BASE!$J:$J,$C199,BASE!$A:$A,N$2)</f>
        <v>0</v>
      </c>
      <c r="O199" s="12">
        <f>SUMIFS(BASE!$G:$G,BASE!$B:$B,$B199,BASE!$L:$L,$G199,BASE!$J:$J,$C199,BASE!$A:$A,O$2)</f>
        <v>0</v>
      </c>
      <c r="P199" s="12">
        <f>SUMIFS(BASE!$G:$G,BASE!$B:$B,$B199,BASE!$L:$L,$G199,BASE!$J:$J,$C199,BASE!$A:$A,P$2)</f>
        <v>0</v>
      </c>
      <c r="Q199" s="12">
        <f>SUMIFS(BASE!$G:$G,BASE!$B:$B,$B199,BASE!$L:$L,$G199,BASE!$J:$J,$C199,BASE!$A:$A,Q$2)</f>
        <v>0</v>
      </c>
      <c r="R199" s="12">
        <f>SUMIFS(BASE!$G:$G,BASE!$B:$B,$B199,BASE!$L:$L,$G199,BASE!$J:$J,$C199,BASE!$A:$A,R$2)</f>
        <v>0</v>
      </c>
      <c r="S199" s="12">
        <f>SUMIFS(BASE!$G:$G,BASE!$B:$B,$B199,BASE!$L:$L,$G199,BASE!$J:$J,$C199,BASE!$A:$A,S$2)</f>
        <v>0</v>
      </c>
      <c r="T199" s="12">
        <f>SUMIFS(BASE!$G:$G,BASE!$B:$B,$B199,BASE!$L:$L,$G199,BASE!$J:$J,$C199,BASE!$A:$A,T$2)</f>
        <v>0</v>
      </c>
      <c r="U199" s="12">
        <f>SUMIFS(BASE!$G:$G,BASE!$B:$B,$B199,BASE!$L:$L,$G199,BASE!$J:$J,$C199,BASE!$A:$A,U$2)</f>
        <v>0</v>
      </c>
      <c r="V199" s="12">
        <f>SUMIFS(BASE!$G:$G,BASE!$B:$B,$B199,BASE!$L:$L,$G199,BASE!$J:$J,$C199,BASE!$A:$A,V$2)</f>
        <v>0</v>
      </c>
      <c r="X199" t="str">
        <f t="shared" si="7"/>
        <v>ZERADO</v>
      </c>
    </row>
    <row r="200" spans="2:24">
      <c r="B200" s="8" t="s">
        <v>623</v>
      </c>
      <c r="C200" s="9" t="s">
        <v>111</v>
      </c>
      <c r="D200" s="9" t="s">
        <v>624</v>
      </c>
      <c r="E200" s="9" t="s">
        <v>609</v>
      </c>
      <c r="F200" s="9" t="s">
        <v>625</v>
      </c>
      <c r="G200" s="9" t="s">
        <v>59</v>
      </c>
      <c r="H200" s="7" t="str">
        <f>IFERROR(IF(_xlfn.XLOOKUP(B200,REPASSE!D:D,REPASSE!D:D)="","Não","Sim"),"Não")</f>
        <v>Sim</v>
      </c>
      <c r="I200" s="7" t="str">
        <f>IF(_xlfn.XLOOKUP(B200,'BOOST LIBERADO'!B:B,'BOOST LIBERADO'!B:B,"Não")="Não","Não","Sim")</f>
        <v>Sim</v>
      </c>
      <c r="J200" s="83" t="str">
        <f t="shared" si="6"/>
        <v>Não</v>
      </c>
      <c r="K200" s="12">
        <f>SUMIFS(BASE!$G:$G,BASE!$B:$B,$B200,BASE!$L:$L,$G200,BASE!$J:$J,$C200,BASE!$A:$A,K$2)</f>
        <v>0</v>
      </c>
      <c r="L200" s="12">
        <f>SUMIFS(BASE!$G:$G,BASE!$B:$B,$B200,BASE!$L:$L,$G200,BASE!$J:$J,$C200,BASE!$A:$A,L$2)</f>
        <v>0</v>
      </c>
      <c r="M200" s="12">
        <f>SUMIFS(BASE!$G:$G,BASE!$B:$B,$B200,BASE!$L:$L,$G200,BASE!$J:$J,$C200,BASE!$A:$A,M$2)</f>
        <v>0</v>
      </c>
      <c r="N200" s="12">
        <f>SUMIFS(BASE!$G:$G,BASE!$B:$B,$B200,BASE!$L:$L,$G200,BASE!$J:$J,$C200,BASE!$A:$A,N$2)</f>
        <v>0</v>
      </c>
      <c r="O200" s="12">
        <f>SUMIFS(BASE!$G:$G,BASE!$B:$B,$B200,BASE!$L:$L,$G200,BASE!$J:$J,$C200,BASE!$A:$A,O$2)</f>
        <v>0</v>
      </c>
      <c r="P200" s="12">
        <f>SUMIFS(BASE!$G:$G,BASE!$B:$B,$B200,BASE!$L:$L,$G200,BASE!$J:$J,$C200,BASE!$A:$A,P$2)</f>
        <v>0</v>
      </c>
      <c r="Q200" s="12">
        <f>SUMIFS(BASE!$G:$G,BASE!$B:$B,$B200,BASE!$L:$L,$G200,BASE!$J:$J,$C200,BASE!$A:$A,Q$2)</f>
        <v>0</v>
      </c>
      <c r="R200" s="12">
        <f>SUMIFS(BASE!$G:$G,BASE!$B:$B,$B200,BASE!$L:$L,$G200,BASE!$J:$J,$C200,BASE!$A:$A,R$2)</f>
        <v>0</v>
      </c>
      <c r="S200" s="12">
        <f>SUMIFS(BASE!$G:$G,BASE!$B:$B,$B200,BASE!$L:$L,$G200,BASE!$J:$J,$C200,BASE!$A:$A,S$2)</f>
        <v>0</v>
      </c>
      <c r="T200" s="12">
        <f>SUMIFS(BASE!$G:$G,BASE!$B:$B,$B200,BASE!$L:$L,$G200,BASE!$J:$J,$C200,BASE!$A:$A,T$2)</f>
        <v>0</v>
      </c>
      <c r="U200" s="12">
        <f>SUMIFS(BASE!$G:$G,BASE!$B:$B,$B200,BASE!$L:$L,$G200,BASE!$J:$J,$C200,BASE!$A:$A,U$2)</f>
        <v>0</v>
      </c>
      <c r="V200" s="12">
        <f>SUMIFS(BASE!$G:$G,BASE!$B:$B,$B200,BASE!$L:$L,$G200,BASE!$J:$J,$C200,BASE!$A:$A,V$2)</f>
        <v>0</v>
      </c>
      <c r="X200" t="str">
        <f t="shared" si="7"/>
        <v>ZERADO</v>
      </c>
    </row>
    <row r="201" spans="2:24">
      <c r="B201" s="8" t="s">
        <v>626</v>
      </c>
      <c r="C201" s="9" t="s">
        <v>206</v>
      </c>
      <c r="D201" s="9" t="s">
        <v>627</v>
      </c>
      <c r="E201" s="9" t="s">
        <v>609</v>
      </c>
      <c r="F201" s="9" t="s">
        <v>628</v>
      </c>
      <c r="G201" s="9" t="s">
        <v>59</v>
      </c>
      <c r="H201" s="7" t="str">
        <f>IFERROR(IF(_xlfn.XLOOKUP(B201,REPASSE!D:D,REPASSE!D:D)="","Não","Sim"),"Não")</f>
        <v>Não</v>
      </c>
      <c r="I201" s="7" t="str">
        <f>IF(_xlfn.XLOOKUP(B201,'BOOST LIBERADO'!B:B,'BOOST LIBERADO'!B:B,"Não")="Não","Não","Sim")</f>
        <v>Sim</v>
      </c>
      <c r="J201" s="83" t="str">
        <f t="shared" si="6"/>
        <v>Sim</v>
      </c>
      <c r="K201" s="12">
        <f>SUMIFS(BASE!$G:$G,BASE!$B:$B,$B201,BASE!$L:$L,$G201,BASE!$J:$J,$C201,BASE!$A:$A,K$2)</f>
        <v>0</v>
      </c>
      <c r="L201" s="12">
        <f>SUMIFS(BASE!$G:$G,BASE!$B:$B,$B201,BASE!$L:$L,$G201,BASE!$J:$J,$C201,BASE!$A:$A,L$2)</f>
        <v>0</v>
      </c>
      <c r="M201" s="12">
        <f>SUMIFS(BASE!$G:$G,BASE!$B:$B,$B201,BASE!$L:$L,$G201,BASE!$J:$J,$C201,BASE!$A:$A,M$2)</f>
        <v>0</v>
      </c>
      <c r="N201" s="12">
        <f>SUMIFS(BASE!$G:$G,BASE!$B:$B,$B201,BASE!$L:$L,$G201,BASE!$J:$J,$C201,BASE!$A:$A,N$2)</f>
        <v>0</v>
      </c>
      <c r="O201" s="12">
        <f>SUMIFS(BASE!$G:$G,BASE!$B:$B,$B201,BASE!$L:$L,$G201,BASE!$J:$J,$C201,BASE!$A:$A,O$2)</f>
        <v>0</v>
      </c>
      <c r="P201" s="12">
        <f>SUMIFS(BASE!$G:$G,BASE!$B:$B,$B201,BASE!$L:$L,$G201,BASE!$J:$J,$C201,BASE!$A:$A,P$2)</f>
        <v>0</v>
      </c>
      <c r="Q201" s="12">
        <f>SUMIFS(BASE!$G:$G,BASE!$B:$B,$B201,BASE!$L:$L,$G201,BASE!$J:$J,$C201,BASE!$A:$A,Q$2)</f>
        <v>0</v>
      </c>
      <c r="R201" s="12">
        <f>SUMIFS(BASE!$G:$G,BASE!$B:$B,$B201,BASE!$L:$L,$G201,BASE!$J:$J,$C201,BASE!$A:$A,R$2)</f>
        <v>0</v>
      </c>
      <c r="S201" s="12">
        <f>SUMIFS(BASE!$G:$G,BASE!$B:$B,$B201,BASE!$L:$L,$G201,BASE!$J:$J,$C201,BASE!$A:$A,S$2)</f>
        <v>0</v>
      </c>
      <c r="T201" s="12">
        <f>SUMIFS(BASE!$G:$G,BASE!$B:$B,$B201,BASE!$L:$L,$G201,BASE!$J:$J,$C201,BASE!$A:$A,T$2)</f>
        <v>0</v>
      </c>
      <c r="U201" s="12">
        <f>SUMIFS(BASE!$G:$G,BASE!$B:$B,$B201,BASE!$L:$L,$G201,BASE!$J:$J,$C201,BASE!$A:$A,U$2)</f>
        <v>0</v>
      </c>
      <c r="V201" s="12">
        <f>SUMIFS(BASE!$G:$G,BASE!$B:$B,$B201,BASE!$L:$L,$G201,BASE!$J:$J,$C201,BASE!$A:$A,V$2)</f>
        <v>0</v>
      </c>
      <c r="X201" t="str">
        <f t="shared" si="7"/>
        <v>ZERADO</v>
      </c>
    </row>
    <row r="202" spans="2:24">
      <c r="B202" s="8" t="s">
        <v>629</v>
      </c>
      <c r="C202" s="9" t="s">
        <v>206</v>
      </c>
      <c r="D202" s="9" t="s">
        <v>627</v>
      </c>
      <c r="E202" s="9" t="s">
        <v>609</v>
      </c>
      <c r="F202" s="9" t="s">
        <v>630</v>
      </c>
      <c r="G202" s="9" t="s">
        <v>59</v>
      </c>
      <c r="H202" s="7" t="str">
        <f>IFERROR(IF(_xlfn.XLOOKUP(B202,REPASSE!D:D,REPASSE!D:D)="","Não","Sim"),"Não")</f>
        <v>Não</v>
      </c>
      <c r="I202" s="7" t="str">
        <f>IF(_xlfn.XLOOKUP(B202,'BOOST LIBERADO'!B:B,'BOOST LIBERADO'!B:B,"Não")="Não","Não","Sim")</f>
        <v>Sim</v>
      </c>
      <c r="J202" s="83" t="str">
        <f t="shared" si="6"/>
        <v>Sim</v>
      </c>
      <c r="K202" s="12">
        <f>SUMIFS(BASE!$G:$G,BASE!$B:$B,$B202,BASE!$L:$L,$G202,BASE!$J:$J,$C202,BASE!$A:$A,K$2)</f>
        <v>0</v>
      </c>
      <c r="L202" s="12">
        <f>SUMIFS(BASE!$G:$G,BASE!$B:$B,$B202,BASE!$L:$L,$G202,BASE!$J:$J,$C202,BASE!$A:$A,L$2)</f>
        <v>0</v>
      </c>
      <c r="M202" s="12">
        <f>SUMIFS(BASE!$G:$G,BASE!$B:$B,$B202,BASE!$L:$L,$G202,BASE!$J:$J,$C202,BASE!$A:$A,M$2)</f>
        <v>0</v>
      </c>
      <c r="N202" s="12">
        <f>SUMIFS(BASE!$G:$G,BASE!$B:$B,$B202,BASE!$L:$L,$G202,BASE!$J:$J,$C202,BASE!$A:$A,N$2)</f>
        <v>0</v>
      </c>
      <c r="O202" s="12">
        <f>SUMIFS(BASE!$G:$G,BASE!$B:$B,$B202,BASE!$L:$L,$G202,BASE!$J:$J,$C202,BASE!$A:$A,O$2)</f>
        <v>0</v>
      </c>
      <c r="P202" s="12">
        <f>SUMIFS(BASE!$G:$G,BASE!$B:$B,$B202,BASE!$L:$L,$G202,BASE!$J:$J,$C202,BASE!$A:$A,P$2)</f>
        <v>0</v>
      </c>
      <c r="Q202" s="12">
        <f>SUMIFS(BASE!$G:$G,BASE!$B:$B,$B202,BASE!$L:$L,$G202,BASE!$J:$J,$C202,BASE!$A:$A,Q$2)</f>
        <v>0</v>
      </c>
      <c r="R202" s="12">
        <f>SUMIFS(BASE!$G:$G,BASE!$B:$B,$B202,BASE!$L:$L,$G202,BASE!$J:$J,$C202,BASE!$A:$A,R$2)</f>
        <v>0</v>
      </c>
      <c r="S202" s="12">
        <f>SUMIFS(BASE!$G:$G,BASE!$B:$B,$B202,BASE!$L:$L,$G202,BASE!$J:$J,$C202,BASE!$A:$A,S$2)</f>
        <v>0</v>
      </c>
      <c r="T202" s="12">
        <f>SUMIFS(BASE!$G:$G,BASE!$B:$B,$B202,BASE!$L:$L,$G202,BASE!$J:$J,$C202,BASE!$A:$A,T$2)</f>
        <v>0</v>
      </c>
      <c r="U202" s="12">
        <f>SUMIFS(BASE!$G:$G,BASE!$B:$B,$B202,BASE!$L:$L,$G202,BASE!$J:$J,$C202,BASE!$A:$A,U$2)</f>
        <v>0</v>
      </c>
      <c r="V202" s="12">
        <f>SUMIFS(BASE!$G:$G,BASE!$B:$B,$B202,BASE!$L:$L,$G202,BASE!$J:$J,$C202,BASE!$A:$A,V$2)</f>
        <v>0</v>
      </c>
      <c r="X202" t="str">
        <f t="shared" si="7"/>
        <v>ZERADO</v>
      </c>
    </row>
    <row r="203" spans="2:24">
      <c r="B203" s="8" t="s">
        <v>631</v>
      </c>
      <c r="C203" s="9" t="s">
        <v>144</v>
      </c>
      <c r="D203" s="9" t="s">
        <v>632</v>
      </c>
      <c r="E203" s="9" t="s">
        <v>633</v>
      </c>
      <c r="F203" s="9" t="s">
        <v>634</v>
      </c>
      <c r="G203" s="9" t="s">
        <v>59</v>
      </c>
      <c r="H203" s="7" t="str">
        <f>IFERROR(IF(_xlfn.XLOOKUP(B203,REPASSE!D:D,REPASSE!D:D)="","Não","Sim"),"Não")</f>
        <v>Não</v>
      </c>
      <c r="I203" s="7" t="str">
        <f>IF(_xlfn.XLOOKUP(B203,'BOOST LIBERADO'!B:B,'BOOST LIBERADO'!B:B,"Não")="Não","Não","Sim")</f>
        <v>Sim</v>
      </c>
      <c r="J203" s="83" t="str">
        <f t="shared" si="6"/>
        <v>Sim</v>
      </c>
      <c r="K203" s="12">
        <f>SUMIFS(BASE!$G:$G,BASE!$B:$B,$B203,BASE!$L:$L,$G203,BASE!$J:$J,$C203,BASE!$A:$A,K$2)</f>
        <v>0</v>
      </c>
      <c r="L203" s="12">
        <f>SUMIFS(BASE!$G:$G,BASE!$B:$B,$B203,BASE!$L:$L,$G203,BASE!$J:$J,$C203,BASE!$A:$A,L$2)</f>
        <v>0</v>
      </c>
      <c r="M203" s="12">
        <f>SUMIFS(BASE!$G:$G,BASE!$B:$B,$B203,BASE!$L:$L,$G203,BASE!$J:$J,$C203,BASE!$A:$A,M$2)</f>
        <v>0</v>
      </c>
      <c r="N203" s="12">
        <f>SUMIFS(BASE!$G:$G,BASE!$B:$B,$B203,BASE!$L:$L,$G203,BASE!$J:$J,$C203,BASE!$A:$A,N$2)</f>
        <v>0</v>
      </c>
      <c r="O203" s="12">
        <f>SUMIFS(BASE!$G:$G,BASE!$B:$B,$B203,BASE!$L:$L,$G203,BASE!$J:$J,$C203,BASE!$A:$A,O$2)</f>
        <v>0</v>
      </c>
      <c r="P203" s="12">
        <f>SUMIFS(BASE!$G:$G,BASE!$B:$B,$B203,BASE!$L:$L,$G203,BASE!$J:$J,$C203,BASE!$A:$A,P$2)</f>
        <v>0</v>
      </c>
      <c r="Q203" s="12">
        <f>SUMIFS(BASE!$G:$G,BASE!$B:$B,$B203,BASE!$L:$L,$G203,BASE!$J:$J,$C203,BASE!$A:$A,Q$2)</f>
        <v>0</v>
      </c>
      <c r="R203" s="12">
        <f>SUMIFS(BASE!$G:$G,BASE!$B:$B,$B203,BASE!$L:$L,$G203,BASE!$J:$J,$C203,BASE!$A:$A,R$2)</f>
        <v>0</v>
      </c>
      <c r="S203" s="12">
        <f>SUMIFS(BASE!$G:$G,BASE!$B:$B,$B203,BASE!$L:$L,$G203,BASE!$J:$J,$C203,BASE!$A:$A,S$2)</f>
        <v>0</v>
      </c>
      <c r="T203" s="12">
        <f>SUMIFS(BASE!$G:$G,BASE!$B:$B,$B203,BASE!$L:$L,$G203,BASE!$J:$J,$C203,BASE!$A:$A,T$2)</f>
        <v>0</v>
      </c>
      <c r="U203" s="12">
        <f>SUMIFS(BASE!$G:$G,BASE!$B:$B,$B203,BASE!$L:$L,$G203,BASE!$J:$J,$C203,BASE!$A:$A,U$2)</f>
        <v>0</v>
      </c>
      <c r="V203" s="12">
        <f>SUMIFS(BASE!$G:$G,BASE!$B:$B,$B203,BASE!$L:$L,$G203,BASE!$J:$J,$C203,BASE!$A:$A,V$2)</f>
        <v>0</v>
      </c>
      <c r="X203" t="str">
        <f t="shared" si="7"/>
        <v>ZERADO</v>
      </c>
    </row>
    <row r="204" spans="2:24">
      <c r="B204" s="8" t="s">
        <v>635</v>
      </c>
      <c r="C204" s="9" t="s">
        <v>221</v>
      </c>
      <c r="D204" s="9" t="s">
        <v>636</v>
      </c>
      <c r="E204" s="9" t="s">
        <v>633</v>
      </c>
      <c r="F204" s="9" t="s">
        <v>637</v>
      </c>
      <c r="G204" s="9" t="s">
        <v>59</v>
      </c>
      <c r="H204" s="7" t="str">
        <f>IFERROR(IF(_xlfn.XLOOKUP(B204,REPASSE!D:D,REPASSE!D:D)="","Não","Sim"),"Não")</f>
        <v>Não</v>
      </c>
      <c r="I204" s="7" t="str">
        <f>IF(_xlfn.XLOOKUP(B204,'BOOST LIBERADO'!B:B,'BOOST LIBERADO'!B:B,"Não")="Não","Não","Sim")</f>
        <v>Sim</v>
      </c>
      <c r="J204" s="83" t="str">
        <f t="shared" si="6"/>
        <v>Sim</v>
      </c>
      <c r="K204" s="12">
        <f>SUMIFS(BASE!$G:$G,BASE!$B:$B,$B204,BASE!$L:$L,$G204,BASE!$J:$J,$C204,BASE!$A:$A,K$2)</f>
        <v>6</v>
      </c>
      <c r="L204" s="12">
        <f>SUMIFS(BASE!$G:$G,BASE!$B:$B,$B204,BASE!$L:$L,$G204,BASE!$J:$J,$C204,BASE!$A:$A,L$2)</f>
        <v>0</v>
      </c>
      <c r="M204" s="12">
        <f>SUMIFS(BASE!$G:$G,BASE!$B:$B,$B204,BASE!$L:$L,$G204,BASE!$J:$J,$C204,BASE!$A:$A,M$2)</f>
        <v>2</v>
      </c>
      <c r="N204" s="12">
        <f>SUMIFS(BASE!$G:$G,BASE!$B:$B,$B204,BASE!$L:$L,$G204,BASE!$J:$J,$C204,BASE!$A:$A,N$2)</f>
        <v>1</v>
      </c>
      <c r="O204" s="12">
        <f>SUMIFS(BASE!$G:$G,BASE!$B:$B,$B204,BASE!$L:$L,$G204,BASE!$J:$J,$C204,BASE!$A:$A,O$2)</f>
        <v>6</v>
      </c>
      <c r="P204" s="12">
        <f>SUMIFS(BASE!$G:$G,BASE!$B:$B,$B204,BASE!$L:$L,$G204,BASE!$J:$J,$C204,BASE!$A:$A,P$2)</f>
        <v>5</v>
      </c>
      <c r="Q204" s="12">
        <f>SUMIFS(BASE!$G:$G,BASE!$B:$B,$B204,BASE!$L:$L,$G204,BASE!$J:$J,$C204,BASE!$A:$A,Q$2)</f>
        <v>12</v>
      </c>
      <c r="R204" s="12">
        <f>SUMIFS(BASE!$G:$G,BASE!$B:$B,$B204,BASE!$L:$L,$G204,BASE!$J:$J,$C204,BASE!$A:$A,R$2)</f>
        <v>5</v>
      </c>
      <c r="S204" s="12">
        <f>SUMIFS(BASE!$G:$G,BASE!$B:$B,$B204,BASE!$L:$L,$G204,BASE!$J:$J,$C204,BASE!$A:$A,S$2)</f>
        <v>0</v>
      </c>
      <c r="T204" s="12">
        <f>SUMIFS(BASE!$G:$G,BASE!$B:$B,$B204,BASE!$L:$L,$G204,BASE!$J:$J,$C204,BASE!$A:$A,T$2)</f>
        <v>0</v>
      </c>
      <c r="U204" s="12">
        <f>SUMIFS(BASE!$G:$G,BASE!$B:$B,$B204,BASE!$L:$L,$G204,BASE!$J:$J,$C204,BASE!$A:$A,U$2)</f>
        <v>0</v>
      </c>
      <c r="V204" s="12">
        <f>SUMIFS(BASE!$G:$G,BASE!$B:$B,$B204,BASE!$L:$L,$G204,BASE!$J:$J,$C204,BASE!$A:$A,V$2)</f>
        <v>0</v>
      </c>
      <c r="X204" t="str">
        <f t="shared" si="7"/>
        <v>COM TROCAS</v>
      </c>
    </row>
    <row r="205" spans="2:24">
      <c r="B205" s="8" t="s">
        <v>638</v>
      </c>
      <c r="C205" s="9" t="s">
        <v>221</v>
      </c>
      <c r="D205" s="9" t="s">
        <v>636</v>
      </c>
      <c r="E205" s="9" t="s">
        <v>633</v>
      </c>
      <c r="F205" s="9" t="s">
        <v>639</v>
      </c>
      <c r="G205" s="9" t="s">
        <v>59</v>
      </c>
      <c r="H205" s="7" t="str">
        <f>IFERROR(IF(_xlfn.XLOOKUP(B205,REPASSE!D:D,REPASSE!D:D)="","Não","Sim"),"Não")</f>
        <v>Não</v>
      </c>
      <c r="I205" s="7" t="str">
        <f>IF(_xlfn.XLOOKUP(B205,'BOOST LIBERADO'!B:B,'BOOST LIBERADO'!B:B,"Não")="Não","Não","Sim")</f>
        <v>Sim</v>
      </c>
      <c r="J205" s="83" t="str">
        <f t="shared" si="6"/>
        <v>Sim</v>
      </c>
      <c r="K205" s="12">
        <f>SUMIFS(BASE!$G:$G,BASE!$B:$B,$B205,BASE!$L:$L,$G205,BASE!$J:$J,$C205,BASE!$A:$A,K$2)</f>
        <v>0</v>
      </c>
      <c r="L205" s="12">
        <f>SUMIFS(BASE!$G:$G,BASE!$B:$B,$B205,BASE!$L:$L,$G205,BASE!$J:$J,$C205,BASE!$A:$A,L$2)</f>
        <v>0</v>
      </c>
      <c r="M205" s="12">
        <f>SUMIFS(BASE!$G:$G,BASE!$B:$B,$B205,BASE!$L:$L,$G205,BASE!$J:$J,$C205,BASE!$A:$A,M$2)</f>
        <v>0</v>
      </c>
      <c r="N205" s="12">
        <f>SUMIFS(BASE!$G:$G,BASE!$B:$B,$B205,BASE!$L:$L,$G205,BASE!$J:$J,$C205,BASE!$A:$A,N$2)</f>
        <v>0</v>
      </c>
      <c r="O205" s="12">
        <f>SUMIFS(BASE!$G:$G,BASE!$B:$B,$B205,BASE!$L:$L,$G205,BASE!$J:$J,$C205,BASE!$A:$A,O$2)</f>
        <v>0</v>
      </c>
      <c r="P205" s="12">
        <f>SUMIFS(BASE!$G:$G,BASE!$B:$B,$B205,BASE!$L:$L,$G205,BASE!$J:$J,$C205,BASE!$A:$A,P$2)</f>
        <v>0</v>
      </c>
      <c r="Q205" s="12">
        <f>SUMIFS(BASE!$G:$G,BASE!$B:$B,$B205,BASE!$L:$L,$G205,BASE!$J:$J,$C205,BASE!$A:$A,Q$2)</f>
        <v>0</v>
      </c>
      <c r="R205" s="12">
        <f>SUMIFS(BASE!$G:$G,BASE!$B:$B,$B205,BASE!$L:$L,$G205,BASE!$J:$J,$C205,BASE!$A:$A,R$2)</f>
        <v>0</v>
      </c>
      <c r="S205" s="12">
        <f>SUMIFS(BASE!$G:$G,BASE!$B:$B,$B205,BASE!$L:$L,$G205,BASE!$J:$J,$C205,BASE!$A:$A,S$2)</f>
        <v>0</v>
      </c>
      <c r="T205" s="12">
        <f>SUMIFS(BASE!$G:$G,BASE!$B:$B,$B205,BASE!$L:$L,$G205,BASE!$J:$J,$C205,BASE!$A:$A,T$2)</f>
        <v>0</v>
      </c>
      <c r="U205" s="12">
        <f>SUMIFS(BASE!$G:$G,BASE!$B:$B,$B205,BASE!$L:$L,$G205,BASE!$J:$J,$C205,BASE!$A:$A,U$2)</f>
        <v>0</v>
      </c>
      <c r="V205" s="12">
        <f>SUMIFS(BASE!$G:$G,BASE!$B:$B,$B205,BASE!$L:$L,$G205,BASE!$J:$J,$C205,BASE!$A:$A,V$2)</f>
        <v>0</v>
      </c>
      <c r="X205" t="str">
        <f t="shared" si="7"/>
        <v>ZERADO</v>
      </c>
    </row>
    <row r="206" spans="2:24">
      <c r="B206" s="8" t="s">
        <v>640</v>
      </c>
      <c r="C206" s="9" t="s">
        <v>221</v>
      </c>
      <c r="D206" s="9" t="s">
        <v>636</v>
      </c>
      <c r="E206" s="9" t="s">
        <v>633</v>
      </c>
      <c r="F206" s="9" t="s">
        <v>641</v>
      </c>
      <c r="G206" s="9" t="s">
        <v>59</v>
      </c>
      <c r="H206" s="7" t="str">
        <f>IFERROR(IF(_xlfn.XLOOKUP(B206,REPASSE!D:D,REPASSE!D:D)="","Não","Sim"),"Não")</f>
        <v>Não</v>
      </c>
      <c r="I206" s="7" t="str">
        <f>IF(_xlfn.XLOOKUP(B206,'BOOST LIBERADO'!B:B,'BOOST LIBERADO'!B:B,"Não")="Não","Não","Sim")</f>
        <v>Sim</v>
      </c>
      <c r="J206" s="83" t="str">
        <f t="shared" si="6"/>
        <v>Sim</v>
      </c>
      <c r="K206" s="12">
        <f>SUMIFS(BASE!$G:$G,BASE!$B:$B,$B206,BASE!$L:$L,$G206,BASE!$J:$J,$C206,BASE!$A:$A,K$2)</f>
        <v>17</v>
      </c>
      <c r="L206" s="12">
        <f>SUMIFS(BASE!$G:$G,BASE!$B:$B,$B206,BASE!$L:$L,$G206,BASE!$J:$J,$C206,BASE!$A:$A,L$2)</f>
        <v>8</v>
      </c>
      <c r="M206" s="12">
        <f>SUMIFS(BASE!$G:$G,BASE!$B:$B,$B206,BASE!$L:$L,$G206,BASE!$J:$J,$C206,BASE!$A:$A,M$2)</f>
        <v>7</v>
      </c>
      <c r="N206" s="12">
        <f>SUMIFS(BASE!$G:$G,BASE!$B:$B,$B206,BASE!$L:$L,$G206,BASE!$J:$J,$C206,BASE!$A:$A,N$2)</f>
        <v>7</v>
      </c>
      <c r="O206" s="12">
        <f>SUMIFS(BASE!$G:$G,BASE!$B:$B,$B206,BASE!$L:$L,$G206,BASE!$J:$J,$C206,BASE!$A:$A,O$2)</f>
        <v>13</v>
      </c>
      <c r="P206" s="12">
        <f>SUMIFS(BASE!$G:$G,BASE!$B:$B,$B206,BASE!$L:$L,$G206,BASE!$J:$J,$C206,BASE!$A:$A,P$2)</f>
        <v>4</v>
      </c>
      <c r="Q206" s="12">
        <f>SUMIFS(BASE!$G:$G,BASE!$B:$B,$B206,BASE!$L:$L,$G206,BASE!$J:$J,$C206,BASE!$A:$A,Q$2)</f>
        <v>15</v>
      </c>
      <c r="R206" s="12">
        <f>SUMIFS(BASE!$G:$G,BASE!$B:$B,$B206,BASE!$L:$L,$G206,BASE!$J:$J,$C206,BASE!$A:$A,R$2)</f>
        <v>5</v>
      </c>
      <c r="S206" s="12">
        <f>SUMIFS(BASE!$G:$G,BASE!$B:$B,$B206,BASE!$L:$L,$G206,BASE!$J:$J,$C206,BASE!$A:$A,S$2)</f>
        <v>0</v>
      </c>
      <c r="T206" s="12">
        <f>SUMIFS(BASE!$G:$G,BASE!$B:$B,$B206,BASE!$L:$L,$G206,BASE!$J:$J,$C206,BASE!$A:$A,T$2)</f>
        <v>0</v>
      </c>
      <c r="U206" s="12">
        <f>SUMIFS(BASE!$G:$G,BASE!$B:$B,$B206,BASE!$L:$L,$G206,BASE!$J:$J,$C206,BASE!$A:$A,U$2)</f>
        <v>0</v>
      </c>
      <c r="V206" s="12">
        <f>SUMIFS(BASE!$G:$G,BASE!$B:$B,$B206,BASE!$L:$L,$G206,BASE!$J:$J,$C206,BASE!$A:$A,V$2)</f>
        <v>0</v>
      </c>
      <c r="X206" t="str">
        <f t="shared" si="7"/>
        <v>COM TROCAS</v>
      </c>
    </row>
    <row r="207" spans="2:24">
      <c r="B207" s="8" t="s">
        <v>642</v>
      </c>
      <c r="C207" s="9" t="s">
        <v>240</v>
      </c>
      <c r="D207" s="9" t="s">
        <v>643</v>
      </c>
      <c r="E207" s="9" t="s">
        <v>609</v>
      </c>
      <c r="F207" s="9" t="s">
        <v>644</v>
      </c>
      <c r="G207" s="9" t="s">
        <v>59</v>
      </c>
      <c r="H207" s="7" t="str">
        <f>IFERROR(IF(_xlfn.XLOOKUP(B207,REPASSE!D:D,REPASSE!D:D)="","Não","Sim"),"Não")</f>
        <v>Não</v>
      </c>
      <c r="I207" s="7" t="str">
        <f>IF(_xlfn.XLOOKUP(B207,'BOOST LIBERADO'!B:B,'BOOST LIBERADO'!B:B,"Não")="Não","Não","Sim")</f>
        <v>Sim</v>
      </c>
      <c r="J207" s="83" t="str">
        <f t="shared" si="6"/>
        <v>Sim</v>
      </c>
      <c r="K207" s="12">
        <f>SUMIFS(BASE!$G:$G,BASE!$B:$B,$B207,BASE!$L:$L,$G207,BASE!$J:$J,$C207,BASE!$A:$A,K$2)</f>
        <v>0</v>
      </c>
      <c r="L207" s="12">
        <f>SUMIFS(BASE!$G:$G,BASE!$B:$B,$B207,BASE!$L:$L,$G207,BASE!$J:$J,$C207,BASE!$A:$A,L$2)</f>
        <v>1</v>
      </c>
      <c r="M207" s="12">
        <f>SUMIFS(BASE!$G:$G,BASE!$B:$B,$B207,BASE!$L:$L,$G207,BASE!$J:$J,$C207,BASE!$A:$A,M$2)</f>
        <v>6</v>
      </c>
      <c r="N207" s="12">
        <f>SUMIFS(BASE!$G:$G,BASE!$B:$B,$B207,BASE!$L:$L,$G207,BASE!$J:$J,$C207,BASE!$A:$A,N$2)</f>
        <v>3</v>
      </c>
      <c r="O207" s="12">
        <f>SUMIFS(BASE!$G:$G,BASE!$B:$B,$B207,BASE!$L:$L,$G207,BASE!$J:$J,$C207,BASE!$A:$A,O$2)</f>
        <v>5</v>
      </c>
      <c r="P207" s="12">
        <f>SUMIFS(BASE!$G:$G,BASE!$B:$B,$B207,BASE!$L:$L,$G207,BASE!$J:$J,$C207,BASE!$A:$A,P$2)</f>
        <v>9</v>
      </c>
      <c r="Q207" s="12">
        <f>SUMIFS(BASE!$G:$G,BASE!$B:$B,$B207,BASE!$L:$L,$G207,BASE!$J:$J,$C207,BASE!$A:$A,Q$2)</f>
        <v>15</v>
      </c>
      <c r="R207" s="12">
        <f>SUMIFS(BASE!$G:$G,BASE!$B:$B,$B207,BASE!$L:$L,$G207,BASE!$J:$J,$C207,BASE!$A:$A,R$2)</f>
        <v>10</v>
      </c>
      <c r="S207" s="12">
        <f>SUMIFS(BASE!$G:$G,BASE!$B:$B,$B207,BASE!$L:$L,$G207,BASE!$J:$J,$C207,BASE!$A:$A,S$2)</f>
        <v>0</v>
      </c>
      <c r="T207" s="12">
        <f>SUMIFS(BASE!$G:$G,BASE!$B:$B,$B207,BASE!$L:$L,$G207,BASE!$J:$J,$C207,BASE!$A:$A,T$2)</f>
        <v>0</v>
      </c>
      <c r="U207" s="12">
        <f>SUMIFS(BASE!$G:$G,BASE!$B:$B,$B207,BASE!$L:$L,$G207,BASE!$J:$J,$C207,BASE!$A:$A,U$2)</f>
        <v>0</v>
      </c>
      <c r="V207" s="12">
        <f>SUMIFS(BASE!$G:$G,BASE!$B:$B,$B207,BASE!$L:$L,$G207,BASE!$J:$J,$C207,BASE!$A:$A,V$2)</f>
        <v>0</v>
      </c>
      <c r="X207" t="str">
        <f t="shared" si="7"/>
        <v>COM TROCAS</v>
      </c>
    </row>
    <row r="208" spans="2:24">
      <c r="B208" s="8" t="s">
        <v>645</v>
      </c>
      <c r="C208" s="9" t="s">
        <v>240</v>
      </c>
      <c r="D208" s="9" t="s">
        <v>643</v>
      </c>
      <c r="E208" s="9" t="s">
        <v>609</v>
      </c>
      <c r="F208" s="9" t="s">
        <v>644</v>
      </c>
      <c r="G208" s="9" t="s">
        <v>59</v>
      </c>
      <c r="H208" s="7" t="str">
        <f>IFERROR(IF(_xlfn.XLOOKUP(B208,REPASSE!D:D,REPASSE!D:D)="","Não","Sim"),"Não")</f>
        <v>Não</v>
      </c>
      <c r="I208" s="7" t="str">
        <f>IF(_xlfn.XLOOKUP(B208,'BOOST LIBERADO'!B:B,'BOOST LIBERADO'!B:B,"Não")="Não","Não","Sim")</f>
        <v>Sim</v>
      </c>
      <c r="J208" s="83" t="str">
        <f t="shared" si="6"/>
        <v>Sim</v>
      </c>
      <c r="K208" s="12">
        <f>SUMIFS(BASE!$G:$G,BASE!$B:$B,$B208,BASE!$L:$L,$G208,BASE!$J:$J,$C208,BASE!$A:$A,K$2)</f>
        <v>0</v>
      </c>
      <c r="L208" s="12">
        <f>SUMIFS(BASE!$G:$G,BASE!$B:$B,$B208,BASE!$L:$L,$G208,BASE!$J:$J,$C208,BASE!$A:$A,L$2)</f>
        <v>4</v>
      </c>
      <c r="M208" s="12">
        <f>SUMIFS(BASE!$G:$G,BASE!$B:$B,$B208,BASE!$L:$L,$G208,BASE!$J:$J,$C208,BASE!$A:$A,M$2)</f>
        <v>4</v>
      </c>
      <c r="N208" s="12">
        <f>SUMIFS(BASE!$G:$G,BASE!$B:$B,$B208,BASE!$L:$L,$G208,BASE!$J:$J,$C208,BASE!$A:$A,N$2)</f>
        <v>3</v>
      </c>
      <c r="O208" s="12">
        <f>SUMIFS(BASE!$G:$G,BASE!$B:$B,$B208,BASE!$L:$L,$G208,BASE!$J:$J,$C208,BASE!$A:$A,O$2)</f>
        <v>7</v>
      </c>
      <c r="P208" s="12">
        <f>SUMIFS(BASE!$G:$G,BASE!$B:$B,$B208,BASE!$L:$L,$G208,BASE!$J:$J,$C208,BASE!$A:$A,P$2)</f>
        <v>12</v>
      </c>
      <c r="Q208" s="12">
        <f>SUMIFS(BASE!$G:$G,BASE!$B:$B,$B208,BASE!$L:$L,$G208,BASE!$J:$J,$C208,BASE!$A:$A,Q$2)</f>
        <v>8</v>
      </c>
      <c r="R208" s="12">
        <f>SUMIFS(BASE!$G:$G,BASE!$B:$B,$B208,BASE!$L:$L,$G208,BASE!$J:$J,$C208,BASE!$A:$A,R$2)</f>
        <v>4</v>
      </c>
      <c r="S208" s="12">
        <f>SUMIFS(BASE!$G:$G,BASE!$B:$B,$B208,BASE!$L:$L,$G208,BASE!$J:$J,$C208,BASE!$A:$A,S$2)</f>
        <v>0</v>
      </c>
      <c r="T208" s="12">
        <f>SUMIFS(BASE!$G:$G,BASE!$B:$B,$B208,BASE!$L:$L,$G208,BASE!$J:$J,$C208,BASE!$A:$A,T$2)</f>
        <v>0</v>
      </c>
      <c r="U208" s="12">
        <f>SUMIFS(BASE!$G:$G,BASE!$B:$B,$B208,BASE!$L:$L,$G208,BASE!$J:$J,$C208,BASE!$A:$A,U$2)</f>
        <v>0</v>
      </c>
      <c r="V208" s="12">
        <f>SUMIFS(BASE!$G:$G,BASE!$B:$B,$B208,BASE!$L:$L,$G208,BASE!$J:$J,$C208,BASE!$A:$A,V$2)</f>
        <v>0</v>
      </c>
      <c r="X208" t="str">
        <f t="shared" si="7"/>
        <v>COM TROCAS</v>
      </c>
    </row>
    <row r="209" spans="2:24">
      <c r="B209" s="8" t="s">
        <v>646</v>
      </c>
      <c r="C209" s="9" t="s">
        <v>240</v>
      </c>
      <c r="D209" s="9" t="s">
        <v>643</v>
      </c>
      <c r="E209" s="9" t="s">
        <v>609</v>
      </c>
      <c r="F209" s="9" t="s">
        <v>647</v>
      </c>
      <c r="G209" s="9" t="s">
        <v>59</v>
      </c>
      <c r="H209" s="7" t="str">
        <f>IFERROR(IF(_xlfn.XLOOKUP(B209,REPASSE!D:D,REPASSE!D:D)="","Não","Sim"),"Não")</f>
        <v>Não</v>
      </c>
      <c r="I209" s="7" t="str">
        <f>IF(_xlfn.XLOOKUP(B209,'BOOST LIBERADO'!B:B,'BOOST LIBERADO'!B:B,"Não")="Não","Não","Sim")</f>
        <v>Sim</v>
      </c>
      <c r="J209" s="83" t="str">
        <f t="shared" si="6"/>
        <v>Sim</v>
      </c>
      <c r="K209" s="12">
        <f>SUMIFS(BASE!$G:$G,BASE!$B:$B,$B209,BASE!$L:$L,$G209,BASE!$J:$J,$C209,BASE!$A:$A,K$2)</f>
        <v>0</v>
      </c>
      <c r="L209" s="12">
        <f>SUMIFS(BASE!$G:$G,BASE!$B:$B,$B209,BASE!$L:$L,$G209,BASE!$J:$J,$C209,BASE!$A:$A,L$2)</f>
        <v>0</v>
      </c>
      <c r="M209" s="12">
        <f>SUMIFS(BASE!$G:$G,BASE!$B:$B,$B209,BASE!$L:$L,$G209,BASE!$J:$J,$C209,BASE!$A:$A,M$2)</f>
        <v>0</v>
      </c>
      <c r="N209" s="12">
        <f>SUMIFS(BASE!$G:$G,BASE!$B:$B,$B209,BASE!$L:$L,$G209,BASE!$J:$J,$C209,BASE!$A:$A,N$2)</f>
        <v>0</v>
      </c>
      <c r="O209" s="12">
        <f>SUMIFS(BASE!$G:$G,BASE!$B:$B,$B209,BASE!$L:$L,$G209,BASE!$J:$J,$C209,BASE!$A:$A,O$2)</f>
        <v>0</v>
      </c>
      <c r="P209" s="12">
        <f>SUMIFS(BASE!$G:$G,BASE!$B:$B,$B209,BASE!$L:$L,$G209,BASE!$J:$J,$C209,BASE!$A:$A,P$2)</f>
        <v>0</v>
      </c>
      <c r="Q209" s="12">
        <f>SUMIFS(BASE!$G:$G,BASE!$B:$B,$B209,BASE!$L:$L,$G209,BASE!$J:$J,$C209,BASE!$A:$A,Q$2)</f>
        <v>0</v>
      </c>
      <c r="R209" s="12">
        <f>SUMIFS(BASE!$G:$G,BASE!$B:$B,$B209,BASE!$L:$L,$G209,BASE!$J:$J,$C209,BASE!$A:$A,R$2)</f>
        <v>0</v>
      </c>
      <c r="S209" s="12">
        <f>SUMIFS(BASE!$G:$G,BASE!$B:$B,$B209,BASE!$L:$L,$G209,BASE!$J:$J,$C209,BASE!$A:$A,S$2)</f>
        <v>0</v>
      </c>
      <c r="T209" s="12">
        <f>SUMIFS(BASE!$G:$G,BASE!$B:$B,$B209,BASE!$L:$L,$G209,BASE!$J:$J,$C209,BASE!$A:$A,T$2)</f>
        <v>0</v>
      </c>
      <c r="U209" s="12">
        <f>SUMIFS(BASE!$G:$G,BASE!$B:$B,$B209,BASE!$L:$L,$G209,BASE!$J:$J,$C209,BASE!$A:$A,U$2)</f>
        <v>0</v>
      </c>
      <c r="V209" s="12">
        <f>SUMIFS(BASE!$G:$G,BASE!$B:$B,$B209,BASE!$L:$L,$G209,BASE!$J:$J,$C209,BASE!$A:$A,V$2)</f>
        <v>0</v>
      </c>
      <c r="X209" t="str">
        <f t="shared" si="7"/>
        <v>ZERADO</v>
      </c>
    </row>
    <row r="210" spans="2:24">
      <c r="B210" s="8" t="s">
        <v>648</v>
      </c>
      <c r="C210" s="9" t="s">
        <v>240</v>
      </c>
      <c r="D210" s="9" t="s">
        <v>643</v>
      </c>
      <c r="E210" s="9" t="s">
        <v>609</v>
      </c>
      <c r="F210" s="9" t="s">
        <v>649</v>
      </c>
      <c r="G210" s="9" t="s">
        <v>59</v>
      </c>
      <c r="H210" s="7" t="str">
        <f>IFERROR(IF(_xlfn.XLOOKUP(B210,REPASSE!D:D,REPASSE!D:D)="","Não","Sim"),"Não")</f>
        <v>Não</v>
      </c>
      <c r="I210" s="7" t="str">
        <f>IF(_xlfn.XLOOKUP(B210,'BOOST LIBERADO'!B:B,'BOOST LIBERADO'!B:B,"Não")="Não","Não","Sim")</f>
        <v>Sim</v>
      </c>
      <c r="J210" s="83" t="str">
        <f t="shared" si="6"/>
        <v>Sim</v>
      </c>
      <c r="K210" s="12">
        <f>SUMIFS(BASE!$G:$G,BASE!$B:$B,$B210,BASE!$L:$L,$G210,BASE!$J:$J,$C210,BASE!$A:$A,K$2)</f>
        <v>1</v>
      </c>
      <c r="L210" s="12">
        <f>SUMIFS(BASE!$G:$G,BASE!$B:$B,$B210,BASE!$L:$L,$G210,BASE!$J:$J,$C210,BASE!$A:$A,L$2)</f>
        <v>0</v>
      </c>
      <c r="M210" s="12">
        <f>SUMIFS(BASE!$G:$G,BASE!$B:$B,$B210,BASE!$L:$L,$G210,BASE!$J:$J,$C210,BASE!$A:$A,M$2)</f>
        <v>0</v>
      </c>
      <c r="N210" s="12">
        <f>SUMIFS(BASE!$G:$G,BASE!$B:$B,$B210,BASE!$L:$L,$G210,BASE!$J:$J,$C210,BASE!$A:$A,N$2)</f>
        <v>0</v>
      </c>
      <c r="O210" s="12">
        <f>SUMIFS(BASE!$G:$G,BASE!$B:$B,$B210,BASE!$L:$L,$G210,BASE!$J:$J,$C210,BASE!$A:$A,O$2)</f>
        <v>0</v>
      </c>
      <c r="P210" s="12">
        <f>SUMIFS(BASE!$G:$G,BASE!$B:$B,$B210,BASE!$L:$L,$G210,BASE!$J:$J,$C210,BASE!$A:$A,P$2)</f>
        <v>0</v>
      </c>
      <c r="Q210" s="12">
        <f>SUMIFS(BASE!$G:$G,BASE!$B:$B,$B210,BASE!$L:$L,$G210,BASE!$J:$J,$C210,BASE!$A:$A,Q$2)</f>
        <v>0</v>
      </c>
      <c r="R210" s="12">
        <f>SUMIFS(BASE!$G:$G,BASE!$B:$B,$B210,BASE!$L:$L,$G210,BASE!$J:$J,$C210,BASE!$A:$A,R$2)</f>
        <v>1</v>
      </c>
      <c r="S210" s="12">
        <f>SUMIFS(BASE!$G:$G,BASE!$B:$B,$B210,BASE!$L:$L,$G210,BASE!$J:$J,$C210,BASE!$A:$A,S$2)</f>
        <v>0</v>
      </c>
      <c r="T210" s="12">
        <f>SUMIFS(BASE!$G:$G,BASE!$B:$B,$B210,BASE!$L:$L,$G210,BASE!$J:$J,$C210,BASE!$A:$A,T$2)</f>
        <v>0</v>
      </c>
      <c r="U210" s="12">
        <f>SUMIFS(BASE!$G:$G,BASE!$B:$B,$B210,BASE!$L:$L,$G210,BASE!$J:$J,$C210,BASE!$A:$A,U$2)</f>
        <v>0</v>
      </c>
      <c r="V210" s="12">
        <f>SUMIFS(BASE!$G:$G,BASE!$B:$B,$B210,BASE!$L:$L,$G210,BASE!$J:$J,$C210,BASE!$A:$A,V$2)</f>
        <v>0</v>
      </c>
      <c r="X210" t="str">
        <f t="shared" si="7"/>
        <v>COM TROCAS</v>
      </c>
    </row>
    <row r="211" spans="2:24">
      <c r="B211" s="8" t="s">
        <v>650</v>
      </c>
      <c r="C211" s="9" t="s">
        <v>240</v>
      </c>
      <c r="D211" s="9" t="s">
        <v>643</v>
      </c>
      <c r="E211" s="9" t="s">
        <v>609</v>
      </c>
      <c r="F211" s="9" t="s">
        <v>651</v>
      </c>
      <c r="G211" s="9" t="s">
        <v>59</v>
      </c>
      <c r="H211" s="7" t="str">
        <f>IFERROR(IF(_xlfn.XLOOKUP(B211,REPASSE!D:D,REPASSE!D:D)="","Não","Sim"),"Não")</f>
        <v>Não</v>
      </c>
      <c r="I211" s="7" t="str">
        <f>IF(_xlfn.XLOOKUP(B211,'BOOST LIBERADO'!B:B,'BOOST LIBERADO'!B:B,"Não")="Não","Não","Sim")</f>
        <v>Sim</v>
      </c>
      <c r="J211" s="83" t="str">
        <f t="shared" si="6"/>
        <v>Sim</v>
      </c>
      <c r="K211" s="12">
        <f>SUMIFS(BASE!$G:$G,BASE!$B:$B,$B211,BASE!$L:$L,$G211,BASE!$J:$J,$C211,BASE!$A:$A,K$2)</f>
        <v>0</v>
      </c>
      <c r="L211" s="12">
        <f>SUMIFS(BASE!$G:$G,BASE!$B:$B,$B211,BASE!$L:$L,$G211,BASE!$J:$J,$C211,BASE!$A:$A,L$2)</f>
        <v>0</v>
      </c>
      <c r="M211" s="12">
        <f>SUMIFS(BASE!$G:$G,BASE!$B:$B,$B211,BASE!$L:$L,$G211,BASE!$J:$J,$C211,BASE!$A:$A,M$2)</f>
        <v>0</v>
      </c>
      <c r="N211" s="12">
        <f>SUMIFS(BASE!$G:$G,BASE!$B:$B,$B211,BASE!$L:$L,$G211,BASE!$J:$J,$C211,BASE!$A:$A,N$2)</f>
        <v>0</v>
      </c>
      <c r="O211" s="12">
        <f>SUMIFS(BASE!$G:$G,BASE!$B:$B,$B211,BASE!$L:$L,$G211,BASE!$J:$J,$C211,BASE!$A:$A,O$2)</f>
        <v>0</v>
      </c>
      <c r="P211" s="12">
        <f>SUMIFS(BASE!$G:$G,BASE!$B:$B,$B211,BASE!$L:$L,$G211,BASE!$J:$J,$C211,BASE!$A:$A,P$2)</f>
        <v>0</v>
      </c>
      <c r="Q211" s="12">
        <f>SUMIFS(BASE!$G:$G,BASE!$B:$B,$B211,BASE!$L:$L,$G211,BASE!$J:$J,$C211,BASE!$A:$A,Q$2)</f>
        <v>0</v>
      </c>
      <c r="R211" s="12">
        <f>SUMIFS(BASE!$G:$G,BASE!$B:$B,$B211,BASE!$L:$L,$G211,BASE!$J:$J,$C211,BASE!$A:$A,R$2)</f>
        <v>0</v>
      </c>
      <c r="S211" s="12">
        <f>SUMIFS(BASE!$G:$G,BASE!$B:$B,$B211,BASE!$L:$L,$G211,BASE!$J:$J,$C211,BASE!$A:$A,S$2)</f>
        <v>0</v>
      </c>
      <c r="T211" s="12">
        <f>SUMIFS(BASE!$G:$G,BASE!$B:$B,$B211,BASE!$L:$L,$G211,BASE!$J:$J,$C211,BASE!$A:$A,T$2)</f>
        <v>0</v>
      </c>
      <c r="U211" s="12">
        <f>SUMIFS(BASE!$G:$G,BASE!$B:$B,$B211,BASE!$L:$L,$G211,BASE!$J:$J,$C211,BASE!$A:$A,U$2)</f>
        <v>0</v>
      </c>
      <c r="V211" s="12">
        <f>SUMIFS(BASE!$G:$G,BASE!$B:$B,$B211,BASE!$L:$L,$G211,BASE!$J:$J,$C211,BASE!$A:$A,V$2)</f>
        <v>0</v>
      </c>
      <c r="X211" t="str">
        <f t="shared" si="7"/>
        <v>ZERADO</v>
      </c>
    </row>
    <row r="212" spans="2:24">
      <c r="B212" s="8" t="s">
        <v>652</v>
      </c>
      <c r="C212" s="9" t="s">
        <v>240</v>
      </c>
      <c r="D212" s="9" t="s">
        <v>643</v>
      </c>
      <c r="E212" s="9" t="s">
        <v>609</v>
      </c>
      <c r="F212" s="9" t="s">
        <v>647</v>
      </c>
      <c r="G212" s="9" t="s">
        <v>59</v>
      </c>
      <c r="H212" s="7" t="str">
        <f>IFERROR(IF(_xlfn.XLOOKUP(B212,REPASSE!D:D,REPASSE!D:D)="","Não","Sim"),"Não")</f>
        <v>Não</v>
      </c>
      <c r="I212" s="7" t="str">
        <f>IF(_xlfn.XLOOKUP(B212,'BOOST LIBERADO'!B:B,'BOOST LIBERADO'!B:B,"Não")="Não","Não","Sim")</f>
        <v>Sim</v>
      </c>
      <c r="J212" s="83" t="str">
        <f t="shared" si="6"/>
        <v>Sim</v>
      </c>
      <c r="K212" s="12">
        <f>SUMIFS(BASE!$G:$G,BASE!$B:$B,$B212,BASE!$L:$L,$G212,BASE!$J:$J,$C212,BASE!$A:$A,K$2)</f>
        <v>0</v>
      </c>
      <c r="L212" s="12">
        <f>SUMIFS(BASE!$G:$G,BASE!$B:$B,$B212,BASE!$L:$L,$G212,BASE!$J:$J,$C212,BASE!$A:$A,L$2)</f>
        <v>0</v>
      </c>
      <c r="M212" s="12">
        <f>SUMIFS(BASE!$G:$G,BASE!$B:$B,$B212,BASE!$L:$L,$G212,BASE!$J:$J,$C212,BASE!$A:$A,M$2)</f>
        <v>4</v>
      </c>
      <c r="N212" s="12">
        <f>SUMIFS(BASE!$G:$G,BASE!$B:$B,$B212,BASE!$L:$L,$G212,BASE!$J:$J,$C212,BASE!$A:$A,N$2)</f>
        <v>0</v>
      </c>
      <c r="O212" s="12">
        <f>SUMIFS(BASE!$G:$G,BASE!$B:$B,$B212,BASE!$L:$L,$G212,BASE!$J:$J,$C212,BASE!$A:$A,O$2)</f>
        <v>0</v>
      </c>
      <c r="P212" s="12">
        <f>SUMIFS(BASE!$G:$G,BASE!$B:$B,$B212,BASE!$L:$L,$G212,BASE!$J:$J,$C212,BASE!$A:$A,P$2)</f>
        <v>0</v>
      </c>
      <c r="Q212" s="12">
        <f>SUMIFS(BASE!$G:$G,BASE!$B:$B,$B212,BASE!$L:$L,$G212,BASE!$J:$J,$C212,BASE!$A:$A,Q$2)</f>
        <v>0</v>
      </c>
      <c r="R212" s="12">
        <f>SUMIFS(BASE!$G:$G,BASE!$B:$B,$B212,BASE!$L:$L,$G212,BASE!$J:$J,$C212,BASE!$A:$A,R$2)</f>
        <v>0</v>
      </c>
      <c r="S212" s="12">
        <f>SUMIFS(BASE!$G:$G,BASE!$B:$B,$B212,BASE!$L:$L,$G212,BASE!$J:$J,$C212,BASE!$A:$A,S$2)</f>
        <v>0</v>
      </c>
      <c r="T212" s="12">
        <f>SUMIFS(BASE!$G:$G,BASE!$B:$B,$B212,BASE!$L:$L,$G212,BASE!$J:$J,$C212,BASE!$A:$A,T$2)</f>
        <v>0</v>
      </c>
      <c r="U212" s="12">
        <f>SUMIFS(BASE!$G:$G,BASE!$B:$B,$B212,BASE!$L:$L,$G212,BASE!$J:$J,$C212,BASE!$A:$A,U$2)</f>
        <v>0</v>
      </c>
      <c r="V212" s="12">
        <f>SUMIFS(BASE!$G:$G,BASE!$B:$B,$B212,BASE!$L:$L,$G212,BASE!$J:$J,$C212,BASE!$A:$A,V$2)</f>
        <v>0</v>
      </c>
      <c r="X212" t="str">
        <f t="shared" si="7"/>
        <v>ZERADO</v>
      </c>
    </row>
    <row r="213" spans="2:24">
      <c r="B213" s="8" t="s">
        <v>653</v>
      </c>
      <c r="C213" s="9" t="s">
        <v>239</v>
      </c>
      <c r="D213" s="9" t="s">
        <v>654</v>
      </c>
      <c r="E213" s="9" t="s">
        <v>609</v>
      </c>
      <c r="F213" s="9" t="s">
        <v>649</v>
      </c>
      <c r="G213" s="9" t="s">
        <v>59</v>
      </c>
      <c r="H213" s="7" t="str">
        <f>IFERROR(IF(_xlfn.XLOOKUP(B213,REPASSE!D:D,REPASSE!D:D)="","Não","Sim"),"Não")</f>
        <v>Não</v>
      </c>
      <c r="I213" s="7" t="str">
        <f>IF(_xlfn.XLOOKUP(B213,'BOOST LIBERADO'!B:B,'BOOST LIBERADO'!B:B,"Não")="Não","Não","Sim")</f>
        <v>Sim</v>
      </c>
      <c r="J213" s="83" t="str">
        <f t="shared" si="6"/>
        <v>Sim</v>
      </c>
      <c r="K213" s="12">
        <f>SUMIFS(BASE!$G:$G,BASE!$B:$B,$B213,BASE!$L:$L,$G213,BASE!$J:$J,$C213,BASE!$A:$A,K$2)</f>
        <v>3</v>
      </c>
      <c r="L213" s="12">
        <f>SUMIFS(BASE!$G:$G,BASE!$B:$B,$B213,BASE!$L:$L,$G213,BASE!$J:$J,$C213,BASE!$A:$A,L$2)</f>
        <v>3</v>
      </c>
      <c r="M213" s="12">
        <f>SUMIFS(BASE!$G:$G,BASE!$B:$B,$B213,BASE!$L:$L,$G213,BASE!$J:$J,$C213,BASE!$A:$A,M$2)</f>
        <v>11</v>
      </c>
      <c r="N213" s="12">
        <f>SUMIFS(BASE!$G:$G,BASE!$B:$B,$B213,BASE!$L:$L,$G213,BASE!$J:$J,$C213,BASE!$A:$A,N$2)</f>
        <v>5</v>
      </c>
      <c r="O213" s="12">
        <f>SUMIFS(BASE!$G:$G,BASE!$B:$B,$B213,BASE!$L:$L,$G213,BASE!$J:$J,$C213,BASE!$A:$A,O$2)</f>
        <v>9</v>
      </c>
      <c r="P213" s="12">
        <f>SUMIFS(BASE!$G:$G,BASE!$B:$B,$B213,BASE!$L:$L,$G213,BASE!$J:$J,$C213,BASE!$A:$A,P$2)</f>
        <v>4</v>
      </c>
      <c r="Q213" s="12">
        <f>SUMIFS(BASE!$G:$G,BASE!$B:$B,$B213,BASE!$L:$L,$G213,BASE!$J:$J,$C213,BASE!$A:$A,Q$2)</f>
        <v>7</v>
      </c>
      <c r="R213" s="12">
        <f>SUMIFS(BASE!$G:$G,BASE!$B:$B,$B213,BASE!$L:$L,$G213,BASE!$J:$J,$C213,BASE!$A:$A,R$2)</f>
        <v>4</v>
      </c>
      <c r="S213" s="12">
        <f>SUMIFS(BASE!$G:$G,BASE!$B:$B,$B213,BASE!$L:$L,$G213,BASE!$J:$J,$C213,BASE!$A:$A,S$2)</f>
        <v>0</v>
      </c>
      <c r="T213" s="12">
        <f>SUMIFS(BASE!$G:$G,BASE!$B:$B,$B213,BASE!$L:$L,$G213,BASE!$J:$J,$C213,BASE!$A:$A,T$2)</f>
        <v>0</v>
      </c>
      <c r="U213" s="12">
        <f>SUMIFS(BASE!$G:$G,BASE!$B:$B,$B213,BASE!$L:$L,$G213,BASE!$J:$J,$C213,BASE!$A:$A,U$2)</f>
        <v>0</v>
      </c>
      <c r="V213" s="12">
        <f>SUMIFS(BASE!$G:$G,BASE!$B:$B,$B213,BASE!$L:$L,$G213,BASE!$J:$J,$C213,BASE!$A:$A,V$2)</f>
        <v>0</v>
      </c>
      <c r="X213" t="str">
        <f t="shared" si="7"/>
        <v>COM TROCAS</v>
      </c>
    </row>
    <row r="214" spans="2:24">
      <c r="B214" s="8" t="s">
        <v>655</v>
      </c>
      <c r="C214" s="9" t="s">
        <v>239</v>
      </c>
      <c r="D214" s="9" t="s">
        <v>654</v>
      </c>
      <c r="E214" s="9" t="s">
        <v>609</v>
      </c>
      <c r="F214" s="9" t="s">
        <v>649</v>
      </c>
      <c r="G214" s="9" t="s">
        <v>59</v>
      </c>
      <c r="H214" s="7" t="str">
        <f>IFERROR(IF(_xlfn.XLOOKUP(B214,REPASSE!D:D,REPASSE!D:D)="","Não","Sim"),"Não")</f>
        <v>Não</v>
      </c>
      <c r="I214" s="7" t="str">
        <f>IF(_xlfn.XLOOKUP(B214,'BOOST LIBERADO'!B:B,'BOOST LIBERADO'!B:B,"Não")="Não","Não","Sim")</f>
        <v>Sim</v>
      </c>
      <c r="J214" s="83" t="str">
        <f t="shared" si="6"/>
        <v>Sim</v>
      </c>
      <c r="K214" s="12">
        <f>SUMIFS(BASE!$G:$G,BASE!$B:$B,$B214,BASE!$L:$L,$G214,BASE!$J:$J,$C214,BASE!$A:$A,K$2)</f>
        <v>8</v>
      </c>
      <c r="L214" s="12">
        <f>SUMIFS(BASE!$G:$G,BASE!$B:$B,$B214,BASE!$L:$L,$G214,BASE!$J:$J,$C214,BASE!$A:$A,L$2)</f>
        <v>8</v>
      </c>
      <c r="M214" s="12">
        <f>SUMIFS(BASE!$G:$G,BASE!$B:$B,$B214,BASE!$L:$L,$G214,BASE!$J:$J,$C214,BASE!$A:$A,M$2)</f>
        <v>7</v>
      </c>
      <c r="N214" s="12">
        <f>SUMIFS(BASE!$G:$G,BASE!$B:$B,$B214,BASE!$L:$L,$G214,BASE!$J:$J,$C214,BASE!$A:$A,N$2)</f>
        <v>4</v>
      </c>
      <c r="O214" s="12">
        <f>SUMIFS(BASE!$G:$G,BASE!$B:$B,$B214,BASE!$L:$L,$G214,BASE!$J:$J,$C214,BASE!$A:$A,O$2)</f>
        <v>12</v>
      </c>
      <c r="P214" s="12">
        <f>SUMIFS(BASE!$G:$G,BASE!$B:$B,$B214,BASE!$L:$L,$G214,BASE!$J:$J,$C214,BASE!$A:$A,P$2)</f>
        <v>4</v>
      </c>
      <c r="Q214" s="12">
        <f>SUMIFS(BASE!$G:$G,BASE!$B:$B,$B214,BASE!$L:$L,$G214,BASE!$J:$J,$C214,BASE!$A:$A,Q$2)</f>
        <v>13</v>
      </c>
      <c r="R214" s="12">
        <f>SUMIFS(BASE!$G:$G,BASE!$B:$B,$B214,BASE!$L:$L,$G214,BASE!$J:$J,$C214,BASE!$A:$A,R$2)</f>
        <v>8</v>
      </c>
      <c r="S214" s="12">
        <f>SUMIFS(BASE!$G:$G,BASE!$B:$B,$B214,BASE!$L:$L,$G214,BASE!$J:$J,$C214,BASE!$A:$A,S$2)</f>
        <v>0</v>
      </c>
      <c r="T214" s="12">
        <f>SUMIFS(BASE!$G:$G,BASE!$B:$B,$B214,BASE!$L:$L,$G214,BASE!$J:$J,$C214,BASE!$A:$A,T$2)</f>
        <v>0</v>
      </c>
      <c r="U214" s="12">
        <f>SUMIFS(BASE!$G:$G,BASE!$B:$B,$B214,BASE!$L:$L,$G214,BASE!$J:$J,$C214,BASE!$A:$A,U$2)</f>
        <v>0</v>
      </c>
      <c r="V214" s="12">
        <f>SUMIFS(BASE!$G:$G,BASE!$B:$B,$B214,BASE!$L:$L,$G214,BASE!$J:$J,$C214,BASE!$A:$A,V$2)</f>
        <v>0</v>
      </c>
      <c r="X214" t="str">
        <f t="shared" si="7"/>
        <v>COM TROCAS</v>
      </c>
    </row>
    <row r="215" spans="2:24">
      <c r="B215" s="8" t="s">
        <v>656</v>
      </c>
      <c r="C215" s="9" t="s">
        <v>239</v>
      </c>
      <c r="D215" s="9" t="s">
        <v>654</v>
      </c>
      <c r="E215" s="9" t="s">
        <v>609</v>
      </c>
      <c r="F215" s="9" t="s">
        <v>649</v>
      </c>
      <c r="G215" s="9" t="s">
        <v>59</v>
      </c>
      <c r="H215" s="7" t="str">
        <f>IFERROR(IF(_xlfn.XLOOKUP(B215,REPASSE!D:D,REPASSE!D:D)="","Não","Sim"),"Não")</f>
        <v>Não</v>
      </c>
      <c r="I215" s="7" t="str">
        <f>IF(_xlfn.XLOOKUP(B215,'BOOST LIBERADO'!B:B,'BOOST LIBERADO'!B:B,"Não")="Não","Não","Sim")</f>
        <v>Sim</v>
      </c>
      <c r="J215" s="83" t="str">
        <f t="shared" si="6"/>
        <v>Sim</v>
      </c>
      <c r="K215" s="12">
        <f>SUMIFS(BASE!$G:$G,BASE!$B:$B,$B215,BASE!$L:$L,$G215,BASE!$J:$J,$C215,BASE!$A:$A,K$2)</f>
        <v>3</v>
      </c>
      <c r="L215" s="12">
        <f>SUMIFS(BASE!$G:$G,BASE!$B:$B,$B215,BASE!$L:$L,$G215,BASE!$J:$J,$C215,BASE!$A:$A,L$2)</f>
        <v>3</v>
      </c>
      <c r="M215" s="12">
        <f>SUMIFS(BASE!$G:$G,BASE!$B:$B,$B215,BASE!$L:$L,$G215,BASE!$J:$J,$C215,BASE!$A:$A,M$2)</f>
        <v>4</v>
      </c>
      <c r="N215" s="12">
        <f>SUMIFS(BASE!$G:$G,BASE!$B:$B,$B215,BASE!$L:$L,$G215,BASE!$J:$J,$C215,BASE!$A:$A,N$2)</f>
        <v>1</v>
      </c>
      <c r="O215" s="12">
        <f>SUMIFS(BASE!$G:$G,BASE!$B:$B,$B215,BASE!$L:$L,$G215,BASE!$J:$J,$C215,BASE!$A:$A,O$2)</f>
        <v>6</v>
      </c>
      <c r="P215" s="12">
        <f>SUMIFS(BASE!$G:$G,BASE!$B:$B,$B215,BASE!$L:$L,$G215,BASE!$J:$J,$C215,BASE!$A:$A,P$2)</f>
        <v>1</v>
      </c>
      <c r="Q215" s="12">
        <f>SUMIFS(BASE!$G:$G,BASE!$B:$B,$B215,BASE!$L:$L,$G215,BASE!$J:$J,$C215,BASE!$A:$A,Q$2)</f>
        <v>11</v>
      </c>
      <c r="R215" s="12">
        <f>SUMIFS(BASE!$G:$G,BASE!$B:$B,$B215,BASE!$L:$L,$G215,BASE!$J:$J,$C215,BASE!$A:$A,R$2)</f>
        <v>6</v>
      </c>
      <c r="S215" s="12">
        <f>SUMIFS(BASE!$G:$G,BASE!$B:$B,$B215,BASE!$L:$L,$G215,BASE!$J:$J,$C215,BASE!$A:$A,S$2)</f>
        <v>0</v>
      </c>
      <c r="T215" s="12">
        <f>SUMIFS(BASE!$G:$G,BASE!$B:$B,$B215,BASE!$L:$L,$G215,BASE!$J:$J,$C215,BASE!$A:$A,T$2)</f>
        <v>0</v>
      </c>
      <c r="U215" s="12">
        <f>SUMIFS(BASE!$G:$G,BASE!$B:$B,$B215,BASE!$L:$L,$G215,BASE!$J:$J,$C215,BASE!$A:$A,U$2)</f>
        <v>0</v>
      </c>
      <c r="V215" s="12">
        <f>SUMIFS(BASE!$G:$G,BASE!$B:$B,$B215,BASE!$L:$L,$G215,BASE!$J:$J,$C215,BASE!$A:$A,V$2)</f>
        <v>0</v>
      </c>
      <c r="X215" t="str">
        <f t="shared" si="7"/>
        <v>COM TROCAS</v>
      </c>
    </row>
    <row r="216" spans="2:24">
      <c r="B216" s="8" t="s">
        <v>657</v>
      </c>
      <c r="C216" s="9" t="s">
        <v>239</v>
      </c>
      <c r="D216" s="9" t="s">
        <v>654</v>
      </c>
      <c r="E216" s="9" t="s">
        <v>609</v>
      </c>
      <c r="F216" s="9" t="s">
        <v>651</v>
      </c>
      <c r="G216" s="9" t="s">
        <v>59</v>
      </c>
      <c r="H216" s="7" t="str">
        <f>IFERROR(IF(_xlfn.XLOOKUP(B216,REPASSE!D:D,REPASSE!D:D)="","Não","Sim"),"Não")</f>
        <v>Não</v>
      </c>
      <c r="I216" s="7" t="str">
        <f>IF(_xlfn.XLOOKUP(B216,'BOOST LIBERADO'!B:B,'BOOST LIBERADO'!B:B,"Não")="Não","Não","Sim")</f>
        <v>Sim</v>
      </c>
      <c r="J216" s="83" t="str">
        <f t="shared" si="6"/>
        <v>Sim</v>
      </c>
      <c r="K216" s="12">
        <f>SUMIFS(BASE!$G:$G,BASE!$B:$B,$B216,BASE!$L:$L,$G216,BASE!$J:$J,$C216,BASE!$A:$A,K$2)</f>
        <v>7</v>
      </c>
      <c r="L216" s="12">
        <f>SUMIFS(BASE!$G:$G,BASE!$B:$B,$B216,BASE!$L:$L,$G216,BASE!$J:$J,$C216,BASE!$A:$A,L$2)</f>
        <v>3</v>
      </c>
      <c r="M216" s="12">
        <f>SUMIFS(BASE!$G:$G,BASE!$B:$B,$B216,BASE!$L:$L,$G216,BASE!$J:$J,$C216,BASE!$A:$A,M$2)</f>
        <v>8</v>
      </c>
      <c r="N216" s="12">
        <f>SUMIFS(BASE!$G:$G,BASE!$B:$B,$B216,BASE!$L:$L,$G216,BASE!$J:$J,$C216,BASE!$A:$A,N$2)</f>
        <v>4</v>
      </c>
      <c r="O216" s="12">
        <f>SUMIFS(BASE!$G:$G,BASE!$B:$B,$B216,BASE!$L:$L,$G216,BASE!$J:$J,$C216,BASE!$A:$A,O$2)</f>
        <v>4</v>
      </c>
      <c r="P216" s="12">
        <f>SUMIFS(BASE!$G:$G,BASE!$B:$B,$B216,BASE!$L:$L,$G216,BASE!$J:$J,$C216,BASE!$A:$A,P$2)</f>
        <v>8</v>
      </c>
      <c r="Q216" s="12">
        <f>SUMIFS(BASE!$G:$G,BASE!$B:$B,$B216,BASE!$L:$L,$G216,BASE!$J:$J,$C216,BASE!$A:$A,Q$2)</f>
        <v>15</v>
      </c>
      <c r="R216" s="12">
        <f>SUMIFS(BASE!$G:$G,BASE!$B:$B,$B216,BASE!$L:$L,$G216,BASE!$J:$J,$C216,BASE!$A:$A,R$2)</f>
        <v>12</v>
      </c>
      <c r="S216" s="12">
        <f>SUMIFS(BASE!$G:$G,BASE!$B:$B,$B216,BASE!$L:$L,$G216,BASE!$J:$J,$C216,BASE!$A:$A,S$2)</f>
        <v>0</v>
      </c>
      <c r="T216" s="12">
        <f>SUMIFS(BASE!$G:$G,BASE!$B:$B,$B216,BASE!$L:$L,$G216,BASE!$J:$J,$C216,BASE!$A:$A,T$2)</f>
        <v>0</v>
      </c>
      <c r="U216" s="12">
        <f>SUMIFS(BASE!$G:$G,BASE!$B:$B,$B216,BASE!$L:$L,$G216,BASE!$J:$J,$C216,BASE!$A:$A,U$2)</f>
        <v>0</v>
      </c>
      <c r="V216" s="12">
        <f>SUMIFS(BASE!$G:$G,BASE!$B:$B,$B216,BASE!$L:$L,$G216,BASE!$J:$J,$C216,BASE!$A:$A,V$2)</f>
        <v>0</v>
      </c>
      <c r="X216" t="str">
        <f t="shared" si="7"/>
        <v>COM TROCAS</v>
      </c>
    </row>
    <row r="217" spans="2:24">
      <c r="B217" s="8" t="s">
        <v>658</v>
      </c>
      <c r="C217" s="9" t="s">
        <v>239</v>
      </c>
      <c r="D217" s="9" t="s">
        <v>654</v>
      </c>
      <c r="E217" s="9" t="s">
        <v>609</v>
      </c>
      <c r="F217" s="9" t="s">
        <v>659</v>
      </c>
      <c r="G217" s="9" t="s">
        <v>59</v>
      </c>
      <c r="H217" s="7" t="str">
        <f>IFERROR(IF(_xlfn.XLOOKUP(B217,REPASSE!D:D,REPASSE!D:D)="","Não","Sim"),"Não")</f>
        <v>Não</v>
      </c>
      <c r="I217" s="7" t="str">
        <f>IF(_xlfn.XLOOKUP(B217,'BOOST LIBERADO'!B:B,'BOOST LIBERADO'!B:B,"Não")="Não","Não","Sim")</f>
        <v>Sim</v>
      </c>
      <c r="J217" s="83" t="str">
        <f t="shared" si="6"/>
        <v>Sim</v>
      </c>
      <c r="K217" s="12">
        <f>SUMIFS(BASE!$G:$G,BASE!$B:$B,$B217,BASE!$L:$L,$G217,BASE!$J:$J,$C217,BASE!$A:$A,K$2)</f>
        <v>5</v>
      </c>
      <c r="L217" s="12">
        <f>SUMIFS(BASE!$G:$G,BASE!$B:$B,$B217,BASE!$L:$L,$G217,BASE!$J:$J,$C217,BASE!$A:$A,L$2)</f>
        <v>4</v>
      </c>
      <c r="M217" s="12">
        <f>SUMIFS(BASE!$G:$G,BASE!$B:$B,$B217,BASE!$L:$L,$G217,BASE!$J:$J,$C217,BASE!$A:$A,M$2)</f>
        <v>6</v>
      </c>
      <c r="N217" s="12">
        <f>SUMIFS(BASE!$G:$G,BASE!$B:$B,$B217,BASE!$L:$L,$G217,BASE!$J:$J,$C217,BASE!$A:$A,N$2)</f>
        <v>1</v>
      </c>
      <c r="O217" s="12">
        <f>SUMIFS(BASE!$G:$G,BASE!$B:$B,$B217,BASE!$L:$L,$G217,BASE!$J:$J,$C217,BASE!$A:$A,O$2)</f>
        <v>5</v>
      </c>
      <c r="P217" s="12">
        <f>SUMIFS(BASE!$G:$G,BASE!$B:$B,$B217,BASE!$L:$L,$G217,BASE!$J:$J,$C217,BASE!$A:$A,P$2)</f>
        <v>5</v>
      </c>
      <c r="Q217" s="12">
        <f>SUMIFS(BASE!$G:$G,BASE!$B:$B,$B217,BASE!$L:$L,$G217,BASE!$J:$J,$C217,BASE!$A:$A,Q$2)</f>
        <v>5</v>
      </c>
      <c r="R217" s="12">
        <f>SUMIFS(BASE!$G:$G,BASE!$B:$B,$B217,BASE!$L:$L,$G217,BASE!$J:$J,$C217,BASE!$A:$A,R$2)</f>
        <v>4</v>
      </c>
      <c r="S217" s="12">
        <f>SUMIFS(BASE!$G:$G,BASE!$B:$B,$B217,BASE!$L:$L,$G217,BASE!$J:$J,$C217,BASE!$A:$A,S$2)</f>
        <v>0</v>
      </c>
      <c r="T217" s="12">
        <f>SUMIFS(BASE!$G:$G,BASE!$B:$B,$B217,BASE!$L:$L,$G217,BASE!$J:$J,$C217,BASE!$A:$A,T$2)</f>
        <v>0</v>
      </c>
      <c r="U217" s="12">
        <f>SUMIFS(BASE!$G:$G,BASE!$B:$B,$B217,BASE!$L:$L,$G217,BASE!$J:$J,$C217,BASE!$A:$A,U$2)</f>
        <v>0</v>
      </c>
      <c r="V217" s="12">
        <f>SUMIFS(BASE!$G:$G,BASE!$B:$B,$B217,BASE!$L:$L,$G217,BASE!$J:$J,$C217,BASE!$A:$A,V$2)</f>
        <v>0</v>
      </c>
      <c r="X217" t="str">
        <f t="shared" si="7"/>
        <v>COM TROCAS</v>
      </c>
    </row>
    <row r="218" spans="2:24">
      <c r="B218" s="8" t="s">
        <v>660</v>
      </c>
      <c r="C218" s="9" t="s">
        <v>239</v>
      </c>
      <c r="D218" s="9" t="s">
        <v>654</v>
      </c>
      <c r="E218" s="9" t="s">
        <v>609</v>
      </c>
      <c r="F218" s="9" t="s">
        <v>661</v>
      </c>
      <c r="G218" s="9" t="s">
        <v>59</v>
      </c>
      <c r="H218" s="7" t="str">
        <f>IFERROR(IF(_xlfn.XLOOKUP(B218,REPASSE!D:D,REPASSE!D:D)="","Não","Sim"),"Não")</f>
        <v>Não</v>
      </c>
      <c r="I218" s="7" t="str">
        <f>IF(_xlfn.XLOOKUP(B218,'BOOST LIBERADO'!B:B,'BOOST LIBERADO'!B:B,"Não")="Não","Não","Sim")</f>
        <v>Sim</v>
      </c>
      <c r="J218" s="83" t="str">
        <f t="shared" si="6"/>
        <v>Sim</v>
      </c>
      <c r="K218" s="12">
        <f>SUMIFS(BASE!$G:$G,BASE!$B:$B,$B218,BASE!$L:$L,$G218,BASE!$J:$J,$C218,BASE!$A:$A,K$2)</f>
        <v>0</v>
      </c>
      <c r="L218" s="12">
        <f>SUMIFS(BASE!$G:$G,BASE!$B:$B,$B218,BASE!$L:$L,$G218,BASE!$J:$J,$C218,BASE!$A:$A,L$2)</f>
        <v>1</v>
      </c>
      <c r="M218" s="12">
        <f>SUMIFS(BASE!$G:$G,BASE!$B:$B,$B218,BASE!$L:$L,$G218,BASE!$J:$J,$C218,BASE!$A:$A,M$2)</f>
        <v>1</v>
      </c>
      <c r="N218" s="12">
        <f>SUMIFS(BASE!$G:$G,BASE!$B:$B,$B218,BASE!$L:$L,$G218,BASE!$J:$J,$C218,BASE!$A:$A,N$2)</f>
        <v>0</v>
      </c>
      <c r="O218" s="12">
        <f>SUMIFS(BASE!$G:$G,BASE!$B:$B,$B218,BASE!$L:$L,$G218,BASE!$J:$J,$C218,BASE!$A:$A,O$2)</f>
        <v>3</v>
      </c>
      <c r="P218" s="12">
        <f>SUMIFS(BASE!$G:$G,BASE!$B:$B,$B218,BASE!$L:$L,$G218,BASE!$J:$J,$C218,BASE!$A:$A,P$2)</f>
        <v>3</v>
      </c>
      <c r="Q218" s="12">
        <f>SUMIFS(BASE!$G:$G,BASE!$B:$B,$B218,BASE!$L:$L,$G218,BASE!$J:$J,$C218,BASE!$A:$A,Q$2)</f>
        <v>7</v>
      </c>
      <c r="R218" s="12">
        <f>SUMIFS(BASE!$G:$G,BASE!$B:$B,$B218,BASE!$L:$L,$G218,BASE!$J:$J,$C218,BASE!$A:$A,R$2)</f>
        <v>9</v>
      </c>
      <c r="S218" s="12">
        <f>SUMIFS(BASE!$G:$G,BASE!$B:$B,$B218,BASE!$L:$L,$G218,BASE!$J:$J,$C218,BASE!$A:$A,S$2)</f>
        <v>0</v>
      </c>
      <c r="T218" s="12">
        <f>SUMIFS(BASE!$G:$G,BASE!$B:$B,$B218,BASE!$L:$L,$G218,BASE!$J:$J,$C218,BASE!$A:$A,T$2)</f>
        <v>0</v>
      </c>
      <c r="U218" s="12">
        <f>SUMIFS(BASE!$G:$G,BASE!$B:$B,$B218,BASE!$L:$L,$G218,BASE!$J:$J,$C218,BASE!$A:$A,U$2)</f>
        <v>0</v>
      </c>
      <c r="V218" s="12">
        <f>SUMIFS(BASE!$G:$G,BASE!$B:$B,$B218,BASE!$L:$L,$G218,BASE!$J:$J,$C218,BASE!$A:$A,V$2)</f>
        <v>0</v>
      </c>
      <c r="X218" t="str">
        <f t="shared" si="7"/>
        <v>COM TROCAS</v>
      </c>
    </row>
    <row r="219" spans="2:24">
      <c r="B219" s="8" t="s">
        <v>662</v>
      </c>
      <c r="C219" s="9" t="s">
        <v>206</v>
      </c>
      <c r="D219" s="9" t="s">
        <v>627</v>
      </c>
      <c r="E219" s="9" t="s">
        <v>609</v>
      </c>
      <c r="F219" s="9" t="s">
        <v>663</v>
      </c>
      <c r="G219" s="9" t="s">
        <v>59</v>
      </c>
      <c r="H219" s="7" t="str">
        <f>IFERROR(IF(_xlfn.XLOOKUP(B219,REPASSE!D:D,REPASSE!D:D)="","Não","Sim"),"Não")</f>
        <v>Não</v>
      </c>
      <c r="I219" s="7" t="str">
        <f>IF(_xlfn.XLOOKUP(B219,'BOOST LIBERADO'!B:B,'BOOST LIBERADO'!B:B,"Não")="Não","Não","Sim")</f>
        <v>Sim</v>
      </c>
      <c r="J219" s="83" t="str">
        <f t="shared" si="6"/>
        <v>Sim</v>
      </c>
      <c r="K219" s="12">
        <f>SUMIFS(BASE!$G:$G,BASE!$B:$B,$B219,BASE!$L:$L,$G219,BASE!$J:$J,$C219,BASE!$A:$A,K$2)</f>
        <v>0</v>
      </c>
      <c r="L219" s="12">
        <f>SUMIFS(BASE!$G:$G,BASE!$B:$B,$B219,BASE!$L:$L,$G219,BASE!$J:$J,$C219,BASE!$A:$A,L$2)</f>
        <v>0</v>
      </c>
      <c r="M219" s="12">
        <f>SUMIFS(BASE!$G:$G,BASE!$B:$B,$B219,BASE!$L:$L,$G219,BASE!$J:$J,$C219,BASE!$A:$A,M$2)</f>
        <v>0</v>
      </c>
      <c r="N219" s="12">
        <f>SUMIFS(BASE!$G:$G,BASE!$B:$B,$B219,BASE!$L:$L,$G219,BASE!$J:$J,$C219,BASE!$A:$A,N$2)</f>
        <v>0</v>
      </c>
      <c r="O219" s="12">
        <f>SUMIFS(BASE!$G:$G,BASE!$B:$B,$B219,BASE!$L:$L,$G219,BASE!$J:$J,$C219,BASE!$A:$A,O$2)</f>
        <v>0</v>
      </c>
      <c r="P219" s="12">
        <f>SUMIFS(BASE!$G:$G,BASE!$B:$B,$B219,BASE!$L:$L,$G219,BASE!$J:$J,$C219,BASE!$A:$A,P$2)</f>
        <v>0</v>
      </c>
      <c r="Q219" s="12">
        <f>SUMIFS(BASE!$G:$G,BASE!$B:$B,$B219,BASE!$L:$L,$G219,BASE!$J:$J,$C219,BASE!$A:$A,Q$2)</f>
        <v>0</v>
      </c>
      <c r="R219" s="12">
        <f>SUMIFS(BASE!$G:$G,BASE!$B:$B,$B219,BASE!$L:$L,$G219,BASE!$J:$J,$C219,BASE!$A:$A,R$2)</f>
        <v>0</v>
      </c>
      <c r="S219" s="12">
        <f>SUMIFS(BASE!$G:$G,BASE!$B:$B,$B219,BASE!$L:$L,$G219,BASE!$J:$J,$C219,BASE!$A:$A,S$2)</f>
        <v>0</v>
      </c>
      <c r="T219" s="12">
        <f>SUMIFS(BASE!$G:$G,BASE!$B:$B,$B219,BASE!$L:$L,$G219,BASE!$J:$J,$C219,BASE!$A:$A,T$2)</f>
        <v>0</v>
      </c>
      <c r="U219" s="12">
        <f>SUMIFS(BASE!$G:$G,BASE!$B:$B,$B219,BASE!$L:$L,$G219,BASE!$J:$J,$C219,BASE!$A:$A,U$2)</f>
        <v>0</v>
      </c>
      <c r="V219" s="12">
        <f>SUMIFS(BASE!$G:$G,BASE!$B:$B,$B219,BASE!$L:$L,$G219,BASE!$J:$J,$C219,BASE!$A:$A,V$2)</f>
        <v>0</v>
      </c>
      <c r="X219" t="str">
        <f t="shared" si="7"/>
        <v>ZERADO</v>
      </c>
    </row>
    <row r="220" spans="2:24">
      <c r="B220" s="8" t="s">
        <v>664</v>
      </c>
      <c r="C220" s="9" t="s">
        <v>231</v>
      </c>
      <c r="D220" s="9" t="s">
        <v>665</v>
      </c>
      <c r="E220" s="9" t="s">
        <v>666</v>
      </c>
      <c r="F220" s="9" t="s">
        <v>667</v>
      </c>
      <c r="G220" s="9" t="s">
        <v>59</v>
      </c>
      <c r="H220" s="7" t="str">
        <f>IFERROR(IF(_xlfn.XLOOKUP(B220,REPASSE!D:D,REPASSE!D:D)="","Não","Sim"),"Não")</f>
        <v>Não</v>
      </c>
      <c r="I220" s="7" t="str">
        <f>IF(_xlfn.XLOOKUP(B220,'BOOST LIBERADO'!B:B,'BOOST LIBERADO'!B:B,"Não")="Não","Não","Sim")</f>
        <v>Sim</v>
      </c>
      <c r="J220" s="83" t="str">
        <f t="shared" si="6"/>
        <v>Sim</v>
      </c>
      <c r="K220" s="12">
        <f>SUMIFS(BASE!$G:$G,BASE!$B:$B,$B220,BASE!$L:$L,$G220,BASE!$J:$J,$C220,BASE!$A:$A,K$2)</f>
        <v>0</v>
      </c>
      <c r="L220" s="12">
        <f>SUMIFS(BASE!$G:$G,BASE!$B:$B,$B220,BASE!$L:$L,$G220,BASE!$J:$J,$C220,BASE!$A:$A,L$2)</f>
        <v>0</v>
      </c>
      <c r="M220" s="12">
        <f>SUMIFS(BASE!$G:$G,BASE!$B:$B,$B220,BASE!$L:$L,$G220,BASE!$J:$J,$C220,BASE!$A:$A,M$2)</f>
        <v>0</v>
      </c>
      <c r="N220" s="12">
        <f>SUMIFS(BASE!$G:$G,BASE!$B:$B,$B220,BASE!$L:$L,$G220,BASE!$J:$J,$C220,BASE!$A:$A,N$2)</f>
        <v>0</v>
      </c>
      <c r="O220" s="12">
        <f>SUMIFS(BASE!$G:$G,BASE!$B:$B,$B220,BASE!$L:$L,$G220,BASE!$J:$J,$C220,BASE!$A:$A,O$2)</f>
        <v>0</v>
      </c>
      <c r="P220" s="12">
        <f>SUMIFS(BASE!$G:$G,BASE!$B:$B,$B220,BASE!$L:$L,$G220,BASE!$J:$J,$C220,BASE!$A:$A,P$2)</f>
        <v>0</v>
      </c>
      <c r="Q220" s="12">
        <f>SUMIFS(BASE!$G:$G,BASE!$B:$B,$B220,BASE!$L:$L,$G220,BASE!$J:$J,$C220,BASE!$A:$A,Q$2)</f>
        <v>0</v>
      </c>
      <c r="R220" s="12">
        <f>SUMIFS(BASE!$G:$G,BASE!$B:$B,$B220,BASE!$L:$L,$G220,BASE!$J:$J,$C220,BASE!$A:$A,R$2)</f>
        <v>0</v>
      </c>
      <c r="S220" s="12">
        <f>SUMIFS(BASE!$G:$G,BASE!$B:$B,$B220,BASE!$L:$L,$G220,BASE!$J:$J,$C220,BASE!$A:$A,S$2)</f>
        <v>0</v>
      </c>
      <c r="T220" s="12">
        <f>SUMIFS(BASE!$G:$G,BASE!$B:$B,$B220,BASE!$L:$L,$G220,BASE!$J:$J,$C220,BASE!$A:$A,T$2)</f>
        <v>0</v>
      </c>
      <c r="U220" s="12">
        <f>SUMIFS(BASE!$G:$G,BASE!$B:$B,$B220,BASE!$L:$L,$G220,BASE!$J:$J,$C220,BASE!$A:$A,U$2)</f>
        <v>0</v>
      </c>
      <c r="V220" s="12">
        <f>SUMIFS(BASE!$G:$G,BASE!$B:$B,$B220,BASE!$L:$L,$G220,BASE!$J:$J,$C220,BASE!$A:$A,V$2)</f>
        <v>0</v>
      </c>
      <c r="X220" t="str">
        <f t="shared" si="7"/>
        <v>ZERADO</v>
      </c>
    </row>
    <row r="221" spans="2:24">
      <c r="B221" s="8" t="s">
        <v>668</v>
      </c>
      <c r="C221" s="9" t="s">
        <v>93</v>
      </c>
      <c r="D221" s="9" t="s">
        <v>669</v>
      </c>
      <c r="E221" s="9" t="s">
        <v>666</v>
      </c>
      <c r="F221" s="9" t="s">
        <v>670</v>
      </c>
      <c r="G221" s="9" t="s">
        <v>59</v>
      </c>
      <c r="H221" s="7" t="str">
        <f>IFERROR(IF(_xlfn.XLOOKUP(B221,REPASSE!D:D,REPASSE!D:D)="","Não","Sim"),"Não")</f>
        <v>Não</v>
      </c>
      <c r="I221" s="7" t="str">
        <f>IF(_xlfn.XLOOKUP(B221,'BOOST LIBERADO'!B:B,'BOOST LIBERADO'!B:B,"Não")="Não","Não","Sim")</f>
        <v>Não</v>
      </c>
      <c r="J221" s="83" t="str">
        <f t="shared" si="6"/>
        <v>Não</v>
      </c>
      <c r="K221" s="12">
        <f>SUMIFS(BASE!$G:$G,BASE!$B:$B,$B221,BASE!$L:$L,$G221,BASE!$J:$J,$C221,BASE!$A:$A,K$2)</f>
        <v>0</v>
      </c>
      <c r="L221" s="12">
        <f>SUMIFS(BASE!$G:$G,BASE!$B:$B,$B221,BASE!$L:$L,$G221,BASE!$J:$J,$C221,BASE!$A:$A,L$2)</f>
        <v>0</v>
      </c>
      <c r="M221" s="12">
        <f>SUMIFS(BASE!$G:$G,BASE!$B:$B,$B221,BASE!$L:$L,$G221,BASE!$J:$J,$C221,BASE!$A:$A,M$2)</f>
        <v>0</v>
      </c>
      <c r="N221" s="12">
        <f>SUMIFS(BASE!$G:$G,BASE!$B:$B,$B221,BASE!$L:$L,$G221,BASE!$J:$J,$C221,BASE!$A:$A,N$2)</f>
        <v>0</v>
      </c>
      <c r="O221" s="12">
        <f>SUMIFS(BASE!$G:$G,BASE!$B:$B,$B221,BASE!$L:$L,$G221,BASE!$J:$J,$C221,BASE!$A:$A,O$2)</f>
        <v>0</v>
      </c>
      <c r="P221" s="12">
        <f>SUMIFS(BASE!$G:$G,BASE!$B:$B,$B221,BASE!$L:$L,$G221,BASE!$J:$J,$C221,BASE!$A:$A,P$2)</f>
        <v>0</v>
      </c>
      <c r="Q221" s="12">
        <f>SUMIFS(BASE!$G:$G,BASE!$B:$B,$B221,BASE!$L:$L,$G221,BASE!$J:$J,$C221,BASE!$A:$A,Q$2)</f>
        <v>0</v>
      </c>
      <c r="R221" s="12">
        <f>SUMIFS(BASE!$G:$G,BASE!$B:$B,$B221,BASE!$L:$L,$G221,BASE!$J:$J,$C221,BASE!$A:$A,R$2)</f>
        <v>0</v>
      </c>
      <c r="S221" s="12">
        <f>SUMIFS(BASE!$G:$G,BASE!$B:$B,$B221,BASE!$L:$L,$G221,BASE!$J:$J,$C221,BASE!$A:$A,S$2)</f>
        <v>0</v>
      </c>
      <c r="T221" s="12">
        <f>SUMIFS(BASE!$G:$G,BASE!$B:$B,$B221,BASE!$L:$L,$G221,BASE!$J:$J,$C221,BASE!$A:$A,T$2)</f>
        <v>0</v>
      </c>
      <c r="U221" s="12">
        <f>SUMIFS(BASE!$G:$G,BASE!$B:$B,$B221,BASE!$L:$L,$G221,BASE!$J:$J,$C221,BASE!$A:$A,U$2)</f>
        <v>0</v>
      </c>
      <c r="V221" s="12">
        <f>SUMIFS(BASE!$G:$G,BASE!$B:$B,$B221,BASE!$L:$L,$G221,BASE!$J:$J,$C221,BASE!$A:$A,V$2)</f>
        <v>0</v>
      </c>
      <c r="X221" t="str">
        <f t="shared" si="7"/>
        <v>ZERADO</v>
      </c>
    </row>
    <row r="222" spans="2:24">
      <c r="B222" s="8" t="s">
        <v>671</v>
      </c>
      <c r="C222" s="9" t="s">
        <v>182</v>
      </c>
      <c r="D222" s="9" t="s">
        <v>669</v>
      </c>
      <c r="E222" s="9" t="s">
        <v>666</v>
      </c>
      <c r="F222" s="9" t="s">
        <v>670</v>
      </c>
      <c r="G222" s="9" t="s">
        <v>59</v>
      </c>
      <c r="H222" s="7" t="str">
        <f>IFERROR(IF(_xlfn.XLOOKUP(B222,REPASSE!D:D,REPASSE!D:D)="","Não","Sim"),"Não")</f>
        <v>Não</v>
      </c>
      <c r="I222" s="7" t="str">
        <f>IF(_xlfn.XLOOKUP(B222,'BOOST LIBERADO'!B:B,'BOOST LIBERADO'!B:B,"Não")="Não","Não","Sim")</f>
        <v>Sim</v>
      </c>
      <c r="J222" s="83" t="str">
        <f t="shared" si="6"/>
        <v>Sim</v>
      </c>
      <c r="K222" s="12">
        <f>SUMIFS(BASE!$G:$G,BASE!$B:$B,$B222,BASE!$L:$L,$G222,BASE!$J:$J,$C222,BASE!$A:$A,K$2)</f>
        <v>0</v>
      </c>
      <c r="L222" s="12">
        <f>SUMIFS(BASE!$G:$G,BASE!$B:$B,$B222,BASE!$L:$L,$G222,BASE!$J:$J,$C222,BASE!$A:$A,L$2)</f>
        <v>0</v>
      </c>
      <c r="M222" s="12">
        <f>SUMIFS(BASE!$G:$G,BASE!$B:$B,$B222,BASE!$L:$L,$G222,BASE!$J:$J,$C222,BASE!$A:$A,M$2)</f>
        <v>0</v>
      </c>
      <c r="N222" s="12">
        <f>SUMIFS(BASE!$G:$G,BASE!$B:$B,$B222,BASE!$L:$L,$G222,BASE!$J:$J,$C222,BASE!$A:$A,N$2)</f>
        <v>0</v>
      </c>
      <c r="O222" s="12">
        <f>SUMIFS(BASE!$G:$G,BASE!$B:$B,$B222,BASE!$L:$L,$G222,BASE!$J:$J,$C222,BASE!$A:$A,O$2)</f>
        <v>0</v>
      </c>
      <c r="P222" s="12">
        <f>SUMIFS(BASE!$G:$G,BASE!$B:$B,$B222,BASE!$L:$L,$G222,BASE!$J:$J,$C222,BASE!$A:$A,P$2)</f>
        <v>0</v>
      </c>
      <c r="Q222" s="12">
        <f>SUMIFS(BASE!$G:$G,BASE!$B:$B,$B222,BASE!$L:$L,$G222,BASE!$J:$J,$C222,BASE!$A:$A,Q$2)</f>
        <v>0</v>
      </c>
      <c r="R222" s="12">
        <f>SUMIFS(BASE!$G:$G,BASE!$B:$B,$B222,BASE!$L:$L,$G222,BASE!$J:$J,$C222,BASE!$A:$A,R$2)</f>
        <v>0</v>
      </c>
      <c r="S222" s="12">
        <f>SUMIFS(BASE!$G:$G,BASE!$B:$B,$B222,BASE!$L:$L,$G222,BASE!$J:$J,$C222,BASE!$A:$A,S$2)</f>
        <v>0</v>
      </c>
      <c r="T222" s="12">
        <f>SUMIFS(BASE!$G:$G,BASE!$B:$B,$B222,BASE!$L:$L,$G222,BASE!$J:$J,$C222,BASE!$A:$A,T$2)</f>
        <v>0</v>
      </c>
      <c r="U222" s="12">
        <f>SUMIFS(BASE!$G:$G,BASE!$B:$B,$B222,BASE!$L:$L,$G222,BASE!$J:$J,$C222,BASE!$A:$A,U$2)</f>
        <v>0</v>
      </c>
      <c r="V222" s="12">
        <f>SUMIFS(BASE!$G:$G,BASE!$B:$B,$B222,BASE!$L:$L,$G222,BASE!$J:$J,$C222,BASE!$A:$A,V$2)</f>
        <v>0</v>
      </c>
      <c r="X222" t="str">
        <f t="shared" si="7"/>
        <v>ZERADO</v>
      </c>
    </row>
    <row r="223" spans="2:24">
      <c r="B223" s="8" t="s">
        <v>672</v>
      </c>
      <c r="C223" s="9" t="s">
        <v>239</v>
      </c>
      <c r="D223" s="9" t="s">
        <v>665</v>
      </c>
      <c r="E223" s="9" t="s">
        <v>666</v>
      </c>
      <c r="F223" s="9" t="s">
        <v>673</v>
      </c>
      <c r="G223" s="9" t="s">
        <v>59</v>
      </c>
      <c r="H223" s="7" t="str">
        <f>IFERROR(IF(_xlfn.XLOOKUP(B223,REPASSE!D:D,REPASSE!D:D)="","Não","Sim"),"Não")</f>
        <v>Não</v>
      </c>
      <c r="I223" s="7" t="str">
        <f>IF(_xlfn.XLOOKUP(B223,'BOOST LIBERADO'!B:B,'BOOST LIBERADO'!B:B,"Não")="Não","Não","Sim")</f>
        <v>Sim</v>
      </c>
      <c r="J223" s="83" t="str">
        <f t="shared" si="6"/>
        <v>Sim</v>
      </c>
      <c r="K223" s="12">
        <f>SUMIFS(BASE!$G:$G,BASE!$B:$B,$B223,BASE!$L:$L,$G223,BASE!$J:$J,$C223,BASE!$A:$A,K$2)</f>
        <v>3</v>
      </c>
      <c r="L223" s="12">
        <f>SUMIFS(BASE!$G:$G,BASE!$B:$B,$B223,BASE!$L:$L,$G223,BASE!$J:$J,$C223,BASE!$A:$A,L$2)</f>
        <v>0</v>
      </c>
      <c r="M223" s="12">
        <f>SUMIFS(BASE!$G:$G,BASE!$B:$B,$B223,BASE!$L:$L,$G223,BASE!$J:$J,$C223,BASE!$A:$A,M$2)</f>
        <v>5</v>
      </c>
      <c r="N223" s="12">
        <f>SUMIFS(BASE!$G:$G,BASE!$B:$B,$B223,BASE!$L:$L,$G223,BASE!$J:$J,$C223,BASE!$A:$A,N$2)</f>
        <v>1</v>
      </c>
      <c r="O223" s="12">
        <f>SUMIFS(BASE!$G:$G,BASE!$B:$B,$B223,BASE!$L:$L,$G223,BASE!$J:$J,$C223,BASE!$A:$A,O$2)</f>
        <v>0</v>
      </c>
      <c r="P223" s="12">
        <f>SUMIFS(BASE!$G:$G,BASE!$B:$B,$B223,BASE!$L:$L,$G223,BASE!$J:$J,$C223,BASE!$A:$A,P$2)</f>
        <v>1</v>
      </c>
      <c r="Q223" s="12">
        <f>SUMIFS(BASE!$G:$G,BASE!$B:$B,$B223,BASE!$L:$L,$G223,BASE!$J:$J,$C223,BASE!$A:$A,Q$2)</f>
        <v>4</v>
      </c>
      <c r="R223" s="12">
        <f>SUMIFS(BASE!$G:$G,BASE!$B:$B,$B223,BASE!$L:$L,$G223,BASE!$J:$J,$C223,BASE!$A:$A,R$2)</f>
        <v>4</v>
      </c>
      <c r="S223" s="12">
        <f>SUMIFS(BASE!$G:$G,BASE!$B:$B,$B223,BASE!$L:$L,$G223,BASE!$J:$J,$C223,BASE!$A:$A,S$2)</f>
        <v>0</v>
      </c>
      <c r="T223" s="12">
        <f>SUMIFS(BASE!$G:$G,BASE!$B:$B,$B223,BASE!$L:$L,$G223,BASE!$J:$J,$C223,BASE!$A:$A,T$2)</f>
        <v>0</v>
      </c>
      <c r="U223" s="12">
        <f>SUMIFS(BASE!$G:$G,BASE!$B:$B,$B223,BASE!$L:$L,$G223,BASE!$J:$J,$C223,BASE!$A:$A,U$2)</f>
        <v>0</v>
      </c>
      <c r="V223" s="12">
        <f>SUMIFS(BASE!$G:$G,BASE!$B:$B,$B223,BASE!$L:$L,$G223,BASE!$J:$J,$C223,BASE!$A:$A,V$2)</f>
        <v>0</v>
      </c>
      <c r="X223" t="str">
        <f t="shared" si="7"/>
        <v>COM TROCAS</v>
      </c>
    </row>
    <row r="224" spans="2:24">
      <c r="B224" s="8" t="s">
        <v>674</v>
      </c>
      <c r="C224" s="9" t="s">
        <v>239</v>
      </c>
      <c r="D224" s="9" t="s">
        <v>665</v>
      </c>
      <c r="E224" s="9" t="s">
        <v>666</v>
      </c>
      <c r="F224" s="9" t="s">
        <v>667</v>
      </c>
      <c r="G224" s="9" t="s">
        <v>59</v>
      </c>
      <c r="H224" s="7" t="str">
        <f>IFERROR(IF(_xlfn.XLOOKUP(B224,REPASSE!D:D,REPASSE!D:D)="","Não","Sim"),"Não")</f>
        <v>Não</v>
      </c>
      <c r="I224" s="7" t="str">
        <f>IF(_xlfn.XLOOKUP(B224,'BOOST LIBERADO'!B:B,'BOOST LIBERADO'!B:B,"Não")="Não","Não","Sim")</f>
        <v>Sim</v>
      </c>
      <c r="J224" s="83" t="str">
        <f t="shared" si="6"/>
        <v>Sim</v>
      </c>
      <c r="K224" s="12">
        <f>SUMIFS(BASE!$G:$G,BASE!$B:$B,$B224,BASE!$L:$L,$G224,BASE!$J:$J,$C224,BASE!$A:$A,K$2)</f>
        <v>0</v>
      </c>
      <c r="L224" s="12">
        <f>SUMIFS(BASE!$G:$G,BASE!$B:$B,$B224,BASE!$L:$L,$G224,BASE!$J:$J,$C224,BASE!$A:$A,L$2)</f>
        <v>0</v>
      </c>
      <c r="M224" s="12">
        <f>SUMIFS(BASE!$G:$G,BASE!$B:$B,$B224,BASE!$L:$L,$G224,BASE!$J:$J,$C224,BASE!$A:$A,M$2)</f>
        <v>0</v>
      </c>
      <c r="N224" s="12">
        <f>SUMIFS(BASE!$G:$G,BASE!$B:$B,$B224,BASE!$L:$L,$G224,BASE!$J:$J,$C224,BASE!$A:$A,N$2)</f>
        <v>0</v>
      </c>
      <c r="O224" s="12">
        <f>SUMIFS(BASE!$G:$G,BASE!$B:$B,$B224,BASE!$L:$L,$G224,BASE!$J:$J,$C224,BASE!$A:$A,O$2)</f>
        <v>0</v>
      </c>
      <c r="P224" s="12">
        <f>SUMIFS(BASE!$G:$G,BASE!$B:$B,$B224,BASE!$L:$L,$G224,BASE!$J:$J,$C224,BASE!$A:$A,P$2)</f>
        <v>0</v>
      </c>
      <c r="Q224" s="12">
        <f>SUMIFS(BASE!$G:$G,BASE!$B:$B,$B224,BASE!$L:$L,$G224,BASE!$J:$J,$C224,BASE!$A:$A,Q$2)</f>
        <v>0</v>
      </c>
      <c r="R224" s="12">
        <f>SUMIFS(BASE!$G:$G,BASE!$B:$B,$B224,BASE!$L:$L,$G224,BASE!$J:$J,$C224,BASE!$A:$A,R$2)</f>
        <v>0</v>
      </c>
      <c r="S224" s="12">
        <f>SUMIFS(BASE!$G:$G,BASE!$B:$B,$B224,BASE!$L:$L,$G224,BASE!$J:$J,$C224,BASE!$A:$A,S$2)</f>
        <v>0</v>
      </c>
      <c r="T224" s="12">
        <f>SUMIFS(BASE!$G:$G,BASE!$B:$B,$B224,BASE!$L:$L,$G224,BASE!$J:$J,$C224,BASE!$A:$A,T$2)</f>
        <v>0</v>
      </c>
      <c r="U224" s="12">
        <f>SUMIFS(BASE!$G:$G,BASE!$B:$B,$B224,BASE!$L:$L,$G224,BASE!$J:$J,$C224,BASE!$A:$A,U$2)</f>
        <v>0</v>
      </c>
      <c r="V224" s="12">
        <f>SUMIFS(BASE!$G:$G,BASE!$B:$B,$B224,BASE!$L:$L,$G224,BASE!$J:$J,$C224,BASE!$A:$A,V$2)</f>
        <v>0</v>
      </c>
      <c r="X224" t="str">
        <f t="shared" si="7"/>
        <v>ZERADO</v>
      </c>
    </row>
    <row r="225" spans="2:24">
      <c r="B225" s="8" t="s">
        <v>675</v>
      </c>
      <c r="C225" s="9" t="s">
        <v>239</v>
      </c>
      <c r="D225" s="9" t="s">
        <v>676</v>
      </c>
      <c r="E225" s="9" t="s">
        <v>666</v>
      </c>
      <c r="F225" s="9" t="s">
        <v>677</v>
      </c>
      <c r="G225" s="9" t="s">
        <v>59</v>
      </c>
      <c r="H225" s="7" t="str">
        <f>IFERROR(IF(_xlfn.XLOOKUP(B225,REPASSE!D:D,REPASSE!D:D)="","Não","Sim"),"Não")</f>
        <v>Não</v>
      </c>
      <c r="I225" s="7" t="str">
        <f>IF(_xlfn.XLOOKUP(B225,'BOOST LIBERADO'!B:B,'BOOST LIBERADO'!B:B,"Não")="Não","Não","Sim")</f>
        <v>Sim</v>
      </c>
      <c r="J225" s="83" t="str">
        <f t="shared" si="6"/>
        <v>Sim</v>
      </c>
      <c r="K225" s="12">
        <f>SUMIFS(BASE!$G:$G,BASE!$B:$B,$B225,BASE!$L:$L,$G225,BASE!$J:$J,$C225,BASE!$A:$A,K$2)</f>
        <v>0</v>
      </c>
      <c r="L225" s="12">
        <f>SUMIFS(BASE!$G:$G,BASE!$B:$B,$B225,BASE!$L:$L,$G225,BASE!$J:$J,$C225,BASE!$A:$A,L$2)</f>
        <v>0</v>
      </c>
      <c r="M225" s="12">
        <f>SUMIFS(BASE!$G:$G,BASE!$B:$B,$B225,BASE!$L:$L,$G225,BASE!$J:$J,$C225,BASE!$A:$A,M$2)</f>
        <v>0</v>
      </c>
      <c r="N225" s="12">
        <f>SUMIFS(BASE!$G:$G,BASE!$B:$B,$B225,BASE!$L:$L,$G225,BASE!$J:$J,$C225,BASE!$A:$A,N$2)</f>
        <v>0</v>
      </c>
      <c r="O225" s="12">
        <f>SUMIFS(BASE!$G:$G,BASE!$B:$B,$B225,BASE!$L:$L,$G225,BASE!$J:$J,$C225,BASE!$A:$A,O$2)</f>
        <v>0</v>
      </c>
      <c r="P225" s="12">
        <f>SUMIFS(BASE!$G:$G,BASE!$B:$B,$B225,BASE!$L:$L,$G225,BASE!$J:$J,$C225,BASE!$A:$A,P$2)</f>
        <v>1</v>
      </c>
      <c r="Q225" s="12">
        <f>SUMIFS(BASE!$G:$G,BASE!$B:$B,$B225,BASE!$L:$L,$G225,BASE!$J:$J,$C225,BASE!$A:$A,Q$2)</f>
        <v>0</v>
      </c>
      <c r="R225" s="12">
        <f>SUMIFS(BASE!$G:$G,BASE!$B:$B,$B225,BASE!$L:$L,$G225,BASE!$J:$J,$C225,BASE!$A:$A,R$2)</f>
        <v>1</v>
      </c>
      <c r="S225" s="12">
        <f>SUMIFS(BASE!$G:$G,BASE!$B:$B,$B225,BASE!$L:$L,$G225,BASE!$J:$J,$C225,BASE!$A:$A,S$2)</f>
        <v>0</v>
      </c>
      <c r="T225" s="12">
        <f>SUMIFS(BASE!$G:$G,BASE!$B:$B,$B225,BASE!$L:$L,$G225,BASE!$J:$J,$C225,BASE!$A:$A,T$2)</f>
        <v>0</v>
      </c>
      <c r="U225" s="12">
        <f>SUMIFS(BASE!$G:$G,BASE!$B:$B,$B225,BASE!$L:$L,$G225,BASE!$J:$J,$C225,BASE!$A:$A,U$2)</f>
        <v>0</v>
      </c>
      <c r="V225" s="12">
        <f>SUMIFS(BASE!$G:$G,BASE!$B:$B,$B225,BASE!$L:$L,$G225,BASE!$J:$J,$C225,BASE!$A:$A,V$2)</f>
        <v>0</v>
      </c>
      <c r="X225" t="str">
        <f t="shared" si="7"/>
        <v>COM TROCAS</v>
      </c>
    </row>
    <row r="226" spans="2:24">
      <c r="B226" s="8" t="s">
        <v>678</v>
      </c>
      <c r="C226" s="9" t="s">
        <v>210</v>
      </c>
      <c r="D226" s="9" t="s">
        <v>665</v>
      </c>
      <c r="E226" s="9" t="s">
        <v>666</v>
      </c>
      <c r="F226" s="9" t="s">
        <v>679</v>
      </c>
      <c r="G226" s="9" t="s">
        <v>59</v>
      </c>
      <c r="H226" s="7" t="str">
        <f>IFERROR(IF(_xlfn.XLOOKUP(B226,REPASSE!D:D,REPASSE!D:D)="","Não","Sim"),"Não")</f>
        <v>Não</v>
      </c>
      <c r="I226" s="7" t="str">
        <f>IF(_xlfn.XLOOKUP(B226,'BOOST LIBERADO'!B:B,'BOOST LIBERADO'!B:B,"Não")="Não","Não","Sim")</f>
        <v>Sim</v>
      </c>
      <c r="J226" s="83" t="str">
        <f t="shared" si="6"/>
        <v>Sim</v>
      </c>
      <c r="K226" s="12">
        <f>SUMIFS(BASE!$G:$G,BASE!$B:$B,$B226,BASE!$L:$L,$G226,BASE!$J:$J,$C226,BASE!$A:$A,K$2)</f>
        <v>0</v>
      </c>
      <c r="L226" s="12">
        <f>SUMIFS(BASE!$G:$G,BASE!$B:$B,$B226,BASE!$L:$L,$G226,BASE!$J:$J,$C226,BASE!$A:$A,L$2)</f>
        <v>0</v>
      </c>
      <c r="M226" s="12">
        <f>SUMIFS(BASE!$G:$G,BASE!$B:$B,$B226,BASE!$L:$L,$G226,BASE!$J:$J,$C226,BASE!$A:$A,M$2)</f>
        <v>0</v>
      </c>
      <c r="N226" s="12">
        <f>SUMIFS(BASE!$G:$G,BASE!$B:$B,$B226,BASE!$L:$L,$G226,BASE!$J:$J,$C226,BASE!$A:$A,N$2)</f>
        <v>0</v>
      </c>
      <c r="O226" s="12">
        <f>SUMIFS(BASE!$G:$G,BASE!$B:$B,$B226,BASE!$L:$L,$G226,BASE!$J:$J,$C226,BASE!$A:$A,O$2)</f>
        <v>0</v>
      </c>
      <c r="P226" s="12">
        <f>SUMIFS(BASE!$G:$G,BASE!$B:$B,$B226,BASE!$L:$L,$G226,BASE!$J:$J,$C226,BASE!$A:$A,P$2)</f>
        <v>0</v>
      </c>
      <c r="Q226" s="12">
        <f>SUMIFS(BASE!$G:$G,BASE!$B:$B,$B226,BASE!$L:$L,$G226,BASE!$J:$J,$C226,BASE!$A:$A,Q$2)</f>
        <v>0</v>
      </c>
      <c r="R226" s="12">
        <f>SUMIFS(BASE!$G:$G,BASE!$B:$B,$B226,BASE!$L:$L,$G226,BASE!$J:$J,$C226,BASE!$A:$A,R$2)</f>
        <v>0</v>
      </c>
      <c r="S226" s="12">
        <f>SUMIFS(BASE!$G:$G,BASE!$B:$B,$B226,BASE!$L:$L,$G226,BASE!$J:$J,$C226,BASE!$A:$A,S$2)</f>
        <v>0</v>
      </c>
      <c r="T226" s="12">
        <f>SUMIFS(BASE!$G:$G,BASE!$B:$B,$B226,BASE!$L:$L,$G226,BASE!$J:$J,$C226,BASE!$A:$A,T$2)</f>
        <v>0</v>
      </c>
      <c r="U226" s="12">
        <f>SUMIFS(BASE!$G:$G,BASE!$B:$B,$B226,BASE!$L:$L,$G226,BASE!$J:$J,$C226,BASE!$A:$A,U$2)</f>
        <v>0</v>
      </c>
      <c r="V226" s="12">
        <f>SUMIFS(BASE!$G:$G,BASE!$B:$B,$B226,BASE!$L:$L,$G226,BASE!$J:$J,$C226,BASE!$A:$A,V$2)</f>
        <v>0</v>
      </c>
      <c r="X226" t="str">
        <f t="shared" si="7"/>
        <v>ZERADO</v>
      </c>
    </row>
    <row r="227" spans="2:24">
      <c r="B227" s="8" t="s">
        <v>680</v>
      </c>
      <c r="C227" s="9" t="s">
        <v>173</v>
      </c>
      <c r="D227" s="9" t="s">
        <v>681</v>
      </c>
      <c r="E227" s="9" t="s">
        <v>682</v>
      </c>
      <c r="F227" s="9" t="s">
        <v>683</v>
      </c>
      <c r="G227" s="9" t="s">
        <v>59</v>
      </c>
      <c r="H227" s="7" t="str">
        <f>IFERROR(IF(_xlfn.XLOOKUP(B227,REPASSE!D:D,REPASSE!D:D)="","Não","Sim"),"Não")</f>
        <v>Não</v>
      </c>
      <c r="I227" s="7" t="str">
        <f>IF(_xlfn.XLOOKUP(B227,'BOOST LIBERADO'!B:B,'BOOST LIBERADO'!B:B,"Não")="Não","Não","Sim")</f>
        <v>Sim</v>
      </c>
      <c r="J227" s="83" t="str">
        <f t="shared" si="6"/>
        <v>Sim</v>
      </c>
      <c r="K227" s="12">
        <f>SUMIFS(BASE!$G:$G,BASE!$B:$B,$B227,BASE!$L:$L,$G227,BASE!$J:$J,$C227,BASE!$A:$A,K$2)</f>
        <v>0</v>
      </c>
      <c r="L227" s="12">
        <f>SUMIFS(BASE!$G:$G,BASE!$B:$B,$B227,BASE!$L:$L,$G227,BASE!$J:$J,$C227,BASE!$A:$A,L$2)</f>
        <v>0</v>
      </c>
      <c r="M227" s="12">
        <f>SUMIFS(BASE!$G:$G,BASE!$B:$B,$B227,BASE!$L:$L,$G227,BASE!$J:$J,$C227,BASE!$A:$A,M$2)</f>
        <v>0</v>
      </c>
      <c r="N227" s="12">
        <f>SUMIFS(BASE!$G:$G,BASE!$B:$B,$B227,BASE!$L:$L,$G227,BASE!$J:$J,$C227,BASE!$A:$A,N$2)</f>
        <v>0</v>
      </c>
      <c r="O227" s="12">
        <f>SUMIFS(BASE!$G:$G,BASE!$B:$B,$B227,BASE!$L:$L,$G227,BASE!$J:$J,$C227,BASE!$A:$A,O$2)</f>
        <v>0</v>
      </c>
      <c r="P227" s="12">
        <f>SUMIFS(BASE!$G:$G,BASE!$B:$B,$B227,BASE!$L:$L,$G227,BASE!$J:$J,$C227,BASE!$A:$A,P$2)</f>
        <v>0</v>
      </c>
      <c r="Q227" s="12">
        <f>SUMIFS(BASE!$G:$G,BASE!$B:$B,$B227,BASE!$L:$L,$G227,BASE!$J:$J,$C227,BASE!$A:$A,Q$2)</f>
        <v>0</v>
      </c>
      <c r="R227" s="12">
        <f>SUMIFS(BASE!$G:$G,BASE!$B:$B,$B227,BASE!$L:$L,$G227,BASE!$J:$J,$C227,BASE!$A:$A,R$2)</f>
        <v>0</v>
      </c>
      <c r="S227" s="12">
        <f>SUMIFS(BASE!$G:$G,BASE!$B:$B,$B227,BASE!$L:$L,$G227,BASE!$J:$J,$C227,BASE!$A:$A,S$2)</f>
        <v>0</v>
      </c>
      <c r="T227" s="12">
        <f>SUMIFS(BASE!$G:$G,BASE!$B:$B,$B227,BASE!$L:$L,$G227,BASE!$J:$J,$C227,BASE!$A:$A,T$2)</f>
        <v>0</v>
      </c>
      <c r="U227" s="12">
        <f>SUMIFS(BASE!$G:$G,BASE!$B:$B,$B227,BASE!$L:$L,$G227,BASE!$J:$J,$C227,BASE!$A:$A,U$2)</f>
        <v>0</v>
      </c>
      <c r="V227" s="12">
        <f>SUMIFS(BASE!$G:$G,BASE!$B:$B,$B227,BASE!$L:$L,$G227,BASE!$J:$J,$C227,BASE!$A:$A,V$2)</f>
        <v>0</v>
      </c>
      <c r="X227" t="str">
        <f t="shared" si="7"/>
        <v>ZERADO</v>
      </c>
    </row>
    <row r="228" spans="2:24">
      <c r="B228" s="8" t="s">
        <v>684</v>
      </c>
      <c r="C228" s="8" t="s">
        <v>114</v>
      </c>
      <c r="D228" s="8" t="s">
        <v>685</v>
      </c>
      <c r="E228" s="8" t="s">
        <v>682</v>
      </c>
      <c r="F228" s="8" t="s">
        <v>686</v>
      </c>
      <c r="G228" s="8" t="s">
        <v>59</v>
      </c>
      <c r="H228" s="7" t="str">
        <f>IFERROR(IF(_xlfn.XLOOKUP(B228,REPASSE!D:D,REPASSE!D:D)="","Não","Sim"),"Não")</f>
        <v>Não</v>
      </c>
      <c r="I228" s="7" t="str">
        <f>IF(_xlfn.XLOOKUP(B228,'BOOST LIBERADO'!B:B,'BOOST LIBERADO'!B:B,"Não")="Não","Não","Sim")</f>
        <v>Sim</v>
      </c>
      <c r="J228" s="83" t="str">
        <f t="shared" si="6"/>
        <v>Sim</v>
      </c>
      <c r="K228" s="12">
        <f>SUMIFS(BASE!$G:$G,BASE!$B:$B,$B228,BASE!$L:$L,$G228,BASE!$J:$J,$C228,BASE!$A:$A,K$2)</f>
        <v>0</v>
      </c>
      <c r="L228" s="12">
        <f>SUMIFS(BASE!$G:$G,BASE!$B:$B,$B228,BASE!$L:$L,$G228,BASE!$J:$J,$C228,BASE!$A:$A,L$2)</f>
        <v>0</v>
      </c>
      <c r="M228" s="12">
        <f>SUMIFS(BASE!$G:$G,BASE!$B:$B,$B228,BASE!$L:$L,$G228,BASE!$J:$J,$C228,BASE!$A:$A,M$2)</f>
        <v>0</v>
      </c>
      <c r="N228" s="12">
        <f>SUMIFS(BASE!$G:$G,BASE!$B:$B,$B228,BASE!$L:$L,$G228,BASE!$J:$J,$C228,BASE!$A:$A,N$2)</f>
        <v>0</v>
      </c>
      <c r="O228" s="12">
        <f>SUMIFS(BASE!$G:$G,BASE!$B:$B,$B228,BASE!$L:$L,$G228,BASE!$J:$J,$C228,BASE!$A:$A,O$2)</f>
        <v>0</v>
      </c>
      <c r="P228" s="12">
        <f>SUMIFS(BASE!$G:$G,BASE!$B:$B,$B228,BASE!$L:$L,$G228,BASE!$J:$J,$C228,BASE!$A:$A,P$2)</f>
        <v>0</v>
      </c>
      <c r="Q228" s="12">
        <f>SUMIFS(BASE!$G:$G,BASE!$B:$B,$B228,BASE!$L:$L,$G228,BASE!$J:$J,$C228,BASE!$A:$A,Q$2)</f>
        <v>0</v>
      </c>
      <c r="R228" s="12">
        <f>SUMIFS(BASE!$G:$G,BASE!$B:$B,$B228,BASE!$L:$L,$G228,BASE!$J:$J,$C228,BASE!$A:$A,R$2)</f>
        <v>0</v>
      </c>
      <c r="S228" s="12">
        <f>SUMIFS(BASE!$G:$G,BASE!$B:$B,$B228,BASE!$L:$L,$G228,BASE!$J:$J,$C228,BASE!$A:$A,S$2)</f>
        <v>0</v>
      </c>
      <c r="T228" s="12">
        <f>SUMIFS(BASE!$G:$G,BASE!$B:$B,$B228,BASE!$L:$L,$G228,BASE!$J:$J,$C228,BASE!$A:$A,T$2)</f>
        <v>0</v>
      </c>
      <c r="U228" s="12">
        <f>SUMIFS(BASE!$G:$G,BASE!$B:$B,$B228,BASE!$L:$L,$G228,BASE!$J:$J,$C228,BASE!$A:$A,U$2)</f>
        <v>0</v>
      </c>
      <c r="V228" s="12">
        <f>SUMIFS(BASE!$G:$G,BASE!$B:$B,$B228,BASE!$L:$L,$G228,BASE!$J:$J,$C228,BASE!$A:$A,V$2)</f>
        <v>0</v>
      </c>
      <c r="X228" t="str">
        <f t="shared" si="7"/>
        <v>ZERADO</v>
      </c>
    </row>
    <row r="229" spans="2:24">
      <c r="B229" s="8" t="s">
        <v>687</v>
      </c>
      <c r="C229" s="8" t="s">
        <v>239</v>
      </c>
      <c r="D229" s="8" t="s">
        <v>688</v>
      </c>
      <c r="E229" s="8" t="s">
        <v>682</v>
      </c>
      <c r="F229" s="8" t="s">
        <v>689</v>
      </c>
      <c r="G229" s="8" t="s">
        <v>59</v>
      </c>
      <c r="H229" s="7" t="str">
        <f>IFERROR(IF(_xlfn.XLOOKUP(B229,REPASSE!D:D,REPASSE!D:D)="","Não","Sim"),"Não")</f>
        <v>Não</v>
      </c>
      <c r="I229" s="7" t="str">
        <f>IF(_xlfn.XLOOKUP(B229,'BOOST LIBERADO'!B:B,'BOOST LIBERADO'!B:B,"Não")="Não","Não","Sim")</f>
        <v>Sim</v>
      </c>
      <c r="J229" s="83" t="str">
        <f t="shared" si="6"/>
        <v>Sim</v>
      </c>
      <c r="K229" s="12">
        <f>SUMIFS(BASE!$G:$G,BASE!$B:$B,$B229,BASE!$L:$L,$G229,BASE!$J:$J,$C229,BASE!$A:$A,K$2)</f>
        <v>0</v>
      </c>
      <c r="L229" s="12">
        <f>SUMIFS(BASE!$G:$G,BASE!$B:$B,$B229,BASE!$L:$L,$G229,BASE!$J:$J,$C229,BASE!$A:$A,L$2)</f>
        <v>0</v>
      </c>
      <c r="M229" s="12">
        <f>SUMIFS(BASE!$G:$G,BASE!$B:$B,$B229,BASE!$L:$L,$G229,BASE!$J:$J,$C229,BASE!$A:$A,M$2)</f>
        <v>0</v>
      </c>
      <c r="N229" s="12">
        <f>SUMIFS(BASE!$G:$G,BASE!$B:$B,$B229,BASE!$L:$L,$G229,BASE!$J:$J,$C229,BASE!$A:$A,N$2)</f>
        <v>0</v>
      </c>
      <c r="O229" s="12">
        <f>SUMIFS(BASE!$G:$G,BASE!$B:$B,$B229,BASE!$L:$L,$G229,BASE!$J:$J,$C229,BASE!$A:$A,O$2)</f>
        <v>0</v>
      </c>
      <c r="P229" s="12">
        <f>SUMIFS(BASE!$G:$G,BASE!$B:$B,$B229,BASE!$L:$L,$G229,BASE!$J:$J,$C229,BASE!$A:$A,P$2)</f>
        <v>0</v>
      </c>
      <c r="Q229" s="12">
        <f>SUMIFS(BASE!$G:$G,BASE!$B:$B,$B229,BASE!$L:$L,$G229,BASE!$J:$J,$C229,BASE!$A:$A,Q$2)</f>
        <v>0</v>
      </c>
      <c r="R229" s="12">
        <f>SUMIFS(BASE!$G:$G,BASE!$B:$B,$B229,BASE!$L:$L,$G229,BASE!$J:$J,$C229,BASE!$A:$A,R$2)</f>
        <v>0</v>
      </c>
      <c r="S229" s="12">
        <f>SUMIFS(BASE!$G:$G,BASE!$B:$B,$B229,BASE!$L:$L,$G229,BASE!$J:$J,$C229,BASE!$A:$A,S$2)</f>
        <v>0</v>
      </c>
      <c r="T229" s="12">
        <f>SUMIFS(BASE!$G:$G,BASE!$B:$B,$B229,BASE!$L:$L,$G229,BASE!$J:$J,$C229,BASE!$A:$A,T$2)</f>
        <v>0</v>
      </c>
      <c r="U229" s="12">
        <f>SUMIFS(BASE!$G:$G,BASE!$B:$B,$B229,BASE!$L:$L,$G229,BASE!$J:$J,$C229,BASE!$A:$A,U$2)</f>
        <v>0</v>
      </c>
      <c r="V229" s="12">
        <f>SUMIFS(BASE!$G:$G,BASE!$B:$B,$B229,BASE!$L:$L,$G229,BASE!$J:$J,$C229,BASE!$A:$A,V$2)</f>
        <v>0</v>
      </c>
      <c r="X229" t="str">
        <f t="shared" si="7"/>
        <v>ZERADO</v>
      </c>
    </row>
    <row r="230" spans="2:24">
      <c r="B230" s="8" t="s">
        <v>690</v>
      </c>
      <c r="C230" s="8" t="s">
        <v>165</v>
      </c>
      <c r="D230" s="8" t="s">
        <v>688</v>
      </c>
      <c r="E230" s="8" t="s">
        <v>682</v>
      </c>
      <c r="F230" s="8" t="s">
        <v>689</v>
      </c>
      <c r="G230" s="8" t="s">
        <v>59</v>
      </c>
      <c r="H230" s="7" t="str">
        <f>IFERROR(IF(_xlfn.XLOOKUP(B230,REPASSE!D:D,REPASSE!D:D)="","Não","Sim"),"Não")</f>
        <v>Sim</v>
      </c>
      <c r="I230" s="7" t="str">
        <f>IF(_xlfn.XLOOKUP(B230,'BOOST LIBERADO'!B:B,'BOOST LIBERADO'!B:B,"Não")="Não","Não","Sim")</f>
        <v>Sim</v>
      </c>
      <c r="J230" s="83" t="str">
        <f t="shared" si="6"/>
        <v>Não</v>
      </c>
      <c r="K230" s="12">
        <f>SUMIFS(BASE!$G:$G,BASE!$B:$B,$B230,BASE!$L:$L,$G230,BASE!$J:$J,$C230,BASE!$A:$A,K$2)</f>
        <v>0</v>
      </c>
      <c r="L230" s="12">
        <f>SUMIFS(BASE!$G:$G,BASE!$B:$B,$B230,BASE!$L:$L,$G230,BASE!$J:$J,$C230,BASE!$A:$A,L$2)</f>
        <v>0</v>
      </c>
      <c r="M230" s="12">
        <f>SUMIFS(BASE!$G:$G,BASE!$B:$B,$B230,BASE!$L:$L,$G230,BASE!$J:$J,$C230,BASE!$A:$A,M$2)</f>
        <v>0</v>
      </c>
      <c r="N230" s="12">
        <f>SUMIFS(BASE!$G:$G,BASE!$B:$B,$B230,BASE!$L:$L,$G230,BASE!$J:$J,$C230,BASE!$A:$A,N$2)</f>
        <v>0</v>
      </c>
      <c r="O230" s="12">
        <f>SUMIFS(BASE!$G:$G,BASE!$B:$B,$B230,BASE!$L:$L,$G230,BASE!$J:$J,$C230,BASE!$A:$A,O$2)</f>
        <v>0</v>
      </c>
      <c r="P230" s="12">
        <f>SUMIFS(BASE!$G:$G,BASE!$B:$B,$B230,BASE!$L:$L,$G230,BASE!$J:$J,$C230,BASE!$A:$A,P$2)</f>
        <v>0</v>
      </c>
      <c r="Q230" s="12">
        <f>SUMIFS(BASE!$G:$G,BASE!$B:$B,$B230,BASE!$L:$L,$G230,BASE!$J:$J,$C230,BASE!$A:$A,Q$2)</f>
        <v>0</v>
      </c>
      <c r="R230" s="12">
        <f>SUMIFS(BASE!$G:$G,BASE!$B:$B,$B230,BASE!$L:$L,$G230,BASE!$J:$J,$C230,BASE!$A:$A,R$2)</f>
        <v>0</v>
      </c>
      <c r="S230" s="12">
        <f>SUMIFS(BASE!$G:$G,BASE!$B:$B,$B230,BASE!$L:$L,$G230,BASE!$J:$J,$C230,BASE!$A:$A,S$2)</f>
        <v>0</v>
      </c>
      <c r="T230" s="12">
        <f>SUMIFS(BASE!$G:$G,BASE!$B:$B,$B230,BASE!$L:$L,$G230,BASE!$J:$J,$C230,BASE!$A:$A,T$2)</f>
        <v>0</v>
      </c>
      <c r="U230" s="12">
        <f>SUMIFS(BASE!$G:$G,BASE!$B:$B,$B230,BASE!$L:$L,$G230,BASE!$J:$J,$C230,BASE!$A:$A,U$2)</f>
        <v>0</v>
      </c>
      <c r="V230" s="12">
        <f>SUMIFS(BASE!$G:$G,BASE!$B:$B,$B230,BASE!$L:$L,$G230,BASE!$J:$J,$C230,BASE!$A:$A,V$2)</f>
        <v>0</v>
      </c>
      <c r="X230" t="str">
        <f t="shared" si="7"/>
        <v>ZERADO</v>
      </c>
    </row>
    <row r="231" spans="2:24">
      <c r="B231" s="8" t="s">
        <v>691</v>
      </c>
      <c r="C231" s="8" t="s">
        <v>185</v>
      </c>
      <c r="D231" s="8" t="s">
        <v>685</v>
      </c>
      <c r="E231" s="8" t="s">
        <v>682</v>
      </c>
      <c r="F231" s="8" t="s">
        <v>692</v>
      </c>
      <c r="G231" s="8" t="s">
        <v>59</v>
      </c>
      <c r="H231" s="7" t="str">
        <f>IFERROR(IF(_xlfn.XLOOKUP(B231,REPASSE!D:D,REPASSE!D:D)="","Não","Sim"),"Não")</f>
        <v>Não</v>
      </c>
      <c r="I231" s="7" t="str">
        <f>IF(_xlfn.XLOOKUP(B231,'BOOST LIBERADO'!B:B,'BOOST LIBERADO'!B:B,"Não")="Não","Não","Sim")</f>
        <v>Sim</v>
      </c>
      <c r="J231" s="83" t="str">
        <f t="shared" si="6"/>
        <v>Sim</v>
      </c>
      <c r="K231" s="12">
        <f>SUMIFS(BASE!$G:$G,BASE!$B:$B,$B231,BASE!$L:$L,$G231,BASE!$J:$J,$C231,BASE!$A:$A,K$2)</f>
        <v>0</v>
      </c>
      <c r="L231" s="12">
        <f>SUMIFS(BASE!$G:$G,BASE!$B:$B,$B231,BASE!$L:$L,$G231,BASE!$J:$J,$C231,BASE!$A:$A,L$2)</f>
        <v>0</v>
      </c>
      <c r="M231" s="12">
        <f>SUMIFS(BASE!$G:$G,BASE!$B:$B,$B231,BASE!$L:$L,$G231,BASE!$J:$J,$C231,BASE!$A:$A,M$2)</f>
        <v>0</v>
      </c>
      <c r="N231" s="12">
        <f>SUMIFS(BASE!$G:$G,BASE!$B:$B,$B231,BASE!$L:$L,$G231,BASE!$J:$J,$C231,BASE!$A:$A,N$2)</f>
        <v>0</v>
      </c>
      <c r="O231" s="12">
        <f>SUMIFS(BASE!$G:$G,BASE!$B:$B,$B231,BASE!$L:$L,$G231,BASE!$J:$J,$C231,BASE!$A:$A,O$2)</f>
        <v>0</v>
      </c>
      <c r="P231" s="12">
        <f>SUMIFS(BASE!$G:$G,BASE!$B:$B,$B231,BASE!$L:$L,$G231,BASE!$J:$J,$C231,BASE!$A:$A,P$2)</f>
        <v>0</v>
      </c>
      <c r="Q231" s="12">
        <f>SUMIFS(BASE!$G:$G,BASE!$B:$B,$B231,BASE!$L:$L,$G231,BASE!$J:$J,$C231,BASE!$A:$A,Q$2)</f>
        <v>0</v>
      </c>
      <c r="R231" s="12">
        <f>SUMIFS(BASE!$G:$G,BASE!$B:$B,$B231,BASE!$L:$L,$G231,BASE!$J:$J,$C231,BASE!$A:$A,R$2)</f>
        <v>0</v>
      </c>
      <c r="S231" s="12">
        <f>SUMIFS(BASE!$G:$G,BASE!$B:$B,$B231,BASE!$L:$L,$G231,BASE!$J:$J,$C231,BASE!$A:$A,S$2)</f>
        <v>0</v>
      </c>
      <c r="T231" s="12">
        <f>SUMIFS(BASE!$G:$G,BASE!$B:$B,$B231,BASE!$L:$L,$G231,BASE!$J:$J,$C231,BASE!$A:$A,T$2)</f>
        <v>0</v>
      </c>
      <c r="U231" s="12">
        <f>SUMIFS(BASE!$G:$G,BASE!$B:$B,$B231,BASE!$L:$L,$G231,BASE!$J:$J,$C231,BASE!$A:$A,U$2)</f>
        <v>0</v>
      </c>
      <c r="V231" s="12">
        <f>SUMIFS(BASE!$G:$G,BASE!$B:$B,$B231,BASE!$L:$L,$G231,BASE!$J:$J,$C231,BASE!$A:$A,V$2)</f>
        <v>0</v>
      </c>
      <c r="X231" t="str">
        <f t="shared" si="7"/>
        <v>ZERADO</v>
      </c>
    </row>
    <row r="232" spans="2:24">
      <c r="B232" s="8" t="s">
        <v>693</v>
      </c>
      <c r="C232" s="8" t="s">
        <v>239</v>
      </c>
      <c r="D232" s="8" t="s">
        <v>685</v>
      </c>
      <c r="E232" s="8" t="s">
        <v>682</v>
      </c>
      <c r="F232" s="8" t="s">
        <v>694</v>
      </c>
      <c r="G232" s="8" t="s">
        <v>59</v>
      </c>
      <c r="H232" s="7" t="str">
        <f>IFERROR(IF(_xlfn.XLOOKUP(B232,REPASSE!D:D,REPASSE!D:D)="","Não","Sim"),"Não")</f>
        <v>Não</v>
      </c>
      <c r="I232" s="7" t="str">
        <f>IF(_xlfn.XLOOKUP(B232,'BOOST LIBERADO'!B:B,'BOOST LIBERADO'!B:B,"Não")="Não","Não","Sim")</f>
        <v>Sim</v>
      </c>
      <c r="J232" s="83" t="str">
        <f t="shared" si="6"/>
        <v>Sim</v>
      </c>
      <c r="K232" s="12">
        <f>SUMIFS(BASE!$G:$G,BASE!$B:$B,$B232,BASE!$L:$L,$G232,BASE!$J:$J,$C232,BASE!$A:$A,K$2)</f>
        <v>7</v>
      </c>
      <c r="L232" s="12">
        <f>SUMIFS(BASE!$G:$G,BASE!$B:$B,$B232,BASE!$L:$L,$G232,BASE!$J:$J,$C232,BASE!$A:$A,L$2)</f>
        <v>1</v>
      </c>
      <c r="M232" s="12">
        <f>SUMIFS(BASE!$G:$G,BASE!$B:$B,$B232,BASE!$L:$L,$G232,BASE!$J:$J,$C232,BASE!$A:$A,M$2)</f>
        <v>3</v>
      </c>
      <c r="N232" s="12">
        <f>SUMIFS(BASE!$G:$G,BASE!$B:$B,$B232,BASE!$L:$L,$G232,BASE!$J:$J,$C232,BASE!$A:$A,N$2)</f>
        <v>6</v>
      </c>
      <c r="O232" s="12">
        <f>SUMIFS(BASE!$G:$G,BASE!$B:$B,$B232,BASE!$L:$L,$G232,BASE!$J:$J,$C232,BASE!$A:$A,O$2)</f>
        <v>6</v>
      </c>
      <c r="P232" s="12">
        <f>SUMIFS(BASE!$G:$G,BASE!$B:$B,$B232,BASE!$L:$L,$G232,BASE!$J:$J,$C232,BASE!$A:$A,P$2)</f>
        <v>8</v>
      </c>
      <c r="Q232" s="12">
        <f>SUMIFS(BASE!$G:$G,BASE!$B:$B,$B232,BASE!$L:$L,$G232,BASE!$J:$J,$C232,BASE!$A:$A,Q$2)</f>
        <v>16</v>
      </c>
      <c r="R232" s="12">
        <f>SUMIFS(BASE!$G:$G,BASE!$B:$B,$B232,BASE!$L:$L,$G232,BASE!$J:$J,$C232,BASE!$A:$A,R$2)</f>
        <v>10</v>
      </c>
      <c r="S232" s="12">
        <f>SUMIFS(BASE!$G:$G,BASE!$B:$B,$B232,BASE!$L:$L,$G232,BASE!$J:$J,$C232,BASE!$A:$A,S$2)</f>
        <v>0</v>
      </c>
      <c r="T232" s="12">
        <f>SUMIFS(BASE!$G:$G,BASE!$B:$B,$B232,BASE!$L:$L,$G232,BASE!$J:$J,$C232,BASE!$A:$A,T$2)</f>
        <v>0</v>
      </c>
      <c r="U232" s="12">
        <f>SUMIFS(BASE!$G:$G,BASE!$B:$B,$B232,BASE!$L:$L,$G232,BASE!$J:$J,$C232,BASE!$A:$A,U$2)</f>
        <v>0</v>
      </c>
      <c r="V232" s="12">
        <f>SUMIFS(BASE!$G:$G,BASE!$B:$B,$B232,BASE!$L:$L,$G232,BASE!$J:$J,$C232,BASE!$A:$A,V$2)</f>
        <v>0</v>
      </c>
      <c r="X232" t="str">
        <f t="shared" si="7"/>
        <v>COM TROCAS</v>
      </c>
    </row>
    <row r="233" spans="2:24">
      <c r="B233" s="8" t="s">
        <v>695</v>
      </c>
      <c r="C233" s="8" t="s">
        <v>165</v>
      </c>
      <c r="D233" s="8" t="s">
        <v>685</v>
      </c>
      <c r="E233" s="8" t="s">
        <v>682</v>
      </c>
      <c r="F233" s="8" t="s">
        <v>694</v>
      </c>
      <c r="G233" s="8" t="s">
        <v>59</v>
      </c>
      <c r="H233" s="7" t="str">
        <f>IFERROR(IF(_xlfn.XLOOKUP(B233,REPASSE!D:D,REPASSE!D:D)="","Não","Sim"),"Não")</f>
        <v>Sim</v>
      </c>
      <c r="I233" s="7" t="str">
        <f>IF(_xlfn.XLOOKUP(B233,'BOOST LIBERADO'!B:B,'BOOST LIBERADO'!B:B,"Não")="Não","Não","Sim")</f>
        <v>Sim</v>
      </c>
      <c r="J233" s="83" t="str">
        <f t="shared" si="6"/>
        <v>Não</v>
      </c>
      <c r="K233" s="12">
        <f>SUMIFS(BASE!$G:$G,BASE!$B:$B,$B233,BASE!$L:$L,$G233,BASE!$J:$J,$C233,BASE!$A:$A,K$2)</f>
        <v>0</v>
      </c>
      <c r="L233" s="12">
        <f>SUMIFS(BASE!$G:$G,BASE!$B:$B,$B233,BASE!$L:$L,$G233,BASE!$J:$J,$C233,BASE!$A:$A,L$2)</f>
        <v>0</v>
      </c>
      <c r="M233" s="12">
        <f>SUMIFS(BASE!$G:$G,BASE!$B:$B,$B233,BASE!$L:$L,$G233,BASE!$J:$J,$C233,BASE!$A:$A,M$2)</f>
        <v>0</v>
      </c>
      <c r="N233" s="12">
        <f>SUMIFS(BASE!$G:$G,BASE!$B:$B,$B233,BASE!$L:$L,$G233,BASE!$J:$J,$C233,BASE!$A:$A,N$2)</f>
        <v>0</v>
      </c>
      <c r="O233" s="12">
        <f>SUMIFS(BASE!$G:$G,BASE!$B:$B,$B233,BASE!$L:$L,$G233,BASE!$J:$J,$C233,BASE!$A:$A,O$2)</f>
        <v>0</v>
      </c>
      <c r="P233" s="12">
        <f>SUMIFS(BASE!$G:$G,BASE!$B:$B,$B233,BASE!$L:$L,$G233,BASE!$J:$J,$C233,BASE!$A:$A,P$2)</f>
        <v>0</v>
      </c>
      <c r="Q233" s="12">
        <f>SUMIFS(BASE!$G:$G,BASE!$B:$B,$B233,BASE!$L:$L,$G233,BASE!$J:$J,$C233,BASE!$A:$A,Q$2)</f>
        <v>0</v>
      </c>
      <c r="R233" s="12">
        <f>SUMIFS(BASE!$G:$G,BASE!$B:$B,$B233,BASE!$L:$L,$G233,BASE!$J:$J,$C233,BASE!$A:$A,R$2)</f>
        <v>0</v>
      </c>
      <c r="S233" s="12">
        <f>SUMIFS(BASE!$G:$G,BASE!$B:$B,$B233,BASE!$L:$L,$G233,BASE!$J:$J,$C233,BASE!$A:$A,S$2)</f>
        <v>0</v>
      </c>
      <c r="T233" s="12">
        <f>SUMIFS(BASE!$G:$G,BASE!$B:$B,$B233,BASE!$L:$L,$G233,BASE!$J:$J,$C233,BASE!$A:$A,T$2)</f>
        <v>0</v>
      </c>
      <c r="U233" s="12">
        <f>SUMIFS(BASE!$G:$G,BASE!$B:$B,$B233,BASE!$L:$L,$G233,BASE!$J:$J,$C233,BASE!$A:$A,U$2)</f>
        <v>0</v>
      </c>
      <c r="V233" s="12">
        <f>SUMIFS(BASE!$G:$G,BASE!$B:$B,$B233,BASE!$L:$L,$G233,BASE!$J:$J,$C233,BASE!$A:$A,V$2)</f>
        <v>0</v>
      </c>
      <c r="X233" t="str">
        <f t="shared" si="7"/>
        <v>ZERADO</v>
      </c>
    </row>
    <row r="234" spans="2:24">
      <c r="B234" s="8" t="s">
        <v>696</v>
      </c>
      <c r="C234" s="8" t="s">
        <v>218</v>
      </c>
      <c r="D234" s="8" t="s">
        <v>688</v>
      </c>
      <c r="E234" s="8" t="s">
        <v>682</v>
      </c>
      <c r="F234" s="8" t="s">
        <v>697</v>
      </c>
      <c r="G234" s="8" t="s">
        <v>59</v>
      </c>
      <c r="H234" s="7" t="str">
        <f>IFERROR(IF(_xlfn.XLOOKUP(B234,REPASSE!D:D,REPASSE!D:D)="","Não","Sim"),"Não")</f>
        <v>Não</v>
      </c>
      <c r="I234" s="7" t="str">
        <f>IF(_xlfn.XLOOKUP(B234,'BOOST LIBERADO'!B:B,'BOOST LIBERADO'!B:B,"Não")="Não","Não","Sim")</f>
        <v>Sim</v>
      </c>
      <c r="J234" s="83" t="str">
        <f t="shared" si="6"/>
        <v>Sim</v>
      </c>
      <c r="K234" s="12">
        <f>SUMIFS(BASE!$G:$G,BASE!$B:$B,$B234,BASE!$L:$L,$G234,BASE!$J:$J,$C234,BASE!$A:$A,K$2)</f>
        <v>0</v>
      </c>
      <c r="L234" s="12">
        <f>SUMIFS(BASE!$G:$G,BASE!$B:$B,$B234,BASE!$L:$L,$G234,BASE!$J:$J,$C234,BASE!$A:$A,L$2)</f>
        <v>0</v>
      </c>
      <c r="M234" s="12">
        <f>SUMIFS(BASE!$G:$G,BASE!$B:$B,$B234,BASE!$L:$L,$G234,BASE!$J:$J,$C234,BASE!$A:$A,M$2)</f>
        <v>0</v>
      </c>
      <c r="N234" s="12">
        <f>SUMIFS(BASE!$G:$G,BASE!$B:$B,$B234,BASE!$L:$L,$G234,BASE!$J:$J,$C234,BASE!$A:$A,N$2)</f>
        <v>0</v>
      </c>
      <c r="O234" s="12">
        <f>SUMIFS(BASE!$G:$G,BASE!$B:$B,$B234,BASE!$L:$L,$G234,BASE!$J:$J,$C234,BASE!$A:$A,O$2)</f>
        <v>0</v>
      </c>
      <c r="P234" s="12">
        <f>SUMIFS(BASE!$G:$G,BASE!$B:$B,$B234,BASE!$L:$L,$G234,BASE!$J:$J,$C234,BASE!$A:$A,P$2)</f>
        <v>0</v>
      </c>
      <c r="Q234" s="12">
        <f>SUMIFS(BASE!$G:$G,BASE!$B:$B,$B234,BASE!$L:$L,$G234,BASE!$J:$J,$C234,BASE!$A:$A,Q$2)</f>
        <v>0</v>
      </c>
      <c r="R234" s="12">
        <f>SUMIFS(BASE!$G:$G,BASE!$B:$B,$B234,BASE!$L:$L,$G234,BASE!$J:$J,$C234,BASE!$A:$A,R$2)</f>
        <v>0</v>
      </c>
      <c r="S234" s="12">
        <f>SUMIFS(BASE!$G:$G,BASE!$B:$B,$B234,BASE!$L:$L,$G234,BASE!$J:$J,$C234,BASE!$A:$A,S$2)</f>
        <v>0</v>
      </c>
      <c r="T234" s="12">
        <f>SUMIFS(BASE!$G:$G,BASE!$B:$B,$B234,BASE!$L:$L,$G234,BASE!$J:$J,$C234,BASE!$A:$A,T$2)</f>
        <v>0</v>
      </c>
      <c r="U234" s="12">
        <f>SUMIFS(BASE!$G:$G,BASE!$B:$B,$B234,BASE!$L:$L,$G234,BASE!$J:$J,$C234,BASE!$A:$A,U$2)</f>
        <v>0</v>
      </c>
      <c r="V234" s="12">
        <f>SUMIFS(BASE!$G:$G,BASE!$B:$B,$B234,BASE!$L:$L,$G234,BASE!$J:$J,$C234,BASE!$A:$A,V$2)</f>
        <v>0</v>
      </c>
      <c r="X234" t="str">
        <f t="shared" si="7"/>
        <v>ZERADO</v>
      </c>
    </row>
    <row r="235" spans="2:24">
      <c r="B235" s="8" t="s">
        <v>698</v>
      </c>
      <c r="C235" s="8" t="s">
        <v>159</v>
      </c>
      <c r="D235" s="8" t="s">
        <v>688</v>
      </c>
      <c r="E235" s="8" t="s">
        <v>682</v>
      </c>
      <c r="F235" s="8" t="s">
        <v>699</v>
      </c>
      <c r="G235" s="8" t="s">
        <v>59</v>
      </c>
      <c r="H235" s="7" t="str">
        <f>IFERROR(IF(_xlfn.XLOOKUP(B235,REPASSE!D:D,REPASSE!D:D)="","Não","Sim"),"Não")</f>
        <v>Sim</v>
      </c>
      <c r="I235" s="7" t="str">
        <f>IF(_xlfn.XLOOKUP(B235,'BOOST LIBERADO'!B:B,'BOOST LIBERADO'!B:B,"Não")="Não","Não","Sim")</f>
        <v>Sim</v>
      </c>
      <c r="J235" s="83" t="str">
        <f t="shared" si="6"/>
        <v>Não</v>
      </c>
      <c r="K235" s="12">
        <f>SUMIFS(BASE!$G:$G,BASE!$B:$B,$B235,BASE!$L:$L,$G235,BASE!$J:$J,$C235,BASE!$A:$A,K$2)</f>
        <v>0</v>
      </c>
      <c r="L235" s="12">
        <f>SUMIFS(BASE!$G:$G,BASE!$B:$B,$B235,BASE!$L:$L,$G235,BASE!$J:$J,$C235,BASE!$A:$A,L$2)</f>
        <v>0</v>
      </c>
      <c r="M235" s="12">
        <f>SUMIFS(BASE!$G:$G,BASE!$B:$B,$B235,BASE!$L:$L,$G235,BASE!$J:$J,$C235,BASE!$A:$A,M$2)</f>
        <v>0</v>
      </c>
      <c r="N235" s="12">
        <f>SUMIFS(BASE!$G:$G,BASE!$B:$B,$B235,BASE!$L:$L,$G235,BASE!$J:$J,$C235,BASE!$A:$A,N$2)</f>
        <v>0</v>
      </c>
      <c r="O235" s="12">
        <f>SUMIFS(BASE!$G:$G,BASE!$B:$B,$B235,BASE!$L:$L,$G235,BASE!$J:$J,$C235,BASE!$A:$A,O$2)</f>
        <v>0</v>
      </c>
      <c r="P235" s="12">
        <f>SUMIFS(BASE!$G:$G,BASE!$B:$B,$B235,BASE!$L:$L,$G235,BASE!$J:$J,$C235,BASE!$A:$A,P$2)</f>
        <v>0</v>
      </c>
      <c r="Q235" s="12">
        <f>SUMIFS(BASE!$G:$G,BASE!$B:$B,$B235,BASE!$L:$L,$G235,BASE!$J:$J,$C235,BASE!$A:$A,Q$2)</f>
        <v>0</v>
      </c>
      <c r="R235" s="12">
        <f>SUMIFS(BASE!$G:$G,BASE!$B:$B,$B235,BASE!$L:$L,$G235,BASE!$J:$J,$C235,BASE!$A:$A,R$2)</f>
        <v>0</v>
      </c>
      <c r="S235" s="12">
        <f>SUMIFS(BASE!$G:$G,BASE!$B:$B,$B235,BASE!$L:$L,$G235,BASE!$J:$J,$C235,BASE!$A:$A,S$2)</f>
        <v>0</v>
      </c>
      <c r="T235" s="12">
        <f>SUMIFS(BASE!$G:$G,BASE!$B:$B,$B235,BASE!$L:$L,$G235,BASE!$J:$J,$C235,BASE!$A:$A,T$2)</f>
        <v>0</v>
      </c>
      <c r="U235" s="12">
        <f>SUMIFS(BASE!$G:$G,BASE!$B:$B,$B235,BASE!$L:$L,$G235,BASE!$J:$J,$C235,BASE!$A:$A,U$2)</f>
        <v>0</v>
      </c>
      <c r="V235" s="12">
        <f>SUMIFS(BASE!$G:$G,BASE!$B:$B,$B235,BASE!$L:$L,$G235,BASE!$J:$J,$C235,BASE!$A:$A,V$2)</f>
        <v>0</v>
      </c>
      <c r="X235" t="str">
        <f t="shared" si="7"/>
        <v>ZERADO</v>
      </c>
    </row>
    <row r="236" spans="2:24">
      <c r="B236" s="8" t="s">
        <v>700</v>
      </c>
      <c r="C236" s="8" t="s">
        <v>145</v>
      </c>
      <c r="D236" s="8" t="s">
        <v>701</v>
      </c>
      <c r="E236" s="8" t="s">
        <v>682</v>
      </c>
      <c r="F236" s="8" t="s">
        <v>702</v>
      </c>
      <c r="G236" s="8" t="s">
        <v>59</v>
      </c>
      <c r="H236" s="7" t="str">
        <f>IFERROR(IF(_xlfn.XLOOKUP(B236,REPASSE!D:D,REPASSE!D:D)="","Não","Sim"),"Não")</f>
        <v>Não</v>
      </c>
      <c r="I236" s="7" t="str">
        <f>IF(_xlfn.XLOOKUP(B236,'BOOST LIBERADO'!B:B,'BOOST LIBERADO'!B:B,"Não")="Não","Não","Sim")</f>
        <v>Sim</v>
      </c>
      <c r="J236" s="83" t="str">
        <f t="shared" si="6"/>
        <v>Sim</v>
      </c>
      <c r="K236" s="12">
        <f>SUMIFS(BASE!$G:$G,BASE!$B:$B,$B236,BASE!$L:$L,$G236,BASE!$J:$J,$C236,BASE!$A:$A,K$2)</f>
        <v>0</v>
      </c>
      <c r="L236" s="12">
        <f>SUMIFS(BASE!$G:$G,BASE!$B:$B,$B236,BASE!$L:$L,$G236,BASE!$J:$J,$C236,BASE!$A:$A,L$2)</f>
        <v>0</v>
      </c>
      <c r="M236" s="12">
        <f>SUMIFS(BASE!$G:$G,BASE!$B:$B,$B236,BASE!$L:$L,$G236,BASE!$J:$J,$C236,BASE!$A:$A,M$2)</f>
        <v>0</v>
      </c>
      <c r="N236" s="12">
        <f>SUMIFS(BASE!$G:$G,BASE!$B:$B,$B236,BASE!$L:$L,$G236,BASE!$J:$J,$C236,BASE!$A:$A,N$2)</f>
        <v>0</v>
      </c>
      <c r="O236" s="12">
        <f>SUMIFS(BASE!$G:$G,BASE!$B:$B,$B236,BASE!$L:$L,$G236,BASE!$J:$J,$C236,BASE!$A:$A,O$2)</f>
        <v>0</v>
      </c>
      <c r="P236" s="12">
        <f>SUMIFS(BASE!$G:$G,BASE!$B:$B,$B236,BASE!$L:$L,$G236,BASE!$J:$J,$C236,BASE!$A:$A,P$2)</f>
        <v>0</v>
      </c>
      <c r="Q236" s="12">
        <f>SUMIFS(BASE!$G:$G,BASE!$B:$B,$B236,BASE!$L:$L,$G236,BASE!$J:$J,$C236,BASE!$A:$A,Q$2)</f>
        <v>0</v>
      </c>
      <c r="R236" s="12">
        <f>SUMIFS(BASE!$G:$G,BASE!$B:$B,$B236,BASE!$L:$L,$G236,BASE!$J:$J,$C236,BASE!$A:$A,R$2)</f>
        <v>0</v>
      </c>
      <c r="S236" s="12">
        <f>SUMIFS(BASE!$G:$G,BASE!$B:$B,$B236,BASE!$L:$L,$G236,BASE!$J:$J,$C236,BASE!$A:$A,S$2)</f>
        <v>0</v>
      </c>
      <c r="T236" s="12">
        <f>SUMIFS(BASE!$G:$G,BASE!$B:$B,$B236,BASE!$L:$L,$G236,BASE!$J:$J,$C236,BASE!$A:$A,T$2)</f>
        <v>0</v>
      </c>
      <c r="U236" s="12">
        <f>SUMIFS(BASE!$G:$G,BASE!$B:$B,$B236,BASE!$L:$L,$G236,BASE!$J:$J,$C236,BASE!$A:$A,U$2)</f>
        <v>0</v>
      </c>
      <c r="V236" s="12">
        <f>SUMIFS(BASE!$G:$G,BASE!$B:$B,$B236,BASE!$L:$L,$G236,BASE!$J:$J,$C236,BASE!$A:$A,V$2)</f>
        <v>0</v>
      </c>
      <c r="X236" t="str">
        <f t="shared" si="7"/>
        <v>ZERADO</v>
      </c>
    </row>
    <row r="237" spans="2:24">
      <c r="B237" s="10" t="s">
        <v>703</v>
      </c>
      <c r="C237" s="8" t="s">
        <v>239</v>
      </c>
      <c r="D237" s="8" t="s">
        <v>685</v>
      </c>
      <c r="E237" s="8" t="s">
        <v>682</v>
      </c>
      <c r="F237" s="8" t="s">
        <v>694</v>
      </c>
      <c r="G237" s="8" t="s">
        <v>59</v>
      </c>
      <c r="H237" s="7" t="str">
        <f>IFERROR(IF(_xlfn.XLOOKUP(B237,REPASSE!D:D,REPASSE!D:D)="","Não","Sim"),"Não")</f>
        <v>Não</v>
      </c>
      <c r="I237" s="7" t="str">
        <f>IF(_xlfn.XLOOKUP(B237,'BOOST LIBERADO'!B:B,'BOOST LIBERADO'!B:B,"Não")="Não","Não","Sim")</f>
        <v>Sim</v>
      </c>
      <c r="J237" s="83" t="str">
        <f t="shared" si="6"/>
        <v>Sim</v>
      </c>
      <c r="K237" s="12">
        <f>SUMIFS(BASE!$G:$G,BASE!$B:$B,$B237,BASE!$L:$L,$G237,BASE!$J:$J,$C237,BASE!$A:$A,K$2)</f>
        <v>4</v>
      </c>
      <c r="L237" s="12">
        <f>SUMIFS(BASE!$G:$G,BASE!$B:$B,$B237,BASE!$L:$L,$G237,BASE!$J:$J,$C237,BASE!$A:$A,L$2)</f>
        <v>0</v>
      </c>
      <c r="M237" s="12">
        <f>SUMIFS(BASE!$G:$G,BASE!$B:$B,$B237,BASE!$L:$L,$G237,BASE!$J:$J,$C237,BASE!$A:$A,M$2)</f>
        <v>3</v>
      </c>
      <c r="N237" s="12">
        <f>SUMIFS(BASE!$G:$G,BASE!$B:$B,$B237,BASE!$L:$L,$G237,BASE!$J:$J,$C237,BASE!$A:$A,N$2)</f>
        <v>1</v>
      </c>
      <c r="O237" s="12">
        <f>SUMIFS(BASE!$G:$G,BASE!$B:$B,$B237,BASE!$L:$L,$G237,BASE!$J:$J,$C237,BASE!$A:$A,O$2)</f>
        <v>1</v>
      </c>
      <c r="P237" s="12">
        <f>SUMIFS(BASE!$G:$G,BASE!$B:$B,$B237,BASE!$L:$L,$G237,BASE!$J:$J,$C237,BASE!$A:$A,P$2)</f>
        <v>1</v>
      </c>
      <c r="Q237" s="12">
        <f>SUMIFS(BASE!$G:$G,BASE!$B:$B,$B237,BASE!$L:$L,$G237,BASE!$J:$J,$C237,BASE!$A:$A,Q$2)</f>
        <v>6</v>
      </c>
      <c r="R237" s="12">
        <f>SUMIFS(BASE!$G:$G,BASE!$B:$B,$B237,BASE!$L:$L,$G237,BASE!$J:$J,$C237,BASE!$A:$A,R$2)</f>
        <v>5</v>
      </c>
      <c r="S237" s="12">
        <f>SUMIFS(BASE!$G:$G,BASE!$B:$B,$B237,BASE!$L:$L,$G237,BASE!$J:$J,$C237,BASE!$A:$A,S$2)</f>
        <v>0</v>
      </c>
      <c r="T237" s="12">
        <f>SUMIFS(BASE!$G:$G,BASE!$B:$B,$B237,BASE!$L:$L,$G237,BASE!$J:$J,$C237,BASE!$A:$A,T$2)</f>
        <v>0</v>
      </c>
      <c r="U237" s="12">
        <f>SUMIFS(BASE!$G:$G,BASE!$B:$B,$B237,BASE!$L:$L,$G237,BASE!$J:$J,$C237,BASE!$A:$A,U$2)</f>
        <v>0</v>
      </c>
      <c r="V237" s="12">
        <f>SUMIFS(BASE!$G:$G,BASE!$B:$B,$B237,BASE!$L:$L,$G237,BASE!$J:$J,$C237,BASE!$A:$A,V$2)</f>
        <v>0</v>
      </c>
      <c r="X237" t="str">
        <f t="shared" si="7"/>
        <v>COM TROCAS</v>
      </c>
    </row>
    <row r="238" spans="2:24">
      <c r="B238" s="10" t="s">
        <v>704</v>
      </c>
      <c r="C238" s="8" t="s">
        <v>152</v>
      </c>
      <c r="D238" s="8" t="s">
        <v>688</v>
      </c>
      <c r="E238" s="8" t="s">
        <v>682</v>
      </c>
      <c r="F238" s="8" t="s">
        <v>699</v>
      </c>
      <c r="G238" s="8" t="s">
        <v>59</v>
      </c>
      <c r="H238" s="7" t="str">
        <f>IFERROR(IF(_xlfn.XLOOKUP(B238,REPASSE!D:D,REPASSE!D:D)="","Não","Sim"),"Não")</f>
        <v>Não</v>
      </c>
      <c r="I238" s="7" t="str">
        <f>IF(_xlfn.XLOOKUP(B238,'BOOST LIBERADO'!B:B,'BOOST LIBERADO'!B:B,"Não")="Não","Não","Sim")</f>
        <v>Não</v>
      </c>
      <c r="J238" s="83" t="str">
        <f t="shared" si="6"/>
        <v>Não</v>
      </c>
      <c r="K238" s="12">
        <f>SUMIFS(BASE!$G:$G,BASE!$B:$B,$B238,BASE!$L:$L,$G238,BASE!$J:$J,$C238,BASE!$A:$A,K$2)</f>
        <v>0</v>
      </c>
      <c r="L238" s="12">
        <f>SUMIFS(BASE!$G:$G,BASE!$B:$B,$B238,BASE!$L:$L,$G238,BASE!$J:$J,$C238,BASE!$A:$A,L$2)</f>
        <v>0</v>
      </c>
      <c r="M238" s="12">
        <f>SUMIFS(BASE!$G:$G,BASE!$B:$B,$B238,BASE!$L:$L,$G238,BASE!$J:$J,$C238,BASE!$A:$A,M$2)</f>
        <v>0</v>
      </c>
      <c r="N238" s="12">
        <f>SUMIFS(BASE!$G:$G,BASE!$B:$B,$B238,BASE!$L:$L,$G238,BASE!$J:$J,$C238,BASE!$A:$A,N$2)</f>
        <v>0</v>
      </c>
      <c r="O238" s="12">
        <f>SUMIFS(BASE!$G:$G,BASE!$B:$B,$B238,BASE!$L:$L,$G238,BASE!$J:$J,$C238,BASE!$A:$A,O$2)</f>
        <v>0</v>
      </c>
      <c r="P238" s="12">
        <f>SUMIFS(BASE!$G:$G,BASE!$B:$B,$B238,BASE!$L:$L,$G238,BASE!$J:$J,$C238,BASE!$A:$A,P$2)</f>
        <v>0</v>
      </c>
      <c r="Q238" s="12">
        <f>SUMIFS(BASE!$G:$G,BASE!$B:$B,$B238,BASE!$L:$L,$G238,BASE!$J:$J,$C238,BASE!$A:$A,Q$2)</f>
        <v>0</v>
      </c>
      <c r="R238" s="12">
        <f>SUMIFS(BASE!$G:$G,BASE!$B:$B,$B238,BASE!$L:$L,$G238,BASE!$J:$J,$C238,BASE!$A:$A,R$2)</f>
        <v>0</v>
      </c>
      <c r="S238" s="12">
        <f>SUMIFS(BASE!$G:$G,BASE!$B:$B,$B238,BASE!$L:$L,$G238,BASE!$J:$J,$C238,BASE!$A:$A,S$2)</f>
        <v>0</v>
      </c>
      <c r="T238" s="12">
        <f>SUMIFS(BASE!$G:$G,BASE!$B:$B,$B238,BASE!$L:$L,$G238,BASE!$J:$J,$C238,BASE!$A:$A,T$2)</f>
        <v>0</v>
      </c>
      <c r="U238" s="12">
        <f>SUMIFS(BASE!$G:$G,BASE!$B:$B,$B238,BASE!$L:$L,$G238,BASE!$J:$J,$C238,BASE!$A:$A,U$2)</f>
        <v>0</v>
      </c>
      <c r="V238" s="12">
        <f>SUMIFS(BASE!$G:$G,BASE!$B:$B,$B238,BASE!$L:$L,$G238,BASE!$J:$J,$C238,BASE!$A:$A,V$2)</f>
        <v>0</v>
      </c>
      <c r="X238" t="str">
        <f t="shared" si="7"/>
        <v>ZERADO</v>
      </c>
    </row>
    <row r="239" spans="2:24">
      <c r="B239" s="10" t="s">
        <v>705</v>
      </c>
      <c r="C239" s="8" t="s">
        <v>130</v>
      </c>
      <c r="D239" s="8" t="s">
        <v>701</v>
      </c>
      <c r="E239" s="8" t="s">
        <v>682</v>
      </c>
      <c r="F239" s="8" t="s">
        <v>706</v>
      </c>
      <c r="G239" s="8" t="s">
        <v>59</v>
      </c>
      <c r="H239" s="7" t="str">
        <f>IFERROR(IF(_xlfn.XLOOKUP(B239,REPASSE!D:D,REPASSE!D:D)="","Não","Sim"),"Não")</f>
        <v>Não</v>
      </c>
      <c r="I239" s="7" t="str">
        <f>IF(_xlfn.XLOOKUP(B239,'BOOST LIBERADO'!B:B,'BOOST LIBERADO'!B:B,"Não")="Não","Não","Sim")</f>
        <v>Sim</v>
      </c>
      <c r="J239" s="83" t="str">
        <f t="shared" si="6"/>
        <v>Sim</v>
      </c>
      <c r="K239" s="12">
        <f>SUMIFS(BASE!$G:$G,BASE!$B:$B,$B239,BASE!$L:$L,$G239,BASE!$J:$J,$C239,BASE!$A:$A,K$2)</f>
        <v>0</v>
      </c>
      <c r="L239" s="12">
        <f>SUMIFS(BASE!$G:$G,BASE!$B:$B,$B239,BASE!$L:$L,$G239,BASE!$J:$J,$C239,BASE!$A:$A,L$2)</f>
        <v>0</v>
      </c>
      <c r="M239" s="12">
        <f>SUMIFS(BASE!$G:$G,BASE!$B:$B,$B239,BASE!$L:$L,$G239,BASE!$J:$J,$C239,BASE!$A:$A,M$2)</f>
        <v>0</v>
      </c>
      <c r="N239" s="12">
        <f>SUMIFS(BASE!$G:$G,BASE!$B:$B,$B239,BASE!$L:$L,$G239,BASE!$J:$J,$C239,BASE!$A:$A,N$2)</f>
        <v>0</v>
      </c>
      <c r="O239" s="12">
        <f>SUMIFS(BASE!$G:$G,BASE!$B:$B,$B239,BASE!$L:$L,$G239,BASE!$J:$J,$C239,BASE!$A:$A,O$2)</f>
        <v>0</v>
      </c>
      <c r="P239" s="12">
        <f>SUMIFS(BASE!$G:$G,BASE!$B:$B,$B239,BASE!$L:$L,$G239,BASE!$J:$J,$C239,BASE!$A:$A,P$2)</f>
        <v>0</v>
      </c>
      <c r="Q239" s="12">
        <f>SUMIFS(BASE!$G:$G,BASE!$B:$B,$B239,BASE!$L:$L,$G239,BASE!$J:$J,$C239,BASE!$A:$A,Q$2)</f>
        <v>0</v>
      </c>
      <c r="R239" s="12">
        <f>SUMIFS(BASE!$G:$G,BASE!$B:$B,$B239,BASE!$L:$L,$G239,BASE!$J:$J,$C239,BASE!$A:$A,R$2)</f>
        <v>0</v>
      </c>
      <c r="S239" s="12">
        <f>SUMIFS(BASE!$G:$G,BASE!$B:$B,$B239,BASE!$L:$L,$G239,BASE!$J:$J,$C239,BASE!$A:$A,S$2)</f>
        <v>0</v>
      </c>
      <c r="T239" s="12">
        <f>SUMIFS(BASE!$G:$G,BASE!$B:$B,$B239,BASE!$L:$L,$G239,BASE!$J:$J,$C239,BASE!$A:$A,T$2)</f>
        <v>0</v>
      </c>
      <c r="U239" s="12">
        <f>SUMIFS(BASE!$G:$G,BASE!$B:$B,$B239,BASE!$L:$L,$G239,BASE!$J:$J,$C239,BASE!$A:$A,U$2)</f>
        <v>0</v>
      </c>
      <c r="V239" s="12">
        <f>SUMIFS(BASE!$G:$G,BASE!$B:$B,$B239,BASE!$L:$L,$G239,BASE!$J:$J,$C239,BASE!$A:$A,V$2)</f>
        <v>0</v>
      </c>
      <c r="X239" t="str">
        <f t="shared" si="7"/>
        <v>ZERADO</v>
      </c>
    </row>
    <row r="240" spans="2:24">
      <c r="B240" s="10" t="s">
        <v>707</v>
      </c>
      <c r="C240" s="8" t="s">
        <v>165</v>
      </c>
      <c r="D240" s="8" t="s">
        <v>685</v>
      </c>
      <c r="E240" s="8" t="s">
        <v>682</v>
      </c>
      <c r="F240" s="8" t="s">
        <v>694</v>
      </c>
      <c r="G240" s="8" t="s">
        <v>59</v>
      </c>
      <c r="H240" s="7" t="str">
        <f>IFERROR(IF(_xlfn.XLOOKUP(B240,REPASSE!D:D,REPASSE!D:D)="","Não","Sim"),"Não")</f>
        <v>Sim</v>
      </c>
      <c r="I240" s="7" t="str">
        <f>IF(_xlfn.XLOOKUP(B240,'BOOST LIBERADO'!B:B,'BOOST LIBERADO'!B:B,"Não")="Não","Não","Sim")</f>
        <v>Sim</v>
      </c>
      <c r="J240" s="83" t="str">
        <f t="shared" si="6"/>
        <v>Não</v>
      </c>
      <c r="K240" s="12">
        <f>SUMIFS(BASE!$G:$G,BASE!$B:$B,$B240,BASE!$L:$L,$G240,BASE!$J:$J,$C240,BASE!$A:$A,K$2)</f>
        <v>0</v>
      </c>
      <c r="L240" s="12">
        <f>SUMIFS(BASE!$G:$G,BASE!$B:$B,$B240,BASE!$L:$L,$G240,BASE!$J:$J,$C240,BASE!$A:$A,L$2)</f>
        <v>0</v>
      </c>
      <c r="M240" s="12">
        <f>SUMIFS(BASE!$G:$G,BASE!$B:$B,$B240,BASE!$L:$L,$G240,BASE!$J:$J,$C240,BASE!$A:$A,M$2)</f>
        <v>0</v>
      </c>
      <c r="N240" s="12">
        <f>SUMIFS(BASE!$G:$G,BASE!$B:$B,$B240,BASE!$L:$L,$G240,BASE!$J:$J,$C240,BASE!$A:$A,N$2)</f>
        <v>0</v>
      </c>
      <c r="O240" s="12">
        <f>SUMIFS(BASE!$G:$G,BASE!$B:$B,$B240,BASE!$L:$L,$G240,BASE!$J:$J,$C240,BASE!$A:$A,O$2)</f>
        <v>0</v>
      </c>
      <c r="P240" s="12">
        <f>SUMIFS(BASE!$G:$G,BASE!$B:$B,$B240,BASE!$L:$L,$G240,BASE!$J:$J,$C240,BASE!$A:$A,P$2)</f>
        <v>0</v>
      </c>
      <c r="Q240" s="12">
        <f>SUMIFS(BASE!$G:$G,BASE!$B:$B,$B240,BASE!$L:$L,$G240,BASE!$J:$J,$C240,BASE!$A:$A,Q$2)</f>
        <v>0</v>
      </c>
      <c r="R240" s="12">
        <f>SUMIFS(BASE!$G:$G,BASE!$B:$B,$B240,BASE!$L:$L,$G240,BASE!$J:$J,$C240,BASE!$A:$A,R$2)</f>
        <v>0</v>
      </c>
      <c r="S240" s="12">
        <f>SUMIFS(BASE!$G:$G,BASE!$B:$B,$B240,BASE!$L:$L,$G240,BASE!$J:$J,$C240,BASE!$A:$A,S$2)</f>
        <v>0</v>
      </c>
      <c r="T240" s="12">
        <f>SUMIFS(BASE!$G:$G,BASE!$B:$B,$B240,BASE!$L:$L,$G240,BASE!$J:$J,$C240,BASE!$A:$A,T$2)</f>
        <v>0</v>
      </c>
      <c r="U240" s="12">
        <f>SUMIFS(BASE!$G:$G,BASE!$B:$B,$B240,BASE!$L:$L,$G240,BASE!$J:$J,$C240,BASE!$A:$A,U$2)</f>
        <v>0</v>
      </c>
      <c r="V240" s="12">
        <f>SUMIFS(BASE!$G:$G,BASE!$B:$B,$B240,BASE!$L:$L,$G240,BASE!$J:$J,$C240,BASE!$A:$A,V$2)</f>
        <v>0</v>
      </c>
      <c r="X240" t="str">
        <f t="shared" si="7"/>
        <v>ZERADO</v>
      </c>
    </row>
    <row r="241" spans="2:24">
      <c r="B241" s="10" t="s">
        <v>708</v>
      </c>
      <c r="C241" s="8" t="s">
        <v>146</v>
      </c>
      <c r="D241" s="8" t="s">
        <v>701</v>
      </c>
      <c r="E241" s="8" t="s">
        <v>682</v>
      </c>
      <c r="F241" s="8" t="s">
        <v>709</v>
      </c>
      <c r="G241" s="8" t="s">
        <v>59</v>
      </c>
      <c r="H241" s="7" t="str">
        <f>IFERROR(IF(_xlfn.XLOOKUP(B241,REPASSE!D:D,REPASSE!D:D)="","Não","Sim"),"Não")</f>
        <v>Não</v>
      </c>
      <c r="I241" s="7" t="str">
        <f>IF(_xlfn.XLOOKUP(B241,'BOOST LIBERADO'!B:B,'BOOST LIBERADO'!B:B,"Não")="Não","Não","Sim")</f>
        <v>Sim</v>
      </c>
      <c r="J241" s="83" t="str">
        <f t="shared" si="6"/>
        <v>Sim</v>
      </c>
      <c r="K241" s="12">
        <f>SUMIFS(BASE!$G:$G,BASE!$B:$B,$B241,BASE!$L:$L,$G241,BASE!$J:$J,$C241,BASE!$A:$A,K$2)</f>
        <v>0</v>
      </c>
      <c r="L241" s="12">
        <f>SUMIFS(BASE!$G:$G,BASE!$B:$B,$B241,BASE!$L:$L,$G241,BASE!$J:$J,$C241,BASE!$A:$A,L$2)</f>
        <v>0</v>
      </c>
      <c r="M241" s="12">
        <f>SUMIFS(BASE!$G:$G,BASE!$B:$B,$B241,BASE!$L:$L,$G241,BASE!$J:$J,$C241,BASE!$A:$A,M$2)</f>
        <v>0</v>
      </c>
      <c r="N241" s="12">
        <f>SUMIFS(BASE!$G:$G,BASE!$B:$B,$B241,BASE!$L:$L,$G241,BASE!$J:$J,$C241,BASE!$A:$A,N$2)</f>
        <v>0</v>
      </c>
      <c r="O241" s="12">
        <f>SUMIFS(BASE!$G:$G,BASE!$B:$B,$B241,BASE!$L:$L,$G241,BASE!$J:$J,$C241,BASE!$A:$A,O$2)</f>
        <v>0</v>
      </c>
      <c r="P241" s="12">
        <f>SUMIFS(BASE!$G:$G,BASE!$B:$B,$B241,BASE!$L:$L,$G241,BASE!$J:$J,$C241,BASE!$A:$A,P$2)</f>
        <v>0</v>
      </c>
      <c r="Q241" s="12">
        <f>SUMIFS(BASE!$G:$G,BASE!$B:$B,$B241,BASE!$L:$L,$G241,BASE!$J:$J,$C241,BASE!$A:$A,Q$2)</f>
        <v>0</v>
      </c>
      <c r="R241" s="12">
        <f>SUMIFS(BASE!$G:$G,BASE!$B:$B,$B241,BASE!$L:$L,$G241,BASE!$J:$J,$C241,BASE!$A:$A,R$2)</f>
        <v>0</v>
      </c>
      <c r="S241" s="12">
        <f>SUMIFS(BASE!$G:$G,BASE!$B:$B,$B241,BASE!$L:$L,$G241,BASE!$J:$J,$C241,BASE!$A:$A,S$2)</f>
        <v>0</v>
      </c>
      <c r="T241" s="12">
        <f>SUMIFS(BASE!$G:$G,BASE!$B:$B,$B241,BASE!$L:$L,$G241,BASE!$J:$J,$C241,BASE!$A:$A,T$2)</f>
        <v>0</v>
      </c>
      <c r="U241" s="12">
        <f>SUMIFS(BASE!$G:$G,BASE!$B:$B,$B241,BASE!$L:$L,$G241,BASE!$J:$J,$C241,BASE!$A:$A,U$2)</f>
        <v>0</v>
      </c>
      <c r="V241" s="12">
        <f>SUMIFS(BASE!$G:$G,BASE!$B:$B,$B241,BASE!$L:$L,$G241,BASE!$J:$J,$C241,BASE!$A:$A,V$2)</f>
        <v>0</v>
      </c>
      <c r="X241" t="str">
        <f t="shared" si="7"/>
        <v>ZERADO</v>
      </c>
    </row>
    <row r="242" spans="2:24">
      <c r="B242" s="10" t="s">
        <v>710</v>
      </c>
      <c r="C242" s="8" t="s">
        <v>239</v>
      </c>
      <c r="D242" s="8" t="s">
        <v>701</v>
      </c>
      <c r="E242" s="8" t="s">
        <v>682</v>
      </c>
      <c r="F242" s="8" t="s">
        <v>711</v>
      </c>
      <c r="G242" s="8" t="s">
        <v>59</v>
      </c>
      <c r="H242" s="7" t="str">
        <f>IFERROR(IF(_xlfn.XLOOKUP(B242,REPASSE!D:D,REPASSE!D:D)="","Não","Sim"),"Não")</f>
        <v>Não</v>
      </c>
      <c r="I242" s="7" t="str">
        <f>IF(_xlfn.XLOOKUP(B242,'BOOST LIBERADO'!B:B,'BOOST LIBERADO'!B:B,"Não")="Não","Não","Sim")</f>
        <v>Sim</v>
      </c>
      <c r="J242" s="83" t="str">
        <f t="shared" si="6"/>
        <v>Sim</v>
      </c>
      <c r="K242" s="12">
        <f>SUMIFS(BASE!$G:$G,BASE!$B:$B,$B242,BASE!$L:$L,$G242,BASE!$J:$J,$C242,BASE!$A:$A,K$2)</f>
        <v>1</v>
      </c>
      <c r="L242" s="12">
        <f>SUMIFS(BASE!$G:$G,BASE!$B:$B,$B242,BASE!$L:$L,$G242,BASE!$J:$J,$C242,BASE!$A:$A,L$2)</f>
        <v>2</v>
      </c>
      <c r="M242" s="12">
        <f>SUMIFS(BASE!$G:$G,BASE!$B:$B,$B242,BASE!$L:$L,$G242,BASE!$J:$J,$C242,BASE!$A:$A,M$2)</f>
        <v>0</v>
      </c>
      <c r="N242" s="12">
        <f>SUMIFS(BASE!$G:$G,BASE!$B:$B,$B242,BASE!$L:$L,$G242,BASE!$J:$J,$C242,BASE!$A:$A,N$2)</f>
        <v>1</v>
      </c>
      <c r="O242" s="12">
        <f>SUMIFS(BASE!$G:$G,BASE!$B:$B,$B242,BASE!$L:$L,$G242,BASE!$J:$J,$C242,BASE!$A:$A,O$2)</f>
        <v>1</v>
      </c>
      <c r="P242" s="12">
        <f>SUMIFS(BASE!$G:$G,BASE!$B:$B,$B242,BASE!$L:$L,$G242,BASE!$J:$J,$C242,BASE!$A:$A,P$2)</f>
        <v>3</v>
      </c>
      <c r="Q242" s="12">
        <f>SUMIFS(BASE!$G:$G,BASE!$B:$B,$B242,BASE!$L:$L,$G242,BASE!$J:$J,$C242,BASE!$A:$A,Q$2)</f>
        <v>3</v>
      </c>
      <c r="R242" s="12">
        <f>SUMIFS(BASE!$G:$G,BASE!$B:$B,$B242,BASE!$L:$L,$G242,BASE!$J:$J,$C242,BASE!$A:$A,R$2)</f>
        <v>6</v>
      </c>
      <c r="S242" s="12">
        <f>SUMIFS(BASE!$G:$G,BASE!$B:$B,$B242,BASE!$L:$L,$G242,BASE!$J:$J,$C242,BASE!$A:$A,S$2)</f>
        <v>0</v>
      </c>
      <c r="T242" s="12">
        <f>SUMIFS(BASE!$G:$G,BASE!$B:$B,$B242,BASE!$L:$L,$G242,BASE!$J:$J,$C242,BASE!$A:$A,T$2)</f>
        <v>0</v>
      </c>
      <c r="U242" s="12">
        <f>SUMIFS(BASE!$G:$G,BASE!$B:$B,$B242,BASE!$L:$L,$G242,BASE!$J:$J,$C242,BASE!$A:$A,U$2)</f>
        <v>0</v>
      </c>
      <c r="V242" s="12">
        <f>SUMIFS(BASE!$G:$G,BASE!$B:$B,$B242,BASE!$L:$L,$G242,BASE!$J:$J,$C242,BASE!$A:$A,V$2)</f>
        <v>0</v>
      </c>
      <c r="X242" t="str">
        <f t="shared" si="7"/>
        <v>COM TROCAS</v>
      </c>
    </row>
    <row r="243" spans="2:24">
      <c r="B243" s="10" t="s">
        <v>712</v>
      </c>
      <c r="C243" s="8" t="s">
        <v>239</v>
      </c>
      <c r="D243" s="8" t="s">
        <v>685</v>
      </c>
      <c r="E243" s="8" t="s">
        <v>682</v>
      </c>
      <c r="F243" s="8" t="s">
        <v>713</v>
      </c>
      <c r="G243" s="8" t="s">
        <v>59</v>
      </c>
      <c r="H243" s="7" t="str">
        <f>IFERROR(IF(_xlfn.XLOOKUP(B243,REPASSE!D:D,REPASSE!D:D)="","Não","Sim"),"Não")</f>
        <v>Não</v>
      </c>
      <c r="I243" s="7" t="str">
        <f>IF(_xlfn.XLOOKUP(B243,'BOOST LIBERADO'!B:B,'BOOST LIBERADO'!B:B,"Não")="Não","Não","Sim")</f>
        <v>Sim</v>
      </c>
      <c r="J243" s="83" t="str">
        <f t="shared" si="6"/>
        <v>Sim</v>
      </c>
      <c r="K243" s="12">
        <f>SUMIFS(BASE!$G:$G,BASE!$B:$B,$B243,BASE!$L:$L,$G243,BASE!$J:$J,$C243,BASE!$A:$A,K$2)</f>
        <v>0</v>
      </c>
      <c r="L243" s="12">
        <f>SUMIFS(BASE!$G:$G,BASE!$B:$B,$B243,BASE!$L:$L,$G243,BASE!$J:$J,$C243,BASE!$A:$A,L$2)</f>
        <v>0</v>
      </c>
      <c r="M243" s="12">
        <f>SUMIFS(BASE!$G:$G,BASE!$B:$B,$B243,BASE!$L:$L,$G243,BASE!$J:$J,$C243,BASE!$A:$A,M$2)</f>
        <v>0</v>
      </c>
      <c r="N243" s="12">
        <f>SUMIFS(BASE!$G:$G,BASE!$B:$B,$B243,BASE!$L:$L,$G243,BASE!$J:$J,$C243,BASE!$A:$A,N$2)</f>
        <v>0</v>
      </c>
      <c r="O243" s="12">
        <f>SUMIFS(BASE!$G:$G,BASE!$B:$B,$B243,BASE!$L:$L,$G243,BASE!$J:$J,$C243,BASE!$A:$A,O$2)</f>
        <v>0</v>
      </c>
      <c r="P243" s="12">
        <f>SUMIFS(BASE!$G:$G,BASE!$B:$B,$B243,BASE!$L:$L,$G243,BASE!$J:$J,$C243,BASE!$A:$A,P$2)</f>
        <v>0</v>
      </c>
      <c r="Q243" s="12">
        <f>SUMIFS(BASE!$G:$G,BASE!$B:$B,$B243,BASE!$L:$L,$G243,BASE!$J:$J,$C243,BASE!$A:$A,Q$2)</f>
        <v>0</v>
      </c>
      <c r="R243" s="12">
        <f>SUMIFS(BASE!$G:$G,BASE!$B:$B,$B243,BASE!$L:$L,$G243,BASE!$J:$J,$C243,BASE!$A:$A,R$2)</f>
        <v>0</v>
      </c>
      <c r="S243" s="12">
        <f>SUMIFS(BASE!$G:$G,BASE!$B:$B,$B243,BASE!$L:$L,$G243,BASE!$J:$J,$C243,BASE!$A:$A,S$2)</f>
        <v>0</v>
      </c>
      <c r="T243" s="12">
        <f>SUMIFS(BASE!$G:$G,BASE!$B:$B,$B243,BASE!$L:$L,$G243,BASE!$J:$J,$C243,BASE!$A:$A,T$2)</f>
        <v>0</v>
      </c>
      <c r="U243" s="12">
        <f>SUMIFS(BASE!$G:$G,BASE!$B:$B,$B243,BASE!$L:$L,$G243,BASE!$J:$J,$C243,BASE!$A:$A,U$2)</f>
        <v>0</v>
      </c>
      <c r="V243" s="12">
        <f>SUMIFS(BASE!$G:$G,BASE!$B:$B,$B243,BASE!$L:$L,$G243,BASE!$J:$J,$C243,BASE!$A:$A,V$2)</f>
        <v>0</v>
      </c>
      <c r="X243" t="str">
        <f t="shared" si="7"/>
        <v>ZERADO</v>
      </c>
    </row>
    <row r="244" spans="2:24">
      <c r="B244" s="10" t="s">
        <v>714</v>
      </c>
      <c r="C244" s="8" t="s">
        <v>239</v>
      </c>
      <c r="D244" s="8" t="s">
        <v>685</v>
      </c>
      <c r="E244" s="8" t="s">
        <v>682</v>
      </c>
      <c r="F244" s="8" t="s">
        <v>713</v>
      </c>
      <c r="G244" s="8" t="s">
        <v>59</v>
      </c>
      <c r="H244" s="7" t="str">
        <f>IFERROR(IF(_xlfn.XLOOKUP(B244,REPASSE!D:D,REPASSE!D:D)="","Não","Sim"),"Não")</f>
        <v>Não</v>
      </c>
      <c r="I244" s="7" t="str">
        <f>IF(_xlfn.XLOOKUP(B244,'BOOST LIBERADO'!B:B,'BOOST LIBERADO'!B:B,"Não")="Não","Não","Sim")</f>
        <v>Sim</v>
      </c>
      <c r="J244" s="83" t="str">
        <f t="shared" si="6"/>
        <v>Sim</v>
      </c>
      <c r="K244" s="12">
        <f>SUMIFS(BASE!$G:$G,BASE!$B:$B,$B244,BASE!$L:$L,$G244,BASE!$J:$J,$C244,BASE!$A:$A,K$2)</f>
        <v>1</v>
      </c>
      <c r="L244" s="12">
        <f>SUMIFS(BASE!$G:$G,BASE!$B:$B,$B244,BASE!$L:$L,$G244,BASE!$J:$J,$C244,BASE!$A:$A,L$2)</f>
        <v>0</v>
      </c>
      <c r="M244" s="12">
        <f>SUMIFS(BASE!$G:$G,BASE!$B:$B,$B244,BASE!$L:$L,$G244,BASE!$J:$J,$C244,BASE!$A:$A,M$2)</f>
        <v>1</v>
      </c>
      <c r="N244" s="12">
        <f>SUMIFS(BASE!$G:$G,BASE!$B:$B,$B244,BASE!$L:$L,$G244,BASE!$J:$J,$C244,BASE!$A:$A,N$2)</f>
        <v>0</v>
      </c>
      <c r="O244" s="12">
        <f>SUMIFS(BASE!$G:$G,BASE!$B:$B,$B244,BASE!$L:$L,$G244,BASE!$J:$J,$C244,BASE!$A:$A,O$2)</f>
        <v>0</v>
      </c>
      <c r="P244" s="12">
        <f>SUMIFS(BASE!$G:$G,BASE!$B:$B,$B244,BASE!$L:$L,$G244,BASE!$J:$J,$C244,BASE!$A:$A,P$2)</f>
        <v>0</v>
      </c>
      <c r="Q244" s="12">
        <f>SUMIFS(BASE!$G:$G,BASE!$B:$B,$B244,BASE!$L:$L,$G244,BASE!$J:$J,$C244,BASE!$A:$A,Q$2)</f>
        <v>5</v>
      </c>
      <c r="R244" s="12">
        <f>SUMIFS(BASE!$G:$G,BASE!$B:$B,$B244,BASE!$L:$L,$G244,BASE!$J:$J,$C244,BASE!$A:$A,R$2)</f>
        <v>4</v>
      </c>
      <c r="S244" s="12">
        <f>SUMIFS(BASE!$G:$G,BASE!$B:$B,$B244,BASE!$L:$L,$G244,BASE!$J:$J,$C244,BASE!$A:$A,S$2)</f>
        <v>0</v>
      </c>
      <c r="T244" s="12">
        <f>SUMIFS(BASE!$G:$G,BASE!$B:$B,$B244,BASE!$L:$L,$G244,BASE!$J:$J,$C244,BASE!$A:$A,T$2)</f>
        <v>0</v>
      </c>
      <c r="U244" s="12">
        <f>SUMIFS(BASE!$G:$G,BASE!$B:$B,$B244,BASE!$L:$L,$G244,BASE!$J:$J,$C244,BASE!$A:$A,U$2)</f>
        <v>0</v>
      </c>
      <c r="V244" s="12">
        <f>SUMIFS(BASE!$G:$G,BASE!$B:$B,$B244,BASE!$L:$L,$G244,BASE!$J:$J,$C244,BASE!$A:$A,V$2)</f>
        <v>0</v>
      </c>
      <c r="X244" t="str">
        <f t="shared" si="7"/>
        <v>COM TROCAS</v>
      </c>
    </row>
    <row r="245" spans="2:24">
      <c r="B245" s="10" t="s">
        <v>715</v>
      </c>
      <c r="C245" s="8" t="s">
        <v>173</v>
      </c>
      <c r="D245" s="8" t="s">
        <v>681</v>
      </c>
      <c r="E245" s="8" t="s">
        <v>682</v>
      </c>
      <c r="F245" s="8" t="s">
        <v>716</v>
      </c>
      <c r="G245" s="8" t="s">
        <v>59</v>
      </c>
      <c r="H245" s="7" t="str">
        <f>IFERROR(IF(_xlfn.XLOOKUP(B245,REPASSE!D:D,REPASSE!D:D)="","Não","Sim"),"Não")</f>
        <v>Não</v>
      </c>
      <c r="I245" s="7" t="str">
        <f>IF(_xlfn.XLOOKUP(B245,'BOOST LIBERADO'!B:B,'BOOST LIBERADO'!B:B,"Não")="Não","Não","Sim")</f>
        <v>Sim</v>
      </c>
      <c r="J245" s="83" t="str">
        <f t="shared" si="6"/>
        <v>Sim</v>
      </c>
      <c r="K245" s="12">
        <f>SUMIFS(BASE!$G:$G,BASE!$B:$B,$B245,BASE!$L:$L,$G245,BASE!$J:$J,$C245,BASE!$A:$A,K$2)</f>
        <v>0</v>
      </c>
      <c r="L245" s="12">
        <f>SUMIFS(BASE!$G:$G,BASE!$B:$B,$B245,BASE!$L:$L,$G245,BASE!$J:$J,$C245,BASE!$A:$A,L$2)</f>
        <v>0</v>
      </c>
      <c r="M245" s="12">
        <f>SUMIFS(BASE!$G:$G,BASE!$B:$B,$B245,BASE!$L:$L,$G245,BASE!$J:$J,$C245,BASE!$A:$A,M$2)</f>
        <v>0</v>
      </c>
      <c r="N245" s="12">
        <f>SUMIFS(BASE!$G:$G,BASE!$B:$B,$B245,BASE!$L:$L,$G245,BASE!$J:$J,$C245,BASE!$A:$A,N$2)</f>
        <v>0</v>
      </c>
      <c r="O245" s="12">
        <f>SUMIFS(BASE!$G:$G,BASE!$B:$B,$B245,BASE!$L:$L,$G245,BASE!$J:$J,$C245,BASE!$A:$A,O$2)</f>
        <v>0</v>
      </c>
      <c r="P245" s="12">
        <f>SUMIFS(BASE!$G:$G,BASE!$B:$B,$B245,BASE!$L:$L,$G245,BASE!$J:$J,$C245,BASE!$A:$A,P$2)</f>
        <v>0</v>
      </c>
      <c r="Q245" s="12">
        <f>SUMIFS(BASE!$G:$G,BASE!$B:$B,$B245,BASE!$L:$L,$G245,BASE!$J:$J,$C245,BASE!$A:$A,Q$2)</f>
        <v>0</v>
      </c>
      <c r="R245" s="12">
        <f>SUMIFS(BASE!$G:$G,BASE!$B:$B,$B245,BASE!$L:$L,$G245,BASE!$J:$J,$C245,BASE!$A:$A,R$2)</f>
        <v>0</v>
      </c>
      <c r="S245" s="12">
        <f>SUMIFS(BASE!$G:$G,BASE!$B:$B,$B245,BASE!$L:$L,$G245,BASE!$J:$J,$C245,BASE!$A:$A,S$2)</f>
        <v>0</v>
      </c>
      <c r="T245" s="12">
        <f>SUMIFS(BASE!$G:$G,BASE!$B:$B,$B245,BASE!$L:$L,$G245,BASE!$J:$J,$C245,BASE!$A:$A,T$2)</f>
        <v>0</v>
      </c>
      <c r="U245" s="12">
        <f>SUMIFS(BASE!$G:$G,BASE!$B:$B,$B245,BASE!$L:$L,$G245,BASE!$J:$J,$C245,BASE!$A:$A,U$2)</f>
        <v>0</v>
      </c>
      <c r="V245" s="12">
        <f>SUMIFS(BASE!$G:$G,BASE!$B:$B,$B245,BASE!$L:$L,$G245,BASE!$J:$J,$C245,BASE!$A:$A,V$2)</f>
        <v>0</v>
      </c>
      <c r="X245" t="str">
        <f t="shared" si="7"/>
        <v>ZERADO</v>
      </c>
    </row>
    <row r="246" spans="2:24">
      <c r="B246" s="10" t="s">
        <v>717</v>
      </c>
      <c r="C246" s="8" t="s">
        <v>175</v>
      </c>
      <c r="D246" s="8" t="s">
        <v>718</v>
      </c>
      <c r="E246" s="8" t="s">
        <v>719</v>
      </c>
      <c r="F246" s="8" t="s">
        <v>720</v>
      </c>
      <c r="G246" s="8" t="s">
        <v>59</v>
      </c>
      <c r="H246" s="7" t="str">
        <f>IFERROR(IF(_xlfn.XLOOKUP(B246,REPASSE!D:D,REPASSE!D:D)="","Não","Sim"),"Não")</f>
        <v>Não</v>
      </c>
      <c r="I246" s="7" t="str">
        <f>IF(_xlfn.XLOOKUP(B246,'BOOST LIBERADO'!B:B,'BOOST LIBERADO'!B:B,"Não")="Não","Não","Sim")</f>
        <v>Sim</v>
      </c>
      <c r="J246" s="83" t="str">
        <f t="shared" si="6"/>
        <v>Sim</v>
      </c>
      <c r="K246" s="12">
        <f>SUMIFS(BASE!$G:$G,BASE!$B:$B,$B246,BASE!$L:$L,$G246,BASE!$J:$J,$C246,BASE!$A:$A,K$2)</f>
        <v>0</v>
      </c>
      <c r="L246" s="12">
        <f>SUMIFS(BASE!$G:$G,BASE!$B:$B,$B246,BASE!$L:$L,$G246,BASE!$J:$J,$C246,BASE!$A:$A,L$2)</f>
        <v>0</v>
      </c>
      <c r="M246" s="12">
        <f>SUMIFS(BASE!$G:$G,BASE!$B:$B,$B246,BASE!$L:$L,$G246,BASE!$J:$J,$C246,BASE!$A:$A,M$2)</f>
        <v>0</v>
      </c>
      <c r="N246" s="12">
        <f>SUMIFS(BASE!$G:$G,BASE!$B:$B,$B246,BASE!$L:$L,$G246,BASE!$J:$J,$C246,BASE!$A:$A,N$2)</f>
        <v>0</v>
      </c>
      <c r="O246" s="12">
        <f>SUMIFS(BASE!$G:$G,BASE!$B:$B,$B246,BASE!$L:$L,$G246,BASE!$J:$J,$C246,BASE!$A:$A,O$2)</f>
        <v>0</v>
      </c>
      <c r="P246" s="12">
        <f>SUMIFS(BASE!$G:$G,BASE!$B:$B,$B246,BASE!$L:$L,$G246,BASE!$J:$J,$C246,BASE!$A:$A,P$2)</f>
        <v>0</v>
      </c>
      <c r="Q246" s="12">
        <f>SUMIFS(BASE!$G:$G,BASE!$B:$B,$B246,BASE!$L:$L,$G246,BASE!$J:$J,$C246,BASE!$A:$A,Q$2)</f>
        <v>0</v>
      </c>
      <c r="R246" s="12">
        <f>SUMIFS(BASE!$G:$G,BASE!$B:$B,$B246,BASE!$L:$L,$G246,BASE!$J:$J,$C246,BASE!$A:$A,R$2)</f>
        <v>0</v>
      </c>
      <c r="S246" s="12">
        <f>SUMIFS(BASE!$G:$G,BASE!$B:$B,$B246,BASE!$L:$L,$G246,BASE!$J:$J,$C246,BASE!$A:$A,S$2)</f>
        <v>0</v>
      </c>
      <c r="T246" s="12">
        <f>SUMIFS(BASE!$G:$G,BASE!$B:$B,$B246,BASE!$L:$L,$G246,BASE!$J:$J,$C246,BASE!$A:$A,T$2)</f>
        <v>0</v>
      </c>
      <c r="U246" s="12">
        <f>SUMIFS(BASE!$G:$G,BASE!$B:$B,$B246,BASE!$L:$L,$G246,BASE!$J:$J,$C246,BASE!$A:$A,U$2)</f>
        <v>0</v>
      </c>
      <c r="V246" s="12">
        <f>SUMIFS(BASE!$G:$G,BASE!$B:$B,$B246,BASE!$L:$L,$G246,BASE!$J:$J,$C246,BASE!$A:$A,V$2)</f>
        <v>0</v>
      </c>
      <c r="X246" t="str">
        <f t="shared" si="7"/>
        <v>ZERADO</v>
      </c>
    </row>
    <row r="247" spans="2:24">
      <c r="B247" s="10" t="s">
        <v>721</v>
      </c>
      <c r="C247" s="8" t="s">
        <v>239</v>
      </c>
      <c r="D247" s="8" t="s">
        <v>722</v>
      </c>
      <c r="E247" s="8" t="s">
        <v>719</v>
      </c>
      <c r="F247" s="8" t="s">
        <v>723</v>
      </c>
      <c r="G247" s="8" t="s">
        <v>59</v>
      </c>
      <c r="H247" s="7" t="str">
        <f>IFERROR(IF(_xlfn.XLOOKUP(B247,REPASSE!D:D,REPASSE!D:D)="","Não","Sim"),"Não")</f>
        <v>Não</v>
      </c>
      <c r="I247" s="7" t="str">
        <f>IF(_xlfn.XLOOKUP(B247,'BOOST LIBERADO'!B:B,'BOOST LIBERADO'!B:B,"Não")="Não","Não","Sim")</f>
        <v>Sim</v>
      </c>
      <c r="J247" s="83" t="str">
        <f t="shared" si="6"/>
        <v>Sim</v>
      </c>
      <c r="K247" s="12">
        <f>SUMIFS(BASE!$G:$G,BASE!$B:$B,$B247,BASE!$L:$L,$G247,BASE!$J:$J,$C247,BASE!$A:$A,K$2)</f>
        <v>0</v>
      </c>
      <c r="L247" s="12">
        <f>SUMIFS(BASE!$G:$G,BASE!$B:$B,$B247,BASE!$L:$L,$G247,BASE!$J:$J,$C247,BASE!$A:$A,L$2)</f>
        <v>3</v>
      </c>
      <c r="M247" s="12">
        <f>SUMIFS(BASE!$G:$G,BASE!$B:$B,$B247,BASE!$L:$L,$G247,BASE!$J:$J,$C247,BASE!$A:$A,M$2)</f>
        <v>3</v>
      </c>
      <c r="N247" s="12">
        <f>SUMIFS(BASE!$G:$G,BASE!$B:$B,$B247,BASE!$L:$L,$G247,BASE!$J:$J,$C247,BASE!$A:$A,N$2)</f>
        <v>2</v>
      </c>
      <c r="O247" s="12">
        <f>SUMIFS(BASE!$G:$G,BASE!$B:$B,$B247,BASE!$L:$L,$G247,BASE!$J:$J,$C247,BASE!$A:$A,O$2)</f>
        <v>3</v>
      </c>
      <c r="P247" s="12">
        <f>SUMIFS(BASE!$G:$G,BASE!$B:$B,$B247,BASE!$L:$L,$G247,BASE!$J:$J,$C247,BASE!$A:$A,P$2)</f>
        <v>9</v>
      </c>
      <c r="Q247" s="12">
        <f>SUMIFS(BASE!$G:$G,BASE!$B:$B,$B247,BASE!$L:$L,$G247,BASE!$J:$J,$C247,BASE!$A:$A,Q$2)</f>
        <v>2</v>
      </c>
      <c r="R247" s="12">
        <f>SUMIFS(BASE!$G:$G,BASE!$B:$B,$B247,BASE!$L:$L,$G247,BASE!$J:$J,$C247,BASE!$A:$A,R$2)</f>
        <v>7</v>
      </c>
      <c r="S247" s="12">
        <f>SUMIFS(BASE!$G:$G,BASE!$B:$B,$B247,BASE!$L:$L,$G247,BASE!$J:$J,$C247,BASE!$A:$A,S$2)</f>
        <v>0</v>
      </c>
      <c r="T247" s="12">
        <f>SUMIFS(BASE!$G:$G,BASE!$B:$B,$B247,BASE!$L:$L,$G247,BASE!$J:$J,$C247,BASE!$A:$A,T$2)</f>
        <v>0</v>
      </c>
      <c r="U247" s="12">
        <f>SUMIFS(BASE!$G:$G,BASE!$B:$B,$B247,BASE!$L:$L,$G247,BASE!$J:$J,$C247,BASE!$A:$A,U$2)</f>
        <v>0</v>
      </c>
      <c r="V247" s="12">
        <f>SUMIFS(BASE!$G:$G,BASE!$B:$B,$B247,BASE!$L:$L,$G247,BASE!$J:$J,$C247,BASE!$A:$A,V$2)</f>
        <v>0</v>
      </c>
      <c r="X247" t="str">
        <f t="shared" si="7"/>
        <v>COM TROCAS</v>
      </c>
    </row>
    <row r="248" spans="2:24">
      <c r="B248" s="8" t="s">
        <v>724</v>
      </c>
      <c r="C248" s="8" t="s">
        <v>215</v>
      </c>
      <c r="D248" s="8" t="s">
        <v>725</v>
      </c>
      <c r="E248" s="8" t="s">
        <v>726</v>
      </c>
      <c r="F248" s="8" t="s">
        <v>727</v>
      </c>
      <c r="G248" s="8" t="s">
        <v>59</v>
      </c>
      <c r="H248" s="7" t="str">
        <f>IFERROR(IF(_xlfn.XLOOKUP(B248,REPASSE!D:D,REPASSE!D:D)="","Não","Sim"),"Não")</f>
        <v>Não</v>
      </c>
      <c r="I248" s="7" t="str">
        <f>IF(_xlfn.XLOOKUP(B248,'BOOST LIBERADO'!B:B,'BOOST LIBERADO'!B:B,"Não")="Não","Não","Sim")</f>
        <v>Sim</v>
      </c>
      <c r="J248" s="83" t="str">
        <f t="shared" si="6"/>
        <v>Sim</v>
      </c>
      <c r="K248" s="12">
        <f>SUMIFS(BASE!$G:$G,BASE!$B:$B,$B248,BASE!$L:$L,$G248,BASE!$J:$J,$C248,BASE!$A:$A,K$2)</f>
        <v>0</v>
      </c>
      <c r="L248" s="12">
        <f>SUMIFS(BASE!$G:$G,BASE!$B:$B,$B248,BASE!$L:$L,$G248,BASE!$J:$J,$C248,BASE!$A:$A,L$2)</f>
        <v>0</v>
      </c>
      <c r="M248" s="12">
        <f>SUMIFS(BASE!$G:$G,BASE!$B:$B,$B248,BASE!$L:$L,$G248,BASE!$J:$J,$C248,BASE!$A:$A,M$2)</f>
        <v>0</v>
      </c>
      <c r="N248" s="12">
        <f>SUMIFS(BASE!$G:$G,BASE!$B:$B,$B248,BASE!$L:$L,$G248,BASE!$J:$J,$C248,BASE!$A:$A,N$2)</f>
        <v>0</v>
      </c>
      <c r="O248" s="12">
        <f>SUMIFS(BASE!$G:$G,BASE!$B:$B,$B248,BASE!$L:$L,$G248,BASE!$J:$J,$C248,BASE!$A:$A,O$2)</f>
        <v>0</v>
      </c>
      <c r="P248" s="12">
        <f>SUMIFS(BASE!$G:$G,BASE!$B:$B,$B248,BASE!$L:$L,$G248,BASE!$J:$J,$C248,BASE!$A:$A,P$2)</f>
        <v>0</v>
      </c>
      <c r="Q248" s="12">
        <f>SUMIFS(BASE!$G:$G,BASE!$B:$B,$B248,BASE!$L:$L,$G248,BASE!$J:$J,$C248,BASE!$A:$A,Q$2)</f>
        <v>0</v>
      </c>
      <c r="R248" s="12">
        <f>SUMIFS(BASE!$G:$G,BASE!$B:$B,$B248,BASE!$L:$L,$G248,BASE!$J:$J,$C248,BASE!$A:$A,R$2)</f>
        <v>0</v>
      </c>
      <c r="S248" s="12">
        <f>SUMIFS(BASE!$G:$G,BASE!$B:$B,$B248,BASE!$L:$L,$G248,BASE!$J:$J,$C248,BASE!$A:$A,S$2)</f>
        <v>0</v>
      </c>
      <c r="T248" s="12">
        <f>SUMIFS(BASE!$G:$G,BASE!$B:$B,$B248,BASE!$L:$L,$G248,BASE!$J:$J,$C248,BASE!$A:$A,T$2)</f>
        <v>0</v>
      </c>
      <c r="U248" s="12">
        <f>SUMIFS(BASE!$G:$G,BASE!$B:$B,$B248,BASE!$L:$L,$G248,BASE!$J:$J,$C248,BASE!$A:$A,U$2)</f>
        <v>0</v>
      </c>
      <c r="V248" s="12">
        <f>SUMIFS(BASE!$G:$G,BASE!$B:$B,$B248,BASE!$L:$L,$G248,BASE!$J:$J,$C248,BASE!$A:$A,V$2)</f>
        <v>0</v>
      </c>
      <c r="X248" t="str">
        <f t="shared" si="7"/>
        <v>ZERADO</v>
      </c>
    </row>
    <row r="249" spans="2:24">
      <c r="B249" s="8" t="s">
        <v>728</v>
      </c>
      <c r="C249" s="9" t="s">
        <v>128</v>
      </c>
      <c r="D249" s="9" t="s">
        <v>725</v>
      </c>
      <c r="E249" s="9" t="s">
        <v>726</v>
      </c>
      <c r="F249" s="9" t="s">
        <v>729</v>
      </c>
      <c r="G249" s="9" t="s">
        <v>59</v>
      </c>
      <c r="H249" s="7" t="str">
        <f>IFERROR(IF(_xlfn.XLOOKUP(B249,REPASSE!D:D,REPASSE!D:D)="","Não","Sim"),"Não")</f>
        <v>Sim</v>
      </c>
      <c r="I249" s="7" t="str">
        <f>IF(_xlfn.XLOOKUP(B249,'BOOST LIBERADO'!B:B,'BOOST LIBERADO'!B:B,"Não")="Não","Não","Sim")</f>
        <v>Sim</v>
      </c>
      <c r="J249" s="83" t="str">
        <f t="shared" si="6"/>
        <v>Não</v>
      </c>
      <c r="K249" s="12">
        <f>SUMIFS(BASE!$G:$G,BASE!$B:$B,$B249,BASE!$L:$L,$G249,BASE!$J:$J,$C249,BASE!$A:$A,K$2)</f>
        <v>0</v>
      </c>
      <c r="L249" s="12">
        <f>SUMIFS(BASE!$G:$G,BASE!$B:$B,$B249,BASE!$L:$L,$G249,BASE!$J:$J,$C249,BASE!$A:$A,L$2)</f>
        <v>0</v>
      </c>
      <c r="M249" s="12">
        <f>SUMIFS(BASE!$G:$G,BASE!$B:$B,$B249,BASE!$L:$L,$G249,BASE!$J:$J,$C249,BASE!$A:$A,M$2)</f>
        <v>0</v>
      </c>
      <c r="N249" s="12">
        <f>SUMIFS(BASE!$G:$G,BASE!$B:$B,$B249,BASE!$L:$L,$G249,BASE!$J:$J,$C249,BASE!$A:$A,N$2)</f>
        <v>0</v>
      </c>
      <c r="O249" s="12">
        <f>SUMIFS(BASE!$G:$G,BASE!$B:$B,$B249,BASE!$L:$L,$G249,BASE!$J:$J,$C249,BASE!$A:$A,O$2)</f>
        <v>0</v>
      </c>
      <c r="P249" s="12">
        <f>SUMIFS(BASE!$G:$G,BASE!$B:$B,$B249,BASE!$L:$L,$G249,BASE!$J:$J,$C249,BASE!$A:$A,P$2)</f>
        <v>0</v>
      </c>
      <c r="Q249" s="12">
        <f>SUMIFS(BASE!$G:$G,BASE!$B:$B,$B249,BASE!$L:$L,$G249,BASE!$J:$J,$C249,BASE!$A:$A,Q$2)</f>
        <v>0</v>
      </c>
      <c r="R249" s="12">
        <f>SUMIFS(BASE!$G:$G,BASE!$B:$B,$B249,BASE!$L:$L,$G249,BASE!$J:$J,$C249,BASE!$A:$A,R$2)</f>
        <v>0</v>
      </c>
      <c r="S249" s="12">
        <f>SUMIFS(BASE!$G:$G,BASE!$B:$B,$B249,BASE!$L:$L,$G249,BASE!$J:$J,$C249,BASE!$A:$A,S$2)</f>
        <v>0</v>
      </c>
      <c r="T249" s="12">
        <f>SUMIFS(BASE!$G:$G,BASE!$B:$B,$B249,BASE!$L:$L,$G249,BASE!$J:$J,$C249,BASE!$A:$A,T$2)</f>
        <v>0</v>
      </c>
      <c r="U249" s="12">
        <f>SUMIFS(BASE!$G:$G,BASE!$B:$B,$B249,BASE!$L:$L,$G249,BASE!$J:$J,$C249,BASE!$A:$A,U$2)</f>
        <v>0</v>
      </c>
      <c r="V249" s="12">
        <f>SUMIFS(BASE!$G:$G,BASE!$B:$B,$B249,BASE!$L:$L,$G249,BASE!$J:$J,$C249,BASE!$A:$A,V$2)</f>
        <v>0</v>
      </c>
      <c r="X249" t="str">
        <f t="shared" si="7"/>
        <v>ZERADO</v>
      </c>
    </row>
    <row r="250" spans="2:24">
      <c r="B250" s="8" t="s">
        <v>730</v>
      </c>
      <c r="C250" s="9" t="s">
        <v>231</v>
      </c>
      <c r="D250" s="9" t="s">
        <v>731</v>
      </c>
      <c r="E250" s="9" t="s">
        <v>726</v>
      </c>
      <c r="F250" s="9" t="s">
        <v>732</v>
      </c>
      <c r="G250" s="9" t="s">
        <v>59</v>
      </c>
      <c r="H250" s="7" t="str">
        <f>IFERROR(IF(_xlfn.XLOOKUP(B250,REPASSE!D:D,REPASSE!D:D)="","Não","Sim"),"Não")</f>
        <v>Não</v>
      </c>
      <c r="I250" s="7" t="str">
        <f>IF(_xlfn.XLOOKUP(B250,'BOOST LIBERADO'!B:B,'BOOST LIBERADO'!B:B,"Não")="Não","Não","Sim")</f>
        <v>Sim</v>
      </c>
      <c r="J250" s="83" t="str">
        <f t="shared" si="6"/>
        <v>Sim</v>
      </c>
      <c r="K250" s="12">
        <f>SUMIFS(BASE!$G:$G,BASE!$B:$B,$B250,BASE!$L:$L,$G250,BASE!$J:$J,$C250,BASE!$A:$A,K$2)</f>
        <v>0</v>
      </c>
      <c r="L250" s="12">
        <f>SUMIFS(BASE!$G:$G,BASE!$B:$B,$B250,BASE!$L:$L,$G250,BASE!$J:$J,$C250,BASE!$A:$A,L$2)</f>
        <v>0</v>
      </c>
      <c r="M250" s="12">
        <f>SUMIFS(BASE!$G:$G,BASE!$B:$B,$B250,BASE!$L:$L,$G250,BASE!$J:$J,$C250,BASE!$A:$A,M$2)</f>
        <v>0</v>
      </c>
      <c r="N250" s="12">
        <f>SUMIFS(BASE!$G:$G,BASE!$B:$B,$B250,BASE!$L:$L,$G250,BASE!$J:$J,$C250,BASE!$A:$A,N$2)</f>
        <v>0</v>
      </c>
      <c r="O250" s="12">
        <f>SUMIFS(BASE!$G:$G,BASE!$B:$B,$B250,BASE!$L:$L,$G250,BASE!$J:$J,$C250,BASE!$A:$A,O$2)</f>
        <v>0</v>
      </c>
      <c r="P250" s="12">
        <f>SUMIFS(BASE!$G:$G,BASE!$B:$B,$B250,BASE!$L:$L,$G250,BASE!$J:$J,$C250,BASE!$A:$A,P$2)</f>
        <v>0</v>
      </c>
      <c r="Q250" s="12">
        <f>SUMIFS(BASE!$G:$G,BASE!$B:$B,$B250,BASE!$L:$L,$G250,BASE!$J:$J,$C250,BASE!$A:$A,Q$2)</f>
        <v>1</v>
      </c>
      <c r="R250" s="12">
        <f>SUMIFS(BASE!$G:$G,BASE!$B:$B,$B250,BASE!$L:$L,$G250,BASE!$J:$J,$C250,BASE!$A:$A,R$2)</f>
        <v>0</v>
      </c>
      <c r="S250" s="12">
        <f>SUMIFS(BASE!$G:$G,BASE!$B:$B,$B250,BASE!$L:$L,$G250,BASE!$J:$J,$C250,BASE!$A:$A,S$2)</f>
        <v>0</v>
      </c>
      <c r="T250" s="12">
        <f>SUMIFS(BASE!$G:$G,BASE!$B:$B,$B250,BASE!$L:$L,$G250,BASE!$J:$J,$C250,BASE!$A:$A,T$2)</f>
        <v>0</v>
      </c>
      <c r="U250" s="12">
        <f>SUMIFS(BASE!$G:$G,BASE!$B:$B,$B250,BASE!$L:$L,$G250,BASE!$J:$J,$C250,BASE!$A:$A,U$2)</f>
        <v>0</v>
      </c>
      <c r="V250" s="12">
        <f>SUMIFS(BASE!$G:$G,BASE!$B:$B,$B250,BASE!$L:$L,$G250,BASE!$J:$J,$C250,BASE!$A:$A,V$2)</f>
        <v>0</v>
      </c>
      <c r="X250" t="str">
        <f t="shared" si="7"/>
        <v>ZERADO</v>
      </c>
    </row>
    <row r="251" spans="2:24">
      <c r="B251" s="8" t="s">
        <v>733</v>
      </c>
      <c r="C251" s="9" t="s">
        <v>231</v>
      </c>
      <c r="D251" s="9" t="s">
        <v>731</v>
      </c>
      <c r="E251" s="9" t="s">
        <v>726</v>
      </c>
      <c r="F251" s="9" t="s">
        <v>732</v>
      </c>
      <c r="G251" s="9" t="s">
        <v>59</v>
      </c>
      <c r="H251" s="7" t="str">
        <f>IFERROR(IF(_xlfn.XLOOKUP(B251,REPASSE!D:D,REPASSE!D:D)="","Não","Sim"),"Não")</f>
        <v>Não</v>
      </c>
      <c r="I251" s="7" t="str">
        <f>IF(_xlfn.XLOOKUP(B251,'BOOST LIBERADO'!B:B,'BOOST LIBERADO'!B:B,"Não")="Não","Não","Sim")</f>
        <v>Sim</v>
      </c>
      <c r="J251" s="83" t="str">
        <f t="shared" si="6"/>
        <v>Sim</v>
      </c>
      <c r="K251" s="12">
        <f>SUMIFS(BASE!$G:$G,BASE!$B:$B,$B251,BASE!$L:$L,$G251,BASE!$J:$J,$C251,BASE!$A:$A,K$2)</f>
        <v>0</v>
      </c>
      <c r="L251" s="12">
        <f>SUMIFS(BASE!$G:$G,BASE!$B:$B,$B251,BASE!$L:$L,$G251,BASE!$J:$J,$C251,BASE!$A:$A,L$2)</f>
        <v>0</v>
      </c>
      <c r="M251" s="12">
        <f>SUMIFS(BASE!$G:$G,BASE!$B:$B,$B251,BASE!$L:$L,$G251,BASE!$J:$J,$C251,BASE!$A:$A,M$2)</f>
        <v>0</v>
      </c>
      <c r="N251" s="12">
        <f>SUMIFS(BASE!$G:$G,BASE!$B:$B,$B251,BASE!$L:$L,$G251,BASE!$J:$J,$C251,BASE!$A:$A,N$2)</f>
        <v>0</v>
      </c>
      <c r="O251" s="12">
        <f>SUMIFS(BASE!$G:$G,BASE!$B:$B,$B251,BASE!$L:$L,$G251,BASE!$J:$J,$C251,BASE!$A:$A,O$2)</f>
        <v>0</v>
      </c>
      <c r="P251" s="12">
        <f>SUMIFS(BASE!$G:$G,BASE!$B:$B,$B251,BASE!$L:$L,$G251,BASE!$J:$J,$C251,BASE!$A:$A,P$2)</f>
        <v>2</v>
      </c>
      <c r="Q251" s="12">
        <f>SUMIFS(BASE!$G:$G,BASE!$B:$B,$B251,BASE!$L:$L,$G251,BASE!$J:$J,$C251,BASE!$A:$A,Q$2)</f>
        <v>0</v>
      </c>
      <c r="R251" s="12">
        <f>SUMIFS(BASE!$G:$G,BASE!$B:$B,$B251,BASE!$L:$L,$G251,BASE!$J:$J,$C251,BASE!$A:$A,R$2)</f>
        <v>0</v>
      </c>
      <c r="S251" s="12">
        <f>SUMIFS(BASE!$G:$G,BASE!$B:$B,$B251,BASE!$L:$L,$G251,BASE!$J:$J,$C251,BASE!$A:$A,S$2)</f>
        <v>0</v>
      </c>
      <c r="T251" s="12">
        <f>SUMIFS(BASE!$G:$G,BASE!$B:$B,$B251,BASE!$L:$L,$G251,BASE!$J:$J,$C251,BASE!$A:$A,T$2)</f>
        <v>0</v>
      </c>
      <c r="U251" s="12">
        <f>SUMIFS(BASE!$G:$G,BASE!$B:$B,$B251,BASE!$L:$L,$G251,BASE!$J:$J,$C251,BASE!$A:$A,U$2)</f>
        <v>0</v>
      </c>
      <c r="V251" s="12">
        <f>SUMIFS(BASE!$G:$G,BASE!$B:$B,$B251,BASE!$L:$L,$G251,BASE!$J:$J,$C251,BASE!$A:$A,V$2)</f>
        <v>0</v>
      </c>
      <c r="X251" t="str">
        <f t="shared" si="7"/>
        <v>ZERADO</v>
      </c>
    </row>
    <row r="252" spans="2:24">
      <c r="B252" s="8" t="s">
        <v>734</v>
      </c>
      <c r="C252" s="8" t="s">
        <v>231</v>
      </c>
      <c r="D252" s="8" t="s">
        <v>735</v>
      </c>
      <c r="E252" s="8" t="s">
        <v>726</v>
      </c>
      <c r="F252" s="8" t="s">
        <v>736</v>
      </c>
      <c r="G252" s="8" t="s">
        <v>59</v>
      </c>
      <c r="H252" s="7" t="str">
        <f>IFERROR(IF(_xlfn.XLOOKUP(B252,REPASSE!D:D,REPASSE!D:D)="","Não","Sim"),"Não")</f>
        <v>Não</v>
      </c>
      <c r="I252" s="7" t="str">
        <f>IF(_xlfn.XLOOKUP(B252,'BOOST LIBERADO'!B:B,'BOOST LIBERADO'!B:B,"Não")="Não","Não","Sim")</f>
        <v>Sim</v>
      </c>
      <c r="J252" s="83" t="str">
        <f t="shared" si="6"/>
        <v>Sim</v>
      </c>
      <c r="K252" s="12">
        <f>SUMIFS(BASE!$G:$G,BASE!$B:$B,$B252,BASE!$L:$L,$G252,BASE!$J:$J,$C252,BASE!$A:$A,K$2)</f>
        <v>0</v>
      </c>
      <c r="L252" s="12">
        <f>SUMIFS(BASE!$G:$G,BASE!$B:$B,$B252,BASE!$L:$L,$G252,BASE!$J:$J,$C252,BASE!$A:$A,L$2)</f>
        <v>0</v>
      </c>
      <c r="M252" s="12">
        <f>SUMIFS(BASE!$G:$G,BASE!$B:$B,$B252,BASE!$L:$L,$G252,BASE!$J:$J,$C252,BASE!$A:$A,M$2)</f>
        <v>0</v>
      </c>
      <c r="N252" s="12">
        <f>SUMIFS(BASE!$G:$G,BASE!$B:$B,$B252,BASE!$L:$L,$G252,BASE!$J:$J,$C252,BASE!$A:$A,N$2)</f>
        <v>0</v>
      </c>
      <c r="O252" s="12">
        <f>SUMIFS(BASE!$G:$G,BASE!$B:$B,$B252,BASE!$L:$L,$G252,BASE!$J:$J,$C252,BASE!$A:$A,O$2)</f>
        <v>0</v>
      </c>
      <c r="P252" s="12">
        <f>SUMIFS(BASE!$G:$G,BASE!$B:$B,$B252,BASE!$L:$L,$G252,BASE!$J:$J,$C252,BASE!$A:$A,P$2)</f>
        <v>0</v>
      </c>
      <c r="Q252" s="12">
        <f>SUMIFS(BASE!$G:$G,BASE!$B:$B,$B252,BASE!$L:$L,$G252,BASE!$J:$J,$C252,BASE!$A:$A,Q$2)</f>
        <v>0</v>
      </c>
      <c r="R252" s="12">
        <f>SUMIFS(BASE!$G:$G,BASE!$B:$B,$B252,BASE!$L:$L,$G252,BASE!$J:$J,$C252,BASE!$A:$A,R$2)</f>
        <v>0</v>
      </c>
      <c r="S252" s="12">
        <f>SUMIFS(BASE!$G:$G,BASE!$B:$B,$B252,BASE!$L:$L,$G252,BASE!$J:$J,$C252,BASE!$A:$A,S$2)</f>
        <v>0</v>
      </c>
      <c r="T252" s="12">
        <f>SUMIFS(BASE!$G:$G,BASE!$B:$B,$B252,BASE!$L:$L,$G252,BASE!$J:$J,$C252,BASE!$A:$A,T$2)</f>
        <v>0</v>
      </c>
      <c r="U252" s="12">
        <f>SUMIFS(BASE!$G:$G,BASE!$B:$B,$B252,BASE!$L:$L,$G252,BASE!$J:$J,$C252,BASE!$A:$A,U$2)</f>
        <v>0</v>
      </c>
      <c r="V252" s="12">
        <f>SUMIFS(BASE!$G:$G,BASE!$B:$B,$B252,BASE!$L:$L,$G252,BASE!$J:$J,$C252,BASE!$A:$A,V$2)</f>
        <v>0</v>
      </c>
      <c r="X252" t="str">
        <f t="shared" si="7"/>
        <v>ZERADO</v>
      </c>
    </row>
    <row r="253" spans="2:24">
      <c r="B253" s="8" t="s">
        <v>737</v>
      </c>
      <c r="C253" s="9" t="s">
        <v>231</v>
      </c>
      <c r="D253" s="9" t="s">
        <v>735</v>
      </c>
      <c r="E253" s="9" t="s">
        <v>726</v>
      </c>
      <c r="F253" s="9" t="s">
        <v>738</v>
      </c>
      <c r="G253" s="9" t="s">
        <v>59</v>
      </c>
      <c r="H253" s="7" t="str">
        <f>IFERROR(IF(_xlfn.XLOOKUP(B253,REPASSE!D:D,REPASSE!D:D)="","Não","Sim"),"Não")</f>
        <v>Não</v>
      </c>
      <c r="I253" s="7" t="str">
        <f>IF(_xlfn.XLOOKUP(B253,'BOOST LIBERADO'!B:B,'BOOST LIBERADO'!B:B,"Não")="Não","Não","Sim")</f>
        <v>Sim</v>
      </c>
      <c r="J253" s="83" t="str">
        <f t="shared" si="6"/>
        <v>Sim</v>
      </c>
      <c r="K253" s="12">
        <f>SUMIFS(BASE!$G:$G,BASE!$B:$B,$B253,BASE!$L:$L,$G253,BASE!$J:$J,$C253,BASE!$A:$A,K$2)</f>
        <v>1</v>
      </c>
      <c r="L253" s="12">
        <f>SUMIFS(BASE!$G:$G,BASE!$B:$B,$B253,BASE!$L:$L,$G253,BASE!$J:$J,$C253,BASE!$A:$A,L$2)</f>
        <v>0</v>
      </c>
      <c r="M253" s="12">
        <f>SUMIFS(BASE!$G:$G,BASE!$B:$B,$B253,BASE!$L:$L,$G253,BASE!$J:$J,$C253,BASE!$A:$A,M$2)</f>
        <v>0</v>
      </c>
      <c r="N253" s="12">
        <f>SUMIFS(BASE!$G:$G,BASE!$B:$B,$B253,BASE!$L:$L,$G253,BASE!$J:$J,$C253,BASE!$A:$A,N$2)</f>
        <v>2</v>
      </c>
      <c r="O253" s="12">
        <f>SUMIFS(BASE!$G:$G,BASE!$B:$B,$B253,BASE!$L:$L,$G253,BASE!$J:$J,$C253,BASE!$A:$A,O$2)</f>
        <v>0</v>
      </c>
      <c r="P253" s="12">
        <f>SUMIFS(BASE!$G:$G,BASE!$B:$B,$B253,BASE!$L:$L,$G253,BASE!$J:$J,$C253,BASE!$A:$A,P$2)</f>
        <v>1</v>
      </c>
      <c r="Q253" s="12">
        <f>SUMIFS(BASE!$G:$G,BASE!$B:$B,$B253,BASE!$L:$L,$G253,BASE!$J:$J,$C253,BASE!$A:$A,Q$2)</f>
        <v>0</v>
      </c>
      <c r="R253" s="12">
        <f>SUMIFS(BASE!$G:$G,BASE!$B:$B,$B253,BASE!$L:$L,$G253,BASE!$J:$J,$C253,BASE!$A:$A,R$2)</f>
        <v>2</v>
      </c>
      <c r="S253" s="12">
        <f>SUMIFS(BASE!$G:$G,BASE!$B:$B,$B253,BASE!$L:$L,$G253,BASE!$J:$J,$C253,BASE!$A:$A,S$2)</f>
        <v>0</v>
      </c>
      <c r="T253" s="12">
        <f>SUMIFS(BASE!$G:$G,BASE!$B:$B,$B253,BASE!$L:$L,$G253,BASE!$J:$J,$C253,BASE!$A:$A,T$2)</f>
        <v>0</v>
      </c>
      <c r="U253" s="12">
        <f>SUMIFS(BASE!$G:$G,BASE!$B:$B,$B253,BASE!$L:$L,$G253,BASE!$J:$J,$C253,BASE!$A:$A,U$2)</f>
        <v>0</v>
      </c>
      <c r="V253" s="12">
        <f>SUMIFS(BASE!$G:$G,BASE!$B:$B,$B253,BASE!$L:$L,$G253,BASE!$J:$J,$C253,BASE!$A:$A,V$2)</f>
        <v>0</v>
      </c>
      <c r="X253" t="str">
        <f t="shared" si="7"/>
        <v>COM TROCAS</v>
      </c>
    </row>
    <row r="254" spans="2:24">
      <c r="B254" s="8" t="s">
        <v>739</v>
      </c>
      <c r="C254" s="9" t="s">
        <v>113</v>
      </c>
      <c r="D254" s="9" t="s">
        <v>735</v>
      </c>
      <c r="E254" s="9" t="s">
        <v>726</v>
      </c>
      <c r="F254" s="9" t="s">
        <v>740</v>
      </c>
      <c r="G254" s="9" t="s">
        <v>59</v>
      </c>
      <c r="H254" s="7" t="str">
        <f>IFERROR(IF(_xlfn.XLOOKUP(B254,REPASSE!D:D,REPASSE!D:D)="","Não","Sim"),"Não")</f>
        <v>Não</v>
      </c>
      <c r="I254" s="7" t="str">
        <f>IF(_xlfn.XLOOKUP(B254,'BOOST LIBERADO'!B:B,'BOOST LIBERADO'!B:B,"Não")="Não","Não","Sim")</f>
        <v>Sim</v>
      </c>
      <c r="J254" s="83" t="str">
        <f t="shared" si="6"/>
        <v>Sim</v>
      </c>
      <c r="K254" s="12">
        <f>SUMIFS(BASE!$G:$G,BASE!$B:$B,$B254,BASE!$L:$L,$G254,BASE!$J:$J,$C254,BASE!$A:$A,K$2)</f>
        <v>0</v>
      </c>
      <c r="L254" s="12">
        <f>SUMIFS(BASE!$G:$G,BASE!$B:$B,$B254,BASE!$L:$L,$G254,BASE!$J:$J,$C254,BASE!$A:$A,L$2)</f>
        <v>0</v>
      </c>
      <c r="M254" s="12">
        <f>SUMIFS(BASE!$G:$G,BASE!$B:$B,$B254,BASE!$L:$L,$G254,BASE!$J:$J,$C254,BASE!$A:$A,M$2)</f>
        <v>0</v>
      </c>
      <c r="N254" s="12">
        <f>SUMIFS(BASE!$G:$G,BASE!$B:$B,$B254,BASE!$L:$L,$G254,BASE!$J:$J,$C254,BASE!$A:$A,N$2)</f>
        <v>0</v>
      </c>
      <c r="O254" s="12">
        <f>SUMIFS(BASE!$G:$G,BASE!$B:$B,$B254,BASE!$L:$L,$G254,BASE!$J:$J,$C254,BASE!$A:$A,O$2)</f>
        <v>0</v>
      </c>
      <c r="P254" s="12">
        <f>SUMIFS(BASE!$G:$G,BASE!$B:$B,$B254,BASE!$L:$L,$G254,BASE!$J:$J,$C254,BASE!$A:$A,P$2)</f>
        <v>0</v>
      </c>
      <c r="Q254" s="12">
        <f>SUMIFS(BASE!$G:$G,BASE!$B:$B,$B254,BASE!$L:$L,$G254,BASE!$J:$J,$C254,BASE!$A:$A,Q$2)</f>
        <v>0</v>
      </c>
      <c r="R254" s="12">
        <f>SUMIFS(BASE!$G:$G,BASE!$B:$B,$B254,BASE!$L:$L,$G254,BASE!$J:$J,$C254,BASE!$A:$A,R$2)</f>
        <v>0</v>
      </c>
      <c r="S254" s="12">
        <f>SUMIFS(BASE!$G:$G,BASE!$B:$B,$B254,BASE!$L:$L,$G254,BASE!$J:$J,$C254,BASE!$A:$A,S$2)</f>
        <v>0</v>
      </c>
      <c r="T254" s="12">
        <f>SUMIFS(BASE!$G:$G,BASE!$B:$B,$B254,BASE!$L:$L,$G254,BASE!$J:$J,$C254,BASE!$A:$A,T$2)</f>
        <v>0</v>
      </c>
      <c r="U254" s="12">
        <f>SUMIFS(BASE!$G:$G,BASE!$B:$B,$B254,BASE!$L:$L,$G254,BASE!$J:$J,$C254,BASE!$A:$A,U$2)</f>
        <v>0</v>
      </c>
      <c r="V254" s="12">
        <f>SUMIFS(BASE!$G:$G,BASE!$B:$B,$B254,BASE!$L:$L,$G254,BASE!$J:$J,$C254,BASE!$A:$A,V$2)</f>
        <v>0</v>
      </c>
      <c r="X254" t="str">
        <f t="shared" si="7"/>
        <v>ZERADO</v>
      </c>
    </row>
    <row r="255" spans="2:24">
      <c r="B255" s="8" t="s">
        <v>741</v>
      </c>
      <c r="C255" s="9" t="s">
        <v>113</v>
      </c>
      <c r="D255" s="9" t="s">
        <v>735</v>
      </c>
      <c r="E255" s="9" t="s">
        <v>726</v>
      </c>
      <c r="F255" s="9" t="s">
        <v>742</v>
      </c>
      <c r="G255" s="9" t="s">
        <v>59</v>
      </c>
      <c r="H255" s="7" t="str">
        <f>IFERROR(IF(_xlfn.XLOOKUP(B255,REPASSE!D:D,REPASSE!D:D)="","Não","Sim"),"Não")</f>
        <v>Não</v>
      </c>
      <c r="I255" s="7" t="str">
        <f>IF(_xlfn.XLOOKUP(B255,'BOOST LIBERADO'!B:B,'BOOST LIBERADO'!B:B,"Não")="Não","Não","Sim")</f>
        <v>Sim</v>
      </c>
      <c r="J255" s="83" t="str">
        <f t="shared" si="6"/>
        <v>Sim</v>
      </c>
      <c r="K255" s="12">
        <f>SUMIFS(BASE!$G:$G,BASE!$B:$B,$B255,BASE!$L:$L,$G255,BASE!$J:$J,$C255,BASE!$A:$A,K$2)</f>
        <v>0</v>
      </c>
      <c r="L255" s="12">
        <f>SUMIFS(BASE!$G:$G,BASE!$B:$B,$B255,BASE!$L:$L,$G255,BASE!$J:$J,$C255,BASE!$A:$A,L$2)</f>
        <v>0</v>
      </c>
      <c r="M255" s="12">
        <f>SUMIFS(BASE!$G:$G,BASE!$B:$B,$B255,BASE!$L:$L,$G255,BASE!$J:$J,$C255,BASE!$A:$A,M$2)</f>
        <v>0</v>
      </c>
      <c r="N255" s="12">
        <f>SUMIFS(BASE!$G:$G,BASE!$B:$B,$B255,BASE!$L:$L,$G255,BASE!$J:$J,$C255,BASE!$A:$A,N$2)</f>
        <v>0</v>
      </c>
      <c r="O255" s="12">
        <f>SUMIFS(BASE!$G:$G,BASE!$B:$B,$B255,BASE!$L:$L,$G255,BASE!$J:$J,$C255,BASE!$A:$A,O$2)</f>
        <v>0</v>
      </c>
      <c r="P255" s="12">
        <f>SUMIFS(BASE!$G:$G,BASE!$B:$B,$B255,BASE!$L:$L,$G255,BASE!$J:$J,$C255,BASE!$A:$A,P$2)</f>
        <v>0</v>
      </c>
      <c r="Q255" s="12">
        <f>SUMIFS(BASE!$G:$G,BASE!$B:$B,$B255,BASE!$L:$L,$G255,BASE!$J:$J,$C255,BASE!$A:$A,Q$2)</f>
        <v>0</v>
      </c>
      <c r="R255" s="12">
        <f>SUMIFS(BASE!$G:$G,BASE!$B:$B,$B255,BASE!$L:$L,$G255,BASE!$J:$J,$C255,BASE!$A:$A,R$2)</f>
        <v>0</v>
      </c>
      <c r="S255" s="12">
        <f>SUMIFS(BASE!$G:$G,BASE!$B:$B,$B255,BASE!$L:$L,$G255,BASE!$J:$J,$C255,BASE!$A:$A,S$2)</f>
        <v>0</v>
      </c>
      <c r="T255" s="12">
        <f>SUMIFS(BASE!$G:$G,BASE!$B:$B,$B255,BASE!$L:$L,$G255,BASE!$J:$J,$C255,BASE!$A:$A,T$2)</f>
        <v>0</v>
      </c>
      <c r="U255" s="12">
        <f>SUMIFS(BASE!$G:$G,BASE!$B:$B,$B255,BASE!$L:$L,$G255,BASE!$J:$J,$C255,BASE!$A:$A,U$2)</f>
        <v>0</v>
      </c>
      <c r="V255" s="12">
        <f>SUMIFS(BASE!$G:$G,BASE!$B:$B,$B255,BASE!$L:$L,$G255,BASE!$J:$J,$C255,BASE!$A:$A,V$2)</f>
        <v>0</v>
      </c>
      <c r="X255" t="str">
        <f t="shared" si="7"/>
        <v>ZERADO</v>
      </c>
    </row>
    <row r="256" spans="2:24">
      <c r="B256" s="8" t="s">
        <v>743</v>
      </c>
      <c r="C256" s="9" t="s">
        <v>240</v>
      </c>
      <c r="D256" s="9" t="s">
        <v>643</v>
      </c>
      <c r="E256" s="9" t="s">
        <v>609</v>
      </c>
      <c r="F256" s="9" t="s">
        <v>619</v>
      </c>
      <c r="G256" s="9" t="s">
        <v>59</v>
      </c>
      <c r="H256" s="7" t="str">
        <f>IFERROR(IF(_xlfn.XLOOKUP(B256,REPASSE!D:D,REPASSE!D:D)="","Não","Sim"),"Não")</f>
        <v>Não</v>
      </c>
      <c r="I256" s="7" t="str">
        <f>IF(_xlfn.XLOOKUP(B256,'BOOST LIBERADO'!B:B,'BOOST LIBERADO'!B:B,"Não")="Não","Não","Sim")</f>
        <v>Sim</v>
      </c>
      <c r="J256" s="83" t="str">
        <f t="shared" si="6"/>
        <v>Sim</v>
      </c>
      <c r="K256" s="12">
        <f>SUMIFS(BASE!$G:$G,BASE!$B:$B,$B256,BASE!$L:$L,$G256,BASE!$J:$J,$C256,BASE!$A:$A,K$2)</f>
        <v>0</v>
      </c>
      <c r="L256" s="12">
        <f>SUMIFS(BASE!$G:$G,BASE!$B:$B,$B256,BASE!$L:$L,$G256,BASE!$J:$J,$C256,BASE!$A:$A,L$2)</f>
        <v>0</v>
      </c>
      <c r="M256" s="12">
        <f>SUMIFS(BASE!$G:$G,BASE!$B:$B,$B256,BASE!$L:$L,$G256,BASE!$J:$J,$C256,BASE!$A:$A,M$2)</f>
        <v>0</v>
      </c>
      <c r="N256" s="12">
        <f>SUMIFS(BASE!$G:$G,BASE!$B:$B,$B256,BASE!$L:$L,$G256,BASE!$J:$J,$C256,BASE!$A:$A,N$2)</f>
        <v>1</v>
      </c>
      <c r="O256" s="12">
        <f>SUMIFS(BASE!$G:$G,BASE!$B:$B,$B256,BASE!$L:$L,$G256,BASE!$J:$J,$C256,BASE!$A:$A,O$2)</f>
        <v>0</v>
      </c>
      <c r="P256" s="12">
        <f>SUMIFS(BASE!$G:$G,BASE!$B:$B,$B256,BASE!$L:$L,$G256,BASE!$J:$J,$C256,BASE!$A:$A,P$2)</f>
        <v>3</v>
      </c>
      <c r="Q256" s="12">
        <f>SUMIFS(BASE!$G:$G,BASE!$B:$B,$B256,BASE!$L:$L,$G256,BASE!$J:$J,$C256,BASE!$A:$A,Q$2)</f>
        <v>1</v>
      </c>
      <c r="R256" s="12">
        <f>SUMIFS(BASE!$G:$G,BASE!$B:$B,$B256,BASE!$L:$L,$G256,BASE!$J:$J,$C256,BASE!$A:$A,R$2)</f>
        <v>3</v>
      </c>
      <c r="S256" s="12">
        <f>SUMIFS(BASE!$G:$G,BASE!$B:$B,$B256,BASE!$L:$L,$G256,BASE!$J:$J,$C256,BASE!$A:$A,S$2)</f>
        <v>0</v>
      </c>
      <c r="T256" s="12">
        <f>SUMIFS(BASE!$G:$G,BASE!$B:$B,$B256,BASE!$L:$L,$G256,BASE!$J:$J,$C256,BASE!$A:$A,T$2)</f>
        <v>0</v>
      </c>
      <c r="U256" s="12">
        <f>SUMIFS(BASE!$G:$G,BASE!$B:$B,$B256,BASE!$L:$L,$G256,BASE!$J:$J,$C256,BASE!$A:$A,U$2)</f>
        <v>0</v>
      </c>
      <c r="V256" s="12">
        <f>SUMIFS(BASE!$G:$G,BASE!$B:$B,$B256,BASE!$L:$L,$G256,BASE!$J:$J,$C256,BASE!$A:$A,V$2)</f>
        <v>0</v>
      </c>
      <c r="X256" t="str">
        <f t="shared" si="7"/>
        <v>COM TROCAS</v>
      </c>
    </row>
    <row r="257" spans="2:24">
      <c r="B257" s="8" t="s">
        <v>744</v>
      </c>
      <c r="C257" s="9" t="s">
        <v>224</v>
      </c>
      <c r="D257" s="9" t="s">
        <v>608</v>
      </c>
      <c r="E257" s="9" t="s">
        <v>609</v>
      </c>
      <c r="F257" s="9" t="s">
        <v>745</v>
      </c>
      <c r="G257" s="9" t="s">
        <v>59</v>
      </c>
      <c r="H257" s="7" t="str">
        <f>IFERROR(IF(_xlfn.XLOOKUP(B257,REPASSE!D:D,REPASSE!D:D)="","Não","Sim"),"Não")</f>
        <v>Não</v>
      </c>
      <c r="I257" s="7" t="str">
        <f>IF(_xlfn.XLOOKUP(B257,'BOOST LIBERADO'!B:B,'BOOST LIBERADO'!B:B,"Não")="Não","Não","Sim")</f>
        <v>Sim</v>
      </c>
      <c r="J257" s="83" t="str">
        <f t="shared" si="6"/>
        <v>Sim</v>
      </c>
      <c r="K257" s="12">
        <f>SUMIFS(BASE!$G:$G,BASE!$B:$B,$B257,BASE!$L:$L,$G257,BASE!$J:$J,$C257,BASE!$A:$A,K$2)</f>
        <v>0</v>
      </c>
      <c r="L257" s="12">
        <f>SUMIFS(BASE!$G:$G,BASE!$B:$B,$B257,BASE!$L:$L,$G257,BASE!$J:$J,$C257,BASE!$A:$A,L$2)</f>
        <v>0</v>
      </c>
      <c r="M257" s="12">
        <f>SUMIFS(BASE!$G:$G,BASE!$B:$B,$B257,BASE!$L:$L,$G257,BASE!$J:$J,$C257,BASE!$A:$A,M$2)</f>
        <v>3</v>
      </c>
      <c r="N257" s="12">
        <f>SUMIFS(BASE!$G:$G,BASE!$B:$B,$B257,BASE!$L:$L,$G257,BASE!$J:$J,$C257,BASE!$A:$A,N$2)</f>
        <v>1</v>
      </c>
      <c r="O257" s="12">
        <f>SUMIFS(BASE!$G:$G,BASE!$B:$B,$B257,BASE!$L:$L,$G257,BASE!$J:$J,$C257,BASE!$A:$A,O$2)</f>
        <v>1</v>
      </c>
      <c r="P257" s="12">
        <f>SUMIFS(BASE!$G:$G,BASE!$B:$B,$B257,BASE!$L:$L,$G257,BASE!$J:$J,$C257,BASE!$A:$A,P$2)</f>
        <v>2</v>
      </c>
      <c r="Q257" s="12">
        <f>SUMIFS(BASE!$G:$G,BASE!$B:$B,$B257,BASE!$L:$L,$G257,BASE!$J:$J,$C257,BASE!$A:$A,Q$2)</f>
        <v>3</v>
      </c>
      <c r="R257" s="12">
        <f>SUMIFS(BASE!$G:$G,BASE!$B:$B,$B257,BASE!$L:$L,$G257,BASE!$J:$J,$C257,BASE!$A:$A,R$2)</f>
        <v>0</v>
      </c>
      <c r="S257" s="12">
        <f>SUMIFS(BASE!$G:$G,BASE!$B:$B,$B257,BASE!$L:$L,$G257,BASE!$J:$J,$C257,BASE!$A:$A,S$2)</f>
        <v>0</v>
      </c>
      <c r="T257" s="12">
        <f>SUMIFS(BASE!$G:$G,BASE!$B:$B,$B257,BASE!$L:$L,$G257,BASE!$J:$J,$C257,BASE!$A:$A,T$2)</f>
        <v>0</v>
      </c>
      <c r="U257" s="12">
        <f>SUMIFS(BASE!$G:$G,BASE!$B:$B,$B257,BASE!$L:$L,$G257,BASE!$J:$J,$C257,BASE!$A:$A,U$2)</f>
        <v>0</v>
      </c>
      <c r="V257" s="12">
        <f>SUMIFS(BASE!$G:$G,BASE!$B:$B,$B257,BASE!$L:$L,$G257,BASE!$J:$J,$C257,BASE!$A:$A,V$2)</f>
        <v>0</v>
      </c>
      <c r="X257" t="str">
        <f t="shared" si="7"/>
        <v>ZERADO</v>
      </c>
    </row>
    <row r="258" spans="2:24">
      <c r="B258" s="8" t="s">
        <v>746</v>
      </c>
      <c r="C258" s="9" t="s">
        <v>224</v>
      </c>
      <c r="D258" s="9" t="s">
        <v>608</v>
      </c>
      <c r="E258" s="9" t="s">
        <v>609</v>
      </c>
      <c r="F258" s="9" t="s">
        <v>610</v>
      </c>
      <c r="G258" s="9" t="s">
        <v>59</v>
      </c>
      <c r="H258" s="7" t="str">
        <f>IFERROR(IF(_xlfn.XLOOKUP(B258,REPASSE!D:D,REPASSE!D:D)="","Não","Sim"),"Não")</f>
        <v>Não</v>
      </c>
      <c r="I258" s="7" t="str">
        <f>IF(_xlfn.XLOOKUP(B258,'BOOST LIBERADO'!B:B,'BOOST LIBERADO'!B:B,"Não")="Não","Não","Sim")</f>
        <v>Sim</v>
      </c>
      <c r="J258" s="83" t="str">
        <f t="shared" si="6"/>
        <v>Sim</v>
      </c>
      <c r="K258" s="12">
        <f>SUMIFS(BASE!$G:$G,BASE!$B:$B,$B258,BASE!$L:$L,$G258,BASE!$J:$J,$C258,BASE!$A:$A,K$2)</f>
        <v>6</v>
      </c>
      <c r="L258" s="12">
        <f>SUMIFS(BASE!$G:$G,BASE!$B:$B,$B258,BASE!$L:$L,$G258,BASE!$J:$J,$C258,BASE!$A:$A,L$2)</f>
        <v>3</v>
      </c>
      <c r="M258" s="12">
        <f>SUMIFS(BASE!$G:$G,BASE!$B:$B,$B258,BASE!$L:$L,$G258,BASE!$J:$J,$C258,BASE!$A:$A,M$2)</f>
        <v>15</v>
      </c>
      <c r="N258" s="12">
        <f>SUMIFS(BASE!$G:$G,BASE!$B:$B,$B258,BASE!$L:$L,$G258,BASE!$J:$J,$C258,BASE!$A:$A,N$2)</f>
        <v>7</v>
      </c>
      <c r="O258" s="12">
        <f>SUMIFS(BASE!$G:$G,BASE!$B:$B,$B258,BASE!$L:$L,$G258,BASE!$J:$J,$C258,BASE!$A:$A,O$2)</f>
        <v>4</v>
      </c>
      <c r="P258" s="12">
        <f>SUMIFS(BASE!$G:$G,BASE!$B:$B,$B258,BASE!$L:$L,$G258,BASE!$J:$J,$C258,BASE!$A:$A,P$2)</f>
        <v>13</v>
      </c>
      <c r="Q258" s="12">
        <f>SUMIFS(BASE!$G:$G,BASE!$B:$B,$B258,BASE!$L:$L,$G258,BASE!$J:$J,$C258,BASE!$A:$A,Q$2)</f>
        <v>18</v>
      </c>
      <c r="R258" s="12">
        <f>SUMIFS(BASE!$G:$G,BASE!$B:$B,$B258,BASE!$L:$L,$G258,BASE!$J:$J,$C258,BASE!$A:$A,R$2)</f>
        <v>7</v>
      </c>
      <c r="S258" s="12">
        <f>SUMIFS(BASE!$G:$G,BASE!$B:$B,$B258,BASE!$L:$L,$G258,BASE!$J:$J,$C258,BASE!$A:$A,S$2)</f>
        <v>0</v>
      </c>
      <c r="T258" s="12">
        <f>SUMIFS(BASE!$G:$G,BASE!$B:$B,$B258,BASE!$L:$L,$G258,BASE!$J:$J,$C258,BASE!$A:$A,T$2)</f>
        <v>0</v>
      </c>
      <c r="U258" s="12">
        <f>SUMIFS(BASE!$G:$G,BASE!$B:$B,$B258,BASE!$L:$L,$G258,BASE!$J:$J,$C258,BASE!$A:$A,U$2)</f>
        <v>0</v>
      </c>
      <c r="V258" s="12">
        <f>SUMIFS(BASE!$G:$G,BASE!$B:$B,$B258,BASE!$L:$L,$G258,BASE!$J:$J,$C258,BASE!$A:$A,V$2)</f>
        <v>0</v>
      </c>
      <c r="X258" t="str">
        <f t="shared" si="7"/>
        <v>COM TROCAS</v>
      </c>
    </row>
    <row r="259" spans="2:24">
      <c r="B259" s="8" t="s">
        <v>747</v>
      </c>
      <c r="C259" s="8" t="s">
        <v>224</v>
      </c>
      <c r="D259" s="8" t="s">
        <v>608</v>
      </c>
      <c r="E259" s="8" t="s">
        <v>609</v>
      </c>
      <c r="F259" s="8" t="s">
        <v>610</v>
      </c>
      <c r="G259" s="8" t="s">
        <v>59</v>
      </c>
      <c r="H259" s="7" t="str">
        <f>IFERROR(IF(_xlfn.XLOOKUP(B259,REPASSE!D:D,REPASSE!D:D)="","Não","Sim"),"Não")</f>
        <v>Não</v>
      </c>
      <c r="I259" s="7" t="str">
        <f>IF(_xlfn.XLOOKUP(B259,'BOOST LIBERADO'!B:B,'BOOST LIBERADO'!B:B,"Não")="Não","Não","Sim")</f>
        <v>Sim</v>
      </c>
      <c r="J259" s="83" t="str">
        <f t="shared" si="6"/>
        <v>Sim</v>
      </c>
      <c r="K259" s="12">
        <f>SUMIFS(BASE!$G:$G,BASE!$B:$B,$B259,BASE!$L:$L,$G259,BASE!$J:$J,$C259,BASE!$A:$A,K$2)</f>
        <v>19</v>
      </c>
      <c r="L259" s="12">
        <f>SUMIFS(BASE!$G:$G,BASE!$B:$B,$B259,BASE!$L:$L,$G259,BASE!$J:$J,$C259,BASE!$A:$A,L$2)</f>
        <v>11</v>
      </c>
      <c r="M259" s="12">
        <f>SUMIFS(BASE!$G:$G,BASE!$B:$B,$B259,BASE!$L:$L,$G259,BASE!$J:$J,$C259,BASE!$A:$A,M$2)</f>
        <v>36</v>
      </c>
      <c r="N259" s="12">
        <f>SUMIFS(BASE!$G:$G,BASE!$B:$B,$B259,BASE!$L:$L,$G259,BASE!$J:$J,$C259,BASE!$A:$A,N$2)</f>
        <v>27</v>
      </c>
      <c r="O259" s="12">
        <f>SUMIFS(BASE!$G:$G,BASE!$B:$B,$B259,BASE!$L:$L,$G259,BASE!$J:$J,$C259,BASE!$A:$A,O$2)</f>
        <v>27</v>
      </c>
      <c r="P259" s="12">
        <f>SUMIFS(BASE!$G:$G,BASE!$B:$B,$B259,BASE!$L:$L,$G259,BASE!$J:$J,$C259,BASE!$A:$A,P$2)</f>
        <v>20</v>
      </c>
      <c r="Q259" s="12">
        <f>SUMIFS(BASE!$G:$G,BASE!$B:$B,$B259,BASE!$L:$L,$G259,BASE!$J:$J,$C259,BASE!$A:$A,Q$2)</f>
        <v>47</v>
      </c>
      <c r="R259" s="12">
        <f>SUMIFS(BASE!$G:$G,BASE!$B:$B,$B259,BASE!$L:$L,$G259,BASE!$J:$J,$C259,BASE!$A:$A,R$2)</f>
        <v>22</v>
      </c>
      <c r="S259" s="12">
        <f>SUMIFS(BASE!$G:$G,BASE!$B:$B,$B259,BASE!$L:$L,$G259,BASE!$J:$J,$C259,BASE!$A:$A,S$2)</f>
        <v>0</v>
      </c>
      <c r="T259" s="12">
        <f>SUMIFS(BASE!$G:$G,BASE!$B:$B,$B259,BASE!$L:$L,$G259,BASE!$J:$J,$C259,BASE!$A:$A,T$2)</f>
        <v>0</v>
      </c>
      <c r="U259" s="12">
        <f>SUMIFS(BASE!$G:$G,BASE!$B:$B,$B259,BASE!$L:$L,$G259,BASE!$J:$J,$C259,BASE!$A:$A,U$2)</f>
        <v>0</v>
      </c>
      <c r="V259" s="12">
        <f>SUMIFS(BASE!$G:$G,BASE!$B:$B,$B259,BASE!$L:$L,$G259,BASE!$J:$J,$C259,BASE!$A:$A,V$2)</f>
        <v>0</v>
      </c>
      <c r="X259" t="str">
        <f t="shared" si="7"/>
        <v>COM TROCAS</v>
      </c>
    </row>
    <row r="260" spans="2:24">
      <c r="B260" s="8" t="s">
        <v>748</v>
      </c>
      <c r="C260" s="9" t="s">
        <v>100</v>
      </c>
      <c r="D260" s="9" t="s">
        <v>624</v>
      </c>
      <c r="E260" s="9" t="s">
        <v>609</v>
      </c>
      <c r="F260" s="9" t="s">
        <v>610</v>
      </c>
      <c r="G260" s="9" t="s">
        <v>59</v>
      </c>
      <c r="H260" s="7" t="str">
        <f>IFERROR(IF(_xlfn.XLOOKUP(B260,REPASSE!D:D,REPASSE!D:D)="","Não","Sim"),"Não")</f>
        <v>Não</v>
      </c>
      <c r="I260" s="7" t="str">
        <f>IF(_xlfn.XLOOKUP(B260,'BOOST LIBERADO'!B:B,'BOOST LIBERADO'!B:B,"Não")="Não","Não","Sim")</f>
        <v>Sim</v>
      </c>
      <c r="J260" s="83" t="str">
        <f t="shared" ref="J260:J323" si="8">IF(AND(H260="Não",I260="Sim"),"Sim","Não")</f>
        <v>Sim</v>
      </c>
      <c r="K260" s="12">
        <f>SUMIFS(BASE!$G:$G,BASE!$B:$B,$B260,BASE!$L:$L,$G260,BASE!$J:$J,$C260,BASE!$A:$A,K$2)</f>
        <v>0</v>
      </c>
      <c r="L260" s="12">
        <f>SUMIFS(BASE!$G:$G,BASE!$B:$B,$B260,BASE!$L:$L,$G260,BASE!$J:$J,$C260,BASE!$A:$A,L$2)</f>
        <v>0</v>
      </c>
      <c r="M260" s="12">
        <f>SUMIFS(BASE!$G:$G,BASE!$B:$B,$B260,BASE!$L:$L,$G260,BASE!$J:$J,$C260,BASE!$A:$A,M$2)</f>
        <v>0</v>
      </c>
      <c r="N260" s="12">
        <f>SUMIFS(BASE!$G:$G,BASE!$B:$B,$B260,BASE!$L:$L,$G260,BASE!$J:$J,$C260,BASE!$A:$A,N$2)</f>
        <v>0</v>
      </c>
      <c r="O260" s="12">
        <f>SUMIFS(BASE!$G:$G,BASE!$B:$B,$B260,BASE!$L:$L,$G260,BASE!$J:$J,$C260,BASE!$A:$A,O$2)</f>
        <v>0</v>
      </c>
      <c r="P260" s="12">
        <f>SUMIFS(BASE!$G:$G,BASE!$B:$B,$B260,BASE!$L:$L,$G260,BASE!$J:$J,$C260,BASE!$A:$A,P$2)</f>
        <v>0</v>
      </c>
      <c r="Q260" s="12">
        <f>SUMIFS(BASE!$G:$G,BASE!$B:$B,$B260,BASE!$L:$L,$G260,BASE!$J:$J,$C260,BASE!$A:$A,Q$2)</f>
        <v>0</v>
      </c>
      <c r="R260" s="12">
        <f>SUMIFS(BASE!$G:$G,BASE!$B:$B,$B260,BASE!$L:$L,$G260,BASE!$J:$J,$C260,BASE!$A:$A,R$2)</f>
        <v>0</v>
      </c>
      <c r="S260" s="12">
        <f>SUMIFS(BASE!$G:$G,BASE!$B:$B,$B260,BASE!$L:$L,$G260,BASE!$J:$J,$C260,BASE!$A:$A,S$2)</f>
        <v>0</v>
      </c>
      <c r="T260" s="12">
        <f>SUMIFS(BASE!$G:$G,BASE!$B:$B,$B260,BASE!$L:$L,$G260,BASE!$J:$J,$C260,BASE!$A:$A,T$2)</f>
        <v>0</v>
      </c>
      <c r="U260" s="12">
        <f>SUMIFS(BASE!$G:$G,BASE!$B:$B,$B260,BASE!$L:$L,$G260,BASE!$J:$J,$C260,BASE!$A:$A,U$2)</f>
        <v>0</v>
      </c>
      <c r="V260" s="12">
        <f>SUMIFS(BASE!$G:$G,BASE!$B:$B,$B260,BASE!$L:$L,$G260,BASE!$J:$J,$C260,BASE!$A:$A,V$2)</f>
        <v>0</v>
      </c>
      <c r="X260" t="str">
        <f t="shared" ref="X260:X323" si="9">IF(AND(R260=0),"ZERADO","COM TROCAS")</f>
        <v>ZERADO</v>
      </c>
    </row>
    <row r="261" spans="2:24">
      <c r="B261" s="8" t="s">
        <v>749</v>
      </c>
      <c r="C261" s="9" t="s">
        <v>224</v>
      </c>
      <c r="D261" s="9" t="s">
        <v>608</v>
      </c>
      <c r="E261" s="9" t="s">
        <v>609</v>
      </c>
      <c r="F261" s="9" t="s">
        <v>750</v>
      </c>
      <c r="G261" s="9" t="s">
        <v>59</v>
      </c>
      <c r="H261" s="7" t="str">
        <f>IFERROR(IF(_xlfn.XLOOKUP(B261,REPASSE!D:D,REPASSE!D:D)="","Não","Sim"),"Não")</f>
        <v>Não</v>
      </c>
      <c r="I261" s="7" t="str">
        <f>IF(_xlfn.XLOOKUP(B261,'BOOST LIBERADO'!B:B,'BOOST LIBERADO'!B:B,"Não")="Não","Não","Sim")</f>
        <v>Sim</v>
      </c>
      <c r="J261" s="83" t="str">
        <f t="shared" si="8"/>
        <v>Sim</v>
      </c>
      <c r="K261" s="12">
        <f>SUMIFS(BASE!$G:$G,BASE!$B:$B,$B261,BASE!$L:$L,$G261,BASE!$J:$J,$C261,BASE!$A:$A,K$2)</f>
        <v>0</v>
      </c>
      <c r="L261" s="12">
        <f>SUMIFS(BASE!$G:$G,BASE!$B:$B,$B261,BASE!$L:$L,$G261,BASE!$J:$J,$C261,BASE!$A:$A,L$2)</f>
        <v>0</v>
      </c>
      <c r="M261" s="12">
        <f>SUMIFS(BASE!$G:$G,BASE!$B:$B,$B261,BASE!$L:$L,$G261,BASE!$J:$J,$C261,BASE!$A:$A,M$2)</f>
        <v>0</v>
      </c>
      <c r="N261" s="12">
        <f>SUMIFS(BASE!$G:$G,BASE!$B:$B,$B261,BASE!$L:$L,$G261,BASE!$J:$J,$C261,BASE!$A:$A,N$2)</f>
        <v>0</v>
      </c>
      <c r="O261" s="12">
        <f>SUMIFS(BASE!$G:$G,BASE!$B:$B,$B261,BASE!$L:$L,$G261,BASE!$J:$J,$C261,BASE!$A:$A,O$2)</f>
        <v>1</v>
      </c>
      <c r="P261" s="12">
        <f>SUMIFS(BASE!$G:$G,BASE!$B:$B,$B261,BASE!$L:$L,$G261,BASE!$J:$J,$C261,BASE!$A:$A,P$2)</f>
        <v>2</v>
      </c>
      <c r="Q261" s="12">
        <f>SUMIFS(BASE!$G:$G,BASE!$B:$B,$B261,BASE!$L:$L,$G261,BASE!$J:$J,$C261,BASE!$A:$A,Q$2)</f>
        <v>4</v>
      </c>
      <c r="R261" s="12">
        <f>SUMIFS(BASE!$G:$G,BASE!$B:$B,$B261,BASE!$L:$L,$G261,BASE!$J:$J,$C261,BASE!$A:$A,R$2)</f>
        <v>2</v>
      </c>
      <c r="S261" s="12">
        <f>SUMIFS(BASE!$G:$G,BASE!$B:$B,$B261,BASE!$L:$L,$G261,BASE!$J:$J,$C261,BASE!$A:$A,S$2)</f>
        <v>0</v>
      </c>
      <c r="T261" s="12">
        <f>SUMIFS(BASE!$G:$G,BASE!$B:$B,$B261,BASE!$L:$L,$G261,BASE!$J:$J,$C261,BASE!$A:$A,T$2)</f>
        <v>0</v>
      </c>
      <c r="U261" s="12">
        <f>SUMIFS(BASE!$G:$G,BASE!$B:$B,$B261,BASE!$L:$L,$G261,BASE!$J:$J,$C261,BASE!$A:$A,U$2)</f>
        <v>0</v>
      </c>
      <c r="V261" s="12">
        <f>SUMIFS(BASE!$G:$G,BASE!$B:$B,$B261,BASE!$L:$L,$G261,BASE!$J:$J,$C261,BASE!$A:$A,V$2)</f>
        <v>0</v>
      </c>
      <c r="X261" t="str">
        <f t="shared" si="9"/>
        <v>COM TROCAS</v>
      </c>
    </row>
    <row r="262" spans="2:24">
      <c r="B262" s="8" t="s">
        <v>751</v>
      </c>
      <c r="C262" s="9" t="s">
        <v>100</v>
      </c>
      <c r="D262" s="9" t="s">
        <v>624</v>
      </c>
      <c r="E262" s="9" t="s">
        <v>609</v>
      </c>
      <c r="F262" s="9" t="s">
        <v>752</v>
      </c>
      <c r="G262" s="9" t="s">
        <v>59</v>
      </c>
      <c r="H262" s="7" t="str">
        <f>IFERROR(IF(_xlfn.XLOOKUP(B262,REPASSE!D:D,REPASSE!D:D)="","Não","Sim"),"Não")</f>
        <v>Não</v>
      </c>
      <c r="I262" s="7" t="str">
        <f>IF(_xlfn.XLOOKUP(B262,'BOOST LIBERADO'!B:B,'BOOST LIBERADO'!B:B,"Não")="Não","Não","Sim")</f>
        <v>Sim</v>
      </c>
      <c r="J262" s="83" t="str">
        <f t="shared" si="8"/>
        <v>Sim</v>
      </c>
      <c r="K262" s="12">
        <f>SUMIFS(BASE!$G:$G,BASE!$B:$B,$B262,BASE!$L:$L,$G262,BASE!$J:$J,$C262,BASE!$A:$A,K$2)</f>
        <v>0</v>
      </c>
      <c r="L262" s="12">
        <f>SUMIFS(BASE!$G:$G,BASE!$B:$B,$B262,BASE!$L:$L,$G262,BASE!$J:$J,$C262,BASE!$A:$A,L$2)</f>
        <v>0</v>
      </c>
      <c r="M262" s="12">
        <f>SUMIFS(BASE!$G:$G,BASE!$B:$B,$B262,BASE!$L:$L,$G262,BASE!$J:$J,$C262,BASE!$A:$A,M$2)</f>
        <v>0</v>
      </c>
      <c r="N262" s="12">
        <f>SUMIFS(BASE!$G:$G,BASE!$B:$B,$B262,BASE!$L:$L,$G262,BASE!$J:$J,$C262,BASE!$A:$A,N$2)</f>
        <v>0</v>
      </c>
      <c r="O262" s="12">
        <f>SUMIFS(BASE!$G:$G,BASE!$B:$B,$B262,BASE!$L:$L,$G262,BASE!$J:$J,$C262,BASE!$A:$A,O$2)</f>
        <v>0</v>
      </c>
      <c r="P262" s="12">
        <f>SUMIFS(BASE!$G:$G,BASE!$B:$B,$B262,BASE!$L:$L,$G262,BASE!$J:$J,$C262,BASE!$A:$A,P$2)</f>
        <v>0</v>
      </c>
      <c r="Q262" s="12">
        <f>SUMIFS(BASE!$G:$G,BASE!$B:$B,$B262,BASE!$L:$L,$G262,BASE!$J:$J,$C262,BASE!$A:$A,Q$2)</f>
        <v>0</v>
      </c>
      <c r="R262" s="12">
        <f>SUMIFS(BASE!$G:$G,BASE!$B:$B,$B262,BASE!$L:$L,$G262,BASE!$J:$J,$C262,BASE!$A:$A,R$2)</f>
        <v>0</v>
      </c>
      <c r="S262" s="12">
        <f>SUMIFS(BASE!$G:$G,BASE!$B:$B,$B262,BASE!$L:$L,$G262,BASE!$J:$J,$C262,BASE!$A:$A,S$2)</f>
        <v>0</v>
      </c>
      <c r="T262" s="12">
        <f>SUMIFS(BASE!$G:$G,BASE!$B:$B,$B262,BASE!$L:$L,$G262,BASE!$J:$J,$C262,BASE!$A:$A,T$2)</f>
        <v>0</v>
      </c>
      <c r="U262" s="12">
        <f>SUMIFS(BASE!$G:$G,BASE!$B:$B,$B262,BASE!$L:$L,$G262,BASE!$J:$J,$C262,BASE!$A:$A,U$2)</f>
        <v>0</v>
      </c>
      <c r="V262" s="12">
        <f>SUMIFS(BASE!$G:$G,BASE!$B:$B,$B262,BASE!$L:$L,$G262,BASE!$J:$J,$C262,BASE!$A:$A,V$2)</f>
        <v>0</v>
      </c>
      <c r="X262" t="str">
        <f t="shared" si="9"/>
        <v>ZERADO</v>
      </c>
    </row>
    <row r="263" spans="2:24">
      <c r="B263" s="8" t="s">
        <v>753</v>
      </c>
      <c r="C263" s="8" t="s">
        <v>239</v>
      </c>
      <c r="D263" s="8" t="s">
        <v>612</v>
      </c>
      <c r="E263" s="8" t="s">
        <v>609</v>
      </c>
      <c r="F263" s="8" t="s">
        <v>754</v>
      </c>
      <c r="G263" s="8" t="s">
        <v>59</v>
      </c>
      <c r="H263" s="7" t="str">
        <f>IFERROR(IF(_xlfn.XLOOKUP(B263,REPASSE!D:D,REPASSE!D:D)="","Não","Sim"),"Não")</f>
        <v>Não</v>
      </c>
      <c r="I263" s="7" t="str">
        <f>IF(_xlfn.XLOOKUP(B263,'BOOST LIBERADO'!B:B,'BOOST LIBERADO'!B:B,"Não")="Não","Não","Sim")</f>
        <v>Sim</v>
      </c>
      <c r="J263" s="83" t="str">
        <f t="shared" si="8"/>
        <v>Sim</v>
      </c>
      <c r="K263" s="12">
        <f>SUMIFS(BASE!$G:$G,BASE!$B:$B,$B263,BASE!$L:$L,$G263,BASE!$J:$J,$C263,BASE!$A:$A,K$2)</f>
        <v>0</v>
      </c>
      <c r="L263" s="12">
        <f>SUMIFS(BASE!$G:$G,BASE!$B:$B,$B263,BASE!$L:$L,$G263,BASE!$J:$J,$C263,BASE!$A:$A,L$2)</f>
        <v>0</v>
      </c>
      <c r="M263" s="12">
        <f>SUMIFS(BASE!$G:$G,BASE!$B:$B,$B263,BASE!$L:$L,$G263,BASE!$J:$J,$C263,BASE!$A:$A,M$2)</f>
        <v>0</v>
      </c>
      <c r="N263" s="12">
        <f>SUMIFS(BASE!$G:$G,BASE!$B:$B,$B263,BASE!$L:$L,$G263,BASE!$J:$J,$C263,BASE!$A:$A,N$2)</f>
        <v>3</v>
      </c>
      <c r="O263" s="12">
        <f>SUMIFS(BASE!$G:$G,BASE!$B:$B,$B263,BASE!$L:$L,$G263,BASE!$J:$J,$C263,BASE!$A:$A,O$2)</f>
        <v>1</v>
      </c>
      <c r="P263" s="12">
        <f>SUMIFS(BASE!$G:$G,BASE!$B:$B,$B263,BASE!$L:$L,$G263,BASE!$J:$J,$C263,BASE!$A:$A,P$2)</f>
        <v>3</v>
      </c>
      <c r="Q263" s="12">
        <f>SUMIFS(BASE!$G:$G,BASE!$B:$B,$B263,BASE!$L:$L,$G263,BASE!$J:$J,$C263,BASE!$A:$A,Q$2)</f>
        <v>7</v>
      </c>
      <c r="R263" s="12">
        <f>SUMIFS(BASE!$G:$G,BASE!$B:$B,$B263,BASE!$L:$L,$G263,BASE!$J:$J,$C263,BASE!$A:$A,R$2)</f>
        <v>6</v>
      </c>
      <c r="S263" s="12">
        <f>SUMIFS(BASE!$G:$G,BASE!$B:$B,$B263,BASE!$L:$L,$G263,BASE!$J:$J,$C263,BASE!$A:$A,S$2)</f>
        <v>0</v>
      </c>
      <c r="T263" s="12">
        <f>SUMIFS(BASE!$G:$G,BASE!$B:$B,$B263,BASE!$L:$L,$G263,BASE!$J:$J,$C263,BASE!$A:$A,T$2)</f>
        <v>0</v>
      </c>
      <c r="U263" s="12">
        <f>SUMIFS(BASE!$G:$G,BASE!$B:$B,$B263,BASE!$L:$L,$G263,BASE!$J:$J,$C263,BASE!$A:$A,U$2)</f>
        <v>0</v>
      </c>
      <c r="V263" s="12">
        <f>SUMIFS(BASE!$G:$G,BASE!$B:$B,$B263,BASE!$L:$L,$G263,BASE!$J:$J,$C263,BASE!$A:$A,V$2)</f>
        <v>0</v>
      </c>
      <c r="X263" t="str">
        <f t="shared" si="9"/>
        <v>COM TROCAS</v>
      </c>
    </row>
    <row r="264" spans="2:24">
      <c r="B264" s="8" t="s">
        <v>755</v>
      </c>
      <c r="C264" s="9" t="s">
        <v>239</v>
      </c>
      <c r="D264" s="9" t="s">
        <v>612</v>
      </c>
      <c r="E264" s="9" t="s">
        <v>609</v>
      </c>
      <c r="F264" s="9" t="s">
        <v>616</v>
      </c>
      <c r="G264" s="9" t="s">
        <v>59</v>
      </c>
      <c r="H264" s="7" t="str">
        <f>IFERROR(IF(_xlfn.XLOOKUP(B264,REPASSE!D:D,REPASSE!D:D)="","Não","Sim"),"Não")</f>
        <v>Não</v>
      </c>
      <c r="I264" s="7" t="str">
        <f>IF(_xlfn.XLOOKUP(B264,'BOOST LIBERADO'!B:B,'BOOST LIBERADO'!B:B,"Não")="Não","Não","Sim")</f>
        <v>Sim</v>
      </c>
      <c r="J264" s="83" t="str">
        <f t="shared" si="8"/>
        <v>Sim</v>
      </c>
      <c r="K264" s="12">
        <f>SUMIFS(BASE!$G:$G,BASE!$B:$B,$B264,BASE!$L:$L,$G264,BASE!$J:$J,$C264,BASE!$A:$A,K$2)</f>
        <v>2</v>
      </c>
      <c r="L264" s="12">
        <f>SUMIFS(BASE!$G:$G,BASE!$B:$B,$B264,BASE!$L:$L,$G264,BASE!$J:$J,$C264,BASE!$A:$A,L$2)</f>
        <v>0</v>
      </c>
      <c r="M264" s="12">
        <f>SUMIFS(BASE!$G:$G,BASE!$B:$B,$B264,BASE!$L:$L,$G264,BASE!$J:$J,$C264,BASE!$A:$A,M$2)</f>
        <v>1</v>
      </c>
      <c r="N264" s="12">
        <f>SUMIFS(BASE!$G:$G,BASE!$B:$B,$B264,BASE!$L:$L,$G264,BASE!$J:$J,$C264,BASE!$A:$A,N$2)</f>
        <v>1</v>
      </c>
      <c r="O264" s="12">
        <f>SUMIFS(BASE!$G:$G,BASE!$B:$B,$B264,BASE!$L:$L,$G264,BASE!$J:$J,$C264,BASE!$A:$A,O$2)</f>
        <v>0</v>
      </c>
      <c r="P264" s="12">
        <f>SUMIFS(BASE!$G:$G,BASE!$B:$B,$B264,BASE!$L:$L,$G264,BASE!$J:$J,$C264,BASE!$A:$A,P$2)</f>
        <v>0</v>
      </c>
      <c r="Q264" s="12">
        <f>SUMIFS(BASE!$G:$G,BASE!$B:$B,$B264,BASE!$L:$L,$G264,BASE!$J:$J,$C264,BASE!$A:$A,Q$2)</f>
        <v>0</v>
      </c>
      <c r="R264" s="12">
        <f>SUMIFS(BASE!$G:$G,BASE!$B:$B,$B264,BASE!$L:$L,$G264,BASE!$J:$J,$C264,BASE!$A:$A,R$2)</f>
        <v>1</v>
      </c>
      <c r="S264" s="12">
        <f>SUMIFS(BASE!$G:$G,BASE!$B:$B,$B264,BASE!$L:$L,$G264,BASE!$J:$J,$C264,BASE!$A:$A,S$2)</f>
        <v>0</v>
      </c>
      <c r="T264" s="12">
        <f>SUMIFS(BASE!$G:$G,BASE!$B:$B,$B264,BASE!$L:$L,$G264,BASE!$J:$J,$C264,BASE!$A:$A,T$2)</f>
        <v>0</v>
      </c>
      <c r="U264" s="12">
        <f>SUMIFS(BASE!$G:$G,BASE!$B:$B,$B264,BASE!$L:$L,$G264,BASE!$J:$J,$C264,BASE!$A:$A,U$2)</f>
        <v>0</v>
      </c>
      <c r="V264" s="12">
        <f>SUMIFS(BASE!$G:$G,BASE!$B:$B,$B264,BASE!$L:$L,$G264,BASE!$J:$J,$C264,BASE!$A:$A,V$2)</f>
        <v>0</v>
      </c>
      <c r="X264" t="str">
        <f t="shared" si="9"/>
        <v>COM TROCAS</v>
      </c>
    </row>
    <row r="265" spans="2:24">
      <c r="B265" s="8" t="s">
        <v>756</v>
      </c>
      <c r="C265" s="9" t="s">
        <v>239</v>
      </c>
      <c r="D265" s="8" t="s">
        <v>612</v>
      </c>
      <c r="E265" s="8" t="s">
        <v>609</v>
      </c>
      <c r="F265" s="8" t="s">
        <v>757</v>
      </c>
      <c r="G265" s="8" t="s">
        <v>59</v>
      </c>
      <c r="H265" s="7" t="str">
        <f>IFERROR(IF(_xlfn.XLOOKUP(B265,REPASSE!D:D,REPASSE!D:D)="","Não","Sim"),"Não")</f>
        <v>Não</v>
      </c>
      <c r="I265" s="7" t="str">
        <f>IF(_xlfn.XLOOKUP(B265,'BOOST LIBERADO'!B:B,'BOOST LIBERADO'!B:B,"Não")="Não","Não","Sim")</f>
        <v>Sim</v>
      </c>
      <c r="J265" s="83" t="str">
        <f t="shared" si="8"/>
        <v>Sim</v>
      </c>
      <c r="K265" s="12">
        <f>SUMIFS(BASE!$G:$G,BASE!$B:$B,$B265,BASE!$L:$L,$G265,BASE!$J:$J,$C265,BASE!$A:$A,K$2)</f>
        <v>0</v>
      </c>
      <c r="L265" s="12">
        <f>SUMIFS(BASE!$G:$G,BASE!$B:$B,$B265,BASE!$L:$L,$G265,BASE!$J:$J,$C265,BASE!$A:$A,L$2)</f>
        <v>0</v>
      </c>
      <c r="M265" s="12">
        <f>SUMIFS(BASE!$G:$G,BASE!$B:$B,$B265,BASE!$L:$L,$G265,BASE!$J:$J,$C265,BASE!$A:$A,M$2)</f>
        <v>1</v>
      </c>
      <c r="N265" s="12">
        <f>SUMIFS(BASE!$G:$G,BASE!$B:$B,$B265,BASE!$L:$L,$G265,BASE!$J:$J,$C265,BASE!$A:$A,N$2)</f>
        <v>0</v>
      </c>
      <c r="O265" s="12">
        <f>SUMIFS(BASE!$G:$G,BASE!$B:$B,$B265,BASE!$L:$L,$G265,BASE!$J:$J,$C265,BASE!$A:$A,O$2)</f>
        <v>0</v>
      </c>
      <c r="P265" s="12">
        <f>SUMIFS(BASE!$G:$G,BASE!$B:$B,$B265,BASE!$L:$L,$G265,BASE!$J:$J,$C265,BASE!$A:$A,P$2)</f>
        <v>2</v>
      </c>
      <c r="Q265" s="12">
        <f>SUMIFS(BASE!$G:$G,BASE!$B:$B,$B265,BASE!$L:$L,$G265,BASE!$J:$J,$C265,BASE!$A:$A,Q$2)</f>
        <v>1</v>
      </c>
      <c r="R265" s="12">
        <f>SUMIFS(BASE!$G:$G,BASE!$B:$B,$B265,BASE!$L:$L,$G265,BASE!$J:$J,$C265,BASE!$A:$A,R$2)</f>
        <v>0</v>
      </c>
      <c r="S265" s="12">
        <f>SUMIFS(BASE!$G:$G,BASE!$B:$B,$B265,BASE!$L:$L,$G265,BASE!$J:$J,$C265,BASE!$A:$A,S$2)</f>
        <v>0</v>
      </c>
      <c r="T265" s="12">
        <f>SUMIFS(BASE!$G:$G,BASE!$B:$B,$B265,BASE!$L:$L,$G265,BASE!$J:$J,$C265,BASE!$A:$A,T$2)</f>
        <v>0</v>
      </c>
      <c r="U265" s="12">
        <f>SUMIFS(BASE!$G:$G,BASE!$B:$B,$B265,BASE!$L:$L,$G265,BASE!$J:$J,$C265,BASE!$A:$A,U$2)</f>
        <v>0</v>
      </c>
      <c r="V265" s="12">
        <f>SUMIFS(BASE!$G:$G,BASE!$B:$B,$B265,BASE!$L:$L,$G265,BASE!$J:$J,$C265,BASE!$A:$A,V$2)</f>
        <v>0</v>
      </c>
      <c r="X265" t="str">
        <f t="shared" si="9"/>
        <v>ZERADO</v>
      </c>
    </row>
    <row r="266" spans="2:24">
      <c r="B266" s="8" t="s">
        <v>758</v>
      </c>
      <c r="C266" s="9" t="s">
        <v>239</v>
      </c>
      <c r="D266" s="9" t="s">
        <v>612</v>
      </c>
      <c r="E266" s="9" t="s">
        <v>609</v>
      </c>
      <c r="F266" s="9" t="s">
        <v>616</v>
      </c>
      <c r="G266" s="9" t="s">
        <v>59</v>
      </c>
      <c r="H266" s="7" t="str">
        <f>IFERROR(IF(_xlfn.XLOOKUP(B266,REPASSE!D:D,REPASSE!D:D)="","Não","Sim"),"Não")</f>
        <v>Não</v>
      </c>
      <c r="I266" s="7" t="str">
        <f>IF(_xlfn.XLOOKUP(B266,'BOOST LIBERADO'!B:B,'BOOST LIBERADO'!B:B,"Não")="Não","Não","Sim")</f>
        <v>Sim</v>
      </c>
      <c r="J266" s="83" t="str">
        <f t="shared" si="8"/>
        <v>Sim</v>
      </c>
      <c r="K266" s="12">
        <f>SUMIFS(BASE!$G:$G,BASE!$B:$B,$B266,BASE!$L:$L,$G266,BASE!$J:$J,$C266,BASE!$A:$A,K$2)</f>
        <v>8</v>
      </c>
      <c r="L266" s="12">
        <f>SUMIFS(BASE!$G:$G,BASE!$B:$B,$B266,BASE!$L:$L,$G266,BASE!$J:$J,$C266,BASE!$A:$A,L$2)</f>
        <v>2</v>
      </c>
      <c r="M266" s="12">
        <f>SUMIFS(BASE!$G:$G,BASE!$B:$B,$B266,BASE!$L:$L,$G266,BASE!$J:$J,$C266,BASE!$A:$A,M$2)</f>
        <v>7</v>
      </c>
      <c r="N266" s="12">
        <f>SUMIFS(BASE!$G:$G,BASE!$B:$B,$B266,BASE!$L:$L,$G266,BASE!$J:$J,$C266,BASE!$A:$A,N$2)</f>
        <v>3</v>
      </c>
      <c r="O266" s="12">
        <f>SUMIFS(BASE!$G:$G,BASE!$B:$B,$B266,BASE!$L:$L,$G266,BASE!$J:$J,$C266,BASE!$A:$A,O$2)</f>
        <v>5</v>
      </c>
      <c r="P266" s="12">
        <f>SUMIFS(BASE!$G:$G,BASE!$B:$B,$B266,BASE!$L:$L,$G266,BASE!$J:$J,$C266,BASE!$A:$A,P$2)</f>
        <v>8</v>
      </c>
      <c r="Q266" s="12">
        <f>SUMIFS(BASE!$G:$G,BASE!$B:$B,$B266,BASE!$L:$L,$G266,BASE!$J:$J,$C266,BASE!$A:$A,Q$2)</f>
        <v>13</v>
      </c>
      <c r="R266" s="12">
        <f>SUMIFS(BASE!$G:$G,BASE!$B:$B,$B266,BASE!$L:$L,$G266,BASE!$J:$J,$C266,BASE!$A:$A,R$2)</f>
        <v>14</v>
      </c>
      <c r="S266" s="12">
        <f>SUMIFS(BASE!$G:$G,BASE!$B:$B,$B266,BASE!$L:$L,$G266,BASE!$J:$J,$C266,BASE!$A:$A,S$2)</f>
        <v>0</v>
      </c>
      <c r="T266" s="12">
        <f>SUMIFS(BASE!$G:$G,BASE!$B:$B,$B266,BASE!$L:$L,$G266,BASE!$J:$J,$C266,BASE!$A:$A,T$2)</f>
        <v>0</v>
      </c>
      <c r="U266" s="12">
        <f>SUMIFS(BASE!$G:$G,BASE!$B:$B,$B266,BASE!$L:$L,$G266,BASE!$J:$J,$C266,BASE!$A:$A,U$2)</f>
        <v>0</v>
      </c>
      <c r="V266" s="12">
        <f>SUMIFS(BASE!$G:$G,BASE!$B:$B,$B266,BASE!$L:$L,$G266,BASE!$J:$J,$C266,BASE!$A:$A,V$2)</f>
        <v>0</v>
      </c>
      <c r="X266" t="str">
        <f t="shared" si="9"/>
        <v>COM TROCAS</v>
      </c>
    </row>
    <row r="267" spans="2:24">
      <c r="B267" s="8" t="s">
        <v>759</v>
      </c>
      <c r="C267" s="9" t="s">
        <v>239</v>
      </c>
      <c r="D267" s="9" t="s">
        <v>612</v>
      </c>
      <c r="E267" s="9" t="s">
        <v>609</v>
      </c>
      <c r="F267" s="9" t="s">
        <v>619</v>
      </c>
      <c r="G267" s="9" t="s">
        <v>59</v>
      </c>
      <c r="H267" s="7" t="str">
        <f>IFERROR(IF(_xlfn.XLOOKUP(B267,REPASSE!D:D,REPASSE!D:D)="","Não","Sim"),"Não")</f>
        <v>Não</v>
      </c>
      <c r="I267" s="7" t="str">
        <f>IF(_xlfn.XLOOKUP(B267,'BOOST LIBERADO'!B:B,'BOOST LIBERADO'!B:B,"Não")="Não","Não","Sim")</f>
        <v>Sim</v>
      </c>
      <c r="J267" s="83" t="str">
        <f t="shared" si="8"/>
        <v>Sim</v>
      </c>
      <c r="K267" s="12">
        <f>SUMIFS(BASE!$G:$G,BASE!$B:$B,$B267,BASE!$L:$L,$G267,BASE!$J:$J,$C267,BASE!$A:$A,K$2)</f>
        <v>4</v>
      </c>
      <c r="L267" s="12">
        <f>SUMIFS(BASE!$G:$G,BASE!$B:$B,$B267,BASE!$L:$L,$G267,BASE!$J:$J,$C267,BASE!$A:$A,L$2)</f>
        <v>4</v>
      </c>
      <c r="M267" s="12">
        <f>SUMIFS(BASE!$G:$G,BASE!$B:$B,$B267,BASE!$L:$L,$G267,BASE!$J:$J,$C267,BASE!$A:$A,M$2)</f>
        <v>8</v>
      </c>
      <c r="N267" s="12">
        <f>SUMIFS(BASE!$G:$G,BASE!$B:$B,$B267,BASE!$L:$L,$G267,BASE!$J:$J,$C267,BASE!$A:$A,N$2)</f>
        <v>6</v>
      </c>
      <c r="O267" s="12">
        <f>SUMIFS(BASE!$G:$G,BASE!$B:$B,$B267,BASE!$L:$L,$G267,BASE!$J:$J,$C267,BASE!$A:$A,O$2)</f>
        <v>0</v>
      </c>
      <c r="P267" s="12">
        <f>SUMIFS(BASE!$G:$G,BASE!$B:$B,$B267,BASE!$L:$L,$G267,BASE!$J:$J,$C267,BASE!$A:$A,P$2)</f>
        <v>3</v>
      </c>
      <c r="Q267" s="12">
        <f>SUMIFS(BASE!$G:$G,BASE!$B:$B,$B267,BASE!$L:$L,$G267,BASE!$J:$J,$C267,BASE!$A:$A,Q$2)</f>
        <v>1</v>
      </c>
      <c r="R267" s="12">
        <f>SUMIFS(BASE!$G:$G,BASE!$B:$B,$B267,BASE!$L:$L,$G267,BASE!$J:$J,$C267,BASE!$A:$A,R$2)</f>
        <v>0</v>
      </c>
      <c r="S267" s="12">
        <f>SUMIFS(BASE!$G:$G,BASE!$B:$B,$B267,BASE!$L:$L,$G267,BASE!$J:$J,$C267,BASE!$A:$A,S$2)</f>
        <v>0</v>
      </c>
      <c r="T267" s="12">
        <f>SUMIFS(BASE!$G:$G,BASE!$B:$B,$B267,BASE!$L:$L,$G267,BASE!$J:$J,$C267,BASE!$A:$A,T$2)</f>
        <v>0</v>
      </c>
      <c r="U267" s="12">
        <f>SUMIFS(BASE!$G:$G,BASE!$B:$B,$B267,BASE!$L:$L,$G267,BASE!$J:$J,$C267,BASE!$A:$A,U$2)</f>
        <v>0</v>
      </c>
      <c r="V267" s="12">
        <f>SUMIFS(BASE!$G:$G,BASE!$B:$B,$B267,BASE!$L:$L,$G267,BASE!$J:$J,$C267,BASE!$A:$A,V$2)</f>
        <v>0</v>
      </c>
      <c r="X267" t="str">
        <f t="shared" si="9"/>
        <v>ZERADO</v>
      </c>
    </row>
    <row r="268" spans="2:24">
      <c r="B268" s="8" t="s">
        <v>760</v>
      </c>
      <c r="C268" s="9" t="s">
        <v>239</v>
      </c>
      <c r="D268" s="9" t="s">
        <v>612</v>
      </c>
      <c r="E268" s="9" t="s">
        <v>609</v>
      </c>
      <c r="F268" s="9" t="s">
        <v>616</v>
      </c>
      <c r="G268" s="9" t="s">
        <v>59</v>
      </c>
      <c r="H268" s="7" t="str">
        <f>IFERROR(IF(_xlfn.XLOOKUP(B268,REPASSE!D:D,REPASSE!D:D)="","Não","Sim"),"Não")</f>
        <v>Não</v>
      </c>
      <c r="I268" s="7" t="str">
        <f>IF(_xlfn.XLOOKUP(B268,'BOOST LIBERADO'!B:B,'BOOST LIBERADO'!B:B,"Não")="Não","Não","Sim")</f>
        <v>Sim</v>
      </c>
      <c r="J268" s="83" t="str">
        <f t="shared" si="8"/>
        <v>Sim</v>
      </c>
      <c r="K268" s="12">
        <f>SUMIFS(BASE!$G:$G,BASE!$B:$B,$B268,BASE!$L:$L,$G268,BASE!$J:$J,$C268,BASE!$A:$A,K$2)</f>
        <v>2</v>
      </c>
      <c r="L268" s="12">
        <f>SUMIFS(BASE!$G:$G,BASE!$B:$B,$B268,BASE!$L:$L,$G268,BASE!$J:$J,$C268,BASE!$A:$A,L$2)</f>
        <v>0</v>
      </c>
      <c r="M268" s="12">
        <f>SUMIFS(BASE!$G:$G,BASE!$B:$B,$B268,BASE!$L:$L,$G268,BASE!$J:$J,$C268,BASE!$A:$A,M$2)</f>
        <v>0</v>
      </c>
      <c r="N268" s="12">
        <f>SUMIFS(BASE!$G:$G,BASE!$B:$B,$B268,BASE!$L:$L,$G268,BASE!$J:$J,$C268,BASE!$A:$A,N$2)</f>
        <v>3</v>
      </c>
      <c r="O268" s="12">
        <f>SUMIFS(BASE!$G:$G,BASE!$B:$B,$B268,BASE!$L:$L,$G268,BASE!$J:$J,$C268,BASE!$A:$A,O$2)</f>
        <v>2</v>
      </c>
      <c r="P268" s="12">
        <f>SUMIFS(BASE!$G:$G,BASE!$B:$B,$B268,BASE!$L:$L,$G268,BASE!$J:$J,$C268,BASE!$A:$A,P$2)</f>
        <v>4</v>
      </c>
      <c r="Q268" s="12">
        <f>SUMIFS(BASE!$G:$G,BASE!$B:$B,$B268,BASE!$L:$L,$G268,BASE!$J:$J,$C268,BASE!$A:$A,Q$2)</f>
        <v>5</v>
      </c>
      <c r="R268" s="12">
        <f>SUMIFS(BASE!$G:$G,BASE!$B:$B,$B268,BASE!$L:$L,$G268,BASE!$J:$J,$C268,BASE!$A:$A,R$2)</f>
        <v>1</v>
      </c>
      <c r="S268" s="12">
        <f>SUMIFS(BASE!$G:$G,BASE!$B:$B,$B268,BASE!$L:$L,$G268,BASE!$J:$J,$C268,BASE!$A:$A,S$2)</f>
        <v>0</v>
      </c>
      <c r="T268" s="12">
        <f>SUMIFS(BASE!$G:$G,BASE!$B:$B,$B268,BASE!$L:$L,$G268,BASE!$J:$J,$C268,BASE!$A:$A,T$2)</f>
        <v>0</v>
      </c>
      <c r="U268" s="12">
        <f>SUMIFS(BASE!$G:$G,BASE!$B:$B,$B268,BASE!$L:$L,$G268,BASE!$J:$J,$C268,BASE!$A:$A,U$2)</f>
        <v>0</v>
      </c>
      <c r="V268" s="12">
        <f>SUMIFS(BASE!$G:$G,BASE!$B:$B,$B268,BASE!$L:$L,$G268,BASE!$J:$J,$C268,BASE!$A:$A,V$2)</f>
        <v>0</v>
      </c>
      <c r="X268" t="str">
        <f t="shared" si="9"/>
        <v>COM TROCAS</v>
      </c>
    </row>
    <row r="269" spans="2:24">
      <c r="B269" s="8" t="s">
        <v>761</v>
      </c>
      <c r="C269" s="9" t="s">
        <v>239</v>
      </c>
      <c r="D269" s="9" t="s">
        <v>612</v>
      </c>
      <c r="E269" s="9" t="s">
        <v>609</v>
      </c>
      <c r="F269" s="9" t="s">
        <v>616</v>
      </c>
      <c r="G269" s="9" t="s">
        <v>59</v>
      </c>
      <c r="H269" s="7" t="str">
        <f>IFERROR(IF(_xlfn.XLOOKUP(B269,REPASSE!D:D,REPASSE!D:D)="","Não","Sim"),"Não")</f>
        <v>Não</v>
      </c>
      <c r="I269" s="7" t="str">
        <f>IF(_xlfn.XLOOKUP(B269,'BOOST LIBERADO'!B:B,'BOOST LIBERADO'!B:B,"Não")="Não","Não","Sim")</f>
        <v>Sim</v>
      </c>
      <c r="J269" s="83" t="str">
        <f t="shared" si="8"/>
        <v>Sim</v>
      </c>
      <c r="K269" s="12">
        <f>SUMIFS(BASE!$G:$G,BASE!$B:$B,$B269,BASE!$L:$L,$G269,BASE!$J:$J,$C269,BASE!$A:$A,K$2)</f>
        <v>0</v>
      </c>
      <c r="L269" s="12">
        <f>SUMIFS(BASE!$G:$G,BASE!$B:$B,$B269,BASE!$L:$L,$G269,BASE!$J:$J,$C269,BASE!$A:$A,L$2)</f>
        <v>0</v>
      </c>
      <c r="M269" s="12">
        <f>SUMIFS(BASE!$G:$G,BASE!$B:$B,$B269,BASE!$L:$L,$G269,BASE!$J:$J,$C269,BASE!$A:$A,M$2)</f>
        <v>0</v>
      </c>
      <c r="N269" s="12">
        <f>SUMIFS(BASE!$G:$G,BASE!$B:$B,$B269,BASE!$L:$L,$G269,BASE!$J:$J,$C269,BASE!$A:$A,N$2)</f>
        <v>1</v>
      </c>
      <c r="O269" s="12">
        <f>SUMIFS(BASE!$G:$G,BASE!$B:$B,$B269,BASE!$L:$L,$G269,BASE!$J:$J,$C269,BASE!$A:$A,O$2)</f>
        <v>0</v>
      </c>
      <c r="P269" s="12">
        <f>SUMIFS(BASE!$G:$G,BASE!$B:$B,$B269,BASE!$L:$L,$G269,BASE!$J:$J,$C269,BASE!$A:$A,P$2)</f>
        <v>0</v>
      </c>
      <c r="Q269" s="12">
        <f>SUMIFS(BASE!$G:$G,BASE!$B:$B,$B269,BASE!$L:$L,$G269,BASE!$J:$J,$C269,BASE!$A:$A,Q$2)</f>
        <v>3</v>
      </c>
      <c r="R269" s="12">
        <f>SUMIFS(BASE!$G:$G,BASE!$B:$B,$B269,BASE!$L:$L,$G269,BASE!$J:$J,$C269,BASE!$A:$A,R$2)</f>
        <v>3</v>
      </c>
      <c r="S269" s="12">
        <f>SUMIFS(BASE!$G:$G,BASE!$B:$B,$B269,BASE!$L:$L,$G269,BASE!$J:$J,$C269,BASE!$A:$A,S$2)</f>
        <v>0</v>
      </c>
      <c r="T269" s="12">
        <f>SUMIFS(BASE!$G:$G,BASE!$B:$B,$B269,BASE!$L:$L,$G269,BASE!$J:$J,$C269,BASE!$A:$A,T$2)</f>
        <v>0</v>
      </c>
      <c r="U269" s="12">
        <f>SUMIFS(BASE!$G:$G,BASE!$B:$B,$B269,BASE!$L:$L,$G269,BASE!$J:$J,$C269,BASE!$A:$A,U$2)</f>
        <v>0</v>
      </c>
      <c r="V269" s="12">
        <f>SUMIFS(BASE!$G:$G,BASE!$B:$B,$B269,BASE!$L:$L,$G269,BASE!$J:$J,$C269,BASE!$A:$A,V$2)</f>
        <v>0</v>
      </c>
      <c r="X269" t="str">
        <f t="shared" si="9"/>
        <v>COM TROCAS</v>
      </c>
    </row>
    <row r="270" spans="2:24">
      <c r="B270" s="8" t="s">
        <v>762</v>
      </c>
      <c r="C270" s="9" t="s">
        <v>239</v>
      </c>
      <c r="D270" s="9" t="s">
        <v>612</v>
      </c>
      <c r="E270" s="9" t="s">
        <v>609</v>
      </c>
      <c r="F270" s="9" t="s">
        <v>763</v>
      </c>
      <c r="G270" s="9" t="s">
        <v>59</v>
      </c>
      <c r="H270" s="7" t="str">
        <f>IFERROR(IF(_xlfn.XLOOKUP(B270,REPASSE!D:D,REPASSE!D:D)="","Não","Sim"),"Não")</f>
        <v>Não</v>
      </c>
      <c r="I270" s="7" t="str">
        <f>IF(_xlfn.XLOOKUP(B270,'BOOST LIBERADO'!B:B,'BOOST LIBERADO'!B:B,"Não")="Não","Não","Sim")</f>
        <v>Sim</v>
      </c>
      <c r="J270" s="83" t="str">
        <f t="shared" si="8"/>
        <v>Sim</v>
      </c>
      <c r="K270" s="12">
        <f>SUMIFS(BASE!$G:$G,BASE!$B:$B,$B270,BASE!$L:$L,$G270,BASE!$J:$J,$C270,BASE!$A:$A,K$2)</f>
        <v>2</v>
      </c>
      <c r="L270" s="12">
        <f>SUMIFS(BASE!$G:$G,BASE!$B:$B,$B270,BASE!$L:$L,$G270,BASE!$J:$J,$C270,BASE!$A:$A,L$2)</f>
        <v>1</v>
      </c>
      <c r="M270" s="12">
        <f>SUMIFS(BASE!$G:$G,BASE!$B:$B,$B270,BASE!$L:$L,$G270,BASE!$J:$J,$C270,BASE!$A:$A,M$2)</f>
        <v>0</v>
      </c>
      <c r="N270" s="12">
        <f>SUMIFS(BASE!$G:$G,BASE!$B:$B,$B270,BASE!$L:$L,$G270,BASE!$J:$J,$C270,BASE!$A:$A,N$2)</f>
        <v>1</v>
      </c>
      <c r="O270" s="12">
        <f>SUMIFS(BASE!$G:$G,BASE!$B:$B,$B270,BASE!$L:$L,$G270,BASE!$J:$J,$C270,BASE!$A:$A,O$2)</f>
        <v>0</v>
      </c>
      <c r="P270" s="12">
        <f>SUMIFS(BASE!$G:$G,BASE!$B:$B,$B270,BASE!$L:$L,$G270,BASE!$J:$J,$C270,BASE!$A:$A,P$2)</f>
        <v>2</v>
      </c>
      <c r="Q270" s="12">
        <f>SUMIFS(BASE!$G:$G,BASE!$B:$B,$B270,BASE!$L:$L,$G270,BASE!$J:$J,$C270,BASE!$A:$A,Q$2)</f>
        <v>2</v>
      </c>
      <c r="R270" s="12">
        <f>SUMIFS(BASE!$G:$G,BASE!$B:$B,$B270,BASE!$L:$L,$G270,BASE!$J:$J,$C270,BASE!$A:$A,R$2)</f>
        <v>1</v>
      </c>
      <c r="S270" s="12">
        <f>SUMIFS(BASE!$G:$G,BASE!$B:$B,$B270,BASE!$L:$L,$G270,BASE!$J:$J,$C270,BASE!$A:$A,S$2)</f>
        <v>0</v>
      </c>
      <c r="T270" s="12">
        <f>SUMIFS(BASE!$G:$G,BASE!$B:$B,$B270,BASE!$L:$L,$G270,BASE!$J:$J,$C270,BASE!$A:$A,T$2)</f>
        <v>0</v>
      </c>
      <c r="U270" s="12">
        <f>SUMIFS(BASE!$G:$G,BASE!$B:$B,$B270,BASE!$L:$L,$G270,BASE!$J:$J,$C270,BASE!$A:$A,U$2)</f>
        <v>0</v>
      </c>
      <c r="V270" s="12">
        <f>SUMIFS(BASE!$G:$G,BASE!$B:$B,$B270,BASE!$L:$L,$G270,BASE!$J:$J,$C270,BASE!$A:$A,V$2)</f>
        <v>0</v>
      </c>
      <c r="X270" t="str">
        <f t="shared" si="9"/>
        <v>COM TROCAS</v>
      </c>
    </row>
    <row r="271" spans="2:24">
      <c r="B271" s="8" t="s">
        <v>764</v>
      </c>
      <c r="C271" s="9" t="s">
        <v>100</v>
      </c>
      <c r="D271" s="9" t="s">
        <v>624</v>
      </c>
      <c r="E271" s="9" t="s">
        <v>609</v>
      </c>
      <c r="F271" s="9" t="s">
        <v>610</v>
      </c>
      <c r="G271" s="9" t="s">
        <v>59</v>
      </c>
      <c r="H271" s="7" t="str">
        <f>IFERROR(IF(_xlfn.XLOOKUP(B271,REPASSE!D:D,REPASSE!D:D)="","Não","Sim"),"Não")</f>
        <v>Não</v>
      </c>
      <c r="I271" s="7" t="str">
        <f>IF(_xlfn.XLOOKUP(B271,'BOOST LIBERADO'!B:B,'BOOST LIBERADO'!B:B,"Não")="Não","Não","Sim")</f>
        <v>Sim</v>
      </c>
      <c r="J271" s="83" t="str">
        <f t="shared" si="8"/>
        <v>Sim</v>
      </c>
      <c r="K271" s="12">
        <f>SUMIFS(BASE!$G:$G,BASE!$B:$B,$B271,BASE!$L:$L,$G271,BASE!$J:$J,$C271,BASE!$A:$A,K$2)</f>
        <v>0</v>
      </c>
      <c r="L271" s="12">
        <f>SUMIFS(BASE!$G:$G,BASE!$B:$B,$B271,BASE!$L:$L,$G271,BASE!$J:$J,$C271,BASE!$A:$A,L$2)</f>
        <v>0</v>
      </c>
      <c r="M271" s="12">
        <f>SUMIFS(BASE!$G:$G,BASE!$B:$B,$B271,BASE!$L:$L,$G271,BASE!$J:$J,$C271,BASE!$A:$A,M$2)</f>
        <v>0</v>
      </c>
      <c r="N271" s="12">
        <f>SUMIFS(BASE!$G:$G,BASE!$B:$B,$B271,BASE!$L:$L,$G271,BASE!$J:$J,$C271,BASE!$A:$A,N$2)</f>
        <v>0</v>
      </c>
      <c r="O271" s="12">
        <f>SUMIFS(BASE!$G:$G,BASE!$B:$B,$B271,BASE!$L:$L,$G271,BASE!$J:$J,$C271,BASE!$A:$A,O$2)</f>
        <v>0</v>
      </c>
      <c r="P271" s="12">
        <f>SUMIFS(BASE!$G:$G,BASE!$B:$B,$B271,BASE!$L:$L,$G271,BASE!$J:$J,$C271,BASE!$A:$A,P$2)</f>
        <v>0</v>
      </c>
      <c r="Q271" s="12">
        <f>SUMIFS(BASE!$G:$G,BASE!$B:$B,$B271,BASE!$L:$L,$G271,BASE!$J:$J,$C271,BASE!$A:$A,Q$2)</f>
        <v>0</v>
      </c>
      <c r="R271" s="12">
        <f>SUMIFS(BASE!$G:$G,BASE!$B:$B,$B271,BASE!$L:$L,$G271,BASE!$J:$J,$C271,BASE!$A:$A,R$2)</f>
        <v>0</v>
      </c>
      <c r="S271" s="12">
        <f>SUMIFS(BASE!$G:$G,BASE!$B:$B,$B271,BASE!$L:$L,$G271,BASE!$J:$J,$C271,BASE!$A:$A,S$2)</f>
        <v>0</v>
      </c>
      <c r="T271" s="12">
        <f>SUMIFS(BASE!$G:$G,BASE!$B:$B,$B271,BASE!$L:$L,$G271,BASE!$J:$J,$C271,BASE!$A:$A,T$2)</f>
        <v>0</v>
      </c>
      <c r="U271" s="12">
        <f>SUMIFS(BASE!$G:$G,BASE!$B:$B,$B271,BASE!$L:$L,$G271,BASE!$J:$J,$C271,BASE!$A:$A,U$2)</f>
        <v>0</v>
      </c>
      <c r="V271" s="12">
        <f>SUMIFS(BASE!$G:$G,BASE!$B:$B,$B271,BASE!$L:$L,$G271,BASE!$J:$J,$C271,BASE!$A:$A,V$2)</f>
        <v>0</v>
      </c>
      <c r="X271" t="str">
        <f t="shared" si="9"/>
        <v>ZERADO</v>
      </c>
    </row>
    <row r="272" spans="2:24">
      <c r="B272" s="8" t="s">
        <v>765</v>
      </c>
      <c r="C272" s="9" t="s">
        <v>224</v>
      </c>
      <c r="D272" s="9" t="s">
        <v>608</v>
      </c>
      <c r="E272" s="9" t="s">
        <v>609</v>
      </c>
      <c r="F272" s="9" t="s">
        <v>610</v>
      </c>
      <c r="G272" s="9" t="s">
        <v>59</v>
      </c>
      <c r="H272" s="7" t="str">
        <f>IFERROR(IF(_xlfn.XLOOKUP(B272,REPASSE!D:D,REPASSE!D:D)="","Não","Sim"),"Não")</f>
        <v>Não</v>
      </c>
      <c r="I272" s="7" t="str">
        <f>IF(_xlfn.XLOOKUP(B272,'BOOST LIBERADO'!B:B,'BOOST LIBERADO'!B:B,"Não")="Não","Não","Sim")</f>
        <v>Sim</v>
      </c>
      <c r="J272" s="83" t="str">
        <f t="shared" si="8"/>
        <v>Sim</v>
      </c>
      <c r="K272" s="12">
        <f>SUMIFS(BASE!$G:$G,BASE!$B:$B,$B272,BASE!$L:$L,$G272,BASE!$J:$J,$C272,BASE!$A:$A,K$2)</f>
        <v>0</v>
      </c>
      <c r="L272" s="12">
        <f>SUMIFS(BASE!$G:$G,BASE!$B:$B,$B272,BASE!$L:$L,$G272,BASE!$J:$J,$C272,BASE!$A:$A,L$2)</f>
        <v>0</v>
      </c>
      <c r="M272" s="12">
        <f>SUMIFS(BASE!$G:$G,BASE!$B:$B,$B272,BASE!$L:$L,$G272,BASE!$J:$J,$C272,BASE!$A:$A,M$2)</f>
        <v>0</v>
      </c>
      <c r="N272" s="12">
        <f>SUMIFS(BASE!$G:$G,BASE!$B:$B,$B272,BASE!$L:$L,$G272,BASE!$J:$J,$C272,BASE!$A:$A,N$2)</f>
        <v>0</v>
      </c>
      <c r="O272" s="12">
        <f>SUMIFS(BASE!$G:$G,BASE!$B:$B,$B272,BASE!$L:$L,$G272,BASE!$J:$J,$C272,BASE!$A:$A,O$2)</f>
        <v>0</v>
      </c>
      <c r="P272" s="12">
        <f>SUMIFS(BASE!$G:$G,BASE!$B:$B,$B272,BASE!$L:$L,$G272,BASE!$J:$J,$C272,BASE!$A:$A,P$2)</f>
        <v>0</v>
      </c>
      <c r="Q272" s="12">
        <f>SUMIFS(BASE!$G:$G,BASE!$B:$B,$B272,BASE!$L:$L,$G272,BASE!$J:$J,$C272,BASE!$A:$A,Q$2)</f>
        <v>0</v>
      </c>
      <c r="R272" s="12">
        <f>SUMIFS(BASE!$G:$G,BASE!$B:$B,$B272,BASE!$L:$L,$G272,BASE!$J:$J,$C272,BASE!$A:$A,R$2)</f>
        <v>0</v>
      </c>
      <c r="S272" s="12">
        <f>SUMIFS(BASE!$G:$G,BASE!$B:$B,$B272,BASE!$L:$L,$G272,BASE!$J:$J,$C272,BASE!$A:$A,S$2)</f>
        <v>0</v>
      </c>
      <c r="T272" s="12">
        <f>SUMIFS(BASE!$G:$G,BASE!$B:$B,$B272,BASE!$L:$L,$G272,BASE!$J:$J,$C272,BASE!$A:$A,T$2)</f>
        <v>0</v>
      </c>
      <c r="U272" s="12">
        <f>SUMIFS(BASE!$G:$G,BASE!$B:$B,$B272,BASE!$L:$L,$G272,BASE!$J:$J,$C272,BASE!$A:$A,U$2)</f>
        <v>0</v>
      </c>
      <c r="V272" s="12">
        <f>SUMIFS(BASE!$G:$G,BASE!$B:$B,$B272,BASE!$L:$L,$G272,BASE!$J:$J,$C272,BASE!$A:$A,V$2)</f>
        <v>0</v>
      </c>
      <c r="X272" t="str">
        <f t="shared" si="9"/>
        <v>ZERADO</v>
      </c>
    </row>
    <row r="273" spans="2:24">
      <c r="B273" s="8" t="s">
        <v>766</v>
      </c>
      <c r="C273" s="9" t="s">
        <v>224</v>
      </c>
      <c r="D273" s="9" t="s">
        <v>608</v>
      </c>
      <c r="E273" s="9" t="s">
        <v>609</v>
      </c>
      <c r="F273" s="9" t="s">
        <v>767</v>
      </c>
      <c r="G273" s="9" t="s">
        <v>59</v>
      </c>
      <c r="H273" s="7" t="str">
        <f>IFERROR(IF(_xlfn.XLOOKUP(B273,REPASSE!D:D,REPASSE!D:D)="","Não","Sim"),"Não")</f>
        <v>Não</v>
      </c>
      <c r="I273" s="7" t="str">
        <f>IF(_xlfn.XLOOKUP(B273,'BOOST LIBERADO'!B:B,'BOOST LIBERADO'!B:B,"Não")="Não","Não","Sim")</f>
        <v>Sim</v>
      </c>
      <c r="J273" s="83" t="str">
        <f t="shared" si="8"/>
        <v>Sim</v>
      </c>
      <c r="K273" s="12">
        <f>SUMIFS(BASE!$G:$G,BASE!$B:$B,$B273,BASE!$L:$L,$G273,BASE!$J:$J,$C273,BASE!$A:$A,K$2)</f>
        <v>0</v>
      </c>
      <c r="L273" s="12">
        <f>SUMIFS(BASE!$G:$G,BASE!$B:$B,$B273,BASE!$L:$L,$G273,BASE!$J:$J,$C273,BASE!$A:$A,L$2)</f>
        <v>0</v>
      </c>
      <c r="M273" s="12">
        <f>SUMIFS(BASE!$G:$G,BASE!$B:$B,$B273,BASE!$L:$L,$G273,BASE!$J:$J,$C273,BASE!$A:$A,M$2)</f>
        <v>0</v>
      </c>
      <c r="N273" s="12">
        <f>SUMIFS(BASE!$G:$G,BASE!$B:$B,$B273,BASE!$L:$L,$G273,BASE!$J:$J,$C273,BASE!$A:$A,N$2)</f>
        <v>0</v>
      </c>
      <c r="O273" s="12">
        <f>SUMIFS(BASE!$G:$G,BASE!$B:$B,$B273,BASE!$L:$L,$G273,BASE!$J:$J,$C273,BASE!$A:$A,O$2)</f>
        <v>0</v>
      </c>
      <c r="P273" s="12">
        <f>SUMIFS(BASE!$G:$G,BASE!$B:$B,$B273,BASE!$L:$L,$G273,BASE!$J:$J,$C273,BASE!$A:$A,P$2)</f>
        <v>0</v>
      </c>
      <c r="Q273" s="12">
        <f>SUMIFS(BASE!$G:$G,BASE!$B:$B,$B273,BASE!$L:$L,$G273,BASE!$J:$J,$C273,BASE!$A:$A,Q$2)</f>
        <v>1</v>
      </c>
      <c r="R273" s="12">
        <f>SUMIFS(BASE!$G:$G,BASE!$B:$B,$B273,BASE!$L:$L,$G273,BASE!$J:$J,$C273,BASE!$A:$A,R$2)</f>
        <v>1</v>
      </c>
      <c r="S273" s="12">
        <f>SUMIFS(BASE!$G:$G,BASE!$B:$B,$B273,BASE!$L:$L,$G273,BASE!$J:$J,$C273,BASE!$A:$A,S$2)</f>
        <v>0</v>
      </c>
      <c r="T273" s="12">
        <f>SUMIFS(BASE!$G:$G,BASE!$B:$B,$B273,BASE!$L:$L,$G273,BASE!$J:$J,$C273,BASE!$A:$A,T$2)</f>
        <v>0</v>
      </c>
      <c r="U273" s="12">
        <f>SUMIFS(BASE!$G:$G,BASE!$B:$B,$B273,BASE!$L:$L,$G273,BASE!$J:$J,$C273,BASE!$A:$A,U$2)</f>
        <v>0</v>
      </c>
      <c r="V273" s="12">
        <f>SUMIFS(BASE!$G:$G,BASE!$B:$B,$B273,BASE!$L:$L,$G273,BASE!$J:$J,$C273,BASE!$A:$A,V$2)</f>
        <v>0</v>
      </c>
      <c r="X273" t="str">
        <f t="shared" si="9"/>
        <v>COM TROCAS</v>
      </c>
    </row>
    <row r="274" spans="2:24">
      <c r="B274" s="8" t="s">
        <v>768</v>
      </c>
      <c r="C274" s="9" t="s">
        <v>224</v>
      </c>
      <c r="D274" s="9" t="s">
        <v>608</v>
      </c>
      <c r="E274" s="9" t="s">
        <v>609</v>
      </c>
      <c r="F274" s="9" t="s">
        <v>610</v>
      </c>
      <c r="G274" s="9" t="s">
        <v>59</v>
      </c>
      <c r="H274" s="7" t="str">
        <f>IFERROR(IF(_xlfn.XLOOKUP(B274,REPASSE!D:D,REPASSE!D:D)="","Não","Sim"),"Não")</f>
        <v>Não</v>
      </c>
      <c r="I274" s="7" t="str">
        <f>IF(_xlfn.XLOOKUP(B274,'BOOST LIBERADO'!B:B,'BOOST LIBERADO'!B:B,"Não")="Não","Não","Sim")</f>
        <v>Sim</v>
      </c>
      <c r="J274" s="83" t="str">
        <f t="shared" si="8"/>
        <v>Sim</v>
      </c>
      <c r="K274" s="12">
        <f>SUMIFS(BASE!$G:$G,BASE!$B:$B,$B274,BASE!$L:$L,$G274,BASE!$J:$J,$C274,BASE!$A:$A,K$2)</f>
        <v>0</v>
      </c>
      <c r="L274" s="12">
        <f>SUMIFS(BASE!$G:$G,BASE!$B:$B,$B274,BASE!$L:$L,$G274,BASE!$J:$J,$C274,BASE!$A:$A,L$2)</f>
        <v>0</v>
      </c>
      <c r="M274" s="12">
        <f>SUMIFS(BASE!$G:$G,BASE!$B:$B,$B274,BASE!$L:$L,$G274,BASE!$J:$J,$C274,BASE!$A:$A,M$2)</f>
        <v>0</v>
      </c>
      <c r="N274" s="12">
        <f>SUMIFS(BASE!$G:$G,BASE!$B:$B,$B274,BASE!$L:$L,$G274,BASE!$J:$J,$C274,BASE!$A:$A,N$2)</f>
        <v>0</v>
      </c>
      <c r="O274" s="12">
        <f>SUMIFS(BASE!$G:$G,BASE!$B:$B,$B274,BASE!$L:$L,$G274,BASE!$J:$J,$C274,BASE!$A:$A,O$2)</f>
        <v>0</v>
      </c>
      <c r="P274" s="12">
        <f>SUMIFS(BASE!$G:$G,BASE!$B:$B,$B274,BASE!$L:$L,$G274,BASE!$J:$J,$C274,BASE!$A:$A,P$2)</f>
        <v>0</v>
      </c>
      <c r="Q274" s="12">
        <f>SUMIFS(BASE!$G:$G,BASE!$B:$B,$B274,BASE!$L:$L,$G274,BASE!$J:$J,$C274,BASE!$A:$A,Q$2)</f>
        <v>4</v>
      </c>
      <c r="R274" s="12">
        <f>SUMIFS(BASE!$G:$G,BASE!$B:$B,$B274,BASE!$L:$L,$G274,BASE!$J:$J,$C274,BASE!$A:$A,R$2)</f>
        <v>5</v>
      </c>
      <c r="S274" s="12">
        <f>SUMIFS(BASE!$G:$G,BASE!$B:$B,$B274,BASE!$L:$L,$G274,BASE!$J:$J,$C274,BASE!$A:$A,S$2)</f>
        <v>0</v>
      </c>
      <c r="T274" s="12">
        <f>SUMIFS(BASE!$G:$G,BASE!$B:$B,$B274,BASE!$L:$L,$G274,BASE!$J:$J,$C274,BASE!$A:$A,T$2)</f>
        <v>0</v>
      </c>
      <c r="U274" s="12">
        <f>SUMIFS(BASE!$G:$G,BASE!$B:$B,$B274,BASE!$L:$L,$G274,BASE!$J:$J,$C274,BASE!$A:$A,U$2)</f>
        <v>0</v>
      </c>
      <c r="V274" s="12">
        <f>SUMIFS(BASE!$G:$G,BASE!$B:$B,$B274,BASE!$L:$L,$G274,BASE!$J:$J,$C274,BASE!$A:$A,V$2)</f>
        <v>0</v>
      </c>
      <c r="X274" t="str">
        <f t="shared" si="9"/>
        <v>COM TROCAS</v>
      </c>
    </row>
    <row r="275" spans="2:24">
      <c r="B275" s="8" t="s">
        <v>769</v>
      </c>
      <c r="C275" s="9" t="s">
        <v>100</v>
      </c>
      <c r="D275" s="9" t="s">
        <v>624</v>
      </c>
      <c r="E275" s="9" t="s">
        <v>609</v>
      </c>
      <c r="F275" s="9" t="s">
        <v>619</v>
      </c>
      <c r="G275" s="9" t="s">
        <v>59</v>
      </c>
      <c r="H275" s="7" t="str">
        <f>IFERROR(IF(_xlfn.XLOOKUP(B275,REPASSE!D:D,REPASSE!D:D)="","Não","Sim"),"Não")</f>
        <v>Não</v>
      </c>
      <c r="I275" s="7" t="str">
        <f>IF(_xlfn.XLOOKUP(B275,'BOOST LIBERADO'!B:B,'BOOST LIBERADO'!B:B,"Não")="Não","Não","Sim")</f>
        <v>Sim</v>
      </c>
      <c r="J275" s="83" t="str">
        <f t="shared" si="8"/>
        <v>Sim</v>
      </c>
      <c r="K275" s="12">
        <f>SUMIFS(BASE!$G:$G,BASE!$B:$B,$B275,BASE!$L:$L,$G275,BASE!$J:$J,$C275,BASE!$A:$A,K$2)</f>
        <v>0</v>
      </c>
      <c r="L275" s="12">
        <f>SUMIFS(BASE!$G:$G,BASE!$B:$B,$B275,BASE!$L:$L,$G275,BASE!$J:$J,$C275,BASE!$A:$A,L$2)</f>
        <v>0</v>
      </c>
      <c r="M275" s="12">
        <f>SUMIFS(BASE!$G:$G,BASE!$B:$B,$B275,BASE!$L:$L,$G275,BASE!$J:$J,$C275,BASE!$A:$A,M$2)</f>
        <v>0</v>
      </c>
      <c r="N275" s="12">
        <f>SUMIFS(BASE!$G:$G,BASE!$B:$B,$B275,BASE!$L:$L,$G275,BASE!$J:$J,$C275,BASE!$A:$A,N$2)</f>
        <v>0</v>
      </c>
      <c r="O275" s="12">
        <f>SUMIFS(BASE!$G:$G,BASE!$B:$B,$B275,BASE!$L:$L,$G275,BASE!$J:$J,$C275,BASE!$A:$A,O$2)</f>
        <v>0</v>
      </c>
      <c r="P275" s="12">
        <f>SUMIFS(BASE!$G:$G,BASE!$B:$B,$B275,BASE!$L:$L,$G275,BASE!$J:$J,$C275,BASE!$A:$A,P$2)</f>
        <v>0</v>
      </c>
      <c r="Q275" s="12">
        <f>SUMIFS(BASE!$G:$G,BASE!$B:$B,$B275,BASE!$L:$L,$G275,BASE!$J:$J,$C275,BASE!$A:$A,Q$2)</f>
        <v>0</v>
      </c>
      <c r="R275" s="12">
        <f>SUMIFS(BASE!$G:$G,BASE!$B:$B,$B275,BASE!$L:$L,$G275,BASE!$J:$J,$C275,BASE!$A:$A,R$2)</f>
        <v>0</v>
      </c>
      <c r="S275" s="12">
        <f>SUMIFS(BASE!$G:$G,BASE!$B:$B,$B275,BASE!$L:$L,$G275,BASE!$J:$J,$C275,BASE!$A:$A,S$2)</f>
        <v>0</v>
      </c>
      <c r="T275" s="12">
        <f>SUMIFS(BASE!$G:$G,BASE!$B:$B,$B275,BASE!$L:$L,$G275,BASE!$J:$J,$C275,BASE!$A:$A,T$2)</f>
        <v>0</v>
      </c>
      <c r="U275" s="12">
        <f>SUMIFS(BASE!$G:$G,BASE!$B:$B,$B275,BASE!$L:$L,$G275,BASE!$J:$J,$C275,BASE!$A:$A,U$2)</f>
        <v>0</v>
      </c>
      <c r="V275" s="12">
        <f>SUMIFS(BASE!$G:$G,BASE!$B:$B,$B275,BASE!$L:$L,$G275,BASE!$J:$J,$C275,BASE!$A:$A,V$2)</f>
        <v>0</v>
      </c>
      <c r="X275" t="str">
        <f t="shared" si="9"/>
        <v>ZERADO</v>
      </c>
    </row>
    <row r="276" spans="2:24">
      <c r="B276" s="8" t="s">
        <v>770</v>
      </c>
      <c r="C276" s="9" t="s">
        <v>206</v>
      </c>
      <c r="D276" s="9" t="s">
        <v>627</v>
      </c>
      <c r="E276" s="9" t="s">
        <v>609</v>
      </c>
      <c r="F276" s="9" t="s">
        <v>771</v>
      </c>
      <c r="G276" s="9" t="s">
        <v>59</v>
      </c>
      <c r="H276" s="7" t="str">
        <f>IFERROR(IF(_xlfn.XLOOKUP(B276,REPASSE!D:D,REPASSE!D:D)="","Não","Sim"),"Não")</f>
        <v>Não</v>
      </c>
      <c r="I276" s="7" t="str">
        <f>IF(_xlfn.XLOOKUP(B276,'BOOST LIBERADO'!B:B,'BOOST LIBERADO'!B:B,"Não")="Não","Não","Sim")</f>
        <v>Sim</v>
      </c>
      <c r="J276" s="83" t="str">
        <f t="shared" si="8"/>
        <v>Sim</v>
      </c>
      <c r="K276" s="12">
        <f>SUMIFS(BASE!$G:$G,BASE!$B:$B,$B276,BASE!$L:$L,$G276,BASE!$J:$J,$C276,BASE!$A:$A,K$2)</f>
        <v>0</v>
      </c>
      <c r="L276" s="12">
        <f>SUMIFS(BASE!$G:$G,BASE!$B:$B,$B276,BASE!$L:$L,$G276,BASE!$J:$J,$C276,BASE!$A:$A,L$2)</f>
        <v>0</v>
      </c>
      <c r="M276" s="12">
        <f>SUMIFS(BASE!$G:$G,BASE!$B:$B,$B276,BASE!$L:$L,$G276,BASE!$J:$J,$C276,BASE!$A:$A,M$2)</f>
        <v>0</v>
      </c>
      <c r="N276" s="12">
        <f>SUMIFS(BASE!$G:$G,BASE!$B:$B,$B276,BASE!$L:$L,$G276,BASE!$J:$J,$C276,BASE!$A:$A,N$2)</f>
        <v>0</v>
      </c>
      <c r="O276" s="12">
        <f>SUMIFS(BASE!$G:$G,BASE!$B:$B,$B276,BASE!$L:$L,$G276,BASE!$J:$J,$C276,BASE!$A:$A,O$2)</f>
        <v>0</v>
      </c>
      <c r="P276" s="12">
        <f>SUMIFS(BASE!$G:$G,BASE!$B:$B,$B276,BASE!$L:$L,$G276,BASE!$J:$J,$C276,BASE!$A:$A,P$2)</f>
        <v>0</v>
      </c>
      <c r="Q276" s="12">
        <f>SUMIFS(BASE!$G:$G,BASE!$B:$B,$B276,BASE!$L:$L,$G276,BASE!$J:$J,$C276,BASE!$A:$A,Q$2)</f>
        <v>0</v>
      </c>
      <c r="R276" s="12">
        <f>SUMIFS(BASE!$G:$G,BASE!$B:$B,$B276,BASE!$L:$L,$G276,BASE!$J:$J,$C276,BASE!$A:$A,R$2)</f>
        <v>0</v>
      </c>
      <c r="S276" s="12">
        <f>SUMIFS(BASE!$G:$G,BASE!$B:$B,$B276,BASE!$L:$L,$G276,BASE!$J:$J,$C276,BASE!$A:$A,S$2)</f>
        <v>0</v>
      </c>
      <c r="T276" s="12">
        <f>SUMIFS(BASE!$G:$G,BASE!$B:$B,$B276,BASE!$L:$L,$G276,BASE!$J:$J,$C276,BASE!$A:$A,T$2)</f>
        <v>0</v>
      </c>
      <c r="U276" s="12">
        <f>SUMIFS(BASE!$G:$G,BASE!$B:$B,$B276,BASE!$L:$L,$G276,BASE!$J:$J,$C276,BASE!$A:$A,U$2)</f>
        <v>0</v>
      </c>
      <c r="V276" s="12">
        <f>SUMIFS(BASE!$G:$G,BASE!$B:$B,$B276,BASE!$L:$L,$G276,BASE!$J:$J,$C276,BASE!$A:$A,V$2)</f>
        <v>0</v>
      </c>
      <c r="X276" t="str">
        <f t="shared" si="9"/>
        <v>ZERADO</v>
      </c>
    </row>
    <row r="277" spans="2:24">
      <c r="B277" s="8" t="s">
        <v>772</v>
      </c>
      <c r="C277" s="9" t="s">
        <v>206</v>
      </c>
      <c r="D277" s="9" t="s">
        <v>627</v>
      </c>
      <c r="E277" s="9" t="s">
        <v>609</v>
      </c>
      <c r="F277" s="9" t="s">
        <v>773</v>
      </c>
      <c r="G277" s="9" t="s">
        <v>59</v>
      </c>
      <c r="H277" s="7" t="str">
        <f>IFERROR(IF(_xlfn.XLOOKUP(B277,REPASSE!D:D,REPASSE!D:D)="","Não","Sim"),"Não")</f>
        <v>Não</v>
      </c>
      <c r="I277" s="7" t="str">
        <f>IF(_xlfn.XLOOKUP(B277,'BOOST LIBERADO'!B:B,'BOOST LIBERADO'!B:B,"Não")="Não","Não","Sim")</f>
        <v>Sim</v>
      </c>
      <c r="J277" s="83" t="str">
        <f t="shared" si="8"/>
        <v>Sim</v>
      </c>
      <c r="K277" s="12">
        <f>SUMIFS(BASE!$G:$G,BASE!$B:$B,$B277,BASE!$L:$L,$G277,BASE!$J:$J,$C277,BASE!$A:$A,K$2)</f>
        <v>0</v>
      </c>
      <c r="L277" s="12">
        <f>SUMIFS(BASE!$G:$G,BASE!$B:$B,$B277,BASE!$L:$L,$G277,BASE!$J:$J,$C277,BASE!$A:$A,L$2)</f>
        <v>0</v>
      </c>
      <c r="M277" s="12">
        <f>SUMIFS(BASE!$G:$G,BASE!$B:$B,$B277,BASE!$L:$L,$G277,BASE!$J:$J,$C277,BASE!$A:$A,M$2)</f>
        <v>0</v>
      </c>
      <c r="N277" s="12">
        <f>SUMIFS(BASE!$G:$G,BASE!$B:$B,$B277,BASE!$L:$L,$G277,BASE!$J:$J,$C277,BASE!$A:$A,N$2)</f>
        <v>0</v>
      </c>
      <c r="O277" s="12">
        <f>SUMIFS(BASE!$G:$G,BASE!$B:$B,$B277,BASE!$L:$L,$G277,BASE!$J:$J,$C277,BASE!$A:$A,O$2)</f>
        <v>0</v>
      </c>
      <c r="P277" s="12">
        <f>SUMIFS(BASE!$G:$G,BASE!$B:$B,$B277,BASE!$L:$L,$G277,BASE!$J:$J,$C277,BASE!$A:$A,P$2)</f>
        <v>0</v>
      </c>
      <c r="Q277" s="12">
        <f>SUMIFS(BASE!$G:$G,BASE!$B:$B,$B277,BASE!$L:$L,$G277,BASE!$J:$J,$C277,BASE!$A:$A,Q$2)</f>
        <v>0</v>
      </c>
      <c r="R277" s="12">
        <f>SUMIFS(BASE!$G:$G,BASE!$B:$B,$B277,BASE!$L:$L,$G277,BASE!$J:$J,$C277,BASE!$A:$A,R$2)</f>
        <v>0</v>
      </c>
      <c r="S277" s="12">
        <f>SUMIFS(BASE!$G:$G,BASE!$B:$B,$B277,BASE!$L:$L,$G277,BASE!$J:$J,$C277,BASE!$A:$A,S$2)</f>
        <v>0</v>
      </c>
      <c r="T277" s="12">
        <f>SUMIFS(BASE!$G:$G,BASE!$B:$B,$B277,BASE!$L:$L,$G277,BASE!$J:$J,$C277,BASE!$A:$A,T$2)</f>
        <v>0</v>
      </c>
      <c r="U277" s="12">
        <f>SUMIFS(BASE!$G:$G,BASE!$B:$B,$B277,BASE!$L:$L,$G277,BASE!$J:$J,$C277,BASE!$A:$A,U$2)</f>
        <v>0</v>
      </c>
      <c r="V277" s="12">
        <f>SUMIFS(BASE!$G:$G,BASE!$B:$B,$B277,BASE!$L:$L,$G277,BASE!$J:$J,$C277,BASE!$A:$A,V$2)</f>
        <v>0</v>
      </c>
      <c r="X277" t="str">
        <f t="shared" si="9"/>
        <v>ZERADO</v>
      </c>
    </row>
    <row r="278" spans="2:24">
      <c r="B278" s="8" t="s">
        <v>774</v>
      </c>
      <c r="C278" s="9" t="s">
        <v>144</v>
      </c>
      <c r="D278" s="9" t="s">
        <v>632</v>
      </c>
      <c r="E278" s="9" t="s">
        <v>633</v>
      </c>
      <c r="F278" s="9" t="s">
        <v>775</v>
      </c>
      <c r="G278" s="9" t="s">
        <v>59</v>
      </c>
      <c r="H278" s="7" t="str">
        <f>IFERROR(IF(_xlfn.XLOOKUP(B278,REPASSE!D:D,REPASSE!D:D)="","Não","Sim"),"Não")</f>
        <v>Não</v>
      </c>
      <c r="I278" s="7" t="str">
        <f>IF(_xlfn.XLOOKUP(B278,'BOOST LIBERADO'!B:B,'BOOST LIBERADO'!B:B,"Não")="Não","Não","Sim")</f>
        <v>Sim</v>
      </c>
      <c r="J278" s="83" t="str">
        <f t="shared" si="8"/>
        <v>Sim</v>
      </c>
      <c r="K278" s="12">
        <f>SUMIFS(BASE!$G:$G,BASE!$B:$B,$B278,BASE!$L:$L,$G278,BASE!$J:$J,$C278,BASE!$A:$A,K$2)</f>
        <v>0</v>
      </c>
      <c r="L278" s="12">
        <f>SUMIFS(BASE!$G:$G,BASE!$B:$B,$B278,BASE!$L:$L,$G278,BASE!$J:$J,$C278,BASE!$A:$A,L$2)</f>
        <v>0</v>
      </c>
      <c r="M278" s="12">
        <f>SUMIFS(BASE!$G:$G,BASE!$B:$B,$B278,BASE!$L:$L,$G278,BASE!$J:$J,$C278,BASE!$A:$A,M$2)</f>
        <v>0</v>
      </c>
      <c r="N278" s="12">
        <f>SUMIFS(BASE!$G:$G,BASE!$B:$B,$B278,BASE!$L:$L,$G278,BASE!$J:$J,$C278,BASE!$A:$A,N$2)</f>
        <v>0</v>
      </c>
      <c r="O278" s="12">
        <f>SUMIFS(BASE!$G:$G,BASE!$B:$B,$B278,BASE!$L:$L,$G278,BASE!$J:$J,$C278,BASE!$A:$A,O$2)</f>
        <v>0</v>
      </c>
      <c r="P278" s="12">
        <f>SUMIFS(BASE!$G:$G,BASE!$B:$B,$B278,BASE!$L:$L,$G278,BASE!$J:$J,$C278,BASE!$A:$A,P$2)</f>
        <v>0</v>
      </c>
      <c r="Q278" s="12">
        <f>SUMIFS(BASE!$G:$G,BASE!$B:$B,$B278,BASE!$L:$L,$G278,BASE!$J:$J,$C278,BASE!$A:$A,Q$2)</f>
        <v>0</v>
      </c>
      <c r="R278" s="12">
        <f>SUMIFS(BASE!$G:$G,BASE!$B:$B,$B278,BASE!$L:$L,$G278,BASE!$J:$J,$C278,BASE!$A:$A,R$2)</f>
        <v>0</v>
      </c>
      <c r="S278" s="12">
        <f>SUMIFS(BASE!$G:$G,BASE!$B:$B,$B278,BASE!$L:$L,$G278,BASE!$J:$J,$C278,BASE!$A:$A,S$2)</f>
        <v>0</v>
      </c>
      <c r="T278" s="12">
        <f>SUMIFS(BASE!$G:$G,BASE!$B:$B,$B278,BASE!$L:$L,$G278,BASE!$J:$J,$C278,BASE!$A:$A,T$2)</f>
        <v>0</v>
      </c>
      <c r="U278" s="12">
        <f>SUMIFS(BASE!$G:$G,BASE!$B:$B,$B278,BASE!$L:$L,$G278,BASE!$J:$J,$C278,BASE!$A:$A,U$2)</f>
        <v>0</v>
      </c>
      <c r="V278" s="12">
        <f>SUMIFS(BASE!$G:$G,BASE!$B:$B,$B278,BASE!$L:$L,$G278,BASE!$J:$J,$C278,BASE!$A:$A,V$2)</f>
        <v>0</v>
      </c>
      <c r="X278" t="str">
        <f t="shared" si="9"/>
        <v>ZERADO</v>
      </c>
    </row>
    <row r="279" spans="2:24">
      <c r="B279" s="8" t="s">
        <v>776</v>
      </c>
      <c r="C279" s="9" t="s">
        <v>221</v>
      </c>
      <c r="D279" s="9" t="s">
        <v>636</v>
      </c>
      <c r="E279" s="9" t="s">
        <v>633</v>
      </c>
      <c r="F279" s="9" t="s">
        <v>637</v>
      </c>
      <c r="G279" s="9" t="s">
        <v>59</v>
      </c>
      <c r="H279" s="7" t="str">
        <f>IFERROR(IF(_xlfn.XLOOKUP(B279,REPASSE!D:D,REPASSE!D:D)="","Não","Sim"),"Não")</f>
        <v>Não</v>
      </c>
      <c r="I279" s="7" t="str">
        <f>IF(_xlfn.XLOOKUP(B279,'BOOST LIBERADO'!B:B,'BOOST LIBERADO'!B:B,"Não")="Não","Não","Sim")</f>
        <v>Sim</v>
      </c>
      <c r="J279" s="83" t="str">
        <f t="shared" si="8"/>
        <v>Sim</v>
      </c>
      <c r="K279" s="12">
        <f>SUMIFS(BASE!$G:$G,BASE!$B:$B,$B279,BASE!$L:$L,$G279,BASE!$J:$J,$C279,BASE!$A:$A,K$2)</f>
        <v>1</v>
      </c>
      <c r="L279" s="12">
        <f>SUMIFS(BASE!$G:$G,BASE!$B:$B,$B279,BASE!$L:$L,$G279,BASE!$J:$J,$C279,BASE!$A:$A,L$2)</f>
        <v>2</v>
      </c>
      <c r="M279" s="12">
        <f>SUMIFS(BASE!$G:$G,BASE!$B:$B,$B279,BASE!$L:$L,$G279,BASE!$J:$J,$C279,BASE!$A:$A,M$2)</f>
        <v>2</v>
      </c>
      <c r="N279" s="12">
        <f>SUMIFS(BASE!$G:$G,BASE!$B:$B,$B279,BASE!$L:$L,$G279,BASE!$J:$J,$C279,BASE!$A:$A,N$2)</f>
        <v>6</v>
      </c>
      <c r="O279" s="12">
        <f>SUMIFS(BASE!$G:$G,BASE!$B:$B,$B279,BASE!$L:$L,$G279,BASE!$J:$J,$C279,BASE!$A:$A,O$2)</f>
        <v>2</v>
      </c>
      <c r="P279" s="12">
        <f>SUMIFS(BASE!$G:$G,BASE!$B:$B,$B279,BASE!$L:$L,$G279,BASE!$J:$J,$C279,BASE!$A:$A,P$2)</f>
        <v>0</v>
      </c>
      <c r="Q279" s="12">
        <f>SUMIFS(BASE!$G:$G,BASE!$B:$B,$B279,BASE!$L:$L,$G279,BASE!$J:$J,$C279,BASE!$A:$A,Q$2)</f>
        <v>3</v>
      </c>
      <c r="R279" s="12">
        <f>SUMIFS(BASE!$G:$G,BASE!$B:$B,$B279,BASE!$L:$L,$G279,BASE!$J:$J,$C279,BASE!$A:$A,R$2)</f>
        <v>1</v>
      </c>
      <c r="S279" s="12">
        <f>SUMIFS(BASE!$G:$G,BASE!$B:$B,$B279,BASE!$L:$L,$G279,BASE!$J:$J,$C279,BASE!$A:$A,S$2)</f>
        <v>0</v>
      </c>
      <c r="T279" s="12">
        <f>SUMIFS(BASE!$G:$G,BASE!$B:$B,$B279,BASE!$L:$L,$G279,BASE!$J:$J,$C279,BASE!$A:$A,T$2)</f>
        <v>0</v>
      </c>
      <c r="U279" s="12">
        <f>SUMIFS(BASE!$G:$G,BASE!$B:$B,$B279,BASE!$L:$L,$G279,BASE!$J:$J,$C279,BASE!$A:$A,U$2)</f>
        <v>0</v>
      </c>
      <c r="V279" s="12">
        <f>SUMIFS(BASE!$G:$G,BASE!$B:$B,$B279,BASE!$L:$L,$G279,BASE!$J:$J,$C279,BASE!$A:$A,V$2)</f>
        <v>0</v>
      </c>
      <c r="X279" t="str">
        <f t="shared" si="9"/>
        <v>COM TROCAS</v>
      </c>
    </row>
    <row r="280" spans="2:24">
      <c r="B280" s="8" t="s">
        <v>777</v>
      </c>
      <c r="C280" s="9" t="s">
        <v>221</v>
      </c>
      <c r="D280" s="9" t="s">
        <v>636</v>
      </c>
      <c r="E280" s="9" t="s">
        <v>633</v>
      </c>
      <c r="F280" s="9" t="s">
        <v>775</v>
      </c>
      <c r="G280" s="9" t="s">
        <v>59</v>
      </c>
      <c r="H280" s="7" t="str">
        <f>IFERROR(IF(_xlfn.XLOOKUP(B280,REPASSE!D:D,REPASSE!D:D)="","Não","Sim"),"Não")</f>
        <v>Não</v>
      </c>
      <c r="I280" s="7" t="str">
        <f>IF(_xlfn.XLOOKUP(B280,'BOOST LIBERADO'!B:B,'BOOST LIBERADO'!B:B,"Não")="Não","Não","Sim")</f>
        <v>Sim</v>
      </c>
      <c r="J280" s="83" t="str">
        <f t="shared" si="8"/>
        <v>Sim</v>
      </c>
      <c r="K280" s="12">
        <f>SUMIFS(BASE!$G:$G,BASE!$B:$B,$B280,BASE!$L:$L,$G280,BASE!$J:$J,$C280,BASE!$A:$A,K$2)</f>
        <v>8</v>
      </c>
      <c r="L280" s="12">
        <f>SUMIFS(BASE!$G:$G,BASE!$B:$B,$B280,BASE!$L:$L,$G280,BASE!$J:$J,$C280,BASE!$A:$A,L$2)</f>
        <v>12</v>
      </c>
      <c r="M280" s="12">
        <f>SUMIFS(BASE!$G:$G,BASE!$B:$B,$B280,BASE!$L:$L,$G280,BASE!$J:$J,$C280,BASE!$A:$A,M$2)</f>
        <v>15</v>
      </c>
      <c r="N280" s="12">
        <f>SUMIFS(BASE!$G:$G,BASE!$B:$B,$B280,BASE!$L:$L,$G280,BASE!$J:$J,$C280,BASE!$A:$A,N$2)</f>
        <v>13</v>
      </c>
      <c r="O280" s="12">
        <f>SUMIFS(BASE!$G:$G,BASE!$B:$B,$B280,BASE!$L:$L,$G280,BASE!$J:$J,$C280,BASE!$A:$A,O$2)</f>
        <v>4</v>
      </c>
      <c r="P280" s="12">
        <f>SUMIFS(BASE!$G:$G,BASE!$B:$B,$B280,BASE!$L:$L,$G280,BASE!$J:$J,$C280,BASE!$A:$A,P$2)</f>
        <v>13</v>
      </c>
      <c r="Q280" s="12">
        <f>SUMIFS(BASE!$G:$G,BASE!$B:$B,$B280,BASE!$L:$L,$G280,BASE!$J:$J,$C280,BASE!$A:$A,Q$2)</f>
        <v>21</v>
      </c>
      <c r="R280" s="12">
        <f>SUMIFS(BASE!$G:$G,BASE!$B:$B,$B280,BASE!$L:$L,$G280,BASE!$J:$J,$C280,BASE!$A:$A,R$2)</f>
        <v>10</v>
      </c>
      <c r="S280" s="12">
        <f>SUMIFS(BASE!$G:$G,BASE!$B:$B,$B280,BASE!$L:$L,$G280,BASE!$J:$J,$C280,BASE!$A:$A,S$2)</f>
        <v>0</v>
      </c>
      <c r="T280" s="12">
        <f>SUMIFS(BASE!$G:$G,BASE!$B:$B,$B280,BASE!$L:$L,$G280,BASE!$J:$J,$C280,BASE!$A:$A,T$2)</f>
        <v>0</v>
      </c>
      <c r="U280" s="12">
        <f>SUMIFS(BASE!$G:$G,BASE!$B:$B,$B280,BASE!$L:$L,$G280,BASE!$J:$J,$C280,BASE!$A:$A,U$2)</f>
        <v>0</v>
      </c>
      <c r="V280" s="12">
        <f>SUMIFS(BASE!$G:$G,BASE!$B:$B,$B280,BASE!$L:$L,$G280,BASE!$J:$J,$C280,BASE!$A:$A,V$2)</f>
        <v>0</v>
      </c>
      <c r="X280" t="str">
        <f t="shared" si="9"/>
        <v>COM TROCAS</v>
      </c>
    </row>
    <row r="281" spans="2:24">
      <c r="B281" s="8" t="s">
        <v>778</v>
      </c>
      <c r="C281" s="9" t="s">
        <v>221</v>
      </c>
      <c r="D281" s="9" t="s">
        <v>636</v>
      </c>
      <c r="E281" s="9" t="s">
        <v>633</v>
      </c>
      <c r="F281" s="9" t="s">
        <v>775</v>
      </c>
      <c r="G281" s="9" t="s">
        <v>59</v>
      </c>
      <c r="H281" s="7" t="str">
        <f>IFERROR(IF(_xlfn.XLOOKUP(B281,REPASSE!D:D,REPASSE!D:D)="","Não","Sim"),"Não")</f>
        <v>Não</v>
      </c>
      <c r="I281" s="7" t="str">
        <f>IF(_xlfn.XLOOKUP(B281,'BOOST LIBERADO'!B:B,'BOOST LIBERADO'!B:B,"Não")="Não","Não","Sim")</f>
        <v>Sim</v>
      </c>
      <c r="J281" s="83" t="str">
        <f t="shared" si="8"/>
        <v>Sim</v>
      </c>
      <c r="K281" s="12">
        <f>SUMIFS(BASE!$G:$G,BASE!$B:$B,$B281,BASE!$L:$L,$G281,BASE!$J:$J,$C281,BASE!$A:$A,K$2)</f>
        <v>5</v>
      </c>
      <c r="L281" s="12">
        <f>SUMIFS(BASE!$G:$G,BASE!$B:$B,$B281,BASE!$L:$L,$G281,BASE!$J:$J,$C281,BASE!$A:$A,L$2)</f>
        <v>4</v>
      </c>
      <c r="M281" s="12">
        <f>SUMIFS(BASE!$G:$G,BASE!$B:$B,$B281,BASE!$L:$L,$G281,BASE!$J:$J,$C281,BASE!$A:$A,M$2)</f>
        <v>2</v>
      </c>
      <c r="N281" s="12">
        <f>SUMIFS(BASE!$G:$G,BASE!$B:$B,$B281,BASE!$L:$L,$G281,BASE!$J:$J,$C281,BASE!$A:$A,N$2)</f>
        <v>2</v>
      </c>
      <c r="O281" s="12">
        <f>SUMIFS(BASE!$G:$G,BASE!$B:$B,$B281,BASE!$L:$L,$G281,BASE!$J:$J,$C281,BASE!$A:$A,O$2)</f>
        <v>4</v>
      </c>
      <c r="P281" s="12">
        <f>SUMIFS(BASE!$G:$G,BASE!$B:$B,$B281,BASE!$L:$L,$G281,BASE!$J:$J,$C281,BASE!$A:$A,P$2)</f>
        <v>3</v>
      </c>
      <c r="Q281" s="12">
        <f>SUMIFS(BASE!$G:$G,BASE!$B:$B,$B281,BASE!$L:$L,$G281,BASE!$J:$J,$C281,BASE!$A:$A,Q$2)</f>
        <v>9</v>
      </c>
      <c r="R281" s="12">
        <f>SUMIFS(BASE!$G:$G,BASE!$B:$B,$B281,BASE!$L:$L,$G281,BASE!$J:$J,$C281,BASE!$A:$A,R$2)</f>
        <v>8</v>
      </c>
      <c r="S281" s="12">
        <f>SUMIFS(BASE!$G:$G,BASE!$B:$B,$B281,BASE!$L:$L,$G281,BASE!$J:$J,$C281,BASE!$A:$A,S$2)</f>
        <v>0</v>
      </c>
      <c r="T281" s="12">
        <f>SUMIFS(BASE!$G:$G,BASE!$B:$B,$B281,BASE!$L:$L,$G281,BASE!$J:$J,$C281,BASE!$A:$A,T$2)</f>
        <v>0</v>
      </c>
      <c r="U281" s="12">
        <f>SUMIFS(BASE!$G:$G,BASE!$B:$B,$B281,BASE!$L:$L,$G281,BASE!$J:$J,$C281,BASE!$A:$A,U$2)</f>
        <v>0</v>
      </c>
      <c r="V281" s="12">
        <f>SUMIFS(BASE!$G:$G,BASE!$B:$B,$B281,BASE!$L:$L,$G281,BASE!$J:$J,$C281,BASE!$A:$A,V$2)</f>
        <v>0</v>
      </c>
      <c r="X281" t="str">
        <f t="shared" si="9"/>
        <v>COM TROCAS</v>
      </c>
    </row>
    <row r="282" spans="2:24">
      <c r="B282" s="8" t="s">
        <v>779</v>
      </c>
      <c r="C282" s="9" t="s">
        <v>221</v>
      </c>
      <c r="D282" s="9" t="s">
        <v>636</v>
      </c>
      <c r="E282" s="9" t="s">
        <v>633</v>
      </c>
      <c r="F282" s="9" t="s">
        <v>780</v>
      </c>
      <c r="G282" s="9" t="s">
        <v>59</v>
      </c>
      <c r="H282" s="7" t="str">
        <f>IFERROR(IF(_xlfn.XLOOKUP(B282,REPASSE!D:D,REPASSE!D:D)="","Não","Sim"),"Não")</f>
        <v>Não</v>
      </c>
      <c r="I282" s="7" t="str">
        <f>IF(_xlfn.XLOOKUP(B282,'BOOST LIBERADO'!B:B,'BOOST LIBERADO'!B:B,"Não")="Não","Não","Sim")</f>
        <v>Sim</v>
      </c>
      <c r="J282" s="83" t="str">
        <f t="shared" si="8"/>
        <v>Sim</v>
      </c>
      <c r="K282" s="12">
        <f>SUMIFS(BASE!$G:$G,BASE!$B:$B,$B282,BASE!$L:$L,$G282,BASE!$J:$J,$C282,BASE!$A:$A,K$2)</f>
        <v>0</v>
      </c>
      <c r="L282" s="12">
        <f>SUMIFS(BASE!$G:$G,BASE!$B:$B,$B282,BASE!$L:$L,$G282,BASE!$J:$J,$C282,BASE!$A:$A,L$2)</f>
        <v>0</v>
      </c>
      <c r="M282" s="12">
        <f>SUMIFS(BASE!$G:$G,BASE!$B:$B,$B282,BASE!$L:$L,$G282,BASE!$J:$J,$C282,BASE!$A:$A,M$2)</f>
        <v>2</v>
      </c>
      <c r="N282" s="12">
        <f>SUMIFS(BASE!$G:$G,BASE!$B:$B,$B282,BASE!$L:$L,$G282,BASE!$J:$J,$C282,BASE!$A:$A,N$2)</f>
        <v>0</v>
      </c>
      <c r="O282" s="12">
        <f>SUMIFS(BASE!$G:$G,BASE!$B:$B,$B282,BASE!$L:$L,$G282,BASE!$J:$J,$C282,BASE!$A:$A,O$2)</f>
        <v>0</v>
      </c>
      <c r="P282" s="12">
        <f>SUMIFS(BASE!$G:$G,BASE!$B:$B,$B282,BASE!$L:$L,$G282,BASE!$J:$J,$C282,BASE!$A:$A,P$2)</f>
        <v>0</v>
      </c>
      <c r="Q282" s="12">
        <f>SUMIFS(BASE!$G:$G,BASE!$B:$B,$B282,BASE!$L:$L,$G282,BASE!$J:$J,$C282,BASE!$A:$A,Q$2)</f>
        <v>0</v>
      </c>
      <c r="R282" s="12">
        <f>SUMIFS(BASE!$G:$G,BASE!$B:$B,$B282,BASE!$L:$L,$G282,BASE!$J:$J,$C282,BASE!$A:$A,R$2)</f>
        <v>0</v>
      </c>
      <c r="S282" s="12">
        <f>SUMIFS(BASE!$G:$G,BASE!$B:$B,$B282,BASE!$L:$L,$G282,BASE!$J:$J,$C282,BASE!$A:$A,S$2)</f>
        <v>0</v>
      </c>
      <c r="T282" s="12">
        <f>SUMIFS(BASE!$G:$G,BASE!$B:$B,$B282,BASE!$L:$L,$G282,BASE!$J:$J,$C282,BASE!$A:$A,T$2)</f>
        <v>0</v>
      </c>
      <c r="U282" s="12">
        <f>SUMIFS(BASE!$G:$G,BASE!$B:$B,$B282,BASE!$L:$L,$G282,BASE!$J:$J,$C282,BASE!$A:$A,U$2)</f>
        <v>0</v>
      </c>
      <c r="V282" s="12">
        <f>SUMIFS(BASE!$G:$G,BASE!$B:$B,$B282,BASE!$L:$L,$G282,BASE!$J:$J,$C282,BASE!$A:$A,V$2)</f>
        <v>0</v>
      </c>
      <c r="X282" t="str">
        <f t="shared" si="9"/>
        <v>ZERADO</v>
      </c>
    </row>
    <row r="283" spans="2:24">
      <c r="B283" s="8" t="s">
        <v>781</v>
      </c>
      <c r="C283" s="9" t="s">
        <v>221</v>
      </c>
      <c r="D283" s="9" t="s">
        <v>636</v>
      </c>
      <c r="E283" s="9" t="s">
        <v>633</v>
      </c>
      <c r="F283" s="9" t="s">
        <v>637</v>
      </c>
      <c r="G283" s="9" t="s">
        <v>59</v>
      </c>
      <c r="H283" s="7" t="str">
        <f>IFERROR(IF(_xlfn.XLOOKUP(B283,REPASSE!D:D,REPASSE!D:D)="","Não","Sim"),"Não")</f>
        <v>Não</v>
      </c>
      <c r="I283" s="7" t="str">
        <f>IF(_xlfn.XLOOKUP(B283,'BOOST LIBERADO'!B:B,'BOOST LIBERADO'!B:B,"Não")="Não","Não","Sim")</f>
        <v>Sim</v>
      </c>
      <c r="J283" s="83" t="str">
        <f t="shared" si="8"/>
        <v>Sim</v>
      </c>
      <c r="K283" s="12">
        <f>SUMIFS(BASE!$G:$G,BASE!$B:$B,$B283,BASE!$L:$L,$G283,BASE!$J:$J,$C283,BASE!$A:$A,K$2)</f>
        <v>3</v>
      </c>
      <c r="L283" s="12">
        <f>SUMIFS(BASE!$G:$G,BASE!$B:$B,$B283,BASE!$L:$L,$G283,BASE!$J:$J,$C283,BASE!$A:$A,L$2)</f>
        <v>2</v>
      </c>
      <c r="M283" s="12">
        <f>SUMIFS(BASE!$G:$G,BASE!$B:$B,$B283,BASE!$L:$L,$G283,BASE!$J:$J,$C283,BASE!$A:$A,M$2)</f>
        <v>7</v>
      </c>
      <c r="N283" s="12">
        <f>SUMIFS(BASE!$G:$G,BASE!$B:$B,$B283,BASE!$L:$L,$G283,BASE!$J:$J,$C283,BASE!$A:$A,N$2)</f>
        <v>7</v>
      </c>
      <c r="O283" s="12">
        <f>SUMIFS(BASE!$G:$G,BASE!$B:$B,$B283,BASE!$L:$L,$G283,BASE!$J:$J,$C283,BASE!$A:$A,O$2)</f>
        <v>3</v>
      </c>
      <c r="P283" s="12">
        <f>SUMIFS(BASE!$G:$G,BASE!$B:$B,$B283,BASE!$L:$L,$G283,BASE!$J:$J,$C283,BASE!$A:$A,P$2)</f>
        <v>3</v>
      </c>
      <c r="Q283" s="12">
        <f>SUMIFS(BASE!$G:$G,BASE!$B:$B,$B283,BASE!$L:$L,$G283,BASE!$J:$J,$C283,BASE!$A:$A,Q$2)</f>
        <v>10</v>
      </c>
      <c r="R283" s="12">
        <f>SUMIFS(BASE!$G:$G,BASE!$B:$B,$B283,BASE!$L:$L,$G283,BASE!$J:$J,$C283,BASE!$A:$A,R$2)</f>
        <v>10</v>
      </c>
      <c r="S283" s="12">
        <f>SUMIFS(BASE!$G:$G,BASE!$B:$B,$B283,BASE!$L:$L,$G283,BASE!$J:$J,$C283,BASE!$A:$A,S$2)</f>
        <v>0</v>
      </c>
      <c r="T283" s="12">
        <f>SUMIFS(BASE!$G:$G,BASE!$B:$B,$B283,BASE!$L:$L,$G283,BASE!$J:$J,$C283,BASE!$A:$A,T$2)</f>
        <v>0</v>
      </c>
      <c r="U283" s="12">
        <f>SUMIFS(BASE!$G:$G,BASE!$B:$B,$B283,BASE!$L:$L,$G283,BASE!$J:$J,$C283,BASE!$A:$A,U$2)</f>
        <v>0</v>
      </c>
      <c r="V283" s="12">
        <f>SUMIFS(BASE!$G:$G,BASE!$B:$B,$B283,BASE!$L:$L,$G283,BASE!$J:$J,$C283,BASE!$A:$A,V$2)</f>
        <v>0</v>
      </c>
      <c r="X283" t="str">
        <f t="shared" si="9"/>
        <v>COM TROCAS</v>
      </c>
    </row>
    <row r="284" spans="2:24">
      <c r="B284" s="8" t="s">
        <v>782</v>
      </c>
      <c r="C284" s="8" t="s">
        <v>144</v>
      </c>
      <c r="D284" s="8" t="s">
        <v>632</v>
      </c>
      <c r="E284" s="8" t="s">
        <v>633</v>
      </c>
      <c r="F284" s="8" t="s">
        <v>783</v>
      </c>
      <c r="G284" s="8" t="s">
        <v>59</v>
      </c>
      <c r="H284" s="7" t="str">
        <f>IFERROR(IF(_xlfn.XLOOKUP(B284,REPASSE!D:D,REPASSE!D:D)="","Não","Sim"),"Não")</f>
        <v>Não</v>
      </c>
      <c r="I284" s="7" t="str">
        <f>IF(_xlfn.XLOOKUP(B284,'BOOST LIBERADO'!B:B,'BOOST LIBERADO'!B:B,"Não")="Não","Não","Sim")</f>
        <v>Sim</v>
      </c>
      <c r="J284" s="83" t="str">
        <f t="shared" si="8"/>
        <v>Sim</v>
      </c>
      <c r="K284" s="12">
        <f>SUMIFS(BASE!$G:$G,BASE!$B:$B,$B284,BASE!$L:$L,$G284,BASE!$J:$J,$C284,BASE!$A:$A,K$2)</f>
        <v>0</v>
      </c>
      <c r="L284" s="12">
        <f>SUMIFS(BASE!$G:$G,BASE!$B:$B,$B284,BASE!$L:$L,$G284,BASE!$J:$J,$C284,BASE!$A:$A,L$2)</f>
        <v>0</v>
      </c>
      <c r="M284" s="12">
        <f>SUMIFS(BASE!$G:$G,BASE!$B:$B,$B284,BASE!$L:$L,$G284,BASE!$J:$J,$C284,BASE!$A:$A,M$2)</f>
        <v>0</v>
      </c>
      <c r="N284" s="12">
        <f>SUMIFS(BASE!$G:$G,BASE!$B:$B,$B284,BASE!$L:$L,$G284,BASE!$J:$J,$C284,BASE!$A:$A,N$2)</f>
        <v>0</v>
      </c>
      <c r="O284" s="12">
        <f>SUMIFS(BASE!$G:$G,BASE!$B:$B,$B284,BASE!$L:$L,$G284,BASE!$J:$J,$C284,BASE!$A:$A,O$2)</f>
        <v>0</v>
      </c>
      <c r="P284" s="12">
        <f>SUMIFS(BASE!$G:$G,BASE!$B:$B,$B284,BASE!$L:$L,$G284,BASE!$J:$J,$C284,BASE!$A:$A,P$2)</f>
        <v>0</v>
      </c>
      <c r="Q284" s="12">
        <f>SUMIFS(BASE!$G:$G,BASE!$B:$B,$B284,BASE!$L:$L,$G284,BASE!$J:$J,$C284,BASE!$A:$A,Q$2)</f>
        <v>0</v>
      </c>
      <c r="R284" s="12">
        <f>SUMIFS(BASE!$G:$G,BASE!$B:$B,$B284,BASE!$L:$L,$G284,BASE!$J:$J,$C284,BASE!$A:$A,R$2)</f>
        <v>0</v>
      </c>
      <c r="S284" s="12">
        <f>SUMIFS(BASE!$G:$G,BASE!$B:$B,$B284,BASE!$L:$L,$G284,BASE!$J:$J,$C284,BASE!$A:$A,S$2)</f>
        <v>0</v>
      </c>
      <c r="T284" s="12">
        <f>SUMIFS(BASE!$G:$G,BASE!$B:$B,$B284,BASE!$L:$L,$G284,BASE!$J:$J,$C284,BASE!$A:$A,T$2)</f>
        <v>0</v>
      </c>
      <c r="U284" s="12">
        <f>SUMIFS(BASE!$G:$G,BASE!$B:$B,$B284,BASE!$L:$L,$G284,BASE!$J:$J,$C284,BASE!$A:$A,U$2)</f>
        <v>0</v>
      </c>
      <c r="V284" s="12">
        <f>SUMIFS(BASE!$G:$G,BASE!$B:$B,$B284,BASE!$L:$L,$G284,BASE!$J:$J,$C284,BASE!$A:$A,V$2)</f>
        <v>0</v>
      </c>
      <c r="X284" t="str">
        <f t="shared" si="9"/>
        <v>ZERADO</v>
      </c>
    </row>
    <row r="285" spans="2:24">
      <c r="B285" s="8" t="s">
        <v>784</v>
      </c>
      <c r="C285" s="9" t="s">
        <v>144</v>
      </c>
      <c r="D285" s="9" t="s">
        <v>632</v>
      </c>
      <c r="E285" s="9" t="s">
        <v>633</v>
      </c>
      <c r="F285" s="9" t="s">
        <v>783</v>
      </c>
      <c r="G285" s="9" t="s">
        <v>59</v>
      </c>
      <c r="H285" s="7" t="str">
        <f>IFERROR(IF(_xlfn.XLOOKUP(B285,REPASSE!D:D,REPASSE!D:D)="","Não","Sim"),"Não")</f>
        <v>Não</v>
      </c>
      <c r="I285" s="7" t="str">
        <f>IF(_xlfn.XLOOKUP(B285,'BOOST LIBERADO'!B:B,'BOOST LIBERADO'!B:B,"Não")="Não","Não","Sim")</f>
        <v>Sim</v>
      </c>
      <c r="J285" s="83" t="str">
        <f t="shared" si="8"/>
        <v>Sim</v>
      </c>
      <c r="K285" s="12">
        <f>SUMIFS(BASE!$G:$G,BASE!$B:$B,$B285,BASE!$L:$L,$G285,BASE!$J:$J,$C285,BASE!$A:$A,K$2)</f>
        <v>0</v>
      </c>
      <c r="L285" s="12">
        <f>SUMIFS(BASE!$G:$G,BASE!$B:$B,$B285,BASE!$L:$L,$G285,BASE!$J:$J,$C285,BASE!$A:$A,L$2)</f>
        <v>0</v>
      </c>
      <c r="M285" s="12">
        <f>SUMIFS(BASE!$G:$G,BASE!$B:$B,$B285,BASE!$L:$L,$G285,BASE!$J:$J,$C285,BASE!$A:$A,M$2)</f>
        <v>0</v>
      </c>
      <c r="N285" s="12">
        <f>SUMIFS(BASE!$G:$G,BASE!$B:$B,$B285,BASE!$L:$L,$G285,BASE!$J:$J,$C285,BASE!$A:$A,N$2)</f>
        <v>0</v>
      </c>
      <c r="O285" s="12">
        <f>SUMIFS(BASE!$G:$G,BASE!$B:$B,$B285,BASE!$L:$L,$G285,BASE!$J:$J,$C285,BASE!$A:$A,O$2)</f>
        <v>0</v>
      </c>
      <c r="P285" s="12">
        <f>SUMIFS(BASE!$G:$G,BASE!$B:$B,$B285,BASE!$L:$L,$G285,BASE!$J:$J,$C285,BASE!$A:$A,P$2)</f>
        <v>0</v>
      </c>
      <c r="Q285" s="12">
        <f>SUMIFS(BASE!$G:$G,BASE!$B:$B,$B285,BASE!$L:$L,$G285,BASE!$J:$J,$C285,BASE!$A:$A,Q$2)</f>
        <v>0</v>
      </c>
      <c r="R285" s="12">
        <f>SUMIFS(BASE!$G:$G,BASE!$B:$B,$B285,BASE!$L:$L,$G285,BASE!$J:$J,$C285,BASE!$A:$A,R$2)</f>
        <v>0</v>
      </c>
      <c r="S285" s="12">
        <f>SUMIFS(BASE!$G:$G,BASE!$B:$B,$B285,BASE!$L:$L,$G285,BASE!$J:$J,$C285,BASE!$A:$A,S$2)</f>
        <v>0</v>
      </c>
      <c r="T285" s="12">
        <f>SUMIFS(BASE!$G:$G,BASE!$B:$B,$B285,BASE!$L:$L,$G285,BASE!$J:$J,$C285,BASE!$A:$A,T$2)</f>
        <v>0</v>
      </c>
      <c r="U285" s="12">
        <f>SUMIFS(BASE!$G:$G,BASE!$B:$B,$B285,BASE!$L:$L,$G285,BASE!$J:$J,$C285,BASE!$A:$A,U$2)</f>
        <v>0</v>
      </c>
      <c r="V285" s="12">
        <f>SUMIFS(BASE!$G:$G,BASE!$B:$B,$B285,BASE!$L:$L,$G285,BASE!$J:$J,$C285,BASE!$A:$A,V$2)</f>
        <v>0</v>
      </c>
      <c r="X285" t="str">
        <f t="shared" si="9"/>
        <v>ZERADO</v>
      </c>
    </row>
    <row r="286" spans="2:24">
      <c r="B286" s="8" t="s">
        <v>785</v>
      </c>
      <c r="C286" s="9" t="s">
        <v>240</v>
      </c>
      <c r="D286" s="9" t="s">
        <v>643</v>
      </c>
      <c r="E286" s="9" t="s">
        <v>609</v>
      </c>
      <c r="F286" s="9" t="s">
        <v>786</v>
      </c>
      <c r="G286" s="9" t="s">
        <v>59</v>
      </c>
      <c r="H286" s="7" t="str">
        <f>IFERROR(IF(_xlfn.XLOOKUP(B286,REPASSE!D:D,REPASSE!D:D)="","Não","Sim"),"Não")</f>
        <v>Não</v>
      </c>
      <c r="I286" s="7" t="str">
        <f>IF(_xlfn.XLOOKUP(B286,'BOOST LIBERADO'!B:B,'BOOST LIBERADO'!B:B,"Não")="Não","Não","Sim")</f>
        <v>Sim</v>
      </c>
      <c r="J286" s="83" t="str">
        <f t="shared" si="8"/>
        <v>Sim</v>
      </c>
      <c r="K286" s="12">
        <f>SUMIFS(BASE!$G:$G,BASE!$B:$B,$B286,BASE!$L:$L,$G286,BASE!$J:$J,$C286,BASE!$A:$A,K$2)</f>
        <v>0</v>
      </c>
      <c r="L286" s="12">
        <f>SUMIFS(BASE!$G:$G,BASE!$B:$B,$B286,BASE!$L:$L,$G286,BASE!$J:$J,$C286,BASE!$A:$A,L$2)</f>
        <v>0</v>
      </c>
      <c r="M286" s="12">
        <f>SUMIFS(BASE!$G:$G,BASE!$B:$B,$B286,BASE!$L:$L,$G286,BASE!$J:$J,$C286,BASE!$A:$A,M$2)</f>
        <v>1</v>
      </c>
      <c r="N286" s="12">
        <f>SUMIFS(BASE!$G:$G,BASE!$B:$B,$B286,BASE!$L:$L,$G286,BASE!$J:$J,$C286,BASE!$A:$A,N$2)</f>
        <v>0</v>
      </c>
      <c r="O286" s="12">
        <f>SUMIFS(BASE!$G:$G,BASE!$B:$B,$B286,BASE!$L:$L,$G286,BASE!$J:$J,$C286,BASE!$A:$A,O$2)</f>
        <v>0</v>
      </c>
      <c r="P286" s="12">
        <f>SUMIFS(BASE!$G:$G,BASE!$B:$B,$B286,BASE!$L:$L,$G286,BASE!$J:$J,$C286,BASE!$A:$A,P$2)</f>
        <v>0</v>
      </c>
      <c r="Q286" s="12">
        <f>SUMIFS(BASE!$G:$G,BASE!$B:$B,$B286,BASE!$L:$L,$G286,BASE!$J:$J,$C286,BASE!$A:$A,Q$2)</f>
        <v>2</v>
      </c>
      <c r="R286" s="12">
        <f>SUMIFS(BASE!$G:$G,BASE!$B:$B,$B286,BASE!$L:$L,$G286,BASE!$J:$J,$C286,BASE!$A:$A,R$2)</f>
        <v>0</v>
      </c>
      <c r="S286" s="12">
        <f>SUMIFS(BASE!$G:$G,BASE!$B:$B,$B286,BASE!$L:$L,$G286,BASE!$J:$J,$C286,BASE!$A:$A,S$2)</f>
        <v>0</v>
      </c>
      <c r="T286" s="12">
        <f>SUMIFS(BASE!$G:$G,BASE!$B:$B,$B286,BASE!$L:$L,$G286,BASE!$J:$J,$C286,BASE!$A:$A,T$2)</f>
        <v>0</v>
      </c>
      <c r="U286" s="12">
        <f>SUMIFS(BASE!$G:$G,BASE!$B:$B,$B286,BASE!$L:$L,$G286,BASE!$J:$J,$C286,BASE!$A:$A,U$2)</f>
        <v>0</v>
      </c>
      <c r="V286" s="12">
        <f>SUMIFS(BASE!$G:$G,BASE!$B:$B,$B286,BASE!$L:$L,$G286,BASE!$J:$J,$C286,BASE!$A:$A,V$2)</f>
        <v>0</v>
      </c>
      <c r="X286" t="str">
        <f t="shared" si="9"/>
        <v>ZERADO</v>
      </c>
    </row>
    <row r="287" spans="2:24">
      <c r="B287" s="8" t="s">
        <v>787</v>
      </c>
      <c r="C287" s="9" t="s">
        <v>240</v>
      </c>
      <c r="D287" s="9" t="s">
        <v>643</v>
      </c>
      <c r="E287" s="9" t="s">
        <v>609</v>
      </c>
      <c r="F287" s="9" t="s">
        <v>649</v>
      </c>
      <c r="G287" s="9" t="s">
        <v>59</v>
      </c>
      <c r="H287" s="7" t="str">
        <f>IFERROR(IF(_xlfn.XLOOKUP(B287,REPASSE!D:D,REPASSE!D:D)="","Não","Sim"),"Não")</f>
        <v>Não</v>
      </c>
      <c r="I287" s="7" t="str">
        <f>IF(_xlfn.XLOOKUP(B287,'BOOST LIBERADO'!B:B,'BOOST LIBERADO'!B:B,"Não")="Não","Não","Sim")</f>
        <v>Sim</v>
      </c>
      <c r="J287" s="83" t="str">
        <f t="shared" si="8"/>
        <v>Sim</v>
      </c>
      <c r="K287" s="12">
        <f>SUMIFS(BASE!$G:$G,BASE!$B:$B,$B287,BASE!$L:$L,$G287,BASE!$J:$J,$C287,BASE!$A:$A,K$2)</f>
        <v>0</v>
      </c>
      <c r="L287" s="12">
        <f>SUMIFS(BASE!$G:$G,BASE!$B:$B,$B287,BASE!$L:$L,$G287,BASE!$J:$J,$C287,BASE!$A:$A,L$2)</f>
        <v>0</v>
      </c>
      <c r="M287" s="12">
        <f>SUMIFS(BASE!$G:$G,BASE!$B:$B,$B287,BASE!$L:$L,$G287,BASE!$J:$J,$C287,BASE!$A:$A,M$2)</f>
        <v>2</v>
      </c>
      <c r="N287" s="12">
        <f>SUMIFS(BASE!$G:$G,BASE!$B:$B,$B287,BASE!$L:$L,$G287,BASE!$J:$J,$C287,BASE!$A:$A,N$2)</f>
        <v>0</v>
      </c>
      <c r="O287" s="12">
        <f>SUMIFS(BASE!$G:$G,BASE!$B:$B,$B287,BASE!$L:$L,$G287,BASE!$J:$J,$C287,BASE!$A:$A,O$2)</f>
        <v>3</v>
      </c>
      <c r="P287" s="12">
        <f>SUMIFS(BASE!$G:$G,BASE!$B:$B,$B287,BASE!$L:$L,$G287,BASE!$J:$J,$C287,BASE!$A:$A,P$2)</f>
        <v>1</v>
      </c>
      <c r="Q287" s="12">
        <f>SUMIFS(BASE!$G:$G,BASE!$B:$B,$B287,BASE!$L:$L,$G287,BASE!$J:$J,$C287,BASE!$A:$A,Q$2)</f>
        <v>10</v>
      </c>
      <c r="R287" s="12">
        <f>SUMIFS(BASE!$G:$G,BASE!$B:$B,$B287,BASE!$L:$L,$G287,BASE!$J:$J,$C287,BASE!$A:$A,R$2)</f>
        <v>6</v>
      </c>
      <c r="S287" s="12">
        <f>SUMIFS(BASE!$G:$G,BASE!$B:$B,$B287,BASE!$L:$L,$G287,BASE!$J:$J,$C287,BASE!$A:$A,S$2)</f>
        <v>0</v>
      </c>
      <c r="T287" s="12">
        <f>SUMIFS(BASE!$G:$G,BASE!$B:$B,$B287,BASE!$L:$L,$G287,BASE!$J:$J,$C287,BASE!$A:$A,T$2)</f>
        <v>0</v>
      </c>
      <c r="U287" s="12">
        <f>SUMIFS(BASE!$G:$G,BASE!$B:$B,$B287,BASE!$L:$L,$G287,BASE!$J:$J,$C287,BASE!$A:$A,U$2)</f>
        <v>0</v>
      </c>
      <c r="V287" s="12">
        <f>SUMIFS(BASE!$G:$G,BASE!$B:$B,$B287,BASE!$L:$L,$G287,BASE!$J:$J,$C287,BASE!$A:$A,V$2)</f>
        <v>0</v>
      </c>
      <c r="X287" t="str">
        <f t="shared" si="9"/>
        <v>COM TROCAS</v>
      </c>
    </row>
    <row r="288" spans="2:24">
      <c r="B288" s="8" t="s">
        <v>788</v>
      </c>
      <c r="C288" s="9" t="s">
        <v>240</v>
      </c>
      <c r="D288" s="9" t="s">
        <v>643</v>
      </c>
      <c r="E288" s="9" t="s">
        <v>609</v>
      </c>
      <c r="F288" s="9" t="s">
        <v>786</v>
      </c>
      <c r="G288" s="9" t="s">
        <v>59</v>
      </c>
      <c r="H288" s="7" t="str">
        <f>IFERROR(IF(_xlfn.XLOOKUP(B288,REPASSE!D:D,REPASSE!D:D)="","Não","Sim"),"Não")</f>
        <v>Não</v>
      </c>
      <c r="I288" s="7" t="str">
        <f>IF(_xlfn.XLOOKUP(B288,'BOOST LIBERADO'!B:B,'BOOST LIBERADO'!B:B,"Não")="Não","Não","Sim")</f>
        <v>Sim</v>
      </c>
      <c r="J288" s="83" t="str">
        <f t="shared" si="8"/>
        <v>Sim</v>
      </c>
      <c r="K288" s="12">
        <f>SUMIFS(BASE!$G:$G,BASE!$B:$B,$B288,BASE!$L:$L,$G288,BASE!$J:$J,$C288,BASE!$A:$A,K$2)</f>
        <v>0</v>
      </c>
      <c r="L288" s="12">
        <f>SUMIFS(BASE!$G:$G,BASE!$B:$B,$B288,BASE!$L:$L,$G288,BASE!$J:$J,$C288,BASE!$A:$A,L$2)</f>
        <v>0</v>
      </c>
      <c r="M288" s="12">
        <f>SUMIFS(BASE!$G:$G,BASE!$B:$B,$B288,BASE!$L:$L,$G288,BASE!$J:$J,$C288,BASE!$A:$A,M$2)</f>
        <v>1</v>
      </c>
      <c r="N288" s="12">
        <f>SUMIFS(BASE!$G:$G,BASE!$B:$B,$B288,BASE!$L:$L,$G288,BASE!$J:$J,$C288,BASE!$A:$A,N$2)</f>
        <v>0</v>
      </c>
      <c r="O288" s="12">
        <f>SUMIFS(BASE!$G:$G,BASE!$B:$B,$B288,BASE!$L:$L,$G288,BASE!$J:$J,$C288,BASE!$A:$A,O$2)</f>
        <v>0</v>
      </c>
      <c r="P288" s="12">
        <f>SUMIFS(BASE!$G:$G,BASE!$B:$B,$B288,BASE!$L:$L,$G288,BASE!$J:$J,$C288,BASE!$A:$A,P$2)</f>
        <v>0</v>
      </c>
      <c r="Q288" s="12">
        <f>SUMIFS(BASE!$G:$G,BASE!$B:$B,$B288,BASE!$L:$L,$G288,BASE!$J:$J,$C288,BASE!$A:$A,Q$2)</f>
        <v>0</v>
      </c>
      <c r="R288" s="12">
        <f>SUMIFS(BASE!$G:$G,BASE!$B:$B,$B288,BASE!$L:$L,$G288,BASE!$J:$J,$C288,BASE!$A:$A,R$2)</f>
        <v>1</v>
      </c>
      <c r="S288" s="12">
        <f>SUMIFS(BASE!$G:$G,BASE!$B:$B,$B288,BASE!$L:$L,$G288,BASE!$J:$J,$C288,BASE!$A:$A,S$2)</f>
        <v>0</v>
      </c>
      <c r="T288" s="12">
        <f>SUMIFS(BASE!$G:$G,BASE!$B:$B,$B288,BASE!$L:$L,$G288,BASE!$J:$J,$C288,BASE!$A:$A,T$2)</f>
        <v>0</v>
      </c>
      <c r="U288" s="12">
        <f>SUMIFS(BASE!$G:$G,BASE!$B:$B,$B288,BASE!$L:$L,$G288,BASE!$J:$J,$C288,BASE!$A:$A,U$2)</f>
        <v>0</v>
      </c>
      <c r="V288" s="12">
        <f>SUMIFS(BASE!$G:$G,BASE!$B:$B,$B288,BASE!$L:$L,$G288,BASE!$J:$J,$C288,BASE!$A:$A,V$2)</f>
        <v>0</v>
      </c>
      <c r="X288" t="str">
        <f t="shared" si="9"/>
        <v>COM TROCAS</v>
      </c>
    </row>
    <row r="289" spans="2:24">
      <c r="B289" s="8" t="s">
        <v>789</v>
      </c>
      <c r="C289" s="9" t="s">
        <v>240</v>
      </c>
      <c r="D289" s="9" t="s">
        <v>643</v>
      </c>
      <c r="E289" s="9" t="s">
        <v>609</v>
      </c>
      <c r="F289" s="9" t="s">
        <v>790</v>
      </c>
      <c r="G289" s="9" t="s">
        <v>59</v>
      </c>
      <c r="H289" s="7" t="str">
        <f>IFERROR(IF(_xlfn.XLOOKUP(B289,REPASSE!D:D,REPASSE!D:D)="","Não","Sim"),"Não")</f>
        <v>Não</v>
      </c>
      <c r="I289" s="7" t="str">
        <f>IF(_xlfn.XLOOKUP(B289,'BOOST LIBERADO'!B:B,'BOOST LIBERADO'!B:B,"Não")="Não","Não","Sim")</f>
        <v>Sim</v>
      </c>
      <c r="J289" s="83" t="str">
        <f t="shared" si="8"/>
        <v>Sim</v>
      </c>
      <c r="K289" s="12">
        <f>SUMIFS(BASE!$G:$G,BASE!$B:$B,$B289,BASE!$L:$L,$G289,BASE!$J:$J,$C289,BASE!$A:$A,K$2)</f>
        <v>0</v>
      </c>
      <c r="L289" s="12">
        <f>SUMIFS(BASE!$G:$G,BASE!$B:$B,$B289,BASE!$L:$L,$G289,BASE!$J:$J,$C289,BASE!$A:$A,L$2)</f>
        <v>0</v>
      </c>
      <c r="M289" s="12">
        <f>SUMIFS(BASE!$G:$G,BASE!$B:$B,$B289,BASE!$L:$L,$G289,BASE!$J:$J,$C289,BASE!$A:$A,M$2)</f>
        <v>0</v>
      </c>
      <c r="N289" s="12">
        <f>SUMIFS(BASE!$G:$G,BASE!$B:$B,$B289,BASE!$L:$L,$G289,BASE!$J:$J,$C289,BASE!$A:$A,N$2)</f>
        <v>0</v>
      </c>
      <c r="O289" s="12">
        <f>SUMIFS(BASE!$G:$G,BASE!$B:$B,$B289,BASE!$L:$L,$G289,BASE!$J:$J,$C289,BASE!$A:$A,O$2)</f>
        <v>0</v>
      </c>
      <c r="P289" s="12">
        <f>SUMIFS(BASE!$G:$G,BASE!$B:$B,$B289,BASE!$L:$L,$G289,BASE!$J:$J,$C289,BASE!$A:$A,P$2)</f>
        <v>0</v>
      </c>
      <c r="Q289" s="12">
        <f>SUMIFS(BASE!$G:$G,BASE!$B:$B,$B289,BASE!$L:$L,$G289,BASE!$J:$J,$C289,BASE!$A:$A,Q$2)</f>
        <v>0</v>
      </c>
      <c r="R289" s="12">
        <f>SUMIFS(BASE!$G:$G,BASE!$B:$B,$B289,BASE!$L:$L,$G289,BASE!$J:$J,$C289,BASE!$A:$A,R$2)</f>
        <v>0</v>
      </c>
      <c r="S289" s="12">
        <f>SUMIFS(BASE!$G:$G,BASE!$B:$B,$B289,BASE!$L:$L,$G289,BASE!$J:$J,$C289,BASE!$A:$A,S$2)</f>
        <v>0</v>
      </c>
      <c r="T289" s="12">
        <f>SUMIFS(BASE!$G:$G,BASE!$B:$B,$B289,BASE!$L:$L,$G289,BASE!$J:$J,$C289,BASE!$A:$A,T$2)</f>
        <v>0</v>
      </c>
      <c r="U289" s="12">
        <f>SUMIFS(BASE!$G:$G,BASE!$B:$B,$B289,BASE!$L:$L,$G289,BASE!$J:$J,$C289,BASE!$A:$A,U$2)</f>
        <v>0</v>
      </c>
      <c r="V289" s="12">
        <f>SUMIFS(BASE!$G:$G,BASE!$B:$B,$B289,BASE!$L:$L,$G289,BASE!$J:$J,$C289,BASE!$A:$A,V$2)</f>
        <v>0</v>
      </c>
      <c r="X289" t="str">
        <f t="shared" si="9"/>
        <v>ZERADO</v>
      </c>
    </row>
    <row r="290" spans="2:24">
      <c r="B290" s="8" t="s">
        <v>791</v>
      </c>
      <c r="C290" s="9" t="s">
        <v>240</v>
      </c>
      <c r="D290" s="9" t="s">
        <v>643</v>
      </c>
      <c r="E290" s="9" t="s">
        <v>609</v>
      </c>
      <c r="F290" s="9" t="s">
        <v>647</v>
      </c>
      <c r="G290" s="9" t="s">
        <v>59</v>
      </c>
      <c r="H290" s="7" t="str">
        <f>IFERROR(IF(_xlfn.XLOOKUP(B290,REPASSE!D:D,REPASSE!D:D)="","Não","Sim"),"Não")</f>
        <v>Não</v>
      </c>
      <c r="I290" s="7" t="str">
        <f>IF(_xlfn.XLOOKUP(B290,'BOOST LIBERADO'!B:B,'BOOST LIBERADO'!B:B,"Não")="Não","Não","Sim")</f>
        <v>Sim</v>
      </c>
      <c r="J290" s="83" t="str">
        <f t="shared" si="8"/>
        <v>Sim</v>
      </c>
      <c r="K290" s="12">
        <f>SUMIFS(BASE!$G:$G,BASE!$B:$B,$B290,BASE!$L:$L,$G290,BASE!$J:$J,$C290,BASE!$A:$A,K$2)</f>
        <v>0</v>
      </c>
      <c r="L290" s="12">
        <f>SUMIFS(BASE!$G:$G,BASE!$B:$B,$B290,BASE!$L:$L,$G290,BASE!$J:$J,$C290,BASE!$A:$A,L$2)</f>
        <v>0</v>
      </c>
      <c r="M290" s="12">
        <f>SUMIFS(BASE!$G:$G,BASE!$B:$B,$B290,BASE!$L:$L,$G290,BASE!$J:$J,$C290,BASE!$A:$A,M$2)</f>
        <v>0</v>
      </c>
      <c r="N290" s="12">
        <f>SUMIFS(BASE!$G:$G,BASE!$B:$B,$B290,BASE!$L:$L,$G290,BASE!$J:$J,$C290,BASE!$A:$A,N$2)</f>
        <v>0</v>
      </c>
      <c r="O290" s="12">
        <f>SUMIFS(BASE!$G:$G,BASE!$B:$B,$B290,BASE!$L:$L,$G290,BASE!$J:$J,$C290,BASE!$A:$A,O$2)</f>
        <v>0</v>
      </c>
      <c r="P290" s="12">
        <f>SUMIFS(BASE!$G:$G,BASE!$B:$B,$B290,BASE!$L:$L,$G290,BASE!$J:$J,$C290,BASE!$A:$A,P$2)</f>
        <v>0</v>
      </c>
      <c r="Q290" s="12">
        <f>SUMIFS(BASE!$G:$G,BASE!$B:$B,$B290,BASE!$L:$L,$G290,BASE!$J:$J,$C290,BASE!$A:$A,Q$2)</f>
        <v>0</v>
      </c>
      <c r="R290" s="12">
        <f>SUMIFS(BASE!$G:$G,BASE!$B:$B,$B290,BASE!$L:$L,$G290,BASE!$J:$J,$C290,BASE!$A:$A,R$2)</f>
        <v>1</v>
      </c>
      <c r="S290" s="12">
        <f>SUMIFS(BASE!$G:$G,BASE!$B:$B,$B290,BASE!$L:$L,$G290,BASE!$J:$J,$C290,BASE!$A:$A,S$2)</f>
        <v>0</v>
      </c>
      <c r="T290" s="12">
        <f>SUMIFS(BASE!$G:$G,BASE!$B:$B,$B290,BASE!$L:$L,$G290,BASE!$J:$J,$C290,BASE!$A:$A,T$2)</f>
        <v>0</v>
      </c>
      <c r="U290" s="12">
        <f>SUMIFS(BASE!$G:$G,BASE!$B:$B,$B290,BASE!$L:$L,$G290,BASE!$J:$J,$C290,BASE!$A:$A,U$2)</f>
        <v>0</v>
      </c>
      <c r="V290" s="12">
        <f>SUMIFS(BASE!$G:$G,BASE!$B:$B,$B290,BASE!$L:$L,$G290,BASE!$J:$J,$C290,BASE!$A:$A,V$2)</f>
        <v>0</v>
      </c>
      <c r="X290" t="str">
        <f t="shared" si="9"/>
        <v>COM TROCAS</v>
      </c>
    </row>
    <row r="291" spans="2:24">
      <c r="B291" s="8" t="s">
        <v>792</v>
      </c>
      <c r="C291" s="9" t="s">
        <v>100</v>
      </c>
      <c r="D291" s="9" t="s">
        <v>624</v>
      </c>
      <c r="E291" s="9" t="s">
        <v>609</v>
      </c>
      <c r="F291" s="9" t="s">
        <v>793</v>
      </c>
      <c r="G291" s="9" t="s">
        <v>59</v>
      </c>
      <c r="H291" s="7" t="str">
        <f>IFERROR(IF(_xlfn.XLOOKUP(B291,REPASSE!D:D,REPASSE!D:D)="","Não","Sim"),"Não")</f>
        <v>Não</v>
      </c>
      <c r="I291" s="7" t="str">
        <f>IF(_xlfn.XLOOKUP(B291,'BOOST LIBERADO'!B:B,'BOOST LIBERADO'!B:B,"Não")="Não","Não","Sim")</f>
        <v>Sim</v>
      </c>
      <c r="J291" s="83" t="str">
        <f t="shared" si="8"/>
        <v>Sim</v>
      </c>
      <c r="K291" s="12">
        <f>SUMIFS(BASE!$G:$G,BASE!$B:$B,$B291,BASE!$L:$L,$G291,BASE!$J:$J,$C291,BASE!$A:$A,K$2)</f>
        <v>0</v>
      </c>
      <c r="L291" s="12">
        <f>SUMIFS(BASE!$G:$G,BASE!$B:$B,$B291,BASE!$L:$L,$G291,BASE!$J:$J,$C291,BASE!$A:$A,L$2)</f>
        <v>0</v>
      </c>
      <c r="M291" s="12">
        <f>SUMIFS(BASE!$G:$G,BASE!$B:$B,$B291,BASE!$L:$L,$G291,BASE!$J:$J,$C291,BASE!$A:$A,M$2)</f>
        <v>0</v>
      </c>
      <c r="N291" s="12">
        <f>SUMIFS(BASE!$G:$G,BASE!$B:$B,$B291,BASE!$L:$L,$G291,BASE!$J:$J,$C291,BASE!$A:$A,N$2)</f>
        <v>0</v>
      </c>
      <c r="O291" s="12">
        <f>SUMIFS(BASE!$G:$G,BASE!$B:$B,$B291,BASE!$L:$L,$G291,BASE!$J:$J,$C291,BASE!$A:$A,O$2)</f>
        <v>0</v>
      </c>
      <c r="P291" s="12">
        <f>SUMIFS(BASE!$G:$G,BASE!$B:$B,$B291,BASE!$L:$L,$G291,BASE!$J:$J,$C291,BASE!$A:$A,P$2)</f>
        <v>0</v>
      </c>
      <c r="Q291" s="12">
        <f>SUMIFS(BASE!$G:$G,BASE!$B:$B,$B291,BASE!$L:$L,$G291,BASE!$J:$J,$C291,BASE!$A:$A,Q$2)</f>
        <v>0</v>
      </c>
      <c r="R291" s="12">
        <f>SUMIFS(BASE!$G:$G,BASE!$B:$B,$B291,BASE!$L:$L,$G291,BASE!$J:$J,$C291,BASE!$A:$A,R$2)</f>
        <v>0</v>
      </c>
      <c r="S291" s="12">
        <f>SUMIFS(BASE!$G:$G,BASE!$B:$B,$B291,BASE!$L:$L,$G291,BASE!$J:$J,$C291,BASE!$A:$A,S$2)</f>
        <v>0</v>
      </c>
      <c r="T291" s="12">
        <f>SUMIFS(BASE!$G:$G,BASE!$B:$B,$B291,BASE!$L:$L,$G291,BASE!$J:$J,$C291,BASE!$A:$A,T$2)</f>
        <v>0</v>
      </c>
      <c r="U291" s="12">
        <f>SUMIFS(BASE!$G:$G,BASE!$B:$B,$B291,BASE!$L:$L,$G291,BASE!$J:$J,$C291,BASE!$A:$A,U$2)</f>
        <v>0</v>
      </c>
      <c r="V291" s="12">
        <f>SUMIFS(BASE!$G:$G,BASE!$B:$B,$B291,BASE!$L:$L,$G291,BASE!$J:$J,$C291,BASE!$A:$A,V$2)</f>
        <v>0</v>
      </c>
      <c r="X291" t="str">
        <f t="shared" si="9"/>
        <v>ZERADO</v>
      </c>
    </row>
    <row r="292" spans="2:24">
      <c r="B292" s="8" t="s">
        <v>794</v>
      </c>
      <c r="C292" s="9" t="s">
        <v>100</v>
      </c>
      <c r="D292" s="9" t="s">
        <v>624</v>
      </c>
      <c r="E292" s="9" t="s">
        <v>609</v>
      </c>
      <c r="F292" s="9" t="s">
        <v>790</v>
      </c>
      <c r="G292" s="9" t="s">
        <v>59</v>
      </c>
      <c r="H292" s="7" t="str">
        <f>IFERROR(IF(_xlfn.XLOOKUP(B292,REPASSE!D:D,REPASSE!D:D)="","Não","Sim"),"Não")</f>
        <v>Não</v>
      </c>
      <c r="I292" s="7" t="str">
        <f>IF(_xlfn.XLOOKUP(B292,'BOOST LIBERADO'!B:B,'BOOST LIBERADO'!B:B,"Não")="Não","Não","Sim")</f>
        <v>Sim</v>
      </c>
      <c r="J292" s="83" t="str">
        <f t="shared" si="8"/>
        <v>Sim</v>
      </c>
      <c r="K292" s="12">
        <f>SUMIFS(BASE!$G:$G,BASE!$B:$B,$B292,BASE!$L:$L,$G292,BASE!$J:$J,$C292,BASE!$A:$A,K$2)</f>
        <v>0</v>
      </c>
      <c r="L292" s="12">
        <f>SUMIFS(BASE!$G:$G,BASE!$B:$B,$B292,BASE!$L:$L,$G292,BASE!$J:$J,$C292,BASE!$A:$A,L$2)</f>
        <v>0</v>
      </c>
      <c r="M292" s="12">
        <f>SUMIFS(BASE!$G:$G,BASE!$B:$B,$B292,BASE!$L:$L,$G292,BASE!$J:$J,$C292,BASE!$A:$A,M$2)</f>
        <v>0</v>
      </c>
      <c r="N292" s="12">
        <f>SUMIFS(BASE!$G:$G,BASE!$B:$B,$B292,BASE!$L:$L,$G292,BASE!$J:$J,$C292,BASE!$A:$A,N$2)</f>
        <v>0</v>
      </c>
      <c r="O292" s="12">
        <f>SUMIFS(BASE!$G:$G,BASE!$B:$B,$B292,BASE!$L:$L,$G292,BASE!$J:$J,$C292,BASE!$A:$A,O$2)</f>
        <v>0</v>
      </c>
      <c r="P292" s="12">
        <f>SUMIFS(BASE!$G:$G,BASE!$B:$B,$B292,BASE!$L:$L,$G292,BASE!$J:$J,$C292,BASE!$A:$A,P$2)</f>
        <v>0</v>
      </c>
      <c r="Q292" s="12">
        <f>SUMIFS(BASE!$G:$G,BASE!$B:$B,$B292,BASE!$L:$L,$G292,BASE!$J:$J,$C292,BASE!$A:$A,Q$2)</f>
        <v>0</v>
      </c>
      <c r="R292" s="12">
        <f>SUMIFS(BASE!$G:$G,BASE!$B:$B,$B292,BASE!$L:$L,$G292,BASE!$J:$J,$C292,BASE!$A:$A,R$2)</f>
        <v>0</v>
      </c>
      <c r="S292" s="12">
        <f>SUMIFS(BASE!$G:$G,BASE!$B:$B,$B292,BASE!$L:$L,$G292,BASE!$J:$J,$C292,BASE!$A:$A,S$2)</f>
        <v>0</v>
      </c>
      <c r="T292" s="12">
        <f>SUMIFS(BASE!$G:$G,BASE!$B:$B,$B292,BASE!$L:$L,$G292,BASE!$J:$J,$C292,BASE!$A:$A,T$2)</f>
        <v>0</v>
      </c>
      <c r="U292" s="12">
        <f>SUMIFS(BASE!$G:$G,BASE!$B:$B,$B292,BASE!$L:$L,$G292,BASE!$J:$J,$C292,BASE!$A:$A,U$2)</f>
        <v>0</v>
      </c>
      <c r="V292" s="12">
        <f>SUMIFS(BASE!$G:$G,BASE!$B:$B,$B292,BASE!$L:$L,$G292,BASE!$J:$J,$C292,BASE!$A:$A,V$2)</f>
        <v>0</v>
      </c>
      <c r="X292" t="str">
        <f t="shared" si="9"/>
        <v>ZERADO</v>
      </c>
    </row>
    <row r="293" spans="2:24">
      <c r="B293" s="8" t="s">
        <v>795</v>
      </c>
      <c r="C293" s="9" t="s">
        <v>100</v>
      </c>
      <c r="D293" s="9" t="s">
        <v>624</v>
      </c>
      <c r="E293" s="9" t="s">
        <v>609</v>
      </c>
      <c r="F293" s="9" t="s">
        <v>790</v>
      </c>
      <c r="G293" s="9" t="s">
        <v>59</v>
      </c>
      <c r="H293" s="7" t="str">
        <f>IFERROR(IF(_xlfn.XLOOKUP(B293,REPASSE!D:D,REPASSE!D:D)="","Não","Sim"),"Não")</f>
        <v>Não</v>
      </c>
      <c r="I293" s="7" t="str">
        <f>IF(_xlfn.XLOOKUP(B293,'BOOST LIBERADO'!B:B,'BOOST LIBERADO'!B:B,"Não")="Não","Não","Sim")</f>
        <v>Sim</v>
      </c>
      <c r="J293" s="83" t="str">
        <f t="shared" si="8"/>
        <v>Sim</v>
      </c>
      <c r="K293" s="12">
        <f>SUMIFS(BASE!$G:$G,BASE!$B:$B,$B293,BASE!$L:$L,$G293,BASE!$J:$J,$C293,BASE!$A:$A,K$2)</f>
        <v>0</v>
      </c>
      <c r="L293" s="12">
        <f>SUMIFS(BASE!$G:$G,BASE!$B:$B,$B293,BASE!$L:$L,$G293,BASE!$J:$J,$C293,BASE!$A:$A,L$2)</f>
        <v>0</v>
      </c>
      <c r="M293" s="12">
        <f>SUMIFS(BASE!$G:$G,BASE!$B:$B,$B293,BASE!$L:$L,$G293,BASE!$J:$J,$C293,BASE!$A:$A,M$2)</f>
        <v>0</v>
      </c>
      <c r="N293" s="12">
        <f>SUMIFS(BASE!$G:$G,BASE!$B:$B,$B293,BASE!$L:$L,$G293,BASE!$J:$J,$C293,BASE!$A:$A,N$2)</f>
        <v>0</v>
      </c>
      <c r="O293" s="12">
        <f>SUMIFS(BASE!$G:$G,BASE!$B:$B,$B293,BASE!$L:$L,$G293,BASE!$J:$J,$C293,BASE!$A:$A,O$2)</f>
        <v>0</v>
      </c>
      <c r="P293" s="12">
        <f>SUMIFS(BASE!$G:$G,BASE!$B:$B,$B293,BASE!$L:$L,$G293,BASE!$J:$J,$C293,BASE!$A:$A,P$2)</f>
        <v>0</v>
      </c>
      <c r="Q293" s="12">
        <f>SUMIFS(BASE!$G:$G,BASE!$B:$B,$B293,BASE!$L:$L,$G293,BASE!$J:$J,$C293,BASE!$A:$A,Q$2)</f>
        <v>0</v>
      </c>
      <c r="R293" s="12">
        <f>SUMIFS(BASE!$G:$G,BASE!$B:$B,$B293,BASE!$L:$L,$G293,BASE!$J:$J,$C293,BASE!$A:$A,R$2)</f>
        <v>0</v>
      </c>
      <c r="S293" s="12">
        <f>SUMIFS(BASE!$G:$G,BASE!$B:$B,$B293,BASE!$L:$L,$G293,BASE!$J:$J,$C293,BASE!$A:$A,S$2)</f>
        <v>0</v>
      </c>
      <c r="T293" s="12">
        <f>SUMIFS(BASE!$G:$G,BASE!$B:$B,$B293,BASE!$L:$L,$G293,BASE!$J:$J,$C293,BASE!$A:$A,T$2)</f>
        <v>0</v>
      </c>
      <c r="U293" s="12">
        <f>SUMIFS(BASE!$G:$G,BASE!$B:$B,$B293,BASE!$L:$L,$G293,BASE!$J:$J,$C293,BASE!$A:$A,U$2)</f>
        <v>0</v>
      </c>
      <c r="V293" s="12">
        <f>SUMIFS(BASE!$G:$G,BASE!$B:$B,$B293,BASE!$L:$L,$G293,BASE!$J:$J,$C293,BASE!$A:$A,V$2)</f>
        <v>0</v>
      </c>
      <c r="X293" t="str">
        <f t="shared" si="9"/>
        <v>ZERADO</v>
      </c>
    </row>
    <row r="294" spans="2:24">
      <c r="B294" s="8" t="s">
        <v>796</v>
      </c>
      <c r="C294" s="9" t="s">
        <v>239</v>
      </c>
      <c r="D294" s="9" t="s">
        <v>654</v>
      </c>
      <c r="E294" s="9" t="s">
        <v>609</v>
      </c>
      <c r="F294" s="9" t="s">
        <v>649</v>
      </c>
      <c r="G294" s="9" t="s">
        <v>59</v>
      </c>
      <c r="H294" s="7" t="str">
        <f>IFERROR(IF(_xlfn.XLOOKUP(B294,REPASSE!D:D,REPASSE!D:D)="","Não","Sim"),"Não")</f>
        <v>Não</v>
      </c>
      <c r="I294" s="7" t="str">
        <f>IF(_xlfn.XLOOKUP(B294,'BOOST LIBERADO'!B:B,'BOOST LIBERADO'!B:B,"Não")="Não","Não","Sim")</f>
        <v>Sim</v>
      </c>
      <c r="J294" s="83" t="str">
        <f t="shared" si="8"/>
        <v>Sim</v>
      </c>
      <c r="K294" s="12">
        <f>SUMIFS(BASE!$G:$G,BASE!$B:$B,$B294,BASE!$L:$L,$G294,BASE!$J:$J,$C294,BASE!$A:$A,K$2)</f>
        <v>2</v>
      </c>
      <c r="L294" s="12">
        <f>SUMIFS(BASE!$G:$G,BASE!$B:$B,$B294,BASE!$L:$L,$G294,BASE!$J:$J,$C294,BASE!$A:$A,L$2)</f>
        <v>1</v>
      </c>
      <c r="M294" s="12">
        <f>SUMIFS(BASE!$G:$G,BASE!$B:$B,$B294,BASE!$L:$L,$G294,BASE!$J:$J,$C294,BASE!$A:$A,M$2)</f>
        <v>8</v>
      </c>
      <c r="N294" s="12">
        <f>SUMIFS(BASE!$G:$G,BASE!$B:$B,$B294,BASE!$L:$L,$G294,BASE!$J:$J,$C294,BASE!$A:$A,N$2)</f>
        <v>1</v>
      </c>
      <c r="O294" s="12">
        <f>SUMIFS(BASE!$G:$G,BASE!$B:$B,$B294,BASE!$L:$L,$G294,BASE!$J:$J,$C294,BASE!$A:$A,O$2)</f>
        <v>0</v>
      </c>
      <c r="P294" s="12">
        <f>SUMIFS(BASE!$G:$G,BASE!$B:$B,$B294,BASE!$L:$L,$G294,BASE!$J:$J,$C294,BASE!$A:$A,P$2)</f>
        <v>0</v>
      </c>
      <c r="Q294" s="12">
        <f>SUMIFS(BASE!$G:$G,BASE!$B:$B,$B294,BASE!$L:$L,$G294,BASE!$J:$J,$C294,BASE!$A:$A,Q$2)</f>
        <v>6</v>
      </c>
      <c r="R294" s="12">
        <f>SUMIFS(BASE!$G:$G,BASE!$B:$B,$B294,BASE!$L:$L,$G294,BASE!$J:$J,$C294,BASE!$A:$A,R$2)</f>
        <v>4</v>
      </c>
      <c r="S294" s="12">
        <f>SUMIFS(BASE!$G:$G,BASE!$B:$B,$B294,BASE!$L:$L,$G294,BASE!$J:$J,$C294,BASE!$A:$A,S$2)</f>
        <v>0</v>
      </c>
      <c r="T294" s="12">
        <f>SUMIFS(BASE!$G:$G,BASE!$B:$B,$B294,BASE!$L:$L,$G294,BASE!$J:$J,$C294,BASE!$A:$A,T$2)</f>
        <v>0</v>
      </c>
      <c r="U294" s="12">
        <f>SUMIFS(BASE!$G:$G,BASE!$B:$B,$B294,BASE!$L:$L,$G294,BASE!$J:$J,$C294,BASE!$A:$A,U$2)</f>
        <v>0</v>
      </c>
      <c r="V294" s="12">
        <f>SUMIFS(BASE!$G:$G,BASE!$B:$B,$B294,BASE!$L:$L,$G294,BASE!$J:$J,$C294,BASE!$A:$A,V$2)</f>
        <v>0</v>
      </c>
      <c r="X294" t="str">
        <f t="shared" si="9"/>
        <v>COM TROCAS</v>
      </c>
    </row>
    <row r="295" spans="2:24">
      <c r="B295" s="8" t="s">
        <v>797</v>
      </c>
      <c r="C295" s="9" t="s">
        <v>239</v>
      </c>
      <c r="D295" s="9" t="s">
        <v>654</v>
      </c>
      <c r="E295" s="9" t="s">
        <v>609</v>
      </c>
      <c r="F295" s="9" t="s">
        <v>798</v>
      </c>
      <c r="G295" s="9" t="s">
        <v>59</v>
      </c>
      <c r="H295" s="7" t="str">
        <f>IFERROR(IF(_xlfn.XLOOKUP(B295,REPASSE!D:D,REPASSE!D:D)="","Não","Sim"),"Não")</f>
        <v>Não</v>
      </c>
      <c r="I295" s="7" t="str">
        <f>IF(_xlfn.XLOOKUP(B295,'BOOST LIBERADO'!B:B,'BOOST LIBERADO'!B:B,"Não")="Não","Não","Sim")</f>
        <v>Sim</v>
      </c>
      <c r="J295" s="83" t="str">
        <f t="shared" si="8"/>
        <v>Sim</v>
      </c>
      <c r="K295" s="12">
        <f>SUMIFS(BASE!$G:$G,BASE!$B:$B,$B295,BASE!$L:$L,$G295,BASE!$J:$J,$C295,BASE!$A:$A,K$2)</f>
        <v>0</v>
      </c>
      <c r="L295" s="12">
        <f>SUMIFS(BASE!$G:$G,BASE!$B:$B,$B295,BASE!$L:$L,$G295,BASE!$J:$J,$C295,BASE!$A:$A,L$2)</f>
        <v>4</v>
      </c>
      <c r="M295" s="12">
        <f>SUMIFS(BASE!$G:$G,BASE!$B:$B,$B295,BASE!$L:$L,$G295,BASE!$J:$J,$C295,BASE!$A:$A,M$2)</f>
        <v>7</v>
      </c>
      <c r="N295" s="12">
        <f>SUMIFS(BASE!$G:$G,BASE!$B:$B,$B295,BASE!$L:$L,$G295,BASE!$J:$J,$C295,BASE!$A:$A,N$2)</f>
        <v>2</v>
      </c>
      <c r="O295" s="12">
        <f>SUMIFS(BASE!$G:$G,BASE!$B:$B,$B295,BASE!$L:$L,$G295,BASE!$J:$J,$C295,BASE!$A:$A,O$2)</f>
        <v>2</v>
      </c>
      <c r="P295" s="12">
        <f>SUMIFS(BASE!$G:$G,BASE!$B:$B,$B295,BASE!$L:$L,$G295,BASE!$J:$J,$C295,BASE!$A:$A,P$2)</f>
        <v>3</v>
      </c>
      <c r="Q295" s="12">
        <f>SUMIFS(BASE!$G:$G,BASE!$B:$B,$B295,BASE!$L:$L,$G295,BASE!$J:$J,$C295,BASE!$A:$A,Q$2)</f>
        <v>9</v>
      </c>
      <c r="R295" s="12">
        <f>SUMIFS(BASE!$G:$G,BASE!$B:$B,$B295,BASE!$L:$L,$G295,BASE!$J:$J,$C295,BASE!$A:$A,R$2)</f>
        <v>7</v>
      </c>
      <c r="S295" s="12">
        <f>SUMIFS(BASE!$G:$G,BASE!$B:$B,$B295,BASE!$L:$L,$G295,BASE!$J:$J,$C295,BASE!$A:$A,S$2)</f>
        <v>0</v>
      </c>
      <c r="T295" s="12">
        <f>SUMIFS(BASE!$G:$G,BASE!$B:$B,$B295,BASE!$L:$L,$G295,BASE!$J:$J,$C295,BASE!$A:$A,T$2)</f>
        <v>0</v>
      </c>
      <c r="U295" s="12">
        <f>SUMIFS(BASE!$G:$G,BASE!$B:$B,$B295,BASE!$L:$L,$G295,BASE!$J:$J,$C295,BASE!$A:$A,U$2)</f>
        <v>0</v>
      </c>
      <c r="V295" s="12">
        <f>SUMIFS(BASE!$G:$G,BASE!$B:$B,$B295,BASE!$L:$L,$G295,BASE!$J:$J,$C295,BASE!$A:$A,V$2)</f>
        <v>0</v>
      </c>
      <c r="X295" t="str">
        <f t="shared" si="9"/>
        <v>COM TROCAS</v>
      </c>
    </row>
    <row r="296" spans="2:24">
      <c r="B296" s="8" t="s">
        <v>799</v>
      </c>
      <c r="C296" s="9" t="s">
        <v>239</v>
      </c>
      <c r="D296" s="9" t="s">
        <v>654</v>
      </c>
      <c r="E296" s="9" t="s">
        <v>609</v>
      </c>
      <c r="F296" s="9" t="s">
        <v>651</v>
      </c>
      <c r="G296" s="9" t="s">
        <v>59</v>
      </c>
      <c r="H296" s="7" t="str">
        <f>IFERROR(IF(_xlfn.XLOOKUP(B296,REPASSE!D:D,REPASSE!D:D)="","Não","Sim"),"Não")</f>
        <v>Não</v>
      </c>
      <c r="I296" s="7" t="str">
        <f>IF(_xlfn.XLOOKUP(B296,'BOOST LIBERADO'!B:B,'BOOST LIBERADO'!B:B,"Não")="Não","Não","Sim")</f>
        <v>Sim</v>
      </c>
      <c r="J296" s="83" t="str">
        <f t="shared" si="8"/>
        <v>Sim</v>
      </c>
      <c r="K296" s="12">
        <f>SUMIFS(BASE!$G:$G,BASE!$B:$B,$B296,BASE!$L:$L,$G296,BASE!$J:$J,$C296,BASE!$A:$A,K$2)</f>
        <v>1</v>
      </c>
      <c r="L296" s="12">
        <f>SUMIFS(BASE!$G:$G,BASE!$B:$B,$B296,BASE!$L:$L,$G296,BASE!$J:$J,$C296,BASE!$A:$A,L$2)</f>
        <v>0</v>
      </c>
      <c r="M296" s="12">
        <f>SUMIFS(BASE!$G:$G,BASE!$B:$B,$B296,BASE!$L:$L,$G296,BASE!$J:$J,$C296,BASE!$A:$A,M$2)</f>
        <v>4</v>
      </c>
      <c r="N296" s="12">
        <f>SUMIFS(BASE!$G:$G,BASE!$B:$B,$B296,BASE!$L:$L,$G296,BASE!$J:$J,$C296,BASE!$A:$A,N$2)</f>
        <v>4</v>
      </c>
      <c r="O296" s="12">
        <f>SUMIFS(BASE!$G:$G,BASE!$B:$B,$B296,BASE!$L:$L,$G296,BASE!$J:$J,$C296,BASE!$A:$A,O$2)</f>
        <v>1</v>
      </c>
      <c r="P296" s="12">
        <f>SUMIFS(BASE!$G:$G,BASE!$B:$B,$B296,BASE!$L:$L,$G296,BASE!$J:$J,$C296,BASE!$A:$A,P$2)</f>
        <v>3</v>
      </c>
      <c r="Q296" s="12">
        <f>SUMIFS(BASE!$G:$G,BASE!$B:$B,$B296,BASE!$L:$L,$G296,BASE!$J:$J,$C296,BASE!$A:$A,Q$2)</f>
        <v>0</v>
      </c>
      <c r="R296" s="12">
        <f>SUMIFS(BASE!$G:$G,BASE!$B:$B,$B296,BASE!$L:$L,$G296,BASE!$J:$J,$C296,BASE!$A:$A,R$2)</f>
        <v>3</v>
      </c>
      <c r="S296" s="12">
        <f>SUMIFS(BASE!$G:$G,BASE!$B:$B,$B296,BASE!$L:$L,$G296,BASE!$J:$J,$C296,BASE!$A:$A,S$2)</f>
        <v>0</v>
      </c>
      <c r="T296" s="12">
        <f>SUMIFS(BASE!$G:$G,BASE!$B:$B,$B296,BASE!$L:$L,$G296,BASE!$J:$J,$C296,BASE!$A:$A,T$2)</f>
        <v>0</v>
      </c>
      <c r="U296" s="12">
        <f>SUMIFS(BASE!$G:$G,BASE!$B:$B,$B296,BASE!$L:$L,$G296,BASE!$J:$J,$C296,BASE!$A:$A,U$2)</f>
        <v>0</v>
      </c>
      <c r="V296" s="12">
        <f>SUMIFS(BASE!$G:$G,BASE!$B:$B,$B296,BASE!$L:$L,$G296,BASE!$J:$J,$C296,BASE!$A:$A,V$2)</f>
        <v>0</v>
      </c>
      <c r="X296" t="str">
        <f t="shared" si="9"/>
        <v>COM TROCAS</v>
      </c>
    </row>
    <row r="297" spans="2:24">
      <c r="B297" s="8" t="s">
        <v>800</v>
      </c>
      <c r="C297" s="9" t="s">
        <v>239</v>
      </c>
      <c r="D297" s="9" t="s">
        <v>654</v>
      </c>
      <c r="E297" s="9" t="s">
        <v>609</v>
      </c>
      <c r="F297" s="9" t="s">
        <v>651</v>
      </c>
      <c r="G297" s="9" t="s">
        <v>59</v>
      </c>
      <c r="H297" s="7" t="str">
        <f>IFERROR(IF(_xlfn.XLOOKUP(B297,REPASSE!D:D,REPASSE!D:D)="","Não","Sim"),"Não")</f>
        <v>Não</v>
      </c>
      <c r="I297" s="7" t="str">
        <f>IF(_xlfn.XLOOKUP(B297,'BOOST LIBERADO'!B:B,'BOOST LIBERADO'!B:B,"Não")="Não","Não","Sim")</f>
        <v>Sim</v>
      </c>
      <c r="J297" s="83" t="str">
        <f t="shared" si="8"/>
        <v>Sim</v>
      </c>
      <c r="K297" s="12">
        <f>SUMIFS(BASE!$G:$G,BASE!$B:$B,$B297,BASE!$L:$L,$G297,BASE!$J:$J,$C297,BASE!$A:$A,K$2)</f>
        <v>1</v>
      </c>
      <c r="L297" s="12">
        <f>SUMIFS(BASE!$G:$G,BASE!$B:$B,$B297,BASE!$L:$L,$G297,BASE!$J:$J,$C297,BASE!$A:$A,L$2)</f>
        <v>4</v>
      </c>
      <c r="M297" s="12">
        <f>SUMIFS(BASE!$G:$G,BASE!$B:$B,$B297,BASE!$L:$L,$G297,BASE!$J:$J,$C297,BASE!$A:$A,M$2)</f>
        <v>5</v>
      </c>
      <c r="N297" s="12">
        <f>SUMIFS(BASE!$G:$G,BASE!$B:$B,$B297,BASE!$L:$L,$G297,BASE!$J:$J,$C297,BASE!$A:$A,N$2)</f>
        <v>5</v>
      </c>
      <c r="O297" s="12">
        <f>SUMIFS(BASE!$G:$G,BASE!$B:$B,$B297,BASE!$L:$L,$G297,BASE!$J:$J,$C297,BASE!$A:$A,O$2)</f>
        <v>4</v>
      </c>
      <c r="P297" s="12">
        <f>SUMIFS(BASE!$G:$G,BASE!$B:$B,$B297,BASE!$L:$L,$G297,BASE!$J:$J,$C297,BASE!$A:$A,P$2)</f>
        <v>3</v>
      </c>
      <c r="Q297" s="12">
        <f>SUMIFS(BASE!$G:$G,BASE!$B:$B,$B297,BASE!$L:$L,$G297,BASE!$J:$J,$C297,BASE!$A:$A,Q$2)</f>
        <v>10</v>
      </c>
      <c r="R297" s="12">
        <f>SUMIFS(BASE!$G:$G,BASE!$B:$B,$B297,BASE!$L:$L,$G297,BASE!$J:$J,$C297,BASE!$A:$A,R$2)</f>
        <v>6</v>
      </c>
      <c r="S297" s="12">
        <f>SUMIFS(BASE!$G:$G,BASE!$B:$B,$B297,BASE!$L:$L,$G297,BASE!$J:$J,$C297,BASE!$A:$A,S$2)</f>
        <v>0</v>
      </c>
      <c r="T297" s="12">
        <f>SUMIFS(BASE!$G:$G,BASE!$B:$B,$B297,BASE!$L:$L,$G297,BASE!$J:$J,$C297,BASE!$A:$A,T$2)</f>
        <v>0</v>
      </c>
      <c r="U297" s="12">
        <f>SUMIFS(BASE!$G:$G,BASE!$B:$B,$B297,BASE!$L:$L,$G297,BASE!$J:$J,$C297,BASE!$A:$A,U$2)</f>
        <v>0</v>
      </c>
      <c r="V297" s="12">
        <f>SUMIFS(BASE!$G:$G,BASE!$B:$B,$B297,BASE!$L:$L,$G297,BASE!$J:$J,$C297,BASE!$A:$A,V$2)</f>
        <v>0</v>
      </c>
      <c r="X297" t="str">
        <f t="shared" si="9"/>
        <v>COM TROCAS</v>
      </c>
    </row>
    <row r="298" spans="2:24">
      <c r="B298" s="8" t="s">
        <v>801</v>
      </c>
      <c r="C298" s="9" t="s">
        <v>169</v>
      </c>
      <c r="D298" s="9" t="s">
        <v>624</v>
      </c>
      <c r="E298" s="9" t="s">
        <v>609</v>
      </c>
      <c r="F298" s="9" t="s">
        <v>802</v>
      </c>
      <c r="G298" s="9" t="s">
        <v>59</v>
      </c>
      <c r="H298" s="7" t="str">
        <f>IFERROR(IF(_xlfn.XLOOKUP(B298,REPASSE!D:D,REPASSE!D:D)="","Não","Sim"),"Não")</f>
        <v>Não</v>
      </c>
      <c r="I298" s="7" t="str">
        <f>IF(_xlfn.XLOOKUP(B298,'BOOST LIBERADO'!B:B,'BOOST LIBERADO'!B:B,"Não")="Não","Não","Sim")</f>
        <v>Sim</v>
      </c>
      <c r="J298" s="83" t="str">
        <f t="shared" si="8"/>
        <v>Sim</v>
      </c>
      <c r="K298" s="12">
        <f>SUMIFS(BASE!$G:$G,BASE!$B:$B,$B298,BASE!$L:$L,$G298,BASE!$J:$J,$C298,BASE!$A:$A,K$2)</f>
        <v>0</v>
      </c>
      <c r="L298" s="12">
        <f>SUMIFS(BASE!$G:$G,BASE!$B:$B,$B298,BASE!$L:$L,$G298,BASE!$J:$J,$C298,BASE!$A:$A,L$2)</f>
        <v>0</v>
      </c>
      <c r="M298" s="12">
        <f>SUMIFS(BASE!$G:$G,BASE!$B:$B,$B298,BASE!$L:$L,$G298,BASE!$J:$J,$C298,BASE!$A:$A,M$2)</f>
        <v>0</v>
      </c>
      <c r="N298" s="12">
        <f>SUMIFS(BASE!$G:$G,BASE!$B:$B,$B298,BASE!$L:$L,$G298,BASE!$J:$J,$C298,BASE!$A:$A,N$2)</f>
        <v>0</v>
      </c>
      <c r="O298" s="12">
        <f>SUMIFS(BASE!$G:$G,BASE!$B:$B,$B298,BASE!$L:$L,$G298,BASE!$J:$J,$C298,BASE!$A:$A,O$2)</f>
        <v>0</v>
      </c>
      <c r="P298" s="12">
        <f>SUMIFS(BASE!$G:$G,BASE!$B:$B,$B298,BASE!$L:$L,$G298,BASE!$J:$J,$C298,BASE!$A:$A,P$2)</f>
        <v>0</v>
      </c>
      <c r="Q298" s="12">
        <f>SUMIFS(BASE!$G:$G,BASE!$B:$B,$B298,BASE!$L:$L,$G298,BASE!$J:$J,$C298,BASE!$A:$A,Q$2)</f>
        <v>0</v>
      </c>
      <c r="R298" s="12">
        <f>SUMIFS(BASE!$G:$G,BASE!$B:$B,$B298,BASE!$L:$L,$G298,BASE!$J:$J,$C298,BASE!$A:$A,R$2)</f>
        <v>0</v>
      </c>
      <c r="S298" s="12">
        <f>SUMIFS(BASE!$G:$G,BASE!$B:$B,$B298,BASE!$L:$L,$G298,BASE!$J:$J,$C298,BASE!$A:$A,S$2)</f>
        <v>0</v>
      </c>
      <c r="T298" s="12">
        <f>SUMIFS(BASE!$G:$G,BASE!$B:$B,$B298,BASE!$L:$L,$G298,BASE!$J:$J,$C298,BASE!$A:$A,T$2)</f>
        <v>0</v>
      </c>
      <c r="U298" s="12">
        <f>SUMIFS(BASE!$G:$G,BASE!$B:$B,$B298,BASE!$L:$L,$G298,BASE!$J:$J,$C298,BASE!$A:$A,U$2)</f>
        <v>0</v>
      </c>
      <c r="V298" s="12">
        <f>SUMIFS(BASE!$G:$G,BASE!$B:$B,$B298,BASE!$L:$L,$G298,BASE!$J:$J,$C298,BASE!$A:$A,V$2)</f>
        <v>0</v>
      </c>
      <c r="X298" t="str">
        <f t="shared" si="9"/>
        <v>ZERADO</v>
      </c>
    </row>
    <row r="299" spans="2:24">
      <c r="B299" s="8" t="s">
        <v>803</v>
      </c>
      <c r="C299" s="9" t="s">
        <v>169</v>
      </c>
      <c r="D299" s="9" t="s">
        <v>624</v>
      </c>
      <c r="E299" s="9" t="s">
        <v>609</v>
      </c>
      <c r="F299" s="9" t="s">
        <v>790</v>
      </c>
      <c r="G299" s="9" t="s">
        <v>59</v>
      </c>
      <c r="H299" s="7" t="str">
        <f>IFERROR(IF(_xlfn.XLOOKUP(B299,REPASSE!D:D,REPASSE!D:D)="","Não","Sim"),"Não")</f>
        <v>Não</v>
      </c>
      <c r="I299" s="7" t="str">
        <f>IF(_xlfn.XLOOKUP(B299,'BOOST LIBERADO'!B:B,'BOOST LIBERADO'!B:B,"Não")="Não","Não","Sim")</f>
        <v>Sim</v>
      </c>
      <c r="J299" s="83" t="str">
        <f t="shared" si="8"/>
        <v>Sim</v>
      </c>
      <c r="K299" s="12">
        <f>SUMIFS(BASE!$G:$G,BASE!$B:$B,$B299,BASE!$L:$L,$G299,BASE!$J:$J,$C299,BASE!$A:$A,K$2)</f>
        <v>0</v>
      </c>
      <c r="L299" s="12">
        <f>SUMIFS(BASE!$G:$G,BASE!$B:$B,$B299,BASE!$L:$L,$G299,BASE!$J:$J,$C299,BASE!$A:$A,L$2)</f>
        <v>0</v>
      </c>
      <c r="M299" s="12">
        <f>SUMIFS(BASE!$G:$G,BASE!$B:$B,$B299,BASE!$L:$L,$G299,BASE!$J:$J,$C299,BASE!$A:$A,M$2)</f>
        <v>0</v>
      </c>
      <c r="N299" s="12">
        <f>SUMIFS(BASE!$G:$G,BASE!$B:$B,$B299,BASE!$L:$L,$G299,BASE!$J:$J,$C299,BASE!$A:$A,N$2)</f>
        <v>0</v>
      </c>
      <c r="O299" s="12">
        <f>SUMIFS(BASE!$G:$G,BASE!$B:$B,$B299,BASE!$L:$L,$G299,BASE!$J:$J,$C299,BASE!$A:$A,O$2)</f>
        <v>0</v>
      </c>
      <c r="P299" s="12">
        <f>SUMIFS(BASE!$G:$G,BASE!$B:$B,$B299,BASE!$L:$L,$G299,BASE!$J:$J,$C299,BASE!$A:$A,P$2)</f>
        <v>0</v>
      </c>
      <c r="Q299" s="12">
        <f>SUMIFS(BASE!$G:$G,BASE!$B:$B,$B299,BASE!$L:$L,$G299,BASE!$J:$J,$C299,BASE!$A:$A,Q$2)</f>
        <v>0</v>
      </c>
      <c r="R299" s="12">
        <f>SUMIFS(BASE!$G:$G,BASE!$B:$B,$B299,BASE!$L:$L,$G299,BASE!$J:$J,$C299,BASE!$A:$A,R$2)</f>
        <v>0</v>
      </c>
      <c r="S299" s="12">
        <f>SUMIFS(BASE!$G:$G,BASE!$B:$B,$B299,BASE!$L:$L,$G299,BASE!$J:$J,$C299,BASE!$A:$A,S$2)</f>
        <v>0</v>
      </c>
      <c r="T299" s="12">
        <f>SUMIFS(BASE!$G:$G,BASE!$B:$B,$B299,BASE!$L:$L,$G299,BASE!$J:$J,$C299,BASE!$A:$A,T$2)</f>
        <v>0</v>
      </c>
      <c r="U299" s="12">
        <f>SUMIFS(BASE!$G:$G,BASE!$B:$B,$B299,BASE!$L:$L,$G299,BASE!$J:$J,$C299,BASE!$A:$A,U$2)</f>
        <v>0</v>
      </c>
      <c r="V299" s="12">
        <f>SUMIFS(BASE!$G:$G,BASE!$B:$B,$B299,BASE!$L:$L,$G299,BASE!$J:$J,$C299,BASE!$A:$A,V$2)</f>
        <v>0</v>
      </c>
      <c r="X299" t="str">
        <f t="shared" si="9"/>
        <v>ZERADO</v>
      </c>
    </row>
    <row r="300" spans="2:24">
      <c r="B300" s="8" t="s">
        <v>804</v>
      </c>
      <c r="C300" s="9" t="s">
        <v>169</v>
      </c>
      <c r="D300" s="9" t="s">
        <v>624</v>
      </c>
      <c r="E300" s="9" t="s">
        <v>609</v>
      </c>
      <c r="F300" s="9" t="s">
        <v>790</v>
      </c>
      <c r="G300" s="9" t="s">
        <v>59</v>
      </c>
      <c r="H300" s="7" t="str">
        <f>IFERROR(IF(_xlfn.XLOOKUP(B300,REPASSE!D:D,REPASSE!D:D)="","Não","Sim"),"Não")</f>
        <v>Não</v>
      </c>
      <c r="I300" s="7" t="str">
        <f>IF(_xlfn.XLOOKUP(B300,'BOOST LIBERADO'!B:B,'BOOST LIBERADO'!B:B,"Não")="Não","Não","Sim")</f>
        <v>Sim</v>
      </c>
      <c r="J300" s="83" t="str">
        <f t="shared" si="8"/>
        <v>Sim</v>
      </c>
      <c r="K300" s="12">
        <f>SUMIFS(BASE!$G:$G,BASE!$B:$B,$B300,BASE!$L:$L,$G300,BASE!$J:$J,$C300,BASE!$A:$A,K$2)</f>
        <v>0</v>
      </c>
      <c r="L300" s="12">
        <f>SUMIFS(BASE!$G:$G,BASE!$B:$B,$B300,BASE!$L:$L,$G300,BASE!$J:$J,$C300,BASE!$A:$A,L$2)</f>
        <v>0</v>
      </c>
      <c r="M300" s="12">
        <f>SUMIFS(BASE!$G:$G,BASE!$B:$B,$B300,BASE!$L:$L,$G300,BASE!$J:$J,$C300,BASE!$A:$A,M$2)</f>
        <v>0</v>
      </c>
      <c r="N300" s="12">
        <f>SUMIFS(BASE!$G:$G,BASE!$B:$B,$B300,BASE!$L:$L,$G300,BASE!$J:$J,$C300,BASE!$A:$A,N$2)</f>
        <v>0</v>
      </c>
      <c r="O300" s="12">
        <f>SUMIFS(BASE!$G:$G,BASE!$B:$B,$B300,BASE!$L:$L,$G300,BASE!$J:$J,$C300,BASE!$A:$A,O$2)</f>
        <v>2</v>
      </c>
      <c r="P300" s="12">
        <f>SUMIFS(BASE!$G:$G,BASE!$B:$B,$B300,BASE!$L:$L,$G300,BASE!$J:$J,$C300,BASE!$A:$A,P$2)</f>
        <v>0</v>
      </c>
      <c r="Q300" s="12">
        <f>SUMIFS(BASE!$G:$G,BASE!$B:$B,$B300,BASE!$L:$L,$G300,BASE!$J:$J,$C300,BASE!$A:$A,Q$2)</f>
        <v>0</v>
      </c>
      <c r="R300" s="12">
        <f>SUMIFS(BASE!$G:$G,BASE!$B:$B,$B300,BASE!$L:$L,$G300,BASE!$J:$J,$C300,BASE!$A:$A,R$2)</f>
        <v>0</v>
      </c>
      <c r="S300" s="12">
        <f>SUMIFS(BASE!$G:$G,BASE!$B:$B,$B300,BASE!$L:$L,$G300,BASE!$J:$J,$C300,BASE!$A:$A,S$2)</f>
        <v>0</v>
      </c>
      <c r="T300" s="12">
        <f>SUMIFS(BASE!$G:$G,BASE!$B:$B,$B300,BASE!$L:$L,$G300,BASE!$J:$J,$C300,BASE!$A:$A,T$2)</f>
        <v>0</v>
      </c>
      <c r="U300" s="12">
        <f>SUMIFS(BASE!$G:$G,BASE!$B:$B,$B300,BASE!$L:$L,$G300,BASE!$J:$J,$C300,BASE!$A:$A,U$2)</f>
        <v>0</v>
      </c>
      <c r="V300" s="12">
        <f>SUMIFS(BASE!$G:$G,BASE!$B:$B,$B300,BASE!$L:$L,$G300,BASE!$J:$J,$C300,BASE!$A:$A,V$2)</f>
        <v>0</v>
      </c>
      <c r="X300" t="str">
        <f t="shared" si="9"/>
        <v>ZERADO</v>
      </c>
    </row>
    <row r="301" spans="2:24">
      <c r="B301" s="8" t="s">
        <v>805</v>
      </c>
      <c r="C301" s="9" t="s">
        <v>169</v>
      </c>
      <c r="D301" s="9" t="s">
        <v>624</v>
      </c>
      <c r="E301" s="9" t="s">
        <v>609</v>
      </c>
      <c r="F301" s="9" t="s">
        <v>806</v>
      </c>
      <c r="G301" s="9" t="s">
        <v>59</v>
      </c>
      <c r="H301" s="7" t="str">
        <f>IFERROR(IF(_xlfn.XLOOKUP(B301,REPASSE!D:D,REPASSE!D:D)="","Não","Sim"),"Não")</f>
        <v>Não</v>
      </c>
      <c r="I301" s="7" t="str">
        <f>IF(_xlfn.XLOOKUP(B301,'BOOST LIBERADO'!B:B,'BOOST LIBERADO'!B:B,"Não")="Não","Não","Sim")</f>
        <v>Sim</v>
      </c>
      <c r="J301" s="83" t="str">
        <f t="shared" si="8"/>
        <v>Sim</v>
      </c>
      <c r="K301" s="12">
        <f>SUMIFS(BASE!$G:$G,BASE!$B:$B,$B301,BASE!$L:$L,$G301,BASE!$J:$J,$C301,BASE!$A:$A,K$2)</f>
        <v>0</v>
      </c>
      <c r="L301" s="12">
        <f>SUMIFS(BASE!$G:$G,BASE!$B:$B,$B301,BASE!$L:$L,$G301,BASE!$J:$J,$C301,BASE!$A:$A,L$2)</f>
        <v>0</v>
      </c>
      <c r="M301" s="12">
        <f>SUMIFS(BASE!$G:$G,BASE!$B:$B,$B301,BASE!$L:$L,$G301,BASE!$J:$J,$C301,BASE!$A:$A,M$2)</f>
        <v>0</v>
      </c>
      <c r="N301" s="12">
        <f>SUMIFS(BASE!$G:$G,BASE!$B:$B,$B301,BASE!$L:$L,$G301,BASE!$J:$J,$C301,BASE!$A:$A,N$2)</f>
        <v>0</v>
      </c>
      <c r="O301" s="12">
        <f>SUMIFS(BASE!$G:$G,BASE!$B:$B,$B301,BASE!$L:$L,$G301,BASE!$J:$J,$C301,BASE!$A:$A,O$2)</f>
        <v>0</v>
      </c>
      <c r="P301" s="12">
        <f>SUMIFS(BASE!$G:$G,BASE!$B:$B,$B301,BASE!$L:$L,$G301,BASE!$J:$J,$C301,BASE!$A:$A,P$2)</f>
        <v>0</v>
      </c>
      <c r="Q301" s="12">
        <f>SUMIFS(BASE!$G:$G,BASE!$B:$B,$B301,BASE!$L:$L,$G301,BASE!$J:$J,$C301,BASE!$A:$A,Q$2)</f>
        <v>0</v>
      </c>
      <c r="R301" s="12">
        <f>SUMIFS(BASE!$G:$G,BASE!$B:$B,$B301,BASE!$L:$L,$G301,BASE!$J:$J,$C301,BASE!$A:$A,R$2)</f>
        <v>0</v>
      </c>
      <c r="S301" s="12">
        <f>SUMIFS(BASE!$G:$G,BASE!$B:$B,$B301,BASE!$L:$L,$G301,BASE!$J:$J,$C301,BASE!$A:$A,S$2)</f>
        <v>0</v>
      </c>
      <c r="T301" s="12">
        <f>SUMIFS(BASE!$G:$G,BASE!$B:$B,$B301,BASE!$L:$L,$G301,BASE!$J:$J,$C301,BASE!$A:$A,T$2)</f>
        <v>0</v>
      </c>
      <c r="U301" s="12">
        <f>SUMIFS(BASE!$G:$G,BASE!$B:$B,$B301,BASE!$L:$L,$G301,BASE!$J:$J,$C301,BASE!$A:$A,U$2)</f>
        <v>0</v>
      </c>
      <c r="V301" s="12">
        <f>SUMIFS(BASE!$G:$G,BASE!$B:$B,$B301,BASE!$L:$L,$G301,BASE!$J:$J,$C301,BASE!$A:$A,V$2)</f>
        <v>0</v>
      </c>
      <c r="X301" t="str">
        <f t="shared" si="9"/>
        <v>ZERADO</v>
      </c>
    </row>
    <row r="302" spans="2:24">
      <c r="B302" s="8" t="s">
        <v>807</v>
      </c>
      <c r="C302" s="9" t="s">
        <v>206</v>
      </c>
      <c r="D302" s="9" t="s">
        <v>627</v>
      </c>
      <c r="E302" s="9" t="s">
        <v>609</v>
      </c>
      <c r="F302" s="9" t="s">
        <v>808</v>
      </c>
      <c r="G302" s="9" t="s">
        <v>59</v>
      </c>
      <c r="H302" s="7" t="str">
        <f>IFERROR(IF(_xlfn.XLOOKUP(B302,REPASSE!D:D,REPASSE!D:D)="","Não","Sim"),"Não")</f>
        <v>Não</v>
      </c>
      <c r="I302" s="7" t="str">
        <f>IF(_xlfn.XLOOKUP(B302,'BOOST LIBERADO'!B:B,'BOOST LIBERADO'!B:B,"Não")="Não","Não","Sim")</f>
        <v>Sim</v>
      </c>
      <c r="J302" s="83" t="str">
        <f t="shared" si="8"/>
        <v>Sim</v>
      </c>
      <c r="K302" s="12">
        <f>SUMIFS(BASE!$G:$G,BASE!$B:$B,$B302,BASE!$L:$L,$G302,BASE!$J:$J,$C302,BASE!$A:$A,K$2)</f>
        <v>0</v>
      </c>
      <c r="L302" s="12">
        <f>SUMIFS(BASE!$G:$G,BASE!$B:$B,$B302,BASE!$L:$L,$G302,BASE!$J:$J,$C302,BASE!$A:$A,L$2)</f>
        <v>0</v>
      </c>
      <c r="M302" s="12">
        <f>SUMIFS(BASE!$G:$G,BASE!$B:$B,$B302,BASE!$L:$L,$G302,BASE!$J:$J,$C302,BASE!$A:$A,M$2)</f>
        <v>0</v>
      </c>
      <c r="N302" s="12">
        <f>SUMIFS(BASE!$G:$G,BASE!$B:$B,$B302,BASE!$L:$L,$G302,BASE!$J:$J,$C302,BASE!$A:$A,N$2)</f>
        <v>0</v>
      </c>
      <c r="O302" s="12">
        <f>SUMIFS(BASE!$G:$G,BASE!$B:$B,$B302,BASE!$L:$L,$G302,BASE!$J:$J,$C302,BASE!$A:$A,O$2)</f>
        <v>0</v>
      </c>
      <c r="P302" s="12">
        <f>SUMIFS(BASE!$G:$G,BASE!$B:$B,$B302,BASE!$L:$L,$G302,BASE!$J:$J,$C302,BASE!$A:$A,P$2)</f>
        <v>0</v>
      </c>
      <c r="Q302" s="12">
        <f>SUMIFS(BASE!$G:$G,BASE!$B:$B,$B302,BASE!$L:$L,$G302,BASE!$J:$J,$C302,BASE!$A:$A,Q$2)</f>
        <v>0</v>
      </c>
      <c r="R302" s="12">
        <f>SUMIFS(BASE!$G:$G,BASE!$B:$B,$B302,BASE!$L:$L,$G302,BASE!$J:$J,$C302,BASE!$A:$A,R$2)</f>
        <v>0</v>
      </c>
      <c r="S302" s="12">
        <f>SUMIFS(BASE!$G:$G,BASE!$B:$B,$B302,BASE!$L:$L,$G302,BASE!$J:$J,$C302,BASE!$A:$A,S$2)</f>
        <v>0</v>
      </c>
      <c r="T302" s="12">
        <f>SUMIFS(BASE!$G:$G,BASE!$B:$B,$B302,BASE!$L:$L,$G302,BASE!$J:$J,$C302,BASE!$A:$A,T$2)</f>
        <v>0</v>
      </c>
      <c r="U302" s="12">
        <f>SUMIFS(BASE!$G:$G,BASE!$B:$B,$B302,BASE!$L:$L,$G302,BASE!$J:$J,$C302,BASE!$A:$A,U$2)</f>
        <v>0</v>
      </c>
      <c r="V302" s="12">
        <f>SUMIFS(BASE!$G:$G,BASE!$B:$B,$B302,BASE!$L:$L,$G302,BASE!$J:$J,$C302,BASE!$A:$A,V$2)</f>
        <v>0</v>
      </c>
      <c r="X302" t="str">
        <f t="shared" si="9"/>
        <v>ZERADO</v>
      </c>
    </row>
    <row r="303" spans="2:24">
      <c r="B303" s="8" t="s">
        <v>809</v>
      </c>
      <c r="C303" s="9" t="s">
        <v>182</v>
      </c>
      <c r="D303" s="9" t="s">
        <v>669</v>
      </c>
      <c r="E303" s="9" t="s">
        <v>666</v>
      </c>
      <c r="F303" s="9" t="s">
        <v>810</v>
      </c>
      <c r="G303" s="9" t="s">
        <v>59</v>
      </c>
      <c r="H303" s="7" t="str">
        <f>IFERROR(IF(_xlfn.XLOOKUP(B303,REPASSE!D:D,REPASSE!D:D)="","Não","Sim"),"Não")</f>
        <v>Não</v>
      </c>
      <c r="I303" s="7" t="str">
        <f>IF(_xlfn.XLOOKUP(B303,'BOOST LIBERADO'!B:B,'BOOST LIBERADO'!B:B,"Não")="Não","Não","Sim")</f>
        <v>Sim</v>
      </c>
      <c r="J303" s="83" t="str">
        <f t="shared" si="8"/>
        <v>Sim</v>
      </c>
      <c r="K303" s="12">
        <f>SUMIFS(BASE!$G:$G,BASE!$B:$B,$B303,BASE!$L:$L,$G303,BASE!$J:$J,$C303,BASE!$A:$A,K$2)</f>
        <v>0</v>
      </c>
      <c r="L303" s="12">
        <f>SUMIFS(BASE!$G:$G,BASE!$B:$B,$B303,BASE!$L:$L,$G303,BASE!$J:$J,$C303,BASE!$A:$A,L$2)</f>
        <v>0</v>
      </c>
      <c r="M303" s="12">
        <f>SUMIFS(BASE!$G:$G,BASE!$B:$B,$B303,BASE!$L:$L,$G303,BASE!$J:$J,$C303,BASE!$A:$A,M$2)</f>
        <v>0</v>
      </c>
      <c r="N303" s="12">
        <f>SUMIFS(BASE!$G:$G,BASE!$B:$B,$B303,BASE!$L:$L,$G303,BASE!$J:$J,$C303,BASE!$A:$A,N$2)</f>
        <v>0</v>
      </c>
      <c r="O303" s="12">
        <f>SUMIFS(BASE!$G:$G,BASE!$B:$B,$B303,BASE!$L:$L,$G303,BASE!$J:$J,$C303,BASE!$A:$A,O$2)</f>
        <v>0</v>
      </c>
      <c r="P303" s="12">
        <f>SUMIFS(BASE!$G:$G,BASE!$B:$B,$B303,BASE!$L:$L,$G303,BASE!$J:$J,$C303,BASE!$A:$A,P$2)</f>
        <v>0</v>
      </c>
      <c r="Q303" s="12">
        <f>SUMIFS(BASE!$G:$G,BASE!$B:$B,$B303,BASE!$L:$L,$G303,BASE!$J:$J,$C303,BASE!$A:$A,Q$2)</f>
        <v>0</v>
      </c>
      <c r="R303" s="12">
        <f>SUMIFS(BASE!$G:$G,BASE!$B:$B,$B303,BASE!$L:$L,$G303,BASE!$J:$J,$C303,BASE!$A:$A,R$2)</f>
        <v>0</v>
      </c>
      <c r="S303" s="12">
        <f>SUMIFS(BASE!$G:$G,BASE!$B:$B,$B303,BASE!$L:$L,$G303,BASE!$J:$J,$C303,BASE!$A:$A,S$2)</f>
        <v>0</v>
      </c>
      <c r="T303" s="12">
        <f>SUMIFS(BASE!$G:$G,BASE!$B:$B,$B303,BASE!$L:$L,$G303,BASE!$J:$J,$C303,BASE!$A:$A,T$2)</f>
        <v>0</v>
      </c>
      <c r="U303" s="12">
        <f>SUMIFS(BASE!$G:$G,BASE!$B:$B,$B303,BASE!$L:$L,$G303,BASE!$J:$J,$C303,BASE!$A:$A,U$2)</f>
        <v>0</v>
      </c>
      <c r="V303" s="12">
        <f>SUMIFS(BASE!$G:$G,BASE!$B:$B,$B303,BASE!$L:$L,$G303,BASE!$J:$J,$C303,BASE!$A:$A,V$2)</f>
        <v>0</v>
      </c>
      <c r="X303" t="str">
        <f t="shared" si="9"/>
        <v>ZERADO</v>
      </c>
    </row>
    <row r="304" spans="2:24">
      <c r="B304" s="8" t="s">
        <v>811</v>
      </c>
      <c r="C304" s="9" t="s">
        <v>85</v>
      </c>
      <c r="D304" s="9" t="s">
        <v>812</v>
      </c>
      <c r="E304" s="9" t="s">
        <v>666</v>
      </c>
      <c r="F304" s="9" t="s">
        <v>813</v>
      </c>
      <c r="G304" s="9" t="s">
        <v>59</v>
      </c>
      <c r="H304" s="7" t="str">
        <f>IFERROR(IF(_xlfn.XLOOKUP(B304,REPASSE!D:D,REPASSE!D:D)="","Não","Sim"),"Não")</f>
        <v>Não</v>
      </c>
      <c r="I304" s="7" t="str">
        <f>IF(_xlfn.XLOOKUP(B304,'BOOST LIBERADO'!B:B,'BOOST LIBERADO'!B:B,"Não")="Não","Não","Sim")</f>
        <v>Sim</v>
      </c>
      <c r="J304" s="83" t="str">
        <f t="shared" si="8"/>
        <v>Sim</v>
      </c>
      <c r="K304" s="12">
        <f>SUMIFS(BASE!$G:$G,BASE!$B:$B,$B304,BASE!$L:$L,$G304,BASE!$J:$J,$C304,BASE!$A:$A,K$2)</f>
        <v>0</v>
      </c>
      <c r="L304" s="12">
        <f>SUMIFS(BASE!$G:$G,BASE!$B:$B,$B304,BASE!$L:$L,$G304,BASE!$J:$J,$C304,BASE!$A:$A,L$2)</f>
        <v>0</v>
      </c>
      <c r="M304" s="12">
        <f>SUMIFS(BASE!$G:$G,BASE!$B:$B,$B304,BASE!$L:$L,$G304,BASE!$J:$J,$C304,BASE!$A:$A,M$2)</f>
        <v>0</v>
      </c>
      <c r="N304" s="12">
        <f>SUMIFS(BASE!$G:$G,BASE!$B:$B,$B304,BASE!$L:$L,$G304,BASE!$J:$J,$C304,BASE!$A:$A,N$2)</f>
        <v>0</v>
      </c>
      <c r="O304" s="12">
        <f>SUMIFS(BASE!$G:$G,BASE!$B:$B,$B304,BASE!$L:$L,$G304,BASE!$J:$J,$C304,BASE!$A:$A,O$2)</f>
        <v>0</v>
      </c>
      <c r="P304" s="12">
        <f>SUMIFS(BASE!$G:$G,BASE!$B:$B,$B304,BASE!$L:$L,$G304,BASE!$J:$J,$C304,BASE!$A:$A,P$2)</f>
        <v>0</v>
      </c>
      <c r="Q304" s="12">
        <f>SUMIFS(BASE!$G:$G,BASE!$B:$B,$B304,BASE!$L:$L,$G304,BASE!$J:$J,$C304,BASE!$A:$A,Q$2)</f>
        <v>0</v>
      </c>
      <c r="R304" s="12">
        <f>SUMIFS(BASE!$G:$G,BASE!$B:$B,$B304,BASE!$L:$L,$G304,BASE!$J:$J,$C304,BASE!$A:$A,R$2)</f>
        <v>0</v>
      </c>
      <c r="S304" s="12">
        <f>SUMIFS(BASE!$G:$G,BASE!$B:$B,$B304,BASE!$L:$L,$G304,BASE!$J:$J,$C304,BASE!$A:$A,S$2)</f>
        <v>0</v>
      </c>
      <c r="T304" s="12">
        <f>SUMIFS(BASE!$G:$G,BASE!$B:$B,$B304,BASE!$L:$L,$G304,BASE!$J:$J,$C304,BASE!$A:$A,T$2)</f>
        <v>0</v>
      </c>
      <c r="U304" s="12">
        <f>SUMIFS(BASE!$G:$G,BASE!$B:$B,$B304,BASE!$L:$L,$G304,BASE!$J:$J,$C304,BASE!$A:$A,U$2)</f>
        <v>0</v>
      </c>
      <c r="V304" s="12">
        <f>SUMIFS(BASE!$G:$G,BASE!$B:$B,$B304,BASE!$L:$L,$G304,BASE!$J:$J,$C304,BASE!$A:$A,V$2)</f>
        <v>0</v>
      </c>
      <c r="X304" t="str">
        <f t="shared" si="9"/>
        <v>ZERADO</v>
      </c>
    </row>
    <row r="305" spans="2:24">
      <c r="B305" s="8" t="s">
        <v>814</v>
      </c>
      <c r="C305" s="9" t="s">
        <v>154</v>
      </c>
      <c r="D305" s="9" t="s">
        <v>669</v>
      </c>
      <c r="E305" s="9" t="s">
        <v>666</v>
      </c>
      <c r="F305" s="9" t="s">
        <v>815</v>
      </c>
      <c r="G305" s="9" t="s">
        <v>59</v>
      </c>
      <c r="H305" s="7" t="str">
        <f>IFERROR(IF(_xlfn.XLOOKUP(B305,REPASSE!D:D,REPASSE!D:D)="","Não","Sim"),"Não")</f>
        <v>Não</v>
      </c>
      <c r="I305" s="7" t="str">
        <f>IF(_xlfn.XLOOKUP(B305,'BOOST LIBERADO'!B:B,'BOOST LIBERADO'!B:B,"Não")="Não","Não","Sim")</f>
        <v>Sim</v>
      </c>
      <c r="J305" s="83" t="str">
        <f t="shared" si="8"/>
        <v>Sim</v>
      </c>
      <c r="K305" s="12">
        <f>SUMIFS(BASE!$G:$G,BASE!$B:$B,$B305,BASE!$L:$L,$G305,BASE!$J:$J,$C305,BASE!$A:$A,K$2)</f>
        <v>0</v>
      </c>
      <c r="L305" s="12">
        <f>SUMIFS(BASE!$G:$G,BASE!$B:$B,$B305,BASE!$L:$L,$G305,BASE!$J:$J,$C305,BASE!$A:$A,L$2)</f>
        <v>0</v>
      </c>
      <c r="M305" s="12">
        <f>SUMIFS(BASE!$G:$G,BASE!$B:$B,$B305,BASE!$L:$L,$G305,BASE!$J:$J,$C305,BASE!$A:$A,M$2)</f>
        <v>0</v>
      </c>
      <c r="N305" s="12">
        <f>SUMIFS(BASE!$G:$G,BASE!$B:$B,$B305,BASE!$L:$L,$G305,BASE!$J:$J,$C305,BASE!$A:$A,N$2)</f>
        <v>0</v>
      </c>
      <c r="O305" s="12">
        <f>SUMIFS(BASE!$G:$G,BASE!$B:$B,$B305,BASE!$L:$L,$G305,BASE!$J:$J,$C305,BASE!$A:$A,O$2)</f>
        <v>0</v>
      </c>
      <c r="P305" s="12">
        <f>SUMIFS(BASE!$G:$G,BASE!$B:$B,$B305,BASE!$L:$L,$G305,BASE!$J:$J,$C305,BASE!$A:$A,P$2)</f>
        <v>0</v>
      </c>
      <c r="Q305" s="12">
        <f>SUMIFS(BASE!$G:$G,BASE!$B:$B,$B305,BASE!$L:$L,$G305,BASE!$J:$J,$C305,BASE!$A:$A,Q$2)</f>
        <v>0</v>
      </c>
      <c r="R305" s="12">
        <f>SUMIFS(BASE!$G:$G,BASE!$B:$B,$B305,BASE!$L:$L,$G305,BASE!$J:$J,$C305,BASE!$A:$A,R$2)</f>
        <v>0</v>
      </c>
      <c r="S305" s="12">
        <f>SUMIFS(BASE!$G:$G,BASE!$B:$B,$B305,BASE!$L:$L,$G305,BASE!$J:$J,$C305,BASE!$A:$A,S$2)</f>
        <v>0</v>
      </c>
      <c r="T305" s="12">
        <f>SUMIFS(BASE!$G:$G,BASE!$B:$B,$B305,BASE!$L:$L,$G305,BASE!$J:$J,$C305,BASE!$A:$A,T$2)</f>
        <v>0</v>
      </c>
      <c r="U305" s="12">
        <f>SUMIFS(BASE!$G:$G,BASE!$B:$B,$B305,BASE!$L:$L,$G305,BASE!$J:$J,$C305,BASE!$A:$A,U$2)</f>
        <v>0</v>
      </c>
      <c r="V305" s="12">
        <f>SUMIFS(BASE!$G:$G,BASE!$B:$B,$B305,BASE!$L:$L,$G305,BASE!$J:$J,$C305,BASE!$A:$A,V$2)</f>
        <v>0</v>
      </c>
      <c r="X305" t="str">
        <f t="shared" si="9"/>
        <v>ZERADO</v>
      </c>
    </row>
    <row r="306" spans="2:24">
      <c r="B306" s="8" t="s">
        <v>816</v>
      </c>
      <c r="C306" s="9" t="s">
        <v>96</v>
      </c>
      <c r="D306" s="9" t="s">
        <v>669</v>
      </c>
      <c r="E306" s="9" t="s">
        <v>666</v>
      </c>
      <c r="F306" s="9" t="s">
        <v>817</v>
      </c>
      <c r="G306" s="9" t="s">
        <v>59</v>
      </c>
      <c r="H306" s="7" t="str">
        <f>IFERROR(IF(_xlfn.XLOOKUP(B306,REPASSE!D:D,REPASSE!D:D)="","Não","Sim"),"Não")</f>
        <v>Não</v>
      </c>
      <c r="I306" s="7" t="str">
        <f>IF(_xlfn.XLOOKUP(B306,'BOOST LIBERADO'!B:B,'BOOST LIBERADO'!B:B,"Não")="Não","Não","Sim")</f>
        <v>Sim</v>
      </c>
      <c r="J306" s="83" t="str">
        <f t="shared" si="8"/>
        <v>Sim</v>
      </c>
      <c r="K306" s="12">
        <f>SUMIFS(BASE!$G:$G,BASE!$B:$B,$B306,BASE!$L:$L,$G306,BASE!$J:$J,$C306,BASE!$A:$A,K$2)</f>
        <v>0</v>
      </c>
      <c r="L306" s="12">
        <f>SUMIFS(BASE!$G:$G,BASE!$B:$B,$B306,BASE!$L:$L,$G306,BASE!$J:$J,$C306,BASE!$A:$A,L$2)</f>
        <v>0</v>
      </c>
      <c r="M306" s="12">
        <f>SUMIFS(BASE!$G:$G,BASE!$B:$B,$B306,BASE!$L:$L,$G306,BASE!$J:$J,$C306,BASE!$A:$A,M$2)</f>
        <v>0</v>
      </c>
      <c r="N306" s="12">
        <f>SUMIFS(BASE!$G:$G,BASE!$B:$B,$B306,BASE!$L:$L,$G306,BASE!$J:$J,$C306,BASE!$A:$A,N$2)</f>
        <v>0</v>
      </c>
      <c r="O306" s="12">
        <f>SUMIFS(BASE!$G:$G,BASE!$B:$B,$B306,BASE!$L:$L,$G306,BASE!$J:$J,$C306,BASE!$A:$A,O$2)</f>
        <v>0</v>
      </c>
      <c r="P306" s="12">
        <f>SUMIFS(BASE!$G:$G,BASE!$B:$B,$B306,BASE!$L:$L,$G306,BASE!$J:$J,$C306,BASE!$A:$A,P$2)</f>
        <v>0</v>
      </c>
      <c r="Q306" s="12">
        <f>SUMIFS(BASE!$G:$G,BASE!$B:$B,$B306,BASE!$L:$L,$G306,BASE!$J:$J,$C306,BASE!$A:$A,Q$2)</f>
        <v>0</v>
      </c>
      <c r="R306" s="12">
        <f>SUMIFS(BASE!$G:$G,BASE!$B:$B,$B306,BASE!$L:$L,$G306,BASE!$J:$J,$C306,BASE!$A:$A,R$2)</f>
        <v>0</v>
      </c>
      <c r="S306" s="12">
        <f>SUMIFS(BASE!$G:$G,BASE!$B:$B,$B306,BASE!$L:$L,$G306,BASE!$J:$J,$C306,BASE!$A:$A,S$2)</f>
        <v>0</v>
      </c>
      <c r="T306" s="12">
        <f>SUMIFS(BASE!$G:$G,BASE!$B:$B,$B306,BASE!$L:$L,$G306,BASE!$J:$J,$C306,BASE!$A:$A,T$2)</f>
        <v>0</v>
      </c>
      <c r="U306" s="12">
        <f>SUMIFS(BASE!$G:$G,BASE!$B:$B,$B306,BASE!$L:$L,$G306,BASE!$J:$J,$C306,BASE!$A:$A,U$2)</f>
        <v>0</v>
      </c>
      <c r="V306" s="12">
        <f>SUMIFS(BASE!$G:$G,BASE!$B:$B,$B306,BASE!$L:$L,$G306,BASE!$J:$J,$C306,BASE!$A:$A,V$2)</f>
        <v>0</v>
      </c>
      <c r="X306" t="str">
        <f t="shared" si="9"/>
        <v>ZERADO</v>
      </c>
    </row>
    <row r="307" spans="2:24">
      <c r="B307" s="8" t="s">
        <v>818</v>
      </c>
      <c r="C307" s="9" t="s">
        <v>231</v>
      </c>
      <c r="D307" s="9" t="s">
        <v>819</v>
      </c>
      <c r="E307" s="9" t="s">
        <v>666</v>
      </c>
      <c r="F307" s="9" t="s">
        <v>820</v>
      </c>
      <c r="G307" s="9" t="s">
        <v>59</v>
      </c>
      <c r="H307" s="7" t="str">
        <f>IFERROR(IF(_xlfn.XLOOKUP(B307,REPASSE!D:D,REPASSE!D:D)="","Não","Sim"),"Não")</f>
        <v>Não</v>
      </c>
      <c r="I307" s="7" t="str">
        <f>IF(_xlfn.XLOOKUP(B307,'BOOST LIBERADO'!B:B,'BOOST LIBERADO'!B:B,"Não")="Não","Não","Sim")</f>
        <v>Sim</v>
      </c>
      <c r="J307" s="83" t="str">
        <f t="shared" si="8"/>
        <v>Sim</v>
      </c>
      <c r="K307" s="12">
        <f>SUMIFS(BASE!$G:$G,BASE!$B:$B,$B307,BASE!$L:$L,$G307,BASE!$J:$J,$C307,BASE!$A:$A,K$2)</f>
        <v>0</v>
      </c>
      <c r="L307" s="12">
        <f>SUMIFS(BASE!$G:$G,BASE!$B:$B,$B307,BASE!$L:$L,$G307,BASE!$J:$J,$C307,BASE!$A:$A,L$2)</f>
        <v>0</v>
      </c>
      <c r="M307" s="12">
        <f>SUMIFS(BASE!$G:$G,BASE!$B:$B,$B307,BASE!$L:$L,$G307,BASE!$J:$J,$C307,BASE!$A:$A,M$2)</f>
        <v>0</v>
      </c>
      <c r="N307" s="12">
        <f>SUMIFS(BASE!$G:$G,BASE!$B:$B,$B307,BASE!$L:$L,$G307,BASE!$J:$J,$C307,BASE!$A:$A,N$2)</f>
        <v>0</v>
      </c>
      <c r="O307" s="12">
        <f>SUMIFS(BASE!$G:$G,BASE!$B:$B,$B307,BASE!$L:$L,$G307,BASE!$J:$J,$C307,BASE!$A:$A,O$2)</f>
        <v>0</v>
      </c>
      <c r="P307" s="12">
        <f>SUMIFS(BASE!$G:$G,BASE!$B:$B,$B307,BASE!$L:$L,$G307,BASE!$J:$J,$C307,BASE!$A:$A,P$2)</f>
        <v>0</v>
      </c>
      <c r="Q307" s="12">
        <f>SUMIFS(BASE!$G:$G,BASE!$B:$B,$B307,BASE!$L:$L,$G307,BASE!$J:$J,$C307,BASE!$A:$A,Q$2)</f>
        <v>0</v>
      </c>
      <c r="R307" s="12">
        <f>SUMIFS(BASE!$G:$G,BASE!$B:$B,$B307,BASE!$L:$L,$G307,BASE!$J:$J,$C307,BASE!$A:$A,R$2)</f>
        <v>0</v>
      </c>
      <c r="S307" s="12">
        <f>SUMIFS(BASE!$G:$G,BASE!$B:$B,$B307,BASE!$L:$L,$G307,BASE!$J:$J,$C307,BASE!$A:$A,S$2)</f>
        <v>0</v>
      </c>
      <c r="T307" s="12">
        <f>SUMIFS(BASE!$G:$G,BASE!$B:$B,$B307,BASE!$L:$L,$G307,BASE!$J:$J,$C307,BASE!$A:$A,T$2)</f>
        <v>0</v>
      </c>
      <c r="U307" s="12">
        <f>SUMIFS(BASE!$G:$G,BASE!$B:$B,$B307,BASE!$L:$L,$G307,BASE!$J:$J,$C307,BASE!$A:$A,U$2)</f>
        <v>0</v>
      </c>
      <c r="V307" s="12">
        <f>SUMIFS(BASE!$G:$G,BASE!$B:$B,$B307,BASE!$L:$L,$G307,BASE!$J:$J,$C307,BASE!$A:$A,V$2)</f>
        <v>0</v>
      </c>
      <c r="X307" t="str">
        <f t="shared" si="9"/>
        <v>ZERADO</v>
      </c>
    </row>
    <row r="308" spans="2:24">
      <c r="B308" s="8" t="s">
        <v>821</v>
      </c>
      <c r="C308" s="9" t="s">
        <v>163</v>
      </c>
      <c r="D308" s="9" t="s">
        <v>812</v>
      </c>
      <c r="E308" s="9" t="s">
        <v>666</v>
      </c>
      <c r="F308" s="9" t="s">
        <v>820</v>
      </c>
      <c r="G308" s="9" t="s">
        <v>59</v>
      </c>
      <c r="H308" s="7" t="str">
        <f>IFERROR(IF(_xlfn.XLOOKUP(B308,REPASSE!D:D,REPASSE!D:D)="","Não","Sim"),"Não")</f>
        <v>Não</v>
      </c>
      <c r="I308" s="7" t="str">
        <f>IF(_xlfn.XLOOKUP(B308,'BOOST LIBERADO'!B:B,'BOOST LIBERADO'!B:B,"Não")="Não","Não","Sim")</f>
        <v>Sim</v>
      </c>
      <c r="J308" s="83" t="str">
        <f t="shared" si="8"/>
        <v>Sim</v>
      </c>
      <c r="K308" s="12">
        <f>SUMIFS(BASE!$G:$G,BASE!$B:$B,$B308,BASE!$L:$L,$G308,BASE!$J:$J,$C308,BASE!$A:$A,K$2)</f>
        <v>0</v>
      </c>
      <c r="L308" s="12">
        <f>SUMIFS(BASE!$G:$G,BASE!$B:$B,$B308,BASE!$L:$L,$G308,BASE!$J:$J,$C308,BASE!$A:$A,L$2)</f>
        <v>0</v>
      </c>
      <c r="M308" s="12">
        <f>SUMIFS(BASE!$G:$G,BASE!$B:$B,$B308,BASE!$L:$L,$G308,BASE!$J:$J,$C308,BASE!$A:$A,M$2)</f>
        <v>0</v>
      </c>
      <c r="N308" s="12">
        <f>SUMIFS(BASE!$G:$G,BASE!$B:$B,$B308,BASE!$L:$L,$G308,BASE!$J:$J,$C308,BASE!$A:$A,N$2)</f>
        <v>0</v>
      </c>
      <c r="O308" s="12">
        <f>SUMIFS(BASE!$G:$G,BASE!$B:$B,$B308,BASE!$L:$L,$G308,BASE!$J:$J,$C308,BASE!$A:$A,O$2)</f>
        <v>0</v>
      </c>
      <c r="P308" s="12">
        <f>SUMIFS(BASE!$G:$G,BASE!$B:$B,$B308,BASE!$L:$L,$G308,BASE!$J:$J,$C308,BASE!$A:$A,P$2)</f>
        <v>0</v>
      </c>
      <c r="Q308" s="12">
        <f>SUMIFS(BASE!$G:$G,BASE!$B:$B,$B308,BASE!$L:$L,$G308,BASE!$J:$J,$C308,BASE!$A:$A,Q$2)</f>
        <v>0</v>
      </c>
      <c r="R308" s="12">
        <f>SUMIFS(BASE!$G:$G,BASE!$B:$B,$B308,BASE!$L:$L,$G308,BASE!$J:$J,$C308,BASE!$A:$A,R$2)</f>
        <v>0</v>
      </c>
      <c r="S308" s="12">
        <f>SUMIFS(BASE!$G:$G,BASE!$B:$B,$B308,BASE!$L:$L,$G308,BASE!$J:$J,$C308,BASE!$A:$A,S$2)</f>
        <v>0</v>
      </c>
      <c r="T308" s="12">
        <f>SUMIFS(BASE!$G:$G,BASE!$B:$B,$B308,BASE!$L:$L,$G308,BASE!$J:$J,$C308,BASE!$A:$A,T$2)</f>
        <v>0</v>
      </c>
      <c r="U308" s="12">
        <f>SUMIFS(BASE!$G:$G,BASE!$B:$B,$B308,BASE!$L:$L,$G308,BASE!$J:$J,$C308,BASE!$A:$A,U$2)</f>
        <v>0</v>
      </c>
      <c r="V308" s="12">
        <f>SUMIFS(BASE!$G:$G,BASE!$B:$B,$B308,BASE!$L:$L,$G308,BASE!$J:$J,$C308,BASE!$A:$A,V$2)</f>
        <v>0</v>
      </c>
      <c r="X308" t="str">
        <f t="shared" si="9"/>
        <v>ZERADO</v>
      </c>
    </row>
    <row r="309" spans="2:24">
      <c r="B309" s="8" t="s">
        <v>822</v>
      </c>
      <c r="C309" s="9" t="s">
        <v>231</v>
      </c>
      <c r="D309" s="9" t="s">
        <v>812</v>
      </c>
      <c r="E309" s="9" t="s">
        <v>666</v>
      </c>
      <c r="F309" s="9" t="s">
        <v>823</v>
      </c>
      <c r="G309" s="9" t="s">
        <v>59</v>
      </c>
      <c r="H309" s="7" t="str">
        <f>IFERROR(IF(_xlfn.XLOOKUP(B309,REPASSE!D:D,REPASSE!D:D)="","Não","Sim"),"Não")</f>
        <v>Não</v>
      </c>
      <c r="I309" s="7" t="str">
        <f>IF(_xlfn.XLOOKUP(B309,'BOOST LIBERADO'!B:B,'BOOST LIBERADO'!B:B,"Não")="Não","Não","Sim")</f>
        <v>Sim</v>
      </c>
      <c r="J309" s="83" t="str">
        <f t="shared" si="8"/>
        <v>Sim</v>
      </c>
      <c r="K309" s="12">
        <f>SUMIFS(BASE!$G:$G,BASE!$B:$B,$B309,BASE!$L:$L,$G309,BASE!$J:$J,$C309,BASE!$A:$A,K$2)</f>
        <v>0</v>
      </c>
      <c r="L309" s="12">
        <f>SUMIFS(BASE!$G:$G,BASE!$B:$B,$B309,BASE!$L:$L,$G309,BASE!$J:$J,$C309,BASE!$A:$A,L$2)</f>
        <v>0</v>
      </c>
      <c r="M309" s="12">
        <f>SUMIFS(BASE!$G:$G,BASE!$B:$B,$B309,BASE!$L:$L,$G309,BASE!$J:$J,$C309,BASE!$A:$A,M$2)</f>
        <v>0</v>
      </c>
      <c r="N309" s="12">
        <f>SUMIFS(BASE!$G:$G,BASE!$B:$B,$B309,BASE!$L:$L,$G309,BASE!$J:$J,$C309,BASE!$A:$A,N$2)</f>
        <v>0</v>
      </c>
      <c r="O309" s="12">
        <f>SUMIFS(BASE!$G:$G,BASE!$B:$B,$B309,BASE!$L:$L,$G309,BASE!$J:$J,$C309,BASE!$A:$A,O$2)</f>
        <v>0</v>
      </c>
      <c r="P309" s="12">
        <f>SUMIFS(BASE!$G:$G,BASE!$B:$B,$B309,BASE!$L:$L,$G309,BASE!$J:$J,$C309,BASE!$A:$A,P$2)</f>
        <v>0</v>
      </c>
      <c r="Q309" s="12">
        <f>SUMIFS(BASE!$G:$G,BASE!$B:$B,$B309,BASE!$L:$L,$G309,BASE!$J:$J,$C309,BASE!$A:$A,Q$2)</f>
        <v>0</v>
      </c>
      <c r="R309" s="12">
        <f>SUMIFS(BASE!$G:$G,BASE!$B:$B,$B309,BASE!$L:$L,$G309,BASE!$J:$J,$C309,BASE!$A:$A,R$2)</f>
        <v>0</v>
      </c>
      <c r="S309" s="12">
        <f>SUMIFS(BASE!$G:$G,BASE!$B:$B,$B309,BASE!$L:$L,$G309,BASE!$J:$J,$C309,BASE!$A:$A,S$2)</f>
        <v>0</v>
      </c>
      <c r="T309" s="12">
        <f>SUMIFS(BASE!$G:$G,BASE!$B:$B,$B309,BASE!$L:$L,$G309,BASE!$J:$J,$C309,BASE!$A:$A,T$2)</f>
        <v>0</v>
      </c>
      <c r="U309" s="12">
        <f>SUMIFS(BASE!$G:$G,BASE!$B:$B,$B309,BASE!$L:$L,$G309,BASE!$J:$J,$C309,BASE!$A:$A,U$2)</f>
        <v>0</v>
      </c>
      <c r="V309" s="12">
        <f>SUMIFS(BASE!$G:$G,BASE!$B:$B,$B309,BASE!$L:$L,$G309,BASE!$J:$J,$C309,BASE!$A:$A,V$2)</f>
        <v>0</v>
      </c>
      <c r="X309" t="str">
        <f t="shared" si="9"/>
        <v>ZERADO</v>
      </c>
    </row>
    <row r="310" spans="2:24">
      <c r="B310" s="8" t="s">
        <v>824</v>
      </c>
      <c r="C310" s="9" t="s">
        <v>231</v>
      </c>
      <c r="D310" s="9" t="s">
        <v>665</v>
      </c>
      <c r="E310" s="9" t="s">
        <v>666</v>
      </c>
      <c r="F310" s="9" t="s">
        <v>673</v>
      </c>
      <c r="G310" s="9" t="s">
        <v>59</v>
      </c>
      <c r="H310" s="7" t="str">
        <f>IFERROR(IF(_xlfn.XLOOKUP(B310,REPASSE!D:D,REPASSE!D:D)="","Não","Sim"),"Não")</f>
        <v>Não</v>
      </c>
      <c r="I310" s="7" t="str">
        <f>IF(_xlfn.XLOOKUP(B310,'BOOST LIBERADO'!B:B,'BOOST LIBERADO'!B:B,"Não")="Não","Não","Sim")</f>
        <v>Sim</v>
      </c>
      <c r="J310" s="83" t="str">
        <f t="shared" si="8"/>
        <v>Sim</v>
      </c>
      <c r="K310" s="12">
        <f>SUMIFS(BASE!$G:$G,BASE!$B:$B,$B310,BASE!$L:$L,$G310,BASE!$J:$J,$C310,BASE!$A:$A,K$2)</f>
        <v>2</v>
      </c>
      <c r="L310" s="12">
        <f>SUMIFS(BASE!$G:$G,BASE!$B:$B,$B310,BASE!$L:$L,$G310,BASE!$J:$J,$C310,BASE!$A:$A,L$2)</f>
        <v>0</v>
      </c>
      <c r="M310" s="12">
        <f>SUMIFS(BASE!$G:$G,BASE!$B:$B,$B310,BASE!$L:$L,$G310,BASE!$J:$J,$C310,BASE!$A:$A,M$2)</f>
        <v>0</v>
      </c>
      <c r="N310" s="12">
        <f>SUMIFS(BASE!$G:$G,BASE!$B:$B,$B310,BASE!$L:$L,$G310,BASE!$J:$J,$C310,BASE!$A:$A,N$2)</f>
        <v>0</v>
      </c>
      <c r="O310" s="12">
        <f>SUMIFS(BASE!$G:$G,BASE!$B:$B,$B310,BASE!$L:$L,$G310,BASE!$J:$J,$C310,BASE!$A:$A,O$2)</f>
        <v>0</v>
      </c>
      <c r="P310" s="12">
        <f>SUMIFS(BASE!$G:$G,BASE!$B:$B,$B310,BASE!$L:$L,$G310,BASE!$J:$J,$C310,BASE!$A:$A,P$2)</f>
        <v>0</v>
      </c>
      <c r="Q310" s="12">
        <f>SUMIFS(BASE!$G:$G,BASE!$B:$B,$B310,BASE!$L:$L,$G310,BASE!$J:$J,$C310,BASE!$A:$A,Q$2)</f>
        <v>0</v>
      </c>
      <c r="R310" s="12">
        <f>SUMIFS(BASE!$G:$G,BASE!$B:$B,$B310,BASE!$L:$L,$G310,BASE!$J:$J,$C310,BASE!$A:$A,R$2)</f>
        <v>0</v>
      </c>
      <c r="S310" s="12">
        <f>SUMIFS(BASE!$G:$G,BASE!$B:$B,$B310,BASE!$L:$L,$G310,BASE!$J:$J,$C310,BASE!$A:$A,S$2)</f>
        <v>0</v>
      </c>
      <c r="T310" s="12">
        <f>SUMIFS(BASE!$G:$G,BASE!$B:$B,$B310,BASE!$L:$L,$G310,BASE!$J:$J,$C310,BASE!$A:$A,T$2)</f>
        <v>0</v>
      </c>
      <c r="U310" s="12">
        <f>SUMIFS(BASE!$G:$G,BASE!$B:$B,$B310,BASE!$L:$L,$G310,BASE!$J:$J,$C310,BASE!$A:$A,U$2)</f>
        <v>0</v>
      </c>
      <c r="V310" s="12">
        <f>SUMIFS(BASE!$G:$G,BASE!$B:$B,$B310,BASE!$L:$L,$G310,BASE!$J:$J,$C310,BASE!$A:$A,V$2)</f>
        <v>0</v>
      </c>
      <c r="X310" t="str">
        <f t="shared" si="9"/>
        <v>ZERADO</v>
      </c>
    </row>
    <row r="311" spans="2:24">
      <c r="B311" s="8" t="s">
        <v>825</v>
      </c>
      <c r="C311" s="9" t="s">
        <v>149</v>
      </c>
      <c r="D311" s="9" t="s">
        <v>665</v>
      </c>
      <c r="E311" s="9" t="s">
        <v>666</v>
      </c>
      <c r="F311" s="9" t="s">
        <v>826</v>
      </c>
      <c r="G311" s="9" t="s">
        <v>59</v>
      </c>
      <c r="H311" s="7" t="str">
        <f>IFERROR(IF(_xlfn.XLOOKUP(B311,REPASSE!D:D,REPASSE!D:D)="","Não","Sim"),"Não")</f>
        <v>Não</v>
      </c>
      <c r="I311" s="7" t="str">
        <f>IF(_xlfn.XLOOKUP(B311,'BOOST LIBERADO'!B:B,'BOOST LIBERADO'!B:B,"Não")="Não","Não","Sim")</f>
        <v>Sim</v>
      </c>
      <c r="J311" s="83" t="str">
        <f t="shared" si="8"/>
        <v>Sim</v>
      </c>
      <c r="K311" s="12">
        <f>SUMIFS(BASE!$G:$G,BASE!$B:$B,$B311,BASE!$L:$L,$G311,BASE!$J:$J,$C311,BASE!$A:$A,K$2)</f>
        <v>0</v>
      </c>
      <c r="L311" s="12">
        <f>SUMIFS(BASE!$G:$G,BASE!$B:$B,$B311,BASE!$L:$L,$G311,BASE!$J:$J,$C311,BASE!$A:$A,L$2)</f>
        <v>0</v>
      </c>
      <c r="M311" s="12">
        <f>SUMIFS(BASE!$G:$G,BASE!$B:$B,$B311,BASE!$L:$L,$G311,BASE!$J:$J,$C311,BASE!$A:$A,M$2)</f>
        <v>0</v>
      </c>
      <c r="N311" s="12">
        <f>SUMIFS(BASE!$G:$G,BASE!$B:$B,$B311,BASE!$L:$L,$G311,BASE!$J:$J,$C311,BASE!$A:$A,N$2)</f>
        <v>0</v>
      </c>
      <c r="O311" s="12">
        <f>SUMIFS(BASE!$G:$G,BASE!$B:$B,$B311,BASE!$L:$L,$G311,BASE!$J:$J,$C311,BASE!$A:$A,O$2)</f>
        <v>0</v>
      </c>
      <c r="P311" s="12">
        <f>SUMIFS(BASE!$G:$G,BASE!$B:$B,$B311,BASE!$L:$L,$G311,BASE!$J:$J,$C311,BASE!$A:$A,P$2)</f>
        <v>0</v>
      </c>
      <c r="Q311" s="12">
        <f>SUMIFS(BASE!$G:$G,BASE!$B:$B,$B311,BASE!$L:$L,$G311,BASE!$J:$J,$C311,BASE!$A:$A,Q$2)</f>
        <v>0</v>
      </c>
      <c r="R311" s="12">
        <f>SUMIFS(BASE!$G:$G,BASE!$B:$B,$B311,BASE!$L:$L,$G311,BASE!$J:$J,$C311,BASE!$A:$A,R$2)</f>
        <v>0</v>
      </c>
      <c r="S311" s="12">
        <f>SUMIFS(BASE!$G:$G,BASE!$B:$B,$B311,BASE!$L:$L,$G311,BASE!$J:$J,$C311,BASE!$A:$A,S$2)</f>
        <v>0</v>
      </c>
      <c r="T311" s="12">
        <f>SUMIFS(BASE!$G:$G,BASE!$B:$B,$B311,BASE!$L:$L,$G311,BASE!$J:$J,$C311,BASE!$A:$A,T$2)</f>
        <v>0</v>
      </c>
      <c r="U311" s="12">
        <f>SUMIFS(BASE!$G:$G,BASE!$B:$B,$B311,BASE!$L:$L,$G311,BASE!$J:$J,$C311,BASE!$A:$A,U$2)</f>
        <v>0</v>
      </c>
      <c r="V311" s="12">
        <f>SUMIFS(BASE!$G:$G,BASE!$B:$B,$B311,BASE!$L:$L,$G311,BASE!$J:$J,$C311,BASE!$A:$A,V$2)</f>
        <v>0</v>
      </c>
      <c r="X311" t="str">
        <f t="shared" si="9"/>
        <v>ZERADO</v>
      </c>
    </row>
    <row r="312" spans="2:24">
      <c r="B312" s="8" t="s">
        <v>827</v>
      </c>
      <c r="C312" s="9" t="s">
        <v>239</v>
      </c>
      <c r="D312" s="9" t="s">
        <v>819</v>
      </c>
      <c r="E312" s="9" t="s">
        <v>666</v>
      </c>
      <c r="F312" s="9" t="s">
        <v>820</v>
      </c>
      <c r="G312" s="9" t="s">
        <v>59</v>
      </c>
      <c r="H312" s="7" t="str">
        <f>IFERROR(IF(_xlfn.XLOOKUP(B312,REPASSE!D:D,REPASSE!D:D)="","Não","Sim"),"Não")</f>
        <v>Não</v>
      </c>
      <c r="I312" s="7" t="str">
        <f>IF(_xlfn.XLOOKUP(B312,'BOOST LIBERADO'!B:B,'BOOST LIBERADO'!B:B,"Não")="Não","Não","Sim")</f>
        <v>Sim</v>
      </c>
      <c r="J312" s="83" t="str">
        <f t="shared" si="8"/>
        <v>Sim</v>
      </c>
      <c r="K312" s="12">
        <f>SUMIFS(BASE!$G:$G,BASE!$B:$B,$B312,BASE!$L:$L,$G312,BASE!$J:$J,$C312,BASE!$A:$A,K$2)</f>
        <v>3</v>
      </c>
      <c r="L312" s="12">
        <f>SUMIFS(BASE!$G:$G,BASE!$B:$B,$B312,BASE!$L:$L,$G312,BASE!$J:$J,$C312,BASE!$A:$A,L$2)</f>
        <v>5</v>
      </c>
      <c r="M312" s="12">
        <f>SUMIFS(BASE!$G:$G,BASE!$B:$B,$B312,BASE!$L:$L,$G312,BASE!$J:$J,$C312,BASE!$A:$A,M$2)</f>
        <v>5</v>
      </c>
      <c r="N312" s="12">
        <f>SUMIFS(BASE!$G:$G,BASE!$B:$B,$B312,BASE!$L:$L,$G312,BASE!$J:$J,$C312,BASE!$A:$A,N$2)</f>
        <v>2</v>
      </c>
      <c r="O312" s="12">
        <f>SUMIFS(BASE!$G:$G,BASE!$B:$B,$B312,BASE!$L:$L,$G312,BASE!$J:$J,$C312,BASE!$A:$A,O$2)</f>
        <v>1</v>
      </c>
      <c r="P312" s="12">
        <f>SUMIFS(BASE!$G:$G,BASE!$B:$B,$B312,BASE!$L:$L,$G312,BASE!$J:$J,$C312,BASE!$A:$A,P$2)</f>
        <v>2</v>
      </c>
      <c r="Q312" s="12">
        <f>SUMIFS(BASE!$G:$G,BASE!$B:$B,$B312,BASE!$L:$L,$G312,BASE!$J:$J,$C312,BASE!$A:$A,Q$2)</f>
        <v>14</v>
      </c>
      <c r="R312" s="12">
        <f>SUMIFS(BASE!$G:$G,BASE!$B:$B,$B312,BASE!$L:$L,$G312,BASE!$J:$J,$C312,BASE!$A:$A,R$2)</f>
        <v>10</v>
      </c>
      <c r="S312" s="12">
        <f>SUMIFS(BASE!$G:$G,BASE!$B:$B,$B312,BASE!$L:$L,$G312,BASE!$J:$J,$C312,BASE!$A:$A,S$2)</f>
        <v>0</v>
      </c>
      <c r="T312" s="12">
        <f>SUMIFS(BASE!$G:$G,BASE!$B:$B,$B312,BASE!$L:$L,$G312,BASE!$J:$J,$C312,BASE!$A:$A,T$2)</f>
        <v>0</v>
      </c>
      <c r="U312" s="12">
        <f>SUMIFS(BASE!$G:$G,BASE!$B:$B,$B312,BASE!$L:$L,$G312,BASE!$J:$J,$C312,BASE!$A:$A,U$2)</f>
        <v>0</v>
      </c>
      <c r="V312" s="12">
        <f>SUMIFS(BASE!$G:$G,BASE!$B:$B,$B312,BASE!$L:$L,$G312,BASE!$J:$J,$C312,BASE!$A:$A,V$2)</f>
        <v>0</v>
      </c>
      <c r="X312" t="str">
        <f t="shared" si="9"/>
        <v>COM TROCAS</v>
      </c>
    </row>
    <row r="313" spans="2:24">
      <c r="B313" s="8" t="s">
        <v>828</v>
      </c>
      <c r="C313" s="9" t="s">
        <v>161</v>
      </c>
      <c r="D313" s="9" t="s">
        <v>665</v>
      </c>
      <c r="E313" s="9" t="s">
        <v>666</v>
      </c>
      <c r="F313" s="9" t="s">
        <v>826</v>
      </c>
      <c r="G313" s="9" t="s">
        <v>59</v>
      </c>
      <c r="H313" s="7" t="str">
        <f>IFERROR(IF(_xlfn.XLOOKUP(B313,REPASSE!D:D,REPASSE!D:D)="","Não","Sim"),"Não")</f>
        <v>Não</v>
      </c>
      <c r="I313" s="7" t="str">
        <f>IF(_xlfn.XLOOKUP(B313,'BOOST LIBERADO'!B:B,'BOOST LIBERADO'!B:B,"Não")="Não","Não","Sim")</f>
        <v>Sim</v>
      </c>
      <c r="J313" s="83" t="str">
        <f t="shared" si="8"/>
        <v>Sim</v>
      </c>
      <c r="K313" s="12">
        <f>SUMIFS(BASE!$G:$G,BASE!$B:$B,$B313,BASE!$L:$L,$G313,BASE!$J:$J,$C313,BASE!$A:$A,K$2)</f>
        <v>0</v>
      </c>
      <c r="L313" s="12">
        <f>SUMIFS(BASE!$G:$G,BASE!$B:$B,$B313,BASE!$L:$L,$G313,BASE!$J:$J,$C313,BASE!$A:$A,L$2)</f>
        <v>0</v>
      </c>
      <c r="M313" s="12">
        <f>SUMIFS(BASE!$G:$G,BASE!$B:$B,$B313,BASE!$L:$L,$G313,BASE!$J:$J,$C313,BASE!$A:$A,M$2)</f>
        <v>0</v>
      </c>
      <c r="N313" s="12">
        <f>SUMIFS(BASE!$G:$G,BASE!$B:$B,$B313,BASE!$L:$L,$G313,BASE!$J:$J,$C313,BASE!$A:$A,N$2)</f>
        <v>0</v>
      </c>
      <c r="O313" s="12">
        <f>SUMIFS(BASE!$G:$G,BASE!$B:$B,$B313,BASE!$L:$L,$G313,BASE!$J:$J,$C313,BASE!$A:$A,O$2)</f>
        <v>0</v>
      </c>
      <c r="P313" s="12">
        <f>SUMIFS(BASE!$G:$G,BASE!$B:$B,$B313,BASE!$L:$L,$G313,BASE!$J:$J,$C313,BASE!$A:$A,P$2)</f>
        <v>0</v>
      </c>
      <c r="Q313" s="12">
        <f>SUMIFS(BASE!$G:$G,BASE!$B:$B,$B313,BASE!$L:$L,$G313,BASE!$J:$J,$C313,BASE!$A:$A,Q$2)</f>
        <v>0</v>
      </c>
      <c r="R313" s="12">
        <f>SUMIFS(BASE!$G:$G,BASE!$B:$B,$B313,BASE!$L:$L,$G313,BASE!$J:$J,$C313,BASE!$A:$A,R$2)</f>
        <v>0</v>
      </c>
      <c r="S313" s="12">
        <f>SUMIFS(BASE!$G:$G,BASE!$B:$B,$B313,BASE!$L:$L,$G313,BASE!$J:$J,$C313,BASE!$A:$A,S$2)</f>
        <v>0</v>
      </c>
      <c r="T313" s="12">
        <f>SUMIFS(BASE!$G:$G,BASE!$B:$B,$B313,BASE!$L:$L,$G313,BASE!$J:$J,$C313,BASE!$A:$A,T$2)</f>
        <v>0</v>
      </c>
      <c r="U313" s="12">
        <f>SUMIFS(BASE!$G:$G,BASE!$B:$B,$B313,BASE!$L:$L,$G313,BASE!$J:$J,$C313,BASE!$A:$A,U$2)</f>
        <v>0</v>
      </c>
      <c r="V313" s="12">
        <f>SUMIFS(BASE!$G:$G,BASE!$B:$B,$B313,BASE!$L:$L,$G313,BASE!$J:$J,$C313,BASE!$A:$A,V$2)</f>
        <v>0</v>
      </c>
      <c r="X313" t="str">
        <f t="shared" si="9"/>
        <v>ZERADO</v>
      </c>
    </row>
    <row r="314" spans="2:24">
      <c r="B314" s="8" t="s">
        <v>829</v>
      </c>
      <c r="C314" s="9" t="s">
        <v>239</v>
      </c>
      <c r="D314" s="9" t="s">
        <v>830</v>
      </c>
      <c r="E314" s="9" t="s">
        <v>666</v>
      </c>
      <c r="F314" s="9" t="s">
        <v>820</v>
      </c>
      <c r="G314" s="9" t="s">
        <v>59</v>
      </c>
      <c r="H314" s="7" t="str">
        <f>IFERROR(IF(_xlfn.XLOOKUP(B314,REPASSE!D:D,REPASSE!D:D)="","Não","Sim"),"Não")</f>
        <v>Não</v>
      </c>
      <c r="I314" s="7" t="str">
        <f>IF(_xlfn.XLOOKUP(B314,'BOOST LIBERADO'!B:B,'BOOST LIBERADO'!B:B,"Não")="Não","Não","Sim")</f>
        <v>Sim</v>
      </c>
      <c r="J314" s="83" t="str">
        <f t="shared" si="8"/>
        <v>Sim</v>
      </c>
      <c r="K314" s="12">
        <f>SUMIFS(BASE!$G:$G,BASE!$B:$B,$B314,BASE!$L:$L,$G314,BASE!$J:$J,$C314,BASE!$A:$A,K$2)</f>
        <v>2</v>
      </c>
      <c r="L314" s="12">
        <f>SUMIFS(BASE!$G:$G,BASE!$B:$B,$B314,BASE!$L:$L,$G314,BASE!$J:$J,$C314,BASE!$A:$A,L$2)</f>
        <v>0</v>
      </c>
      <c r="M314" s="12">
        <f>SUMIFS(BASE!$G:$G,BASE!$B:$B,$B314,BASE!$L:$L,$G314,BASE!$J:$J,$C314,BASE!$A:$A,M$2)</f>
        <v>1</v>
      </c>
      <c r="N314" s="12">
        <f>SUMIFS(BASE!$G:$G,BASE!$B:$B,$B314,BASE!$L:$L,$G314,BASE!$J:$J,$C314,BASE!$A:$A,N$2)</f>
        <v>0</v>
      </c>
      <c r="O314" s="12">
        <f>SUMIFS(BASE!$G:$G,BASE!$B:$B,$B314,BASE!$L:$L,$G314,BASE!$J:$J,$C314,BASE!$A:$A,O$2)</f>
        <v>0</v>
      </c>
      <c r="P314" s="12">
        <f>SUMIFS(BASE!$G:$G,BASE!$B:$B,$B314,BASE!$L:$L,$G314,BASE!$J:$J,$C314,BASE!$A:$A,P$2)</f>
        <v>1</v>
      </c>
      <c r="Q314" s="12">
        <f>SUMIFS(BASE!$G:$G,BASE!$B:$B,$B314,BASE!$L:$L,$G314,BASE!$J:$J,$C314,BASE!$A:$A,Q$2)</f>
        <v>3</v>
      </c>
      <c r="R314" s="12">
        <f>SUMIFS(BASE!$G:$G,BASE!$B:$B,$B314,BASE!$L:$L,$G314,BASE!$J:$J,$C314,BASE!$A:$A,R$2)</f>
        <v>2</v>
      </c>
      <c r="S314" s="12">
        <f>SUMIFS(BASE!$G:$G,BASE!$B:$B,$B314,BASE!$L:$L,$G314,BASE!$J:$J,$C314,BASE!$A:$A,S$2)</f>
        <v>0</v>
      </c>
      <c r="T314" s="12">
        <f>SUMIFS(BASE!$G:$G,BASE!$B:$B,$B314,BASE!$L:$L,$G314,BASE!$J:$J,$C314,BASE!$A:$A,T$2)</f>
        <v>0</v>
      </c>
      <c r="U314" s="12">
        <f>SUMIFS(BASE!$G:$G,BASE!$B:$B,$B314,BASE!$L:$L,$G314,BASE!$J:$J,$C314,BASE!$A:$A,U$2)</f>
        <v>0</v>
      </c>
      <c r="V314" s="12">
        <f>SUMIFS(BASE!$G:$G,BASE!$B:$B,$B314,BASE!$L:$L,$G314,BASE!$J:$J,$C314,BASE!$A:$A,V$2)</f>
        <v>0</v>
      </c>
      <c r="X314" t="str">
        <f t="shared" si="9"/>
        <v>COM TROCAS</v>
      </c>
    </row>
    <row r="315" spans="2:24">
      <c r="B315" s="8" t="s">
        <v>831</v>
      </c>
      <c r="C315" s="8" t="s">
        <v>239</v>
      </c>
      <c r="D315" s="8" t="s">
        <v>812</v>
      </c>
      <c r="E315" s="8" t="s">
        <v>666</v>
      </c>
      <c r="F315" s="8" t="s">
        <v>820</v>
      </c>
      <c r="G315" s="8" t="s">
        <v>59</v>
      </c>
      <c r="H315" s="7" t="str">
        <f>IFERROR(IF(_xlfn.XLOOKUP(B315,REPASSE!D:D,REPASSE!D:D)="","Não","Sim"),"Não")</f>
        <v>Não</v>
      </c>
      <c r="I315" s="7" t="str">
        <f>IF(_xlfn.XLOOKUP(B315,'BOOST LIBERADO'!B:B,'BOOST LIBERADO'!B:B,"Não")="Não","Não","Sim")</f>
        <v>Sim</v>
      </c>
      <c r="J315" s="83" t="str">
        <f t="shared" si="8"/>
        <v>Sim</v>
      </c>
      <c r="K315" s="12">
        <f>SUMIFS(BASE!$G:$G,BASE!$B:$B,$B315,BASE!$L:$L,$G315,BASE!$J:$J,$C315,BASE!$A:$A,K$2)</f>
        <v>16</v>
      </c>
      <c r="L315" s="12">
        <f>SUMIFS(BASE!$G:$G,BASE!$B:$B,$B315,BASE!$L:$L,$G315,BASE!$J:$J,$C315,BASE!$A:$A,L$2)</f>
        <v>12</v>
      </c>
      <c r="M315" s="12">
        <f>SUMIFS(BASE!$G:$G,BASE!$B:$B,$B315,BASE!$L:$L,$G315,BASE!$J:$J,$C315,BASE!$A:$A,M$2)</f>
        <v>55</v>
      </c>
      <c r="N315" s="12">
        <f>SUMIFS(BASE!$G:$G,BASE!$B:$B,$B315,BASE!$L:$L,$G315,BASE!$J:$J,$C315,BASE!$A:$A,N$2)</f>
        <v>22</v>
      </c>
      <c r="O315" s="12">
        <f>SUMIFS(BASE!$G:$G,BASE!$B:$B,$B315,BASE!$L:$L,$G315,BASE!$J:$J,$C315,BASE!$A:$A,O$2)</f>
        <v>35</v>
      </c>
      <c r="P315" s="12">
        <f>SUMIFS(BASE!$G:$G,BASE!$B:$B,$B315,BASE!$L:$L,$G315,BASE!$J:$J,$C315,BASE!$A:$A,P$2)</f>
        <v>11</v>
      </c>
      <c r="Q315" s="12">
        <f>SUMIFS(BASE!$G:$G,BASE!$B:$B,$B315,BASE!$L:$L,$G315,BASE!$J:$J,$C315,BASE!$A:$A,Q$2)</f>
        <v>15</v>
      </c>
      <c r="R315" s="12">
        <f>SUMIFS(BASE!$G:$G,BASE!$B:$B,$B315,BASE!$L:$L,$G315,BASE!$J:$J,$C315,BASE!$A:$A,R$2)</f>
        <v>11</v>
      </c>
      <c r="S315" s="12">
        <f>SUMIFS(BASE!$G:$G,BASE!$B:$B,$B315,BASE!$L:$L,$G315,BASE!$J:$J,$C315,BASE!$A:$A,S$2)</f>
        <v>0</v>
      </c>
      <c r="T315" s="12">
        <f>SUMIFS(BASE!$G:$G,BASE!$B:$B,$B315,BASE!$L:$L,$G315,BASE!$J:$J,$C315,BASE!$A:$A,T$2)</f>
        <v>0</v>
      </c>
      <c r="U315" s="12">
        <f>SUMIFS(BASE!$G:$G,BASE!$B:$B,$B315,BASE!$L:$L,$G315,BASE!$J:$J,$C315,BASE!$A:$A,U$2)</f>
        <v>0</v>
      </c>
      <c r="V315" s="12">
        <f>SUMIFS(BASE!$G:$G,BASE!$B:$B,$B315,BASE!$L:$L,$G315,BASE!$J:$J,$C315,BASE!$A:$A,V$2)</f>
        <v>0</v>
      </c>
      <c r="X315" t="str">
        <f t="shared" si="9"/>
        <v>COM TROCAS</v>
      </c>
    </row>
    <row r="316" spans="2:24">
      <c r="B316" s="8" t="s">
        <v>832</v>
      </c>
      <c r="C316" s="9" t="s">
        <v>239</v>
      </c>
      <c r="D316" s="9" t="s">
        <v>830</v>
      </c>
      <c r="E316" s="9" t="s">
        <v>666</v>
      </c>
      <c r="F316" s="9" t="s">
        <v>833</v>
      </c>
      <c r="G316" s="9" t="s">
        <v>59</v>
      </c>
      <c r="H316" s="7" t="str">
        <f>IFERROR(IF(_xlfn.XLOOKUP(B316,REPASSE!D:D,REPASSE!D:D)="","Não","Sim"),"Não")</f>
        <v>Não</v>
      </c>
      <c r="I316" s="7" t="str">
        <f>IF(_xlfn.XLOOKUP(B316,'BOOST LIBERADO'!B:B,'BOOST LIBERADO'!B:B,"Não")="Não","Não","Sim")</f>
        <v>Sim</v>
      </c>
      <c r="J316" s="83" t="str">
        <f t="shared" si="8"/>
        <v>Sim</v>
      </c>
      <c r="K316" s="12">
        <f>SUMIFS(BASE!$G:$G,BASE!$B:$B,$B316,BASE!$L:$L,$G316,BASE!$J:$J,$C316,BASE!$A:$A,K$2)</f>
        <v>2</v>
      </c>
      <c r="L316" s="12">
        <f>SUMIFS(BASE!$G:$G,BASE!$B:$B,$B316,BASE!$L:$L,$G316,BASE!$J:$J,$C316,BASE!$A:$A,L$2)</f>
        <v>0</v>
      </c>
      <c r="M316" s="12">
        <f>SUMIFS(BASE!$G:$G,BASE!$B:$B,$B316,BASE!$L:$L,$G316,BASE!$J:$J,$C316,BASE!$A:$A,M$2)</f>
        <v>0</v>
      </c>
      <c r="N316" s="12">
        <f>SUMIFS(BASE!$G:$G,BASE!$B:$B,$B316,BASE!$L:$L,$G316,BASE!$J:$J,$C316,BASE!$A:$A,N$2)</f>
        <v>1</v>
      </c>
      <c r="O316" s="12">
        <f>SUMIFS(BASE!$G:$G,BASE!$B:$B,$B316,BASE!$L:$L,$G316,BASE!$J:$J,$C316,BASE!$A:$A,O$2)</f>
        <v>0</v>
      </c>
      <c r="P316" s="12">
        <f>SUMIFS(BASE!$G:$G,BASE!$B:$B,$B316,BASE!$L:$L,$G316,BASE!$J:$J,$C316,BASE!$A:$A,P$2)</f>
        <v>0</v>
      </c>
      <c r="Q316" s="12">
        <f>SUMIFS(BASE!$G:$G,BASE!$B:$B,$B316,BASE!$L:$L,$G316,BASE!$J:$J,$C316,BASE!$A:$A,Q$2)</f>
        <v>1</v>
      </c>
      <c r="R316" s="12">
        <f>SUMIFS(BASE!$G:$G,BASE!$B:$B,$B316,BASE!$L:$L,$G316,BASE!$J:$J,$C316,BASE!$A:$A,R$2)</f>
        <v>0</v>
      </c>
      <c r="S316" s="12">
        <f>SUMIFS(BASE!$G:$G,BASE!$B:$B,$B316,BASE!$L:$L,$G316,BASE!$J:$J,$C316,BASE!$A:$A,S$2)</f>
        <v>0</v>
      </c>
      <c r="T316" s="12">
        <f>SUMIFS(BASE!$G:$G,BASE!$B:$B,$B316,BASE!$L:$L,$G316,BASE!$J:$J,$C316,BASE!$A:$A,T$2)</f>
        <v>0</v>
      </c>
      <c r="U316" s="12">
        <f>SUMIFS(BASE!$G:$G,BASE!$B:$B,$B316,BASE!$L:$L,$G316,BASE!$J:$J,$C316,BASE!$A:$A,U$2)</f>
        <v>0</v>
      </c>
      <c r="V316" s="12">
        <f>SUMIFS(BASE!$G:$G,BASE!$B:$B,$B316,BASE!$L:$L,$G316,BASE!$J:$J,$C316,BASE!$A:$A,V$2)</f>
        <v>0</v>
      </c>
      <c r="X316" t="str">
        <f t="shared" si="9"/>
        <v>ZERADO</v>
      </c>
    </row>
    <row r="317" spans="2:24">
      <c r="B317" s="8" t="s">
        <v>834</v>
      </c>
      <c r="C317" s="9" t="s">
        <v>92</v>
      </c>
      <c r="D317" s="9" t="s">
        <v>830</v>
      </c>
      <c r="E317" s="9" t="s">
        <v>666</v>
      </c>
      <c r="F317" s="9" t="s">
        <v>835</v>
      </c>
      <c r="G317" s="9" t="s">
        <v>59</v>
      </c>
      <c r="H317" s="7" t="str">
        <f>IFERROR(IF(_xlfn.XLOOKUP(B317,REPASSE!D:D,REPASSE!D:D)="","Não","Sim"),"Não")</f>
        <v>Não</v>
      </c>
      <c r="I317" s="7" t="str">
        <f>IF(_xlfn.XLOOKUP(B317,'BOOST LIBERADO'!B:B,'BOOST LIBERADO'!B:B,"Não")="Não","Não","Sim")</f>
        <v>Sim</v>
      </c>
      <c r="J317" s="83" t="str">
        <f t="shared" si="8"/>
        <v>Sim</v>
      </c>
      <c r="K317" s="12">
        <f>SUMIFS(BASE!$G:$G,BASE!$B:$B,$B317,BASE!$L:$L,$G317,BASE!$J:$J,$C317,BASE!$A:$A,K$2)</f>
        <v>0</v>
      </c>
      <c r="L317" s="12">
        <f>SUMIFS(BASE!$G:$G,BASE!$B:$B,$B317,BASE!$L:$L,$G317,BASE!$J:$J,$C317,BASE!$A:$A,L$2)</f>
        <v>0</v>
      </c>
      <c r="M317" s="12">
        <f>SUMIFS(BASE!$G:$G,BASE!$B:$B,$B317,BASE!$L:$L,$G317,BASE!$J:$J,$C317,BASE!$A:$A,M$2)</f>
        <v>0</v>
      </c>
      <c r="N317" s="12">
        <f>SUMIFS(BASE!$G:$G,BASE!$B:$B,$B317,BASE!$L:$L,$G317,BASE!$J:$J,$C317,BASE!$A:$A,N$2)</f>
        <v>0</v>
      </c>
      <c r="O317" s="12">
        <f>SUMIFS(BASE!$G:$G,BASE!$B:$B,$B317,BASE!$L:$L,$G317,BASE!$J:$J,$C317,BASE!$A:$A,O$2)</f>
        <v>0</v>
      </c>
      <c r="P317" s="12">
        <f>SUMIFS(BASE!$G:$G,BASE!$B:$B,$B317,BASE!$L:$L,$G317,BASE!$J:$J,$C317,BASE!$A:$A,P$2)</f>
        <v>0</v>
      </c>
      <c r="Q317" s="12">
        <f>SUMIFS(BASE!$G:$G,BASE!$B:$B,$B317,BASE!$L:$L,$G317,BASE!$J:$J,$C317,BASE!$A:$A,Q$2)</f>
        <v>0</v>
      </c>
      <c r="R317" s="12">
        <f>SUMIFS(BASE!$G:$G,BASE!$B:$B,$B317,BASE!$L:$L,$G317,BASE!$J:$J,$C317,BASE!$A:$A,R$2)</f>
        <v>0</v>
      </c>
      <c r="S317" s="12">
        <f>SUMIFS(BASE!$G:$G,BASE!$B:$B,$B317,BASE!$L:$L,$G317,BASE!$J:$J,$C317,BASE!$A:$A,S$2)</f>
        <v>0</v>
      </c>
      <c r="T317" s="12">
        <f>SUMIFS(BASE!$G:$G,BASE!$B:$B,$B317,BASE!$L:$L,$G317,BASE!$J:$J,$C317,BASE!$A:$A,T$2)</f>
        <v>0</v>
      </c>
      <c r="U317" s="12">
        <f>SUMIFS(BASE!$G:$G,BASE!$B:$B,$B317,BASE!$L:$L,$G317,BASE!$J:$J,$C317,BASE!$A:$A,U$2)</f>
        <v>0</v>
      </c>
      <c r="V317" s="12">
        <f>SUMIFS(BASE!$G:$G,BASE!$B:$B,$B317,BASE!$L:$L,$G317,BASE!$J:$J,$C317,BASE!$A:$A,V$2)</f>
        <v>0</v>
      </c>
      <c r="X317" t="str">
        <f t="shared" si="9"/>
        <v>ZERADO</v>
      </c>
    </row>
    <row r="318" spans="2:24">
      <c r="B318" s="8" t="s">
        <v>836</v>
      </c>
      <c r="C318" s="9" t="s">
        <v>231</v>
      </c>
      <c r="D318" s="9" t="s">
        <v>819</v>
      </c>
      <c r="E318" s="9" t="s">
        <v>666</v>
      </c>
      <c r="F318" s="9" t="s">
        <v>837</v>
      </c>
      <c r="G318" s="9" t="s">
        <v>59</v>
      </c>
      <c r="H318" s="7" t="str">
        <f>IFERROR(IF(_xlfn.XLOOKUP(B318,REPASSE!D:D,REPASSE!D:D)="","Não","Sim"),"Não")</f>
        <v>Não</v>
      </c>
      <c r="I318" s="7" t="str">
        <f>IF(_xlfn.XLOOKUP(B318,'BOOST LIBERADO'!B:B,'BOOST LIBERADO'!B:B,"Não")="Não","Não","Sim")</f>
        <v>Sim</v>
      </c>
      <c r="J318" s="83" t="str">
        <f t="shared" si="8"/>
        <v>Sim</v>
      </c>
      <c r="K318" s="12">
        <f>SUMIFS(BASE!$G:$G,BASE!$B:$B,$B318,BASE!$L:$L,$G318,BASE!$J:$J,$C318,BASE!$A:$A,K$2)</f>
        <v>0</v>
      </c>
      <c r="L318" s="12">
        <f>SUMIFS(BASE!$G:$G,BASE!$B:$B,$B318,BASE!$L:$L,$G318,BASE!$J:$J,$C318,BASE!$A:$A,L$2)</f>
        <v>0</v>
      </c>
      <c r="M318" s="12">
        <f>SUMIFS(BASE!$G:$G,BASE!$B:$B,$B318,BASE!$L:$L,$G318,BASE!$J:$J,$C318,BASE!$A:$A,M$2)</f>
        <v>0</v>
      </c>
      <c r="N318" s="12">
        <f>SUMIFS(BASE!$G:$G,BASE!$B:$B,$B318,BASE!$L:$L,$G318,BASE!$J:$J,$C318,BASE!$A:$A,N$2)</f>
        <v>0</v>
      </c>
      <c r="O318" s="12">
        <f>SUMIFS(BASE!$G:$G,BASE!$B:$B,$B318,BASE!$L:$L,$G318,BASE!$J:$J,$C318,BASE!$A:$A,O$2)</f>
        <v>0</v>
      </c>
      <c r="P318" s="12">
        <f>SUMIFS(BASE!$G:$G,BASE!$B:$B,$B318,BASE!$L:$L,$G318,BASE!$J:$J,$C318,BASE!$A:$A,P$2)</f>
        <v>0</v>
      </c>
      <c r="Q318" s="12">
        <f>SUMIFS(BASE!$G:$G,BASE!$B:$B,$B318,BASE!$L:$L,$G318,BASE!$J:$J,$C318,BASE!$A:$A,Q$2)</f>
        <v>0</v>
      </c>
      <c r="R318" s="12">
        <f>SUMIFS(BASE!$G:$G,BASE!$B:$B,$B318,BASE!$L:$L,$G318,BASE!$J:$J,$C318,BASE!$A:$A,R$2)</f>
        <v>0</v>
      </c>
      <c r="S318" s="12">
        <f>SUMIFS(BASE!$G:$G,BASE!$B:$B,$B318,BASE!$L:$L,$G318,BASE!$J:$J,$C318,BASE!$A:$A,S$2)</f>
        <v>0</v>
      </c>
      <c r="T318" s="12">
        <f>SUMIFS(BASE!$G:$G,BASE!$B:$B,$B318,BASE!$L:$L,$G318,BASE!$J:$J,$C318,BASE!$A:$A,T$2)</f>
        <v>0</v>
      </c>
      <c r="U318" s="12">
        <f>SUMIFS(BASE!$G:$G,BASE!$B:$B,$B318,BASE!$L:$L,$G318,BASE!$J:$J,$C318,BASE!$A:$A,U$2)</f>
        <v>0</v>
      </c>
      <c r="V318" s="12">
        <f>SUMIFS(BASE!$G:$G,BASE!$B:$B,$B318,BASE!$L:$L,$G318,BASE!$J:$J,$C318,BASE!$A:$A,V$2)</f>
        <v>0</v>
      </c>
      <c r="X318" t="str">
        <f t="shared" si="9"/>
        <v>ZERADO</v>
      </c>
    </row>
    <row r="319" spans="2:24">
      <c r="B319" s="8" t="s">
        <v>838</v>
      </c>
      <c r="C319" s="9" t="s">
        <v>221</v>
      </c>
      <c r="D319" s="9" t="s">
        <v>812</v>
      </c>
      <c r="E319" s="9" t="s">
        <v>666</v>
      </c>
      <c r="F319" s="9" t="s">
        <v>837</v>
      </c>
      <c r="G319" s="9" t="s">
        <v>59</v>
      </c>
      <c r="H319" s="7" t="str">
        <f>IFERROR(IF(_xlfn.XLOOKUP(B319,REPASSE!D:D,REPASSE!D:D)="","Não","Sim"),"Não")</f>
        <v>Não</v>
      </c>
      <c r="I319" s="7" t="str">
        <f>IF(_xlfn.XLOOKUP(B319,'BOOST LIBERADO'!B:B,'BOOST LIBERADO'!B:B,"Não")="Não","Não","Sim")</f>
        <v>Sim</v>
      </c>
      <c r="J319" s="83" t="str">
        <f t="shared" si="8"/>
        <v>Sim</v>
      </c>
      <c r="K319" s="12">
        <f>SUMIFS(BASE!$G:$G,BASE!$B:$B,$B319,BASE!$L:$L,$G319,BASE!$J:$J,$C319,BASE!$A:$A,K$2)</f>
        <v>0</v>
      </c>
      <c r="L319" s="12">
        <f>SUMIFS(BASE!$G:$G,BASE!$B:$B,$B319,BASE!$L:$L,$G319,BASE!$J:$J,$C319,BASE!$A:$A,L$2)</f>
        <v>0</v>
      </c>
      <c r="M319" s="12">
        <f>SUMIFS(BASE!$G:$G,BASE!$B:$B,$B319,BASE!$L:$L,$G319,BASE!$J:$J,$C319,BASE!$A:$A,M$2)</f>
        <v>0</v>
      </c>
      <c r="N319" s="12">
        <f>SUMIFS(BASE!$G:$G,BASE!$B:$B,$B319,BASE!$L:$L,$G319,BASE!$J:$J,$C319,BASE!$A:$A,N$2)</f>
        <v>0</v>
      </c>
      <c r="O319" s="12">
        <f>SUMIFS(BASE!$G:$G,BASE!$B:$B,$B319,BASE!$L:$L,$G319,BASE!$J:$J,$C319,BASE!$A:$A,O$2)</f>
        <v>0</v>
      </c>
      <c r="P319" s="12">
        <f>SUMIFS(BASE!$G:$G,BASE!$B:$B,$B319,BASE!$L:$L,$G319,BASE!$J:$J,$C319,BASE!$A:$A,P$2)</f>
        <v>0</v>
      </c>
      <c r="Q319" s="12">
        <f>SUMIFS(BASE!$G:$G,BASE!$B:$B,$B319,BASE!$L:$L,$G319,BASE!$J:$J,$C319,BASE!$A:$A,Q$2)</f>
        <v>0</v>
      </c>
      <c r="R319" s="12">
        <f>SUMIFS(BASE!$G:$G,BASE!$B:$B,$B319,BASE!$L:$L,$G319,BASE!$J:$J,$C319,BASE!$A:$A,R$2)</f>
        <v>0</v>
      </c>
      <c r="S319" s="12">
        <f>SUMIFS(BASE!$G:$G,BASE!$B:$B,$B319,BASE!$L:$L,$G319,BASE!$J:$J,$C319,BASE!$A:$A,S$2)</f>
        <v>0</v>
      </c>
      <c r="T319" s="12">
        <f>SUMIFS(BASE!$G:$G,BASE!$B:$B,$B319,BASE!$L:$L,$G319,BASE!$J:$J,$C319,BASE!$A:$A,T$2)</f>
        <v>0</v>
      </c>
      <c r="U319" s="12">
        <f>SUMIFS(BASE!$G:$G,BASE!$B:$B,$B319,BASE!$L:$L,$G319,BASE!$J:$J,$C319,BASE!$A:$A,U$2)</f>
        <v>0</v>
      </c>
      <c r="V319" s="12">
        <f>SUMIFS(BASE!$G:$G,BASE!$B:$B,$B319,BASE!$L:$L,$G319,BASE!$J:$J,$C319,BASE!$A:$A,V$2)</f>
        <v>0</v>
      </c>
      <c r="X319" t="str">
        <f t="shared" si="9"/>
        <v>ZERADO</v>
      </c>
    </row>
    <row r="320" spans="2:24">
      <c r="B320" s="8" t="s">
        <v>839</v>
      </c>
      <c r="C320" s="9" t="s">
        <v>168</v>
      </c>
      <c r="D320" s="9" t="s">
        <v>812</v>
      </c>
      <c r="E320" s="9" t="s">
        <v>666</v>
      </c>
      <c r="F320" s="9" t="s">
        <v>837</v>
      </c>
      <c r="G320" s="9" t="s">
        <v>59</v>
      </c>
      <c r="H320" s="7" t="str">
        <f>IFERROR(IF(_xlfn.XLOOKUP(B320,REPASSE!D:D,REPASSE!D:D)="","Não","Sim"),"Não")</f>
        <v>Não</v>
      </c>
      <c r="I320" s="7" t="str">
        <f>IF(_xlfn.XLOOKUP(B320,'BOOST LIBERADO'!B:B,'BOOST LIBERADO'!B:B,"Não")="Não","Não","Sim")</f>
        <v>Não</v>
      </c>
      <c r="J320" s="83" t="str">
        <f t="shared" si="8"/>
        <v>Não</v>
      </c>
      <c r="K320" s="12">
        <f>SUMIFS(BASE!$G:$G,BASE!$B:$B,$B320,BASE!$L:$L,$G320,BASE!$J:$J,$C320,BASE!$A:$A,K$2)</f>
        <v>0</v>
      </c>
      <c r="L320" s="12">
        <f>SUMIFS(BASE!$G:$G,BASE!$B:$B,$B320,BASE!$L:$L,$G320,BASE!$J:$J,$C320,BASE!$A:$A,L$2)</f>
        <v>0</v>
      </c>
      <c r="M320" s="12">
        <f>SUMIFS(BASE!$G:$G,BASE!$B:$B,$B320,BASE!$L:$L,$G320,BASE!$J:$J,$C320,BASE!$A:$A,M$2)</f>
        <v>0</v>
      </c>
      <c r="N320" s="12">
        <f>SUMIFS(BASE!$G:$G,BASE!$B:$B,$B320,BASE!$L:$L,$G320,BASE!$J:$J,$C320,BASE!$A:$A,N$2)</f>
        <v>0</v>
      </c>
      <c r="O320" s="12">
        <f>SUMIFS(BASE!$G:$G,BASE!$B:$B,$B320,BASE!$L:$L,$G320,BASE!$J:$J,$C320,BASE!$A:$A,O$2)</f>
        <v>0</v>
      </c>
      <c r="P320" s="12">
        <f>SUMIFS(BASE!$G:$G,BASE!$B:$B,$B320,BASE!$L:$L,$G320,BASE!$J:$J,$C320,BASE!$A:$A,P$2)</f>
        <v>0</v>
      </c>
      <c r="Q320" s="12">
        <f>SUMIFS(BASE!$G:$G,BASE!$B:$B,$B320,BASE!$L:$L,$G320,BASE!$J:$J,$C320,BASE!$A:$A,Q$2)</f>
        <v>0</v>
      </c>
      <c r="R320" s="12">
        <f>SUMIFS(BASE!$G:$G,BASE!$B:$B,$B320,BASE!$L:$L,$G320,BASE!$J:$J,$C320,BASE!$A:$A,R$2)</f>
        <v>0</v>
      </c>
      <c r="S320" s="12">
        <f>SUMIFS(BASE!$G:$G,BASE!$B:$B,$B320,BASE!$L:$L,$G320,BASE!$J:$J,$C320,BASE!$A:$A,S$2)</f>
        <v>0</v>
      </c>
      <c r="T320" s="12">
        <f>SUMIFS(BASE!$G:$G,BASE!$B:$B,$B320,BASE!$L:$L,$G320,BASE!$J:$J,$C320,BASE!$A:$A,T$2)</f>
        <v>0</v>
      </c>
      <c r="U320" s="12">
        <f>SUMIFS(BASE!$G:$G,BASE!$B:$B,$B320,BASE!$L:$L,$G320,BASE!$J:$J,$C320,BASE!$A:$A,U$2)</f>
        <v>0</v>
      </c>
      <c r="V320" s="12">
        <f>SUMIFS(BASE!$G:$G,BASE!$B:$B,$B320,BASE!$L:$L,$G320,BASE!$J:$J,$C320,BASE!$A:$A,V$2)</f>
        <v>0</v>
      </c>
      <c r="X320" t="str">
        <f t="shared" si="9"/>
        <v>ZERADO</v>
      </c>
    </row>
    <row r="321" spans="2:24">
      <c r="B321" s="8" t="s">
        <v>840</v>
      </c>
      <c r="C321" s="9" t="s">
        <v>239</v>
      </c>
      <c r="D321" s="9" t="s">
        <v>819</v>
      </c>
      <c r="E321" s="9" t="s">
        <v>666</v>
      </c>
      <c r="F321" s="9" t="s">
        <v>837</v>
      </c>
      <c r="G321" s="9" t="s">
        <v>59</v>
      </c>
      <c r="H321" s="7" t="str">
        <f>IFERROR(IF(_xlfn.XLOOKUP(B321,REPASSE!D:D,REPASSE!D:D)="","Não","Sim"),"Não")</f>
        <v>Não</v>
      </c>
      <c r="I321" s="7" t="str">
        <f>IF(_xlfn.XLOOKUP(B321,'BOOST LIBERADO'!B:B,'BOOST LIBERADO'!B:B,"Não")="Não","Não","Sim")</f>
        <v>Sim</v>
      </c>
      <c r="J321" s="83" t="str">
        <f t="shared" si="8"/>
        <v>Sim</v>
      </c>
      <c r="K321" s="12">
        <f>SUMIFS(BASE!$G:$G,BASE!$B:$B,$B321,BASE!$L:$L,$G321,BASE!$J:$J,$C321,BASE!$A:$A,K$2)</f>
        <v>1</v>
      </c>
      <c r="L321" s="12">
        <f>SUMIFS(BASE!$G:$G,BASE!$B:$B,$B321,BASE!$L:$L,$G321,BASE!$J:$J,$C321,BASE!$A:$A,L$2)</f>
        <v>0</v>
      </c>
      <c r="M321" s="12">
        <f>SUMIFS(BASE!$G:$G,BASE!$B:$B,$B321,BASE!$L:$L,$G321,BASE!$J:$J,$C321,BASE!$A:$A,M$2)</f>
        <v>1</v>
      </c>
      <c r="N321" s="12">
        <f>SUMIFS(BASE!$G:$G,BASE!$B:$B,$B321,BASE!$L:$L,$G321,BASE!$J:$J,$C321,BASE!$A:$A,N$2)</f>
        <v>0</v>
      </c>
      <c r="O321" s="12">
        <f>SUMIFS(BASE!$G:$G,BASE!$B:$B,$B321,BASE!$L:$L,$G321,BASE!$J:$J,$C321,BASE!$A:$A,O$2)</f>
        <v>2</v>
      </c>
      <c r="P321" s="12">
        <f>SUMIFS(BASE!$G:$G,BASE!$B:$B,$B321,BASE!$L:$L,$G321,BASE!$J:$J,$C321,BASE!$A:$A,P$2)</f>
        <v>3</v>
      </c>
      <c r="Q321" s="12">
        <f>SUMIFS(BASE!$G:$G,BASE!$B:$B,$B321,BASE!$L:$L,$G321,BASE!$J:$J,$C321,BASE!$A:$A,Q$2)</f>
        <v>6</v>
      </c>
      <c r="R321" s="12">
        <f>SUMIFS(BASE!$G:$G,BASE!$B:$B,$B321,BASE!$L:$L,$G321,BASE!$J:$J,$C321,BASE!$A:$A,R$2)</f>
        <v>3</v>
      </c>
      <c r="S321" s="12">
        <f>SUMIFS(BASE!$G:$G,BASE!$B:$B,$B321,BASE!$L:$L,$G321,BASE!$J:$J,$C321,BASE!$A:$A,S$2)</f>
        <v>0</v>
      </c>
      <c r="T321" s="12">
        <f>SUMIFS(BASE!$G:$G,BASE!$B:$B,$B321,BASE!$L:$L,$G321,BASE!$J:$J,$C321,BASE!$A:$A,T$2)</f>
        <v>0</v>
      </c>
      <c r="U321" s="12">
        <f>SUMIFS(BASE!$G:$G,BASE!$B:$B,$B321,BASE!$L:$L,$G321,BASE!$J:$J,$C321,BASE!$A:$A,U$2)</f>
        <v>0</v>
      </c>
      <c r="V321" s="12">
        <f>SUMIFS(BASE!$G:$G,BASE!$B:$B,$B321,BASE!$L:$L,$G321,BASE!$J:$J,$C321,BASE!$A:$A,V$2)</f>
        <v>0</v>
      </c>
      <c r="X321" t="str">
        <f t="shared" si="9"/>
        <v>COM TROCAS</v>
      </c>
    </row>
    <row r="322" spans="2:24">
      <c r="B322" s="8" t="s">
        <v>841</v>
      </c>
      <c r="C322" s="9" t="s">
        <v>239</v>
      </c>
      <c r="D322" s="9" t="s">
        <v>676</v>
      </c>
      <c r="E322" s="9" t="s">
        <v>666</v>
      </c>
      <c r="F322" s="9" t="s">
        <v>842</v>
      </c>
      <c r="G322" s="9" t="s">
        <v>59</v>
      </c>
      <c r="H322" s="7" t="str">
        <f>IFERROR(IF(_xlfn.XLOOKUP(B322,REPASSE!D:D,REPASSE!D:D)="","Não","Sim"),"Não")</f>
        <v>Não</v>
      </c>
      <c r="I322" s="7" t="str">
        <f>IF(_xlfn.XLOOKUP(B322,'BOOST LIBERADO'!B:B,'BOOST LIBERADO'!B:B,"Não")="Não","Não","Sim")</f>
        <v>Sim</v>
      </c>
      <c r="J322" s="83" t="str">
        <f t="shared" si="8"/>
        <v>Sim</v>
      </c>
      <c r="K322" s="12">
        <f>SUMIFS(BASE!$G:$G,BASE!$B:$B,$B322,BASE!$L:$L,$G322,BASE!$J:$J,$C322,BASE!$A:$A,K$2)</f>
        <v>0</v>
      </c>
      <c r="L322" s="12">
        <f>SUMIFS(BASE!$G:$G,BASE!$B:$B,$B322,BASE!$L:$L,$G322,BASE!$J:$J,$C322,BASE!$A:$A,L$2)</f>
        <v>0</v>
      </c>
      <c r="M322" s="12">
        <f>SUMIFS(BASE!$G:$G,BASE!$B:$B,$B322,BASE!$L:$L,$G322,BASE!$J:$J,$C322,BASE!$A:$A,M$2)</f>
        <v>2</v>
      </c>
      <c r="N322" s="12">
        <f>SUMIFS(BASE!$G:$G,BASE!$B:$B,$B322,BASE!$L:$L,$G322,BASE!$J:$J,$C322,BASE!$A:$A,N$2)</f>
        <v>1</v>
      </c>
      <c r="O322" s="12">
        <f>SUMIFS(BASE!$G:$G,BASE!$B:$B,$B322,BASE!$L:$L,$G322,BASE!$J:$J,$C322,BASE!$A:$A,O$2)</f>
        <v>6</v>
      </c>
      <c r="P322" s="12">
        <f>SUMIFS(BASE!$G:$G,BASE!$B:$B,$B322,BASE!$L:$L,$G322,BASE!$J:$J,$C322,BASE!$A:$A,P$2)</f>
        <v>6</v>
      </c>
      <c r="Q322" s="12">
        <f>SUMIFS(BASE!$G:$G,BASE!$B:$B,$B322,BASE!$L:$L,$G322,BASE!$J:$J,$C322,BASE!$A:$A,Q$2)</f>
        <v>6</v>
      </c>
      <c r="R322" s="12">
        <f>SUMIFS(BASE!$G:$G,BASE!$B:$B,$B322,BASE!$L:$L,$G322,BASE!$J:$J,$C322,BASE!$A:$A,R$2)</f>
        <v>7</v>
      </c>
      <c r="S322" s="12">
        <f>SUMIFS(BASE!$G:$G,BASE!$B:$B,$B322,BASE!$L:$L,$G322,BASE!$J:$J,$C322,BASE!$A:$A,S$2)</f>
        <v>0</v>
      </c>
      <c r="T322" s="12">
        <f>SUMIFS(BASE!$G:$G,BASE!$B:$B,$B322,BASE!$L:$L,$G322,BASE!$J:$J,$C322,BASE!$A:$A,T$2)</f>
        <v>0</v>
      </c>
      <c r="U322" s="12">
        <f>SUMIFS(BASE!$G:$G,BASE!$B:$B,$B322,BASE!$L:$L,$G322,BASE!$J:$J,$C322,BASE!$A:$A,U$2)</f>
        <v>0</v>
      </c>
      <c r="V322" s="12">
        <f>SUMIFS(BASE!$G:$G,BASE!$B:$B,$B322,BASE!$L:$L,$G322,BASE!$J:$J,$C322,BASE!$A:$A,V$2)</f>
        <v>0</v>
      </c>
      <c r="X322" t="str">
        <f t="shared" si="9"/>
        <v>COM TROCAS</v>
      </c>
    </row>
    <row r="323" spans="2:24">
      <c r="B323" s="8" t="s">
        <v>843</v>
      </c>
      <c r="C323" s="9" t="s">
        <v>239</v>
      </c>
      <c r="D323" s="9" t="s">
        <v>676</v>
      </c>
      <c r="E323" s="9" t="s">
        <v>666</v>
      </c>
      <c r="F323" s="9" t="s">
        <v>677</v>
      </c>
      <c r="G323" s="9" t="s">
        <v>59</v>
      </c>
      <c r="H323" s="7" t="str">
        <f>IFERROR(IF(_xlfn.XLOOKUP(B323,REPASSE!D:D,REPASSE!D:D)="","Não","Sim"),"Não")</f>
        <v>Não</v>
      </c>
      <c r="I323" s="7" t="str">
        <f>IF(_xlfn.XLOOKUP(B323,'BOOST LIBERADO'!B:B,'BOOST LIBERADO'!B:B,"Não")="Não","Não","Sim")</f>
        <v>Sim</v>
      </c>
      <c r="J323" s="83" t="str">
        <f t="shared" si="8"/>
        <v>Sim</v>
      </c>
      <c r="K323" s="12">
        <f>SUMIFS(BASE!$G:$G,BASE!$B:$B,$B323,BASE!$L:$L,$G323,BASE!$J:$J,$C323,BASE!$A:$A,K$2)</f>
        <v>1</v>
      </c>
      <c r="L323" s="12">
        <f>SUMIFS(BASE!$G:$G,BASE!$B:$B,$B323,BASE!$L:$L,$G323,BASE!$J:$J,$C323,BASE!$A:$A,L$2)</f>
        <v>2</v>
      </c>
      <c r="M323" s="12">
        <f>SUMIFS(BASE!$G:$G,BASE!$B:$B,$B323,BASE!$L:$L,$G323,BASE!$J:$J,$C323,BASE!$A:$A,M$2)</f>
        <v>1</v>
      </c>
      <c r="N323" s="12">
        <f>SUMIFS(BASE!$G:$G,BASE!$B:$B,$B323,BASE!$L:$L,$G323,BASE!$J:$J,$C323,BASE!$A:$A,N$2)</f>
        <v>2</v>
      </c>
      <c r="O323" s="12">
        <f>SUMIFS(BASE!$G:$G,BASE!$B:$B,$B323,BASE!$L:$L,$G323,BASE!$J:$J,$C323,BASE!$A:$A,O$2)</f>
        <v>1</v>
      </c>
      <c r="P323" s="12">
        <f>SUMIFS(BASE!$G:$G,BASE!$B:$B,$B323,BASE!$L:$L,$G323,BASE!$J:$J,$C323,BASE!$A:$A,P$2)</f>
        <v>8</v>
      </c>
      <c r="Q323" s="12">
        <f>SUMIFS(BASE!$G:$G,BASE!$B:$B,$B323,BASE!$L:$L,$G323,BASE!$J:$J,$C323,BASE!$A:$A,Q$2)</f>
        <v>6</v>
      </c>
      <c r="R323" s="12">
        <f>SUMIFS(BASE!$G:$G,BASE!$B:$B,$B323,BASE!$L:$L,$G323,BASE!$J:$J,$C323,BASE!$A:$A,R$2)</f>
        <v>2</v>
      </c>
      <c r="S323" s="12">
        <f>SUMIFS(BASE!$G:$G,BASE!$B:$B,$B323,BASE!$L:$L,$G323,BASE!$J:$J,$C323,BASE!$A:$A,S$2)</f>
        <v>0</v>
      </c>
      <c r="T323" s="12">
        <f>SUMIFS(BASE!$G:$G,BASE!$B:$B,$B323,BASE!$L:$L,$G323,BASE!$J:$J,$C323,BASE!$A:$A,T$2)</f>
        <v>0</v>
      </c>
      <c r="U323" s="12">
        <f>SUMIFS(BASE!$G:$G,BASE!$B:$B,$B323,BASE!$L:$L,$G323,BASE!$J:$J,$C323,BASE!$A:$A,U$2)</f>
        <v>0</v>
      </c>
      <c r="V323" s="12">
        <f>SUMIFS(BASE!$G:$G,BASE!$B:$B,$B323,BASE!$L:$L,$G323,BASE!$J:$J,$C323,BASE!$A:$A,V$2)</f>
        <v>0</v>
      </c>
      <c r="X323" t="str">
        <f t="shared" si="9"/>
        <v>COM TROCAS</v>
      </c>
    </row>
    <row r="324" spans="2:24">
      <c r="B324" s="8" t="s">
        <v>844</v>
      </c>
      <c r="C324" s="9" t="s">
        <v>239</v>
      </c>
      <c r="D324" s="9" t="s">
        <v>676</v>
      </c>
      <c r="E324" s="9" t="s">
        <v>666</v>
      </c>
      <c r="F324" s="9" t="s">
        <v>845</v>
      </c>
      <c r="G324" s="9" t="s">
        <v>59</v>
      </c>
      <c r="H324" s="7" t="str">
        <f>IFERROR(IF(_xlfn.XLOOKUP(B324,REPASSE!D:D,REPASSE!D:D)="","Não","Sim"),"Não")</f>
        <v>Não</v>
      </c>
      <c r="I324" s="7" t="str">
        <f>IF(_xlfn.XLOOKUP(B324,'BOOST LIBERADO'!B:B,'BOOST LIBERADO'!B:B,"Não")="Não","Não","Sim")</f>
        <v>Sim</v>
      </c>
      <c r="J324" s="83" t="str">
        <f t="shared" ref="J324:J387" si="10">IF(AND(H324="Não",I324="Sim"),"Sim","Não")</f>
        <v>Sim</v>
      </c>
      <c r="K324" s="12">
        <f>SUMIFS(BASE!$G:$G,BASE!$B:$B,$B324,BASE!$L:$L,$G324,BASE!$J:$J,$C324,BASE!$A:$A,K$2)</f>
        <v>0</v>
      </c>
      <c r="L324" s="12">
        <f>SUMIFS(BASE!$G:$G,BASE!$B:$B,$B324,BASE!$L:$L,$G324,BASE!$J:$J,$C324,BASE!$A:$A,L$2)</f>
        <v>0</v>
      </c>
      <c r="M324" s="12">
        <f>SUMIFS(BASE!$G:$G,BASE!$B:$B,$B324,BASE!$L:$L,$G324,BASE!$J:$J,$C324,BASE!$A:$A,M$2)</f>
        <v>0</v>
      </c>
      <c r="N324" s="12">
        <f>SUMIFS(BASE!$G:$G,BASE!$B:$B,$B324,BASE!$L:$L,$G324,BASE!$J:$J,$C324,BASE!$A:$A,N$2)</f>
        <v>0</v>
      </c>
      <c r="O324" s="12">
        <f>SUMIFS(BASE!$G:$G,BASE!$B:$B,$B324,BASE!$L:$L,$G324,BASE!$J:$J,$C324,BASE!$A:$A,O$2)</f>
        <v>0</v>
      </c>
      <c r="P324" s="12">
        <f>SUMIFS(BASE!$G:$G,BASE!$B:$B,$B324,BASE!$L:$L,$G324,BASE!$J:$J,$C324,BASE!$A:$A,P$2)</f>
        <v>0</v>
      </c>
      <c r="Q324" s="12">
        <f>SUMIFS(BASE!$G:$G,BASE!$B:$B,$B324,BASE!$L:$L,$G324,BASE!$J:$J,$C324,BASE!$A:$A,Q$2)</f>
        <v>0</v>
      </c>
      <c r="R324" s="12">
        <f>SUMIFS(BASE!$G:$G,BASE!$B:$B,$B324,BASE!$L:$L,$G324,BASE!$J:$J,$C324,BASE!$A:$A,R$2)</f>
        <v>3</v>
      </c>
      <c r="S324" s="12">
        <f>SUMIFS(BASE!$G:$G,BASE!$B:$B,$B324,BASE!$L:$L,$G324,BASE!$J:$J,$C324,BASE!$A:$A,S$2)</f>
        <v>0</v>
      </c>
      <c r="T324" s="12">
        <f>SUMIFS(BASE!$G:$G,BASE!$B:$B,$B324,BASE!$L:$L,$G324,BASE!$J:$J,$C324,BASE!$A:$A,T$2)</f>
        <v>0</v>
      </c>
      <c r="U324" s="12">
        <f>SUMIFS(BASE!$G:$G,BASE!$B:$B,$B324,BASE!$L:$L,$G324,BASE!$J:$J,$C324,BASE!$A:$A,U$2)</f>
        <v>0</v>
      </c>
      <c r="V324" s="12">
        <f>SUMIFS(BASE!$G:$G,BASE!$B:$B,$B324,BASE!$L:$L,$G324,BASE!$J:$J,$C324,BASE!$A:$A,V$2)</f>
        <v>0</v>
      </c>
      <c r="X324" t="str">
        <f t="shared" ref="X324:X387" si="11">IF(AND(R324=0),"ZERADO","COM TROCAS")</f>
        <v>COM TROCAS</v>
      </c>
    </row>
    <row r="325" spans="2:24">
      <c r="B325" s="8" t="s">
        <v>846</v>
      </c>
      <c r="C325" s="9" t="s">
        <v>221</v>
      </c>
      <c r="D325" s="9" t="s">
        <v>847</v>
      </c>
      <c r="E325" s="9" t="s">
        <v>726</v>
      </c>
      <c r="F325" s="9" t="s">
        <v>732</v>
      </c>
      <c r="G325" s="9" t="s">
        <v>59</v>
      </c>
      <c r="H325" s="7" t="str">
        <f>IFERROR(IF(_xlfn.XLOOKUP(B325,REPASSE!D:D,REPASSE!D:D)="","Não","Sim"),"Não")</f>
        <v>Não</v>
      </c>
      <c r="I325" s="7" t="str">
        <f>IF(_xlfn.XLOOKUP(B325,'BOOST LIBERADO'!B:B,'BOOST LIBERADO'!B:B,"Não")="Não","Não","Sim")</f>
        <v>Sim</v>
      </c>
      <c r="J325" s="83" t="str">
        <f t="shared" si="10"/>
        <v>Sim</v>
      </c>
      <c r="K325" s="12">
        <f>SUMIFS(BASE!$G:$G,BASE!$B:$B,$B325,BASE!$L:$L,$G325,BASE!$J:$J,$C325,BASE!$A:$A,K$2)</f>
        <v>4</v>
      </c>
      <c r="L325" s="12">
        <f>SUMIFS(BASE!$G:$G,BASE!$B:$B,$B325,BASE!$L:$L,$G325,BASE!$J:$J,$C325,BASE!$A:$A,L$2)</f>
        <v>3</v>
      </c>
      <c r="M325" s="12">
        <f>SUMIFS(BASE!$G:$G,BASE!$B:$B,$B325,BASE!$L:$L,$G325,BASE!$J:$J,$C325,BASE!$A:$A,M$2)</f>
        <v>9</v>
      </c>
      <c r="N325" s="12">
        <f>SUMIFS(BASE!$G:$G,BASE!$B:$B,$B325,BASE!$L:$L,$G325,BASE!$J:$J,$C325,BASE!$A:$A,N$2)</f>
        <v>3</v>
      </c>
      <c r="O325" s="12">
        <f>SUMIFS(BASE!$G:$G,BASE!$B:$B,$B325,BASE!$L:$L,$G325,BASE!$J:$J,$C325,BASE!$A:$A,O$2)</f>
        <v>2</v>
      </c>
      <c r="P325" s="12">
        <f>SUMIFS(BASE!$G:$G,BASE!$B:$B,$B325,BASE!$L:$L,$G325,BASE!$J:$J,$C325,BASE!$A:$A,P$2)</f>
        <v>3</v>
      </c>
      <c r="Q325" s="12">
        <f>SUMIFS(BASE!$G:$G,BASE!$B:$B,$B325,BASE!$L:$L,$G325,BASE!$J:$J,$C325,BASE!$A:$A,Q$2)</f>
        <v>5</v>
      </c>
      <c r="R325" s="12">
        <f>SUMIFS(BASE!$G:$G,BASE!$B:$B,$B325,BASE!$L:$L,$G325,BASE!$J:$J,$C325,BASE!$A:$A,R$2)</f>
        <v>5</v>
      </c>
      <c r="S325" s="12">
        <f>SUMIFS(BASE!$G:$G,BASE!$B:$B,$B325,BASE!$L:$L,$G325,BASE!$J:$J,$C325,BASE!$A:$A,S$2)</f>
        <v>0</v>
      </c>
      <c r="T325" s="12">
        <f>SUMIFS(BASE!$G:$G,BASE!$B:$B,$B325,BASE!$L:$L,$G325,BASE!$J:$J,$C325,BASE!$A:$A,T$2)</f>
        <v>0</v>
      </c>
      <c r="U325" s="12">
        <f>SUMIFS(BASE!$G:$G,BASE!$B:$B,$B325,BASE!$L:$L,$G325,BASE!$J:$J,$C325,BASE!$A:$A,U$2)</f>
        <v>0</v>
      </c>
      <c r="V325" s="12">
        <f>SUMIFS(BASE!$G:$G,BASE!$B:$B,$B325,BASE!$L:$L,$G325,BASE!$J:$J,$C325,BASE!$A:$A,V$2)</f>
        <v>0</v>
      </c>
      <c r="X325" t="str">
        <f t="shared" si="11"/>
        <v>COM TROCAS</v>
      </c>
    </row>
    <row r="326" spans="2:24">
      <c r="B326" s="8" t="s">
        <v>848</v>
      </c>
      <c r="C326" s="9" t="s">
        <v>221</v>
      </c>
      <c r="D326" s="9" t="s">
        <v>847</v>
      </c>
      <c r="E326" s="9" t="s">
        <v>726</v>
      </c>
      <c r="F326" s="9" t="s">
        <v>732</v>
      </c>
      <c r="G326" s="9" t="s">
        <v>59</v>
      </c>
      <c r="H326" s="7" t="str">
        <f>IFERROR(IF(_xlfn.XLOOKUP(B326,REPASSE!D:D,REPASSE!D:D)="","Não","Sim"),"Não")</f>
        <v>Não</v>
      </c>
      <c r="I326" s="7" t="str">
        <f>IF(_xlfn.XLOOKUP(B326,'BOOST LIBERADO'!B:B,'BOOST LIBERADO'!B:B,"Não")="Não","Não","Sim")</f>
        <v>Sim</v>
      </c>
      <c r="J326" s="83" t="str">
        <f t="shared" si="10"/>
        <v>Sim</v>
      </c>
      <c r="K326" s="12">
        <f>SUMIFS(BASE!$G:$G,BASE!$B:$B,$B326,BASE!$L:$L,$G326,BASE!$J:$J,$C326,BASE!$A:$A,K$2)</f>
        <v>6</v>
      </c>
      <c r="L326" s="12">
        <f>SUMIFS(BASE!$G:$G,BASE!$B:$B,$B326,BASE!$L:$L,$G326,BASE!$J:$J,$C326,BASE!$A:$A,L$2)</f>
        <v>4</v>
      </c>
      <c r="M326" s="12">
        <f>SUMIFS(BASE!$G:$G,BASE!$B:$B,$B326,BASE!$L:$L,$G326,BASE!$J:$J,$C326,BASE!$A:$A,M$2)</f>
        <v>17</v>
      </c>
      <c r="N326" s="12">
        <f>SUMIFS(BASE!$G:$G,BASE!$B:$B,$B326,BASE!$L:$L,$G326,BASE!$J:$J,$C326,BASE!$A:$A,N$2)</f>
        <v>4</v>
      </c>
      <c r="O326" s="12">
        <f>SUMIFS(BASE!$G:$G,BASE!$B:$B,$B326,BASE!$L:$L,$G326,BASE!$J:$J,$C326,BASE!$A:$A,O$2)</f>
        <v>7</v>
      </c>
      <c r="P326" s="12">
        <f>SUMIFS(BASE!$G:$G,BASE!$B:$B,$B326,BASE!$L:$L,$G326,BASE!$J:$J,$C326,BASE!$A:$A,P$2)</f>
        <v>11</v>
      </c>
      <c r="Q326" s="12">
        <f>SUMIFS(BASE!$G:$G,BASE!$B:$B,$B326,BASE!$L:$L,$G326,BASE!$J:$J,$C326,BASE!$A:$A,Q$2)</f>
        <v>5</v>
      </c>
      <c r="R326" s="12">
        <f>SUMIFS(BASE!$G:$G,BASE!$B:$B,$B326,BASE!$L:$L,$G326,BASE!$J:$J,$C326,BASE!$A:$A,R$2)</f>
        <v>6</v>
      </c>
      <c r="S326" s="12">
        <f>SUMIFS(BASE!$G:$G,BASE!$B:$B,$B326,BASE!$L:$L,$G326,BASE!$J:$J,$C326,BASE!$A:$A,S$2)</f>
        <v>0</v>
      </c>
      <c r="T326" s="12">
        <f>SUMIFS(BASE!$G:$G,BASE!$B:$B,$B326,BASE!$L:$L,$G326,BASE!$J:$J,$C326,BASE!$A:$A,T$2)</f>
        <v>0</v>
      </c>
      <c r="U326" s="12">
        <f>SUMIFS(BASE!$G:$G,BASE!$B:$B,$B326,BASE!$L:$L,$G326,BASE!$J:$J,$C326,BASE!$A:$A,U$2)</f>
        <v>0</v>
      </c>
      <c r="V326" s="12">
        <f>SUMIFS(BASE!$G:$G,BASE!$B:$B,$B326,BASE!$L:$L,$G326,BASE!$J:$J,$C326,BASE!$A:$A,V$2)</f>
        <v>0</v>
      </c>
      <c r="X326" t="str">
        <f t="shared" si="11"/>
        <v>COM TROCAS</v>
      </c>
    </row>
    <row r="327" spans="2:24">
      <c r="B327" s="8" t="s">
        <v>849</v>
      </c>
      <c r="C327" s="9" t="s">
        <v>221</v>
      </c>
      <c r="D327" s="9" t="s">
        <v>847</v>
      </c>
      <c r="E327" s="9" t="s">
        <v>726</v>
      </c>
      <c r="F327" s="9" t="s">
        <v>732</v>
      </c>
      <c r="G327" s="9" t="s">
        <v>59</v>
      </c>
      <c r="H327" s="7" t="str">
        <f>IFERROR(IF(_xlfn.XLOOKUP(B327,REPASSE!D:D,REPASSE!D:D)="","Não","Sim"),"Não")</f>
        <v>Não</v>
      </c>
      <c r="I327" s="7" t="str">
        <f>IF(_xlfn.XLOOKUP(B327,'BOOST LIBERADO'!B:B,'BOOST LIBERADO'!B:B,"Não")="Não","Não","Sim")</f>
        <v>Sim</v>
      </c>
      <c r="J327" s="83" t="str">
        <f t="shared" si="10"/>
        <v>Sim</v>
      </c>
      <c r="K327" s="12">
        <f>SUMIFS(BASE!$G:$G,BASE!$B:$B,$B327,BASE!$L:$L,$G327,BASE!$J:$J,$C327,BASE!$A:$A,K$2)</f>
        <v>0</v>
      </c>
      <c r="L327" s="12">
        <f>SUMIFS(BASE!$G:$G,BASE!$B:$B,$B327,BASE!$L:$L,$G327,BASE!$J:$J,$C327,BASE!$A:$A,L$2)</f>
        <v>1</v>
      </c>
      <c r="M327" s="12">
        <f>SUMIFS(BASE!$G:$G,BASE!$B:$B,$B327,BASE!$L:$L,$G327,BASE!$J:$J,$C327,BASE!$A:$A,M$2)</f>
        <v>3</v>
      </c>
      <c r="N327" s="12">
        <f>SUMIFS(BASE!$G:$G,BASE!$B:$B,$B327,BASE!$L:$L,$G327,BASE!$J:$J,$C327,BASE!$A:$A,N$2)</f>
        <v>0</v>
      </c>
      <c r="O327" s="12">
        <f>SUMIFS(BASE!$G:$G,BASE!$B:$B,$B327,BASE!$L:$L,$G327,BASE!$J:$J,$C327,BASE!$A:$A,O$2)</f>
        <v>2</v>
      </c>
      <c r="P327" s="12">
        <f>SUMIFS(BASE!$G:$G,BASE!$B:$B,$B327,BASE!$L:$L,$G327,BASE!$J:$J,$C327,BASE!$A:$A,P$2)</f>
        <v>0</v>
      </c>
      <c r="Q327" s="12">
        <f>SUMIFS(BASE!$G:$G,BASE!$B:$B,$B327,BASE!$L:$L,$G327,BASE!$J:$J,$C327,BASE!$A:$A,Q$2)</f>
        <v>4</v>
      </c>
      <c r="R327" s="12">
        <f>SUMIFS(BASE!$G:$G,BASE!$B:$B,$B327,BASE!$L:$L,$G327,BASE!$J:$J,$C327,BASE!$A:$A,R$2)</f>
        <v>0</v>
      </c>
      <c r="S327" s="12">
        <f>SUMIFS(BASE!$G:$G,BASE!$B:$B,$B327,BASE!$L:$L,$G327,BASE!$J:$J,$C327,BASE!$A:$A,S$2)</f>
        <v>0</v>
      </c>
      <c r="T327" s="12">
        <f>SUMIFS(BASE!$G:$G,BASE!$B:$B,$B327,BASE!$L:$L,$G327,BASE!$J:$J,$C327,BASE!$A:$A,T$2)</f>
        <v>0</v>
      </c>
      <c r="U327" s="12">
        <f>SUMIFS(BASE!$G:$G,BASE!$B:$B,$B327,BASE!$L:$L,$G327,BASE!$J:$J,$C327,BASE!$A:$A,U$2)</f>
        <v>0</v>
      </c>
      <c r="V327" s="12">
        <f>SUMIFS(BASE!$G:$G,BASE!$B:$B,$B327,BASE!$L:$L,$G327,BASE!$J:$J,$C327,BASE!$A:$A,V$2)</f>
        <v>0</v>
      </c>
      <c r="X327" t="str">
        <f t="shared" si="11"/>
        <v>ZERADO</v>
      </c>
    </row>
    <row r="328" spans="2:24">
      <c r="B328" s="8" t="s">
        <v>850</v>
      </c>
      <c r="C328" s="9" t="s">
        <v>221</v>
      </c>
      <c r="D328" s="9" t="s">
        <v>847</v>
      </c>
      <c r="E328" s="9" t="s">
        <v>726</v>
      </c>
      <c r="F328" s="9" t="s">
        <v>732</v>
      </c>
      <c r="G328" s="9" t="s">
        <v>59</v>
      </c>
      <c r="H328" s="7" t="str">
        <f>IFERROR(IF(_xlfn.XLOOKUP(B328,REPASSE!D:D,REPASSE!D:D)="","Não","Sim"),"Não")</f>
        <v>Não</v>
      </c>
      <c r="I328" s="7" t="str">
        <f>IF(_xlfn.XLOOKUP(B328,'BOOST LIBERADO'!B:B,'BOOST LIBERADO'!B:B,"Não")="Não","Não","Sim")</f>
        <v>Sim</v>
      </c>
      <c r="J328" s="83" t="str">
        <f t="shared" si="10"/>
        <v>Sim</v>
      </c>
      <c r="K328" s="12">
        <f>SUMIFS(BASE!$G:$G,BASE!$B:$B,$B328,BASE!$L:$L,$G328,BASE!$J:$J,$C328,BASE!$A:$A,K$2)</f>
        <v>2</v>
      </c>
      <c r="L328" s="12">
        <f>SUMIFS(BASE!$G:$G,BASE!$B:$B,$B328,BASE!$L:$L,$G328,BASE!$J:$J,$C328,BASE!$A:$A,L$2)</f>
        <v>0</v>
      </c>
      <c r="M328" s="12">
        <f>SUMIFS(BASE!$G:$G,BASE!$B:$B,$B328,BASE!$L:$L,$G328,BASE!$J:$J,$C328,BASE!$A:$A,M$2)</f>
        <v>1</v>
      </c>
      <c r="N328" s="12">
        <f>SUMIFS(BASE!$G:$G,BASE!$B:$B,$B328,BASE!$L:$L,$G328,BASE!$J:$J,$C328,BASE!$A:$A,N$2)</f>
        <v>0</v>
      </c>
      <c r="O328" s="12">
        <f>SUMIFS(BASE!$G:$G,BASE!$B:$B,$B328,BASE!$L:$L,$G328,BASE!$J:$J,$C328,BASE!$A:$A,O$2)</f>
        <v>0</v>
      </c>
      <c r="P328" s="12">
        <f>SUMIFS(BASE!$G:$G,BASE!$B:$B,$B328,BASE!$L:$L,$G328,BASE!$J:$J,$C328,BASE!$A:$A,P$2)</f>
        <v>0</v>
      </c>
      <c r="Q328" s="12">
        <f>SUMIFS(BASE!$G:$G,BASE!$B:$B,$B328,BASE!$L:$L,$G328,BASE!$J:$J,$C328,BASE!$A:$A,Q$2)</f>
        <v>1</v>
      </c>
      <c r="R328" s="12">
        <f>SUMIFS(BASE!$G:$G,BASE!$B:$B,$B328,BASE!$L:$L,$G328,BASE!$J:$J,$C328,BASE!$A:$A,R$2)</f>
        <v>0</v>
      </c>
      <c r="S328" s="12">
        <f>SUMIFS(BASE!$G:$G,BASE!$B:$B,$B328,BASE!$L:$L,$G328,BASE!$J:$J,$C328,BASE!$A:$A,S$2)</f>
        <v>0</v>
      </c>
      <c r="T328" s="12">
        <f>SUMIFS(BASE!$G:$G,BASE!$B:$B,$B328,BASE!$L:$L,$G328,BASE!$J:$J,$C328,BASE!$A:$A,T$2)</f>
        <v>0</v>
      </c>
      <c r="U328" s="12">
        <f>SUMIFS(BASE!$G:$G,BASE!$B:$B,$B328,BASE!$L:$L,$G328,BASE!$J:$J,$C328,BASE!$A:$A,U$2)</f>
        <v>0</v>
      </c>
      <c r="V328" s="12">
        <f>SUMIFS(BASE!$G:$G,BASE!$B:$B,$B328,BASE!$L:$L,$G328,BASE!$J:$J,$C328,BASE!$A:$A,V$2)</f>
        <v>0</v>
      </c>
      <c r="X328" t="str">
        <f t="shared" si="11"/>
        <v>ZERADO</v>
      </c>
    </row>
    <row r="329" spans="2:24">
      <c r="B329" s="8" t="s">
        <v>851</v>
      </c>
      <c r="C329" s="9" t="s">
        <v>221</v>
      </c>
      <c r="D329" s="9" t="s">
        <v>847</v>
      </c>
      <c r="E329" s="9" t="s">
        <v>726</v>
      </c>
      <c r="F329" s="9" t="s">
        <v>732</v>
      </c>
      <c r="G329" s="9" t="s">
        <v>59</v>
      </c>
      <c r="H329" s="7" t="str">
        <f>IFERROR(IF(_xlfn.XLOOKUP(B329,REPASSE!D:D,REPASSE!D:D)="","Não","Sim"),"Não")</f>
        <v>Não</v>
      </c>
      <c r="I329" s="7" t="str">
        <f>IF(_xlfn.XLOOKUP(B329,'BOOST LIBERADO'!B:B,'BOOST LIBERADO'!B:B,"Não")="Não","Não","Sim")</f>
        <v>Sim</v>
      </c>
      <c r="J329" s="83" t="str">
        <f t="shared" si="10"/>
        <v>Sim</v>
      </c>
      <c r="K329" s="12">
        <f>SUMIFS(BASE!$G:$G,BASE!$B:$B,$B329,BASE!$L:$L,$G329,BASE!$J:$J,$C329,BASE!$A:$A,K$2)</f>
        <v>5</v>
      </c>
      <c r="L329" s="12">
        <f>SUMIFS(BASE!$G:$G,BASE!$B:$B,$B329,BASE!$L:$L,$G329,BASE!$J:$J,$C329,BASE!$A:$A,L$2)</f>
        <v>1</v>
      </c>
      <c r="M329" s="12">
        <f>SUMIFS(BASE!$G:$G,BASE!$B:$B,$B329,BASE!$L:$L,$G329,BASE!$J:$J,$C329,BASE!$A:$A,M$2)</f>
        <v>0</v>
      </c>
      <c r="N329" s="12">
        <f>SUMIFS(BASE!$G:$G,BASE!$B:$B,$B329,BASE!$L:$L,$G329,BASE!$J:$J,$C329,BASE!$A:$A,N$2)</f>
        <v>3</v>
      </c>
      <c r="O329" s="12">
        <f>SUMIFS(BASE!$G:$G,BASE!$B:$B,$B329,BASE!$L:$L,$G329,BASE!$J:$J,$C329,BASE!$A:$A,O$2)</f>
        <v>2</v>
      </c>
      <c r="P329" s="12">
        <f>SUMIFS(BASE!$G:$G,BASE!$B:$B,$B329,BASE!$L:$L,$G329,BASE!$J:$J,$C329,BASE!$A:$A,P$2)</f>
        <v>3</v>
      </c>
      <c r="Q329" s="12">
        <f>SUMIFS(BASE!$G:$G,BASE!$B:$B,$B329,BASE!$L:$L,$G329,BASE!$J:$J,$C329,BASE!$A:$A,Q$2)</f>
        <v>3</v>
      </c>
      <c r="R329" s="12">
        <f>SUMIFS(BASE!$G:$G,BASE!$B:$B,$B329,BASE!$L:$L,$G329,BASE!$J:$J,$C329,BASE!$A:$A,R$2)</f>
        <v>2</v>
      </c>
      <c r="S329" s="12">
        <f>SUMIFS(BASE!$G:$G,BASE!$B:$B,$B329,BASE!$L:$L,$G329,BASE!$J:$J,$C329,BASE!$A:$A,S$2)</f>
        <v>0</v>
      </c>
      <c r="T329" s="12">
        <f>SUMIFS(BASE!$G:$G,BASE!$B:$B,$B329,BASE!$L:$L,$G329,BASE!$J:$J,$C329,BASE!$A:$A,T$2)</f>
        <v>0</v>
      </c>
      <c r="U329" s="12">
        <f>SUMIFS(BASE!$G:$G,BASE!$B:$B,$B329,BASE!$L:$L,$G329,BASE!$J:$J,$C329,BASE!$A:$A,U$2)</f>
        <v>0</v>
      </c>
      <c r="V329" s="12">
        <f>SUMIFS(BASE!$G:$G,BASE!$B:$B,$B329,BASE!$L:$L,$G329,BASE!$J:$J,$C329,BASE!$A:$A,V$2)</f>
        <v>0</v>
      </c>
      <c r="X329" t="str">
        <f t="shared" si="11"/>
        <v>COM TROCAS</v>
      </c>
    </row>
    <row r="330" spans="2:24">
      <c r="B330" s="8" t="s">
        <v>852</v>
      </c>
      <c r="C330" s="9" t="s">
        <v>221</v>
      </c>
      <c r="D330" s="9" t="s">
        <v>847</v>
      </c>
      <c r="E330" s="9" t="s">
        <v>726</v>
      </c>
      <c r="F330" s="9" t="s">
        <v>732</v>
      </c>
      <c r="G330" s="9" t="s">
        <v>59</v>
      </c>
      <c r="H330" s="7" t="str">
        <f>IFERROR(IF(_xlfn.XLOOKUP(B330,REPASSE!D:D,REPASSE!D:D)="","Não","Sim"),"Não")</f>
        <v>Não</v>
      </c>
      <c r="I330" s="7" t="str">
        <f>IF(_xlfn.XLOOKUP(B330,'BOOST LIBERADO'!B:B,'BOOST LIBERADO'!B:B,"Não")="Não","Não","Sim")</f>
        <v>Sim</v>
      </c>
      <c r="J330" s="83" t="str">
        <f t="shared" si="10"/>
        <v>Sim</v>
      </c>
      <c r="K330" s="12">
        <f>SUMIFS(BASE!$G:$G,BASE!$B:$B,$B330,BASE!$L:$L,$G330,BASE!$J:$J,$C330,BASE!$A:$A,K$2)</f>
        <v>3</v>
      </c>
      <c r="L330" s="12">
        <f>SUMIFS(BASE!$G:$G,BASE!$B:$B,$B330,BASE!$L:$L,$G330,BASE!$J:$J,$C330,BASE!$A:$A,L$2)</f>
        <v>1</v>
      </c>
      <c r="M330" s="12">
        <f>SUMIFS(BASE!$G:$G,BASE!$B:$B,$B330,BASE!$L:$L,$G330,BASE!$J:$J,$C330,BASE!$A:$A,M$2)</f>
        <v>0</v>
      </c>
      <c r="N330" s="12">
        <f>SUMIFS(BASE!$G:$G,BASE!$B:$B,$B330,BASE!$L:$L,$G330,BASE!$J:$J,$C330,BASE!$A:$A,N$2)</f>
        <v>1</v>
      </c>
      <c r="O330" s="12">
        <f>SUMIFS(BASE!$G:$G,BASE!$B:$B,$B330,BASE!$L:$L,$G330,BASE!$J:$J,$C330,BASE!$A:$A,O$2)</f>
        <v>2</v>
      </c>
      <c r="P330" s="12">
        <f>SUMIFS(BASE!$G:$G,BASE!$B:$B,$B330,BASE!$L:$L,$G330,BASE!$J:$J,$C330,BASE!$A:$A,P$2)</f>
        <v>2</v>
      </c>
      <c r="Q330" s="12">
        <f>SUMIFS(BASE!$G:$G,BASE!$B:$B,$B330,BASE!$L:$L,$G330,BASE!$J:$J,$C330,BASE!$A:$A,Q$2)</f>
        <v>3</v>
      </c>
      <c r="R330" s="12">
        <f>SUMIFS(BASE!$G:$G,BASE!$B:$B,$B330,BASE!$L:$L,$G330,BASE!$J:$J,$C330,BASE!$A:$A,R$2)</f>
        <v>0</v>
      </c>
      <c r="S330" s="12">
        <f>SUMIFS(BASE!$G:$G,BASE!$B:$B,$B330,BASE!$L:$L,$G330,BASE!$J:$J,$C330,BASE!$A:$A,S$2)</f>
        <v>0</v>
      </c>
      <c r="T330" s="12">
        <f>SUMIFS(BASE!$G:$G,BASE!$B:$B,$B330,BASE!$L:$L,$G330,BASE!$J:$J,$C330,BASE!$A:$A,T$2)</f>
        <v>0</v>
      </c>
      <c r="U330" s="12">
        <f>SUMIFS(BASE!$G:$G,BASE!$B:$B,$B330,BASE!$L:$L,$G330,BASE!$J:$J,$C330,BASE!$A:$A,U$2)</f>
        <v>0</v>
      </c>
      <c r="V330" s="12">
        <f>SUMIFS(BASE!$G:$G,BASE!$B:$B,$B330,BASE!$L:$L,$G330,BASE!$J:$J,$C330,BASE!$A:$A,V$2)</f>
        <v>0</v>
      </c>
      <c r="X330" t="str">
        <f t="shared" si="11"/>
        <v>ZERADO</v>
      </c>
    </row>
    <row r="331" spans="2:24">
      <c r="B331" s="8" t="s">
        <v>853</v>
      </c>
      <c r="C331" s="9" t="s">
        <v>221</v>
      </c>
      <c r="D331" s="9" t="s">
        <v>847</v>
      </c>
      <c r="E331" s="9" t="s">
        <v>726</v>
      </c>
      <c r="F331" s="9" t="s">
        <v>732</v>
      </c>
      <c r="G331" s="9" t="s">
        <v>59</v>
      </c>
      <c r="H331" s="7" t="str">
        <f>IFERROR(IF(_xlfn.XLOOKUP(B331,REPASSE!D:D,REPASSE!D:D)="","Não","Sim"),"Não")</f>
        <v>Não</v>
      </c>
      <c r="I331" s="7" t="str">
        <f>IF(_xlfn.XLOOKUP(B331,'BOOST LIBERADO'!B:B,'BOOST LIBERADO'!B:B,"Não")="Não","Não","Sim")</f>
        <v>Sim</v>
      </c>
      <c r="J331" s="83" t="str">
        <f t="shared" si="10"/>
        <v>Sim</v>
      </c>
      <c r="K331" s="12">
        <f>SUMIFS(BASE!$G:$G,BASE!$B:$B,$B331,BASE!$L:$L,$G331,BASE!$J:$J,$C331,BASE!$A:$A,K$2)</f>
        <v>1</v>
      </c>
      <c r="L331" s="12">
        <f>SUMIFS(BASE!$G:$G,BASE!$B:$B,$B331,BASE!$L:$L,$G331,BASE!$J:$J,$C331,BASE!$A:$A,L$2)</f>
        <v>0</v>
      </c>
      <c r="M331" s="12">
        <f>SUMIFS(BASE!$G:$G,BASE!$B:$B,$B331,BASE!$L:$L,$G331,BASE!$J:$J,$C331,BASE!$A:$A,M$2)</f>
        <v>0</v>
      </c>
      <c r="N331" s="12">
        <f>SUMIFS(BASE!$G:$G,BASE!$B:$B,$B331,BASE!$L:$L,$G331,BASE!$J:$J,$C331,BASE!$A:$A,N$2)</f>
        <v>0</v>
      </c>
      <c r="O331" s="12">
        <f>SUMIFS(BASE!$G:$G,BASE!$B:$B,$B331,BASE!$L:$L,$G331,BASE!$J:$J,$C331,BASE!$A:$A,O$2)</f>
        <v>0</v>
      </c>
      <c r="P331" s="12">
        <f>SUMIFS(BASE!$G:$G,BASE!$B:$B,$B331,BASE!$L:$L,$G331,BASE!$J:$J,$C331,BASE!$A:$A,P$2)</f>
        <v>1</v>
      </c>
      <c r="Q331" s="12">
        <f>SUMIFS(BASE!$G:$G,BASE!$B:$B,$B331,BASE!$L:$L,$G331,BASE!$J:$J,$C331,BASE!$A:$A,Q$2)</f>
        <v>0</v>
      </c>
      <c r="R331" s="12">
        <f>SUMIFS(BASE!$G:$G,BASE!$B:$B,$B331,BASE!$L:$L,$G331,BASE!$J:$J,$C331,BASE!$A:$A,R$2)</f>
        <v>0</v>
      </c>
      <c r="S331" s="12">
        <f>SUMIFS(BASE!$G:$G,BASE!$B:$B,$B331,BASE!$L:$L,$G331,BASE!$J:$J,$C331,BASE!$A:$A,S$2)</f>
        <v>0</v>
      </c>
      <c r="T331" s="12">
        <f>SUMIFS(BASE!$G:$G,BASE!$B:$B,$B331,BASE!$L:$L,$G331,BASE!$J:$J,$C331,BASE!$A:$A,T$2)</f>
        <v>0</v>
      </c>
      <c r="U331" s="12">
        <f>SUMIFS(BASE!$G:$G,BASE!$B:$B,$B331,BASE!$L:$L,$G331,BASE!$J:$J,$C331,BASE!$A:$A,U$2)</f>
        <v>0</v>
      </c>
      <c r="V331" s="12">
        <f>SUMIFS(BASE!$G:$G,BASE!$B:$B,$B331,BASE!$L:$L,$G331,BASE!$J:$J,$C331,BASE!$A:$A,V$2)</f>
        <v>0</v>
      </c>
      <c r="X331" t="str">
        <f t="shared" si="11"/>
        <v>ZERADO</v>
      </c>
    </row>
    <row r="332" spans="2:24">
      <c r="B332" s="8" t="s">
        <v>854</v>
      </c>
      <c r="C332" s="9" t="s">
        <v>110</v>
      </c>
      <c r="D332" s="9" t="s">
        <v>681</v>
      </c>
      <c r="E332" s="9" t="s">
        <v>682</v>
      </c>
      <c r="F332" s="9" t="s">
        <v>855</v>
      </c>
      <c r="G332" s="9" t="s">
        <v>59</v>
      </c>
      <c r="H332" s="7" t="str">
        <f>IFERROR(IF(_xlfn.XLOOKUP(B332,REPASSE!D:D,REPASSE!D:D)="","Não","Sim"),"Não")</f>
        <v>Não</v>
      </c>
      <c r="I332" s="7" t="str">
        <f>IF(_xlfn.XLOOKUP(B332,'BOOST LIBERADO'!B:B,'BOOST LIBERADO'!B:B,"Não")="Não","Não","Sim")</f>
        <v>Sim</v>
      </c>
      <c r="J332" s="83" t="str">
        <f t="shared" si="10"/>
        <v>Sim</v>
      </c>
      <c r="K332" s="12">
        <f>SUMIFS(BASE!$G:$G,BASE!$B:$B,$B332,BASE!$L:$L,$G332,BASE!$J:$J,$C332,BASE!$A:$A,K$2)</f>
        <v>3</v>
      </c>
      <c r="L332" s="12">
        <f>SUMIFS(BASE!$G:$G,BASE!$B:$B,$B332,BASE!$L:$L,$G332,BASE!$J:$J,$C332,BASE!$A:$A,L$2)</f>
        <v>3</v>
      </c>
      <c r="M332" s="12">
        <f>SUMIFS(BASE!$G:$G,BASE!$B:$B,$B332,BASE!$L:$L,$G332,BASE!$J:$J,$C332,BASE!$A:$A,M$2)</f>
        <v>0</v>
      </c>
      <c r="N332" s="12">
        <f>SUMIFS(BASE!$G:$G,BASE!$B:$B,$B332,BASE!$L:$L,$G332,BASE!$J:$J,$C332,BASE!$A:$A,N$2)</f>
        <v>1</v>
      </c>
      <c r="O332" s="12">
        <f>SUMIFS(BASE!$G:$G,BASE!$B:$B,$B332,BASE!$L:$L,$G332,BASE!$J:$J,$C332,BASE!$A:$A,O$2)</f>
        <v>4</v>
      </c>
      <c r="P332" s="12">
        <f>SUMIFS(BASE!$G:$G,BASE!$B:$B,$B332,BASE!$L:$L,$G332,BASE!$J:$J,$C332,BASE!$A:$A,P$2)</f>
        <v>1</v>
      </c>
      <c r="Q332" s="12">
        <f>SUMIFS(BASE!$G:$G,BASE!$B:$B,$B332,BASE!$L:$L,$G332,BASE!$J:$J,$C332,BASE!$A:$A,Q$2)</f>
        <v>0</v>
      </c>
      <c r="R332" s="12">
        <f>SUMIFS(BASE!$G:$G,BASE!$B:$B,$B332,BASE!$L:$L,$G332,BASE!$J:$J,$C332,BASE!$A:$A,R$2)</f>
        <v>0</v>
      </c>
      <c r="S332" s="12">
        <f>SUMIFS(BASE!$G:$G,BASE!$B:$B,$B332,BASE!$L:$L,$G332,BASE!$J:$J,$C332,BASE!$A:$A,S$2)</f>
        <v>0</v>
      </c>
      <c r="T332" s="12">
        <f>SUMIFS(BASE!$G:$G,BASE!$B:$B,$B332,BASE!$L:$L,$G332,BASE!$J:$J,$C332,BASE!$A:$A,T$2)</f>
        <v>0</v>
      </c>
      <c r="U332" s="12">
        <f>SUMIFS(BASE!$G:$G,BASE!$B:$B,$B332,BASE!$L:$L,$G332,BASE!$J:$J,$C332,BASE!$A:$A,U$2)</f>
        <v>0</v>
      </c>
      <c r="V332" s="12">
        <f>SUMIFS(BASE!$G:$G,BASE!$B:$B,$B332,BASE!$L:$L,$G332,BASE!$J:$J,$C332,BASE!$A:$A,V$2)</f>
        <v>0</v>
      </c>
      <c r="X332" t="str">
        <f t="shared" si="11"/>
        <v>ZERADO</v>
      </c>
    </row>
    <row r="333" spans="2:24">
      <c r="B333" s="8" t="s">
        <v>856</v>
      </c>
      <c r="C333" s="9" t="s">
        <v>110</v>
      </c>
      <c r="D333" s="9" t="s">
        <v>681</v>
      </c>
      <c r="E333" s="9" t="s">
        <v>682</v>
      </c>
      <c r="F333" s="9" t="s">
        <v>855</v>
      </c>
      <c r="G333" s="9" t="s">
        <v>59</v>
      </c>
      <c r="H333" s="7" t="str">
        <f>IFERROR(IF(_xlfn.XLOOKUP(B333,REPASSE!D:D,REPASSE!D:D)="","Não","Sim"),"Não")</f>
        <v>Não</v>
      </c>
      <c r="I333" s="7" t="str">
        <f>IF(_xlfn.XLOOKUP(B333,'BOOST LIBERADO'!B:B,'BOOST LIBERADO'!B:B,"Não")="Não","Não","Sim")</f>
        <v>Sim</v>
      </c>
      <c r="J333" s="83" t="str">
        <f t="shared" si="10"/>
        <v>Sim</v>
      </c>
      <c r="K333" s="12">
        <f>SUMIFS(BASE!$G:$G,BASE!$B:$B,$B333,BASE!$L:$L,$G333,BASE!$J:$J,$C333,BASE!$A:$A,K$2)</f>
        <v>10</v>
      </c>
      <c r="L333" s="12">
        <f>SUMIFS(BASE!$G:$G,BASE!$B:$B,$B333,BASE!$L:$L,$G333,BASE!$J:$J,$C333,BASE!$A:$A,L$2)</f>
        <v>9</v>
      </c>
      <c r="M333" s="12">
        <f>SUMIFS(BASE!$G:$G,BASE!$B:$B,$B333,BASE!$L:$L,$G333,BASE!$J:$J,$C333,BASE!$A:$A,M$2)</f>
        <v>18</v>
      </c>
      <c r="N333" s="12">
        <f>SUMIFS(BASE!$G:$G,BASE!$B:$B,$B333,BASE!$L:$L,$G333,BASE!$J:$J,$C333,BASE!$A:$A,N$2)</f>
        <v>4</v>
      </c>
      <c r="O333" s="12">
        <f>SUMIFS(BASE!$G:$G,BASE!$B:$B,$B333,BASE!$L:$L,$G333,BASE!$J:$J,$C333,BASE!$A:$A,O$2)</f>
        <v>15</v>
      </c>
      <c r="P333" s="12">
        <f>SUMIFS(BASE!$G:$G,BASE!$B:$B,$B333,BASE!$L:$L,$G333,BASE!$J:$J,$C333,BASE!$A:$A,P$2)</f>
        <v>9</v>
      </c>
      <c r="Q333" s="12">
        <f>SUMIFS(BASE!$G:$G,BASE!$B:$B,$B333,BASE!$L:$L,$G333,BASE!$J:$J,$C333,BASE!$A:$A,Q$2)</f>
        <v>17</v>
      </c>
      <c r="R333" s="12">
        <f>SUMIFS(BASE!$G:$G,BASE!$B:$B,$B333,BASE!$L:$L,$G333,BASE!$J:$J,$C333,BASE!$A:$A,R$2)</f>
        <v>2</v>
      </c>
      <c r="S333" s="12">
        <f>SUMIFS(BASE!$G:$G,BASE!$B:$B,$B333,BASE!$L:$L,$G333,BASE!$J:$J,$C333,BASE!$A:$A,S$2)</f>
        <v>0</v>
      </c>
      <c r="T333" s="12">
        <f>SUMIFS(BASE!$G:$G,BASE!$B:$B,$B333,BASE!$L:$L,$G333,BASE!$J:$J,$C333,BASE!$A:$A,T$2)</f>
        <v>0</v>
      </c>
      <c r="U333" s="12">
        <f>SUMIFS(BASE!$G:$G,BASE!$B:$B,$B333,BASE!$L:$L,$G333,BASE!$J:$J,$C333,BASE!$A:$A,U$2)</f>
        <v>0</v>
      </c>
      <c r="V333" s="12">
        <f>SUMIFS(BASE!$G:$G,BASE!$B:$B,$B333,BASE!$L:$L,$G333,BASE!$J:$J,$C333,BASE!$A:$A,V$2)</f>
        <v>0</v>
      </c>
      <c r="X333" t="str">
        <f t="shared" si="11"/>
        <v>COM TROCAS</v>
      </c>
    </row>
    <row r="334" spans="2:24">
      <c r="B334" s="8" t="s">
        <v>857</v>
      </c>
      <c r="C334" s="9" t="s">
        <v>110</v>
      </c>
      <c r="D334" s="9" t="s">
        <v>681</v>
      </c>
      <c r="E334" s="9" t="s">
        <v>682</v>
      </c>
      <c r="F334" s="9" t="s">
        <v>855</v>
      </c>
      <c r="G334" s="9" t="s">
        <v>59</v>
      </c>
      <c r="H334" s="7" t="str">
        <f>IFERROR(IF(_xlfn.XLOOKUP(B334,REPASSE!D:D,REPASSE!D:D)="","Não","Sim"),"Não")</f>
        <v>Não</v>
      </c>
      <c r="I334" s="7" t="str">
        <f>IF(_xlfn.XLOOKUP(B334,'BOOST LIBERADO'!B:B,'BOOST LIBERADO'!B:B,"Não")="Não","Não","Sim")</f>
        <v>Sim</v>
      </c>
      <c r="J334" s="83" t="str">
        <f t="shared" si="10"/>
        <v>Sim</v>
      </c>
      <c r="K334" s="12">
        <f>SUMIFS(BASE!$G:$G,BASE!$B:$B,$B334,BASE!$L:$L,$G334,BASE!$J:$J,$C334,BASE!$A:$A,K$2)</f>
        <v>5</v>
      </c>
      <c r="L334" s="12">
        <f>SUMIFS(BASE!$G:$G,BASE!$B:$B,$B334,BASE!$L:$L,$G334,BASE!$J:$J,$C334,BASE!$A:$A,L$2)</f>
        <v>1</v>
      </c>
      <c r="M334" s="12">
        <f>SUMIFS(BASE!$G:$G,BASE!$B:$B,$B334,BASE!$L:$L,$G334,BASE!$J:$J,$C334,BASE!$A:$A,M$2)</f>
        <v>6</v>
      </c>
      <c r="N334" s="12">
        <f>SUMIFS(BASE!$G:$G,BASE!$B:$B,$B334,BASE!$L:$L,$G334,BASE!$J:$J,$C334,BASE!$A:$A,N$2)</f>
        <v>3</v>
      </c>
      <c r="O334" s="12">
        <f>SUMIFS(BASE!$G:$G,BASE!$B:$B,$B334,BASE!$L:$L,$G334,BASE!$J:$J,$C334,BASE!$A:$A,O$2)</f>
        <v>3</v>
      </c>
      <c r="P334" s="12">
        <f>SUMIFS(BASE!$G:$G,BASE!$B:$B,$B334,BASE!$L:$L,$G334,BASE!$J:$J,$C334,BASE!$A:$A,P$2)</f>
        <v>2</v>
      </c>
      <c r="Q334" s="12">
        <f>SUMIFS(BASE!$G:$G,BASE!$B:$B,$B334,BASE!$L:$L,$G334,BASE!$J:$J,$C334,BASE!$A:$A,Q$2)</f>
        <v>4</v>
      </c>
      <c r="R334" s="12">
        <f>SUMIFS(BASE!$G:$G,BASE!$B:$B,$B334,BASE!$L:$L,$G334,BASE!$J:$J,$C334,BASE!$A:$A,R$2)</f>
        <v>0</v>
      </c>
      <c r="S334" s="12">
        <f>SUMIFS(BASE!$G:$G,BASE!$B:$B,$B334,BASE!$L:$L,$G334,BASE!$J:$J,$C334,BASE!$A:$A,S$2)</f>
        <v>0</v>
      </c>
      <c r="T334" s="12">
        <f>SUMIFS(BASE!$G:$G,BASE!$B:$B,$B334,BASE!$L:$L,$G334,BASE!$J:$J,$C334,BASE!$A:$A,T$2)</f>
        <v>0</v>
      </c>
      <c r="U334" s="12">
        <f>SUMIFS(BASE!$G:$G,BASE!$B:$B,$B334,BASE!$L:$L,$G334,BASE!$J:$J,$C334,BASE!$A:$A,U$2)</f>
        <v>0</v>
      </c>
      <c r="V334" s="12">
        <f>SUMIFS(BASE!$G:$G,BASE!$B:$B,$B334,BASE!$L:$L,$G334,BASE!$J:$J,$C334,BASE!$A:$A,V$2)</f>
        <v>0</v>
      </c>
      <c r="X334" t="str">
        <f t="shared" si="11"/>
        <v>ZERADO</v>
      </c>
    </row>
    <row r="335" spans="2:24">
      <c r="B335" s="8" t="s">
        <v>858</v>
      </c>
      <c r="C335" s="9" t="s">
        <v>110</v>
      </c>
      <c r="D335" s="9" t="s">
        <v>681</v>
      </c>
      <c r="E335" s="9" t="s">
        <v>682</v>
      </c>
      <c r="F335" s="9" t="s">
        <v>716</v>
      </c>
      <c r="G335" s="9" t="s">
        <v>59</v>
      </c>
      <c r="H335" s="7" t="str">
        <f>IFERROR(IF(_xlfn.XLOOKUP(B335,REPASSE!D:D,REPASSE!D:D)="","Não","Sim"),"Não")</f>
        <v>Não</v>
      </c>
      <c r="I335" s="7" t="str">
        <f>IF(_xlfn.XLOOKUP(B335,'BOOST LIBERADO'!B:B,'BOOST LIBERADO'!B:B,"Não")="Não","Não","Sim")</f>
        <v>Sim</v>
      </c>
      <c r="J335" s="83" t="str">
        <f t="shared" si="10"/>
        <v>Sim</v>
      </c>
      <c r="K335" s="12">
        <f>SUMIFS(BASE!$G:$G,BASE!$B:$B,$B335,BASE!$L:$L,$G335,BASE!$J:$J,$C335,BASE!$A:$A,K$2)</f>
        <v>1</v>
      </c>
      <c r="L335" s="12">
        <f>SUMIFS(BASE!$G:$G,BASE!$B:$B,$B335,BASE!$L:$L,$G335,BASE!$J:$J,$C335,BASE!$A:$A,L$2)</f>
        <v>0</v>
      </c>
      <c r="M335" s="12">
        <f>SUMIFS(BASE!$G:$G,BASE!$B:$B,$B335,BASE!$L:$L,$G335,BASE!$J:$J,$C335,BASE!$A:$A,M$2)</f>
        <v>2</v>
      </c>
      <c r="N335" s="12">
        <f>SUMIFS(BASE!$G:$G,BASE!$B:$B,$B335,BASE!$L:$L,$G335,BASE!$J:$J,$C335,BASE!$A:$A,N$2)</f>
        <v>0</v>
      </c>
      <c r="O335" s="12">
        <f>SUMIFS(BASE!$G:$G,BASE!$B:$B,$B335,BASE!$L:$L,$G335,BASE!$J:$J,$C335,BASE!$A:$A,O$2)</f>
        <v>1</v>
      </c>
      <c r="P335" s="12">
        <f>SUMIFS(BASE!$G:$G,BASE!$B:$B,$B335,BASE!$L:$L,$G335,BASE!$J:$J,$C335,BASE!$A:$A,P$2)</f>
        <v>3</v>
      </c>
      <c r="Q335" s="12">
        <f>SUMIFS(BASE!$G:$G,BASE!$B:$B,$B335,BASE!$L:$L,$G335,BASE!$J:$J,$C335,BASE!$A:$A,Q$2)</f>
        <v>1</v>
      </c>
      <c r="R335" s="12">
        <f>SUMIFS(BASE!$G:$G,BASE!$B:$B,$B335,BASE!$L:$L,$G335,BASE!$J:$J,$C335,BASE!$A:$A,R$2)</f>
        <v>0</v>
      </c>
      <c r="S335" s="12">
        <f>SUMIFS(BASE!$G:$G,BASE!$B:$B,$B335,BASE!$L:$L,$G335,BASE!$J:$J,$C335,BASE!$A:$A,S$2)</f>
        <v>0</v>
      </c>
      <c r="T335" s="12">
        <f>SUMIFS(BASE!$G:$G,BASE!$B:$B,$B335,BASE!$L:$L,$G335,BASE!$J:$J,$C335,BASE!$A:$A,T$2)</f>
        <v>0</v>
      </c>
      <c r="U335" s="12">
        <f>SUMIFS(BASE!$G:$G,BASE!$B:$B,$B335,BASE!$L:$L,$G335,BASE!$J:$J,$C335,BASE!$A:$A,U$2)</f>
        <v>0</v>
      </c>
      <c r="V335" s="12">
        <f>SUMIFS(BASE!$G:$G,BASE!$B:$B,$B335,BASE!$L:$L,$G335,BASE!$J:$J,$C335,BASE!$A:$A,V$2)</f>
        <v>0</v>
      </c>
      <c r="X335" t="str">
        <f t="shared" si="11"/>
        <v>ZERADO</v>
      </c>
    </row>
    <row r="336" spans="2:24">
      <c r="B336" s="8" t="s">
        <v>859</v>
      </c>
      <c r="C336" s="9" t="s">
        <v>239</v>
      </c>
      <c r="D336" s="9" t="s">
        <v>688</v>
      </c>
      <c r="E336" s="9" t="s">
        <v>682</v>
      </c>
      <c r="F336" s="9" t="s">
        <v>860</v>
      </c>
      <c r="G336" s="9" t="s">
        <v>59</v>
      </c>
      <c r="H336" s="7" t="str">
        <f>IFERROR(IF(_xlfn.XLOOKUP(B336,REPASSE!D:D,REPASSE!D:D)="","Não","Sim"),"Não")</f>
        <v>Não</v>
      </c>
      <c r="I336" s="7" t="str">
        <f>IF(_xlfn.XLOOKUP(B336,'BOOST LIBERADO'!B:B,'BOOST LIBERADO'!B:B,"Não")="Não","Não","Sim")</f>
        <v>Sim</v>
      </c>
      <c r="J336" s="83" t="str">
        <f t="shared" si="10"/>
        <v>Sim</v>
      </c>
      <c r="K336" s="12">
        <f>SUMIFS(BASE!$G:$G,BASE!$B:$B,$B336,BASE!$L:$L,$G336,BASE!$J:$J,$C336,BASE!$A:$A,K$2)</f>
        <v>0</v>
      </c>
      <c r="L336" s="12">
        <f>SUMIFS(BASE!$G:$G,BASE!$B:$B,$B336,BASE!$L:$L,$G336,BASE!$J:$J,$C336,BASE!$A:$A,L$2)</f>
        <v>0</v>
      </c>
      <c r="M336" s="12">
        <f>SUMIFS(BASE!$G:$G,BASE!$B:$B,$B336,BASE!$L:$L,$G336,BASE!$J:$J,$C336,BASE!$A:$A,M$2)</f>
        <v>0</v>
      </c>
      <c r="N336" s="12">
        <f>SUMIFS(BASE!$G:$G,BASE!$B:$B,$B336,BASE!$L:$L,$G336,BASE!$J:$J,$C336,BASE!$A:$A,N$2)</f>
        <v>0</v>
      </c>
      <c r="O336" s="12">
        <f>SUMIFS(BASE!$G:$G,BASE!$B:$B,$B336,BASE!$L:$L,$G336,BASE!$J:$J,$C336,BASE!$A:$A,O$2)</f>
        <v>0</v>
      </c>
      <c r="P336" s="12">
        <f>SUMIFS(BASE!$G:$G,BASE!$B:$B,$B336,BASE!$L:$L,$G336,BASE!$J:$J,$C336,BASE!$A:$A,P$2)</f>
        <v>0</v>
      </c>
      <c r="Q336" s="12">
        <f>SUMIFS(BASE!$G:$G,BASE!$B:$B,$B336,BASE!$L:$L,$G336,BASE!$J:$J,$C336,BASE!$A:$A,Q$2)</f>
        <v>4</v>
      </c>
      <c r="R336" s="12">
        <f>SUMIFS(BASE!$G:$G,BASE!$B:$B,$B336,BASE!$L:$L,$G336,BASE!$J:$J,$C336,BASE!$A:$A,R$2)</f>
        <v>0</v>
      </c>
      <c r="S336" s="12">
        <f>SUMIFS(BASE!$G:$G,BASE!$B:$B,$B336,BASE!$L:$L,$G336,BASE!$J:$J,$C336,BASE!$A:$A,S$2)</f>
        <v>0</v>
      </c>
      <c r="T336" s="12">
        <f>SUMIFS(BASE!$G:$G,BASE!$B:$B,$B336,BASE!$L:$L,$G336,BASE!$J:$J,$C336,BASE!$A:$A,T$2)</f>
        <v>0</v>
      </c>
      <c r="U336" s="12">
        <f>SUMIFS(BASE!$G:$G,BASE!$B:$B,$B336,BASE!$L:$L,$G336,BASE!$J:$J,$C336,BASE!$A:$A,U$2)</f>
        <v>0</v>
      </c>
      <c r="V336" s="12">
        <f>SUMIFS(BASE!$G:$G,BASE!$B:$B,$B336,BASE!$L:$L,$G336,BASE!$J:$J,$C336,BASE!$A:$A,V$2)</f>
        <v>0</v>
      </c>
      <c r="X336" t="str">
        <f t="shared" si="11"/>
        <v>ZERADO</v>
      </c>
    </row>
    <row r="337" spans="2:24">
      <c r="B337" s="8" t="s">
        <v>861</v>
      </c>
      <c r="C337" s="9" t="s">
        <v>239</v>
      </c>
      <c r="D337" s="9" t="s">
        <v>685</v>
      </c>
      <c r="E337" s="9" t="s">
        <v>682</v>
      </c>
      <c r="F337" s="9" t="s">
        <v>694</v>
      </c>
      <c r="G337" s="9" t="s">
        <v>59</v>
      </c>
      <c r="H337" s="7" t="str">
        <f>IFERROR(IF(_xlfn.XLOOKUP(B337,REPASSE!D:D,REPASSE!D:D)="","Não","Sim"),"Não")</f>
        <v>Não</v>
      </c>
      <c r="I337" s="7" t="str">
        <f>IF(_xlfn.XLOOKUP(B337,'BOOST LIBERADO'!B:B,'BOOST LIBERADO'!B:B,"Não")="Não","Não","Sim")</f>
        <v>Sim</v>
      </c>
      <c r="J337" s="83" t="str">
        <f t="shared" si="10"/>
        <v>Sim</v>
      </c>
      <c r="K337" s="12">
        <f>SUMIFS(BASE!$G:$G,BASE!$B:$B,$B337,BASE!$L:$L,$G337,BASE!$J:$J,$C337,BASE!$A:$A,K$2)</f>
        <v>0</v>
      </c>
      <c r="L337" s="12">
        <f>SUMIFS(BASE!$G:$G,BASE!$B:$B,$B337,BASE!$L:$L,$G337,BASE!$J:$J,$C337,BASE!$A:$A,L$2)</f>
        <v>0</v>
      </c>
      <c r="M337" s="12">
        <f>SUMIFS(BASE!$G:$G,BASE!$B:$B,$B337,BASE!$L:$L,$G337,BASE!$J:$J,$C337,BASE!$A:$A,M$2)</f>
        <v>0</v>
      </c>
      <c r="N337" s="12">
        <f>SUMIFS(BASE!$G:$G,BASE!$B:$B,$B337,BASE!$L:$L,$G337,BASE!$J:$J,$C337,BASE!$A:$A,N$2)</f>
        <v>0</v>
      </c>
      <c r="O337" s="12">
        <f>SUMIFS(BASE!$G:$G,BASE!$B:$B,$B337,BASE!$L:$L,$G337,BASE!$J:$J,$C337,BASE!$A:$A,O$2)</f>
        <v>1</v>
      </c>
      <c r="P337" s="12">
        <f>SUMIFS(BASE!$G:$G,BASE!$B:$B,$B337,BASE!$L:$L,$G337,BASE!$J:$J,$C337,BASE!$A:$A,P$2)</f>
        <v>3</v>
      </c>
      <c r="Q337" s="12">
        <f>SUMIFS(BASE!$G:$G,BASE!$B:$B,$B337,BASE!$L:$L,$G337,BASE!$J:$J,$C337,BASE!$A:$A,Q$2)</f>
        <v>5</v>
      </c>
      <c r="R337" s="12">
        <f>SUMIFS(BASE!$G:$G,BASE!$B:$B,$B337,BASE!$L:$L,$G337,BASE!$J:$J,$C337,BASE!$A:$A,R$2)</f>
        <v>2</v>
      </c>
      <c r="S337" s="12">
        <f>SUMIFS(BASE!$G:$G,BASE!$B:$B,$B337,BASE!$L:$L,$G337,BASE!$J:$J,$C337,BASE!$A:$A,S$2)</f>
        <v>0</v>
      </c>
      <c r="T337" s="12">
        <f>SUMIFS(BASE!$G:$G,BASE!$B:$B,$B337,BASE!$L:$L,$G337,BASE!$J:$J,$C337,BASE!$A:$A,T$2)</f>
        <v>0</v>
      </c>
      <c r="U337" s="12">
        <f>SUMIFS(BASE!$G:$G,BASE!$B:$B,$B337,BASE!$L:$L,$G337,BASE!$J:$J,$C337,BASE!$A:$A,U$2)</f>
        <v>0</v>
      </c>
      <c r="V337" s="12">
        <f>SUMIFS(BASE!$G:$G,BASE!$B:$B,$B337,BASE!$L:$L,$G337,BASE!$J:$J,$C337,BASE!$A:$A,V$2)</f>
        <v>0</v>
      </c>
      <c r="X337" t="str">
        <f t="shared" si="11"/>
        <v>COM TROCAS</v>
      </c>
    </row>
    <row r="338" spans="2:24">
      <c r="B338" s="8" t="s">
        <v>862</v>
      </c>
      <c r="C338" s="9" t="s">
        <v>135</v>
      </c>
      <c r="D338" s="9" t="s">
        <v>688</v>
      </c>
      <c r="E338" s="9" t="s">
        <v>682</v>
      </c>
      <c r="F338" s="9" t="s">
        <v>863</v>
      </c>
      <c r="G338" s="9" t="s">
        <v>59</v>
      </c>
      <c r="H338" s="7" t="str">
        <f>IFERROR(IF(_xlfn.XLOOKUP(B338,REPASSE!D:D,REPASSE!D:D)="","Não","Sim"),"Não")</f>
        <v>Não</v>
      </c>
      <c r="I338" s="7" t="str">
        <f>IF(_xlfn.XLOOKUP(B338,'BOOST LIBERADO'!B:B,'BOOST LIBERADO'!B:B,"Não")="Não","Não","Sim")</f>
        <v>Sim</v>
      </c>
      <c r="J338" s="83" t="str">
        <f t="shared" si="10"/>
        <v>Sim</v>
      </c>
      <c r="K338" s="12">
        <f>SUMIFS(BASE!$G:$G,BASE!$B:$B,$B338,BASE!$L:$L,$G338,BASE!$J:$J,$C338,BASE!$A:$A,K$2)</f>
        <v>0</v>
      </c>
      <c r="L338" s="12">
        <f>SUMIFS(BASE!$G:$G,BASE!$B:$B,$B338,BASE!$L:$L,$G338,BASE!$J:$J,$C338,BASE!$A:$A,L$2)</f>
        <v>0</v>
      </c>
      <c r="M338" s="12">
        <f>SUMIFS(BASE!$G:$G,BASE!$B:$B,$B338,BASE!$L:$L,$G338,BASE!$J:$J,$C338,BASE!$A:$A,M$2)</f>
        <v>0</v>
      </c>
      <c r="N338" s="12">
        <f>SUMIFS(BASE!$G:$G,BASE!$B:$B,$B338,BASE!$L:$L,$G338,BASE!$J:$J,$C338,BASE!$A:$A,N$2)</f>
        <v>0</v>
      </c>
      <c r="O338" s="12">
        <f>SUMIFS(BASE!$G:$G,BASE!$B:$B,$B338,BASE!$L:$L,$G338,BASE!$J:$J,$C338,BASE!$A:$A,O$2)</f>
        <v>0</v>
      </c>
      <c r="P338" s="12">
        <f>SUMIFS(BASE!$G:$G,BASE!$B:$B,$B338,BASE!$L:$L,$G338,BASE!$J:$J,$C338,BASE!$A:$A,P$2)</f>
        <v>0</v>
      </c>
      <c r="Q338" s="12">
        <f>SUMIFS(BASE!$G:$G,BASE!$B:$B,$B338,BASE!$L:$L,$G338,BASE!$J:$J,$C338,BASE!$A:$A,Q$2)</f>
        <v>0</v>
      </c>
      <c r="R338" s="12">
        <f>SUMIFS(BASE!$G:$G,BASE!$B:$B,$B338,BASE!$L:$L,$G338,BASE!$J:$J,$C338,BASE!$A:$A,R$2)</f>
        <v>0</v>
      </c>
      <c r="S338" s="12">
        <f>SUMIFS(BASE!$G:$G,BASE!$B:$B,$B338,BASE!$L:$L,$G338,BASE!$J:$J,$C338,BASE!$A:$A,S$2)</f>
        <v>0</v>
      </c>
      <c r="T338" s="12">
        <f>SUMIFS(BASE!$G:$G,BASE!$B:$B,$B338,BASE!$L:$L,$G338,BASE!$J:$J,$C338,BASE!$A:$A,T$2)</f>
        <v>0</v>
      </c>
      <c r="U338" s="12">
        <f>SUMIFS(BASE!$G:$G,BASE!$B:$B,$B338,BASE!$L:$L,$G338,BASE!$J:$J,$C338,BASE!$A:$A,U$2)</f>
        <v>0</v>
      </c>
      <c r="V338" s="12">
        <f>SUMIFS(BASE!$G:$G,BASE!$B:$B,$B338,BASE!$L:$L,$G338,BASE!$J:$J,$C338,BASE!$A:$A,V$2)</f>
        <v>0</v>
      </c>
      <c r="X338" t="str">
        <f t="shared" si="11"/>
        <v>ZERADO</v>
      </c>
    </row>
    <row r="339" spans="2:24">
      <c r="B339" s="8" t="s">
        <v>864</v>
      </c>
      <c r="C339" s="9" t="s">
        <v>90</v>
      </c>
      <c r="D339" s="9" t="s">
        <v>701</v>
      </c>
      <c r="E339" s="9" t="s">
        <v>682</v>
      </c>
      <c r="F339" s="9" t="s">
        <v>865</v>
      </c>
      <c r="G339" s="9" t="s">
        <v>59</v>
      </c>
      <c r="H339" s="7" t="str">
        <f>IFERROR(IF(_xlfn.XLOOKUP(B339,REPASSE!D:D,REPASSE!D:D)="","Não","Sim"),"Não")</f>
        <v>Não</v>
      </c>
      <c r="I339" s="7" t="str">
        <f>IF(_xlfn.XLOOKUP(B339,'BOOST LIBERADO'!B:B,'BOOST LIBERADO'!B:B,"Não")="Não","Não","Sim")</f>
        <v>Sim</v>
      </c>
      <c r="J339" s="83" t="str">
        <f t="shared" si="10"/>
        <v>Sim</v>
      </c>
      <c r="K339" s="12">
        <f>SUMIFS(BASE!$G:$G,BASE!$B:$B,$B339,BASE!$L:$L,$G339,BASE!$J:$J,$C339,BASE!$A:$A,K$2)</f>
        <v>0</v>
      </c>
      <c r="L339" s="12">
        <f>SUMIFS(BASE!$G:$G,BASE!$B:$B,$B339,BASE!$L:$L,$G339,BASE!$J:$J,$C339,BASE!$A:$A,L$2)</f>
        <v>0</v>
      </c>
      <c r="M339" s="12">
        <f>SUMIFS(BASE!$G:$G,BASE!$B:$B,$B339,BASE!$L:$L,$G339,BASE!$J:$J,$C339,BASE!$A:$A,M$2)</f>
        <v>0</v>
      </c>
      <c r="N339" s="12">
        <f>SUMIFS(BASE!$G:$G,BASE!$B:$B,$B339,BASE!$L:$L,$G339,BASE!$J:$J,$C339,BASE!$A:$A,N$2)</f>
        <v>0</v>
      </c>
      <c r="O339" s="12">
        <f>SUMIFS(BASE!$G:$G,BASE!$B:$B,$B339,BASE!$L:$L,$G339,BASE!$J:$J,$C339,BASE!$A:$A,O$2)</f>
        <v>0</v>
      </c>
      <c r="P339" s="12">
        <f>SUMIFS(BASE!$G:$G,BASE!$B:$B,$B339,BASE!$L:$L,$G339,BASE!$J:$J,$C339,BASE!$A:$A,P$2)</f>
        <v>0</v>
      </c>
      <c r="Q339" s="12">
        <f>SUMIFS(BASE!$G:$G,BASE!$B:$B,$B339,BASE!$L:$L,$G339,BASE!$J:$J,$C339,BASE!$A:$A,Q$2)</f>
        <v>0</v>
      </c>
      <c r="R339" s="12">
        <f>SUMIFS(BASE!$G:$G,BASE!$B:$B,$B339,BASE!$L:$L,$G339,BASE!$J:$J,$C339,BASE!$A:$A,R$2)</f>
        <v>0</v>
      </c>
      <c r="S339" s="12">
        <f>SUMIFS(BASE!$G:$G,BASE!$B:$B,$B339,BASE!$L:$L,$G339,BASE!$J:$J,$C339,BASE!$A:$A,S$2)</f>
        <v>0</v>
      </c>
      <c r="T339" s="12">
        <f>SUMIFS(BASE!$G:$G,BASE!$B:$B,$B339,BASE!$L:$L,$G339,BASE!$J:$J,$C339,BASE!$A:$A,T$2)</f>
        <v>0</v>
      </c>
      <c r="U339" s="12">
        <f>SUMIFS(BASE!$G:$G,BASE!$B:$B,$B339,BASE!$L:$L,$G339,BASE!$J:$J,$C339,BASE!$A:$A,U$2)</f>
        <v>0</v>
      </c>
      <c r="V339" s="12">
        <f>SUMIFS(BASE!$G:$G,BASE!$B:$B,$B339,BASE!$L:$L,$G339,BASE!$J:$J,$C339,BASE!$A:$A,V$2)</f>
        <v>0</v>
      </c>
      <c r="X339" t="str">
        <f t="shared" si="11"/>
        <v>ZERADO</v>
      </c>
    </row>
    <row r="340" spans="2:24">
      <c r="B340" s="8" t="s">
        <v>866</v>
      </c>
      <c r="C340" s="9" t="s">
        <v>133</v>
      </c>
      <c r="D340" s="9" t="s">
        <v>701</v>
      </c>
      <c r="E340" s="9" t="s">
        <v>682</v>
      </c>
      <c r="F340" s="9" t="s">
        <v>867</v>
      </c>
      <c r="G340" s="9" t="s">
        <v>59</v>
      </c>
      <c r="H340" s="7" t="str">
        <f>IFERROR(IF(_xlfn.XLOOKUP(B340,REPASSE!D:D,REPASSE!D:D)="","Não","Sim"),"Não")</f>
        <v>Não</v>
      </c>
      <c r="I340" s="7" t="str">
        <f>IF(_xlfn.XLOOKUP(B340,'BOOST LIBERADO'!B:B,'BOOST LIBERADO'!B:B,"Não")="Não","Não","Sim")</f>
        <v>Sim</v>
      </c>
      <c r="J340" s="83" t="str">
        <f t="shared" si="10"/>
        <v>Sim</v>
      </c>
      <c r="K340" s="12">
        <f>SUMIFS(BASE!$G:$G,BASE!$B:$B,$B340,BASE!$L:$L,$G340,BASE!$J:$J,$C340,BASE!$A:$A,K$2)</f>
        <v>0</v>
      </c>
      <c r="L340" s="12">
        <f>SUMIFS(BASE!$G:$G,BASE!$B:$B,$B340,BASE!$L:$L,$G340,BASE!$J:$J,$C340,BASE!$A:$A,L$2)</f>
        <v>0</v>
      </c>
      <c r="M340" s="12">
        <f>SUMIFS(BASE!$G:$G,BASE!$B:$B,$B340,BASE!$L:$L,$G340,BASE!$J:$J,$C340,BASE!$A:$A,M$2)</f>
        <v>0</v>
      </c>
      <c r="N340" s="12">
        <f>SUMIFS(BASE!$G:$G,BASE!$B:$B,$B340,BASE!$L:$L,$G340,BASE!$J:$J,$C340,BASE!$A:$A,N$2)</f>
        <v>0</v>
      </c>
      <c r="O340" s="12">
        <f>SUMIFS(BASE!$G:$G,BASE!$B:$B,$B340,BASE!$L:$L,$G340,BASE!$J:$J,$C340,BASE!$A:$A,O$2)</f>
        <v>0</v>
      </c>
      <c r="P340" s="12">
        <f>SUMIFS(BASE!$G:$G,BASE!$B:$B,$B340,BASE!$L:$L,$G340,BASE!$J:$J,$C340,BASE!$A:$A,P$2)</f>
        <v>0</v>
      </c>
      <c r="Q340" s="12">
        <f>SUMIFS(BASE!$G:$G,BASE!$B:$B,$B340,BASE!$L:$L,$G340,BASE!$J:$J,$C340,BASE!$A:$A,Q$2)</f>
        <v>0</v>
      </c>
      <c r="R340" s="12">
        <f>SUMIFS(BASE!$G:$G,BASE!$B:$B,$B340,BASE!$L:$L,$G340,BASE!$J:$J,$C340,BASE!$A:$A,R$2)</f>
        <v>0</v>
      </c>
      <c r="S340" s="12">
        <f>SUMIFS(BASE!$G:$G,BASE!$B:$B,$B340,BASE!$L:$L,$G340,BASE!$J:$J,$C340,BASE!$A:$A,S$2)</f>
        <v>0</v>
      </c>
      <c r="T340" s="12">
        <f>SUMIFS(BASE!$G:$G,BASE!$B:$B,$B340,BASE!$L:$L,$G340,BASE!$J:$J,$C340,BASE!$A:$A,T$2)</f>
        <v>0</v>
      </c>
      <c r="U340" s="12">
        <f>SUMIFS(BASE!$G:$G,BASE!$B:$B,$B340,BASE!$L:$L,$G340,BASE!$J:$J,$C340,BASE!$A:$A,U$2)</f>
        <v>0</v>
      </c>
      <c r="V340" s="12">
        <f>SUMIFS(BASE!$G:$G,BASE!$B:$B,$B340,BASE!$L:$L,$G340,BASE!$J:$J,$C340,BASE!$A:$A,V$2)</f>
        <v>0</v>
      </c>
      <c r="X340" t="str">
        <f t="shared" si="11"/>
        <v>ZERADO</v>
      </c>
    </row>
    <row r="341" spans="2:24">
      <c r="B341" s="8" t="s">
        <v>868</v>
      </c>
      <c r="C341" s="9" t="s">
        <v>239</v>
      </c>
      <c r="D341" s="9" t="s">
        <v>701</v>
      </c>
      <c r="E341" s="9" t="s">
        <v>682</v>
      </c>
      <c r="F341" s="9" t="s">
        <v>869</v>
      </c>
      <c r="G341" s="9" t="s">
        <v>59</v>
      </c>
      <c r="H341" s="7" t="str">
        <f>IFERROR(IF(_xlfn.XLOOKUP(B341,REPASSE!D:D,REPASSE!D:D)="","Não","Sim"),"Não")</f>
        <v>Não</v>
      </c>
      <c r="I341" s="7" t="str">
        <f>IF(_xlfn.XLOOKUP(B341,'BOOST LIBERADO'!B:B,'BOOST LIBERADO'!B:B,"Não")="Não","Não","Sim")</f>
        <v>Sim</v>
      </c>
      <c r="J341" s="83" t="str">
        <f t="shared" si="10"/>
        <v>Sim</v>
      </c>
      <c r="K341" s="12">
        <f>SUMIFS(BASE!$G:$G,BASE!$B:$B,$B341,BASE!$L:$L,$G341,BASE!$J:$J,$C341,BASE!$A:$A,K$2)</f>
        <v>0</v>
      </c>
      <c r="L341" s="12">
        <f>SUMIFS(BASE!$G:$G,BASE!$B:$B,$B341,BASE!$L:$L,$G341,BASE!$J:$J,$C341,BASE!$A:$A,L$2)</f>
        <v>1</v>
      </c>
      <c r="M341" s="12">
        <f>SUMIFS(BASE!$G:$G,BASE!$B:$B,$B341,BASE!$L:$L,$G341,BASE!$J:$J,$C341,BASE!$A:$A,M$2)</f>
        <v>0</v>
      </c>
      <c r="N341" s="12">
        <f>SUMIFS(BASE!$G:$G,BASE!$B:$B,$B341,BASE!$L:$L,$G341,BASE!$J:$J,$C341,BASE!$A:$A,N$2)</f>
        <v>0</v>
      </c>
      <c r="O341" s="12">
        <f>SUMIFS(BASE!$G:$G,BASE!$B:$B,$B341,BASE!$L:$L,$G341,BASE!$J:$J,$C341,BASE!$A:$A,O$2)</f>
        <v>0</v>
      </c>
      <c r="P341" s="12">
        <f>SUMIFS(BASE!$G:$G,BASE!$B:$B,$B341,BASE!$L:$L,$G341,BASE!$J:$J,$C341,BASE!$A:$A,P$2)</f>
        <v>0</v>
      </c>
      <c r="Q341" s="12">
        <f>SUMIFS(BASE!$G:$G,BASE!$B:$B,$B341,BASE!$L:$L,$G341,BASE!$J:$J,$C341,BASE!$A:$A,Q$2)</f>
        <v>0</v>
      </c>
      <c r="R341" s="12">
        <f>SUMIFS(BASE!$G:$G,BASE!$B:$B,$B341,BASE!$L:$L,$G341,BASE!$J:$J,$C341,BASE!$A:$A,R$2)</f>
        <v>6</v>
      </c>
      <c r="S341" s="12">
        <f>SUMIFS(BASE!$G:$G,BASE!$B:$B,$B341,BASE!$L:$L,$G341,BASE!$J:$J,$C341,BASE!$A:$A,S$2)</f>
        <v>0</v>
      </c>
      <c r="T341" s="12">
        <f>SUMIFS(BASE!$G:$G,BASE!$B:$B,$B341,BASE!$L:$L,$G341,BASE!$J:$J,$C341,BASE!$A:$A,T$2)</f>
        <v>0</v>
      </c>
      <c r="U341" s="12">
        <f>SUMIFS(BASE!$G:$G,BASE!$B:$B,$B341,BASE!$L:$L,$G341,BASE!$J:$J,$C341,BASE!$A:$A,U$2)</f>
        <v>0</v>
      </c>
      <c r="V341" s="12">
        <f>SUMIFS(BASE!$G:$G,BASE!$B:$B,$B341,BASE!$L:$L,$G341,BASE!$J:$J,$C341,BASE!$A:$A,V$2)</f>
        <v>0</v>
      </c>
      <c r="X341" t="str">
        <f t="shared" si="11"/>
        <v>COM TROCAS</v>
      </c>
    </row>
    <row r="342" spans="2:24">
      <c r="B342" s="8" t="s">
        <v>870</v>
      </c>
      <c r="C342" s="9" t="s">
        <v>224</v>
      </c>
      <c r="D342" s="9" t="s">
        <v>718</v>
      </c>
      <c r="E342" s="9" t="s">
        <v>719</v>
      </c>
      <c r="F342" s="9" t="s">
        <v>871</v>
      </c>
      <c r="G342" s="9" t="s">
        <v>59</v>
      </c>
      <c r="H342" s="7" t="str">
        <f>IFERROR(IF(_xlfn.XLOOKUP(B342,REPASSE!D:D,REPASSE!D:D)="","Não","Sim"),"Não")</f>
        <v>Não</v>
      </c>
      <c r="I342" s="7" t="str">
        <f>IF(_xlfn.XLOOKUP(B342,'BOOST LIBERADO'!B:B,'BOOST LIBERADO'!B:B,"Não")="Não","Não","Sim")</f>
        <v>Sim</v>
      </c>
      <c r="J342" s="83" t="str">
        <f t="shared" si="10"/>
        <v>Sim</v>
      </c>
      <c r="K342" s="12">
        <f>SUMIFS(BASE!$G:$G,BASE!$B:$B,$B342,BASE!$L:$L,$G342,BASE!$J:$J,$C342,BASE!$A:$A,K$2)</f>
        <v>2</v>
      </c>
      <c r="L342" s="12">
        <f>SUMIFS(BASE!$G:$G,BASE!$B:$B,$B342,BASE!$L:$L,$G342,BASE!$J:$J,$C342,BASE!$A:$A,L$2)</f>
        <v>2</v>
      </c>
      <c r="M342" s="12">
        <f>SUMIFS(BASE!$G:$G,BASE!$B:$B,$B342,BASE!$L:$L,$G342,BASE!$J:$J,$C342,BASE!$A:$A,M$2)</f>
        <v>1</v>
      </c>
      <c r="N342" s="12">
        <f>SUMIFS(BASE!$G:$G,BASE!$B:$B,$B342,BASE!$L:$L,$G342,BASE!$J:$J,$C342,BASE!$A:$A,N$2)</f>
        <v>1</v>
      </c>
      <c r="O342" s="12">
        <f>SUMIFS(BASE!$G:$G,BASE!$B:$B,$B342,BASE!$L:$L,$G342,BASE!$J:$J,$C342,BASE!$A:$A,O$2)</f>
        <v>3</v>
      </c>
      <c r="P342" s="12">
        <f>SUMIFS(BASE!$G:$G,BASE!$B:$B,$B342,BASE!$L:$L,$G342,BASE!$J:$J,$C342,BASE!$A:$A,P$2)</f>
        <v>0</v>
      </c>
      <c r="Q342" s="12">
        <f>SUMIFS(BASE!$G:$G,BASE!$B:$B,$B342,BASE!$L:$L,$G342,BASE!$J:$J,$C342,BASE!$A:$A,Q$2)</f>
        <v>5</v>
      </c>
      <c r="R342" s="12">
        <f>SUMIFS(BASE!$G:$G,BASE!$B:$B,$B342,BASE!$L:$L,$G342,BASE!$J:$J,$C342,BASE!$A:$A,R$2)</f>
        <v>1</v>
      </c>
      <c r="S342" s="12">
        <f>SUMIFS(BASE!$G:$G,BASE!$B:$B,$B342,BASE!$L:$L,$G342,BASE!$J:$J,$C342,BASE!$A:$A,S$2)</f>
        <v>0</v>
      </c>
      <c r="T342" s="12">
        <f>SUMIFS(BASE!$G:$G,BASE!$B:$B,$B342,BASE!$L:$L,$G342,BASE!$J:$J,$C342,BASE!$A:$A,T$2)</f>
        <v>0</v>
      </c>
      <c r="U342" s="12">
        <f>SUMIFS(BASE!$G:$G,BASE!$B:$B,$B342,BASE!$L:$L,$G342,BASE!$J:$J,$C342,BASE!$A:$A,U$2)</f>
        <v>0</v>
      </c>
      <c r="V342" s="12">
        <f>SUMIFS(BASE!$G:$G,BASE!$B:$B,$B342,BASE!$L:$L,$G342,BASE!$J:$J,$C342,BASE!$A:$A,V$2)</f>
        <v>0</v>
      </c>
      <c r="X342" t="str">
        <f t="shared" si="11"/>
        <v>COM TROCAS</v>
      </c>
    </row>
    <row r="343" spans="2:24">
      <c r="B343" s="8" t="s">
        <v>872</v>
      </c>
      <c r="C343" s="9" t="s">
        <v>239</v>
      </c>
      <c r="D343" s="9" t="s">
        <v>722</v>
      </c>
      <c r="E343" s="9" t="s">
        <v>719</v>
      </c>
      <c r="F343" s="9" t="s">
        <v>873</v>
      </c>
      <c r="G343" s="9" t="s">
        <v>59</v>
      </c>
      <c r="H343" s="7" t="str">
        <f>IFERROR(IF(_xlfn.XLOOKUP(B343,REPASSE!D:D,REPASSE!D:D)="","Não","Sim"),"Não")</f>
        <v>Não</v>
      </c>
      <c r="I343" s="7" t="str">
        <f>IF(_xlfn.XLOOKUP(B343,'BOOST LIBERADO'!B:B,'BOOST LIBERADO'!B:B,"Não")="Não","Não","Sim")</f>
        <v>Sim</v>
      </c>
      <c r="J343" s="83" t="str">
        <f t="shared" si="10"/>
        <v>Sim</v>
      </c>
      <c r="K343" s="12">
        <f>SUMIFS(BASE!$G:$G,BASE!$B:$B,$B343,BASE!$L:$L,$G343,BASE!$J:$J,$C343,BASE!$A:$A,K$2)</f>
        <v>10</v>
      </c>
      <c r="L343" s="12">
        <f>SUMIFS(BASE!$G:$G,BASE!$B:$B,$B343,BASE!$L:$L,$G343,BASE!$J:$J,$C343,BASE!$A:$A,L$2)</f>
        <v>9</v>
      </c>
      <c r="M343" s="12">
        <f>SUMIFS(BASE!$G:$G,BASE!$B:$B,$B343,BASE!$L:$L,$G343,BASE!$J:$J,$C343,BASE!$A:$A,M$2)</f>
        <v>33</v>
      </c>
      <c r="N343" s="12">
        <f>SUMIFS(BASE!$G:$G,BASE!$B:$B,$B343,BASE!$L:$L,$G343,BASE!$J:$J,$C343,BASE!$A:$A,N$2)</f>
        <v>13</v>
      </c>
      <c r="O343" s="12">
        <f>SUMIFS(BASE!$G:$G,BASE!$B:$B,$B343,BASE!$L:$L,$G343,BASE!$J:$J,$C343,BASE!$A:$A,O$2)</f>
        <v>29</v>
      </c>
      <c r="P343" s="12">
        <f>SUMIFS(BASE!$G:$G,BASE!$B:$B,$B343,BASE!$L:$L,$G343,BASE!$J:$J,$C343,BASE!$A:$A,P$2)</f>
        <v>16</v>
      </c>
      <c r="Q343" s="12">
        <f>SUMIFS(BASE!$G:$G,BASE!$B:$B,$B343,BASE!$L:$L,$G343,BASE!$J:$J,$C343,BASE!$A:$A,Q$2)</f>
        <v>26</v>
      </c>
      <c r="R343" s="12">
        <f>SUMIFS(BASE!$G:$G,BASE!$B:$B,$B343,BASE!$L:$L,$G343,BASE!$J:$J,$C343,BASE!$A:$A,R$2)</f>
        <v>17</v>
      </c>
      <c r="S343" s="12">
        <f>SUMIFS(BASE!$G:$G,BASE!$B:$B,$B343,BASE!$L:$L,$G343,BASE!$J:$J,$C343,BASE!$A:$A,S$2)</f>
        <v>0</v>
      </c>
      <c r="T343" s="12">
        <f>SUMIFS(BASE!$G:$G,BASE!$B:$B,$B343,BASE!$L:$L,$G343,BASE!$J:$J,$C343,BASE!$A:$A,T$2)</f>
        <v>0</v>
      </c>
      <c r="U343" s="12">
        <f>SUMIFS(BASE!$G:$G,BASE!$B:$B,$B343,BASE!$L:$L,$G343,BASE!$J:$J,$C343,BASE!$A:$A,U$2)</f>
        <v>0</v>
      </c>
      <c r="V343" s="12">
        <f>SUMIFS(BASE!$G:$G,BASE!$B:$B,$B343,BASE!$L:$L,$G343,BASE!$J:$J,$C343,BASE!$A:$A,V$2)</f>
        <v>0</v>
      </c>
      <c r="X343" t="str">
        <f t="shared" si="11"/>
        <v>COM TROCAS</v>
      </c>
    </row>
    <row r="344" spans="2:24">
      <c r="B344" s="8" t="s">
        <v>874</v>
      </c>
      <c r="C344" s="9" t="s">
        <v>239</v>
      </c>
      <c r="D344" s="9" t="s">
        <v>718</v>
      </c>
      <c r="E344" s="9" t="s">
        <v>719</v>
      </c>
      <c r="F344" s="9" t="s">
        <v>875</v>
      </c>
      <c r="G344" s="9" t="s">
        <v>59</v>
      </c>
      <c r="H344" s="7" t="str">
        <f>IFERROR(IF(_xlfn.XLOOKUP(B344,REPASSE!D:D,REPASSE!D:D)="","Não","Sim"),"Não")</f>
        <v>Não</v>
      </c>
      <c r="I344" s="7" t="str">
        <f>IF(_xlfn.XLOOKUP(B344,'BOOST LIBERADO'!B:B,'BOOST LIBERADO'!B:B,"Não")="Não","Não","Sim")</f>
        <v>Sim</v>
      </c>
      <c r="J344" s="83" t="str">
        <f t="shared" si="10"/>
        <v>Sim</v>
      </c>
      <c r="K344" s="12">
        <f>SUMIFS(BASE!$G:$G,BASE!$B:$B,$B344,BASE!$L:$L,$G344,BASE!$J:$J,$C344,BASE!$A:$A,K$2)</f>
        <v>1</v>
      </c>
      <c r="L344" s="12">
        <f>SUMIFS(BASE!$G:$G,BASE!$B:$B,$B344,BASE!$L:$L,$G344,BASE!$J:$J,$C344,BASE!$A:$A,L$2)</f>
        <v>2</v>
      </c>
      <c r="M344" s="12">
        <f>SUMIFS(BASE!$G:$G,BASE!$B:$B,$B344,BASE!$L:$L,$G344,BASE!$J:$J,$C344,BASE!$A:$A,M$2)</f>
        <v>3</v>
      </c>
      <c r="N344" s="12">
        <f>SUMIFS(BASE!$G:$G,BASE!$B:$B,$B344,BASE!$L:$L,$G344,BASE!$J:$J,$C344,BASE!$A:$A,N$2)</f>
        <v>6</v>
      </c>
      <c r="O344" s="12">
        <f>SUMIFS(BASE!$G:$G,BASE!$B:$B,$B344,BASE!$L:$L,$G344,BASE!$J:$J,$C344,BASE!$A:$A,O$2)</f>
        <v>7</v>
      </c>
      <c r="P344" s="12">
        <f>SUMIFS(BASE!$G:$G,BASE!$B:$B,$B344,BASE!$L:$L,$G344,BASE!$J:$J,$C344,BASE!$A:$A,P$2)</f>
        <v>7</v>
      </c>
      <c r="Q344" s="12">
        <f>SUMIFS(BASE!$G:$G,BASE!$B:$B,$B344,BASE!$L:$L,$G344,BASE!$J:$J,$C344,BASE!$A:$A,Q$2)</f>
        <v>23</v>
      </c>
      <c r="R344" s="12">
        <f>SUMIFS(BASE!$G:$G,BASE!$B:$B,$B344,BASE!$L:$L,$G344,BASE!$J:$J,$C344,BASE!$A:$A,R$2)</f>
        <v>8</v>
      </c>
      <c r="S344" s="12">
        <f>SUMIFS(BASE!$G:$G,BASE!$B:$B,$B344,BASE!$L:$L,$G344,BASE!$J:$J,$C344,BASE!$A:$A,S$2)</f>
        <v>0</v>
      </c>
      <c r="T344" s="12">
        <f>SUMIFS(BASE!$G:$G,BASE!$B:$B,$B344,BASE!$L:$L,$G344,BASE!$J:$J,$C344,BASE!$A:$A,T$2)</f>
        <v>0</v>
      </c>
      <c r="U344" s="12">
        <f>SUMIFS(BASE!$G:$G,BASE!$B:$B,$B344,BASE!$L:$L,$G344,BASE!$J:$J,$C344,BASE!$A:$A,U$2)</f>
        <v>0</v>
      </c>
      <c r="V344" s="12">
        <f>SUMIFS(BASE!$G:$G,BASE!$B:$B,$B344,BASE!$L:$L,$G344,BASE!$J:$J,$C344,BASE!$A:$A,V$2)</f>
        <v>0</v>
      </c>
      <c r="X344" t="str">
        <f t="shared" si="11"/>
        <v>COM TROCAS</v>
      </c>
    </row>
    <row r="345" spans="2:24">
      <c r="B345" s="8" t="s">
        <v>876</v>
      </c>
      <c r="C345" s="9" t="s">
        <v>224</v>
      </c>
      <c r="D345" s="9" t="s">
        <v>877</v>
      </c>
      <c r="E345" s="9" t="s">
        <v>719</v>
      </c>
      <c r="F345" s="9" t="s">
        <v>873</v>
      </c>
      <c r="G345" s="9" t="s">
        <v>59</v>
      </c>
      <c r="H345" s="7" t="str">
        <f>IFERROR(IF(_xlfn.XLOOKUP(B345,REPASSE!D:D,REPASSE!D:D)="","Não","Sim"),"Não")</f>
        <v>Não</v>
      </c>
      <c r="I345" s="7" t="str">
        <f>IF(_xlfn.XLOOKUP(B345,'BOOST LIBERADO'!B:B,'BOOST LIBERADO'!B:B,"Não")="Não","Não","Sim")</f>
        <v>Sim</v>
      </c>
      <c r="J345" s="83" t="str">
        <f t="shared" si="10"/>
        <v>Sim</v>
      </c>
      <c r="K345" s="12">
        <f>SUMIFS(BASE!$G:$G,BASE!$B:$B,$B345,BASE!$L:$L,$G345,BASE!$J:$J,$C345,BASE!$A:$A,K$2)</f>
        <v>2</v>
      </c>
      <c r="L345" s="12">
        <f>SUMIFS(BASE!$G:$G,BASE!$B:$B,$B345,BASE!$L:$L,$G345,BASE!$J:$J,$C345,BASE!$A:$A,L$2)</f>
        <v>0</v>
      </c>
      <c r="M345" s="12">
        <f>SUMIFS(BASE!$G:$G,BASE!$B:$B,$B345,BASE!$L:$L,$G345,BASE!$J:$J,$C345,BASE!$A:$A,M$2)</f>
        <v>1</v>
      </c>
      <c r="N345" s="12">
        <f>SUMIFS(BASE!$G:$G,BASE!$B:$B,$B345,BASE!$L:$L,$G345,BASE!$J:$J,$C345,BASE!$A:$A,N$2)</f>
        <v>0</v>
      </c>
      <c r="O345" s="12">
        <f>SUMIFS(BASE!$G:$G,BASE!$B:$B,$B345,BASE!$L:$L,$G345,BASE!$J:$J,$C345,BASE!$A:$A,O$2)</f>
        <v>0</v>
      </c>
      <c r="P345" s="12">
        <f>SUMIFS(BASE!$G:$G,BASE!$B:$B,$B345,BASE!$L:$L,$G345,BASE!$J:$J,$C345,BASE!$A:$A,P$2)</f>
        <v>0</v>
      </c>
      <c r="Q345" s="12">
        <f>SUMIFS(BASE!$G:$G,BASE!$B:$B,$B345,BASE!$L:$L,$G345,BASE!$J:$J,$C345,BASE!$A:$A,Q$2)</f>
        <v>11</v>
      </c>
      <c r="R345" s="12">
        <f>SUMIFS(BASE!$G:$G,BASE!$B:$B,$B345,BASE!$L:$L,$G345,BASE!$J:$J,$C345,BASE!$A:$A,R$2)</f>
        <v>0</v>
      </c>
      <c r="S345" s="12">
        <f>SUMIFS(BASE!$G:$G,BASE!$B:$B,$B345,BASE!$L:$L,$G345,BASE!$J:$J,$C345,BASE!$A:$A,S$2)</f>
        <v>0</v>
      </c>
      <c r="T345" s="12">
        <f>SUMIFS(BASE!$G:$G,BASE!$B:$B,$B345,BASE!$L:$L,$G345,BASE!$J:$J,$C345,BASE!$A:$A,T$2)</f>
        <v>0</v>
      </c>
      <c r="U345" s="12">
        <f>SUMIFS(BASE!$G:$G,BASE!$B:$B,$B345,BASE!$L:$L,$G345,BASE!$J:$J,$C345,BASE!$A:$A,U$2)</f>
        <v>0</v>
      </c>
      <c r="V345" s="12">
        <f>SUMIFS(BASE!$G:$G,BASE!$B:$B,$B345,BASE!$L:$L,$G345,BASE!$J:$J,$C345,BASE!$A:$A,V$2)</f>
        <v>0</v>
      </c>
      <c r="X345" t="str">
        <f t="shared" si="11"/>
        <v>ZERADO</v>
      </c>
    </row>
    <row r="346" spans="2:24">
      <c r="B346" s="8" t="s">
        <v>878</v>
      </c>
      <c r="C346" s="9" t="s">
        <v>224</v>
      </c>
      <c r="D346" s="9" t="s">
        <v>877</v>
      </c>
      <c r="E346" s="9" t="s">
        <v>719</v>
      </c>
      <c r="F346" s="9" t="s">
        <v>873</v>
      </c>
      <c r="G346" s="9" t="s">
        <v>59</v>
      </c>
      <c r="H346" s="7" t="str">
        <f>IFERROR(IF(_xlfn.XLOOKUP(B346,REPASSE!D:D,REPASSE!D:D)="","Não","Sim"),"Não")</f>
        <v>Não</v>
      </c>
      <c r="I346" s="7" t="str">
        <f>IF(_xlfn.XLOOKUP(B346,'BOOST LIBERADO'!B:B,'BOOST LIBERADO'!B:B,"Não")="Não","Não","Sim")</f>
        <v>Sim</v>
      </c>
      <c r="J346" s="83" t="str">
        <f t="shared" si="10"/>
        <v>Sim</v>
      </c>
      <c r="K346" s="12">
        <f>SUMIFS(BASE!$G:$G,BASE!$B:$B,$B346,BASE!$L:$L,$G346,BASE!$J:$J,$C346,BASE!$A:$A,K$2)</f>
        <v>2</v>
      </c>
      <c r="L346" s="12">
        <f>SUMIFS(BASE!$G:$G,BASE!$B:$B,$B346,BASE!$L:$L,$G346,BASE!$J:$J,$C346,BASE!$A:$A,L$2)</f>
        <v>2</v>
      </c>
      <c r="M346" s="12">
        <f>SUMIFS(BASE!$G:$G,BASE!$B:$B,$B346,BASE!$L:$L,$G346,BASE!$J:$J,$C346,BASE!$A:$A,M$2)</f>
        <v>10</v>
      </c>
      <c r="N346" s="12">
        <f>SUMIFS(BASE!$G:$G,BASE!$B:$B,$B346,BASE!$L:$L,$G346,BASE!$J:$J,$C346,BASE!$A:$A,N$2)</f>
        <v>2</v>
      </c>
      <c r="O346" s="12">
        <f>SUMIFS(BASE!$G:$G,BASE!$B:$B,$B346,BASE!$L:$L,$G346,BASE!$J:$J,$C346,BASE!$A:$A,O$2)</f>
        <v>2</v>
      </c>
      <c r="P346" s="12">
        <f>SUMIFS(BASE!$G:$G,BASE!$B:$B,$B346,BASE!$L:$L,$G346,BASE!$J:$J,$C346,BASE!$A:$A,P$2)</f>
        <v>5</v>
      </c>
      <c r="Q346" s="12">
        <f>SUMIFS(BASE!$G:$G,BASE!$B:$B,$B346,BASE!$L:$L,$G346,BASE!$J:$J,$C346,BASE!$A:$A,Q$2)</f>
        <v>21</v>
      </c>
      <c r="R346" s="12">
        <f>SUMIFS(BASE!$G:$G,BASE!$B:$B,$B346,BASE!$L:$L,$G346,BASE!$J:$J,$C346,BASE!$A:$A,R$2)</f>
        <v>10</v>
      </c>
      <c r="S346" s="12">
        <f>SUMIFS(BASE!$G:$G,BASE!$B:$B,$B346,BASE!$L:$L,$G346,BASE!$J:$J,$C346,BASE!$A:$A,S$2)</f>
        <v>0</v>
      </c>
      <c r="T346" s="12">
        <f>SUMIFS(BASE!$G:$G,BASE!$B:$B,$B346,BASE!$L:$L,$G346,BASE!$J:$J,$C346,BASE!$A:$A,T$2)</f>
        <v>0</v>
      </c>
      <c r="U346" s="12">
        <f>SUMIFS(BASE!$G:$G,BASE!$B:$B,$B346,BASE!$L:$L,$G346,BASE!$J:$J,$C346,BASE!$A:$A,U$2)</f>
        <v>0</v>
      </c>
      <c r="V346" s="12">
        <f>SUMIFS(BASE!$G:$G,BASE!$B:$B,$B346,BASE!$L:$L,$G346,BASE!$J:$J,$C346,BASE!$A:$A,V$2)</f>
        <v>0</v>
      </c>
      <c r="X346" t="str">
        <f t="shared" si="11"/>
        <v>COM TROCAS</v>
      </c>
    </row>
    <row r="347" spans="2:24">
      <c r="B347" s="8" t="s">
        <v>879</v>
      </c>
      <c r="C347" s="9" t="s">
        <v>239</v>
      </c>
      <c r="D347" s="9" t="s">
        <v>722</v>
      </c>
      <c r="E347" s="9" t="s">
        <v>719</v>
      </c>
      <c r="F347" s="9" t="s">
        <v>873</v>
      </c>
      <c r="G347" s="9" t="s">
        <v>59</v>
      </c>
      <c r="H347" s="7" t="str">
        <f>IFERROR(IF(_xlfn.XLOOKUP(B347,REPASSE!D:D,REPASSE!D:D)="","Não","Sim"),"Não")</f>
        <v>Não</v>
      </c>
      <c r="I347" s="7" t="str">
        <f>IF(_xlfn.XLOOKUP(B347,'BOOST LIBERADO'!B:B,'BOOST LIBERADO'!B:B,"Não")="Não","Não","Sim")</f>
        <v>Sim</v>
      </c>
      <c r="J347" s="83" t="str">
        <f t="shared" si="10"/>
        <v>Sim</v>
      </c>
      <c r="K347" s="12">
        <f>SUMIFS(BASE!$G:$G,BASE!$B:$B,$B347,BASE!$L:$L,$G347,BASE!$J:$J,$C347,BASE!$A:$A,K$2)</f>
        <v>4</v>
      </c>
      <c r="L347" s="12">
        <f>SUMIFS(BASE!$G:$G,BASE!$B:$B,$B347,BASE!$L:$L,$G347,BASE!$J:$J,$C347,BASE!$A:$A,L$2)</f>
        <v>7</v>
      </c>
      <c r="M347" s="12">
        <f>SUMIFS(BASE!$G:$G,BASE!$B:$B,$B347,BASE!$L:$L,$G347,BASE!$J:$J,$C347,BASE!$A:$A,M$2)</f>
        <v>8</v>
      </c>
      <c r="N347" s="12">
        <f>SUMIFS(BASE!$G:$G,BASE!$B:$B,$B347,BASE!$L:$L,$G347,BASE!$J:$J,$C347,BASE!$A:$A,N$2)</f>
        <v>2</v>
      </c>
      <c r="O347" s="12">
        <f>SUMIFS(BASE!$G:$G,BASE!$B:$B,$B347,BASE!$L:$L,$G347,BASE!$J:$J,$C347,BASE!$A:$A,O$2)</f>
        <v>11</v>
      </c>
      <c r="P347" s="12">
        <f>SUMIFS(BASE!$G:$G,BASE!$B:$B,$B347,BASE!$L:$L,$G347,BASE!$J:$J,$C347,BASE!$A:$A,P$2)</f>
        <v>6</v>
      </c>
      <c r="Q347" s="12">
        <f>SUMIFS(BASE!$G:$G,BASE!$B:$B,$B347,BASE!$L:$L,$G347,BASE!$J:$J,$C347,BASE!$A:$A,Q$2)</f>
        <v>15</v>
      </c>
      <c r="R347" s="12">
        <f>SUMIFS(BASE!$G:$G,BASE!$B:$B,$B347,BASE!$L:$L,$G347,BASE!$J:$J,$C347,BASE!$A:$A,R$2)</f>
        <v>12</v>
      </c>
      <c r="S347" s="12">
        <f>SUMIFS(BASE!$G:$G,BASE!$B:$B,$B347,BASE!$L:$L,$G347,BASE!$J:$J,$C347,BASE!$A:$A,S$2)</f>
        <v>0</v>
      </c>
      <c r="T347" s="12">
        <f>SUMIFS(BASE!$G:$G,BASE!$B:$B,$B347,BASE!$L:$L,$G347,BASE!$J:$J,$C347,BASE!$A:$A,T$2)</f>
        <v>0</v>
      </c>
      <c r="U347" s="12">
        <f>SUMIFS(BASE!$G:$G,BASE!$B:$B,$B347,BASE!$L:$L,$G347,BASE!$J:$J,$C347,BASE!$A:$A,U$2)</f>
        <v>0</v>
      </c>
      <c r="V347" s="12">
        <f>SUMIFS(BASE!$G:$G,BASE!$B:$B,$B347,BASE!$L:$L,$G347,BASE!$J:$J,$C347,BASE!$A:$A,V$2)</f>
        <v>0</v>
      </c>
      <c r="X347" t="str">
        <f t="shared" si="11"/>
        <v>COM TROCAS</v>
      </c>
    </row>
    <row r="348" spans="2:24">
      <c r="B348" s="8" t="s">
        <v>880</v>
      </c>
      <c r="C348" s="9" t="s">
        <v>239</v>
      </c>
      <c r="D348" s="9" t="s">
        <v>718</v>
      </c>
      <c r="E348" s="9" t="s">
        <v>719</v>
      </c>
      <c r="F348" s="9" t="s">
        <v>875</v>
      </c>
      <c r="G348" s="9" t="s">
        <v>59</v>
      </c>
      <c r="H348" s="7" t="str">
        <f>IFERROR(IF(_xlfn.XLOOKUP(B348,REPASSE!D:D,REPASSE!D:D)="","Não","Sim"),"Não")</f>
        <v>Não</v>
      </c>
      <c r="I348" s="7" t="str">
        <f>IF(_xlfn.XLOOKUP(B348,'BOOST LIBERADO'!B:B,'BOOST LIBERADO'!B:B,"Não")="Não","Não","Sim")</f>
        <v>Sim</v>
      </c>
      <c r="J348" s="83" t="str">
        <f t="shared" si="10"/>
        <v>Sim</v>
      </c>
      <c r="K348" s="12">
        <f>SUMIFS(BASE!$G:$G,BASE!$B:$B,$B348,BASE!$L:$L,$G348,BASE!$J:$J,$C348,BASE!$A:$A,K$2)</f>
        <v>7</v>
      </c>
      <c r="L348" s="12">
        <f>SUMIFS(BASE!$G:$G,BASE!$B:$B,$B348,BASE!$L:$L,$G348,BASE!$J:$J,$C348,BASE!$A:$A,L$2)</f>
        <v>3</v>
      </c>
      <c r="M348" s="12">
        <f>SUMIFS(BASE!$G:$G,BASE!$B:$B,$B348,BASE!$L:$L,$G348,BASE!$J:$J,$C348,BASE!$A:$A,M$2)</f>
        <v>7</v>
      </c>
      <c r="N348" s="12">
        <f>SUMIFS(BASE!$G:$G,BASE!$B:$B,$B348,BASE!$L:$L,$G348,BASE!$J:$J,$C348,BASE!$A:$A,N$2)</f>
        <v>4</v>
      </c>
      <c r="O348" s="12">
        <f>SUMIFS(BASE!$G:$G,BASE!$B:$B,$B348,BASE!$L:$L,$G348,BASE!$J:$J,$C348,BASE!$A:$A,O$2)</f>
        <v>12</v>
      </c>
      <c r="P348" s="12">
        <f>SUMIFS(BASE!$G:$G,BASE!$B:$B,$B348,BASE!$L:$L,$G348,BASE!$J:$J,$C348,BASE!$A:$A,P$2)</f>
        <v>14</v>
      </c>
      <c r="Q348" s="12">
        <f>SUMIFS(BASE!$G:$G,BASE!$B:$B,$B348,BASE!$L:$L,$G348,BASE!$J:$J,$C348,BASE!$A:$A,Q$2)</f>
        <v>11</v>
      </c>
      <c r="R348" s="12">
        <f>SUMIFS(BASE!$G:$G,BASE!$B:$B,$B348,BASE!$L:$L,$G348,BASE!$J:$J,$C348,BASE!$A:$A,R$2)</f>
        <v>8</v>
      </c>
      <c r="S348" s="12">
        <f>SUMIFS(BASE!$G:$G,BASE!$B:$B,$B348,BASE!$L:$L,$G348,BASE!$J:$J,$C348,BASE!$A:$A,S$2)</f>
        <v>0</v>
      </c>
      <c r="T348" s="12">
        <f>SUMIFS(BASE!$G:$G,BASE!$B:$B,$B348,BASE!$L:$L,$G348,BASE!$J:$J,$C348,BASE!$A:$A,T$2)</f>
        <v>0</v>
      </c>
      <c r="U348" s="12">
        <f>SUMIFS(BASE!$G:$G,BASE!$B:$B,$B348,BASE!$L:$L,$G348,BASE!$J:$J,$C348,BASE!$A:$A,U$2)</f>
        <v>0</v>
      </c>
      <c r="V348" s="12">
        <f>SUMIFS(BASE!$G:$G,BASE!$B:$B,$B348,BASE!$L:$L,$G348,BASE!$J:$J,$C348,BASE!$A:$A,V$2)</f>
        <v>0</v>
      </c>
      <c r="X348" t="str">
        <f t="shared" si="11"/>
        <v>COM TROCAS</v>
      </c>
    </row>
    <row r="349" spans="2:24">
      <c r="B349" s="8" t="s">
        <v>881</v>
      </c>
      <c r="C349" s="9" t="s">
        <v>239</v>
      </c>
      <c r="D349" s="9" t="s">
        <v>722</v>
      </c>
      <c r="E349" s="9" t="s">
        <v>719</v>
      </c>
      <c r="F349" s="9" t="s">
        <v>873</v>
      </c>
      <c r="G349" s="9" t="s">
        <v>59</v>
      </c>
      <c r="H349" s="7" t="str">
        <f>IFERROR(IF(_xlfn.XLOOKUP(B349,REPASSE!D:D,REPASSE!D:D)="","Não","Sim"),"Não")</f>
        <v>Não</v>
      </c>
      <c r="I349" s="7" t="str">
        <f>IF(_xlfn.XLOOKUP(B349,'BOOST LIBERADO'!B:B,'BOOST LIBERADO'!B:B,"Não")="Não","Não","Sim")</f>
        <v>Sim</v>
      </c>
      <c r="J349" s="83" t="str">
        <f t="shared" si="10"/>
        <v>Sim</v>
      </c>
      <c r="K349" s="12">
        <f>SUMIFS(BASE!$G:$G,BASE!$B:$B,$B349,BASE!$L:$L,$G349,BASE!$J:$J,$C349,BASE!$A:$A,K$2)</f>
        <v>3</v>
      </c>
      <c r="L349" s="12">
        <f>SUMIFS(BASE!$G:$G,BASE!$B:$B,$B349,BASE!$L:$L,$G349,BASE!$J:$J,$C349,BASE!$A:$A,L$2)</f>
        <v>3</v>
      </c>
      <c r="M349" s="12">
        <f>SUMIFS(BASE!$G:$G,BASE!$B:$B,$B349,BASE!$L:$L,$G349,BASE!$J:$J,$C349,BASE!$A:$A,M$2)</f>
        <v>4</v>
      </c>
      <c r="N349" s="12">
        <f>SUMIFS(BASE!$G:$G,BASE!$B:$B,$B349,BASE!$L:$L,$G349,BASE!$J:$J,$C349,BASE!$A:$A,N$2)</f>
        <v>2</v>
      </c>
      <c r="O349" s="12">
        <f>SUMIFS(BASE!$G:$G,BASE!$B:$B,$B349,BASE!$L:$L,$G349,BASE!$J:$J,$C349,BASE!$A:$A,O$2)</f>
        <v>1</v>
      </c>
      <c r="P349" s="12">
        <f>SUMIFS(BASE!$G:$G,BASE!$B:$B,$B349,BASE!$L:$L,$G349,BASE!$J:$J,$C349,BASE!$A:$A,P$2)</f>
        <v>3</v>
      </c>
      <c r="Q349" s="12">
        <f>SUMIFS(BASE!$G:$G,BASE!$B:$B,$B349,BASE!$L:$L,$G349,BASE!$J:$J,$C349,BASE!$A:$A,Q$2)</f>
        <v>3</v>
      </c>
      <c r="R349" s="12">
        <f>SUMIFS(BASE!$G:$G,BASE!$B:$B,$B349,BASE!$L:$L,$G349,BASE!$J:$J,$C349,BASE!$A:$A,R$2)</f>
        <v>8</v>
      </c>
      <c r="S349" s="12">
        <f>SUMIFS(BASE!$G:$G,BASE!$B:$B,$B349,BASE!$L:$L,$G349,BASE!$J:$J,$C349,BASE!$A:$A,S$2)</f>
        <v>0</v>
      </c>
      <c r="T349" s="12">
        <f>SUMIFS(BASE!$G:$G,BASE!$B:$B,$B349,BASE!$L:$L,$G349,BASE!$J:$J,$C349,BASE!$A:$A,T$2)</f>
        <v>0</v>
      </c>
      <c r="U349" s="12">
        <f>SUMIFS(BASE!$G:$G,BASE!$B:$B,$B349,BASE!$L:$L,$G349,BASE!$J:$J,$C349,BASE!$A:$A,U$2)</f>
        <v>0</v>
      </c>
      <c r="V349" s="12">
        <f>SUMIFS(BASE!$G:$G,BASE!$B:$B,$B349,BASE!$L:$L,$G349,BASE!$J:$J,$C349,BASE!$A:$A,V$2)</f>
        <v>0</v>
      </c>
      <c r="X349" t="str">
        <f t="shared" si="11"/>
        <v>COM TROCAS</v>
      </c>
    </row>
    <row r="350" spans="2:24">
      <c r="B350" s="8" t="s">
        <v>882</v>
      </c>
      <c r="C350" s="9" t="s">
        <v>239</v>
      </c>
      <c r="D350" s="9" t="s">
        <v>722</v>
      </c>
      <c r="E350" s="9" t="s">
        <v>719</v>
      </c>
      <c r="F350" s="9" t="s">
        <v>723</v>
      </c>
      <c r="G350" s="9" t="s">
        <v>59</v>
      </c>
      <c r="H350" s="7" t="str">
        <f>IFERROR(IF(_xlfn.XLOOKUP(B350,REPASSE!D:D,REPASSE!D:D)="","Não","Sim"),"Não")</f>
        <v>Não</v>
      </c>
      <c r="I350" s="7" t="str">
        <f>IF(_xlfn.XLOOKUP(B350,'BOOST LIBERADO'!B:B,'BOOST LIBERADO'!B:B,"Não")="Não","Não","Sim")</f>
        <v>Sim</v>
      </c>
      <c r="J350" s="83" t="str">
        <f t="shared" si="10"/>
        <v>Sim</v>
      </c>
      <c r="K350" s="12">
        <f>SUMIFS(BASE!$G:$G,BASE!$B:$B,$B350,BASE!$L:$L,$G350,BASE!$J:$J,$C350,BASE!$A:$A,K$2)</f>
        <v>0</v>
      </c>
      <c r="L350" s="12">
        <f>SUMIFS(BASE!$G:$G,BASE!$B:$B,$B350,BASE!$L:$L,$G350,BASE!$J:$J,$C350,BASE!$A:$A,L$2)</f>
        <v>0</v>
      </c>
      <c r="M350" s="12">
        <f>SUMIFS(BASE!$G:$G,BASE!$B:$B,$B350,BASE!$L:$L,$G350,BASE!$J:$J,$C350,BASE!$A:$A,M$2)</f>
        <v>0</v>
      </c>
      <c r="N350" s="12">
        <f>SUMIFS(BASE!$G:$G,BASE!$B:$B,$B350,BASE!$L:$L,$G350,BASE!$J:$J,$C350,BASE!$A:$A,N$2)</f>
        <v>0</v>
      </c>
      <c r="O350" s="12">
        <f>SUMIFS(BASE!$G:$G,BASE!$B:$B,$B350,BASE!$L:$L,$G350,BASE!$J:$J,$C350,BASE!$A:$A,O$2)</f>
        <v>0</v>
      </c>
      <c r="P350" s="12">
        <f>SUMIFS(BASE!$G:$G,BASE!$B:$B,$B350,BASE!$L:$L,$G350,BASE!$J:$J,$C350,BASE!$A:$A,P$2)</f>
        <v>0</v>
      </c>
      <c r="Q350" s="12">
        <f>SUMIFS(BASE!$G:$G,BASE!$B:$B,$B350,BASE!$L:$L,$G350,BASE!$J:$J,$C350,BASE!$A:$A,Q$2)</f>
        <v>0</v>
      </c>
      <c r="R350" s="12">
        <f>SUMIFS(BASE!$G:$G,BASE!$B:$B,$B350,BASE!$L:$L,$G350,BASE!$J:$J,$C350,BASE!$A:$A,R$2)</f>
        <v>2</v>
      </c>
      <c r="S350" s="12">
        <f>SUMIFS(BASE!$G:$G,BASE!$B:$B,$B350,BASE!$L:$L,$G350,BASE!$J:$J,$C350,BASE!$A:$A,S$2)</f>
        <v>0</v>
      </c>
      <c r="T350" s="12">
        <f>SUMIFS(BASE!$G:$G,BASE!$B:$B,$B350,BASE!$L:$L,$G350,BASE!$J:$J,$C350,BASE!$A:$A,T$2)</f>
        <v>0</v>
      </c>
      <c r="U350" s="12">
        <f>SUMIFS(BASE!$G:$G,BASE!$B:$B,$B350,BASE!$L:$L,$G350,BASE!$J:$J,$C350,BASE!$A:$A,U$2)</f>
        <v>0</v>
      </c>
      <c r="V350" s="12">
        <f>SUMIFS(BASE!$G:$G,BASE!$B:$B,$B350,BASE!$L:$L,$G350,BASE!$J:$J,$C350,BASE!$A:$A,V$2)</f>
        <v>0</v>
      </c>
      <c r="X350" t="str">
        <f t="shared" si="11"/>
        <v>COM TROCAS</v>
      </c>
    </row>
    <row r="351" spans="2:24">
      <c r="B351" s="8" t="s">
        <v>883</v>
      </c>
      <c r="C351" s="9" t="s">
        <v>224</v>
      </c>
      <c r="D351" s="9" t="s">
        <v>877</v>
      </c>
      <c r="E351" s="9" t="s">
        <v>719</v>
      </c>
      <c r="F351" s="9" t="s">
        <v>873</v>
      </c>
      <c r="G351" s="9" t="s">
        <v>59</v>
      </c>
      <c r="H351" s="7" t="str">
        <f>IFERROR(IF(_xlfn.XLOOKUP(B351,REPASSE!D:D,REPASSE!D:D)="","Não","Sim"),"Não")</f>
        <v>Não</v>
      </c>
      <c r="I351" s="7" t="str">
        <f>IF(_xlfn.XLOOKUP(B351,'BOOST LIBERADO'!B:B,'BOOST LIBERADO'!B:B,"Não")="Não","Não","Sim")</f>
        <v>Sim</v>
      </c>
      <c r="J351" s="83" t="str">
        <f t="shared" si="10"/>
        <v>Sim</v>
      </c>
      <c r="K351" s="12">
        <f>SUMIFS(BASE!$G:$G,BASE!$B:$B,$B351,BASE!$L:$L,$G351,BASE!$J:$J,$C351,BASE!$A:$A,K$2)</f>
        <v>6</v>
      </c>
      <c r="L351" s="12">
        <f>SUMIFS(BASE!$G:$G,BASE!$B:$B,$B351,BASE!$L:$L,$G351,BASE!$J:$J,$C351,BASE!$A:$A,L$2)</f>
        <v>2</v>
      </c>
      <c r="M351" s="12">
        <f>SUMIFS(BASE!$G:$G,BASE!$B:$B,$B351,BASE!$L:$L,$G351,BASE!$J:$J,$C351,BASE!$A:$A,M$2)</f>
        <v>5</v>
      </c>
      <c r="N351" s="12">
        <f>SUMIFS(BASE!$G:$G,BASE!$B:$B,$B351,BASE!$L:$L,$G351,BASE!$J:$J,$C351,BASE!$A:$A,N$2)</f>
        <v>1</v>
      </c>
      <c r="O351" s="12">
        <f>SUMIFS(BASE!$G:$G,BASE!$B:$B,$B351,BASE!$L:$L,$G351,BASE!$J:$J,$C351,BASE!$A:$A,O$2)</f>
        <v>0</v>
      </c>
      <c r="P351" s="12">
        <f>SUMIFS(BASE!$G:$G,BASE!$B:$B,$B351,BASE!$L:$L,$G351,BASE!$J:$J,$C351,BASE!$A:$A,P$2)</f>
        <v>1</v>
      </c>
      <c r="Q351" s="12">
        <f>SUMIFS(BASE!$G:$G,BASE!$B:$B,$B351,BASE!$L:$L,$G351,BASE!$J:$J,$C351,BASE!$A:$A,Q$2)</f>
        <v>8</v>
      </c>
      <c r="R351" s="12">
        <f>SUMIFS(BASE!$G:$G,BASE!$B:$B,$B351,BASE!$L:$L,$G351,BASE!$J:$J,$C351,BASE!$A:$A,R$2)</f>
        <v>2</v>
      </c>
      <c r="S351" s="12">
        <f>SUMIFS(BASE!$G:$G,BASE!$B:$B,$B351,BASE!$L:$L,$G351,BASE!$J:$J,$C351,BASE!$A:$A,S$2)</f>
        <v>0</v>
      </c>
      <c r="T351" s="12">
        <f>SUMIFS(BASE!$G:$G,BASE!$B:$B,$B351,BASE!$L:$L,$G351,BASE!$J:$J,$C351,BASE!$A:$A,T$2)</f>
        <v>0</v>
      </c>
      <c r="U351" s="12">
        <f>SUMIFS(BASE!$G:$G,BASE!$B:$B,$B351,BASE!$L:$L,$G351,BASE!$J:$J,$C351,BASE!$A:$A,U$2)</f>
        <v>0</v>
      </c>
      <c r="V351" s="12">
        <f>SUMIFS(BASE!$G:$G,BASE!$B:$B,$B351,BASE!$L:$L,$G351,BASE!$J:$J,$C351,BASE!$A:$A,V$2)</f>
        <v>0</v>
      </c>
      <c r="X351" t="str">
        <f t="shared" si="11"/>
        <v>COM TROCAS</v>
      </c>
    </row>
    <row r="352" spans="2:24">
      <c r="B352" s="8" t="s">
        <v>884</v>
      </c>
      <c r="C352" s="9" t="s">
        <v>239</v>
      </c>
      <c r="D352" s="9" t="s">
        <v>722</v>
      </c>
      <c r="E352" s="9" t="s">
        <v>719</v>
      </c>
      <c r="F352" s="9" t="s">
        <v>885</v>
      </c>
      <c r="G352" s="9" t="s">
        <v>59</v>
      </c>
      <c r="H352" s="7" t="str">
        <f>IFERROR(IF(_xlfn.XLOOKUP(B352,REPASSE!D:D,REPASSE!D:D)="","Não","Sim"),"Não")</f>
        <v>Não</v>
      </c>
      <c r="I352" s="7" t="str">
        <f>IF(_xlfn.XLOOKUP(B352,'BOOST LIBERADO'!B:B,'BOOST LIBERADO'!B:B,"Não")="Não","Não","Sim")</f>
        <v>Sim</v>
      </c>
      <c r="J352" s="83" t="str">
        <f t="shared" si="10"/>
        <v>Sim</v>
      </c>
      <c r="K352" s="12">
        <f>SUMIFS(BASE!$G:$G,BASE!$B:$B,$B352,BASE!$L:$L,$G352,BASE!$J:$J,$C352,BASE!$A:$A,K$2)</f>
        <v>0</v>
      </c>
      <c r="L352" s="12">
        <f>SUMIFS(BASE!$G:$G,BASE!$B:$B,$B352,BASE!$L:$L,$G352,BASE!$J:$J,$C352,BASE!$A:$A,L$2)</f>
        <v>0</v>
      </c>
      <c r="M352" s="12">
        <f>SUMIFS(BASE!$G:$G,BASE!$B:$B,$B352,BASE!$L:$L,$G352,BASE!$J:$J,$C352,BASE!$A:$A,M$2)</f>
        <v>0</v>
      </c>
      <c r="N352" s="12">
        <f>SUMIFS(BASE!$G:$G,BASE!$B:$B,$B352,BASE!$L:$L,$G352,BASE!$J:$J,$C352,BASE!$A:$A,N$2)</f>
        <v>0</v>
      </c>
      <c r="O352" s="12">
        <f>SUMIFS(BASE!$G:$G,BASE!$B:$B,$B352,BASE!$L:$L,$G352,BASE!$J:$J,$C352,BASE!$A:$A,O$2)</f>
        <v>0</v>
      </c>
      <c r="P352" s="12">
        <f>SUMIFS(BASE!$G:$G,BASE!$B:$B,$B352,BASE!$L:$L,$G352,BASE!$J:$J,$C352,BASE!$A:$A,P$2)</f>
        <v>0</v>
      </c>
      <c r="Q352" s="12">
        <f>SUMIFS(BASE!$G:$G,BASE!$B:$B,$B352,BASE!$L:$L,$G352,BASE!$J:$J,$C352,BASE!$A:$A,Q$2)</f>
        <v>3</v>
      </c>
      <c r="R352" s="12">
        <f>SUMIFS(BASE!$G:$G,BASE!$B:$B,$B352,BASE!$L:$L,$G352,BASE!$J:$J,$C352,BASE!$A:$A,R$2)</f>
        <v>6</v>
      </c>
      <c r="S352" s="12">
        <f>SUMIFS(BASE!$G:$G,BASE!$B:$B,$B352,BASE!$L:$L,$G352,BASE!$J:$J,$C352,BASE!$A:$A,S$2)</f>
        <v>0</v>
      </c>
      <c r="T352" s="12">
        <f>SUMIFS(BASE!$G:$G,BASE!$B:$B,$B352,BASE!$L:$L,$G352,BASE!$J:$J,$C352,BASE!$A:$A,T$2)</f>
        <v>0</v>
      </c>
      <c r="U352" s="12">
        <f>SUMIFS(BASE!$G:$G,BASE!$B:$B,$B352,BASE!$L:$L,$G352,BASE!$J:$J,$C352,BASE!$A:$A,U$2)</f>
        <v>0</v>
      </c>
      <c r="V352" s="12">
        <f>SUMIFS(BASE!$G:$G,BASE!$B:$B,$B352,BASE!$L:$L,$G352,BASE!$J:$J,$C352,BASE!$A:$A,V$2)</f>
        <v>0</v>
      </c>
      <c r="X352" t="str">
        <f t="shared" si="11"/>
        <v>COM TROCAS</v>
      </c>
    </row>
    <row r="353" spans="2:24">
      <c r="B353" s="8" t="s">
        <v>886</v>
      </c>
      <c r="C353" s="9" t="s">
        <v>224</v>
      </c>
      <c r="D353" s="9" t="s">
        <v>877</v>
      </c>
      <c r="E353" s="9" t="s">
        <v>719</v>
      </c>
      <c r="F353" s="9" t="s">
        <v>873</v>
      </c>
      <c r="G353" s="9" t="s">
        <v>59</v>
      </c>
      <c r="H353" s="7" t="str">
        <f>IFERROR(IF(_xlfn.XLOOKUP(B353,REPASSE!D:D,REPASSE!D:D)="","Não","Sim"),"Não")</f>
        <v>Não</v>
      </c>
      <c r="I353" s="7" t="str">
        <f>IF(_xlfn.XLOOKUP(B353,'BOOST LIBERADO'!B:B,'BOOST LIBERADO'!B:B,"Não")="Não","Não","Sim")</f>
        <v>Sim</v>
      </c>
      <c r="J353" s="83" t="str">
        <f t="shared" si="10"/>
        <v>Sim</v>
      </c>
      <c r="K353" s="12">
        <f>SUMIFS(BASE!$G:$G,BASE!$B:$B,$B353,BASE!$L:$L,$G353,BASE!$J:$J,$C353,BASE!$A:$A,K$2)</f>
        <v>37</v>
      </c>
      <c r="L353" s="12">
        <f>SUMIFS(BASE!$G:$G,BASE!$B:$B,$B353,BASE!$L:$L,$G353,BASE!$J:$J,$C353,BASE!$A:$A,L$2)</f>
        <v>24</v>
      </c>
      <c r="M353" s="12">
        <f>SUMIFS(BASE!$G:$G,BASE!$B:$B,$B353,BASE!$L:$L,$G353,BASE!$J:$J,$C353,BASE!$A:$A,M$2)</f>
        <v>27</v>
      </c>
      <c r="N353" s="12">
        <f>SUMIFS(BASE!$G:$G,BASE!$B:$B,$B353,BASE!$L:$L,$G353,BASE!$J:$J,$C353,BASE!$A:$A,N$2)</f>
        <v>29</v>
      </c>
      <c r="O353" s="12">
        <f>SUMIFS(BASE!$G:$G,BASE!$B:$B,$B353,BASE!$L:$L,$G353,BASE!$J:$J,$C353,BASE!$A:$A,O$2)</f>
        <v>13</v>
      </c>
      <c r="P353" s="12">
        <f>SUMIFS(BASE!$G:$G,BASE!$B:$B,$B353,BASE!$L:$L,$G353,BASE!$J:$J,$C353,BASE!$A:$A,P$2)</f>
        <v>22</v>
      </c>
      <c r="Q353" s="12">
        <f>SUMIFS(BASE!$G:$G,BASE!$B:$B,$B353,BASE!$L:$L,$G353,BASE!$J:$J,$C353,BASE!$A:$A,Q$2)</f>
        <v>36</v>
      </c>
      <c r="R353" s="12">
        <f>SUMIFS(BASE!$G:$G,BASE!$B:$B,$B353,BASE!$L:$L,$G353,BASE!$J:$J,$C353,BASE!$A:$A,R$2)</f>
        <v>19</v>
      </c>
      <c r="S353" s="12">
        <f>SUMIFS(BASE!$G:$G,BASE!$B:$B,$B353,BASE!$L:$L,$G353,BASE!$J:$J,$C353,BASE!$A:$A,S$2)</f>
        <v>0</v>
      </c>
      <c r="T353" s="12">
        <f>SUMIFS(BASE!$G:$G,BASE!$B:$B,$B353,BASE!$L:$L,$G353,BASE!$J:$J,$C353,BASE!$A:$A,T$2)</f>
        <v>0</v>
      </c>
      <c r="U353" s="12">
        <f>SUMIFS(BASE!$G:$G,BASE!$B:$B,$B353,BASE!$L:$L,$G353,BASE!$J:$J,$C353,BASE!$A:$A,U$2)</f>
        <v>0</v>
      </c>
      <c r="V353" s="12">
        <f>SUMIFS(BASE!$G:$G,BASE!$B:$B,$B353,BASE!$L:$L,$G353,BASE!$J:$J,$C353,BASE!$A:$A,V$2)</f>
        <v>0</v>
      </c>
      <c r="X353" t="str">
        <f t="shared" si="11"/>
        <v>COM TROCAS</v>
      </c>
    </row>
    <row r="354" spans="2:24">
      <c r="B354" s="8" t="s">
        <v>887</v>
      </c>
      <c r="C354" s="9" t="s">
        <v>224</v>
      </c>
      <c r="D354" s="9" t="s">
        <v>877</v>
      </c>
      <c r="E354" s="9" t="s">
        <v>719</v>
      </c>
      <c r="F354" s="9" t="s">
        <v>873</v>
      </c>
      <c r="G354" s="9" t="s">
        <v>59</v>
      </c>
      <c r="H354" s="7" t="str">
        <f>IFERROR(IF(_xlfn.XLOOKUP(B354,REPASSE!D:D,REPASSE!D:D)="","Não","Sim"),"Não")</f>
        <v>Não</v>
      </c>
      <c r="I354" s="7" t="str">
        <f>IF(_xlfn.XLOOKUP(B354,'BOOST LIBERADO'!B:B,'BOOST LIBERADO'!B:B,"Não")="Não","Não","Sim")</f>
        <v>Sim</v>
      </c>
      <c r="J354" s="83" t="str">
        <f t="shared" si="10"/>
        <v>Sim</v>
      </c>
      <c r="K354" s="12">
        <f>SUMIFS(BASE!$G:$G,BASE!$B:$B,$B354,BASE!$L:$L,$G354,BASE!$J:$J,$C354,BASE!$A:$A,K$2)</f>
        <v>1</v>
      </c>
      <c r="L354" s="12">
        <f>SUMIFS(BASE!$G:$G,BASE!$B:$B,$B354,BASE!$L:$L,$G354,BASE!$J:$J,$C354,BASE!$A:$A,L$2)</f>
        <v>0</v>
      </c>
      <c r="M354" s="12">
        <f>SUMIFS(BASE!$G:$G,BASE!$B:$B,$B354,BASE!$L:$L,$G354,BASE!$J:$J,$C354,BASE!$A:$A,M$2)</f>
        <v>1</v>
      </c>
      <c r="N354" s="12">
        <f>SUMIFS(BASE!$G:$G,BASE!$B:$B,$B354,BASE!$L:$L,$G354,BASE!$J:$J,$C354,BASE!$A:$A,N$2)</f>
        <v>1</v>
      </c>
      <c r="O354" s="12">
        <f>SUMIFS(BASE!$G:$G,BASE!$B:$B,$B354,BASE!$L:$L,$G354,BASE!$J:$J,$C354,BASE!$A:$A,O$2)</f>
        <v>2</v>
      </c>
      <c r="P354" s="12">
        <f>SUMIFS(BASE!$G:$G,BASE!$B:$B,$B354,BASE!$L:$L,$G354,BASE!$J:$J,$C354,BASE!$A:$A,P$2)</f>
        <v>4</v>
      </c>
      <c r="Q354" s="12">
        <f>SUMIFS(BASE!$G:$G,BASE!$B:$B,$B354,BASE!$L:$L,$G354,BASE!$J:$J,$C354,BASE!$A:$A,Q$2)</f>
        <v>6</v>
      </c>
      <c r="R354" s="12">
        <f>SUMIFS(BASE!$G:$G,BASE!$B:$B,$B354,BASE!$L:$L,$G354,BASE!$J:$J,$C354,BASE!$A:$A,R$2)</f>
        <v>3</v>
      </c>
      <c r="S354" s="12">
        <f>SUMIFS(BASE!$G:$G,BASE!$B:$B,$B354,BASE!$L:$L,$G354,BASE!$J:$J,$C354,BASE!$A:$A,S$2)</f>
        <v>0</v>
      </c>
      <c r="T354" s="12">
        <f>SUMIFS(BASE!$G:$G,BASE!$B:$B,$B354,BASE!$L:$L,$G354,BASE!$J:$J,$C354,BASE!$A:$A,T$2)</f>
        <v>0</v>
      </c>
      <c r="U354" s="12">
        <f>SUMIFS(BASE!$G:$G,BASE!$B:$B,$B354,BASE!$L:$L,$G354,BASE!$J:$J,$C354,BASE!$A:$A,U$2)</f>
        <v>0</v>
      </c>
      <c r="V354" s="12">
        <f>SUMIFS(BASE!$G:$G,BASE!$B:$B,$B354,BASE!$L:$L,$G354,BASE!$J:$J,$C354,BASE!$A:$A,V$2)</f>
        <v>0</v>
      </c>
      <c r="X354" t="str">
        <f t="shared" si="11"/>
        <v>COM TROCAS</v>
      </c>
    </row>
    <row r="355" spans="2:24">
      <c r="B355" s="8" t="s">
        <v>888</v>
      </c>
      <c r="C355" s="9" t="s">
        <v>224</v>
      </c>
      <c r="D355" s="9" t="s">
        <v>877</v>
      </c>
      <c r="E355" s="9" t="s">
        <v>719</v>
      </c>
      <c r="F355" s="9" t="s">
        <v>873</v>
      </c>
      <c r="G355" s="9" t="s">
        <v>59</v>
      </c>
      <c r="H355" s="7" t="str">
        <f>IFERROR(IF(_xlfn.XLOOKUP(B355,REPASSE!D:D,REPASSE!D:D)="","Não","Sim"),"Não")</f>
        <v>Não</v>
      </c>
      <c r="I355" s="7" t="str">
        <f>IF(_xlfn.XLOOKUP(B355,'BOOST LIBERADO'!B:B,'BOOST LIBERADO'!B:B,"Não")="Não","Não","Sim")</f>
        <v>Sim</v>
      </c>
      <c r="J355" s="83" t="str">
        <f t="shared" si="10"/>
        <v>Sim</v>
      </c>
      <c r="K355" s="12">
        <f>SUMIFS(BASE!$G:$G,BASE!$B:$B,$B355,BASE!$L:$L,$G355,BASE!$J:$J,$C355,BASE!$A:$A,K$2)</f>
        <v>32</v>
      </c>
      <c r="L355" s="12">
        <f>SUMIFS(BASE!$G:$G,BASE!$B:$B,$B355,BASE!$L:$L,$G355,BASE!$J:$J,$C355,BASE!$A:$A,L$2)</f>
        <v>27</v>
      </c>
      <c r="M355" s="12">
        <f>SUMIFS(BASE!$G:$G,BASE!$B:$B,$B355,BASE!$L:$L,$G355,BASE!$J:$J,$C355,BASE!$A:$A,M$2)</f>
        <v>49</v>
      </c>
      <c r="N355" s="12">
        <f>SUMIFS(BASE!$G:$G,BASE!$B:$B,$B355,BASE!$L:$L,$G355,BASE!$J:$J,$C355,BASE!$A:$A,N$2)</f>
        <v>32</v>
      </c>
      <c r="O355" s="12">
        <f>SUMIFS(BASE!$G:$G,BASE!$B:$B,$B355,BASE!$L:$L,$G355,BASE!$J:$J,$C355,BASE!$A:$A,O$2)</f>
        <v>34</v>
      </c>
      <c r="P355" s="12">
        <f>SUMIFS(BASE!$G:$G,BASE!$B:$B,$B355,BASE!$L:$L,$G355,BASE!$J:$J,$C355,BASE!$A:$A,P$2)</f>
        <v>42</v>
      </c>
      <c r="Q355" s="12">
        <f>SUMIFS(BASE!$G:$G,BASE!$B:$B,$B355,BASE!$L:$L,$G355,BASE!$J:$J,$C355,BASE!$A:$A,Q$2)</f>
        <v>72</v>
      </c>
      <c r="R355" s="12">
        <f>SUMIFS(BASE!$G:$G,BASE!$B:$B,$B355,BASE!$L:$L,$G355,BASE!$J:$J,$C355,BASE!$A:$A,R$2)</f>
        <v>30</v>
      </c>
      <c r="S355" s="12">
        <f>SUMIFS(BASE!$G:$G,BASE!$B:$B,$B355,BASE!$L:$L,$G355,BASE!$J:$J,$C355,BASE!$A:$A,S$2)</f>
        <v>0</v>
      </c>
      <c r="T355" s="12">
        <f>SUMIFS(BASE!$G:$G,BASE!$B:$B,$B355,BASE!$L:$L,$G355,BASE!$J:$J,$C355,BASE!$A:$A,T$2)</f>
        <v>0</v>
      </c>
      <c r="U355" s="12">
        <f>SUMIFS(BASE!$G:$G,BASE!$B:$B,$B355,BASE!$L:$L,$G355,BASE!$J:$J,$C355,BASE!$A:$A,U$2)</f>
        <v>0</v>
      </c>
      <c r="V355" s="12">
        <f>SUMIFS(BASE!$G:$G,BASE!$B:$B,$B355,BASE!$L:$L,$G355,BASE!$J:$J,$C355,BASE!$A:$A,V$2)</f>
        <v>0</v>
      </c>
      <c r="X355" t="str">
        <f t="shared" si="11"/>
        <v>COM TROCAS</v>
      </c>
    </row>
    <row r="356" spans="2:24">
      <c r="B356" s="8" t="s">
        <v>889</v>
      </c>
      <c r="C356" s="9" t="s">
        <v>239</v>
      </c>
      <c r="D356" s="9" t="s">
        <v>722</v>
      </c>
      <c r="E356" s="9" t="s">
        <v>719</v>
      </c>
      <c r="F356" s="9" t="s">
        <v>873</v>
      </c>
      <c r="G356" s="9" t="s">
        <v>59</v>
      </c>
      <c r="H356" s="7" t="str">
        <f>IFERROR(IF(_xlfn.XLOOKUP(B356,REPASSE!D:D,REPASSE!D:D)="","Não","Sim"),"Não")</f>
        <v>Não</v>
      </c>
      <c r="I356" s="7" t="str">
        <f>IF(_xlfn.XLOOKUP(B356,'BOOST LIBERADO'!B:B,'BOOST LIBERADO'!B:B,"Não")="Não","Não","Sim")</f>
        <v>Sim</v>
      </c>
      <c r="J356" s="83" t="str">
        <f t="shared" si="10"/>
        <v>Sim</v>
      </c>
      <c r="K356" s="12">
        <f>SUMIFS(BASE!$G:$G,BASE!$B:$B,$B356,BASE!$L:$L,$G356,BASE!$J:$J,$C356,BASE!$A:$A,K$2)</f>
        <v>1</v>
      </c>
      <c r="L356" s="12">
        <f>SUMIFS(BASE!$G:$G,BASE!$B:$B,$B356,BASE!$L:$L,$G356,BASE!$J:$J,$C356,BASE!$A:$A,L$2)</f>
        <v>0</v>
      </c>
      <c r="M356" s="12">
        <f>SUMIFS(BASE!$G:$G,BASE!$B:$B,$B356,BASE!$L:$L,$G356,BASE!$J:$J,$C356,BASE!$A:$A,M$2)</f>
        <v>1</v>
      </c>
      <c r="N356" s="12">
        <f>SUMIFS(BASE!$G:$G,BASE!$B:$B,$B356,BASE!$L:$L,$G356,BASE!$J:$J,$C356,BASE!$A:$A,N$2)</f>
        <v>1</v>
      </c>
      <c r="O356" s="12">
        <f>SUMIFS(BASE!$G:$G,BASE!$B:$B,$B356,BASE!$L:$L,$G356,BASE!$J:$J,$C356,BASE!$A:$A,O$2)</f>
        <v>2</v>
      </c>
      <c r="P356" s="12">
        <f>SUMIFS(BASE!$G:$G,BASE!$B:$B,$B356,BASE!$L:$L,$G356,BASE!$J:$J,$C356,BASE!$A:$A,P$2)</f>
        <v>2</v>
      </c>
      <c r="Q356" s="12">
        <f>SUMIFS(BASE!$G:$G,BASE!$B:$B,$B356,BASE!$L:$L,$G356,BASE!$J:$J,$C356,BASE!$A:$A,Q$2)</f>
        <v>3</v>
      </c>
      <c r="R356" s="12">
        <f>SUMIFS(BASE!$G:$G,BASE!$B:$B,$B356,BASE!$L:$L,$G356,BASE!$J:$J,$C356,BASE!$A:$A,R$2)</f>
        <v>2</v>
      </c>
      <c r="S356" s="12">
        <f>SUMIFS(BASE!$G:$G,BASE!$B:$B,$B356,BASE!$L:$L,$G356,BASE!$J:$J,$C356,BASE!$A:$A,S$2)</f>
        <v>0</v>
      </c>
      <c r="T356" s="12">
        <f>SUMIFS(BASE!$G:$G,BASE!$B:$B,$B356,BASE!$L:$L,$G356,BASE!$J:$J,$C356,BASE!$A:$A,T$2)</f>
        <v>0</v>
      </c>
      <c r="U356" s="12">
        <f>SUMIFS(BASE!$G:$G,BASE!$B:$B,$B356,BASE!$L:$L,$G356,BASE!$J:$J,$C356,BASE!$A:$A,U$2)</f>
        <v>0</v>
      </c>
      <c r="V356" s="12">
        <f>SUMIFS(BASE!$G:$G,BASE!$B:$B,$B356,BASE!$L:$L,$G356,BASE!$J:$J,$C356,BASE!$A:$A,V$2)</f>
        <v>0</v>
      </c>
      <c r="X356" t="str">
        <f t="shared" si="11"/>
        <v>COM TROCAS</v>
      </c>
    </row>
    <row r="357" spans="2:24">
      <c r="B357" s="8" t="s">
        <v>890</v>
      </c>
      <c r="C357" s="9" t="s">
        <v>239</v>
      </c>
      <c r="D357" s="9" t="s">
        <v>718</v>
      </c>
      <c r="E357" s="9" t="s">
        <v>719</v>
      </c>
      <c r="F357" s="9" t="s">
        <v>891</v>
      </c>
      <c r="G357" s="9" t="s">
        <v>59</v>
      </c>
      <c r="H357" s="7" t="str">
        <f>IFERROR(IF(_xlfn.XLOOKUP(B357,REPASSE!D:D,REPASSE!D:D)="","Não","Sim"),"Não")</f>
        <v>Não</v>
      </c>
      <c r="I357" s="7" t="str">
        <f>IF(_xlfn.XLOOKUP(B357,'BOOST LIBERADO'!B:B,'BOOST LIBERADO'!B:B,"Não")="Não","Não","Sim")</f>
        <v>Sim</v>
      </c>
      <c r="J357" s="83" t="str">
        <f t="shared" si="10"/>
        <v>Sim</v>
      </c>
      <c r="K357" s="12">
        <f>SUMIFS(BASE!$G:$G,BASE!$B:$B,$B357,BASE!$L:$L,$G357,BASE!$J:$J,$C357,BASE!$A:$A,K$2)</f>
        <v>1</v>
      </c>
      <c r="L357" s="12">
        <f>SUMIFS(BASE!$G:$G,BASE!$B:$B,$B357,BASE!$L:$L,$G357,BASE!$J:$J,$C357,BASE!$A:$A,L$2)</f>
        <v>0</v>
      </c>
      <c r="M357" s="12">
        <f>SUMIFS(BASE!$G:$G,BASE!$B:$B,$B357,BASE!$L:$L,$G357,BASE!$J:$J,$C357,BASE!$A:$A,M$2)</f>
        <v>2</v>
      </c>
      <c r="N357" s="12">
        <f>SUMIFS(BASE!$G:$G,BASE!$B:$B,$B357,BASE!$L:$L,$G357,BASE!$J:$J,$C357,BASE!$A:$A,N$2)</f>
        <v>0</v>
      </c>
      <c r="O357" s="12">
        <f>SUMIFS(BASE!$G:$G,BASE!$B:$B,$B357,BASE!$L:$L,$G357,BASE!$J:$J,$C357,BASE!$A:$A,O$2)</f>
        <v>0</v>
      </c>
      <c r="P357" s="12">
        <f>SUMIFS(BASE!$G:$G,BASE!$B:$B,$B357,BASE!$L:$L,$G357,BASE!$J:$J,$C357,BASE!$A:$A,P$2)</f>
        <v>0</v>
      </c>
      <c r="Q357" s="12">
        <f>SUMIFS(BASE!$G:$G,BASE!$B:$B,$B357,BASE!$L:$L,$G357,BASE!$J:$J,$C357,BASE!$A:$A,Q$2)</f>
        <v>5</v>
      </c>
      <c r="R357" s="12">
        <f>SUMIFS(BASE!$G:$G,BASE!$B:$B,$B357,BASE!$L:$L,$G357,BASE!$J:$J,$C357,BASE!$A:$A,R$2)</f>
        <v>3</v>
      </c>
      <c r="S357" s="12">
        <f>SUMIFS(BASE!$G:$G,BASE!$B:$B,$B357,BASE!$L:$L,$G357,BASE!$J:$J,$C357,BASE!$A:$A,S$2)</f>
        <v>0</v>
      </c>
      <c r="T357" s="12">
        <f>SUMIFS(BASE!$G:$G,BASE!$B:$B,$B357,BASE!$L:$L,$G357,BASE!$J:$J,$C357,BASE!$A:$A,T$2)</f>
        <v>0</v>
      </c>
      <c r="U357" s="12">
        <f>SUMIFS(BASE!$G:$G,BASE!$B:$B,$B357,BASE!$L:$L,$G357,BASE!$J:$J,$C357,BASE!$A:$A,U$2)</f>
        <v>0</v>
      </c>
      <c r="V357" s="12">
        <f>SUMIFS(BASE!$G:$G,BASE!$B:$B,$B357,BASE!$L:$L,$G357,BASE!$J:$J,$C357,BASE!$A:$A,V$2)</f>
        <v>0</v>
      </c>
      <c r="X357" t="str">
        <f t="shared" si="11"/>
        <v>COM TROCAS</v>
      </c>
    </row>
    <row r="358" spans="2:24">
      <c r="B358" s="8" t="s">
        <v>892</v>
      </c>
      <c r="C358" s="9" t="s">
        <v>224</v>
      </c>
      <c r="D358" s="9" t="s">
        <v>718</v>
      </c>
      <c r="E358" s="9" t="s">
        <v>719</v>
      </c>
      <c r="F358" s="9" t="s">
        <v>893</v>
      </c>
      <c r="G358" s="9" t="s">
        <v>59</v>
      </c>
      <c r="H358" s="7" t="str">
        <f>IFERROR(IF(_xlfn.XLOOKUP(B358,REPASSE!D:D,REPASSE!D:D)="","Não","Sim"),"Não")</f>
        <v>Não</v>
      </c>
      <c r="I358" s="7" t="str">
        <f>IF(_xlfn.XLOOKUP(B358,'BOOST LIBERADO'!B:B,'BOOST LIBERADO'!B:B,"Não")="Não","Não","Sim")</f>
        <v>Sim</v>
      </c>
      <c r="J358" s="83" t="str">
        <f t="shared" si="10"/>
        <v>Sim</v>
      </c>
      <c r="K358" s="12">
        <f>SUMIFS(BASE!$G:$G,BASE!$B:$B,$B358,BASE!$L:$L,$G358,BASE!$J:$J,$C358,BASE!$A:$A,K$2)</f>
        <v>0</v>
      </c>
      <c r="L358" s="12">
        <f>SUMIFS(BASE!$G:$G,BASE!$B:$B,$B358,BASE!$L:$L,$G358,BASE!$J:$J,$C358,BASE!$A:$A,L$2)</f>
        <v>1</v>
      </c>
      <c r="M358" s="12">
        <f>SUMIFS(BASE!$G:$G,BASE!$B:$B,$B358,BASE!$L:$L,$G358,BASE!$J:$J,$C358,BASE!$A:$A,M$2)</f>
        <v>3</v>
      </c>
      <c r="N358" s="12">
        <f>SUMIFS(BASE!$G:$G,BASE!$B:$B,$B358,BASE!$L:$L,$G358,BASE!$J:$J,$C358,BASE!$A:$A,N$2)</f>
        <v>1</v>
      </c>
      <c r="O358" s="12">
        <f>SUMIFS(BASE!$G:$G,BASE!$B:$B,$B358,BASE!$L:$L,$G358,BASE!$J:$J,$C358,BASE!$A:$A,O$2)</f>
        <v>0</v>
      </c>
      <c r="P358" s="12">
        <f>SUMIFS(BASE!$G:$G,BASE!$B:$B,$B358,BASE!$L:$L,$G358,BASE!$J:$J,$C358,BASE!$A:$A,P$2)</f>
        <v>3</v>
      </c>
      <c r="Q358" s="12">
        <f>SUMIFS(BASE!$G:$G,BASE!$B:$B,$B358,BASE!$L:$L,$G358,BASE!$J:$J,$C358,BASE!$A:$A,Q$2)</f>
        <v>8</v>
      </c>
      <c r="R358" s="12">
        <f>SUMIFS(BASE!$G:$G,BASE!$B:$B,$B358,BASE!$L:$L,$G358,BASE!$J:$J,$C358,BASE!$A:$A,R$2)</f>
        <v>1</v>
      </c>
      <c r="S358" s="12">
        <f>SUMIFS(BASE!$G:$G,BASE!$B:$B,$B358,BASE!$L:$L,$G358,BASE!$J:$J,$C358,BASE!$A:$A,S$2)</f>
        <v>0</v>
      </c>
      <c r="T358" s="12">
        <f>SUMIFS(BASE!$G:$G,BASE!$B:$B,$B358,BASE!$L:$L,$G358,BASE!$J:$J,$C358,BASE!$A:$A,T$2)</f>
        <v>0</v>
      </c>
      <c r="U358" s="12">
        <f>SUMIFS(BASE!$G:$G,BASE!$B:$B,$B358,BASE!$L:$L,$G358,BASE!$J:$J,$C358,BASE!$A:$A,U$2)</f>
        <v>0</v>
      </c>
      <c r="V358" s="12">
        <f>SUMIFS(BASE!$G:$G,BASE!$B:$B,$B358,BASE!$L:$L,$G358,BASE!$J:$J,$C358,BASE!$A:$A,V$2)</f>
        <v>0</v>
      </c>
      <c r="X358" t="str">
        <f t="shared" si="11"/>
        <v>COM TROCAS</v>
      </c>
    </row>
    <row r="359" spans="2:24">
      <c r="B359" s="8" t="s">
        <v>894</v>
      </c>
      <c r="C359" s="9" t="s">
        <v>224</v>
      </c>
      <c r="D359" s="9" t="s">
        <v>877</v>
      </c>
      <c r="E359" s="9" t="s">
        <v>719</v>
      </c>
      <c r="F359" s="9" t="s">
        <v>873</v>
      </c>
      <c r="G359" s="9" t="s">
        <v>59</v>
      </c>
      <c r="H359" s="7" t="str">
        <f>IFERROR(IF(_xlfn.XLOOKUP(B359,REPASSE!D:D,REPASSE!D:D)="","Não","Sim"),"Não")</f>
        <v>Não</v>
      </c>
      <c r="I359" s="7" t="str">
        <f>IF(_xlfn.XLOOKUP(B359,'BOOST LIBERADO'!B:B,'BOOST LIBERADO'!B:B,"Não")="Não","Não","Sim")</f>
        <v>Sim</v>
      </c>
      <c r="J359" s="83" t="str">
        <f t="shared" si="10"/>
        <v>Sim</v>
      </c>
      <c r="K359" s="12">
        <f>SUMIFS(BASE!$G:$G,BASE!$B:$B,$B359,BASE!$L:$L,$G359,BASE!$J:$J,$C359,BASE!$A:$A,K$2)</f>
        <v>2</v>
      </c>
      <c r="L359" s="12">
        <f>SUMIFS(BASE!$G:$G,BASE!$B:$B,$B359,BASE!$L:$L,$G359,BASE!$J:$J,$C359,BASE!$A:$A,L$2)</f>
        <v>1</v>
      </c>
      <c r="M359" s="12">
        <f>SUMIFS(BASE!$G:$G,BASE!$B:$B,$B359,BASE!$L:$L,$G359,BASE!$J:$J,$C359,BASE!$A:$A,M$2)</f>
        <v>1</v>
      </c>
      <c r="N359" s="12">
        <f>SUMIFS(BASE!$G:$G,BASE!$B:$B,$B359,BASE!$L:$L,$G359,BASE!$J:$J,$C359,BASE!$A:$A,N$2)</f>
        <v>1</v>
      </c>
      <c r="O359" s="12">
        <f>SUMIFS(BASE!$G:$G,BASE!$B:$B,$B359,BASE!$L:$L,$G359,BASE!$J:$J,$C359,BASE!$A:$A,O$2)</f>
        <v>0</v>
      </c>
      <c r="P359" s="12">
        <f>SUMIFS(BASE!$G:$G,BASE!$B:$B,$B359,BASE!$L:$L,$G359,BASE!$J:$J,$C359,BASE!$A:$A,P$2)</f>
        <v>7</v>
      </c>
      <c r="Q359" s="12">
        <f>SUMIFS(BASE!$G:$G,BASE!$B:$B,$B359,BASE!$L:$L,$G359,BASE!$J:$J,$C359,BASE!$A:$A,Q$2)</f>
        <v>12</v>
      </c>
      <c r="R359" s="12">
        <f>SUMIFS(BASE!$G:$G,BASE!$B:$B,$B359,BASE!$L:$L,$G359,BASE!$J:$J,$C359,BASE!$A:$A,R$2)</f>
        <v>3</v>
      </c>
      <c r="S359" s="12">
        <f>SUMIFS(BASE!$G:$G,BASE!$B:$B,$B359,BASE!$L:$L,$G359,BASE!$J:$J,$C359,BASE!$A:$A,S$2)</f>
        <v>0</v>
      </c>
      <c r="T359" s="12">
        <f>SUMIFS(BASE!$G:$G,BASE!$B:$B,$B359,BASE!$L:$L,$G359,BASE!$J:$J,$C359,BASE!$A:$A,T$2)</f>
        <v>0</v>
      </c>
      <c r="U359" s="12">
        <f>SUMIFS(BASE!$G:$G,BASE!$B:$B,$B359,BASE!$L:$L,$G359,BASE!$J:$J,$C359,BASE!$A:$A,U$2)</f>
        <v>0</v>
      </c>
      <c r="V359" s="12">
        <f>SUMIFS(BASE!$G:$G,BASE!$B:$B,$B359,BASE!$L:$L,$G359,BASE!$J:$J,$C359,BASE!$A:$A,V$2)</f>
        <v>0</v>
      </c>
      <c r="X359" t="str">
        <f t="shared" si="11"/>
        <v>COM TROCAS</v>
      </c>
    </row>
    <row r="360" spans="2:24">
      <c r="B360" s="8" t="s">
        <v>895</v>
      </c>
      <c r="C360" s="9" t="s">
        <v>224</v>
      </c>
      <c r="D360" s="9" t="s">
        <v>877</v>
      </c>
      <c r="E360" s="9" t="s">
        <v>719</v>
      </c>
      <c r="F360" s="9" t="s">
        <v>873</v>
      </c>
      <c r="G360" s="9" t="s">
        <v>59</v>
      </c>
      <c r="H360" s="7" t="str">
        <f>IFERROR(IF(_xlfn.XLOOKUP(B360,REPASSE!D:D,REPASSE!D:D)="","Não","Sim"),"Não")</f>
        <v>Não</v>
      </c>
      <c r="I360" s="7" t="str">
        <f>IF(_xlfn.XLOOKUP(B360,'BOOST LIBERADO'!B:B,'BOOST LIBERADO'!B:B,"Não")="Não","Não","Sim")</f>
        <v>Sim</v>
      </c>
      <c r="J360" s="83" t="str">
        <f t="shared" si="10"/>
        <v>Sim</v>
      </c>
      <c r="K360" s="12">
        <f>SUMIFS(BASE!$G:$G,BASE!$B:$B,$B360,BASE!$L:$L,$G360,BASE!$J:$J,$C360,BASE!$A:$A,K$2)</f>
        <v>23</v>
      </c>
      <c r="L360" s="12">
        <f>SUMIFS(BASE!$G:$G,BASE!$B:$B,$B360,BASE!$L:$L,$G360,BASE!$J:$J,$C360,BASE!$A:$A,L$2)</f>
        <v>9</v>
      </c>
      <c r="M360" s="12">
        <f>SUMIFS(BASE!$G:$G,BASE!$B:$B,$B360,BASE!$L:$L,$G360,BASE!$J:$J,$C360,BASE!$A:$A,M$2)</f>
        <v>11</v>
      </c>
      <c r="N360" s="12">
        <f>SUMIFS(BASE!$G:$G,BASE!$B:$B,$B360,BASE!$L:$L,$G360,BASE!$J:$J,$C360,BASE!$A:$A,N$2)</f>
        <v>9</v>
      </c>
      <c r="O360" s="12">
        <f>SUMIFS(BASE!$G:$G,BASE!$B:$B,$B360,BASE!$L:$L,$G360,BASE!$J:$J,$C360,BASE!$A:$A,O$2)</f>
        <v>12</v>
      </c>
      <c r="P360" s="12">
        <f>SUMIFS(BASE!$G:$G,BASE!$B:$B,$B360,BASE!$L:$L,$G360,BASE!$J:$J,$C360,BASE!$A:$A,P$2)</f>
        <v>24</v>
      </c>
      <c r="Q360" s="12">
        <f>SUMIFS(BASE!$G:$G,BASE!$B:$B,$B360,BASE!$L:$L,$G360,BASE!$J:$J,$C360,BASE!$A:$A,Q$2)</f>
        <v>21</v>
      </c>
      <c r="R360" s="12">
        <f>SUMIFS(BASE!$G:$G,BASE!$B:$B,$B360,BASE!$L:$L,$G360,BASE!$J:$J,$C360,BASE!$A:$A,R$2)</f>
        <v>12</v>
      </c>
      <c r="S360" s="12">
        <f>SUMIFS(BASE!$G:$G,BASE!$B:$B,$B360,BASE!$L:$L,$G360,BASE!$J:$J,$C360,BASE!$A:$A,S$2)</f>
        <v>0</v>
      </c>
      <c r="T360" s="12">
        <f>SUMIFS(BASE!$G:$G,BASE!$B:$B,$B360,BASE!$L:$L,$G360,BASE!$J:$J,$C360,BASE!$A:$A,T$2)</f>
        <v>0</v>
      </c>
      <c r="U360" s="12">
        <f>SUMIFS(BASE!$G:$G,BASE!$B:$B,$B360,BASE!$L:$L,$G360,BASE!$J:$J,$C360,BASE!$A:$A,U$2)</f>
        <v>0</v>
      </c>
      <c r="V360" s="12">
        <f>SUMIFS(BASE!$G:$G,BASE!$B:$B,$B360,BASE!$L:$L,$G360,BASE!$J:$J,$C360,BASE!$A:$A,V$2)</f>
        <v>0</v>
      </c>
      <c r="X360" t="str">
        <f t="shared" si="11"/>
        <v>COM TROCAS</v>
      </c>
    </row>
    <row r="361" spans="2:24">
      <c r="B361" s="8" t="s">
        <v>896</v>
      </c>
      <c r="C361" s="9" t="s">
        <v>224</v>
      </c>
      <c r="D361" s="9" t="s">
        <v>877</v>
      </c>
      <c r="E361" s="9" t="s">
        <v>719</v>
      </c>
      <c r="F361" s="9" t="s">
        <v>873</v>
      </c>
      <c r="G361" s="9" t="s">
        <v>59</v>
      </c>
      <c r="H361" s="7" t="str">
        <f>IFERROR(IF(_xlfn.XLOOKUP(B361,REPASSE!D:D,REPASSE!D:D)="","Não","Sim"),"Não")</f>
        <v>Não</v>
      </c>
      <c r="I361" s="7" t="str">
        <f>IF(_xlfn.XLOOKUP(B361,'BOOST LIBERADO'!B:B,'BOOST LIBERADO'!B:B,"Não")="Não","Não","Sim")</f>
        <v>Sim</v>
      </c>
      <c r="J361" s="83" t="str">
        <f t="shared" si="10"/>
        <v>Sim</v>
      </c>
      <c r="K361" s="12">
        <f>SUMIFS(BASE!$G:$G,BASE!$B:$B,$B361,BASE!$L:$L,$G361,BASE!$J:$J,$C361,BASE!$A:$A,K$2)</f>
        <v>13</v>
      </c>
      <c r="L361" s="12">
        <f>SUMIFS(BASE!$G:$G,BASE!$B:$B,$B361,BASE!$L:$L,$G361,BASE!$J:$J,$C361,BASE!$A:$A,L$2)</f>
        <v>12</v>
      </c>
      <c r="M361" s="12">
        <f>SUMIFS(BASE!$G:$G,BASE!$B:$B,$B361,BASE!$L:$L,$G361,BASE!$J:$J,$C361,BASE!$A:$A,M$2)</f>
        <v>22</v>
      </c>
      <c r="N361" s="12">
        <f>SUMIFS(BASE!$G:$G,BASE!$B:$B,$B361,BASE!$L:$L,$G361,BASE!$J:$J,$C361,BASE!$A:$A,N$2)</f>
        <v>13</v>
      </c>
      <c r="O361" s="12">
        <f>SUMIFS(BASE!$G:$G,BASE!$B:$B,$B361,BASE!$L:$L,$G361,BASE!$J:$J,$C361,BASE!$A:$A,O$2)</f>
        <v>12</v>
      </c>
      <c r="P361" s="12">
        <f>SUMIFS(BASE!$G:$G,BASE!$B:$B,$B361,BASE!$L:$L,$G361,BASE!$J:$J,$C361,BASE!$A:$A,P$2)</f>
        <v>22</v>
      </c>
      <c r="Q361" s="12">
        <f>SUMIFS(BASE!$G:$G,BASE!$B:$B,$B361,BASE!$L:$L,$G361,BASE!$J:$J,$C361,BASE!$A:$A,Q$2)</f>
        <v>16</v>
      </c>
      <c r="R361" s="12">
        <f>SUMIFS(BASE!$G:$G,BASE!$B:$B,$B361,BASE!$L:$L,$G361,BASE!$J:$J,$C361,BASE!$A:$A,R$2)</f>
        <v>13</v>
      </c>
      <c r="S361" s="12">
        <f>SUMIFS(BASE!$G:$G,BASE!$B:$B,$B361,BASE!$L:$L,$G361,BASE!$J:$J,$C361,BASE!$A:$A,S$2)</f>
        <v>0</v>
      </c>
      <c r="T361" s="12">
        <f>SUMIFS(BASE!$G:$G,BASE!$B:$B,$B361,BASE!$L:$L,$G361,BASE!$J:$J,$C361,BASE!$A:$A,T$2)</f>
        <v>0</v>
      </c>
      <c r="U361" s="12">
        <f>SUMIFS(BASE!$G:$G,BASE!$B:$B,$B361,BASE!$L:$L,$G361,BASE!$J:$J,$C361,BASE!$A:$A,U$2)</f>
        <v>0</v>
      </c>
      <c r="V361" s="12">
        <f>SUMIFS(BASE!$G:$G,BASE!$B:$B,$B361,BASE!$L:$L,$G361,BASE!$J:$J,$C361,BASE!$A:$A,V$2)</f>
        <v>0</v>
      </c>
      <c r="X361" t="str">
        <f t="shared" si="11"/>
        <v>COM TROCAS</v>
      </c>
    </row>
    <row r="362" spans="2:24">
      <c r="B362" s="8" t="s">
        <v>897</v>
      </c>
      <c r="C362" s="9" t="s">
        <v>224</v>
      </c>
      <c r="D362" s="9" t="s">
        <v>877</v>
      </c>
      <c r="E362" s="9" t="s">
        <v>719</v>
      </c>
      <c r="F362" s="9" t="s">
        <v>873</v>
      </c>
      <c r="G362" s="9" t="s">
        <v>59</v>
      </c>
      <c r="H362" s="7" t="str">
        <f>IFERROR(IF(_xlfn.XLOOKUP(B362,REPASSE!D:D,REPASSE!D:D)="","Não","Sim"),"Não")</f>
        <v>Não</v>
      </c>
      <c r="I362" s="7" t="str">
        <f>IF(_xlfn.XLOOKUP(B362,'BOOST LIBERADO'!B:B,'BOOST LIBERADO'!B:B,"Não")="Não","Não","Sim")</f>
        <v>Sim</v>
      </c>
      <c r="J362" s="83" t="str">
        <f t="shared" si="10"/>
        <v>Sim</v>
      </c>
      <c r="K362" s="12">
        <f>SUMIFS(BASE!$G:$G,BASE!$B:$B,$B362,BASE!$L:$L,$G362,BASE!$J:$J,$C362,BASE!$A:$A,K$2)</f>
        <v>56</v>
      </c>
      <c r="L362" s="12">
        <f>SUMIFS(BASE!$G:$G,BASE!$B:$B,$B362,BASE!$L:$L,$G362,BASE!$J:$J,$C362,BASE!$A:$A,L$2)</f>
        <v>46</v>
      </c>
      <c r="M362" s="12">
        <f>SUMIFS(BASE!$G:$G,BASE!$B:$B,$B362,BASE!$L:$L,$G362,BASE!$J:$J,$C362,BASE!$A:$A,M$2)</f>
        <v>51</v>
      </c>
      <c r="N362" s="12">
        <f>SUMIFS(BASE!$G:$G,BASE!$B:$B,$B362,BASE!$L:$L,$G362,BASE!$J:$J,$C362,BASE!$A:$A,N$2)</f>
        <v>28</v>
      </c>
      <c r="O362" s="12">
        <f>SUMIFS(BASE!$G:$G,BASE!$B:$B,$B362,BASE!$L:$L,$G362,BASE!$J:$J,$C362,BASE!$A:$A,O$2)</f>
        <v>44</v>
      </c>
      <c r="P362" s="12">
        <f>SUMIFS(BASE!$G:$G,BASE!$B:$B,$B362,BASE!$L:$L,$G362,BASE!$J:$J,$C362,BASE!$A:$A,P$2)</f>
        <v>54</v>
      </c>
      <c r="Q362" s="12">
        <f>SUMIFS(BASE!$G:$G,BASE!$B:$B,$B362,BASE!$L:$L,$G362,BASE!$J:$J,$C362,BASE!$A:$A,Q$2)</f>
        <v>63</v>
      </c>
      <c r="R362" s="12">
        <f>SUMIFS(BASE!$G:$G,BASE!$B:$B,$B362,BASE!$L:$L,$G362,BASE!$J:$J,$C362,BASE!$A:$A,R$2)</f>
        <v>39</v>
      </c>
      <c r="S362" s="12">
        <f>SUMIFS(BASE!$G:$G,BASE!$B:$B,$B362,BASE!$L:$L,$G362,BASE!$J:$J,$C362,BASE!$A:$A,S$2)</f>
        <v>0</v>
      </c>
      <c r="T362" s="12">
        <f>SUMIFS(BASE!$G:$G,BASE!$B:$B,$B362,BASE!$L:$L,$G362,BASE!$J:$J,$C362,BASE!$A:$A,T$2)</f>
        <v>0</v>
      </c>
      <c r="U362" s="12">
        <f>SUMIFS(BASE!$G:$G,BASE!$B:$B,$B362,BASE!$L:$L,$G362,BASE!$J:$J,$C362,BASE!$A:$A,U$2)</f>
        <v>0</v>
      </c>
      <c r="V362" s="12">
        <f>SUMIFS(BASE!$G:$G,BASE!$B:$B,$B362,BASE!$L:$L,$G362,BASE!$J:$J,$C362,BASE!$A:$A,V$2)</f>
        <v>0</v>
      </c>
      <c r="X362" t="str">
        <f t="shared" si="11"/>
        <v>COM TROCAS</v>
      </c>
    </row>
    <row r="363" spans="2:24">
      <c r="B363" s="8" t="s">
        <v>898</v>
      </c>
      <c r="C363" s="9" t="s">
        <v>239</v>
      </c>
      <c r="D363" s="9" t="s">
        <v>722</v>
      </c>
      <c r="E363" s="9" t="s">
        <v>719</v>
      </c>
      <c r="F363" s="9" t="s">
        <v>873</v>
      </c>
      <c r="G363" s="9" t="s">
        <v>59</v>
      </c>
      <c r="H363" s="7" t="str">
        <f>IFERROR(IF(_xlfn.XLOOKUP(B363,REPASSE!D:D,REPASSE!D:D)="","Não","Sim"),"Não")</f>
        <v>Não</v>
      </c>
      <c r="I363" s="7" t="str">
        <f>IF(_xlfn.XLOOKUP(B363,'BOOST LIBERADO'!B:B,'BOOST LIBERADO'!B:B,"Não")="Não","Não","Sim")</f>
        <v>Sim</v>
      </c>
      <c r="J363" s="83" t="str">
        <f t="shared" si="10"/>
        <v>Sim</v>
      </c>
      <c r="K363" s="12">
        <f>SUMIFS(BASE!$G:$G,BASE!$B:$B,$B363,BASE!$L:$L,$G363,BASE!$J:$J,$C363,BASE!$A:$A,K$2)</f>
        <v>0</v>
      </c>
      <c r="L363" s="12">
        <f>SUMIFS(BASE!$G:$G,BASE!$B:$B,$B363,BASE!$L:$L,$G363,BASE!$J:$J,$C363,BASE!$A:$A,L$2)</f>
        <v>0</v>
      </c>
      <c r="M363" s="12">
        <f>SUMIFS(BASE!$G:$G,BASE!$B:$B,$B363,BASE!$L:$L,$G363,BASE!$J:$J,$C363,BASE!$A:$A,M$2)</f>
        <v>0</v>
      </c>
      <c r="N363" s="12">
        <f>SUMIFS(BASE!$G:$G,BASE!$B:$B,$B363,BASE!$L:$L,$G363,BASE!$J:$J,$C363,BASE!$A:$A,N$2)</f>
        <v>1</v>
      </c>
      <c r="O363" s="12">
        <f>SUMIFS(BASE!$G:$G,BASE!$B:$B,$B363,BASE!$L:$L,$G363,BASE!$J:$J,$C363,BASE!$A:$A,O$2)</f>
        <v>0</v>
      </c>
      <c r="P363" s="12">
        <f>SUMIFS(BASE!$G:$G,BASE!$B:$B,$B363,BASE!$L:$L,$G363,BASE!$J:$J,$C363,BASE!$A:$A,P$2)</f>
        <v>0</v>
      </c>
      <c r="Q363" s="12">
        <f>SUMIFS(BASE!$G:$G,BASE!$B:$B,$B363,BASE!$L:$L,$G363,BASE!$J:$J,$C363,BASE!$A:$A,Q$2)</f>
        <v>0</v>
      </c>
      <c r="R363" s="12">
        <f>SUMIFS(BASE!$G:$G,BASE!$B:$B,$B363,BASE!$L:$L,$G363,BASE!$J:$J,$C363,BASE!$A:$A,R$2)</f>
        <v>0</v>
      </c>
      <c r="S363" s="12">
        <f>SUMIFS(BASE!$G:$G,BASE!$B:$B,$B363,BASE!$L:$L,$G363,BASE!$J:$J,$C363,BASE!$A:$A,S$2)</f>
        <v>0</v>
      </c>
      <c r="T363" s="12">
        <f>SUMIFS(BASE!$G:$G,BASE!$B:$B,$B363,BASE!$L:$L,$G363,BASE!$J:$J,$C363,BASE!$A:$A,T$2)</f>
        <v>0</v>
      </c>
      <c r="U363" s="12">
        <f>SUMIFS(BASE!$G:$G,BASE!$B:$B,$B363,BASE!$L:$L,$G363,BASE!$J:$J,$C363,BASE!$A:$A,U$2)</f>
        <v>0</v>
      </c>
      <c r="V363" s="12">
        <f>SUMIFS(BASE!$G:$G,BASE!$B:$B,$B363,BASE!$L:$L,$G363,BASE!$J:$J,$C363,BASE!$A:$A,V$2)</f>
        <v>0</v>
      </c>
      <c r="X363" t="str">
        <f t="shared" si="11"/>
        <v>ZERADO</v>
      </c>
    </row>
    <row r="364" spans="2:24">
      <c r="B364" s="8" t="s">
        <v>899</v>
      </c>
      <c r="C364" s="9" t="s">
        <v>224</v>
      </c>
      <c r="D364" s="9" t="s">
        <v>877</v>
      </c>
      <c r="E364" s="9" t="s">
        <v>719</v>
      </c>
      <c r="F364" s="9" t="s">
        <v>873</v>
      </c>
      <c r="G364" s="9" t="s">
        <v>59</v>
      </c>
      <c r="H364" s="7" t="str">
        <f>IFERROR(IF(_xlfn.XLOOKUP(B364,REPASSE!D:D,REPASSE!D:D)="","Não","Sim"),"Não")</f>
        <v>Não</v>
      </c>
      <c r="I364" s="7" t="str">
        <f>IF(_xlfn.XLOOKUP(B364,'BOOST LIBERADO'!B:B,'BOOST LIBERADO'!B:B,"Não")="Não","Não","Sim")</f>
        <v>Sim</v>
      </c>
      <c r="J364" s="83" t="str">
        <f t="shared" si="10"/>
        <v>Sim</v>
      </c>
      <c r="K364" s="12">
        <f>SUMIFS(BASE!$G:$G,BASE!$B:$B,$B364,BASE!$L:$L,$G364,BASE!$J:$J,$C364,BASE!$A:$A,K$2)</f>
        <v>19</v>
      </c>
      <c r="L364" s="12">
        <f>SUMIFS(BASE!$G:$G,BASE!$B:$B,$B364,BASE!$L:$L,$G364,BASE!$J:$J,$C364,BASE!$A:$A,L$2)</f>
        <v>22</v>
      </c>
      <c r="M364" s="12">
        <f>SUMIFS(BASE!$G:$G,BASE!$B:$B,$B364,BASE!$L:$L,$G364,BASE!$J:$J,$C364,BASE!$A:$A,M$2)</f>
        <v>49</v>
      </c>
      <c r="N364" s="12">
        <f>SUMIFS(BASE!$G:$G,BASE!$B:$B,$B364,BASE!$L:$L,$G364,BASE!$J:$J,$C364,BASE!$A:$A,N$2)</f>
        <v>56</v>
      </c>
      <c r="O364" s="12">
        <f>SUMIFS(BASE!$G:$G,BASE!$B:$B,$B364,BASE!$L:$L,$G364,BASE!$J:$J,$C364,BASE!$A:$A,O$2)</f>
        <v>25</v>
      </c>
      <c r="P364" s="12">
        <f>SUMIFS(BASE!$G:$G,BASE!$B:$B,$B364,BASE!$L:$L,$G364,BASE!$J:$J,$C364,BASE!$A:$A,P$2)</f>
        <v>18</v>
      </c>
      <c r="Q364" s="12">
        <f>SUMIFS(BASE!$G:$G,BASE!$B:$B,$B364,BASE!$L:$L,$G364,BASE!$J:$J,$C364,BASE!$A:$A,Q$2)</f>
        <v>38</v>
      </c>
      <c r="R364" s="12">
        <f>SUMIFS(BASE!$G:$G,BASE!$B:$B,$B364,BASE!$L:$L,$G364,BASE!$J:$J,$C364,BASE!$A:$A,R$2)</f>
        <v>23</v>
      </c>
      <c r="S364" s="12">
        <f>SUMIFS(BASE!$G:$G,BASE!$B:$B,$B364,BASE!$L:$L,$G364,BASE!$J:$J,$C364,BASE!$A:$A,S$2)</f>
        <v>0</v>
      </c>
      <c r="T364" s="12">
        <f>SUMIFS(BASE!$G:$G,BASE!$B:$B,$B364,BASE!$L:$L,$G364,BASE!$J:$J,$C364,BASE!$A:$A,T$2)</f>
        <v>0</v>
      </c>
      <c r="U364" s="12">
        <f>SUMIFS(BASE!$G:$G,BASE!$B:$B,$B364,BASE!$L:$L,$G364,BASE!$J:$J,$C364,BASE!$A:$A,U$2)</f>
        <v>0</v>
      </c>
      <c r="V364" s="12">
        <f>SUMIFS(BASE!$G:$G,BASE!$B:$B,$B364,BASE!$L:$L,$G364,BASE!$J:$J,$C364,BASE!$A:$A,V$2)</f>
        <v>0</v>
      </c>
      <c r="X364" t="str">
        <f t="shared" si="11"/>
        <v>COM TROCAS</v>
      </c>
    </row>
    <row r="365" spans="2:24">
      <c r="B365" s="8" t="s">
        <v>900</v>
      </c>
      <c r="C365" s="9" t="s">
        <v>224</v>
      </c>
      <c r="D365" s="9" t="s">
        <v>877</v>
      </c>
      <c r="E365" s="9" t="s">
        <v>719</v>
      </c>
      <c r="F365" s="9" t="s">
        <v>873</v>
      </c>
      <c r="G365" s="9" t="s">
        <v>59</v>
      </c>
      <c r="H365" s="7" t="str">
        <f>IFERROR(IF(_xlfn.XLOOKUP(B365,REPASSE!D:D,REPASSE!D:D)="","Não","Sim"),"Não")</f>
        <v>Não</v>
      </c>
      <c r="I365" s="7" t="str">
        <f>IF(_xlfn.XLOOKUP(B365,'BOOST LIBERADO'!B:B,'BOOST LIBERADO'!B:B,"Não")="Não","Não","Sim")</f>
        <v>Sim</v>
      </c>
      <c r="J365" s="83" t="str">
        <f t="shared" si="10"/>
        <v>Sim</v>
      </c>
      <c r="K365" s="12">
        <f>SUMIFS(BASE!$G:$G,BASE!$B:$B,$B365,BASE!$L:$L,$G365,BASE!$J:$J,$C365,BASE!$A:$A,K$2)</f>
        <v>0</v>
      </c>
      <c r="L365" s="12">
        <f>SUMIFS(BASE!$G:$G,BASE!$B:$B,$B365,BASE!$L:$L,$G365,BASE!$J:$J,$C365,BASE!$A:$A,L$2)</f>
        <v>7</v>
      </c>
      <c r="M365" s="12">
        <f>SUMIFS(BASE!$G:$G,BASE!$B:$B,$B365,BASE!$L:$L,$G365,BASE!$J:$J,$C365,BASE!$A:$A,M$2)</f>
        <v>11</v>
      </c>
      <c r="N365" s="12">
        <f>SUMIFS(BASE!$G:$G,BASE!$B:$B,$B365,BASE!$L:$L,$G365,BASE!$J:$J,$C365,BASE!$A:$A,N$2)</f>
        <v>11</v>
      </c>
      <c r="O365" s="12">
        <f>SUMIFS(BASE!$G:$G,BASE!$B:$B,$B365,BASE!$L:$L,$G365,BASE!$J:$J,$C365,BASE!$A:$A,O$2)</f>
        <v>4</v>
      </c>
      <c r="P365" s="12">
        <f>SUMIFS(BASE!$G:$G,BASE!$B:$B,$B365,BASE!$L:$L,$G365,BASE!$J:$J,$C365,BASE!$A:$A,P$2)</f>
        <v>7</v>
      </c>
      <c r="Q365" s="12">
        <f>SUMIFS(BASE!$G:$G,BASE!$B:$B,$B365,BASE!$L:$L,$G365,BASE!$J:$J,$C365,BASE!$A:$A,Q$2)</f>
        <v>22</v>
      </c>
      <c r="R365" s="12">
        <f>SUMIFS(BASE!$G:$G,BASE!$B:$B,$B365,BASE!$L:$L,$G365,BASE!$J:$J,$C365,BASE!$A:$A,R$2)</f>
        <v>10</v>
      </c>
      <c r="S365" s="12">
        <f>SUMIFS(BASE!$G:$G,BASE!$B:$B,$B365,BASE!$L:$L,$G365,BASE!$J:$J,$C365,BASE!$A:$A,S$2)</f>
        <v>0</v>
      </c>
      <c r="T365" s="12">
        <f>SUMIFS(BASE!$G:$G,BASE!$B:$B,$B365,BASE!$L:$L,$G365,BASE!$J:$J,$C365,BASE!$A:$A,T$2)</f>
        <v>0</v>
      </c>
      <c r="U365" s="12">
        <f>SUMIFS(BASE!$G:$G,BASE!$B:$B,$B365,BASE!$L:$L,$G365,BASE!$J:$J,$C365,BASE!$A:$A,U$2)</f>
        <v>0</v>
      </c>
      <c r="V365" s="12">
        <f>SUMIFS(BASE!$G:$G,BASE!$B:$B,$B365,BASE!$L:$L,$G365,BASE!$J:$J,$C365,BASE!$A:$A,V$2)</f>
        <v>0</v>
      </c>
      <c r="X365" t="str">
        <f t="shared" si="11"/>
        <v>COM TROCAS</v>
      </c>
    </row>
    <row r="366" spans="2:24">
      <c r="B366" s="8" t="s">
        <v>901</v>
      </c>
      <c r="C366" s="9" t="s">
        <v>215</v>
      </c>
      <c r="D366" s="9" t="s">
        <v>725</v>
      </c>
      <c r="E366" s="9" t="s">
        <v>726</v>
      </c>
      <c r="F366" s="9" t="s">
        <v>902</v>
      </c>
      <c r="G366" s="9" t="s">
        <v>59</v>
      </c>
      <c r="H366" s="7" t="str">
        <f>IFERROR(IF(_xlfn.XLOOKUP(B366,REPASSE!D:D,REPASSE!D:D)="","Não","Sim"),"Não")</f>
        <v>Não</v>
      </c>
      <c r="I366" s="7" t="str">
        <f>IF(_xlfn.XLOOKUP(B366,'BOOST LIBERADO'!B:B,'BOOST LIBERADO'!B:B,"Não")="Não","Não","Sim")</f>
        <v>Sim</v>
      </c>
      <c r="J366" s="83" t="str">
        <f t="shared" si="10"/>
        <v>Sim</v>
      </c>
      <c r="K366" s="12">
        <f>SUMIFS(BASE!$G:$G,BASE!$B:$B,$B366,BASE!$L:$L,$G366,BASE!$J:$J,$C366,BASE!$A:$A,K$2)</f>
        <v>0</v>
      </c>
      <c r="L366" s="12">
        <f>SUMIFS(BASE!$G:$G,BASE!$B:$B,$B366,BASE!$L:$L,$G366,BASE!$J:$J,$C366,BASE!$A:$A,L$2)</f>
        <v>0</v>
      </c>
      <c r="M366" s="12">
        <f>SUMIFS(BASE!$G:$G,BASE!$B:$B,$B366,BASE!$L:$L,$G366,BASE!$J:$J,$C366,BASE!$A:$A,M$2)</f>
        <v>0</v>
      </c>
      <c r="N366" s="12">
        <f>SUMIFS(BASE!$G:$G,BASE!$B:$B,$B366,BASE!$L:$L,$G366,BASE!$J:$J,$C366,BASE!$A:$A,N$2)</f>
        <v>0</v>
      </c>
      <c r="O366" s="12">
        <f>SUMIFS(BASE!$G:$G,BASE!$B:$B,$B366,BASE!$L:$L,$G366,BASE!$J:$J,$C366,BASE!$A:$A,O$2)</f>
        <v>1</v>
      </c>
      <c r="P366" s="12">
        <f>SUMIFS(BASE!$G:$G,BASE!$B:$B,$B366,BASE!$L:$L,$G366,BASE!$J:$J,$C366,BASE!$A:$A,P$2)</f>
        <v>5</v>
      </c>
      <c r="Q366" s="12">
        <f>SUMIFS(BASE!$G:$G,BASE!$B:$B,$B366,BASE!$L:$L,$G366,BASE!$J:$J,$C366,BASE!$A:$A,Q$2)</f>
        <v>2</v>
      </c>
      <c r="R366" s="12">
        <f>SUMIFS(BASE!$G:$G,BASE!$B:$B,$B366,BASE!$L:$L,$G366,BASE!$J:$J,$C366,BASE!$A:$A,R$2)</f>
        <v>2</v>
      </c>
      <c r="S366" s="12">
        <f>SUMIFS(BASE!$G:$G,BASE!$B:$B,$B366,BASE!$L:$L,$G366,BASE!$J:$J,$C366,BASE!$A:$A,S$2)</f>
        <v>0</v>
      </c>
      <c r="T366" s="12">
        <f>SUMIFS(BASE!$G:$G,BASE!$B:$B,$B366,BASE!$L:$L,$G366,BASE!$J:$J,$C366,BASE!$A:$A,T$2)</f>
        <v>0</v>
      </c>
      <c r="U366" s="12">
        <f>SUMIFS(BASE!$G:$G,BASE!$B:$B,$B366,BASE!$L:$L,$G366,BASE!$J:$J,$C366,BASE!$A:$A,U$2)</f>
        <v>0</v>
      </c>
      <c r="V366" s="12">
        <f>SUMIFS(BASE!$G:$G,BASE!$B:$B,$B366,BASE!$L:$L,$G366,BASE!$J:$J,$C366,BASE!$A:$A,V$2)</f>
        <v>0</v>
      </c>
      <c r="X366" t="str">
        <f t="shared" si="11"/>
        <v>COM TROCAS</v>
      </c>
    </row>
    <row r="367" spans="2:24">
      <c r="B367" s="8" t="s">
        <v>903</v>
      </c>
      <c r="C367" s="9" t="s">
        <v>215</v>
      </c>
      <c r="D367" s="9" t="s">
        <v>725</v>
      </c>
      <c r="E367" s="9" t="s">
        <v>726</v>
      </c>
      <c r="F367" s="9" t="s">
        <v>904</v>
      </c>
      <c r="G367" s="9" t="s">
        <v>59</v>
      </c>
      <c r="H367" s="7" t="str">
        <f>IFERROR(IF(_xlfn.XLOOKUP(B367,REPASSE!D:D,REPASSE!D:D)="","Não","Sim"),"Não")</f>
        <v>Não</v>
      </c>
      <c r="I367" s="7" t="str">
        <f>IF(_xlfn.XLOOKUP(B367,'BOOST LIBERADO'!B:B,'BOOST LIBERADO'!B:B,"Não")="Não","Não","Sim")</f>
        <v>Sim</v>
      </c>
      <c r="J367" s="83" t="str">
        <f t="shared" si="10"/>
        <v>Sim</v>
      </c>
      <c r="K367" s="12">
        <f>SUMIFS(BASE!$G:$G,BASE!$B:$B,$B367,BASE!$L:$L,$G367,BASE!$J:$J,$C367,BASE!$A:$A,K$2)</f>
        <v>0</v>
      </c>
      <c r="L367" s="12">
        <f>SUMIFS(BASE!$G:$G,BASE!$B:$B,$B367,BASE!$L:$L,$G367,BASE!$J:$J,$C367,BASE!$A:$A,L$2)</f>
        <v>0</v>
      </c>
      <c r="M367" s="12">
        <f>SUMIFS(BASE!$G:$G,BASE!$B:$B,$B367,BASE!$L:$L,$G367,BASE!$J:$J,$C367,BASE!$A:$A,M$2)</f>
        <v>0</v>
      </c>
      <c r="N367" s="12">
        <f>SUMIFS(BASE!$G:$G,BASE!$B:$B,$B367,BASE!$L:$L,$G367,BASE!$J:$J,$C367,BASE!$A:$A,N$2)</f>
        <v>0</v>
      </c>
      <c r="O367" s="12">
        <f>SUMIFS(BASE!$G:$G,BASE!$B:$B,$B367,BASE!$L:$L,$G367,BASE!$J:$J,$C367,BASE!$A:$A,O$2)</f>
        <v>0</v>
      </c>
      <c r="P367" s="12">
        <f>SUMIFS(BASE!$G:$G,BASE!$B:$B,$B367,BASE!$L:$L,$G367,BASE!$J:$J,$C367,BASE!$A:$A,P$2)</f>
        <v>0</v>
      </c>
      <c r="Q367" s="12">
        <f>SUMIFS(BASE!$G:$G,BASE!$B:$B,$B367,BASE!$L:$L,$G367,BASE!$J:$J,$C367,BASE!$A:$A,Q$2)</f>
        <v>0</v>
      </c>
      <c r="R367" s="12">
        <f>SUMIFS(BASE!$G:$G,BASE!$B:$B,$B367,BASE!$L:$L,$G367,BASE!$J:$J,$C367,BASE!$A:$A,R$2)</f>
        <v>0</v>
      </c>
      <c r="S367" s="12">
        <f>SUMIFS(BASE!$G:$G,BASE!$B:$B,$B367,BASE!$L:$L,$G367,BASE!$J:$J,$C367,BASE!$A:$A,S$2)</f>
        <v>0</v>
      </c>
      <c r="T367" s="12">
        <f>SUMIFS(BASE!$G:$G,BASE!$B:$B,$B367,BASE!$L:$L,$G367,BASE!$J:$J,$C367,BASE!$A:$A,T$2)</f>
        <v>0</v>
      </c>
      <c r="U367" s="12">
        <f>SUMIFS(BASE!$G:$G,BASE!$B:$B,$B367,BASE!$L:$L,$G367,BASE!$J:$J,$C367,BASE!$A:$A,U$2)</f>
        <v>0</v>
      </c>
      <c r="V367" s="12">
        <f>SUMIFS(BASE!$G:$G,BASE!$B:$B,$B367,BASE!$L:$L,$G367,BASE!$J:$J,$C367,BASE!$A:$A,V$2)</f>
        <v>0</v>
      </c>
      <c r="X367" t="str">
        <f t="shared" si="11"/>
        <v>ZERADO</v>
      </c>
    </row>
    <row r="368" spans="2:24">
      <c r="B368" s="8" t="s">
        <v>905</v>
      </c>
      <c r="C368" s="9" t="s">
        <v>215</v>
      </c>
      <c r="D368" s="9" t="s">
        <v>725</v>
      </c>
      <c r="E368" s="9" t="s">
        <v>726</v>
      </c>
      <c r="F368" s="9" t="s">
        <v>902</v>
      </c>
      <c r="G368" s="9" t="s">
        <v>59</v>
      </c>
      <c r="H368" s="7" t="str">
        <f>IFERROR(IF(_xlfn.XLOOKUP(B368,REPASSE!D:D,REPASSE!D:D)="","Não","Sim"),"Não")</f>
        <v>Não</v>
      </c>
      <c r="I368" s="7" t="str">
        <f>IF(_xlfn.XLOOKUP(B368,'BOOST LIBERADO'!B:B,'BOOST LIBERADO'!B:B,"Não")="Não","Não","Sim")</f>
        <v>Sim</v>
      </c>
      <c r="J368" s="83" t="str">
        <f t="shared" si="10"/>
        <v>Sim</v>
      </c>
      <c r="K368" s="12">
        <f>SUMIFS(BASE!$G:$G,BASE!$B:$B,$B368,BASE!$L:$L,$G368,BASE!$J:$J,$C368,BASE!$A:$A,K$2)</f>
        <v>0</v>
      </c>
      <c r="L368" s="12">
        <f>SUMIFS(BASE!$G:$G,BASE!$B:$B,$B368,BASE!$L:$L,$G368,BASE!$J:$J,$C368,BASE!$A:$A,L$2)</f>
        <v>0</v>
      </c>
      <c r="M368" s="12">
        <f>SUMIFS(BASE!$G:$G,BASE!$B:$B,$B368,BASE!$L:$L,$G368,BASE!$J:$J,$C368,BASE!$A:$A,M$2)</f>
        <v>0</v>
      </c>
      <c r="N368" s="12">
        <f>SUMIFS(BASE!$G:$G,BASE!$B:$B,$B368,BASE!$L:$L,$G368,BASE!$J:$J,$C368,BASE!$A:$A,N$2)</f>
        <v>0</v>
      </c>
      <c r="O368" s="12">
        <f>SUMIFS(BASE!$G:$G,BASE!$B:$B,$B368,BASE!$L:$L,$G368,BASE!$J:$J,$C368,BASE!$A:$A,O$2)</f>
        <v>4</v>
      </c>
      <c r="P368" s="12">
        <f>SUMIFS(BASE!$G:$G,BASE!$B:$B,$B368,BASE!$L:$L,$G368,BASE!$J:$J,$C368,BASE!$A:$A,P$2)</f>
        <v>5</v>
      </c>
      <c r="Q368" s="12">
        <f>SUMIFS(BASE!$G:$G,BASE!$B:$B,$B368,BASE!$L:$L,$G368,BASE!$J:$J,$C368,BASE!$A:$A,Q$2)</f>
        <v>7</v>
      </c>
      <c r="R368" s="12">
        <f>SUMIFS(BASE!$G:$G,BASE!$B:$B,$B368,BASE!$L:$L,$G368,BASE!$J:$J,$C368,BASE!$A:$A,R$2)</f>
        <v>1</v>
      </c>
      <c r="S368" s="12">
        <f>SUMIFS(BASE!$G:$G,BASE!$B:$B,$B368,BASE!$L:$L,$G368,BASE!$J:$J,$C368,BASE!$A:$A,S$2)</f>
        <v>0</v>
      </c>
      <c r="T368" s="12">
        <f>SUMIFS(BASE!$G:$G,BASE!$B:$B,$B368,BASE!$L:$L,$G368,BASE!$J:$J,$C368,BASE!$A:$A,T$2)</f>
        <v>0</v>
      </c>
      <c r="U368" s="12">
        <f>SUMIFS(BASE!$G:$G,BASE!$B:$B,$B368,BASE!$L:$L,$G368,BASE!$J:$J,$C368,BASE!$A:$A,U$2)</f>
        <v>0</v>
      </c>
      <c r="V368" s="12">
        <f>SUMIFS(BASE!$G:$G,BASE!$B:$B,$B368,BASE!$L:$L,$G368,BASE!$J:$J,$C368,BASE!$A:$A,V$2)</f>
        <v>0</v>
      </c>
      <c r="X368" t="str">
        <f t="shared" si="11"/>
        <v>COM TROCAS</v>
      </c>
    </row>
    <row r="369" spans="2:24">
      <c r="B369" s="8" t="s">
        <v>906</v>
      </c>
      <c r="C369" s="9" t="s">
        <v>215</v>
      </c>
      <c r="D369" s="9" t="s">
        <v>725</v>
      </c>
      <c r="E369" s="9" t="s">
        <v>726</v>
      </c>
      <c r="F369" s="9" t="s">
        <v>902</v>
      </c>
      <c r="G369" s="9" t="s">
        <v>59</v>
      </c>
      <c r="H369" s="7" t="str">
        <f>IFERROR(IF(_xlfn.XLOOKUP(B369,REPASSE!D:D,REPASSE!D:D)="","Não","Sim"),"Não")</f>
        <v>Não</v>
      </c>
      <c r="I369" s="7" t="str">
        <f>IF(_xlfn.XLOOKUP(B369,'BOOST LIBERADO'!B:B,'BOOST LIBERADO'!B:B,"Não")="Não","Não","Sim")</f>
        <v>Sim</v>
      </c>
      <c r="J369" s="83" t="str">
        <f t="shared" si="10"/>
        <v>Sim</v>
      </c>
      <c r="K369" s="12">
        <f>SUMIFS(BASE!$G:$G,BASE!$B:$B,$B369,BASE!$L:$L,$G369,BASE!$J:$J,$C369,BASE!$A:$A,K$2)</f>
        <v>2</v>
      </c>
      <c r="L369" s="12">
        <f>SUMIFS(BASE!$G:$G,BASE!$B:$B,$B369,BASE!$L:$L,$G369,BASE!$J:$J,$C369,BASE!$A:$A,L$2)</f>
        <v>0</v>
      </c>
      <c r="M369" s="12">
        <f>SUMIFS(BASE!$G:$G,BASE!$B:$B,$B369,BASE!$L:$L,$G369,BASE!$J:$J,$C369,BASE!$A:$A,M$2)</f>
        <v>0</v>
      </c>
      <c r="N369" s="12">
        <f>SUMIFS(BASE!$G:$G,BASE!$B:$B,$B369,BASE!$L:$L,$G369,BASE!$J:$J,$C369,BASE!$A:$A,N$2)</f>
        <v>2</v>
      </c>
      <c r="O369" s="12">
        <f>SUMIFS(BASE!$G:$G,BASE!$B:$B,$B369,BASE!$L:$L,$G369,BASE!$J:$J,$C369,BASE!$A:$A,O$2)</f>
        <v>4</v>
      </c>
      <c r="P369" s="12">
        <f>SUMIFS(BASE!$G:$G,BASE!$B:$B,$B369,BASE!$L:$L,$G369,BASE!$J:$J,$C369,BASE!$A:$A,P$2)</f>
        <v>3</v>
      </c>
      <c r="Q369" s="12">
        <f>SUMIFS(BASE!$G:$G,BASE!$B:$B,$B369,BASE!$L:$L,$G369,BASE!$J:$J,$C369,BASE!$A:$A,Q$2)</f>
        <v>19</v>
      </c>
      <c r="R369" s="12">
        <f>SUMIFS(BASE!$G:$G,BASE!$B:$B,$B369,BASE!$L:$L,$G369,BASE!$J:$J,$C369,BASE!$A:$A,R$2)</f>
        <v>8</v>
      </c>
      <c r="S369" s="12">
        <f>SUMIFS(BASE!$G:$G,BASE!$B:$B,$B369,BASE!$L:$L,$G369,BASE!$J:$J,$C369,BASE!$A:$A,S$2)</f>
        <v>0</v>
      </c>
      <c r="T369" s="12">
        <f>SUMIFS(BASE!$G:$G,BASE!$B:$B,$B369,BASE!$L:$L,$G369,BASE!$J:$J,$C369,BASE!$A:$A,T$2)</f>
        <v>0</v>
      </c>
      <c r="U369" s="12">
        <f>SUMIFS(BASE!$G:$G,BASE!$B:$B,$B369,BASE!$L:$L,$G369,BASE!$J:$J,$C369,BASE!$A:$A,U$2)</f>
        <v>0</v>
      </c>
      <c r="V369" s="12">
        <f>SUMIFS(BASE!$G:$G,BASE!$B:$B,$B369,BASE!$L:$L,$G369,BASE!$J:$J,$C369,BASE!$A:$A,V$2)</f>
        <v>0</v>
      </c>
      <c r="X369" t="str">
        <f t="shared" si="11"/>
        <v>COM TROCAS</v>
      </c>
    </row>
    <row r="370" spans="2:24">
      <c r="B370" s="8" t="s">
        <v>907</v>
      </c>
      <c r="C370" s="9" t="s">
        <v>215</v>
      </c>
      <c r="D370" s="9" t="s">
        <v>725</v>
      </c>
      <c r="E370" s="9" t="s">
        <v>726</v>
      </c>
      <c r="F370" s="9" t="s">
        <v>908</v>
      </c>
      <c r="G370" s="9" t="s">
        <v>59</v>
      </c>
      <c r="H370" s="7" t="str">
        <f>IFERROR(IF(_xlfn.XLOOKUP(B370,REPASSE!D:D,REPASSE!D:D)="","Não","Sim"),"Não")</f>
        <v>Não</v>
      </c>
      <c r="I370" s="7" t="str">
        <f>IF(_xlfn.XLOOKUP(B370,'BOOST LIBERADO'!B:B,'BOOST LIBERADO'!B:B,"Não")="Não","Não","Sim")</f>
        <v>Sim</v>
      </c>
      <c r="J370" s="83" t="str">
        <f t="shared" si="10"/>
        <v>Sim</v>
      </c>
      <c r="K370" s="12">
        <f>SUMIFS(BASE!$G:$G,BASE!$B:$B,$B370,BASE!$L:$L,$G370,BASE!$J:$J,$C370,BASE!$A:$A,K$2)</f>
        <v>0</v>
      </c>
      <c r="L370" s="12">
        <f>SUMIFS(BASE!$G:$G,BASE!$B:$B,$B370,BASE!$L:$L,$G370,BASE!$J:$J,$C370,BASE!$A:$A,L$2)</f>
        <v>0</v>
      </c>
      <c r="M370" s="12">
        <f>SUMIFS(BASE!$G:$G,BASE!$B:$B,$B370,BASE!$L:$L,$G370,BASE!$J:$J,$C370,BASE!$A:$A,M$2)</f>
        <v>0</v>
      </c>
      <c r="N370" s="12">
        <f>SUMIFS(BASE!$G:$G,BASE!$B:$B,$B370,BASE!$L:$L,$G370,BASE!$J:$J,$C370,BASE!$A:$A,N$2)</f>
        <v>0</v>
      </c>
      <c r="O370" s="12">
        <f>SUMIFS(BASE!$G:$G,BASE!$B:$B,$B370,BASE!$L:$L,$G370,BASE!$J:$J,$C370,BASE!$A:$A,O$2)</f>
        <v>0</v>
      </c>
      <c r="P370" s="12">
        <f>SUMIFS(BASE!$G:$G,BASE!$B:$B,$B370,BASE!$L:$L,$G370,BASE!$J:$J,$C370,BASE!$A:$A,P$2)</f>
        <v>0</v>
      </c>
      <c r="Q370" s="12">
        <f>SUMIFS(BASE!$G:$G,BASE!$B:$B,$B370,BASE!$L:$L,$G370,BASE!$J:$J,$C370,BASE!$A:$A,Q$2)</f>
        <v>0</v>
      </c>
      <c r="R370" s="12">
        <f>SUMIFS(BASE!$G:$G,BASE!$B:$B,$B370,BASE!$L:$L,$G370,BASE!$J:$J,$C370,BASE!$A:$A,R$2)</f>
        <v>0</v>
      </c>
      <c r="S370" s="12">
        <f>SUMIFS(BASE!$G:$G,BASE!$B:$B,$B370,BASE!$L:$L,$G370,BASE!$J:$J,$C370,BASE!$A:$A,S$2)</f>
        <v>0</v>
      </c>
      <c r="T370" s="12">
        <f>SUMIFS(BASE!$G:$G,BASE!$B:$B,$B370,BASE!$L:$L,$G370,BASE!$J:$J,$C370,BASE!$A:$A,T$2)</f>
        <v>0</v>
      </c>
      <c r="U370" s="12">
        <f>SUMIFS(BASE!$G:$G,BASE!$B:$B,$B370,BASE!$L:$L,$G370,BASE!$J:$J,$C370,BASE!$A:$A,U$2)</f>
        <v>0</v>
      </c>
      <c r="V370" s="12">
        <f>SUMIFS(BASE!$G:$G,BASE!$B:$B,$B370,BASE!$L:$L,$G370,BASE!$J:$J,$C370,BASE!$A:$A,V$2)</f>
        <v>0</v>
      </c>
      <c r="X370" t="str">
        <f t="shared" si="11"/>
        <v>ZERADO</v>
      </c>
    </row>
    <row r="371" spans="2:24">
      <c r="B371" s="8" t="s">
        <v>909</v>
      </c>
      <c r="C371" s="9" t="s">
        <v>221</v>
      </c>
      <c r="D371" s="9" t="s">
        <v>847</v>
      </c>
      <c r="E371" s="9" t="s">
        <v>726</v>
      </c>
      <c r="F371" s="9" t="s">
        <v>910</v>
      </c>
      <c r="G371" s="9" t="s">
        <v>59</v>
      </c>
      <c r="H371" s="7" t="str">
        <f>IFERROR(IF(_xlfn.XLOOKUP(B371,REPASSE!D:D,REPASSE!D:D)="","Não","Sim"),"Não")</f>
        <v>Não</v>
      </c>
      <c r="I371" s="7" t="str">
        <f>IF(_xlfn.XLOOKUP(B371,'BOOST LIBERADO'!B:B,'BOOST LIBERADO'!B:B,"Não")="Não","Não","Sim")</f>
        <v>Sim</v>
      </c>
      <c r="J371" s="83" t="str">
        <f t="shared" si="10"/>
        <v>Sim</v>
      </c>
      <c r="K371" s="12">
        <f>SUMIFS(BASE!$G:$G,BASE!$B:$B,$B371,BASE!$L:$L,$G371,BASE!$J:$J,$C371,BASE!$A:$A,K$2)</f>
        <v>0</v>
      </c>
      <c r="L371" s="12">
        <f>SUMIFS(BASE!$G:$G,BASE!$B:$B,$B371,BASE!$L:$L,$G371,BASE!$J:$J,$C371,BASE!$A:$A,L$2)</f>
        <v>0</v>
      </c>
      <c r="M371" s="12">
        <f>SUMIFS(BASE!$G:$G,BASE!$B:$B,$B371,BASE!$L:$L,$G371,BASE!$J:$J,$C371,BASE!$A:$A,M$2)</f>
        <v>0</v>
      </c>
      <c r="N371" s="12">
        <f>SUMIFS(BASE!$G:$G,BASE!$B:$B,$B371,BASE!$L:$L,$G371,BASE!$J:$J,$C371,BASE!$A:$A,N$2)</f>
        <v>0</v>
      </c>
      <c r="O371" s="12">
        <f>SUMIFS(BASE!$G:$G,BASE!$B:$B,$B371,BASE!$L:$L,$G371,BASE!$J:$J,$C371,BASE!$A:$A,O$2)</f>
        <v>0</v>
      </c>
      <c r="P371" s="12">
        <f>SUMIFS(BASE!$G:$G,BASE!$B:$B,$B371,BASE!$L:$L,$G371,BASE!$J:$J,$C371,BASE!$A:$A,P$2)</f>
        <v>0</v>
      </c>
      <c r="Q371" s="12">
        <f>SUMIFS(BASE!$G:$G,BASE!$B:$B,$B371,BASE!$L:$L,$G371,BASE!$J:$J,$C371,BASE!$A:$A,Q$2)</f>
        <v>0</v>
      </c>
      <c r="R371" s="12">
        <f>SUMIFS(BASE!$G:$G,BASE!$B:$B,$B371,BASE!$L:$L,$G371,BASE!$J:$J,$C371,BASE!$A:$A,R$2)</f>
        <v>0</v>
      </c>
      <c r="S371" s="12">
        <f>SUMIFS(BASE!$G:$G,BASE!$B:$B,$B371,BASE!$L:$L,$G371,BASE!$J:$J,$C371,BASE!$A:$A,S$2)</f>
        <v>0</v>
      </c>
      <c r="T371" s="12">
        <f>SUMIFS(BASE!$G:$G,BASE!$B:$B,$B371,BASE!$L:$L,$G371,BASE!$J:$J,$C371,BASE!$A:$A,T$2)</f>
        <v>0</v>
      </c>
      <c r="U371" s="12">
        <f>SUMIFS(BASE!$G:$G,BASE!$B:$B,$B371,BASE!$L:$L,$G371,BASE!$J:$J,$C371,BASE!$A:$A,U$2)</f>
        <v>0</v>
      </c>
      <c r="V371" s="12">
        <f>SUMIFS(BASE!$G:$G,BASE!$B:$B,$B371,BASE!$L:$L,$G371,BASE!$J:$J,$C371,BASE!$A:$A,V$2)</f>
        <v>0</v>
      </c>
      <c r="X371" t="str">
        <f t="shared" si="11"/>
        <v>ZERADO</v>
      </c>
    </row>
    <row r="372" spans="2:24">
      <c r="B372" s="8" t="s">
        <v>911</v>
      </c>
      <c r="C372" s="9" t="s">
        <v>152</v>
      </c>
      <c r="D372" s="9" t="s">
        <v>688</v>
      </c>
      <c r="E372" s="9" t="s">
        <v>682</v>
      </c>
      <c r="F372" s="9" t="s">
        <v>699</v>
      </c>
      <c r="G372" s="9" t="s">
        <v>59</v>
      </c>
      <c r="H372" s="7" t="str">
        <f>IFERROR(IF(_xlfn.XLOOKUP(B372,REPASSE!D:D,REPASSE!D:D)="","Não","Sim"),"Não")</f>
        <v>Não</v>
      </c>
      <c r="I372" s="7" t="str">
        <f>IF(_xlfn.XLOOKUP(B372,'BOOST LIBERADO'!B:B,'BOOST LIBERADO'!B:B,"Não")="Não","Não","Sim")</f>
        <v>Não</v>
      </c>
      <c r="J372" s="83" t="str">
        <f t="shared" si="10"/>
        <v>Não</v>
      </c>
      <c r="K372" s="12">
        <f>SUMIFS(BASE!$G:$G,BASE!$B:$B,$B372,BASE!$L:$L,$G372,BASE!$J:$J,$C372,BASE!$A:$A,K$2)</f>
        <v>0</v>
      </c>
      <c r="L372" s="12">
        <f>SUMIFS(BASE!$G:$G,BASE!$B:$B,$B372,BASE!$L:$L,$G372,BASE!$J:$J,$C372,BASE!$A:$A,L$2)</f>
        <v>0</v>
      </c>
      <c r="M372" s="12">
        <f>SUMIFS(BASE!$G:$G,BASE!$B:$B,$B372,BASE!$L:$L,$G372,BASE!$J:$J,$C372,BASE!$A:$A,M$2)</f>
        <v>0</v>
      </c>
      <c r="N372" s="12">
        <f>SUMIFS(BASE!$G:$G,BASE!$B:$B,$B372,BASE!$L:$L,$G372,BASE!$J:$J,$C372,BASE!$A:$A,N$2)</f>
        <v>0</v>
      </c>
      <c r="O372" s="12">
        <f>SUMIFS(BASE!$G:$G,BASE!$B:$B,$B372,BASE!$L:$L,$G372,BASE!$J:$J,$C372,BASE!$A:$A,O$2)</f>
        <v>0</v>
      </c>
      <c r="P372" s="12">
        <f>SUMIFS(BASE!$G:$G,BASE!$B:$B,$B372,BASE!$L:$L,$G372,BASE!$J:$J,$C372,BASE!$A:$A,P$2)</f>
        <v>0</v>
      </c>
      <c r="Q372" s="12">
        <f>SUMIFS(BASE!$G:$G,BASE!$B:$B,$B372,BASE!$L:$L,$G372,BASE!$J:$J,$C372,BASE!$A:$A,Q$2)</f>
        <v>0</v>
      </c>
      <c r="R372" s="12">
        <f>SUMIFS(BASE!$G:$G,BASE!$B:$B,$B372,BASE!$L:$L,$G372,BASE!$J:$J,$C372,BASE!$A:$A,R$2)</f>
        <v>0</v>
      </c>
      <c r="S372" s="12">
        <f>SUMIFS(BASE!$G:$G,BASE!$B:$B,$B372,BASE!$L:$L,$G372,BASE!$J:$J,$C372,BASE!$A:$A,S$2)</f>
        <v>0</v>
      </c>
      <c r="T372" s="12">
        <f>SUMIFS(BASE!$G:$G,BASE!$B:$B,$B372,BASE!$L:$L,$G372,BASE!$J:$J,$C372,BASE!$A:$A,T$2)</f>
        <v>0</v>
      </c>
      <c r="U372" s="12">
        <f>SUMIFS(BASE!$G:$G,BASE!$B:$B,$B372,BASE!$L:$L,$G372,BASE!$J:$J,$C372,BASE!$A:$A,U$2)</f>
        <v>0</v>
      </c>
      <c r="V372" s="12">
        <f>SUMIFS(BASE!$G:$G,BASE!$B:$B,$B372,BASE!$L:$L,$G372,BASE!$J:$J,$C372,BASE!$A:$A,V$2)</f>
        <v>0</v>
      </c>
      <c r="X372" t="str">
        <f t="shared" si="11"/>
        <v>ZERADO</v>
      </c>
    </row>
    <row r="373" spans="2:24">
      <c r="B373" s="8" t="s">
        <v>912</v>
      </c>
      <c r="C373" s="9" t="s">
        <v>239</v>
      </c>
      <c r="D373" s="9" t="s">
        <v>830</v>
      </c>
      <c r="E373" s="9" t="s">
        <v>666</v>
      </c>
      <c r="F373" s="9" t="s">
        <v>820</v>
      </c>
      <c r="G373" s="9" t="s">
        <v>59</v>
      </c>
      <c r="H373" s="7" t="str">
        <f>IFERROR(IF(_xlfn.XLOOKUP(B373,REPASSE!D:D,REPASSE!D:D)="","Não","Sim"),"Não")</f>
        <v>Não</v>
      </c>
      <c r="I373" s="7" t="str">
        <f>IF(_xlfn.XLOOKUP(B373,'BOOST LIBERADO'!B:B,'BOOST LIBERADO'!B:B,"Não")="Não","Não","Sim")</f>
        <v>Sim</v>
      </c>
      <c r="J373" s="83" t="str">
        <f t="shared" si="10"/>
        <v>Sim</v>
      </c>
      <c r="K373" s="12">
        <f>SUMIFS(BASE!$G:$G,BASE!$B:$B,$B373,BASE!$L:$L,$G373,BASE!$J:$J,$C373,BASE!$A:$A,K$2)</f>
        <v>0</v>
      </c>
      <c r="L373" s="12">
        <f>SUMIFS(BASE!$G:$G,BASE!$B:$B,$B373,BASE!$L:$L,$G373,BASE!$J:$J,$C373,BASE!$A:$A,L$2)</f>
        <v>2</v>
      </c>
      <c r="M373" s="12">
        <f>SUMIFS(BASE!$G:$G,BASE!$B:$B,$B373,BASE!$L:$L,$G373,BASE!$J:$J,$C373,BASE!$A:$A,M$2)</f>
        <v>1</v>
      </c>
      <c r="N373" s="12">
        <f>SUMIFS(BASE!$G:$G,BASE!$B:$B,$B373,BASE!$L:$L,$G373,BASE!$J:$J,$C373,BASE!$A:$A,N$2)</f>
        <v>11</v>
      </c>
      <c r="O373" s="12">
        <f>SUMIFS(BASE!$G:$G,BASE!$B:$B,$B373,BASE!$L:$L,$G373,BASE!$J:$J,$C373,BASE!$A:$A,O$2)</f>
        <v>9</v>
      </c>
      <c r="P373" s="12">
        <f>SUMIFS(BASE!$G:$G,BASE!$B:$B,$B373,BASE!$L:$L,$G373,BASE!$J:$J,$C373,BASE!$A:$A,P$2)</f>
        <v>12</v>
      </c>
      <c r="Q373" s="12">
        <f>SUMIFS(BASE!$G:$G,BASE!$B:$B,$B373,BASE!$L:$L,$G373,BASE!$J:$J,$C373,BASE!$A:$A,Q$2)</f>
        <v>33</v>
      </c>
      <c r="R373" s="12">
        <f>SUMIFS(BASE!$G:$G,BASE!$B:$B,$B373,BASE!$L:$L,$G373,BASE!$J:$J,$C373,BASE!$A:$A,R$2)</f>
        <v>14</v>
      </c>
      <c r="S373" s="12">
        <f>SUMIFS(BASE!$G:$G,BASE!$B:$B,$B373,BASE!$L:$L,$G373,BASE!$J:$J,$C373,BASE!$A:$A,S$2)</f>
        <v>0</v>
      </c>
      <c r="T373" s="12">
        <f>SUMIFS(BASE!$G:$G,BASE!$B:$B,$B373,BASE!$L:$L,$G373,BASE!$J:$J,$C373,BASE!$A:$A,T$2)</f>
        <v>0</v>
      </c>
      <c r="U373" s="12">
        <f>SUMIFS(BASE!$G:$G,BASE!$B:$B,$B373,BASE!$L:$L,$G373,BASE!$J:$J,$C373,BASE!$A:$A,U$2)</f>
        <v>0</v>
      </c>
      <c r="V373" s="12">
        <f>SUMIFS(BASE!$G:$G,BASE!$B:$B,$B373,BASE!$L:$L,$G373,BASE!$J:$J,$C373,BASE!$A:$A,V$2)</f>
        <v>0</v>
      </c>
      <c r="X373" t="str">
        <f t="shared" si="11"/>
        <v>COM TROCAS</v>
      </c>
    </row>
    <row r="374" spans="2:24">
      <c r="B374" s="8" t="s">
        <v>913</v>
      </c>
      <c r="C374" s="9" t="s">
        <v>113</v>
      </c>
      <c r="D374" s="9" t="s">
        <v>731</v>
      </c>
      <c r="E374" s="9" t="s">
        <v>726</v>
      </c>
      <c r="F374" s="9" t="s">
        <v>914</v>
      </c>
      <c r="G374" s="9" t="s">
        <v>59</v>
      </c>
      <c r="H374" s="7" t="str">
        <f>IFERROR(IF(_xlfn.XLOOKUP(B374,REPASSE!D:D,REPASSE!D:D)="","Não","Sim"),"Não")</f>
        <v>Não</v>
      </c>
      <c r="I374" s="7" t="str">
        <f>IF(_xlfn.XLOOKUP(B374,'BOOST LIBERADO'!B:B,'BOOST LIBERADO'!B:B,"Não")="Não","Não","Sim")</f>
        <v>Sim</v>
      </c>
      <c r="J374" s="83" t="str">
        <f t="shared" si="10"/>
        <v>Sim</v>
      </c>
      <c r="K374" s="12">
        <f>SUMIFS(BASE!$G:$G,BASE!$B:$B,$B374,BASE!$L:$L,$G374,BASE!$J:$J,$C374,BASE!$A:$A,K$2)</f>
        <v>0</v>
      </c>
      <c r="L374" s="12">
        <f>SUMIFS(BASE!$G:$G,BASE!$B:$B,$B374,BASE!$L:$L,$G374,BASE!$J:$J,$C374,BASE!$A:$A,L$2)</f>
        <v>0</v>
      </c>
      <c r="M374" s="12">
        <f>SUMIFS(BASE!$G:$G,BASE!$B:$B,$B374,BASE!$L:$L,$G374,BASE!$J:$J,$C374,BASE!$A:$A,M$2)</f>
        <v>0</v>
      </c>
      <c r="N374" s="12">
        <f>SUMIFS(BASE!$G:$G,BASE!$B:$B,$B374,BASE!$L:$L,$G374,BASE!$J:$J,$C374,BASE!$A:$A,N$2)</f>
        <v>0</v>
      </c>
      <c r="O374" s="12">
        <f>SUMIFS(BASE!$G:$G,BASE!$B:$B,$B374,BASE!$L:$L,$G374,BASE!$J:$J,$C374,BASE!$A:$A,O$2)</f>
        <v>0</v>
      </c>
      <c r="P374" s="12">
        <f>SUMIFS(BASE!$G:$G,BASE!$B:$B,$B374,BASE!$L:$L,$G374,BASE!$J:$J,$C374,BASE!$A:$A,P$2)</f>
        <v>0</v>
      </c>
      <c r="Q374" s="12">
        <f>SUMIFS(BASE!$G:$G,BASE!$B:$B,$B374,BASE!$L:$L,$G374,BASE!$J:$J,$C374,BASE!$A:$A,Q$2)</f>
        <v>0</v>
      </c>
      <c r="R374" s="12">
        <f>SUMIFS(BASE!$G:$G,BASE!$B:$B,$B374,BASE!$L:$L,$G374,BASE!$J:$J,$C374,BASE!$A:$A,R$2)</f>
        <v>0</v>
      </c>
      <c r="S374" s="12">
        <f>SUMIFS(BASE!$G:$G,BASE!$B:$B,$B374,BASE!$L:$L,$G374,BASE!$J:$J,$C374,BASE!$A:$A,S$2)</f>
        <v>0</v>
      </c>
      <c r="T374" s="12">
        <f>SUMIFS(BASE!$G:$G,BASE!$B:$B,$B374,BASE!$L:$L,$G374,BASE!$J:$J,$C374,BASE!$A:$A,T$2)</f>
        <v>0</v>
      </c>
      <c r="U374" s="12">
        <f>SUMIFS(BASE!$G:$G,BASE!$B:$B,$B374,BASE!$L:$L,$G374,BASE!$J:$J,$C374,BASE!$A:$A,U$2)</f>
        <v>0</v>
      </c>
      <c r="V374" s="12">
        <f>SUMIFS(BASE!$G:$G,BASE!$B:$B,$B374,BASE!$L:$L,$G374,BASE!$J:$J,$C374,BASE!$A:$A,V$2)</f>
        <v>0</v>
      </c>
      <c r="X374" t="str">
        <f t="shared" si="11"/>
        <v>ZERADO</v>
      </c>
    </row>
    <row r="375" spans="2:24">
      <c r="B375" s="8" t="s">
        <v>915</v>
      </c>
      <c r="C375" s="9" t="s">
        <v>113</v>
      </c>
      <c r="D375" s="9" t="s">
        <v>731</v>
      </c>
      <c r="E375" s="9" t="s">
        <v>726</v>
      </c>
      <c r="F375" s="9" t="s">
        <v>916</v>
      </c>
      <c r="G375" s="9" t="s">
        <v>59</v>
      </c>
      <c r="H375" s="7" t="str">
        <f>IFERROR(IF(_xlfn.XLOOKUP(B375,REPASSE!D:D,REPASSE!D:D)="","Não","Sim"),"Não")</f>
        <v>Não</v>
      </c>
      <c r="I375" s="7" t="str">
        <f>IF(_xlfn.XLOOKUP(B375,'BOOST LIBERADO'!B:B,'BOOST LIBERADO'!B:B,"Não")="Não","Não","Sim")</f>
        <v>Sim</v>
      </c>
      <c r="J375" s="83" t="str">
        <f t="shared" si="10"/>
        <v>Sim</v>
      </c>
      <c r="K375" s="12">
        <f>SUMIFS(BASE!$G:$G,BASE!$B:$B,$B375,BASE!$L:$L,$G375,BASE!$J:$J,$C375,BASE!$A:$A,K$2)</f>
        <v>0</v>
      </c>
      <c r="L375" s="12">
        <f>SUMIFS(BASE!$G:$G,BASE!$B:$B,$B375,BASE!$L:$L,$G375,BASE!$J:$J,$C375,BASE!$A:$A,L$2)</f>
        <v>0</v>
      </c>
      <c r="M375" s="12">
        <f>SUMIFS(BASE!$G:$G,BASE!$B:$B,$B375,BASE!$L:$L,$G375,BASE!$J:$J,$C375,BASE!$A:$A,M$2)</f>
        <v>0</v>
      </c>
      <c r="N375" s="12">
        <f>SUMIFS(BASE!$G:$G,BASE!$B:$B,$B375,BASE!$L:$L,$G375,BASE!$J:$J,$C375,BASE!$A:$A,N$2)</f>
        <v>0</v>
      </c>
      <c r="O375" s="12">
        <f>SUMIFS(BASE!$G:$G,BASE!$B:$B,$B375,BASE!$L:$L,$G375,BASE!$J:$J,$C375,BASE!$A:$A,O$2)</f>
        <v>0</v>
      </c>
      <c r="P375" s="12">
        <f>SUMIFS(BASE!$G:$G,BASE!$B:$B,$B375,BASE!$L:$L,$G375,BASE!$J:$J,$C375,BASE!$A:$A,P$2)</f>
        <v>0</v>
      </c>
      <c r="Q375" s="12">
        <f>SUMIFS(BASE!$G:$G,BASE!$B:$B,$B375,BASE!$L:$L,$G375,BASE!$J:$J,$C375,BASE!$A:$A,Q$2)</f>
        <v>0</v>
      </c>
      <c r="R375" s="12">
        <f>SUMIFS(BASE!$G:$G,BASE!$B:$B,$B375,BASE!$L:$L,$G375,BASE!$J:$J,$C375,BASE!$A:$A,R$2)</f>
        <v>0</v>
      </c>
      <c r="S375" s="12">
        <f>SUMIFS(BASE!$G:$G,BASE!$B:$B,$B375,BASE!$L:$L,$G375,BASE!$J:$J,$C375,BASE!$A:$A,S$2)</f>
        <v>0</v>
      </c>
      <c r="T375" s="12">
        <f>SUMIFS(BASE!$G:$G,BASE!$B:$B,$B375,BASE!$L:$L,$G375,BASE!$J:$J,$C375,BASE!$A:$A,T$2)</f>
        <v>0</v>
      </c>
      <c r="U375" s="12">
        <f>SUMIFS(BASE!$G:$G,BASE!$B:$B,$B375,BASE!$L:$L,$G375,BASE!$J:$J,$C375,BASE!$A:$A,U$2)</f>
        <v>0</v>
      </c>
      <c r="V375" s="12">
        <f>SUMIFS(BASE!$G:$G,BASE!$B:$B,$B375,BASE!$L:$L,$G375,BASE!$J:$J,$C375,BASE!$A:$A,V$2)</f>
        <v>0</v>
      </c>
      <c r="X375" t="str">
        <f t="shared" si="11"/>
        <v>ZERADO</v>
      </c>
    </row>
    <row r="376" spans="2:24">
      <c r="B376" s="8" t="s">
        <v>917</v>
      </c>
      <c r="C376" s="9" t="s">
        <v>113</v>
      </c>
      <c r="D376" s="9" t="s">
        <v>731</v>
      </c>
      <c r="E376" s="9" t="s">
        <v>726</v>
      </c>
      <c r="F376" s="9" t="s">
        <v>918</v>
      </c>
      <c r="G376" s="9" t="s">
        <v>59</v>
      </c>
      <c r="H376" s="7" t="str">
        <f>IFERROR(IF(_xlfn.XLOOKUP(B376,REPASSE!D:D,REPASSE!D:D)="","Não","Sim"),"Não")</f>
        <v>Não</v>
      </c>
      <c r="I376" s="7" t="str">
        <f>IF(_xlfn.XLOOKUP(B376,'BOOST LIBERADO'!B:B,'BOOST LIBERADO'!B:B,"Não")="Não","Não","Sim")</f>
        <v>Sim</v>
      </c>
      <c r="J376" s="83" t="str">
        <f t="shared" si="10"/>
        <v>Sim</v>
      </c>
      <c r="K376" s="12">
        <f>SUMIFS(BASE!$G:$G,BASE!$B:$B,$B376,BASE!$L:$L,$G376,BASE!$J:$J,$C376,BASE!$A:$A,K$2)</f>
        <v>0</v>
      </c>
      <c r="L376" s="12">
        <f>SUMIFS(BASE!$G:$G,BASE!$B:$B,$B376,BASE!$L:$L,$G376,BASE!$J:$J,$C376,BASE!$A:$A,L$2)</f>
        <v>0</v>
      </c>
      <c r="M376" s="12">
        <f>SUMIFS(BASE!$G:$G,BASE!$B:$B,$B376,BASE!$L:$L,$G376,BASE!$J:$J,$C376,BASE!$A:$A,M$2)</f>
        <v>0</v>
      </c>
      <c r="N376" s="12">
        <f>SUMIFS(BASE!$G:$G,BASE!$B:$B,$B376,BASE!$L:$L,$G376,BASE!$J:$J,$C376,BASE!$A:$A,N$2)</f>
        <v>0</v>
      </c>
      <c r="O376" s="12">
        <f>SUMIFS(BASE!$G:$G,BASE!$B:$B,$B376,BASE!$L:$L,$G376,BASE!$J:$J,$C376,BASE!$A:$A,O$2)</f>
        <v>0</v>
      </c>
      <c r="P376" s="12">
        <f>SUMIFS(BASE!$G:$G,BASE!$B:$B,$B376,BASE!$L:$L,$G376,BASE!$J:$J,$C376,BASE!$A:$A,P$2)</f>
        <v>0</v>
      </c>
      <c r="Q376" s="12">
        <f>SUMIFS(BASE!$G:$G,BASE!$B:$B,$B376,BASE!$L:$L,$G376,BASE!$J:$J,$C376,BASE!$A:$A,Q$2)</f>
        <v>0</v>
      </c>
      <c r="R376" s="12">
        <f>SUMIFS(BASE!$G:$G,BASE!$B:$B,$B376,BASE!$L:$L,$G376,BASE!$J:$J,$C376,BASE!$A:$A,R$2)</f>
        <v>0</v>
      </c>
      <c r="S376" s="12">
        <f>SUMIFS(BASE!$G:$G,BASE!$B:$B,$B376,BASE!$L:$L,$G376,BASE!$J:$J,$C376,BASE!$A:$A,S$2)</f>
        <v>0</v>
      </c>
      <c r="T376" s="12">
        <f>SUMIFS(BASE!$G:$G,BASE!$B:$B,$B376,BASE!$L:$L,$G376,BASE!$J:$J,$C376,BASE!$A:$A,T$2)</f>
        <v>0</v>
      </c>
      <c r="U376" s="12">
        <f>SUMIFS(BASE!$G:$G,BASE!$B:$B,$B376,BASE!$L:$L,$G376,BASE!$J:$J,$C376,BASE!$A:$A,U$2)</f>
        <v>0</v>
      </c>
      <c r="V376" s="12">
        <f>SUMIFS(BASE!$G:$G,BASE!$B:$B,$B376,BASE!$L:$L,$G376,BASE!$J:$J,$C376,BASE!$A:$A,V$2)</f>
        <v>0</v>
      </c>
      <c r="X376" t="str">
        <f t="shared" si="11"/>
        <v>ZERADO</v>
      </c>
    </row>
    <row r="377" spans="2:24">
      <c r="B377" s="8" t="s">
        <v>919</v>
      </c>
      <c r="C377" s="9" t="s">
        <v>113</v>
      </c>
      <c r="D377" s="9" t="s">
        <v>731</v>
      </c>
      <c r="E377" s="9" t="s">
        <v>726</v>
      </c>
      <c r="F377" s="9" t="s">
        <v>920</v>
      </c>
      <c r="G377" s="9" t="s">
        <v>59</v>
      </c>
      <c r="H377" s="7" t="str">
        <f>IFERROR(IF(_xlfn.XLOOKUP(B377,REPASSE!D:D,REPASSE!D:D)="","Não","Sim"),"Não")</f>
        <v>Não</v>
      </c>
      <c r="I377" s="7" t="str">
        <f>IF(_xlfn.XLOOKUP(B377,'BOOST LIBERADO'!B:B,'BOOST LIBERADO'!B:B,"Não")="Não","Não","Sim")</f>
        <v>Sim</v>
      </c>
      <c r="J377" s="83" t="str">
        <f t="shared" si="10"/>
        <v>Sim</v>
      </c>
      <c r="K377" s="12">
        <f>SUMIFS(BASE!$G:$G,BASE!$B:$B,$B377,BASE!$L:$L,$G377,BASE!$J:$J,$C377,BASE!$A:$A,K$2)</f>
        <v>0</v>
      </c>
      <c r="L377" s="12">
        <f>SUMIFS(BASE!$G:$G,BASE!$B:$B,$B377,BASE!$L:$L,$G377,BASE!$J:$J,$C377,BASE!$A:$A,L$2)</f>
        <v>0</v>
      </c>
      <c r="M377" s="12">
        <f>SUMIFS(BASE!$G:$G,BASE!$B:$B,$B377,BASE!$L:$L,$G377,BASE!$J:$J,$C377,BASE!$A:$A,M$2)</f>
        <v>0</v>
      </c>
      <c r="N377" s="12">
        <f>SUMIFS(BASE!$G:$G,BASE!$B:$B,$B377,BASE!$L:$L,$G377,BASE!$J:$J,$C377,BASE!$A:$A,N$2)</f>
        <v>0</v>
      </c>
      <c r="O377" s="12">
        <f>SUMIFS(BASE!$G:$G,BASE!$B:$B,$B377,BASE!$L:$L,$G377,BASE!$J:$J,$C377,BASE!$A:$A,O$2)</f>
        <v>0</v>
      </c>
      <c r="P377" s="12">
        <f>SUMIFS(BASE!$G:$G,BASE!$B:$B,$B377,BASE!$L:$L,$G377,BASE!$J:$J,$C377,BASE!$A:$A,P$2)</f>
        <v>0</v>
      </c>
      <c r="Q377" s="12">
        <f>SUMIFS(BASE!$G:$G,BASE!$B:$B,$B377,BASE!$L:$L,$G377,BASE!$J:$J,$C377,BASE!$A:$A,Q$2)</f>
        <v>0</v>
      </c>
      <c r="R377" s="12">
        <f>SUMIFS(BASE!$G:$G,BASE!$B:$B,$B377,BASE!$L:$L,$G377,BASE!$J:$J,$C377,BASE!$A:$A,R$2)</f>
        <v>0</v>
      </c>
      <c r="S377" s="12">
        <f>SUMIFS(BASE!$G:$G,BASE!$B:$B,$B377,BASE!$L:$L,$G377,BASE!$J:$J,$C377,BASE!$A:$A,S$2)</f>
        <v>0</v>
      </c>
      <c r="T377" s="12">
        <f>SUMIFS(BASE!$G:$G,BASE!$B:$B,$B377,BASE!$L:$L,$G377,BASE!$J:$J,$C377,BASE!$A:$A,T$2)</f>
        <v>0</v>
      </c>
      <c r="U377" s="12">
        <f>SUMIFS(BASE!$G:$G,BASE!$B:$B,$B377,BASE!$L:$L,$G377,BASE!$J:$J,$C377,BASE!$A:$A,U$2)</f>
        <v>0</v>
      </c>
      <c r="V377" s="12">
        <f>SUMIFS(BASE!$G:$G,BASE!$B:$B,$B377,BASE!$L:$L,$G377,BASE!$J:$J,$C377,BASE!$A:$A,V$2)</f>
        <v>0</v>
      </c>
      <c r="X377" t="str">
        <f t="shared" si="11"/>
        <v>ZERADO</v>
      </c>
    </row>
    <row r="378" spans="2:24">
      <c r="B378" s="8" t="s">
        <v>921</v>
      </c>
      <c r="C378" s="9" t="s">
        <v>231</v>
      </c>
      <c r="D378" s="9" t="s">
        <v>731</v>
      </c>
      <c r="E378" s="9" t="s">
        <v>726</v>
      </c>
      <c r="F378" s="9" t="s">
        <v>732</v>
      </c>
      <c r="G378" s="9" t="s">
        <v>59</v>
      </c>
      <c r="H378" s="7" t="str">
        <f>IFERROR(IF(_xlfn.XLOOKUP(B378,REPASSE!D:D,REPASSE!D:D)="","Não","Sim"),"Não")</f>
        <v>Não</v>
      </c>
      <c r="I378" s="7" t="str">
        <f>IF(_xlfn.XLOOKUP(B378,'BOOST LIBERADO'!B:B,'BOOST LIBERADO'!B:B,"Não")="Não","Não","Sim")</f>
        <v>Sim</v>
      </c>
      <c r="J378" s="83" t="str">
        <f t="shared" si="10"/>
        <v>Sim</v>
      </c>
      <c r="K378" s="12">
        <f>SUMIFS(BASE!$G:$G,BASE!$B:$B,$B378,BASE!$L:$L,$G378,BASE!$J:$J,$C378,BASE!$A:$A,K$2)</f>
        <v>0</v>
      </c>
      <c r="L378" s="12">
        <f>SUMIFS(BASE!$G:$G,BASE!$B:$B,$B378,BASE!$L:$L,$G378,BASE!$J:$J,$C378,BASE!$A:$A,L$2)</f>
        <v>0</v>
      </c>
      <c r="M378" s="12">
        <f>SUMIFS(BASE!$G:$G,BASE!$B:$B,$B378,BASE!$L:$L,$G378,BASE!$J:$J,$C378,BASE!$A:$A,M$2)</f>
        <v>0</v>
      </c>
      <c r="N378" s="12">
        <f>SUMIFS(BASE!$G:$G,BASE!$B:$B,$B378,BASE!$L:$L,$G378,BASE!$J:$J,$C378,BASE!$A:$A,N$2)</f>
        <v>0</v>
      </c>
      <c r="O378" s="12">
        <f>SUMIFS(BASE!$G:$G,BASE!$B:$B,$B378,BASE!$L:$L,$G378,BASE!$J:$J,$C378,BASE!$A:$A,O$2)</f>
        <v>0</v>
      </c>
      <c r="P378" s="12">
        <f>SUMIFS(BASE!$G:$G,BASE!$B:$B,$B378,BASE!$L:$L,$G378,BASE!$J:$J,$C378,BASE!$A:$A,P$2)</f>
        <v>0</v>
      </c>
      <c r="Q378" s="12">
        <f>SUMIFS(BASE!$G:$G,BASE!$B:$B,$B378,BASE!$L:$L,$G378,BASE!$J:$J,$C378,BASE!$A:$A,Q$2)</f>
        <v>0</v>
      </c>
      <c r="R378" s="12">
        <f>SUMIFS(BASE!$G:$G,BASE!$B:$B,$B378,BASE!$L:$L,$G378,BASE!$J:$J,$C378,BASE!$A:$A,R$2)</f>
        <v>0</v>
      </c>
      <c r="S378" s="12">
        <f>SUMIFS(BASE!$G:$G,BASE!$B:$B,$B378,BASE!$L:$L,$G378,BASE!$J:$J,$C378,BASE!$A:$A,S$2)</f>
        <v>0</v>
      </c>
      <c r="T378" s="12">
        <f>SUMIFS(BASE!$G:$G,BASE!$B:$B,$B378,BASE!$L:$L,$G378,BASE!$J:$J,$C378,BASE!$A:$A,T$2)</f>
        <v>0</v>
      </c>
      <c r="U378" s="12">
        <f>SUMIFS(BASE!$G:$G,BASE!$B:$B,$B378,BASE!$L:$L,$G378,BASE!$J:$J,$C378,BASE!$A:$A,U$2)</f>
        <v>0</v>
      </c>
      <c r="V378" s="12">
        <f>SUMIFS(BASE!$G:$G,BASE!$B:$B,$B378,BASE!$L:$L,$G378,BASE!$J:$J,$C378,BASE!$A:$A,V$2)</f>
        <v>0</v>
      </c>
      <c r="X378" t="str">
        <f t="shared" si="11"/>
        <v>ZERADO</v>
      </c>
    </row>
    <row r="379" spans="2:24">
      <c r="B379" s="8" t="s">
        <v>922</v>
      </c>
      <c r="C379" s="9" t="s">
        <v>113</v>
      </c>
      <c r="D379" s="9" t="s">
        <v>735</v>
      </c>
      <c r="E379" s="9" t="s">
        <v>726</v>
      </c>
      <c r="F379" s="9" t="s">
        <v>923</v>
      </c>
      <c r="G379" s="9" t="s">
        <v>59</v>
      </c>
      <c r="H379" s="7" t="str">
        <f>IFERROR(IF(_xlfn.XLOOKUP(B379,REPASSE!D:D,REPASSE!D:D)="","Não","Sim"),"Não")</f>
        <v>Não</v>
      </c>
      <c r="I379" s="7" t="str">
        <f>IF(_xlfn.XLOOKUP(B379,'BOOST LIBERADO'!B:B,'BOOST LIBERADO'!B:B,"Não")="Não","Não","Sim")</f>
        <v>Sim</v>
      </c>
      <c r="J379" s="83" t="str">
        <f t="shared" si="10"/>
        <v>Sim</v>
      </c>
      <c r="K379" s="12">
        <f>SUMIFS(BASE!$G:$G,BASE!$B:$B,$B379,BASE!$L:$L,$G379,BASE!$J:$J,$C379,BASE!$A:$A,K$2)</f>
        <v>0</v>
      </c>
      <c r="L379" s="12">
        <f>SUMIFS(BASE!$G:$G,BASE!$B:$B,$B379,BASE!$L:$L,$G379,BASE!$J:$J,$C379,BASE!$A:$A,L$2)</f>
        <v>0</v>
      </c>
      <c r="M379" s="12">
        <f>SUMIFS(BASE!$G:$G,BASE!$B:$B,$B379,BASE!$L:$L,$G379,BASE!$J:$J,$C379,BASE!$A:$A,M$2)</f>
        <v>0</v>
      </c>
      <c r="N379" s="12">
        <f>SUMIFS(BASE!$G:$G,BASE!$B:$B,$B379,BASE!$L:$L,$G379,BASE!$J:$J,$C379,BASE!$A:$A,N$2)</f>
        <v>0</v>
      </c>
      <c r="O379" s="12">
        <f>SUMIFS(BASE!$G:$G,BASE!$B:$B,$B379,BASE!$L:$L,$G379,BASE!$J:$J,$C379,BASE!$A:$A,O$2)</f>
        <v>0</v>
      </c>
      <c r="P379" s="12">
        <f>SUMIFS(BASE!$G:$G,BASE!$B:$B,$B379,BASE!$L:$L,$G379,BASE!$J:$J,$C379,BASE!$A:$A,P$2)</f>
        <v>0</v>
      </c>
      <c r="Q379" s="12">
        <f>SUMIFS(BASE!$G:$G,BASE!$B:$B,$B379,BASE!$L:$L,$G379,BASE!$J:$J,$C379,BASE!$A:$A,Q$2)</f>
        <v>0</v>
      </c>
      <c r="R379" s="12">
        <f>SUMIFS(BASE!$G:$G,BASE!$B:$B,$B379,BASE!$L:$L,$G379,BASE!$J:$J,$C379,BASE!$A:$A,R$2)</f>
        <v>0</v>
      </c>
      <c r="S379" s="12">
        <f>SUMIFS(BASE!$G:$G,BASE!$B:$B,$B379,BASE!$L:$L,$G379,BASE!$J:$J,$C379,BASE!$A:$A,S$2)</f>
        <v>0</v>
      </c>
      <c r="T379" s="12">
        <f>SUMIFS(BASE!$G:$G,BASE!$B:$B,$B379,BASE!$L:$L,$G379,BASE!$J:$J,$C379,BASE!$A:$A,T$2)</f>
        <v>0</v>
      </c>
      <c r="U379" s="12">
        <f>SUMIFS(BASE!$G:$G,BASE!$B:$B,$B379,BASE!$L:$L,$G379,BASE!$J:$J,$C379,BASE!$A:$A,U$2)</f>
        <v>0</v>
      </c>
      <c r="V379" s="12">
        <f>SUMIFS(BASE!$G:$G,BASE!$B:$B,$B379,BASE!$L:$L,$G379,BASE!$J:$J,$C379,BASE!$A:$A,V$2)</f>
        <v>0</v>
      </c>
      <c r="X379" t="str">
        <f t="shared" si="11"/>
        <v>ZERADO</v>
      </c>
    </row>
    <row r="380" spans="2:24">
      <c r="B380" s="8" t="s">
        <v>924</v>
      </c>
      <c r="C380" s="9" t="s">
        <v>177</v>
      </c>
      <c r="D380" s="9" t="s">
        <v>735</v>
      </c>
      <c r="E380" s="9" t="s">
        <v>726</v>
      </c>
      <c r="F380" s="9" t="s">
        <v>736</v>
      </c>
      <c r="G380" s="9" t="s">
        <v>59</v>
      </c>
      <c r="H380" s="7" t="str">
        <f>IFERROR(IF(_xlfn.XLOOKUP(B380,REPASSE!D:D,REPASSE!D:D)="","Não","Sim"),"Não")</f>
        <v>Não</v>
      </c>
      <c r="I380" s="7" t="str">
        <f>IF(_xlfn.XLOOKUP(B380,'BOOST LIBERADO'!B:B,'BOOST LIBERADO'!B:B,"Não")="Não","Não","Sim")</f>
        <v>Sim</v>
      </c>
      <c r="J380" s="83" t="str">
        <f t="shared" si="10"/>
        <v>Sim</v>
      </c>
      <c r="K380" s="12">
        <f>SUMIFS(BASE!$G:$G,BASE!$B:$B,$B380,BASE!$L:$L,$G380,BASE!$J:$J,$C380,BASE!$A:$A,K$2)</f>
        <v>0</v>
      </c>
      <c r="L380" s="12">
        <f>SUMIFS(BASE!$G:$G,BASE!$B:$B,$B380,BASE!$L:$L,$G380,BASE!$J:$J,$C380,BASE!$A:$A,L$2)</f>
        <v>0</v>
      </c>
      <c r="M380" s="12">
        <f>SUMIFS(BASE!$G:$G,BASE!$B:$B,$B380,BASE!$L:$L,$G380,BASE!$J:$J,$C380,BASE!$A:$A,M$2)</f>
        <v>0</v>
      </c>
      <c r="N380" s="12">
        <f>SUMIFS(BASE!$G:$G,BASE!$B:$B,$B380,BASE!$L:$L,$G380,BASE!$J:$J,$C380,BASE!$A:$A,N$2)</f>
        <v>0</v>
      </c>
      <c r="O380" s="12">
        <f>SUMIFS(BASE!$G:$G,BASE!$B:$B,$B380,BASE!$L:$L,$G380,BASE!$J:$J,$C380,BASE!$A:$A,O$2)</f>
        <v>0</v>
      </c>
      <c r="P380" s="12">
        <f>SUMIFS(BASE!$G:$G,BASE!$B:$B,$B380,BASE!$L:$L,$G380,BASE!$J:$J,$C380,BASE!$A:$A,P$2)</f>
        <v>0</v>
      </c>
      <c r="Q380" s="12">
        <f>SUMIFS(BASE!$G:$G,BASE!$B:$B,$B380,BASE!$L:$L,$G380,BASE!$J:$J,$C380,BASE!$A:$A,Q$2)</f>
        <v>0</v>
      </c>
      <c r="R380" s="12">
        <f>SUMIFS(BASE!$G:$G,BASE!$B:$B,$B380,BASE!$L:$L,$G380,BASE!$J:$J,$C380,BASE!$A:$A,R$2)</f>
        <v>0</v>
      </c>
      <c r="S380" s="12">
        <f>SUMIFS(BASE!$G:$G,BASE!$B:$B,$B380,BASE!$L:$L,$G380,BASE!$J:$J,$C380,BASE!$A:$A,S$2)</f>
        <v>0</v>
      </c>
      <c r="T380" s="12">
        <f>SUMIFS(BASE!$G:$G,BASE!$B:$B,$B380,BASE!$L:$L,$G380,BASE!$J:$J,$C380,BASE!$A:$A,T$2)</f>
        <v>0</v>
      </c>
      <c r="U380" s="12">
        <f>SUMIFS(BASE!$G:$G,BASE!$B:$B,$B380,BASE!$L:$L,$G380,BASE!$J:$J,$C380,BASE!$A:$A,U$2)</f>
        <v>0</v>
      </c>
      <c r="V380" s="12">
        <f>SUMIFS(BASE!$G:$G,BASE!$B:$B,$B380,BASE!$L:$L,$G380,BASE!$J:$J,$C380,BASE!$A:$A,V$2)</f>
        <v>0</v>
      </c>
      <c r="X380" t="str">
        <f t="shared" si="11"/>
        <v>ZERADO</v>
      </c>
    </row>
    <row r="381" spans="2:24">
      <c r="B381" s="8" t="s">
        <v>925</v>
      </c>
      <c r="C381" s="9" t="s">
        <v>231</v>
      </c>
      <c r="D381" s="9" t="s">
        <v>735</v>
      </c>
      <c r="E381" s="9" t="s">
        <v>726</v>
      </c>
      <c r="F381" s="9" t="s">
        <v>738</v>
      </c>
      <c r="G381" s="9" t="s">
        <v>59</v>
      </c>
      <c r="H381" s="7" t="str">
        <f>IFERROR(IF(_xlfn.XLOOKUP(B381,REPASSE!D:D,REPASSE!D:D)="","Não","Sim"),"Não")</f>
        <v>Não</v>
      </c>
      <c r="I381" s="7" t="str">
        <f>IF(_xlfn.XLOOKUP(B381,'BOOST LIBERADO'!B:B,'BOOST LIBERADO'!B:B,"Não")="Não","Não","Sim")</f>
        <v>Sim</v>
      </c>
      <c r="J381" s="83" t="str">
        <f t="shared" si="10"/>
        <v>Sim</v>
      </c>
      <c r="K381" s="12">
        <f>SUMIFS(BASE!$G:$G,BASE!$B:$B,$B381,BASE!$L:$L,$G381,BASE!$J:$J,$C381,BASE!$A:$A,K$2)</f>
        <v>0</v>
      </c>
      <c r="L381" s="12">
        <f>SUMIFS(BASE!$G:$G,BASE!$B:$B,$B381,BASE!$L:$L,$G381,BASE!$J:$J,$C381,BASE!$A:$A,L$2)</f>
        <v>2</v>
      </c>
      <c r="M381" s="12">
        <f>SUMIFS(BASE!$G:$G,BASE!$B:$B,$B381,BASE!$L:$L,$G381,BASE!$J:$J,$C381,BASE!$A:$A,M$2)</f>
        <v>1</v>
      </c>
      <c r="N381" s="12">
        <f>SUMIFS(BASE!$G:$G,BASE!$B:$B,$B381,BASE!$L:$L,$G381,BASE!$J:$J,$C381,BASE!$A:$A,N$2)</f>
        <v>2</v>
      </c>
      <c r="O381" s="12">
        <f>SUMIFS(BASE!$G:$G,BASE!$B:$B,$B381,BASE!$L:$L,$G381,BASE!$J:$J,$C381,BASE!$A:$A,O$2)</f>
        <v>2</v>
      </c>
      <c r="P381" s="12">
        <f>SUMIFS(BASE!$G:$G,BASE!$B:$B,$B381,BASE!$L:$L,$G381,BASE!$J:$J,$C381,BASE!$A:$A,P$2)</f>
        <v>3</v>
      </c>
      <c r="Q381" s="12">
        <f>SUMIFS(BASE!$G:$G,BASE!$B:$B,$B381,BASE!$L:$L,$G381,BASE!$J:$J,$C381,BASE!$A:$A,Q$2)</f>
        <v>3</v>
      </c>
      <c r="R381" s="12">
        <f>SUMIFS(BASE!$G:$G,BASE!$B:$B,$B381,BASE!$L:$L,$G381,BASE!$J:$J,$C381,BASE!$A:$A,R$2)</f>
        <v>2</v>
      </c>
      <c r="S381" s="12">
        <f>SUMIFS(BASE!$G:$G,BASE!$B:$B,$B381,BASE!$L:$L,$G381,BASE!$J:$J,$C381,BASE!$A:$A,S$2)</f>
        <v>0</v>
      </c>
      <c r="T381" s="12">
        <f>SUMIFS(BASE!$G:$G,BASE!$B:$B,$B381,BASE!$L:$L,$G381,BASE!$J:$J,$C381,BASE!$A:$A,T$2)</f>
        <v>0</v>
      </c>
      <c r="U381" s="12">
        <f>SUMIFS(BASE!$G:$G,BASE!$B:$B,$B381,BASE!$L:$L,$G381,BASE!$J:$J,$C381,BASE!$A:$A,U$2)</f>
        <v>0</v>
      </c>
      <c r="V381" s="12">
        <f>SUMIFS(BASE!$G:$G,BASE!$B:$B,$B381,BASE!$L:$L,$G381,BASE!$J:$J,$C381,BASE!$A:$A,V$2)</f>
        <v>0</v>
      </c>
      <c r="X381" t="str">
        <f t="shared" si="11"/>
        <v>COM TROCAS</v>
      </c>
    </row>
    <row r="382" spans="2:24">
      <c r="B382" s="8" t="s">
        <v>926</v>
      </c>
      <c r="C382" s="9" t="s">
        <v>231</v>
      </c>
      <c r="D382" s="9" t="s">
        <v>735</v>
      </c>
      <c r="E382" s="9" t="s">
        <v>726</v>
      </c>
      <c r="F382" s="9" t="s">
        <v>738</v>
      </c>
      <c r="G382" s="9" t="s">
        <v>59</v>
      </c>
      <c r="H382" s="7" t="str">
        <f>IFERROR(IF(_xlfn.XLOOKUP(B382,REPASSE!D:D,REPASSE!D:D)="","Não","Sim"),"Não")</f>
        <v>Não</v>
      </c>
      <c r="I382" s="7" t="str">
        <f>IF(_xlfn.XLOOKUP(B382,'BOOST LIBERADO'!B:B,'BOOST LIBERADO'!B:B,"Não")="Não","Não","Sim")</f>
        <v>Sim</v>
      </c>
      <c r="J382" s="83" t="str">
        <f t="shared" si="10"/>
        <v>Sim</v>
      </c>
      <c r="K382" s="12">
        <f>SUMIFS(BASE!$G:$G,BASE!$B:$B,$B382,BASE!$L:$L,$G382,BASE!$J:$J,$C382,BASE!$A:$A,K$2)</f>
        <v>0</v>
      </c>
      <c r="L382" s="12">
        <f>SUMIFS(BASE!$G:$G,BASE!$B:$B,$B382,BASE!$L:$L,$G382,BASE!$J:$J,$C382,BASE!$A:$A,L$2)</f>
        <v>0</v>
      </c>
      <c r="M382" s="12">
        <f>SUMIFS(BASE!$G:$G,BASE!$B:$B,$B382,BASE!$L:$L,$G382,BASE!$J:$J,$C382,BASE!$A:$A,M$2)</f>
        <v>3</v>
      </c>
      <c r="N382" s="12">
        <f>SUMIFS(BASE!$G:$G,BASE!$B:$B,$B382,BASE!$L:$L,$G382,BASE!$J:$J,$C382,BASE!$A:$A,N$2)</f>
        <v>1</v>
      </c>
      <c r="O382" s="12">
        <f>SUMIFS(BASE!$G:$G,BASE!$B:$B,$B382,BASE!$L:$L,$G382,BASE!$J:$J,$C382,BASE!$A:$A,O$2)</f>
        <v>2</v>
      </c>
      <c r="P382" s="12">
        <f>SUMIFS(BASE!$G:$G,BASE!$B:$B,$B382,BASE!$L:$L,$G382,BASE!$J:$J,$C382,BASE!$A:$A,P$2)</f>
        <v>2</v>
      </c>
      <c r="Q382" s="12">
        <f>SUMIFS(BASE!$G:$G,BASE!$B:$B,$B382,BASE!$L:$L,$G382,BASE!$J:$J,$C382,BASE!$A:$A,Q$2)</f>
        <v>1</v>
      </c>
      <c r="R382" s="12">
        <f>SUMIFS(BASE!$G:$G,BASE!$B:$B,$B382,BASE!$L:$L,$G382,BASE!$J:$J,$C382,BASE!$A:$A,R$2)</f>
        <v>3</v>
      </c>
      <c r="S382" s="12">
        <f>SUMIFS(BASE!$G:$G,BASE!$B:$B,$B382,BASE!$L:$L,$G382,BASE!$J:$J,$C382,BASE!$A:$A,S$2)</f>
        <v>0</v>
      </c>
      <c r="T382" s="12">
        <f>SUMIFS(BASE!$G:$G,BASE!$B:$B,$B382,BASE!$L:$L,$G382,BASE!$J:$J,$C382,BASE!$A:$A,T$2)</f>
        <v>0</v>
      </c>
      <c r="U382" s="12">
        <f>SUMIFS(BASE!$G:$G,BASE!$B:$B,$B382,BASE!$L:$L,$G382,BASE!$J:$J,$C382,BASE!$A:$A,U$2)</f>
        <v>0</v>
      </c>
      <c r="V382" s="12">
        <f>SUMIFS(BASE!$G:$G,BASE!$B:$B,$B382,BASE!$L:$L,$G382,BASE!$J:$J,$C382,BASE!$A:$A,V$2)</f>
        <v>0</v>
      </c>
      <c r="X382" t="str">
        <f t="shared" si="11"/>
        <v>COM TROCAS</v>
      </c>
    </row>
    <row r="383" spans="2:24">
      <c r="B383" s="8" t="s">
        <v>927</v>
      </c>
      <c r="C383" s="9" t="s">
        <v>203</v>
      </c>
      <c r="D383" s="9" t="s">
        <v>735</v>
      </c>
      <c r="E383" s="9" t="s">
        <v>726</v>
      </c>
      <c r="F383" s="9" t="s">
        <v>928</v>
      </c>
      <c r="G383" s="9" t="s">
        <v>59</v>
      </c>
      <c r="H383" s="7" t="str">
        <f>IFERROR(IF(_xlfn.XLOOKUP(B383,REPASSE!D:D,REPASSE!D:D)="","Não","Sim"),"Não")</f>
        <v>Não</v>
      </c>
      <c r="I383" s="7" t="str">
        <f>IF(_xlfn.XLOOKUP(B383,'BOOST LIBERADO'!B:B,'BOOST LIBERADO'!B:B,"Não")="Não","Não","Sim")</f>
        <v>Sim</v>
      </c>
      <c r="J383" s="83" t="str">
        <f t="shared" si="10"/>
        <v>Sim</v>
      </c>
      <c r="K383" s="12">
        <f>SUMIFS(BASE!$G:$G,BASE!$B:$B,$B383,BASE!$L:$L,$G383,BASE!$J:$J,$C383,BASE!$A:$A,K$2)</f>
        <v>0</v>
      </c>
      <c r="L383" s="12">
        <f>SUMIFS(BASE!$G:$G,BASE!$B:$B,$B383,BASE!$L:$L,$G383,BASE!$J:$J,$C383,BASE!$A:$A,L$2)</f>
        <v>0</v>
      </c>
      <c r="M383" s="12">
        <f>SUMIFS(BASE!$G:$G,BASE!$B:$B,$B383,BASE!$L:$L,$G383,BASE!$J:$J,$C383,BASE!$A:$A,M$2)</f>
        <v>0</v>
      </c>
      <c r="N383" s="12">
        <f>SUMIFS(BASE!$G:$G,BASE!$B:$B,$B383,BASE!$L:$L,$G383,BASE!$J:$J,$C383,BASE!$A:$A,N$2)</f>
        <v>0</v>
      </c>
      <c r="O383" s="12">
        <f>SUMIFS(BASE!$G:$G,BASE!$B:$B,$B383,BASE!$L:$L,$G383,BASE!$J:$J,$C383,BASE!$A:$A,O$2)</f>
        <v>0</v>
      </c>
      <c r="P383" s="12">
        <f>SUMIFS(BASE!$G:$G,BASE!$B:$B,$B383,BASE!$L:$L,$G383,BASE!$J:$J,$C383,BASE!$A:$A,P$2)</f>
        <v>0</v>
      </c>
      <c r="Q383" s="12">
        <f>SUMIFS(BASE!$G:$G,BASE!$B:$B,$B383,BASE!$L:$L,$G383,BASE!$J:$J,$C383,BASE!$A:$A,Q$2)</f>
        <v>0</v>
      </c>
      <c r="R383" s="12">
        <f>SUMIFS(BASE!$G:$G,BASE!$B:$B,$B383,BASE!$L:$L,$G383,BASE!$J:$J,$C383,BASE!$A:$A,R$2)</f>
        <v>0</v>
      </c>
      <c r="S383" s="12">
        <f>SUMIFS(BASE!$G:$G,BASE!$B:$B,$B383,BASE!$L:$L,$G383,BASE!$J:$J,$C383,BASE!$A:$A,S$2)</f>
        <v>0</v>
      </c>
      <c r="T383" s="12">
        <f>SUMIFS(BASE!$G:$G,BASE!$B:$B,$B383,BASE!$L:$L,$G383,BASE!$J:$J,$C383,BASE!$A:$A,T$2)</f>
        <v>0</v>
      </c>
      <c r="U383" s="12">
        <f>SUMIFS(BASE!$G:$G,BASE!$B:$B,$B383,BASE!$L:$L,$G383,BASE!$J:$J,$C383,BASE!$A:$A,U$2)</f>
        <v>0</v>
      </c>
      <c r="V383" s="12">
        <f>SUMIFS(BASE!$G:$G,BASE!$B:$B,$B383,BASE!$L:$L,$G383,BASE!$J:$J,$C383,BASE!$A:$A,V$2)</f>
        <v>0</v>
      </c>
      <c r="X383" t="str">
        <f t="shared" si="11"/>
        <v>ZERADO</v>
      </c>
    </row>
    <row r="384" spans="2:24">
      <c r="B384" s="8" t="s">
        <v>929</v>
      </c>
      <c r="C384" s="9" t="s">
        <v>188</v>
      </c>
      <c r="D384" s="9" t="s">
        <v>676</v>
      </c>
      <c r="E384" s="9" t="s">
        <v>666</v>
      </c>
      <c r="F384" s="9" t="s">
        <v>930</v>
      </c>
      <c r="G384" s="9" t="s">
        <v>59</v>
      </c>
      <c r="H384" s="7" t="str">
        <f>IFERROR(IF(_xlfn.XLOOKUP(B384,REPASSE!D:D,REPASSE!D:D)="","Não","Sim"),"Não")</f>
        <v>Não</v>
      </c>
      <c r="I384" s="7" t="str">
        <f>IF(_xlfn.XLOOKUP(B384,'BOOST LIBERADO'!B:B,'BOOST LIBERADO'!B:B,"Não")="Não","Não","Sim")</f>
        <v>Sim</v>
      </c>
      <c r="J384" s="83" t="str">
        <f t="shared" si="10"/>
        <v>Sim</v>
      </c>
      <c r="K384" s="12">
        <f>SUMIFS(BASE!$G:$G,BASE!$B:$B,$B384,BASE!$L:$L,$G384,BASE!$J:$J,$C384,BASE!$A:$A,K$2)</f>
        <v>0</v>
      </c>
      <c r="L384" s="12">
        <f>SUMIFS(BASE!$G:$G,BASE!$B:$B,$B384,BASE!$L:$L,$G384,BASE!$J:$J,$C384,BASE!$A:$A,L$2)</f>
        <v>0</v>
      </c>
      <c r="M384" s="12">
        <f>SUMIFS(BASE!$G:$G,BASE!$B:$B,$B384,BASE!$L:$L,$G384,BASE!$J:$J,$C384,BASE!$A:$A,M$2)</f>
        <v>0</v>
      </c>
      <c r="N384" s="12">
        <f>SUMIFS(BASE!$G:$G,BASE!$B:$B,$B384,BASE!$L:$L,$G384,BASE!$J:$J,$C384,BASE!$A:$A,N$2)</f>
        <v>0</v>
      </c>
      <c r="O384" s="12">
        <f>SUMIFS(BASE!$G:$G,BASE!$B:$B,$B384,BASE!$L:$L,$G384,BASE!$J:$J,$C384,BASE!$A:$A,O$2)</f>
        <v>0</v>
      </c>
      <c r="P384" s="12">
        <f>SUMIFS(BASE!$G:$G,BASE!$B:$B,$B384,BASE!$L:$L,$G384,BASE!$J:$J,$C384,BASE!$A:$A,P$2)</f>
        <v>0</v>
      </c>
      <c r="Q384" s="12">
        <f>SUMIFS(BASE!$G:$G,BASE!$B:$B,$B384,BASE!$L:$L,$G384,BASE!$J:$J,$C384,BASE!$A:$A,Q$2)</f>
        <v>0</v>
      </c>
      <c r="R384" s="12">
        <f>SUMIFS(BASE!$G:$G,BASE!$B:$B,$B384,BASE!$L:$L,$G384,BASE!$J:$J,$C384,BASE!$A:$A,R$2)</f>
        <v>0</v>
      </c>
      <c r="S384" s="12">
        <f>SUMIFS(BASE!$G:$G,BASE!$B:$B,$B384,BASE!$L:$L,$G384,BASE!$J:$J,$C384,BASE!$A:$A,S$2)</f>
        <v>0</v>
      </c>
      <c r="T384" s="12">
        <f>SUMIFS(BASE!$G:$G,BASE!$B:$B,$B384,BASE!$L:$L,$G384,BASE!$J:$J,$C384,BASE!$A:$A,T$2)</f>
        <v>0</v>
      </c>
      <c r="U384" s="12">
        <f>SUMIFS(BASE!$G:$G,BASE!$B:$B,$B384,BASE!$L:$L,$G384,BASE!$J:$J,$C384,BASE!$A:$A,U$2)</f>
        <v>0</v>
      </c>
      <c r="V384" s="12">
        <f>SUMIFS(BASE!$G:$G,BASE!$B:$B,$B384,BASE!$L:$L,$G384,BASE!$J:$J,$C384,BASE!$A:$A,V$2)</f>
        <v>0</v>
      </c>
      <c r="X384" t="str">
        <f t="shared" si="11"/>
        <v>ZERADO</v>
      </c>
    </row>
    <row r="385" spans="2:24">
      <c r="B385" s="8" t="s">
        <v>931</v>
      </c>
      <c r="C385" s="9" t="s">
        <v>206</v>
      </c>
      <c r="D385" s="9" t="s">
        <v>627</v>
      </c>
      <c r="E385" s="9" t="s">
        <v>609</v>
      </c>
      <c r="F385" s="9" t="s">
        <v>932</v>
      </c>
      <c r="G385" s="9" t="s">
        <v>59</v>
      </c>
      <c r="H385" s="7" t="str">
        <f>IFERROR(IF(_xlfn.XLOOKUP(B385,REPASSE!D:D,REPASSE!D:D)="","Não","Sim"),"Não")</f>
        <v>Não</v>
      </c>
      <c r="I385" s="7" t="str">
        <f>IF(_xlfn.XLOOKUP(B385,'BOOST LIBERADO'!B:B,'BOOST LIBERADO'!B:B,"Não")="Não","Não","Sim")</f>
        <v>Sim</v>
      </c>
      <c r="J385" s="83" t="str">
        <f t="shared" si="10"/>
        <v>Sim</v>
      </c>
      <c r="K385" s="12">
        <f>SUMIFS(BASE!$G:$G,BASE!$B:$B,$B385,BASE!$L:$L,$G385,BASE!$J:$J,$C385,BASE!$A:$A,K$2)</f>
        <v>0</v>
      </c>
      <c r="L385" s="12">
        <f>SUMIFS(BASE!$G:$G,BASE!$B:$B,$B385,BASE!$L:$L,$G385,BASE!$J:$J,$C385,BASE!$A:$A,L$2)</f>
        <v>0</v>
      </c>
      <c r="M385" s="12">
        <f>SUMIFS(BASE!$G:$G,BASE!$B:$B,$B385,BASE!$L:$L,$G385,BASE!$J:$J,$C385,BASE!$A:$A,M$2)</f>
        <v>0</v>
      </c>
      <c r="N385" s="12">
        <f>SUMIFS(BASE!$G:$G,BASE!$B:$B,$B385,BASE!$L:$L,$G385,BASE!$J:$J,$C385,BASE!$A:$A,N$2)</f>
        <v>0</v>
      </c>
      <c r="O385" s="12">
        <f>SUMIFS(BASE!$G:$G,BASE!$B:$B,$B385,BASE!$L:$L,$G385,BASE!$J:$J,$C385,BASE!$A:$A,O$2)</f>
        <v>0</v>
      </c>
      <c r="P385" s="12">
        <f>SUMIFS(BASE!$G:$G,BASE!$B:$B,$B385,BASE!$L:$L,$G385,BASE!$J:$J,$C385,BASE!$A:$A,P$2)</f>
        <v>0</v>
      </c>
      <c r="Q385" s="12">
        <f>SUMIFS(BASE!$G:$G,BASE!$B:$B,$B385,BASE!$L:$L,$G385,BASE!$J:$J,$C385,BASE!$A:$A,Q$2)</f>
        <v>0</v>
      </c>
      <c r="R385" s="12">
        <f>SUMIFS(BASE!$G:$G,BASE!$B:$B,$B385,BASE!$L:$L,$G385,BASE!$J:$J,$C385,BASE!$A:$A,R$2)</f>
        <v>0</v>
      </c>
      <c r="S385" s="12">
        <f>SUMIFS(BASE!$G:$G,BASE!$B:$B,$B385,BASE!$L:$L,$G385,BASE!$J:$J,$C385,BASE!$A:$A,S$2)</f>
        <v>0</v>
      </c>
      <c r="T385" s="12">
        <f>SUMIFS(BASE!$G:$G,BASE!$B:$B,$B385,BASE!$L:$L,$G385,BASE!$J:$J,$C385,BASE!$A:$A,T$2)</f>
        <v>0</v>
      </c>
      <c r="U385" s="12">
        <f>SUMIFS(BASE!$G:$G,BASE!$B:$B,$B385,BASE!$L:$L,$G385,BASE!$J:$J,$C385,BASE!$A:$A,U$2)</f>
        <v>0</v>
      </c>
      <c r="V385" s="12">
        <f>SUMIFS(BASE!$G:$G,BASE!$B:$B,$B385,BASE!$L:$L,$G385,BASE!$J:$J,$C385,BASE!$A:$A,V$2)</f>
        <v>0</v>
      </c>
      <c r="X385" t="str">
        <f t="shared" si="11"/>
        <v>ZERADO</v>
      </c>
    </row>
    <row r="386" spans="2:24">
      <c r="B386" s="8" t="s">
        <v>933</v>
      </c>
      <c r="C386" s="9" t="s">
        <v>221</v>
      </c>
      <c r="D386" s="9" t="s">
        <v>636</v>
      </c>
      <c r="E386" s="9" t="s">
        <v>633</v>
      </c>
      <c r="F386" s="9" t="s">
        <v>934</v>
      </c>
      <c r="G386" s="9" t="s">
        <v>59</v>
      </c>
      <c r="H386" s="7" t="str">
        <f>IFERROR(IF(_xlfn.XLOOKUP(B386,REPASSE!D:D,REPASSE!D:D)="","Não","Sim"),"Não")</f>
        <v>Não</v>
      </c>
      <c r="I386" s="7" t="str">
        <f>IF(_xlfn.XLOOKUP(B386,'BOOST LIBERADO'!B:B,'BOOST LIBERADO'!B:B,"Não")="Não","Não","Sim")</f>
        <v>Sim</v>
      </c>
      <c r="J386" s="83" t="str">
        <f t="shared" si="10"/>
        <v>Sim</v>
      </c>
      <c r="K386" s="12">
        <f>SUMIFS(BASE!$G:$G,BASE!$B:$B,$B386,BASE!$L:$L,$G386,BASE!$J:$J,$C386,BASE!$A:$A,K$2)</f>
        <v>0</v>
      </c>
      <c r="L386" s="12">
        <f>SUMIFS(BASE!$G:$G,BASE!$B:$B,$B386,BASE!$L:$L,$G386,BASE!$J:$J,$C386,BASE!$A:$A,L$2)</f>
        <v>0</v>
      </c>
      <c r="M386" s="12">
        <f>SUMIFS(BASE!$G:$G,BASE!$B:$B,$B386,BASE!$L:$L,$G386,BASE!$J:$J,$C386,BASE!$A:$A,M$2)</f>
        <v>0</v>
      </c>
      <c r="N386" s="12">
        <f>SUMIFS(BASE!$G:$G,BASE!$B:$B,$B386,BASE!$L:$L,$G386,BASE!$J:$J,$C386,BASE!$A:$A,N$2)</f>
        <v>0</v>
      </c>
      <c r="O386" s="12">
        <f>SUMIFS(BASE!$G:$G,BASE!$B:$B,$B386,BASE!$L:$L,$G386,BASE!$J:$J,$C386,BASE!$A:$A,O$2)</f>
        <v>0</v>
      </c>
      <c r="P386" s="12">
        <f>SUMIFS(BASE!$G:$G,BASE!$B:$B,$B386,BASE!$L:$L,$G386,BASE!$J:$J,$C386,BASE!$A:$A,P$2)</f>
        <v>0</v>
      </c>
      <c r="Q386" s="12">
        <f>SUMIFS(BASE!$G:$G,BASE!$B:$B,$B386,BASE!$L:$L,$G386,BASE!$J:$J,$C386,BASE!$A:$A,Q$2)</f>
        <v>2</v>
      </c>
      <c r="R386" s="12">
        <f>SUMIFS(BASE!$G:$G,BASE!$B:$B,$B386,BASE!$L:$L,$G386,BASE!$J:$J,$C386,BASE!$A:$A,R$2)</f>
        <v>0</v>
      </c>
      <c r="S386" s="12">
        <f>SUMIFS(BASE!$G:$G,BASE!$B:$B,$B386,BASE!$L:$L,$G386,BASE!$J:$J,$C386,BASE!$A:$A,S$2)</f>
        <v>0</v>
      </c>
      <c r="T386" s="12">
        <f>SUMIFS(BASE!$G:$G,BASE!$B:$B,$B386,BASE!$L:$L,$G386,BASE!$J:$J,$C386,BASE!$A:$A,T$2)</f>
        <v>0</v>
      </c>
      <c r="U386" s="12">
        <f>SUMIFS(BASE!$G:$G,BASE!$B:$B,$B386,BASE!$L:$L,$G386,BASE!$J:$J,$C386,BASE!$A:$A,U$2)</f>
        <v>0</v>
      </c>
      <c r="V386" s="12">
        <f>SUMIFS(BASE!$G:$G,BASE!$B:$B,$B386,BASE!$L:$L,$G386,BASE!$J:$J,$C386,BASE!$A:$A,V$2)</f>
        <v>0</v>
      </c>
      <c r="X386" t="str">
        <f t="shared" si="11"/>
        <v>ZERADO</v>
      </c>
    </row>
    <row r="387" spans="2:24">
      <c r="B387" s="8" t="s">
        <v>935</v>
      </c>
      <c r="C387" s="9" t="s">
        <v>191</v>
      </c>
      <c r="D387" s="9" t="s">
        <v>718</v>
      </c>
      <c r="E387" s="9" t="s">
        <v>719</v>
      </c>
      <c r="F387" s="9" t="s">
        <v>936</v>
      </c>
      <c r="G387" s="9" t="s">
        <v>59</v>
      </c>
      <c r="H387" s="7" t="str">
        <f>IFERROR(IF(_xlfn.XLOOKUP(B387,REPASSE!D:D,REPASSE!D:D)="","Não","Sim"),"Não")</f>
        <v>Não</v>
      </c>
      <c r="I387" s="7" t="str">
        <f>IF(_xlfn.XLOOKUP(B387,'BOOST LIBERADO'!B:B,'BOOST LIBERADO'!B:B,"Não")="Não","Não","Sim")</f>
        <v>Sim</v>
      </c>
      <c r="J387" s="83" t="str">
        <f t="shared" si="10"/>
        <v>Sim</v>
      </c>
      <c r="K387" s="12">
        <f>SUMIFS(BASE!$G:$G,BASE!$B:$B,$B387,BASE!$L:$L,$G387,BASE!$J:$J,$C387,BASE!$A:$A,K$2)</f>
        <v>0</v>
      </c>
      <c r="L387" s="12">
        <f>SUMIFS(BASE!$G:$G,BASE!$B:$B,$B387,BASE!$L:$L,$G387,BASE!$J:$J,$C387,BASE!$A:$A,L$2)</f>
        <v>0</v>
      </c>
      <c r="M387" s="12">
        <f>SUMIFS(BASE!$G:$G,BASE!$B:$B,$B387,BASE!$L:$L,$G387,BASE!$J:$J,$C387,BASE!$A:$A,M$2)</f>
        <v>0</v>
      </c>
      <c r="N387" s="12">
        <f>SUMIFS(BASE!$G:$G,BASE!$B:$B,$B387,BASE!$L:$L,$G387,BASE!$J:$J,$C387,BASE!$A:$A,N$2)</f>
        <v>0</v>
      </c>
      <c r="O387" s="12">
        <f>SUMIFS(BASE!$G:$G,BASE!$B:$B,$B387,BASE!$L:$L,$G387,BASE!$J:$J,$C387,BASE!$A:$A,O$2)</f>
        <v>0</v>
      </c>
      <c r="P387" s="12">
        <f>SUMIFS(BASE!$G:$G,BASE!$B:$B,$B387,BASE!$L:$L,$G387,BASE!$J:$J,$C387,BASE!$A:$A,P$2)</f>
        <v>0</v>
      </c>
      <c r="Q387" s="12">
        <f>SUMIFS(BASE!$G:$G,BASE!$B:$B,$B387,BASE!$L:$L,$G387,BASE!$J:$J,$C387,BASE!$A:$A,Q$2)</f>
        <v>0</v>
      </c>
      <c r="R387" s="12">
        <f>SUMIFS(BASE!$G:$G,BASE!$B:$B,$B387,BASE!$L:$L,$G387,BASE!$J:$J,$C387,BASE!$A:$A,R$2)</f>
        <v>0</v>
      </c>
      <c r="S387" s="12">
        <f>SUMIFS(BASE!$G:$G,BASE!$B:$B,$B387,BASE!$L:$L,$G387,BASE!$J:$J,$C387,BASE!$A:$A,S$2)</f>
        <v>0</v>
      </c>
      <c r="T387" s="12">
        <f>SUMIFS(BASE!$G:$G,BASE!$B:$B,$B387,BASE!$L:$L,$G387,BASE!$J:$J,$C387,BASE!$A:$A,T$2)</f>
        <v>0</v>
      </c>
      <c r="U387" s="12">
        <f>SUMIFS(BASE!$G:$G,BASE!$B:$B,$B387,BASE!$L:$L,$G387,BASE!$J:$J,$C387,BASE!$A:$A,U$2)</f>
        <v>0</v>
      </c>
      <c r="V387" s="12">
        <f>SUMIFS(BASE!$G:$G,BASE!$B:$B,$B387,BASE!$L:$L,$G387,BASE!$J:$J,$C387,BASE!$A:$A,V$2)</f>
        <v>0</v>
      </c>
      <c r="X387" t="str">
        <f t="shared" si="11"/>
        <v>ZERADO</v>
      </c>
    </row>
    <row r="388" spans="2:24">
      <c r="B388" s="8" t="s">
        <v>937</v>
      </c>
      <c r="C388" s="9" t="s">
        <v>236</v>
      </c>
      <c r="D388" s="9" t="s">
        <v>938</v>
      </c>
      <c r="E388" s="9" t="s">
        <v>939</v>
      </c>
      <c r="F388" s="9" t="s">
        <v>940</v>
      </c>
      <c r="G388" s="9" t="s">
        <v>60</v>
      </c>
      <c r="H388" s="7" t="str">
        <f>IFERROR(IF(_xlfn.XLOOKUP(B388,REPASSE!D:D,REPASSE!D:D)="","Não","Sim"),"Não")</f>
        <v>Não</v>
      </c>
      <c r="I388" s="7" t="str">
        <f>IF(_xlfn.XLOOKUP(B388,'BOOST LIBERADO'!B:B,'BOOST LIBERADO'!B:B,"Não")="Não","Não","Sim")</f>
        <v>Sim</v>
      </c>
      <c r="J388" s="83" t="str">
        <f t="shared" ref="J388:J451" si="12">IF(AND(H388="Não",I388="Sim"),"Sim","Não")</f>
        <v>Sim</v>
      </c>
      <c r="K388" s="12">
        <f>SUMIFS(BASE!$G:$G,BASE!$B:$B,$B388,BASE!$L:$L,$G388,BASE!$J:$J,$C388,BASE!$A:$A,K$2)</f>
        <v>0</v>
      </c>
      <c r="L388" s="12">
        <f>SUMIFS(BASE!$G:$G,BASE!$B:$B,$B388,BASE!$L:$L,$G388,BASE!$J:$J,$C388,BASE!$A:$A,L$2)</f>
        <v>1</v>
      </c>
      <c r="M388" s="12">
        <f>SUMIFS(BASE!$G:$G,BASE!$B:$B,$B388,BASE!$L:$L,$G388,BASE!$J:$J,$C388,BASE!$A:$A,M$2)</f>
        <v>1</v>
      </c>
      <c r="N388" s="12">
        <f>SUMIFS(BASE!$G:$G,BASE!$B:$B,$B388,BASE!$L:$L,$G388,BASE!$J:$J,$C388,BASE!$A:$A,N$2)</f>
        <v>0</v>
      </c>
      <c r="O388" s="12">
        <f>SUMIFS(BASE!$G:$G,BASE!$B:$B,$B388,BASE!$L:$L,$G388,BASE!$J:$J,$C388,BASE!$A:$A,O$2)</f>
        <v>0</v>
      </c>
      <c r="P388" s="12">
        <f>SUMIFS(BASE!$G:$G,BASE!$B:$B,$B388,BASE!$L:$L,$G388,BASE!$J:$J,$C388,BASE!$A:$A,P$2)</f>
        <v>3</v>
      </c>
      <c r="Q388" s="12">
        <f>SUMIFS(BASE!$G:$G,BASE!$B:$B,$B388,BASE!$L:$L,$G388,BASE!$J:$J,$C388,BASE!$A:$A,Q$2)</f>
        <v>1</v>
      </c>
      <c r="R388" s="12">
        <f>SUMIFS(BASE!$G:$G,BASE!$B:$B,$B388,BASE!$L:$L,$G388,BASE!$J:$J,$C388,BASE!$A:$A,R$2)</f>
        <v>4</v>
      </c>
      <c r="S388" s="12">
        <f>SUMIFS(BASE!$G:$G,BASE!$B:$B,$B388,BASE!$L:$L,$G388,BASE!$J:$J,$C388,BASE!$A:$A,S$2)</f>
        <v>0</v>
      </c>
      <c r="T388" s="12">
        <f>SUMIFS(BASE!$G:$G,BASE!$B:$B,$B388,BASE!$L:$L,$G388,BASE!$J:$J,$C388,BASE!$A:$A,T$2)</f>
        <v>0</v>
      </c>
      <c r="U388" s="12">
        <f>SUMIFS(BASE!$G:$G,BASE!$B:$B,$B388,BASE!$L:$L,$G388,BASE!$J:$J,$C388,BASE!$A:$A,U$2)</f>
        <v>0</v>
      </c>
      <c r="V388" s="12">
        <f>SUMIFS(BASE!$G:$G,BASE!$B:$B,$B388,BASE!$L:$L,$G388,BASE!$J:$J,$C388,BASE!$A:$A,V$2)</f>
        <v>0</v>
      </c>
      <c r="X388" t="str">
        <f t="shared" ref="X388:X451" si="13">IF(AND(R388=0),"ZERADO","COM TROCAS")</f>
        <v>COM TROCAS</v>
      </c>
    </row>
    <row r="389" spans="2:24">
      <c r="B389" s="8" t="s">
        <v>941</v>
      </c>
      <c r="C389" s="9" t="s">
        <v>232</v>
      </c>
      <c r="D389" s="9" t="s">
        <v>942</v>
      </c>
      <c r="E389" s="9" t="s">
        <v>943</v>
      </c>
      <c r="F389" s="9" t="s">
        <v>944</v>
      </c>
      <c r="G389" s="9" t="s">
        <v>60</v>
      </c>
      <c r="H389" s="7" t="str">
        <f>IFERROR(IF(_xlfn.XLOOKUP(B389,REPASSE!D:D,REPASSE!D:D)="","Não","Sim"),"Não")</f>
        <v>Não</v>
      </c>
      <c r="I389" s="7" t="str">
        <f>IF(_xlfn.XLOOKUP(B389,'BOOST LIBERADO'!B:B,'BOOST LIBERADO'!B:B,"Não")="Não","Não","Sim")</f>
        <v>Sim</v>
      </c>
      <c r="J389" s="83" t="str">
        <f t="shared" si="12"/>
        <v>Sim</v>
      </c>
      <c r="K389" s="12">
        <f>SUMIFS(BASE!$G:$G,BASE!$B:$B,$B389,BASE!$L:$L,$G389,BASE!$J:$J,$C389,BASE!$A:$A,K$2)</f>
        <v>2</v>
      </c>
      <c r="L389" s="12">
        <f>SUMIFS(BASE!$G:$G,BASE!$B:$B,$B389,BASE!$L:$L,$G389,BASE!$J:$J,$C389,BASE!$A:$A,L$2)</f>
        <v>1</v>
      </c>
      <c r="M389" s="12">
        <f>SUMIFS(BASE!$G:$G,BASE!$B:$B,$B389,BASE!$L:$L,$G389,BASE!$J:$J,$C389,BASE!$A:$A,M$2)</f>
        <v>3</v>
      </c>
      <c r="N389" s="12">
        <f>SUMIFS(BASE!$G:$G,BASE!$B:$B,$B389,BASE!$L:$L,$G389,BASE!$J:$J,$C389,BASE!$A:$A,N$2)</f>
        <v>3</v>
      </c>
      <c r="O389" s="12">
        <f>SUMIFS(BASE!$G:$G,BASE!$B:$B,$B389,BASE!$L:$L,$G389,BASE!$J:$J,$C389,BASE!$A:$A,O$2)</f>
        <v>3</v>
      </c>
      <c r="P389" s="12">
        <f>SUMIFS(BASE!$G:$G,BASE!$B:$B,$B389,BASE!$L:$L,$G389,BASE!$J:$J,$C389,BASE!$A:$A,P$2)</f>
        <v>2</v>
      </c>
      <c r="Q389" s="12">
        <f>SUMIFS(BASE!$G:$G,BASE!$B:$B,$B389,BASE!$L:$L,$G389,BASE!$J:$J,$C389,BASE!$A:$A,Q$2)</f>
        <v>9</v>
      </c>
      <c r="R389" s="12">
        <f>SUMIFS(BASE!$G:$G,BASE!$B:$B,$B389,BASE!$L:$L,$G389,BASE!$J:$J,$C389,BASE!$A:$A,R$2)</f>
        <v>6</v>
      </c>
      <c r="S389" s="12">
        <f>SUMIFS(BASE!$G:$G,BASE!$B:$B,$B389,BASE!$L:$L,$G389,BASE!$J:$J,$C389,BASE!$A:$A,S$2)</f>
        <v>0</v>
      </c>
      <c r="T389" s="12">
        <f>SUMIFS(BASE!$G:$G,BASE!$B:$B,$B389,BASE!$L:$L,$G389,BASE!$J:$J,$C389,BASE!$A:$A,T$2)</f>
        <v>0</v>
      </c>
      <c r="U389" s="12">
        <f>SUMIFS(BASE!$G:$G,BASE!$B:$B,$B389,BASE!$L:$L,$G389,BASE!$J:$J,$C389,BASE!$A:$A,U$2)</f>
        <v>0</v>
      </c>
      <c r="V389" s="12">
        <f>SUMIFS(BASE!$G:$G,BASE!$B:$B,$B389,BASE!$L:$L,$G389,BASE!$J:$J,$C389,BASE!$A:$A,V$2)</f>
        <v>0</v>
      </c>
      <c r="X389" t="str">
        <f t="shared" si="13"/>
        <v>COM TROCAS</v>
      </c>
    </row>
    <row r="390" spans="2:24">
      <c r="B390" s="8" t="s">
        <v>945</v>
      </c>
      <c r="C390" s="9" t="s">
        <v>198</v>
      </c>
      <c r="D390" s="9" t="s">
        <v>946</v>
      </c>
      <c r="E390" s="9" t="s">
        <v>947</v>
      </c>
      <c r="F390" s="9" t="s">
        <v>948</v>
      </c>
      <c r="G390" s="9" t="s">
        <v>60</v>
      </c>
      <c r="H390" s="7" t="str">
        <f>IFERROR(IF(_xlfn.XLOOKUP(B390,REPASSE!D:D,REPASSE!D:D)="","Não","Sim"),"Não")</f>
        <v>Não</v>
      </c>
      <c r="I390" s="7" t="str">
        <f>IF(_xlfn.XLOOKUP(B390,'BOOST LIBERADO'!B:B,'BOOST LIBERADO'!B:B,"Não")="Não","Não","Sim")</f>
        <v>Sim</v>
      </c>
      <c r="J390" s="83" t="str">
        <f t="shared" si="12"/>
        <v>Sim</v>
      </c>
      <c r="K390" s="12">
        <f>SUMIFS(BASE!$G:$G,BASE!$B:$B,$B390,BASE!$L:$L,$G390,BASE!$J:$J,$C390,BASE!$A:$A,K$2)</f>
        <v>0</v>
      </c>
      <c r="L390" s="12">
        <f>SUMIFS(BASE!$G:$G,BASE!$B:$B,$B390,BASE!$L:$L,$G390,BASE!$J:$J,$C390,BASE!$A:$A,L$2)</f>
        <v>0</v>
      </c>
      <c r="M390" s="12">
        <f>SUMIFS(BASE!$G:$G,BASE!$B:$B,$B390,BASE!$L:$L,$G390,BASE!$J:$J,$C390,BASE!$A:$A,M$2)</f>
        <v>0</v>
      </c>
      <c r="N390" s="12">
        <f>SUMIFS(BASE!$G:$G,BASE!$B:$B,$B390,BASE!$L:$L,$G390,BASE!$J:$J,$C390,BASE!$A:$A,N$2)</f>
        <v>0</v>
      </c>
      <c r="O390" s="12">
        <f>SUMIFS(BASE!$G:$G,BASE!$B:$B,$B390,BASE!$L:$L,$G390,BASE!$J:$J,$C390,BASE!$A:$A,O$2)</f>
        <v>0</v>
      </c>
      <c r="P390" s="12">
        <f>SUMIFS(BASE!$G:$G,BASE!$B:$B,$B390,BASE!$L:$L,$G390,BASE!$J:$J,$C390,BASE!$A:$A,P$2)</f>
        <v>0</v>
      </c>
      <c r="Q390" s="12">
        <f>SUMIFS(BASE!$G:$G,BASE!$B:$B,$B390,BASE!$L:$L,$G390,BASE!$J:$J,$C390,BASE!$A:$A,Q$2)</f>
        <v>0</v>
      </c>
      <c r="R390" s="12">
        <f>SUMIFS(BASE!$G:$G,BASE!$B:$B,$B390,BASE!$L:$L,$G390,BASE!$J:$J,$C390,BASE!$A:$A,R$2)</f>
        <v>0</v>
      </c>
      <c r="S390" s="12">
        <f>SUMIFS(BASE!$G:$G,BASE!$B:$B,$B390,BASE!$L:$L,$G390,BASE!$J:$J,$C390,BASE!$A:$A,S$2)</f>
        <v>0</v>
      </c>
      <c r="T390" s="12">
        <f>SUMIFS(BASE!$G:$G,BASE!$B:$B,$B390,BASE!$L:$L,$G390,BASE!$J:$J,$C390,BASE!$A:$A,T$2)</f>
        <v>0</v>
      </c>
      <c r="U390" s="12">
        <f>SUMIFS(BASE!$G:$G,BASE!$B:$B,$B390,BASE!$L:$L,$G390,BASE!$J:$J,$C390,BASE!$A:$A,U$2)</f>
        <v>0</v>
      </c>
      <c r="V390" s="12">
        <f>SUMIFS(BASE!$G:$G,BASE!$B:$B,$B390,BASE!$L:$L,$G390,BASE!$J:$J,$C390,BASE!$A:$A,V$2)</f>
        <v>0</v>
      </c>
      <c r="X390" t="str">
        <f t="shared" si="13"/>
        <v>ZERADO</v>
      </c>
    </row>
    <row r="391" spans="2:24">
      <c r="B391" s="8" t="s">
        <v>949</v>
      </c>
      <c r="C391" s="9" t="s">
        <v>236</v>
      </c>
      <c r="D391" s="9" t="s">
        <v>938</v>
      </c>
      <c r="E391" s="9" t="s">
        <v>939</v>
      </c>
      <c r="F391" s="9" t="s">
        <v>950</v>
      </c>
      <c r="G391" s="9" t="s">
        <v>60</v>
      </c>
      <c r="H391" s="7" t="str">
        <f>IFERROR(IF(_xlfn.XLOOKUP(B391,REPASSE!D:D,REPASSE!D:D)="","Não","Sim"),"Não")</f>
        <v>Não</v>
      </c>
      <c r="I391" s="7" t="str">
        <f>IF(_xlfn.XLOOKUP(B391,'BOOST LIBERADO'!B:B,'BOOST LIBERADO'!B:B,"Não")="Não","Não","Sim")</f>
        <v>Sim</v>
      </c>
      <c r="J391" s="83" t="str">
        <f t="shared" si="12"/>
        <v>Sim</v>
      </c>
      <c r="K391" s="12">
        <f>SUMIFS(BASE!$G:$G,BASE!$B:$B,$B391,BASE!$L:$L,$G391,BASE!$J:$J,$C391,BASE!$A:$A,K$2)</f>
        <v>0</v>
      </c>
      <c r="L391" s="12">
        <f>SUMIFS(BASE!$G:$G,BASE!$B:$B,$B391,BASE!$L:$L,$G391,BASE!$J:$J,$C391,BASE!$A:$A,L$2)</f>
        <v>0</v>
      </c>
      <c r="M391" s="12">
        <f>SUMIFS(BASE!$G:$G,BASE!$B:$B,$B391,BASE!$L:$L,$G391,BASE!$J:$J,$C391,BASE!$A:$A,M$2)</f>
        <v>0</v>
      </c>
      <c r="N391" s="12">
        <f>SUMIFS(BASE!$G:$G,BASE!$B:$B,$B391,BASE!$L:$L,$G391,BASE!$J:$J,$C391,BASE!$A:$A,N$2)</f>
        <v>0</v>
      </c>
      <c r="O391" s="12">
        <f>SUMIFS(BASE!$G:$G,BASE!$B:$B,$B391,BASE!$L:$L,$G391,BASE!$J:$J,$C391,BASE!$A:$A,O$2)</f>
        <v>2</v>
      </c>
      <c r="P391" s="12">
        <f>SUMIFS(BASE!$G:$G,BASE!$B:$B,$B391,BASE!$L:$L,$G391,BASE!$J:$J,$C391,BASE!$A:$A,P$2)</f>
        <v>0</v>
      </c>
      <c r="Q391" s="12">
        <f>SUMIFS(BASE!$G:$G,BASE!$B:$B,$B391,BASE!$L:$L,$G391,BASE!$J:$J,$C391,BASE!$A:$A,Q$2)</f>
        <v>0</v>
      </c>
      <c r="R391" s="12">
        <f>SUMIFS(BASE!$G:$G,BASE!$B:$B,$B391,BASE!$L:$L,$G391,BASE!$J:$J,$C391,BASE!$A:$A,R$2)</f>
        <v>1</v>
      </c>
      <c r="S391" s="12">
        <f>SUMIFS(BASE!$G:$G,BASE!$B:$B,$B391,BASE!$L:$L,$G391,BASE!$J:$J,$C391,BASE!$A:$A,S$2)</f>
        <v>0</v>
      </c>
      <c r="T391" s="12">
        <f>SUMIFS(BASE!$G:$G,BASE!$B:$B,$B391,BASE!$L:$L,$G391,BASE!$J:$J,$C391,BASE!$A:$A,T$2)</f>
        <v>0</v>
      </c>
      <c r="U391" s="12">
        <f>SUMIFS(BASE!$G:$G,BASE!$B:$B,$B391,BASE!$L:$L,$G391,BASE!$J:$J,$C391,BASE!$A:$A,U$2)</f>
        <v>0</v>
      </c>
      <c r="V391" s="12">
        <f>SUMIFS(BASE!$G:$G,BASE!$B:$B,$B391,BASE!$L:$L,$G391,BASE!$J:$J,$C391,BASE!$A:$A,V$2)</f>
        <v>0</v>
      </c>
      <c r="X391" t="str">
        <f t="shared" si="13"/>
        <v>COM TROCAS</v>
      </c>
    </row>
    <row r="392" spans="2:24">
      <c r="B392" s="8" t="s">
        <v>951</v>
      </c>
      <c r="C392" s="9" t="s">
        <v>222</v>
      </c>
      <c r="D392" s="9" t="s">
        <v>952</v>
      </c>
      <c r="E392" s="9" t="s">
        <v>943</v>
      </c>
      <c r="F392" s="9" t="s">
        <v>953</v>
      </c>
      <c r="G392" s="9" t="s">
        <v>60</v>
      </c>
      <c r="H392" s="7" t="str">
        <f>IFERROR(IF(_xlfn.XLOOKUP(B392,REPASSE!D:D,REPASSE!D:D)="","Não","Sim"),"Não")</f>
        <v>Não</v>
      </c>
      <c r="I392" s="7" t="str">
        <f>IF(_xlfn.XLOOKUP(B392,'BOOST LIBERADO'!B:B,'BOOST LIBERADO'!B:B,"Não")="Não","Não","Sim")</f>
        <v>Sim</v>
      </c>
      <c r="J392" s="83" t="str">
        <f t="shared" si="12"/>
        <v>Sim</v>
      </c>
      <c r="K392" s="12">
        <f>SUMIFS(BASE!$G:$G,BASE!$B:$B,$B392,BASE!$L:$L,$G392,BASE!$J:$J,$C392,BASE!$A:$A,K$2)</f>
        <v>5</v>
      </c>
      <c r="L392" s="12">
        <f>SUMIFS(BASE!$G:$G,BASE!$B:$B,$B392,BASE!$L:$L,$G392,BASE!$J:$J,$C392,BASE!$A:$A,L$2)</f>
        <v>5</v>
      </c>
      <c r="M392" s="12">
        <f>SUMIFS(BASE!$G:$G,BASE!$B:$B,$B392,BASE!$L:$L,$G392,BASE!$J:$J,$C392,BASE!$A:$A,M$2)</f>
        <v>5</v>
      </c>
      <c r="N392" s="12">
        <f>SUMIFS(BASE!$G:$G,BASE!$B:$B,$B392,BASE!$L:$L,$G392,BASE!$J:$J,$C392,BASE!$A:$A,N$2)</f>
        <v>3</v>
      </c>
      <c r="O392" s="12">
        <f>SUMIFS(BASE!$G:$G,BASE!$B:$B,$B392,BASE!$L:$L,$G392,BASE!$J:$J,$C392,BASE!$A:$A,O$2)</f>
        <v>5</v>
      </c>
      <c r="P392" s="12">
        <f>SUMIFS(BASE!$G:$G,BASE!$B:$B,$B392,BASE!$L:$L,$G392,BASE!$J:$J,$C392,BASE!$A:$A,P$2)</f>
        <v>2</v>
      </c>
      <c r="Q392" s="12">
        <f>SUMIFS(BASE!$G:$G,BASE!$B:$B,$B392,BASE!$L:$L,$G392,BASE!$J:$J,$C392,BASE!$A:$A,Q$2)</f>
        <v>2</v>
      </c>
      <c r="R392" s="12">
        <f>SUMIFS(BASE!$G:$G,BASE!$B:$B,$B392,BASE!$L:$L,$G392,BASE!$J:$J,$C392,BASE!$A:$A,R$2)</f>
        <v>3</v>
      </c>
      <c r="S392" s="12">
        <f>SUMIFS(BASE!$G:$G,BASE!$B:$B,$B392,BASE!$L:$L,$G392,BASE!$J:$J,$C392,BASE!$A:$A,S$2)</f>
        <v>0</v>
      </c>
      <c r="T392" s="12">
        <f>SUMIFS(BASE!$G:$G,BASE!$B:$B,$B392,BASE!$L:$L,$G392,BASE!$J:$J,$C392,BASE!$A:$A,T$2)</f>
        <v>0</v>
      </c>
      <c r="U392" s="12">
        <f>SUMIFS(BASE!$G:$G,BASE!$B:$B,$B392,BASE!$L:$L,$G392,BASE!$J:$J,$C392,BASE!$A:$A,U$2)</f>
        <v>0</v>
      </c>
      <c r="V392" s="12">
        <f>SUMIFS(BASE!$G:$G,BASE!$B:$B,$B392,BASE!$L:$L,$G392,BASE!$J:$J,$C392,BASE!$A:$A,V$2)</f>
        <v>0</v>
      </c>
      <c r="X392" t="str">
        <f t="shared" si="13"/>
        <v>COM TROCAS</v>
      </c>
    </row>
    <row r="393" spans="2:24">
      <c r="B393" s="8" t="s">
        <v>954</v>
      </c>
      <c r="C393" s="8" t="s">
        <v>99</v>
      </c>
      <c r="D393" s="8" t="s">
        <v>955</v>
      </c>
      <c r="E393" s="8" t="s">
        <v>947</v>
      </c>
      <c r="F393" s="8" t="s">
        <v>956</v>
      </c>
      <c r="G393" s="8" t="s">
        <v>60</v>
      </c>
      <c r="H393" s="7" t="str">
        <f>IFERROR(IF(_xlfn.XLOOKUP(B393,REPASSE!D:D,REPASSE!D:D)="","Não","Sim"),"Não")</f>
        <v>Não</v>
      </c>
      <c r="I393" s="7" t="str">
        <f>IF(_xlfn.XLOOKUP(B393,'BOOST LIBERADO'!B:B,'BOOST LIBERADO'!B:B,"Não")="Não","Não","Sim")</f>
        <v>Sim</v>
      </c>
      <c r="J393" s="83" t="str">
        <f t="shared" si="12"/>
        <v>Sim</v>
      </c>
      <c r="K393" s="12">
        <f>SUMIFS(BASE!$G:$G,BASE!$B:$B,$B393,BASE!$L:$L,$G393,BASE!$J:$J,$C393,BASE!$A:$A,K$2)</f>
        <v>0</v>
      </c>
      <c r="L393" s="12">
        <f>SUMIFS(BASE!$G:$G,BASE!$B:$B,$B393,BASE!$L:$L,$G393,BASE!$J:$J,$C393,BASE!$A:$A,L$2)</f>
        <v>0</v>
      </c>
      <c r="M393" s="12">
        <f>SUMIFS(BASE!$G:$G,BASE!$B:$B,$B393,BASE!$L:$L,$G393,BASE!$J:$J,$C393,BASE!$A:$A,M$2)</f>
        <v>0</v>
      </c>
      <c r="N393" s="12">
        <f>SUMIFS(BASE!$G:$G,BASE!$B:$B,$B393,BASE!$L:$L,$G393,BASE!$J:$J,$C393,BASE!$A:$A,N$2)</f>
        <v>0</v>
      </c>
      <c r="O393" s="12">
        <f>SUMIFS(BASE!$G:$G,BASE!$B:$B,$B393,BASE!$L:$L,$G393,BASE!$J:$J,$C393,BASE!$A:$A,O$2)</f>
        <v>0</v>
      </c>
      <c r="P393" s="12">
        <f>SUMIFS(BASE!$G:$G,BASE!$B:$B,$B393,BASE!$L:$L,$G393,BASE!$J:$J,$C393,BASE!$A:$A,P$2)</f>
        <v>0</v>
      </c>
      <c r="Q393" s="12">
        <f>SUMIFS(BASE!$G:$G,BASE!$B:$B,$B393,BASE!$L:$L,$G393,BASE!$J:$J,$C393,BASE!$A:$A,Q$2)</f>
        <v>0</v>
      </c>
      <c r="R393" s="12">
        <f>SUMIFS(BASE!$G:$G,BASE!$B:$B,$B393,BASE!$L:$L,$G393,BASE!$J:$J,$C393,BASE!$A:$A,R$2)</f>
        <v>0</v>
      </c>
      <c r="S393" s="12">
        <f>SUMIFS(BASE!$G:$G,BASE!$B:$B,$B393,BASE!$L:$L,$G393,BASE!$J:$J,$C393,BASE!$A:$A,S$2)</f>
        <v>0</v>
      </c>
      <c r="T393" s="12">
        <f>SUMIFS(BASE!$G:$G,BASE!$B:$B,$B393,BASE!$L:$L,$G393,BASE!$J:$J,$C393,BASE!$A:$A,T$2)</f>
        <v>0</v>
      </c>
      <c r="U393" s="12">
        <f>SUMIFS(BASE!$G:$G,BASE!$B:$B,$B393,BASE!$L:$L,$G393,BASE!$J:$J,$C393,BASE!$A:$A,U$2)</f>
        <v>0</v>
      </c>
      <c r="V393" s="12">
        <f>SUMIFS(BASE!$G:$G,BASE!$B:$B,$B393,BASE!$L:$L,$G393,BASE!$J:$J,$C393,BASE!$A:$A,V$2)</f>
        <v>0</v>
      </c>
      <c r="X393" t="str">
        <f t="shared" si="13"/>
        <v>ZERADO</v>
      </c>
    </row>
    <row r="394" spans="2:24">
      <c r="B394" s="8" t="s">
        <v>957</v>
      </c>
      <c r="C394" s="9" t="s">
        <v>232</v>
      </c>
      <c r="D394" s="9" t="s">
        <v>942</v>
      </c>
      <c r="E394" s="9" t="s">
        <v>943</v>
      </c>
      <c r="F394" s="9" t="s">
        <v>944</v>
      </c>
      <c r="G394" s="9" t="s">
        <v>60</v>
      </c>
      <c r="H394" s="7" t="str">
        <f>IFERROR(IF(_xlfn.XLOOKUP(B394,REPASSE!D:D,REPASSE!D:D)="","Não","Sim"),"Não")</f>
        <v>Não</v>
      </c>
      <c r="I394" s="7" t="str">
        <f>IF(_xlfn.XLOOKUP(B394,'BOOST LIBERADO'!B:B,'BOOST LIBERADO'!B:B,"Não")="Não","Não","Sim")</f>
        <v>Sim</v>
      </c>
      <c r="J394" s="83" t="str">
        <f t="shared" si="12"/>
        <v>Sim</v>
      </c>
      <c r="K394" s="12">
        <f>SUMIFS(BASE!$G:$G,BASE!$B:$B,$B394,BASE!$L:$L,$G394,BASE!$J:$J,$C394,BASE!$A:$A,K$2)</f>
        <v>0</v>
      </c>
      <c r="L394" s="12">
        <f>SUMIFS(BASE!$G:$G,BASE!$B:$B,$B394,BASE!$L:$L,$G394,BASE!$J:$J,$C394,BASE!$A:$A,L$2)</f>
        <v>2</v>
      </c>
      <c r="M394" s="12">
        <f>SUMIFS(BASE!$G:$G,BASE!$B:$B,$B394,BASE!$L:$L,$G394,BASE!$J:$J,$C394,BASE!$A:$A,M$2)</f>
        <v>0</v>
      </c>
      <c r="N394" s="12">
        <f>SUMIFS(BASE!$G:$G,BASE!$B:$B,$B394,BASE!$L:$L,$G394,BASE!$J:$J,$C394,BASE!$A:$A,N$2)</f>
        <v>0</v>
      </c>
      <c r="O394" s="12">
        <f>SUMIFS(BASE!$G:$G,BASE!$B:$B,$B394,BASE!$L:$L,$G394,BASE!$J:$J,$C394,BASE!$A:$A,O$2)</f>
        <v>0</v>
      </c>
      <c r="P394" s="12">
        <f>SUMIFS(BASE!$G:$G,BASE!$B:$B,$B394,BASE!$L:$L,$G394,BASE!$J:$J,$C394,BASE!$A:$A,P$2)</f>
        <v>0</v>
      </c>
      <c r="Q394" s="12">
        <f>SUMIFS(BASE!$G:$G,BASE!$B:$B,$B394,BASE!$L:$L,$G394,BASE!$J:$J,$C394,BASE!$A:$A,Q$2)</f>
        <v>0</v>
      </c>
      <c r="R394" s="12">
        <f>SUMIFS(BASE!$G:$G,BASE!$B:$B,$B394,BASE!$L:$L,$G394,BASE!$J:$J,$C394,BASE!$A:$A,R$2)</f>
        <v>3</v>
      </c>
      <c r="S394" s="12">
        <f>SUMIFS(BASE!$G:$G,BASE!$B:$B,$B394,BASE!$L:$L,$G394,BASE!$J:$J,$C394,BASE!$A:$A,S$2)</f>
        <v>0</v>
      </c>
      <c r="T394" s="12">
        <f>SUMIFS(BASE!$G:$G,BASE!$B:$B,$B394,BASE!$L:$L,$G394,BASE!$J:$J,$C394,BASE!$A:$A,T$2)</f>
        <v>0</v>
      </c>
      <c r="U394" s="12">
        <f>SUMIFS(BASE!$G:$G,BASE!$B:$B,$B394,BASE!$L:$L,$G394,BASE!$J:$J,$C394,BASE!$A:$A,U$2)</f>
        <v>0</v>
      </c>
      <c r="V394" s="12">
        <f>SUMIFS(BASE!$G:$G,BASE!$B:$B,$B394,BASE!$L:$L,$G394,BASE!$J:$J,$C394,BASE!$A:$A,V$2)</f>
        <v>0</v>
      </c>
      <c r="X394" t="str">
        <f t="shared" si="13"/>
        <v>COM TROCAS</v>
      </c>
    </row>
    <row r="395" spans="2:24">
      <c r="B395" s="8" t="s">
        <v>958</v>
      </c>
      <c r="C395" s="9" t="s">
        <v>232</v>
      </c>
      <c r="D395" s="9" t="s">
        <v>942</v>
      </c>
      <c r="E395" s="9" t="s">
        <v>943</v>
      </c>
      <c r="F395" s="9" t="s">
        <v>944</v>
      </c>
      <c r="G395" s="9" t="s">
        <v>60</v>
      </c>
      <c r="H395" s="7" t="str">
        <f>IFERROR(IF(_xlfn.XLOOKUP(B395,REPASSE!D:D,REPASSE!D:D)="","Não","Sim"),"Não")</f>
        <v>Não</v>
      </c>
      <c r="I395" s="7" t="str">
        <f>IF(_xlfn.XLOOKUP(B395,'BOOST LIBERADO'!B:B,'BOOST LIBERADO'!B:B,"Não")="Não","Não","Sim")</f>
        <v>Sim</v>
      </c>
      <c r="J395" s="83" t="str">
        <f t="shared" si="12"/>
        <v>Sim</v>
      </c>
      <c r="K395" s="12">
        <f>SUMIFS(BASE!$G:$G,BASE!$B:$B,$B395,BASE!$L:$L,$G395,BASE!$J:$J,$C395,BASE!$A:$A,K$2)</f>
        <v>1</v>
      </c>
      <c r="L395" s="12">
        <f>SUMIFS(BASE!$G:$G,BASE!$B:$B,$B395,BASE!$L:$L,$G395,BASE!$J:$J,$C395,BASE!$A:$A,L$2)</f>
        <v>2</v>
      </c>
      <c r="M395" s="12">
        <f>SUMIFS(BASE!$G:$G,BASE!$B:$B,$B395,BASE!$L:$L,$G395,BASE!$J:$J,$C395,BASE!$A:$A,M$2)</f>
        <v>4</v>
      </c>
      <c r="N395" s="12">
        <f>SUMIFS(BASE!$G:$G,BASE!$B:$B,$B395,BASE!$L:$L,$G395,BASE!$J:$J,$C395,BASE!$A:$A,N$2)</f>
        <v>2</v>
      </c>
      <c r="O395" s="12">
        <f>SUMIFS(BASE!$G:$G,BASE!$B:$B,$B395,BASE!$L:$L,$G395,BASE!$J:$J,$C395,BASE!$A:$A,O$2)</f>
        <v>1</v>
      </c>
      <c r="P395" s="12">
        <f>SUMIFS(BASE!$G:$G,BASE!$B:$B,$B395,BASE!$L:$L,$G395,BASE!$J:$J,$C395,BASE!$A:$A,P$2)</f>
        <v>0</v>
      </c>
      <c r="Q395" s="12">
        <f>SUMIFS(BASE!$G:$G,BASE!$B:$B,$B395,BASE!$L:$L,$G395,BASE!$J:$J,$C395,BASE!$A:$A,Q$2)</f>
        <v>2</v>
      </c>
      <c r="R395" s="12">
        <f>SUMIFS(BASE!$G:$G,BASE!$B:$B,$B395,BASE!$L:$L,$G395,BASE!$J:$J,$C395,BASE!$A:$A,R$2)</f>
        <v>3</v>
      </c>
      <c r="S395" s="12">
        <f>SUMIFS(BASE!$G:$G,BASE!$B:$B,$B395,BASE!$L:$L,$G395,BASE!$J:$J,$C395,BASE!$A:$A,S$2)</f>
        <v>0</v>
      </c>
      <c r="T395" s="12">
        <f>SUMIFS(BASE!$G:$G,BASE!$B:$B,$B395,BASE!$L:$L,$G395,BASE!$J:$J,$C395,BASE!$A:$A,T$2)</f>
        <v>0</v>
      </c>
      <c r="U395" s="12">
        <f>SUMIFS(BASE!$G:$G,BASE!$B:$B,$B395,BASE!$L:$L,$G395,BASE!$J:$J,$C395,BASE!$A:$A,U$2)</f>
        <v>0</v>
      </c>
      <c r="V395" s="12">
        <f>SUMIFS(BASE!$G:$G,BASE!$B:$B,$B395,BASE!$L:$L,$G395,BASE!$J:$J,$C395,BASE!$A:$A,V$2)</f>
        <v>0</v>
      </c>
      <c r="X395" t="str">
        <f t="shared" si="13"/>
        <v>COM TROCAS</v>
      </c>
    </row>
    <row r="396" spans="2:24">
      <c r="B396" s="8" t="s">
        <v>959</v>
      </c>
      <c r="C396" s="9" t="s">
        <v>207</v>
      </c>
      <c r="D396" s="9" t="s">
        <v>960</v>
      </c>
      <c r="E396" s="9" t="s">
        <v>943</v>
      </c>
      <c r="F396" s="9" t="s">
        <v>961</v>
      </c>
      <c r="G396" s="9" t="s">
        <v>60</v>
      </c>
      <c r="H396" s="7" t="str">
        <f>IFERROR(IF(_xlfn.XLOOKUP(B396,REPASSE!D:D,REPASSE!D:D)="","Não","Sim"),"Não")</f>
        <v>Não</v>
      </c>
      <c r="I396" s="7" t="str">
        <f>IF(_xlfn.XLOOKUP(B396,'BOOST LIBERADO'!B:B,'BOOST LIBERADO'!B:B,"Não")="Não","Não","Sim")</f>
        <v>Sim</v>
      </c>
      <c r="J396" s="83" t="str">
        <f t="shared" si="12"/>
        <v>Sim</v>
      </c>
      <c r="K396" s="12">
        <f>SUMIFS(BASE!$G:$G,BASE!$B:$B,$B396,BASE!$L:$L,$G396,BASE!$J:$J,$C396,BASE!$A:$A,K$2)</f>
        <v>0</v>
      </c>
      <c r="L396" s="12">
        <f>SUMIFS(BASE!$G:$G,BASE!$B:$B,$B396,BASE!$L:$L,$G396,BASE!$J:$J,$C396,BASE!$A:$A,L$2)</f>
        <v>0</v>
      </c>
      <c r="M396" s="12">
        <f>SUMIFS(BASE!$G:$G,BASE!$B:$B,$B396,BASE!$L:$L,$G396,BASE!$J:$J,$C396,BASE!$A:$A,M$2)</f>
        <v>0</v>
      </c>
      <c r="N396" s="12">
        <f>SUMIFS(BASE!$G:$G,BASE!$B:$B,$B396,BASE!$L:$L,$G396,BASE!$J:$J,$C396,BASE!$A:$A,N$2)</f>
        <v>0</v>
      </c>
      <c r="O396" s="12">
        <f>SUMIFS(BASE!$G:$G,BASE!$B:$B,$B396,BASE!$L:$L,$G396,BASE!$J:$J,$C396,BASE!$A:$A,O$2)</f>
        <v>0</v>
      </c>
      <c r="P396" s="12">
        <f>SUMIFS(BASE!$G:$G,BASE!$B:$B,$B396,BASE!$L:$L,$G396,BASE!$J:$J,$C396,BASE!$A:$A,P$2)</f>
        <v>0</v>
      </c>
      <c r="Q396" s="12">
        <f>SUMIFS(BASE!$G:$G,BASE!$B:$B,$B396,BASE!$L:$L,$G396,BASE!$J:$J,$C396,BASE!$A:$A,Q$2)</f>
        <v>0</v>
      </c>
      <c r="R396" s="12">
        <f>SUMIFS(BASE!$G:$G,BASE!$B:$B,$B396,BASE!$L:$L,$G396,BASE!$J:$J,$C396,BASE!$A:$A,R$2)</f>
        <v>0</v>
      </c>
      <c r="S396" s="12">
        <f>SUMIFS(BASE!$G:$G,BASE!$B:$B,$B396,BASE!$L:$L,$G396,BASE!$J:$J,$C396,BASE!$A:$A,S$2)</f>
        <v>0</v>
      </c>
      <c r="T396" s="12">
        <f>SUMIFS(BASE!$G:$G,BASE!$B:$B,$B396,BASE!$L:$L,$G396,BASE!$J:$J,$C396,BASE!$A:$A,T$2)</f>
        <v>0</v>
      </c>
      <c r="U396" s="12">
        <f>SUMIFS(BASE!$G:$G,BASE!$B:$B,$B396,BASE!$L:$L,$G396,BASE!$J:$J,$C396,BASE!$A:$A,U$2)</f>
        <v>0</v>
      </c>
      <c r="V396" s="12">
        <f>SUMIFS(BASE!$G:$G,BASE!$B:$B,$B396,BASE!$L:$L,$G396,BASE!$J:$J,$C396,BASE!$A:$A,V$2)</f>
        <v>0</v>
      </c>
      <c r="X396" t="str">
        <f t="shared" si="13"/>
        <v>ZERADO</v>
      </c>
    </row>
    <row r="397" spans="2:24">
      <c r="B397" s="8" t="s">
        <v>962</v>
      </c>
      <c r="C397" s="9" t="s">
        <v>232</v>
      </c>
      <c r="D397" s="9" t="s">
        <v>938</v>
      </c>
      <c r="E397" s="9" t="s">
        <v>939</v>
      </c>
      <c r="F397" s="9" t="s">
        <v>950</v>
      </c>
      <c r="G397" s="9" t="s">
        <v>60</v>
      </c>
      <c r="H397" s="7" t="str">
        <f>IFERROR(IF(_xlfn.XLOOKUP(B397,REPASSE!D:D,REPASSE!D:D)="","Não","Sim"),"Não")</f>
        <v>Não</v>
      </c>
      <c r="I397" s="7" t="str">
        <f>IF(_xlfn.XLOOKUP(B397,'BOOST LIBERADO'!B:B,'BOOST LIBERADO'!B:B,"Não")="Não","Não","Sim")</f>
        <v>Sim</v>
      </c>
      <c r="J397" s="83" t="str">
        <f t="shared" si="12"/>
        <v>Sim</v>
      </c>
      <c r="K397" s="12">
        <f>SUMIFS(BASE!$G:$G,BASE!$B:$B,$B397,BASE!$L:$L,$G397,BASE!$J:$J,$C397,BASE!$A:$A,K$2)</f>
        <v>10</v>
      </c>
      <c r="L397" s="12">
        <f>SUMIFS(BASE!$G:$G,BASE!$B:$B,$B397,BASE!$L:$L,$G397,BASE!$J:$J,$C397,BASE!$A:$A,L$2)</f>
        <v>4</v>
      </c>
      <c r="M397" s="12">
        <f>SUMIFS(BASE!$G:$G,BASE!$B:$B,$B397,BASE!$L:$L,$G397,BASE!$J:$J,$C397,BASE!$A:$A,M$2)</f>
        <v>12</v>
      </c>
      <c r="N397" s="12">
        <f>SUMIFS(BASE!$G:$G,BASE!$B:$B,$B397,BASE!$L:$L,$G397,BASE!$J:$J,$C397,BASE!$A:$A,N$2)</f>
        <v>5</v>
      </c>
      <c r="O397" s="12">
        <f>SUMIFS(BASE!$G:$G,BASE!$B:$B,$B397,BASE!$L:$L,$G397,BASE!$J:$J,$C397,BASE!$A:$A,O$2)</f>
        <v>12</v>
      </c>
      <c r="P397" s="12">
        <f>SUMIFS(BASE!$G:$G,BASE!$B:$B,$B397,BASE!$L:$L,$G397,BASE!$J:$J,$C397,BASE!$A:$A,P$2)</f>
        <v>5</v>
      </c>
      <c r="Q397" s="12">
        <f>SUMIFS(BASE!$G:$G,BASE!$B:$B,$B397,BASE!$L:$L,$G397,BASE!$J:$J,$C397,BASE!$A:$A,Q$2)</f>
        <v>10</v>
      </c>
      <c r="R397" s="12">
        <f>SUMIFS(BASE!$G:$G,BASE!$B:$B,$B397,BASE!$L:$L,$G397,BASE!$J:$J,$C397,BASE!$A:$A,R$2)</f>
        <v>11</v>
      </c>
      <c r="S397" s="12">
        <f>SUMIFS(BASE!$G:$G,BASE!$B:$B,$B397,BASE!$L:$L,$G397,BASE!$J:$J,$C397,BASE!$A:$A,S$2)</f>
        <v>0</v>
      </c>
      <c r="T397" s="12">
        <f>SUMIFS(BASE!$G:$G,BASE!$B:$B,$B397,BASE!$L:$L,$G397,BASE!$J:$J,$C397,BASE!$A:$A,T$2)</f>
        <v>0</v>
      </c>
      <c r="U397" s="12">
        <f>SUMIFS(BASE!$G:$G,BASE!$B:$B,$B397,BASE!$L:$L,$G397,BASE!$J:$J,$C397,BASE!$A:$A,U$2)</f>
        <v>0</v>
      </c>
      <c r="V397" s="12">
        <f>SUMIFS(BASE!$G:$G,BASE!$B:$B,$B397,BASE!$L:$L,$G397,BASE!$J:$J,$C397,BASE!$A:$A,V$2)</f>
        <v>0</v>
      </c>
      <c r="X397" t="str">
        <f t="shared" si="13"/>
        <v>COM TROCAS</v>
      </c>
    </row>
    <row r="398" spans="2:24">
      <c r="B398" s="8" t="s">
        <v>963</v>
      </c>
      <c r="C398" s="9" t="s">
        <v>232</v>
      </c>
      <c r="D398" s="9" t="s">
        <v>960</v>
      </c>
      <c r="E398" s="9" t="s">
        <v>943</v>
      </c>
      <c r="F398" s="9" t="s">
        <v>944</v>
      </c>
      <c r="G398" s="9" t="s">
        <v>60</v>
      </c>
      <c r="H398" s="7" t="str">
        <f>IFERROR(IF(_xlfn.XLOOKUP(B398,REPASSE!D:D,REPASSE!D:D)="","Não","Sim"),"Não")</f>
        <v>Não</v>
      </c>
      <c r="I398" s="7" t="str">
        <f>IF(_xlfn.XLOOKUP(B398,'BOOST LIBERADO'!B:B,'BOOST LIBERADO'!B:B,"Não")="Não","Não","Sim")</f>
        <v>Sim</v>
      </c>
      <c r="J398" s="83" t="str">
        <f t="shared" si="12"/>
        <v>Sim</v>
      </c>
      <c r="K398" s="12">
        <f>SUMIFS(BASE!$G:$G,BASE!$B:$B,$B398,BASE!$L:$L,$G398,BASE!$J:$J,$C398,BASE!$A:$A,K$2)</f>
        <v>11</v>
      </c>
      <c r="L398" s="12">
        <f>SUMIFS(BASE!$G:$G,BASE!$B:$B,$B398,BASE!$L:$L,$G398,BASE!$J:$J,$C398,BASE!$A:$A,L$2)</f>
        <v>9</v>
      </c>
      <c r="M398" s="12">
        <f>SUMIFS(BASE!$G:$G,BASE!$B:$B,$B398,BASE!$L:$L,$G398,BASE!$J:$J,$C398,BASE!$A:$A,M$2)</f>
        <v>15</v>
      </c>
      <c r="N398" s="12">
        <f>SUMIFS(BASE!$G:$G,BASE!$B:$B,$B398,BASE!$L:$L,$G398,BASE!$J:$J,$C398,BASE!$A:$A,N$2)</f>
        <v>4</v>
      </c>
      <c r="O398" s="12">
        <f>SUMIFS(BASE!$G:$G,BASE!$B:$B,$B398,BASE!$L:$L,$G398,BASE!$J:$J,$C398,BASE!$A:$A,O$2)</f>
        <v>15</v>
      </c>
      <c r="P398" s="12">
        <f>SUMIFS(BASE!$G:$G,BASE!$B:$B,$B398,BASE!$L:$L,$G398,BASE!$J:$J,$C398,BASE!$A:$A,P$2)</f>
        <v>13</v>
      </c>
      <c r="Q398" s="12">
        <f>SUMIFS(BASE!$G:$G,BASE!$B:$B,$B398,BASE!$L:$L,$G398,BASE!$J:$J,$C398,BASE!$A:$A,Q$2)</f>
        <v>19</v>
      </c>
      <c r="R398" s="12">
        <f>SUMIFS(BASE!$G:$G,BASE!$B:$B,$B398,BASE!$L:$L,$G398,BASE!$J:$J,$C398,BASE!$A:$A,R$2)</f>
        <v>9</v>
      </c>
      <c r="S398" s="12">
        <f>SUMIFS(BASE!$G:$G,BASE!$B:$B,$B398,BASE!$L:$L,$G398,BASE!$J:$J,$C398,BASE!$A:$A,S$2)</f>
        <v>0</v>
      </c>
      <c r="T398" s="12">
        <f>SUMIFS(BASE!$G:$G,BASE!$B:$B,$B398,BASE!$L:$L,$G398,BASE!$J:$J,$C398,BASE!$A:$A,T$2)</f>
        <v>0</v>
      </c>
      <c r="U398" s="12">
        <f>SUMIFS(BASE!$G:$G,BASE!$B:$B,$B398,BASE!$L:$L,$G398,BASE!$J:$J,$C398,BASE!$A:$A,U$2)</f>
        <v>0</v>
      </c>
      <c r="V398" s="12">
        <f>SUMIFS(BASE!$G:$G,BASE!$B:$B,$B398,BASE!$L:$L,$G398,BASE!$J:$J,$C398,BASE!$A:$A,V$2)</f>
        <v>0</v>
      </c>
      <c r="X398" t="str">
        <f t="shared" si="13"/>
        <v>COM TROCAS</v>
      </c>
    </row>
    <row r="399" spans="2:24">
      <c r="B399" s="8" t="s">
        <v>964</v>
      </c>
      <c r="C399" s="9" t="s">
        <v>236</v>
      </c>
      <c r="D399" s="9" t="s">
        <v>938</v>
      </c>
      <c r="E399" s="9" t="s">
        <v>939</v>
      </c>
      <c r="F399" s="9" t="s">
        <v>940</v>
      </c>
      <c r="G399" s="9" t="s">
        <v>60</v>
      </c>
      <c r="H399" s="7" t="str">
        <f>IFERROR(IF(_xlfn.XLOOKUP(B399,REPASSE!D:D,REPASSE!D:D)="","Não","Sim"),"Não")</f>
        <v>Não</v>
      </c>
      <c r="I399" s="7" t="str">
        <f>IF(_xlfn.XLOOKUP(B399,'BOOST LIBERADO'!B:B,'BOOST LIBERADO'!B:B,"Não")="Não","Não","Sim")</f>
        <v>Sim</v>
      </c>
      <c r="J399" s="83" t="str">
        <f t="shared" si="12"/>
        <v>Sim</v>
      </c>
      <c r="K399" s="12">
        <f>SUMIFS(BASE!$G:$G,BASE!$B:$B,$B399,BASE!$L:$L,$G399,BASE!$J:$J,$C399,BASE!$A:$A,K$2)</f>
        <v>0</v>
      </c>
      <c r="L399" s="12">
        <f>SUMIFS(BASE!$G:$G,BASE!$B:$B,$B399,BASE!$L:$L,$G399,BASE!$J:$J,$C399,BASE!$A:$A,L$2)</f>
        <v>0</v>
      </c>
      <c r="M399" s="12">
        <f>SUMIFS(BASE!$G:$G,BASE!$B:$B,$B399,BASE!$L:$L,$G399,BASE!$J:$J,$C399,BASE!$A:$A,M$2)</f>
        <v>0</v>
      </c>
      <c r="N399" s="12">
        <f>SUMIFS(BASE!$G:$G,BASE!$B:$B,$B399,BASE!$L:$L,$G399,BASE!$J:$J,$C399,BASE!$A:$A,N$2)</f>
        <v>0</v>
      </c>
      <c r="O399" s="12">
        <f>SUMIFS(BASE!$G:$G,BASE!$B:$B,$B399,BASE!$L:$L,$G399,BASE!$J:$J,$C399,BASE!$A:$A,O$2)</f>
        <v>1</v>
      </c>
      <c r="P399" s="12">
        <f>SUMIFS(BASE!$G:$G,BASE!$B:$B,$B399,BASE!$L:$L,$G399,BASE!$J:$J,$C399,BASE!$A:$A,P$2)</f>
        <v>2</v>
      </c>
      <c r="Q399" s="12">
        <f>SUMIFS(BASE!$G:$G,BASE!$B:$B,$B399,BASE!$L:$L,$G399,BASE!$J:$J,$C399,BASE!$A:$A,Q$2)</f>
        <v>1</v>
      </c>
      <c r="R399" s="12">
        <f>SUMIFS(BASE!$G:$G,BASE!$B:$B,$B399,BASE!$L:$L,$G399,BASE!$J:$J,$C399,BASE!$A:$A,R$2)</f>
        <v>0</v>
      </c>
      <c r="S399" s="12">
        <f>SUMIFS(BASE!$G:$G,BASE!$B:$B,$B399,BASE!$L:$L,$G399,BASE!$J:$J,$C399,BASE!$A:$A,S$2)</f>
        <v>0</v>
      </c>
      <c r="T399" s="12">
        <f>SUMIFS(BASE!$G:$G,BASE!$B:$B,$B399,BASE!$L:$L,$G399,BASE!$J:$J,$C399,BASE!$A:$A,T$2)</f>
        <v>0</v>
      </c>
      <c r="U399" s="12">
        <f>SUMIFS(BASE!$G:$G,BASE!$B:$B,$B399,BASE!$L:$L,$G399,BASE!$J:$J,$C399,BASE!$A:$A,U$2)</f>
        <v>0</v>
      </c>
      <c r="V399" s="12">
        <f>SUMIFS(BASE!$G:$G,BASE!$B:$B,$B399,BASE!$L:$L,$G399,BASE!$J:$J,$C399,BASE!$A:$A,V$2)</f>
        <v>0</v>
      </c>
      <c r="X399" t="str">
        <f t="shared" si="13"/>
        <v>ZERADO</v>
      </c>
    </row>
    <row r="400" spans="2:24">
      <c r="B400" s="8" t="s">
        <v>965</v>
      </c>
      <c r="C400" s="9" t="s">
        <v>232</v>
      </c>
      <c r="D400" s="9" t="s">
        <v>942</v>
      </c>
      <c r="E400" s="9" t="s">
        <v>943</v>
      </c>
      <c r="F400" s="9" t="s">
        <v>944</v>
      </c>
      <c r="G400" s="9" t="s">
        <v>60</v>
      </c>
      <c r="H400" s="7" t="str">
        <f>IFERROR(IF(_xlfn.XLOOKUP(B400,REPASSE!D:D,REPASSE!D:D)="","Não","Sim"),"Não")</f>
        <v>Não</v>
      </c>
      <c r="I400" s="7" t="str">
        <f>IF(_xlfn.XLOOKUP(B400,'BOOST LIBERADO'!B:B,'BOOST LIBERADO'!B:B,"Não")="Não","Não","Sim")</f>
        <v>Sim</v>
      </c>
      <c r="J400" s="83" t="str">
        <f t="shared" si="12"/>
        <v>Sim</v>
      </c>
      <c r="K400" s="12">
        <f>SUMIFS(BASE!$G:$G,BASE!$B:$B,$B400,BASE!$L:$L,$G400,BASE!$J:$J,$C400,BASE!$A:$A,K$2)</f>
        <v>1</v>
      </c>
      <c r="L400" s="12">
        <f>SUMIFS(BASE!$G:$G,BASE!$B:$B,$B400,BASE!$L:$L,$G400,BASE!$J:$J,$C400,BASE!$A:$A,L$2)</f>
        <v>1</v>
      </c>
      <c r="M400" s="12">
        <f>SUMIFS(BASE!$G:$G,BASE!$B:$B,$B400,BASE!$L:$L,$G400,BASE!$J:$J,$C400,BASE!$A:$A,M$2)</f>
        <v>3</v>
      </c>
      <c r="N400" s="12">
        <f>SUMIFS(BASE!$G:$G,BASE!$B:$B,$B400,BASE!$L:$L,$G400,BASE!$J:$J,$C400,BASE!$A:$A,N$2)</f>
        <v>1</v>
      </c>
      <c r="O400" s="12">
        <f>SUMIFS(BASE!$G:$G,BASE!$B:$B,$B400,BASE!$L:$L,$G400,BASE!$J:$J,$C400,BASE!$A:$A,O$2)</f>
        <v>3</v>
      </c>
      <c r="P400" s="12">
        <f>SUMIFS(BASE!$G:$G,BASE!$B:$B,$B400,BASE!$L:$L,$G400,BASE!$J:$J,$C400,BASE!$A:$A,P$2)</f>
        <v>3</v>
      </c>
      <c r="Q400" s="12">
        <f>SUMIFS(BASE!$G:$G,BASE!$B:$B,$B400,BASE!$L:$L,$G400,BASE!$J:$J,$C400,BASE!$A:$A,Q$2)</f>
        <v>4</v>
      </c>
      <c r="R400" s="12">
        <f>SUMIFS(BASE!$G:$G,BASE!$B:$B,$B400,BASE!$L:$L,$G400,BASE!$J:$J,$C400,BASE!$A:$A,R$2)</f>
        <v>1</v>
      </c>
      <c r="S400" s="12">
        <f>SUMIFS(BASE!$G:$G,BASE!$B:$B,$B400,BASE!$L:$L,$G400,BASE!$J:$J,$C400,BASE!$A:$A,S$2)</f>
        <v>0</v>
      </c>
      <c r="T400" s="12">
        <f>SUMIFS(BASE!$G:$G,BASE!$B:$B,$B400,BASE!$L:$L,$G400,BASE!$J:$J,$C400,BASE!$A:$A,T$2)</f>
        <v>0</v>
      </c>
      <c r="U400" s="12">
        <f>SUMIFS(BASE!$G:$G,BASE!$B:$B,$B400,BASE!$L:$L,$G400,BASE!$J:$J,$C400,BASE!$A:$A,U$2)</f>
        <v>0</v>
      </c>
      <c r="V400" s="12">
        <f>SUMIFS(BASE!$G:$G,BASE!$B:$B,$B400,BASE!$L:$L,$G400,BASE!$J:$J,$C400,BASE!$A:$A,V$2)</f>
        <v>0</v>
      </c>
      <c r="X400" t="str">
        <f t="shared" si="13"/>
        <v>COM TROCAS</v>
      </c>
    </row>
    <row r="401" spans="2:24">
      <c r="B401" s="8" t="s">
        <v>966</v>
      </c>
      <c r="C401" s="9" t="s">
        <v>84</v>
      </c>
      <c r="D401" s="9" t="s">
        <v>967</v>
      </c>
      <c r="E401" s="9" t="s">
        <v>968</v>
      </c>
      <c r="F401" s="9" t="s">
        <v>969</v>
      </c>
      <c r="G401" s="9" t="s">
        <v>60</v>
      </c>
      <c r="H401" s="7" t="str">
        <f>IFERROR(IF(_xlfn.XLOOKUP(B401,REPASSE!D:D,REPASSE!D:D)="","Não","Sim"),"Não")</f>
        <v>Não</v>
      </c>
      <c r="I401" s="7" t="str">
        <f>IF(_xlfn.XLOOKUP(B401,'BOOST LIBERADO'!B:B,'BOOST LIBERADO'!B:B,"Não")="Não","Não","Sim")</f>
        <v>Sim</v>
      </c>
      <c r="J401" s="83" t="str">
        <f t="shared" si="12"/>
        <v>Sim</v>
      </c>
      <c r="K401" s="12">
        <f>SUMIFS(BASE!$G:$G,BASE!$B:$B,$B401,BASE!$L:$L,$G401,BASE!$J:$J,$C401,BASE!$A:$A,K$2)</f>
        <v>0</v>
      </c>
      <c r="L401" s="12">
        <f>SUMIFS(BASE!$G:$G,BASE!$B:$B,$B401,BASE!$L:$L,$G401,BASE!$J:$J,$C401,BASE!$A:$A,L$2)</f>
        <v>0</v>
      </c>
      <c r="M401" s="12">
        <f>SUMIFS(BASE!$G:$G,BASE!$B:$B,$B401,BASE!$L:$L,$G401,BASE!$J:$J,$C401,BASE!$A:$A,M$2)</f>
        <v>0</v>
      </c>
      <c r="N401" s="12">
        <f>SUMIFS(BASE!$G:$G,BASE!$B:$B,$B401,BASE!$L:$L,$G401,BASE!$J:$J,$C401,BASE!$A:$A,N$2)</f>
        <v>0</v>
      </c>
      <c r="O401" s="12">
        <f>SUMIFS(BASE!$G:$G,BASE!$B:$B,$B401,BASE!$L:$L,$G401,BASE!$J:$J,$C401,BASE!$A:$A,O$2)</f>
        <v>0</v>
      </c>
      <c r="P401" s="12">
        <f>SUMIFS(BASE!$G:$G,BASE!$B:$B,$B401,BASE!$L:$L,$G401,BASE!$J:$J,$C401,BASE!$A:$A,P$2)</f>
        <v>0</v>
      </c>
      <c r="Q401" s="12">
        <f>SUMIFS(BASE!$G:$G,BASE!$B:$B,$B401,BASE!$L:$L,$G401,BASE!$J:$J,$C401,BASE!$A:$A,Q$2)</f>
        <v>0</v>
      </c>
      <c r="R401" s="12">
        <f>SUMIFS(BASE!$G:$G,BASE!$B:$B,$B401,BASE!$L:$L,$G401,BASE!$J:$J,$C401,BASE!$A:$A,R$2)</f>
        <v>0</v>
      </c>
      <c r="S401" s="12">
        <f>SUMIFS(BASE!$G:$G,BASE!$B:$B,$B401,BASE!$L:$L,$G401,BASE!$J:$J,$C401,BASE!$A:$A,S$2)</f>
        <v>0</v>
      </c>
      <c r="T401" s="12">
        <f>SUMIFS(BASE!$G:$G,BASE!$B:$B,$B401,BASE!$L:$L,$G401,BASE!$J:$J,$C401,BASE!$A:$A,T$2)</f>
        <v>0</v>
      </c>
      <c r="U401" s="12">
        <f>SUMIFS(BASE!$G:$G,BASE!$B:$B,$B401,BASE!$L:$L,$G401,BASE!$J:$J,$C401,BASE!$A:$A,U$2)</f>
        <v>0</v>
      </c>
      <c r="V401" s="12">
        <f>SUMIFS(BASE!$G:$G,BASE!$B:$B,$B401,BASE!$L:$L,$G401,BASE!$J:$J,$C401,BASE!$A:$A,V$2)</f>
        <v>0</v>
      </c>
      <c r="X401" t="str">
        <f t="shared" si="13"/>
        <v>ZERADO</v>
      </c>
    </row>
    <row r="402" spans="2:24">
      <c r="B402" s="8" t="s">
        <v>970</v>
      </c>
      <c r="C402" s="9" t="s">
        <v>164</v>
      </c>
      <c r="D402" s="9" t="s">
        <v>971</v>
      </c>
      <c r="E402" s="9" t="s">
        <v>972</v>
      </c>
      <c r="F402" s="9" t="s">
        <v>973</v>
      </c>
      <c r="G402" s="9" t="s">
        <v>60</v>
      </c>
      <c r="H402" s="7" t="str">
        <f>IFERROR(IF(_xlfn.XLOOKUP(B402,REPASSE!D:D,REPASSE!D:D)="","Não","Sim"),"Não")</f>
        <v>Não</v>
      </c>
      <c r="I402" s="7" t="str">
        <f>IF(_xlfn.XLOOKUP(B402,'BOOST LIBERADO'!B:B,'BOOST LIBERADO'!B:B,"Não")="Não","Não","Sim")</f>
        <v>Sim</v>
      </c>
      <c r="J402" s="83" t="str">
        <f t="shared" si="12"/>
        <v>Sim</v>
      </c>
      <c r="K402" s="12">
        <f>SUMIFS(BASE!$G:$G,BASE!$B:$B,$B402,BASE!$L:$L,$G402,BASE!$J:$J,$C402,BASE!$A:$A,K$2)</f>
        <v>0</v>
      </c>
      <c r="L402" s="12">
        <f>SUMIFS(BASE!$G:$G,BASE!$B:$B,$B402,BASE!$L:$L,$G402,BASE!$J:$J,$C402,BASE!$A:$A,L$2)</f>
        <v>0</v>
      </c>
      <c r="M402" s="12">
        <f>SUMIFS(BASE!$G:$G,BASE!$B:$B,$B402,BASE!$L:$L,$G402,BASE!$J:$J,$C402,BASE!$A:$A,M$2)</f>
        <v>0</v>
      </c>
      <c r="N402" s="12">
        <f>SUMIFS(BASE!$G:$G,BASE!$B:$B,$B402,BASE!$L:$L,$G402,BASE!$J:$J,$C402,BASE!$A:$A,N$2)</f>
        <v>0</v>
      </c>
      <c r="O402" s="12">
        <f>SUMIFS(BASE!$G:$G,BASE!$B:$B,$B402,BASE!$L:$L,$G402,BASE!$J:$J,$C402,BASE!$A:$A,O$2)</f>
        <v>0</v>
      </c>
      <c r="P402" s="12">
        <f>SUMIFS(BASE!$G:$G,BASE!$B:$B,$B402,BASE!$L:$L,$G402,BASE!$J:$J,$C402,BASE!$A:$A,P$2)</f>
        <v>0</v>
      </c>
      <c r="Q402" s="12">
        <f>SUMIFS(BASE!$G:$G,BASE!$B:$B,$B402,BASE!$L:$L,$G402,BASE!$J:$J,$C402,BASE!$A:$A,Q$2)</f>
        <v>0</v>
      </c>
      <c r="R402" s="12">
        <f>SUMIFS(BASE!$G:$G,BASE!$B:$B,$B402,BASE!$L:$L,$G402,BASE!$J:$J,$C402,BASE!$A:$A,R$2)</f>
        <v>0</v>
      </c>
      <c r="S402" s="12">
        <f>SUMIFS(BASE!$G:$G,BASE!$B:$B,$B402,BASE!$L:$L,$G402,BASE!$J:$J,$C402,BASE!$A:$A,S$2)</f>
        <v>0</v>
      </c>
      <c r="T402" s="12">
        <f>SUMIFS(BASE!$G:$G,BASE!$B:$B,$B402,BASE!$L:$L,$G402,BASE!$J:$J,$C402,BASE!$A:$A,T$2)</f>
        <v>0</v>
      </c>
      <c r="U402" s="12">
        <f>SUMIFS(BASE!$G:$G,BASE!$B:$B,$B402,BASE!$L:$L,$G402,BASE!$J:$J,$C402,BASE!$A:$A,U$2)</f>
        <v>0</v>
      </c>
      <c r="V402" s="12">
        <f>SUMIFS(BASE!$G:$G,BASE!$B:$B,$B402,BASE!$L:$L,$G402,BASE!$J:$J,$C402,BASE!$A:$A,V$2)</f>
        <v>0</v>
      </c>
      <c r="X402" t="str">
        <f t="shared" si="13"/>
        <v>ZERADO</v>
      </c>
    </row>
    <row r="403" spans="2:24">
      <c r="B403" s="8" t="s">
        <v>974</v>
      </c>
      <c r="C403" s="9" t="s">
        <v>232</v>
      </c>
      <c r="D403" s="9" t="s">
        <v>960</v>
      </c>
      <c r="E403" s="9" t="s">
        <v>943</v>
      </c>
      <c r="F403" s="9" t="s">
        <v>944</v>
      </c>
      <c r="G403" s="9" t="s">
        <v>60</v>
      </c>
      <c r="H403" s="7" t="str">
        <f>IFERROR(IF(_xlfn.XLOOKUP(B403,REPASSE!D:D,REPASSE!D:D)="","Não","Sim"),"Não")</f>
        <v>Não</v>
      </c>
      <c r="I403" s="7" t="str">
        <f>IF(_xlfn.XLOOKUP(B403,'BOOST LIBERADO'!B:B,'BOOST LIBERADO'!B:B,"Não")="Não","Não","Sim")</f>
        <v>Sim</v>
      </c>
      <c r="J403" s="83" t="str">
        <f t="shared" si="12"/>
        <v>Sim</v>
      </c>
      <c r="K403" s="12">
        <f>SUMIFS(BASE!$G:$G,BASE!$B:$B,$B403,BASE!$L:$L,$G403,BASE!$J:$J,$C403,BASE!$A:$A,K$2)</f>
        <v>8</v>
      </c>
      <c r="L403" s="12">
        <f>SUMIFS(BASE!$G:$G,BASE!$B:$B,$B403,BASE!$L:$L,$G403,BASE!$J:$J,$C403,BASE!$A:$A,L$2)</f>
        <v>8</v>
      </c>
      <c r="M403" s="12">
        <f>SUMIFS(BASE!$G:$G,BASE!$B:$B,$B403,BASE!$L:$L,$G403,BASE!$J:$J,$C403,BASE!$A:$A,M$2)</f>
        <v>7</v>
      </c>
      <c r="N403" s="12">
        <f>SUMIFS(BASE!$G:$G,BASE!$B:$B,$B403,BASE!$L:$L,$G403,BASE!$J:$J,$C403,BASE!$A:$A,N$2)</f>
        <v>9</v>
      </c>
      <c r="O403" s="12">
        <f>SUMIFS(BASE!$G:$G,BASE!$B:$B,$B403,BASE!$L:$L,$G403,BASE!$J:$J,$C403,BASE!$A:$A,O$2)</f>
        <v>9</v>
      </c>
      <c r="P403" s="12">
        <f>SUMIFS(BASE!$G:$G,BASE!$B:$B,$B403,BASE!$L:$L,$G403,BASE!$J:$J,$C403,BASE!$A:$A,P$2)</f>
        <v>5</v>
      </c>
      <c r="Q403" s="12">
        <f>SUMIFS(BASE!$G:$G,BASE!$B:$B,$B403,BASE!$L:$L,$G403,BASE!$J:$J,$C403,BASE!$A:$A,Q$2)</f>
        <v>3</v>
      </c>
      <c r="R403" s="12">
        <f>SUMIFS(BASE!$G:$G,BASE!$B:$B,$B403,BASE!$L:$L,$G403,BASE!$J:$J,$C403,BASE!$A:$A,R$2)</f>
        <v>1</v>
      </c>
      <c r="S403" s="12">
        <f>SUMIFS(BASE!$G:$G,BASE!$B:$B,$B403,BASE!$L:$L,$G403,BASE!$J:$J,$C403,BASE!$A:$A,S$2)</f>
        <v>0</v>
      </c>
      <c r="T403" s="12">
        <f>SUMIFS(BASE!$G:$G,BASE!$B:$B,$B403,BASE!$L:$L,$G403,BASE!$J:$J,$C403,BASE!$A:$A,T$2)</f>
        <v>0</v>
      </c>
      <c r="U403" s="12">
        <f>SUMIFS(BASE!$G:$G,BASE!$B:$B,$B403,BASE!$L:$L,$G403,BASE!$J:$J,$C403,BASE!$A:$A,U$2)</f>
        <v>0</v>
      </c>
      <c r="V403" s="12">
        <f>SUMIFS(BASE!$G:$G,BASE!$B:$B,$B403,BASE!$L:$L,$G403,BASE!$J:$J,$C403,BASE!$A:$A,V$2)</f>
        <v>0</v>
      </c>
      <c r="X403" t="str">
        <f t="shared" si="13"/>
        <v>COM TROCAS</v>
      </c>
    </row>
    <row r="404" spans="2:24">
      <c r="B404" s="8" t="s">
        <v>975</v>
      </c>
      <c r="C404" s="9" t="s">
        <v>232</v>
      </c>
      <c r="D404" s="9" t="s">
        <v>971</v>
      </c>
      <c r="E404" s="9" t="s">
        <v>972</v>
      </c>
      <c r="F404" s="9" t="s">
        <v>976</v>
      </c>
      <c r="G404" s="9" t="s">
        <v>60</v>
      </c>
      <c r="H404" s="7" t="str">
        <f>IFERROR(IF(_xlfn.XLOOKUP(B404,REPASSE!D:D,REPASSE!D:D)="","Não","Sim"),"Não")</f>
        <v>Não</v>
      </c>
      <c r="I404" s="7" t="str">
        <f>IF(_xlfn.XLOOKUP(B404,'BOOST LIBERADO'!B:B,'BOOST LIBERADO'!B:B,"Não")="Não","Não","Sim")</f>
        <v>Sim</v>
      </c>
      <c r="J404" s="83" t="str">
        <f t="shared" si="12"/>
        <v>Sim</v>
      </c>
      <c r="K404" s="12">
        <f>SUMIFS(BASE!$G:$G,BASE!$B:$B,$B404,BASE!$L:$L,$G404,BASE!$J:$J,$C404,BASE!$A:$A,K$2)</f>
        <v>3</v>
      </c>
      <c r="L404" s="12">
        <f>SUMIFS(BASE!$G:$G,BASE!$B:$B,$B404,BASE!$L:$L,$G404,BASE!$J:$J,$C404,BASE!$A:$A,L$2)</f>
        <v>2</v>
      </c>
      <c r="M404" s="12">
        <f>SUMIFS(BASE!$G:$G,BASE!$B:$B,$B404,BASE!$L:$L,$G404,BASE!$J:$J,$C404,BASE!$A:$A,M$2)</f>
        <v>8</v>
      </c>
      <c r="N404" s="12">
        <f>SUMIFS(BASE!$G:$G,BASE!$B:$B,$B404,BASE!$L:$L,$G404,BASE!$J:$J,$C404,BASE!$A:$A,N$2)</f>
        <v>11</v>
      </c>
      <c r="O404" s="12">
        <f>SUMIFS(BASE!$G:$G,BASE!$B:$B,$B404,BASE!$L:$L,$G404,BASE!$J:$J,$C404,BASE!$A:$A,O$2)</f>
        <v>1</v>
      </c>
      <c r="P404" s="12">
        <f>SUMIFS(BASE!$G:$G,BASE!$B:$B,$B404,BASE!$L:$L,$G404,BASE!$J:$J,$C404,BASE!$A:$A,P$2)</f>
        <v>6</v>
      </c>
      <c r="Q404" s="12">
        <f>SUMIFS(BASE!$G:$G,BASE!$B:$B,$B404,BASE!$L:$L,$G404,BASE!$J:$J,$C404,BASE!$A:$A,Q$2)</f>
        <v>14</v>
      </c>
      <c r="R404" s="12">
        <f>SUMIFS(BASE!$G:$G,BASE!$B:$B,$B404,BASE!$L:$L,$G404,BASE!$J:$J,$C404,BASE!$A:$A,R$2)</f>
        <v>6</v>
      </c>
      <c r="S404" s="12">
        <f>SUMIFS(BASE!$G:$G,BASE!$B:$B,$B404,BASE!$L:$L,$G404,BASE!$J:$J,$C404,BASE!$A:$A,S$2)</f>
        <v>0</v>
      </c>
      <c r="T404" s="12">
        <f>SUMIFS(BASE!$G:$G,BASE!$B:$B,$B404,BASE!$L:$L,$G404,BASE!$J:$J,$C404,BASE!$A:$A,T$2)</f>
        <v>0</v>
      </c>
      <c r="U404" s="12">
        <f>SUMIFS(BASE!$G:$G,BASE!$B:$B,$B404,BASE!$L:$L,$G404,BASE!$J:$J,$C404,BASE!$A:$A,U$2)</f>
        <v>0</v>
      </c>
      <c r="V404" s="12">
        <f>SUMIFS(BASE!$G:$G,BASE!$B:$B,$B404,BASE!$L:$L,$G404,BASE!$J:$J,$C404,BASE!$A:$A,V$2)</f>
        <v>0</v>
      </c>
      <c r="X404" t="str">
        <f t="shared" si="13"/>
        <v>COM TROCAS</v>
      </c>
    </row>
    <row r="405" spans="2:24">
      <c r="B405" s="8" t="s">
        <v>977</v>
      </c>
      <c r="C405" s="8" t="s">
        <v>179</v>
      </c>
      <c r="D405" s="8" t="s">
        <v>946</v>
      </c>
      <c r="E405" s="8" t="s">
        <v>947</v>
      </c>
      <c r="F405" s="8" t="s">
        <v>978</v>
      </c>
      <c r="G405" s="8" t="s">
        <v>60</v>
      </c>
      <c r="H405" s="7" t="str">
        <f>IFERROR(IF(_xlfn.XLOOKUP(B405,REPASSE!D:D,REPASSE!D:D)="","Não","Sim"),"Não")</f>
        <v>Não</v>
      </c>
      <c r="I405" s="7" t="str">
        <f>IF(_xlfn.XLOOKUP(B405,'BOOST LIBERADO'!B:B,'BOOST LIBERADO'!B:B,"Não")="Não","Não","Sim")</f>
        <v>Sim</v>
      </c>
      <c r="J405" s="83" t="str">
        <f t="shared" si="12"/>
        <v>Sim</v>
      </c>
      <c r="K405" s="12">
        <f>SUMIFS(BASE!$G:$G,BASE!$B:$B,$B405,BASE!$L:$L,$G405,BASE!$J:$J,$C405,BASE!$A:$A,K$2)</f>
        <v>0</v>
      </c>
      <c r="L405" s="12">
        <f>SUMIFS(BASE!$G:$G,BASE!$B:$B,$B405,BASE!$L:$L,$G405,BASE!$J:$J,$C405,BASE!$A:$A,L$2)</f>
        <v>0</v>
      </c>
      <c r="M405" s="12">
        <f>SUMIFS(BASE!$G:$G,BASE!$B:$B,$B405,BASE!$L:$L,$G405,BASE!$J:$J,$C405,BASE!$A:$A,M$2)</f>
        <v>0</v>
      </c>
      <c r="N405" s="12">
        <f>SUMIFS(BASE!$G:$G,BASE!$B:$B,$B405,BASE!$L:$L,$G405,BASE!$J:$J,$C405,BASE!$A:$A,N$2)</f>
        <v>0</v>
      </c>
      <c r="O405" s="12">
        <f>SUMIFS(BASE!$G:$G,BASE!$B:$B,$B405,BASE!$L:$L,$G405,BASE!$J:$J,$C405,BASE!$A:$A,O$2)</f>
        <v>0</v>
      </c>
      <c r="P405" s="12">
        <f>SUMIFS(BASE!$G:$G,BASE!$B:$B,$B405,BASE!$L:$L,$G405,BASE!$J:$J,$C405,BASE!$A:$A,P$2)</f>
        <v>0</v>
      </c>
      <c r="Q405" s="12">
        <f>SUMIFS(BASE!$G:$G,BASE!$B:$B,$B405,BASE!$L:$L,$G405,BASE!$J:$J,$C405,BASE!$A:$A,Q$2)</f>
        <v>0</v>
      </c>
      <c r="R405" s="12">
        <f>SUMIFS(BASE!$G:$G,BASE!$B:$B,$B405,BASE!$L:$L,$G405,BASE!$J:$J,$C405,BASE!$A:$A,R$2)</f>
        <v>0</v>
      </c>
      <c r="S405" s="12">
        <f>SUMIFS(BASE!$G:$G,BASE!$B:$B,$B405,BASE!$L:$L,$G405,BASE!$J:$J,$C405,BASE!$A:$A,S$2)</f>
        <v>0</v>
      </c>
      <c r="T405" s="12">
        <f>SUMIFS(BASE!$G:$G,BASE!$B:$B,$B405,BASE!$L:$L,$G405,BASE!$J:$J,$C405,BASE!$A:$A,T$2)</f>
        <v>0</v>
      </c>
      <c r="U405" s="12">
        <f>SUMIFS(BASE!$G:$G,BASE!$B:$B,$B405,BASE!$L:$L,$G405,BASE!$J:$J,$C405,BASE!$A:$A,U$2)</f>
        <v>0</v>
      </c>
      <c r="V405" s="12">
        <f>SUMIFS(BASE!$G:$G,BASE!$B:$B,$B405,BASE!$L:$L,$G405,BASE!$J:$J,$C405,BASE!$A:$A,V$2)</f>
        <v>0</v>
      </c>
      <c r="X405" t="str">
        <f t="shared" si="13"/>
        <v>ZERADO</v>
      </c>
    </row>
    <row r="406" spans="2:24">
      <c r="B406" s="8" t="s">
        <v>979</v>
      </c>
      <c r="C406" s="9" t="s">
        <v>232</v>
      </c>
      <c r="D406" s="9" t="s">
        <v>960</v>
      </c>
      <c r="E406" s="9" t="s">
        <v>943</v>
      </c>
      <c r="F406" s="9" t="s">
        <v>944</v>
      </c>
      <c r="G406" s="9" t="s">
        <v>60</v>
      </c>
      <c r="H406" s="7" t="str">
        <f>IFERROR(IF(_xlfn.XLOOKUP(B406,REPASSE!D:D,REPASSE!D:D)="","Não","Sim"),"Não")</f>
        <v>Não</v>
      </c>
      <c r="I406" s="7" t="str">
        <f>IF(_xlfn.XLOOKUP(B406,'BOOST LIBERADO'!B:B,'BOOST LIBERADO'!B:B,"Não")="Não","Não","Sim")</f>
        <v>Sim</v>
      </c>
      <c r="J406" s="83" t="str">
        <f t="shared" si="12"/>
        <v>Sim</v>
      </c>
      <c r="K406" s="12">
        <f>SUMIFS(BASE!$G:$G,BASE!$B:$B,$B406,BASE!$L:$L,$G406,BASE!$J:$J,$C406,BASE!$A:$A,K$2)</f>
        <v>13</v>
      </c>
      <c r="L406" s="12">
        <f>SUMIFS(BASE!$G:$G,BASE!$B:$B,$B406,BASE!$L:$L,$G406,BASE!$J:$J,$C406,BASE!$A:$A,L$2)</f>
        <v>7</v>
      </c>
      <c r="M406" s="12">
        <f>SUMIFS(BASE!$G:$G,BASE!$B:$B,$B406,BASE!$L:$L,$G406,BASE!$J:$J,$C406,BASE!$A:$A,M$2)</f>
        <v>18</v>
      </c>
      <c r="N406" s="12">
        <f>SUMIFS(BASE!$G:$G,BASE!$B:$B,$B406,BASE!$L:$L,$G406,BASE!$J:$J,$C406,BASE!$A:$A,N$2)</f>
        <v>14</v>
      </c>
      <c r="O406" s="12">
        <f>SUMIFS(BASE!$G:$G,BASE!$B:$B,$B406,BASE!$L:$L,$G406,BASE!$J:$J,$C406,BASE!$A:$A,O$2)</f>
        <v>15</v>
      </c>
      <c r="P406" s="12">
        <f>SUMIFS(BASE!$G:$G,BASE!$B:$B,$B406,BASE!$L:$L,$G406,BASE!$J:$J,$C406,BASE!$A:$A,P$2)</f>
        <v>15</v>
      </c>
      <c r="Q406" s="12">
        <f>SUMIFS(BASE!$G:$G,BASE!$B:$B,$B406,BASE!$L:$L,$G406,BASE!$J:$J,$C406,BASE!$A:$A,Q$2)</f>
        <v>28</v>
      </c>
      <c r="R406" s="12">
        <f>SUMIFS(BASE!$G:$G,BASE!$B:$B,$B406,BASE!$L:$L,$G406,BASE!$J:$J,$C406,BASE!$A:$A,R$2)</f>
        <v>21</v>
      </c>
      <c r="S406" s="12">
        <f>SUMIFS(BASE!$G:$G,BASE!$B:$B,$B406,BASE!$L:$L,$G406,BASE!$J:$J,$C406,BASE!$A:$A,S$2)</f>
        <v>0</v>
      </c>
      <c r="T406" s="12">
        <f>SUMIFS(BASE!$G:$G,BASE!$B:$B,$B406,BASE!$L:$L,$G406,BASE!$J:$J,$C406,BASE!$A:$A,T$2)</f>
        <v>0</v>
      </c>
      <c r="U406" s="12">
        <f>SUMIFS(BASE!$G:$G,BASE!$B:$B,$B406,BASE!$L:$L,$G406,BASE!$J:$J,$C406,BASE!$A:$A,U$2)</f>
        <v>0</v>
      </c>
      <c r="V406" s="12">
        <f>SUMIFS(BASE!$G:$G,BASE!$B:$B,$B406,BASE!$L:$L,$G406,BASE!$J:$J,$C406,BASE!$A:$A,V$2)</f>
        <v>0</v>
      </c>
      <c r="X406" t="str">
        <f t="shared" si="13"/>
        <v>COM TROCAS</v>
      </c>
    </row>
    <row r="407" spans="2:24">
      <c r="B407" s="8" t="s">
        <v>980</v>
      </c>
      <c r="C407" s="9" t="s">
        <v>183</v>
      </c>
      <c r="D407" s="9" t="s">
        <v>946</v>
      </c>
      <c r="E407" s="9" t="s">
        <v>947</v>
      </c>
      <c r="F407" s="9" t="s">
        <v>981</v>
      </c>
      <c r="G407" s="9" t="s">
        <v>60</v>
      </c>
      <c r="H407" s="7" t="str">
        <f>IFERROR(IF(_xlfn.XLOOKUP(B407,REPASSE!D:D,REPASSE!D:D)="","Não","Sim"),"Não")</f>
        <v>Não</v>
      </c>
      <c r="I407" s="7" t="str">
        <f>IF(_xlfn.XLOOKUP(B407,'BOOST LIBERADO'!B:B,'BOOST LIBERADO'!B:B,"Não")="Não","Não","Sim")</f>
        <v>Sim</v>
      </c>
      <c r="J407" s="83" t="str">
        <f t="shared" si="12"/>
        <v>Sim</v>
      </c>
      <c r="K407" s="12">
        <f>SUMIFS(BASE!$G:$G,BASE!$B:$B,$B407,BASE!$L:$L,$G407,BASE!$J:$J,$C407,BASE!$A:$A,K$2)</f>
        <v>0</v>
      </c>
      <c r="L407" s="12">
        <f>SUMIFS(BASE!$G:$G,BASE!$B:$B,$B407,BASE!$L:$L,$G407,BASE!$J:$J,$C407,BASE!$A:$A,L$2)</f>
        <v>0</v>
      </c>
      <c r="M407" s="12">
        <f>SUMIFS(BASE!$G:$G,BASE!$B:$B,$B407,BASE!$L:$L,$G407,BASE!$J:$J,$C407,BASE!$A:$A,M$2)</f>
        <v>0</v>
      </c>
      <c r="N407" s="12">
        <f>SUMIFS(BASE!$G:$G,BASE!$B:$B,$B407,BASE!$L:$L,$G407,BASE!$J:$J,$C407,BASE!$A:$A,N$2)</f>
        <v>0</v>
      </c>
      <c r="O407" s="12">
        <f>SUMIFS(BASE!$G:$G,BASE!$B:$B,$B407,BASE!$L:$L,$G407,BASE!$J:$J,$C407,BASE!$A:$A,O$2)</f>
        <v>0</v>
      </c>
      <c r="P407" s="12">
        <f>SUMIFS(BASE!$G:$G,BASE!$B:$B,$B407,BASE!$L:$L,$G407,BASE!$J:$J,$C407,BASE!$A:$A,P$2)</f>
        <v>0</v>
      </c>
      <c r="Q407" s="12">
        <f>SUMIFS(BASE!$G:$G,BASE!$B:$B,$B407,BASE!$L:$L,$G407,BASE!$J:$J,$C407,BASE!$A:$A,Q$2)</f>
        <v>0</v>
      </c>
      <c r="R407" s="12">
        <f>SUMIFS(BASE!$G:$G,BASE!$B:$B,$B407,BASE!$L:$L,$G407,BASE!$J:$J,$C407,BASE!$A:$A,R$2)</f>
        <v>0</v>
      </c>
      <c r="S407" s="12">
        <f>SUMIFS(BASE!$G:$G,BASE!$B:$B,$B407,BASE!$L:$L,$G407,BASE!$J:$J,$C407,BASE!$A:$A,S$2)</f>
        <v>0</v>
      </c>
      <c r="T407" s="12">
        <f>SUMIFS(BASE!$G:$G,BASE!$B:$B,$B407,BASE!$L:$L,$G407,BASE!$J:$J,$C407,BASE!$A:$A,T$2)</f>
        <v>0</v>
      </c>
      <c r="U407" s="12">
        <f>SUMIFS(BASE!$G:$G,BASE!$B:$B,$B407,BASE!$L:$L,$G407,BASE!$J:$J,$C407,BASE!$A:$A,U$2)</f>
        <v>0</v>
      </c>
      <c r="V407" s="12">
        <f>SUMIFS(BASE!$G:$G,BASE!$B:$B,$B407,BASE!$L:$L,$G407,BASE!$J:$J,$C407,BASE!$A:$A,V$2)</f>
        <v>0</v>
      </c>
      <c r="X407" t="str">
        <f t="shared" si="13"/>
        <v>ZERADO</v>
      </c>
    </row>
    <row r="408" spans="2:24">
      <c r="B408" s="8" t="s">
        <v>982</v>
      </c>
      <c r="C408" s="9" t="s">
        <v>232</v>
      </c>
      <c r="D408" s="9" t="s">
        <v>967</v>
      </c>
      <c r="E408" s="9" t="s">
        <v>968</v>
      </c>
      <c r="F408" s="9" t="s">
        <v>983</v>
      </c>
      <c r="G408" s="9" t="s">
        <v>60</v>
      </c>
      <c r="H408" s="7" t="str">
        <f>IFERROR(IF(_xlfn.XLOOKUP(B408,REPASSE!D:D,REPASSE!D:D)="","Não","Sim"),"Não")</f>
        <v>Não</v>
      </c>
      <c r="I408" s="7" t="str">
        <f>IF(_xlfn.XLOOKUP(B408,'BOOST LIBERADO'!B:B,'BOOST LIBERADO'!B:B,"Não")="Não","Não","Sim")</f>
        <v>Sim</v>
      </c>
      <c r="J408" s="83" t="str">
        <f t="shared" si="12"/>
        <v>Sim</v>
      </c>
      <c r="K408" s="12">
        <f>SUMIFS(BASE!$G:$G,BASE!$B:$B,$B408,BASE!$L:$L,$G408,BASE!$J:$J,$C408,BASE!$A:$A,K$2)</f>
        <v>1</v>
      </c>
      <c r="L408" s="12">
        <f>SUMIFS(BASE!$G:$G,BASE!$B:$B,$B408,BASE!$L:$L,$G408,BASE!$J:$J,$C408,BASE!$A:$A,L$2)</f>
        <v>0</v>
      </c>
      <c r="M408" s="12">
        <f>SUMIFS(BASE!$G:$G,BASE!$B:$B,$B408,BASE!$L:$L,$G408,BASE!$J:$J,$C408,BASE!$A:$A,M$2)</f>
        <v>1</v>
      </c>
      <c r="N408" s="12">
        <f>SUMIFS(BASE!$G:$G,BASE!$B:$B,$B408,BASE!$L:$L,$G408,BASE!$J:$J,$C408,BASE!$A:$A,N$2)</f>
        <v>0</v>
      </c>
      <c r="O408" s="12">
        <f>SUMIFS(BASE!$G:$G,BASE!$B:$B,$B408,BASE!$L:$L,$G408,BASE!$J:$J,$C408,BASE!$A:$A,O$2)</f>
        <v>1</v>
      </c>
      <c r="P408" s="12">
        <f>SUMIFS(BASE!$G:$G,BASE!$B:$B,$B408,BASE!$L:$L,$G408,BASE!$J:$J,$C408,BASE!$A:$A,P$2)</f>
        <v>0</v>
      </c>
      <c r="Q408" s="12">
        <f>SUMIFS(BASE!$G:$G,BASE!$B:$B,$B408,BASE!$L:$L,$G408,BASE!$J:$J,$C408,BASE!$A:$A,Q$2)</f>
        <v>4</v>
      </c>
      <c r="R408" s="12">
        <f>SUMIFS(BASE!$G:$G,BASE!$B:$B,$B408,BASE!$L:$L,$G408,BASE!$J:$J,$C408,BASE!$A:$A,R$2)</f>
        <v>2</v>
      </c>
      <c r="S408" s="12">
        <f>SUMIFS(BASE!$G:$G,BASE!$B:$B,$B408,BASE!$L:$L,$G408,BASE!$J:$J,$C408,BASE!$A:$A,S$2)</f>
        <v>0</v>
      </c>
      <c r="T408" s="12">
        <f>SUMIFS(BASE!$G:$G,BASE!$B:$B,$B408,BASE!$L:$L,$G408,BASE!$J:$J,$C408,BASE!$A:$A,T$2)</f>
        <v>0</v>
      </c>
      <c r="U408" s="12">
        <f>SUMIFS(BASE!$G:$G,BASE!$B:$B,$B408,BASE!$L:$L,$G408,BASE!$J:$J,$C408,BASE!$A:$A,U$2)</f>
        <v>0</v>
      </c>
      <c r="V408" s="12">
        <f>SUMIFS(BASE!$G:$G,BASE!$B:$B,$B408,BASE!$L:$L,$G408,BASE!$J:$J,$C408,BASE!$A:$A,V$2)</f>
        <v>0</v>
      </c>
      <c r="X408" t="str">
        <f t="shared" si="13"/>
        <v>COM TROCAS</v>
      </c>
    </row>
    <row r="409" spans="2:24">
      <c r="B409" s="8" t="s">
        <v>984</v>
      </c>
      <c r="C409" s="9" t="s">
        <v>232</v>
      </c>
      <c r="D409" s="9" t="s">
        <v>938</v>
      </c>
      <c r="E409" s="9" t="s">
        <v>939</v>
      </c>
      <c r="F409" s="9" t="s">
        <v>940</v>
      </c>
      <c r="G409" s="9" t="s">
        <v>60</v>
      </c>
      <c r="H409" s="7" t="str">
        <f>IFERROR(IF(_xlfn.XLOOKUP(B409,REPASSE!D:D,REPASSE!D:D)="","Não","Sim"),"Não")</f>
        <v>Não</v>
      </c>
      <c r="I409" s="7" t="str">
        <f>IF(_xlfn.XLOOKUP(B409,'BOOST LIBERADO'!B:B,'BOOST LIBERADO'!B:B,"Não")="Não","Não","Sim")</f>
        <v>Sim</v>
      </c>
      <c r="J409" s="83" t="str">
        <f t="shared" si="12"/>
        <v>Sim</v>
      </c>
      <c r="K409" s="12">
        <f>SUMIFS(BASE!$G:$G,BASE!$B:$B,$B409,BASE!$L:$L,$G409,BASE!$J:$J,$C409,BASE!$A:$A,K$2)</f>
        <v>24</v>
      </c>
      <c r="L409" s="12">
        <f>SUMIFS(BASE!$G:$G,BASE!$B:$B,$B409,BASE!$L:$L,$G409,BASE!$J:$J,$C409,BASE!$A:$A,L$2)</f>
        <v>18</v>
      </c>
      <c r="M409" s="12">
        <f>SUMIFS(BASE!$G:$G,BASE!$B:$B,$B409,BASE!$L:$L,$G409,BASE!$J:$J,$C409,BASE!$A:$A,M$2)</f>
        <v>27</v>
      </c>
      <c r="N409" s="12">
        <f>SUMIFS(BASE!$G:$G,BASE!$B:$B,$B409,BASE!$L:$L,$G409,BASE!$J:$J,$C409,BASE!$A:$A,N$2)</f>
        <v>18</v>
      </c>
      <c r="O409" s="12">
        <f>SUMIFS(BASE!$G:$G,BASE!$B:$B,$B409,BASE!$L:$L,$G409,BASE!$J:$J,$C409,BASE!$A:$A,O$2)</f>
        <v>18</v>
      </c>
      <c r="P409" s="12">
        <f>SUMIFS(BASE!$G:$G,BASE!$B:$B,$B409,BASE!$L:$L,$G409,BASE!$J:$J,$C409,BASE!$A:$A,P$2)</f>
        <v>16</v>
      </c>
      <c r="Q409" s="12">
        <f>SUMIFS(BASE!$G:$G,BASE!$B:$B,$B409,BASE!$L:$L,$G409,BASE!$J:$J,$C409,BASE!$A:$A,Q$2)</f>
        <v>37</v>
      </c>
      <c r="R409" s="12">
        <f>SUMIFS(BASE!$G:$G,BASE!$B:$B,$B409,BASE!$L:$L,$G409,BASE!$J:$J,$C409,BASE!$A:$A,R$2)</f>
        <v>28</v>
      </c>
      <c r="S409" s="12">
        <f>SUMIFS(BASE!$G:$G,BASE!$B:$B,$B409,BASE!$L:$L,$G409,BASE!$J:$J,$C409,BASE!$A:$A,S$2)</f>
        <v>0</v>
      </c>
      <c r="T409" s="12">
        <f>SUMIFS(BASE!$G:$G,BASE!$B:$B,$B409,BASE!$L:$L,$G409,BASE!$J:$J,$C409,BASE!$A:$A,T$2)</f>
        <v>0</v>
      </c>
      <c r="U409" s="12">
        <f>SUMIFS(BASE!$G:$G,BASE!$B:$B,$B409,BASE!$L:$L,$G409,BASE!$J:$J,$C409,BASE!$A:$A,U$2)</f>
        <v>0</v>
      </c>
      <c r="V409" s="12">
        <f>SUMIFS(BASE!$G:$G,BASE!$B:$B,$B409,BASE!$L:$L,$G409,BASE!$J:$J,$C409,BASE!$A:$A,V$2)</f>
        <v>0</v>
      </c>
      <c r="X409" t="str">
        <f t="shared" si="13"/>
        <v>COM TROCAS</v>
      </c>
    </row>
    <row r="410" spans="2:24">
      <c r="B410" s="8" t="s">
        <v>985</v>
      </c>
      <c r="C410" s="9" t="s">
        <v>232</v>
      </c>
      <c r="D410" s="9" t="s">
        <v>960</v>
      </c>
      <c r="E410" s="9" t="s">
        <v>943</v>
      </c>
      <c r="F410" s="9" t="s">
        <v>944</v>
      </c>
      <c r="G410" s="9" t="s">
        <v>60</v>
      </c>
      <c r="H410" s="7" t="str">
        <f>IFERROR(IF(_xlfn.XLOOKUP(B410,REPASSE!D:D,REPASSE!D:D)="","Não","Sim"),"Não")</f>
        <v>Não</v>
      </c>
      <c r="I410" s="7" t="str">
        <f>IF(_xlfn.XLOOKUP(B410,'BOOST LIBERADO'!B:B,'BOOST LIBERADO'!B:B,"Não")="Não","Não","Sim")</f>
        <v>Sim</v>
      </c>
      <c r="J410" s="83" t="str">
        <f t="shared" si="12"/>
        <v>Sim</v>
      </c>
      <c r="K410" s="12">
        <f>SUMIFS(BASE!$G:$G,BASE!$B:$B,$B410,BASE!$L:$L,$G410,BASE!$J:$J,$C410,BASE!$A:$A,K$2)</f>
        <v>4</v>
      </c>
      <c r="L410" s="12">
        <f>SUMIFS(BASE!$G:$G,BASE!$B:$B,$B410,BASE!$L:$L,$G410,BASE!$J:$J,$C410,BASE!$A:$A,L$2)</f>
        <v>2</v>
      </c>
      <c r="M410" s="12">
        <f>SUMIFS(BASE!$G:$G,BASE!$B:$B,$B410,BASE!$L:$L,$G410,BASE!$J:$J,$C410,BASE!$A:$A,M$2)</f>
        <v>7</v>
      </c>
      <c r="N410" s="12">
        <f>SUMIFS(BASE!$G:$G,BASE!$B:$B,$B410,BASE!$L:$L,$G410,BASE!$J:$J,$C410,BASE!$A:$A,N$2)</f>
        <v>5</v>
      </c>
      <c r="O410" s="12">
        <f>SUMIFS(BASE!$G:$G,BASE!$B:$B,$B410,BASE!$L:$L,$G410,BASE!$J:$J,$C410,BASE!$A:$A,O$2)</f>
        <v>2</v>
      </c>
      <c r="P410" s="12">
        <f>SUMIFS(BASE!$G:$G,BASE!$B:$B,$B410,BASE!$L:$L,$G410,BASE!$J:$J,$C410,BASE!$A:$A,P$2)</f>
        <v>2</v>
      </c>
      <c r="Q410" s="12">
        <f>SUMIFS(BASE!$G:$G,BASE!$B:$B,$B410,BASE!$L:$L,$G410,BASE!$J:$J,$C410,BASE!$A:$A,Q$2)</f>
        <v>5</v>
      </c>
      <c r="R410" s="12">
        <f>SUMIFS(BASE!$G:$G,BASE!$B:$B,$B410,BASE!$L:$L,$G410,BASE!$J:$J,$C410,BASE!$A:$A,R$2)</f>
        <v>4</v>
      </c>
      <c r="S410" s="12">
        <f>SUMIFS(BASE!$G:$G,BASE!$B:$B,$B410,BASE!$L:$L,$G410,BASE!$J:$J,$C410,BASE!$A:$A,S$2)</f>
        <v>0</v>
      </c>
      <c r="T410" s="12">
        <f>SUMIFS(BASE!$G:$G,BASE!$B:$B,$B410,BASE!$L:$L,$G410,BASE!$J:$J,$C410,BASE!$A:$A,T$2)</f>
        <v>0</v>
      </c>
      <c r="U410" s="12">
        <f>SUMIFS(BASE!$G:$G,BASE!$B:$B,$B410,BASE!$L:$L,$G410,BASE!$J:$J,$C410,BASE!$A:$A,U$2)</f>
        <v>0</v>
      </c>
      <c r="V410" s="12">
        <f>SUMIFS(BASE!$G:$G,BASE!$B:$B,$B410,BASE!$L:$L,$G410,BASE!$J:$J,$C410,BASE!$A:$A,V$2)</f>
        <v>0</v>
      </c>
      <c r="X410" t="str">
        <f t="shared" si="13"/>
        <v>COM TROCAS</v>
      </c>
    </row>
    <row r="411" spans="2:24">
      <c r="B411" s="8" t="s">
        <v>986</v>
      </c>
      <c r="C411" s="9" t="s">
        <v>101</v>
      </c>
      <c r="D411" s="9" t="s">
        <v>987</v>
      </c>
      <c r="E411" s="9" t="s">
        <v>939</v>
      </c>
      <c r="F411" s="9" t="s">
        <v>988</v>
      </c>
      <c r="G411" s="9" t="s">
        <v>60</v>
      </c>
      <c r="H411" s="7" t="str">
        <f>IFERROR(IF(_xlfn.XLOOKUP(B411,REPASSE!D:D,REPASSE!D:D)="","Não","Sim"),"Não")</f>
        <v>Não</v>
      </c>
      <c r="I411" s="7" t="str">
        <f>IF(_xlfn.XLOOKUP(B411,'BOOST LIBERADO'!B:B,'BOOST LIBERADO'!B:B,"Não")="Não","Não","Sim")</f>
        <v>Sim</v>
      </c>
      <c r="J411" s="83" t="str">
        <f t="shared" si="12"/>
        <v>Sim</v>
      </c>
      <c r="K411" s="12">
        <f>SUMIFS(BASE!$G:$G,BASE!$B:$B,$B411,BASE!$L:$L,$G411,BASE!$J:$J,$C411,BASE!$A:$A,K$2)</f>
        <v>0</v>
      </c>
      <c r="L411" s="12">
        <f>SUMIFS(BASE!$G:$G,BASE!$B:$B,$B411,BASE!$L:$L,$G411,BASE!$J:$J,$C411,BASE!$A:$A,L$2)</f>
        <v>0</v>
      </c>
      <c r="M411" s="12">
        <f>SUMIFS(BASE!$G:$G,BASE!$B:$B,$B411,BASE!$L:$L,$G411,BASE!$J:$J,$C411,BASE!$A:$A,M$2)</f>
        <v>0</v>
      </c>
      <c r="N411" s="12">
        <f>SUMIFS(BASE!$G:$G,BASE!$B:$B,$B411,BASE!$L:$L,$G411,BASE!$J:$J,$C411,BASE!$A:$A,N$2)</f>
        <v>0</v>
      </c>
      <c r="O411" s="12">
        <f>SUMIFS(BASE!$G:$G,BASE!$B:$B,$B411,BASE!$L:$L,$G411,BASE!$J:$J,$C411,BASE!$A:$A,O$2)</f>
        <v>0</v>
      </c>
      <c r="P411" s="12">
        <f>SUMIFS(BASE!$G:$G,BASE!$B:$B,$B411,BASE!$L:$L,$G411,BASE!$J:$J,$C411,BASE!$A:$A,P$2)</f>
        <v>0</v>
      </c>
      <c r="Q411" s="12">
        <f>SUMIFS(BASE!$G:$G,BASE!$B:$B,$B411,BASE!$L:$L,$G411,BASE!$J:$J,$C411,BASE!$A:$A,Q$2)</f>
        <v>0</v>
      </c>
      <c r="R411" s="12">
        <f>SUMIFS(BASE!$G:$G,BASE!$B:$B,$B411,BASE!$L:$L,$G411,BASE!$J:$J,$C411,BASE!$A:$A,R$2)</f>
        <v>0</v>
      </c>
      <c r="S411" s="12">
        <f>SUMIFS(BASE!$G:$G,BASE!$B:$B,$B411,BASE!$L:$L,$G411,BASE!$J:$J,$C411,BASE!$A:$A,S$2)</f>
        <v>0</v>
      </c>
      <c r="T411" s="12">
        <f>SUMIFS(BASE!$G:$G,BASE!$B:$B,$B411,BASE!$L:$L,$G411,BASE!$J:$J,$C411,BASE!$A:$A,T$2)</f>
        <v>0</v>
      </c>
      <c r="U411" s="12">
        <f>SUMIFS(BASE!$G:$G,BASE!$B:$B,$B411,BASE!$L:$L,$G411,BASE!$J:$J,$C411,BASE!$A:$A,U$2)</f>
        <v>0</v>
      </c>
      <c r="V411" s="12">
        <f>SUMIFS(BASE!$G:$G,BASE!$B:$B,$B411,BASE!$L:$L,$G411,BASE!$J:$J,$C411,BASE!$A:$A,V$2)</f>
        <v>0</v>
      </c>
      <c r="X411" t="str">
        <f t="shared" si="13"/>
        <v>ZERADO</v>
      </c>
    </row>
    <row r="412" spans="2:24">
      <c r="B412" s="8" t="s">
        <v>989</v>
      </c>
      <c r="C412" s="9" t="s">
        <v>222</v>
      </c>
      <c r="D412" s="9" t="s">
        <v>952</v>
      </c>
      <c r="E412" s="9" t="s">
        <v>943</v>
      </c>
      <c r="F412" s="9" t="s">
        <v>944</v>
      </c>
      <c r="G412" s="9" t="s">
        <v>60</v>
      </c>
      <c r="H412" s="7" t="str">
        <f>IFERROR(IF(_xlfn.XLOOKUP(B412,REPASSE!D:D,REPASSE!D:D)="","Não","Sim"),"Não")</f>
        <v>Não</v>
      </c>
      <c r="I412" s="7" t="str">
        <f>IF(_xlfn.XLOOKUP(B412,'BOOST LIBERADO'!B:B,'BOOST LIBERADO'!B:B,"Não")="Não","Não","Sim")</f>
        <v>Sim</v>
      </c>
      <c r="J412" s="83" t="str">
        <f t="shared" si="12"/>
        <v>Sim</v>
      </c>
      <c r="K412" s="12">
        <f>SUMIFS(BASE!$G:$G,BASE!$B:$B,$B412,BASE!$L:$L,$G412,BASE!$J:$J,$C412,BASE!$A:$A,K$2)</f>
        <v>0</v>
      </c>
      <c r="L412" s="12">
        <f>SUMIFS(BASE!$G:$G,BASE!$B:$B,$B412,BASE!$L:$L,$G412,BASE!$J:$J,$C412,BASE!$A:$A,L$2)</f>
        <v>0</v>
      </c>
      <c r="M412" s="12">
        <f>SUMIFS(BASE!$G:$G,BASE!$B:$B,$B412,BASE!$L:$L,$G412,BASE!$J:$J,$C412,BASE!$A:$A,M$2)</f>
        <v>0</v>
      </c>
      <c r="N412" s="12">
        <f>SUMIFS(BASE!$G:$G,BASE!$B:$B,$B412,BASE!$L:$L,$G412,BASE!$J:$J,$C412,BASE!$A:$A,N$2)</f>
        <v>0</v>
      </c>
      <c r="O412" s="12">
        <f>SUMIFS(BASE!$G:$G,BASE!$B:$B,$B412,BASE!$L:$L,$G412,BASE!$J:$J,$C412,BASE!$A:$A,O$2)</f>
        <v>0</v>
      </c>
      <c r="P412" s="12">
        <f>SUMIFS(BASE!$G:$G,BASE!$B:$B,$B412,BASE!$L:$L,$G412,BASE!$J:$J,$C412,BASE!$A:$A,P$2)</f>
        <v>0</v>
      </c>
      <c r="Q412" s="12">
        <f>SUMIFS(BASE!$G:$G,BASE!$B:$B,$B412,BASE!$L:$L,$G412,BASE!$J:$J,$C412,BASE!$A:$A,Q$2)</f>
        <v>0</v>
      </c>
      <c r="R412" s="12">
        <f>SUMIFS(BASE!$G:$G,BASE!$B:$B,$B412,BASE!$L:$L,$G412,BASE!$J:$J,$C412,BASE!$A:$A,R$2)</f>
        <v>0</v>
      </c>
      <c r="S412" s="12">
        <f>SUMIFS(BASE!$G:$G,BASE!$B:$B,$B412,BASE!$L:$L,$G412,BASE!$J:$J,$C412,BASE!$A:$A,S$2)</f>
        <v>0</v>
      </c>
      <c r="T412" s="12">
        <f>SUMIFS(BASE!$G:$G,BASE!$B:$B,$B412,BASE!$L:$L,$G412,BASE!$J:$J,$C412,BASE!$A:$A,T$2)</f>
        <v>0</v>
      </c>
      <c r="U412" s="12">
        <f>SUMIFS(BASE!$G:$G,BASE!$B:$B,$B412,BASE!$L:$L,$G412,BASE!$J:$J,$C412,BASE!$A:$A,U$2)</f>
        <v>0</v>
      </c>
      <c r="V412" s="12">
        <f>SUMIFS(BASE!$G:$G,BASE!$B:$B,$B412,BASE!$L:$L,$G412,BASE!$J:$J,$C412,BASE!$A:$A,V$2)</f>
        <v>0</v>
      </c>
      <c r="X412" t="str">
        <f t="shared" si="13"/>
        <v>ZERADO</v>
      </c>
    </row>
    <row r="413" spans="2:24">
      <c r="B413" s="8" t="s">
        <v>990</v>
      </c>
      <c r="C413" s="9" t="s">
        <v>126</v>
      </c>
      <c r="D413" s="9" t="s">
        <v>991</v>
      </c>
      <c r="E413" s="9" t="s">
        <v>968</v>
      </c>
      <c r="F413" s="9" t="s">
        <v>992</v>
      </c>
      <c r="G413" s="9" t="s">
        <v>60</v>
      </c>
      <c r="H413" s="7" t="str">
        <f>IFERROR(IF(_xlfn.XLOOKUP(B413,REPASSE!D:D,REPASSE!D:D)="","Não","Sim"),"Não")</f>
        <v>Não</v>
      </c>
      <c r="I413" s="7" t="str">
        <f>IF(_xlfn.XLOOKUP(B413,'BOOST LIBERADO'!B:B,'BOOST LIBERADO'!B:B,"Não")="Não","Não","Sim")</f>
        <v>Sim</v>
      </c>
      <c r="J413" s="83" t="str">
        <f t="shared" si="12"/>
        <v>Sim</v>
      </c>
      <c r="K413" s="12">
        <f>SUMIFS(BASE!$G:$G,BASE!$B:$B,$B413,BASE!$L:$L,$G413,BASE!$J:$J,$C413,BASE!$A:$A,K$2)</f>
        <v>0</v>
      </c>
      <c r="L413" s="12">
        <f>SUMIFS(BASE!$G:$G,BASE!$B:$B,$B413,BASE!$L:$L,$G413,BASE!$J:$J,$C413,BASE!$A:$A,L$2)</f>
        <v>0</v>
      </c>
      <c r="M413" s="12">
        <f>SUMIFS(BASE!$G:$G,BASE!$B:$B,$B413,BASE!$L:$L,$G413,BASE!$J:$J,$C413,BASE!$A:$A,M$2)</f>
        <v>0</v>
      </c>
      <c r="N413" s="12">
        <f>SUMIFS(BASE!$G:$G,BASE!$B:$B,$B413,BASE!$L:$L,$G413,BASE!$J:$J,$C413,BASE!$A:$A,N$2)</f>
        <v>0</v>
      </c>
      <c r="O413" s="12">
        <f>SUMIFS(BASE!$G:$G,BASE!$B:$B,$B413,BASE!$L:$L,$G413,BASE!$J:$J,$C413,BASE!$A:$A,O$2)</f>
        <v>0</v>
      </c>
      <c r="P413" s="12">
        <f>SUMIFS(BASE!$G:$G,BASE!$B:$B,$B413,BASE!$L:$L,$G413,BASE!$J:$J,$C413,BASE!$A:$A,P$2)</f>
        <v>0</v>
      </c>
      <c r="Q413" s="12">
        <f>SUMIFS(BASE!$G:$G,BASE!$B:$B,$B413,BASE!$L:$L,$G413,BASE!$J:$J,$C413,BASE!$A:$A,Q$2)</f>
        <v>0</v>
      </c>
      <c r="R413" s="12">
        <f>SUMIFS(BASE!$G:$G,BASE!$B:$B,$B413,BASE!$L:$L,$G413,BASE!$J:$J,$C413,BASE!$A:$A,R$2)</f>
        <v>1</v>
      </c>
      <c r="S413" s="12">
        <f>SUMIFS(BASE!$G:$G,BASE!$B:$B,$B413,BASE!$L:$L,$G413,BASE!$J:$J,$C413,BASE!$A:$A,S$2)</f>
        <v>0</v>
      </c>
      <c r="T413" s="12">
        <f>SUMIFS(BASE!$G:$G,BASE!$B:$B,$B413,BASE!$L:$L,$G413,BASE!$J:$J,$C413,BASE!$A:$A,T$2)</f>
        <v>0</v>
      </c>
      <c r="U413" s="12">
        <f>SUMIFS(BASE!$G:$G,BASE!$B:$B,$B413,BASE!$L:$L,$G413,BASE!$J:$J,$C413,BASE!$A:$A,U$2)</f>
        <v>0</v>
      </c>
      <c r="V413" s="12">
        <f>SUMIFS(BASE!$G:$G,BASE!$B:$B,$B413,BASE!$L:$L,$G413,BASE!$J:$J,$C413,BASE!$A:$A,V$2)</f>
        <v>0</v>
      </c>
      <c r="X413" t="str">
        <f t="shared" si="13"/>
        <v>COM TROCAS</v>
      </c>
    </row>
    <row r="414" spans="2:24">
      <c r="B414" s="8" t="s">
        <v>993</v>
      </c>
      <c r="C414" s="9" t="s">
        <v>232</v>
      </c>
      <c r="D414" s="9" t="s">
        <v>991</v>
      </c>
      <c r="E414" s="9" t="s">
        <v>968</v>
      </c>
      <c r="F414" s="9" t="s">
        <v>992</v>
      </c>
      <c r="G414" s="9" t="s">
        <v>60</v>
      </c>
      <c r="H414" s="7" t="str">
        <f>IFERROR(IF(_xlfn.XLOOKUP(B414,REPASSE!D:D,REPASSE!D:D)="","Não","Sim"),"Não")</f>
        <v>Não</v>
      </c>
      <c r="I414" s="7" t="str">
        <f>IF(_xlfn.XLOOKUP(B414,'BOOST LIBERADO'!B:B,'BOOST LIBERADO'!B:B,"Não")="Não","Não","Sim")</f>
        <v>Sim</v>
      </c>
      <c r="J414" s="83" t="str">
        <f t="shared" si="12"/>
        <v>Sim</v>
      </c>
      <c r="K414" s="12">
        <f>SUMIFS(BASE!$G:$G,BASE!$B:$B,$B414,BASE!$L:$L,$G414,BASE!$J:$J,$C414,BASE!$A:$A,K$2)</f>
        <v>13</v>
      </c>
      <c r="L414" s="12">
        <f>SUMIFS(BASE!$G:$G,BASE!$B:$B,$B414,BASE!$L:$L,$G414,BASE!$J:$J,$C414,BASE!$A:$A,L$2)</f>
        <v>9</v>
      </c>
      <c r="M414" s="12">
        <f>SUMIFS(BASE!$G:$G,BASE!$B:$B,$B414,BASE!$L:$L,$G414,BASE!$J:$J,$C414,BASE!$A:$A,M$2)</f>
        <v>14</v>
      </c>
      <c r="N414" s="12">
        <f>SUMIFS(BASE!$G:$G,BASE!$B:$B,$B414,BASE!$L:$L,$G414,BASE!$J:$J,$C414,BASE!$A:$A,N$2)</f>
        <v>9</v>
      </c>
      <c r="O414" s="12">
        <f>SUMIFS(BASE!$G:$G,BASE!$B:$B,$B414,BASE!$L:$L,$G414,BASE!$J:$J,$C414,BASE!$A:$A,O$2)</f>
        <v>7</v>
      </c>
      <c r="P414" s="12">
        <f>SUMIFS(BASE!$G:$G,BASE!$B:$B,$B414,BASE!$L:$L,$G414,BASE!$J:$J,$C414,BASE!$A:$A,P$2)</f>
        <v>9</v>
      </c>
      <c r="Q414" s="12">
        <f>SUMIFS(BASE!$G:$G,BASE!$B:$B,$B414,BASE!$L:$L,$G414,BASE!$J:$J,$C414,BASE!$A:$A,Q$2)</f>
        <v>15</v>
      </c>
      <c r="R414" s="12">
        <f>SUMIFS(BASE!$G:$G,BASE!$B:$B,$B414,BASE!$L:$L,$G414,BASE!$J:$J,$C414,BASE!$A:$A,R$2)</f>
        <v>13</v>
      </c>
      <c r="S414" s="12">
        <f>SUMIFS(BASE!$G:$G,BASE!$B:$B,$B414,BASE!$L:$L,$G414,BASE!$J:$J,$C414,BASE!$A:$A,S$2)</f>
        <v>0</v>
      </c>
      <c r="T414" s="12">
        <f>SUMIFS(BASE!$G:$G,BASE!$B:$B,$B414,BASE!$L:$L,$G414,BASE!$J:$J,$C414,BASE!$A:$A,T$2)</f>
        <v>0</v>
      </c>
      <c r="U414" s="12">
        <f>SUMIFS(BASE!$G:$G,BASE!$B:$B,$B414,BASE!$L:$L,$G414,BASE!$J:$J,$C414,BASE!$A:$A,U$2)</f>
        <v>0</v>
      </c>
      <c r="V414" s="12">
        <f>SUMIFS(BASE!$G:$G,BASE!$B:$B,$B414,BASE!$L:$L,$G414,BASE!$J:$J,$C414,BASE!$A:$A,V$2)</f>
        <v>0</v>
      </c>
      <c r="X414" t="str">
        <f t="shared" si="13"/>
        <v>COM TROCAS</v>
      </c>
    </row>
    <row r="415" spans="2:24">
      <c r="B415" s="8" t="s">
        <v>994</v>
      </c>
      <c r="C415" s="9" t="s">
        <v>151</v>
      </c>
      <c r="D415" s="9" t="s">
        <v>955</v>
      </c>
      <c r="E415" s="9" t="s">
        <v>947</v>
      </c>
      <c r="F415" s="9" t="s">
        <v>995</v>
      </c>
      <c r="G415" s="9" t="s">
        <v>60</v>
      </c>
      <c r="H415" s="7" t="str">
        <f>IFERROR(IF(_xlfn.XLOOKUP(B415,REPASSE!D:D,REPASSE!D:D)="","Não","Sim"),"Não")</f>
        <v>Não</v>
      </c>
      <c r="I415" s="7" t="str">
        <f>IF(_xlfn.XLOOKUP(B415,'BOOST LIBERADO'!B:B,'BOOST LIBERADO'!B:B,"Não")="Não","Não","Sim")</f>
        <v>Sim</v>
      </c>
      <c r="J415" s="83" t="str">
        <f t="shared" si="12"/>
        <v>Sim</v>
      </c>
      <c r="K415" s="12">
        <f>SUMIFS(BASE!$G:$G,BASE!$B:$B,$B415,BASE!$L:$L,$G415,BASE!$J:$J,$C415,BASE!$A:$A,K$2)</f>
        <v>0</v>
      </c>
      <c r="L415" s="12">
        <f>SUMIFS(BASE!$G:$G,BASE!$B:$B,$B415,BASE!$L:$L,$G415,BASE!$J:$J,$C415,BASE!$A:$A,L$2)</f>
        <v>0</v>
      </c>
      <c r="M415" s="12">
        <f>SUMIFS(BASE!$G:$G,BASE!$B:$B,$B415,BASE!$L:$L,$G415,BASE!$J:$J,$C415,BASE!$A:$A,M$2)</f>
        <v>0</v>
      </c>
      <c r="N415" s="12">
        <f>SUMIFS(BASE!$G:$G,BASE!$B:$B,$B415,BASE!$L:$L,$G415,BASE!$J:$J,$C415,BASE!$A:$A,N$2)</f>
        <v>0</v>
      </c>
      <c r="O415" s="12">
        <f>SUMIFS(BASE!$G:$G,BASE!$B:$B,$B415,BASE!$L:$L,$G415,BASE!$J:$J,$C415,BASE!$A:$A,O$2)</f>
        <v>0</v>
      </c>
      <c r="P415" s="12">
        <f>SUMIFS(BASE!$G:$G,BASE!$B:$B,$B415,BASE!$L:$L,$G415,BASE!$J:$J,$C415,BASE!$A:$A,P$2)</f>
        <v>0</v>
      </c>
      <c r="Q415" s="12">
        <f>SUMIFS(BASE!$G:$G,BASE!$B:$B,$B415,BASE!$L:$L,$G415,BASE!$J:$J,$C415,BASE!$A:$A,Q$2)</f>
        <v>0</v>
      </c>
      <c r="R415" s="12">
        <f>SUMIFS(BASE!$G:$G,BASE!$B:$B,$B415,BASE!$L:$L,$G415,BASE!$J:$J,$C415,BASE!$A:$A,R$2)</f>
        <v>0</v>
      </c>
      <c r="S415" s="12">
        <f>SUMIFS(BASE!$G:$G,BASE!$B:$B,$B415,BASE!$L:$L,$G415,BASE!$J:$J,$C415,BASE!$A:$A,S$2)</f>
        <v>0</v>
      </c>
      <c r="T415" s="12">
        <f>SUMIFS(BASE!$G:$G,BASE!$B:$B,$B415,BASE!$L:$L,$G415,BASE!$J:$J,$C415,BASE!$A:$A,T$2)</f>
        <v>0</v>
      </c>
      <c r="U415" s="12">
        <f>SUMIFS(BASE!$G:$G,BASE!$B:$B,$B415,BASE!$L:$L,$G415,BASE!$J:$J,$C415,BASE!$A:$A,U$2)</f>
        <v>0</v>
      </c>
      <c r="V415" s="12">
        <f>SUMIFS(BASE!$G:$G,BASE!$B:$B,$B415,BASE!$L:$L,$G415,BASE!$J:$J,$C415,BASE!$A:$A,V$2)</f>
        <v>0</v>
      </c>
      <c r="X415" t="str">
        <f t="shared" si="13"/>
        <v>ZERADO</v>
      </c>
    </row>
    <row r="416" spans="2:24">
      <c r="B416" s="8" t="s">
        <v>996</v>
      </c>
      <c r="C416" s="9" t="s">
        <v>164</v>
      </c>
      <c r="D416" s="9" t="s">
        <v>971</v>
      </c>
      <c r="E416" s="9" t="s">
        <v>972</v>
      </c>
      <c r="F416" s="9" t="s">
        <v>997</v>
      </c>
      <c r="G416" s="9" t="s">
        <v>60</v>
      </c>
      <c r="H416" s="7" t="str">
        <f>IFERROR(IF(_xlfn.XLOOKUP(B416,REPASSE!D:D,REPASSE!D:D)="","Não","Sim"),"Não")</f>
        <v>Não</v>
      </c>
      <c r="I416" s="7" t="str">
        <f>IF(_xlfn.XLOOKUP(B416,'BOOST LIBERADO'!B:B,'BOOST LIBERADO'!B:B,"Não")="Não","Não","Sim")</f>
        <v>Sim</v>
      </c>
      <c r="J416" s="83" t="str">
        <f t="shared" si="12"/>
        <v>Sim</v>
      </c>
      <c r="K416" s="12">
        <f>SUMIFS(BASE!$G:$G,BASE!$B:$B,$B416,BASE!$L:$L,$G416,BASE!$J:$J,$C416,BASE!$A:$A,K$2)</f>
        <v>0</v>
      </c>
      <c r="L416" s="12">
        <f>SUMIFS(BASE!$G:$G,BASE!$B:$B,$B416,BASE!$L:$L,$G416,BASE!$J:$J,$C416,BASE!$A:$A,L$2)</f>
        <v>0</v>
      </c>
      <c r="M416" s="12">
        <f>SUMIFS(BASE!$G:$G,BASE!$B:$B,$B416,BASE!$L:$L,$G416,BASE!$J:$J,$C416,BASE!$A:$A,M$2)</f>
        <v>0</v>
      </c>
      <c r="N416" s="12">
        <f>SUMIFS(BASE!$G:$G,BASE!$B:$B,$B416,BASE!$L:$L,$G416,BASE!$J:$J,$C416,BASE!$A:$A,N$2)</f>
        <v>0</v>
      </c>
      <c r="O416" s="12">
        <f>SUMIFS(BASE!$G:$G,BASE!$B:$B,$B416,BASE!$L:$L,$G416,BASE!$J:$J,$C416,BASE!$A:$A,O$2)</f>
        <v>0</v>
      </c>
      <c r="P416" s="12">
        <f>SUMIFS(BASE!$G:$G,BASE!$B:$B,$B416,BASE!$L:$L,$G416,BASE!$J:$J,$C416,BASE!$A:$A,P$2)</f>
        <v>0</v>
      </c>
      <c r="Q416" s="12">
        <f>SUMIFS(BASE!$G:$G,BASE!$B:$B,$B416,BASE!$L:$L,$G416,BASE!$J:$J,$C416,BASE!$A:$A,Q$2)</f>
        <v>0</v>
      </c>
      <c r="R416" s="12">
        <f>SUMIFS(BASE!$G:$G,BASE!$B:$B,$B416,BASE!$L:$L,$G416,BASE!$J:$J,$C416,BASE!$A:$A,R$2)</f>
        <v>1</v>
      </c>
      <c r="S416" s="12">
        <f>SUMIFS(BASE!$G:$G,BASE!$B:$B,$B416,BASE!$L:$L,$G416,BASE!$J:$J,$C416,BASE!$A:$A,S$2)</f>
        <v>0</v>
      </c>
      <c r="T416" s="12">
        <f>SUMIFS(BASE!$G:$G,BASE!$B:$B,$B416,BASE!$L:$L,$G416,BASE!$J:$J,$C416,BASE!$A:$A,T$2)</f>
        <v>0</v>
      </c>
      <c r="U416" s="12">
        <f>SUMIFS(BASE!$G:$G,BASE!$B:$B,$B416,BASE!$L:$L,$G416,BASE!$J:$J,$C416,BASE!$A:$A,U$2)</f>
        <v>0</v>
      </c>
      <c r="V416" s="12">
        <f>SUMIFS(BASE!$G:$G,BASE!$B:$B,$B416,BASE!$L:$L,$G416,BASE!$J:$J,$C416,BASE!$A:$A,V$2)</f>
        <v>0</v>
      </c>
      <c r="X416" t="str">
        <f t="shared" si="13"/>
        <v>COM TROCAS</v>
      </c>
    </row>
    <row r="417" spans="2:24">
      <c r="B417" s="8" t="s">
        <v>998</v>
      </c>
      <c r="C417" s="9" t="s">
        <v>101</v>
      </c>
      <c r="D417" s="9" t="s">
        <v>967</v>
      </c>
      <c r="E417" s="9" t="s">
        <v>968</v>
      </c>
      <c r="F417" s="9" t="s">
        <v>992</v>
      </c>
      <c r="G417" s="9" t="s">
        <v>60</v>
      </c>
      <c r="H417" s="7" t="str">
        <f>IFERROR(IF(_xlfn.XLOOKUP(B417,REPASSE!D:D,REPASSE!D:D)="","Não","Sim"),"Não")</f>
        <v>Não</v>
      </c>
      <c r="I417" s="7" t="str">
        <f>IF(_xlfn.XLOOKUP(B417,'BOOST LIBERADO'!B:B,'BOOST LIBERADO'!B:B,"Não")="Não","Não","Sim")</f>
        <v>Sim</v>
      </c>
      <c r="J417" s="83" t="str">
        <f t="shared" si="12"/>
        <v>Sim</v>
      </c>
      <c r="K417" s="12">
        <f>SUMIFS(BASE!$G:$G,BASE!$B:$B,$B417,BASE!$L:$L,$G417,BASE!$J:$J,$C417,BASE!$A:$A,K$2)</f>
        <v>0</v>
      </c>
      <c r="L417" s="12">
        <f>SUMIFS(BASE!$G:$G,BASE!$B:$B,$B417,BASE!$L:$L,$G417,BASE!$J:$J,$C417,BASE!$A:$A,L$2)</f>
        <v>0</v>
      </c>
      <c r="M417" s="12">
        <f>SUMIFS(BASE!$G:$G,BASE!$B:$B,$B417,BASE!$L:$L,$G417,BASE!$J:$J,$C417,BASE!$A:$A,M$2)</f>
        <v>0</v>
      </c>
      <c r="N417" s="12">
        <f>SUMIFS(BASE!$G:$G,BASE!$B:$B,$B417,BASE!$L:$L,$G417,BASE!$J:$J,$C417,BASE!$A:$A,N$2)</f>
        <v>0</v>
      </c>
      <c r="O417" s="12">
        <f>SUMIFS(BASE!$G:$G,BASE!$B:$B,$B417,BASE!$L:$L,$G417,BASE!$J:$J,$C417,BASE!$A:$A,O$2)</f>
        <v>0</v>
      </c>
      <c r="P417" s="12">
        <f>SUMIFS(BASE!$G:$G,BASE!$B:$B,$B417,BASE!$L:$L,$G417,BASE!$J:$J,$C417,BASE!$A:$A,P$2)</f>
        <v>0</v>
      </c>
      <c r="Q417" s="12">
        <f>SUMIFS(BASE!$G:$G,BASE!$B:$B,$B417,BASE!$L:$L,$G417,BASE!$J:$J,$C417,BASE!$A:$A,Q$2)</f>
        <v>0</v>
      </c>
      <c r="R417" s="12">
        <f>SUMIFS(BASE!$G:$G,BASE!$B:$B,$B417,BASE!$L:$L,$G417,BASE!$J:$J,$C417,BASE!$A:$A,R$2)</f>
        <v>0</v>
      </c>
      <c r="S417" s="12">
        <f>SUMIFS(BASE!$G:$G,BASE!$B:$B,$B417,BASE!$L:$L,$G417,BASE!$J:$J,$C417,BASE!$A:$A,S$2)</f>
        <v>0</v>
      </c>
      <c r="T417" s="12">
        <f>SUMIFS(BASE!$G:$G,BASE!$B:$B,$B417,BASE!$L:$L,$G417,BASE!$J:$J,$C417,BASE!$A:$A,T$2)</f>
        <v>0</v>
      </c>
      <c r="U417" s="12">
        <f>SUMIFS(BASE!$G:$G,BASE!$B:$B,$B417,BASE!$L:$L,$G417,BASE!$J:$J,$C417,BASE!$A:$A,U$2)</f>
        <v>0</v>
      </c>
      <c r="V417" s="12">
        <f>SUMIFS(BASE!$G:$G,BASE!$B:$B,$B417,BASE!$L:$L,$G417,BASE!$J:$J,$C417,BASE!$A:$A,V$2)</f>
        <v>0</v>
      </c>
      <c r="X417" t="str">
        <f t="shared" si="13"/>
        <v>ZERADO</v>
      </c>
    </row>
    <row r="418" spans="2:24">
      <c r="B418" s="8" t="s">
        <v>999</v>
      </c>
      <c r="C418" s="9" t="s">
        <v>232</v>
      </c>
      <c r="D418" s="9" t="s">
        <v>1000</v>
      </c>
      <c r="E418" s="9" t="s">
        <v>1001</v>
      </c>
      <c r="F418" s="9" t="s">
        <v>1002</v>
      </c>
      <c r="G418" s="9" t="s">
        <v>60</v>
      </c>
      <c r="H418" s="7" t="str">
        <f>IFERROR(IF(_xlfn.XLOOKUP(B418,REPASSE!D:D,REPASSE!D:D)="","Não","Sim"),"Não")</f>
        <v>Não</v>
      </c>
      <c r="I418" s="7" t="str">
        <f>IF(_xlfn.XLOOKUP(B418,'BOOST LIBERADO'!B:B,'BOOST LIBERADO'!B:B,"Não")="Não","Não","Sim")</f>
        <v>Sim</v>
      </c>
      <c r="J418" s="83" t="str">
        <f t="shared" si="12"/>
        <v>Sim</v>
      </c>
      <c r="K418" s="12">
        <f>SUMIFS(BASE!$G:$G,BASE!$B:$B,$B418,BASE!$L:$L,$G418,BASE!$J:$J,$C418,BASE!$A:$A,K$2)</f>
        <v>0</v>
      </c>
      <c r="L418" s="12">
        <f>SUMIFS(BASE!$G:$G,BASE!$B:$B,$B418,BASE!$L:$L,$G418,BASE!$J:$J,$C418,BASE!$A:$A,L$2)</f>
        <v>0</v>
      </c>
      <c r="M418" s="12">
        <f>SUMIFS(BASE!$G:$G,BASE!$B:$B,$B418,BASE!$L:$L,$G418,BASE!$J:$J,$C418,BASE!$A:$A,M$2)</f>
        <v>1</v>
      </c>
      <c r="N418" s="12">
        <f>SUMIFS(BASE!$G:$G,BASE!$B:$B,$B418,BASE!$L:$L,$G418,BASE!$J:$J,$C418,BASE!$A:$A,N$2)</f>
        <v>1</v>
      </c>
      <c r="O418" s="12">
        <f>SUMIFS(BASE!$G:$G,BASE!$B:$B,$B418,BASE!$L:$L,$G418,BASE!$J:$J,$C418,BASE!$A:$A,O$2)</f>
        <v>0</v>
      </c>
      <c r="P418" s="12">
        <f>SUMIFS(BASE!$G:$G,BASE!$B:$B,$B418,BASE!$L:$L,$G418,BASE!$J:$J,$C418,BASE!$A:$A,P$2)</f>
        <v>0</v>
      </c>
      <c r="Q418" s="12">
        <f>SUMIFS(BASE!$G:$G,BASE!$B:$B,$B418,BASE!$L:$L,$G418,BASE!$J:$J,$C418,BASE!$A:$A,Q$2)</f>
        <v>2</v>
      </c>
      <c r="R418" s="12">
        <f>SUMIFS(BASE!$G:$G,BASE!$B:$B,$B418,BASE!$L:$L,$G418,BASE!$J:$J,$C418,BASE!$A:$A,R$2)</f>
        <v>3</v>
      </c>
      <c r="S418" s="12">
        <f>SUMIFS(BASE!$G:$G,BASE!$B:$B,$B418,BASE!$L:$L,$G418,BASE!$J:$J,$C418,BASE!$A:$A,S$2)</f>
        <v>0</v>
      </c>
      <c r="T418" s="12">
        <f>SUMIFS(BASE!$G:$G,BASE!$B:$B,$B418,BASE!$L:$L,$G418,BASE!$J:$J,$C418,BASE!$A:$A,T$2)</f>
        <v>0</v>
      </c>
      <c r="U418" s="12">
        <f>SUMIFS(BASE!$G:$G,BASE!$B:$B,$B418,BASE!$L:$L,$G418,BASE!$J:$J,$C418,BASE!$A:$A,U$2)</f>
        <v>0</v>
      </c>
      <c r="V418" s="12">
        <f>SUMIFS(BASE!$G:$G,BASE!$B:$B,$B418,BASE!$L:$L,$G418,BASE!$J:$J,$C418,BASE!$A:$A,V$2)</f>
        <v>0</v>
      </c>
      <c r="X418" t="str">
        <f t="shared" si="13"/>
        <v>COM TROCAS</v>
      </c>
    </row>
    <row r="419" spans="2:24">
      <c r="B419" s="8" t="s">
        <v>1003</v>
      </c>
      <c r="C419" s="9" t="s">
        <v>236</v>
      </c>
      <c r="D419" s="9" t="s">
        <v>938</v>
      </c>
      <c r="E419" s="9" t="s">
        <v>939</v>
      </c>
      <c r="F419" s="9" t="s">
        <v>950</v>
      </c>
      <c r="G419" s="9" t="s">
        <v>60</v>
      </c>
      <c r="H419" s="7" t="str">
        <f>IFERROR(IF(_xlfn.XLOOKUP(B419,REPASSE!D:D,REPASSE!D:D)="","Não","Sim"),"Não")</f>
        <v>Não</v>
      </c>
      <c r="I419" s="7" t="str">
        <f>IF(_xlfn.XLOOKUP(B419,'BOOST LIBERADO'!B:B,'BOOST LIBERADO'!B:B,"Não")="Não","Não","Sim")</f>
        <v>Sim</v>
      </c>
      <c r="J419" s="83" t="str">
        <f t="shared" si="12"/>
        <v>Sim</v>
      </c>
      <c r="K419" s="12">
        <f>SUMIFS(BASE!$G:$G,BASE!$B:$B,$B419,BASE!$L:$L,$G419,BASE!$J:$J,$C419,BASE!$A:$A,K$2)</f>
        <v>0</v>
      </c>
      <c r="L419" s="12">
        <f>SUMIFS(BASE!$G:$G,BASE!$B:$B,$B419,BASE!$L:$L,$G419,BASE!$J:$J,$C419,BASE!$A:$A,L$2)</f>
        <v>0</v>
      </c>
      <c r="M419" s="12">
        <f>SUMIFS(BASE!$G:$G,BASE!$B:$B,$B419,BASE!$L:$L,$G419,BASE!$J:$J,$C419,BASE!$A:$A,M$2)</f>
        <v>0</v>
      </c>
      <c r="N419" s="12">
        <f>SUMIFS(BASE!$G:$G,BASE!$B:$B,$B419,BASE!$L:$L,$G419,BASE!$J:$J,$C419,BASE!$A:$A,N$2)</f>
        <v>0</v>
      </c>
      <c r="O419" s="12">
        <f>SUMIFS(BASE!$G:$G,BASE!$B:$B,$B419,BASE!$L:$L,$G419,BASE!$J:$J,$C419,BASE!$A:$A,O$2)</f>
        <v>0</v>
      </c>
      <c r="P419" s="12">
        <f>SUMIFS(BASE!$G:$G,BASE!$B:$B,$B419,BASE!$L:$L,$G419,BASE!$J:$J,$C419,BASE!$A:$A,P$2)</f>
        <v>0</v>
      </c>
      <c r="Q419" s="12">
        <f>SUMIFS(BASE!$G:$G,BASE!$B:$B,$B419,BASE!$L:$L,$G419,BASE!$J:$J,$C419,BASE!$A:$A,Q$2)</f>
        <v>0</v>
      </c>
      <c r="R419" s="12">
        <f>SUMIFS(BASE!$G:$G,BASE!$B:$B,$B419,BASE!$L:$L,$G419,BASE!$J:$J,$C419,BASE!$A:$A,R$2)</f>
        <v>1</v>
      </c>
      <c r="S419" s="12">
        <f>SUMIFS(BASE!$G:$G,BASE!$B:$B,$B419,BASE!$L:$L,$G419,BASE!$J:$J,$C419,BASE!$A:$A,S$2)</f>
        <v>0</v>
      </c>
      <c r="T419" s="12">
        <f>SUMIFS(BASE!$G:$G,BASE!$B:$B,$B419,BASE!$L:$L,$G419,BASE!$J:$J,$C419,BASE!$A:$A,T$2)</f>
        <v>0</v>
      </c>
      <c r="U419" s="12">
        <f>SUMIFS(BASE!$G:$G,BASE!$B:$B,$B419,BASE!$L:$L,$G419,BASE!$J:$J,$C419,BASE!$A:$A,U$2)</f>
        <v>0</v>
      </c>
      <c r="V419" s="12">
        <f>SUMIFS(BASE!$G:$G,BASE!$B:$B,$B419,BASE!$L:$L,$G419,BASE!$J:$J,$C419,BASE!$A:$A,V$2)</f>
        <v>0</v>
      </c>
      <c r="X419" t="str">
        <f t="shared" si="13"/>
        <v>COM TROCAS</v>
      </c>
    </row>
    <row r="420" spans="2:24">
      <c r="B420" s="8" t="s">
        <v>1004</v>
      </c>
      <c r="C420" s="9" t="s">
        <v>151</v>
      </c>
      <c r="D420" s="9" t="s">
        <v>955</v>
      </c>
      <c r="E420" s="9" t="s">
        <v>947</v>
      </c>
      <c r="F420" s="9" t="s">
        <v>1005</v>
      </c>
      <c r="G420" s="9" t="s">
        <v>60</v>
      </c>
      <c r="H420" s="7" t="str">
        <f>IFERROR(IF(_xlfn.XLOOKUP(B420,REPASSE!D:D,REPASSE!D:D)="","Não","Sim"),"Não")</f>
        <v>Não</v>
      </c>
      <c r="I420" s="7" t="str">
        <f>IF(_xlfn.XLOOKUP(B420,'BOOST LIBERADO'!B:B,'BOOST LIBERADO'!B:B,"Não")="Não","Não","Sim")</f>
        <v>Sim</v>
      </c>
      <c r="J420" s="83" t="str">
        <f t="shared" si="12"/>
        <v>Sim</v>
      </c>
      <c r="K420" s="12">
        <f>SUMIFS(BASE!$G:$G,BASE!$B:$B,$B420,BASE!$L:$L,$G420,BASE!$J:$J,$C420,BASE!$A:$A,K$2)</f>
        <v>0</v>
      </c>
      <c r="L420" s="12">
        <f>SUMIFS(BASE!$G:$G,BASE!$B:$B,$B420,BASE!$L:$L,$G420,BASE!$J:$J,$C420,BASE!$A:$A,L$2)</f>
        <v>0</v>
      </c>
      <c r="M420" s="12">
        <f>SUMIFS(BASE!$G:$G,BASE!$B:$B,$B420,BASE!$L:$L,$G420,BASE!$J:$J,$C420,BASE!$A:$A,M$2)</f>
        <v>0</v>
      </c>
      <c r="N420" s="12">
        <f>SUMIFS(BASE!$G:$G,BASE!$B:$B,$B420,BASE!$L:$L,$G420,BASE!$J:$J,$C420,BASE!$A:$A,N$2)</f>
        <v>0</v>
      </c>
      <c r="O420" s="12">
        <f>SUMIFS(BASE!$G:$G,BASE!$B:$B,$B420,BASE!$L:$L,$G420,BASE!$J:$J,$C420,BASE!$A:$A,O$2)</f>
        <v>0</v>
      </c>
      <c r="P420" s="12">
        <f>SUMIFS(BASE!$G:$G,BASE!$B:$B,$B420,BASE!$L:$L,$G420,BASE!$J:$J,$C420,BASE!$A:$A,P$2)</f>
        <v>0</v>
      </c>
      <c r="Q420" s="12">
        <f>SUMIFS(BASE!$G:$G,BASE!$B:$B,$B420,BASE!$L:$L,$G420,BASE!$J:$J,$C420,BASE!$A:$A,Q$2)</f>
        <v>0</v>
      </c>
      <c r="R420" s="12">
        <f>SUMIFS(BASE!$G:$G,BASE!$B:$B,$B420,BASE!$L:$L,$G420,BASE!$J:$J,$C420,BASE!$A:$A,R$2)</f>
        <v>0</v>
      </c>
      <c r="S420" s="12">
        <f>SUMIFS(BASE!$G:$G,BASE!$B:$B,$B420,BASE!$L:$L,$G420,BASE!$J:$J,$C420,BASE!$A:$A,S$2)</f>
        <v>0</v>
      </c>
      <c r="T420" s="12">
        <f>SUMIFS(BASE!$G:$G,BASE!$B:$B,$B420,BASE!$L:$L,$G420,BASE!$J:$J,$C420,BASE!$A:$A,T$2)</f>
        <v>0</v>
      </c>
      <c r="U420" s="12">
        <f>SUMIFS(BASE!$G:$G,BASE!$B:$B,$B420,BASE!$L:$L,$G420,BASE!$J:$J,$C420,BASE!$A:$A,U$2)</f>
        <v>0</v>
      </c>
      <c r="V420" s="12">
        <f>SUMIFS(BASE!$G:$G,BASE!$B:$B,$B420,BASE!$L:$L,$G420,BASE!$J:$J,$C420,BASE!$A:$A,V$2)</f>
        <v>0</v>
      </c>
      <c r="X420" t="str">
        <f t="shared" si="13"/>
        <v>ZERADO</v>
      </c>
    </row>
    <row r="421" spans="2:24">
      <c r="B421" s="8" t="s">
        <v>1006</v>
      </c>
      <c r="C421" s="9" t="s">
        <v>184</v>
      </c>
      <c r="D421" s="9" t="s">
        <v>946</v>
      </c>
      <c r="E421" s="9" t="s">
        <v>947</v>
      </c>
      <c r="F421" s="9" t="s">
        <v>1007</v>
      </c>
      <c r="G421" s="9" t="s">
        <v>60</v>
      </c>
      <c r="H421" s="7" t="str">
        <f>IFERROR(IF(_xlfn.XLOOKUP(B421,REPASSE!D:D,REPASSE!D:D)="","Não","Sim"),"Não")</f>
        <v>Não</v>
      </c>
      <c r="I421" s="7" t="str">
        <f>IF(_xlfn.XLOOKUP(B421,'BOOST LIBERADO'!B:B,'BOOST LIBERADO'!B:B,"Não")="Não","Não","Sim")</f>
        <v>Sim</v>
      </c>
      <c r="J421" s="83" t="str">
        <f t="shared" si="12"/>
        <v>Sim</v>
      </c>
      <c r="K421" s="12">
        <f>SUMIFS(BASE!$G:$G,BASE!$B:$B,$B421,BASE!$L:$L,$G421,BASE!$J:$J,$C421,BASE!$A:$A,K$2)</f>
        <v>0</v>
      </c>
      <c r="L421" s="12">
        <f>SUMIFS(BASE!$G:$G,BASE!$B:$B,$B421,BASE!$L:$L,$G421,BASE!$J:$J,$C421,BASE!$A:$A,L$2)</f>
        <v>0</v>
      </c>
      <c r="M421" s="12">
        <f>SUMIFS(BASE!$G:$G,BASE!$B:$B,$B421,BASE!$L:$L,$G421,BASE!$J:$J,$C421,BASE!$A:$A,M$2)</f>
        <v>0</v>
      </c>
      <c r="N421" s="12">
        <f>SUMIFS(BASE!$G:$G,BASE!$B:$B,$B421,BASE!$L:$L,$G421,BASE!$J:$J,$C421,BASE!$A:$A,N$2)</f>
        <v>0</v>
      </c>
      <c r="O421" s="12">
        <f>SUMIFS(BASE!$G:$G,BASE!$B:$B,$B421,BASE!$L:$L,$G421,BASE!$J:$J,$C421,BASE!$A:$A,O$2)</f>
        <v>0</v>
      </c>
      <c r="P421" s="12">
        <f>SUMIFS(BASE!$G:$G,BASE!$B:$B,$B421,BASE!$L:$L,$G421,BASE!$J:$J,$C421,BASE!$A:$A,P$2)</f>
        <v>0</v>
      </c>
      <c r="Q421" s="12">
        <f>SUMIFS(BASE!$G:$G,BASE!$B:$B,$B421,BASE!$L:$L,$G421,BASE!$J:$J,$C421,BASE!$A:$A,Q$2)</f>
        <v>0</v>
      </c>
      <c r="R421" s="12">
        <f>SUMIFS(BASE!$G:$G,BASE!$B:$B,$B421,BASE!$L:$L,$G421,BASE!$J:$J,$C421,BASE!$A:$A,R$2)</f>
        <v>0</v>
      </c>
      <c r="S421" s="12">
        <f>SUMIFS(BASE!$G:$G,BASE!$B:$B,$B421,BASE!$L:$L,$G421,BASE!$J:$J,$C421,BASE!$A:$A,S$2)</f>
        <v>0</v>
      </c>
      <c r="T421" s="12">
        <f>SUMIFS(BASE!$G:$G,BASE!$B:$B,$B421,BASE!$L:$L,$G421,BASE!$J:$J,$C421,BASE!$A:$A,T$2)</f>
        <v>0</v>
      </c>
      <c r="U421" s="12">
        <f>SUMIFS(BASE!$G:$G,BASE!$B:$B,$B421,BASE!$L:$L,$G421,BASE!$J:$J,$C421,BASE!$A:$A,U$2)</f>
        <v>0</v>
      </c>
      <c r="V421" s="12">
        <f>SUMIFS(BASE!$G:$G,BASE!$B:$B,$B421,BASE!$L:$L,$G421,BASE!$J:$J,$C421,BASE!$A:$A,V$2)</f>
        <v>0</v>
      </c>
      <c r="X421" t="str">
        <f t="shared" si="13"/>
        <v>ZERADO</v>
      </c>
    </row>
    <row r="422" spans="2:24">
      <c r="B422" s="8" t="s">
        <v>1008</v>
      </c>
      <c r="C422" s="9" t="s">
        <v>199</v>
      </c>
      <c r="D422" s="9" t="s">
        <v>987</v>
      </c>
      <c r="E422" s="9" t="s">
        <v>939</v>
      </c>
      <c r="F422" s="9" t="s">
        <v>1009</v>
      </c>
      <c r="G422" s="9" t="s">
        <v>60</v>
      </c>
      <c r="H422" s="7" t="str">
        <f>IFERROR(IF(_xlfn.XLOOKUP(B422,REPASSE!D:D,REPASSE!D:D)="","Não","Sim"),"Não")</f>
        <v>Não</v>
      </c>
      <c r="I422" s="7" t="str">
        <f>IF(_xlfn.XLOOKUP(B422,'BOOST LIBERADO'!B:B,'BOOST LIBERADO'!B:B,"Não")="Não","Não","Sim")</f>
        <v>Sim</v>
      </c>
      <c r="J422" s="83" t="str">
        <f t="shared" si="12"/>
        <v>Sim</v>
      </c>
      <c r="K422" s="12">
        <f>SUMIFS(BASE!$G:$G,BASE!$B:$B,$B422,BASE!$L:$L,$G422,BASE!$J:$J,$C422,BASE!$A:$A,K$2)</f>
        <v>0</v>
      </c>
      <c r="L422" s="12">
        <f>SUMIFS(BASE!$G:$G,BASE!$B:$B,$B422,BASE!$L:$L,$G422,BASE!$J:$J,$C422,BASE!$A:$A,L$2)</f>
        <v>0</v>
      </c>
      <c r="M422" s="12">
        <f>SUMIFS(BASE!$G:$G,BASE!$B:$B,$B422,BASE!$L:$L,$G422,BASE!$J:$J,$C422,BASE!$A:$A,M$2)</f>
        <v>0</v>
      </c>
      <c r="N422" s="12">
        <f>SUMIFS(BASE!$G:$G,BASE!$B:$B,$B422,BASE!$L:$L,$G422,BASE!$J:$J,$C422,BASE!$A:$A,N$2)</f>
        <v>0</v>
      </c>
      <c r="O422" s="12">
        <f>SUMIFS(BASE!$G:$G,BASE!$B:$B,$B422,BASE!$L:$L,$G422,BASE!$J:$J,$C422,BASE!$A:$A,O$2)</f>
        <v>0</v>
      </c>
      <c r="P422" s="12">
        <f>SUMIFS(BASE!$G:$G,BASE!$B:$B,$B422,BASE!$L:$L,$G422,BASE!$J:$J,$C422,BASE!$A:$A,P$2)</f>
        <v>0</v>
      </c>
      <c r="Q422" s="12">
        <f>SUMIFS(BASE!$G:$G,BASE!$B:$B,$B422,BASE!$L:$L,$G422,BASE!$J:$J,$C422,BASE!$A:$A,Q$2)</f>
        <v>0</v>
      </c>
      <c r="R422" s="12">
        <f>SUMIFS(BASE!$G:$G,BASE!$B:$B,$B422,BASE!$L:$L,$G422,BASE!$J:$J,$C422,BASE!$A:$A,R$2)</f>
        <v>0</v>
      </c>
      <c r="S422" s="12">
        <f>SUMIFS(BASE!$G:$G,BASE!$B:$B,$B422,BASE!$L:$L,$G422,BASE!$J:$J,$C422,BASE!$A:$A,S$2)</f>
        <v>0</v>
      </c>
      <c r="T422" s="12">
        <f>SUMIFS(BASE!$G:$G,BASE!$B:$B,$B422,BASE!$L:$L,$G422,BASE!$J:$J,$C422,BASE!$A:$A,T$2)</f>
        <v>0</v>
      </c>
      <c r="U422" s="12">
        <f>SUMIFS(BASE!$G:$G,BASE!$B:$B,$B422,BASE!$L:$L,$G422,BASE!$J:$J,$C422,BASE!$A:$A,U$2)</f>
        <v>0</v>
      </c>
      <c r="V422" s="12">
        <f>SUMIFS(BASE!$G:$G,BASE!$B:$B,$B422,BASE!$L:$L,$G422,BASE!$J:$J,$C422,BASE!$A:$A,V$2)</f>
        <v>0</v>
      </c>
      <c r="X422" t="str">
        <f t="shared" si="13"/>
        <v>ZERADO</v>
      </c>
    </row>
    <row r="423" spans="2:24">
      <c r="B423" s="8" t="s">
        <v>1010</v>
      </c>
      <c r="C423" s="9" t="s">
        <v>126</v>
      </c>
      <c r="D423" s="9" t="s">
        <v>991</v>
      </c>
      <c r="E423" s="9" t="s">
        <v>968</v>
      </c>
      <c r="F423" s="9" t="s">
        <v>1011</v>
      </c>
      <c r="G423" s="9" t="s">
        <v>60</v>
      </c>
      <c r="H423" s="7" t="str">
        <f>IFERROR(IF(_xlfn.XLOOKUP(B423,REPASSE!D:D,REPASSE!D:D)="","Não","Sim"),"Não")</f>
        <v>Não</v>
      </c>
      <c r="I423" s="7" t="str">
        <f>IF(_xlfn.XLOOKUP(B423,'BOOST LIBERADO'!B:B,'BOOST LIBERADO'!B:B,"Não")="Não","Não","Sim")</f>
        <v>Sim</v>
      </c>
      <c r="J423" s="83" t="str">
        <f t="shared" si="12"/>
        <v>Sim</v>
      </c>
      <c r="K423" s="12">
        <f>SUMIFS(BASE!$G:$G,BASE!$B:$B,$B423,BASE!$L:$L,$G423,BASE!$J:$J,$C423,BASE!$A:$A,K$2)</f>
        <v>0</v>
      </c>
      <c r="L423" s="12">
        <f>SUMIFS(BASE!$G:$G,BASE!$B:$B,$B423,BASE!$L:$L,$G423,BASE!$J:$J,$C423,BASE!$A:$A,L$2)</f>
        <v>0</v>
      </c>
      <c r="M423" s="12">
        <f>SUMIFS(BASE!$G:$G,BASE!$B:$B,$B423,BASE!$L:$L,$G423,BASE!$J:$J,$C423,BASE!$A:$A,M$2)</f>
        <v>0</v>
      </c>
      <c r="N423" s="12">
        <f>SUMIFS(BASE!$G:$G,BASE!$B:$B,$B423,BASE!$L:$L,$G423,BASE!$J:$J,$C423,BASE!$A:$A,N$2)</f>
        <v>0</v>
      </c>
      <c r="O423" s="12">
        <f>SUMIFS(BASE!$G:$G,BASE!$B:$B,$B423,BASE!$L:$L,$G423,BASE!$J:$J,$C423,BASE!$A:$A,O$2)</f>
        <v>0</v>
      </c>
      <c r="P423" s="12">
        <f>SUMIFS(BASE!$G:$G,BASE!$B:$B,$B423,BASE!$L:$L,$G423,BASE!$J:$J,$C423,BASE!$A:$A,P$2)</f>
        <v>0</v>
      </c>
      <c r="Q423" s="12">
        <f>SUMIFS(BASE!$G:$G,BASE!$B:$B,$B423,BASE!$L:$L,$G423,BASE!$J:$J,$C423,BASE!$A:$A,Q$2)</f>
        <v>0</v>
      </c>
      <c r="R423" s="12">
        <f>SUMIFS(BASE!$G:$G,BASE!$B:$B,$B423,BASE!$L:$L,$G423,BASE!$J:$J,$C423,BASE!$A:$A,R$2)</f>
        <v>0</v>
      </c>
      <c r="S423" s="12">
        <f>SUMIFS(BASE!$G:$G,BASE!$B:$B,$B423,BASE!$L:$L,$G423,BASE!$J:$J,$C423,BASE!$A:$A,S$2)</f>
        <v>0</v>
      </c>
      <c r="T423" s="12">
        <f>SUMIFS(BASE!$G:$G,BASE!$B:$B,$B423,BASE!$L:$L,$G423,BASE!$J:$J,$C423,BASE!$A:$A,T$2)</f>
        <v>0</v>
      </c>
      <c r="U423" s="12">
        <f>SUMIFS(BASE!$G:$G,BASE!$B:$B,$B423,BASE!$L:$L,$G423,BASE!$J:$J,$C423,BASE!$A:$A,U$2)</f>
        <v>0</v>
      </c>
      <c r="V423" s="12">
        <f>SUMIFS(BASE!$G:$G,BASE!$B:$B,$B423,BASE!$L:$L,$G423,BASE!$J:$J,$C423,BASE!$A:$A,V$2)</f>
        <v>0</v>
      </c>
      <c r="X423" t="str">
        <f t="shared" si="13"/>
        <v>ZERADO</v>
      </c>
    </row>
    <row r="424" spans="2:24">
      <c r="B424" s="8" t="s">
        <v>1012</v>
      </c>
      <c r="C424" s="9" t="s">
        <v>232</v>
      </c>
      <c r="D424" s="9" t="s">
        <v>946</v>
      </c>
      <c r="E424" s="9" t="s">
        <v>947</v>
      </c>
      <c r="F424" s="9" t="s">
        <v>1005</v>
      </c>
      <c r="G424" s="9" t="s">
        <v>60</v>
      </c>
      <c r="H424" s="7" t="str">
        <f>IFERROR(IF(_xlfn.XLOOKUP(B424,REPASSE!D:D,REPASSE!D:D)="","Não","Sim"),"Não")</f>
        <v>Não</v>
      </c>
      <c r="I424" s="7" t="str">
        <f>IF(_xlfn.XLOOKUP(B424,'BOOST LIBERADO'!B:B,'BOOST LIBERADO'!B:B,"Não")="Não","Não","Sim")</f>
        <v>Sim</v>
      </c>
      <c r="J424" s="83" t="str">
        <f t="shared" si="12"/>
        <v>Sim</v>
      </c>
      <c r="K424" s="12">
        <f>SUMIFS(BASE!$G:$G,BASE!$B:$B,$B424,BASE!$L:$L,$G424,BASE!$J:$J,$C424,BASE!$A:$A,K$2)</f>
        <v>3</v>
      </c>
      <c r="L424" s="12">
        <f>SUMIFS(BASE!$G:$G,BASE!$B:$B,$B424,BASE!$L:$L,$G424,BASE!$J:$J,$C424,BASE!$A:$A,L$2)</f>
        <v>3</v>
      </c>
      <c r="M424" s="12">
        <f>SUMIFS(BASE!$G:$G,BASE!$B:$B,$B424,BASE!$L:$L,$G424,BASE!$J:$J,$C424,BASE!$A:$A,M$2)</f>
        <v>7</v>
      </c>
      <c r="N424" s="12">
        <f>SUMIFS(BASE!$G:$G,BASE!$B:$B,$B424,BASE!$L:$L,$G424,BASE!$J:$J,$C424,BASE!$A:$A,N$2)</f>
        <v>4</v>
      </c>
      <c r="O424" s="12">
        <f>SUMIFS(BASE!$G:$G,BASE!$B:$B,$B424,BASE!$L:$L,$G424,BASE!$J:$J,$C424,BASE!$A:$A,O$2)</f>
        <v>11</v>
      </c>
      <c r="P424" s="12">
        <f>SUMIFS(BASE!$G:$G,BASE!$B:$B,$B424,BASE!$L:$L,$G424,BASE!$J:$J,$C424,BASE!$A:$A,P$2)</f>
        <v>14</v>
      </c>
      <c r="Q424" s="12">
        <f>SUMIFS(BASE!$G:$G,BASE!$B:$B,$B424,BASE!$L:$L,$G424,BASE!$J:$J,$C424,BASE!$A:$A,Q$2)</f>
        <v>27</v>
      </c>
      <c r="R424" s="12">
        <f>SUMIFS(BASE!$G:$G,BASE!$B:$B,$B424,BASE!$L:$L,$G424,BASE!$J:$J,$C424,BASE!$A:$A,R$2)</f>
        <v>15</v>
      </c>
      <c r="S424" s="12">
        <f>SUMIFS(BASE!$G:$G,BASE!$B:$B,$B424,BASE!$L:$L,$G424,BASE!$J:$J,$C424,BASE!$A:$A,S$2)</f>
        <v>0</v>
      </c>
      <c r="T424" s="12">
        <f>SUMIFS(BASE!$G:$G,BASE!$B:$B,$B424,BASE!$L:$L,$G424,BASE!$J:$J,$C424,BASE!$A:$A,T$2)</f>
        <v>0</v>
      </c>
      <c r="U424" s="12">
        <f>SUMIFS(BASE!$G:$G,BASE!$B:$B,$B424,BASE!$L:$L,$G424,BASE!$J:$J,$C424,BASE!$A:$A,U$2)</f>
        <v>0</v>
      </c>
      <c r="V424" s="12">
        <f>SUMIFS(BASE!$G:$G,BASE!$B:$B,$B424,BASE!$L:$L,$G424,BASE!$J:$J,$C424,BASE!$A:$A,V$2)</f>
        <v>0</v>
      </c>
      <c r="X424" t="str">
        <f t="shared" si="13"/>
        <v>COM TROCAS</v>
      </c>
    </row>
    <row r="425" spans="2:24">
      <c r="B425" s="8" t="s">
        <v>1013</v>
      </c>
      <c r="C425" s="9" t="s">
        <v>208</v>
      </c>
      <c r="D425" s="9" t="s">
        <v>971</v>
      </c>
      <c r="E425" s="9" t="s">
        <v>972</v>
      </c>
      <c r="F425" s="9" t="s">
        <v>1014</v>
      </c>
      <c r="G425" s="9" t="s">
        <v>60</v>
      </c>
      <c r="H425" s="7" t="str">
        <f>IFERROR(IF(_xlfn.XLOOKUP(B425,REPASSE!D:D,REPASSE!D:D)="","Não","Sim"),"Não")</f>
        <v>Não</v>
      </c>
      <c r="I425" s="7" t="str">
        <f>IF(_xlfn.XLOOKUP(B425,'BOOST LIBERADO'!B:B,'BOOST LIBERADO'!B:B,"Não")="Não","Não","Sim")</f>
        <v>Sim</v>
      </c>
      <c r="J425" s="83" t="str">
        <f t="shared" si="12"/>
        <v>Sim</v>
      </c>
      <c r="K425" s="12">
        <f>SUMIFS(BASE!$G:$G,BASE!$B:$B,$B425,BASE!$L:$L,$G425,BASE!$J:$J,$C425,BASE!$A:$A,K$2)</f>
        <v>0</v>
      </c>
      <c r="L425" s="12">
        <f>SUMIFS(BASE!$G:$G,BASE!$B:$B,$B425,BASE!$L:$L,$G425,BASE!$J:$J,$C425,BASE!$A:$A,L$2)</f>
        <v>0</v>
      </c>
      <c r="M425" s="12">
        <f>SUMIFS(BASE!$G:$G,BASE!$B:$B,$B425,BASE!$L:$L,$G425,BASE!$J:$J,$C425,BASE!$A:$A,M$2)</f>
        <v>0</v>
      </c>
      <c r="N425" s="12">
        <f>SUMIFS(BASE!$G:$G,BASE!$B:$B,$B425,BASE!$L:$L,$G425,BASE!$J:$J,$C425,BASE!$A:$A,N$2)</f>
        <v>0</v>
      </c>
      <c r="O425" s="12">
        <f>SUMIFS(BASE!$G:$G,BASE!$B:$B,$B425,BASE!$L:$L,$G425,BASE!$J:$J,$C425,BASE!$A:$A,O$2)</f>
        <v>0</v>
      </c>
      <c r="P425" s="12">
        <f>SUMIFS(BASE!$G:$G,BASE!$B:$B,$B425,BASE!$L:$L,$G425,BASE!$J:$J,$C425,BASE!$A:$A,P$2)</f>
        <v>0</v>
      </c>
      <c r="Q425" s="12">
        <f>SUMIFS(BASE!$G:$G,BASE!$B:$B,$B425,BASE!$L:$L,$G425,BASE!$J:$J,$C425,BASE!$A:$A,Q$2)</f>
        <v>0</v>
      </c>
      <c r="R425" s="12">
        <f>SUMIFS(BASE!$G:$G,BASE!$B:$B,$B425,BASE!$L:$L,$G425,BASE!$J:$J,$C425,BASE!$A:$A,R$2)</f>
        <v>0</v>
      </c>
      <c r="S425" s="12">
        <f>SUMIFS(BASE!$G:$G,BASE!$B:$B,$B425,BASE!$L:$L,$G425,BASE!$J:$J,$C425,BASE!$A:$A,S$2)</f>
        <v>0</v>
      </c>
      <c r="T425" s="12">
        <f>SUMIFS(BASE!$G:$G,BASE!$B:$B,$B425,BASE!$L:$L,$G425,BASE!$J:$J,$C425,BASE!$A:$A,T$2)</f>
        <v>0</v>
      </c>
      <c r="U425" s="12">
        <f>SUMIFS(BASE!$G:$G,BASE!$B:$B,$B425,BASE!$L:$L,$G425,BASE!$J:$J,$C425,BASE!$A:$A,U$2)</f>
        <v>0</v>
      </c>
      <c r="V425" s="12">
        <f>SUMIFS(BASE!$G:$G,BASE!$B:$B,$B425,BASE!$L:$L,$G425,BASE!$J:$J,$C425,BASE!$A:$A,V$2)</f>
        <v>0</v>
      </c>
      <c r="X425" t="str">
        <f t="shared" si="13"/>
        <v>ZERADO</v>
      </c>
    </row>
    <row r="426" spans="2:24">
      <c r="B426" s="8" t="s">
        <v>1015</v>
      </c>
      <c r="C426" s="9" t="s">
        <v>232</v>
      </c>
      <c r="D426" s="9" t="s">
        <v>1016</v>
      </c>
      <c r="E426" s="9" t="s">
        <v>1001</v>
      </c>
      <c r="F426" s="9" t="s">
        <v>1017</v>
      </c>
      <c r="G426" s="9" t="s">
        <v>60</v>
      </c>
      <c r="H426" s="7" t="str">
        <f>IFERROR(IF(_xlfn.XLOOKUP(B426,REPASSE!D:D,REPASSE!D:D)="","Não","Sim"),"Não")</f>
        <v>Não</v>
      </c>
      <c r="I426" s="7" t="str">
        <f>IF(_xlfn.XLOOKUP(B426,'BOOST LIBERADO'!B:B,'BOOST LIBERADO'!B:B,"Não")="Não","Não","Sim")</f>
        <v>Sim</v>
      </c>
      <c r="J426" s="83" t="str">
        <f t="shared" si="12"/>
        <v>Sim</v>
      </c>
      <c r="K426" s="12">
        <f>SUMIFS(BASE!$G:$G,BASE!$B:$B,$B426,BASE!$L:$L,$G426,BASE!$J:$J,$C426,BASE!$A:$A,K$2)</f>
        <v>19</v>
      </c>
      <c r="L426" s="12">
        <f>SUMIFS(BASE!$G:$G,BASE!$B:$B,$B426,BASE!$L:$L,$G426,BASE!$J:$J,$C426,BASE!$A:$A,L$2)</f>
        <v>9</v>
      </c>
      <c r="M426" s="12">
        <f>SUMIFS(BASE!$G:$G,BASE!$B:$B,$B426,BASE!$L:$L,$G426,BASE!$J:$J,$C426,BASE!$A:$A,M$2)</f>
        <v>18</v>
      </c>
      <c r="N426" s="12">
        <f>SUMIFS(BASE!$G:$G,BASE!$B:$B,$B426,BASE!$L:$L,$G426,BASE!$J:$J,$C426,BASE!$A:$A,N$2)</f>
        <v>9</v>
      </c>
      <c r="O426" s="12">
        <f>SUMIFS(BASE!$G:$G,BASE!$B:$B,$B426,BASE!$L:$L,$G426,BASE!$J:$J,$C426,BASE!$A:$A,O$2)</f>
        <v>18</v>
      </c>
      <c r="P426" s="12">
        <f>SUMIFS(BASE!$G:$G,BASE!$B:$B,$B426,BASE!$L:$L,$G426,BASE!$J:$J,$C426,BASE!$A:$A,P$2)</f>
        <v>15</v>
      </c>
      <c r="Q426" s="12">
        <f>SUMIFS(BASE!$G:$G,BASE!$B:$B,$B426,BASE!$L:$L,$G426,BASE!$J:$J,$C426,BASE!$A:$A,Q$2)</f>
        <v>14</v>
      </c>
      <c r="R426" s="12">
        <f>SUMIFS(BASE!$G:$G,BASE!$B:$B,$B426,BASE!$L:$L,$G426,BASE!$J:$J,$C426,BASE!$A:$A,R$2)</f>
        <v>18</v>
      </c>
      <c r="S426" s="12">
        <f>SUMIFS(BASE!$G:$G,BASE!$B:$B,$B426,BASE!$L:$L,$G426,BASE!$J:$J,$C426,BASE!$A:$A,S$2)</f>
        <v>0</v>
      </c>
      <c r="T426" s="12">
        <f>SUMIFS(BASE!$G:$G,BASE!$B:$B,$B426,BASE!$L:$L,$G426,BASE!$J:$J,$C426,BASE!$A:$A,T$2)</f>
        <v>0</v>
      </c>
      <c r="U426" s="12">
        <f>SUMIFS(BASE!$G:$G,BASE!$B:$B,$B426,BASE!$L:$L,$G426,BASE!$J:$J,$C426,BASE!$A:$A,U$2)</f>
        <v>0</v>
      </c>
      <c r="V426" s="12">
        <f>SUMIFS(BASE!$G:$G,BASE!$B:$B,$B426,BASE!$L:$L,$G426,BASE!$J:$J,$C426,BASE!$A:$A,V$2)</f>
        <v>0</v>
      </c>
      <c r="X426" t="str">
        <f t="shared" si="13"/>
        <v>COM TROCAS</v>
      </c>
    </row>
    <row r="427" spans="2:24">
      <c r="B427" s="8" t="s">
        <v>1018</v>
      </c>
      <c r="C427" s="9" t="s">
        <v>156</v>
      </c>
      <c r="D427" s="9" t="s">
        <v>967</v>
      </c>
      <c r="E427" s="9" t="s">
        <v>968</v>
      </c>
      <c r="F427" s="9" t="s">
        <v>1019</v>
      </c>
      <c r="G427" s="9" t="s">
        <v>60</v>
      </c>
      <c r="H427" s="7" t="str">
        <f>IFERROR(IF(_xlfn.XLOOKUP(B427,REPASSE!D:D,REPASSE!D:D)="","Não","Sim"),"Não")</f>
        <v>Não</v>
      </c>
      <c r="I427" s="7" t="str">
        <f>IF(_xlfn.XLOOKUP(B427,'BOOST LIBERADO'!B:B,'BOOST LIBERADO'!B:B,"Não")="Não","Não","Sim")</f>
        <v>Sim</v>
      </c>
      <c r="J427" s="83" t="str">
        <f t="shared" si="12"/>
        <v>Sim</v>
      </c>
      <c r="K427" s="12">
        <f>SUMIFS(BASE!$G:$G,BASE!$B:$B,$B427,BASE!$L:$L,$G427,BASE!$J:$J,$C427,BASE!$A:$A,K$2)</f>
        <v>0</v>
      </c>
      <c r="L427" s="12">
        <f>SUMIFS(BASE!$G:$G,BASE!$B:$B,$B427,BASE!$L:$L,$G427,BASE!$J:$J,$C427,BASE!$A:$A,L$2)</f>
        <v>0</v>
      </c>
      <c r="M427" s="12">
        <f>SUMIFS(BASE!$G:$G,BASE!$B:$B,$B427,BASE!$L:$L,$G427,BASE!$J:$J,$C427,BASE!$A:$A,M$2)</f>
        <v>0</v>
      </c>
      <c r="N427" s="12">
        <f>SUMIFS(BASE!$G:$G,BASE!$B:$B,$B427,BASE!$L:$L,$G427,BASE!$J:$J,$C427,BASE!$A:$A,N$2)</f>
        <v>0</v>
      </c>
      <c r="O427" s="12">
        <f>SUMIFS(BASE!$G:$G,BASE!$B:$B,$B427,BASE!$L:$L,$G427,BASE!$J:$J,$C427,BASE!$A:$A,O$2)</f>
        <v>0</v>
      </c>
      <c r="P427" s="12">
        <f>SUMIFS(BASE!$G:$G,BASE!$B:$B,$B427,BASE!$L:$L,$G427,BASE!$J:$J,$C427,BASE!$A:$A,P$2)</f>
        <v>0</v>
      </c>
      <c r="Q427" s="12">
        <f>SUMIFS(BASE!$G:$G,BASE!$B:$B,$B427,BASE!$L:$L,$G427,BASE!$J:$J,$C427,BASE!$A:$A,Q$2)</f>
        <v>0</v>
      </c>
      <c r="R427" s="12">
        <f>SUMIFS(BASE!$G:$G,BASE!$B:$B,$B427,BASE!$L:$L,$G427,BASE!$J:$J,$C427,BASE!$A:$A,R$2)</f>
        <v>0</v>
      </c>
      <c r="S427" s="12">
        <f>SUMIFS(BASE!$G:$G,BASE!$B:$B,$B427,BASE!$L:$L,$G427,BASE!$J:$J,$C427,BASE!$A:$A,S$2)</f>
        <v>0</v>
      </c>
      <c r="T427" s="12">
        <f>SUMIFS(BASE!$G:$G,BASE!$B:$B,$B427,BASE!$L:$L,$G427,BASE!$J:$J,$C427,BASE!$A:$A,T$2)</f>
        <v>0</v>
      </c>
      <c r="U427" s="12">
        <f>SUMIFS(BASE!$G:$G,BASE!$B:$B,$B427,BASE!$L:$L,$G427,BASE!$J:$J,$C427,BASE!$A:$A,U$2)</f>
        <v>0</v>
      </c>
      <c r="V427" s="12">
        <f>SUMIFS(BASE!$G:$G,BASE!$B:$B,$B427,BASE!$L:$L,$G427,BASE!$J:$J,$C427,BASE!$A:$A,V$2)</f>
        <v>0</v>
      </c>
      <c r="X427" t="str">
        <f t="shared" si="13"/>
        <v>ZERADO</v>
      </c>
    </row>
    <row r="428" spans="2:24">
      <c r="B428" s="8" t="s">
        <v>1020</v>
      </c>
      <c r="C428" s="8" t="s">
        <v>217</v>
      </c>
      <c r="D428" s="8" t="s">
        <v>991</v>
      </c>
      <c r="E428" s="8" t="s">
        <v>968</v>
      </c>
      <c r="F428" s="8" t="s">
        <v>1021</v>
      </c>
      <c r="G428" s="8" t="s">
        <v>60</v>
      </c>
      <c r="H428" s="7" t="str">
        <f>IFERROR(IF(_xlfn.XLOOKUP(B428,REPASSE!D:D,REPASSE!D:D)="","Não","Sim"),"Não")</f>
        <v>Não</v>
      </c>
      <c r="I428" s="7" t="str">
        <f>IF(_xlfn.XLOOKUP(B428,'BOOST LIBERADO'!B:B,'BOOST LIBERADO'!B:B,"Não")="Não","Não","Sim")</f>
        <v>Sim</v>
      </c>
      <c r="J428" s="83" t="str">
        <f t="shared" si="12"/>
        <v>Sim</v>
      </c>
      <c r="K428" s="12">
        <f>SUMIFS(BASE!$G:$G,BASE!$B:$B,$B428,BASE!$L:$L,$G428,BASE!$J:$J,$C428,BASE!$A:$A,K$2)</f>
        <v>0</v>
      </c>
      <c r="L428" s="12">
        <f>SUMIFS(BASE!$G:$G,BASE!$B:$B,$B428,BASE!$L:$L,$G428,BASE!$J:$J,$C428,BASE!$A:$A,L$2)</f>
        <v>0</v>
      </c>
      <c r="M428" s="12">
        <f>SUMIFS(BASE!$G:$G,BASE!$B:$B,$B428,BASE!$L:$L,$G428,BASE!$J:$J,$C428,BASE!$A:$A,M$2)</f>
        <v>0</v>
      </c>
      <c r="N428" s="12">
        <f>SUMIFS(BASE!$G:$G,BASE!$B:$B,$B428,BASE!$L:$L,$G428,BASE!$J:$J,$C428,BASE!$A:$A,N$2)</f>
        <v>0</v>
      </c>
      <c r="O428" s="12">
        <f>SUMIFS(BASE!$G:$G,BASE!$B:$B,$B428,BASE!$L:$L,$G428,BASE!$J:$J,$C428,BASE!$A:$A,O$2)</f>
        <v>0</v>
      </c>
      <c r="P428" s="12">
        <f>SUMIFS(BASE!$G:$G,BASE!$B:$B,$B428,BASE!$L:$L,$G428,BASE!$J:$J,$C428,BASE!$A:$A,P$2)</f>
        <v>0</v>
      </c>
      <c r="Q428" s="12">
        <f>SUMIFS(BASE!$G:$G,BASE!$B:$B,$B428,BASE!$L:$L,$G428,BASE!$J:$J,$C428,BASE!$A:$A,Q$2)</f>
        <v>0</v>
      </c>
      <c r="R428" s="12">
        <f>SUMIFS(BASE!$G:$G,BASE!$B:$B,$B428,BASE!$L:$L,$G428,BASE!$J:$J,$C428,BASE!$A:$A,R$2)</f>
        <v>0</v>
      </c>
      <c r="S428" s="12">
        <f>SUMIFS(BASE!$G:$G,BASE!$B:$B,$B428,BASE!$L:$L,$G428,BASE!$J:$J,$C428,BASE!$A:$A,S$2)</f>
        <v>0</v>
      </c>
      <c r="T428" s="12">
        <f>SUMIFS(BASE!$G:$G,BASE!$B:$B,$B428,BASE!$L:$L,$G428,BASE!$J:$J,$C428,BASE!$A:$A,T$2)</f>
        <v>0</v>
      </c>
      <c r="U428" s="12">
        <f>SUMIFS(BASE!$G:$G,BASE!$B:$B,$B428,BASE!$L:$L,$G428,BASE!$J:$J,$C428,BASE!$A:$A,U$2)</f>
        <v>0</v>
      </c>
      <c r="V428" s="12">
        <f>SUMIFS(BASE!$G:$G,BASE!$B:$B,$B428,BASE!$L:$L,$G428,BASE!$J:$J,$C428,BASE!$A:$A,V$2)</f>
        <v>0</v>
      </c>
      <c r="X428" t="str">
        <f t="shared" si="13"/>
        <v>ZERADO</v>
      </c>
    </row>
    <row r="429" spans="2:24">
      <c r="B429" s="8" t="s">
        <v>1022</v>
      </c>
      <c r="C429" s="9" t="s">
        <v>101</v>
      </c>
      <c r="D429" s="9" t="s">
        <v>967</v>
      </c>
      <c r="E429" s="9" t="s">
        <v>968</v>
      </c>
      <c r="F429" s="9" t="s">
        <v>992</v>
      </c>
      <c r="G429" s="9" t="s">
        <v>60</v>
      </c>
      <c r="H429" s="7" t="str">
        <f>IFERROR(IF(_xlfn.XLOOKUP(B429,REPASSE!D:D,REPASSE!D:D)="","Não","Sim"),"Não")</f>
        <v>Não</v>
      </c>
      <c r="I429" s="7" t="str">
        <f>IF(_xlfn.XLOOKUP(B429,'BOOST LIBERADO'!B:B,'BOOST LIBERADO'!B:B,"Não")="Não","Não","Sim")</f>
        <v>Sim</v>
      </c>
      <c r="J429" s="83" t="str">
        <f t="shared" si="12"/>
        <v>Sim</v>
      </c>
      <c r="K429" s="12">
        <f>SUMIFS(BASE!$G:$G,BASE!$B:$B,$B429,BASE!$L:$L,$G429,BASE!$J:$J,$C429,BASE!$A:$A,K$2)</f>
        <v>0</v>
      </c>
      <c r="L429" s="12">
        <f>SUMIFS(BASE!$G:$G,BASE!$B:$B,$B429,BASE!$L:$L,$G429,BASE!$J:$J,$C429,BASE!$A:$A,L$2)</f>
        <v>0</v>
      </c>
      <c r="M429" s="12">
        <f>SUMIFS(BASE!$G:$G,BASE!$B:$B,$B429,BASE!$L:$L,$G429,BASE!$J:$J,$C429,BASE!$A:$A,M$2)</f>
        <v>0</v>
      </c>
      <c r="N429" s="12">
        <f>SUMIFS(BASE!$G:$G,BASE!$B:$B,$B429,BASE!$L:$L,$G429,BASE!$J:$J,$C429,BASE!$A:$A,N$2)</f>
        <v>0</v>
      </c>
      <c r="O429" s="12">
        <f>SUMIFS(BASE!$G:$G,BASE!$B:$B,$B429,BASE!$L:$L,$G429,BASE!$J:$J,$C429,BASE!$A:$A,O$2)</f>
        <v>0</v>
      </c>
      <c r="P429" s="12">
        <f>SUMIFS(BASE!$G:$G,BASE!$B:$B,$B429,BASE!$L:$L,$G429,BASE!$J:$J,$C429,BASE!$A:$A,P$2)</f>
        <v>0</v>
      </c>
      <c r="Q429" s="12">
        <f>SUMIFS(BASE!$G:$G,BASE!$B:$B,$B429,BASE!$L:$L,$G429,BASE!$J:$J,$C429,BASE!$A:$A,Q$2)</f>
        <v>0</v>
      </c>
      <c r="R429" s="12">
        <f>SUMIFS(BASE!$G:$G,BASE!$B:$B,$B429,BASE!$L:$L,$G429,BASE!$J:$J,$C429,BASE!$A:$A,R$2)</f>
        <v>0</v>
      </c>
      <c r="S429" s="12">
        <f>SUMIFS(BASE!$G:$G,BASE!$B:$B,$B429,BASE!$L:$L,$G429,BASE!$J:$J,$C429,BASE!$A:$A,S$2)</f>
        <v>0</v>
      </c>
      <c r="T429" s="12">
        <f>SUMIFS(BASE!$G:$G,BASE!$B:$B,$B429,BASE!$L:$L,$G429,BASE!$J:$J,$C429,BASE!$A:$A,T$2)</f>
        <v>0</v>
      </c>
      <c r="U429" s="12">
        <f>SUMIFS(BASE!$G:$G,BASE!$B:$B,$B429,BASE!$L:$L,$G429,BASE!$J:$J,$C429,BASE!$A:$A,U$2)</f>
        <v>0</v>
      </c>
      <c r="V429" s="12">
        <f>SUMIFS(BASE!$G:$G,BASE!$B:$B,$B429,BASE!$L:$L,$G429,BASE!$J:$J,$C429,BASE!$A:$A,V$2)</f>
        <v>0</v>
      </c>
      <c r="X429" t="str">
        <f t="shared" si="13"/>
        <v>ZERADO</v>
      </c>
    </row>
    <row r="430" spans="2:24">
      <c r="B430" s="8" t="s">
        <v>1023</v>
      </c>
      <c r="C430" s="9" t="s">
        <v>151</v>
      </c>
      <c r="D430" s="9" t="s">
        <v>955</v>
      </c>
      <c r="E430" s="9" t="s">
        <v>947</v>
      </c>
      <c r="F430" s="9" t="s">
        <v>995</v>
      </c>
      <c r="G430" s="9" t="s">
        <v>60</v>
      </c>
      <c r="H430" s="7" t="str">
        <f>IFERROR(IF(_xlfn.XLOOKUP(B430,REPASSE!D:D,REPASSE!D:D)="","Não","Sim"),"Não")</f>
        <v>Não</v>
      </c>
      <c r="I430" s="7" t="str">
        <f>IF(_xlfn.XLOOKUP(B430,'BOOST LIBERADO'!B:B,'BOOST LIBERADO'!B:B,"Não")="Não","Não","Sim")</f>
        <v>Sim</v>
      </c>
      <c r="J430" s="83" t="str">
        <f t="shared" si="12"/>
        <v>Sim</v>
      </c>
      <c r="K430" s="12">
        <f>SUMIFS(BASE!$G:$G,BASE!$B:$B,$B430,BASE!$L:$L,$G430,BASE!$J:$J,$C430,BASE!$A:$A,K$2)</f>
        <v>0</v>
      </c>
      <c r="L430" s="12">
        <f>SUMIFS(BASE!$G:$G,BASE!$B:$B,$B430,BASE!$L:$L,$G430,BASE!$J:$J,$C430,BASE!$A:$A,L$2)</f>
        <v>0</v>
      </c>
      <c r="M430" s="12">
        <f>SUMIFS(BASE!$G:$G,BASE!$B:$B,$B430,BASE!$L:$L,$G430,BASE!$J:$J,$C430,BASE!$A:$A,M$2)</f>
        <v>0</v>
      </c>
      <c r="N430" s="12">
        <f>SUMIFS(BASE!$G:$G,BASE!$B:$B,$B430,BASE!$L:$L,$G430,BASE!$J:$J,$C430,BASE!$A:$A,N$2)</f>
        <v>0</v>
      </c>
      <c r="O430" s="12">
        <f>SUMIFS(BASE!$G:$G,BASE!$B:$B,$B430,BASE!$L:$L,$G430,BASE!$J:$J,$C430,BASE!$A:$A,O$2)</f>
        <v>0</v>
      </c>
      <c r="P430" s="12">
        <f>SUMIFS(BASE!$G:$G,BASE!$B:$B,$B430,BASE!$L:$L,$G430,BASE!$J:$J,$C430,BASE!$A:$A,P$2)</f>
        <v>0</v>
      </c>
      <c r="Q430" s="12">
        <f>SUMIFS(BASE!$G:$G,BASE!$B:$B,$B430,BASE!$L:$L,$G430,BASE!$J:$J,$C430,BASE!$A:$A,Q$2)</f>
        <v>0</v>
      </c>
      <c r="R430" s="12">
        <f>SUMIFS(BASE!$G:$G,BASE!$B:$B,$B430,BASE!$L:$L,$G430,BASE!$J:$J,$C430,BASE!$A:$A,R$2)</f>
        <v>0</v>
      </c>
      <c r="S430" s="12">
        <f>SUMIFS(BASE!$G:$G,BASE!$B:$B,$B430,BASE!$L:$L,$G430,BASE!$J:$J,$C430,BASE!$A:$A,S$2)</f>
        <v>0</v>
      </c>
      <c r="T430" s="12">
        <f>SUMIFS(BASE!$G:$G,BASE!$B:$B,$B430,BASE!$L:$L,$G430,BASE!$J:$J,$C430,BASE!$A:$A,T$2)</f>
        <v>0</v>
      </c>
      <c r="U430" s="12">
        <f>SUMIFS(BASE!$G:$G,BASE!$B:$B,$B430,BASE!$L:$L,$G430,BASE!$J:$J,$C430,BASE!$A:$A,U$2)</f>
        <v>0</v>
      </c>
      <c r="V430" s="12">
        <f>SUMIFS(BASE!$G:$G,BASE!$B:$B,$B430,BASE!$L:$L,$G430,BASE!$J:$J,$C430,BASE!$A:$A,V$2)</f>
        <v>0</v>
      </c>
      <c r="X430" t="str">
        <f t="shared" si="13"/>
        <v>ZERADO</v>
      </c>
    </row>
    <row r="431" spans="2:24">
      <c r="B431" s="8" t="s">
        <v>1024</v>
      </c>
      <c r="C431" s="9" t="s">
        <v>222</v>
      </c>
      <c r="D431" s="9" t="s">
        <v>952</v>
      </c>
      <c r="E431" s="9" t="s">
        <v>943</v>
      </c>
      <c r="F431" s="9" t="s">
        <v>1025</v>
      </c>
      <c r="G431" s="9" t="s">
        <v>60</v>
      </c>
      <c r="H431" s="7" t="str">
        <f>IFERROR(IF(_xlfn.XLOOKUP(B431,REPASSE!D:D,REPASSE!D:D)="","Não","Sim"),"Não")</f>
        <v>Não</v>
      </c>
      <c r="I431" s="7" t="str">
        <f>IF(_xlfn.XLOOKUP(B431,'BOOST LIBERADO'!B:B,'BOOST LIBERADO'!B:B,"Não")="Não","Não","Sim")</f>
        <v>Sim</v>
      </c>
      <c r="J431" s="83" t="str">
        <f t="shared" si="12"/>
        <v>Sim</v>
      </c>
      <c r="K431" s="12">
        <f>SUMIFS(BASE!$G:$G,BASE!$B:$B,$B431,BASE!$L:$L,$G431,BASE!$J:$J,$C431,BASE!$A:$A,K$2)</f>
        <v>0</v>
      </c>
      <c r="L431" s="12">
        <f>SUMIFS(BASE!$G:$G,BASE!$B:$B,$B431,BASE!$L:$L,$G431,BASE!$J:$J,$C431,BASE!$A:$A,L$2)</f>
        <v>0</v>
      </c>
      <c r="M431" s="12">
        <f>SUMIFS(BASE!$G:$G,BASE!$B:$B,$B431,BASE!$L:$L,$G431,BASE!$J:$J,$C431,BASE!$A:$A,M$2)</f>
        <v>0</v>
      </c>
      <c r="N431" s="12">
        <f>SUMIFS(BASE!$G:$G,BASE!$B:$B,$B431,BASE!$L:$L,$G431,BASE!$J:$J,$C431,BASE!$A:$A,N$2)</f>
        <v>0</v>
      </c>
      <c r="O431" s="12">
        <f>SUMIFS(BASE!$G:$G,BASE!$B:$B,$B431,BASE!$L:$L,$G431,BASE!$J:$J,$C431,BASE!$A:$A,O$2)</f>
        <v>0</v>
      </c>
      <c r="P431" s="12">
        <f>SUMIFS(BASE!$G:$G,BASE!$B:$B,$B431,BASE!$L:$L,$G431,BASE!$J:$J,$C431,BASE!$A:$A,P$2)</f>
        <v>0</v>
      </c>
      <c r="Q431" s="12">
        <f>SUMIFS(BASE!$G:$G,BASE!$B:$B,$B431,BASE!$L:$L,$G431,BASE!$J:$J,$C431,BASE!$A:$A,Q$2)</f>
        <v>0</v>
      </c>
      <c r="R431" s="12">
        <f>SUMIFS(BASE!$G:$G,BASE!$B:$B,$B431,BASE!$L:$L,$G431,BASE!$J:$J,$C431,BASE!$A:$A,R$2)</f>
        <v>0</v>
      </c>
      <c r="S431" s="12">
        <f>SUMIFS(BASE!$G:$G,BASE!$B:$B,$B431,BASE!$L:$L,$G431,BASE!$J:$J,$C431,BASE!$A:$A,S$2)</f>
        <v>0</v>
      </c>
      <c r="T431" s="12">
        <f>SUMIFS(BASE!$G:$G,BASE!$B:$B,$B431,BASE!$L:$L,$G431,BASE!$J:$J,$C431,BASE!$A:$A,T$2)</f>
        <v>0</v>
      </c>
      <c r="U431" s="12">
        <f>SUMIFS(BASE!$G:$G,BASE!$B:$B,$B431,BASE!$L:$L,$G431,BASE!$J:$J,$C431,BASE!$A:$A,U$2)</f>
        <v>0</v>
      </c>
      <c r="V431" s="12">
        <f>SUMIFS(BASE!$G:$G,BASE!$B:$B,$B431,BASE!$L:$L,$G431,BASE!$J:$J,$C431,BASE!$A:$A,V$2)</f>
        <v>0</v>
      </c>
      <c r="X431" t="str">
        <f t="shared" si="13"/>
        <v>ZERADO</v>
      </c>
    </row>
    <row r="432" spans="2:24">
      <c r="B432" s="8" t="s">
        <v>1026</v>
      </c>
      <c r="C432" s="9" t="s">
        <v>194</v>
      </c>
      <c r="D432" s="9" t="s">
        <v>946</v>
      </c>
      <c r="E432" s="9" t="s">
        <v>947</v>
      </c>
      <c r="F432" s="9" t="s">
        <v>1027</v>
      </c>
      <c r="G432" s="9" t="s">
        <v>60</v>
      </c>
      <c r="H432" s="7" t="str">
        <f>IFERROR(IF(_xlfn.XLOOKUP(B432,REPASSE!D:D,REPASSE!D:D)="","Não","Sim"),"Não")</f>
        <v>Não</v>
      </c>
      <c r="I432" s="7" t="str">
        <f>IF(_xlfn.XLOOKUP(B432,'BOOST LIBERADO'!B:B,'BOOST LIBERADO'!B:B,"Não")="Não","Não","Sim")</f>
        <v>Sim</v>
      </c>
      <c r="J432" s="83" t="str">
        <f t="shared" si="12"/>
        <v>Sim</v>
      </c>
      <c r="K432" s="12">
        <f>SUMIFS(BASE!$G:$G,BASE!$B:$B,$B432,BASE!$L:$L,$G432,BASE!$J:$J,$C432,BASE!$A:$A,K$2)</f>
        <v>0</v>
      </c>
      <c r="L432" s="12">
        <f>SUMIFS(BASE!$G:$G,BASE!$B:$B,$B432,BASE!$L:$L,$G432,BASE!$J:$J,$C432,BASE!$A:$A,L$2)</f>
        <v>0</v>
      </c>
      <c r="M432" s="12">
        <f>SUMIFS(BASE!$G:$G,BASE!$B:$B,$B432,BASE!$L:$L,$G432,BASE!$J:$J,$C432,BASE!$A:$A,M$2)</f>
        <v>0</v>
      </c>
      <c r="N432" s="12">
        <f>SUMIFS(BASE!$G:$G,BASE!$B:$B,$B432,BASE!$L:$L,$G432,BASE!$J:$J,$C432,BASE!$A:$A,N$2)</f>
        <v>0</v>
      </c>
      <c r="O432" s="12">
        <f>SUMIFS(BASE!$G:$G,BASE!$B:$B,$B432,BASE!$L:$L,$G432,BASE!$J:$J,$C432,BASE!$A:$A,O$2)</f>
        <v>0</v>
      </c>
      <c r="P432" s="12">
        <f>SUMIFS(BASE!$G:$G,BASE!$B:$B,$B432,BASE!$L:$L,$G432,BASE!$J:$J,$C432,BASE!$A:$A,P$2)</f>
        <v>0</v>
      </c>
      <c r="Q432" s="12">
        <f>SUMIFS(BASE!$G:$G,BASE!$B:$B,$B432,BASE!$L:$L,$G432,BASE!$J:$J,$C432,BASE!$A:$A,Q$2)</f>
        <v>0</v>
      </c>
      <c r="R432" s="12">
        <f>SUMIFS(BASE!$G:$G,BASE!$B:$B,$B432,BASE!$L:$L,$G432,BASE!$J:$J,$C432,BASE!$A:$A,R$2)</f>
        <v>0</v>
      </c>
      <c r="S432" s="12">
        <f>SUMIFS(BASE!$G:$G,BASE!$B:$B,$B432,BASE!$L:$L,$G432,BASE!$J:$J,$C432,BASE!$A:$A,S$2)</f>
        <v>0</v>
      </c>
      <c r="T432" s="12">
        <f>SUMIFS(BASE!$G:$G,BASE!$B:$B,$B432,BASE!$L:$L,$G432,BASE!$J:$J,$C432,BASE!$A:$A,T$2)</f>
        <v>0</v>
      </c>
      <c r="U432" s="12">
        <f>SUMIFS(BASE!$G:$G,BASE!$B:$B,$B432,BASE!$L:$L,$G432,BASE!$J:$J,$C432,BASE!$A:$A,U$2)</f>
        <v>0</v>
      </c>
      <c r="V432" s="12">
        <f>SUMIFS(BASE!$G:$G,BASE!$B:$B,$B432,BASE!$L:$L,$G432,BASE!$J:$J,$C432,BASE!$A:$A,V$2)</f>
        <v>0</v>
      </c>
      <c r="X432" t="str">
        <f t="shared" si="13"/>
        <v>ZERADO</v>
      </c>
    </row>
    <row r="433" spans="2:24">
      <c r="B433" s="8" t="s">
        <v>1028</v>
      </c>
      <c r="C433" s="9" t="s">
        <v>236</v>
      </c>
      <c r="D433" s="9" t="s">
        <v>938</v>
      </c>
      <c r="E433" s="9" t="s">
        <v>939</v>
      </c>
      <c r="F433" s="9" t="s">
        <v>1029</v>
      </c>
      <c r="G433" s="9" t="s">
        <v>60</v>
      </c>
      <c r="H433" s="7" t="str">
        <f>IFERROR(IF(_xlfn.XLOOKUP(B433,REPASSE!D:D,REPASSE!D:D)="","Não","Sim"),"Não")</f>
        <v>Não</v>
      </c>
      <c r="I433" s="7" t="str">
        <f>IF(_xlfn.XLOOKUP(B433,'BOOST LIBERADO'!B:B,'BOOST LIBERADO'!B:B,"Não")="Não","Não","Sim")</f>
        <v>Sim</v>
      </c>
      <c r="J433" s="83" t="str">
        <f t="shared" si="12"/>
        <v>Sim</v>
      </c>
      <c r="K433" s="12">
        <f>SUMIFS(BASE!$G:$G,BASE!$B:$B,$B433,BASE!$L:$L,$G433,BASE!$J:$J,$C433,BASE!$A:$A,K$2)</f>
        <v>0</v>
      </c>
      <c r="L433" s="12">
        <f>SUMIFS(BASE!$G:$G,BASE!$B:$B,$B433,BASE!$L:$L,$G433,BASE!$J:$J,$C433,BASE!$A:$A,L$2)</f>
        <v>0</v>
      </c>
      <c r="M433" s="12">
        <f>SUMIFS(BASE!$G:$G,BASE!$B:$B,$B433,BASE!$L:$L,$G433,BASE!$J:$J,$C433,BASE!$A:$A,M$2)</f>
        <v>0</v>
      </c>
      <c r="N433" s="12">
        <f>SUMIFS(BASE!$G:$G,BASE!$B:$B,$B433,BASE!$L:$L,$G433,BASE!$J:$J,$C433,BASE!$A:$A,N$2)</f>
        <v>0</v>
      </c>
      <c r="O433" s="12">
        <f>SUMIFS(BASE!$G:$G,BASE!$B:$B,$B433,BASE!$L:$L,$G433,BASE!$J:$J,$C433,BASE!$A:$A,O$2)</f>
        <v>0</v>
      </c>
      <c r="P433" s="12">
        <f>SUMIFS(BASE!$G:$G,BASE!$B:$B,$B433,BASE!$L:$L,$G433,BASE!$J:$J,$C433,BASE!$A:$A,P$2)</f>
        <v>0</v>
      </c>
      <c r="Q433" s="12">
        <f>SUMIFS(BASE!$G:$G,BASE!$B:$B,$B433,BASE!$L:$L,$G433,BASE!$J:$J,$C433,BASE!$A:$A,Q$2)</f>
        <v>0</v>
      </c>
      <c r="R433" s="12">
        <f>SUMIFS(BASE!$G:$G,BASE!$B:$B,$B433,BASE!$L:$L,$G433,BASE!$J:$J,$C433,BASE!$A:$A,R$2)</f>
        <v>0</v>
      </c>
      <c r="S433" s="12">
        <f>SUMIFS(BASE!$G:$G,BASE!$B:$B,$B433,BASE!$L:$L,$G433,BASE!$J:$J,$C433,BASE!$A:$A,S$2)</f>
        <v>0</v>
      </c>
      <c r="T433" s="12">
        <f>SUMIFS(BASE!$G:$G,BASE!$B:$B,$B433,BASE!$L:$L,$G433,BASE!$J:$J,$C433,BASE!$A:$A,T$2)</f>
        <v>0</v>
      </c>
      <c r="U433" s="12">
        <f>SUMIFS(BASE!$G:$G,BASE!$B:$B,$B433,BASE!$L:$L,$G433,BASE!$J:$J,$C433,BASE!$A:$A,U$2)</f>
        <v>0</v>
      </c>
      <c r="V433" s="12">
        <f>SUMIFS(BASE!$G:$G,BASE!$B:$B,$B433,BASE!$L:$L,$G433,BASE!$J:$J,$C433,BASE!$A:$A,V$2)</f>
        <v>0</v>
      </c>
      <c r="X433" t="str">
        <f t="shared" si="13"/>
        <v>ZERADO</v>
      </c>
    </row>
    <row r="434" spans="2:24">
      <c r="B434" s="8" t="s">
        <v>1030</v>
      </c>
      <c r="C434" s="9" t="s">
        <v>139</v>
      </c>
      <c r="D434" s="9" t="s">
        <v>938</v>
      </c>
      <c r="E434" s="9" t="s">
        <v>939</v>
      </c>
      <c r="F434" s="9" t="s">
        <v>1031</v>
      </c>
      <c r="G434" s="9" t="s">
        <v>60</v>
      </c>
      <c r="H434" s="7" t="str">
        <f>IFERROR(IF(_xlfn.XLOOKUP(B434,REPASSE!D:D,REPASSE!D:D)="","Não","Sim"),"Não")</f>
        <v>Não</v>
      </c>
      <c r="I434" s="7" t="str">
        <f>IF(_xlfn.XLOOKUP(B434,'BOOST LIBERADO'!B:B,'BOOST LIBERADO'!B:B,"Não")="Não","Não","Sim")</f>
        <v>Sim</v>
      </c>
      <c r="J434" s="83" t="str">
        <f t="shared" si="12"/>
        <v>Sim</v>
      </c>
      <c r="K434" s="12">
        <f>SUMIFS(BASE!$G:$G,BASE!$B:$B,$B434,BASE!$L:$L,$G434,BASE!$J:$J,$C434,BASE!$A:$A,K$2)</f>
        <v>0</v>
      </c>
      <c r="L434" s="12">
        <f>SUMIFS(BASE!$G:$G,BASE!$B:$B,$B434,BASE!$L:$L,$G434,BASE!$J:$J,$C434,BASE!$A:$A,L$2)</f>
        <v>0</v>
      </c>
      <c r="M434" s="12">
        <f>SUMIFS(BASE!$G:$G,BASE!$B:$B,$B434,BASE!$L:$L,$G434,BASE!$J:$J,$C434,BASE!$A:$A,M$2)</f>
        <v>0</v>
      </c>
      <c r="N434" s="12">
        <f>SUMIFS(BASE!$G:$G,BASE!$B:$B,$B434,BASE!$L:$L,$G434,BASE!$J:$J,$C434,BASE!$A:$A,N$2)</f>
        <v>0</v>
      </c>
      <c r="O434" s="12">
        <f>SUMIFS(BASE!$G:$G,BASE!$B:$B,$B434,BASE!$L:$L,$G434,BASE!$J:$J,$C434,BASE!$A:$A,O$2)</f>
        <v>0</v>
      </c>
      <c r="P434" s="12">
        <f>SUMIFS(BASE!$G:$G,BASE!$B:$B,$B434,BASE!$L:$L,$G434,BASE!$J:$J,$C434,BASE!$A:$A,P$2)</f>
        <v>0</v>
      </c>
      <c r="Q434" s="12">
        <f>SUMIFS(BASE!$G:$G,BASE!$B:$B,$B434,BASE!$L:$L,$G434,BASE!$J:$J,$C434,BASE!$A:$A,Q$2)</f>
        <v>0</v>
      </c>
      <c r="R434" s="12">
        <f>SUMIFS(BASE!$G:$G,BASE!$B:$B,$B434,BASE!$L:$L,$G434,BASE!$J:$J,$C434,BASE!$A:$A,R$2)</f>
        <v>0</v>
      </c>
      <c r="S434" s="12">
        <f>SUMIFS(BASE!$G:$G,BASE!$B:$B,$B434,BASE!$L:$L,$G434,BASE!$J:$J,$C434,BASE!$A:$A,S$2)</f>
        <v>0</v>
      </c>
      <c r="T434" s="12">
        <f>SUMIFS(BASE!$G:$G,BASE!$B:$B,$B434,BASE!$L:$L,$G434,BASE!$J:$J,$C434,BASE!$A:$A,T$2)</f>
        <v>0</v>
      </c>
      <c r="U434" s="12">
        <f>SUMIFS(BASE!$G:$G,BASE!$B:$B,$B434,BASE!$L:$L,$G434,BASE!$J:$J,$C434,BASE!$A:$A,U$2)</f>
        <v>0</v>
      </c>
      <c r="V434" s="12">
        <f>SUMIFS(BASE!$G:$G,BASE!$B:$B,$B434,BASE!$L:$L,$G434,BASE!$J:$J,$C434,BASE!$A:$A,V$2)</f>
        <v>0</v>
      </c>
      <c r="X434" t="str">
        <f t="shared" si="13"/>
        <v>ZERADO</v>
      </c>
    </row>
    <row r="435" spans="2:24">
      <c r="B435" s="8" t="s">
        <v>1032</v>
      </c>
      <c r="C435" s="9" t="s">
        <v>222</v>
      </c>
      <c r="D435" s="9" t="s">
        <v>952</v>
      </c>
      <c r="E435" s="9" t="s">
        <v>943</v>
      </c>
      <c r="F435" s="9" t="s">
        <v>944</v>
      </c>
      <c r="G435" s="9" t="s">
        <v>60</v>
      </c>
      <c r="H435" s="7" t="str">
        <f>IFERROR(IF(_xlfn.XLOOKUP(B435,REPASSE!D:D,REPASSE!D:D)="","Não","Sim"),"Não")</f>
        <v>Não</v>
      </c>
      <c r="I435" s="7" t="str">
        <f>IF(_xlfn.XLOOKUP(B435,'BOOST LIBERADO'!B:B,'BOOST LIBERADO'!B:B,"Não")="Não","Não","Sim")</f>
        <v>Sim</v>
      </c>
      <c r="J435" s="83" t="str">
        <f t="shared" si="12"/>
        <v>Sim</v>
      </c>
      <c r="K435" s="12">
        <f>SUMIFS(BASE!$G:$G,BASE!$B:$B,$B435,BASE!$L:$L,$G435,BASE!$J:$J,$C435,BASE!$A:$A,K$2)</f>
        <v>5</v>
      </c>
      <c r="L435" s="12">
        <f>SUMIFS(BASE!$G:$G,BASE!$B:$B,$B435,BASE!$L:$L,$G435,BASE!$J:$J,$C435,BASE!$A:$A,L$2)</f>
        <v>2</v>
      </c>
      <c r="M435" s="12">
        <f>SUMIFS(BASE!$G:$G,BASE!$B:$B,$B435,BASE!$L:$L,$G435,BASE!$J:$J,$C435,BASE!$A:$A,M$2)</f>
        <v>4</v>
      </c>
      <c r="N435" s="12">
        <f>SUMIFS(BASE!$G:$G,BASE!$B:$B,$B435,BASE!$L:$L,$G435,BASE!$J:$J,$C435,BASE!$A:$A,N$2)</f>
        <v>3</v>
      </c>
      <c r="O435" s="12">
        <f>SUMIFS(BASE!$G:$G,BASE!$B:$B,$B435,BASE!$L:$L,$G435,BASE!$J:$J,$C435,BASE!$A:$A,O$2)</f>
        <v>0</v>
      </c>
      <c r="P435" s="12">
        <f>SUMIFS(BASE!$G:$G,BASE!$B:$B,$B435,BASE!$L:$L,$G435,BASE!$J:$J,$C435,BASE!$A:$A,P$2)</f>
        <v>1</v>
      </c>
      <c r="Q435" s="12">
        <f>SUMIFS(BASE!$G:$G,BASE!$B:$B,$B435,BASE!$L:$L,$G435,BASE!$J:$J,$C435,BASE!$A:$A,Q$2)</f>
        <v>3</v>
      </c>
      <c r="R435" s="12">
        <f>SUMIFS(BASE!$G:$G,BASE!$B:$B,$B435,BASE!$L:$L,$G435,BASE!$J:$J,$C435,BASE!$A:$A,R$2)</f>
        <v>7</v>
      </c>
      <c r="S435" s="12">
        <f>SUMIFS(BASE!$G:$G,BASE!$B:$B,$B435,BASE!$L:$L,$G435,BASE!$J:$J,$C435,BASE!$A:$A,S$2)</f>
        <v>0</v>
      </c>
      <c r="T435" s="12">
        <f>SUMIFS(BASE!$G:$G,BASE!$B:$B,$B435,BASE!$L:$L,$G435,BASE!$J:$J,$C435,BASE!$A:$A,T$2)</f>
        <v>0</v>
      </c>
      <c r="U435" s="12">
        <f>SUMIFS(BASE!$G:$G,BASE!$B:$B,$B435,BASE!$L:$L,$G435,BASE!$J:$J,$C435,BASE!$A:$A,U$2)</f>
        <v>0</v>
      </c>
      <c r="V435" s="12">
        <f>SUMIFS(BASE!$G:$G,BASE!$B:$B,$B435,BASE!$L:$L,$G435,BASE!$J:$J,$C435,BASE!$A:$A,V$2)</f>
        <v>0</v>
      </c>
      <c r="X435" t="str">
        <f t="shared" si="13"/>
        <v>COM TROCAS</v>
      </c>
    </row>
    <row r="436" spans="2:24">
      <c r="B436" s="8" t="s">
        <v>1033</v>
      </c>
      <c r="C436" s="9" t="s">
        <v>151</v>
      </c>
      <c r="D436" s="9" t="s">
        <v>955</v>
      </c>
      <c r="E436" s="9" t="s">
        <v>947</v>
      </c>
      <c r="F436" s="9" t="s">
        <v>995</v>
      </c>
      <c r="G436" s="9" t="s">
        <v>60</v>
      </c>
      <c r="H436" s="7" t="str">
        <f>IFERROR(IF(_xlfn.XLOOKUP(B436,REPASSE!D:D,REPASSE!D:D)="","Não","Sim"),"Não")</f>
        <v>Não</v>
      </c>
      <c r="I436" s="7" t="str">
        <f>IF(_xlfn.XLOOKUP(B436,'BOOST LIBERADO'!B:B,'BOOST LIBERADO'!B:B,"Não")="Não","Não","Sim")</f>
        <v>Sim</v>
      </c>
      <c r="J436" s="83" t="str">
        <f t="shared" si="12"/>
        <v>Sim</v>
      </c>
      <c r="K436" s="12">
        <f>SUMIFS(BASE!$G:$G,BASE!$B:$B,$B436,BASE!$L:$L,$G436,BASE!$J:$J,$C436,BASE!$A:$A,K$2)</f>
        <v>0</v>
      </c>
      <c r="L436" s="12">
        <f>SUMIFS(BASE!$G:$G,BASE!$B:$B,$B436,BASE!$L:$L,$G436,BASE!$J:$J,$C436,BASE!$A:$A,L$2)</f>
        <v>0</v>
      </c>
      <c r="M436" s="12">
        <f>SUMIFS(BASE!$G:$G,BASE!$B:$B,$B436,BASE!$L:$L,$G436,BASE!$J:$J,$C436,BASE!$A:$A,M$2)</f>
        <v>0</v>
      </c>
      <c r="N436" s="12">
        <f>SUMIFS(BASE!$G:$G,BASE!$B:$B,$B436,BASE!$L:$L,$G436,BASE!$J:$J,$C436,BASE!$A:$A,N$2)</f>
        <v>0</v>
      </c>
      <c r="O436" s="12">
        <f>SUMIFS(BASE!$G:$G,BASE!$B:$B,$B436,BASE!$L:$L,$G436,BASE!$J:$J,$C436,BASE!$A:$A,O$2)</f>
        <v>0</v>
      </c>
      <c r="P436" s="12">
        <f>SUMIFS(BASE!$G:$G,BASE!$B:$B,$B436,BASE!$L:$L,$G436,BASE!$J:$J,$C436,BASE!$A:$A,P$2)</f>
        <v>0</v>
      </c>
      <c r="Q436" s="12">
        <f>SUMIFS(BASE!$G:$G,BASE!$B:$B,$B436,BASE!$L:$L,$G436,BASE!$J:$J,$C436,BASE!$A:$A,Q$2)</f>
        <v>0</v>
      </c>
      <c r="R436" s="12">
        <f>SUMIFS(BASE!$G:$G,BASE!$B:$B,$B436,BASE!$L:$L,$G436,BASE!$J:$J,$C436,BASE!$A:$A,R$2)</f>
        <v>0</v>
      </c>
      <c r="S436" s="12">
        <f>SUMIFS(BASE!$G:$G,BASE!$B:$B,$B436,BASE!$L:$L,$G436,BASE!$J:$J,$C436,BASE!$A:$A,S$2)</f>
        <v>0</v>
      </c>
      <c r="T436" s="12">
        <f>SUMIFS(BASE!$G:$G,BASE!$B:$B,$B436,BASE!$L:$L,$G436,BASE!$J:$J,$C436,BASE!$A:$A,T$2)</f>
        <v>0</v>
      </c>
      <c r="U436" s="12">
        <f>SUMIFS(BASE!$G:$G,BASE!$B:$B,$B436,BASE!$L:$L,$G436,BASE!$J:$J,$C436,BASE!$A:$A,U$2)</f>
        <v>0</v>
      </c>
      <c r="V436" s="12">
        <f>SUMIFS(BASE!$G:$G,BASE!$B:$B,$B436,BASE!$L:$L,$G436,BASE!$J:$J,$C436,BASE!$A:$A,V$2)</f>
        <v>0</v>
      </c>
      <c r="X436" t="str">
        <f t="shared" si="13"/>
        <v>ZERADO</v>
      </c>
    </row>
    <row r="437" spans="2:24">
      <c r="B437" s="8" t="s">
        <v>1034</v>
      </c>
      <c r="C437" s="9" t="s">
        <v>109</v>
      </c>
      <c r="D437" s="9" t="s">
        <v>946</v>
      </c>
      <c r="E437" s="9" t="s">
        <v>947</v>
      </c>
      <c r="F437" s="9" t="s">
        <v>1035</v>
      </c>
      <c r="G437" s="9" t="s">
        <v>60</v>
      </c>
      <c r="H437" s="7" t="str">
        <f>IFERROR(IF(_xlfn.XLOOKUP(B437,REPASSE!D:D,REPASSE!D:D)="","Não","Sim"),"Não")</f>
        <v>Não</v>
      </c>
      <c r="I437" s="7" t="str">
        <f>IF(_xlfn.XLOOKUP(B437,'BOOST LIBERADO'!B:B,'BOOST LIBERADO'!B:B,"Não")="Não","Não","Sim")</f>
        <v>Sim</v>
      </c>
      <c r="J437" s="83" t="str">
        <f t="shared" si="12"/>
        <v>Sim</v>
      </c>
      <c r="K437" s="12">
        <f>SUMIFS(BASE!$G:$G,BASE!$B:$B,$B437,BASE!$L:$L,$G437,BASE!$J:$J,$C437,BASE!$A:$A,K$2)</f>
        <v>0</v>
      </c>
      <c r="L437" s="12">
        <f>SUMIFS(BASE!$G:$G,BASE!$B:$B,$B437,BASE!$L:$L,$G437,BASE!$J:$J,$C437,BASE!$A:$A,L$2)</f>
        <v>0</v>
      </c>
      <c r="M437" s="12">
        <f>SUMIFS(BASE!$G:$G,BASE!$B:$B,$B437,BASE!$L:$L,$G437,BASE!$J:$J,$C437,BASE!$A:$A,M$2)</f>
        <v>0</v>
      </c>
      <c r="N437" s="12">
        <f>SUMIFS(BASE!$G:$G,BASE!$B:$B,$B437,BASE!$L:$L,$G437,BASE!$J:$J,$C437,BASE!$A:$A,N$2)</f>
        <v>0</v>
      </c>
      <c r="O437" s="12">
        <f>SUMIFS(BASE!$G:$G,BASE!$B:$B,$B437,BASE!$L:$L,$G437,BASE!$J:$J,$C437,BASE!$A:$A,O$2)</f>
        <v>0</v>
      </c>
      <c r="P437" s="12">
        <f>SUMIFS(BASE!$G:$G,BASE!$B:$B,$B437,BASE!$L:$L,$G437,BASE!$J:$J,$C437,BASE!$A:$A,P$2)</f>
        <v>0</v>
      </c>
      <c r="Q437" s="12">
        <f>SUMIFS(BASE!$G:$G,BASE!$B:$B,$B437,BASE!$L:$L,$G437,BASE!$J:$J,$C437,BASE!$A:$A,Q$2)</f>
        <v>0</v>
      </c>
      <c r="R437" s="12">
        <f>SUMIFS(BASE!$G:$G,BASE!$B:$B,$B437,BASE!$L:$L,$G437,BASE!$J:$J,$C437,BASE!$A:$A,R$2)</f>
        <v>0</v>
      </c>
      <c r="S437" s="12">
        <f>SUMIFS(BASE!$G:$G,BASE!$B:$B,$B437,BASE!$L:$L,$G437,BASE!$J:$J,$C437,BASE!$A:$A,S$2)</f>
        <v>0</v>
      </c>
      <c r="T437" s="12">
        <f>SUMIFS(BASE!$G:$G,BASE!$B:$B,$B437,BASE!$L:$L,$G437,BASE!$J:$J,$C437,BASE!$A:$A,T$2)</f>
        <v>0</v>
      </c>
      <c r="U437" s="12">
        <f>SUMIFS(BASE!$G:$G,BASE!$B:$B,$B437,BASE!$L:$L,$G437,BASE!$J:$J,$C437,BASE!$A:$A,U$2)</f>
        <v>0</v>
      </c>
      <c r="V437" s="12">
        <f>SUMIFS(BASE!$G:$G,BASE!$B:$B,$B437,BASE!$L:$L,$G437,BASE!$J:$J,$C437,BASE!$A:$A,V$2)</f>
        <v>0</v>
      </c>
      <c r="X437" t="str">
        <f t="shared" si="13"/>
        <v>ZERADO</v>
      </c>
    </row>
    <row r="438" spans="2:24">
      <c r="B438" s="8" t="s">
        <v>1036</v>
      </c>
      <c r="C438" s="9" t="s">
        <v>236</v>
      </c>
      <c r="D438" s="9" t="s">
        <v>987</v>
      </c>
      <c r="E438" s="9" t="s">
        <v>939</v>
      </c>
      <c r="F438" s="9" t="s">
        <v>1037</v>
      </c>
      <c r="G438" s="9" t="s">
        <v>60</v>
      </c>
      <c r="H438" s="7" t="str">
        <f>IFERROR(IF(_xlfn.XLOOKUP(B438,REPASSE!D:D,REPASSE!D:D)="","Não","Sim"),"Não")</f>
        <v>Não</v>
      </c>
      <c r="I438" s="7" t="str">
        <f>IF(_xlfn.XLOOKUP(B438,'BOOST LIBERADO'!B:B,'BOOST LIBERADO'!B:B,"Não")="Não","Não","Sim")</f>
        <v>Sim</v>
      </c>
      <c r="J438" s="83" t="str">
        <f t="shared" si="12"/>
        <v>Sim</v>
      </c>
      <c r="K438" s="12">
        <f>SUMIFS(BASE!$G:$G,BASE!$B:$B,$B438,BASE!$L:$L,$G438,BASE!$J:$J,$C438,BASE!$A:$A,K$2)</f>
        <v>0</v>
      </c>
      <c r="L438" s="12">
        <f>SUMIFS(BASE!$G:$G,BASE!$B:$B,$B438,BASE!$L:$L,$G438,BASE!$J:$J,$C438,BASE!$A:$A,L$2)</f>
        <v>0</v>
      </c>
      <c r="M438" s="12">
        <f>SUMIFS(BASE!$G:$G,BASE!$B:$B,$B438,BASE!$L:$L,$G438,BASE!$J:$J,$C438,BASE!$A:$A,M$2)</f>
        <v>0</v>
      </c>
      <c r="N438" s="12">
        <f>SUMIFS(BASE!$G:$G,BASE!$B:$B,$B438,BASE!$L:$L,$G438,BASE!$J:$J,$C438,BASE!$A:$A,N$2)</f>
        <v>0</v>
      </c>
      <c r="O438" s="12">
        <f>SUMIFS(BASE!$G:$G,BASE!$B:$B,$B438,BASE!$L:$L,$G438,BASE!$J:$J,$C438,BASE!$A:$A,O$2)</f>
        <v>0</v>
      </c>
      <c r="P438" s="12">
        <f>SUMIFS(BASE!$G:$G,BASE!$B:$B,$B438,BASE!$L:$L,$G438,BASE!$J:$J,$C438,BASE!$A:$A,P$2)</f>
        <v>0</v>
      </c>
      <c r="Q438" s="12">
        <f>SUMIFS(BASE!$G:$G,BASE!$B:$B,$B438,BASE!$L:$L,$G438,BASE!$J:$J,$C438,BASE!$A:$A,Q$2)</f>
        <v>0</v>
      </c>
      <c r="R438" s="12">
        <f>SUMIFS(BASE!$G:$G,BASE!$B:$B,$B438,BASE!$L:$L,$G438,BASE!$J:$J,$C438,BASE!$A:$A,R$2)</f>
        <v>0</v>
      </c>
      <c r="S438" s="12">
        <f>SUMIFS(BASE!$G:$G,BASE!$B:$B,$B438,BASE!$L:$L,$G438,BASE!$J:$J,$C438,BASE!$A:$A,S$2)</f>
        <v>0</v>
      </c>
      <c r="T438" s="12">
        <f>SUMIFS(BASE!$G:$G,BASE!$B:$B,$B438,BASE!$L:$L,$G438,BASE!$J:$J,$C438,BASE!$A:$A,T$2)</f>
        <v>0</v>
      </c>
      <c r="U438" s="12">
        <f>SUMIFS(BASE!$G:$G,BASE!$B:$B,$B438,BASE!$L:$L,$G438,BASE!$J:$J,$C438,BASE!$A:$A,U$2)</f>
        <v>0</v>
      </c>
      <c r="V438" s="12">
        <f>SUMIFS(BASE!$G:$G,BASE!$B:$B,$B438,BASE!$L:$L,$G438,BASE!$J:$J,$C438,BASE!$A:$A,V$2)</f>
        <v>0</v>
      </c>
      <c r="X438" t="str">
        <f t="shared" si="13"/>
        <v>ZERADO</v>
      </c>
    </row>
    <row r="439" spans="2:24">
      <c r="B439" s="8" t="s">
        <v>1038</v>
      </c>
      <c r="C439" s="9" t="s">
        <v>136</v>
      </c>
      <c r="D439" s="9" t="s">
        <v>971</v>
      </c>
      <c r="E439" s="9" t="s">
        <v>972</v>
      </c>
      <c r="F439" s="9" t="s">
        <v>1039</v>
      </c>
      <c r="G439" s="9" t="s">
        <v>60</v>
      </c>
      <c r="H439" s="7" t="str">
        <f>IFERROR(IF(_xlfn.XLOOKUP(B439,REPASSE!D:D,REPASSE!D:D)="","Não","Sim"),"Não")</f>
        <v>Não</v>
      </c>
      <c r="I439" s="7" t="str">
        <f>IF(_xlfn.XLOOKUP(B439,'BOOST LIBERADO'!B:B,'BOOST LIBERADO'!B:B,"Não")="Não","Não","Sim")</f>
        <v>Não</v>
      </c>
      <c r="J439" s="83" t="str">
        <f t="shared" si="12"/>
        <v>Não</v>
      </c>
      <c r="K439" s="12">
        <f>SUMIFS(BASE!$G:$G,BASE!$B:$B,$B439,BASE!$L:$L,$G439,BASE!$J:$J,$C439,BASE!$A:$A,K$2)</f>
        <v>0</v>
      </c>
      <c r="L439" s="12">
        <f>SUMIFS(BASE!$G:$G,BASE!$B:$B,$B439,BASE!$L:$L,$G439,BASE!$J:$J,$C439,BASE!$A:$A,L$2)</f>
        <v>0</v>
      </c>
      <c r="M439" s="12">
        <f>SUMIFS(BASE!$G:$G,BASE!$B:$B,$B439,BASE!$L:$L,$G439,BASE!$J:$J,$C439,BASE!$A:$A,M$2)</f>
        <v>0</v>
      </c>
      <c r="N439" s="12">
        <f>SUMIFS(BASE!$G:$G,BASE!$B:$B,$B439,BASE!$L:$L,$G439,BASE!$J:$J,$C439,BASE!$A:$A,N$2)</f>
        <v>0</v>
      </c>
      <c r="O439" s="12">
        <f>SUMIFS(BASE!$G:$G,BASE!$B:$B,$B439,BASE!$L:$L,$G439,BASE!$J:$J,$C439,BASE!$A:$A,O$2)</f>
        <v>0</v>
      </c>
      <c r="P439" s="12">
        <f>SUMIFS(BASE!$G:$G,BASE!$B:$B,$B439,BASE!$L:$L,$G439,BASE!$J:$J,$C439,BASE!$A:$A,P$2)</f>
        <v>0</v>
      </c>
      <c r="Q439" s="12">
        <f>SUMIFS(BASE!$G:$G,BASE!$B:$B,$B439,BASE!$L:$L,$G439,BASE!$J:$J,$C439,BASE!$A:$A,Q$2)</f>
        <v>0</v>
      </c>
      <c r="R439" s="12">
        <f>SUMIFS(BASE!$G:$G,BASE!$B:$B,$B439,BASE!$L:$L,$G439,BASE!$J:$J,$C439,BASE!$A:$A,R$2)</f>
        <v>0</v>
      </c>
      <c r="S439" s="12">
        <f>SUMIFS(BASE!$G:$G,BASE!$B:$B,$B439,BASE!$L:$L,$G439,BASE!$J:$J,$C439,BASE!$A:$A,S$2)</f>
        <v>0</v>
      </c>
      <c r="T439" s="12">
        <f>SUMIFS(BASE!$G:$G,BASE!$B:$B,$B439,BASE!$L:$L,$G439,BASE!$J:$J,$C439,BASE!$A:$A,T$2)</f>
        <v>0</v>
      </c>
      <c r="U439" s="12">
        <f>SUMIFS(BASE!$G:$G,BASE!$B:$B,$B439,BASE!$L:$L,$G439,BASE!$J:$J,$C439,BASE!$A:$A,U$2)</f>
        <v>0</v>
      </c>
      <c r="V439" s="12">
        <f>SUMIFS(BASE!$G:$G,BASE!$B:$B,$B439,BASE!$L:$L,$G439,BASE!$J:$J,$C439,BASE!$A:$A,V$2)</f>
        <v>0</v>
      </c>
      <c r="X439" t="str">
        <f t="shared" si="13"/>
        <v>ZERADO</v>
      </c>
    </row>
    <row r="440" spans="2:24">
      <c r="B440" s="8" t="s">
        <v>1040</v>
      </c>
      <c r="C440" s="9" t="s">
        <v>99</v>
      </c>
      <c r="D440" s="9" t="s">
        <v>942</v>
      </c>
      <c r="E440" s="9" t="s">
        <v>943</v>
      </c>
      <c r="F440" s="9" t="s">
        <v>1041</v>
      </c>
      <c r="G440" s="9" t="s">
        <v>60</v>
      </c>
      <c r="H440" s="7" t="str">
        <f>IFERROR(IF(_xlfn.XLOOKUP(B440,REPASSE!D:D,REPASSE!D:D)="","Não","Sim"),"Não")</f>
        <v>Não</v>
      </c>
      <c r="I440" s="7" t="str">
        <f>IF(_xlfn.XLOOKUP(B440,'BOOST LIBERADO'!B:B,'BOOST LIBERADO'!B:B,"Não")="Não","Não","Sim")</f>
        <v>Sim</v>
      </c>
      <c r="J440" s="83" t="str">
        <f t="shared" si="12"/>
        <v>Sim</v>
      </c>
      <c r="K440" s="12">
        <f>SUMIFS(BASE!$G:$G,BASE!$B:$B,$B440,BASE!$L:$L,$G440,BASE!$J:$J,$C440,BASE!$A:$A,K$2)</f>
        <v>0</v>
      </c>
      <c r="L440" s="12">
        <f>SUMIFS(BASE!$G:$G,BASE!$B:$B,$B440,BASE!$L:$L,$G440,BASE!$J:$J,$C440,BASE!$A:$A,L$2)</f>
        <v>0</v>
      </c>
      <c r="M440" s="12">
        <f>SUMIFS(BASE!$G:$G,BASE!$B:$B,$B440,BASE!$L:$L,$G440,BASE!$J:$J,$C440,BASE!$A:$A,M$2)</f>
        <v>0</v>
      </c>
      <c r="N440" s="12">
        <f>SUMIFS(BASE!$G:$G,BASE!$B:$B,$B440,BASE!$L:$L,$G440,BASE!$J:$J,$C440,BASE!$A:$A,N$2)</f>
        <v>0</v>
      </c>
      <c r="O440" s="12">
        <f>SUMIFS(BASE!$G:$G,BASE!$B:$B,$B440,BASE!$L:$L,$G440,BASE!$J:$J,$C440,BASE!$A:$A,O$2)</f>
        <v>0</v>
      </c>
      <c r="P440" s="12">
        <f>SUMIFS(BASE!$G:$G,BASE!$B:$B,$B440,BASE!$L:$L,$G440,BASE!$J:$J,$C440,BASE!$A:$A,P$2)</f>
        <v>0</v>
      </c>
      <c r="Q440" s="12">
        <f>SUMIFS(BASE!$G:$G,BASE!$B:$B,$B440,BASE!$L:$L,$G440,BASE!$J:$J,$C440,BASE!$A:$A,Q$2)</f>
        <v>0</v>
      </c>
      <c r="R440" s="12">
        <f>SUMIFS(BASE!$G:$G,BASE!$B:$B,$B440,BASE!$L:$L,$G440,BASE!$J:$J,$C440,BASE!$A:$A,R$2)</f>
        <v>0</v>
      </c>
      <c r="S440" s="12">
        <f>SUMIFS(BASE!$G:$G,BASE!$B:$B,$B440,BASE!$L:$L,$G440,BASE!$J:$J,$C440,BASE!$A:$A,S$2)</f>
        <v>0</v>
      </c>
      <c r="T440" s="12">
        <f>SUMIFS(BASE!$G:$G,BASE!$B:$B,$B440,BASE!$L:$L,$G440,BASE!$J:$J,$C440,BASE!$A:$A,T$2)</f>
        <v>0</v>
      </c>
      <c r="U440" s="12">
        <f>SUMIFS(BASE!$G:$G,BASE!$B:$B,$B440,BASE!$L:$L,$G440,BASE!$J:$J,$C440,BASE!$A:$A,U$2)</f>
        <v>0</v>
      </c>
      <c r="V440" s="12">
        <f>SUMIFS(BASE!$G:$G,BASE!$B:$B,$B440,BASE!$L:$L,$G440,BASE!$J:$J,$C440,BASE!$A:$A,V$2)</f>
        <v>0</v>
      </c>
      <c r="X440" t="str">
        <f t="shared" si="13"/>
        <v>ZERADO</v>
      </c>
    </row>
    <row r="441" spans="2:24">
      <c r="B441" s="8" t="s">
        <v>1042</v>
      </c>
      <c r="C441" s="8" t="s">
        <v>232</v>
      </c>
      <c r="D441" s="8" t="s">
        <v>1016</v>
      </c>
      <c r="E441" s="8" t="s">
        <v>1001</v>
      </c>
      <c r="F441" s="8" t="s">
        <v>1017</v>
      </c>
      <c r="G441" s="8" t="s">
        <v>60</v>
      </c>
      <c r="H441" s="7" t="str">
        <f>IFERROR(IF(_xlfn.XLOOKUP(B441,REPASSE!D:D,REPASSE!D:D)="","Não","Sim"),"Não")</f>
        <v>Não</v>
      </c>
      <c r="I441" s="7" t="str">
        <f>IF(_xlfn.XLOOKUP(B441,'BOOST LIBERADO'!B:B,'BOOST LIBERADO'!B:B,"Não")="Não","Não","Sim")</f>
        <v>Sim</v>
      </c>
      <c r="J441" s="83" t="str">
        <f t="shared" si="12"/>
        <v>Sim</v>
      </c>
      <c r="K441" s="12">
        <f>SUMIFS(BASE!$G:$G,BASE!$B:$B,$B441,BASE!$L:$L,$G441,BASE!$J:$J,$C441,BASE!$A:$A,K$2)</f>
        <v>3</v>
      </c>
      <c r="L441" s="12">
        <f>SUMIFS(BASE!$G:$G,BASE!$B:$B,$B441,BASE!$L:$L,$G441,BASE!$J:$J,$C441,BASE!$A:$A,L$2)</f>
        <v>1</v>
      </c>
      <c r="M441" s="12">
        <f>SUMIFS(BASE!$G:$G,BASE!$B:$B,$B441,BASE!$L:$L,$G441,BASE!$J:$J,$C441,BASE!$A:$A,M$2)</f>
        <v>1</v>
      </c>
      <c r="N441" s="12">
        <f>SUMIFS(BASE!$G:$G,BASE!$B:$B,$B441,BASE!$L:$L,$G441,BASE!$J:$J,$C441,BASE!$A:$A,N$2)</f>
        <v>5</v>
      </c>
      <c r="O441" s="12">
        <f>SUMIFS(BASE!$G:$G,BASE!$B:$B,$B441,BASE!$L:$L,$G441,BASE!$J:$J,$C441,BASE!$A:$A,O$2)</f>
        <v>2</v>
      </c>
      <c r="P441" s="12">
        <f>SUMIFS(BASE!$G:$G,BASE!$B:$B,$B441,BASE!$L:$L,$G441,BASE!$J:$J,$C441,BASE!$A:$A,P$2)</f>
        <v>2</v>
      </c>
      <c r="Q441" s="12">
        <f>SUMIFS(BASE!$G:$G,BASE!$B:$B,$B441,BASE!$L:$L,$G441,BASE!$J:$J,$C441,BASE!$A:$A,Q$2)</f>
        <v>3</v>
      </c>
      <c r="R441" s="12">
        <f>SUMIFS(BASE!$G:$G,BASE!$B:$B,$B441,BASE!$L:$L,$G441,BASE!$J:$J,$C441,BASE!$A:$A,R$2)</f>
        <v>2</v>
      </c>
      <c r="S441" s="12">
        <f>SUMIFS(BASE!$G:$G,BASE!$B:$B,$B441,BASE!$L:$L,$G441,BASE!$J:$J,$C441,BASE!$A:$A,S$2)</f>
        <v>0</v>
      </c>
      <c r="T441" s="12">
        <f>SUMIFS(BASE!$G:$G,BASE!$B:$B,$B441,BASE!$L:$L,$G441,BASE!$J:$J,$C441,BASE!$A:$A,T$2)</f>
        <v>0</v>
      </c>
      <c r="U441" s="12">
        <f>SUMIFS(BASE!$G:$G,BASE!$B:$B,$B441,BASE!$L:$L,$G441,BASE!$J:$J,$C441,BASE!$A:$A,U$2)</f>
        <v>0</v>
      </c>
      <c r="V441" s="12">
        <f>SUMIFS(BASE!$G:$G,BASE!$B:$B,$B441,BASE!$L:$L,$G441,BASE!$J:$J,$C441,BASE!$A:$A,V$2)</f>
        <v>0</v>
      </c>
      <c r="X441" t="str">
        <f t="shared" si="13"/>
        <v>COM TROCAS</v>
      </c>
    </row>
    <row r="442" spans="2:24">
      <c r="B442" s="8" t="s">
        <v>1043</v>
      </c>
      <c r="C442" s="9" t="s">
        <v>101</v>
      </c>
      <c r="D442" s="9" t="s">
        <v>987</v>
      </c>
      <c r="E442" s="9" t="s">
        <v>939</v>
      </c>
      <c r="F442" s="9" t="s">
        <v>988</v>
      </c>
      <c r="G442" s="9" t="s">
        <v>60</v>
      </c>
      <c r="H442" s="7" t="str">
        <f>IFERROR(IF(_xlfn.XLOOKUP(B442,REPASSE!D:D,REPASSE!D:D)="","Não","Sim"),"Não")</f>
        <v>Não</v>
      </c>
      <c r="I442" s="7" t="str">
        <f>IF(_xlfn.XLOOKUP(B442,'BOOST LIBERADO'!B:B,'BOOST LIBERADO'!B:B,"Não")="Não","Não","Sim")</f>
        <v>Sim</v>
      </c>
      <c r="J442" s="83" t="str">
        <f t="shared" si="12"/>
        <v>Sim</v>
      </c>
      <c r="K442" s="12">
        <f>SUMIFS(BASE!$G:$G,BASE!$B:$B,$B442,BASE!$L:$L,$G442,BASE!$J:$J,$C442,BASE!$A:$A,K$2)</f>
        <v>0</v>
      </c>
      <c r="L442" s="12">
        <f>SUMIFS(BASE!$G:$G,BASE!$B:$B,$B442,BASE!$L:$L,$G442,BASE!$J:$J,$C442,BASE!$A:$A,L$2)</f>
        <v>0</v>
      </c>
      <c r="M442" s="12">
        <f>SUMIFS(BASE!$G:$G,BASE!$B:$B,$B442,BASE!$L:$L,$G442,BASE!$J:$J,$C442,BASE!$A:$A,M$2)</f>
        <v>0</v>
      </c>
      <c r="N442" s="12">
        <f>SUMIFS(BASE!$G:$G,BASE!$B:$B,$B442,BASE!$L:$L,$G442,BASE!$J:$J,$C442,BASE!$A:$A,N$2)</f>
        <v>0</v>
      </c>
      <c r="O442" s="12">
        <f>SUMIFS(BASE!$G:$G,BASE!$B:$B,$B442,BASE!$L:$L,$G442,BASE!$J:$J,$C442,BASE!$A:$A,O$2)</f>
        <v>0</v>
      </c>
      <c r="P442" s="12">
        <f>SUMIFS(BASE!$G:$G,BASE!$B:$B,$B442,BASE!$L:$L,$G442,BASE!$J:$J,$C442,BASE!$A:$A,P$2)</f>
        <v>0</v>
      </c>
      <c r="Q442" s="12">
        <f>SUMIFS(BASE!$G:$G,BASE!$B:$B,$B442,BASE!$L:$L,$G442,BASE!$J:$J,$C442,BASE!$A:$A,Q$2)</f>
        <v>0</v>
      </c>
      <c r="R442" s="12">
        <f>SUMIFS(BASE!$G:$G,BASE!$B:$B,$B442,BASE!$L:$L,$G442,BASE!$J:$J,$C442,BASE!$A:$A,R$2)</f>
        <v>0</v>
      </c>
      <c r="S442" s="12">
        <f>SUMIFS(BASE!$G:$G,BASE!$B:$B,$B442,BASE!$L:$L,$G442,BASE!$J:$J,$C442,BASE!$A:$A,S$2)</f>
        <v>0</v>
      </c>
      <c r="T442" s="12">
        <f>SUMIFS(BASE!$G:$G,BASE!$B:$B,$B442,BASE!$L:$L,$G442,BASE!$J:$J,$C442,BASE!$A:$A,T$2)</f>
        <v>0</v>
      </c>
      <c r="U442" s="12">
        <f>SUMIFS(BASE!$G:$G,BASE!$B:$B,$B442,BASE!$L:$L,$G442,BASE!$J:$J,$C442,BASE!$A:$A,U$2)</f>
        <v>0</v>
      </c>
      <c r="V442" s="12">
        <f>SUMIFS(BASE!$G:$G,BASE!$B:$B,$B442,BASE!$L:$L,$G442,BASE!$J:$J,$C442,BASE!$A:$A,V$2)</f>
        <v>0</v>
      </c>
      <c r="X442" t="str">
        <f t="shared" si="13"/>
        <v>ZERADO</v>
      </c>
    </row>
    <row r="443" spans="2:24">
      <c r="B443" s="8" t="s">
        <v>1044</v>
      </c>
      <c r="C443" s="8" t="s">
        <v>155</v>
      </c>
      <c r="D443" s="8" t="s">
        <v>987</v>
      </c>
      <c r="E443" s="8" t="s">
        <v>939</v>
      </c>
      <c r="F443" s="8" t="s">
        <v>1045</v>
      </c>
      <c r="G443" s="8" t="s">
        <v>60</v>
      </c>
      <c r="H443" s="7" t="str">
        <f>IFERROR(IF(_xlfn.XLOOKUP(B443,REPASSE!D:D,REPASSE!D:D)="","Não","Sim"),"Não")</f>
        <v>Não</v>
      </c>
      <c r="I443" s="7" t="str">
        <f>IF(_xlfn.XLOOKUP(B443,'BOOST LIBERADO'!B:B,'BOOST LIBERADO'!B:B,"Não")="Não","Não","Sim")</f>
        <v>Sim</v>
      </c>
      <c r="J443" s="83" t="str">
        <f t="shared" si="12"/>
        <v>Sim</v>
      </c>
      <c r="K443" s="12">
        <f>SUMIFS(BASE!$G:$G,BASE!$B:$B,$B443,BASE!$L:$L,$G443,BASE!$J:$J,$C443,BASE!$A:$A,K$2)</f>
        <v>0</v>
      </c>
      <c r="L443" s="12">
        <f>SUMIFS(BASE!$G:$G,BASE!$B:$B,$B443,BASE!$L:$L,$G443,BASE!$J:$J,$C443,BASE!$A:$A,L$2)</f>
        <v>0</v>
      </c>
      <c r="M443" s="12">
        <f>SUMIFS(BASE!$G:$G,BASE!$B:$B,$B443,BASE!$L:$L,$G443,BASE!$J:$J,$C443,BASE!$A:$A,M$2)</f>
        <v>0</v>
      </c>
      <c r="N443" s="12">
        <f>SUMIFS(BASE!$G:$G,BASE!$B:$B,$B443,BASE!$L:$L,$G443,BASE!$J:$J,$C443,BASE!$A:$A,N$2)</f>
        <v>0</v>
      </c>
      <c r="O443" s="12">
        <f>SUMIFS(BASE!$G:$G,BASE!$B:$B,$B443,BASE!$L:$L,$G443,BASE!$J:$J,$C443,BASE!$A:$A,O$2)</f>
        <v>0</v>
      </c>
      <c r="P443" s="12">
        <f>SUMIFS(BASE!$G:$G,BASE!$B:$B,$B443,BASE!$L:$L,$G443,BASE!$J:$J,$C443,BASE!$A:$A,P$2)</f>
        <v>0</v>
      </c>
      <c r="Q443" s="12">
        <f>SUMIFS(BASE!$G:$G,BASE!$B:$B,$B443,BASE!$L:$L,$G443,BASE!$J:$J,$C443,BASE!$A:$A,Q$2)</f>
        <v>0</v>
      </c>
      <c r="R443" s="12">
        <f>SUMIFS(BASE!$G:$G,BASE!$B:$B,$B443,BASE!$L:$L,$G443,BASE!$J:$J,$C443,BASE!$A:$A,R$2)</f>
        <v>0</v>
      </c>
      <c r="S443" s="12">
        <f>SUMIFS(BASE!$G:$G,BASE!$B:$B,$B443,BASE!$L:$L,$G443,BASE!$J:$J,$C443,BASE!$A:$A,S$2)</f>
        <v>0</v>
      </c>
      <c r="T443" s="12">
        <f>SUMIFS(BASE!$G:$G,BASE!$B:$B,$B443,BASE!$L:$L,$G443,BASE!$J:$J,$C443,BASE!$A:$A,T$2)</f>
        <v>0</v>
      </c>
      <c r="U443" s="12">
        <f>SUMIFS(BASE!$G:$G,BASE!$B:$B,$B443,BASE!$L:$L,$G443,BASE!$J:$J,$C443,BASE!$A:$A,U$2)</f>
        <v>0</v>
      </c>
      <c r="V443" s="12">
        <f>SUMIFS(BASE!$G:$G,BASE!$B:$B,$B443,BASE!$L:$L,$G443,BASE!$J:$J,$C443,BASE!$A:$A,V$2)</f>
        <v>0</v>
      </c>
      <c r="X443" t="str">
        <f t="shared" si="13"/>
        <v>ZERADO</v>
      </c>
    </row>
    <row r="444" spans="2:24">
      <c r="B444" s="8" t="s">
        <v>1046</v>
      </c>
      <c r="C444" s="9" t="s">
        <v>208</v>
      </c>
      <c r="D444" s="9" t="s">
        <v>971</v>
      </c>
      <c r="E444" s="9" t="s">
        <v>972</v>
      </c>
      <c r="F444" s="9" t="s">
        <v>1039</v>
      </c>
      <c r="G444" s="9" t="s">
        <v>60</v>
      </c>
      <c r="H444" s="7" t="str">
        <f>IFERROR(IF(_xlfn.XLOOKUP(B444,REPASSE!D:D,REPASSE!D:D)="","Não","Sim"),"Não")</f>
        <v>Não</v>
      </c>
      <c r="I444" s="7" t="str">
        <f>IF(_xlfn.XLOOKUP(B444,'BOOST LIBERADO'!B:B,'BOOST LIBERADO'!B:B,"Não")="Não","Não","Sim")</f>
        <v>Sim</v>
      </c>
      <c r="J444" s="83" t="str">
        <f t="shared" si="12"/>
        <v>Sim</v>
      </c>
      <c r="K444" s="12">
        <f>SUMIFS(BASE!$G:$G,BASE!$B:$B,$B444,BASE!$L:$L,$G444,BASE!$J:$J,$C444,BASE!$A:$A,K$2)</f>
        <v>0</v>
      </c>
      <c r="L444" s="12">
        <f>SUMIFS(BASE!$G:$G,BASE!$B:$B,$B444,BASE!$L:$L,$G444,BASE!$J:$J,$C444,BASE!$A:$A,L$2)</f>
        <v>0</v>
      </c>
      <c r="M444" s="12">
        <f>SUMIFS(BASE!$G:$G,BASE!$B:$B,$B444,BASE!$L:$L,$G444,BASE!$J:$J,$C444,BASE!$A:$A,M$2)</f>
        <v>0</v>
      </c>
      <c r="N444" s="12">
        <f>SUMIFS(BASE!$G:$G,BASE!$B:$B,$B444,BASE!$L:$L,$G444,BASE!$J:$J,$C444,BASE!$A:$A,N$2)</f>
        <v>0</v>
      </c>
      <c r="O444" s="12">
        <f>SUMIFS(BASE!$G:$G,BASE!$B:$B,$B444,BASE!$L:$L,$G444,BASE!$J:$J,$C444,BASE!$A:$A,O$2)</f>
        <v>0</v>
      </c>
      <c r="P444" s="12">
        <f>SUMIFS(BASE!$G:$G,BASE!$B:$B,$B444,BASE!$L:$L,$G444,BASE!$J:$J,$C444,BASE!$A:$A,P$2)</f>
        <v>0</v>
      </c>
      <c r="Q444" s="12">
        <f>SUMIFS(BASE!$G:$G,BASE!$B:$B,$B444,BASE!$L:$L,$G444,BASE!$J:$J,$C444,BASE!$A:$A,Q$2)</f>
        <v>0</v>
      </c>
      <c r="R444" s="12">
        <f>SUMIFS(BASE!$G:$G,BASE!$B:$B,$B444,BASE!$L:$L,$G444,BASE!$J:$J,$C444,BASE!$A:$A,R$2)</f>
        <v>0</v>
      </c>
      <c r="S444" s="12">
        <f>SUMIFS(BASE!$G:$G,BASE!$B:$B,$B444,BASE!$L:$L,$G444,BASE!$J:$J,$C444,BASE!$A:$A,S$2)</f>
        <v>0</v>
      </c>
      <c r="T444" s="12">
        <f>SUMIFS(BASE!$G:$G,BASE!$B:$B,$B444,BASE!$L:$L,$G444,BASE!$J:$J,$C444,BASE!$A:$A,T$2)</f>
        <v>0</v>
      </c>
      <c r="U444" s="12">
        <f>SUMIFS(BASE!$G:$G,BASE!$B:$B,$B444,BASE!$L:$L,$G444,BASE!$J:$J,$C444,BASE!$A:$A,U$2)</f>
        <v>0</v>
      </c>
      <c r="V444" s="12">
        <f>SUMIFS(BASE!$G:$G,BASE!$B:$B,$B444,BASE!$L:$L,$G444,BASE!$J:$J,$C444,BASE!$A:$A,V$2)</f>
        <v>0</v>
      </c>
      <c r="X444" t="str">
        <f t="shared" si="13"/>
        <v>ZERADO</v>
      </c>
    </row>
    <row r="445" spans="2:24">
      <c r="B445" s="8" t="s">
        <v>1047</v>
      </c>
      <c r="C445" s="9" t="s">
        <v>101</v>
      </c>
      <c r="D445" s="9" t="s">
        <v>967</v>
      </c>
      <c r="E445" s="9" t="s">
        <v>968</v>
      </c>
      <c r="F445" s="9" t="s">
        <v>992</v>
      </c>
      <c r="G445" s="9" t="s">
        <v>60</v>
      </c>
      <c r="H445" s="7" t="str">
        <f>IFERROR(IF(_xlfn.XLOOKUP(B445,REPASSE!D:D,REPASSE!D:D)="","Não","Sim"),"Não")</f>
        <v>Não</v>
      </c>
      <c r="I445" s="7" t="str">
        <f>IF(_xlfn.XLOOKUP(B445,'BOOST LIBERADO'!B:B,'BOOST LIBERADO'!B:B,"Não")="Não","Não","Sim")</f>
        <v>Sim</v>
      </c>
      <c r="J445" s="83" t="str">
        <f t="shared" si="12"/>
        <v>Sim</v>
      </c>
      <c r="K445" s="12">
        <f>SUMIFS(BASE!$G:$G,BASE!$B:$B,$B445,BASE!$L:$L,$G445,BASE!$J:$J,$C445,BASE!$A:$A,K$2)</f>
        <v>0</v>
      </c>
      <c r="L445" s="12">
        <f>SUMIFS(BASE!$G:$G,BASE!$B:$B,$B445,BASE!$L:$L,$G445,BASE!$J:$J,$C445,BASE!$A:$A,L$2)</f>
        <v>0</v>
      </c>
      <c r="M445" s="12">
        <f>SUMIFS(BASE!$G:$G,BASE!$B:$B,$B445,BASE!$L:$L,$G445,BASE!$J:$J,$C445,BASE!$A:$A,M$2)</f>
        <v>0</v>
      </c>
      <c r="N445" s="12">
        <f>SUMIFS(BASE!$G:$G,BASE!$B:$B,$B445,BASE!$L:$L,$G445,BASE!$J:$J,$C445,BASE!$A:$A,N$2)</f>
        <v>0</v>
      </c>
      <c r="O445" s="12">
        <f>SUMIFS(BASE!$G:$G,BASE!$B:$B,$B445,BASE!$L:$L,$G445,BASE!$J:$J,$C445,BASE!$A:$A,O$2)</f>
        <v>0</v>
      </c>
      <c r="P445" s="12">
        <f>SUMIFS(BASE!$G:$G,BASE!$B:$B,$B445,BASE!$L:$L,$G445,BASE!$J:$J,$C445,BASE!$A:$A,P$2)</f>
        <v>0</v>
      </c>
      <c r="Q445" s="12">
        <f>SUMIFS(BASE!$G:$G,BASE!$B:$B,$B445,BASE!$L:$L,$G445,BASE!$J:$J,$C445,BASE!$A:$A,Q$2)</f>
        <v>0</v>
      </c>
      <c r="R445" s="12">
        <f>SUMIFS(BASE!$G:$G,BASE!$B:$B,$B445,BASE!$L:$L,$G445,BASE!$J:$J,$C445,BASE!$A:$A,R$2)</f>
        <v>0</v>
      </c>
      <c r="S445" s="12">
        <f>SUMIFS(BASE!$G:$G,BASE!$B:$B,$B445,BASE!$L:$L,$G445,BASE!$J:$J,$C445,BASE!$A:$A,S$2)</f>
        <v>0</v>
      </c>
      <c r="T445" s="12">
        <f>SUMIFS(BASE!$G:$G,BASE!$B:$B,$B445,BASE!$L:$L,$G445,BASE!$J:$J,$C445,BASE!$A:$A,T$2)</f>
        <v>0</v>
      </c>
      <c r="U445" s="12">
        <f>SUMIFS(BASE!$G:$G,BASE!$B:$B,$B445,BASE!$L:$L,$G445,BASE!$J:$J,$C445,BASE!$A:$A,U$2)</f>
        <v>0</v>
      </c>
      <c r="V445" s="12">
        <f>SUMIFS(BASE!$G:$G,BASE!$B:$B,$B445,BASE!$L:$L,$G445,BASE!$J:$J,$C445,BASE!$A:$A,V$2)</f>
        <v>0</v>
      </c>
      <c r="X445" t="str">
        <f t="shared" si="13"/>
        <v>ZERADO</v>
      </c>
    </row>
    <row r="446" spans="2:24">
      <c r="B446" s="8" t="s">
        <v>1048</v>
      </c>
      <c r="C446" s="9" t="s">
        <v>222</v>
      </c>
      <c r="D446" s="9" t="s">
        <v>952</v>
      </c>
      <c r="E446" s="9" t="s">
        <v>943</v>
      </c>
      <c r="F446" s="9" t="s">
        <v>1025</v>
      </c>
      <c r="G446" s="9" t="s">
        <v>60</v>
      </c>
      <c r="H446" s="7" t="str">
        <f>IFERROR(IF(_xlfn.XLOOKUP(B446,REPASSE!D:D,REPASSE!D:D)="","Não","Sim"),"Não")</f>
        <v>Não</v>
      </c>
      <c r="I446" s="7" t="str">
        <f>IF(_xlfn.XLOOKUP(B446,'BOOST LIBERADO'!B:B,'BOOST LIBERADO'!B:B,"Não")="Não","Não","Sim")</f>
        <v>Sim</v>
      </c>
      <c r="J446" s="83" t="str">
        <f t="shared" si="12"/>
        <v>Sim</v>
      </c>
      <c r="K446" s="12">
        <f>SUMIFS(BASE!$G:$G,BASE!$B:$B,$B446,BASE!$L:$L,$G446,BASE!$J:$J,$C446,BASE!$A:$A,K$2)</f>
        <v>0</v>
      </c>
      <c r="L446" s="12">
        <f>SUMIFS(BASE!$G:$G,BASE!$B:$B,$B446,BASE!$L:$L,$G446,BASE!$J:$J,$C446,BASE!$A:$A,L$2)</f>
        <v>0</v>
      </c>
      <c r="M446" s="12">
        <f>SUMIFS(BASE!$G:$G,BASE!$B:$B,$B446,BASE!$L:$L,$G446,BASE!$J:$J,$C446,BASE!$A:$A,M$2)</f>
        <v>0</v>
      </c>
      <c r="N446" s="12">
        <f>SUMIFS(BASE!$G:$G,BASE!$B:$B,$B446,BASE!$L:$L,$G446,BASE!$J:$J,$C446,BASE!$A:$A,N$2)</f>
        <v>0</v>
      </c>
      <c r="O446" s="12">
        <f>SUMIFS(BASE!$G:$G,BASE!$B:$B,$B446,BASE!$L:$L,$G446,BASE!$J:$J,$C446,BASE!$A:$A,O$2)</f>
        <v>0</v>
      </c>
      <c r="P446" s="12">
        <f>SUMIFS(BASE!$G:$G,BASE!$B:$B,$B446,BASE!$L:$L,$G446,BASE!$J:$J,$C446,BASE!$A:$A,P$2)</f>
        <v>0</v>
      </c>
      <c r="Q446" s="12">
        <f>SUMIFS(BASE!$G:$G,BASE!$B:$B,$B446,BASE!$L:$L,$G446,BASE!$J:$J,$C446,BASE!$A:$A,Q$2)</f>
        <v>0</v>
      </c>
      <c r="R446" s="12">
        <f>SUMIFS(BASE!$G:$G,BASE!$B:$B,$B446,BASE!$L:$L,$G446,BASE!$J:$J,$C446,BASE!$A:$A,R$2)</f>
        <v>0</v>
      </c>
      <c r="S446" s="12">
        <f>SUMIFS(BASE!$G:$G,BASE!$B:$B,$B446,BASE!$L:$L,$G446,BASE!$J:$J,$C446,BASE!$A:$A,S$2)</f>
        <v>0</v>
      </c>
      <c r="T446" s="12">
        <f>SUMIFS(BASE!$G:$G,BASE!$B:$B,$B446,BASE!$L:$L,$G446,BASE!$J:$J,$C446,BASE!$A:$A,T$2)</f>
        <v>0</v>
      </c>
      <c r="U446" s="12">
        <f>SUMIFS(BASE!$G:$G,BASE!$B:$B,$B446,BASE!$L:$L,$G446,BASE!$J:$J,$C446,BASE!$A:$A,U$2)</f>
        <v>0</v>
      </c>
      <c r="V446" s="12">
        <f>SUMIFS(BASE!$G:$G,BASE!$B:$B,$B446,BASE!$L:$L,$G446,BASE!$J:$J,$C446,BASE!$A:$A,V$2)</f>
        <v>0</v>
      </c>
      <c r="X446" t="str">
        <f t="shared" si="13"/>
        <v>ZERADO</v>
      </c>
    </row>
    <row r="447" spans="2:24">
      <c r="B447" s="8" t="s">
        <v>1049</v>
      </c>
      <c r="C447" s="9" t="s">
        <v>232</v>
      </c>
      <c r="D447" s="9" t="s">
        <v>946</v>
      </c>
      <c r="E447" s="9" t="s">
        <v>947</v>
      </c>
      <c r="F447" s="9" t="s">
        <v>1050</v>
      </c>
      <c r="G447" s="9" t="s">
        <v>60</v>
      </c>
      <c r="H447" s="7" t="str">
        <f>IFERROR(IF(_xlfn.XLOOKUP(B447,REPASSE!D:D,REPASSE!D:D)="","Não","Sim"),"Não")</f>
        <v>Não</v>
      </c>
      <c r="I447" s="7" t="str">
        <f>IF(_xlfn.XLOOKUP(B447,'BOOST LIBERADO'!B:B,'BOOST LIBERADO'!B:B,"Não")="Não","Não","Sim")</f>
        <v>Sim</v>
      </c>
      <c r="J447" s="83" t="str">
        <f t="shared" si="12"/>
        <v>Sim</v>
      </c>
      <c r="K447" s="12">
        <f>SUMIFS(BASE!$G:$G,BASE!$B:$B,$B447,BASE!$L:$L,$G447,BASE!$J:$J,$C447,BASE!$A:$A,K$2)</f>
        <v>0</v>
      </c>
      <c r="L447" s="12">
        <f>SUMIFS(BASE!$G:$G,BASE!$B:$B,$B447,BASE!$L:$L,$G447,BASE!$J:$J,$C447,BASE!$A:$A,L$2)</f>
        <v>0</v>
      </c>
      <c r="M447" s="12">
        <f>SUMIFS(BASE!$G:$G,BASE!$B:$B,$B447,BASE!$L:$L,$G447,BASE!$J:$J,$C447,BASE!$A:$A,M$2)</f>
        <v>2</v>
      </c>
      <c r="N447" s="12">
        <f>SUMIFS(BASE!$G:$G,BASE!$B:$B,$B447,BASE!$L:$L,$G447,BASE!$J:$J,$C447,BASE!$A:$A,N$2)</f>
        <v>0</v>
      </c>
      <c r="O447" s="12">
        <f>SUMIFS(BASE!$G:$G,BASE!$B:$B,$B447,BASE!$L:$L,$G447,BASE!$J:$J,$C447,BASE!$A:$A,O$2)</f>
        <v>2</v>
      </c>
      <c r="P447" s="12">
        <f>SUMIFS(BASE!$G:$G,BASE!$B:$B,$B447,BASE!$L:$L,$G447,BASE!$J:$J,$C447,BASE!$A:$A,P$2)</f>
        <v>1</v>
      </c>
      <c r="Q447" s="12">
        <f>SUMIFS(BASE!$G:$G,BASE!$B:$B,$B447,BASE!$L:$L,$G447,BASE!$J:$J,$C447,BASE!$A:$A,Q$2)</f>
        <v>0</v>
      </c>
      <c r="R447" s="12">
        <f>SUMIFS(BASE!$G:$G,BASE!$B:$B,$B447,BASE!$L:$L,$G447,BASE!$J:$J,$C447,BASE!$A:$A,R$2)</f>
        <v>2</v>
      </c>
      <c r="S447" s="12">
        <f>SUMIFS(BASE!$G:$G,BASE!$B:$B,$B447,BASE!$L:$L,$G447,BASE!$J:$J,$C447,BASE!$A:$A,S$2)</f>
        <v>0</v>
      </c>
      <c r="T447" s="12">
        <f>SUMIFS(BASE!$G:$G,BASE!$B:$B,$B447,BASE!$L:$L,$G447,BASE!$J:$J,$C447,BASE!$A:$A,T$2)</f>
        <v>0</v>
      </c>
      <c r="U447" s="12">
        <f>SUMIFS(BASE!$G:$G,BASE!$B:$B,$B447,BASE!$L:$L,$G447,BASE!$J:$J,$C447,BASE!$A:$A,U$2)</f>
        <v>0</v>
      </c>
      <c r="V447" s="12">
        <f>SUMIFS(BASE!$G:$G,BASE!$B:$B,$B447,BASE!$L:$L,$G447,BASE!$J:$J,$C447,BASE!$A:$A,V$2)</f>
        <v>0</v>
      </c>
      <c r="X447" t="str">
        <f t="shared" si="13"/>
        <v>COM TROCAS</v>
      </c>
    </row>
    <row r="448" spans="2:24">
      <c r="B448" s="8" t="s">
        <v>1051</v>
      </c>
      <c r="C448" s="9" t="s">
        <v>181</v>
      </c>
      <c r="D448" s="9" t="s">
        <v>1000</v>
      </c>
      <c r="E448" s="9" t="s">
        <v>1001</v>
      </c>
      <c r="F448" s="9" t="s">
        <v>1052</v>
      </c>
      <c r="G448" s="9" t="s">
        <v>60</v>
      </c>
      <c r="H448" s="7" t="str">
        <f>IFERROR(IF(_xlfn.XLOOKUP(B448,REPASSE!D:D,REPASSE!D:D)="","Não","Sim"),"Não")</f>
        <v>Não</v>
      </c>
      <c r="I448" s="7" t="str">
        <f>IF(_xlfn.XLOOKUP(B448,'BOOST LIBERADO'!B:B,'BOOST LIBERADO'!B:B,"Não")="Não","Não","Sim")</f>
        <v>Sim</v>
      </c>
      <c r="J448" s="83" t="str">
        <f t="shared" si="12"/>
        <v>Sim</v>
      </c>
      <c r="K448" s="12">
        <f>SUMIFS(BASE!$G:$G,BASE!$B:$B,$B448,BASE!$L:$L,$G448,BASE!$J:$J,$C448,BASE!$A:$A,K$2)</f>
        <v>0</v>
      </c>
      <c r="L448" s="12">
        <f>SUMIFS(BASE!$G:$G,BASE!$B:$B,$B448,BASE!$L:$L,$G448,BASE!$J:$J,$C448,BASE!$A:$A,L$2)</f>
        <v>0</v>
      </c>
      <c r="M448" s="12">
        <f>SUMIFS(BASE!$G:$G,BASE!$B:$B,$B448,BASE!$L:$L,$G448,BASE!$J:$J,$C448,BASE!$A:$A,M$2)</f>
        <v>0</v>
      </c>
      <c r="N448" s="12">
        <f>SUMIFS(BASE!$G:$G,BASE!$B:$B,$B448,BASE!$L:$L,$G448,BASE!$J:$J,$C448,BASE!$A:$A,N$2)</f>
        <v>0</v>
      </c>
      <c r="O448" s="12">
        <f>SUMIFS(BASE!$G:$G,BASE!$B:$B,$B448,BASE!$L:$L,$G448,BASE!$J:$J,$C448,BASE!$A:$A,O$2)</f>
        <v>0</v>
      </c>
      <c r="P448" s="12">
        <f>SUMIFS(BASE!$G:$G,BASE!$B:$B,$B448,BASE!$L:$L,$G448,BASE!$J:$J,$C448,BASE!$A:$A,P$2)</f>
        <v>0</v>
      </c>
      <c r="Q448" s="12">
        <f>SUMIFS(BASE!$G:$G,BASE!$B:$B,$B448,BASE!$L:$L,$G448,BASE!$J:$J,$C448,BASE!$A:$A,Q$2)</f>
        <v>0</v>
      </c>
      <c r="R448" s="12">
        <f>SUMIFS(BASE!$G:$G,BASE!$B:$B,$B448,BASE!$L:$L,$G448,BASE!$J:$J,$C448,BASE!$A:$A,R$2)</f>
        <v>0</v>
      </c>
      <c r="S448" s="12">
        <f>SUMIFS(BASE!$G:$G,BASE!$B:$B,$B448,BASE!$L:$L,$G448,BASE!$J:$J,$C448,BASE!$A:$A,S$2)</f>
        <v>0</v>
      </c>
      <c r="T448" s="12">
        <f>SUMIFS(BASE!$G:$G,BASE!$B:$B,$B448,BASE!$L:$L,$G448,BASE!$J:$J,$C448,BASE!$A:$A,T$2)</f>
        <v>0</v>
      </c>
      <c r="U448" s="12">
        <f>SUMIFS(BASE!$G:$G,BASE!$B:$B,$B448,BASE!$L:$L,$G448,BASE!$J:$J,$C448,BASE!$A:$A,U$2)</f>
        <v>0</v>
      </c>
      <c r="V448" s="12">
        <f>SUMIFS(BASE!$G:$G,BASE!$B:$B,$B448,BASE!$L:$L,$G448,BASE!$J:$J,$C448,BASE!$A:$A,V$2)</f>
        <v>0</v>
      </c>
      <c r="X448" t="str">
        <f t="shared" si="13"/>
        <v>ZERADO</v>
      </c>
    </row>
    <row r="449" spans="2:24">
      <c r="B449" s="8" t="s">
        <v>1053</v>
      </c>
      <c r="C449" s="9" t="s">
        <v>222</v>
      </c>
      <c r="D449" s="9" t="s">
        <v>952</v>
      </c>
      <c r="E449" s="9" t="s">
        <v>943</v>
      </c>
      <c r="F449" s="9" t="s">
        <v>944</v>
      </c>
      <c r="G449" s="9" t="s">
        <v>60</v>
      </c>
      <c r="H449" s="7" t="str">
        <f>IFERROR(IF(_xlfn.XLOOKUP(B449,REPASSE!D:D,REPASSE!D:D)="","Não","Sim"),"Não")</f>
        <v>Não</v>
      </c>
      <c r="I449" s="7" t="str">
        <f>IF(_xlfn.XLOOKUP(B449,'BOOST LIBERADO'!B:B,'BOOST LIBERADO'!B:B,"Não")="Não","Não","Sim")</f>
        <v>Sim</v>
      </c>
      <c r="J449" s="83" t="str">
        <f t="shared" si="12"/>
        <v>Sim</v>
      </c>
      <c r="K449" s="12">
        <f>SUMIFS(BASE!$G:$G,BASE!$B:$B,$B449,BASE!$L:$L,$G449,BASE!$J:$J,$C449,BASE!$A:$A,K$2)</f>
        <v>0</v>
      </c>
      <c r="L449" s="12">
        <f>SUMIFS(BASE!$G:$G,BASE!$B:$B,$B449,BASE!$L:$L,$G449,BASE!$J:$J,$C449,BASE!$A:$A,L$2)</f>
        <v>0</v>
      </c>
      <c r="M449" s="12">
        <f>SUMIFS(BASE!$G:$G,BASE!$B:$B,$B449,BASE!$L:$L,$G449,BASE!$J:$J,$C449,BASE!$A:$A,M$2)</f>
        <v>0</v>
      </c>
      <c r="N449" s="12">
        <f>SUMIFS(BASE!$G:$G,BASE!$B:$B,$B449,BASE!$L:$L,$G449,BASE!$J:$J,$C449,BASE!$A:$A,N$2)</f>
        <v>0</v>
      </c>
      <c r="O449" s="12">
        <f>SUMIFS(BASE!$G:$G,BASE!$B:$B,$B449,BASE!$L:$L,$G449,BASE!$J:$J,$C449,BASE!$A:$A,O$2)</f>
        <v>0</v>
      </c>
      <c r="P449" s="12">
        <f>SUMIFS(BASE!$G:$G,BASE!$B:$B,$B449,BASE!$L:$L,$G449,BASE!$J:$J,$C449,BASE!$A:$A,P$2)</f>
        <v>0</v>
      </c>
      <c r="Q449" s="12">
        <f>SUMIFS(BASE!$G:$G,BASE!$B:$B,$B449,BASE!$L:$L,$G449,BASE!$J:$J,$C449,BASE!$A:$A,Q$2)</f>
        <v>1</v>
      </c>
      <c r="R449" s="12">
        <f>SUMIFS(BASE!$G:$G,BASE!$B:$B,$B449,BASE!$L:$L,$G449,BASE!$J:$J,$C449,BASE!$A:$A,R$2)</f>
        <v>1</v>
      </c>
      <c r="S449" s="12">
        <f>SUMIFS(BASE!$G:$G,BASE!$B:$B,$B449,BASE!$L:$L,$G449,BASE!$J:$J,$C449,BASE!$A:$A,S$2)</f>
        <v>0</v>
      </c>
      <c r="T449" s="12">
        <f>SUMIFS(BASE!$G:$G,BASE!$B:$B,$B449,BASE!$L:$L,$G449,BASE!$J:$J,$C449,BASE!$A:$A,T$2)</f>
        <v>0</v>
      </c>
      <c r="U449" s="12">
        <f>SUMIFS(BASE!$G:$G,BASE!$B:$B,$B449,BASE!$L:$L,$G449,BASE!$J:$J,$C449,BASE!$A:$A,U$2)</f>
        <v>0</v>
      </c>
      <c r="V449" s="12">
        <f>SUMIFS(BASE!$G:$G,BASE!$B:$B,$B449,BASE!$L:$L,$G449,BASE!$J:$J,$C449,BASE!$A:$A,V$2)</f>
        <v>0</v>
      </c>
      <c r="X449" t="str">
        <f t="shared" si="13"/>
        <v>COM TROCAS</v>
      </c>
    </row>
    <row r="450" spans="2:24">
      <c r="B450" s="8" t="s">
        <v>1054</v>
      </c>
      <c r="C450" s="9" t="s">
        <v>186</v>
      </c>
      <c r="D450" s="9" t="s">
        <v>1055</v>
      </c>
      <c r="E450" s="9" t="s">
        <v>1056</v>
      </c>
      <c r="F450" s="9" t="s">
        <v>1057</v>
      </c>
      <c r="G450" s="9" t="s">
        <v>62</v>
      </c>
      <c r="H450" s="7" t="str">
        <f>IFERROR(IF(_xlfn.XLOOKUP(B450,REPASSE!D:D,REPASSE!D:D)="","Não","Sim"),"Não")</f>
        <v>Não</v>
      </c>
      <c r="I450" s="7" t="str">
        <f>IF(_xlfn.XLOOKUP(B450,'BOOST LIBERADO'!B:B,'BOOST LIBERADO'!B:B,"Não")="Não","Não","Sim")</f>
        <v>Não</v>
      </c>
      <c r="J450" s="83" t="str">
        <f t="shared" si="12"/>
        <v>Não</v>
      </c>
      <c r="K450" s="12">
        <f>SUMIFS(BASE!$G:$G,BASE!$B:$B,$B450,BASE!$L:$L,$G450,BASE!$J:$J,$C450,BASE!$A:$A,K$2)</f>
        <v>0</v>
      </c>
      <c r="L450" s="12">
        <f>SUMIFS(BASE!$G:$G,BASE!$B:$B,$B450,BASE!$L:$L,$G450,BASE!$J:$J,$C450,BASE!$A:$A,L$2)</f>
        <v>0</v>
      </c>
      <c r="M450" s="12">
        <f>SUMIFS(BASE!$G:$G,BASE!$B:$B,$B450,BASE!$L:$L,$G450,BASE!$J:$J,$C450,BASE!$A:$A,M$2)</f>
        <v>0</v>
      </c>
      <c r="N450" s="12">
        <f>SUMIFS(BASE!$G:$G,BASE!$B:$B,$B450,BASE!$L:$L,$G450,BASE!$J:$J,$C450,BASE!$A:$A,N$2)</f>
        <v>0</v>
      </c>
      <c r="O450" s="12">
        <f>SUMIFS(BASE!$G:$G,BASE!$B:$B,$B450,BASE!$L:$L,$G450,BASE!$J:$J,$C450,BASE!$A:$A,O$2)</f>
        <v>0</v>
      </c>
      <c r="P450" s="12">
        <f>SUMIFS(BASE!$G:$G,BASE!$B:$B,$B450,BASE!$L:$L,$G450,BASE!$J:$J,$C450,BASE!$A:$A,P$2)</f>
        <v>0</v>
      </c>
      <c r="Q450" s="12">
        <f>SUMIFS(BASE!$G:$G,BASE!$B:$B,$B450,BASE!$L:$L,$G450,BASE!$J:$J,$C450,BASE!$A:$A,Q$2)</f>
        <v>0</v>
      </c>
      <c r="R450" s="12">
        <f>SUMIFS(BASE!$G:$G,BASE!$B:$B,$B450,BASE!$L:$L,$G450,BASE!$J:$J,$C450,BASE!$A:$A,R$2)</f>
        <v>0</v>
      </c>
      <c r="S450" s="12">
        <f>SUMIFS(BASE!$G:$G,BASE!$B:$B,$B450,BASE!$L:$L,$G450,BASE!$J:$J,$C450,BASE!$A:$A,S$2)</f>
        <v>0</v>
      </c>
      <c r="T450" s="12">
        <f>SUMIFS(BASE!$G:$G,BASE!$B:$B,$B450,BASE!$L:$L,$G450,BASE!$J:$J,$C450,BASE!$A:$A,T$2)</f>
        <v>0</v>
      </c>
      <c r="U450" s="12">
        <f>SUMIFS(BASE!$G:$G,BASE!$B:$B,$B450,BASE!$L:$L,$G450,BASE!$J:$J,$C450,BASE!$A:$A,U$2)</f>
        <v>0</v>
      </c>
      <c r="V450" s="12">
        <f>SUMIFS(BASE!$G:$G,BASE!$B:$B,$B450,BASE!$L:$L,$G450,BASE!$J:$J,$C450,BASE!$A:$A,V$2)</f>
        <v>0</v>
      </c>
      <c r="X450" t="str">
        <f t="shared" si="13"/>
        <v>ZERADO</v>
      </c>
    </row>
    <row r="451" spans="2:24">
      <c r="B451" s="8" t="s">
        <v>1058</v>
      </c>
      <c r="C451" s="9" t="s">
        <v>98</v>
      </c>
      <c r="D451" s="9" t="s">
        <v>1059</v>
      </c>
      <c r="E451" s="9" t="s">
        <v>1060</v>
      </c>
      <c r="F451" s="9" t="s">
        <v>1061</v>
      </c>
      <c r="G451" s="9" t="s">
        <v>62</v>
      </c>
      <c r="H451" s="7" t="str">
        <f>IFERROR(IF(_xlfn.XLOOKUP(B451,REPASSE!D:D,REPASSE!D:D)="","Não","Sim"),"Não")</f>
        <v>Não</v>
      </c>
      <c r="I451" s="7" t="str">
        <f>IF(_xlfn.XLOOKUP(B451,'BOOST LIBERADO'!B:B,'BOOST LIBERADO'!B:B,"Não")="Não","Não","Sim")</f>
        <v>Não</v>
      </c>
      <c r="J451" s="83" t="str">
        <f t="shared" si="12"/>
        <v>Não</v>
      </c>
      <c r="K451" s="12">
        <f>SUMIFS(BASE!$G:$G,BASE!$B:$B,$B451,BASE!$L:$L,$G451,BASE!$J:$J,$C451,BASE!$A:$A,K$2)</f>
        <v>0</v>
      </c>
      <c r="L451" s="12">
        <f>SUMIFS(BASE!$G:$G,BASE!$B:$B,$B451,BASE!$L:$L,$G451,BASE!$J:$J,$C451,BASE!$A:$A,L$2)</f>
        <v>0</v>
      </c>
      <c r="M451" s="12">
        <f>SUMIFS(BASE!$G:$G,BASE!$B:$B,$B451,BASE!$L:$L,$G451,BASE!$J:$J,$C451,BASE!$A:$A,M$2)</f>
        <v>0</v>
      </c>
      <c r="N451" s="12">
        <f>SUMIFS(BASE!$G:$G,BASE!$B:$B,$B451,BASE!$L:$L,$G451,BASE!$J:$J,$C451,BASE!$A:$A,N$2)</f>
        <v>0</v>
      </c>
      <c r="O451" s="12">
        <f>SUMIFS(BASE!$G:$G,BASE!$B:$B,$B451,BASE!$L:$L,$G451,BASE!$J:$J,$C451,BASE!$A:$A,O$2)</f>
        <v>0</v>
      </c>
      <c r="P451" s="12">
        <f>SUMIFS(BASE!$G:$G,BASE!$B:$B,$B451,BASE!$L:$L,$G451,BASE!$J:$J,$C451,BASE!$A:$A,P$2)</f>
        <v>0</v>
      </c>
      <c r="Q451" s="12">
        <f>SUMIFS(BASE!$G:$G,BASE!$B:$B,$B451,BASE!$L:$L,$G451,BASE!$J:$J,$C451,BASE!$A:$A,Q$2)</f>
        <v>0</v>
      </c>
      <c r="R451" s="12">
        <f>SUMIFS(BASE!$G:$G,BASE!$B:$B,$B451,BASE!$L:$L,$G451,BASE!$J:$J,$C451,BASE!$A:$A,R$2)</f>
        <v>0</v>
      </c>
      <c r="S451" s="12">
        <f>SUMIFS(BASE!$G:$G,BASE!$B:$B,$B451,BASE!$L:$L,$G451,BASE!$J:$J,$C451,BASE!$A:$A,S$2)</f>
        <v>0</v>
      </c>
      <c r="T451" s="12">
        <f>SUMIFS(BASE!$G:$G,BASE!$B:$B,$B451,BASE!$L:$L,$G451,BASE!$J:$J,$C451,BASE!$A:$A,T$2)</f>
        <v>0</v>
      </c>
      <c r="U451" s="12">
        <f>SUMIFS(BASE!$G:$G,BASE!$B:$B,$B451,BASE!$L:$L,$G451,BASE!$J:$J,$C451,BASE!$A:$A,U$2)</f>
        <v>0</v>
      </c>
      <c r="V451" s="12">
        <f>SUMIFS(BASE!$G:$G,BASE!$B:$B,$B451,BASE!$L:$L,$G451,BASE!$J:$J,$C451,BASE!$A:$A,V$2)</f>
        <v>0</v>
      </c>
      <c r="X451" t="str">
        <f t="shared" si="13"/>
        <v>ZERADO</v>
      </c>
    </row>
    <row r="452" spans="2:24">
      <c r="B452" s="8" t="s">
        <v>1062</v>
      </c>
      <c r="C452" s="9" t="s">
        <v>117</v>
      </c>
      <c r="D452" s="9" t="s">
        <v>1063</v>
      </c>
      <c r="E452" s="9" t="s">
        <v>1060</v>
      </c>
      <c r="F452" s="9" t="s">
        <v>1064</v>
      </c>
      <c r="G452" s="9" t="s">
        <v>62</v>
      </c>
      <c r="H452" s="7" t="str">
        <f>IFERROR(IF(_xlfn.XLOOKUP(B452,REPASSE!D:D,REPASSE!D:D)="","Não","Sim"),"Não")</f>
        <v>Não</v>
      </c>
      <c r="I452" s="7" t="str">
        <f>IF(_xlfn.XLOOKUP(B452,'BOOST LIBERADO'!B:B,'BOOST LIBERADO'!B:B,"Não")="Não","Não","Sim")</f>
        <v>Sim</v>
      </c>
      <c r="J452" s="83" t="str">
        <f t="shared" ref="J452:J515" si="14">IF(AND(H452="Não",I452="Sim"),"Sim","Não")</f>
        <v>Sim</v>
      </c>
      <c r="K452" s="12">
        <f>SUMIFS(BASE!$G:$G,BASE!$B:$B,$B452,BASE!$L:$L,$G452,BASE!$J:$J,$C452,BASE!$A:$A,K$2)</f>
        <v>0</v>
      </c>
      <c r="L452" s="12">
        <f>SUMIFS(BASE!$G:$G,BASE!$B:$B,$B452,BASE!$L:$L,$G452,BASE!$J:$J,$C452,BASE!$A:$A,L$2)</f>
        <v>0</v>
      </c>
      <c r="M452" s="12">
        <f>SUMIFS(BASE!$G:$G,BASE!$B:$B,$B452,BASE!$L:$L,$G452,BASE!$J:$J,$C452,BASE!$A:$A,M$2)</f>
        <v>0</v>
      </c>
      <c r="N452" s="12">
        <f>SUMIFS(BASE!$G:$G,BASE!$B:$B,$B452,BASE!$L:$L,$G452,BASE!$J:$J,$C452,BASE!$A:$A,N$2)</f>
        <v>0</v>
      </c>
      <c r="O452" s="12">
        <f>SUMIFS(BASE!$G:$G,BASE!$B:$B,$B452,BASE!$L:$L,$G452,BASE!$J:$J,$C452,BASE!$A:$A,O$2)</f>
        <v>0</v>
      </c>
      <c r="P452" s="12">
        <f>SUMIFS(BASE!$G:$G,BASE!$B:$B,$B452,BASE!$L:$L,$G452,BASE!$J:$J,$C452,BASE!$A:$A,P$2)</f>
        <v>0</v>
      </c>
      <c r="Q452" s="12">
        <f>SUMIFS(BASE!$G:$G,BASE!$B:$B,$B452,BASE!$L:$L,$G452,BASE!$J:$J,$C452,BASE!$A:$A,Q$2)</f>
        <v>0</v>
      </c>
      <c r="R452" s="12">
        <f>SUMIFS(BASE!$G:$G,BASE!$B:$B,$B452,BASE!$L:$L,$G452,BASE!$J:$J,$C452,BASE!$A:$A,R$2)</f>
        <v>0</v>
      </c>
      <c r="S452" s="12">
        <f>SUMIFS(BASE!$G:$G,BASE!$B:$B,$B452,BASE!$L:$L,$G452,BASE!$J:$J,$C452,BASE!$A:$A,S$2)</f>
        <v>0</v>
      </c>
      <c r="T452" s="12">
        <f>SUMIFS(BASE!$G:$G,BASE!$B:$B,$B452,BASE!$L:$L,$G452,BASE!$J:$J,$C452,BASE!$A:$A,T$2)</f>
        <v>0</v>
      </c>
      <c r="U452" s="12">
        <f>SUMIFS(BASE!$G:$G,BASE!$B:$B,$B452,BASE!$L:$L,$G452,BASE!$J:$J,$C452,BASE!$A:$A,U$2)</f>
        <v>0</v>
      </c>
      <c r="V452" s="12">
        <f>SUMIFS(BASE!$G:$G,BASE!$B:$B,$B452,BASE!$L:$L,$G452,BASE!$J:$J,$C452,BASE!$A:$A,V$2)</f>
        <v>0</v>
      </c>
      <c r="X452" t="str">
        <f t="shared" ref="X452:X515" si="15">IF(AND(R452=0),"ZERADO","COM TROCAS")</f>
        <v>ZERADO</v>
      </c>
    </row>
    <row r="453" spans="2:24">
      <c r="B453" s="8" t="s">
        <v>1065</v>
      </c>
      <c r="C453" s="9" t="s">
        <v>98</v>
      </c>
      <c r="D453" s="9" t="s">
        <v>1059</v>
      </c>
      <c r="E453" s="9" t="s">
        <v>1060</v>
      </c>
      <c r="F453" s="9" t="s">
        <v>1061</v>
      </c>
      <c r="G453" s="9" t="s">
        <v>62</v>
      </c>
      <c r="H453" s="7" t="str">
        <f>IFERROR(IF(_xlfn.XLOOKUP(B453,REPASSE!D:D,REPASSE!D:D)="","Não","Sim"),"Não")</f>
        <v>Não</v>
      </c>
      <c r="I453" s="7" t="str">
        <f>IF(_xlfn.XLOOKUP(B453,'BOOST LIBERADO'!B:B,'BOOST LIBERADO'!B:B,"Não")="Não","Não","Sim")</f>
        <v>Não</v>
      </c>
      <c r="J453" s="83" t="str">
        <f t="shared" si="14"/>
        <v>Não</v>
      </c>
      <c r="K453" s="12">
        <f>SUMIFS(BASE!$G:$G,BASE!$B:$B,$B453,BASE!$L:$L,$G453,BASE!$J:$J,$C453,BASE!$A:$A,K$2)</f>
        <v>0</v>
      </c>
      <c r="L453" s="12">
        <f>SUMIFS(BASE!$G:$G,BASE!$B:$B,$B453,BASE!$L:$L,$G453,BASE!$J:$J,$C453,BASE!$A:$A,L$2)</f>
        <v>0</v>
      </c>
      <c r="M453" s="12">
        <f>SUMIFS(BASE!$G:$G,BASE!$B:$B,$B453,BASE!$L:$L,$G453,BASE!$J:$J,$C453,BASE!$A:$A,M$2)</f>
        <v>0</v>
      </c>
      <c r="N453" s="12">
        <f>SUMIFS(BASE!$G:$G,BASE!$B:$B,$B453,BASE!$L:$L,$G453,BASE!$J:$J,$C453,BASE!$A:$A,N$2)</f>
        <v>0</v>
      </c>
      <c r="O453" s="12">
        <f>SUMIFS(BASE!$G:$G,BASE!$B:$B,$B453,BASE!$L:$L,$G453,BASE!$J:$J,$C453,BASE!$A:$A,O$2)</f>
        <v>0</v>
      </c>
      <c r="P453" s="12">
        <f>SUMIFS(BASE!$G:$G,BASE!$B:$B,$B453,BASE!$L:$L,$G453,BASE!$J:$J,$C453,BASE!$A:$A,P$2)</f>
        <v>0</v>
      </c>
      <c r="Q453" s="12">
        <f>SUMIFS(BASE!$G:$G,BASE!$B:$B,$B453,BASE!$L:$L,$G453,BASE!$J:$J,$C453,BASE!$A:$A,Q$2)</f>
        <v>0</v>
      </c>
      <c r="R453" s="12">
        <f>SUMIFS(BASE!$G:$G,BASE!$B:$B,$B453,BASE!$L:$L,$G453,BASE!$J:$J,$C453,BASE!$A:$A,R$2)</f>
        <v>0</v>
      </c>
      <c r="S453" s="12">
        <f>SUMIFS(BASE!$G:$G,BASE!$B:$B,$B453,BASE!$L:$L,$G453,BASE!$J:$J,$C453,BASE!$A:$A,S$2)</f>
        <v>0</v>
      </c>
      <c r="T453" s="12">
        <f>SUMIFS(BASE!$G:$G,BASE!$B:$B,$B453,BASE!$L:$L,$G453,BASE!$J:$J,$C453,BASE!$A:$A,T$2)</f>
        <v>0</v>
      </c>
      <c r="U453" s="12">
        <f>SUMIFS(BASE!$G:$G,BASE!$B:$B,$B453,BASE!$L:$L,$G453,BASE!$J:$J,$C453,BASE!$A:$A,U$2)</f>
        <v>0</v>
      </c>
      <c r="V453" s="12">
        <f>SUMIFS(BASE!$G:$G,BASE!$B:$B,$B453,BASE!$L:$L,$G453,BASE!$J:$J,$C453,BASE!$A:$A,V$2)</f>
        <v>0</v>
      </c>
      <c r="X453" t="str">
        <f t="shared" si="15"/>
        <v>ZERADO</v>
      </c>
    </row>
    <row r="454" spans="2:24">
      <c r="B454" s="8" t="s">
        <v>1066</v>
      </c>
      <c r="C454" s="9" t="s">
        <v>117</v>
      </c>
      <c r="D454" s="9" t="s">
        <v>1063</v>
      </c>
      <c r="E454" s="9" t="s">
        <v>1060</v>
      </c>
      <c r="F454" s="9" t="s">
        <v>1067</v>
      </c>
      <c r="G454" s="9" t="s">
        <v>62</v>
      </c>
      <c r="H454" s="7" t="str">
        <f>IFERROR(IF(_xlfn.XLOOKUP(B454,REPASSE!D:D,REPASSE!D:D)="","Não","Sim"),"Não")</f>
        <v>Não</v>
      </c>
      <c r="I454" s="7" t="str">
        <f>IF(_xlfn.XLOOKUP(B454,'BOOST LIBERADO'!B:B,'BOOST LIBERADO'!B:B,"Não")="Não","Não","Sim")</f>
        <v>Sim</v>
      </c>
      <c r="J454" s="83" t="str">
        <f t="shared" si="14"/>
        <v>Sim</v>
      </c>
      <c r="K454" s="12">
        <f>SUMIFS(BASE!$G:$G,BASE!$B:$B,$B454,BASE!$L:$L,$G454,BASE!$J:$J,$C454,BASE!$A:$A,K$2)</f>
        <v>0</v>
      </c>
      <c r="L454" s="12">
        <f>SUMIFS(BASE!$G:$G,BASE!$B:$B,$B454,BASE!$L:$L,$G454,BASE!$J:$J,$C454,BASE!$A:$A,L$2)</f>
        <v>0</v>
      </c>
      <c r="M454" s="12">
        <f>SUMIFS(BASE!$G:$G,BASE!$B:$B,$B454,BASE!$L:$L,$G454,BASE!$J:$J,$C454,BASE!$A:$A,M$2)</f>
        <v>0</v>
      </c>
      <c r="N454" s="12">
        <f>SUMIFS(BASE!$G:$G,BASE!$B:$B,$B454,BASE!$L:$L,$G454,BASE!$J:$J,$C454,BASE!$A:$A,N$2)</f>
        <v>0</v>
      </c>
      <c r="O454" s="12">
        <f>SUMIFS(BASE!$G:$G,BASE!$B:$B,$B454,BASE!$L:$L,$G454,BASE!$J:$J,$C454,BASE!$A:$A,O$2)</f>
        <v>0</v>
      </c>
      <c r="P454" s="12">
        <f>SUMIFS(BASE!$G:$G,BASE!$B:$B,$B454,BASE!$L:$L,$G454,BASE!$J:$J,$C454,BASE!$A:$A,P$2)</f>
        <v>0</v>
      </c>
      <c r="Q454" s="12">
        <f>SUMIFS(BASE!$G:$G,BASE!$B:$B,$B454,BASE!$L:$L,$G454,BASE!$J:$J,$C454,BASE!$A:$A,Q$2)</f>
        <v>0</v>
      </c>
      <c r="R454" s="12">
        <f>SUMIFS(BASE!$G:$G,BASE!$B:$B,$B454,BASE!$L:$L,$G454,BASE!$J:$J,$C454,BASE!$A:$A,R$2)</f>
        <v>0</v>
      </c>
      <c r="S454" s="12">
        <f>SUMIFS(BASE!$G:$G,BASE!$B:$B,$B454,BASE!$L:$L,$G454,BASE!$J:$J,$C454,BASE!$A:$A,S$2)</f>
        <v>0</v>
      </c>
      <c r="T454" s="12">
        <f>SUMIFS(BASE!$G:$G,BASE!$B:$B,$B454,BASE!$L:$L,$G454,BASE!$J:$J,$C454,BASE!$A:$A,T$2)</f>
        <v>0</v>
      </c>
      <c r="U454" s="12">
        <f>SUMIFS(BASE!$G:$G,BASE!$B:$B,$B454,BASE!$L:$L,$G454,BASE!$J:$J,$C454,BASE!$A:$A,U$2)</f>
        <v>0</v>
      </c>
      <c r="V454" s="12">
        <f>SUMIFS(BASE!$G:$G,BASE!$B:$B,$B454,BASE!$L:$L,$G454,BASE!$J:$J,$C454,BASE!$A:$A,V$2)</f>
        <v>0</v>
      </c>
      <c r="X454" t="str">
        <f t="shared" si="15"/>
        <v>ZERADO</v>
      </c>
    </row>
    <row r="455" spans="2:24">
      <c r="B455" s="8" t="s">
        <v>1068</v>
      </c>
      <c r="C455" s="9" t="s">
        <v>121</v>
      </c>
      <c r="D455" s="9" t="s">
        <v>1063</v>
      </c>
      <c r="E455" s="9" t="s">
        <v>1060</v>
      </c>
      <c r="F455" s="9" t="s">
        <v>1069</v>
      </c>
      <c r="G455" s="9" t="s">
        <v>62</v>
      </c>
      <c r="H455" s="7" t="str">
        <f>IFERROR(IF(_xlfn.XLOOKUP(B455,REPASSE!D:D,REPASSE!D:D)="","Não","Sim"),"Não")</f>
        <v>Não</v>
      </c>
      <c r="I455" s="7" t="str">
        <f>IF(_xlfn.XLOOKUP(B455,'BOOST LIBERADO'!B:B,'BOOST LIBERADO'!B:B,"Não")="Não","Não","Sim")</f>
        <v>Sim</v>
      </c>
      <c r="J455" s="83" t="str">
        <f t="shared" si="14"/>
        <v>Sim</v>
      </c>
      <c r="K455" s="12">
        <f>SUMIFS(BASE!$G:$G,BASE!$B:$B,$B455,BASE!$L:$L,$G455,BASE!$J:$J,$C455,BASE!$A:$A,K$2)</f>
        <v>0</v>
      </c>
      <c r="L455" s="12">
        <f>SUMIFS(BASE!$G:$G,BASE!$B:$B,$B455,BASE!$L:$L,$G455,BASE!$J:$J,$C455,BASE!$A:$A,L$2)</f>
        <v>0</v>
      </c>
      <c r="M455" s="12">
        <f>SUMIFS(BASE!$G:$G,BASE!$B:$B,$B455,BASE!$L:$L,$G455,BASE!$J:$J,$C455,BASE!$A:$A,M$2)</f>
        <v>0</v>
      </c>
      <c r="N455" s="12">
        <f>SUMIFS(BASE!$G:$G,BASE!$B:$B,$B455,BASE!$L:$L,$G455,BASE!$J:$J,$C455,BASE!$A:$A,N$2)</f>
        <v>0</v>
      </c>
      <c r="O455" s="12">
        <f>SUMIFS(BASE!$G:$G,BASE!$B:$B,$B455,BASE!$L:$L,$G455,BASE!$J:$J,$C455,BASE!$A:$A,O$2)</f>
        <v>0</v>
      </c>
      <c r="P455" s="12">
        <f>SUMIFS(BASE!$G:$G,BASE!$B:$B,$B455,BASE!$L:$L,$G455,BASE!$J:$J,$C455,BASE!$A:$A,P$2)</f>
        <v>0</v>
      </c>
      <c r="Q455" s="12">
        <f>SUMIFS(BASE!$G:$G,BASE!$B:$B,$B455,BASE!$L:$L,$G455,BASE!$J:$J,$C455,BASE!$A:$A,Q$2)</f>
        <v>0</v>
      </c>
      <c r="R455" s="12">
        <f>SUMIFS(BASE!$G:$G,BASE!$B:$B,$B455,BASE!$L:$L,$G455,BASE!$J:$J,$C455,BASE!$A:$A,R$2)</f>
        <v>0</v>
      </c>
      <c r="S455" s="12">
        <f>SUMIFS(BASE!$G:$G,BASE!$B:$B,$B455,BASE!$L:$L,$G455,BASE!$J:$J,$C455,BASE!$A:$A,S$2)</f>
        <v>0</v>
      </c>
      <c r="T455" s="12">
        <f>SUMIFS(BASE!$G:$G,BASE!$B:$B,$B455,BASE!$L:$L,$G455,BASE!$J:$J,$C455,BASE!$A:$A,T$2)</f>
        <v>0</v>
      </c>
      <c r="U455" s="12">
        <f>SUMIFS(BASE!$G:$G,BASE!$B:$B,$B455,BASE!$L:$L,$G455,BASE!$J:$J,$C455,BASE!$A:$A,U$2)</f>
        <v>0</v>
      </c>
      <c r="V455" s="12">
        <f>SUMIFS(BASE!$G:$G,BASE!$B:$B,$B455,BASE!$L:$L,$G455,BASE!$J:$J,$C455,BASE!$A:$A,V$2)</f>
        <v>0</v>
      </c>
      <c r="X455" t="str">
        <f t="shared" si="15"/>
        <v>ZERADO</v>
      </c>
    </row>
    <row r="456" spans="2:24">
      <c r="B456" s="8" t="s">
        <v>1070</v>
      </c>
      <c r="C456" s="9" t="s">
        <v>196</v>
      </c>
      <c r="D456" s="9" t="s">
        <v>1071</v>
      </c>
      <c r="E456" s="9" t="s">
        <v>1056</v>
      </c>
      <c r="F456" s="9" t="s">
        <v>1072</v>
      </c>
      <c r="G456" s="9" t="s">
        <v>62</v>
      </c>
      <c r="H456" s="7" t="str">
        <f>IFERROR(IF(_xlfn.XLOOKUP(B456,REPASSE!D:D,REPASSE!D:D)="","Não","Sim"),"Não")</f>
        <v>Não</v>
      </c>
      <c r="I456" s="7" t="str">
        <f>IF(_xlfn.XLOOKUP(B456,'BOOST LIBERADO'!B:B,'BOOST LIBERADO'!B:B,"Não")="Não","Não","Sim")</f>
        <v>Não</v>
      </c>
      <c r="J456" s="83" t="str">
        <f t="shared" si="14"/>
        <v>Não</v>
      </c>
      <c r="K456" s="12">
        <f>SUMIFS(BASE!$G:$G,BASE!$B:$B,$B456,BASE!$L:$L,$G456,BASE!$J:$J,$C456,BASE!$A:$A,K$2)</f>
        <v>0</v>
      </c>
      <c r="L456" s="12">
        <f>SUMIFS(BASE!$G:$G,BASE!$B:$B,$B456,BASE!$L:$L,$G456,BASE!$J:$J,$C456,BASE!$A:$A,L$2)</f>
        <v>0</v>
      </c>
      <c r="M456" s="12">
        <f>SUMIFS(BASE!$G:$G,BASE!$B:$B,$B456,BASE!$L:$L,$G456,BASE!$J:$J,$C456,BASE!$A:$A,M$2)</f>
        <v>0</v>
      </c>
      <c r="N456" s="12">
        <f>SUMIFS(BASE!$G:$G,BASE!$B:$B,$B456,BASE!$L:$L,$G456,BASE!$J:$J,$C456,BASE!$A:$A,N$2)</f>
        <v>0</v>
      </c>
      <c r="O456" s="12">
        <f>SUMIFS(BASE!$G:$G,BASE!$B:$B,$B456,BASE!$L:$L,$G456,BASE!$J:$J,$C456,BASE!$A:$A,O$2)</f>
        <v>0</v>
      </c>
      <c r="P456" s="12">
        <f>SUMIFS(BASE!$G:$G,BASE!$B:$B,$B456,BASE!$L:$L,$G456,BASE!$J:$J,$C456,BASE!$A:$A,P$2)</f>
        <v>0</v>
      </c>
      <c r="Q456" s="12">
        <f>SUMIFS(BASE!$G:$G,BASE!$B:$B,$B456,BASE!$L:$L,$G456,BASE!$J:$J,$C456,BASE!$A:$A,Q$2)</f>
        <v>0</v>
      </c>
      <c r="R456" s="12">
        <f>SUMIFS(BASE!$G:$G,BASE!$B:$B,$B456,BASE!$L:$L,$G456,BASE!$J:$J,$C456,BASE!$A:$A,R$2)</f>
        <v>0</v>
      </c>
      <c r="S456" s="12">
        <f>SUMIFS(BASE!$G:$G,BASE!$B:$B,$B456,BASE!$L:$L,$G456,BASE!$J:$J,$C456,BASE!$A:$A,S$2)</f>
        <v>0</v>
      </c>
      <c r="T456" s="12">
        <f>SUMIFS(BASE!$G:$G,BASE!$B:$B,$B456,BASE!$L:$L,$G456,BASE!$J:$J,$C456,BASE!$A:$A,T$2)</f>
        <v>0</v>
      </c>
      <c r="U456" s="12">
        <f>SUMIFS(BASE!$G:$G,BASE!$B:$B,$B456,BASE!$L:$L,$G456,BASE!$J:$J,$C456,BASE!$A:$A,U$2)</f>
        <v>0</v>
      </c>
      <c r="V456" s="12">
        <f>SUMIFS(BASE!$G:$G,BASE!$B:$B,$B456,BASE!$L:$L,$G456,BASE!$J:$J,$C456,BASE!$A:$A,V$2)</f>
        <v>0</v>
      </c>
      <c r="X456" t="str">
        <f t="shared" si="15"/>
        <v>ZERADO</v>
      </c>
    </row>
    <row r="457" spans="2:24">
      <c r="B457" s="8" t="s">
        <v>1073</v>
      </c>
      <c r="C457" s="9" t="s">
        <v>122</v>
      </c>
      <c r="D457" s="9" t="s">
        <v>1074</v>
      </c>
      <c r="E457" s="9" t="s">
        <v>1056</v>
      </c>
      <c r="F457" s="9" t="s">
        <v>1075</v>
      </c>
      <c r="G457" s="9" t="s">
        <v>62</v>
      </c>
      <c r="H457" s="7" t="str">
        <f>IFERROR(IF(_xlfn.XLOOKUP(B457,REPASSE!D:D,REPASSE!D:D)="","Não","Sim"),"Não")</f>
        <v>Não</v>
      </c>
      <c r="I457" s="7" t="str">
        <f>IF(_xlfn.XLOOKUP(B457,'BOOST LIBERADO'!B:B,'BOOST LIBERADO'!B:B,"Não")="Não","Não","Sim")</f>
        <v>Sim</v>
      </c>
      <c r="J457" s="83" t="str">
        <f t="shared" si="14"/>
        <v>Sim</v>
      </c>
      <c r="K457" s="12">
        <f>SUMIFS(BASE!$G:$G,BASE!$B:$B,$B457,BASE!$L:$L,$G457,BASE!$J:$J,$C457,BASE!$A:$A,K$2)</f>
        <v>0</v>
      </c>
      <c r="L457" s="12">
        <f>SUMIFS(BASE!$G:$G,BASE!$B:$B,$B457,BASE!$L:$L,$G457,BASE!$J:$J,$C457,BASE!$A:$A,L$2)</f>
        <v>0</v>
      </c>
      <c r="M457" s="12">
        <f>SUMIFS(BASE!$G:$G,BASE!$B:$B,$B457,BASE!$L:$L,$G457,BASE!$J:$J,$C457,BASE!$A:$A,M$2)</f>
        <v>0</v>
      </c>
      <c r="N457" s="12">
        <f>SUMIFS(BASE!$G:$G,BASE!$B:$B,$B457,BASE!$L:$L,$G457,BASE!$J:$J,$C457,BASE!$A:$A,N$2)</f>
        <v>0</v>
      </c>
      <c r="O457" s="12">
        <f>SUMIFS(BASE!$G:$G,BASE!$B:$B,$B457,BASE!$L:$L,$G457,BASE!$J:$J,$C457,BASE!$A:$A,O$2)</f>
        <v>0</v>
      </c>
      <c r="P457" s="12">
        <f>SUMIFS(BASE!$G:$G,BASE!$B:$B,$B457,BASE!$L:$L,$G457,BASE!$J:$J,$C457,BASE!$A:$A,P$2)</f>
        <v>0</v>
      </c>
      <c r="Q457" s="12">
        <f>SUMIFS(BASE!$G:$G,BASE!$B:$B,$B457,BASE!$L:$L,$G457,BASE!$J:$J,$C457,BASE!$A:$A,Q$2)</f>
        <v>0</v>
      </c>
      <c r="R457" s="12">
        <f>SUMIFS(BASE!$G:$G,BASE!$B:$B,$B457,BASE!$L:$L,$G457,BASE!$J:$J,$C457,BASE!$A:$A,R$2)</f>
        <v>0</v>
      </c>
      <c r="S457" s="12">
        <f>SUMIFS(BASE!$G:$G,BASE!$B:$B,$B457,BASE!$L:$L,$G457,BASE!$J:$J,$C457,BASE!$A:$A,S$2)</f>
        <v>0</v>
      </c>
      <c r="T457" s="12">
        <f>SUMIFS(BASE!$G:$G,BASE!$B:$B,$B457,BASE!$L:$L,$G457,BASE!$J:$J,$C457,BASE!$A:$A,T$2)</f>
        <v>0</v>
      </c>
      <c r="U457" s="12">
        <f>SUMIFS(BASE!$G:$G,BASE!$B:$B,$B457,BASE!$L:$L,$G457,BASE!$J:$J,$C457,BASE!$A:$A,U$2)</f>
        <v>0</v>
      </c>
      <c r="V457" s="12">
        <f>SUMIFS(BASE!$G:$G,BASE!$B:$B,$B457,BASE!$L:$L,$G457,BASE!$J:$J,$C457,BASE!$A:$A,V$2)</f>
        <v>0</v>
      </c>
      <c r="X457" t="str">
        <f t="shared" si="15"/>
        <v>ZERADO</v>
      </c>
    </row>
    <row r="458" spans="2:24">
      <c r="B458" s="8" t="s">
        <v>1076</v>
      </c>
      <c r="C458" s="9" t="s">
        <v>196</v>
      </c>
      <c r="D458" s="9" t="s">
        <v>1071</v>
      </c>
      <c r="E458" s="9" t="s">
        <v>1056</v>
      </c>
      <c r="F458" s="9" t="s">
        <v>1077</v>
      </c>
      <c r="G458" s="9" t="s">
        <v>62</v>
      </c>
      <c r="H458" s="7" t="str">
        <f>IFERROR(IF(_xlfn.XLOOKUP(B458,REPASSE!D:D,REPASSE!D:D)="","Não","Sim"),"Não")</f>
        <v>Não</v>
      </c>
      <c r="I458" s="7" t="str">
        <f>IF(_xlfn.XLOOKUP(B458,'BOOST LIBERADO'!B:B,'BOOST LIBERADO'!B:B,"Não")="Não","Não","Sim")</f>
        <v>Não</v>
      </c>
      <c r="J458" s="83" t="str">
        <f t="shared" si="14"/>
        <v>Não</v>
      </c>
      <c r="K458" s="12">
        <f>SUMIFS(BASE!$G:$G,BASE!$B:$B,$B458,BASE!$L:$L,$G458,BASE!$J:$J,$C458,BASE!$A:$A,K$2)</f>
        <v>0</v>
      </c>
      <c r="L458" s="12">
        <f>SUMIFS(BASE!$G:$G,BASE!$B:$B,$B458,BASE!$L:$L,$G458,BASE!$J:$J,$C458,BASE!$A:$A,L$2)</f>
        <v>0</v>
      </c>
      <c r="M458" s="12">
        <f>SUMIFS(BASE!$G:$G,BASE!$B:$B,$B458,BASE!$L:$L,$G458,BASE!$J:$J,$C458,BASE!$A:$A,M$2)</f>
        <v>0</v>
      </c>
      <c r="N458" s="12">
        <f>SUMIFS(BASE!$G:$G,BASE!$B:$B,$B458,BASE!$L:$L,$G458,BASE!$J:$J,$C458,BASE!$A:$A,N$2)</f>
        <v>0</v>
      </c>
      <c r="O458" s="12">
        <f>SUMIFS(BASE!$G:$G,BASE!$B:$B,$B458,BASE!$L:$L,$G458,BASE!$J:$J,$C458,BASE!$A:$A,O$2)</f>
        <v>0</v>
      </c>
      <c r="P458" s="12">
        <f>SUMIFS(BASE!$G:$G,BASE!$B:$B,$B458,BASE!$L:$L,$G458,BASE!$J:$J,$C458,BASE!$A:$A,P$2)</f>
        <v>0</v>
      </c>
      <c r="Q458" s="12">
        <f>SUMIFS(BASE!$G:$G,BASE!$B:$B,$B458,BASE!$L:$L,$G458,BASE!$J:$J,$C458,BASE!$A:$A,Q$2)</f>
        <v>0</v>
      </c>
      <c r="R458" s="12">
        <f>SUMIFS(BASE!$G:$G,BASE!$B:$B,$B458,BASE!$L:$L,$G458,BASE!$J:$J,$C458,BASE!$A:$A,R$2)</f>
        <v>0</v>
      </c>
      <c r="S458" s="12">
        <f>SUMIFS(BASE!$G:$G,BASE!$B:$B,$B458,BASE!$L:$L,$G458,BASE!$J:$J,$C458,BASE!$A:$A,S$2)</f>
        <v>0</v>
      </c>
      <c r="T458" s="12">
        <f>SUMIFS(BASE!$G:$G,BASE!$B:$B,$B458,BASE!$L:$L,$G458,BASE!$J:$J,$C458,BASE!$A:$A,T$2)</f>
        <v>0</v>
      </c>
      <c r="U458" s="12">
        <f>SUMIFS(BASE!$G:$G,BASE!$B:$B,$B458,BASE!$L:$L,$G458,BASE!$J:$J,$C458,BASE!$A:$A,U$2)</f>
        <v>0</v>
      </c>
      <c r="V458" s="12">
        <f>SUMIFS(BASE!$G:$G,BASE!$B:$B,$B458,BASE!$L:$L,$G458,BASE!$J:$J,$C458,BASE!$A:$A,V$2)</f>
        <v>0</v>
      </c>
      <c r="X458" t="str">
        <f t="shared" si="15"/>
        <v>ZERADO</v>
      </c>
    </row>
    <row r="459" spans="2:24">
      <c r="B459" s="8" t="s">
        <v>1078</v>
      </c>
      <c r="C459" s="9" t="s">
        <v>160</v>
      </c>
      <c r="D459" s="9" t="s">
        <v>1074</v>
      </c>
      <c r="E459" s="9" t="s">
        <v>1056</v>
      </c>
      <c r="F459" s="9" t="s">
        <v>1075</v>
      </c>
      <c r="G459" s="9" t="s">
        <v>62</v>
      </c>
      <c r="H459" s="7" t="str">
        <f>IFERROR(IF(_xlfn.XLOOKUP(B459,REPASSE!D:D,REPASSE!D:D)="","Não","Sim"),"Não")</f>
        <v>Não</v>
      </c>
      <c r="I459" s="7" t="str">
        <f>IF(_xlfn.XLOOKUP(B459,'BOOST LIBERADO'!B:B,'BOOST LIBERADO'!B:B,"Não")="Não","Não","Sim")</f>
        <v>Sim</v>
      </c>
      <c r="J459" s="83" t="str">
        <f t="shared" si="14"/>
        <v>Sim</v>
      </c>
      <c r="K459" s="12">
        <f>SUMIFS(BASE!$G:$G,BASE!$B:$B,$B459,BASE!$L:$L,$G459,BASE!$J:$J,$C459,BASE!$A:$A,K$2)</f>
        <v>0</v>
      </c>
      <c r="L459" s="12">
        <f>SUMIFS(BASE!$G:$G,BASE!$B:$B,$B459,BASE!$L:$L,$G459,BASE!$J:$J,$C459,BASE!$A:$A,L$2)</f>
        <v>0</v>
      </c>
      <c r="M459" s="12">
        <f>SUMIFS(BASE!$G:$G,BASE!$B:$B,$B459,BASE!$L:$L,$G459,BASE!$J:$J,$C459,BASE!$A:$A,M$2)</f>
        <v>0</v>
      </c>
      <c r="N459" s="12">
        <f>SUMIFS(BASE!$G:$G,BASE!$B:$B,$B459,BASE!$L:$L,$G459,BASE!$J:$J,$C459,BASE!$A:$A,N$2)</f>
        <v>0</v>
      </c>
      <c r="O459" s="12">
        <f>SUMIFS(BASE!$G:$G,BASE!$B:$B,$B459,BASE!$L:$L,$G459,BASE!$J:$J,$C459,BASE!$A:$A,O$2)</f>
        <v>0</v>
      </c>
      <c r="P459" s="12">
        <f>SUMIFS(BASE!$G:$G,BASE!$B:$B,$B459,BASE!$L:$L,$G459,BASE!$J:$J,$C459,BASE!$A:$A,P$2)</f>
        <v>0</v>
      </c>
      <c r="Q459" s="12">
        <f>SUMIFS(BASE!$G:$G,BASE!$B:$B,$B459,BASE!$L:$L,$G459,BASE!$J:$J,$C459,BASE!$A:$A,Q$2)</f>
        <v>0</v>
      </c>
      <c r="R459" s="12">
        <f>SUMIFS(BASE!$G:$G,BASE!$B:$B,$B459,BASE!$L:$L,$G459,BASE!$J:$J,$C459,BASE!$A:$A,R$2)</f>
        <v>0</v>
      </c>
      <c r="S459" s="12">
        <f>SUMIFS(BASE!$G:$G,BASE!$B:$B,$B459,BASE!$L:$L,$G459,BASE!$J:$J,$C459,BASE!$A:$A,S$2)</f>
        <v>0</v>
      </c>
      <c r="T459" s="12">
        <f>SUMIFS(BASE!$G:$G,BASE!$B:$B,$B459,BASE!$L:$L,$G459,BASE!$J:$J,$C459,BASE!$A:$A,T$2)</f>
        <v>0</v>
      </c>
      <c r="U459" s="12">
        <f>SUMIFS(BASE!$G:$G,BASE!$B:$B,$B459,BASE!$L:$L,$G459,BASE!$J:$J,$C459,BASE!$A:$A,U$2)</f>
        <v>0</v>
      </c>
      <c r="V459" s="12">
        <f>SUMIFS(BASE!$G:$G,BASE!$B:$B,$B459,BASE!$L:$L,$G459,BASE!$J:$J,$C459,BASE!$A:$A,V$2)</f>
        <v>0</v>
      </c>
      <c r="X459" t="str">
        <f t="shared" si="15"/>
        <v>ZERADO</v>
      </c>
    </row>
    <row r="460" spans="2:24">
      <c r="B460" s="8" t="s">
        <v>1079</v>
      </c>
      <c r="C460" s="9" t="s">
        <v>127</v>
      </c>
      <c r="D460" s="9" t="s">
        <v>1080</v>
      </c>
      <c r="E460" s="9" t="s">
        <v>1060</v>
      </c>
      <c r="F460" s="9" t="s">
        <v>1081</v>
      </c>
      <c r="G460" s="9" t="s">
        <v>62</v>
      </c>
      <c r="H460" s="7" t="str">
        <f>IFERROR(IF(_xlfn.XLOOKUP(B460,REPASSE!D:D,REPASSE!D:D)="","Não","Sim"),"Não")</f>
        <v>Não</v>
      </c>
      <c r="I460" s="7" t="str">
        <f>IF(_xlfn.XLOOKUP(B460,'BOOST LIBERADO'!B:B,'BOOST LIBERADO'!B:B,"Não")="Não","Não","Sim")</f>
        <v>Sim</v>
      </c>
      <c r="J460" s="83" t="str">
        <f t="shared" si="14"/>
        <v>Sim</v>
      </c>
      <c r="K460" s="12">
        <f>SUMIFS(BASE!$G:$G,BASE!$B:$B,$B460,BASE!$L:$L,$G460,BASE!$J:$J,$C460,BASE!$A:$A,K$2)</f>
        <v>0</v>
      </c>
      <c r="L460" s="12">
        <f>SUMIFS(BASE!$G:$G,BASE!$B:$B,$B460,BASE!$L:$L,$G460,BASE!$J:$J,$C460,BASE!$A:$A,L$2)</f>
        <v>0</v>
      </c>
      <c r="M460" s="12">
        <f>SUMIFS(BASE!$G:$G,BASE!$B:$B,$B460,BASE!$L:$L,$G460,BASE!$J:$J,$C460,BASE!$A:$A,M$2)</f>
        <v>0</v>
      </c>
      <c r="N460" s="12">
        <f>SUMIFS(BASE!$G:$G,BASE!$B:$B,$B460,BASE!$L:$L,$G460,BASE!$J:$J,$C460,BASE!$A:$A,N$2)</f>
        <v>0</v>
      </c>
      <c r="O460" s="12">
        <f>SUMIFS(BASE!$G:$G,BASE!$B:$B,$B460,BASE!$L:$L,$G460,BASE!$J:$J,$C460,BASE!$A:$A,O$2)</f>
        <v>0</v>
      </c>
      <c r="P460" s="12">
        <f>SUMIFS(BASE!$G:$G,BASE!$B:$B,$B460,BASE!$L:$L,$G460,BASE!$J:$J,$C460,BASE!$A:$A,P$2)</f>
        <v>0</v>
      </c>
      <c r="Q460" s="12">
        <f>SUMIFS(BASE!$G:$G,BASE!$B:$B,$B460,BASE!$L:$L,$G460,BASE!$J:$J,$C460,BASE!$A:$A,Q$2)</f>
        <v>0</v>
      </c>
      <c r="R460" s="12">
        <f>SUMIFS(BASE!$G:$G,BASE!$B:$B,$B460,BASE!$L:$L,$G460,BASE!$J:$J,$C460,BASE!$A:$A,R$2)</f>
        <v>0</v>
      </c>
      <c r="S460" s="12">
        <f>SUMIFS(BASE!$G:$G,BASE!$B:$B,$B460,BASE!$L:$L,$G460,BASE!$J:$J,$C460,BASE!$A:$A,S$2)</f>
        <v>0</v>
      </c>
      <c r="T460" s="12">
        <f>SUMIFS(BASE!$G:$G,BASE!$B:$B,$B460,BASE!$L:$L,$G460,BASE!$J:$J,$C460,BASE!$A:$A,T$2)</f>
        <v>0</v>
      </c>
      <c r="U460" s="12">
        <f>SUMIFS(BASE!$G:$G,BASE!$B:$B,$B460,BASE!$L:$L,$G460,BASE!$J:$J,$C460,BASE!$A:$A,U$2)</f>
        <v>0</v>
      </c>
      <c r="V460" s="12">
        <f>SUMIFS(BASE!$G:$G,BASE!$B:$B,$B460,BASE!$L:$L,$G460,BASE!$J:$J,$C460,BASE!$A:$A,V$2)</f>
        <v>0</v>
      </c>
      <c r="X460" t="str">
        <f t="shared" si="15"/>
        <v>ZERADO</v>
      </c>
    </row>
    <row r="461" spans="2:24">
      <c r="B461" s="8" t="s">
        <v>1082</v>
      </c>
      <c r="C461" s="9" t="s">
        <v>140</v>
      </c>
      <c r="D461" s="9" t="s">
        <v>1083</v>
      </c>
      <c r="E461" s="9" t="s">
        <v>1084</v>
      </c>
      <c r="F461" s="9" t="s">
        <v>1085</v>
      </c>
      <c r="G461" s="9" t="s">
        <v>62</v>
      </c>
      <c r="H461" s="7" t="str">
        <f>IFERROR(IF(_xlfn.XLOOKUP(B461,REPASSE!D:D,REPASSE!D:D)="","Não","Sim"),"Não")</f>
        <v>Não</v>
      </c>
      <c r="I461" s="7" t="str">
        <f>IF(_xlfn.XLOOKUP(B461,'BOOST LIBERADO'!B:B,'BOOST LIBERADO'!B:B,"Não")="Não","Não","Sim")</f>
        <v>Não</v>
      </c>
      <c r="J461" s="83" t="str">
        <f t="shared" si="14"/>
        <v>Não</v>
      </c>
      <c r="K461" s="12">
        <f>SUMIFS(BASE!$G:$G,BASE!$B:$B,$B461,BASE!$L:$L,$G461,BASE!$J:$J,$C461,BASE!$A:$A,K$2)</f>
        <v>0</v>
      </c>
      <c r="L461" s="12">
        <f>SUMIFS(BASE!$G:$G,BASE!$B:$B,$B461,BASE!$L:$L,$G461,BASE!$J:$J,$C461,BASE!$A:$A,L$2)</f>
        <v>0</v>
      </c>
      <c r="M461" s="12">
        <f>SUMIFS(BASE!$G:$G,BASE!$B:$B,$B461,BASE!$L:$L,$G461,BASE!$J:$J,$C461,BASE!$A:$A,M$2)</f>
        <v>0</v>
      </c>
      <c r="N461" s="12">
        <f>SUMIFS(BASE!$G:$G,BASE!$B:$B,$B461,BASE!$L:$L,$G461,BASE!$J:$J,$C461,BASE!$A:$A,N$2)</f>
        <v>0</v>
      </c>
      <c r="O461" s="12">
        <f>SUMIFS(BASE!$G:$G,BASE!$B:$B,$B461,BASE!$L:$L,$G461,BASE!$J:$J,$C461,BASE!$A:$A,O$2)</f>
        <v>0</v>
      </c>
      <c r="P461" s="12">
        <f>SUMIFS(BASE!$G:$G,BASE!$B:$B,$B461,BASE!$L:$L,$G461,BASE!$J:$J,$C461,BASE!$A:$A,P$2)</f>
        <v>0</v>
      </c>
      <c r="Q461" s="12">
        <f>SUMIFS(BASE!$G:$G,BASE!$B:$B,$B461,BASE!$L:$L,$G461,BASE!$J:$J,$C461,BASE!$A:$A,Q$2)</f>
        <v>0</v>
      </c>
      <c r="R461" s="12">
        <f>SUMIFS(BASE!$G:$G,BASE!$B:$B,$B461,BASE!$L:$L,$G461,BASE!$J:$J,$C461,BASE!$A:$A,R$2)</f>
        <v>0</v>
      </c>
      <c r="S461" s="12">
        <f>SUMIFS(BASE!$G:$G,BASE!$B:$B,$B461,BASE!$L:$L,$G461,BASE!$J:$J,$C461,BASE!$A:$A,S$2)</f>
        <v>0</v>
      </c>
      <c r="T461" s="12">
        <f>SUMIFS(BASE!$G:$G,BASE!$B:$B,$B461,BASE!$L:$L,$G461,BASE!$J:$J,$C461,BASE!$A:$A,T$2)</f>
        <v>0</v>
      </c>
      <c r="U461" s="12">
        <f>SUMIFS(BASE!$G:$G,BASE!$B:$B,$B461,BASE!$L:$L,$G461,BASE!$J:$J,$C461,BASE!$A:$A,U$2)</f>
        <v>0</v>
      </c>
      <c r="V461" s="12">
        <f>SUMIFS(BASE!$G:$G,BASE!$B:$B,$B461,BASE!$L:$L,$G461,BASE!$J:$J,$C461,BASE!$A:$A,V$2)</f>
        <v>0</v>
      </c>
      <c r="X461" t="str">
        <f t="shared" si="15"/>
        <v>ZERADO</v>
      </c>
    </row>
    <row r="462" spans="2:24">
      <c r="B462" s="8" t="s">
        <v>1086</v>
      </c>
      <c r="C462" s="9" t="s">
        <v>117</v>
      </c>
      <c r="D462" s="9" t="s">
        <v>1080</v>
      </c>
      <c r="E462" s="9" t="s">
        <v>1060</v>
      </c>
      <c r="F462" s="9" t="s">
        <v>1087</v>
      </c>
      <c r="G462" s="9" t="s">
        <v>62</v>
      </c>
      <c r="H462" s="7" t="str">
        <f>IFERROR(IF(_xlfn.XLOOKUP(B462,REPASSE!D:D,REPASSE!D:D)="","Não","Sim"),"Não")</f>
        <v>Não</v>
      </c>
      <c r="I462" s="7" t="str">
        <f>IF(_xlfn.XLOOKUP(B462,'BOOST LIBERADO'!B:B,'BOOST LIBERADO'!B:B,"Não")="Não","Não","Sim")</f>
        <v>Sim</v>
      </c>
      <c r="J462" s="83" t="str">
        <f t="shared" si="14"/>
        <v>Sim</v>
      </c>
      <c r="K462" s="12">
        <f>SUMIFS(BASE!$G:$G,BASE!$B:$B,$B462,BASE!$L:$L,$G462,BASE!$J:$J,$C462,BASE!$A:$A,K$2)</f>
        <v>0</v>
      </c>
      <c r="L462" s="12">
        <f>SUMIFS(BASE!$G:$G,BASE!$B:$B,$B462,BASE!$L:$L,$G462,BASE!$J:$J,$C462,BASE!$A:$A,L$2)</f>
        <v>0</v>
      </c>
      <c r="M462" s="12">
        <f>SUMIFS(BASE!$G:$G,BASE!$B:$B,$B462,BASE!$L:$L,$G462,BASE!$J:$J,$C462,BASE!$A:$A,M$2)</f>
        <v>0</v>
      </c>
      <c r="N462" s="12">
        <f>SUMIFS(BASE!$G:$G,BASE!$B:$B,$B462,BASE!$L:$L,$G462,BASE!$J:$J,$C462,BASE!$A:$A,N$2)</f>
        <v>0</v>
      </c>
      <c r="O462" s="12">
        <f>SUMIFS(BASE!$G:$G,BASE!$B:$B,$B462,BASE!$L:$L,$G462,BASE!$J:$J,$C462,BASE!$A:$A,O$2)</f>
        <v>0</v>
      </c>
      <c r="P462" s="12">
        <f>SUMIFS(BASE!$G:$G,BASE!$B:$B,$B462,BASE!$L:$L,$G462,BASE!$J:$J,$C462,BASE!$A:$A,P$2)</f>
        <v>0</v>
      </c>
      <c r="Q462" s="12">
        <f>SUMIFS(BASE!$G:$G,BASE!$B:$B,$B462,BASE!$L:$L,$G462,BASE!$J:$J,$C462,BASE!$A:$A,Q$2)</f>
        <v>0</v>
      </c>
      <c r="R462" s="12">
        <f>SUMIFS(BASE!$G:$G,BASE!$B:$B,$B462,BASE!$L:$L,$G462,BASE!$J:$J,$C462,BASE!$A:$A,R$2)</f>
        <v>0</v>
      </c>
      <c r="S462" s="12">
        <f>SUMIFS(BASE!$G:$G,BASE!$B:$B,$B462,BASE!$L:$L,$G462,BASE!$J:$J,$C462,BASE!$A:$A,S$2)</f>
        <v>0</v>
      </c>
      <c r="T462" s="12">
        <f>SUMIFS(BASE!$G:$G,BASE!$B:$B,$B462,BASE!$L:$L,$G462,BASE!$J:$J,$C462,BASE!$A:$A,T$2)</f>
        <v>0</v>
      </c>
      <c r="U462" s="12">
        <f>SUMIFS(BASE!$G:$G,BASE!$B:$B,$B462,BASE!$L:$L,$G462,BASE!$J:$J,$C462,BASE!$A:$A,U$2)</f>
        <v>0</v>
      </c>
      <c r="V462" s="12">
        <f>SUMIFS(BASE!$G:$G,BASE!$B:$B,$B462,BASE!$L:$L,$G462,BASE!$J:$J,$C462,BASE!$A:$A,V$2)</f>
        <v>0</v>
      </c>
      <c r="X462" t="str">
        <f t="shared" si="15"/>
        <v>ZERADO</v>
      </c>
    </row>
    <row r="463" spans="2:24">
      <c r="B463" s="8" t="s">
        <v>1088</v>
      </c>
      <c r="C463" s="9" t="s">
        <v>187</v>
      </c>
      <c r="D463" s="9" t="s">
        <v>1063</v>
      </c>
      <c r="E463" s="9" t="s">
        <v>1060</v>
      </c>
      <c r="F463" s="9" t="s">
        <v>1089</v>
      </c>
      <c r="G463" s="9" t="s">
        <v>62</v>
      </c>
      <c r="H463" s="7" t="str">
        <f>IFERROR(IF(_xlfn.XLOOKUP(B463,REPASSE!D:D,REPASSE!D:D)="","Não","Sim"),"Não")</f>
        <v>Não</v>
      </c>
      <c r="I463" s="7" t="str">
        <f>IF(_xlfn.XLOOKUP(B463,'BOOST LIBERADO'!B:B,'BOOST LIBERADO'!B:B,"Não")="Não","Não","Sim")</f>
        <v>Sim</v>
      </c>
      <c r="J463" s="83" t="str">
        <f t="shared" si="14"/>
        <v>Sim</v>
      </c>
      <c r="K463" s="12">
        <f>SUMIFS(BASE!$G:$G,BASE!$B:$B,$B463,BASE!$L:$L,$G463,BASE!$J:$J,$C463,BASE!$A:$A,K$2)</f>
        <v>0</v>
      </c>
      <c r="L463" s="12">
        <f>SUMIFS(BASE!$G:$G,BASE!$B:$B,$B463,BASE!$L:$L,$G463,BASE!$J:$J,$C463,BASE!$A:$A,L$2)</f>
        <v>0</v>
      </c>
      <c r="M463" s="12">
        <f>SUMIFS(BASE!$G:$G,BASE!$B:$B,$B463,BASE!$L:$L,$G463,BASE!$J:$J,$C463,BASE!$A:$A,M$2)</f>
        <v>0</v>
      </c>
      <c r="N463" s="12">
        <f>SUMIFS(BASE!$G:$G,BASE!$B:$B,$B463,BASE!$L:$L,$G463,BASE!$J:$J,$C463,BASE!$A:$A,N$2)</f>
        <v>0</v>
      </c>
      <c r="O463" s="12">
        <f>SUMIFS(BASE!$G:$G,BASE!$B:$B,$B463,BASE!$L:$L,$G463,BASE!$J:$J,$C463,BASE!$A:$A,O$2)</f>
        <v>0</v>
      </c>
      <c r="P463" s="12">
        <f>SUMIFS(BASE!$G:$G,BASE!$B:$B,$B463,BASE!$L:$L,$G463,BASE!$J:$J,$C463,BASE!$A:$A,P$2)</f>
        <v>0</v>
      </c>
      <c r="Q463" s="12">
        <f>SUMIFS(BASE!$G:$G,BASE!$B:$B,$B463,BASE!$L:$L,$G463,BASE!$J:$J,$C463,BASE!$A:$A,Q$2)</f>
        <v>0</v>
      </c>
      <c r="R463" s="12">
        <f>SUMIFS(BASE!$G:$G,BASE!$B:$B,$B463,BASE!$L:$L,$G463,BASE!$J:$J,$C463,BASE!$A:$A,R$2)</f>
        <v>0</v>
      </c>
      <c r="S463" s="12">
        <f>SUMIFS(BASE!$G:$G,BASE!$B:$B,$B463,BASE!$L:$L,$G463,BASE!$J:$J,$C463,BASE!$A:$A,S$2)</f>
        <v>0</v>
      </c>
      <c r="T463" s="12">
        <f>SUMIFS(BASE!$G:$G,BASE!$B:$B,$B463,BASE!$L:$L,$G463,BASE!$J:$J,$C463,BASE!$A:$A,T$2)</f>
        <v>0</v>
      </c>
      <c r="U463" s="12">
        <f>SUMIFS(BASE!$G:$G,BASE!$B:$B,$B463,BASE!$L:$L,$G463,BASE!$J:$J,$C463,BASE!$A:$A,U$2)</f>
        <v>0</v>
      </c>
      <c r="V463" s="12">
        <f>SUMIFS(BASE!$G:$G,BASE!$B:$B,$B463,BASE!$L:$L,$G463,BASE!$J:$J,$C463,BASE!$A:$A,V$2)</f>
        <v>0</v>
      </c>
      <c r="X463" t="str">
        <f t="shared" si="15"/>
        <v>ZERADO</v>
      </c>
    </row>
    <row r="464" spans="2:24">
      <c r="B464" s="8" t="s">
        <v>1090</v>
      </c>
      <c r="C464" s="9" t="s">
        <v>187</v>
      </c>
      <c r="D464" s="9" t="s">
        <v>1063</v>
      </c>
      <c r="E464" s="9" t="s">
        <v>1060</v>
      </c>
      <c r="F464" s="9" t="s">
        <v>1091</v>
      </c>
      <c r="G464" s="9" t="s">
        <v>62</v>
      </c>
      <c r="H464" s="7" t="str">
        <f>IFERROR(IF(_xlfn.XLOOKUP(B464,REPASSE!D:D,REPASSE!D:D)="","Não","Sim"),"Não")</f>
        <v>Não</v>
      </c>
      <c r="I464" s="7" t="str">
        <f>IF(_xlfn.XLOOKUP(B464,'BOOST LIBERADO'!B:B,'BOOST LIBERADO'!B:B,"Não")="Não","Não","Sim")</f>
        <v>Não</v>
      </c>
      <c r="J464" s="83" t="str">
        <f t="shared" si="14"/>
        <v>Não</v>
      </c>
      <c r="K464" s="12">
        <f>SUMIFS(BASE!$G:$G,BASE!$B:$B,$B464,BASE!$L:$L,$G464,BASE!$J:$J,$C464,BASE!$A:$A,K$2)</f>
        <v>0</v>
      </c>
      <c r="L464" s="12">
        <f>SUMIFS(BASE!$G:$G,BASE!$B:$B,$B464,BASE!$L:$L,$G464,BASE!$J:$J,$C464,BASE!$A:$A,L$2)</f>
        <v>0</v>
      </c>
      <c r="M464" s="12">
        <f>SUMIFS(BASE!$G:$G,BASE!$B:$B,$B464,BASE!$L:$L,$G464,BASE!$J:$J,$C464,BASE!$A:$A,M$2)</f>
        <v>0</v>
      </c>
      <c r="N464" s="12">
        <f>SUMIFS(BASE!$G:$G,BASE!$B:$B,$B464,BASE!$L:$L,$G464,BASE!$J:$J,$C464,BASE!$A:$A,N$2)</f>
        <v>0</v>
      </c>
      <c r="O464" s="12">
        <f>SUMIFS(BASE!$G:$G,BASE!$B:$B,$B464,BASE!$L:$L,$G464,BASE!$J:$J,$C464,BASE!$A:$A,O$2)</f>
        <v>0</v>
      </c>
      <c r="P464" s="12">
        <f>SUMIFS(BASE!$G:$G,BASE!$B:$B,$B464,BASE!$L:$L,$G464,BASE!$J:$J,$C464,BASE!$A:$A,P$2)</f>
        <v>0</v>
      </c>
      <c r="Q464" s="12">
        <f>SUMIFS(BASE!$G:$G,BASE!$B:$B,$B464,BASE!$L:$L,$G464,BASE!$J:$J,$C464,BASE!$A:$A,Q$2)</f>
        <v>0</v>
      </c>
      <c r="R464" s="12">
        <f>SUMIFS(BASE!$G:$G,BASE!$B:$B,$B464,BASE!$L:$L,$G464,BASE!$J:$J,$C464,BASE!$A:$A,R$2)</f>
        <v>0</v>
      </c>
      <c r="S464" s="12">
        <f>SUMIFS(BASE!$G:$G,BASE!$B:$B,$B464,BASE!$L:$L,$G464,BASE!$J:$J,$C464,BASE!$A:$A,S$2)</f>
        <v>0</v>
      </c>
      <c r="T464" s="12">
        <f>SUMIFS(BASE!$G:$G,BASE!$B:$B,$B464,BASE!$L:$L,$G464,BASE!$J:$J,$C464,BASE!$A:$A,T$2)</f>
        <v>0</v>
      </c>
      <c r="U464" s="12">
        <f>SUMIFS(BASE!$G:$G,BASE!$B:$B,$B464,BASE!$L:$L,$G464,BASE!$J:$J,$C464,BASE!$A:$A,U$2)</f>
        <v>0</v>
      </c>
      <c r="V464" s="12">
        <f>SUMIFS(BASE!$G:$G,BASE!$B:$B,$B464,BASE!$L:$L,$G464,BASE!$J:$J,$C464,BASE!$A:$A,V$2)</f>
        <v>0</v>
      </c>
      <c r="X464" t="str">
        <f t="shared" si="15"/>
        <v>ZERADO</v>
      </c>
    </row>
    <row r="465" spans="2:24">
      <c r="B465" s="8" t="s">
        <v>1092</v>
      </c>
      <c r="C465" s="9" t="s">
        <v>186</v>
      </c>
      <c r="D465" s="9" t="s">
        <v>1055</v>
      </c>
      <c r="E465" s="9" t="s">
        <v>1056</v>
      </c>
      <c r="F465" s="9" t="s">
        <v>1093</v>
      </c>
      <c r="G465" s="9" t="s">
        <v>62</v>
      </c>
      <c r="H465" s="7" t="str">
        <f>IFERROR(IF(_xlfn.XLOOKUP(B465,REPASSE!D:D,REPASSE!D:D)="","Não","Sim"),"Não")</f>
        <v>Não</v>
      </c>
      <c r="I465" s="7" t="str">
        <f>IF(_xlfn.XLOOKUP(B465,'BOOST LIBERADO'!B:B,'BOOST LIBERADO'!B:B,"Não")="Não","Não","Sim")</f>
        <v>Não</v>
      </c>
      <c r="J465" s="83" t="str">
        <f t="shared" si="14"/>
        <v>Não</v>
      </c>
      <c r="K465" s="12">
        <f>SUMIFS(BASE!$G:$G,BASE!$B:$B,$B465,BASE!$L:$L,$G465,BASE!$J:$J,$C465,BASE!$A:$A,K$2)</f>
        <v>0</v>
      </c>
      <c r="L465" s="12">
        <f>SUMIFS(BASE!$G:$G,BASE!$B:$B,$B465,BASE!$L:$L,$G465,BASE!$J:$J,$C465,BASE!$A:$A,L$2)</f>
        <v>0</v>
      </c>
      <c r="M465" s="12">
        <f>SUMIFS(BASE!$G:$G,BASE!$B:$B,$B465,BASE!$L:$L,$G465,BASE!$J:$J,$C465,BASE!$A:$A,M$2)</f>
        <v>0</v>
      </c>
      <c r="N465" s="12">
        <f>SUMIFS(BASE!$G:$G,BASE!$B:$B,$B465,BASE!$L:$L,$G465,BASE!$J:$J,$C465,BASE!$A:$A,N$2)</f>
        <v>0</v>
      </c>
      <c r="O465" s="12">
        <f>SUMIFS(BASE!$G:$G,BASE!$B:$B,$B465,BASE!$L:$L,$G465,BASE!$J:$J,$C465,BASE!$A:$A,O$2)</f>
        <v>0</v>
      </c>
      <c r="P465" s="12">
        <f>SUMIFS(BASE!$G:$G,BASE!$B:$B,$B465,BASE!$L:$L,$G465,BASE!$J:$J,$C465,BASE!$A:$A,P$2)</f>
        <v>0</v>
      </c>
      <c r="Q465" s="12">
        <f>SUMIFS(BASE!$G:$G,BASE!$B:$B,$B465,BASE!$L:$L,$G465,BASE!$J:$J,$C465,BASE!$A:$A,Q$2)</f>
        <v>0</v>
      </c>
      <c r="R465" s="12">
        <f>SUMIFS(BASE!$G:$G,BASE!$B:$B,$B465,BASE!$L:$L,$G465,BASE!$J:$J,$C465,BASE!$A:$A,R$2)</f>
        <v>0</v>
      </c>
      <c r="S465" s="12">
        <f>SUMIFS(BASE!$G:$G,BASE!$B:$B,$B465,BASE!$L:$L,$G465,BASE!$J:$J,$C465,BASE!$A:$A,S$2)</f>
        <v>0</v>
      </c>
      <c r="T465" s="12">
        <f>SUMIFS(BASE!$G:$G,BASE!$B:$B,$B465,BASE!$L:$L,$G465,BASE!$J:$J,$C465,BASE!$A:$A,T$2)</f>
        <v>0</v>
      </c>
      <c r="U465" s="12">
        <f>SUMIFS(BASE!$G:$G,BASE!$B:$B,$B465,BASE!$L:$L,$G465,BASE!$J:$J,$C465,BASE!$A:$A,U$2)</f>
        <v>0</v>
      </c>
      <c r="V465" s="12">
        <f>SUMIFS(BASE!$G:$G,BASE!$B:$B,$B465,BASE!$L:$L,$G465,BASE!$J:$J,$C465,BASE!$A:$A,V$2)</f>
        <v>0</v>
      </c>
      <c r="X465" t="str">
        <f t="shared" si="15"/>
        <v>ZERADO</v>
      </c>
    </row>
    <row r="466" spans="2:24">
      <c r="B466" s="8" t="s">
        <v>1094</v>
      </c>
      <c r="C466" s="9" t="s">
        <v>160</v>
      </c>
      <c r="D466" s="9" t="s">
        <v>1074</v>
      </c>
      <c r="E466" s="9" t="s">
        <v>1056</v>
      </c>
      <c r="F466" s="9" t="s">
        <v>1075</v>
      </c>
      <c r="G466" s="9" t="s">
        <v>62</v>
      </c>
      <c r="H466" s="7" t="str">
        <f>IFERROR(IF(_xlfn.XLOOKUP(B466,REPASSE!D:D,REPASSE!D:D)="","Não","Sim"),"Não")</f>
        <v>Não</v>
      </c>
      <c r="I466" s="7" t="str">
        <f>IF(_xlfn.XLOOKUP(B466,'BOOST LIBERADO'!B:B,'BOOST LIBERADO'!B:B,"Não")="Não","Não","Sim")</f>
        <v>Sim</v>
      </c>
      <c r="J466" s="83" t="str">
        <f t="shared" si="14"/>
        <v>Sim</v>
      </c>
      <c r="K466" s="12">
        <f>SUMIFS(BASE!$G:$G,BASE!$B:$B,$B466,BASE!$L:$L,$G466,BASE!$J:$J,$C466,BASE!$A:$A,K$2)</f>
        <v>0</v>
      </c>
      <c r="L466" s="12">
        <f>SUMIFS(BASE!$G:$G,BASE!$B:$B,$B466,BASE!$L:$L,$G466,BASE!$J:$J,$C466,BASE!$A:$A,L$2)</f>
        <v>2</v>
      </c>
      <c r="M466" s="12">
        <f>SUMIFS(BASE!$G:$G,BASE!$B:$B,$B466,BASE!$L:$L,$G466,BASE!$J:$J,$C466,BASE!$A:$A,M$2)</f>
        <v>0</v>
      </c>
      <c r="N466" s="12">
        <f>SUMIFS(BASE!$G:$G,BASE!$B:$B,$B466,BASE!$L:$L,$G466,BASE!$J:$J,$C466,BASE!$A:$A,N$2)</f>
        <v>0</v>
      </c>
      <c r="O466" s="12">
        <f>SUMIFS(BASE!$G:$G,BASE!$B:$B,$B466,BASE!$L:$L,$G466,BASE!$J:$J,$C466,BASE!$A:$A,O$2)</f>
        <v>0</v>
      </c>
      <c r="P466" s="12">
        <f>SUMIFS(BASE!$G:$G,BASE!$B:$B,$B466,BASE!$L:$L,$G466,BASE!$J:$J,$C466,BASE!$A:$A,P$2)</f>
        <v>0</v>
      </c>
      <c r="Q466" s="12">
        <f>SUMIFS(BASE!$G:$G,BASE!$B:$B,$B466,BASE!$L:$L,$G466,BASE!$J:$J,$C466,BASE!$A:$A,Q$2)</f>
        <v>0</v>
      </c>
      <c r="R466" s="12">
        <f>SUMIFS(BASE!$G:$G,BASE!$B:$B,$B466,BASE!$L:$L,$G466,BASE!$J:$J,$C466,BASE!$A:$A,R$2)</f>
        <v>0</v>
      </c>
      <c r="S466" s="12">
        <f>SUMIFS(BASE!$G:$G,BASE!$B:$B,$B466,BASE!$L:$L,$G466,BASE!$J:$J,$C466,BASE!$A:$A,S$2)</f>
        <v>0</v>
      </c>
      <c r="T466" s="12">
        <f>SUMIFS(BASE!$G:$G,BASE!$B:$B,$B466,BASE!$L:$L,$G466,BASE!$J:$J,$C466,BASE!$A:$A,T$2)</f>
        <v>0</v>
      </c>
      <c r="U466" s="12">
        <f>SUMIFS(BASE!$G:$G,BASE!$B:$B,$B466,BASE!$L:$L,$G466,BASE!$J:$J,$C466,BASE!$A:$A,U$2)</f>
        <v>0</v>
      </c>
      <c r="V466" s="12">
        <f>SUMIFS(BASE!$G:$G,BASE!$B:$B,$B466,BASE!$L:$L,$G466,BASE!$J:$J,$C466,BASE!$A:$A,V$2)</f>
        <v>0</v>
      </c>
      <c r="X466" t="str">
        <f t="shared" si="15"/>
        <v>ZERADO</v>
      </c>
    </row>
    <row r="467" spans="2:24">
      <c r="B467" s="8" t="s">
        <v>1095</v>
      </c>
      <c r="C467" s="9" t="s">
        <v>117</v>
      </c>
      <c r="D467" s="9" t="s">
        <v>1080</v>
      </c>
      <c r="E467" s="9" t="s">
        <v>1060</v>
      </c>
      <c r="F467" s="9" t="s">
        <v>1096</v>
      </c>
      <c r="G467" s="9" t="s">
        <v>62</v>
      </c>
      <c r="H467" s="7" t="str">
        <f>IFERROR(IF(_xlfn.XLOOKUP(B467,REPASSE!D:D,REPASSE!D:D)="","Não","Sim"),"Não")</f>
        <v>Não</v>
      </c>
      <c r="I467" s="7" t="str">
        <f>IF(_xlfn.XLOOKUP(B467,'BOOST LIBERADO'!B:B,'BOOST LIBERADO'!B:B,"Não")="Não","Não","Sim")</f>
        <v>Sim</v>
      </c>
      <c r="J467" s="83" t="str">
        <f t="shared" si="14"/>
        <v>Sim</v>
      </c>
      <c r="K467" s="12">
        <f>SUMIFS(BASE!$G:$G,BASE!$B:$B,$B467,BASE!$L:$L,$G467,BASE!$J:$J,$C467,BASE!$A:$A,K$2)</f>
        <v>0</v>
      </c>
      <c r="L467" s="12">
        <f>SUMIFS(BASE!$G:$G,BASE!$B:$B,$B467,BASE!$L:$L,$G467,BASE!$J:$J,$C467,BASE!$A:$A,L$2)</f>
        <v>0</v>
      </c>
      <c r="M467" s="12">
        <f>SUMIFS(BASE!$G:$G,BASE!$B:$B,$B467,BASE!$L:$L,$G467,BASE!$J:$J,$C467,BASE!$A:$A,M$2)</f>
        <v>0</v>
      </c>
      <c r="N467" s="12">
        <f>SUMIFS(BASE!$G:$G,BASE!$B:$B,$B467,BASE!$L:$L,$G467,BASE!$J:$J,$C467,BASE!$A:$A,N$2)</f>
        <v>0</v>
      </c>
      <c r="O467" s="12">
        <f>SUMIFS(BASE!$G:$G,BASE!$B:$B,$B467,BASE!$L:$L,$G467,BASE!$J:$J,$C467,BASE!$A:$A,O$2)</f>
        <v>0</v>
      </c>
      <c r="P467" s="12">
        <f>SUMIFS(BASE!$G:$G,BASE!$B:$B,$B467,BASE!$L:$L,$G467,BASE!$J:$J,$C467,BASE!$A:$A,P$2)</f>
        <v>0</v>
      </c>
      <c r="Q467" s="12">
        <f>SUMIFS(BASE!$G:$G,BASE!$B:$B,$B467,BASE!$L:$L,$G467,BASE!$J:$J,$C467,BASE!$A:$A,Q$2)</f>
        <v>0</v>
      </c>
      <c r="R467" s="12">
        <f>SUMIFS(BASE!$G:$G,BASE!$B:$B,$B467,BASE!$L:$L,$G467,BASE!$J:$J,$C467,BASE!$A:$A,R$2)</f>
        <v>0</v>
      </c>
      <c r="S467" s="12">
        <f>SUMIFS(BASE!$G:$G,BASE!$B:$B,$B467,BASE!$L:$L,$G467,BASE!$J:$J,$C467,BASE!$A:$A,S$2)</f>
        <v>0</v>
      </c>
      <c r="T467" s="12">
        <f>SUMIFS(BASE!$G:$G,BASE!$B:$B,$B467,BASE!$L:$L,$G467,BASE!$J:$J,$C467,BASE!$A:$A,T$2)</f>
        <v>0</v>
      </c>
      <c r="U467" s="12">
        <f>SUMIFS(BASE!$G:$G,BASE!$B:$B,$B467,BASE!$L:$L,$G467,BASE!$J:$J,$C467,BASE!$A:$A,U$2)</f>
        <v>0</v>
      </c>
      <c r="V467" s="12">
        <f>SUMIFS(BASE!$G:$G,BASE!$B:$B,$B467,BASE!$L:$L,$G467,BASE!$J:$J,$C467,BASE!$A:$A,V$2)</f>
        <v>0</v>
      </c>
      <c r="X467" t="str">
        <f t="shared" si="15"/>
        <v>ZERADO</v>
      </c>
    </row>
    <row r="468" spans="2:24">
      <c r="B468" s="8" t="s">
        <v>1097</v>
      </c>
      <c r="C468" s="9" t="s">
        <v>121</v>
      </c>
      <c r="D468" s="9" t="s">
        <v>1059</v>
      </c>
      <c r="E468" s="9" t="s">
        <v>1060</v>
      </c>
      <c r="F468" s="9" t="s">
        <v>1096</v>
      </c>
      <c r="G468" s="9" t="s">
        <v>62</v>
      </c>
      <c r="H468" s="7" t="str">
        <f>IFERROR(IF(_xlfn.XLOOKUP(B468,REPASSE!D:D,REPASSE!D:D)="","Não","Sim"),"Não")</f>
        <v>Não</v>
      </c>
      <c r="I468" s="7" t="str">
        <f>IF(_xlfn.XLOOKUP(B468,'BOOST LIBERADO'!B:B,'BOOST LIBERADO'!B:B,"Não")="Não","Não","Sim")</f>
        <v>Sim</v>
      </c>
      <c r="J468" s="83" t="str">
        <f t="shared" si="14"/>
        <v>Sim</v>
      </c>
      <c r="K468" s="12">
        <f>SUMIFS(BASE!$G:$G,BASE!$B:$B,$B468,BASE!$L:$L,$G468,BASE!$J:$J,$C468,BASE!$A:$A,K$2)</f>
        <v>0</v>
      </c>
      <c r="L468" s="12">
        <f>SUMIFS(BASE!$G:$G,BASE!$B:$B,$B468,BASE!$L:$L,$G468,BASE!$J:$J,$C468,BASE!$A:$A,L$2)</f>
        <v>0</v>
      </c>
      <c r="M468" s="12">
        <f>SUMIFS(BASE!$G:$G,BASE!$B:$B,$B468,BASE!$L:$L,$G468,BASE!$J:$J,$C468,BASE!$A:$A,M$2)</f>
        <v>0</v>
      </c>
      <c r="N468" s="12">
        <f>SUMIFS(BASE!$G:$G,BASE!$B:$B,$B468,BASE!$L:$L,$G468,BASE!$J:$J,$C468,BASE!$A:$A,N$2)</f>
        <v>0</v>
      </c>
      <c r="O468" s="12">
        <f>SUMIFS(BASE!$G:$G,BASE!$B:$B,$B468,BASE!$L:$L,$G468,BASE!$J:$J,$C468,BASE!$A:$A,O$2)</f>
        <v>0</v>
      </c>
      <c r="P468" s="12">
        <f>SUMIFS(BASE!$G:$G,BASE!$B:$B,$B468,BASE!$L:$L,$G468,BASE!$J:$J,$C468,BASE!$A:$A,P$2)</f>
        <v>0</v>
      </c>
      <c r="Q468" s="12">
        <f>SUMIFS(BASE!$G:$G,BASE!$B:$B,$B468,BASE!$L:$L,$G468,BASE!$J:$J,$C468,BASE!$A:$A,Q$2)</f>
        <v>0</v>
      </c>
      <c r="R468" s="12">
        <f>SUMIFS(BASE!$G:$G,BASE!$B:$B,$B468,BASE!$L:$L,$G468,BASE!$J:$J,$C468,BASE!$A:$A,R$2)</f>
        <v>0</v>
      </c>
      <c r="S468" s="12">
        <f>SUMIFS(BASE!$G:$G,BASE!$B:$B,$B468,BASE!$L:$L,$G468,BASE!$J:$J,$C468,BASE!$A:$A,S$2)</f>
        <v>0</v>
      </c>
      <c r="T468" s="12">
        <f>SUMIFS(BASE!$G:$G,BASE!$B:$B,$B468,BASE!$L:$L,$G468,BASE!$J:$J,$C468,BASE!$A:$A,T$2)</f>
        <v>0</v>
      </c>
      <c r="U468" s="12">
        <f>SUMIFS(BASE!$G:$G,BASE!$B:$B,$B468,BASE!$L:$L,$G468,BASE!$J:$J,$C468,BASE!$A:$A,U$2)</f>
        <v>0</v>
      </c>
      <c r="V468" s="12">
        <f>SUMIFS(BASE!$G:$G,BASE!$B:$B,$B468,BASE!$L:$L,$G468,BASE!$J:$J,$C468,BASE!$A:$A,V$2)</f>
        <v>0</v>
      </c>
      <c r="X468" t="str">
        <f t="shared" si="15"/>
        <v>ZERADO</v>
      </c>
    </row>
    <row r="469" spans="2:24">
      <c r="B469" s="8" t="s">
        <v>1098</v>
      </c>
      <c r="C469" s="9" t="s">
        <v>196</v>
      </c>
      <c r="D469" s="9" t="s">
        <v>1071</v>
      </c>
      <c r="E469" s="9" t="s">
        <v>1056</v>
      </c>
      <c r="F469" s="9" t="s">
        <v>1077</v>
      </c>
      <c r="G469" s="9" t="s">
        <v>62</v>
      </c>
      <c r="H469" s="7" t="str">
        <f>IFERROR(IF(_xlfn.XLOOKUP(B469,REPASSE!D:D,REPASSE!D:D)="","Não","Sim"),"Não")</f>
        <v>Não</v>
      </c>
      <c r="I469" s="7" t="str">
        <f>IF(_xlfn.XLOOKUP(B469,'BOOST LIBERADO'!B:B,'BOOST LIBERADO'!B:B,"Não")="Não","Não","Sim")</f>
        <v>Não</v>
      </c>
      <c r="J469" s="83" t="str">
        <f t="shared" si="14"/>
        <v>Não</v>
      </c>
      <c r="K469" s="12">
        <f>SUMIFS(BASE!$G:$G,BASE!$B:$B,$B469,BASE!$L:$L,$G469,BASE!$J:$J,$C469,BASE!$A:$A,K$2)</f>
        <v>0</v>
      </c>
      <c r="L469" s="12">
        <f>SUMIFS(BASE!$G:$G,BASE!$B:$B,$B469,BASE!$L:$L,$G469,BASE!$J:$J,$C469,BASE!$A:$A,L$2)</f>
        <v>0</v>
      </c>
      <c r="M469" s="12">
        <f>SUMIFS(BASE!$G:$G,BASE!$B:$B,$B469,BASE!$L:$L,$G469,BASE!$J:$J,$C469,BASE!$A:$A,M$2)</f>
        <v>0</v>
      </c>
      <c r="N469" s="12">
        <f>SUMIFS(BASE!$G:$G,BASE!$B:$B,$B469,BASE!$L:$L,$G469,BASE!$J:$J,$C469,BASE!$A:$A,N$2)</f>
        <v>0</v>
      </c>
      <c r="O469" s="12">
        <f>SUMIFS(BASE!$G:$G,BASE!$B:$B,$B469,BASE!$L:$L,$G469,BASE!$J:$J,$C469,BASE!$A:$A,O$2)</f>
        <v>0</v>
      </c>
      <c r="P469" s="12">
        <f>SUMIFS(BASE!$G:$G,BASE!$B:$B,$B469,BASE!$L:$L,$G469,BASE!$J:$J,$C469,BASE!$A:$A,P$2)</f>
        <v>0</v>
      </c>
      <c r="Q469" s="12">
        <f>SUMIFS(BASE!$G:$G,BASE!$B:$B,$B469,BASE!$L:$L,$G469,BASE!$J:$J,$C469,BASE!$A:$A,Q$2)</f>
        <v>0</v>
      </c>
      <c r="R469" s="12">
        <f>SUMIFS(BASE!$G:$G,BASE!$B:$B,$B469,BASE!$L:$L,$G469,BASE!$J:$J,$C469,BASE!$A:$A,R$2)</f>
        <v>0</v>
      </c>
      <c r="S469" s="12">
        <f>SUMIFS(BASE!$G:$G,BASE!$B:$B,$B469,BASE!$L:$L,$G469,BASE!$J:$J,$C469,BASE!$A:$A,S$2)</f>
        <v>0</v>
      </c>
      <c r="T469" s="12">
        <f>SUMIFS(BASE!$G:$G,BASE!$B:$B,$B469,BASE!$L:$L,$G469,BASE!$J:$J,$C469,BASE!$A:$A,T$2)</f>
        <v>0</v>
      </c>
      <c r="U469" s="12">
        <f>SUMIFS(BASE!$G:$G,BASE!$B:$B,$B469,BASE!$L:$L,$G469,BASE!$J:$J,$C469,BASE!$A:$A,U$2)</f>
        <v>0</v>
      </c>
      <c r="V469" s="12">
        <f>SUMIFS(BASE!$G:$G,BASE!$B:$B,$B469,BASE!$L:$L,$G469,BASE!$J:$J,$C469,BASE!$A:$A,V$2)</f>
        <v>0</v>
      </c>
      <c r="X469" t="str">
        <f t="shared" si="15"/>
        <v>ZERADO</v>
      </c>
    </row>
    <row r="470" spans="2:24">
      <c r="B470" s="8" t="s">
        <v>1099</v>
      </c>
      <c r="C470" s="9" t="s">
        <v>117</v>
      </c>
      <c r="D470" s="9" t="s">
        <v>1080</v>
      </c>
      <c r="E470" s="9" t="s">
        <v>1060</v>
      </c>
      <c r="F470" s="9" t="s">
        <v>1096</v>
      </c>
      <c r="G470" s="9" t="s">
        <v>62</v>
      </c>
      <c r="H470" s="7" t="str">
        <f>IFERROR(IF(_xlfn.XLOOKUP(B470,REPASSE!D:D,REPASSE!D:D)="","Não","Sim"),"Não")</f>
        <v>Não</v>
      </c>
      <c r="I470" s="7" t="str">
        <f>IF(_xlfn.XLOOKUP(B470,'BOOST LIBERADO'!B:B,'BOOST LIBERADO'!B:B,"Não")="Não","Não","Sim")</f>
        <v>Sim</v>
      </c>
      <c r="J470" s="83" t="str">
        <f t="shared" si="14"/>
        <v>Sim</v>
      </c>
      <c r="K470" s="12">
        <f>SUMIFS(BASE!$G:$G,BASE!$B:$B,$B470,BASE!$L:$L,$G470,BASE!$J:$J,$C470,BASE!$A:$A,K$2)</f>
        <v>0</v>
      </c>
      <c r="L470" s="12">
        <f>SUMIFS(BASE!$G:$G,BASE!$B:$B,$B470,BASE!$L:$L,$G470,BASE!$J:$J,$C470,BASE!$A:$A,L$2)</f>
        <v>0</v>
      </c>
      <c r="M470" s="12">
        <f>SUMIFS(BASE!$G:$G,BASE!$B:$B,$B470,BASE!$L:$L,$G470,BASE!$J:$J,$C470,BASE!$A:$A,M$2)</f>
        <v>0</v>
      </c>
      <c r="N470" s="12">
        <f>SUMIFS(BASE!$G:$G,BASE!$B:$B,$B470,BASE!$L:$L,$G470,BASE!$J:$J,$C470,BASE!$A:$A,N$2)</f>
        <v>0</v>
      </c>
      <c r="O470" s="12">
        <f>SUMIFS(BASE!$G:$G,BASE!$B:$B,$B470,BASE!$L:$L,$G470,BASE!$J:$J,$C470,BASE!$A:$A,O$2)</f>
        <v>0</v>
      </c>
      <c r="P470" s="12">
        <f>SUMIFS(BASE!$G:$G,BASE!$B:$B,$B470,BASE!$L:$L,$G470,BASE!$J:$J,$C470,BASE!$A:$A,P$2)</f>
        <v>0</v>
      </c>
      <c r="Q470" s="12">
        <f>SUMIFS(BASE!$G:$G,BASE!$B:$B,$B470,BASE!$L:$L,$G470,BASE!$J:$J,$C470,BASE!$A:$A,Q$2)</f>
        <v>0</v>
      </c>
      <c r="R470" s="12">
        <f>SUMIFS(BASE!$G:$G,BASE!$B:$B,$B470,BASE!$L:$L,$G470,BASE!$J:$J,$C470,BASE!$A:$A,R$2)</f>
        <v>0</v>
      </c>
      <c r="S470" s="12">
        <f>SUMIFS(BASE!$G:$G,BASE!$B:$B,$B470,BASE!$L:$L,$G470,BASE!$J:$J,$C470,BASE!$A:$A,S$2)</f>
        <v>0</v>
      </c>
      <c r="T470" s="12">
        <f>SUMIFS(BASE!$G:$G,BASE!$B:$B,$B470,BASE!$L:$L,$G470,BASE!$J:$J,$C470,BASE!$A:$A,T$2)</f>
        <v>0</v>
      </c>
      <c r="U470" s="12">
        <f>SUMIFS(BASE!$G:$G,BASE!$B:$B,$B470,BASE!$L:$L,$G470,BASE!$J:$J,$C470,BASE!$A:$A,U$2)</f>
        <v>0</v>
      </c>
      <c r="V470" s="12">
        <f>SUMIFS(BASE!$G:$G,BASE!$B:$B,$B470,BASE!$L:$L,$G470,BASE!$J:$J,$C470,BASE!$A:$A,V$2)</f>
        <v>0</v>
      </c>
      <c r="X470" t="str">
        <f t="shared" si="15"/>
        <v>ZERADO</v>
      </c>
    </row>
    <row r="471" spans="2:24">
      <c r="B471" s="8" t="s">
        <v>1100</v>
      </c>
      <c r="C471" s="9" t="s">
        <v>132</v>
      </c>
      <c r="D471" s="9" t="s">
        <v>1101</v>
      </c>
      <c r="E471" s="9" t="s">
        <v>1084</v>
      </c>
      <c r="F471" s="9" t="s">
        <v>1102</v>
      </c>
      <c r="G471" s="9" t="s">
        <v>62</v>
      </c>
      <c r="H471" s="7" t="str">
        <f>IFERROR(IF(_xlfn.XLOOKUP(B471,REPASSE!D:D,REPASSE!D:D)="","Não","Sim"),"Não")</f>
        <v>Não</v>
      </c>
      <c r="I471" s="7" t="str">
        <f>IF(_xlfn.XLOOKUP(B471,'BOOST LIBERADO'!B:B,'BOOST LIBERADO'!B:B,"Não")="Não","Não","Sim")</f>
        <v>Não</v>
      </c>
      <c r="J471" s="83" t="str">
        <f t="shared" si="14"/>
        <v>Não</v>
      </c>
      <c r="K471" s="12">
        <f>SUMIFS(BASE!$G:$G,BASE!$B:$B,$B471,BASE!$L:$L,$G471,BASE!$J:$J,$C471,BASE!$A:$A,K$2)</f>
        <v>0</v>
      </c>
      <c r="L471" s="12">
        <f>SUMIFS(BASE!$G:$G,BASE!$B:$B,$B471,BASE!$L:$L,$G471,BASE!$J:$J,$C471,BASE!$A:$A,L$2)</f>
        <v>0</v>
      </c>
      <c r="M471" s="12">
        <f>SUMIFS(BASE!$G:$G,BASE!$B:$B,$B471,BASE!$L:$L,$G471,BASE!$J:$J,$C471,BASE!$A:$A,M$2)</f>
        <v>0</v>
      </c>
      <c r="N471" s="12">
        <f>SUMIFS(BASE!$G:$G,BASE!$B:$B,$B471,BASE!$L:$L,$G471,BASE!$J:$J,$C471,BASE!$A:$A,N$2)</f>
        <v>0</v>
      </c>
      <c r="O471" s="12">
        <f>SUMIFS(BASE!$G:$G,BASE!$B:$B,$B471,BASE!$L:$L,$G471,BASE!$J:$J,$C471,BASE!$A:$A,O$2)</f>
        <v>0</v>
      </c>
      <c r="P471" s="12">
        <f>SUMIFS(BASE!$G:$G,BASE!$B:$B,$B471,BASE!$L:$L,$G471,BASE!$J:$J,$C471,BASE!$A:$A,P$2)</f>
        <v>0</v>
      </c>
      <c r="Q471" s="12">
        <f>SUMIFS(BASE!$G:$G,BASE!$B:$B,$B471,BASE!$L:$L,$G471,BASE!$J:$J,$C471,BASE!$A:$A,Q$2)</f>
        <v>0</v>
      </c>
      <c r="R471" s="12">
        <f>SUMIFS(BASE!$G:$G,BASE!$B:$B,$B471,BASE!$L:$L,$G471,BASE!$J:$J,$C471,BASE!$A:$A,R$2)</f>
        <v>0</v>
      </c>
      <c r="S471" s="12">
        <f>SUMIFS(BASE!$G:$G,BASE!$B:$B,$B471,BASE!$L:$L,$G471,BASE!$J:$J,$C471,BASE!$A:$A,S$2)</f>
        <v>0</v>
      </c>
      <c r="T471" s="12">
        <f>SUMIFS(BASE!$G:$G,BASE!$B:$B,$B471,BASE!$L:$L,$G471,BASE!$J:$J,$C471,BASE!$A:$A,T$2)</f>
        <v>0</v>
      </c>
      <c r="U471" s="12">
        <f>SUMIFS(BASE!$G:$G,BASE!$B:$B,$B471,BASE!$L:$L,$G471,BASE!$J:$J,$C471,BASE!$A:$A,U$2)</f>
        <v>0</v>
      </c>
      <c r="V471" s="12">
        <f>SUMIFS(BASE!$G:$G,BASE!$B:$B,$B471,BASE!$L:$L,$G471,BASE!$J:$J,$C471,BASE!$A:$A,V$2)</f>
        <v>0</v>
      </c>
      <c r="X471" t="str">
        <f t="shared" si="15"/>
        <v>ZERADO</v>
      </c>
    </row>
    <row r="472" spans="2:24">
      <c r="B472" s="8" t="s">
        <v>1103</v>
      </c>
      <c r="C472" s="9" t="s">
        <v>121</v>
      </c>
      <c r="D472" s="9" t="s">
        <v>1059</v>
      </c>
      <c r="E472" s="9" t="s">
        <v>1060</v>
      </c>
      <c r="F472" s="9" t="s">
        <v>1096</v>
      </c>
      <c r="G472" s="9" t="s">
        <v>62</v>
      </c>
      <c r="H472" s="7" t="str">
        <f>IFERROR(IF(_xlfn.XLOOKUP(B472,REPASSE!D:D,REPASSE!D:D)="","Não","Sim"),"Não")</f>
        <v>Não</v>
      </c>
      <c r="I472" s="7" t="str">
        <f>IF(_xlfn.XLOOKUP(B472,'BOOST LIBERADO'!B:B,'BOOST LIBERADO'!B:B,"Não")="Não","Não","Sim")</f>
        <v>Sim</v>
      </c>
      <c r="J472" s="83" t="str">
        <f t="shared" si="14"/>
        <v>Sim</v>
      </c>
      <c r="K472" s="12">
        <f>SUMIFS(BASE!$G:$G,BASE!$B:$B,$B472,BASE!$L:$L,$G472,BASE!$J:$J,$C472,BASE!$A:$A,K$2)</f>
        <v>0</v>
      </c>
      <c r="L472" s="12">
        <f>SUMIFS(BASE!$G:$G,BASE!$B:$B,$B472,BASE!$L:$L,$G472,BASE!$J:$J,$C472,BASE!$A:$A,L$2)</f>
        <v>0</v>
      </c>
      <c r="M472" s="12">
        <f>SUMIFS(BASE!$G:$G,BASE!$B:$B,$B472,BASE!$L:$L,$G472,BASE!$J:$J,$C472,BASE!$A:$A,M$2)</f>
        <v>0</v>
      </c>
      <c r="N472" s="12">
        <f>SUMIFS(BASE!$G:$G,BASE!$B:$B,$B472,BASE!$L:$L,$G472,BASE!$J:$J,$C472,BASE!$A:$A,N$2)</f>
        <v>0</v>
      </c>
      <c r="O472" s="12">
        <f>SUMIFS(BASE!$G:$G,BASE!$B:$B,$B472,BASE!$L:$L,$G472,BASE!$J:$J,$C472,BASE!$A:$A,O$2)</f>
        <v>0</v>
      </c>
      <c r="P472" s="12">
        <f>SUMIFS(BASE!$G:$G,BASE!$B:$B,$B472,BASE!$L:$L,$G472,BASE!$J:$J,$C472,BASE!$A:$A,P$2)</f>
        <v>0</v>
      </c>
      <c r="Q472" s="12">
        <f>SUMIFS(BASE!$G:$G,BASE!$B:$B,$B472,BASE!$L:$L,$G472,BASE!$J:$J,$C472,BASE!$A:$A,Q$2)</f>
        <v>0</v>
      </c>
      <c r="R472" s="12">
        <f>SUMIFS(BASE!$G:$G,BASE!$B:$B,$B472,BASE!$L:$L,$G472,BASE!$J:$J,$C472,BASE!$A:$A,R$2)</f>
        <v>0</v>
      </c>
      <c r="S472" s="12">
        <f>SUMIFS(BASE!$G:$G,BASE!$B:$B,$B472,BASE!$L:$L,$G472,BASE!$J:$J,$C472,BASE!$A:$A,S$2)</f>
        <v>0</v>
      </c>
      <c r="T472" s="12">
        <f>SUMIFS(BASE!$G:$G,BASE!$B:$B,$B472,BASE!$L:$L,$G472,BASE!$J:$J,$C472,BASE!$A:$A,T$2)</f>
        <v>0</v>
      </c>
      <c r="U472" s="12">
        <f>SUMIFS(BASE!$G:$G,BASE!$B:$B,$B472,BASE!$L:$L,$G472,BASE!$J:$J,$C472,BASE!$A:$A,U$2)</f>
        <v>0</v>
      </c>
      <c r="V472" s="12">
        <f>SUMIFS(BASE!$G:$G,BASE!$B:$B,$B472,BASE!$L:$L,$G472,BASE!$J:$J,$C472,BASE!$A:$A,V$2)</f>
        <v>0</v>
      </c>
      <c r="X472" t="str">
        <f t="shared" si="15"/>
        <v>ZERADO</v>
      </c>
    </row>
    <row r="473" spans="2:24">
      <c r="B473" s="8" t="s">
        <v>1104</v>
      </c>
      <c r="C473" s="9" t="s">
        <v>121</v>
      </c>
      <c r="D473" s="9" t="s">
        <v>1059</v>
      </c>
      <c r="E473" s="9" t="s">
        <v>1060</v>
      </c>
      <c r="F473" s="9" t="s">
        <v>1096</v>
      </c>
      <c r="G473" s="9" t="s">
        <v>62</v>
      </c>
      <c r="H473" s="7" t="str">
        <f>IFERROR(IF(_xlfn.XLOOKUP(B473,REPASSE!D:D,REPASSE!D:D)="","Não","Sim"),"Não")</f>
        <v>Não</v>
      </c>
      <c r="I473" s="7" t="str">
        <f>IF(_xlfn.XLOOKUP(B473,'BOOST LIBERADO'!B:B,'BOOST LIBERADO'!B:B,"Não")="Não","Não","Sim")</f>
        <v>Sim</v>
      </c>
      <c r="J473" s="83" t="str">
        <f t="shared" si="14"/>
        <v>Sim</v>
      </c>
      <c r="K473" s="12">
        <f>SUMIFS(BASE!$G:$G,BASE!$B:$B,$B473,BASE!$L:$L,$G473,BASE!$J:$J,$C473,BASE!$A:$A,K$2)</f>
        <v>0</v>
      </c>
      <c r="L473" s="12">
        <f>SUMIFS(BASE!$G:$G,BASE!$B:$B,$B473,BASE!$L:$L,$G473,BASE!$J:$J,$C473,BASE!$A:$A,L$2)</f>
        <v>0</v>
      </c>
      <c r="M473" s="12">
        <f>SUMIFS(BASE!$G:$G,BASE!$B:$B,$B473,BASE!$L:$L,$G473,BASE!$J:$J,$C473,BASE!$A:$A,M$2)</f>
        <v>0</v>
      </c>
      <c r="N473" s="12">
        <f>SUMIFS(BASE!$G:$G,BASE!$B:$B,$B473,BASE!$L:$L,$G473,BASE!$J:$J,$C473,BASE!$A:$A,N$2)</f>
        <v>0</v>
      </c>
      <c r="O473" s="12">
        <f>SUMIFS(BASE!$G:$G,BASE!$B:$B,$B473,BASE!$L:$L,$G473,BASE!$J:$J,$C473,BASE!$A:$A,O$2)</f>
        <v>0</v>
      </c>
      <c r="P473" s="12">
        <f>SUMIFS(BASE!$G:$G,BASE!$B:$B,$B473,BASE!$L:$L,$G473,BASE!$J:$J,$C473,BASE!$A:$A,P$2)</f>
        <v>0</v>
      </c>
      <c r="Q473" s="12">
        <f>SUMIFS(BASE!$G:$G,BASE!$B:$B,$B473,BASE!$L:$L,$G473,BASE!$J:$J,$C473,BASE!$A:$A,Q$2)</f>
        <v>0</v>
      </c>
      <c r="R473" s="12">
        <f>SUMIFS(BASE!$G:$G,BASE!$B:$B,$B473,BASE!$L:$L,$G473,BASE!$J:$J,$C473,BASE!$A:$A,R$2)</f>
        <v>0</v>
      </c>
      <c r="S473" s="12">
        <f>SUMIFS(BASE!$G:$G,BASE!$B:$B,$B473,BASE!$L:$L,$G473,BASE!$J:$J,$C473,BASE!$A:$A,S$2)</f>
        <v>0</v>
      </c>
      <c r="T473" s="12">
        <f>SUMIFS(BASE!$G:$G,BASE!$B:$B,$B473,BASE!$L:$L,$G473,BASE!$J:$J,$C473,BASE!$A:$A,T$2)</f>
        <v>0</v>
      </c>
      <c r="U473" s="12">
        <f>SUMIFS(BASE!$G:$G,BASE!$B:$B,$B473,BASE!$L:$L,$G473,BASE!$J:$J,$C473,BASE!$A:$A,U$2)</f>
        <v>0</v>
      </c>
      <c r="V473" s="12">
        <f>SUMIFS(BASE!$G:$G,BASE!$B:$B,$B473,BASE!$L:$L,$G473,BASE!$J:$J,$C473,BASE!$A:$A,V$2)</f>
        <v>0</v>
      </c>
      <c r="X473" t="str">
        <f t="shared" si="15"/>
        <v>ZERADO</v>
      </c>
    </row>
    <row r="474" spans="2:24">
      <c r="B474" s="8" t="s">
        <v>1105</v>
      </c>
      <c r="C474" s="9" t="s">
        <v>196</v>
      </c>
      <c r="D474" s="9" t="s">
        <v>1071</v>
      </c>
      <c r="E474" s="9" t="s">
        <v>1056</v>
      </c>
      <c r="F474" s="9" t="s">
        <v>1077</v>
      </c>
      <c r="G474" s="9" t="s">
        <v>62</v>
      </c>
      <c r="H474" s="7" t="str">
        <f>IFERROR(IF(_xlfn.XLOOKUP(B474,REPASSE!D:D,REPASSE!D:D)="","Não","Sim"),"Não")</f>
        <v>Não</v>
      </c>
      <c r="I474" s="7" t="str">
        <f>IF(_xlfn.XLOOKUP(B474,'BOOST LIBERADO'!B:B,'BOOST LIBERADO'!B:B,"Não")="Não","Não","Sim")</f>
        <v>Não</v>
      </c>
      <c r="J474" s="83" t="str">
        <f t="shared" si="14"/>
        <v>Não</v>
      </c>
      <c r="K474" s="12">
        <f>SUMIFS(BASE!$G:$G,BASE!$B:$B,$B474,BASE!$L:$L,$G474,BASE!$J:$J,$C474,BASE!$A:$A,K$2)</f>
        <v>0</v>
      </c>
      <c r="L474" s="12">
        <f>SUMIFS(BASE!$G:$G,BASE!$B:$B,$B474,BASE!$L:$L,$G474,BASE!$J:$J,$C474,BASE!$A:$A,L$2)</f>
        <v>0</v>
      </c>
      <c r="M474" s="12">
        <f>SUMIFS(BASE!$G:$G,BASE!$B:$B,$B474,BASE!$L:$L,$G474,BASE!$J:$J,$C474,BASE!$A:$A,M$2)</f>
        <v>0</v>
      </c>
      <c r="N474" s="12">
        <f>SUMIFS(BASE!$G:$G,BASE!$B:$B,$B474,BASE!$L:$L,$G474,BASE!$J:$J,$C474,BASE!$A:$A,N$2)</f>
        <v>0</v>
      </c>
      <c r="O474" s="12">
        <f>SUMIFS(BASE!$G:$G,BASE!$B:$B,$B474,BASE!$L:$L,$G474,BASE!$J:$J,$C474,BASE!$A:$A,O$2)</f>
        <v>0</v>
      </c>
      <c r="P474" s="12">
        <f>SUMIFS(BASE!$G:$G,BASE!$B:$B,$B474,BASE!$L:$L,$G474,BASE!$J:$J,$C474,BASE!$A:$A,P$2)</f>
        <v>0</v>
      </c>
      <c r="Q474" s="12">
        <f>SUMIFS(BASE!$G:$G,BASE!$B:$B,$B474,BASE!$L:$L,$G474,BASE!$J:$J,$C474,BASE!$A:$A,Q$2)</f>
        <v>0</v>
      </c>
      <c r="R474" s="12">
        <f>SUMIFS(BASE!$G:$G,BASE!$B:$B,$B474,BASE!$L:$L,$G474,BASE!$J:$J,$C474,BASE!$A:$A,R$2)</f>
        <v>0</v>
      </c>
      <c r="S474" s="12">
        <f>SUMIFS(BASE!$G:$G,BASE!$B:$B,$B474,BASE!$L:$L,$G474,BASE!$J:$J,$C474,BASE!$A:$A,S$2)</f>
        <v>0</v>
      </c>
      <c r="T474" s="12">
        <f>SUMIFS(BASE!$G:$G,BASE!$B:$B,$B474,BASE!$L:$L,$G474,BASE!$J:$J,$C474,BASE!$A:$A,T$2)</f>
        <v>0</v>
      </c>
      <c r="U474" s="12">
        <f>SUMIFS(BASE!$G:$G,BASE!$B:$B,$B474,BASE!$L:$L,$G474,BASE!$J:$J,$C474,BASE!$A:$A,U$2)</f>
        <v>0</v>
      </c>
      <c r="V474" s="12">
        <f>SUMIFS(BASE!$G:$G,BASE!$B:$B,$B474,BASE!$L:$L,$G474,BASE!$J:$J,$C474,BASE!$A:$A,V$2)</f>
        <v>0</v>
      </c>
      <c r="X474" t="str">
        <f t="shared" si="15"/>
        <v>ZERADO</v>
      </c>
    </row>
    <row r="475" spans="2:24">
      <c r="B475" s="8" t="s">
        <v>1106</v>
      </c>
      <c r="C475" s="9" t="s">
        <v>122</v>
      </c>
      <c r="D475" s="9" t="s">
        <v>1074</v>
      </c>
      <c r="E475" s="9" t="s">
        <v>1056</v>
      </c>
      <c r="F475" s="9" t="s">
        <v>1107</v>
      </c>
      <c r="G475" s="9" t="s">
        <v>62</v>
      </c>
      <c r="H475" s="7" t="str">
        <f>IFERROR(IF(_xlfn.XLOOKUP(B475,REPASSE!D:D,REPASSE!D:D)="","Não","Sim"),"Não")</f>
        <v>Não</v>
      </c>
      <c r="I475" s="7" t="str">
        <f>IF(_xlfn.XLOOKUP(B475,'BOOST LIBERADO'!B:B,'BOOST LIBERADO'!B:B,"Não")="Não","Não","Sim")</f>
        <v>Sim</v>
      </c>
      <c r="J475" s="83" t="str">
        <f t="shared" si="14"/>
        <v>Sim</v>
      </c>
      <c r="K475" s="12">
        <f>SUMIFS(BASE!$G:$G,BASE!$B:$B,$B475,BASE!$L:$L,$G475,BASE!$J:$J,$C475,BASE!$A:$A,K$2)</f>
        <v>0</v>
      </c>
      <c r="L475" s="12">
        <f>SUMIFS(BASE!$G:$G,BASE!$B:$B,$B475,BASE!$L:$L,$G475,BASE!$J:$J,$C475,BASE!$A:$A,L$2)</f>
        <v>0</v>
      </c>
      <c r="M475" s="12">
        <f>SUMIFS(BASE!$G:$G,BASE!$B:$B,$B475,BASE!$L:$L,$G475,BASE!$J:$J,$C475,BASE!$A:$A,M$2)</f>
        <v>0</v>
      </c>
      <c r="N475" s="12">
        <f>SUMIFS(BASE!$G:$G,BASE!$B:$B,$B475,BASE!$L:$L,$G475,BASE!$J:$J,$C475,BASE!$A:$A,N$2)</f>
        <v>0</v>
      </c>
      <c r="O475" s="12">
        <f>SUMIFS(BASE!$G:$G,BASE!$B:$B,$B475,BASE!$L:$L,$G475,BASE!$J:$J,$C475,BASE!$A:$A,O$2)</f>
        <v>0</v>
      </c>
      <c r="P475" s="12">
        <f>SUMIFS(BASE!$G:$G,BASE!$B:$B,$B475,BASE!$L:$L,$G475,BASE!$J:$J,$C475,BASE!$A:$A,P$2)</f>
        <v>0</v>
      </c>
      <c r="Q475" s="12">
        <f>SUMIFS(BASE!$G:$G,BASE!$B:$B,$B475,BASE!$L:$L,$G475,BASE!$J:$J,$C475,BASE!$A:$A,Q$2)</f>
        <v>0</v>
      </c>
      <c r="R475" s="12">
        <f>SUMIFS(BASE!$G:$G,BASE!$B:$B,$B475,BASE!$L:$L,$G475,BASE!$J:$J,$C475,BASE!$A:$A,R$2)</f>
        <v>0</v>
      </c>
      <c r="S475" s="12">
        <f>SUMIFS(BASE!$G:$G,BASE!$B:$B,$B475,BASE!$L:$L,$G475,BASE!$J:$J,$C475,BASE!$A:$A,S$2)</f>
        <v>0</v>
      </c>
      <c r="T475" s="12">
        <f>SUMIFS(BASE!$G:$G,BASE!$B:$B,$B475,BASE!$L:$L,$G475,BASE!$J:$J,$C475,BASE!$A:$A,T$2)</f>
        <v>0</v>
      </c>
      <c r="U475" s="12">
        <f>SUMIFS(BASE!$G:$G,BASE!$B:$B,$B475,BASE!$L:$L,$G475,BASE!$J:$J,$C475,BASE!$A:$A,U$2)</f>
        <v>0</v>
      </c>
      <c r="V475" s="12">
        <f>SUMIFS(BASE!$G:$G,BASE!$B:$B,$B475,BASE!$L:$L,$G475,BASE!$J:$J,$C475,BASE!$A:$A,V$2)</f>
        <v>0</v>
      </c>
      <c r="X475" t="str">
        <f t="shared" si="15"/>
        <v>ZERADO</v>
      </c>
    </row>
    <row r="476" spans="2:24">
      <c r="B476" s="8" t="s">
        <v>1108</v>
      </c>
      <c r="C476" s="8" t="s">
        <v>143</v>
      </c>
      <c r="D476" s="8" t="s">
        <v>1109</v>
      </c>
      <c r="E476" s="8" t="s">
        <v>1056</v>
      </c>
      <c r="F476" s="8" t="s">
        <v>1110</v>
      </c>
      <c r="G476" s="8" t="s">
        <v>62</v>
      </c>
      <c r="H476" s="7" t="str">
        <f>IFERROR(IF(_xlfn.XLOOKUP(B476,REPASSE!D:D,REPASSE!D:D)="","Não","Sim"),"Não")</f>
        <v>Não</v>
      </c>
      <c r="I476" s="7" t="str">
        <f>IF(_xlfn.XLOOKUP(B476,'BOOST LIBERADO'!B:B,'BOOST LIBERADO'!B:B,"Não")="Não","Não","Sim")</f>
        <v>Sim</v>
      </c>
      <c r="J476" s="83" t="str">
        <f t="shared" si="14"/>
        <v>Sim</v>
      </c>
      <c r="K476" s="12">
        <f>SUMIFS(BASE!$G:$G,BASE!$B:$B,$B476,BASE!$L:$L,$G476,BASE!$J:$J,$C476,BASE!$A:$A,K$2)</f>
        <v>0</v>
      </c>
      <c r="L476" s="12">
        <f>SUMIFS(BASE!$G:$G,BASE!$B:$B,$B476,BASE!$L:$L,$G476,BASE!$J:$J,$C476,BASE!$A:$A,L$2)</f>
        <v>0</v>
      </c>
      <c r="M476" s="12">
        <f>SUMIFS(BASE!$G:$G,BASE!$B:$B,$B476,BASE!$L:$L,$G476,BASE!$J:$J,$C476,BASE!$A:$A,M$2)</f>
        <v>0</v>
      </c>
      <c r="N476" s="12">
        <f>SUMIFS(BASE!$G:$G,BASE!$B:$B,$B476,BASE!$L:$L,$G476,BASE!$J:$J,$C476,BASE!$A:$A,N$2)</f>
        <v>0</v>
      </c>
      <c r="O476" s="12">
        <f>SUMIFS(BASE!$G:$G,BASE!$B:$B,$B476,BASE!$L:$L,$G476,BASE!$J:$J,$C476,BASE!$A:$A,O$2)</f>
        <v>0</v>
      </c>
      <c r="P476" s="12">
        <f>SUMIFS(BASE!$G:$G,BASE!$B:$B,$B476,BASE!$L:$L,$G476,BASE!$J:$J,$C476,BASE!$A:$A,P$2)</f>
        <v>0</v>
      </c>
      <c r="Q476" s="12">
        <f>SUMIFS(BASE!$G:$G,BASE!$B:$B,$B476,BASE!$L:$L,$G476,BASE!$J:$J,$C476,BASE!$A:$A,Q$2)</f>
        <v>1</v>
      </c>
      <c r="R476" s="12">
        <f>SUMIFS(BASE!$G:$G,BASE!$B:$B,$B476,BASE!$L:$L,$G476,BASE!$J:$J,$C476,BASE!$A:$A,R$2)</f>
        <v>0</v>
      </c>
      <c r="S476" s="12">
        <f>SUMIFS(BASE!$G:$G,BASE!$B:$B,$B476,BASE!$L:$L,$G476,BASE!$J:$J,$C476,BASE!$A:$A,S$2)</f>
        <v>0</v>
      </c>
      <c r="T476" s="12">
        <f>SUMIFS(BASE!$G:$G,BASE!$B:$B,$B476,BASE!$L:$L,$G476,BASE!$J:$J,$C476,BASE!$A:$A,T$2)</f>
        <v>0</v>
      </c>
      <c r="U476" s="12">
        <f>SUMIFS(BASE!$G:$G,BASE!$B:$B,$B476,BASE!$L:$L,$G476,BASE!$J:$J,$C476,BASE!$A:$A,U$2)</f>
        <v>0</v>
      </c>
      <c r="V476" s="12">
        <f>SUMIFS(BASE!$G:$G,BASE!$B:$B,$B476,BASE!$L:$L,$G476,BASE!$J:$J,$C476,BASE!$A:$A,V$2)</f>
        <v>0</v>
      </c>
      <c r="X476" t="str">
        <f t="shared" si="15"/>
        <v>ZERADO</v>
      </c>
    </row>
    <row r="477" spans="2:24">
      <c r="B477" s="8" t="s">
        <v>1111</v>
      </c>
      <c r="C477" s="9" t="s">
        <v>143</v>
      </c>
      <c r="D477" s="9" t="s">
        <v>1109</v>
      </c>
      <c r="E477" s="9" t="s">
        <v>1056</v>
      </c>
      <c r="F477" s="9" t="s">
        <v>1112</v>
      </c>
      <c r="G477" s="9" t="s">
        <v>62</v>
      </c>
      <c r="H477" s="7" t="str">
        <f>IFERROR(IF(_xlfn.XLOOKUP(B477,REPASSE!D:D,REPASSE!D:D)="","Não","Sim"),"Não")</f>
        <v>Não</v>
      </c>
      <c r="I477" s="7" t="str">
        <f>IF(_xlfn.XLOOKUP(B477,'BOOST LIBERADO'!B:B,'BOOST LIBERADO'!B:B,"Não")="Não","Não","Sim")</f>
        <v>Sim</v>
      </c>
      <c r="J477" s="83" t="str">
        <f t="shared" si="14"/>
        <v>Sim</v>
      </c>
      <c r="K477" s="12">
        <f>SUMIFS(BASE!$G:$G,BASE!$B:$B,$B477,BASE!$L:$L,$G477,BASE!$J:$J,$C477,BASE!$A:$A,K$2)</f>
        <v>0</v>
      </c>
      <c r="L477" s="12">
        <f>SUMIFS(BASE!$G:$G,BASE!$B:$B,$B477,BASE!$L:$L,$G477,BASE!$J:$J,$C477,BASE!$A:$A,L$2)</f>
        <v>0</v>
      </c>
      <c r="M477" s="12">
        <f>SUMIFS(BASE!$G:$G,BASE!$B:$B,$B477,BASE!$L:$L,$G477,BASE!$J:$J,$C477,BASE!$A:$A,M$2)</f>
        <v>0</v>
      </c>
      <c r="N477" s="12">
        <f>SUMIFS(BASE!$G:$G,BASE!$B:$B,$B477,BASE!$L:$L,$G477,BASE!$J:$J,$C477,BASE!$A:$A,N$2)</f>
        <v>0</v>
      </c>
      <c r="O477" s="12">
        <f>SUMIFS(BASE!$G:$G,BASE!$B:$B,$B477,BASE!$L:$L,$G477,BASE!$J:$J,$C477,BASE!$A:$A,O$2)</f>
        <v>0</v>
      </c>
      <c r="P477" s="12">
        <f>SUMIFS(BASE!$G:$G,BASE!$B:$B,$B477,BASE!$L:$L,$G477,BASE!$J:$J,$C477,BASE!$A:$A,P$2)</f>
        <v>0</v>
      </c>
      <c r="Q477" s="12">
        <f>SUMIFS(BASE!$G:$G,BASE!$B:$B,$B477,BASE!$L:$L,$G477,BASE!$J:$J,$C477,BASE!$A:$A,Q$2)</f>
        <v>0</v>
      </c>
      <c r="R477" s="12">
        <f>SUMIFS(BASE!$G:$G,BASE!$B:$B,$B477,BASE!$L:$L,$G477,BASE!$J:$J,$C477,BASE!$A:$A,R$2)</f>
        <v>0</v>
      </c>
      <c r="S477" s="12">
        <f>SUMIFS(BASE!$G:$G,BASE!$B:$B,$B477,BASE!$L:$L,$G477,BASE!$J:$J,$C477,BASE!$A:$A,S$2)</f>
        <v>0</v>
      </c>
      <c r="T477" s="12">
        <f>SUMIFS(BASE!$G:$G,BASE!$B:$B,$B477,BASE!$L:$L,$G477,BASE!$J:$J,$C477,BASE!$A:$A,T$2)</f>
        <v>0</v>
      </c>
      <c r="U477" s="12">
        <f>SUMIFS(BASE!$G:$G,BASE!$B:$B,$B477,BASE!$L:$L,$G477,BASE!$J:$J,$C477,BASE!$A:$A,U$2)</f>
        <v>0</v>
      </c>
      <c r="V477" s="12">
        <f>SUMIFS(BASE!$G:$G,BASE!$B:$B,$B477,BASE!$L:$L,$G477,BASE!$J:$J,$C477,BASE!$A:$A,V$2)</f>
        <v>0</v>
      </c>
      <c r="X477" t="str">
        <f t="shared" si="15"/>
        <v>ZERADO</v>
      </c>
    </row>
    <row r="478" spans="2:24">
      <c r="B478" s="8" t="s">
        <v>1113</v>
      </c>
      <c r="C478" s="9" t="s">
        <v>117</v>
      </c>
      <c r="D478" s="9" t="s">
        <v>1114</v>
      </c>
      <c r="E478" s="9" t="s">
        <v>1084</v>
      </c>
      <c r="F478" s="9" t="s">
        <v>1115</v>
      </c>
      <c r="G478" s="9" t="s">
        <v>62</v>
      </c>
      <c r="H478" s="7" t="str">
        <f>IFERROR(IF(_xlfn.XLOOKUP(B478,REPASSE!D:D,REPASSE!D:D)="","Não","Sim"),"Não")</f>
        <v>Sim</v>
      </c>
      <c r="I478" s="7" t="str">
        <f>IF(_xlfn.XLOOKUP(B478,'BOOST LIBERADO'!B:B,'BOOST LIBERADO'!B:B,"Não")="Não","Não","Sim")</f>
        <v>Sim</v>
      </c>
      <c r="J478" s="83" t="str">
        <f t="shared" si="14"/>
        <v>Não</v>
      </c>
      <c r="K478" s="12">
        <f>SUMIFS(BASE!$G:$G,BASE!$B:$B,$B478,BASE!$L:$L,$G478,BASE!$J:$J,$C478,BASE!$A:$A,K$2)</f>
        <v>0</v>
      </c>
      <c r="L478" s="12">
        <f>SUMIFS(BASE!$G:$G,BASE!$B:$B,$B478,BASE!$L:$L,$G478,BASE!$J:$J,$C478,BASE!$A:$A,L$2)</f>
        <v>0</v>
      </c>
      <c r="M478" s="12">
        <f>SUMIFS(BASE!$G:$G,BASE!$B:$B,$B478,BASE!$L:$L,$G478,BASE!$J:$J,$C478,BASE!$A:$A,M$2)</f>
        <v>0</v>
      </c>
      <c r="N478" s="12">
        <f>SUMIFS(BASE!$G:$G,BASE!$B:$B,$B478,BASE!$L:$L,$G478,BASE!$J:$J,$C478,BASE!$A:$A,N$2)</f>
        <v>0</v>
      </c>
      <c r="O478" s="12">
        <f>SUMIFS(BASE!$G:$G,BASE!$B:$B,$B478,BASE!$L:$L,$G478,BASE!$J:$J,$C478,BASE!$A:$A,O$2)</f>
        <v>0</v>
      </c>
      <c r="P478" s="12">
        <f>SUMIFS(BASE!$G:$G,BASE!$B:$B,$B478,BASE!$L:$L,$G478,BASE!$J:$J,$C478,BASE!$A:$A,P$2)</f>
        <v>0</v>
      </c>
      <c r="Q478" s="12">
        <f>SUMIFS(BASE!$G:$G,BASE!$B:$B,$B478,BASE!$L:$L,$G478,BASE!$J:$J,$C478,BASE!$A:$A,Q$2)</f>
        <v>0</v>
      </c>
      <c r="R478" s="12">
        <f>SUMIFS(BASE!$G:$G,BASE!$B:$B,$B478,BASE!$L:$L,$G478,BASE!$J:$J,$C478,BASE!$A:$A,R$2)</f>
        <v>0</v>
      </c>
      <c r="S478" s="12">
        <f>SUMIFS(BASE!$G:$G,BASE!$B:$B,$B478,BASE!$L:$L,$G478,BASE!$J:$J,$C478,BASE!$A:$A,S$2)</f>
        <v>0</v>
      </c>
      <c r="T478" s="12">
        <f>SUMIFS(BASE!$G:$G,BASE!$B:$B,$B478,BASE!$L:$L,$G478,BASE!$J:$J,$C478,BASE!$A:$A,T$2)</f>
        <v>0</v>
      </c>
      <c r="U478" s="12">
        <f>SUMIFS(BASE!$G:$G,BASE!$B:$B,$B478,BASE!$L:$L,$G478,BASE!$J:$J,$C478,BASE!$A:$A,U$2)</f>
        <v>0</v>
      </c>
      <c r="V478" s="12">
        <f>SUMIFS(BASE!$G:$G,BASE!$B:$B,$B478,BASE!$L:$L,$G478,BASE!$J:$J,$C478,BASE!$A:$A,V$2)</f>
        <v>0</v>
      </c>
      <c r="X478" t="str">
        <f t="shared" si="15"/>
        <v>ZERADO</v>
      </c>
    </row>
    <row r="479" spans="2:24">
      <c r="B479" s="8" t="s">
        <v>1116</v>
      </c>
      <c r="C479" s="9" t="s">
        <v>143</v>
      </c>
      <c r="D479" s="9" t="s">
        <v>1109</v>
      </c>
      <c r="E479" s="9" t="s">
        <v>1056</v>
      </c>
      <c r="F479" s="9" t="s">
        <v>1077</v>
      </c>
      <c r="G479" s="9" t="s">
        <v>62</v>
      </c>
      <c r="H479" s="7" t="str">
        <f>IFERROR(IF(_xlfn.XLOOKUP(B479,REPASSE!D:D,REPASSE!D:D)="","Não","Sim"),"Não")</f>
        <v>Não</v>
      </c>
      <c r="I479" s="7" t="str">
        <f>IF(_xlfn.XLOOKUP(B479,'BOOST LIBERADO'!B:B,'BOOST LIBERADO'!B:B,"Não")="Não","Não","Sim")</f>
        <v>Sim</v>
      </c>
      <c r="J479" s="83" t="str">
        <f t="shared" si="14"/>
        <v>Sim</v>
      </c>
      <c r="K479" s="12">
        <f>SUMIFS(BASE!$G:$G,BASE!$B:$B,$B479,BASE!$L:$L,$G479,BASE!$J:$J,$C479,BASE!$A:$A,K$2)</f>
        <v>0</v>
      </c>
      <c r="L479" s="12">
        <f>SUMIFS(BASE!$G:$G,BASE!$B:$B,$B479,BASE!$L:$L,$G479,BASE!$J:$J,$C479,BASE!$A:$A,L$2)</f>
        <v>0</v>
      </c>
      <c r="M479" s="12">
        <f>SUMIFS(BASE!$G:$G,BASE!$B:$B,$B479,BASE!$L:$L,$G479,BASE!$J:$J,$C479,BASE!$A:$A,M$2)</f>
        <v>0</v>
      </c>
      <c r="N479" s="12">
        <f>SUMIFS(BASE!$G:$G,BASE!$B:$B,$B479,BASE!$L:$L,$G479,BASE!$J:$J,$C479,BASE!$A:$A,N$2)</f>
        <v>0</v>
      </c>
      <c r="O479" s="12">
        <f>SUMIFS(BASE!$G:$G,BASE!$B:$B,$B479,BASE!$L:$L,$G479,BASE!$J:$J,$C479,BASE!$A:$A,O$2)</f>
        <v>0</v>
      </c>
      <c r="P479" s="12">
        <f>SUMIFS(BASE!$G:$G,BASE!$B:$B,$B479,BASE!$L:$L,$G479,BASE!$J:$J,$C479,BASE!$A:$A,P$2)</f>
        <v>0</v>
      </c>
      <c r="Q479" s="12">
        <f>SUMIFS(BASE!$G:$G,BASE!$B:$B,$B479,BASE!$L:$L,$G479,BASE!$J:$J,$C479,BASE!$A:$A,Q$2)</f>
        <v>0</v>
      </c>
      <c r="R479" s="12">
        <f>SUMIFS(BASE!$G:$G,BASE!$B:$B,$B479,BASE!$L:$L,$G479,BASE!$J:$J,$C479,BASE!$A:$A,R$2)</f>
        <v>0</v>
      </c>
      <c r="S479" s="12">
        <f>SUMIFS(BASE!$G:$G,BASE!$B:$B,$B479,BASE!$L:$L,$G479,BASE!$J:$J,$C479,BASE!$A:$A,S$2)</f>
        <v>0</v>
      </c>
      <c r="T479" s="12">
        <f>SUMIFS(BASE!$G:$G,BASE!$B:$B,$B479,BASE!$L:$L,$G479,BASE!$J:$J,$C479,BASE!$A:$A,T$2)</f>
        <v>0</v>
      </c>
      <c r="U479" s="12">
        <f>SUMIFS(BASE!$G:$G,BASE!$B:$B,$B479,BASE!$L:$L,$G479,BASE!$J:$J,$C479,BASE!$A:$A,U$2)</f>
        <v>0</v>
      </c>
      <c r="V479" s="12">
        <f>SUMIFS(BASE!$G:$G,BASE!$B:$B,$B479,BASE!$L:$L,$G479,BASE!$J:$J,$C479,BASE!$A:$A,V$2)</f>
        <v>0</v>
      </c>
      <c r="X479" t="str">
        <f t="shared" si="15"/>
        <v>ZERADO</v>
      </c>
    </row>
    <row r="480" spans="2:24">
      <c r="B480" s="8" t="s">
        <v>1117</v>
      </c>
      <c r="C480" s="9" t="s">
        <v>143</v>
      </c>
      <c r="D480" s="9" t="s">
        <v>1109</v>
      </c>
      <c r="E480" s="9" t="s">
        <v>1056</v>
      </c>
      <c r="F480" s="9" t="s">
        <v>1118</v>
      </c>
      <c r="G480" s="9" t="s">
        <v>62</v>
      </c>
      <c r="H480" s="7" t="str">
        <f>IFERROR(IF(_xlfn.XLOOKUP(B480,REPASSE!D:D,REPASSE!D:D)="","Não","Sim"),"Não")</f>
        <v>Não</v>
      </c>
      <c r="I480" s="7" t="str">
        <f>IF(_xlfn.XLOOKUP(B480,'BOOST LIBERADO'!B:B,'BOOST LIBERADO'!B:B,"Não")="Não","Não","Sim")</f>
        <v>Sim</v>
      </c>
      <c r="J480" s="83" t="str">
        <f t="shared" si="14"/>
        <v>Sim</v>
      </c>
      <c r="K480" s="12">
        <f>SUMIFS(BASE!$G:$G,BASE!$B:$B,$B480,BASE!$L:$L,$G480,BASE!$J:$J,$C480,BASE!$A:$A,K$2)</f>
        <v>0</v>
      </c>
      <c r="L480" s="12">
        <f>SUMIFS(BASE!$G:$G,BASE!$B:$B,$B480,BASE!$L:$L,$G480,BASE!$J:$J,$C480,BASE!$A:$A,L$2)</f>
        <v>0</v>
      </c>
      <c r="M480" s="12">
        <f>SUMIFS(BASE!$G:$G,BASE!$B:$B,$B480,BASE!$L:$L,$G480,BASE!$J:$J,$C480,BASE!$A:$A,M$2)</f>
        <v>0</v>
      </c>
      <c r="N480" s="12">
        <f>SUMIFS(BASE!$G:$G,BASE!$B:$B,$B480,BASE!$L:$L,$G480,BASE!$J:$J,$C480,BASE!$A:$A,N$2)</f>
        <v>0</v>
      </c>
      <c r="O480" s="12">
        <f>SUMIFS(BASE!$G:$G,BASE!$B:$B,$B480,BASE!$L:$L,$G480,BASE!$J:$J,$C480,BASE!$A:$A,O$2)</f>
        <v>0</v>
      </c>
      <c r="P480" s="12">
        <f>SUMIFS(BASE!$G:$G,BASE!$B:$B,$B480,BASE!$L:$L,$G480,BASE!$J:$J,$C480,BASE!$A:$A,P$2)</f>
        <v>0</v>
      </c>
      <c r="Q480" s="12">
        <f>SUMIFS(BASE!$G:$G,BASE!$B:$B,$B480,BASE!$L:$L,$G480,BASE!$J:$J,$C480,BASE!$A:$A,Q$2)</f>
        <v>0</v>
      </c>
      <c r="R480" s="12">
        <f>SUMIFS(BASE!$G:$G,BASE!$B:$B,$B480,BASE!$L:$L,$G480,BASE!$J:$J,$C480,BASE!$A:$A,R$2)</f>
        <v>0</v>
      </c>
      <c r="S480" s="12">
        <f>SUMIFS(BASE!$G:$G,BASE!$B:$B,$B480,BASE!$L:$L,$G480,BASE!$J:$J,$C480,BASE!$A:$A,S$2)</f>
        <v>0</v>
      </c>
      <c r="T480" s="12">
        <f>SUMIFS(BASE!$G:$G,BASE!$B:$B,$B480,BASE!$L:$L,$G480,BASE!$J:$J,$C480,BASE!$A:$A,T$2)</f>
        <v>0</v>
      </c>
      <c r="U480" s="12">
        <f>SUMIFS(BASE!$G:$G,BASE!$B:$B,$B480,BASE!$L:$L,$G480,BASE!$J:$J,$C480,BASE!$A:$A,U$2)</f>
        <v>0</v>
      </c>
      <c r="V480" s="12">
        <f>SUMIFS(BASE!$G:$G,BASE!$B:$B,$B480,BASE!$L:$L,$G480,BASE!$J:$J,$C480,BASE!$A:$A,V$2)</f>
        <v>0</v>
      </c>
      <c r="X480" t="str">
        <f t="shared" si="15"/>
        <v>ZERADO</v>
      </c>
    </row>
    <row r="481" spans="2:24">
      <c r="B481" s="8" t="s">
        <v>1119</v>
      </c>
      <c r="C481" s="9" t="s">
        <v>143</v>
      </c>
      <c r="D481" s="9" t="s">
        <v>1109</v>
      </c>
      <c r="E481" s="9" t="s">
        <v>1056</v>
      </c>
      <c r="F481" s="9" t="s">
        <v>1120</v>
      </c>
      <c r="G481" s="9" t="s">
        <v>62</v>
      </c>
      <c r="H481" s="7" t="str">
        <f>IFERROR(IF(_xlfn.XLOOKUP(B481,REPASSE!D:D,REPASSE!D:D)="","Não","Sim"),"Não")</f>
        <v>Não</v>
      </c>
      <c r="I481" s="7" t="str">
        <f>IF(_xlfn.XLOOKUP(B481,'BOOST LIBERADO'!B:B,'BOOST LIBERADO'!B:B,"Não")="Não","Não","Sim")</f>
        <v>Sim</v>
      </c>
      <c r="J481" s="83" t="str">
        <f t="shared" si="14"/>
        <v>Sim</v>
      </c>
      <c r="K481" s="12">
        <f>SUMIFS(BASE!$G:$G,BASE!$B:$B,$B481,BASE!$L:$L,$G481,BASE!$J:$J,$C481,BASE!$A:$A,K$2)</f>
        <v>0</v>
      </c>
      <c r="L481" s="12">
        <f>SUMIFS(BASE!$G:$G,BASE!$B:$B,$B481,BASE!$L:$L,$G481,BASE!$J:$J,$C481,BASE!$A:$A,L$2)</f>
        <v>0</v>
      </c>
      <c r="M481" s="12">
        <f>SUMIFS(BASE!$G:$G,BASE!$B:$B,$B481,BASE!$L:$L,$G481,BASE!$J:$J,$C481,BASE!$A:$A,M$2)</f>
        <v>0</v>
      </c>
      <c r="N481" s="12">
        <f>SUMIFS(BASE!$G:$G,BASE!$B:$B,$B481,BASE!$L:$L,$G481,BASE!$J:$J,$C481,BASE!$A:$A,N$2)</f>
        <v>0</v>
      </c>
      <c r="O481" s="12">
        <f>SUMIFS(BASE!$G:$G,BASE!$B:$B,$B481,BASE!$L:$L,$G481,BASE!$J:$J,$C481,BASE!$A:$A,O$2)</f>
        <v>0</v>
      </c>
      <c r="P481" s="12">
        <f>SUMIFS(BASE!$G:$G,BASE!$B:$B,$B481,BASE!$L:$L,$G481,BASE!$J:$J,$C481,BASE!$A:$A,P$2)</f>
        <v>0</v>
      </c>
      <c r="Q481" s="12">
        <f>SUMIFS(BASE!$G:$G,BASE!$B:$B,$B481,BASE!$L:$L,$G481,BASE!$J:$J,$C481,BASE!$A:$A,Q$2)</f>
        <v>0</v>
      </c>
      <c r="R481" s="12">
        <f>SUMIFS(BASE!$G:$G,BASE!$B:$B,$B481,BASE!$L:$L,$G481,BASE!$J:$J,$C481,BASE!$A:$A,R$2)</f>
        <v>0</v>
      </c>
      <c r="S481" s="12">
        <f>SUMIFS(BASE!$G:$G,BASE!$B:$B,$B481,BASE!$L:$L,$G481,BASE!$J:$J,$C481,BASE!$A:$A,S$2)</f>
        <v>0</v>
      </c>
      <c r="T481" s="12">
        <f>SUMIFS(BASE!$G:$G,BASE!$B:$B,$B481,BASE!$L:$L,$G481,BASE!$J:$J,$C481,BASE!$A:$A,T$2)</f>
        <v>0</v>
      </c>
      <c r="U481" s="12">
        <f>SUMIFS(BASE!$G:$G,BASE!$B:$B,$B481,BASE!$L:$L,$G481,BASE!$J:$J,$C481,BASE!$A:$A,U$2)</f>
        <v>0</v>
      </c>
      <c r="V481" s="12">
        <f>SUMIFS(BASE!$G:$G,BASE!$B:$B,$B481,BASE!$L:$L,$G481,BASE!$J:$J,$C481,BASE!$A:$A,V$2)</f>
        <v>0</v>
      </c>
      <c r="X481" t="str">
        <f t="shared" si="15"/>
        <v>ZERADO</v>
      </c>
    </row>
    <row r="482" spans="2:24">
      <c r="B482" s="8" t="s">
        <v>1121</v>
      </c>
      <c r="C482" s="9" t="s">
        <v>143</v>
      </c>
      <c r="D482" s="9" t="s">
        <v>1055</v>
      </c>
      <c r="E482" s="9" t="s">
        <v>1056</v>
      </c>
      <c r="F482" s="9" t="s">
        <v>1122</v>
      </c>
      <c r="G482" s="9" t="s">
        <v>62</v>
      </c>
      <c r="H482" s="7" t="str">
        <f>IFERROR(IF(_xlfn.XLOOKUP(B482,REPASSE!D:D,REPASSE!D:D)="","Não","Sim"),"Não")</f>
        <v>Não</v>
      </c>
      <c r="I482" s="7" t="str">
        <f>IF(_xlfn.XLOOKUP(B482,'BOOST LIBERADO'!B:B,'BOOST LIBERADO'!B:B,"Não")="Não","Não","Sim")</f>
        <v>Sim</v>
      </c>
      <c r="J482" s="83" t="str">
        <f t="shared" si="14"/>
        <v>Sim</v>
      </c>
      <c r="K482" s="12">
        <f>SUMIFS(BASE!$G:$G,BASE!$B:$B,$B482,BASE!$L:$L,$G482,BASE!$J:$J,$C482,BASE!$A:$A,K$2)</f>
        <v>0</v>
      </c>
      <c r="L482" s="12">
        <f>SUMIFS(BASE!$G:$G,BASE!$B:$B,$B482,BASE!$L:$L,$G482,BASE!$J:$J,$C482,BASE!$A:$A,L$2)</f>
        <v>0</v>
      </c>
      <c r="M482" s="12">
        <f>SUMIFS(BASE!$G:$G,BASE!$B:$B,$B482,BASE!$L:$L,$G482,BASE!$J:$J,$C482,BASE!$A:$A,M$2)</f>
        <v>0</v>
      </c>
      <c r="N482" s="12">
        <f>SUMIFS(BASE!$G:$G,BASE!$B:$B,$B482,BASE!$L:$L,$G482,BASE!$J:$J,$C482,BASE!$A:$A,N$2)</f>
        <v>0</v>
      </c>
      <c r="O482" s="12">
        <f>SUMIFS(BASE!$G:$G,BASE!$B:$B,$B482,BASE!$L:$L,$G482,BASE!$J:$J,$C482,BASE!$A:$A,O$2)</f>
        <v>0</v>
      </c>
      <c r="P482" s="12">
        <f>SUMIFS(BASE!$G:$G,BASE!$B:$B,$B482,BASE!$L:$L,$G482,BASE!$J:$J,$C482,BASE!$A:$A,P$2)</f>
        <v>0</v>
      </c>
      <c r="Q482" s="12">
        <f>SUMIFS(BASE!$G:$G,BASE!$B:$B,$B482,BASE!$L:$L,$G482,BASE!$J:$J,$C482,BASE!$A:$A,Q$2)</f>
        <v>0</v>
      </c>
      <c r="R482" s="12">
        <f>SUMIFS(BASE!$G:$G,BASE!$B:$B,$B482,BASE!$L:$L,$G482,BASE!$J:$J,$C482,BASE!$A:$A,R$2)</f>
        <v>0</v>
      </c>
      <c r="S482" s="12">
        <f>SUMIFS(BASE!$G:$G,BASE!$B:$B,$B482,BASE!$L:$L,$G482,BASE!$J:$J,$C482,BASE!$A:$A,S$2)</f>
        <v>0</v>
      </c>
      <c r="T482" s="12">
        <f>SUMIFS(BASE!$G:$G,BASE!$B:$B,$B482,BASE!$L:$L,$G482,BASE!$J:$J,$C482,BASE!$A:$A,T$2)</f>
        <v>0</v>
      </c>
      <c r="U482" s="12">
        <f>SUMIFS(BASE!$G:$G,BASE!$B:$B,$B482,BASE!$L:$L,$G482,BASE!$J:$J,$C482,BASE!$A:$A,U$2)</f>
        <v>0</v>
      </c>
      <c r="V482" s="12">
        <f>SUMIFS(BASE!$G:$G,BASE!$B:$B,$B482,BASE!$L:$L,$G482,BASE!$J:$J,$C482,BASE!$A:$A,V$2)</f>
        <v>0</v>
      </c>
      <c r="X482" t="str">
        <f t="shared" si="15"/>
        <v>ZERADO</v>
      </c>
    </row>
    <row r="483" spans="2:24">
      <c r="B483" s="8" t="s">
        <v>1123</v>
      </c>
      <c r="C483" s="9" t="s">
        <v>121</v>
      </c>
      <c r="D483" s="9" t="s">
        <v>1063</v>
      </c>
      <c r="E483" s="9" t="s">
        <v>1060</v>
      </c>
      <c r="F483" s="9" t="s">
        <v>1124</v>
      </c>
      <c r="G483" s="9" t="s">
        <v>62</v>
      </c>
      <c r="H483" s="7" t="str">
        <f>IFERROR(IF(_xlfn.XLOOKUP(B483,REPASSE!D:D,REPASSE!D:D)="","Não","Sim"),"Não")</f>
        <v>Não</v>
      </c>
      <c r="I483" s="7" t="str">
        <f>IF(_xlfn.XLOOKUP(B483,'BOOST LIBERADO'!B:B,'BOOST LIBERADO'!B:B,"Não")="Não","Não","Sim")</f>
        <v>Não</v>
      </c>
      <c r="J483" s="83" t="str">
        <f t="shared" si="14"/>
        <v>Não</v>
      </c>
      <c r="K483" s="12">
        <f>SUMIFS(BASE!$G:$G,BASE!$B:$B,$B483,BASE!$L:$L,$G483,BASE!$J:$J,$C483,BASE!$A:$A,K$2)</f>
        <v>0</v>
      </c>
      <c r="L483" s="12">
        <f>SUMIFS(BASE!$G:$G,BASE!$B:$B,$B483,BASE!$L:$L,$G483,BASE!$J:$J,$C483,BASE!$A:$A,L$2)</f>
        <v>0</v>
      </c>
      <c r="M483" s="12">
        <f>SUMIFS(BASE!$G:$G,BASE!$B:$B,$B483,BASE!$L:$L,$G483,BASE!$J:$J,$C483,BASE!$A:$A,M$2)</f>
        <v>0</v>
      </c>
      <c r="N483" s="12">
        <f>SUMIFS(BASE!$G:$G,BASE!$B:$B,$B483,BASE!$L:$L,$G483,BASE!$J:$J,$C483,BASE!$A:$A,N$2)</f>
        <v>0</v>
      </c>
      <c r="O483" s="12">
        <f>SUMIFS(BASE!$G:$G,BASE!$B:$B,$B483,BASE!$L:$L,$G483,BASE!$J:$J,$C483,BASE!$A:$A,O$2)</f>
        <v>0</v>
      </c>
      <c r="P483" s="12">
        <f>SUMIFS(BASE!$G:$G,BASE!$B:$B,$B483,BASE!$L:$L,$G483,BASE!$J:$J,$C483,BASE!$A:$A,P$2)</f>
        <v>0</v>
      </c>
      <c r="Q483" s="12">
        <f>SUMIFS(BASE!$G:$G,BASE!$B:$B,$B483,BASE!$L:$L,$G483,BASE!$J:$J,$C483,BASE!$A:$A,Q$2)</f>
        <v>0</v>
      </c>
      <c r="R483" s="12">
        <f>SUMIFS(BASE!$G:$G,BASE!$B:$B,$B483,BASE!$L:$L,$G483,BASE!$J:$J,$C483,BASE!$A:$A,R$2)</f>
        <v>0</v>
      </c>
      <c r="S483" s="12">
        <f>SUMIFS(BASE!$G:$G,BASE!$B:$B,$B483,BASE!$L:$L,$G483,BASE!$J:$J,$C483,BASE!$A:$A,S$2)</f>
        <v>0</v>
      </c>
      <c r="T483" s="12">
        <f>SUMIFS(BASE!$G:$G,BASE!$B:$B,$B483,BASE!$L:$L,$G483,BASE!$J:$J,$C483,BASE!$A:$A,T$2)</f>
        <v>0</v>
      </c>
      <c r="U483" s="12">
        <f>SUMIFS(BASE!$G:$G,BASE!$B:$B,$B483,BASE!$L:$L,$G483,BASE!$J:$J,$C483,BASE!$A:$A,U$2)</f>
        <v>0</v>
      </c>
      <c r="V483" s="12">
        <f>SUMIFS(BASE!$G:$G,BASE!$B:$B,$B483,BASE!$L:$L,$G483,BASE!$J:$J,$C483,BASE!$A:$A,V$2)</f>
        <v>0</v>
      </c>
      <c r="X483" t="str">
        <f t="shared" si="15"/>
        <v>ZERADO</v>
      </c>
    </row>
    <row r="484" spans="2:24">
      <c r="B484" s="8" t="s">
        <v>1125</v>
      </c>
      <c r="C484" s="9" t="s">
        <v>127</v>
      </c>
      <c r="D484" s="9" t="s">
        <v>1063</v>
      </c>
      <c r="E484" s="9" t="s">
        <v>1060</v>
      </c>
      <c r="F484" s="9" t="s">
        <v>1126</v>
      </c>
      <c r="G484" s="9" t="s">
        <v>62</v>
      </c>
      <c r="H484" s="7" t="str">
        <f>IFERROR(IF(_xlfn.XLOOKUP(B484,REPASSE!D:D,REPASSE!D:D)="","Não","Sim"),"Não")</f>
        <v>Não</v>
      </c>
      <c r="I484" s="7" t="str">
        <f>IF(_xlfn.XLOOKUP(B484,'BOOST LIBERADO'!B:B,'BOOST LIBERADO'!B:B,"Não")="Não","Não","Sim")</f>
        <v>Não</v>
      </c>
      <c r="J484" s="83" t="str">
        <f t="shared" si="14"/>
        <v>Não</v>
      </c>
      <c r="K484" s="12">
        <f>SUMIFS(BASE!$G:$G,BASE!$B:$B,$B484,BASE!$L:$L,$G484,BASE!$J:$J,$C484,BASE!$A:$A,K$2)</f>
        <v>0</v>
      </c>
      <c r="L484" s="12">
        <f>SUMIFS(BASE!$G:$G,BASE!$B:$B,$B484,BASE!$L:$L,$G484,BASE!$J:$J,$C484,BASE!$A:$A,L$2)</f>
        <v>0</v>
      </c>
      <c r="M484" s="12">
        <f>SUMIFS(BASE!$G:$G,BASE!$B:$B,$B484,BASE!$L:$L,$G484,BASE!$J:$J,$C484,BASE!$A:$A,M$2)</f>
        <v>0</v>
      </c>
      <c r="N484" s="12">
        <f>SUMIFS(BASE!$G:$G,BASE!$B:$B,$B484,BASE!$L:$L,$G484,BASE!$J:$J,$C484,BASE!$A:$A,N$2)</f>
        <v>0</v>
      </c>
      <c r="O484" s="12">
        <f>SUMIFS(BASE!$G:$G,BASE!$B:$B,$B484,BASE!$L:$L,$G484,BASE!$J:$J,$C484,BASE!$A:$A,O$2)</f>
        <v>0</v>
      </c>
      <c r="P484" s="12">
        <f>SUMIFS(BASE!$G:$G,BASE!$B:$B,$B484,BASE!$L:$L,$G484,BASE!$J:$J,$C484,BASE!$A:$A,P$2)</f>
        <v>0</v>
      </c>
      <c r="Q484" s="12">
        <f>SUMIFS(BASE!$G:$G,BASE!$B:$B,$B484,BASE!$L:$L,$G484,BASE!$J:$J,$C484,BASE!$A:$A,Q$2)</f>
        <v>0</v>
      </c>
      <c r="R484" s="12">
        <f>SUMIFS(BASE!$G:$G,BASE!$B:$B,$B484,BASE!$L:$L,$G484,BASE!$J:$J,$C484,BASE!$A:$A,R$2)</f>
        <v>0</v>
      </c>
      <c r="S484" s="12">
        <f>SUMIFS(BASE!$G:$G,BASE!$B:$B,$B484,BASE!$L:$L,$G484,BASE!$J:$J,$C484,BASE!$A:$A,S$2)</f>
        <v>0</v>
      </c>
      <c r="T484" s="12">
        <f>SUMIFS(BASE!$G:$G,BASE!$B:$B,$B484,BASE!$L:$L,$G484,BASE!$J:$J,$C484,BASE!$A:$A,T$2)</f>
        <v>0</v>
      </c>
      <c r="U484" s="12">
        <f>SUMIFS(BASE!$G:$G,BASE!$B:$B,$B484,BASE!$L:$L,$G484,BASE!$J:$J,$C484,BASE!$A:$A,U$2)</f>
        <v>0</v>
      </c>
      <c r="V484" s="12">
        <f>SUMIFS(BASE!$G:$G,BASE!$B:$B,$B484,BASE!$L:$L,$G484,BASE!$J:$J,$C484,BASE!$A:$A,V$2)</f>
        <v>0</v>
      </c>
      <c r="X484" t="str">
        <f t="shared" si="15"/>
        <v>ZERADO</v>
      </c>
    </row>
    <row r="485" spans="2:24">
      <c r="B485" s="8" t="s">
        <v>1127</v>
      </c>
      <c r="C485" s="9" t="s">
        <v>143</v>
      </c>
      <c r="D485" s="9" t="s">
        <v>1109</v>
      </c>
      <c r="E485" s="9" t="s">
        <v>1056</v>
      </c>
      <c r="F485" s="9" t="s">
        <v>1077</v>
      </c>
      <c r="G485" s="9" t="s">
        <v>62</v>
      </c>
      <c r="H485" s="7" t="str">
        <f>IFERROR(IF(_xlfn.XLOOKUP(B485,REPASSE!D:D,REPASSE!D:D)="","Não","Sim"),"Não")</f>
        <v>Não</v>
      </c>
      <c r="I485" s="7" t="str">
        <f>IF(_xlfn.XLOOKUP(B485,'BOOST LIBERADO'!B:B,'BOOST LIBERADO'!B:B,"Não")="Não","Não","Sim")</f>
        <v>Sim</v>
      </c>
      <c r="J485" s="83" t="str">
        <f t="shared" si="14"/>
        <v>Sim</v>
      </c>
      <c r="K485" s="12">
        <f>SUMIFS(BASE!$G:$G,BASE!$B:$B,$B485,BASE!$L:$L,$G485,BASE!$J:$J,$C485,BASE!$A:$A,K$2)</f>
        <v>0</v>
      </c>
      <c r="L485" s="12">
        <f>SUMIFS(BASE!$G:$G,BASE!$B:$B,$B485,BASE!$L:$L,$G485,BASE!$J:$J,$C485,BASE!$A:$A,L$2)</f>
        <v>0</v>
      </c>
      <c r="M485" s="12">
        <f>SUMIFS(BASE!$G:$G,BASE!$B:$B,$B485,BASE!$L:$L,$G485,BASE!$J:$J,$C485,BASE!$A:$A,M$2)</f>
        <v>0</v>
      </c>
      <c r="N485" s="12">
        <f>SUMIFS(BASE!$G:$G,BASE!$B:$B,$B485,BASE!$L:$L,$G485,BASE!$J:$J,$C485,BASE!$A:$A,N$2)</f>
        <v>0</v>
      </c>
      <c r="O485" s="12">
        <f>SUMIFS(BASE!$G:$G,BASE!$B:$B,$B485,BASE!$L:$L,$G485,BASE!$J:$J,$C485,BASE!$A:$A,O$2)</f>
        <v>0</v>
      </c>
      <c r="P485" s="12">
        <f>SUMIFS(BASE!$G:$G,BASE!$B:$B,$B485,BASE!$L:$L,$G485,BASE!$J:$J,$C485,BASE!$A:$A,P$2)</f>
        <v>0</v>
      </c>
      <c r="Q485" s="12">
        <f>SUMIFS(BASE!$G:$G,BASE!$B:$B,$B485,BASE!$L:$L,$G485,BASE!$J:$J,$C485,BASE!$A:$A,Q$2)</f>
        <v>0</v>
      </c>
      <c r="R485" s="12">
        <f>SUMIFS(BASE!$G:$G,BASE!$B:$B,$B485,BASE!$L:$L,$G485,BASE!$J:$J,$C485,BASE!$A:$A,R$2)</f>
        <v>0</v>
      </c>
      <c r="S485" s="12">
        <f>SUMIFS(BASE!$G:$G,BASE!$B:$B,$B485,BASE!$L:$L,$G485,BASE!$J:$J,$C485,BASE!$A:$A,S$2)</f>
        <v>0</v>
      </c>
      <c r="T485" s="12">
        <f>SUMIFS(BASE!$G:$G,BASE!$B:$B,$B485,BASE!$L:$L,$G485,BASE!$J:$J,$C485,BASE!$A:$A,T$2)</f>
        <v>0</v>
      </c>
      <c r="U485" s="12">
        <f>SUMIFS(BASE!$G:$G,BASE!$B:$B,$B485,BASE!$L:$L,$G485,BASE!$J:$J,$C485,BASE!$A:$A,U$2)</f>
        <v>0</v>
      </c>
      <c r="V485" s="12">
        <f>SUMIFS(BASE!$G:$G,BASE!$B:$B,$B485,BASE!$L:$L,$G485,BASE!$J:$J,$C485,BASE!$A:$A,V$2)</f>
        <v>0</v>
      </c>
      <c r="X485" t="str">
        <f t="shared" si="15"/>
        <v>ZERADO</v>
      </c>
    </row>
    <row r="486" spans="2:24">
      <c r="B486" s="8" t="s">
        <v>1128</v>
      </c>
      <c r="C486" s="9" t="s">
        <v>143</v>
      </c>
      <c r="D486" s="9" t="s">
        <v>1055</v>
      </c>
      <c r="E486" s="9" t="s">
        <v>1056</v>
      </c>
      <c r="F486" s="9" t="s">
        <v>1093</v>
      </c>
      <c r="G486" s="9" t="s">
        <v>62</v>
      </c>
      <c r="H486" s="7" t="str">
        <f>IFERROR(IF(_xlfn.XLOOKUP(B486,REPASSE!D:D,REPASSE!D:D)="","Não","Sim"),"Não")</f>
        <v>Não</v>
      </c>
      <c r="I486" s="7" t="str">
        <f>IF(_xlfn.XLOOKUP(B486,'BOOST LIBERADO'!B:B,'BOOST LIBERADO'!B:B,"Não")="Não","Não","Sim")</f>
        <v>Sim</v>
      </c>
      <c r="J486" s="83" t="str">
        <f t="shared" si="14"/>
        <v>Sim</v>
      </c>
      <c r="K486" s="12">
        <f>SUMIFS(BASE!$G:$G,BASE!$B:$B,$B486,BASE!$L:$L,$G486,BASE!$J:$J,$C486,BASE!$A:$A,K$2)</f>
        <v>0</v>
      </c>
      <c r="L486" s="12">
        <f>SUMIFS(BASE!$G:$G,BASE!$B:$B,$B486,BASE!$L:$L,$G486,BASE!$J:$J,$C486,BASE!$A:$A,L$2)</f>
        <v>0</v>
      </c>
      <c r="M486" s="12">
        <f>SUMIFS(BASE!$G:$G,BASE!$B:$B,$B486,BASE!$L:$L,$G486,BASE!$J:$J,$C486,BASE!$A:$A,M$2)</f>
        <v>0</v>
      </c>
      <c r="N486" s="12">
        <f>SUMIFS(BASE!$G:$G,BASE!$B:$B,$B486,BASE!$L:$L,$G486,BASE!$J:$J,$C486,BASE!$A:$A,N$2)</f>
        <v>0</v>
      </c>
      <c r="O486" s="12">
        <f>SUMIFS(BASE!$G:$G,BASE!$B:$B,$B486,BASE!$L:$L,$G486,BASE!$J:$J,$C486,BASE!$A:$A,O$2)</f>
        <v>0</v>
      </c>
      <c r="P486" s="12">
        <f>SUMIFS(BASE!$G:$G,BASE!$B:$B,$B486,BASE!$L:$L,$G486,BASE!$J:$J,$C486,BASE!$A:$A,P$2)</f>
        <v>0</v>
      </c>
      <c r="Q486" s="12">
        <f>SUMIFS(BASE!$G:$G,BASE!$B:$B,$B486,BASE!$L:$L,$G486,BASE!$J:$J,$C486,BASE!$A:$A,Q$2)</f>
        <v>0</v>
      </c>
      <c r="R486" s="12">
        <f>SUMIFS(BASE!$G:$G,BASE!$B:$B,$B486,BASE!$L:$L,$G486,BASE!$J:$J,$C486,BASE!$A:$A,R$2)</f>
        <v>1</v>
      </c>
      <c r="S486" s="12">
        <f>SUMIFS(BASE!$G:$G,BASE!$B:$B,$B486,BASE!$L:$L,$G486,BASE!$J:$J,$C486,BASE!$A:$A,S$2)</f>
        <v>0</v>
      </c>
      <c r="T486" s="12">
        <f>SUMIFS(BASE!$G:$G,BASE!$B:$B,$B486,BASE!$L:$L,$G486,BASE!$J:$J,$C486,BASE!$A:$A,T$2)</f>
        <v>0</v>
      </c>
      <c r="U486" s="12">
        <f>SUMIFS(BASE!$G:$G,BASE!$B:$B,$B486,BASE!$L:$L,$G486,BASE!$J:$J,$C486,BASE!$A:$A,U$2)</f>
        <v>0</v>
      </c>
      <c r="V486" s="12">
        <f>SUMIFS(BASE!$G:$G,BASE!$B:$B,$B486,BASE!$L:$L,$G486,BASE!$J:$J,$C486,BASE!$A:$A,V$2)</f>
        <v>0</v>
      </c>
      <c r="X486" t="str">
        <f t="shared" si="15"/>
        <v>COM TROCAS</v>
      </c>
    </row>
    <row r="487" spans="2:24">
      <c r="B487" s="8" t="s">
        <v>1129</v>
      </c>
      <c r="C487" s="9" t="s">
        <v>132</v>
      </c>
      <c r="D487" s="9" t="s">
        <v>1101</v>
      </c>
      <c r="E487" s="9" t="s">
        <v>1084</v>
      </c>
      <c r="F487" s="9" t="s">
        <v>1102</v>
      </c>
      <c r="G487" s="9" t="s">
        <v>62</v>
      </c>
      <c r="H487" s="7" t="str">
        <f>IFERROR(IF(_xlfn.XLOOKUP(B487,REPASSE!D:D,REPASSE!D:D)="","Não","Sim"),"Não")</f>
        <v>Não</v>
      </c>
      <c r="I487" s="7" t="str">
        <f>IF(_xlfn.XLOOKUP(B487,'BOOST LIBERADO'!B:B,'BOOST LIBERADO'!B:B,"Não")="Não","Não","Sim")</f>
        <v>Sim</v>
      </c>
      <c r="J487" s="83" t="str">
        <f t="shared" si="14"/>
        <v>Sim</v>
      </c>
      <c r="K487" s="12">
        <f>SUMIFS(BASE!$G:$G,BASE!$B:$B,$B487,BASE!$L:$L,$G487,BASE!$J:$J,$C487,BASE!$A:$A,K$2)</f>
        <v>0</v>
      </c>
      <c r="L487" s="12">
        <f>SUMIFS(BASE!$G:$G,BASE!$B:$B,$B487,BASE!$L:$L,$G487,BASE!$J:$J,$C487,BASE!$A:$A,L$2)</f>
        <v>0</v>
      </c>
      <c r="M487" s="12">
        <f>SUMIFS(BASE!$G:$G,BASE!$B:$B,$B487,BASE!$L:$L,$G487,BASE!$J:$J,$C487,BASE!$A:$A,M$2)</f>
        <v>1</v>
      </c>
      <c r="N487" s="12">
        <f>SUMIFS(BASE!$G:$G,BASE!$B:$B,$B487,BASE!$L:$L,$G487,BASE!$J:$J,$C487,BASE!$A:$A,N$2)</f>
        <v>1</v>
      </c>
      <c r="O487" s="12">
        <f>SUMIFS(BASE!$G:$G,BASE!$B:$B,$B487,BASE!$L:$L,$G487,BASE!$J:$J,$C487,BASE!$A:$A,O$2)</f>
        <v>3</v>
      </c>
      <c r="P487" s="12">
        <f>SUMIFS(BASE!$G:$G,BASE!$B:$B,$B487,BASE!$L:$L,$G487,BASE!$J:$J,$C487,BASE!$A:$A,P$2)</f>
        <v>7</v>
      </c>
      <c r="Q487" s="12">
        <f>SUMIFS(BASE!$G:$G,BASE!$B:$B,$B487,BASE!$L:$L,$G487,BASE!$J:$J,$C487,BASE!$A:$A,Q$2)</f>
        <v>5</v>
      </c>
      <c r="R487" s="12">
        <f>SUMIFS(BASE!$G:$G,BASE!$B:$B,$B487,BASE!$L:$L,$G487,BASE!$J:$J,$C487,BASE!$A:$A,R$2)</f>
        <v>3</v>
      </c>
      <c r="S487" s="12">
        <f>SUMIFS(BASE!$G:$G,BASE!$B:$B,$B487,BASE!$L:$L,$G487,BASE!$J:$J,$C487,BASE!$A:$A,S$2)</f>
        <v>0</v>
      </c>
      <c r="T487" s="12">
        <f>SUMIFS(BASE!$G:$G,BASE!$B:$B,$B487,BASE!$L:$L,$G487,BASE!$J:$J,$C487,BASE!$A:$A,T$2)</f>
        <v>0</v>
      </c>
      <c r="U487" s="12">
        <f>SUMIFS(BASE!$G:$G,BASE!$B:$B,$B487,BASE!$L:$L,$G487,BASE!$J:$J,$C487,BASE!$A:$A,U$2)</f>
        <v>0</v>
      </c>
      <c r="V487" s="12">
        <f>SUMIFS(BASE!$G:$G,BASE!$B:$B,$B487,BASE!$L:$L,$G487,BASE!$J:$J,$C487,BASE!$A:$A,V$2)</f>
        <v>0</v>
      </c>
      <c r="X487" t="str">
        <f t="shared" si="15"/>
        <v>COM TROCAS</v>
      </c>
    </row>
    <row r="488" spans="2:24">
      <c r="B488" s="8" t="s">
        <v>1130</v>
      </c>
      <c r="C488" s="9" t="s">
        <v>121</v>
      </c>
      <c r="D488" s="9" t="s">
        <v>1063</v>
      </c>
      <c r="E488" s="9" t="s">
        <v>1060</v>
      </c>
      <c r="F488" s="9" t="s">
        <v>1131</v>
      </c>
      <c r="G488" s="9" t="s">
        <v>62</v>
      </c>
      <c r="H488" s="7" t="str">
        <f>IFERROR(IF(_xlfn.XLOOKUP(B488,REPASSE!D:D,REPASSE!D:D)="","Não","Sim"),"Não")</f>
        <v>Não</v>
      </c>
      <c r="I488" s="7" t="str">
        <f>IF(_xlfn.XLOOKUP(B488,'BOOST LIBERADO'!B:B,'BOOST LIBERADO'!B:B,"Não")="Não","Não","Sim")</f>
        <v>Não</v>
      </c>
      <c r="J488" s="83" t="str">
        <f t="shared" si="14"/>
        <v>Não</v>
      </c>
      <c r="K488" s="12">
        <f>SUMIFS(BASE!$G:$G,BASE!$B:$B,$B488,BASE!$L:$L,$G488,BASE!$J:$J,$C488,BASE!$A:$A,K$2)</f>
        <v>0</v>
      </c>
      <c r="L488" s="12">
        <f>SUMIFS(BASE!$G:$G,BASE!$B:$B,$B488,BASE!$L:$L,$G488,BASE!$J:$J,$C488,BASE!$A:$A,L$2)</f>
        <v>0</v>
      </c>
      <c r="M488" s="12">
        <f>SUMIFS(BASE!$G:$G,BASE!$B:$B,$B488,BASE!$L:$L,$G488,BASE!$J:$J,$C488,BASE!$A:$A,M$2)</f>
        <v>0</v>
      </c>
      <c r="N488" s="12">
        <f>SUMIFS(BASE!$G:$G,BASE!$B:$B,$B488,BASE!$L:$L,$G488,BASE!$J:$J,$C488,BASE!$A:$A,N$2)</f>
        <v>0</v>
      </c>
      <c r="O488" s="12">
        <f>SUMIFS(BASE!$G:$G,BASE!$B:$B,$B488,BASE!$L:$L,$G488,BASE!$J:$J,$C488,BASE!$A:$A,O$2)</f>
        <v>0</v>
      </c>
      <c r="P488" s="12">
        <f>SUMIFS(BASE!$G:$G,BASE!$B:$B,$B488,BASE!$L:$L,$G488,BASE!$J:$J,$C488,BASE!$A:$A,P$2)</f>
        <v>0</v>
      </c>
      <c r="Q488" s="12">
        <f>SUMIFS(BASE!$G:$G,BASE!$B:$B,$B488,BASE!$L:$L,$G488,BASE!$J:$J,$C488,BASE!$A:$A,Q$2)</f>
        <v>0</v>
      </c>
      <c r="R488" s="12">
        <f>SUMIFS(BASE!$G:$G,BASE!$B:$B,$B488,BASE!$L:$L,$G488,BASE!$J:$J,$C488,BASE!$A:$A,R$2)</f>
        <v>0</v>
      </c>
      <c r="S488" s="12">
        <f>SUMIFS(BASE!$G:$G,BASE!$B:$B,$B488,BASE!$L:$L,$G488,BASE!$J:$J,$C488,BASE!$A:$A,S$2)</f>
        <v>0</v>
      </c>
      <c r="T488" s="12">
        <f>SUMIFS(BASE!$G:$G,BASE!$B:$B,$B488,BASE!$L:$L,$G488,BASE!$J:$J,$C488,BASE!$A:$A,T$2)</f>
        <v>0</v>
      </c>
      <c r="U488" s="12">
        <f>SUMIFS(BASE!$G:$G,BASE!$B:$B,$B488,BASE!$L:$L,$G488,BASE!$J:$J,$C488,BASE!$A:$A,U$2)</f>
        <v>0</v>
      </c>
      <c r="V488" s="12">
        <f>SUMIFS(BASE!$G:$G,BASE!$B:$B,$B488,BASE!$L:$L,$G488,BASE!$J:$J,$C488,BASE!$A:$A,V$2)</f>
        <v>0</v>
      </c>
      <c r="X488" t="str">
        <f t="shared" si="15"/>
        <v>ZERADO</v>
      </c>
    </row>
    <row r="489" spans="2:24">
      <c r="B489" s="8" t="s">
        <v>1132</v>
      </c>
      <c r="C489" s="9" t="s">
        <v>121</v>
      </c>
      <c r="D489" s="9" t="s">
        <v>1063</v>
      </c>
      <c r="E489" s="9" t="s">
        <v>1060</v>
      </c>
      <c r="F489" s="9" t="s">
        <v>1133</v>
      </c>
      <c r="G489" s="9" t="s">
        <v>62</v>
      </c>
      <c r="H489" s="7" t="str">
        <f>IFERROR(IF(_xlfn.XLOOKUP(B489,REPASSE!D:D,REPASSE!D:D)="","Não","Sim"),"Não")</f>
        <v>Não</v>
      </c>
      <c r="I489" s="7" t="str">
        <f>IF(_xlfn.XLOOKUP(B489,'BOOST LIBERADO'!B:B,'BOOST LIBERADO'!B:B,"Não")="Não","Não","Sim")</f>
        <v>Não</v>
      </c>
      <c r="J489" s="83" t="str">
        <f t="shared" si="14"/>
        <v>Não</v>
      </c>
      <c r="K489" s="12">
        <f>SUMIFS(BASE!$G:$G,BASE!$B:$B,$B489,BASE!$L:$L,$G489,BASE!$J:$J,$C489,BASE!$A:$A,K$2)</f>
        <v>0</v>
      </c>
      <c r="L489" s="12">
        <f>SUMIFS(BASE!$G:$G,BASE!$B:$B,$B489,BASE!$L:$L,$G489,BASE!$J:$J,$C489,BASE!$A:$A,L$2)</f>
        <v>0</v>
      </c>
      <c r="M489" s="12">
        <f>SUMIFS(BASE!$G:$G,BASE!$B:$B,$B489,BASE!$L:$L,$G489,BASE!$J:$J,$C489,BASE!$A:$A,M$2)</f>
        <v>0</v>
      </c>
      <c r="N489" s="12">
        <f>SUMIFS(BASE!$G:$G,BASE!$B:$B,$B489,BASE!$L:$L,$G489,BASE!$J:$J,$C489,BASE!$A:$A,N$2)</f>
        <v>0</v>
      </c>
      <c r="O489" s="12">
        <f>SUMIFS(BASE!$G:$G,BASE!$B:$B,$B489,BASE!$L:$L,$G489,BASE!$J:$J,$C489,BASE!$A:$A,O$2)</f>
        <v>0</v>
      </c>
      <c r="P489" s="12">
        <f>SUMIFS(BASE!$G:$G,BASE!$B:$B,$B489,BASE!$L:$L,$G489,BASE!$J:$J,$C489,BASE!$A:$A,P$2)</f>
        <v>0</v>
      </c>
      <c r="Q489" s="12">
        <f>SUMIFS(BASE!$G:$G,BASE!$B:$B,$B489,BASE!$L:$L,$G489,BASE!$J:$J,$C489,BASE!$A:$A,Q$2)</f>
        <v>0</v>
      </c>
      <c r="R489" s="12">
        <f>SUMIFS(BASE!$G:$G,BASE!$B:$B,$B489,BASE!$L:$L,$G489,BASE!$J:$J,$C489,BASE!$A:$A,R$2)</f>
        <v>0</v>
      </c>
      <c r="S489" s="12">
        <f>SUMIFS(BASE!$G:$G,BASE!$B:$B,$B489,BASE!$L:$L,$G489,BASE!$J:$J,$C489,BASE!$A:$A,S$2)</f>
        <v>0</v>
      </c>
      <c r="T489" s="12">
        <f>SUMIFS(BASE!$G:$G,BASE!$B:$B,$B489,BASE!$L:$L,$G489,BASE!$J:$J,$C489,BASE!$A:$A,T$2)</f>
        <v>0</v>
      </c>
      <c r="U489" s="12">
        <f>SUMIFS(BASE!$G:$G,BASE!$B:$B,$B489,BASE!$L:$L,$G489,BASE!$J:$J,$C489,BASE!$A:$A,U$2)</f>
        <v>0</v>
      </c>
      <c r="V489" s="12">
        <f>SUMIFS(BASE!$G:$G,BASE!$B:$B,$B489,BASE!$L:$L,$G489,BASE!$J:$J,$C489,BASE!$A:$A,V$2)</f>
        <v>0</v>
      </c>
      <c r="X489" t="str">
        <f t="shared" si="15"/>
        <v>ZERADO</v>
      </c>
    </row>
    <row r="490" spans="2:24">
      <c r="B490" s="8" t="s">
        <v>1134</v>
      </c>
      <c r="C490" s="9" t="s">
        <v>121</v>
      </c>
      <c r="D490" s="9" t="s">
        <v>1059</v>
      </c>
      <c r="E490" s="9" t="s">
        <v>1060</v>
      </c>
      <c r="F490" s="9" t="s">
        <v>1096</v>
      </c>
      <c r="G490" s="9" t="s">
        <v>62</v>
      </c>
      <c r="H490" s="7" t="str">
        <f>IFERROR(IF(_xlfn.XLOOKUP(B490,REPASSE!D:D,REPASSE!D:D)="","Não","Sim"),"Não")</f>
        <v>Não</v>
      </c>
      <c r="I490" s="7" t="str">
        <f>IF(_xlfn.XLOOKUP(B490,'BOOST LIBERADO'!B:B,'BOOST LIBERADO'!B:B,"Não")="Não","Não","Sim")</f>
        <v>Não</v>
      </c>
      <c r="J490" s="83" t="str">
        <f t="shared" si="14"/>
        <v>Não</v>
      </c>
      <c r="K490" s="12">
        <f>SUMIFS(BASE!$G:$G,BASE!$B:$B,$B490,BASE!$L:$L,$G490,BASE!$J:$J,$C490,BASE!$A:$A,K$2)</f>
        <v>0</v>
      </c>
      <c r="L490" s="12">
        <f>SUMIFS(BASE!$G:$G,BASE!$B:$B,$B490,BASE!$L:$L,$G490,BASE!$J:$J,$C490,BASE!$A:$A,L$2)</f>
        <v>0</v>
      </c>
      <c r="M490" s="12">
        <f>SUMIFS(BASE!$G:$G,BASE!$B:$B,$B490,BASE!$L:$L,$G490,BASE!$J:$J,$C490,BASE!$A:$A,M$2)</f>
        <v>0</v>
      </c>
      <c r="N490" s="12">
        <f>SUMIFS(BASE!$G:$G,BASE!$B:$B,$B490,BASE!$L:$L,$G490,BASE!$J:$J,$C490,BASE!$A:$A,N$2)</f>
        <v>0</v>
      </c>
      <c r="O490" s="12">
        <f>SUMIFS(BASE!$G:$G,BASE!$B:$B,$B490,BASE!$L:$L,$G490,BASE!$J:$J,$C490,BASE!$A:$A,O$2)</f>
        <v>0</v>
      </c>
      <c r="P490" s="12">
        <f>SUMIFS(BASE!$G:$G,BASE!$B:$B,$B490,BASE!$L:$L,$G490,BASE!$J:$J,$C490,BASE!$A:$A,P$2)</f>
        <v>0</v>
      </c>
      <c r="Q490" s="12">
        <f>SUMIFS(BASE!$G:$G,BASE!$B:$B,$B490,BASE!$L:$L,$G490,BASE!$J:$J,$C490,BASE!$A:$A,Q$2)</f>
        <v>0</v>
      </c>
      <c r="R490" s="12">
        <f>SUMIFS(BASE!$G:$G,BASE!$B:$B,$B490,BASE!$L:$L,$G490,BASE!$J:$J,$C490,BASE!$A:$A,R$2)</f>
        <v>0</v>
      </c>
      <c r="S490" s="12">
        <f>SUMIFS(BASE!$G:$G,BASE!$B:$B,$B490,BASE!$L:$L,$G490,BASE!$J:$J,$C490,BASE!$A:$A,S$2)</f>
        <v>0</v>
      </c>
      <c r="T490" s="12">
        <f>SUMIFS(BASE!$G:$G,BASE!$B:$B,$B490,BASE!$L:$L,$G490,BASE!$J:$J,$C490,BASE!$A:$A,T$2)</f>
        <v>0</v>
      </c>
      <c r="U490" s="12">
        <f>SUMIFS(BASE!$G:$G,BASE!$B:$B,$B490,BASE!$L:$L,$G490,BASE!$J:$J,$C490,BASE!$A:$A,U$2)</f>
        <v>0</v>
      </c>
      <c r="V490" s="12">
        <f>SUMIFS(BASE!$G:$G,BASE!$B:$B,$B490,BASE!$L:$L,$G490,BASE!$J:$J,$C490,BASE!$A:$A,V$2)</f>
        <v>0</v>
      </c>
      <c r="X490" t="str">
        <f t="shared" si="15"/>
        <v>ZERADO</v>
      </c>
    </row>
    <row r="491" spans="2:24">
      <c r="B491" s="8" t="s">
        <v>1135</v>
      </c>
      <c r="C491" s="9" t="s">
        <v>89</v>
      </c>
      <c r="D491" s="9" t="s">
        <v>1063</v>
      </c>
      <c r="E491" s="9" t="s">
        <v>1060</v>
      </c>
      <c r="F491" s="9" t="s">
        <v>1136</v>
      </c>
      <c r="G491" s="9" t="s">
        <v>62</v>
      </c>
      <c r="H491" s="7" t="str">
        <f>IFERROR(IF(_xlfn.XLOOKUP(B491,REPASSE!D:D,REPASSE!D:D)="","Não","Sim"),"Não")</f>
        <v>Não</v>
      </c>
      <c r="I491" s="7" t="str">
        <f>IF(_xlfn.XLOOKUP(B491,'BOOST LIBERADO'!B:B,'BOOST LIBERADO'!B:B,"Não")="Não","Não","Sim")</f>
        <v>Não</v>
      </c>
      <c r="J491" s="83" t="str">
        <f t="shared" si="14"/>
        <v>Não</v>
      </c>
      <c r="K491" s="12">
        <f>SUMIFS(BASE!$G:$G,BASE!$B:$B,$B491,BASE!$L:$L,$G491,BASE!$J:$J,$C491,BASE!$A:$A,K$2)</f>
        <v>0</v>
      </c>
      <c r="L491" s="12">
        <f>SUMIFS(BASE!$G:$G,BASE!$B:$B,$B491,BASE!$L:$L,$G491,BASE!$J:$J,$C491,BASE!$A:$A,L$2)</f>
        <v>0</v>
      </c>
      <c r="M491" s="12">
        <f>SUMIFS(BASE!$G:$G,BASE!$B:$B,$B491,BASE!$L:$L,$G491,BASE!$J:$J,$C491,BASE!$A:$A,M$2)</f>
        <v>0</v>
      </c>
      <c r="N491" s="12">
        <f>SUMIFS(BASE!$G:$G,BASE!$B:$B,$B491,BASE!$L:$L,$G491,BASE!$J:$J,$C491,BASE!$A:$A,N$2)</f>
        <v>0</v>
      </c>
      <c r="O491" s="12">
        <f>SUMIFS(BASE!$G:$G,BASE!$B:$B,$B491,BASE!$L:$L,$G491,BASE!$J:$J,$C491,BASE!$A:$A,O$2)</f>
        <v>0</v>
      </c>
      <c r="P491" s="12">
        <f>SUMIFS(BASE!$G:$G,BASE!$B:$B,$B491,BASE!$L:$L,$G491,BASE!$J:$J,$C491,BASE!$A:$A,P$2)</f>
        <v>0</v>
      </c>
      <c r="Q491" s="12">
        <f>SUMIFS(BASE!$G:$G,BASE!$B:$B,$B491,BASE!$L:$L,$G491,BASE!$J:$J,$C491,BASE!$A:$A,Q$2)</f>
        <v>0</v>
      </c>
      <c r="R491" s="12">
        <f>SUMIFS(BASE!$G:$G,BASE!$B:$B,$B491,BASE!$L:$L,$G491,BASE!$J:$J,$C491,BASE!$A:$A,R$2)</f>
        <v>0</v>
      </c>
      <c r="S491" s="12">
        <f>SUMIFS(BASE!$G:$G,BASE!$B:$B,$B491,BASE!$L:$L,$G491,BASE!$J:$J,$C491,BASE!$A:$A,S$2)</f>
        <v>0</v>
      </c>
      <c r="T491" s="12">
        <f>SUMIFS(BASE!$G:$G,BASE!$B:$B,$B491,BASE!$L:$L,$G491,BASE!$J:$J,$C491,BASE!$A:$A,T$2)</f>
        <v>0</v>
      </c>
      <c r="U491" s="12">
        <f>SUMIFS(BASE!$G:$G,BASE!$B:$B,$B491,BASE!$L:$L,$G491,BASE!$J:$J,$C491,BASE!$A:$A,U$2)</f>
        <v>0</v>
      </c>
      <c r="V491" s="12">
        <f>SUMIFS(BASE!$G:$G,BASE!$B:$B,$B491,BASE!$L:$L,$G491,BASE!$J:$J,$C491,BASE!$A:$A,V$2)</f>
        <v>0</v>
      </c>
      <c r="X491" t="str">
        <f t="shared" si="15"/>
        <v>ZERADO</v>
      </c>
    </row>
    <row r="492" spans="2:24">
      <c r="B492" s="8" t="s">
        <v>1137</v>
      </c>
      <c r="C492" s="9" t="s">
        <v>117</v>
      </c>
      <c r="D492" s="9" t="s">
        <v>1083</v>
      </c>
      <c r="E492" s="9" t="s">
        <v>1084</v>
      </c>
      <c r="F492" s="9" t="s">
        <v>1138</v>
      </c>
      <c r="G492" s="9" t="s">
        <v>62</v>
      </c>
      <c r="H492" s="7" t="str">
        <f>IFERROR(IF(_xlfn.XLOOKUP(B492,REPASSE!D:D,REPASSE!D:D)="","Não","Sim"),"Não")</f>
        <v>Não</v>
      </c>
      <c r="I492" s="7" t="str">
        <f>IF(_xlfn.XLOOKUP(B492,'BOOST LIBERADO'!B:B,'BOOST LIBERADO'!B:B,"Não")="Não","Não","Sim")</f>
        <v>Não</v>
      </c>
      <c r="J492" s="83" t="str">
        <f t="shared" si="14"/>
        <v>Não</v>
      </c>
      <c r="K492" s="12">
        <f>SUMIFS(BASE!$G:$G,BASE!$B:$B,$B492,BASE!$L:$L,$G492,BASE!$J:$J,$C492,BASE!$A:$A,K$2)</f>
        <v>0</v>
      </c>
      <c r="L492" s="12">
        <f>SUMIFS(BASE!$G:$G,BASE!$B:$B,$B492,BASE!$L:$L,$G492,BASE!$J:$J,$C492,BASE!$A:$A,L$2)</f>
        <v>0</v>
      </c>
      <c r="M492" s="12">
        <f>SUMIFS(BASE!$G:$G,BASE!$B:$B,$B492,BASE!$L:$L,$G492,BASE!$J:$J,$C492,BASE!$A:$A,M$2)</f>
        <v>0</v>
      </c>
      <c r="N492" s="12">
        <f>SUMIFS(BASE!$G:$G,BASE!$B:$B,$B492,BASE!$L:$L,$G492,BASE!$J:$J,$C492,BASE!$A:$A,N$2)</f>
        <v>0</v>
      </c>
      <c r="O492" s="12">
        <f>SUMIFS(BASE!$G:$G,BASE!$B:$B,$B492,BASE!$L:$L,$G492,BASE!$J:$J,$C492,BASE!$A:$A,O$2)</f>
        <v>0</v>
      </c>
      <c r="P492" s="12">
        <f>SUMIFS(BASE!$G:$G,BASE!$B:$B,$B492,BASE!$L:$L,$G492,BASE!$J:$J,$C492,BASE!$A:$A,P$2)</f>
        <v>0</v>
      </c>
      <c r="Q492" s="12">
        <f>SUMIFS(BASE!$G:$G,BASE!$B:$B,$B492,BASE!$L:$L,$G492,BASE!$J:$J,$C492,BASE!$A:$A,Q$2)</f>
        <v>0</v>
      </c>
      <c r="R492" s="12">
        <f>SUMIFS(BASE!$G:$G,BASE!$B:$B,$B492,BASE!$L:$L,$G492,BASE!$J:$J,$C492,BASE!$A:$A,R$2)</f>
        <v>0</v>
      </c>
      <c r="S492" s="12">
        <f>SUMIFS(BASE!$G:$G,BASE!$B:$B,$B492,BASE!$L:$L,$G492,BASE!$J:$J,$C492,BASE!$A:$A,S$2)</f>
        <v>0</v>
      </c>
      <c r="T492" s="12">
        <f>SUMIFS(BASE!$G:$G,BASE!$B:$B,$B492,BASE!$L:$L,$G492,BASE!$J:$J,$C492,BASE!$A:$A,T$2)</f>
        <v>0</v>
      </c>
      <c r="U492" s="12">
        <f>SUMIFS(BASE!$G:$G,BASE!$B:$B,$B492,BASE!$L:$L,$G492,BASE!$J:$J,$C492,BASE!$A:$A,U$2)</f>
        <v>0</v>
      </c>
      <c r="V492" s="12">
        <f>SUMIFS(BASE!$G:$G,BASE!$B:$B,$B492,BASE!$L:$L,$G492,BASE!$J:$J,$C492,BASE!$A:$A,V$2)</f>
        <v>0</v>
      </c>
      <c r="X492" t="str">
        <f t="shared" si="15"/>
        <v>ZERADO</v>
      </c>
    </row>
    <row r="493" spans="2:24">
      <c r="B493" s="8" t="s">
        <v>1139</v>
      </c>
      <c r="C493" s="9" t="s">
        <v>228</v>
      </c>
      <c r="D493" s="9" t="s">
        <v>1140</v>
      </c>
      <c r="E493" s="9" t="s">
        <v>1141</v>
      </c>
      <c r="F493" s="9" t="s">
        <v>1142</v>
      </c>
      <c r="G493" s="9" t="s">
        <v>55</v>
      </c>
      <c r="H493" s="7" t="str">
        <f>IFERROR(IF(_xlfn.XLOOKUP(B493,REPASSE!D:D,REPASSE!D:D)="","Não","Sim"),"Não")</f>
        <v>Não</v>
      </c>
      <c r="I493" s="7" t="str">
        <f>IF(_xlfn.XLOOKUP(B493,'BOOST LIBERADO'!B:B,'BOOST LIBERADO'!B:B,"Não")="Não","Não","Sim")</f>
        <v>Sim</v>
      </c>
      <c r="J493" s="83" t="str">
        <f t="shared" si="14"/>
        <v>Sim</v>
      </c>
      <c r="K493" s="12">
        <f>SUMIFS(BASE!$G:$G,BASE!$B:$B,$B493,BASE!$L:$L,$G493,BASE!$J:$J,$C493,BASE!$A:$A,K$2)</f>
        <v>15</v>
      </c>
      <c r="L493" s="12">
        <f>SUMIFS(BASE!$G:$G,BASE!$B:$B,$B493,BASE!$L:$L,$G493,BASE!$J:$J,$C493,BASE!$A:$A,L$2)</f>
        <v>16</v>
      </c>
      <c r="M493" s="12">
        <f>SUMIFS(BASE!$G:$G,BASE!$B:$B,$B493,BASE!$L:$L,$G493,BASE!$J:$J,$C493,BASE!$A:$A,M$2)</f>
        <v>29</v>
      </c>
      <c r="N493" s="12">
        <f>SUMIFS(BASE!$G:$G,BASE!$B:$B,$B493,BASE!$L:$L,$G493,BASE!$J:$J,$C493,BASE!$A:$A,N$2)</f>
        <v>31</v>
      </c>
      <c r="O493" s="12">
        <f>SUMIFS(BASE!$G:$G,BASE!$B:$B,$B493,BASE!$L:$L,$G493,BASE!$J:$J,$C493,BASE!$A:$A,O$2)</f>
        <v>30</v>
      </c>
      <c r="P493" s="12">
        <f>SUMIFS(BASE!$G:$G,BASE!$B:$B,$B493,BASE!$L:$L,$G493,BASE!$J:$J,$C493,BASE!$A:$A,P$2)</f>
        <v>25</v>
      </c>
      <c r="Q493" s="12">
        <f>SUMIFS(BASE!$G:$G,BASE!$B:$B,$B493,BASE!$L:$L,$G493,BASE!$J:$J,$C493,BASE!$A:$A,Q$2)</f>
        <v>42</v>
      </c>
      <c r="R493" s="12">
        <f>SUMIFS(BASE!$G:$G,BASE!$B:$B,$B493,BASE!$L:$L,$G493,BASE!$J:$J,$C493,BASE!$A:$A,R$2)</f>
        <v>31</v>
      </c>
      <c r="S493" s="12">
        <f>SUMIFS(BASE!$G:$G,BASE!$B:$B,$B493,BASE!$L:$L,$G493,BASE!$J:$J,$C493,BASE!$A:$A,S$2)</f>
        <v>0</v>
      </c>
      <c r="T493" s="12">
        <f>SUMIFS(BASE!$G:$G,BASE!$B:$B,$B493,BASE!$L:$L,$G493,BASE!$J:$J,$C493,BASE!$A:$A,T$2)</f>
        <v>0</v>
      </c>
      <c r="U493" s="12">
        <f>SUMIFS(BASE!$G:$G,BASE!$B:$B,$B493,BASE!$L:$L,$G493,BASE!$J:$J,$C493,BASE!$A:$A,U$2)</f>
        <v>0</v>
      </c>
      <c r="V493" s="12">
        <f>SUMIFS(BASE!$G:$G,BASE!$B:$B,$B493,BASE!$L:$L,$G493,BASE!$J:$J,$C493,BASE!$A:$A,V$2)</f>
        <v>0</v>
      </c>
      <c r="X493" t="str">
        <f t="shared" si="15"/>
        <v>COM TROCAS</v>
      </c>
    </row>
    <row r="494" spans="2:24">
      <c r="B494" s="8" t="s">
        <v>1143</v>
      </c>
      <c r="C494" s="9" t="s">
        <v>237</v>
      </c>
      <c r="D494" s="9" t="s">
        <v>1144</v>
      </c>
      <c r="E494" s="9" t="s">
        <v>1141</v>
      </c>
      <c r="F494" s="9" t="s">
        <v>1142</v>
      </c>
      <c r="G494" s="9" t="s">
        <v>55</v>
      </c>
      <c r="H494" s="7" t="str">
        <f>IFERROR(IF(_xlfn.XLOOKUP(B494,REPASSE!D:D,REPASSE!D:D)="","Não","Sim"),"Não")</f>
        <v>Não</v>
      </c>
      <c r="I494" s="7" t="str">
        <f>IF(_xlfn.XLOOKUP(B494,'BOOST LIBERADO'!B:B,'BOOST LIBERADO'!B:B,"Não")="Não","Não","Sim")</f>
        <v>Sim</v>
      </c>
      <c r="J494" s="83" t="str">
        <f t="shared" si="14"/>
        <v>Sim</v>
      </c>
      <c r="K494" s="12">
        <f>SUMIFS(BASE!$G:$G,BASE!$B:$B,$B494,BASE!$L:$L,$G494,BASE!$J:$J,$C494,BASE!$A:$A,K$2)</f>
        <v>0</v>
      </c>
      <c r="L494" s="12">
        <f>SUMIFS(BASE!$G:$G,BASE!$B:$B,$B494,BASE!$L:$L,$G494,BASE!$J:$J,$C494,BASE!$A:$A,L$2)</f>
        <v>1</v>
      </c>
      <c r="M494" s="12">
        <f>SUMIFS(BASE!$G:$G,BASE!$B:$B,$B494,BASE!$L:$L,$G494,BASE!$J:$J,$C494,BASE!$A:$A,M$2)</f>
        <v>5</v>
      </c>
      <c r="N494" s="12">
        <f>SUMIFS(BASE!$G:$G,BASE!$B:$B,$B494,BASE!$L:$L,$G494,BASE!$J:$J,$C494,BASE!$A:$A,N$2)</f>
        <v>9</v>
      </c>
      <c r="O494" s="12">
        <f>SUMIFS(BASE!$G:$G,BASE!$B:$B,$B494,BASE!$L:$L,$G494,BASE!$J:$J,$C494,BASE!$A:$A,O$2)</f>
        <v>12</v>
      </c>
      <c r="P494" s="12">
        <f>SUMIFS(BASE!$G:$G,BASE!$B:$B,$B494,BASE!$L:$L,$G494,BASE!$J:$J,$C494,BASE!$A:$A,P$2)</f>
        <v>4</v>
      </c>
      <c r="Q494" s="12">
        <f>SUMIFS(BASE!$G:$G,BASE!$B:$B,$B494,BASE!$L:$L,$G494,BASE!$J:$J,$C494,BASE!$A:$A,Q$2)</f>
        <v>9</v>
      </c>
      <c r="R494" s="12">
        <f>SUMIFS(BASE!$G:$G,BASE!$B:$B,$B494,BASE!$L:$L,$G494,BASE!$J:$J,$C494,BASE!$A:$A,R$2)</f>
        <v>19</v>
      </c>
      <c r="S494" s="12">
        <f>SUMIFS(BASE!$G:$G,BASE!$B:$B,$B494,BASE!$L:$L,$G494,BASE!$J:$J,$C494,BASE!$A:$A,S$2)</f>
        <v>0</v>
      </c>
      <c r="T494" s="12">
        <f>SUMIFS(BASE!$G:$G,BASE!$B:$B,$B494,BASE!$L:$L,$G494,BASE!$J:$J,$C494,BASE!$A:$A,T$2)</f>
        <v>0</v>
      </c>
      <c r="U494" s="12">
        <f>SUMIFS(BASE!$G:$G,BASE!$B:$B,$B494,BASE!$L:$L,$G494,BASE!$J:$J,$C494,BASE!$A:$A,U$2)</f>
        <v>0</v>
      </c>
      <c r="V494" s="12">
        <f>SUMIFS(BASE!$G:$G,BASE!$B:$B,$B494,BASE!$L:$L,$G494,BASE!$J:$J,$C494,BASE!$A:$A,V$2)</f>
        <v>0</v>
      </c>
      <c r="X494" t="str">
        <f t="shared" si="15"/>
        <v>COM TROCAS</v>
      </c>
    </row>
    <row r="495" spans="2:24">
      <c r="B495" s="8" t="s">
        <v>1145</v>
      </c>
      <c r="C495" s="9" t="s">
        <v>125</v>
      </c>
      <c r="D495" s="9" t="s">
        <v>1146</v>
      </c>
      <c r="E495" s="9" t="s">
        <v>1147</v>
      </c>
      <c r="F495" s="9" t="s">
        <v>1148</v>
      </c>
      <c r="G495" s="9" t="s">
        <v>55</v>
      </c>
      <c r="H495" s="7" t="str">
        <f>IFERROR(IF(_xlfn.XLOOKUP(B495,REPASSE!D:D,REPASSE!D:D)="","Não","Sim"),"Não")</f>
        <v>Não</v>
      </c>
      <c r="I495" s="7" t="str">
        <f>IF(_xlfn.XLOOKUP(B495,'BOOST LIBERADO'!B:B,'BOOST LIBERADO'!B:B,"Não")="Não","Não","Sim")</f>
        <v>Sim</v>
      </c>
      <c r="J495" s="83" t="str">
        <f t="shared" si="14"/>
        <v>Sim</v>
      </c>
      <c r="K495" s="12">
        <f>SUMIFS(BASE!$G:$G,BASE!$B:$B,$B495,BASE!$L:$L,$G495,BASE!$J:$J,$C495,BASE!$A:$A,K$2)</f>
        <v>0</v>
      </c>
      <c r="L495" s="12">
        <f>SUMIFS(BASE!$G:$G,BASE!$B:$B,$B495,BASE!$L:$L,$G495,BASE!$J:$J,$C495,BASE!$A:$A,L$2)</f>
        <v>0</v>
      </c>
      <c r="M495" s="12">
        <f>SUMIFS(BASE!$G:$G,BASE!$B:$B,$B495,BASE!$L:$L,$G495,BASE!$J:$J,$C495,BASE!$A:$A,M$2)</f>
        <v>0</v>
      </c>
      <c r="N495" s="12">
        <f>SUMIFS(BASE!$G:$G,BASE!$B:$B,$B495,BASE!$L:$L,$G495,BASE!$J:$J,$C495,BASE!$A:$A,N$2)</f>
        <v>0</v>
      </c>
      <c r="O495" s="12">
        <f>SUMIFS(BASE!$G:$G,BASE!$B:$B,$B495,BASE!$L:$L,$G495,BASE!$J:$J,$C495,BASE!$A:$A,O$2)</f>
        <v>0</v>
      </c>
      <c r="P495" s="12">
        <f>SUMIFS(BASE!$G:$G,BASE!$B:$B,$B495,BASE!$L:$L,$G495,BASE!$J:$J,$C495,BASE!$A:$A,P$2)</f>
        <v>0</v>
      </c>
      <c r="Q495" s="12">
        <f>SUMIFS(BASE!$G:$G,BASE!$B:$B,$B495,BASE!$L:$L,$G495,BASE!$J:$J,$C495,BASE!$A:$A,Q$2)</f>
        <v>0</v>
      </c>
      <c r="R495" s="12">
        <f>SUMIFS(BASE!$G:$G,BASE!$B:$B,$B495,BASE!$L:$L,$G495,BASE!$J:$J,$C495,BASE!$A:$A,R$2)</f>
        <v>0</v>
      </c>
      <c r="S495" s="12">
        <f>SUMIFS(BASE!$G:$G,BASE!$B:$B,$B495,BASE!$L:$L,$G495,BASE!$J:$J,$C495,BASE!$A:$A,S$2)</f>
        <v>0</v>
      </c>
      <c r="T495" s="12">
        <f>SUMIFS(BASE!$G:$G,BASE!$B:$B,$B495,BASE!$L:$L,$G495,BASE!$J:$J,$C495,BASE!$A:$A,T$2)</f>
        <v>0</v>
      </c>
      <c r="U495" s="12">
        <f>SUMIFS(BASE!$G:$G,BASE!$B:$B,$B495,BASE!$L:$L,$G495,BASE!$J:$J,$C495,BASE!$A:$A,U$2)</f>
        <v>0</v>
      </c>
      <c r="V495" s="12">
        <f>SUMIFS(BASE!$G:$G,BASE!$B:$B,$B495,BASE!$L:$L,$G495,BASE!$J:$J,$C495,BASE!$A:$A,V$2)</f>
        <v>0</v>
      </c>
      <c r="X495" t="str">
        <f t="shared" si="15"/>
        <v>ZERADO</v>
      </c>
    </row>
    <row r="496" spans="2:24">
      <c r="B496" s="8" t="s">
        <v>1149</v>
      </c>
      <c r="C496" s="9" t="s">
        <v>228</v>
      </c>
      <c r="D496" s="9" t="s">
        <v>1150</v>
      </c>
      <c r="E496" s="9" t="s">
        <v>1151</v>
      </c>
      <c r="F496" s="9" t="s">
        <v>1152</v>
      </c>
      <c r="G496" s="9" t="s">
        <v>55</v>
      </c>
      <c r="H496" s="7" t="str">
        <f>IFERROR(IF(_xlfn.XLOOKUP(B496,REPASSE!D:D,REPASSE!D:D)="","Não","Sim"),"Não")</f>
        <v>Não</v>
      </c>
      <c r="I496" s="7" t="str">
        <f>IF(_xlfn.XLOOKUP(B496,'BOOST LIBERADO'!B:B,'BOOST LIBERADO'!B:B,"Não")="Não","Não","Sim")</f>
        <v>Sim</v>
      </c>
      <c r="J496" s="83" t="str">
        <f t="shared" si="14"/>
        <v>Sim</v>
      </c>
      <c r="K496" s="12">
        <f>SUMIFS(BASE!$G:$G,BASE!$B:$B,$B496,BASE!$L:$L,$G496,BASE!$J:$J,$C496,BASE!$A:$A,K$2)</f>
        <v>8</v>
      </c>
      <c r="L496" s="12">
        <f>SUMIFS(BASE!$G:$G,BASE!$B:$B,$B496,BASE!$L:$L,$G496,BASE!$J:$J,$C496,BASE!$A:$A,L$2)</f>
        <v>11</v>
      </c>
      <c r="M496" s="12">
        <f>SUMIFS(BASE!$G:$G,BASE!$B:$B,$B496,BASE!$L:$L,$G496,BASE!$J:$J,$C496,BASE!$A:$A,M$2)</f>
        <v>19</v>
      </c>
      <c r="N496" s="12">
        <f>SUMIFS(BASE!$G:$G,BASE!$B:$B,$B496,BASE!$L:$L,$G496,BASE!$J:$J,$C496,BASE!$A:$A,N$2)</f>
        <v>16</v>
      </c>
      <c r="O496" s="12">
        <f>SUMIFS(BASE!$G:$G,BASE!$B:$B,$B496,BASE!$L:$L,$G496,BASE!$J:$J,$C496,BASE!$A:$A,O$2)</f>
        <v>11</v>
      </c>
      <c r="P496" s="12">
        <f>SUMIFS(BASE!$G:$G,BASE!$B:$B,$B496,BASE!$L:$L,$G496,BASE!$J:$J,$C496,BASE!$A:$A,P$2)</f>
        <v>29</v>
      </c>
      <c r="Q496" s="12">
        <f>SUMIFS(BASE!$G:$G,BASE!$B:$B,$B496,BASE!$L:$L,$G496,BASE!$J:$J,$C496,BASE!$A:$A,Q$2)</f>
        <v>24</v>
      </c>
      <c r="R496" s="12">
        <f>SUMIFS(BASE!$G:$G,BASE!$B:$B,$B496,BASE!$L:$L,$G496,BASE!$J:$J,$C496,BASE!$A:$A,R$2)</f>
        <v>14</v>
      </c>
      <c r="S496" s="12">
        <f>SUMIFS(BASE!$G:$G,BASE!$B:$B,$B496,BASE!$L:$L,$G496,BASE!$J:$J,$C496,BASE!$A:$A,S$2)</f>
        <v>0</v>
      </c>
      <c r="T496" s="12">
        <f>SUMIFS(BASE!$G:$G,BASE!$B:$B,$B496,BASE!$L:$L,$G496,BASE!$J:$J,$C496,BASE!$A:$A,T$2)</f>
        <v>0</v>
      </c>
      <c r="U496" s="12">
        <f>SUMIFS(BASE!$G:$G,BASE!$B:$B,$B496,BASE!$L:$L,$G496,BASE!$J:$J,$C496,BASE!$A:$A,U$2)</f>
        <v>0</v>
      </c>
      <c r="V496" s="12">
        <f>SUMIFS(BASE!$G:$G,BASE!$B:$B,$B496,BASE!$L:$L,$G496,BASE!$J:$J,$C496,BASE!$A:$A,V$2)</f>
        <v>0</v>
      </c>
      <c r="X496" t="str">
        <f t="shared" si="15"/>
        <v>COM TROCAS</v>
      </c>
    </row>
    <row r="497" spans="2:24">
      <c r="B497" s="8" t="s">
        <v>1153</v>
      </c>
      <c r="C497" s="9" t="s">
        <v>228</v>
      </c>
      <c r="D497" s="9" t="s">
        <v>1154</v>
      </c>
      <c r="E497" s="9" t="s">
        <v>1147</v>
      </c>
      <c r="F497" s="9" t="s">
        <v>1155</v>
      </c>
      <c r="G497" s="9" t="s">
        <v>55</v>
      </c>
      <c r="H497" s="7" t="str">
        <f>IFERROR(IF(_xlfn.XLOOKUP(B497,REPASSE!D:D,REPASSE!D:D)="","Não","Sim"),"Não")</f>
        <v>Não</v>
      </c>
      <c r="I497" s="7" t="str">
        <f>IF(_xlfn.XLOOKUP(B497,'BOOST LIBERADO'!B:B,'BOOST LIBERADO'!B:B,"Não")="Não","Não","Sim")</f>
        <v>Sim</v>
      </c>
      <c r="J497" s="83" t="str">
        <f t="shared" si="14"/>
        <v>Sim</v>
      </c>
      <c r="K497" s="12">
        <f>SUMIFS(BASE!$G:$G,BASE!$B:$B,$B497,BASE!$L:$L,$G497,BASE!$J:$J,$C497,BASE!$A:$A,K$2)</f>
        <v>9</v>
      </c>
      <c r="L497" s="12">
        <f>SUMIFS(BASE!$G:$G,BASE!$B:$B,$B497,BASE!$L:$L,$G497,BASE!$J:$J,$C497,BASE!$A:$A,L$2)</f>
        <v>8</v>
      </c>
      <c r="M497" s="12">
        <f>SUMIFS(BASE!$G:$G,BASE!$B:$B,$B497,BASE!$L:$L,$G497,BASE!$J:$J,$C497,BASE!$A:$A,M$2)</f>
        <v>9</v>
      </c>
      <c r="N497" s="12">
        <f>SUMIFS(BASE!$G:$G,BASE!$B:$B,$B497,BASE!$L:$L,$G497,BASE!$J:$J,$C497,BASE!$A:$A,N$2)</f>
        <v>10</v>
      </c>
      <c r="O497" s="12">
        <f>SUMIFS(BASE!$G:$G,BASE!$B:$B,$B497,BASE!$L:$L,$G497,BASE!$J:$J,$C497,BASE!$A:$A,O$2)</f>
        <v>4</v>
      </c>
      <c r="P497" s="12">
        <f>SUMIFS(BASE!$G:$G,BASE!$B:$B,$B497,BASE!$L:$L,$G497,BASE!$J:$J,$C497,BASE!$A:$A,P$2)</f>
        <v>7</v>
      </c>
      <c r="Q497" s="12">
        <f>SUMIFS(BASE!$G:$G,BASE!$B:$B,$B497,BASE!$L:$L,$G497,BASE!$J:$J,$C497,BASE!$A:$A,Q$2)</f>
        <v>15</v>
      </c>
      <c r="R497" s="12">
        <f>SUMIFS(BASE!$G:$G,BASE!$B:$B,$B497,BASE!$L:$L,$G497,BASE!$J:$J,$C497,BASE!$A:$A,R$2)</f>
        <v>11</v>
      </c>
      <c r="S497" s="12">
        <f>SUMIFS(BASE!$G:$G,BASE!$B:$B,$B497,BASE!$L:$L,$G497,BASE!$J:$J,$C497,BASE!$A:$A,S$2)</f>
        <v>0</v>
      </c>
      <c r="T497" s="12">
        <f>SUMIFS(BASE!$G:$G,BASE!$B:$B,$B497,BASE!$L:$L,$G497,BASE!$J:$J,$C497,BASE!$A:$A,T$2)</f>
        <v>0</v>
      </c>
      <c r="U497" s="12">
        <f>SUMIFS(BASE!$G:$G,BASE!$B:$B,$B497,BASE!$L:$L,$G497,BASE!$J:$J,$C497,BASE!$A:$A,U$2)</f>
        <v>0</v>
      </c>
      <c r="V497" s="12">
        <f>SUMIFS(BASE!$G:$G,BASE!$B:$B,$B497,BASE!$L:$L,$G497,BASE!$J:$J,$C497,BASE!$A:$A,V$2)</f>
        <v>0</v>
      </c>
      <c r="X497" t="str">
        <f t="shared" si="15"/>
        <v>COM TROCAS</v>
      </c>
    </row>
    <row r="498" spans="2:24">
      <c r="B498" s="8" t="s">
        <v>1156</v>
      </c>
      <c r="C498" s="9" t="s">
        <v>125</v>
      </c>
      <c r="D498" s="9" t="s">
        <v>1146</v>
      </c>
      <c r="E498" s="9" t="s">
        <v>1147</v>
      </c>
      <c r="F498" s="9" t="s">
        <v>1157</v>
      </c>
      <c r="G498" s="9" t="s">
        <v>55</v>
      </c>
      <c r="H498" s="7" t="str">
        <f>IFERROR(IF(_xlfn.XLOOKUP(B498,REPASSE!D:D,REPASSE!D:D)="","Não","Sim"),"Não")</f>
        <v>Não</v>
      </c>
      <c r="I498" s="7" t="str">
        <f>IF(_xlfn.XLOOKUP(B498,'BOOST LIBERADO'!B:B,'BOOST LIBERADO'!B:B,"Não")="Não","Não","Sim")</f>
        <v>Sim</v>
      </c>
      <c r="J498" s="83" t="str">
        <f t="shared" si="14"/>
        <v>Sim</v>
      </c>
      <c r="K498" s="12">
        <f>SUMIFS(BASE!$G:$G,BASE!$B:$B,$B498,BASE!$L:$L,$G498,BASE!$J:$J,$C498,BASE!$A:$A,K$2)</f>
        <v>0</v>
      </c>
      <c r="L498" s="12">
        <f>SUMIFS(BASE!$G:$G,BASE!$B:$B,$B498,BASE!$L:$L,$G498,BASE!$J:$J,$C498,BASE!$A:$A,L$2)</f>
        <v>0</v>
      </c>
      <c r="M498" s="12">
        <f>SUMIFS(BASE!$G:$G,BASE!$B:$B,$B498,BASE!$L:$L,$G498,BASE!$J:$J,$C498,BASE!$A:$A,M$2)</f>
        <v>0</v>
      </c>
      <c r="N498" s="12">
        <f>SUMIFS(BASE!$G:$G,BASE!$B:$B,$B498,BASE!$L:$L,$G498,BASE!$J:$J,$C498,BASE!$A:$A,N$2)</f>
        <v>0</v>
      </c>
      <c r="O498" s="12">
        <f>SUMIFS(BASE!$G:$G,BASE!$B:$B,$B498,BASE!$L:$L,$G498,BASE!$J:$J,$C498,BASE!$A:$A,O$2)</f>
        <v>0</v>
      </c>
      <c r="P498" s="12">
        <f>SUMIFS(BASE!$G:$G,BASE!$B:$B,$B498,BASE!$L:$L,$G498,BASE!$J:$J,$C498,BASE!$A:$A,P$2)</f>
        <v>0</v>
      </c>
      <c r="Q498" s="12">
        <f>SUMIFS(BASE!$G:$G,BASE!$B:$B,$B498,BASE!$L:$L,$G498,BASE!$J:$J,$C498,BASE!$A:$A,Q$2)</f>
        <v>0</v>
      </c>
      <c r="R498" s="12">
        <f>SUMIFS(BASE!$G:$G,BASE!$B:$B,$B498,BASE!$L:$L,$G498,BASE!$J:$J,$C498,BASE!$A:$A,R$2)</f>
        <v>0</v>
      </c>
      <c r="S498" s="12">
        <f>SUMIFS(BASE!$G:$G,BASE!$B:$B,$B498,BASE!$L:$L,$G498,BASE!$J:$J,$C498,BASE!$A:$A,S$2)</f>
        <v>0</v>
      </c>
      <c r="T498" s="12">
        <f>SUMIFS(BASE!$G:$G,BASE!$B:$B,$B498,BASE!$L:$L,$G498,BASE!$J:$J,$C498,BASE!$A:$A,T$2)</f>
        <v>0</v>
      </c>
      <c r="U498" s="12">
        <f>SUMIFS(BASE!$G:$G,BASE!$B:$B,$B498,BASE!$L:$L,$G498,BASE!$J:$J,$C498,BASE!$A:$A,U$2)</f>
        <v>0</v>
      </c>
      <c r="V498" s="12">
        <f>SUMIFS(BASE!$G:$G,BASE!$B:$B,$B498,BASE!$L:$L,$G498,BASE!$J:$J,$C498,BASE!$A:$A,V$2)</f>
        <v>0</v>
      </c>
      <c r="X498" t="str">
        <f t="shared" si="15"/>
        <v>ZERADO</v>
      </c>
    </row>
    <row r="499" spans="2:24">
      <c r="B499" s="8" t="s">
        <v>1158</v>
      </c>
      <c r="C499" s="9" t="s">
        <v>237</v>
      </c>
      <c r="D499" s="9" t="s">
        <v>1150</v>
      </c>
      <c r="E499" s="9" t="s">
        <v>1151</v>
      </c>
      <c r="F499" s="9" t="s">
        <v>1159</v>
      </c>
      <c r="G499" s="9" t="s">
        <v>55</v>
      </c>
      <c r="H499" s="7" t="str">
        <f>IFERROR(IF(_xlfn.XLOOKUP(B499,REPASSE!D:D,REPASSE!D:D)="","Não","Sim"),"Não")</f>
        <v>Não</v>
      </c>
      <c r="I499" s="7" t="str">
        <f>IF(_xlfn.XLOOKUP(B499,'BOOST LIBERADO'!B:B,'BOOST LIBERADO'!B:B,"Não")="Não","Não","Sim")</f>
        <v>Sim</v>
      </c>
      <c r="J499" s="83" t="str">
        <f t="shared" si="14"/>
        <v>Sim</v>
      </c>
      <c r="K499" s="12">
        <f>SUMIFS(BASE!$G:$G,BASE!$B:$B,$B499,BASE!$L:$L,$G499,BASE!$J:$J,$C499,BASE!$A:$A,K$2)</f>
        <v>0</v>
      </c>
      <c r="L499" s="12">
        <f>SUMIFS(BASE!$G:$G,BASE!$B:$B,$B499,BASE!$L:$L,$G499,BASE!$J:$J,$C499,BASE!$A:$A,L$2)</f>
        <v>0</v>
      </c>
      <c r="M499" s="12">
        <f>SUMIFS(BASE!$G:$G,BASE!$B:$B,$B499,BASE!$L:$L,$G499,BASE!$J:$J,$C499,BASE!$A:$A,M$2)</f>
        <v>0</v>
      </c>
      <c r="N499" s="12">
        <f>SUMIFS(BASE!$G:$G,BASE!$B:$B,$B499,BASE!$L:$L,$G499,BASE!$J:$J,$C499,BASE!$A:$A,N$2)</f>
        <v>0</v>
      </c>
      <c r="O499" s="12">
        <f>SUMIFS(BASE!$G:$G,BASE!$B:$B,$B499,BASE!$L:$L,$G499,BASE!$J:$J,$C499,BASE!$A:$A,O$2)</f>
        <v>0</v>
      </c>
      <c r="P499" s="12">
        <f>SUMIFS(BASE!$G:$G,BASE!$B:$B,$B499,BASE!$L:$L,$G499,BASE!$J:$J,$C499,BASE!$A:$A,P$2)</f>
        <v>0</v>
      </c>
      <c r="Q499" s="12">
        <f>SUMIFS(BASE!$G:$G,BASE!$B:$B,$B499,BASE!$L:$L,$G499,BASE!$J:$J,$C499,BASE!$A:$A,Q$2)</f>
        <v>0</v>
      </c>
      <c r="R499" s="12">
        <f>SUMIFS(BASE!$G:$G,BASE!$B:$B,$B499,BASE!$L:$L,$G499,BASE!$J:$J,$C499,BASE!$A:$A,R$2)</f>
        <v>0</v>
      </c>
      <c r="S499" s="12">
        <f>SUMIFS(BASE!$G:$G,BASE!$B:$B,$B499,BASE!$L:$L,$G499,BASE!$J:$J,$C499,BASE!$A:$A,S$2)</f>
        <v>0</v>
      </c>
      <c r="T499" s="12">
        <f>SUMIFS(BASE!$G:$G,BASE!$B:$B,$B499,BASE!$L:$L,$G499,BASE!$J:$J,$C499,BASE!$A:$A,T$2)</f>
        <v>0</v>
      </c>
      <c r="U499" s="12">
        <f>SUMIFS(BASE!$G:$G,BASE!$B:$B,$B499,BASE!$L:$L,$G499,BASE!$J:$J,$C499,BASE!$A:$A,U$2)</f>
        <v>0</v>
      </c>
      <c r="V499" s="12">
        <f>SUMIFS(BASE!$G:$G,BASE!$B:$B,$B499,BASE!$L:$L,$G499,BASE!$J:$J,$C499,BASE!$A:$A,V$2)</f>
        <v>0</v>
      </c>
      <c r="X499" t="str">
        <f t="shared" si="15"/>
        <v>ZERADO</v>
      </c>
    </row>
    <row r="500" spans="2:24">
      <c r="B500" s="8" t="s">
        <v>1160</v>
      </c>
      <c r="C500" s="9" t="s">
        <v>138</v>
      </c>
      <c r="D500" s="9" t="s">
        <v>1154</v>
      </c>
      <c r="E500" s="9" t="s">
        <v>1147</v>
      </c>
      <c r="F500" s="9" t="s">
        <v>1161</v>
      </c>
      <c r="G500" s="9" t="s">
        <v>55</v>
      </c>
      <c r="H500" s="7" t="str">
        <f>IFERROR(IF(_xlfn.XLOOKUP(B500,REPASSE!D:D,REPASSE!D:D)="","Não","Sim"),"Não")</f>
        <v>Não</v>
      </c>
      <c r="I500" s="7" t="str">
        <f>IF(_xlfn.XLOOKUP(B500,'BOOST LIBERADO'!B:B,'BOOST LIBERADO'!B:B,"Não")="Não","Não","Sim")</f>
        <v>Sim</v>
      </c>
      <c r="J500" s="83" t="str">
        <f t="shared" si="14"/>
        <v>Sim</v>
      </c>
      <c r="K500" s="12">
        <f>SUMIFS(BASE!$G:$G,BASE!$B:$B,$B500,BASE!$L:$L,$G500,BASE!$J:$J,$C500,BASE!$A:$A,K$2)</f>
        <v>0</v>
      </c>
      <c r="L500" s="12">
        <f>SUMIFS(BASE!$G:$G,BASE!$B:$B,$B500,BASE!$L:$L,$G500,BASE!$J:$J,$C500,BASE!$A:$A,L$2)</f>
        <v>0</v>
      </c>
      <c r="M500" s="12">
        <f>SUMIFS(BASE!$G:$G,BASE!$B:$B,$B500,BASE!$L:$L,$G500,BASE!$J:$J,$C500,BASE!$A:$A,M$2)</f>
        <v>0</v>
      </c>
      <c r="N500" s="12">
        <f>SUMIFS(BASE!$G:$G,BASE!$B:$B,$B500,BASE!$L:$L,$G500,BASE!$J:$J,$C500,BASE!$A:$A,N$2)</f>
        <v>0</v>
      </c>
      <c r="O500" s="12">
        <f>SUMIFS(BASE!$G:$G,BASE!$B:$B,$B500,BASE!$L:$L,$G500,BASE!$J:$J,$C500,BASE!$A:$A,O$2)</f>
        <v>0</v>
      </c>
      <c r="P500" s="12">
        <f>SUMIFS(BASE!$G:$G,BASE!$B:$B,$B500,BASE!$L:$L,$G500,BASE!$J:$J,$C500,BASE!$A:$A,P$2)</f>
        <v>0</v>
      </c>
      <c r="Q500" s="12">
        <f>SUMIFS(BASE!$G:$G,BASE!$B:$B,$B500,BASE!$L:$L,$G500,BASE!$J:$J,$C500,BASE!$A:$A,Q$2)</f>
        <v>0</v>
      </c>
      <c r="R500" s="12">
        <f>SUMIFS(BASE!$G:$G,BASE!$B:$B,$B500,BASE!$L:$L,$G500,BASE!$J:$J,$C500,BASE!$A:$A,R$2)</f>
        <v>0</v>
      </c>
      <c r="S500" s="12">
        <f>SUMIFS(BASE!$G:$G,BASE!$B:$B,$B500,BASE!$L:$L,$G500,BASE!$J:$J,$C500,BASE!$A:$A,S$2)</f>
        <v>0</v>
      </c>
      <c r="T500" s="12">
        <f>SUMIFS(BASE!$G:$G,BASE!$B:$B,$B500,BASE!$L:$L,$G500,BASE!$J:$J,$C500,BASE!$A:$A,T$2)</f>
        <v>0</v>
      </c>
      <c r="U500" s="12">
        <f>SUMIFS(BASE!$G:$G,BASE!$B:$B,$B500,BASE!$L:$L,$G500,BASE!$J:$J,$C500,BASE!$A:$A,U$2)</f>
        <v>0</v>
      </c>
      <c r="V500" s="12">
        <f>SUMIFS(BASE!$G:$G,BASE!$B:$B,$B500,BASE!$L:$L,$G500,BASE!$J:$J,$C500,BASE!$A:$A,V$2)</f>
        <v>0</v>
      </c>
      <c r="X500" t="str">
        <f t="shared" si="15"/>
        <v>ZERADO</v>
      </c>
    </row>
    <row r="501" spans="2:24">
      <c r="B501" s="8" t="s">
        <v>1162</v>
      </c>
      <c r="C501" s="9" t="s">
        <v>237</v>
      </c>
      <c r="D501" s="9" t="s">
        <v>1163</v>
      </c>
      <c r="E501" s="9" t="s">
        <v>1141</v>
      </c>
      <c r="F501" s="9" t="s">
        <v>1142</v>
      </c>
      <c r="G501" s="9" t="s">
        <v>55</v>
      </c>
      <c r="H501" s="7" t="str">
        <f>IFERROR(IF(_xlfn.XLOOKUP(B501,REPASSE!D:D,REPASSE!D:D)="","Não","Sim"),"Não")</f>
        <v>Não</v>
      </c>
      <c r="I501" s="7" t="str">
        <f>IF(_xlfn.XLOOKUP(B501,'BOOST LIBERADO'!B:B,'BOOST LIBERADO'!B:B,"Não")="Não","Não","Sim")</f>
        <v>Sim</v>
      </c>
      <c r="J501" s="83" t="str">
        <f t="shared" si="14"/>
        <v>Sim</v>
      </c>
      <c r="K501" s="12">
        <f>SUMIFS(BASE!$G:$G,BASE!$B:$B,$B501,BASE!$L:$L,$G501,BASE!$J:$J,$C501,BASE!$A:$A,K$2)</f>
        <v>0</v>
      </c>
      <c r="L501" s="12">
        <f>SUMIFS(BASE!$G:$G,BASE!$B:$B,$B501,BASE!$L:$L,$G501,BASE!$J:$J,$C501,BASE!$A:$A,L$2)</f>
        <v>0</v>
      </c>
      <c r="M501" s="12">
        <f>SUMIFS(BASE!$G:$G,BASE!$B:$B,$B501,BASE!$L:$L,$G501,BASE!$J:$J,$C501,BASE!$A:$A,M$2)</f>
        <v>0</v>
      </c>
      <c r="N501" s="12">
        <f>SUMIFS(BASE!$G:$G,BASE!$B:$B,$B501,BASE!$L:$L,$G501,BASE!$J:$J,$C501,BASE!$A:$A,N$2)</f>
        <v>0</v>
      </c>
      <c r="O501" s="12">
        <f>SUMIFS(BASE!$G:$G,BASE!$B:$B,$B501,BASE!$L:$L,$G501,BASE!$J:$J,$C501,BASE!$A:$A,O$2)</f>
        <v>0</v>
      </c>
      <c r="P501" s="12">
        <f>SUMIFS(BASE!$G:$G,BASE!$B:$B,$B501,BASE!$L:$L,$G501,BASE!$J:$J,$C501,BASE!$A:$A,P$2)</f>
        <v>0</v>
      </c>
      <c r="Q501" s="12">
        <f>SUMIFS(BASE!$G:$G,BASE!$B:$B,$B501,BASE!$L:$L,$G501,BASE!$J:$J,$C501,BASE!$A:$A,Q$2)</f>
        <v>0</v>
      </c>
      <c r="R501" s="12">
        <f>SUMIFS(BASE!$G:$G,BASE!$B:$B,$B501,BASE!$L:$L,$G501,BASE!$J:$J,$C501,BASE!$A:$A,R$2)</f>
        <v>6</v>
      </c>
      <c r="S501" s="12">
        <f>SUMIFS(BASE!$G:$G,BASE!$B:$B,$B501,BASE!$L:$L,$G501,BASE!$J:$J,$C501,BASE!$A:$A,S$2)</f>
        <v>0</v>
      </c>
      <c r="T501" s="12">
        <f>SUMIFS(BASE!$G:$G,BASE!$B:$B,$B501,BASE!$L:$L,$G501,BASE!$J:$J,$C501,BASE!$A:$A,T$2)</f>
        <v>0</v>
      </c>
      <c r="U501" s="12">
        <f>SUMIFS(BASE!$G:$G,BASE!$B:$B,$B501,BASE!$L:$L,$G501,BASE!$J:$J,$C501,BASE!$A:$A,U$2)</f>
        <v>0</v>
      </c>
      <c r="V501" s="12">
        <f>SUMIFS(BASE!$G:$G,BASE!$B:$B,$B501,BASE!$L:$L,$G501,BASE!$J:$J,$C501,BASE!$A:$A,V$2)</f>
        <v>0</v>
      </c>
      <c r="X501" t="str">
        <f t="shared" si="15"/>
        <v>COM TROCAS</v>
      </c>
    </row>
    <row r="502" spans="2:24">
      <c r="B502" s="8" t="s">
        <v>1164</v>
      </c>
      <c r="C502" s="9" t="s">
        <v>237</v>
      </c>
      <c r="D502" s="9" t="s">
        <v>1144</v>
      </c>
      <c r="E502" s="9" t="s">
        <v>1141</v>
      </c>
      <c r="F502" s="9" t="s">
        <v>1142</v>
      </c>
      <c r="G502" s="9" t="s">
        <v>55</v>
      </c>
      <c r="H502" s="7" t="str">
        <f>IFERROR(IF(_xlfn.XLOOKUP(B502,REPASSE!D:D,REPASSE!D:D)="","Não","Sim"),"Não")</f>
        <v>Não</v>
      </c>
      <c r="I502" s="7" t="str">
        <f>IF(_xlfn.XLOOKUP(B502,'BOOST LIBERADO'!B:B,'BOOST LIBERADO'!B:B,"Não")="Não","Não","Sim")</f>
        <v>Sim</v>
      </c>
      <c r="J502" s="83" t="str">
        <f t="shared" si="14"/>
        <v>Sim</v>
      </c>
      <c r="K502" s="12">
        <f>SUMIFS(BASE!$G:$G,BASE!$B:$B,$B502,BASE!$L:$L,$G502,BASE!$J:$J,$C502,BASE!$A:$A,K$2)</f>
        <v>3</v>
      </c>
      <c r="L502" s="12">
        <f>SUMIFS(BASE!$G:$G,BASE!$B:$B,$B502,BASE!$L:$L,$G502,BASE!$J:$J,$C502,BASE!$A:$A,L$2)</f>
        <v>7</v>
      </c>
      <c r="M502" s="12">
        <f>SUMIFS(BASE!$G:$G,BASE!$B:$B,$B502,BASE!$L:$L,$G502,BASE!$J:$J,$C502,BASE!$A:$A,M$2)</f>
        <v>9</v>
      </c>
      <c r="N502" s="12">
        <f>SUMIFS(BASE!$G:$G,BASE!$B:$B,$B502,BASE!$L:$L,$G502,BASE!$J:$J,$C502,BASE!$A:$A,N$2)</f>
        <v>5</v>
      </c>
      <c r="O502" s="12">
        <f>SUMIFS(BASE!$G:$G,BASE!$B:$B,$B502,BASE!$L:$L,$G502,BASE!$J:$J,$C502,BASE!$A:$A,O$2)</f>
        <v>2</v>
      </c>
      <c r="P502" s="12">
        <f>SUMIFS(BASE!$G:$G,BASE!$B:$B,$B502,BASE!$L:$L,$G502,BASE!$J:$J,$C502,BASE!$A:$A,P$2)</f>
        <v>0</v>
      </c>
      <c r="Q502" s="12">
        <f>SUMIFS(BASE!$G:$G,BASE!$B:$B,$B502,BASE!$L:$L,$G502,BASE!$J:$J,$C502,BASE!$A:$A,Q$2)</f>
        <v>13</v>
      </c>
      <c r="R502" s="12">
        <f>SUMIFS(BASE!$G:$G,BASE!$B:$B,$B502,BASE!$L:$L,$G502,BASE!$J:$J,$C502,BASE!$A:$A,R$2)</f>
        <v>28</v>
      </c>
      <c r="S502" s="12">
        <f>SUMIFS(BASE!$G:$G,BASE!$B:$B,$B502,BASE!$L:$L,$G502,BASE!$J:$J,$C502,BASE!$A:$A,S$2)</f>
        <v>0</v>
      </c>
      <c r="T502" s="12">
        <f>SUMIFS(BASE!$G:$G,BASE!$B:$B,$B502,BASE!$L:$L,$G502,BASE!$J:$J,$C502,BASE!$A:$A,T$2)</f>
        <v>0</v>
      </c>
      <c r="U502" s="12">
        <f>SUMIFS(BASE!$G:$G,BASE!$B:$B,$B502,BASE!$L:$L,$G502,BASE!$J:$J,$C502,BASE!$A:$A,U$2)</f>
        <v>0</v>
      </c>
      <c r="V502" s="12">
        <f>SUMIFS(BASE!$G:$G,BASE!$B:$B,$B502,BASE!$L:$L,$G502,BASE!$J:$J,$C502,BASE!$A:$A,V$2)</f>
        <v>0</v>
      </c>
      <c r="X502" t="str">
        <f t="shared" si="15"/>
        <v>COM TROCAS</v>
      </c>
    </row>
    <row r="503" spans="2:24">
      <c r="B503" s="8" t="s">
        <v>1165</v>
      </c>
      <c r="C503" s="9" t="s">
        <v>237</v>
      </c>
      <c r="D503" s="9" t="s">
        <v>1140</v>
      </c>
      <c r="E503" s="9" t="s">
        <v>1141</v>
      </c>
      <c r="F503" s="9" t="s">
        <v>1142</v>
      </c>
      <c r="G503" s="9" t="s">
        <v>55</v>
      </c>
      <c r="H503" s="7" t="str">
        <f>IFERROR(IF(_xlfn.XLOOKUP(B503,REPASSE!D:D,REPASSE!D:D)="","Não","Sim"),"Não")</f>
        <v>Não</v>
      </c>
      <c r="I503" s="7" t="str">
        <f>IF(_xlfn.XLOOKUP(B503,'BOOST LIBERADO'!B:B,'BOOST LIBERADO'!B:B,"Não")="Não","Não","Sim")</f>
        <v>Sim</v>
      </c>
      <c r="J503" s="83" t="str">
        <f t="shared" si="14"/>
        <v>Sim</v>
      </c>
      <c r="K503" s="12">
        <f>SUMIFS(BASE!$G:$G,BASE!$B:$B,$B503,BASE!$L:$L,$G503,BASE!$J:$J,$C503,BASE!$A:$A,K$2)</f>
        <v>0</v>
      </c>
      <c r="L503" s="12">
        <f>SUMIFS(BASE!$G:$G,BASE!$B:$B,$B503,BASE!$L:$L,$G503,BASE!$J:$J,$C503,BASE!$A:$A,L$2)</f>
        <v>0</v>
      </c>
      <c r="M503" s="12">
        <f>SUMIFS(BASE!$G:$G,BASE!$B:$B,$B503,BASE!$L:$L,$G503,BASE!$J:$J,$C503,BASE!$A:$A,M$2)</f>
        <v>0</v>
      </c>
      <c r="N503" s="12">
        <f>SUMIFS(BASE!$G:$G,BASE!$B:$B,$B503,BASE!$L:$L,$G503,BASE!$J:$J,$C503,BASE!$A:$A,N$2)</f>
        <v>0</v>
      </c>
      <c r="O503" s="12">
        <f>SUMIFS(BASE!$G:$G,BASE!$B:$B,$B503,BASE!$L:$L,$G503,BASE!$J:$J,$C503,BASE!$A:$A,O$2)</f>
        <v>1</v>
      </c>
      <c r="P503" s="12">
        <f>SUMIFS(BASE!$G:$G,BASE!$B:$B,$B503,BASE!$L:$L,$G503,BASE!$J:$J,$C503,BASE!$A:$A,P$2)</f>
        <v>0</v>
      </c>
      <c r="Q503" s="12">
        <f>SUMIFS(BASE!$G:$G,BASE!$B:$B,$B503,BASE!$L:$L,$G503,BASE!$J:$J,$C503,BASE!$A:$A,Q$2)</f>
        <v>0</v>
      </c>
      <c r="R503" s="12">
        <f>SUMIFS(BASE!$G:$G,BASE!$B:$B,$B503,BASE!$L:$L,$G503,BASE!$J:$J,$C503,BASE!$A:$A,R$2)</f>
        <v>8</v>
      </c>
      <c r="S503" s="12">
        <f>SUMIFS(BASE!$G:$G,BASE!$B:$B,$B503,BASE!$L:$L,$G503,BASE!$J:$J,$C503,BASE!$A:$A,S$2)</f>
        <v>0</v>
      </c>
      <c r="T503" s="12">
        <f>SUMIFS(BASE!$G:$G,BASE!$B:$B,$B503,BASE!$L:$L,$G503,BASE!$J:$J,$C503,BASE!$A:$A,T$2)</f>
        <v>0</v>
      </c>
      <c r="U503" s="12">
        <f>SUMIFS(BASE!$G:$G,BASE!$B:$B,$B503,BASE!$L:$L,$G503,BASE!$J:$J,$C503,BASE!$A:$A,U$2)</f>
        <v>0</v>
      </c>
      <c r="V503" s="12">
        <f>SUMIFS(BASE!$G:$G,BASE!$B:$B,$B503,BASE!$L:$L,$G503,BASE!$J:$J,$C503,BASE!$A:$A,V$2)</f>
        <v>0</v>
      </c>
      <c r="X503" t="str">
        <f t="shared" si="15"/>
        <v>COM TROCAS</v>
      </c>
    </row>
    <row r="504" spans="2:24">
      <c r="B504" s="8" t="s">
        <v>1166</v>
      </c>
      <c r="C504" s="9" t="s">
        <v>237</v>
      </c>
      <c r="D504" s="9" t="s">
        <v>1140</v>
      </c>
      <c r="E504" s="9" t="s">
        <v>1141</v>
      </c>
      <c r="F504" s="9" t="s">
        <v>1142</v>
      </c>
      <c r="G504" s="9" t="s">
        <v>55</v>
      </c>
      <c r="H504" s="7" t="str">
        <f>IFERROR(IF(_xlfn.XLOOKUP(B504,REPASSE!D:D,REPASSE!D:D)="","Não","Sim"),"Não")</f>
        <v>Não</v>
      </c>
      <c r="I504" s="7" t="str">
        <f>IF(_xlfn.XLOOKUP(B504,'BOOST LIBERADO'!B:B,'BOOST LIBERADO'!B:B,"Não")="Não","Não","Sim")</f>
        <v>Sim</v>
      </c>
      <c r="J504" s="83" t="str">
        <f t="shared" si="14"/>
        <v>Sim</v>
      </c>
      <c r="K504" s="12">
        <f>SUMIFS(BASE!$G:$G,BASE!$B:$B,$B504,BASE!$L:$L,$G504,BASE!$J:$J,$C504,BASE!$A:$A,K$2)</f>
        <v>0</v>
      </c>
      <c r="L504" s="12">
        <f>SUMIFS(BASE!$G:$G,BASE!$B:$B,$B504,BASE!$L:$L,$G504,BASE!$J:$J,$C504,BASE!$A:$A,L$2)</f>
        <v>0</v>
      </c>
      <c r="M504" s="12">
        <f>SUMIFS(BASE!$G:$G,BASE!$B:$B,$B504,BASE!$L:$L,$G504,BASE!$J:$J,$C504,BASE!$A:$A,M$2)</f>
        <v>1</v>
      </c>
      <c r="N504" s="12">
        <f>SUMIFS(BASE!$G:$G,BASE!$B:$B,$B504,BASE!$L:$L,$G504,BASE!$J:$J,$C504,BASE!$A:$A,N$2)</f>
        <v>0</v>
      </c>
      <c r="O504" s="12">
        <f>SUMIFS(BASE!$G:$G,BASE!$B:$B,$B504,BASE!$L:$L,$G504,BASE!$J:$J,$C504,BASE!$A:$A,O$2)</f>
        <v>0</v>
      </c>
      <c r="P504" s="12">
        <f>SUMIFS(BASE!$G:$G,BASE!$B:$B,$B504,BASE!$L:$L,$G504,BASE!$J:$J,$C504,BASE!$A:$A,P$2)</f>
        <v>0</v>
      </c>
      <c r="Q504" s="12">
        <f>SUMIFS(BASE!$G:$G,BASE!$B:$B,$B504,BASE!$L:$L,$G504,BASE!$J:$J,$C504,BASE!$A:$A,Q$2)</f>
        <v>1</v>
      </c>
      <c r="R504" s="12">
        <f>SUMIFS(BASE!$G:$G,BASE!$B:$B,$B504,BASE!$L:$L,$G504,BASE!$J:$J,$C504,BASE!$A:$A,R$2)</f>
        <v>5</v>
      </c>
      <c r="S504" s="12">
        <f>SUMIFS(BASE!$G:$G,BASE!$B:$B,$B504,BASE!$L:$L,$G504,BASE!$J:$J,$C504,BASE!$A:$A,S$2)</f>
        <v>0</v>
      </c>
      <c r="T504" s="12">
        <f>SUMIFS(BASE!$G:$G,BASE!$B:$B,$B504,BASE!$L:$L,$G504,BASE!$J:$J,$C504,BASE!$A:$A,T$2)</f>
        <v>0</v>
      </c>
      <c r="U504" s="12">
        <f>SUMIFS(BASE!$G:$G,BASE!$B:$B,$B504,BASE!$L:$L,$G504,BASE!$J:$J,$C504,BASE!$A:$A,U$2)</f>
        <v>0</v>
      </c>
      <c r="V504" s="12">
        <f>SUMIFS(BASE!$G:$G,BASE!$B:$B,$B504,BASE!$L:$L,$G504,BASE!$J:$J,$C504,BASE!$A:$A,V$2)</f>
        <v>0</v>
      </c>
      <c r="X504" t="str">
        <f t="shared" si="15"/>
        <v>COM TROCAS</v>
      </c>
    </row>
    <row r="505" spans="2:24">
      <c r="B505" s="8" t="s">
        <v>1167</v>
      </c>
      <c r="C505" s="9" t="s">
        <v>237</v>
      </c>
      <c r="D505" s="9" t="s">
        <v>1150</v>
      </c>
      <c r="E505" s="9" t="s">
        <v>1151</v>
      </c>
      <c r="F505" s="9" t="s">
        <v>1152</v>
      </c>
      <c r="G505" s="9" t="s">
        <v>55</v>
      </c>
      <c r="H505" s="7" t="str">
        <f>IFERROR(IF(_xlfn.XLOOKUP(B505,REPASSE!D:D,REPASSE!D:D)="","Não","Sim"),"Não")</f>
        <v>Não</v>
      </c>
      <c r="I505" s="7" t="str">
        <f>IF(_xlfn.XLOOKUP(B505,'BOOST LIBERADO'!B:B,'BOOST LIBERADO'!B:B,"Não")="Não","Não","Sim")</f>
        <v>Sim</v>
      </c>
      <c r="J505" s="83" t="str">
        <f t="shared" si="14"/>
        <v>Sim</v>
      </c>
      <c r="K505" s="12">
        <f>SUMIFS(BASE!$G:$G,BASE!$B:$B,$B505,BASE!$L:$L,$G505,BASE!$J:$J,$C505,BASE!$A:$A,K$2)</f>
        <v>10</v>
      </c>
      <c r="L505" s="12">
        <f>SUMIFS(BASE!$G:$G,BASE!$B:$B,$B505,BASE!$L:$L,$G505,BASE!$J:$J,$C505,BASE!$A:$A,L$2)</f>
        <v>9</v>
      </c>
      <c r="M505" s="12">
        <f>SUMIFS(BASE!$G:$G,BASE!$B:$B,$B505,BASE!$L:$L,$G505,BASE!$J:$J,$C505,BASE!$A:$A,M$2)</f>
        <v>20</v>
      </c>
      <c r="N505" s="12">
        <f>SUMIFS(BASE!$G:$G,BASE!$B:$B,$B505,BASE!$L:$L,$G505,BASE!$J:$J,$C505,BASE!$A:$A,N$2)</f>
        <v>13</v>
      </c>
      <c r="O505" s="12">
        <f>SUMIFS(BASE!$G:$G,BASE!$B:$B,$B505,BASE!$L:$L,$G505,BASE!$J:$J,$C505,BASE!$A:$A,O$2)</f>
        <v>11</v>
      </c>
      <c r="P505" s="12">
        <f>SUMIFS(BASE!$G:$G,BASE!$B:$B,$B505,BASE!$L:$L,$G505,BASE!$J:$J,$C505,BASE!$A:$A,P$2)</f>
        <v>11</v>
      </c>
      <c r="Q505" s="12">
        <f>SUMIFS(BASE!$G:$G,BASE!$B:$B,$B505,BASE!$L:$L,$G505,BASE!$J:$J,$C505,BASE!$A:$A,Q$2)</f>
        <v>13</v>
      </c>
      <c r="R505" s="12">
        <f>SUMIFS(BASE!$G:$G,BASE!$B:$B,$B505,BASE!$L:$L,$G505,BASE!$J:$J,$C505,BASE!$A:$A,R$2)</f>
        <v>13</v>
      </c>
      <c r="S505" s="12">
        <f>SUMIFS(BASE!$G:$G,BASE!$B:$B,$B505,BASE!$L:$L,$G505,BASE!$J:$J,$C505,BASE!$A:$A,S$2)</f>
        <v>0</v>
      </c>
      <c r="T505" s="12">
        <f>SUMIFS(BASE!$G:$G,BASE!$B:$B,$B505,BASE!$L:$L,$G505,BASE!$J:$J,$C505,BASE!$A:$A,T$2)</f>
        <v>0</v>
      </c>
      <c r="U505" s="12">
        <f>SUMIFS(BASE!$G:$G,BASE!$B:$B,$B505,BASE!$L:$L,$G505,BASE!$J:$J,$C505,BASE!$A:$A,U$2)</f>
        <v>0</v>
      </c>
      <c r="V505" s="12">
        <f>SUMIFS(BASE!$G:$G,BASE!$B:$B,$B505,BASE!$L:$L,$G505,BASE!$J:$J,$C505,BASE!$A:$A,V$2)</f>
        <v>0</v>
      </c>
      <c r="X505" t="str">
        <f t="shared" si="15"/>
        <v>COM TROCAS</v>
      </c>
    </row>
    <row r="506" spans="2:24">
      <c r="B506" s="8" t="s">
        <v>1168</v>
      </c>
      <c r="C506" s="9" t="s">
        <v>237</v>
      </c>
      <c r="D506" s="9" t="s">
        <v>1140</v>
      </c>
      <c r="E506" s="9" t="s">
        <v>1141</v>
      </c>
      <c r="F506" s="9" t="s">
        <v>1142</v>
      </c>
      <c r="G506" s="9" t="s">
        <v>55</v>
      </c>
      <c r="H506" s="7" t="str">
        <f>IFERROR(IF(_xlfn.XLOOKUP(B506,REPASSE!D:D,REPASSE!D:D)="","Não","Sim"),"Não")</f>
        <v>Não</v>
      </c>
      <c r="I506" s="7" t="str">
        <f>IF(_xlfn.XLOOKUP(B506,'BOOST LIBERADO'!B:B,'BOOST LIBERADO'!B:B,"Não")="Não","Não","Sim")</f>
        <v>Sim</v>
      </c>
      <c r="J506" s="83" t="str">
        <f t="shared" si="14"/>
        <v>Sim</v>
      </c>
      <c r="K506" s="12">
        <f>SUMIFS(BASE!$G:$G,BASE!$B:$B,$B506,BASE!$L:$L,$G506,BASE!$J:$J,$C506,BASE!$A:$A,K$2)</f>
        <v>2</v>
      </c>
      <c r="L506" s="12">
        <f>SUMIFS(BASE!$G:$G,BASE!$B:$B,$B506,BASE!$L:$L,$G506,BASE!$J:$J,$C506,BASE!$A:$A,L$2)</f>
        <v>0</v>
      </c>
      <c r="M506" s="12">
        <f>SUMIFS(BASE!$G:$G,BASE!$B:$B,$B506,BASE!$L:$L,$G506,BASE!$J:$J,$C506,BASE!$A:$A,M$2)</f>
        <v>2</v>
      </c>
      <c r="N506" s="12">
        <f>SUMIFS(BASE!$G:$G,BASE!$B:$B,$B506,BASE!$L:$L,$G506,BASE!$J:$J,$C506,BASE!$A:$A,N$2)</f>
        <v>3</v>
      </c>
      <c r="O506" s="12">
        <f>SUMIFS(BASE!$G:$G,BASE!$B:$B,$B506,BASE!$L:$L,$G506,BASE!$J:$J,$C506,BASE!$A:$A,O$2)</f>
        <v>6</v>
      </c>
      <c r="P506" s="12">
        <f>SUMIFS(BASE!$G:$G,BASE!$B:$B,$B506,BASE!$L:$L,$G506,BASE!$J:$J,$C506,BASE!$A:$A,P$2)</f>
        <v>2</v>
      </c>
      <c r="Q506" s="12">
        <f>SUMIFS(BASE!$G:$G,BASE!$B:$B,$B506,BASE!$L:$L,$G506,BASE!$J:$J,$C506,BASE!$A:$A,Q$2)</f>
        <v>3</v>
      </c>
      <c r="R506" s="12">
        <f>SUMIFS(BASE!$G:$G,BASE!$B:$B,$B506,BASE!$L:$L,$G506,BASE!$J:$J,$C506,BASE!$A:$A,R$2)</f>
        <v>2</v>
      </c>
      <c r="S506" s="12">
        <f>SUMIFS(BASE!$G:$G,BASE!$B:$B,$B506,BASE!$L:$L,$G506,BASE!$J:$J,$C506,BASE!$A:$A,S$2)</f>
        <v>0</v>
      </c>
      <c r="T506" s="12">
        <f>SUMIFS(BASE!$G:$G,BASE!$B:$B,$B506,BASE!$L:$L,$G506,BASE!$J:$J,$C506,BASE!$A:$A,T$2)</f>
        <v>0</v>
      </c>
      <c r="U506" s="12">
        <f>SUMIFS(BASE!$G:$G,BASE!$B:$B,$B506,BASE!$L:$L,$G506,BASE!$J:$J,$C506,BASE!$A:$A,U$2)</f>
        <v>0</v>
      </c>
      <c r="V506" s="12">
        <f>SUMIFS(BASE!$G:$G,BASE!$B:$B,$B506,BASE!$L:$L,$G506,BASE!$J:$J,$C506,BASE!$A:$A,V$2)</f>
        <v>0</v>
      </c>
      <c r="X506" t="str">
        <f t="shared" si="15"/>
        <v>COM TROCAS</v>
      </c>
    </row>
    <row r="507" spans="2:24">
      <c r="B507" s="8" t="s">
        <v>1169</v>
      </c>
      <c r="C507" s="9" t="s">
        <v>125</v>
      </c>
      <c r="D507" s="9" t="s">
        <v>1146</v>
      </c>
      <c r="E507" s="9" t="s">
        <v>1147</v>
      </c>
      <c r="F507" s="9" t="s">
        <v>1170</v>
      </c>
      <c r="G507" s="9" t="s">
        <v>55</v>
      </c>
      <c r="H507" s="7" t="str">
        <f>IFERROR(IF(_xlfn.XLOOKUP(B507,REPASSE!D:D,REPASSE!D:D)="","Não","Sim"),"Não")</f>
        <v>Não</v>
      </c>
      <c r="I507" s="7" t="str">
        <f>IF(_xlfn.XLOOKUP(B507,'BOOST LIBERADO'!B:B,'BOOST LIBERADO'!B:B,"Não")="Não","Não","Sim")</f>
        <v>Sim</v>
      </c>
      <c r="J507" s="83" t="str">
        <f t="shared" si="14"/>
        <v>Sim</v>
      </c>
      <c r="K507" s="12">
        <f>SUMIFS(BASE!$G:$G,BASE!$B:$B,$B507,BASE!$L:$L,$G507,BASE!$J:$J,$C507,BASE!$A:$A,K$2)</f>
        <v>0</v>
      </c>
      <c r="L507" s="12">
        <f>SUMIFS(BASE!$G:$G,BASE!$B:$B,$B507,BASE!$L:$L,$G507,BASE!$J:$J,$C507,BASE!$A:$A,L$2)</f>
        <v>0</v>
      </c>
      <c r="M507" s="12">
        <f>SUMIFS(BASE!$G:$G,BASE!$B:$B,$B507,BASE!$L:$L,$G507,BASE!$J:$J,$C507,BASE!$A:$A,M$2)</f>
        <v>0</v>
      </c>
      <c r="N507" s="12">
        <f>SUMIFS(BASE!$G:$G,BASE!$B:$B,$B507,BASE!$L:$L,$G507,BASE!$J:$J,$C507,BASE!$A:$A,N$2)</f>
        <v>0</v>
      </c>
      <c r="O507" s="12">
        <f>SUMIFS(BASE!$G:$G,BASE!$B:$B,$B507,BASE!$L:$L,$G507,BASE!$J:$J,$C507,BASE!$A:$A,O$2)</f>
        <v>0</v>
      </c>
      <c r="P507" s="12">
        <f>SUMIFS(BASE!$G:$G,BASE!$B:$B,$B507,BASE!$L:$L,$G507,BASE!$J:$J,$C507,BASE!$A:$A,P$2)</f>
        <v>0</v>
      </c>
      <c r="Q507" s="12">
        <f>SUMIFS(BASE!$G:$G,BASE!$B:$B,$B507,BASE!$L:$L,$G507,BASE!$J:$J,$C507,BASE!$A:$A,Q$2)</f>
        <v>0</v>
      </c>
      <c r="R507" s="12">
        <f>SUMIFS(BASE!$G:$G,BASE!$B:$B,$B507,BASE!$L:$L,$G507,BASE!$J:$J,$C507,BASE!$A:$A,R$2)</f>
        <v>0</v>
      </c>
      <c r="S507" s="12">
        <f>SUMIFS(BASE!$G:$G,BASE!$B:$B,$B507,BASE!$L:$L,$G507,BASE!$J:$J,$C507,BASE!$A:$A,S$2)</f>
        <v>0</v>
      </c>
      <c r="T507" s="12">
        <f>SUMIFS(BASE!$G:$G,BASE!$B:$B,$B507,BASE!$L:$L,$G507,BASE!$J:$J,$C507,BASE!$A:$A,T$2)</f>
        <v>0</v>
      </c>
      <c r="U507" s="12">
        <f>SUMIFS(BASE!$G:$G,BASE!$B:$B,$B507,BASE!$L:$L,$G507,BASE!$J:$J,$C507,BASE!$A:$A,U$2)</f>
        <v>0</v>
      </c>
      <c r="V507" s="12">
        <f>SUMIFS(BASE!$G:$G,BASE!$B:$B,$B507,BASE!$L:$L,$G507,BASE!$J:$J,$C507,BASE!$A:$A,V$2)</f>
        <v>0</v>
      </c>
      <c r="X507" t="str">
        <f t="shared" si="15"/>
        <v>ZERADO</v>
      </c>
    </row>
    <row r="508" spans="2:24">
      <c r="B508" s="8" t="s">
        <v>1171</v>
      </c>
      <c r="C508" s="9" t="s">
        <v>228</v>
      </c>
      <c r="D508" s="9" t="s">
        <v>1144</v>
      </c>
      <c r="E508" s="9" t="s">
        <v>1141</v>
      </c>
      <c r="F508" s="9" t="s">
        <v>1142</v>
      </c>
      <c r="G508" s="9" t="s">
        <v>55</v>
      </c>
      <c r="H508" s="7" t="str">
        <f>IFERROR(IF(_xlfn.XLOOKUP(B508,REPASSE!D:D,REPASSE!D:D)="","Não","Sim"),"Não")</f>
        <v>Não</v>
      </c>
      <c r="I508" s="7" t="str">
        <f>IF(_xlfn.XLOOKUP(B508,'BOOST LIBERADO'!B:B,'BOOST LIBERADO'!B:B,"Não")="Não","Não","Sim")</f>
        <v>Sim</v>
      </c>
      <c r="J508" s="83" t="str">
        <f t="shared" si="14"/>
        <v>Sim</v>
      </c>
      <c r="K508" s="12">
        <f>SUMIFS(BASE!$G:$G,BASE!$B:$B,$B508,BASE!$L:$L,$G508,BASE!$J:$J,$C508,BASE!$A:$A,K$2)</f>
        <v>7</v>
      </c>
      <c r="L508" s="12">
        <f>SUMIFS(BASE!$G:$G,BASE!$B:$B,$B508,BASE!$L:$L,$G508,BASE!$J:$J,$C508,BASE!$A:$A,L$2)</f>
        <v>5</v>
      </c>
      <c r="M508" s="12">
        <f>SUMIFS(BASE!$G:$G,BASE!$B:$B,$B508,BASE!$L:$L,$G508,BASE!$J:$J,$C508,BASE!$A:$A,M$2)</f>
        <v>9</v>
      </c>
      <c r="N508" s="12">
        <f>SUMIFS(BASE!$G:$G,BASE!$B:$B,$B508,BASE!$L:$L,$G508,BASE!$J:$J,$C508,BASE!$A:$A,N$2)</f>
        <v>16</v>
      </c>
      <c r="O508" s="12">
        <f>SUMIFS(BASE!$G:$G,BASE!$B:$B,$B508,BASE!$L:$L,$G508,BASE!$J:$J,$C508,BASE!$A:$A,O$2)</f>
        <v>14</v>
      </c>
      <c r="P508" s="12">
        <f>SUMIFS(BASE!$G:$G,BASE!$B:$B,$B508,BASE!$L:$L,$G508,BASE!$J:$J,$C508,BASE!$A:$A,P$2)</f>
        <v>19</v>
      </c>
      <c r="Q508" s="12">
        <f>SUMIFS(BASE!$G:$G,BASE!$B:$B,$B508,BASE!$L:$L,$G508,BASE!$J:$J,$C508,BASE!$A:$A,Q$2)</f>
        <v>25</v>
      </c>
      <c r="R508" s="12">
        <f>SUMIFS(BASE!$G:$G,BASE!$B:$B,$B508,BASE!$L:$L,$G508,BASE!$J:$J,$C508,BASE!$A:$A,R$2)</f>
        <v>28</v>
      </c>
      <c r="S508" s="12">
        <f>SUMIFS(BASE!$G:$G,BASE!$B:$B,$B508,BASE!$L:$L,$G508,BASE!$J:$J,$C508,BASE!$A:$A,S$2)</f>
        <v>0</v>
      </c>
      <c r="T508" s="12">
        <f>SUMIFS(BASE!$G:$G,BASE!$B:$B,$B508,BASE!$L:$L,$G508,BASE!$J:$J,$C508,BASE!$A:$A,T$2)</f>
        <v>0</v>
      </c>
      <c r="U508" s="12">
        <f>SUMIFS(BASE!$G:$G,BASE!$B:$B,$B508,BASE!$L:$L,$G508,BASE!$J:$J,$C508,BASE!$A:$A,U$2)</f>
        <v>0</v>
      </c>
      <c r="V508" s="12">
        <f>SUMIFS(BASE!$G:$G,BASE!$B:$B,$B508,BASE!$L:$L,$G508,BASE!$J:$J,$C508,BASE!$A:$A,V$2)</f>
        <v>0</v>
      </c>
      <c r="X508" t="str">
        <f t="shared" si="15"/>
        <v>COM TROCAS</v>
      </c>
    </row>
    <row r="509" spans="2:24">
      <c r="B509" s="8" t="s">
        <v>1172</v>
      </c>
      <c r="C509" s="9" t="s">
        <v>234</v>
      </c>
      <c r="D509" s="9" t="s">
        <v>1173</v>
      </c>
      <c r="E509" s="9" t="s">
        <v>1141</v>
      </c>
      <c r="F509" s="9" t="s">
        <v>1142</v>
      </c>
      <c r="G509" s="9" t="s">
        <v>55</v>
      </c>
      <c r="H509" s="7" t="str">
        <f>IFERROR(IF(_xlfn.XLOOKUP(B509,REPASSE!D:D,REPASSE!D:D)="","Não","Sim"),"Não")</f>
        <v>Não</v>
      </c>
      <c r="I509" s="7" t="str">
        <f>IF(_xlfn.XLOOKUP(B509,'BOOST LIBERADO'!B:B,'BOOST LIBERADO'!B:B,"Não")="Não","Não","Sim")</f>
        <v>Sim</v>
      </c>
      <c r="J509" s="83" t="str">
        <f t="shared" si="14"/>
        <v>Sim</v>
      </c>
      <c r="K509" s="12">
        <f>SUMIFS(BASE!$G:$G,BASE!$B:$B,$B509,BASE!$L:$L,$G509,BASE!$J:$J,$C509,BASE!$A:$A,K$2)</f>
        <v>3</v>
      </c>
      <c r="L509" s="12">
        <f>SUMIFS(BASE!$G:$G,BASE!$B:$B,$B509,BASE!$L:$L,$G509,BASE!$J:$J,$C509,BASE!$A:$A,L$2)</f>
        <v>2</v>
      </c>
      <c r="M509" s="12">
        <f>SUMIFS(BASE!$G:$G,BASE!$B:$B,$B509,BASE!$L:$L,$G509,BASE!$J:$J,$C509,BASE!$A:$A,M$2)</f>
        <v>1</v>
      </c>
      <c r="N509" s="12">
        <f>SUMIFS(BASE!$G:$G,BASE!$B:$B,$B509,BASE!$L:$L,$G509,BASE!$J:$J,$C509,BASE!$A:$A,N$2)</f>
        <v>3</v>
      </c>
      <c r="O509" s="12">
        <f>SUMIFS(BASE!$G:$G,BASE!$B:$B,$B509,BASE!$L:$L,$G509,BASE!$J:$J,$C509,BASE!$A:$A,O$2)</f>
        <v>2</v>
      </c>
      <c r="P509" s="12">
        <f>SUMIFS(BASE!$G:$G,BASE!$B:$B,$B509,BASE!$L:$L,$G509,BASE!$J:$J,$C509,BASE!$A:$A,P$2)</f>
        <v>2</v>
      </c>
      <c r="Q509" s="12">
        <f>SUMIFS(BASE!$G:$G,BASE!$B:$B,$B509,BASE!$L:$L,$G509,BASE!$J:$J,$C509,BASE!$A:$A,Q$2)</f>
        <v>2</v>
      </c>
      <c r="R509" s="12">
        <f>SUMIFS(BASE!$G:$G,BASE!$B:$B,$B509,BASE!$L:$L,$G509,BASE!$J:$J,$C509,BASE!$A:$A,R$2)</f>
        <v>2</v>
      </c>
      <c r="S509" s="12">
        <f>SUMIFS(BASE!$G:$G,BASE!$B:$B,$B509,BASE!$L:$L,$G509,BASE!$J:$J,$C509,BASE!$A:$A,S$2)</f>
        <v>0</v>
      </c>
      <c r="T509" s="12">
        <f>SUMIFS(BASE!$G:$G,BASE!$B:$B,$B509,BASE!$L:$L,$G509,BASE!$J:$J,$C509,BASE!$A:$A,T$2)</f>
        <v>0</v>
      </c>
      <c r="U509" s="12">
        <f>SUMIFS(BASE!$G:$G,BASE!$B:$B,$B509,BASE!$L:$L,$G509,BASE!$J:$J,$C509,BASE!$A:$A,U$2)</f>
        <v>0</v>
      </c>
      <c r="V509" s="12">
        <f>SUMIFS(BASE!$G:$G,BASE!$B:$B,$B509,BASE!$L:$L,$G509,BASE!$J:$J,$C509,BASE!$A:$A,V$2)</f>
        <v>0</v>
      </c>
      <c r="X509" t="str">
        <f t="shared" si="15"/>
        <v>COM TROCAS</v>
      </c>
    </row>
    <row r="510" spans="2:24">
      <c r="B510" s="8" t="s">
        <v>1174</v>
      </c>
      <c r="C510" s="9" t="s">
        <v>234</v>
      </c>
      <c r="D510" s="9" t="s">
        <v>1173</v>
      </c>
      <c r="E510" s="9" t="s">
        <v>1141</v>
      </c>
      <c r="F510" s="9" t="s">
        <v>1142</v>
      </c>
      <c r="G510" s="9" t="s">
        <v>55</v>
      </c>
      <c r="H510" s="7" t="str">
        <f>IFERROR(IF(_xlfn.XLOOKUP(B510,REPASSE!D:D,REPASSE!D:D)="","Não","Sim"),"Não")</f>
        <v>Não</v>
      </c>
      <c r="I510" s="7" t="str">
        <f>IF(_xlfn.XLOOKUP(B510,'BOOST LIBERADO'!B:B,'BOOST LIBERADO'!B:B,"Não")="Não","Não","Sim")</f>
        <v>Sim</v>
      </c>
      <c r="J510" s="83" t="str">
        <f t="shared" si="14"/>
        <v>Sim</v>
      </c>
      <c r="K510" s="12">
        <f>SUMIFS(BASE!$G:$G,BASE!$B:$B,$B510,BASE!$L:$L,$G510,BASE!$J:$J,$C510,BASE!$A:$A,K$2)</f>
        <v>16</v>
      </c>
      <c r="L510" s="12">
        <f>SUMIFS(BASE!$G:$G,BASE!$B:$B,$B510,BASE!$L:$L,$G510,BASE!$J:$J,$C510,BASE!$A:$A,L$2)</f>
        <v>9</v>
      </c>
      <c r="M510" s="12">
        <f>SUMIFS(BASE!$G:$G,BASE!$B:$B,$B510,BASE!$L:$L,$G510,BASE!$J:$J,$C510,BASE!$A:$A,M$2)</f>
        <v>19</v>
      </c>
      <c r="N510" s="12">
        <f>SUMIFS(BASE!$G:$G,BASE!$B:$B,$B510,BASE!$L:$L,$G510,BASE!$J:$J,$C510,BASE!$A:$A,N$2)</f>
        <v>15</v>
      </c>
      <c r="O510" s="12">
        <f>SUMIFS(BASE!$G:$G,BASE!$B:$B,$B510,BASE!$L:$L,$G510,BASE!$J:$J,$C510,BASE!$A:$A,O$2)</f>
        <v>20</v>
      </c>
      <c r="P510" s="12">
        <f>SUMIFS(BASE!$G:$G,BASE!$B:$B,$B510,BASE!$L:$L,$G510,BASE!$J:$J,$C510,BASE!$A:$A,P$2)</f>
        <v>20</v>
      </c>
      <c r="Q510" s="12">
        <f>SUMIFS(BASE!$G:$G,BASE!$B:$B,$B510,BASE!$L:$L,$G510,BASE!$J:$J,$C510,BASE!$A:$A,Q$2)</f>
        <v>21</v>
      </c>
      <c r="R510" s="12">
        <f>SUMIFS(BASE!$G:$G,BASE!$B:$B,$B510,BASE!$L:$L,$G510,BASE!$J:$J,$C510,BASE!$A:$A,R$2)</f>
        <v>26</v>
      </c>
      <c r="S510" s="12">
        <f>SUMIFS(BASE!$G:$G,BASE!$B:$B,$B510,BASE!$L:$L,$G510,BASE!$J:$J,$C510,BASE!$A:$A,S$2)</f>
        <v>0</v>
      </c>
      <c r="T510" s="12">
        <f>SUMIFS(BASE!$G:$G,BASE!$B:$B,$B510,BASE!$L:$L,$G510,BASE!$J:$J,$C510,BASE!$A:$A,T$2)</f>
        <v>0</v>
      </c>
      <c r="U510" s="12">
        <f>SUMIFS(BASE!$G:$G,BASE!$B:$B,$B510,BASE!$L:$L,$G510,BASE!$J:$J,$C510,BASE!$A:$A,U$2)</f>
        <v>0</v>
      </c>
      <c r="V510" s="12">
        <f>SUMIFS(BASE!$G:$G,BASE!$B:$B,$B510,BASE!$L:$L,$G510,BASE!$J:$J,$C510,BASE!$A:$A,V$2)</f>
        <v>0</v>
      </c>
      <c r="X510" t="str">
        <f t="shared" si="15"/>
        <v>COM TROCAS</v>
      </c>
    </row>
    <row r="511" spans="2:24">
      <c r="B511" s="8" t="s">
        <v>1175</v>
      </c>
      <c r="C511" s="9" t="s">
        <v>138</v>
      </c>
      <c r="D511" s="9" t="s">
        <v>1154</v>
      </c>
      <c r="E511" s="9" t="s">
        <v>1147</v>
      </c>
      <c r="F511" s="9" t="s">
        <v>1176</v>
      </c>
      <c r="G511" s="9" t="s">
        <v>55</v>
      </c>
      <c r="H511" s="7" t="str">
        <f>IFERROR(IF(_xlfn.XLOOKUP(B511,REPASSE!D:D,REPASSE!D:D)="","Não","Sim"),"Não")</f>
        <v>Não</v>
      </c>
      <c r="I511" s="7" t="str">
        <f>IF(_xlfn.XLOOKUP(B511,'BOOST LIBERADO'!B:B,'BOOST LIBERADO'!B:B,"Não")="Não","Não","Sim")</f>
        <v>Sim</v>
      </c>
      <c r="J511" s="83" t="str">
        <f t="shared" si="14"/>
        <v>Sim</v>
      </c>
      <c r="K511" s="12">
        <f>SUMIFS(BASE!$G:$G,BASE!$B:$B,$B511,BASE!$L:$L,$G511,BASE!$J:$J,$C511,BASE!$A:$A,K$2)</f>
        <v>0</v>
      </c>
      <c r="L511" s="12">
        <f>SUMIFS(BASE!$G:$G,BASE!$B:$B,$B511,BASE!$L:$L,$G511,BASE!$J:$J,$C511,BASE!$A:$A,L$2)</f>
        <v>0</v>
      </c>
      <c r="M511" s="12">
        <f>SUMIFS(BASE!$G:$G,BASE!$B:$B,$B511,BASE!$L:$L,$G511,BASE!$J:$J,$C511,BASE!$A:$A,M$2)</f>
        <v>0</v>
      </c>
      <c r="N511" s="12">
        <f>SUMIFS(BASE!$G:$G,BASE!$B:$B,$B511,BASE!$L:$L,$G511,BASE!$J:$J,$C511,BASE!$A:$A,N$2)</f>
        <v>0</v>
      </c>
      <c r="O511" s="12">
        <f>SUMIFS(BASE!$G:$G,BASE!$B:$B,$B511,BASE!$L:$L,$G511,BASE!$J:$J,$C511,BASE!$A:$A,O$2)</f>
        <v>0</v>
      </c>
      <c r="P511" s="12">
        <f>SUMIFS(BASE!$G:$G,BASE!$B:$B,$B511,BASE!$L:$L,$G511,BASE!$J:$J,$C511,BASE!$A:$A,P$2)</f>
        <v>0</v>
      </c>
      <c r="Q511" s="12">
        <f>SUMIFS(BASE!$G:$G,BASE!$B:$B,$B511,BASE!$L:$L,$G511,BASE!$J:$J,$C511,BASE!$A:$A,Q$2)</f>
        <v>0</v>
      </c>
      <c r="R511" s="12">
        <f>SUMIFS(BASE!$G:$G,BASE!$B:$B,$B511,BASE!$L:$L,$G511,BASE!$J:$J,$C511,BASE!$A:$A,R$2)</f>
        <v>0</v>
      </c>
      <c r="S511" s="12">
        <f>SUMIFS(BASE!$G:$G,BASE!$B:$B,$B511,BASE!$L:$L,$G511,BASE!$J:$J,$C511,BASE!$A:$A,S$2)</f>
        <v>0</v>
      </c>
      <c r="T511" s="12">
        <f>SUMIFS(BASE!$G:$G,BASE!$B:$B,$B511,BASE!$L:$L,$G511,BASE!$J:$J,$C511,BASE!$A:$A,T$2)</f>
        <v>0</v>
      </c>
      <c r="U511" s="12">
        <f>SUMIFS(BASE!$G:$G,BASE!$B:$B,$B511,BASE!$L:$L,$G511,BASE!$J:$J,$C511,BASE!$A:$A,U$2)</f>
        <v>0</v>
      </c>
      <c r="V511" s="12">
        <f>SUMIFS(BASE!$G:$G,BASE!$B:$B,$B511,BASE!$L:$L,$G511,BASE!$J:$J,$C511,BASE!$A:$A,V$2)</f>
        <v>0</v>
      </c>
      <c r="X511" t="str">
        <f t="shared" si="15"/>
        <v>ZERADO</v>
      </c>
    </row>
    <row r="512" spans="2:24">
      <c r="B512" s="8" t="s">
        <v>1177</v>
      </c>
      <c r="C512" s="9" t="s">
        <v>228</v>
      </c>
      <c r="D512" s="9" t="s">
        <v>1163</v>
      </c>
      <c r="E512" s="9" t="s">
        <v>1141</v>
      </c>
      <c r="F512" s="9" t="s">
        <v>1142</v>
      </c>
      <c r="G512" s="9" t="s">
        <v>55</v>
      </c>
      <c r="H512" s="7" t="str">
        <f>IFERROR(IF(_xlfn.XLOOKUP(B512,REPASSE!D:D,REPASSE!D:D)="","Não","Sim"),"Não")</f>
        <v>Não</v>
      </c>
      <c r="I512" s="7" t="str">
        <f>IF(_xlfn.XLOOKUP(B512,'BOOST LIBERADO'!B:B,'BOOST LIBERADO'!B:B,"Não")="Não","Não","Sim")</f>
        <v>Sim</v>
      </c>
      <c r="J512" s="83" t="str">
        <f t="shared" si="14"/>
        <v>Sim</v>
      </c>
      <c r="K512" s="12">
        <f>SUMIFS(BASE!$G:$G,BASE!$B:$B,$B512,BASE!$L:$L,$G512,BASE!$J:$J,$C512,BASE!$A:$A,K$2)</f>
        <v>6</v>
      </c>
      <c r="L512" s="12">
        <f>SUMIFS(BASE!$G:$G,BASE!$B:$B,$B512,BASE!$L:$L,$G512,BASE!$J:$J,$C512,BASE!$A:$A,L$2)</f>
        <v>4</v>
      </c>
      <c r="M512" s="12">
        <f>SUMIFS(BASE!$G:$G,BASE!$B:$B,$B512,BASE!$L:$L,$G512,BASE!$J:$J,$C512,BASE!$A:$A,M$2)</f>
        <v>6</v>
      </c>
      <c r="N512" s="12">
        <f>SUMIFS(BASE!$G:$G,BASE!$B:$B,$B512,BASE!$L:$L,$G512,BASE!$J:$J,$C512,BASE!$A:$A,N$2)</f>
        <v>9</v>
      </c>
      <c r="O512" s="12">
        <f>SUMIFS(BASE!$G:$G,BASE!$B:$B,$B512,BASE!$L:$L,$G512,BASE!$J:$J,$C512,BASE!$A:$A,O$2)</f>
        <v>7</v>
      </c>
      <c r="P512" s="12">
        <f>SUMIFS(BASE!$G:$G,BASE!$B:$B,$B512,BASE!$L:$L,$G512,BASE!$J:$J,$C512,BASE!$A:$A,P$2)</f>
        <v>5</v>
      </c>
      <c r="Q512" s="12">
        <f>SUMIFS(BASE!$G:$G,BASE!$B:$B,$B512,BASE!$L:$L,$G512,BASE!$J:$J,$C512,BASE!$A:$A,Q$2)</f>
        <v>10</v>
      </c>
      <c r="R512" s="12">
        <f>SUMIFS(BASE!$G:$G,BASE!$B:$B,$B512,BASE!$L:$L,$G512,BASE!$J:$J,$C512,BASE!$A:$A,R$2)</f>
        <v>11</v>
      </c>
      <c r="S512" s="12">
        <f>SUMIFS(BASE!$G:$G,BASE!$B:$B,$B512,BASE!$L:$L,$G512,BASE!$J:$J,$C512,BASE!$A:$A,S$2)</f>
        <v>0</v>
      </c>
      <c r="T512" s="12">
        <f>SUMIFS(BASE!$G:$G,BASE!$B:$B,$B512,BASE!$L:$L,$G512,BASE!$J:$J,$C512,BASE!$A:$A,T$2)</f>
        <v>0</v>
      </c>
      <c r="U512" s="12">
        <f>SUMIFS(BASE!$G:$G,BASE!$B:$B,$B512,BASE!$L:$L,$G512,BASE!$J:$J,$C512,BASE!$A:$A,U$2)</f>
        <v>0</v>
      </c>
      <c r="V512" s="12">
        <f>SUMIFS(BASE!$G:$G,BASE!$B:$B,$B512,BASE!$L:$L,$G512,BASE!$J:$J,$C512,BASE!$A:$A,V$2)</f>
        <v>0</v>
      </c>
      <c r="X512" t="str">
        <f t="shared" si="15"/>
        <v>COM TROCAS</v>
      </c>
    </row>
    <row r="513" spans="2:24">
      <c r="B513" s="8" t="s">
        <v>1178</v>
      </c>
      <c r="C513" s="9" t="s">
        <v>228</v>
      </c>
      <c r="D513" s="9" t="s">
        <v>1179</v>
      </c>
      <c r="E513" s="9" t="s">
        <v>1151</v>
      </c>
      <c r="F513" s="9" t="s">
        <v>1180</v>
      </c>
      <c r="G513" s="9" t="s">
        <v>55</v>
      </c>
      <c r="H513" s="7" t="str">
        <f>IFERROR(IF(_xlfn.XLOOKUP(B513,REPASSE!D:D,REPASSE!D:D)="","Não","Sim"),"Não")</f>
        <v>Não</v>
      </c>
      <c r="I513" s="7" t="str">
        <f>IF(_xlfn.XLOOKUP(B513,'BOOST LIBERADO'!B:B,'BOOST LIBERADO'!B:B,"Não")="Não","Não","Sim")</f>
        <v>Sim</v>
      </c>
      <c r="J513" s="83" t="str">
        <f t="shared" si="14"/>
        <v>Sim</v>
      </c>
      <c r="K513" s="12">
        <f>SUMIFS(BASE!$G:$G,BASE!$B:$B,$B513,BASE!$L:$L,$G513,BASE!$J:$J,$C513,BASE!$A:$A,K$2)</f>
        <v>1</v>
      </c>
      <c r="L513" s="12">
        <f>SUMIFS(BASE!$G:$G,BASE!$B:$B,$B513,BASE!$L:$L,$G513,BASE!$J:$J,$C513,BASE!$A:$A,L$2)</f>
        <v>0</v>
      </c>
      <c r="M513" s="12">
        <f>SUMIFS(BASE!$G:$G,BASE!$B:$B,$B513,BASE!$L:$L,$G513,BASE!$J:$J,$C513,BASE!$A:$A,M$2)</f>
        <v>1</v>
      </c>
      <c r="N513" s="12">
        <f>SUMIFS(BASE!$G:$G,BASE!$B:$B,$B513,BASE!$L:$L,$G513,BASE!$J:$J,$C513,BASE!$A:$A,N$2)</f>
        <v>1</v>
      </c>
      <c r="O513" s="12">
        <f>SUMIFS(BASE!$G:$G,BASE!$B:$B,$B513,BASE!$L:$L,$G513,BASE!$J:$J,$C513,BASE!$A:$A,O$2)</f>
        <v>1</v>
      </c>
      <c r="P513" s="12">
        <f>SUMIFS(BASE!$G:$G,BASE!$B:$B,$B513,BASE!$L:$L,$G513,BASE!$J:$J,$C513,BASE!$A:$A,P$2)</f>
        <v>0</v>
      </c>
      <c r="Q513" s="12">
        <f>SUMIFS(BASE!$G:$G,BASE!$B:$B,$B513,BASE!$L:$L,$G513,BASE!$J:$J,$C513,BASE!$A:$A,Q$2)</f>
        <v>2</v>
      </c>
      <c r="R513" s="12">
        <f>SUMIFS(BASE!$G:$G,BASE!$B:$B,$B513,BASE!$L:$L,$G513,BASE!$J:$J,$C513,BASE!$A:$A,R$2)</f>
        <v>4</v>
      </c>
      <c r="S513" s="12">
        <f>SUMIFS(BASE!$G:$G,BASE!$B:$B,$B513,BASE!$L:$L,$G513,BASE!$J:$J,$C513,BASE!$A:$A,S$2)</f>
        <v>0</v>
      </c>
      <c r="T513" s="12">
        <f>SUMIFS(BASE!$G:$G,BASE!$B:$B,$B513,BASE!$L:$L,$G513,BASE!$J:$J,$C513,BASE!$A:$A,T$2)</f>
        <v>0</v>
      </c>
      <c r="U513" s="12">
        <f>SUMIFS(BASE!$G:$G,BASE!$B:$B,$B513,BASE!$L:$L,$G513,BASE!$J:$J,$C513,BASE!$A:$A,U$2)</f>
        <v>0</v>
      </c>
      <c r="V513" s="12">
        <f>SUMIFS(BASE!$G:$G,BASE!$B:$B,$B513,BASE!$L:$L,$G513,BASE!$J:$J,$C513,BASE!$A:$A,V$2)</f>
        <v>0</v>
      </c>
      <c r="X513" t="str">
        <f t="shared" si="15"/>
        <v>COM TROCAS</v>
      </c>
    </row>
    <row r="514" spans="2:24">
      <c r="B514" s="8" t="s">
        <v>1181</v>
      </c>
      <c r="C514" s="9" t="s">
        <v>228</v>
      </c>
      <c r="D514" s="9" t="s">
        <v>1150</v>
      </c>
      <c r="E514" s="9" t="s">
        <v>1151</v>
      </c>
      <c r="F514" s="9" t="s">
        <v>1182</v>
      </c>
      <c r="G514" s="9" t="s">
        <v>55</v>
      </c>
      <c r="H514" s="7" t="str">
        <f>IFERROR(IF(_xlfn.XLOOKUP(B514,REPASSE!D:D,REPASSE!D:D)="","Não","Sim"),"Não")</f>
        <v>Não</v>
      </c>
      <c r="I514" s="7" t="str">
        <f>IF(_xlfn.XLOOKUP(B514,'BOOST LIBERADO'!B:B,'BOOST LIBERADO'!B:B,"Não")="Não","Não","Sim")</f>
        <v>Sim</v>
      </c>
      <c r="J514" s="83" t="str">
        <f t="shared" si="14"/>
        <v>Sim</v>
      </c>
      <c r="K514" s="12">
        <f>SUMIFS(BASE!$G:$G,BASE!$B:$B,$B514,BASE!$L:$L,$G514,BASE!$J:$J,$C514,BASE!$A:$A,K$2)</f>
        <v>8</v>
      </c>
      <c r="L514" s="12">
        <f>SUMIFS(BASE!$G:$G,BASE!$B:$B,$B514,BASE!$L:$L,$G514,BASE!$J:$J,$C514,BASE!$A:$A,L$2)</f>
        <v>5</v>
      </c>
      <c r="M514" s="12">
        <f>SUMIFS(BASE!$G:$G,BASE!$B:$B,$B514,BASE!$L:$L,$G514,BASE!$J:$J,$C514,BASE!$A:$A,M$2)</f>
        <v>7</v>
      </c>
      <c r="N514" s="12">
        <f>SUMIFS(BASE!$G:$G,BASE!$B:$B,$B514,BASE!$L:$L,$G514,BASE!$J:$J,$C514,BASE!$A:$A,N$2)</f>
        <v>9</v>
      </c>
      <c r="O514" s="12">
        <f>SUMIFS(BASE!$G:$G,BASE!$B:$B,$B514,BASE!$L:$L,$G514,BASE!$J:$J,$C514,BASE!$A:$A,O$2)</f>
        <v>20</v>
      </c>
      <c r="P514" s="12">
        <f>SUMIFS(BASE!$G:$G,BASE!$B:$B,$B514,BASE!$L:$L,$G514,BASE!$J:$J,$C514,BASE!$A:$A,P$2)</f>
        <v>16</v>
      </c>
      <c r="Q514" s="12">
        <f>SUMIFS(BASE!$G:$G,BASE!$B:$B,$B514,BASE!$L:$L,$G514,BASE!$J:$J,$C514,BASE!$A:$A,Q$2)</f>
        <v>35</v>
      </c>
      <c r="R514" s="12">
        <f>SUMIFS(BASE!$G:$G,BASE!$B:$B,$B514,BASE!$L:$L,$G514,BASE!$J:$J,$C514,BASE!$A:$A,R$2)</f>
        <v>32</v>
      </c>
      <c r="S514" s="12">
        <f>SUMIFS(BASE!$G:$G,BASE!$B:$B,$B514,BASE!$L:$L,$G514,BASE!$J:$J,$C514,BASE!$A:$A,S$2)</f>
        <v>0</v>
      </c>
      <c r="T514" s="12">
        <f>SUMIFS(BASE!$G:$G,BASE!$B:$B,$B514,BASE!$L:$L,$G514,BASE!$J:$J,$C514,BASE!$A:$A,T$2)</f>
        <v>0</v>
      </c>
      <c r="U514" s="12">
        <f>SUMIFS(BASE!$G:$G,BASE!$B:$B,$B514,BASE!$L:$L,$G514,BASE!$J:$J,$C514,BASE!$A:$A,U$2)</f>
        <v>0</v>
      </c>
      <c r="V514" s="12">
        <f>SUMIFS(BASE!$G:$G,BASE!$B:$B,$B514,BASE!$L:$L,$G514,BASE!$J:$J,$C514,BASE!$A:$A,V$2)</f>
        <v>0</v>
      </c>
      <c r="X514" t="str">
        <f t="shared" si="15"/>
        <v>COM TROCAS</v>
      </c>
    </row>
    <row r="515" spans="2:24">
      <c r="B515" s="8" t="s">
        <v>1183</v>
      </c>
      <c r="C515" s="9" t="s">
        <v>228</v>
      </c>
      <c r="D515" s="9" t="s">
        <v>1184</v>
      </c>
      <c r="E515" s="9" t="s">
        <v>1147</v>
      </c>
      <c r="F515" s="9" t="s">
        <v>1185</v>
      </c>
      <c r="G515" s="9" t="s">
        <v>55</v>
      </c>
      <c r="H515" s="7" t="str">
        <f>IFERROR(IF(_xlfn.XLOOKUP(B515,REPASSE!D:D,REPASSE!D:D)="","Não","Sim"),"Não")</f>
        <v>Não</v>
      </c>
      <c r="I515" s="7" t="str">
        <f>IF(_xlfn.XLOOKUP(B515,'BOOST LIBERADO'!B:B,'BOOST LIBERADO'!B:B,"Não")="Não","Não","Sim")</f>
        <v>Sim</v>
      </c>
      <c r="J515" s="83" t="str">
        <f t="shared" si="14"/>
        <v>Sim</v>
      </c>
      <c r="K515" s="12">
        <f>SUMIFS(BASE!$G:$G,BASE!$B:$B,$B515,BASE!$L:$L,$G515,BASE!$J:$J,$C515,BASE!$A:$A,K$2)</f>
        <v>2</v>
      </c>
      <c r="L515" s="12">
        <f>SUMIFS(BASE!$G:$G,BASE!$B:$B,$B515,BASE!$L:$L,$G515,BASE!$J:$J,$C515,BASE!$A:$A,L$2)</f>
        <v>2</v>
      </c>
      <c r="M515" s="12">
        <f>SUMIFS(BASE!$G:$G,BASE!$B:$B,$B515,BASE!$L:$L,$G515,BASE!$J:$J,$C515,BASE!$A:$A,M$2)</f>
        <v>7</v>
      </c>
      <c r="N515" s="12">
        <f>SUMIFS(BASE!$G:$G,BASE!$B:$B,$B515,BASE!$L:$L,$G515,BASE!$J:$J,$C515,BASE!$A:$A,N$2)</f>
        <v>3</v>
      </c>
      <c r="O515" s="12">
        <f>SUMIFS(BASE!$G:$G,BASE!$B:$B,$B515,BASE!$L:$L,$G515,BASE!$J:$J,$C515,BASE!$A:$A,O$2)</f>
        <v>7</v>
      </c>
      <c r="P515" s="12">
        <f>SUMIFS(BASE!$G:$G,BASE!$B:$B,$B515,BASE!$L:$L,$G515,BASE!$J:$J,$C515,BASE!$A:$A,P$2)</f>
        <v>4</v>
      </c>
      <c r="Q515" s="12">
        <f>SUMIFS(BASE!$G:$G,BASE!$B:$B,$B515,BASE!$L:$L,$G515,BASE!$J:$J,$C515,BASE!$A:$A,Q$2)</f>
        <v>2</v>
      </c>
      <c r="R515" s="12">
        <f>SUMIFS(BASE!$G:$G,BASE!$B:$B,$B515,BASE!$L:$L,$G515,BASE!$J:$J,$C515,BASE!$A:$A,R$2)</f>
        <v>5</v>
      </c>
      <c r="S515" s="12">
        <f>SUMIFS(BASE!$G:$G,BASE!$B:$B,$B515,BASE!$L:$L,$G515,BASE!$J:$J,$C515,BASE!$A:$A,S$2)</f>
        <v>0</v>
      </c>
      <c r="T515" s="12">
        <f>SUMIFS(BASE!$G:$G,BASE!$B:$B,$B515,BASE!$L:$L,$G515,BASE!$J:$J,$C515,BASE!$A:$A,T$2)</f>
        <v>0</v>
      </c>
      <c r="U515" s="12">
        <f>SUMIFS(BASE!$G:$G,BASE!$B:$B,$B515,BASE!$L:$L,$G515,BASE!$J:$J,$C515,BASE!$A:$A,U$2)</f>
        <v>0</v>
      </c>
      <c r="V515" s="12">
        <f>SUMIFS(BASE!$G:$G,BASE!$B:$B,$B515,BASE!$L:$L,$G515,BASE!$J:$J,$C515,BASE!$A:$A,V$2)</f>
        <v>0</v>
      </c>
      <c r="X515" t="str">
        <f t="shared" si="15"/>
        <v>COM TROCAS</v>
      </c>
    </row>
    <row r="516" spans="2:24">
      <c r="B516" s="8" t="s">
        <v>1186</v>
      </c>
      <c r="C516" s="9" t="s">
        <v>232</v>
      </c>
      <c r="D516" s="9" t="s">
        <v>1187</v>
      </c>
      <c r="E516" s="9" t="s">
        <v>1147</v>
      </c>
      <c r="F516" s="9" t="s">
        <v>1188</v>
      </c>
      <c r="G516" s="9" t="s">
        <v>55</v>
      </c>
      <c r="H516" s="7" t="str">
        <f>IFERROR(IF(_xlfn.XLOOKUP(B516,REPASSE!D:D,REPASSE!D:D)="","Não","Sim"),"Não")</f>
        <v>Não</v>
      </c>
      <c r="I516" s="7" t="str">
        <f>IF(_xlfn.XLOOKUP(B516,'BOOST LIBERADO'!B:B,'BOOST LIBERADO'!B:B,"Não")="Não","Não","Sim")</f>
        <v>Sim</v>
      </c>
      <c r="J516" s="83" t="str">
        <f t="shared" ref="J516:J579" si="16">IF(AND(H516="Não",I516="Sim"),"Sim","Não")</f>
        <v>Sim</v>
      </c>
      <c r="K516" s="12">
        <f>SUMIFS(BASE!$G:$G,BASE!$B:$B,$B516,BASE!$L:$L,$G516,BASE!$J:$J,$C516,BASE!$A:$A,K$2)</f>
        <v>0</v>
      </c>
      <c r="L516" s="12">
        <f>SUMIFS(BASE!$G:$G,BASE!$B:$B,$B516,BASE!$L:$L,$G516,BASE!$J:$J,$C516,BASE!$A:$A,L$2)</f>
        <v>0</v>
      </c>
      <c r="M516" s="12">
        <f>SUMIFS(BASE!$G:$G,BASE!$B:$B,$B516,BASE!$L:$L,$G516,BASE!$J:$J,$C516,BASE!$A:$A,M$2)</f>
        <v>2</v>
      </c>
      <c r="N516" s="12">
        <f>SUMIFS(BASE!$G:$G,BASE!$B:$B,$B516,BASE!$L:$L,$G516,BASE!$J:$J,$C516,BASE!$A:$A,N$2)</f>
        <v>1</v>
      </c>
      <c r="O516" s="12">
        <f>SUMIFS(BASE!$G:$G,BASE!$B:$B,$B516,BASE!$L:$L,$G516,BASE!$J:$J,$C516,BASE!$A:$A,O$2)</f>
        <v>0</v>
      </c>
      <c r="P516" s="12">
        <f>SUMIFS(BASE!$G:$G,BASE!$B:$B,$B516,BASE!$L:$L,$G516,BASE!$J:$J,$C516,BASE!$A:$A,P$2)</f>
        <v>0</v>
      </c>
      <c r="Q516" s="12">
        <f>SUMIFS(BASE!$G:$G,BASE!$B:$B,$B516,BASE!$L:$L,$G516,BASE!$J:$J,$C516,BASE!$A:$A,Q$2)</f>
        <v>0</v>
      </c>
      <c r="R516" s="12">
        <f>SUMIFS(BASE!$G:$G,BASE!$B:$B,$B516,BASE!$L:$L,$G516,BASE!$J:$J,$C516,BASE!$A:$A,R$2)</f>
        <v>0</v>
      </c>
      <c r="S516" s="12">
        <f>SUMIFS(BASE!$G:$G,BASE!$B:$B,$B516,BASE!$L:$L,$G516,BASE!$J:$J,$C516,BASE!$A:$A,S$2)</f>
        <v>0</v>
      </c>
      <c r="T516" s="12">
        <f>SUMIFS(BASE!$G:$G,BASE!$B:$B,$B516,BASE!$L:$L,$G516,BASE!$J:$J,$C516,BASE!$A:$A,T$2)</f>
        <v>0</v>
      </c>
      <c r="U516" s="12">
        <f>SUMIFS(BASE!$G:$G,BASE!$B:$B,$B516,BASE!$L:$L,$G516,BASE!$J:$J,$C516,BASE!$A:$A,U$2)</f>
        <v>0</v>
      </c>
      <c r="V516" s="12">
        <f>SUMIFS(BASE!$G:$G,BASE!$B:$B,$B516,BASE!$L:$L,$G516,BASE!$J:$J,$C516,BASE!$A:$A,V$2)</f>
        <v>0</v>
      </c>
      <c r="X516" t="str">
        <f t="shared" ref="X516:X579" si="17">IF(AND(R516=0),"ZERADO","COM TROCAS")</f>
        <v>ZERADO</v>
      </c>
    </row>
    <row r="517" spans="2:24">
      <c r="B517" s="8" t="s">
        <v>1189</v>
      </c>
      <c r="C517" s="9" t="s">
        <v>232</v>
      </c>
      <c r="D517" s="9" t="s">
        <v>1187</v>
      </c>
      <c r="E517" s="9" t="s">
        <v>1147</v>
      </c>
      <c r="F517" s="9" t="s">
        <v>1190</v>
      </c>
      <c r="G517" s="9" t="s">
        <v>55</v>
      </c>
      <c r="H517" s="7" t="str">
        <f>IFERROR(IF(_xlfn.XLOOKUP(B517,REPASSE!D:D,REPASSE!D:D)="","Não","Sim"),"Não")</f>
        <v>Não</v>
      </c>
      <c r="I517" s="7" t="str">
        <f>IF(_xlfn.XLOOKUP(B517,'BOOST LIBERADO'!B:B,'BOOST LIBERADO'!B:B,"Não")="Não","Não","Sim")</f>
        <v>Sim</v>
      </c>
      <c r="J517" s="83" t="str">
        <f t="shared" si="16"/>
        <v>Sim</v>
      </c>
      <c r="K517" s="12">
        <f>SUMIFS(BASE!$G:$G,BASE!$B:$B,$B517,BASE!$L:$L,$G517,BASE!$J:$J,$C517,BASE!$A:$A,K$2)</f>
        <v>0</v>
      </c>
      <c r="L517" s="12">
        <f>SUMIFS(BASE!$G:$G,BASE!$B:$B,$B517,BASE!$L:$L,$G517,BASE!$J:$J,$C517,BASE!$A:$A,L$2)</f>
        <v>0</v>
      </c>
      <c r="M517" s="12">
        <f>SUMIFS(BASE!$G:$G,BASE!$B:$B,$B517,BASE!$L:$L,$G517,BASE!$J:$J,$C517,BASE!$A:$A,M$2)</f>
        <v>0</v>
      </c>
      <c r="N517" s="12">
        <f>SUMIFS(BASE!$G:$G,BASE!$B:$B,$B517,BASE!$L:$L,$G517,BASE!$J:$J,$C517,BASE!$A:$A,N$2)</f>
        <v>0</v>
      </c>
      <c r="O517" s="12">
        <f>SUMIFS(BASE!$G:$G,BASE!$B:$B,$B517,BASE!$L:$L,$G517,BASE!$J:$J,$C517,BASE!$A:$A,O$2)</f>
        <v>0</v>
      </c>
      <c r="P517" s="12">
        <f>SUMIFS(BASE!$G:$G,BASE!$B:$B,$B517,BASE!$L:$L,$G517,BASE!$J:$J,$C517,BASE!$A:$A,P$2)</f>
        <v>1</v>
      </c>
      <c r="Q517" s="12">
        <f>SUMIFS(BASE!$G:$G,BASE!$B:$B,$B517,BASE!$L:$L,$G517,BASE!$J:$J,$C517,BASE!$A:$A,Q$2)</f>
        <v>7</v>
      </c>
      <c r="R517" s="12">
        <f>SUMIFS(BASE!$G:$G,BASE!$B:$B,$B517,BASE!$L:$L,$G517,BASE!$J:$J,$C517,BASE!$A:$A,R$2)</f>
        <v>1</v>
      </c>
      <c r="S517" s="12">
        <f>SUMIFS(BASE!$G:$G,BASE!$B:$B,$B517,BASE!$L:$L,$G517,BASE!$J:$J,$C517,BASE!$A:$A,S$2)</f>
        <v>0</v>
      </c>
      <c r="T517" s="12">
        <f>SUMIFS(BASE!$G:$G,BASE!$B:$B,$B517,BASE!$L:$L,$G517,BASE!$J:$J,$C517,BASE!$A:$A,T$2)</f>
        <v>0</v>
      </c>
      <c r="U517" s="12">
        <f>SUMIFS(BASE!$G:$G,BASE!$B:$B,$B517,BASE!$L:$L,$G517,BASE!$J:$J,$C517,BASE!$A:$A,U$2)</f>
        <v>0</v>
      </c>
      <c r="V517" s="12">
        <f>SUMIFS(BASE!$G:$G,BASE!$B:$B,$B517,BASE!$L:$L,$G517,BASE!$J:$J,$C517,BASE!$A:$A,V$2)</f>
        <v>0</v>
      </c>
      <c r="X517" t="str">
        <f t="shared" si="17"/>
        <v>COM TROCAS</v>
      </c>
    </row>
    <row r="518" spans="2:24">
      <c r="B518" s="8" t="s">
        <v>1191</v>
      </c>
      <c r="C518" s="9" t="s">
        <v>234</v>
      </c>
      <c r="D518" s="9" t="s">
        <v>1192</v>
      </c>
      <c r="E518" s="9" t="s">
        <v>1193</v>
      </c>
      <c r="F518" s="9" t="s">
        <v>1194</v>
      </c>
      <c r="G518" s="9" t="s">
        <v>55</v>
      </c>
      <c r="H518" s="7" t="str">
        <f>IFERROR(IF(_xlfn.XLOOKUP(B518,REPASSE!D:D,REPASSE!D:D)="","Não","Sim"),"Não")</f>
        <v>Não</v>
      </c>
      <c r="I518" s="7" t="str">
        <f>IF(_xlfn.XLOOKUP(B518,'BOOST LIBERADO'!B:B,'BOOST LIBERADO'!B:B,"Não")="Não","Não","Sim")</f>
        <v>Sim</v>
      </c>
      <c r="J518" s="83" t="str">
        <f t="shared" si="16"/>
        <v>Sim</v>
      </c>
      <c r="K518" s="12">
        <f>SUMIFS(BASE!$G:$G,BASE!$B:$B,$B518,BASE!$L:$L,$G518,BASE!$J:$J,$C518,BASE!$A:$A,K$2)</f>
        <v>2</v>
      </c>
      <c r="L518" s="12">
        <f>SUMIFS(BASE!$G:$G,BASE!$B:$B,$B518,BASE!$L:$L,$G518,BASE!$J:$J,$C518,BASE!$A:$A,L$2)</f>
        <v>3</v>
      </c>
      <c r="M518" s="12">
        <f>SUMIFS(BASE!$G:$G,BASE!$B:$B,$B518,BASE!$L:$L,$G518,BASE!$J:$J,$C518,BASE!$A:$A,M$2)</f>
        <v>0</v>
      </c>
      <c r="N518" s="12">
        <f>SUMIFS(BASE!$G:$G,BASE!$B:$B,$B518,BASE!$L:$L,$G518,BASE!$J:$J,$C518,BASE!$A:$A,N$2)</f>
        <v>2</v>
      </c>
      <c r="O518" s="12">
        <f>SUMIFS(BASE!$G:$G,BASE!$B:$B,$B518,BASE!$L:$L,$G518,BASE!$J:$J,$C518,BASE!$A:$A,O$2)</f>
        <v>2</v>
      </c>
      <c r="P518" s="12">
        <f>SUMIFS(BASE!$G:$G,BASE!$B:$B,$B518,BASE!$L:$L,$G518,BASE!$J:$J,$C518,BASE!$A:$A,P$2)</f>
        <v>1</v>
      </c>
      <c r="Q518" s="12">
        <f>SUMIFS(BASE!$G:$G,BASE!$B:$B,$B518,BASE!$L:$L,$G518,BASE!$J:$J,$C518,BASE!$A:$A,Q$2)</f>
        <v>4</v>
      </c>
      <c r="R518" s="12">
        <f>SUMIFS(BASE!$G:$G,BASE!$B:$B,$B518,BASE!$L:$L,$G518,BASE!$J:$J,$C518,BASE!$A:$A,R$2)</f>
        <v>3</v>
      </c>
      <c r="S518" s="12">
        <f>SUMIFS(BASE!$G:$G,BASE!$B:$B,$B518,BASE!$L:$L,$G518,BASE!$J:$J,$C518,BASE!$A:$A,S$2)</f>
        <v>0</v>
      </c>
      <c r="T518" s="12">
        <f>SUMIFS(BASE!$G:$G,BASE!$B:$B,$B518,BASE!$L:$L,$G518,BASE!$J:$J,$C518,BASE!$A:$A,T$2)</f>
        <v>0</v>
      </c>
      <c r="U518" s="12">
        <f>SUMIFS(BASE!$G:$G,BASE!$B:$B,$B518,BASE!$L:$L,$G518,BASE!$J:$J,$C518,BASE!$A:$A,U$2)</f>
        <v>0</v>
      </c>
      <c r="V518" s="12">
        <f>SUMIFS(BASE!$G:$G,BASE!$B:$B,$B518,BASE!$L:$L,$G518,BASE!$J:$J,$C518,BASE!$A:$A,V$2)</f>
        <v>0</v>
      </c>
      <c r="X518" t="str">
        <f t="shared" si="17"/>
        <v>COM TROCAS</v>
      </c>
    </row>
    <row r="519" spans="2:24">
      <c r="B519" s="8" t="s">
        <v>1195</v>
      </c>
      <c r="C519" s="9" t="s">
        <v>228</v>
      </c>
      <c r="D519" s="9" t="s">
        <v>1154</v>
      </c>
      <c r="E519" s="9" t="s">
        <v>1147</v>
      </c>
      <c r="F519" s="9" t="s">
        <v>1196</v>
      </c>
      <c r="G519" s="9" t="s">
        <v>55</v>
      </c>
      <c r="H519" s="7" t="str">
        <f>IFERROR(IF(_xlfn.XLOOKUP(B519,REPASSE!D:D,REPASSE!D:D)="","Não","Sim"),"Não")</f>
        <v>Não</v>
      </c>
      <c r="I519" s="7" t="str">
        <f>IF(_xlfn.XLOOKUP(B519,'BOOST LIBERADO'!B:B,'BOOST LIBERADO'!B:B,"Não")="Não","Não","Sim")</f>
        <v>Sim</v>
      </c>
      <c r="J519" s="83" t="str">
        <f t="shared" si="16"/>
        <v>Sim</v>
      </c>
      <c r="K519" s="12">
        <f>SUMIFS(BASE!$G:$G,BASE!$B:$B,$B519,BASE!$L:$L,$G519,BASE!$J:$J,$C519,BASE!$A:$A,K$2)</f>
        <v>0</v>
      </c>
      <c r="L519" s="12">
        <f>SUMIFS(BASE!$G:$G,BASE!$B:$B,$B519,BASE!$L:$L,$G519,BASE!$J:$J,$C519,BASE!$A:$A,L$2)</f>
        <v>1</v>
      </c>
      <c r="M519" s="12">
        <f>SUMIFS(BASE!$G:$G,BASE!$B:$B,$B519,BASE!$L:$L,$G519,BASE!$J:$J,$C519,BASE!$A:$A,M$2)</f>
        <v>1</v>
      </c>
      <c r="N519" s="12">
        <f>SUMIFS(BASE!$G:$G,BASE!$B:$B,$B519,BASE!$L:$L,$G519,BASE!$J:$J,$C519,BASE!$A:$A,N$2)</f>
        <v>0</v>
      </c>
      <c r="O519" s="12">
        <f>SUMIFS(BASE!$G:$G,BASE!$B:$B,$B519,BASE!$L:$L,$G519,BASE!$J:$J,$C519,BASE!$A:$A,O$2)</f>
        <v>0</v>
      </c>
      <c r="P519" s="12">
        <f>SUMIFS(BASE!$G:$G,BASE!$B:$B,$B519,BASE!$L:$L,$G519,BASE!$J:$J,$C519,BASE!$A:$A,P$2)</f>
        <v>0</v>
      </c>
      <c r="Q519" s="12">
        <f>SUMIFS(BASE!$G:$G,BASE!$B:$B,$B519,BASE!$L:$L,$G519,BASE!$J:$J,$C519,BASE!$A:$A,Q$2)</f>
        <v>3</v>
      </c>
      <c r="R519" s="12">
        <f>SUMIFS(BASE!$G:$G,BASE!$B:$B,$B519,BASE!$L:$L,$G519,BASE!$J:$J,$C519,BASE!$A:$A,R$2)</f>
        <v>2</v>
      </c>
      <c r="S519" s="12">
        <f>SUMIFS(BASE!$G:$G,BASE!$B:$B,$B519,BASE!$L:$L,$G519,BASE!$J:$J,$C519,BASE!$A:$A,S$2)</f>
        <v>0</v>
      </c>
      <c r="T519" s="12">
        <f>SUMIFS(BASE!$G:$G,BASE!$B:$B,$B519,BASE!$L:$L,$G519,BASE!$J:$J,$C519,BASE!$A:$A,T$2)</f>
        <v>0</v>
      </c>
      <c r="U519" s="12">
        <f>SUMIFS(BASE!$G:$G,BASE!$B:$B,$B519,BASE!$L:$L,$G519,BASE!$J:$J,$C519,BASE!$A:$A,U$2)</f>
        <v>0</v>
      </c>
      <c r="V519" s="12">
        <f>SUMIFS(BASE!$G:$G,BASE!$B:$B,$B519,BASE!$L:$L,$G519,BASE!$J:$J,$C519,BASE!$A:$A,V$2)</f>
        <v>0</v>
      </c>
      <c r="X519" t="str">
        <f t="shared" si="17"/>
        <v>COM TROCAS</v>
      </c>
    </row>
    <row r="520" spans="2:24">
      <c r="B520" s="8" t="s">
        <v>1197</v>
      </c>
      <c r="C520" s="9" t="s">
        <v>237</v>
      </c>
      <c r="D520" s="9" t="s">
        <v>1198</v>
      </c>
      <c r="E520" s="9" t="s">
        <v>1141</v>
      </c>
      <c r="F520" s="9" t="s">
        <v>1142</v>
      </c>
      <c r="G520" s="9" t="s">
        <v>55</v>
      </c>
      <c r="H520" s="7" t="str">
        <f>IFERROR(IF(_xlfn.XLOOKUP(B520,REPASSE!D:D,REPASSE!D:D)="","Não","Sim"),"Não")</f>
        <v>Não</v>
      </c>
      <c r="I520" s="7" t="str">
        <f>IF(_xlfn.XLOOKUP(B520,'BOOST LIBERADO'!B:B,'BOOST LIBERADO'!B:B,"Não")="Não","Não","Sim")</f>
        <v>Sim</v>
      </c>
      <c r="J520" s="83" t="str">
        <f t="shared" si="16"/>
        <v>Sim</v>
      </c>
      <c r="K520" s="12">
        <f>SUMIFS(BASE!$G:$G,BASE!$B:$B,$B520,BASE!$L:$L,$G520,BASE!$J:$J,$C520,BASE!$A:$A,K$2)</f>
        <v>0</v>
      </c>
      <c r="L520" s="12">
        <f>SUMIFS(BASE!$G:$G,BASE!$B:$B,$B520,BASE!$L:$L,$G520,BASE!$J:$J,$C520,BASE!$A:$A,L$2)</f>
        <v>0</v>
      </c>
      <c r="M520" s="12">
        <f>SUMIFS(BASE!$G:$G,BASE!$B:$B,$B520,BASE!$L:$L,$G520,BASE!$J:$J,$C520,BASE!$A:$A,M$2)</f>
        <v>1</v>
      </c>
      <c r="N520" s="12">
        <f>SUMIFS(BASE!$G:$G,BASE!$B:$B,$B520,BASE!$L:$L,$G520,BASE!$J:$J,$C520,BASE!$A:$A,N$2)</f>
        <v>0</v>
      </c>
      <c r="O520" s="12">
        <f>SUMIFS(BASE!$G:$G,BASE!$B:$B,$B520,BASE!$L:$L,$G520,BASE!$J:$J,$C520,BASE!$A:$A,O$2)</f>
        <v>3</v>
      </c>
      <c r="P520" s="12">
        <f>SUMIFS(BASE!$G:$G,BASE!$B:$B,$B520,BASE!$L:$L,$G520,BASE!$J:$J,$C520,BASE!$A:$A,P$2)</f>
        <v>1</v>
      </c>
      <c r="Q520" s="12">
        <f>SUMIFS(BASE!$G:$G,BASE!$B:$B,$B520,BASE!$L:$L,$G520,BASE!$J:$J,$C520,BASE!$A:$A,Q$2)</f>
        <v>2</v>
      </c>
      <c r="R520" s="12">
        <f>SUMIFS(BASE!$G:$G,BASE!$B:$B,$B520,BASE!$L:$L,$G520,BASE!$J:$J,$C520,BASE!$A:$A,R$2)</f>
        <v>7</v>
      </c>
      <c r="S520" s="12">
        <f>SUMIFS(BASE!$G:$G,BASE!$B:$B,$B520,BASE!$L:$L,$G520,BASE!$J:$J,$C520,BASE!$A:$A,S$2)</f>
        <v>0</v>
      </c>
      <c r="T520" s="12">
        <f>SUMIFS(BASE!$G:$G,BASE!$B:$B,$B520,BASE!$L:$L,$G520,BASE!$J:$J,$C520,BASE!$A:$A,T$2)</f>
        <v>0</v>
      </c>
      <c r="U520" s="12">
        <f>SUMIFS(BASE!$G:$G,BASE!$B:$B,$B520,BASE!$L:$L,$G520,BASE!$J:$J,$C520,BASE!$A:$A,U$2)</f>
        <v>0</v>
      </c>
      <c r="V520" s="12">
        <f>SUMIFS(BASE!$G:$G,BASE!$B:$B,$B520,BASE!$L:$L,$G520,BASE!$J:$J,$C520,BASE!$A:$A,V$2)</f>
        <v>0</v>
      </c>
      <c r="X520" t="str">
        <f t="shared" si="17"/>
        <v>COM TROCAS</v>
      </c>
    </row>
    <row r="521" spans="2:24">
      <c r="B521" s="8" t="s">
        <v>1199</v>
      </c>
      <c r="C521" s="9" t="s">
        <v>237</v>
      </c>
      <c r="D521" s="9" t="s">
        <v>1179</v>
      </c>
      <c r="E521" s="9" t="s">
        <v>1151</v>
      </c>
      <c r="F521" s="9" t="s">
        <v>1159</v>
      </c>
      <c r="G521" s="9" t="s">
        <v>55</v>
      </c>
      <c r="H521" s="7" t="str">
        <f>IFERROR(IF(_xlfn.XLOOKUP(B521,REPASSE!D:D,REPASSE!D:D)="","Não","Sim"),"Não")</f>
        <v>Não</v>
      </c>
      <c r="I521" s="7" t="str">
        <f>IF(_xlfn.XLOOKUP(B521,'BOOST LIBERADO'!B:B,'BOOST LIBERADO'!B:B,"Não")="Não","Não","Sim")</f>
        <v>Sim</v>
      </c>
      <c r="J521" s="83" t="str">
        <f t="shared" si="16"/>
        <v>Sim</v>
      </c>
      <c r="K521" s="12">
        <f>SUMIFS(BASE!$G:$G,BASE!$B:$B,$B521,BASE!$L:$L,$G521,BASE!$J:$J,$C521,BASE!$A:$A,K$2)</f>
        <v>0</v>
      </c>
      <c r="L521" s="12">
        <f>SUMIFS(BASE!$G:$G,BASE!$B:$B,$B521,BASE!$L:$L,$G521,BASE!$J:$J,$C521,BASE!$A:$A,L$2)</f>
        <v>0</v>
      </c>
      <c r="M521" s="12">
        <f>SUMIFS(BASE!$G:$G,BASE!$B:$B,$B521,BASE!$L:$L,$G521,BASE!$J:$J,$C521,BASE!$A:$A,M$2)</f>
        <v>1</v>
      </c>
      <c r="N521" s="12">
        <f>SUMIFS(BASE!$G:$G,BASE!$B:$B,$B521,BASE!$L:$L,$G521,BASE!$J:$J,$C521,BASE!$A:$A,N$2)</f>
        <v>0</v>
      </c>
      <c r="O521" s="12">
        <f>SUMIFS(BASE!$G:$G,BASE!$B:$B,$B521,BASE!$L:$L,$G521,BASE!$J:$J,$C521,BASE!$A:$A,O$2)</f>
        <v>0</v>
      </c>
      <c r="P521" s="12">
        <f>SUMIFS(BASE!$G:$G,BASE!$B:$B,$B521,BASE!$L:$L,$G521,BASE!$J:$J,$C521,BASE!$A:$A,P$2)</f>
        <v>0</v>
      </c>
      <c r="Q521" s="12">
        <f>SUMIFS(BASE!$G:$G,BASE!$B:$B,$B521,BASE!$L:$L,$G521,BASE!$J:$J,$C521,BASE!$A:$A,Q$2)</f>
        <v>0</v>
      </c>
      <c r="R521" s="12">
        <f>SUMIFS(BASE!$G:$G,BASE!$B:$B,$B521,BASE!$L:$L,$G521,BASE!$J:$J,$C521,BASE!$A:$A,R$2)</f>
        <v>3</v>
      </c>
      <c r="S521" s="12">
        <f>SUMIFS(BASE!$G:$G,BASE!$B:$B,$B521,BASE!$L:$L,$G521,BASE!$J:$J,$C521,BASE!$A:$A,S$2)</f>
        <v>0</v>
      </c>
      <c r="T521" s="12">
        <f>SUMIFS(BASE!$G:$G,BASE!$B:$B,$B521,BASE!$L:$L,$G521,BASE!$J:$J,$C521,BASE!$A:$A,T$2)</f>
        <v>0</v>
      </c>
      <c r="U521" s="12">
        <f>SUMIFS(BASE!$G:$G,BASE!$B:$B,$B521,BASE!$L:$L,$G521,BASE!$J:$J,$C521,BASE!$A:$A,U$2)</f>
        <v>0</v>
      </c>
      <c r="V521" s="12">
        <f>SUMIFS(BASE!$G:$G,BASE!$B:$B,$B521,BASE!$L:$L,$G521,BASE!$J:$J,$C521,BASE!$A:$A,V$2)</f>
        <v>0</v>
      </c>
      <c r="X521" t="str">
        <f t="shared" si="17"/>
        <v>COM TROCAS</v>
      </c>
    </row>
    <row r="522" spans="2:24">
      <c r="B522" s="8" t="s">
        <v>1200</v>
      </c>
      <c r="C522" s="9" t="s">
        <v>216</v>
      </c>
      <c r="D522" s="9" t="s">
        <v>1201</v>
      </c>
      <c r="E522" s="9" t="s">
        <v>1193</v>
      </c>
      <c r="F522" s="9" t="s">
        <v>1202</v>
      </c>
      <c r="G522" s="9" t="s">
        <v>55</v>
      </c>
      <c r="H522" s="7" t="str">
        <f>IFERROR(IF(_xlfn.XLOOKUP(B522,REPASSE!D:D,REPASSE!D:D)="","Não","Sim"),"Não")</f>
        <v>Não</v>
      </c>
      <c r="I522" s="7" t="str">
        <f>IF(_xlfn.XLOOKUP(B522,'BOOST LIBERADO'!B:B,'BOOST LIBERADO'!B:B,"Não")="Não","Não","Sim")</f>
        <v>Sim</v>
      </c>
      <c r="J522" s="83" t="str">
        <f t="shared" si="16"/>
        <v>Sim</v>
      </c>
      <c r="K522" s="12">
        <f>SUMIFS(BASE!$G:$G,BASE!$B:$B,$B522,BASE!$L:$L,$G522,BASE!$J:$J,$C522,BASE!$A:$A,K$2)</f>
        <v>0</v>
      </c>
      <c r="L522" s="12">
        <f>SUMIFS(BASE!$G:$G,BASE!$B:$B,$B522,BASE!$L:$L,$G522,BASE!$J:$J,$C522,BASE!$A:$A,L$2)</f>
        <v>0</v>
      </c>
      <c r="M522" s="12">
        <f>SUMIFS(BASE!$G:$G,BASE!$B:$B,$B522,BASE!$L:$L,$G522,BASE!$J:$J,$C522,BASE!$A:$A,M$2)</f>
        <v>0</v>
      </c>
      <c r="N522" s="12">
        <f>SUMIFS(BASE!$G:$G,BASE!$B:$B,$B522,BASE!$L:$L,$G522,BASE!$J:$J,$C522,BASE!$A:$A,N$2)</f>
        <v>0</v>
      </c>
      <c r="O522" s="12">
        <f>SUMIFS(BASE!$G:$G,BASE!$B:$B,$B522,BASE!$L:$L,$G522,BASE!$J:$J,$C522,BASE!$A:$A,O$2)</f>
        <v>0</v>
      </c>
      <c r="P522" s="12">
        <f>SUMIFS(BASE!$G:$G,BASE!$B:$B,$B522,BASE!$L:$L,$G522,BASE!$J:$J,$C522,BASE!$A:$A,P$2)</f>
        <v>0</v>
      </c>
      <c r="Q522" s="12">
        <f>SUMIFS(BASE!$G:$G,BASE!$B:$B,$B522,BASE!$L:$L,$G522,BASE!$J:$J,$C522,BASE!$A:$A,Q$2)</f>
        <v>0</v>
      </c>
      <c r="R522" s="12">
        <f>SUMIFS(BASE!$G:$G,BASE!$B:$B,$B522,BASE!$L:$L,$G522,BASE!$J:$J,$C522,BASE!$A:$A,R$2)</f>
        <v>0</v>
      </c>
      <c r="S522" s="12">
        <f>SUMIFS(BASE!$G:$G,BASE!$B:$B,$B522,BASE!$L:$L,$G522,BASE!$J:$J,$C522,BASE!$A:$A,S$2)</f>
        <v>0</v>
      </c>
      <c r="T522" s="12">
        <f>SUMIFS(BASE!$G:$G,BASE!$B:$B,$B522,BASE!$L:$L,$G522,BASE!$J:$J,$C522,BASE!$A:$A,T$2)</f>
        <v>0</v>
      </c>
      <c r="U522" s="12">
        <f>SUMIFS(BASE!$G:$G,BASE!$B:$B,$B522,BASE!$L:$L,$G522,BASE!$J:$J,$C522,BASE!$A:$A,U$2)</f>
        <v>0</v>
      </c>
      <c r="V522" s="12">
        <f>SUMIFS(BASE!$G:$G,BASE!$B:$B,$B522,BASE!$L:$L,$G522,BASE!$J:$J,$C522,BASE!$A:$A,V$2)</f>
        <v>0</v>
      </c>
      <c r="X522" t="str">
        <f t="shared" si="17"/>
        <v>ZERADO</v>
      </c>
    </row>
    <row r="523" spans="2:24">
      <c r="B523" s="8" t="s">
        <v>1203</v>
      </c>
      <c r="C523" s="9" t="s">
        <v>234</v>
      </c>
      <c r="D523" s="9" t="s">
        <v>1192</v>
      </c>
      <c r="E523" s="9" t="s">
        <v>1193</v>
      </c>
      <c r="F523" s="9" t="s">
        <v>1204</v>
      </c>
      <c r="G523" s="9" t="s">
        <v>55</v>
      </c>
      <c r="H523" s="7" t="str">
        <f>IFERROR(IF(_xlfn.XLOOKUP(B523,REPASSE!D:D,REPASSE!D:D)="","Não","Sim"),"Não")</f>
        <v>Não</v>
      </c>
      <c r="I523" s="7" t="str">
        <f>IF(_xlfn.XLOOKUP(B523,'BOOST LIBERADO'!B:B,'BOOST LIBERADO'!B:B,"Não")="Não","Não","Sim")</f>
        <v>Sim</v>
      </c>
      <c r="J523" s="83" t="str">
        <f t="shared" si="16"/>
        <v>Sim</v>
      </c>
      <c r="K523" s="12">
        <f>SUMIFS(BASE!$G:$G,BASE!$B:$B,$B523,BASE!$L:$L,$G523,BASE!$J:$J,$C523,BASE!$A:$A,K$2)</f>
        <v>12</v>
      </c>
      <c r="L523" s="12">
        <f>SUMIFS(BASE!$G:$G,BASE!$B:$B,$B523,BASE!$L:$L,$G523,BASE!$J:$J,$C523,BASE!$A:$A,L$2)</f>
        <v>3</v>
      </c>
      <c r="M523" s="12">
        <f>SUMIFS(BASE!$G:$G,BASE!$B:$B,$B523,BASE!$L:$L,$G523,BASE!$J:$J,$C523,BASE!$A:$A,M$2)</f>
        <v>7</v>
      </c>
      <c r="N523" s="12">
        <f>SUMIFS(BASE!$G:$G,BASE!$B:$B,$B523,BASE!$L:$L,$G523,BASE!$J:$J,$C523,BASE!$A:$A,N$2)</f>
        <v>3</v>
      </c>
      <c r="O523" s="12">
        <f>SUMIFS(BASE!$G:$G,BASE!$B:$B,$B523,BASE!$L:$L,$G523,BASE!$J:$J,$C523,BASE!$A:$A,O$2)</f>
        <v>6</v>
      </c>
      <c r="P523" s="12">
        <f>SUMIFS(BASE!$G:$G,BASE!$B:$B,$B523,BASE!$L:$L,$G523,BASE!$J:$J,$C523,BASE!$A:$A,P$2)</f>
        <v>7</v>
      </c>
      <c r="Q523" s="12">
        <f>SUMIFS(BASE!$G:$G,BASE!$B:$B,$B523,BASE!$L:$L,$G523,BASE!$J:$J,$C523,BASE!$A:$A,Q$2)</f>
        <v>10</v>
      </c>
      <c r="R523" s="12">
        <f>SUMIFS(BASE!$G:$G,BASE!$B:$B,$B523,BASE!$L:$L,$G523,BASE!$J:$J,$C523,BASE!$A:$A,R$2)</f>
        <v>1</v>
      </c>
      <c r="S523" s="12">
        <f>SUMIFS(BASE!$G:$G,BASE!$B:$B,$B523,BASE!$L:$L,$G523,BASE!$J:$J,$C523,BASE!$A:$A,S$2)</f>
        <v>0</v>
      </c>
      <c r="T523" s="12">
        <f>SUMIFS(BASE!$G:$G,BASE!$B:$B,$B523,BASE!$L:$L,$G523,BASE!$J:$J,$C523,BASE!$A:$A,T$2)</f>
        <v>0</v>
      </c>
      <c r="U523" s="12">
        <f>SUMIFS(BASE!$G:$G,BASE!$B:$B,$B523,BASE!$L:$L,$G523,BASE!$J:$J,$C523,BASE!$A:$A,U$2)</f>
        <v>0</v>
      </c>
      <c r="V523" s="12">
        <f>SUMIFS(BASE!$G:$G,BASE!$B:$B,$B523,BASE!$L:$L,$G523,BASE!$J:$J,$C523,BASE!$A:$A,V$2)</f>
        <v>0</v>
      </c>
      <c r="X523" t="str">
        <f t="shared" si="17"/>
        <v>COM TROCAS</v>
      </c>
    </row>
    <row r="524" spans="2:24">
      <c r="B524" s="8" t="s">
        <v>1205</v>
      </c>
      <c r="C524" s="9" t="s">
        <v>228</v>
      </c>
      <c r="D524" s="9" t="s">
        <v>1206</v>
      </c>
      <c r="E524" s="9" t="s">
        <v>1151</v>
      </c>
      <c r="F524" s="9" t="s">
        <v>1207</v>
      </c>
      <c r="G524" s="9" t="s">
        <v>55</v>
      </c>
      <c r="H524" s="7" t="str">
        <f>IFERROR(IF(_xlfn.XLOOKUP(B524,REPASSE!D:D,REPASSE!D:D)="","Não","Sim"),"Não")</f>
        <v>Não</v>
      </c>
      <c r="I524" s="7" t="str">
        <f>IF(_xlfn.XLOOKUP(B524,'BOOST LIBERADO'!B:B,'BOOST LIBERADO'!B:B,"Não")="Não","Não","Sim")</f>
        <v>Sim</v>
      </c>
      <c r="J524" s="83" t="str">
        <f t="shared" si="16"/>
        <v>Sim</v>
      </c>
      <c r="K524" s="12">
        <f>SUMIFS(BASE!$G:$G,BASE!$B:$B,$B524,BASE!$L:$L,$G524,BASE!$J:$J,$C524,BASE!$A:$A,K$2)</f>
        <v>2</v>
      </c>
      <c r="L524" s="12">
        <f>SUMIFS(BASE!$G:$G,BASE!$B:$B,$B524,BASE!$L:$L,$G524,BASE!$J:$J,$C524,BASE!$A:$A,L$2)</f>
        <v>1</v>
      </c>
      <c r="M524" s="12">
        <f>SUMIFS(BASE!$G:$G,BASE!$B:$B,$B524,BASE!$L:$L,$G524,BASE!$J:$J,$C524,BASE!$A:$A,M$2)</f>
        <v>1</v>
      </c>
      <c r="N524" s="12">
        <f>SUMIFS(BASE!$G:$G,BASE!$B:$B,$B524,BASE!$L:$L,$G524,BASE!$J:$J,$C524,BASE!$A:$A,N$2)</f>
        <v>0</v>
      </c>
      <c r="O524" s="12">
        <f>SUMIFS(BASE!$G:$G,BASE!$B:$B,$B524,BASE!$L:$L,$G524,BASE!$J:$J,$C524,BASE!$A:$A,O$2)</f>
        <v>2</v>
      </c>
      <c r="P524" s="12">
        <f>SUMIFS(BASE!$G:$G,BASE!$B:$B,$B524,BASE!$L:$L,$G524,BASE!$J:$J,$C524,BASE!$A:$A,P$2)</f>
        <v>0</v>
      </c>
      <c r="Q524" s="12">
        <f>SUMIFS(BASE!$G:$G,BASE!$B:$B,$B524,BASE!$L:$L,$G524,BASE!$J:$J,$C524,BASE!$A:$A,Q$2)</f>
        <v>1</v>
      </c>
      <c r="R524" s="12">
        <f>SUMIFS(BASE!$G:$G,BASE!$B:$B,$B524,BASE!$L:$L,$G524,BASE!$J:$J,$C524,BASE!$A:$A,R$2)</f>
        <v>4</v>
      </c>
      <c r="S524" s="12">
        <f>SUMIFS(BASE!$G:$G,BASE!$B:$B,$B524,BASE!$L:$L,$G524,BASE!$J:$J,$C524,BASE!$A:$A,S$2)</f>
        <v>0</v>
      </c>
      <c r="T524" s="12">
        <f>SUMIFS(BASE!$G:$G,BASE!$B:$B,$B524,BASE!$L:$L,$G524,BASE!$J:$J,$C524,BASE!$A:$A,T$2)</f>
        <v>0</v>
      </c>
      <c r="U524" s="12">
        <f>SUMIFS(BASE!$G:$G,BASE!$B:$B,$B524,BASE!$L:$L,$G524,BASE!$J:$J,$C524,BASE!$A:$A,U$2)</f>
        <v>0</v>
      </c>
      <c r="V524" s="12">
        <f>SUMIFS(BASE!$G:$G,BASE!$B:$B,$B524,BASE!$L:$L,$G524,BASE!$J:$J,$C524,BASE!$A:$A,V$2)</f>
        <v>0</v>
      </c>
      <c r="X524" t="str">
        <f t="shared" si="17"/>
        <v>COM TROCAS</v>
      </c>
    </row>
    <row r="525" spans="2:24">
      <c r="B525" s="8" t="s">
        <v>1208</v>
      </c>
      <c r="C525" s="9" t="s">
        <v>237</v>
      </c>
      <c r="D525" s="9" t="s">
        <v>1209</v>
      </c>
      <c r="E525" s="9" t="s">
        <v>1141</v>
      </c>
      <c r="F525" s="9" t="s">
        <v>1142</v>
      </c>
      <c r="G525" s="9" t="s">
        <v>55</v>
      </c>
      <c r="H525" s="7" t="str">
        <f>IFERROR(IF(_xlfn.XLOOKUP(B525,REPASSE!D:D,REPASSE!D:D)="","Não","Sim"),"Não")</f>
        <v>Não</v>
      </c>
      <c r="I525" s="7" t="str">
        <f>IF(_xlfn.XLOOKUP(B525,'BOOST LIBERADO'!B:B,'BOOST LIBERADO'!B:B,"Não")="Não","Não","Sim")</f>
        <v>Sim</v>
      </c>
      <c r="J525" s="83" t="str">
        <f t="shared" si="16"/>
        <v>Sim</v>
      </c>
      <c r="K525" s="12">
        <f>SUMIFS(BASE!$G:$G,BASE!$B:$B,$B525,BASE!$L:$L,$G525,BASE!$J:$J,$C525,BASE!$A:$A,K$2)</f>
        <v>1</v>
      </c>
      <c r="L525" s="12">
        <f>SUMIFS(BASE!$G:$G,BASE!$B:$B,$B525,BASE!$L:$L,$G525,BASE!$J:$J,$C525,BASE!$A:$A,L$2)</f>
        <v>2</v>
      </c>
      <c r="M525" s="12">
        <f>SUMIFS(BASE!$G:$G,BASE!$B:$B,$B525,BASE!$L:$L,$G525,BASE!$J:$J,$C525,BASE!$A:$A,M$2)</f>
        <v>6</v>
      </c>
      <c r="N525" s="12">
        <f>SUMIFS(BASE!$G:$G,BASE!$B:$B,$B525,BASE!$L:$L,$G525,BASE!$J:$J,$C525,BASE!$A:$A,N$2)</f>
        <v>3</v>
      </c>
      <c r="O525" s="12">
        <f>SUMIFS(BASE!$G:$G,BASE!$B:$B,$B525,BASE!$L:$L,$G525,BASE!$J:$J,$C525,BASE!$A:$A,O$2)</f>
        <v>2</v>
      </c>
      <c r="P525" s="12">
        <f>SUMIFS(BASE!$G:$G,BASE!$B:$B,$B525,BASE!$L:$L,$G525,BASE!$J:$J,$C525,BASE!$A:$A,P$2)</f>
        <v>0</v>
      </c>
      <c r="Q525" s="12">
        <f>SUMIFS(BASE!$G:$G,BASE!$B:$B,$B525,BASE!$L:$L,$G525,BASE!$J:$J,$C525,BASE!$A:$A,Q$2)</f>
        <v>0</v>
      </c>
      <c r="R525" s="12">
        <f>SUMIFS(BASE!$G:$G,BASE!$B:$B,$B525,BASE!$L:$L,$G525,BASE!$J:$J,$C525,BASE!$A:$A,R$2)</f>
        <v>4</v>
      </c>
      <c r="S525" s="12">
        <f>SUMIFS(BASE!$G:$G,BASE!$B:$B,$B525,BASE!$L:$L,$G525,BASE!$J:$J,$C525,BASE!$A:$A,S$2)</f>
        <v>0</v>
      </c>
      <c r="T525" s="12">
        <f>SUMIFS(BASE!$G:$G,BASE!$B:$B,$B525,BASE!$L:$L,$G525,BASE!$J:$J,$C525,BASE!$A:$A,T$2)</f>
        <v>0</v>
      </c>
      <c r="U525" s="12">
        <f>SUMIFS(BASE!$G:$G,BASE!$B:$B,$B525,BASE!$L:$L,$G525,BASE!$J:$J,$C525,BASE!$A:$A,U$2)</f>
        <v>0</v>
      </c>
      <c r="V525" s="12">
        <f>SUMIFS(BASE!$G:$G,BASE!$B:$B,$B525,BASE!$L:$L,$G525,BASE!$J:$J,$C525,BASE!$A:$A,V$2)</f>
        <v>0</v>
      </c>
      <c r="X525" t="str">
        <f t="shared" si="17"/>
        <v>COM TROCAS</v>
      </c>
    </row>
    <row r="526" spans="2:24">
      <c r="B526" s="8" t="s">
        <v>1210</v>
      </c>
      <c r="C526" s="9" t="s">
        <v>228</v>
      </c>
      <c r="D526" s="9" t="s">
        <v>1150</v>
      </c>
      <c r="E526" s="9" t="s">
        <v>1151</v>
      </c>
      <c r="F526" s="9" t="s">
        <v>1211</v>
      </c>
      <c r="G526" s="9" t="s">
        <v>55</v>
      </c>
      <c r="H526" s="7" t="str">
        <f>IFERROR(IF(_xlfn.XLOOKUP(B526,REPASSE!D:D,REPASSE!D:D)="","Não","Sim"),"Não")</f>
        <v>Não</v>
      </c>
      <c r="I526" s="7" t="str">
        <f>IF(_xlfn.XLOOKUP(B526,'BOOST LIBERADO'!B:B,'BOOST LIBERADO'!B:B,"Não")="Não","Não","Sim")</f>
        <v>Sim</v>
      </c>
      <c r="J526" s="83" t="str">
        <f t="shared" si="16"/>
        <v>Sim</v>
      </c>
      <c r="K526" s="12">
        <f>SUMIFS(BASE!$G:$G,BASE!$B:$B,$B526,BASE!$L:$L,$G526,BASE!$J:$J,$C526,BASE!$A:$A,K$2)</f>
        <v>4</v>
      </c>
      <c r="L526" s="12">
        <f>SUMIFS(BASE!$G:$G,BASE!$B:$B,$B526,BASE!$L:$L,$G526,BASE!$J:$J,$C526,BASE!$A:$A,L$2)</f>
        <v>14</v>
      </c>
      <c r="M526" s="12">
        <f>SUMIFS(BASE!$G:$G,BASE!$B:$B,$B526,BASE!$L:$L,$G526,BASE!$J:$J,$C526,BASE!$A:$A,M$2)</f>
        <v>9</v>
      </c>
      <c r="N526" s="12">
        <f>SUMIFS(BASE!$G:$G,BASE!$B:$B,$B526,BASE!$L:$L,$G526,BASE!$J:$J,$C526,BASE!$A:$A,N$2)</f>
        <v>9</v>
      </c>
      <c r="O526" s="12">
        <f>SUMIFS(BASE!$G:$G,BASE!$B:$B,$B526,BASE!$L:$L,$G526,BASE!$J:$J,$C526,BASE!$A:$A,O$2)</f>
        <v>8</v>
      </c>
      <c r="P526" s="12">
        <f>SUMIFS(BASE!$G:$G,BASE!$B:$B,$B526,BASE!$L:$L,$G526,BASE!$J:$J,$C526,BASE!$A:$A,P$2)</f>
        <v>7</v>
      </c>
      <c r="Q526" s="12">
        <f>SUMIFS(BASE!$G:$G,BASE!$B:$B,$B526,BASE!$L:$L,$G526,BASE!$J:$J,$C526,BASE!$A:$A,Q$2)</f>
        <v>5</v>
      </c>
      <c r="R526" s="12">
        <f>SUMIFS(BASE!$G:$G,BASE!$B:$B,$B526,BASE!$L:$L,$G526,BASE!$J:$J,$C526,BASE!$A:$A,R$2)</f>
        <v>9</v>
      </c>
      <c r="S526" s="12">
        <f>SUMIFS(BASE!$G:$G,BASE!$B:$B,$B526,BASE!$L:$L,$G526,BASE!$J:$J,$C526,BASE!$A:$A,S$2)</f>
        <v>0</v>
      </c>
      <c r="T526" s="12">
        <f>SUMIFS(BASE!$G:$G,BASE!$B:$B,$B526,BASE!$L:$L,$G526,BASE!$J:$J,$C526,BASE!$A:$A,T$2)</f>
        <v>0</v>
      </c>
      <c r="U526" s="12">
        <f>SUMIFS(BASE!$G:$G,BASE!$B:$B,$B526,BASE!$L:$L,$G526,BASE!$J:$J,$C526,BASE!$A:$A,U$2)</f>
        <v>0</v>
      </c>
      <c r="V526" s="12">
        <f>SUMIFS(BASE!$G:$G,BASE!$B:$B,$B526,BASE!$L:$L,$G526,BASE!$J:$J,$C526,BASE!$A:$A,V$2)</f>
        <v>0</v>
      </c>
      <c r="X526" t="str">
        <f t="shared" si="17"/>
        <v>COM TROCAS</v>
      </c>
    </row>
    <row r="527" spans="2:24">
      <c r="B527" s="8" t="s">
        <v>1212</v>
      </c>
      <c r="C527" s="9" t="s">
        <v>237</v>
      </c>
      <c r="D527" s="9" t="s">
        <v>1213</v>
      </c>
      <c r="E527" s="9" t="s">
        <v>1151</v>
      </c>
      <c r="F527" s="9" t="s">
        <v>1142</v>
      </c>
      <c r="G527" s="9" t="s">
        <v>55</v>
      </c>
      <c r="H527" s="7" t="str">
        <f>IFERROR(IF(_xlfn.XLOOKUP(B527,REPASSE!D:D,REPASSE!D:D)="","Não","Sim"),"Não")</f>
        <v>Não</v>
      </c>
      <c r="I527" s="7" t="str">
        <f>IF(_xlfn.XLOOKUP(B527,'BOOST LIBERADO'!B:B,'BOOST LIBERADO'!B:B,"Não")="Não","Não","Sim")</f>
        <v>Sim</v>
      </c>
      <c r="J527" s="83" t="str">
        <f t="shared" si="16"/>
        <v>Sim</v>
      </c>
      <c r="K527" s="12">
        <f>SUMIFS(BASE!$G:$G,BASE!$B:$B,$B527,BASE!$L:$L,$G527,BASE!$J:$J,$C527,BASE!$A:$A,K$2)</f>
        <v>0</v>
      </c>
      <c r="L527" s="12">
        <f>SUMIFS(BASE!$G:$G,BASE!$B:$B,$B527,BASE!$L:$L,$G527,BASE!$J:$J,$C527,BASE!$A:$A,L$2)</f>
        <v>3</v>
      </c>
      <c r="M527" s="12">
        <f>SUMIFS(BASE!$G:$G,BASE!$B:$B,$B527,BASE!$L:$L,$G527,BASE!$J:$J,$C527,BASE!$A:$A,M$2)</f>
        <v>2</v>
      </c>
      <c r="N527" s="12">
        <f>SUMIFS(BASE!$G:$G,BASE!$B:$B,$B527,BASE!$L:$L,$G527,BASE!$J:$J,$C527,BASE!$A:$A,N$2)</f>
        <v>3</v>
      </c>
      <c r="O527" s="12">
        <f>SUMIFS(BASE!$G:$G,BASE!$B:$B,$B527,BASE!$L:$L,$G527,BASE!$J:$J,$C527,BASE!$A:$A,O$2)</f>
        <v>1</v>
      </c>
      <c r="P527" s="12">
        <f>SUMIFS(BASE!$G:$G,BASE!$B:$B,$B527,BASE!$L:$L,$G527,BASE!$J:$J,$C527,BASE!$A:$A,P$2)</f>
        <v>1</v>
      </c>
      <c r="Q527" s="12">
        <f>SUMIFS(BASE!$G:$G,BASE!$B:$B,$B527,BASE!$L:$L,$G527,BASE!$J:$J,$C527,BASE!$A:$A,Q$2)</f>
        <v>0</v>
      </c>
      <c r="R527" s="12">
        <f>SUMIFS(BASE!$G:$G,BASE!$B:$B,$B527,BASE!$L:$L,$G527,BASE!$J:$J,$C527,BASE!$A:$A,R$2)</f>
        <v>0</v>
      </c>
      <c r="S527" s="12">
        <f>SUMIFS(BASE!$G:$G,BASE!$B:$B,$B527,BASE!$L:$L,$G527,BASE!$J:$J,$C527,BASE!$A:$A,S$2)</f>
        <v>0</v>
      </c>
      <c r="T527" s="12">
        <f>SUMIFS(BASE!$G:$G,BASE!$B:$B,$B527,BASE!$L:$L,$G527,BASE!$J:$J,$C527,BASE!$A:$A,T$2)</f>
        <v>0</v>
      </c>
      <c r="U527" s="12">
        <f>SUMIFS(BASE!$G:$G,BASE!$B:$B,$B527,BASE!$L:$L,$G527,BASE!$J:$J,$C527,BASE!$A:$A,U$2)</f>
        <v>0</v>
      </c>
      <c r="V527" s="12">
        <f>SUMIFS(BASE!$G:$G,BASE!$B:$B,$B527,BASE!$L:$L,$G527,BASE!$J:$J,$C527,BASE!$A:$A,V$2)</f>
        <v>0</v>
      </c>
      <c r="X527" t="str">
        <f t="shared" si="17"/>
        <v>ZERADO</v>
      </c>
    </row>
    <row r="528" spans="2:24">
      <c r="B528" s="8" t="s">
        <v>1214</v>
      </c>
      <c r="C528" s="9" t="s">
        <v>234</v>
      </c>
      <c r="D528" s="9" t="s">
        <v>1192</v>
      </c>
      <c r="E528" s="9" t="s">
        <v>1193</v>
      </c>
      <c r="F528" s="9" t="s">
        <v>1215</v>
      </c>
      <c r="G528" s="9" t="s">
        <v>55</v>
      </c>
      <c r="H528" s="7" t="str">
        <f>IFERROR(IF(_xlfn.XLOOKUP(B528,REPASSE!D:D,REPASSE!D:D)="","Não","Sim"),"Não")</f>
        <v>Não</v>
      </c>
      <c r="I528" s="7" t="str">
        <f>IF(_xlfn.XLOOKUP(B528,'BOOST LIBERADO'!B:B,'BOOST LIBERADO'!B:B,"Não")="Não","Não","Sim")</f>
        <v>Sim</v>
      </c>
      <c r="J528" s="83" t="str">
        <f t="shared" si="16"/>
        <v>Sim</v>
      </c>
      <c r="K528" s="12">
        <f>SUMIFS(BASE!$G:$G,BASE!$B:$B,$B528,BASE!$L:$L,$G528,BASE!$J:$J,$C528,BASE!$A:$A,K$2)</f>
        <v>0</v>
      </c>
      <c r="L528" s="12">
        <f>SUMIFS(BASE!$G:$G,BASE!$B:$B,$B528,BASE!$L:$L,$G528,BASE!$J:$J,$C528,BASE!$A:$A,L$2)</f>
        <v>0</v>
      </c>
      <c r="M528" s="12">
        <f>SUMIFS(BASE!$G:$G,BASE!$B:$B,$B528,BASE!$L:$L,$G528,BASE!$J:$J,$C528,BASE!$A:$A,M$2)</f>
        <v>0</v>
      </c>
      <c r="N528" s="12">
        <f>SUMIFS(BASE!$G:$G,BASE!$B:$B,$B528,BASE!$L:$L,$G528,BASE!$J:$J,$C528,BASE!$A:$A,N$2)</f>
        <v>0</v>
      </c>
      <c r="O528" s="12">
        <f>SUMIFS(BASE!$G:$G,BASE!$B:$B,$B528,BASE!$L:$L,$G528,BASE!$J:$J,$C528,BASE!$A:$A,O$2)</f>
        <v>0</v>
      </c>
      <c r="P528" s="12">
        <f>SUMIFS(BASE!$G:$G,BASE!$B:$B,$B528,BASE!$L:$L,$G528,BASE!$J:$J,$C528,BASE!$A:$A,P$2)</f>
        <v>1</v>
      </c>
      <c r="Q528" s="12">
        <f>SUMIFS(BASE!$G:$G,BASE!$B:$B,$B528,BASE!$L:$L,$G528,BASE!$J:$J,$C528,BASE!$A:$A,Q$2)</f>
        <v>1</v>
      </c>
      <c r="R528" s="12">
        <f>SUMIFS(BASE!$G:$G,BASE!$B:$B,$B528,BASE!$L:$L,$G528,BASE!$J:$J,$C528,BASE!$A:$A,R$2)</f>
        <v>1</v>
      </c>
      <c r="S528" s="12">
        <f>SUMIFS(BASE!$G:$G,BASE!$B:$B,$B528,BASE!$L:$L,$G528,BASE!$J:$J,$C528,BASE!$A:$A,S$2)</f>
        <v>0</v>
      </c>
      <c r="T528" s="12">
        <f>SUMIFS(BASE!$G:$G,BASE!$B:$B,$B528,BASE!$L:$L,$G528,BASE!$J:$J,$C528,BASE!$A:$A,T$2)</f>
        <v>0</v>
      </c>
      <c r="U528" s="12">
        <f>SUMIFS(BASE!$G:$G,BASE!$B:$B,$B528,BASE!$L:$L,$G528,BASE!$J:$J,$C528,BASE!$A:$A,U$2)</f>
        <v>0</v>
      </c>
      <c r="V528" s="12">
        <f>SUMIFS(BASE!$G:$G,BASE!$B:$B,$B528,BASE!$L:$L,$G528,BASE!$J:$J,$C528,BASE!$A:$A,V$2)</f>
        <v>0</v>
      </c>
      <c r="X528" t="str">
        <f t="shared" si="17"/>
        <v>COM TROCAS</v>
      </c>
    </row>
    <row r="529" spans="2:24">
      <c r="B529" s="8" t="s">
        <v>1216</v>
      </c>
      <c r="C529" s="9" t="s">
        <v>228</v>
      </c>
      <c r="D529" s="9" t="s">
        <v>1150</v>
      </c>
      <c r="E529" s="9" t="s">
        <v>1151</v>
      </c>
      <c r="F529" s="9" t="s">
        <v>1182</v>
      </c>
      <c r="G529" s="9" t="s">
        <v>55</v>
      </c>
      <c r="H529" s="7" t="str">
        <f>IFERROR(IF(_xlfn.XLOOKUP(B529,REPASSE!D:D,REPASSE!D:D)="","Não","Sim"),"Não")</f>
        <v>Não</v>
      </c>
      <c r="I529" s="7" t="str">
        <f>IF(_xlfn.XLOOKUP(B529,'BOOST LIBERADO'!B:B,'BOOST LIBERADO'!B:B,"Não")="Não","Não","Sim")</f>
        <v>Sim</v>
      </c>
      <c r="J529" s="83" t="str">
        <f t="shared" si="16"/>
        <v>Sim</v>
      </c>
      <c r="K529" s="12">
        <f>SUMIFS(BASE!$G:$G,BASE!$B:$B,$B529,BASE!$L:$L,$G529,BASE!$J:$J,$C529,BASE!$A:$A,K$2)</f>
        <v>1</v>
      </c>
      <c r="L529" s="12">
        <f>SUMIFS(BASE!$G:$G,BASE!$B:$B,$B529,BASE!$L:$L,$G529,BASE!$J:$J,$C529,BASE!$A:$A,L$2)</f>
        <v>6</v>
      </c>
      <c r="M529" s="12">
        <f>SUMIFS(BASE!$G:$G,BASE!$B:$B,$B529,BASE!$L:$L,$G529,BASE!$J:$J,$C529,BASE!$A:$A,M$2)</f>
        <v>3</v>
      </c>
      <c r="N529" s="12">
        <f>SUMIFS(BASE!$G:$G,BASE!$B:$B,$B529,BASE!$L:$L,$G529,BASE!$J:$J,$C529,BASE!$A:$A,N$2)</f>
        <v>2</v>
      </c>
      <c r="O529" s="12">
        <f>SUMIFS(BASE!$G:$G,BASE!$B:$B,$B529,BASE!$L:$L,$G529,BASE!$J:$J,$C529,BASE!$A:$A,O$2)</f>
        <v>2</v>
      </c>
      <c r="P529" s="12">
        <f>SUMIFS(BASE!$G:$G,BASE!$B:$B,$B529,BASE!$L:$L,$G529,BASE!$J:$J,$C529,BASE!$A:$A,P$2)</f>
        <v>4</v>
      </c>
      <c r="Q529" s="12">
        <f>SUMIFS(BASE!$G:$G,BASE!$B:$B,$B529,BASE!$L:$L,$G529,BASE!$J:$J,$C529,BASE!$A:$A,Q$2)</f>
        <v>16</v>
      </c>
      <c r="R529" s="12">
        <f>SUMIFS(BASE!$G:$G,BASE!$B:$B,$B529,BASE!$L:$L,$G529,BASE!$J:$J,$C529,BASE!$A:$A,R$2)</f>
        <v>16</v>
      </c>
      <c r="S529" s="12">
        <f>SUMIFS(BASE!$G:$G,BASE!$B:$B,$B529,BASE!$L:$L,$G529,BASE!$J:$J,$C529,BASE!$A:$A,S$2)</f>
        <v>0</v>
      </c>
      <c r="T529" s="12">
        <f>SUMIFS(BASE!$G:$G,BASE!$B:$B,$B529,BASE!$L:$L,$G529,BASE!$J:$J,$C529,BASE!$A:$A,T$2)</f>
        <v>0</v>
      </c>
      <c r="U529" s="12">
        <f>SUMIFS(BASE!$G:$G,BASE!$B:$B,$B529,BASE!$L:$L,$G529,BASE!$J:$J,$C529,BASE!$A:$A,U$2)</f>
        <v>0</v>
      </c>
      <c r="V529" s="12">
        <f>SUMIFS(BASE!$G:$G,BASE!$B:$B,$B529,BASE!$L:$L,$G529,BASE!$J:$J,$C529,BASE!$A:$A,V$2)</f>
        <v>0</v>
      </c>
      <c r="X529" t="str">
        <f t="shared" si="17"/>
        <v>COM TROCAS</v>
      </c>
    </row>
    <row r="530" spans="2:24">
      <c r="B530" s="8" t="s">
        <v>1217</v>
      </c>
      <c r="C530" s="9" t="s">
        <v>228</v>
      </c>
      <c r="D530" s="9" t="s">
        <v>1150</v>
      </c>
      <c r="E530" s="9" t="s">
        <v>1151</v>
      </c>
      <c r="F530" s="9" t="s">
        <v>1152</v>
      </c>
      <c r="G530" s="9" t="s">
        <v>55</v>
      </c>
      <c r="H530" s="7" t="str">
        <f>IFERROR(IF(_xlfn.XLOOKUP(B530,REPASSE!D:D,REPASSE!D:D)="","Não","Sim"),"Não")</f>
        <v>Não</v>
      </c>
      <c r="I530" s="7" t="str">
        <f>IF(_xlfn.XLOOKUP(B530,'BOOST LIBERADO'!B:B,'BOOST LIBERADO'!B:B,"Não")="Não","Não","Sim")</f>
        <v>Sim</v>
      </c>
      <c r="J530" s="83" t="str">
        <f t="shared" si="16"/>
        <v>Sim</v>
      </c>
      <c r="K530" s="12">
        <f>SUMIFS(BASE!$G:$G,BASE!$B:$B,$B530,BASE!$L:$L,$G530,BASE!$J:$J,$C530,BASE!$A:$A,K$2)</f>
        <v>13</v>
      </c>
      <c r="L530" s="12">
        <f>SUMIFS(BASE!$G:$G,BASE!$B:$B,$B530,BASE!$L:$L,$G530,BASE!$J:$J,$C530,BASE!$A:$A,L$2)</f>
        <v>17</v>
      </c>
      <c r="M530" s="12">
        <f>SUMIFS(BASE!$G:$G,BASE!$B:$B,$B530,BASE!$L:$L,$G530,BASE!$J:$J,$C530,BASE!$A:$A,M$2)</f>
        <v>26</v>
      </c>
      <c r="N530" s="12">
        <f>SUMIFS(BASE!$G:$G,BASE!$B:$B,$B530,BASE!$L:$L,$G530,BASE!$J:$J,$C530,BASE!$A:$A,N$2)</f>
        <v>24</v>
      </c>
      <c r="O530" s="12">
        <f>SUMIFS(BASE!$G:$G,BASE!$B:$B,$B530,BASE!$L:$L,$G530,BASE!$J:$J,$C530,BASE!$A:$A,O$2)</f>
        <v>34</v>
      </c>
      <c r="P530" s="12">
        <f>SUMIFS(BASE!$G:$G,BASE!$B:$B,$B530,BASE!$L:$L,$G530,BASE!$J:$J,$C530,BASE!$A:$A,P$2)</f>
        <v>24</v>
      </c>
      <c r="Q530" s="12">
        <f>SUMIFS(BASE!$G:$G,BASE!$B:$B,$B530,BASE!$L:$L,$G530,BASE!$J:$J,$C530,BASE!$A:$A,Q$2)</f>
        <v>41</v>
      </c>
      <c r="R530" s="12">
        <f>SUMIFS(BASE!$G:$G,BASE!$B:$B,$B530,BASE!$L:$L,$G530,BASE!$J:$J,$C530,BASE!$A:$A,R$2)</f>
        <v>30</v>
      </c>
      <c r="S530" s="12">
        <f>SUMIFS(BASE!$G:$G,BASE!$B:$B,$B530,BASE!$L:$L,$G530,BASE!$J:$J,$C530,BASE!$A:$A,S$2)</f>
        <v>0</v>
      </c>
      <c r="T530" s="12">
        <f>SUMIFS(BASE!$G:$G,BASE!$B:$B,$B530,BASE!$L:$L,$G530,BASE!$J:$J,$C530,BASE!$A:$A,T$2)</f>
        <v>0</v>
      </c>
      <c r="U530" s="12">
        <f>SUMIFS(BASE!$G:$G,BASE!$B:$B,$B530,BASE!$L:$L,$G530,BASE!$J:$J,$C530,BASE!$A:$A,U$2)</f>
        <v>0</v>
      </c>
      <c r="V530" s="12">
        <f>SUMIFS(BASE!$G:$G,BASE!$B:$B,$B530,BASE!$L:$L,$G530,BASE!$J:$J,$C530,BASE!$A:$A,V$2)</f>
        <v>0</v>
      </c>
      <c r="X530" t="str">
        <f t="shared" si="17"/>
        <v>COM TROCAS</v>
      </c>
    </row>
    <row r="531" spans="2:24">
      <c r="B531" s="8" t="s">
        <v>1218</v>
      </c>
      <c r="C531" s="9" t="s">
        <v>234</v>
      </c>
      <c r="D531" s="9" t="s">
        <v>1219</v>
      </c>
      <c r="E531" s="9" t="s">
        <v>1151</v>
      </c>
      <c r="F531" s="9" t="s">
        <v>1142</v>
      </c>
      <c r="G531" s="9" t="s">
        <v>55</v>
      </c>
      <c r="H531" s="7" t="str">
        <f>IFERROR(IF(_xlfn.XLOOKUP(B531,REPASSE!D:D,REPASSE!D:D)="","Não","Sim"),"Não")</f>
        <v>Não</v>
      </c>
      <c r="I531" s="7" t="str">
        <f>IF(_xlfn.XLOOKUP(B531,'BOOST LIBERADO'!B:B,'BOOST LIBERADO'!B:B,"Não")="Não","Não","Sim")</f>
        <v>Sim</v>
      </c>
      <c r="J531" s="83" t="str">
        <f t="shared" si="16"/>
        <v>Sim</v>
      </c>
      <c r="K531" s="12">
        <f>SUMIFS(BASE!$G:$G,BASE!$B:$B,$B531,BASE!$L:$L,$G531,BASE!$J:$J,$C531,BASE!$A:$A,K$2)</f>
        <v>0</v>
      </c>
      <c r="L531" s="12">
        <f>SUMIFS(BASE!$G:$G,BASE!$B:$B,$B531,BASE!$L:$L,$G531,BASE!$J:$J,$C531,BASE!$A:$A,L$2)</f>
        <v>0</v>
      </c>
      <c r="M531" s="12">
        <f>SUMIFS(BASE!$G:$G,BASE!$B:$B,$B531,BASE!$L:$L,$G531,BASE!$J:$J,$C531,BASE!$A:$A,M$2)</f>
        <v>0</v>
      </c>
      <c r="N531" s="12">
        <f>SUMIFS(BASE!$G:$G,BASE!$B:$B,$B531,BASE!$L:$L,$G531,BASE!$J:$J,$C531,BASE!$A:$A,N$2)</f>
        <v>0</v>
      </c>
      <c r="O531" s="12">
        <f>SUMIFS(BASE!$G:$G,BASE!$B:$B,$B531,BASE!$L:$L,$G531,BASE!$J:$J,$C531,BASE!$A:$A,O$2)</f>
        <v>0</v>
      </c>
      <c r="P531" s="12">
        <f>SUMIFS(BASE!$G:$G,BASE!$B:$B,$B531,BASE!$L:$L,$G531,BASE!$J:$J,$C531,BASE!$A:$A,P$2)</f>
        <v>0</v>
      </c>
      <c r="Q531" s="12">
        <f>SUMIFS(BASE!$G:$G,BASE!$B:$B,$B531,BASE!$L:$L,$G531,BASE!$J:$J,$C531,BASE!$A:$A,Q$2)</f>
        <v>0</v>
      </c>
      <c r="R531" s="12">
        <f>SUMIFS(BASE!$G:$G,BASE!$B:$B,$B531,BASE!$L:$L,$G531,BASE!$J:$J,$C531,BASE!$A:$A,R$2)</f>
        <v>2</v>
      </c>
      <c r="S531" s="12">
        <f>SUMIFS(BASE!$G:$G,BASE!$B:$B,$B531,BASE!$L:$L,$G531,BASE!$J:$J,$C531,BASE!$A:$A,S$2)</f>
        <v>0</v>
      </c>
      <c r="T531" s="12">
        <f>SUMIFS(BASE!$G:$G,BASE!$B:$B,$B531,BASE!$L:$L,$G531,BASE!$J:$J,$C531,BASE!$A:$A,T$2)</f>
        <v>0</v>
      </c>
      <c r="U531" s="12">
        <f>SUMIFS(BASE!$G:$G,BASE!$B:$B,$B531,BASE!$L:$L,$G531,BASE!$J:$J,$C531,BASE!$A:$A,U$2)</f>
        <v>0</v>
      </c>
      <c r="V531" s="12">
        <f>SUMIFS(BASE!$G:$G,BASE!$B:$B,$B531,BASE!$L:$L,$G531,BASE!$J:$J,$C531,BASE!$A:$A,V$2)</f>
        <v>0</v>
      </c>
      <c r="X531" t="str">
        <f t="shared" si="17"/>
        <v>COM TROCAS</v>
      </c>
    </row>
    <row r="532" spans="2:24">
      <c r="B532" s="8" t="s">
        <v>1220</v>
      </c>
      <c r="C532" s="9" t="s">
        <v>125</v>
      </c>
      <c r="D532" s="9" t="s">
        <v>1146</v>
      </c>
      <c r="E532" s="9" t="s">
        <v>1147</v>
      </c>
      <c r="F532" s="9" t="s">
        <v>1221</v>
      </c>
      <c r="G532" s="9" t="s">
        <v>55</v>
      </c>
      <c r="H532" s="7" t="str">
        <f>IFERROR(IF(_xlfn.XLOOKUP(B532,REPASSE!D:D,REPASSE!D:D)="","Não","Sim"),"Não")</f>
        <v>Não</v>
      </c>
      <c r="I532" s="7" t="str">
        <f>IF(_xlfn.XLOOKUP(B532,'BOOST LIBERADO'!B:B,'BOOST LIBERADO'!B:B,"Não")="Não","Não","Sim")</f>
        <v>Sim</v>
      </c>
      <c r="J532" s="83" t="str">
        <f t="shared" si="16"/>
        <v>Sim</v>
      </c>
      <c r="K532" s="12">
        <f>SUMIFS(BASE!$G:$G,BASE!$B:$B,$B532,BASE!$L:$L,$G532,BASE!$J:$J,$C532,BASE!$A:$A,K$2)</f>
        <v>0</v>
      </c>
      <c r="L532" s="12">
        <f>SUMIFS(BASE!$G:$G,BASE!$B:$B,$B532,BASE!$L:$L,$G532,BASE!$J:$J,$C532,BASE!$A:$A,L$2)</f>
        <v>0</v>
      </c>
      <c r="M532" s="12">
        <f>SUMIFS(BASE!$G:$G,BASE!$B:$B,$B532,BASE!$L:$L,$G532,BASE!$J:$J,$C532,BASE!$A:$A,M$2)</f>
        <v>0</v>
      </c>
      <c r="N532" s="12">
        <f>SUMIFS(BASE!$G:$G,BASE!$B:$B,$B532,BASE!$L:$L,$G532,BASE!$J:$J,$C532,BASE!$A:$A,N$2)</f>
        <v>0</v>
      </c>
      <c r="O532" s="12">
        <f>SUMIFS(BASE!$G:$G,BASE!$B:$B,$B532,BASE!$L:$L,$G532,BASE!$J:$J,$C532,BASE!$A:$A,O$2)</f>
        <v>0</v>
      </c>
      <c r="P532" s="12">
        <f>SUMIFS(BASE!$G:$G,BASE!$B:$B,$B532,BASE!$L:$L,$G532,BASE!$J:$J,$C532,BASE!$A:$A,P$2)</f>
        <v>0</v>
      </c>
      <c r="Q532" s="12">
        <f>SUMIFS(BASE!$G:$G,BASE!$B:$B,$B532,BASE!$L:$L,$G532,BASE!$J:$J,$C532,BASE!$A:$A,Q$2)</f>
        <v>0</v>
      </c>
      <c r="R532" s="12">
        <f>SUMIFS(BASE!$G:$G,BASE!$B:$B,$B532,BASE!$L:$L,$G532,BASE!$J:$J,$C532,BASE!$A:$A,R$2)</f>
        <v>0</v>
      </c>
      <c r="S532" s="12">
        <f>SUMIFS(BASE!$G:$G,BASE!$B:$B,$B532,BASE!$L:$L,$G532,BASE!$J:$J,$C532,BASE!$A:$A,S$2)</f>
        <v>0</v>
      </c>
      <c r="T532" s="12">
        <f>SUMIFS(BASE!$G:$G,BASE!$B:$B,$B532,BASE!$L:$L,$G532,BASE!$J:$J,$C532,BASE!$A:$A,T$2)</f>
        <v>0</v>
      </c>
      <c r="U532" s="12">
        <f>SUMIFS(BASE!$G:$G,BASE!$B:$B,$B532,BASE!$L:$L,$G532,BASE!$J:$J,$C532,BASE!$A:$A,U$2)</f>
        <v>0</v>
      </c>
      <c r="V532" s="12">
        <f>SUMIFS(BASE!$G:$G,BASE!$B:$B,$B532,BASE!$L:$L,$G532,BASE!$J:$J,$C532,BASE!$A:$A,V$2)</f>
        <v>0</v>
      </c>
      <c r="X532" t="str">
        <f t="shared" si="17"/>
        <v>ZERADO</v>
      </c>
    </row>
    <row r="533" spans="2:24">
      <c r="B533" s="8" t="s">
        <v>1222</v>
      </c>
      <c r="C533" s="9" t="s">
        <v>228</v>
      </c>
      <c r="D533" s="9" t="s">
        <v>1150</v>
      </c>
      <c r="E533" s="9" t="s">
        <v>1151</v>
      </c>
      <c r="F533" s="9" t="s">
        <v>1223</v>
      </c>
      <c r="G533" s="9" t="s">
        <v>55</v>
      </c>
      <c r="H533" s="7" t="str">
        <f>IFERROR(IF(_xlfn.XLOOKUP(B533,REPASSE!D:D,REPASSE!D:D)="","Não","Sim"),"Não")</f>
        <v>Não</v>
      </c>
      <c r="I533" s="7" t="str">
        <f>IF(_xlfn.XLOOKUP(B533,'BOOST LIBERADO'!B:B,'BOOST LIBERADO'!B:B,"Não")="Não","Não","Sim")</f>
        <v>Sim</v>
      </c>
      <c r="J533" s="83" t="str">
        <f t="shared" si="16"/>
        <v>Sim</v>
      </c>
      <c r="K533" s="12">
        <f>SUMIFS(BASE!$G:$G,BASE!$B:$B,$B533,BASE!$L:$L,$G533,BASE!$J:$J,$C533,BASE!$A:$A,K$2)</f>
        <v>11</v>
      </c>
      <c r="L533" s="12">
        <f>SUMIFS(BASE!$G:$G,BASE!$B:$B,$B533,BASE!$L:$L,$G533,BASE!$J:$J,$C533,BASE!$A:$A,L$2)</f>
        <v>5</v>
      </c>
      <c r="M533" s="12">
        <f>SUMIFS(BASE!$G:$G,BASE!$B:$B,$B533,BASE!$L:$L,$G533,BASE!$J:$J,$C533,BASE!$A:$A,M$2)</f>
        <v>13</v>
      </c>
      <c r="N533" s="12">
        <f>SUMIFS(BASE!$G:$G,BASE!$B:$B,$B533,BASE!$L:$L,$G533,BASE!$J:$J,$C533,BASE!$A:$A,N$2)</f>
        <v>3</v>
      </c>
      <c r="O533" s="12">
        <f>SUMIFS(BASE!$G:$G,BASE!$B:$B,$B533,BASE!$L:$L,$G533,BASE!$J:$J,$C533,BASE!$A:$A,O$2)</f>
        <v>4</v>
      </c>
      <c r="P533" s="12">
        <f>SUMIFS(BASE!$G:$G,BASE!$B:$B,$B533,BASE!$L:$L,$G533,BASE!$J:$J,$C533,BASE!$A:$A,P$2)</f>
        <v>6</v>
      </c>
      <c r="Q533" s="12">
        <f>SUMIFS(BASE!$G:$G,BASE!$B:$B,$B533,BASE!$L:$L,$G533,BASE!$J:$J,$C533,BASE!$A:$A,Q$2)</f>
        <v>10</v>
      </c>
      <c r="R533" s="12">
        <f>SUMIFS(BASE!$G:$G,BASE!$B:$B,$B533,BASE!$L:$L,$G533,BASE!$J:$J,$C533,BASE!$A:$A,R$2)</f>
        <v>8</v>
      </c>
      <c r="S533" s="12">
        <f>SUMIFS(BASE!$G:$G,BASE!$B:$B,$B533,BASE!$L:$L,$G533,BASE!$J:$J,$C533,BASE!$A:$A,S$2)</f>
        <v>0</v>
      </c>
      <c r="T533" s="12">
        <f>SUMIFS(BASE!$G:$G,BASE!$B:$B,$B533,BASE!$L:$L,$G533,BASE!$J:$J,$C533,BASE!$A:$A,T$2)</f>
        <v>0</v>
      </c>
      <c r="U533" s="12">
        <f>SUMIFS(BASE!$G:$G,BASE!$B:$B,$B533,BASE!$L:$L,$G533,BASE!$J:$J,$C533,BASE!$A:$A,U$2)</f>
        <v>0</v>
      </c>
      <c r="V533" s="12">
        <f>SUMIFS(BASE!$G:$G,BASE!$B:$B,$B533,BASE!$L:$L,$G533,BASE!$J:$J,$C533,BASE!$A:$A,V$2)</f>
        <v>0</v>
      </c>
      <c r="X533" t="str">
        <f t="shared" si="17"/>
        <v>COM TROCAS</v>
      </c>
    </row>
    <row r="534" spans="2:24">
      <c r="B534" s="8" t="s">
        <v>1224</v>
      </c>
      <c r="C534" s="9" t="s">
        <v>138</v>
      </c>
      <c r="D534" s="9" t="s">
        <v>1154</v>
      </c>
      <c r="E534" s="9" t="s">
        <v>1147</v>
      </c>
      <c r="F534" s="9" t="s">
        <v>1225</v>
      </c>
      <c r="G534" s="9" t="s">
        <v>55</v>
      </c>
      <c r="H534" s="7" t="str">
        <f>IFERROR(IF(_xlfn.XLOOKUP(B534,REPASSE!D:D,REPASSE!D:D)="","Não","Sim"),"Não")</f>
        <v>Não</v>
      </c>
      <c r="I534" s="7" t="str">
        <f>IF(_xlfn.XLOOKUP(B534,'BOOST LIBERADO'!B:B,'BOOST LIBERADO'!B:B,"Não")="Não","Não","Sim")</f>
        <v>Sim</v>
      </c>
      <c r="J534" s="83" t="str">
        <f t="shared" si="16"/>
        <v>Sim</v>
      </c>
      <c r="K534" s="12">
        <f>SUMIFS(BASE!$G:$G,BASE!$B:$B,$B534,BASE!$L:$L,$G534,BASE!$J:$J,$C534,BASE!$A:$A,K$2)</f>
        <v>0</v>
      </c>
      <c r="L534" s="12">
        <f>SUMIFS(BASE!$G:$G,BASE!$B:$B,$B534,BASE!$L:$L,$G534,BASE!$J:$J,$C534,BASE!$A:$A,L$2)</f>
        <v>0</v>
      </c>
      <c r="M534" s="12">
        <f>SUMIFS(BASE!$G:$G,BASE!$B:$B,$B534,BASE!$L:$L,$G534,BASE!$J:$J,$C534,BASE!$A:$A,M$2)</f>
        <v>0</v>
      </c>
      <c r="N534" s="12">
        <f>SUMIFS(BASE!$G:$G,BASE!$B:$B,$B534,BASE!$L:$L,$G534,BASE!$J:$J,$C534,BASE!$A:$A,N$2)</f>
        <v>0</v>
      </c>
      <c r="O534" s="12">
        <f>SUMIFS(BASE!$G:$G,BASE!$B:$B,$B534,BASE!$L:$L,$G534,BASE!$J:$J,$C534,BASE!$A:$A,O$2)</f>
        <v>0</v>
      </c>
      <c r="P534" s="12">
        <f>SUMIFS(BASE!$G:$G,BASE!$B:$B,$B534,BASE!$L:$L,$G534,BASE!$J:$J,$C534,BASE!$A:$A,P$2)</f>
        <v>1</v>
      </c>
      <c r="Q534" s="12">
        <f>SUMIFS(BASE!$G:$G,BASE!$B:$B,$B534,BASE!$L:$L,$G534,BASE!$J:$J,$C534,BASE!$A:$A,Q$2)</f>
        <v>0</v>
      </c>
      <c r="R534" s="12">
        <f>SUMIFS(BASE!$G:$G,BASE!$B:$B,$B534,BASE!$L:$L,$G534,BASE!$J:$J,$C534,BASE!$A:$A,R$2)</f>
        <v>2</v>
      </c>
      <c r="S534" s="12">
        <f>SUMIFS(BASE!$G:$G,BASE!$B:$B,$B534,BASE!$L:$L,$G534,BASE!$J:$J,$C534,BASE!$A:$A,S$2)</f>
        <v>0</v>
      </c>
      <c r="T534" s="12">
        <f>SUMIFS(BASE!$G:$G,BASE!$B:$B,$B534,BASE!$L:$L,$G534,BASE!$J:$J,$C534,BASE!$A:$A,T$2)</f>
        <v>0</v>
      </c>
      <c r="U534" s="12">
        <f>SUMIFS(BASE!$G:$G,BASE!$B:$B,$B534,BASE!$L:$L,$G534,BASE!$J:$J,$C534,BASE!$A:$A,U$2)</f>
        <v>0</v>
      </c>
      <c r="V534" s="12">
        <f>SUMIFS(BASE!$G:$G,BASE!$B:$B,$B534,BASE!$L:$L,$G534,BASE!$J:$J,$C534,BASE!$A:$A,V$2)</f>
        <v>0</v>
      </c>
      <c r="X534" t="str">
        <f t="shared" si="17"/>
        <v>COM TROCAS</v>
      </c>
    </row>
    <row r="535" spans="2:24">
      <c r="B535" s="8" t="s">
        <v>1226</v>
      </c>
      <c r="C535" s="9" t="s">
        <v>234</v>
      </c>
      <c r="D535" s="9" t="s">
        <v>1219</v>
      </c>
      <c r="E535" s="9" t="s">
        <v>1151</v>
      </c>
      <c r="F535" s="9" t="s">
        <v>1227</v>
      </c>
      <c r="G535" s="9" t="s">
        <v>55</v>
      </c>
      <c r="H535" s="7" t="str">
        <f>IFERROR(IF(_xlfn.XLOOKUP(B535,REPASSE!D:D,REPASSE!D:D)="","Não","Sim"),"Não")</f>
        <v>Não</v>
      </c>
      <c r="I535" s="7" t="str">
        <f>IF(_xlfn.XLOOKUP(B535,'BOOST LIBERADO'!B:B,'BOOST LIBERADO'!B:B,"Não")="Não","Não","Sim")</f>
        <v>Sim</v>
      </c>
      <c r="J535" s="83" t="str">
        <f t="shared" si="16"/>
        <v>Sim</v>
      </c>
      <c r="K535" s="12">
        <f>SUMIFS(BASE!$G:$G,BASE!$B:$B,$B535,BASE!$L:$L,$G535,BASE!$J:$J,$C535,BASE!$A:$A,K$2)</f>
        <v>0</v>
      </c>
      <c r="L535" s="12">
        <f>SUMIFS(BASE!$G:$G,BASE!$B:$B,$B535,BASE!$L:$L,$G535,BASE!$J:$J,$C535,BASE!$A:$A,L$2)</f>
        <v>0</v>
      </c>
      <c r="M535" s="12">
        <f>SUMIFS(BASE!$G:$G,BASE!$B:$B,$B535,BASE!$L:$L,$G535,BASE!$J:$J,$C535,BASE!$A:$A,M$2)</f>
        <v>0</v>
      </c>
      <c r="N535" s="12">
        <f>SUMIFS(BASE!$G:$G,BASE!$B:$B,$B535,BASE!$L:$L,$G535,BASE!$J:$J,$C535,BASE!$A:$A,N$2)</f>
        <v>0</v>
      </c>
      <c r="O535" s="12">
        <f>SUMIFS(BASE!$G:$G,BASE!$B:$B,$B535,BASE!$L:$L,$G535,BASE!$J:$J,$C535,BASE!$A:$A,O$2)</f>
        <v>0</v>
      </c>
      <c r="P535" s="12">
        <f>SUMIFS(BASE!$G:$G,BASE!$B:$B,$B535,BASE!$L:$L,$G535,BASE!$J:$J,$C535,BASE!$A:$A,P$2)</f>
        <v>0</v>
      </c>
      <c r="Q535" s="12">
        <f>SUMIFS(BASE!$G:$G,BASE!$B:$B,$B535,BASE!$L:$L,$G535,BASE!$J:$J,$C535,BASE!$A:$A,Q$2)</f>
        <v>0</v>
      </c>
      <c r="R535" s="12">
        <f>SUMIFS(BASE!$G:$G,BASE!$B:$B,$B535,BASE!$L:$L,$G535,BASE!$J:$J,$C535,BASE!$A:$A,R$2)</f>
        <v>0</v>
      </c>
      <c r="S535" s="12">
        <f>SUMIFS(BASE!$G:$G,BASE!$B:$B,$B535,BASE!$L:$L,$G535,BASE!$J:$J,$C535,BASE!$A:$A,S$2)</f>
        <v>0</v>
      </c>
      <c r="T535" s="12">
        <f>SUMIFS(BASE!$G:$G,BASE!$B:$B,$B535,BASE!$L:$L,$G535,BASE!$J:$J,$C535,BASE!$A:$A,T$2)</f>
        <v>0</v>
      </c>
      <c r="U535" s="12">
        <f>SUMIFS(BASE!$G:$G,BASE!$B:$B,$B535,BASE!$L:$L,$G535,BASE!$J:$J,$C535,BASE!$A:$A,U$2)</f>
        <v>0</v>
      </c>
      <c r="V535" s="12">
        <f>SUMIFS(BASE!$G:$G,BASE!$B:$B,$B535,BASE!$L:$L,$G535,BASE!$J:$J,$C535,BASE!$A:$A,V$2)</f>
        <v>0</v>
      </c>
      <c r="X535" t="str">
        <f t="shared" si="17"/>
        <v>ZERADO</v>
      </c>
    </row>
    <row r="536" spans="2:24">
      <c r="B536" s="8" t="s">
        <v>1228</v>
      </c>
      <c r="C536" s="9" t="s">
        <v>138</v>
      </c>
      <c r="D536" s="9" t="s">
        <v>1206</v>
      </c>
      <c r="E536" s="9" t="s">
        <v>1151</v>
      </c>
      <c r="F536" s="9" t="s">
        <v>1229</v>
      </c>
      <c r="G536" s="9" t="s">
        <v>55</v>
      </c>
      <c r="H536" s="7" t="str">
        <f>IFERROR(IF(_xlfn.XLOOKUP(B536,REPASSE!D:D,REPASSE!D:D)="","Não","Sim"),"Não")</f>
        <v>Não</v>
      </c>
      <c r="I536" s="7" t="str">
        <f>IF(_xlfn.XLOOKUP(B536,'BOOST LIBERADO'!B:B,'BOOST LIBERADO'!B:B,"Não")="Não","Não","Sim")</f>
        <v>Sim</v>
      </c>
      <c r="J536" s="83" t="str">
        <f t="shared" si="16"/>
        <v>Sim</v>
      </c>
      <c r="K536" s="12">
        <f>SUMIFS(BASE!$G:$G,BASE!$B:$B,$B536,BASE!$L:$L,$G536,BASE!$J:$J,$C536,BASE!$A:$A,K$2)</f>
        <v>0</v>
      </c>
      <c r="L536" s="12">
        <f>SUMIFS(BASE!$G:$G,BASE!$B:$B,$B536,BASE!$L:$L,$G536,BASE!$J:$J,$C536,BASE!$A:$A,L$2)</f>
        <v>0</v>
      </c>
      <c r="M536" s="12">
        <f>SUMIFS(BASE!$G:$G,BASE!$B:$B,$B536,BASE!$L:$L,$G536,BASE!$J:$J,$C536,BASE!$A:$A,M$2)</f>
        <v>0</v>
      </c>
      <c r="N536" s="12">
        <f>SUMIFS(BASE!$G:$G,BASE!$B:$B,$B536,BASE!$L:$L,$G536,BASE!$J:$J,$C536,BASE!$A:$A,N$2)</f>
        <v>0</v>
      </c>
      <c r="O536" s="12">
        <f>SUMIFS(BASE!$G:$G,BASE!$B:$B,$B536,BASE!$L:$L,$G536,BASE!$J:$J,$C536,BASE!$A:$A,O$2)</f>
        <v>0</v>
      </c>
      <c r="P536" s="12">
        <f>SUMIFS(BASE!$G:$G,BASE!$B:$B,$B536,BASE!$L:$L,$G536,BASE!$J:$J,$C536,BASE!$A:$A,P$2)</f>
        <v>0</v>
      </c>
      <c r="Q536" s="12">
        <f>SUMIFS(BASE!$G:$G,BASE!$B:$B,$B536,BASE!$L:$L,$G536,BASE!$J:$J,$C536,BASE!$A:$A,Q$2)</f>
        <v>0</v>
      </c>
      <c r="R536" s="12">
        <f>SUMIFS(BASE!$G:$G,BASE!$B:$B,$B536,BASE!$L:$L,$G536,BASE!$J:$J,$C536,BASE!$A:$A,R$2)</f>
        <v>0</v>
      </c>
      <c r="S536" s="12">
        <f>SUMIFS(BASE!$G:$G,BASE!$B:$B,$B536,BASE!$L:$L,$G536,BASE!$J:$J,$C536,BASE!$A:$A,S$2)</f>
        <v>0</v>
      </c>
      <c r="T536" s="12">
        <f>SUMIFS(BASE!$G:$G,BASE!$B:$B,$B536,BASE!$L:$L,$G536,BASE!$J:$J,$C536,BASE!$A:$A,T$2)</f>
        <v>0</v>
      </c>
      <c r="U536" s="12">
        <f>SUMIFS(BASE!$G:$G,BASE!$B:$B,$B536,BASE!$L:$L,$G536,BASE!$J:$J,$C536,BASE!$A:$A,U$2)</f>
        <v>0</v>
      </c>
      <c r="V536" s="12">
        <f>SUMIFS(BASE!$G:$G,BASE!$B:$B,$B536,BASE!$L:$L,$G536,BASE!$J:$J,$C536,BASE!$A:$A,V$2)</f>
        <v>0</v>
      </c>
      <c r="X536" t="str">
        <f t="shared" si="17"/>
        <v>ZERADO</v>
      </c>
    </row>
    <row r="537" spans="2:24">
      <c r="B537" s="8" t="s">
        <v>1230</v>
      </c>
      <c r="C537" s="9" t="s">
        <v>197</v>
      </c>
      <c r="D537" s="9" t="s">
        <v>1154</v>
      </c>
      <c r="E537" s="9" t="s">
        <v>1147</v>
      </c>
      <c r="F537" s="9" t="s">
        <v>1231</v>
      </c>
      <c r="G537" s="9" t="s">
        <v>55</v>
      </c>
      <c r="H537" s="7" t="str">
        <f>IFERROR(IF(_xlfn.XLOOKUP(B537,REPASSE!D:D,REPASSE!D:D)="","Não","Sim"),"Não")</f>
        <v>Não</v>
      </c>
      <c r="I537" s="7" t="str">
        <f>IF(_xlfn.XLOOKUP(B537,'BOOST LIBERADO'!B:B,'BOOST LIBERADO'!B:B,"Não")="Não","Não","Sim")</f>
        <v>Sim</v>
      </c>
      <c r="J537" s="83" t="str">
        <f t="shared" si="16"/>
        <v>Sim</v>
      </c>
      <c r="K537" s="12">
        <f>SUMIFS(BASE!$G:$G,BASE!$B:$B,$B537,BASE!$L:$L,$G537,BASE!$J:$J,$C537,BASE!$A:$A,K$2)</f>
        <v>0</v>
      </c>
      <c r="L537" s="12">
        <f>SUMIFS(BASE!$G:$G,BASE!$B:$B,$B537,BASE!$L:$L,$G537,BASE!$J:$J,$C537,BASE!$A:$A,L$2)</f>
        <v>0</v>
      </c>
      <c r="M537" s="12">
        <f>SUMIFS(BASE!$G:$G,BASE!$B:$B,$B537,BASE!$L:$L,$G537,BASE!$J:$J,$C537,BASE!$A:$A,M$2)</f>
        <v>0</v>
      </c>
      <c r="N537" s="12">
        <f>SUMIFS(BASE!$G:$G,BASE!$B:$B,$B537,BASE!$L:$L,$G537,BASE!$J:$J,$C537,BASE!$A:$A,N$2)</f>
        <v>0</v>
      </c>
      <c r="O537" s="12">
        <f>SUMIFS(BASE!$G:$G,BASE!$B:$B,$B537,BASE!$L:$L,$G537,BASE!$J:$J,$C537,BASE!$A:$A,O$2)</f>
        <v>0</v>
      </c>
      <c r="P537" s="12">
        <f>SUMIFS(BASE!$G:$G,BASE!$B:$B,$B537,BASE!$L:$L,$G537,BASE!$J:$J,$C537,BASE!$A:$A,P$2)</f>
        <v>0</v>
      </c>
      <c r="Q537" s="12">
        <f>SUMIFS(BASE!$G:$G,BASE!$B:$B,$B537,BASE!$L:$L,$G537,BASE!$J:$J,$C537,BASE!$A:$A,Q$2)</f>
        <v>0</v>
      </c>
      <c r="R537" s="12">
        <f>SUMIFS(BASE!$G:$G,BASE!$B:$B,$B537,BASE!$L:$L,$G537,BASE!$J:$J,$C537,BASE!$A:$A,R$2)</f>
        <v>0</v>
      </c>
      <c r="S537" s="12">
        <f>SUMIFS(BASE!$G:$G,BASE!$B:$B,$B537,BASE!$L:$L,$G537,BASE!$J:$J,$C537,BASE!$A:$A,S$2)</f>
        <v>0</v>
      </c>
      <c r="T537" s="12">
        <f>SUMIFS(BASE!$G:$G,BASE!$B:$B,$B537,BASE!$L:$L,$G537,BASE!$J:$J,$C537,BASE!$A:$A,T$2)</f>
        <v>0</v>
      </c>
      <c r="U537" s="12">
        <f>SUMIFS(BASE!$G:$G,BASE!$B:$B,$B537,BASE!$L:$L,$G537,BASE!$J:$J,$C537,BASE!$A:$A,U$2)</f>
        <v>0</v>
      </c>
      <c r="V537" s="12">
        <f>SUMIFS(BASE!$G:$G,BASE!$B:$B,$B537,BASE!$L:$L,$G537,BASE!$J:$J,$C537,BASE!$A:$A,V$2)</f>
        <v>0</v>
      </c>
      <c r="X537" t="str">
        <f t="shared" si="17"/>
        <v>ZERADO</v>
      </c>
    </row>
    <row r="538" spans="2:24">
      <c r="B538" s="8" t="s">
        <v>1232</v>
      </c>
      <c r="C538" s="9" t="s">
        <v>237</v>
      </c>
      <c r="D538" s="9" t="s">
        <v>1144</v>
      </c>
      <c r="E538" s="9" t="s">
        <v>1141</v>
      </c>
      <c r="F538" s="9" t="s">
        <v>1142</v>
      </c>
      <c r="G538" s="9" t="s">
        <v>55</v>
      </c>
      <c r="H538" s="7" t="str">
        <f>IFERROR(IF(_xlfn.XLOOKUP(B538,REPASSE!D:D,REPASSE!D:D)="","Não","Sim"),"Não")</f>
        <v>Não</v>
      </c>
      <c r="I538" s="7" t="str">
        <f>IF(_xlfn.XLOOKUP(B538,'BOOST LIBERADO'!B:B,'BOOST LIBERADO'!B:B,"Não")="Não","Não","Sim")</f>
        <v>Sim</v>
      </c>
      <c r="J538" s="83" t="str">
        <f t="shared" si="16"/>
        <v>Sim</v>
      </c>
      <c r="K538" s="12">
        <f>SUMIFS(BASE!$G:$G,BASE!$B:$B,$B538,BASE!$L:$L,$G538,BASE!$J:$J,$C538,BASE!$A:$A,K$2)</f>
        <v>2</v>
      </c>
      <c r="L538" s="12">
        <f>SUMIFS(BASE!$G:$G,BASE!$B:$B,$B538,BASE!$L:$L,$G538,BASE!$J:$J,$C538,BASE!$A:$A,L$2)</f>
        <v>0</v>
      </c>
      <c r="M538" s="12">
        <f>SUMIFS(BASE!$G:$G,BASE!$B:$B,$B538,BASE!$L:$L,$G538,BASE!$J:$J,$C538,BASE!$A:$A,M$2)</f>
        <v>8</v>
      </c>
      <c r="N538" s="12">
        <f>SUMIFS(BASE!$G:$G,BASE!$B:$B,$B538,BASE!$L:$L,$G538,BASE!$J:$J,$C538,BASE!$A:$A,N$2)</f>
        <v>8</v>
      </c>
      <c r="O538" s="12">
        <f>SUMIFS(BASE!$G:$G,BASE!$B:$B,$B538,BASE!$L:$L,$G538,BASE!$J:$J,$C538,BASE!$A:$A,O$2)</f>
        <v>10</v>
      </c>
      <c r="P538" s="12">
        <f>SUMIFS(BASE!$G:$G,BASE!$B:$B,$B538,BASE!$L:$L,$G538,BASE!$J:$J,$C538,BASE!$A:$A,P$2)</f>
        <v>14</v>
      </c>
      <c r="Q538" s="12">
        <f>SUMIFS(BASE!$G:$G,BASE!$B:$B,$B538,BASE!$L:$L,$G538,BASE!$J:$J,$C538,BASE!$A:$A,Q$2)</f>
        <v>8</v>
      </c>
      <c r="R538" s="12">
        <f>SUMIFS(BASE!$G:$G,BASE!$B:$B,$B538,BASE!$L:$L,$G538,BASE!$J:$J,$C538,BASE!$A:$A,R$2)</f>
        <v>4</v>
      </c>
      <c r="S538" s="12">
        <f>SUMIFS(BASE!$G:$G,BASE!$B:$B,$B538,BASE!$L:$L,$G538,BASE!$J:$J,$C538,BASE!$A:$A,S$2)</f>
        <v>0</v>
      </c>
      <c r="T538" s="12">
        <f>SUMIFS(BASE!$G:$G,BASE!$B:$B,$B538,BASE!$L:$L,$G538,BASE!$J:$J,$C538,BASE!$A:$A,T$2)</f>
        <v>0</v>
      </c>
      <c r="U538" s="12">
        <f>SUMIFS(BASE!$G:$G,BASE!$B:$B,$B538,BASE!$L:$L,$G538,BASE!$J:$J,$C538,BASE!$A:$A,U$2)</f>
        <v>0</v>
      </c>
      <c r="V538" s="12">
        <f>SUMIFS(BASE!$G:$G,BASE!$B:$B,$B538,BASE!$L:$L,$G538,BASE!$J:$J,$C538,BASE!$A:$A,V$2)</f>
        <v>0</v>
      </c>
      <c r="X538" t="str">
        <f t="shared" si="17"/>
        <v>COM TROCAS</v>
      </c>
    </row>
    <row r="539" spans="2:24">
      <c r="B539" s="8" t="s">
        <v>1233</v>
      </c>
      <c r="C539" s="9" t="s">
        <v>237</v>
      </c>
      <c r="D539" s="9" t="s">
        <v>1209</v>
      </c>
      <c r="E539" s="9" t="s">
        <v>1141</v>
      </c>
      <c r="F539" s="9" t="s">
        <v>1142</v>
      </c>
      <c r="G539" s="9" t="s">
        <v>55</v>
      </c>
      <c r="H539" s="7" t="str">
        <f>IFERROR(IF(_xlfn.XLOOKUP(B539,REPASSE!D:D,REPASSE!D:D)="","Não","Sim"),"Não")</f>
        <v>Não</v>
      </c>
      <c r="I539" s="7" t="str">
        <f>IF(_xlfn.XLOOKUP(B539,'BOOST LIBERADO'!B:B,'BOOST LIBERADO'!B:B,"Não")="Não","Não","Sim")</f>
        <v>Sim</v>
      </c>
      <c r="J539" s="83" t="str">
        <f t="shared" si="16"/>
        <v>Sim</v>
      </c>
      <c r="K539" s="12">
        <f>SUMIFS(BASE!$G:$G,BASE!$B:$B,$B539,BASE!$L:$L,$G539,BASE!$J:$J,$C539,BASE!$A:$A,K$2)</f>
        <v>4</v>
      </c>
      <c r="L539" s="12">
        <f>SUMIFS(BASE!$G:$G,BASE!$B:$B,$B539,BASE!$L:$L,$G539,BASE!$J:$J,$C539,BASE!$A:$A,L$2)</f>
        <v>1</v>
      </c>
      <c r="M539" s="12">
        <f>SUMIFS(BASE!$G:$G,BASE!$B:$B,$B539,BASE!$L:$L,$G539,BASE!$J:$J,$C539,BASE!$A:$A,M$2)</f>
        <v>3</v>
      </c>
      <c r="N539" s="12">
        <f>SUMIFS(BASE!$G:$G,BASE!$B:$B,$B539,BASE!$L:$L,$G539,BASE!$J:$J,$C539,BASE!$A:$A,N$2)</f>
        <v>8</v>
      </c>
      <c r="O539" s="12">
        <f>SUMIFS(BASE!$G:$G,BASE!$B:$B,$B539,BASE!$L:$L,$G539,BASE!$J:$J,$C539,BASE!$A:$A,O$2)</f>
        <v>4</v>
      </c>
      <c r="P539" s="12">
        <f>SUMIFS(BASE!$G:$G,BASE!$B:$B,$B539,BASE!$L:$L,$G539,BASE!$J:$J,$C539,BASE!$A:$A,P$2)</f>
        <v>5</v>
      </c>
      <c r="Q539" s="12">
        <f>SUMIFS(BASE!$G:$G,BASE!$B:$B,$B539,BASE!$L:$L,$G539,BASE!$J:$J,$C539,BASE!$A:$A,Q$2)</f>
        <v>15</v>
      </c>
      <c r="R539" s="12">
        <f>SUMIFS(BASE!$G:$G,BASE!$B:$B,$B539,BASE!$L:$L,$G539,BASE!$J:$J,$C539,BASE!$A:$A,R$2)</f>
        <v>14</v>
      </c>
      <c r="S539" s="12">
        <f>SUMIFS(BASE!$G:$G,BASE!$B:$B,$B539,BASE!$L:$L,$G539,BASE!$J:$J,$C539,BASE!$A:$A,S$2)</f>
        <v>0</v>
      </c>
      <c r="T539" s="12">
        <f>SUMIFS(BASE!$G:$G,BASE!$B:$B,$B539,BASE!$L:$L,$G539,BASE!$J:$J,$C539,BASE!$A:$A,T$2)</f>
        <v>0</v>
      </c>
      <c r="U539" s="12">
        <f>SUMIFS(BASE!$G:$G,BASE!$B:$B,$B539,BASE!$L:$L,$G539,BASE!$J:$J,$C539,BASE!$A:$A,U$2)</f>
        <v>0</v>
      </c>
      <c r="V539" s="12">
        <f>SUMIFS(BASE!$G:$G,BASE!$B:$B,$B539,BASE!$L:$L,$G539,BASE!$J:$J,$C539,BASE!$A:$A,V$2)</f>
        <v>0</v>
      </c>
      <c r="X539" t="str">
        <f t="shared" si="17"/>
        <v>COM TROCAS</v>
      </c>
    </row>
    <row r="540" spans="2:24">
      <c r="B540" s="8" t="s">
        <v>1234</v>
      </c>
      <c r="C540" s="9" t="s">
        <v>237</v>
      </c>
      <c r="D540" s="9" t="s">
        <v>1209</v>
      </c>
      <c r="E540" s="9" t="s">
        <v>1141</v>
      </c>
      <c r="F540" s="9" t="s">
        <v>1142</v>
      </c>
      <c r="G540" s="9" t="s">
        <v>55</v>
      </c>
      <c r="H540" s="7" t="str">
        <f>IFERROR(IF(_xlfn.XLOOKUP(B540,REPASSE!D:D,REPASSE!D:D)="","Não","Sim"),"Não")</f>
        <v>Não</v>
      </c>
      <c r="I540" s="7" t="str">
        <f>IF(_xlfn.XLOOKUP(B540,'BOOST LIBERADO'!B:B,'BOOST LIBERADO'!B:B,"Não")="Não","Não","Sim")</f>
        <v>Sim</v>
      </c>
      <c r="J540" s="83" t="str">
        <f t="shared" si="16"/>
        <v>Sim</v>
      </c>
      <c r="K540" s="12">
        <f>SUMIFS(BASE!$G:$G,BASE!$B:$B,$B540,BASE!$L:$L,$G540,BASE!$J:$J,$C540,BASE!$A:$A,K$2)</f>
        <v>1</v>
      </c>
      <c r="L540" s="12">
        <f>SUMIFS(BASE!$G:$G,BASE!$B:$B,$B540,BASE!$L:$L,$G540,BASE!$J:$J,$C540,BASE!$A:$A,L$2)</f>
        <v>0</v>
      </c>
      <c r="M540" s="12">
        <f>SUMIFS(BASE!$G:$G,BASE!$B:$B,$B540,BASE!$L:$L,$G540,BASE!$J:$J,$C540,BASE!$A:$A,M$2)</f>
        <v>4</v>
      </c>
      <c r="N540" s="12">
        <f>SUMIFS(BASE!$G:$G,BASE!$B:$B,$B540,BASE!$L:$L,$G540,BASE!$J:$J,$C540,BASE!$A:$A,N$2)</f>
        <v>1</v>
      </c>
      <c r="O540" s="12">
        <f>SUMIFS(BASE!$G:$G,BASE!$B:$B,$B540,BASE!$L:$L,$G540,BASE!$J:$J,$C540,BASE!$A:$A,O$2)</f>
        <v>3</v>
      </c>
      <c r="P540" s="12">
        <f>SUMIFS(BASE!$G:$G,BASE!$B:$B,$B540,BASE!$L:$L,$G540,BASE!$J:$J,$C540,BASE!$A:$A,P$2)</f>
        <v>6</v>
      </c>
      <c r="Q540" s="12">
        <f>SUMIFS(BASE!$G:$G,BASE!$B:$B,$B540,BASE!$L:$L,$G540,BASE!$J:$J,$C540,BASE!$A:$A,Q$2)</f>
        <v>9</v>
      </c>
      <c r="R540" s="12">
        <f>SUMIFS(BASE!$G:$G,BASE!$B:$B,$B540,BASE!$L:$L,$G540,BASE!$J:$J,$C540,BASE!$A:$A,R$2)</f>
        <v>8</v>
      </c>
      <c r="S540" s="12">
        <f>SUMIFS(BASE!$G:$G,BASE!$B:$B,$B540,BASE!$L:$L,$G540,BASE!$J:$J,$C540,BASE!$A:$A,S$2)</f>
        <v>0</v>
      </c>
      <c r="T540" s="12">
        <f>SUMIFS(BASE!$G:$G,BASE!$B:$B,$B540,BASE!$L:$L,$G540,BASE!$J:$J,$C540,BASE!$A:$A,T$2)</f>
        <v>0</v>
      </c>
      <c r="U540" s="12">
        <f>SUMIFS(BASE!$G:$G,BASE!$B:$B,$B540,BASE!$L:$L,$G540,BASE!$J:$J,$C540,BASE!$A:$A,U$2)</f>
        <v>0</v>
      </c>
      <c r="V540" s="12">
        <f>SUMIFS(BASE!$G:$G,BASE!$B:$B,$B540,BASE!$L:$L,$G540,BASE!$J:$J,$C540,BASE!$A:$A,V$2)</f>
        <v>0</v>
      </c>
      <c r="X540" t="str">
        <f t="shared" si="17"/>
        <v>COM TROCAS</v>
      </c>
    </row>
    <row r="541" spans="2:24">
      <c r="B541" s="8" t="s">
        <v>1235</v>
      </c>
      <c r="C541" s="9" t="s">
        <v>138</v>
      </c>
      <c r="D541" s="9" t="s">
        <v>1206</v>
      </c>
      <c r="E541" s="9" t="s">
        <v>1151</v>
      </c>
      <c r="F541" s="9" t="s">
        <v>1229</v>
      </c>
      <c r="G541" s="9" t="s">
        <v>55</v>
      </c>
      <c r="H541" s="7" t="str">
        <f>IFERROR(IF(_xlfn.XLOOKUP(B541,REPASSE!D:D,REPASSE!D:D)="","Não","Sim"),"Não")</f>
        <v>Não</v>
      </c>
      <c r="I541" s="7" t="str">
        <f>IF(_xlfn.XLOOKUP(B541,'BOOST LIBERADO'!B:B,'BOOST LIBERADO'!B:B,"Não")="Não","Não","Sim")</f>
        <v>Sim</v>
      </c>
      <c r="J541" s="83" t="str">
        <f t="shared" si="16"/>
        <v>Sim</v>
      </c>
      <c r="K541" s="12">
        <f>SUMIFS(BASE!$G:$G,BASE!$B:$B,$B541,BASE!$L:$L,$G541,BASE!$J:$J,$C541,BASE!$A:$A,K$2)</f>
        <v>0</v>
      </c>
      <c r="L541" s="12">
        <f>SUMIFS(BASE!$G:$G,BASE!$B:$B,$B541,BASE!$L:$L,$G541,BASE!$J:$J,$C541,BASE!$A:$A,L$2)</f>
        <v>0</v>
      </c>
      <c r="M541" s="12">
        <f>SUMIFS(BASE!$G:$G,BASE!$B:$B,$B541,BASE!$L:$L,$G541,BASE!$J:$J,$C541,BASE!$A:$A,M$2)</f>
        <v>0</v>
      </c>
      <c r="N541" s="12">
        <f>SUMIFS(BASE!$G:$G,BASE!$B:$B,$B541,BASE!$L:$L,$G541,BASE!$J:$J,$C541,BASE!$A:$A,N$2)</f>
        <v>0</v>
      </c>
      <c r="O541" s="12">
        <f>SUMIFS(BASE!$G:$G,BASE!$B:$B,$B541,BASE!$L:$L,$G541,BASE!$J:$J,$C541,BASE!$A:$A,O$2)</f>
        <v>0</v>
      </c>
      <c r="P541" s="12">
        <f>SUMIFS(BASE!$G:$G,BASE!$B:$B,$B541,BASE!$L:$L,$G541,BASE!$J:$J,$C541,BASE!$A:$A,P$2)</f>
        <v>0</v>
      </c>
      <c r="Q541" s="12">
        <f>SUMIFS(BASE!$G:$G,BASE!$B:$B,$B541,BASE!$L:$L,$G541,BASE!$J:$J,$C541,BASE!$A:$A,Q$2)</f>
        <v>0</v>
      </c>
      <c r="R541" s="12">
        <f>SUMIFS(BASE!$G:$G,BASE!$B:$B,$B541,BASE!$L:$L,$G541,BASE!$J:$J,$C541,BASE!$A:$A,R$2)</f>
        <v>0</v>
      </c>
      <c r="S541" s="12">
        <f>SUMIFS(BASE!$G:$G,BASE!$B:$B,$B541,BASE!$L:$L,$G541,BASE!$J:$J,$C541,BASE!$A:$A,S$2)</f>
        <v>0</v>
      </c>
      <c r="T541" s="12">
        <f>SUMIFS(BASE!$G:$G,BASE!$B:$B,$B541,BASE!$L:$L,$G541,BASE!$J:$J,$C541,BASE!$A:$A,T$2)</f>
        <v>0</v>
      </c>
      <c r="U541" s="12">
        <f>SUMIFS(BASE!$G:$G,BASE!$B:$B,$B541,BASE!$L:$L,$G541,BASE!$J:$J,$C541,BASE!$A:$A,U$2)</f>
        <v>0</v>
      </c>
      <c r="V541" s="12">
        <f>SUMIFS(BASE!$G:$G,BASE!$B:$B,$B541,BASE!$L:$L,$G541,BASE!$J:$J,$C541,BASE!$A:$A,V$2)</f>
        <v>0</v>
      </c>
      <c r="X541" t="str">
        <f t="shared" si="17"/>
        <v>ZERADO</v>
      </c>
    </row>
    <row r="542" spans="2:24">
      <c r="B542" s="8" t="s">
        <v>1236</v>
      </c>
      <c r="C542" s="9" t="s">
        <v>138</v>
      </c>
      <c r="D542" s="9" t="s">
        <v>1154</v>
      </c>
      <c r="E542" s="9" t="s">
        <v>1147</v>
      </c>
      <c r="F542" s="9" t="s">
        <v>1161</v>
      </c>
      <c r="G542" s="9" t="s">
        <v>55</v>
      </c>
      <c r="H542" s="7" t="str">
        <f>IFERROR(IF(_xlfn.XLOOKUP(B542,REPASSE!D:D,REPASSE!D:D)="","Não","Sim"),"Não")</f>
        <v>Não</v>
      </c>
      <c r="I542" s="7" t="str">
        <f>IF(_xlfn.XLOOKUP(B542,'BOOST LIBERADO'!B:B,'BOOST LIBERADO'!B:B,"Não")="Não","Não","Sim")</f>
        <v>Sim</v>
      </c>
      <c r="J542" s="83" t="str">
        <f t="shared" si="16"/>
        <v>Sim</v>
      </c>
      <c r="K542" s="12">
        <f>SUMIFS(BASE!$G:$G,BASE!$B:$B,$B542,BASE!$L:$L,$G542,BASE!$J:$J,$C542,BASE!$A:$A,K$2)</f>
        <v>0</v>
      </c>
      <c r="L542" s="12">
        <f>SUMIFS(BASE!$G:$G,BASE!$B:$B,$B542,BASE!$L:$L,$G542,BASE!$J:$J,$C542,BASE!$A:$A,L$2)</f>
        <v>0</v>
      </c>
      <c r="M542" s="12">
        <f>SUMIFS(BASE!$G:$G,BASE!$B:$B,$B542,BASE!$L:$L,$G542,BASE!$J:$J,$C542,BASE!$A:$A,M$2)</f>
        <v>0</v>
      </c>
      <c r="N542" s="12">
        <f>SUMIFS(BASE!$G:$G,BASE!$B:$B,$B542,BASE!$L:$L,$G542,BASE!$J:$J,$C542,BASE!$A:$A,N$2)</f>
        <v>0</v>
      </c>
      <c r="O542" s="12">
        <f>SUMIFS(BASE!$G:$G,BASE!$B:$B,$B542,BASE!$L:$L,$G542,BASE!$J:$J,$C542,BASE!$A:$A,O$2)</f>
        <v>0</v>
      </c>
      <c r="P542" s="12">
        <f>SUMIFS(BASE!$G:$G,BASE!$B:$B,$B542,BASE!$L:$L,$G542,BASE!$J:$J,$C542,BASE!$A:$A,P$2)</f>
        <v>1</v>
      </c>
      <c r="Q542" s="12">
        <f>SUMIFS(BASE!$G:$G,BASE!$B:$B,$B542,BASE!$L:$L,$G542,BASE!$J:$J,$C542,BASE!$A:$A,Q$2)</f>
        <v>1</v>
      </c>
      <c r="R542" s="12">
        <f>SUMIFS(BASE!$G:$G,BASE!$B:$B,$B542,BASE!$L:$L,$G542,BASE!$J:$J,$C542,BASE!$A:$A,R$2)</f>
        <v>3</v>
      </c>
      <c r="S542" s="12">
        <f>SUMIFS(BASE!$G:$G,BASE!$B:$B,$B542,BASE!$L:$L,$G542,BASE!$J:$J,$C542,BASE!$A:$A,S$2)</f>
        <v>0</v>
      </c>
      <c r="T542" s="12">
        <f>SUMIFS(BASE!$G:$G,BASE!$B:$B,$B542,BASE!$L:$L,$G542,BASE!$J:$J,$C542,BASE!$A:$A,T$2)</f>
        <v>0</v>
      </c>
      <c r="U542" s="12">
        <f>SUMIFS(BASE!$G:$G,BASE!$B:$B,$B542,BASE!$L:$L,$G542,BASE!$J:$J,$C542,BASE!$A:$A,U$2)</f>
        <v>0</v>
      </c>
      <c r="V542" s="12">
        <f>SUMIFS(BASE!$G:$G,BASE!$B:$B,$B542,BASE!$L:$L,$G542,BASE!$J:$J,$C542,BASE!$A:$A,V$2)</f>
        <v>0</v>
      </c>
      <c r="X542" t="str">
        <f t="shared" si="17"/>
        <v>COM TROCAS</v>
      </c>
    </row>
    <row r="543" spans="2:24">
      <c r="B543" s="8" t="s">
        <v>1237</v>
      </c>
      <c r="C543" s="9" t="s">
        <v>237</v>
      </c>
      <c r="D543" s="9" t="s">
        <v>1198</v>
      </c>
      <c r="E543" s="9" t="s">
        <v>1141</v>
      </c>
      <c r="F543" s="9" t="s">
        <v>1142</v>
      </c>
      <c r="G543" s="9" t="s">
        <v>55</v>
      </c>
      <c r="H543" s="7" t="str">
        <f>IFERROR(IF(_xlfn.XLOOKUP(B543,REPASSE!D:D,REPASSE!D:D)="","Não","Sim"),"Não")</f>
        <v>Não</v>
      </c>
      <c r="I543" s="7" t="str">
        <f>IF(_xlfn.XLOOKUP(B543,'BOOST LIBERADO'!B:B,'BOOST LIBERADO'!B:B,"Não")="Não","Não","Sim")</f>
        <v>Sim</v>
      </c>
      <c r="J543" s="83" t="str">
        <f t="shared" si="16"/>
        <v>Sim</v>
      </c>
      <c r="K543" s="12">
        <f>SUMIFS(BASE!$G:$G,BASE!$B:$B,$B543,BASE!$L:$L,$G543,BASE!$J:$J,$C543,BASE!$A:$A,K$2)</f>
        <v>1</v>
      </c>
      <c r="L543" s="12">
        <f>SUMIFS(BASE!$G:$G,BASE!$B:$B,$B543,BASE!$L:$L,$G543,BASE!$J:$J,$C543,BASE!$A:$A,L$2)</f>
        <v>1</v>
      </c>
      <c r="M543" s="12">
        <f>SUMIFS(BASE!$G:$G,BASE!$B:$B,$B543,BASE!$L:$L,$G543,BASE!$J:$J,$C543,BASE!$A:$A,M$2)</f>
        <v>1</v>
      </c>
      <c r="N543" s="12">
        <f>SUMIFS(BASE!$G:$G,BASE!$B:$B,$B543,BASE!$L:$L,$G543,BASE!$J:$J,$C543,BASE!$A:$A,N$2)</f>
        <v>2</v>
      </c>
      <c r="O543" s="12">
        <f>SUMIFS(BASE!$G:$G,BASE!$B:$B,$B543,BASE!$L:$L,$G543,BASE!$J:$J,$C543,BASE!$A:$A,O$2)</f>
        <v>7</v>
      </c>
      <c r="P543" s="12">
        <f>SUMIFS(BASE!$G:$G,BASE!$B:$B,$B543,BASE!$L:$L,$G543,BASE!$J:$J,$C543,BASE!$A:$A,P$2)</f>
        <v>3</v>
      </c>
      <c r="Q543" s="12">
        <f>SUMIFS(BASE!$G:$G,BASE!$B:$B,$B543,BASE!$L:$L,$G543,BASE!$J:$J,$C543,BASE!$A:$A,Q$2)</f>
        <v>8</v>
      </c>
      <c r="R543" s="12">
        <f>SUMIFS(BASE!$G:$G,BASE!$B:$B,$B543,BASE!$L:$L,$G543,BASE!$J:$J,$C543,BASE!$A:$A,R$2)</f>
        <v>4</v>
      </c>
      <c r="S543" s="12">
        <f>SUMIFS(BASE!$G:$G,BASE!$B:$B,$B543,BASE!$L:$L,$G543,BASE!$J:$J,$C543,BASE!$A:$A,S$2)</f>
        <v>0</v>
      </c>
      <c r="T543" s="12">
        <f>SUMIFS(BASE!$G:$G,BASE!$B:$B,$B543,BASE!$L:$L,$G543,BASE!$J:$J,$C543,BASE!$A:$A,T$2)</f>
        <v>0</v>
      </c>
      <c r="U543" s="12">
        <f>SUMIFS(BASE!$G:$G,BASE!$B:$B,$B543,BASE!$L:$L,$G543,BASE!$J:$J,$C543,BASE!$A:$A,U$2)</f>
        <v>0</v>
      </c>
      <c r="V543" s="12">
        <f>SUMIFS(BASE!$G:$G,BASE!$B:$B,$B543,BASE!$L:$L,$G543,BASE!$J:$J,$C543,BASE!$A:$A,V$2)</f>
        <v>0</v>
      </c>
      <c r="X543" t="str">
        <f t="shared" si="17"/>
        <v>COM TROCAS</v>
      </c>
    </row>
    <row r="544" spans="2:24">
      <c r="B544" s="8" t="s">
        <v>1238</v>
      </c>
      <c r="C544" s="9" t="s">
        <v>237</v>
      </c>
      <c r="D544" s="9" t="s">
        <v>1213</v>
      </c>
      <c r="E544" s="9" t="s">
        <v>1151</v>
      </c>
      <c r="F544" s="9" t="s">
        <v>1142</v>
      </c>
      <c r="G544" s="9" t="s">
        <v>55</v>
      </c>
      <c r="H544" s="7" t="str">
        <f>IFERROR(IF(_xlfn.XLOOKUP(B544,REPASSE!D:D,REPASSE!D:D)="","Não","Sim"),"Não")</f>
        <v>Não</v>
      </c>
      <c r="I544" s="7" t="str">
        <f>IF(_xlfn.XLOOKUP(B544,'BOOST LIBERADO'!B:B,'BOOST LIBERADO'!B:B,"Não")="Não","Não","Sim")</f>
        <v>Sim</v>
      </c>
      <c r="J544" s="83" t="str">
        <f t="shared" si="16"/>
        <v>Sim</v>
      </c>
      <c r="K544" s="12">
        <f>SUMIFS(BASE!$G:$G,BASE!$B:$B,$B544,BASE!$L:$L,$G544,BASE!$J:$J,$C544,BASE!$A:$A,K$2)</f>
        <v>0</v>
      </c>
      <c r="L544" s="12">
        <f>SUMIFS(BASE!$G:$G,BASE!$B:$B,$B544,BASE!$L:$L,$G544,BASE!$J:$J,$C544,BASE!$A:$A,L$2)</f>
        <v>1</v>
      </c>
      <c r="M544" s="12">
        <f>SUMIFS(BASE!$G:$G,BASE!$B:$B,$B544,BASE!$L:$L,$G544,BASE!$J:$J,$C544,BASE!$A:$A,M$2)</f>
        <v>1</v>
      </c>
      <c r="N544" s="12">
        <f>SUMIFS(BASE!$G:$G,BASE!$B:$B,$B544,BASE!$L:$L,$G544,BASE!$J:$J,$C544,BASE!$A:$A,N$2)</f>
        <v>0</v>
      </c>
      <c r="O544" s="12">
        <f>SUMIFS(BASE!$G:$G,BASE!$B:$B,$B544,BASE!$L:$L,$G544,BASE!$J:$J,$C544,BASE!$A:$A,O$2)</f>
        <v>0</v>
      </c>
      <c r="P544" s="12">
        <f>SUMIFS(BASE!$G:$G,BASE!$B:$B,$B544,BASE!$L:$L,$G544,BASE!$J:$J,$C544,BASE!$A:$A,P$2)</f>
        <v>2</v>
      </c>
      <c r="Q544" s="12">
        <f>SUMIFS(BASE!$G:$G,BASE!$B:$B,$B544,BASE!$L:$L,$G544,BASE!$J:$J,$C544,BASE!$A:$A,Q$2)</f>
        <v>1</v>
      </c>
      <c r="R544" s="12">
        <f>SUMIFS(BASE!$G:$G,BASE!$B:$B,$B544,BASE!$L:$L,$G544,BASE!$J:$J,$C544,BASE!$A:$A,R$2)</f>
        <v>2</v>
      </c>
      <c r="S544" s="12">
        <f>SUMIFS(BASE!$G:$G,BASE!$B:$B,$B544,BASE!$L:$L,$G544,BASE!$J:$J,$C544,BASE!$A:$A,S$2)</f>
        <v>0</v>
      </c>
      <c r="T544" s="12">
        <f>SUMIFS(BASE!$G:$G,BASE!$B:$B,$B544,BASE!$L:$L,$G544,BASE!$J:$J,$C544,BASE!$A:$A,T$2)</f>
        <v>0</v>
      </c>
      <c r="U544" s="12">
        <f>SUMIFS(BASE!$G:$G,BASE!$B:$B,$B544,BASE!$L:$L,$G544,BASE!$J:$J,$C544,BASE!$A:$A,U$2)</f>
        <v>0</v>
      </c>
      <c r="V544" s="12">
        <f>SUMIFS(BASE!$G:$G,BASE!$B:$B,$B544,BASE!$L:$L,$G544,BASE!$J:$J,$C544,BASE!$A:$A,V$2)</f>
        <v>0</v>
      </c>
      <c r="X544" t="str">
        <f t="shared" si="17"/>
        <v>COM TROCAS</v>
      </c>
    </row>
    <row r="545" spans="2:24">
      <c r="B545" s="8" t="s">
        <v>1239</v>
      </c>
      <c r="C545" s="9" t="s">
        <v>237</v>
      </c>
      <c r="D545" s="9" t="s">
        <v>1213</v>
      </c>
      <c r="E545" s="9" t="s">
        <v>1151</v>
      </c>
      <c r="F545" s="9" t="s">
        <v>1142</v>
      </c>
      <c r="G545" s="9" t="s">
        <v>55</v>
      </c>
      <c r="H545" s="7" t="str">
        <f>IFERROR(IF(_xlfn.XLOOKUP(B545,REPASSE!D:D,REPASSE!D:D)="","Não","Sim"),"Não")</f>
        <v>Não</v>
      </c>
      <c r="I545" s="7" t="str">
        <f>IF(_xlfn.XLOOKUP(B545,'BOOST LIBERADO'!B:B,'BOOST LIBERADO'!B:B,"Não")="Não","Não","Sim")</f>
        <v>Sim</v>
      </c>
      <c r="J545" s="83" t="str">
        <f t="shared" si="16"/>
        <v>Sim</v>
      </c>
      <c r="K545" s="12">
        <f>SUMIFS(BASE!$G:$G,BASE!$B:$B,$B545,BASE!$L:$L,$G545,BASE!$J:$J,$C545,BASE!$A:$A,K$2)</f>
        <v>0</v>
      </c>
      <c r="L545" s="12">
        <f>SUMIFS(BASE!$G:$G,BASE!$B:$B,$B545,BASE!$L:$L,$G545,BASE!$J:$J,$C545,BASE!$A:$A,L$2)</f>
        <v>0</v>
      </c>
      <c r="M545" s="12">
        <f>SUMIFS(BASE!$G:$G,BASE!$B:$B,$B545,BASE!$L:$L,$G545,BASE!$J:$J,$C545,BASE!$A:$A,M$2)</f>
        <v>3</v>
      </c>
      <c r="N545" s="12">
        <f>SUMIFS(BASE!$G:$G,BASE!$B:$B,$B545,BASE!$L:$L,$G545,BASE!$J:$J,$C545,BASE!$A:$A,N$2)</f>
        <v>1</v>
      </c>
      <c r="O545" s="12">
        <f>SUMIFS(BASE!$G:$G,BASE!$B:$B,$B545,BASE!$L:$L,$G545,BASE!$J:$J,$C545,BASE!$A:$A,O$2)</f>
        <v>1</v>
      </c>
      <c r="P545" s="12">
        <f>SUMIFS(BASE!$G:$G,BASE!$B:$B,$B545,BASE!$L:$L,$G545,BASE!$J:$J,$C545,BASE!$A:$A,P$2)</f>
        <v>2</v>
      </c>
      <c r="Q545" s="12">
        <f>SUMIFS(BASE!$G:$G,BASE!$B:$B,$B545,BASE!$L:$L,$G545,BASE!$J:$J,$C545,BASE!$A:$A,Q$2)</f>
        <v>0</v>
      </c>
      <c r="R545" s="12">
        <f>SUMIFS(BASE!$G:$G,BASE!$B:$B,$B545,BASE!$L:$L,$G545,BASE!$J:$J,$C545,BASE!$A:$A,R$2)</f>
        <v>3</v>
      </c>
      <c r="S545" s="12">
        <f>SUMIFS(BASE!$G:$G,BASE!$B:$B,$B545,BASE!$L:$L,$G545,BASE!$J:$J,$C545,BASE!$A:$A,S$2)</f>
        <v>0</v>
      </c>
      <c r="T545" s="12">
        <f>SUMIFS(BASE!$G:$G,BASE!$B:$B,$B545,BASE!$L:$L,$G545,BASE!$J:$J,$C545,BASE!$A:$A,T$2)</f>
        <v>0</v>
      </c>
      <c r="U545" s="12">
        <f>SUMIFS(BASE!$G:$G,BASE!$B:$B,$B545,BASE!$L:$L,$G545,BASE!$J:$J,$C545,BASE!$A:$A,U$2)</f>
        <v>0</v>
      </c>
      <c r="V545" s="12">
        <f>SUMIFS(BASE!$G:$G,BASE!$B:$B,$B545,BASE!$L:$L,$G545,BASE!$J:$J,$C545,BASE!$A:$A,V$2)</f>
        <v>0</v>
      </c>
      <c r="X545" t="str">
        <f t="shared" si="17"/>
        <v>COM TROCAS</v>
      </c>
    </row>
    <row r="546" spans="2:24">
      <c r="B546" s="8" t="s">
        <v>1240</v>
      </c>
      <c r="C546" s="9" t="s">
        <v>234</v>
      </c>
      <c r="D546" s="9" t="s">
        <v>1206</v>
      </c>
      <c r="E546" s="9" t="s">
        <v>1151</v>
      </c>
      <c r="F546" s="9" t="s">
        <v>1207</v>
      </c>
      <c r="G546" s="9" t="s">
        <v>55</v>
      </c>
      <c r="H546" s="7" t="str">
        <f>IFERROR(IF(_xlfn.XLOOKUP(B546,REPASSE!D:D,REPASSE!D:D)="","Não","Sim"),"Não")</f>
        <v>Não</v>
      </c>
      <c r="I546" s="7" t="str">
        <f>IF(_xlfn.XLOOKUP(B546,'BOOST LIBERADO'!B:B,'BOOST LIBERADO'!B:B,"Não")="Não","Não","Sim")</f>
        <v>Sim</v>
      </c>
      <c r="J546" s="83" t="str">
        <f t="shared" si="16"/>
        <v>Sim</v>
      </c>
      <c r="K546" s="12">
        <f>SUMIFS(BASE!$G:$G,BASE!$B:$B,$B546,BASE!$L:$L,$G546,BASE!$J:$J,$C546,BASE!$A:$A,K$2)</f>
        <v>0</v>
      </c>
      <c r="L546" s="12">
        <f>SUMIFS(BASE!$G:$G,BASE!$B:$B,$B546,BASE!$L:$L,$G546,BASE!$J:$J,$C546,BASE!$A:$A,L$2)</f>
        <v>0</v>
      </c>
      <c r="M546" s="12">
        <f>SUMIFS(BASE!$G:$G,BASE!$B:$B,$B546,BASE!$L:$L,$G546,BASE!$J:$J,$C546,BASE!$A:$A,M$2)</f>
        <v>0</v>
      </c>
      <c r="N546" s="12">
        <f>SUMIFS(BASE!$G:$G,BASE!$B:$B,$B546,BASE!$L:$L,$G546,BASE!$J:$J,$C546,BASE!$A:$A,N$2)</f>
        <v>0</v>
      </c>
      <c r="O546" s="12">
        <f>SUMIFS(BASE!$G:$G,BASE!$B:$B,$B546,BASE!$L:$L,$G546,BASE!$J:$J,$C546,BASE!$A:$A,O$2)</f>
        <v>1</v>
      </c>
      <c r="P546" s="12">
        <f>SUMIFS(BASE!$G:$G,BASE!$B:$B,$B546,BASE!$L:$L,$G546,BASE!$J:$J,$C546,BASE!$A:$A,P$2)</f>
        <v>0</v>
      </c>
      <c r="Q546" s="12">
        <f>SUMIFS(BASE!$G:$G,BASE!$B:$B,$B546,BASE!$L:$L,$G546,BASE!$J:$J,$C546,BASE!$A:$A,Q$2)</f>
        <v>0</v>
      </c>
      <c r="R546" s="12">
        <f>SUMIFS(BASE!$G:$G,BASE!$B:$B,$B546,BASE!$L:$L,$G546,BASE!$J:$J,$C546,BASE!$A:$A,R$2)</f>
        <v>0</v>
      </c>
      <c r="S546" s="12">
        <f>SUMIFS(BASE!$G:$G,BASE!$B:$B,$B546,BASE!$L:$L,$G546,BASE!$J:$J,$C546,BASE!$A:$A,S$2)</f>
        <v>0</v>
      </c>
      <c r="T546" s="12">
        <f>SUMIFS(BASE!$G:$G,BASE!$B:$B,$B546,BASE!$L:$L,$G546,BASE!$J:$J,$C546,BASE!$A:$A,T$2)</f>
        <v>0</v>
      </c>
      <c r="U546" s="12">
        <f>SUMIFS(BASE!$G:$G,BASE!$B:$B,$B546,BASE!$L:$L,$G546,BASE!$J:$J,$C546,BASE!$A:$A,U$2)</f>
        <v>0</v>
      </c>
      <c r="V546" s="12">
        <f>SUMIFS(BASE!$G:$G,BASE!$B:$B,$B546,BASE!$L:$L,$G546,BASE!$J:$J,$C546,BASE!$A:$A,V$2)</f>
        <v>0</v>
      </c>
      <c r="X546" t="str">
        <f t="shared" si="17"/>
        <v>ZERADO</v>
      </c>
    </row>
    <row r="547" spans="2:24">
      <c r="B547" s="8" t="s">
        <v>1241</v>
      </c>
      <c r="C547" s="9" t="s">
        <v>234</v>
      </c>
      <c r="D547" s="9" t="s">
        <v>1219</v>
      </c>
      <c r="E547" s="9" t="s">
        <v>1151</v>
      </c>
      <c r="F547" s="9" t="s">
        <v>1242</v>
      </c>
      <c r="G547" s="9" t="s">
        <v>55</v>
      </c>
      <c r="H547" s="7" t="str">
        <f>IFERROR(IF(_xlfn.XLOOKUP(B547,REPASSE!D:D,REPASSE!D:D)="","Não","Sim"),"Não")</f>
        <v>Não</v>
      </c>
      <c r="I547" s="7" t="str">
        <f>IF(_xlfn.XLOOKUP(B547,'BOOST LIBERADO'!B:B,'BOOST LIBERADO'!B:B,"Não")="Não","Não","Sim")</f>
        <v>Sim</v>
      </c>
      <c r="J547" s="83" t="str">
        <f t="shared" si="16"/>
        <v>Sim</v>
      </c>
      <c r="K547" s="12">
        <f>SUMIFS(BASE!$G:$G,BASE!$B:$B,$B547,BASE!$L:$L,$G547,BASE!$J:$J,$C547,BASE!$A:$A,K$2)</f>
        <v>0</v>
      </c>
      <c r="L547" s="12">
        <f>SUMIFS(BASE!$G:$G,BASE!$B:$B,$B547,BASE!$L:$L,$G547,BASE!$J:$J,$C547,BASE!$A:$A,L$2)</f>
        <v>0</v>
      </c>
      <c r="M547" s="12">
        <f>SUMIFS(BASE!$G:$G,BASE!$B:$B,$B547,BASE!$L:$L,$G547,BASE!$J:$J,$C547,BASE!$A:$A,M$2)</f>
        <v>0</v>
      </c>
      <c r="N547" s="12">
        <f>SUMIFS(BASE!$G:$G,BASE!$B:$B,$B547,BASE!$L:$L,$G547,BASE!$J:$J,$C547,BASE!$A:$A,N$2)</f>
        <v>0</v>
      </c>
      <c r="O547" s="12">
        <f>SUMIFS(BASE!$G:$G,BASE!$B:$B,$B547,BASE!$L:$L,$G547,BASE!$J:$J,$C547,BASE!$A:$A,O$2)</f>
        <v>0</v>
      </c>
      <c r="P547" s="12">
        <f>SUMIFS(BASE!$G:$G,BASE!$B:$B,$B547,BASE!$L:$L,$G547,BASE!$J:$J,$C547,BASE!$A:$A,P$2)</f>
        <v>0</v>
      </c>
      <c r="Q547" s="12">
        <f>SUMIFS(BASE!$G:$G,BASE!$B:$B,$B547,BASE!$L:$L,$G547,BASE!$J:$J,$C547,BASE!$A:$A,Q$2)</f>
        <v>0</v>
      </c>
      <c r="R547" s="12">
        <f>SUMIFS(BASE!$G:$G,BASE!$B:$B,$B547,BASE!$L:$L,$G547,BASE!$J:$J,$C547,BASE!$A:$A,R$2)</f>
        <v>0</v>
      </c>
      <c r="S547" s="12">
        <f>SUMIFS(BASE!$G:$G,BASE!$B:$B,$B547,BASE!$L:$L,$G547,BASE!$J:$J,$C547,BASE!$A:$A,S$2)</f>
        <v>0</v>
      </c>
      <c r="T547" s="12">
        <f>SUMIFS(BASE!$G:$G,BASE!$B:$B,$B547,BASE!$L:$L,$G547,BASE!$J:$J,$C547,BASE!$A:$A,T$2)</f>
        <v>0</v>
      </c>
      <c r="U547" s="12">
        <f>SUMIFS(BASE!$G:$G,BASE!$B:$B,$B547,BASE!$L:$L,$G547,BASE!$J:$J,$C547,BASE!$A:$A,U$2)</f>
        <v>0</v>
      </c>
      <c r="V547" s="12">
        <f>SUMIFS(BASE!$G:$G,BASE!$B:$B,$B547,BASE!$L:$L,$G547,BASE!$J:$J,$C547,BASE!$A:$A,V$2)</f>
        <v>0</v>
      </c>
      <c r="X547" t="str">
        <f t="shared" si="17"/>
        <v>ZERADO</v>
      </c>
    </row>
    <row r="548" spans="2:24">
      <c r="B548" s="8" t="s">
        <v>1243</v>
      </c>
      <c r="C548" s="9" t="s">
        <v>234</v>
      </c>
      <c r="D548" s="9" t="s">
        <v>1219</v>
      </c>
      <c r="E548" s="9" t="s">
        <v>1151</v>
      </c>
      <c r="F548" s="9" t="s">
        <v>1244</v>
      </c>
      <c r="G548" s="9" t="s">
        <v>55</v>
      </c>
      <c r="H548" s="7" t="str">
        <f>IFERROR(IF(_xlfn.XLOOKUP(B548,REPASSE!D:D,REPASSE!D:D)="","Não","Sim"),"Não")</f>
        <v>Não</v>
      </c>
      <c r="I548" s="7" t="str">
        <f>IF(_xlfn.XLOOKUP(B548,'BOOST LIBERADO'!B:B,'BOOST LIBERADO'!B:B,"Não")="Não","Não","Sim")</f>
        <v>Sim</v>
      </c>
      <c r="J548" s="83" t="str">
        <f t="shared" si="16"/>
        <v>Sim</v>
      </c>
      <c r="K548" s="12">
        <f>SUMIFS(BASE!$G:$G,BASE!$B:$B,$B548,BASE!$L:$L,$G548,BASE!$J:$J,$C548,BASE!$A:$A,K$2)</f>
        <v>0</v>
      </c>
      <c r="L548" s="12">
        <f>SUMIFS(BASE!$G:$G,BASE!$B:$B,$B548,BASE!$L:$L,$G548,BASE!$J:$J,$C548,BASE!$A:$A,L$2)</f>
        <v>0</v>
      </c>
      <c r="M548" s="12">
        <f>SUMIFS(BASE!$G:$G,BASE!$B:$B,$B548,BASE!$L:$L,$G548,BASE!$J:$J,$C548,BASE!$A:$A,M$2)</f>
        <v>0</v>
      </c>
      <c r="N548" s="12">
        <f>SUMIFS(BASE!$G:$G,BASE!$B:$B,$B548,BASE!$L:$L,$G548,BASE!$J:$J,$C548,BASE!$A:$A,N$2)</f>
        <v>0</v>
      </c>
      <c r="O548" s="12">
        <f>SUMIFS(BASE!$G:$G,BASE!$B:$B,$B548,BASE!$L:$L,$G548,BASE!$J:$J,$C548,BASE!$A:$A,O$2)</f>
        <v>0</v>
      </c>
      <c r="P548" s="12">
        <f>SUMIFS(BASE!$G:$G,BASE!$B:$B,$B548,BASE!$L:$L,$G548,BASE!$J:$J,$C548,BASE!$A:$A,P$2)</f>
        <v>0</v>
      </c>
      <c r="Q548" s="12">
        <f>SUMIFS(BASE!$G:$G,BASE!$B:$B,$B548,BASE!$L:$L,$G548,BASE!$J:$J,$C548,BASE!$A:$A,Q$2)</f>
        <v>0</v>
      </c>
      <c r="R548" s="12">
        <f>SUMIFS(BASE!$G:$G,BASE!$B:$B,$B548,BASE!$L:$L,$G548,BASE!$J:$J,$C548,BASE!$A:$A,R$2)</f>
        <v>0</v>
      </c>
      <c r="S548" s="12">
        <f>SUMIFS(BASE!$G:$G,BASE!$B:$B,$B548,BASE!$L:$L,$G548,BASE!$J:$J,$C548,BASE!$A:$A,S$2)</f>
        <v>0</v>
      </c>
      <c r="T548" s="12">
        <f>SUMIFS(BASE!$G:$G,BASE!$B:$B,$B548,BASE!$L:$L,$G548,BASE!$J:$J,$C548,BASE!$A:$A,T$2)</f>
        <v>0</v>
      </c>
      <c r="U548" s="12">
        <f>SUMIFS(BASE!$G:$G,BASE!$B:$B,$B548,BASE!$L:$L,$G548,BASE!$J:$J,$C548,BASE!$A:$A,U$2)</f>
        <v>0</v>
      </c>
      <c r="V548" s="12">
        <f>SUMIFS(BASE!$G:$G,BASE!$B:$B,$B548,BASE!$L:$L,$G548,BASE!$J:$J,$C548,BASE!$A:$A,V$2)</f>
        <v>0</v>
      </c>
      <c r="X548" t="str">
        <f t="shared" si="17"/>
        <v>ZERADO</v>
      </c>
    </row>
    <row r="549" spans="2:24">
      <c r="B549" s="8" t="s">
        <v>1245</v>
      </c>
      <c r="C549" s="9" t="s">
        <v>234</v>
      </c>
      <c r="D549" s="9" t="s">
        <v>1219</v>
      </c>
      <c r="E549" s="9" t="s">
        <v>1151</v>
      </c>
      <c r="F549" s="9" t="s">
        <v>1152</v>
      </c>
      <c r="G549" s="9" t="s">
        <v>55</v>
      </c>
      <c r="H549" s="7" t="str">
        <f>IFERROR(IF(_xlfn.XLOOKUP(B549,REPASSE!D:D,REPASSE!D:D)="","Não","Sim"),"Não")</f>
        <v>Não</v>
      </c>
      <c r="I549" s="7" t="str">
        <f>IF(_xlfn.XLOOKUP(B549,'BOOST LIBERADO'!B:B,'BOOST LIBERADO'!B:B,"Não")="Não","Não","Sim")</f>
        <v>Sim</v>
      </c>
      <c r="J549" s="83" t="str">
        <f t="shared" si="16"/>
        <v>Sim</v>
      </c>
      <c r="K549" s="12">
        <f>SUMIFS(BASE!$G:$G,BASE!$B:$B,$B549,BASE!$L:$L,$G549,BASE!$J:$J,$C549,BASE!$A:$A,K$2)</f>
        <v>2</v>
      </c>
      <c r="L549" s="12">
        <f>SUMIFS(BASE!$G:$G,BASE!$B:$B,$B549,BASE!$L:$L,$G549,BASE!$J:$J,$C549,BASE!$A:$A,L$2)</f>
        <v>0</v>
      </c>
      <c r="M549" s="12">
        <f>SUMIFS(BASE!$G:$G,BASE!$B:$B,$B549,BASE!$L:$L,$G549,BASE!$J:$J,$C549,BASE!$A:$A,M$2)</f>
        <v>1</v>
      </c>
      <c r="N549" s="12">
        <f>SUMIFS(BASE!$G:$G,BASE!$B:$B,$B549,BASE!$L:$L,$G549,BASE!$J:$J,$C549,BASE!$A:$A,N$2)</f>
        <v>1</v>
      </c>
      <c r="O549" s="12">
        <f>SUMIFS(BASE!$G:$G,BASE!$B:$B,$B549,BASE!$L:$L,$G549,BASE!$J:$J,$C549,BASE!$A:$A,O$2)</f>
        <v>0</v>
      </c>
      <c r="P549" s="12">
        <f>SUMIFS(BASE!$G:$G,BASE!$B:$B,$B549,BASE!$L:$L,$G549,BASE!$J:$J,$C549,BASE!$A:$A,P$2)</f>
        <v>0</v>
      </c>
      <c r="Q549" s="12">
        <f>SUMIFS(BASE!$G:$G,BASE!$B:$B,$B549,BASE!$L:$L,$G549,BASE!$J:$J,$C549,BASE!$A:$A,Q$2)</f>
        <v>1</v>
      </c>
      <c r="R549" s="12">
        <f>SUMIFS(BASE!$G:$G,BASE!$B:$B,$B549,BASE!$L:$L,$G549,BASE!$J:$J,$C549,BASE!$A:$A,R$2)</f>
        <v>5</v>
      </c>
      <c r="S549" s="12">
        <f>SUMIFS(BASE!$G:$G,BASE!$B:$B,$B549,BASE!$L:$L,$G549,BASE!$J:$J,$C549,BASE!$A:$A,S$2)</f>
        <v>0</v>
      </c>
      <c r="T549" s="12">
        <f>SUMIFS(BASE!$G:$G,BASE!$B:$B,$B549,BASE!$L:$L,$G549,BASE!$J:$J,$C549,BASE!$A:$A,T$2)</f>
        <v>0</v>
      </c>
      <c r="U549" s="12">
        <f>SUMIFS(BASE!$G:$G,BASE!$B:$B,$B549,BASE!$L:$L,$G549,BASE!$J:$J,$C549,BASE!$A:$A,U$2)</f>
        <v>0</v>
      </c>
      <c r="V549" s="12">
        <f>SUMIFS(BASE!$G:$G,BASE!$B:$B,$B549,BASE!$L:$L,$G549,BASE!$J:$J,$C549,BASE!$A:$A,V$2)</f>
        <v>0</v>
      </c>
      <c r="X549" t="str">
        <f t="shared" si="17"/>
        <v>COM TROCAS</v>
      </c>
    </row>
    <row r="550" spans="2:24">
      <c r="B550" s="8" t="s">
        <v>1246</v>
      </c>
      <c r="C550" s="9" t="s">
        <v>228</v>
      </c>
      <c r="D550" s="9" t="s">
        <v>1140</v>
      </c>
      <c r="E550" s="9" t="s">
        <v>1141</v>
      </c>
      <c r="F550" s="9" t="s">
        <v>1142</v>
      </c>
      <c r="G550" s="9" t="s">
        <v>55</v>
      </c>
      <c r="H550" s="7" t="str">
        <f>IFERROR(IF(_xlfn.XLOOKUP(B550,REPASSE!D:D,REPASSE!D:D)="","Não","Sim"),"Não")</f>
        <v>Não</v>
      </c>
      <c r="I550" s="7" t="str">
        <f>IF(_xlfn.XLOOKUP(B550,'BOOST LIBERADO'!B:B,'BOOST LIBERADO'!B:B,"Não")="Não","Não","Sim")</f>
        <v>Sim</v>
      </c>
      <c r="J550" s="83" t="str">
        <f t="shared" si="16"/>
        <v>Sim</v>
      </c>
      <c r="K550" s="12">
        <f>SUMIFS(BASE!$G:$G,BASE!$B:$B,$B550,BASE!$L:$L,$G550,BASE!$J:$J,$C550,BASE!$A:$A,K$2)</f>
        <v>13</v>
      </c>
      <c r="L550" s="12">
        <f>SUMIFS(BASE!$G:$G,BASE!$B:$B,$B550,BASE!$L:$L,$G550,BASE!$J:$J,$C550,BASE!$A:$A,L$2)</f>
        <v>12</v>
      </c>
      <c r="M550" s="12">
        <f>SUMIFS(BASE!$G:$G,BASE!$B:$B,$B550,BASE!$L:$L,$G550,BASE!$J:$J,$C550,BASE!$A:$A,M$2)</f>
        <v>17</v>
      </c>
      <c r="N550" s="12">
        <f>SUMIFS(BASE!$G:$G,BASE!$B:$B,$B550,BASE!$L:$L,$G550,BASE!$J:$J,$C550,BASE!$A:$A,N$2)</f>
        <v>21</v>
      </c>
      <c r="O550" s="12">
        <f>SUMIFS(BASE!$G:$G,BASE!$B:$B,$B550,BASE!$L:$L,$G550,BASE!$J:$J,$C550,BASE!$A:$A,O$2)</f>
        <v>23</v>
      </c>
      <c r="P550" s="12">
        <f>SUMIFS(BASE!$G:$G,BASE!$B:$B,$B550,BASE!$L:$L,$G550,BASE!$J:$J,$C550,BASE!$A:$A,P$2)</f>
        <v>26</v>
      </c>
      <c r="Q550" s="12">
        <f>SUMIFS(BASE!$G:$G,BASE!$B:$B,$B550,BASE!$L:$L,$G550,BASE!$J:$J,$C550,BASE!$A:$A,Q$2)</f>
        <v>30</v>
      </c>
      <c r="R550" s="12">
        <f>SUMIFS(BASE!$G:$G,BASE!$B:$B,$B550,BASE!$L:$L,$G550,BASE!$J:$J,$C550,BASE!$A:$A,R$2)</f>
        <v>19</v>
      </c>
      <c r="S550" s="12">
        <f>SUMIFS(BASE!$G:$G,BASE!$B:$B,$B550,BASE!$L:$L,$G550,BASE!$J:$J,$C550,BASE!$A:$A,S$2)</f>
        <v>0</v>
      </c>
      <c r="T550" s="12">
        <f>SUMIFS(BASE!$G:$G,BASE!$B:$B,$B550,BASE!$L:$L,$G550,BASE!$J:$J,$C550,BASE!$A:$A,T$2)</f>
        <v>0</v>
      </c>
      <c r="U550" s="12">
        <f>SUMIFS(BASE!$G:$G,BASE!$B:$B,$B550,BASE!$L:$L,$G550,BASE!$J:$J,$C550,BASE!$A:$A,U$2)</f>
        <v>0</v>
      </c>
      <c r="V550" s="12">
        <f>SUMIFS(BASE!$G:$G,BASE!$B:$B,$B550,BASE!$L:$L,$G550,BASE!$J:$J,$C550,BASE!$A:$A,V$2)</f>
        <v>0</v>
      </c>
      <c r="X550" t="str">
        <f t="shared" si="17"/>
        <v>COM TROCAS</v>
      </c>
    </row>
    <row r="551" spans="2:24">
      <c r="B551" s="8" t="s">
        <v>1247</v>
      </c>
      <c r="C551" s="9" t="s">
        <v>237</v>
      </c>
      <c r="D551" s="9" t="s">
        <v>1213</v>
      </c>
      <c r="E551" s="9" t="s">
        <v>1151</v>
      </c>
      <c r="F551" s="9" t="s">
        <v>1180</v>
      </c>
      <c r="G551" s="9" t="s">
        <v>55</v>
      </c>
      <c r="H551" s="7" t="str">
        <f>IFERROR(IF(_xlfn.XLOOKUP(B551,REPASSE!D:D,REPASSE!D:D)="","Não","Sim"),"Não")</f>
        <v>Não</v>
      </c>
      <c r="I551" s="7" t="str">
        <f>IF(_xlfn.XLOOKUP(B551,'BOOST LIBERADO'!B:B,'BOOST LIBERADO'!B:B,"Não")="Não","Não","Sim")</f>
        <v>Sim</v>
      </c>
      <c r="J551" s="83" t="str">
        <f t="shared" si="16"/>
        <v>Sim</v>
      </c>
      <c r="K551" s="12">
        <f>SUMIFS(BASE!$G:$G,BASE!$B:$B,$B551,BASE!$L:$L,$G551,BASE!$J:$J,$C551,BASE!$A:$A,K$2)</f>
        <v>0</v>
      </c>
      <c r="L551" s="12">
        <f>SUMIFS(BASE!$G:$G,BASE!$B:$B,$B551,BASE!$L:$L,$G551,BASE!$J:$J,$C551,BASE!$A:$A,L$2)</f>
        <v>0</v>
      </c>
      <c r="M551" s="12">
        <f>SUMIFS(BASE!$G:$G,BASE!$B:$B,$B551,BASE!$L:$L,$G551,BASE!$J:$J,$C551,BASE!$A:$A,M$2)</f>
        <v>0</v>
      </c>
      <c r="N551" s="12">
        <f>SUMIFS(BASE!$G:$G,BASE!$B:$B,$B551,BASE!$L:$L,$G551,BASE!$J:$J,$C551,BASE!$A:$A,N$2)</f>
        <v>0</v>
      </c>
      <c r="O551" s="12">
        <f>SUMIFS(BASE!$G:$G,BASE!$B:$B,$B551,BASE!$L:$L,$G551,BASE!$J:$J,$C551,BASE!$A:$A,O$2)</f>
        <v>1</v>
      </c>
      <c r="P551" s="12">
        <f>SUMIFS(BASE!$G:$G,BASE!$B:$B,$B551,BASE!$L:$L,$G551,BASE!$J:$J,$C551,BASE!$A:$A,P$2)</f>
        <v>0</v>
      </c>
      <c r="Q551" s="12">
        <f>SUMIFS(BASE!$G:$G,BASE!$B:$B,$B551,BASE!$L:$L,$G551,BASE!$J:$J,$C551,BASE!$A:$A,Q$2)</f>
        <v>2</v>
      </c>
      <c r="R551" s="12">
        <f>SUMIFS(BASE!$G:$G,BASE!$B:$B,$B551,BASE!$L:$L,$G551,BASE!$J:$J,$C551,BASE!$A:$A,R$2)</f>
        <v>3</v>
      </c>
      <c r="S551" s="12">
        <f>SUMIFS(BASE!$G:$G,BASE!$B:$B,$B551,BASE!$L:$L,$G551,BASE!$J:$J,$C551,BASE!$A:$A,S$2)</f>
        <v>0</v>
      </c>
      <c r="T551" s="12">
        <f>SUMIFS(BASE!$G:$G,BASE!$B:$B,$B551,BASE!$L:$L,$G551,BASE!$J:$J,$C551,BASE!$A:$A,T$2)</f>
        <v>0</v>
      </c>
      <c r="U551" s="12">
        <f>SUMIFS(BASE!$G:$G,BASE!$B:$B,$B551,BASE!$L:$L,$G551,BASE!$J:$J,$C551,BASE!$A:$A,U$2)</f>
        <v>0</v>
      </c>
      <c r="V551" s="12">
        <f>SUMIFS(BASE!$G:$G,BASE!$B:$B,$B551,BASE!$L:$L,$G551,BASE!$J:$J,$C551,BASE!$A:$A,V$2)</f>
        <v>0</v>
      </c>
      <c r="X551" t="str">
        <f t="shared" si="17"/>
        <v>COM TROCAS</v>
      </c>
    </row>
    <row r="552" spans="2:24">
      <c r="B552" s="8" t="s">
        <v>1248</v>
      </c>
      <c r="C552" s="9" t="s">
        <v>125</v>
      </c>
      <c r="D552" s="9" t="s">
        <v>1146</v>
      </c>
      <c r="E552" s="9" t="s">
        <v>1147</v>
      </c>
      <c r="F552" s="9" t="s">
        <v>1148</v>
      </c>
      <c r="G552" s="9" t="s">
        <v>55</v>
      </c>
      <c r="H552" s="7" t="str">
        <f>IFERROR(IF(_xlfn.XLOOKUP(B552,REPASSE!D:D,REPASSE!D:D)="","Não","Sim"),"Não")</f>
        <v>Não</v>
      </c>
      <c r="I552" s="7" t="str">
        <f>IF(_xlfn.XLOOKUP(B552,'BOOST LIBERADO'!B:B,'BOOST LIBERADO'!B:B,"Não")="Não","Não","Sim")</f>
        <v>Sim</v>
      </c>
      <c r="J552" s="83" t="str">
        <f t="shared" si="16"/>
        <v>Sim</v>
      </c>
      <c r="K552" s="12">
        <f>SUMIFS(BASE!$G:$G,BASE!$B:$B,$B552,BASE!$L:$L,$G552,BASE!$J:$J,$C552,BASE!$A:$A,K$2)</f>
        <v>0</v>
      </c>
      <c r="L552" s="12">
        <f>SUMIFS(BASE!$G:$G,BASE!$B:$B,$B552,BASE!$L:$L,$G552,BASE!$J:$J,$C552,BASE!$A:$A,L$2)</f>
        <v>0</v>
      </c>
      <c r="M552" s="12">
        <f>SUMIFS(BASE!$G:$G,BASE!$B:$B,$B552,BASE!$L:$L,$G552,BASE!$J:$J,$C552,BASE!$A:$A,M$2)</f>
        <v>0</v>
      </c>
      <c r="N552" s="12">
        <f>SUMIFS(BASE!$G:$G,BASE!$B:$B,$B552,BASE!$L:$L,$G552,BASE!$J:$J,$C552,BASE!$A:$A,N$2)</f>
        <v>0</v>
      </c>
      <c r="O552" s="12">
        <f>SUMIFS(BASE!$G:$G,BASE!$B:$B,$B552,BASE!$L:$L,$G552,BASE!$J:$J,$C552,BASE!$A:$A,O$2)</f>
        <v>0</v>
      </c>
      <c r="P552" s="12">
        <f>SUMIFS(BASE!$G:$G,BASE!$B:$B,$B552,BASE!$L:$L,$G552,BASE!$J:$J,$C552,BASE!$A:$A,P$2)</f>
        <v>0</v>
      </c>
      <c r="Q552" s="12">
        <f>SUMIFS(BASE!$G:$G,BASE!$B:$B,$B552,BASE!$L:$L,$G552,BASE!$J:$J,$C552,BASE!$A:$A,Q$2)</f>
        <v>0</v>
      </c>
      <c r="R552" s="12">
        <f>SUMIFS(BASE!$G:$G,BASE!$B:$B,$B552,BASE!$L:$L,$G552,BASE!$J:$J,$C552,BASE!$A:$A,R$2)</f>
        <v>0</v>
      </c>
      <c r="S552" s="12">
        <f>SUMIFS(BASE!$G:$G,BASE!$B:$B,$B552,BASE!$L:$L,$G552,BASE!$J:$J,$C552,BASE!$A:$A,S$2)</f>
        <v>0</v>
      </c>
      <c r="T552" s="12">
        <f>SUMIFS(BASE!$G:$G,BASE!$B:$B,$B552,BASE!$L:$L,$G552,BASE!$J:$J,$C552,BASE!$A:$A,T$2)</f>
        <v>0</v>
      </c>
      <c r="U552" s="12">
        <f>SUMIFS(BASE!$G:$G,BASE!$B:$B,$B552,BASE!$L:$L,$G552,BASE!$J:$J,$C552,BASE!$A:$A,U$2)</f>
        <v>0</v>
      </c>
      <c r="V552" s="12">
        <f>SUMIFS(BASE!$G:$G,BASE!$B:$B,$B552,BASE!$L:$L,$G552,BASE!$J:$J,$C552,BASE!$A:$A,V$2)</f>
        <v>0</v>
      </c>
      <c r="X552" t="str">
        <f t="shared" si="17"/>
        <v>ZERADO</v>
      </c>
    </row>
    <row r="553" spans="2:24">
      <c r="B553" s="8" t="s">
        <v>1249</v>
      </c>
      <c r="C553" s="9" t="s">
        <v>202</v>
      </c>
      <c r="D553" s="9" t="s">
        <v>1201</v>
      </c>
      <c r="E553" s="9" t="s">
        <v>1193</v>
      </c>
      <c r="F553" s="9" t="s">
        <v>1250</v>
      </c>
      <c r="G553" s="9" t="s">
        <v>55</v>
      </c>
      <c r="H553" s="7" t="str">
        <f>IFERROR(IF(_xlfn.XLOOKUP(B553,REPASSE!D:D,REPASSE!D:D)="","Não","Sim"),"Não")</f>
        <v>Não</v>
      </c>
      <c r="I553" s="7" t="str">
        <f>IF(_xlfn.XLOOKUP(B553,'BOOST LIBERADO'!B:B,'BOOST LIBERADO'!B:B,"Não")="Não","Não","Sim")</f>
        <v>Sim</v>
      </c>
      <c r="J553" s="83" t="str">
        <f t="shared" si="16"/>
        <v>Sim</v>
      </c>
      <c r="K553" s="12">
        <f>SUMIFS(BASE!$G:$G,BASE!$B:$B,$B553,BASE!$L:$L,$G553,BASE!$J:$J,$C553,BASE!$A:$A,K$2)</f>
        <v>0</v>
      </c>
      <c r="L553" s="12">
        <f>SUMIFS(BASE!$G:$G,BASE!$B:$B,$B553,BASE!$L:$L,$G553,BASE!$J:$J,$C553,BASE!$A:$A,L$2)</f>
        <v>0</v>
      </c>
      <c r="M553" s="12">
        <f>SUMIFS(BASE!$G:$G,BASE!$B:$B,$B553,BASE!$L:$L,$G553,BASE!$J:$J,$C553,BASE!$A:$A,M$2)</f>
        <v>0</v>
      </c>
      <c r="N553" s="12">
        <f>SUMIFS(BASE!$G:$G,BASE!$B:$B,$B553,BASE!$L:$L,$G553,BASE!$J:$J,$C553,BASE!$A:$A,N$2)</f>
        <v>0</v>
      </c>
      <c r="O553" s="12">
        <f>SUMIFS(BASE!$G:$G,BASE!$B:$B,$B553,BASE!$L:$L,$G553,BASE!$J:$J,$C553,BASE!$A:$A,O$2)</f>
        <v>0</v>
      </c>
      <c r="P553" s="12">
        <f>SUMIFS(BASE!$G:$G,BASE!$B:$B,$B553,BASE!$L:$L,$G553,BASE!$J:$J,$C553,BASE!$A:$A,P$2)</f>
        <v>0</v>
      </c>
      <c r="Q553" s="12">
        <f>SUMIFS(BASE!$G:$G,BASE!$B:$B,$B553,BASE!$L:$L,$G553,BASE!$J:$J,$C553,BASE!$A:$A,Q$2)</f>
        <v>0</v>
      </c>
      <c r="R553" s="12">
        <f>SUMIFS(BASE!$G:$G,BASE!$B:$B,$B553,BASE!$L:$L,$G553,BASE!$J:$J,$C553,BASE!$A:$A,R$2)</f>
        <v>0</v>
      </c>
      <c r="S553" s="12">
        <f>SUMIFS(BASE!$G:$G,BASE!$B:$B,$B553,BASE!$L:$L,$G553,BASE!$J:$J,$C553,BASE!$A:$A,S$2)</f>
        <v>0</v>
      </c>
      <c r="T553" s="12">
        <f>SUMIFS(BASE!$G:$G,BASE!$B:$B,$B553,BASE!$L:$L,$G553,BASE!$J:$J,$C553,BASE!$A:$A,T$2)</f>
        <v>0</v>
      </c>
      <c r="U553" s="12">
        <f>SUMIFS(BASE!$G:$G,BASE!$B:$B,$B553,BASE!$L:$L,$G553,BASE!$J:$J,$C553,BASE!$A:$A,U$2)</f>
        <v>0</v>
      </c>
      <c r="V553" s="12">
        <f>SUMIFS(BASE!$G:$G,BASE!$B:$B,$B553,BASE!$L:$L,$G553,BASE!$J:$J,$C553,BASE!$A:$A,V$2)</f>
        <v>0</v>
      </c>
      <c r="X553" t="str">
        <f t="shared" si="17"/>
        <v>ZERADO</v>
      </c>
    </row>
    <row r="554" spans="2:24">
      <c r="B554" s="8" t="s">
        <v>1251</v>
      </c>
      <c r="C554" s="9" t="s">
        <v>228</v>
      </c>
      <c r="D554" s="9" t="s">
        <v>1179</v>
      </c>
      <c r="E554" s="9" t="s">
        <v>1151</v>
      </c>
      <c r="F554" s="9" t="s">
        <v>1159</v>
      </c>
      <c r="G554" s="9" t="s">
        <v>55</v>
      </c>
      <c r="H554" s="7" t="str">
        <f>IFERROR(IF(_xlfn.XLOOKUP(B554,REPASSE!D:D,REPASSE!D:D)="","Não","Sim"),"Não")</f>
        <v>Não</v>
      </c>
      <c r="I554" s="7" t="str">
        <f>IF(_xlfn.XLOOKUP(B554,'BOOST LIBERADO'!B:B,'BOOST LIBERADO'!B:B,"Não")="Não","Não","Sim")</f>
        <v>Sim</v>
      </c>
      <c r="J554" s="83" t="str">
        <f t="shared" si="16"/>
        <v>Sim</v>
      </c>
      <c r="K554" s="12">
        <f>SUMIFS(BASE!$G:$G,BASE!$B:$B,$B554,BASE!$L:$L,$G554,BASE!$J:$J,$C554,BASE!$A:$A,K$2)</f>
        <v>0</v>
      </c>
      <c r="L554" s="12">
        <f>SUMIFS(BASE!$G:$G,BASE!$B:$B,$B554,BASE!$L:$L,$G554,BASE!$J:$J,$C554,BASE!$A:$A,L$2)</f>
        <v>0</v>
      </c>
      <c r="M554" s="12">
        <f>SUMIFS(BASE!$G:$G,BASE!$B:$B,$B554,BASE!$L:$L,$G554,BASE!$J:$J,$C554,BASE!$A:$A,M$2)</f>
        <v>1</v>
      </c>
      <c r="N554" s="12">
        <f>SUMIFS(BASE!$G:$G,BASE!$B:$B,$B554,BASE!$L:$L,$G554,BASE!$J:$J,$C554,BASE!$A:$A,N$2)</f>
        <v>4</v>
      </c>
      <c r="O554" s="12">
        <f>SUMIFS(BASE!$G:$G,BASE!$B:$B,$B554,BASE!$L:$L,$G554,BASE!$J:$J,$C554,BASE!$A:$A,O$2)</f>
        <v>2</v>
      </c>
      <c r="P554" s="12">
        <f>SUMIFS(BASE!$G:$G,BASE!$B:$B,$B554,BASE!$L:$L,$G554,BASE!$J:$J,$C554,BASE!$A:$A,P$2)</f>
        <v>5</v>
      </c>
      <c r="Q554" s="12">
        <f>SUMIFS(BASE!$G:$G,BASE!$B:$B,$B554,BASE!$L:$L,$G554,BASE!$J:$J,$C554,BASE!$A:$A,Q$2)</f>
        <v>9</v>
      </c>
      <c r="R554" s="12">
        <f>SUMIFS(BASE!$G:$G,BASE!$B:$B,$B554,BASE!$L:$L,$G554,BASE!$J:$J,$C554,BASE!$A:$A,R$2)</f>
        <v>6</v>
      </c>
      <c r="S554" s="12">
        <f>SUMIFS(BASE!$G:$G,BASE!$B:$B,$B554,BASE!$L:$L,$G554,BASE!$J:$J,$C554,BASE!$A:$A,S$2)</f>
        <v>0</v>
      </c>
      <c r="T554" s="12">
        <f>SUMIFS(BASE!$G:$G,BASE!$B:$B,$B554,BASE!$L:$L,$G554,BASE!$J:$J,$C554,BASE!$A:$A,T$2)</f>
        <v>0</v>
      </c>
      <c r="U554" s="12">
        <f>SUMIFS(BASE!$G:$G,BASE!$B:$B,$B554,BASE!$L:$L,$G554,BASE!$J:$J,$C554,BASE!$A:$A,U$2)</f>
        <v>0</v>
      </c>
      <c r="V554" s="12">
        <f>SUMIFS(BASE!$G:$G,BASE!$B:$B,$B554,BASE!$L:$L,$G554,BASE!$J:$J,$C554,BASE!$A:$A,V$2)</f>
        <v>0</v>
      </c>
      <c r="X554" t="str">
        <f t="shared" si="17"/>
        <v>COM TROCAS</v>
      </c>
    </row>
    <row r="555" spans="2:24">
      <c r="B555" s="8" t="s">
        <v>1252</v>
      </c>
      <c r="C555" s="9" t="s">
        <v>228</v>
      </c>
      <c r="D555" s="9" t="s">
        <v>1163</v>
      </c>
      <c r="E555" s="9" t="s">
        <v>1141</v>
      </c>
      <c r="F555" s="9" t="s">
        <v>1142</v>
      </c>
      <c r="G555" s="9" t="s">
        <v>55</v>
      </c>
      <c r="H555" s="7" t="str">
        <f>IFERROR(IF(_xlfn.XLOOKUP(B555,REPASSE!D:D,REPASSE!D:D)="","Não","Sim"),"Não")</f>
        <v>Não</v>
      </c>
      <c r="I555" s="7" t="str">
        <f>IF(_xlfn.XLOOKUP(B555,'BOOST LIBERADO'!B:B,'BOOST LIBERADO'!B:B,"Não")="Não","Não","Sim")</f>
        <v>Sim</v>
      </c>
      <c r="J555" s="83" t="str">
        <f t="shared" si="16"/>
        <v>Sim</v>
      </c>
      <c r="K555" s="12">
        <f>SUMIFS(BASE!$G:$G,BASE!$B:$B,$B555,BASE!$L:$L,$G555,BASE!$J:$J,$C555,BASE!$A:$A,K$2)</f>
        <v>12</v>
      </c>
      <c r="L555" s="12">
        <f>SUMIFS(BASE!$G:$G,BASE!$B:$B,$B555,BASE!$L:$L,$G555,BASE!$J:$J,$C555,BASE!$A:$A,L$2)</f>
        <v>10</v>
      </c>
      <c r="M555" s="12">
        <f>SUMIFS(BASE!$G:$G,BASE!$B:$B,$B555,BASE!$L:$L,$G555,BASE!$J:$J,$C555,BASE!$A:$A,M$2)</f>
        <v>11</v>
      </c>
      <c r="N555" s="12">
        <f>SUMIFS(BASE!$G:$G,BASE!$B:$B,$B555,BASE!$L:$L,$G555,BASE!$J:$J,$C555,BASE!$A:$A,N$2)</f>
        <v>8</v>
      </c>
      <c r="O555" s="12">
        <f>SUMIFS(BASE!$G:$G,BASE!$B:$B,$B555,BASE!$L:$L,$G555,BASE!$J:$J,$C555,BASE!$A:$A,O$2)</f>
        <v>8</v>
      </c>
      <c r="P555" s="12">
        <f>SUMIFS(BASE!$G:$G,BASE!$B:$B,$B555,BASE!$L:$L,$G555,BASE!$J:$J,$C555,BASE!$A:$A,P$2)</f>
        <v>8</v>
      </c>
      <c r="Q555" s="12">
        <f>SUMIFS(BASE!$G:$G,BASE!$B:$B,$B555,BASE!$L:$L,$G555,BASE!$J:$J,$C555,BASE!$A:$A,Q$2)</f>
        <v>12</v>
      </c>
      <c r="R555" s="12">
        <f>SUMIFS(BASE!$G:$G,BASE!$B:$B,$B555,BASE!$L:$L,$G555,BASE!$J:$J,$C555,BASE!$A:$A,R$2)</f>
        <v>10</v>
      </c>
      <c r="S555" s="12">
        <f>SUMIFS(BASE!$G:$G,BASE!$B:$B,$B555,BASE!$L:$L,$G555,BASE!$J:$J,$C555,BASE!$A:$A,S$2)</f>
        <v>0</v>
      </c>
      <c r="T555" s="12">
        <f>SUMIFS(BASE!$G:$G,BASE!$B:$B,$B555,BASE!$L:$L,$G555,BASE!$J:$J,$C555,BASE!$A:$A,T$2)</f>
        <v>0</v>
      </c>
      <c r="U555" s="12">
        <f>SUMIFS(BASE!$G:$G,BASE!$B:$B,$B555,BASE!$L:$L,$G555,BASE!$J:$J,$C555,BASE!$A:$A,U$2)</f>
        <v>0</v>
      </c>
      <c r="V555" s="12">
        <f>SUMIFS(BASE!$G:$G,BASE!$B:$B,$B555,BASE!$L:$L,$G555,BASE!$J:$J,$C555,BASE!$A:$A,V$2)</f>
        <v>0</v>
      </c>
      <c r="X555" t="str">
        <f t="shared" si="17"/>
        <v>COM TROCAS</v>
      </c>
    </row>
    <row r="556" spans="2:24">
      <c r="B556" s="8" t="s">
        <v>1253</v>
      </c>
      <c r="C556" s="9" t="s">
        <v>228</v>
      </c>
      <c r="D556" s="9" t="s">
        <v>1140</v>
      </c>
      <c r="E556" s="9" t="s">
        <v>1141</v>
      </c>
      <c r="F556" s="9" t="s">
        <v>1142</v>
      </c>
      <c r="G556" s="9" t="s">
        <v>55</v>
      </c>
      <c r="H556" s="7" t="str">
        <f>IFERROR(IF(_xlfn.XLOOKUP(B556,REPASSE!D:D,REPASSE!D:D)="","Não","Sim"),"Não")</f>
        <v>Não</v>
      </c>
      <c r="I556" s="7" t="str">
        <f>IF(_xlfn.XLOOKUP(B556,'BOOST LIBERADO'!B:B,'BOOST LIBERADO'!B:B,"Não")="Não","Não","Sim")</f>
        <v>Sim</v>
      </c>
      <c r="J556" s="83" t="str">
        <f t="shared" si="16"/>
        <v>Sim</v>
      </c>
      <c r="K556" s="12">
        <f>SUMIFS(BASE!$G:$G,BASE!$B:$B,$B556,BASE!$L:$L,$G556,BASE!$J:$J,$C556,BASE!$A:$A,K$2)</f>
        <v>6</v>
      </c>
      <c r="L556" s="12">
        <f>SUMIFS(BASE!$G:$G,BASE!$B:$B,$B556,BASE!$L:$L,$G556,BASE!$J:$J,$C556,BASE!$A:$A,L$2)</f>
        <v>8</v>
      </c>
      <c r="M556" s="12">
        <f>SUMIFS(BASE!$G:$G,BASE!$B:$B,$B556,BASE!$L:$L,$G556,BASE!$J:$J,$C556,BASE!$A:$A,M$2)</f>
        <v>6</v>
      </c>
      <c r="N556" s="12">
        <f>SUMIFS(BASE!$G:$G,BASE!$B:$B,$B556,BASE!$L:$L,$G556,BASE!$J:$J,$C556,BASE!$A:$A,N$2)</f>
        <v>3</v>
      </c>
      <c r="O556" s="12">
        <f>SUMIFS(BASE!$G:$G,BASE!$B:$B,$B556,BASE!$L:$L,$G556,BASE!$J:$J,$C556,BASE!$A:$A,O$2)</f>
        <v>9</v>
      </c>
      <c r="P556" s="12">
        <f>SUMIFS(BASE!$G:$G,BASE!$B:$B,$B556,BASE!$L:$L,$G556,BASE!$J:$J,$C556,BASE!$A:$A,P$2)</f>
        <v>5</v>
      </c>
      <c r="Q556" s="12">
        <f>SUMIFS(BASE!$G:$G,BASE!$B:$B,$B556,BASE!$L:$L,$G556,BASE!$J:$J,$C556,BASE!$A:$A,Q$2)</f>
        <v>3</v>
      </c>
      <c r="R556" s="12">
        <f>SUMIFS(BASE!$G:$G,BASE!$B:$B,$B556,BASE!$L:$L,$G556,BASE!$J:$J,$C556,BASE!$A:$A,R$2)</f>
        <v>1</v>
      </c>
      <c r="S556" s="12">
        <f>SUMIFS(BASE!$G:$G,BASE!$B:$B,$B556,BASE!$L:$L,$G556,BASE!$J:$J,$C556,BASE!$A:$A,S$2)</f>
        <v>0</v>
      </c>
      <c r="T556" s="12">
        <f>SUMIFS(BASE!$G:$G,BASE!$B:$B,$B556,BASE!$L:$L,$G556,BASE!$J:$J,$C556,BASE!$A:$A,T$2)</f>
        <v>0</v>
      </c>
      <c r="U556" s="12">
        <f>SUMIFS(BASE!$G:$G,BASE!$B:$B,$B556,BASE!$L:$L,$G556,BASE!$J:$J,$C556,BASE!$A:$A,U$2)</f>
        <v>0</v>
      </c>
      <c r="V556" s="12">
        <f>SUMIFS(BASE!$G:$G,BASE!$B:$B,$B556,BASE!$L:$L,$G556,BASE!$J:$J,$C556,BASE!$A:$A,V$2)</f>
        <v>0</v>
      </c>
      <c r="X556" t="str">
        <f t="shared" si="17"/>
        <v>COM TROCAS</v>
      </c>
    </row>
    <row r="557" spans="2:24">
      <c r="B557" s="8" t="s">
        <v>1254</v>
      </c>
      <c r="C557" s="9" t="s">
        <v>234</v>
      </c>
      <c r="D557" s="9" t="s">
        <v>1219</v>
      </c>
      <c r="E557" s="9" t="s">
        <v>1151</v>
      </c>
      <c r="F557" s="9" t="s">
        <v>1255</v>
      </c>
      <c r="G557" s="9" t="s">
        <v>55</v>
      </c>
      <c r="H557" s="7" t="str">
        <f>IFERROR(IF(_xlfn.XLOOKUP(B557,REPASSE!D:D,REPASSE!D:D)="","Não","Sim"),"Não")</f>
        <v>Não</v>
      </c>
      <c r="I557" s="7" t="str">
        <f>IF(_xlfn.XLOOKUP(B557,'BOOST LIBERADO'!B:B,'BOOST LIBERADO'!B:B,"Não")="Não","Não","Sim")</f>
        <v>Sim</v>
      </c>
      <c r="J557" s="83" t="str">
        <f t="shared" si="16"/>
        <v>Sim</v>
      </c>
      <c r="K557" s="12">
        <f>SUMIFS(BASE!$G:$G,BASE!$B:$B,$B557,BASE!$L:$L,$G557,BASE!$J:$J,$C557,BASE!$A:$A,K$2)</f>
        <v>0</v>
      </c>
      <c r="L557" s="12">
        <f>SUMIFS(BASE!$G:$G,BASE!$B:$B,$B557,BASE!$L:$L,$G557,BASE!$J:$J,$C557,BASE!$A:$A,L$2)</f>
        <v>0</v>
      </c>
      <c r="M557" s="12">
        <f>SUMIFS(BASE!$G:$G,BASE!$B:$B,$B557,BASE!$L:$L,$G557,BASE!$J:$J,$C557,BASE!$A:$A,M$2)</f>
        <v>0</v>
      </c>
      <c r="N557" s="12">
        <f>SUMIFS(BASE!$G:$G,BASE!$B:$B,$B557,BASE!$L:$L,$G557,BASE!$J:$J,$C557,BASE!$A:$A,N$2)</f>
        <v>0</v>
      </c>
      <c r="O557" s="12">
        <f>SUMIFS(BASE!$G:$G,BASE!$B:$B,$B557,BASE!$L:$L,$G557,BASE!$J:$J,$C557,BASE!$A:$A,O$2)</f>
        <v>0</v>
      </c>
      <c r="P557" s="12">
        <f>SUMIFS(BASE!$G:$G,BASE!$B:$B,$B557,BASE!$L:$L,$G557,BASE!$J:$J,$C557,BASE!$A:$A,P$2)</f>
        <v>0</v>
      </c>
      <c r="Q557" s="12">
        <f>SUMIFS(BASE!$G:$G,BASE!$B:$B,$B557,BASE!$L:$L,$G557,BASE!$J:$J,$C557,BASE!$A:$A,Q$2)</f>
        <v>1</v>
      </c>
      <c r="R557" s="12">
        <f>SUMIFS(BASE!$G:$G,BASE!$B:$B,$B557,BASE!$L:$L,$G557,BASE!$J:$J,$C557,BASE!$A:$A,R$2)</f>
        <v>2</v>
      </c>
      <c r="S557" s="12">
        <f>SUMIFS(BASE!$G:$G,BASE!$B:$B,$B557,BASE!$L:$L,$G557,BASE!$J:$J,$C557,BASE!$A:$A,S$2)</f>
        <v>0</v>
      </c>
      <c r="T557" s="12">
        <f>SUMIFS(BASE!$G:$G,BASE!$B:$B,$B557,BASE!$L:$L,$G557,BASE!$J:$J,$C557,BASE!$A:$A,T$2)</f>
        <v>0</v>
      </c>
      <c r="U557" s="12">
        <f>SUMIFS(BASE!$G:$G,BASE!$B:$B,$B557,BASE!$L:$L,$G557,BASE!$J:$J,$C557,BASE!$A:$A,U$2)</f>
        <v>0</v>
      </c>
      <c r="V557" s="12">
        <f>SUMIFS(BASE!$G:$G,BASE!$B:$B,$B557,BASE!$L:$L,$G557,BASE!$J:$J,$C557,BASE!$A:$A,V$2)</f>
        <v>0</v>
      </c>
      <c r="X557" t="str">
        <f t="shared" si="17"/>
        <v>COM TROCAS</v>
      </c>
    </row>
    <row r="558" spans="2:24">
      <c r="B558" s="8" t="s">
        <v>1256</v>
      </c>
      <c r="C558" s="9" t="s">
        <v>234</v>
      </c>
      <c r="D558" s="9" t="s">
        <v>1201</v>
      </c>
      <c r="E558" s="9" t="s">
        <v>1193</v>
      </c>
      <c r="F558" s="9" t="s">
        <v>1204</v>
      </c>
      <c r="G558" s="9" t="s">
        <v>55</v>
      </c>
      <c r="H558" s="7" t="str">
        <f>IFERROR(IF(_xlfn.XLOOKUP(B558,REPASSE!D:D,REPASSE!D:D)="","Não","Sim"),"Não")</f>
        <v>Não</v>
      </c>
      <c r="I558" s="7" t="str">
        <f>IF(_xlfn.XLOOKUP(B558,'BOOST LIBERADO'!B:B,'BOOST LIBERADO'!B:B,"Não")="Não","Não","Sim")</f>
        <v>Sim</v>
      </c>
      <c r="J558" s="83" t="str">
        <f t="shared" si="16"/>
        <v>Sim</v>
      </c>
      <c r="K558" s="12">
        <f>SUMIFS(BASE!$G:$G,BASE!$B:$B,$B558,BASE!$L:$L,$G558,BASE!$J:$J,$C558,BASE!$A:$A,K$2)</f>
        <v>1</v>
      </c>
      <c r="L558" s="12">
        <f>SUMIFS(BASE!$G:$G,BASE!$B:$B,$B558,BASE!$L:$L,$G558,BASE!$J:$J,$C558,BASE!$A:$A,L$2)</f>
        <v>0</v>
      </c>
      <c r="M558" s="12">
        <f>SUMIFS(BASE!$G:$G,BASE!$B:$B,$B558,BASE!$L:$L,$G558,BASE!$J:$J,$C558,BASE!$A:$A,M$2)</f>
        <v>2</v>
      </c>
      <c r="N558" s="12">
        <f>SUMIFS(BASE!$G:$G,BASE!$B:$B,$B558,BASE!$L:$L,$G558,BASE!$J:$J,$C558,BASE!$A:$A,N$2)</f>
        <v>1</v>
      </c>
      <c r="O558" s="12">
        <f>SUMIFS(BASE!$G:$G,BASE!$B:$B,$B558,BASE!$L:$L,$G558,BASE!$J:$J,$C558,BASE!$A:$A,O$2)</f>
        <v>0</v>
      </c>
      <c r="P558" s="12">
        <f>SUMIFS(BASE!$G:$G,BASE!$B:$B,$B558,BASE!$L:$L,$G558,BASE!$J:$J,$C558,BASE!$A:$A,P$2)</f>
        <v>0</v>
      </c>
      <c r="Q558" s="12">
        <f>SUMIFS(BASE!$G:$G,BASE!$B:$B,$B558,BASE!$L:$L,$G558,BASE!$J:$J,$C558,BASE!$A:$A,Q$2)</f>
        <v>0</v>
      </c>
      <c r="R558" s="12">
        <f>SUMIFS(BASE!$G:$G,BASE!$B:$B,$B558,BASE!$L:$L,$G558,BASE!$J:$J,$C558,BASE!$A:$A,R$2)</f>
        <v>0</v>
      </c>
      <c r="S558" s="12">
        <f>SUMIFS(BASE!$G:$G,BASE!$B:$B,$B558,BASE!$L:$L,$G558,BASE!$J:$J,$C558,BASE!$A:$A,S$2)</f>
        <v>0</v>
      </c>
      <c r="T558" s="12">
        <f>SUMIFS(BASE!$G:$G,BASE!$B:$B,$B558,BASE!$L:$L,$G558,BASE!$J:$J,$C558,BASE!$A:$A,T$2)</f>
        <v>0</v>
      </c>
      <c r="U558" s="12">
        <f>SUMIFS(BASE!$G:$G,BASE!$B:$B,$B558,BASE!$L:$L,$G558,BASE!$J:$J,$C558,BASE!$A:$A,U$2)</f>
        <v>0</v>
      </c>
      <c r="V558" s="12">
        <f>SUMIFS(BASE!$G:$G,BASE!$B:$B,$B558,BASE!$L:$L,$G558,BASE!$J:$J,$C558,BASE!$A:$A,V$2)</f>
        <v>0</v>
      </c>
      <c r="X558" t="str">
        <f t="shared" si="17"/>
        <v>ZERADO</v>
      </c>
    </row>
    <row r="559" spans="2:24">
      <c r="B559" s="8" t="s">
        <v>1257</v>
      </c>
      <c r="C559" s="9" t="s">
        <v>228</v>
      </c>
      <c r="D559" s="9" t="s">
        <v>1206</v>
      </c>
      <c r="E559" s="9" t="s">
        <v>1151</v>
      </c>
      <c r="F559" s="9" t="s">
        <v>1255</v>
      </c>
      <c r="G559" s="9" t="s">
        <v>55</v>
      </c>
      <c r="H559" s="7" t="str">
        <f>IFERROR(IF(_xlfn.XLOOKUP(B559,REPASSE!D:D,REPASSE!D:D)="","Não","Sim"),"Não")</f>
        <v>Não</v>
      </c>
      <c r="I559" s="7" t="str">
        <f>IF(_xlfn.XLOOKUP(B559,'BOOST LIBERADO'!B:B,'BOOST LIBERADO'!B:B,"Não")="Não","Não","Sim")</f>
        <v>Sim</v>
      </c>
      <c r="J559" s="83" t="str">
        <f t="shared" si="16"/>
        <v>Sim</v>
      </c>
      <c r="K559" s="12">
        <f>SUMIFS(BASE!$G:$G,BASE!$B:$B,$B559,BASE!$L:$L,$G559,BASE!$J:$J,$C559,BASE!$A:$A,K$2)</f>
        <v>0</v>
      </c>
      <c r="L559" s="12">
        <f>SUMIFS(BASE!$G:$G,BASE!$B:$B,$B559,BASE!$L:$L,$G559,BASE!$J:$J,$C559,BASE!$A:$A,L$2)</f>
        <v>0</v>
      </c>
      <c r="M559" s="12">
        <f>SUMIFS(BASE!$G:$G,BASE!$B:$B,$B559,BASE!$L:$L,$G559,BASE!$J:$J,$C559,BASE!$A:$A,M$2)</f>
        <v>1</v>
      </c>
      <c r="N559" s="12">
        <f>SUMIFS(BASE!$G:$G,BASE!$B:$B,$B559,BASE!$L:$L,$G559,BASE!$J:$J,$C559,BASE!$A:$A,N$2)</f>
        <v>0</v>
      </c>
      <c r="O559" s="12">
        <f>SUMIFS(BASE!$G:$G,BASE!$B:$B,$B559,BASE!$L:$L,$G559,BASE!$J:$J,$C559,BASE!$A:$A,O$2)</f>
        <v>2</v>
      </c>
      <c r="P559" s="12">
        <f>SUMIFS(BASE!$G:$G,BASE!$B:$B,$B559,BASE!$L:$L,$G559,BASE!$J:$J,$C559,BASE!$A:$A,P$2)</f>
        <v>1</v>
      </c>
      <c r="Q559" s="12">
        <f>SUMIFS(BASE!$G:$G,BASE!$B:$B,$B559,BASE!$L:$L,$G559,BASE!$J:$J,$C559,BASE!$A:$A,Q$2)</f>
        <v>17</v>
      </c>
      <c r="R559" s="12">
        <f>SUMIFS(BASE!$G:$G,BASE!$B:$B,$B559,BASE!$L:$L,$G559,BASE!$J:$J,$C559,BASE!$A:$A,R$2)</f>
        <v>7</v>
      </c>
      <c r="S559" s="12">
        <f>SUMIFS(BASE!$G:$G,BASE!$B:$B,$B559,BASE!$L:$L,$G559,BASE!$J:$J,$C559,BASE!$A:$A,S$2)</f>
        <v>0</v>
      </c>
      <c r="T559" s="12">
        <f>SUMIFS(BASE!$G:$G,BASE!$B:$B,$B559,BASE!$L:$L,$G559,BASE!$J:$J,$C559,BASE!$A:$A,T$2)</f>
        <v>0</v>
      </c>
      <c r="U559" s="12">
        <f>SUMIFS(BASE!$G:$G,BASE!$B:$B,$B559,BASE!$L:$L,$G559,BASE!$J:$J,$C559,BASE!$A:$A,U$2)</f>
        <v>0</v>
      </c>
      <c r="V559" s="12">
        <f>SUMIFS(BASE!$G:$G,BASE!$B:$B,$B559,BASE!$L:$L,$G559,BASE!$J:$J,$C559,BASE!$A:$A,V$2)</f>
        <v>0</v>
      </c>
      <c r="X559" t="str">
        <f t="shared" si="17"/>
        <v>COM TROCAS</v>
      </c>
    </row>
    <row r="560" spans="2:24">
      <c r="B560" s="8" t="s">
        <v>1258</v>
      </c>
      <c r="C560" s="9" t="s">
        <v>237</v>
      </c>
      <c r="D560" s="9" t="s">
        <v>1144</v>
      </c>
      <c r="E560" s="9" t="s">
        <v>1141</v>
      </c>
      <c r="F560" s="9" t="s">
        <v>1142</v>
      </c>
      <c r="G560" s="9" t="s">
        <v>55</v>
      </c>
      <c r="H560" s="7" t="str">
        <f>IFERROR(IF(_xlfn.XLOOKUP(B560,REPASSE!D:D,REPASSE!D:D)="","Não","Sim"),"Não")</f>
        <v>Não</v>
      </c>
      <c r="I560" s="7" t="str">
        <f>IF(_xlfn.XLOOKUP(B560,'BOOST LIBERADO'!B:B,'BOOST LIBERADO'!B:B,"Não")="Não","Não","Sim")</f>
        <v>Sim</v>
      </c>
      <c r="J560" s="83" t="str">
        <f t="shared" si="16"/>
        <v>Sim</v>
      </c>
      <c r="K560" s="12">
        <f>SUMIFS(BASE!$G:$G,BASE!$B:$B,$B560,BASE!$L:$L,$G560,BASE!$J:$J,$C560,BASE!$A:$A,K$2)</f>
        <v>0</v>
      </c>
      <c r="L560" s="12">
        <f>SUMIFS(BASE!$G:$G,BASE!$B:$B,$B560,BASE!$L:$L,$G560,BASE!$J:$J,$C560,BASE!$A:$A,L$2)</f>
        <v>0</v>
      </c>
      <c r="M560" s="12">
        <f>SUMIFS(BASE!$G:$G,BASE!$B:$B,$B560,BASE!$L:$L,$G560,BASE!$J:$J,$C560,BASE!$A:$A,M$2)</f>
        <v>0</v>
      </c>
      <c r="N560" s="12">
        <f>SUMIFS(BASE!$G:$G,BASE!$B:$B,$B560,BASE!$L:$L,$G560,BASE!$J:$J,$C560,BASE!$A:$A,N$2)</f>
        <v>0</v>
      </c>
      <c r="O560" s="12">
        <f>SUMIFS(BASE!$G:$G,BASE!$B:$B,$B560,BASE!$L:$L,$G560,BASE!$J:$J,$C560,BASE!$A:$A,O$2)</f>
        <v>1</v>
      </c>
      <c r="P560" s="12">
        <f>SUMIFS(BASE!$G:$G,BASE!$B:$B,$B560,BASE!$L:$L,$G560,BASE!$J:$J,$C560,BASE!$A:$A,P$2)</f>
        <v>0</v>
      </c>
      <c r="Q560" s="12">
        <f>SUMIFS(BASE!$G:$G,BASE!$B:$B,$B560,BASE!$L:$L,$G560,BASE!$J:$J,$C560,BASE!$A:$A,Q$2)</f>
        <v>0</v>
      </c>
      <c r="R560" s="12">
        <f>SUMIFS(BASE!$G:$G,BASE!$B:$B,$B560,BASE!$L:$L,$G560,BASE!$J:$J,$C560,BASE!$A:$A,R$2)</f>
        <v>1</v>
      </c>
      <c r="S560" s="12">
        <f>SUMIFS(BASE!$G:$G,BASE!$B:$B,$B560,BASE!$L:$L,$G560,BASE!$J:$J,$C560,BASE!$A:$A,S$2)</f>
        <v>0</v>
      </c>
      <c r="T560" s="12">
        <f>SUMIFS(BASE!$G:$G,BASE!$B:$B,$B560,BASE!$L:$L,$G560,BASE!$J:$J,$C560,BASE!$A:$A,T$2)</f>
        <v>0</v>
      </c>
      <c r="U560" s="12">
        <f>SUMIFS(BASE!$G:$G,BASE!$B:$B,$B560,BASE!$L:$L,$G560,BASE!$J:$J,$C560,BASE!$A:$A,U$2)</f>
        <v>0</v>
      </c>
      <c r="V560" s="12">
        <f>SUMIFS(BASE!$G:$G,BASE!$B:$B,$B560,BASE!$L:$L,$G560,BASE!$J:$J,$C560,BASE!$A:$A,V$2)</f>
        <v>0</v>
      </c>
      <c r="X560" t="str">
        <f t="shared" si="17"/>
        <v>COM TROCAS</v>
      </c>
    </row>
    <row r="561" spans="2:24">
      <c r="B561" s="8" t="s">
        <v>1259</v>
      </c>
      <c r="C561" s="9" t="s">
        <v>237</v>
      </c>
      <c r="D561" s="9" t="s">
        <v>1219</v>
      </c>
      <c r="E561" s="9" t="s">
        <v>1151</v>
      </c>
      <c r="F561" s="9" t="s">
        <v>1255</v>
      </c>
      <c r="G561" s="9" t="s">
        <v>55</v>
      </c>
      <c r="H561" s="7" t="str">
        <f>IFERROR(IF(_xlfn.XLOOKUP(B561,REPASSE!D:D,REPASSE!D:D)="","Não","Sim"),"Não")</f>
        <v>Não</v>
      </c>
      <c r="I561" s="7" t="str">
        <f>IF(_xlfn.XLOOKUP(B561,'BOOST LIBERADO'!B:B,'BOOST LIBERADO'!B:B,"Não")="Não","Não","Sim")</f>
        <v>Sim</v>
      </c>
      <c r="J561" s="83" t="str">
        <f t="shared" si="16"/>
        <v>Sim</v>
      </c>
      <c r="K561" s="12">
        <f>SUMIFS(BASE!$G:$G,BASE!$B:$B,$B561,BASE!$L:$L,$G561,BASE!$J:$J,$C561,BASE!$A:$A,K$2)</f>
        <v>0</v>
      </c>
      <c r="L561" s="12">
        <f>SUMIFS(BASE!$G:$G,BASE!$B:$B,$B561,BASE!$L:$L,$G561,BASE!$J:$J,$C561,BASE!$A:$A,L$2)</f>
        <v>0</v>
      </c>
      <c r="M561" s="12">
        <f>SUMIFS(BASE!$G:$G,BASE!$B:$B,$B561,BASE!$L:$L,$G561,BASE!$J:$J,$C561,BASE!$A:$A,M$2)</f>
        <v>0</v>
      </c>
      <c r="N561" s="12">
        <f>SUMIFS(BASE!$G:$G,BASE!$B:$B,$B561,BASE!$L:$L,$G561,BASE!$J:$J,$C561,BASE!$A:$A,N$2)</f>
        <v>0</v>
      </c>
      <c r="O561" s="12">
        <f>SUMIFS(BASE!$G:$G,BASE!$B:$B,$B561,BASE!$L:$L,$G561,BASE!$J:$J,$C561,BASE!$A:$A,O$2)</f>
        <v>1</v>
      </c>
      <c r="P561" s="12">
        <f>SUMIFS(BASE!$G:$G,BASE!$B:$B,$B561,BASE!$L:$L,$G561,BASE!$J:$J,$C561,BASE!$A:$A,P$2)</f>
        <v>0</v>
      </c>
      <c r="Q561" s="12">
        <f>SUMIFS(BASE!$G:$G,BASE!$B:$B,$B561,BASE!$L:$L,$G561,BASE!$J:$J,$C561,BASE!$A:$A,Q$2)</f>
        <v>8</v>
      </c>
      <c r="R561" s="12">
        <f>SUMIFS(BASE!$G:$G,BASE!$B:$B,$B561,BASE!$L:$L,$G561,BASE!$J:$J,$C561,BASE!$A:$A,R$2)</f>
        <v>2</v>
      </c>
      <c r="S561" s="12">
        <f>SUMIFS(BASE!$G:$G,BASE!$B:$B,$B561,BASE!$L:$L,$G561,BASE!$J:$J,$C561,BASE!$A:$A,S$2)</f>
        <v>0</v>
      </c>
      <c r="T561" s="12">
        <f>SUMIFS(BASE!$G:$G,BASE!$B:$B,$B561,BASE!$L:$L,$G561,BASE!$J:$J,$C561,BASE!$A:$A,T$2)</f>
        <v>0</v>
      </c>
      <c r="U561" s="12">
        <f>SUMIFS(BASE!$G:$G,BASE!$B:$B,$B561,BASE!$L:$L,$G561,BASE!$J:$J,$C561,BASE!$A:$A,U$2)</f>
        <v>0</v>
      </c>
      <c r="V561" s="12">
        <f>SUMIFS(BASE!$G:$G,BASE!$B:$B,$B561,BASE!$L:$L,$G561,BASE!$J:$J,$C561,BASE!$A:$A,V$2)</f>
        <v>0</v>
      </c>
      <c r="X561" t="str">
        <f t="shared" si="17"/>
        <v>COM TROCAS</v>
      </c>
    </row>
    <row r="562" spans="2:24">
      <c r="B562" s="8" t="s">
        <v>1260</v>
      </c>
      <c r="C562" s="9" t="s">
        <v>138</v>
      </c>
      <c r="D562" s="9" t="s">
        <v>1154</v>
      </c>
      <c r="E562" s="9" t="s">
        <v>1147</v>
      </c>
      <c r="F562" s="9" t="s">
        <v>1261</v>
      </c>
      <c r="G562" s="9" t="s">
        <v>55</v>
      </c>
      <c r="H562" s="7" t="str">
        <f>IFERROR(IF(_xlfn.XLOOKUP(B562,REPASSE!D:D,REPASSE!D:D)="","Não","Sim"),"Não")</f>
        <v>Não</v>
      </c>
      <c r="I562" s="7" t="str">
        <f>IF(_xlfn.XLOOKUP(B562,'BOOST LIBERADO'!B:B,'BOOST LIBERADO'!B:B,"Não")="Não","Não","Sim")</f>
        <v>Sim</v>
      </c>
      <c r="J562" s="83" t="str">
        <f t="shared" si="16"/>
        <v>Sim</v>
      </c>
      <c r="K562" s="12">
        <f>SUMIFS(BASE!$G:$G,BASE!$B:$B,$B562,BASE!$L:$L,$G562,BASE!$J:$J,$C562,BASE!$A:$A,K$2)</f>
        <v>0</v>
      </c>
      <c r="L562" s="12">
        <f>SUMIFS(BASE!$G:$G,BASE!$B:$B,$B562,BASE!$L:$L,$G562,BASE!$J:$J,$C562,BASE!$A:$A,L$2)</f>
        <v>0</v>
      </c>
      <c r="M562" s="12">
        <f>SUMIFS(BASE!$G:$G,BASE!$B:$B,$B562,BASE!$L:$L,$G562,BASE!$J:$J,$C562,BASE!$A:$A,M$2)</f>
        <v>0</v>
      </c>
      <c r="N562" s="12">
        <f>SUMIFS(BASE!$G:$G,BASE!$B:$B,$B562,BASE!$L:$L,$G562,BASE!$J:$J,$C562,BASE!$A:$A,N$2)</f>
        <v>0</v>
      </c>
      <c r="O562" s="12">
        <f>SUMIFS(BASE!$G:$G,BASE!$B:$B,$B562,BASE!$L:$L,$G562,BASE!$J:$J,$C562,BASE!$A:$A,O$2)</f>
        <v>0</v>
      </c>
      <c r="P562" s="12">
        <f>SUMIFS(BASE!$G:$G,BASE!$B:$B,$B562,BASE!$L:$L,$G562,BASE!$J:$J,$C562,BASE!$A:$A,P$2)</f>
        <v>0</v>
      </c>
      <c r="Q562" s="12">
        <f>SUMIFS(BASE!$G:$G,BASE!$B:$B,$B562,BASE!$L:$L,$G562,BASE!$J:$J,$C562,BASE!$A:$A,Q$2)</f>
        <v>0</v>
      </c>
      <c r="R562" s="12">
        <f>SUMIFS(BASE!$G:$G,BASE!$B:$B,$B562,BASE!$L:$L,$G562,BASE!$J:$J,$C562,BASE!$A:$A,R$2)</f>
        <v>0</v>
      </c>
      <c r="S562" s="12">
        <f>SUMIFS(BASE!$G:$G,BASE!$B:$B,$B562,BASE!$L:$L,$G562,BASE!$J:$J,$C562,BASE!$A:$A,S$2)</f>
        <v>0</v>
      </c>
      <c r="T562" s="12">
        <f>SUMIFS(BASE!$G:$G,BASE!$B:$B,$B562,BASE!$L:$L,$G562,BASE!$J:$J,$C562,BASE!$A:$A,T$2)</f>
        <v>0</v>
      </c>
      <c r="U562" s="12">
        <f>SUMIFS(BASE!$G:$G,BASE!$B:$B,$B562,BASE!$L:$L,$G562,BASE!$J:$J,$C562,BASE!$A:$A,U$2)</f>
        <v>0</v>
      </c>
      <c r="V562" s="12">
        <f>SUMIFS(BASE!$G:$G,BASE!$B:$B,$B562,BASE!$L:$L,$G562,BASE!$J:$J,$C562,BASE!$A:$A,V$2)</f>
        <v>0</v>
      </c>
      <c r="X562" t="str">
        <f t="shared" si="17"/>
        <v>ZERADO</v>
      </c>
    </row>
    <row r="563" spans="2:24">
      <c r="B563" s="8" t="s">
        <v>1262</v>
      </c>
      <c r="C563" s="9" t="s">
        <v>237</v>
      </c>
      <c r="D563" s="9" t="s">
        <v>1198</v>
      </c>
      <c r="E563" s="9" t="s">
        <v>1141</v>
      </c>
      <c r="F563" s="9" t="s">
        <v>1142</v>
      </c>
      <c r="G563" s="9" t="s">
        <v>55</v>
      </c>
      <c r="H563" s="7" t="str">
        <f>IFERROR(IF(_xlfn.XLOOKUP(B563,REPASSE!D:D,REPASSE!D:D)="","Não","Sim"),"Não")</f>
        <v>Não</v>
      </c>
      <c r="I563" s="7" t="str">
        <f>IF(_xlfn.XLOOKUP(B563,'BOOST LIBERADO'!B:B,'BOOST LIBERADO'!B:B,"Não")="Não","Não","Sim")</f>
        <v>Sim</v>
      </c>
      <c r="J563" s="83" t="str">
        <f t="shared" si="16"/>
        <v>Sim</v>
      </c>
      <c r="K563" s="12">
        <f>SUMIFS(BASE!$G:$G,BASE!$B:$B,$B563,BASE!$L:$L,$G563,BASE!$J:$J,$C563,BASE!$A:$A,K$2)</f>
        <v>4</v>
      </c>
      <c r="L563" s="12">
        <f>SUMIFS(BASE!$G:$G,BASE!$B:$B,$B563,BASE!$L:$L,$G563,BASE!$J:$J,$C563,BASE!$A:$A,L$2)</f>
        <v>0</v>
      </c>
      <c r="M563" s="12">
        <f>SUMIFS(BASE!$G:$G,BASE!$B:$B,$B563,BASE!$L:$L,$G563,BASE!$J:$J,$C563,BASE!$A:$A,M$2)</f>
        <v>4</v>
      </c>
      <c r="N563" s="12">
        <f>SUMIFS(BASE!$G:$G,BASE!$B:$B,$B563,BASE!$L:$L,$G563,BASE!$J:$J,$C563,BASE!$A:$A,N$2)</f>
        <v>0</v>
      </c>
      <c r="O563" s="12">
        <f>SUMIFS(BASE!$G:$G,BASE!$B:$B,$B563,BASE!$L:$L,$G563,BASE!$J:$J,$C563,BASE!$A:$A,O$2)</f>
        <v>3</v>
      </c>
      <c r="P563" s="12">
        <f>SUMIFS(BASE!$G:$G,BASE!$B:$B,$B563,BASE!$L:$L,$G563,BASE!$J:$J,$C563,BASE!$A:$A,P$2)</f>
        <v>3</v>
      </c>
      <c r="Q563" s="12">
        <f>SUMIFS(BASE!$G:$G,BASE!$B:$B,$B563,BASE!$L:$L,$G563,BASE!$J:$J,$C563,BASE!$A:$A,Q$2)</f>
        <v>4</v>
      </c>
      <c r="R563" s="12">
        <f>SUMIFS(BASE!$G:$G,BASE!$B:$B,$B563,BASE!$L:$L,$G563,BASE!$J:$J,$C563,BASE!$A:$A,R$2)</f>
        <v>5</v>
      </c>
      <c r="S563" s="12">
        <f>SUMIFS(BASE!$G:$G,BASE!$B:$B,$B563,BASE!$L:$L,$G563,BASE!$J:$J,$C563,BASE!$A:$A,S$2)</f>
        <v>0</v>
      </c>
      <c r="T563" s="12">
        <f>SUMIFS(BASE!$G:$G,BASE!$B:$B,$B563,BASE!$L:$L,$G563,BASE!$J:$J,$C563,BASE!$A:$A,T$2)</f>
        <v>0</v>
      </c>
      <c r="U563" s="12">
        <f>SUMIFS(BASE!$G:$G,BASE!$B:$B,$B563,BASE!$L:$L,$G563,BASE!$J:$J,$C563,BASE!$A:$A,U$2)</f>
        <v>0</v>
      </c>
      <c r="V563" s="12">
        <f>SUMIFS(BASE!$G:$G,BASE!$B:$B,$B563,BASE!$L:$L,$G563,BASE!$J:$J,$C563,BASE!$A:$A,V$2)</f>
        <v>0</v>
      </c>
      <c r="X563" t="str">
        <f t="shared" si="17"/>
        <v>COM TROCAS</v>
      </c>
    </row>
    <row r="564" spans="2:24">
      <c r="B564" s="8" t="s">
        <v>1263</v>
      </c>
      <c r="C564" s="9" t="s">
        <v>233</v>
      </c>
      <c r="D564" s="9" t="s">
        <v>1198</v>
      </c>
      <c r="E564" s="9" t="s">
        <v>1141</v>
      </c>
      <c r="F564" s="9" t="s">
        <v>1142</v>
      </c>
      <c r="G564" s="9" t="s">
        <v>55</v>
      </c>
      <c r="H564" s="7" t="str">
        <f>IFERROR(IF(_xlfn.XLOOKUP(B564,REPASSE!D:D,REPASSE!D:D)="","Não","Sim"),"Não")</f>
        <v>Não</v>
      </c>
      <c r="I564" s="7" t="str">
        <f>IF(_xlfn.XLOOKUP(B564,'BOOST LIBERADO'!B:B,'BOOST LIBERADO'!B:B,"Não")="Não","Não","Sim")</f>
        <v>Sim</v>
      </c>
      <c r="J564" s="83" t="str">
        <f t="shared" si="16"/>
        <v>Sim</v>
      </c>
      <c r="K564" s="12">
        <f>SUMIFS(BASE!$G:$G,BASE!$B:$B,$B564,BASE!$L:$L,$G564,BASE!$J:$J,$C564,BASE!$A:$A,K$2)</f>
        <v>0</v>
      </c>
      <c r="L564" s="12">
        <f>SUMIFS(BASE!$G:$G,BASE!$B:$B,$B564,BASE!$L:$L,$G564,BASE!$J:$J,$C564,BASE!$A:$A,L$2)</f>
        <v>0</v>
      </c>
      <c r="M564" s="12">
        <f>SUMIFS(BASE!$G:$G,BASE!$B:$B,$B564,BASE!$L:$L,$G564,BASE!$J:$J,$C564,BASE!$A:$A,M$2)</f>
        <v>1</v>
      </c>
      <c r="N564" s="12">
        <f>SUMIFS(BASE!$G:$G,BASE!$B:$B,$B564,BASE!$L:$L,$G564,BASE!$J:$J,$C564,BASE!$A:$A,N$2)</f>
        <v>4</v>
      </c>
      <c r="O564" s="12">
        <f>SUMIFS(BASE!$G:$G,BASE!$B:$B,$B564,BASE!$L:$L,$G564,BASE!$J:$J,$C564,BASE!$A:$A,O$2)</f>
        <v>6</v>
      </c>
      <c r="P564" s="12">
        <f>SUMIFS(BASE!$G:$G,BASE!$B:$B,$B564,BASE!$L:$L,$G564,BASE!$J:$J,$C564,BASE!$A:$A,P$2)</f>
        <v>8</v>
      </c>
      <c r="Q564" s="12">
        <f>SUMIFS(BASE!$G:$G,BASE!$B:$B,$B564,BASE!$L:$L,$G564,BASE!$J:$J,$C564,BASE!$A:$A,Q$2)</f>
        <v>9</v>
      </c>
      <c r="R564" s="12">
        <f>SUMIFS(BASE!$G:$G,BASE!$B:$B,$B564,BASE!$L:$L,$G564,BASE!$J:$J,$C564,BASE!$A:$A,R$2)</f>
        <v>4</v>
      </c>
      <c r="S564" s="12">
        <f>SUMIFS(BASE!$G:$G,BASE!$B:$B,$B564,BASE!$L:$L,$G564,BASE!$J:$J,$C564,BASE!$A:$A,S$2)</f>
        <v>0</v>
      </c>
      <c r="T564" s="12">
        <f>SUMIFS(BASE!$G:$G,BASE!$B:$B,$B564,BASE!$L:$L,$G564,BASE!$J:$J,$C564,BASE!$A:$A,T$2)</f>
        <v>0</v>
      </c>
      <c r="U564" s="12">
        <f>SUMIFS(BASE!$G:$G,BASE!$B:$B,$B564,BASE!$L:$L,$G564,BASE!$J:$J,$C564,BASE!$A:$A,U$2)</f>
        <v>0</v>
      </c>
      <c r="V564" s="12">
        <f>SUMIFS(BASE!$G:$G,BASE!$B:$B,$B564,BASE!$L:$L,$G564,BASE!$J:$J,$C564,BASE!$A:$A,V$2)</f>
        <v>0</v>
      </c>
      <c r="X564" t="str">
        <f t="shared" si="17"/>
        <v>COM TROCAS</v>
      </c>
    </row>
    <row r="565" spans="2:24">
      <c r="B565" s="8" t="s">
        <v>1264</v>
      </c>
      <c r="C565" s="9" t="s">
        <v>233</v>
      </c>
      <c r="D565" s="9" t="s">
        <v>1198</v>
      </c>
      <c r="E565" s="9" t="s">
        <v>1141</v>
      </c>
      <c r="F565" s="9" t="s">
        <v>1142</v>
      </c>
      <c r="G565" s="9" t="s">
        <v>55</v>
      </c>
      <c r="H565" s="7" t="str">
        <f>IFERROR(IF(_xlfn.XLOOKUP(B565,REPASSE!D:D,REPASSE!D:D)="","Não","Sim"),"Não")</f>
        <v>Não</v>
      </c>
      <c r="I565" s="7" t="str">
        <f>IF(_xlfn.XLOOKUP(B565,'BOOST LIBERADO'!B:B,'BOOST LIBERADO'!B:B,"Não")="Não","Não","Sim")</f>
        <v>Sim</v>
      </c>
      <c r="J565" s="83" t="str">
        <f t="shared" si="16"/>
        <v>Sim</v>
      </c>
      <c r="K565" s="12">
        <f>SUMIFS(BASE!$G:$G,BASE!$B:$B,$B565,BASE!$L:$L,$G565,BASE!$J:$J,$C565,BASE!$A:$A,K$2)</f>
        <v>2</v>
      </c>
      <c r="L565" s="12">
        <f>SUMIFS(BASE!$G:$G,BASE!$B:$B,$B565,BASE!$L:$L,$G565,BASE!$J:$J,$C565,BASE!$A:$A,L$2)</f>
        <v>1</v>
      </c>
      <c r="M565" s="12">
        <f>SUMIFS(BASE!$G:$G,BASE!$B:$B,$B565,BASE!$L:$L,$G565,BASE!$J:$J,$C565,BASE!$A:$A,M$2)</f>
        <v>3</v>
      </c>
      <c r="N565" s="12">
        <f>SUMIFS(BASE!$G:$G,BASE!$B:$B,$B565,BASE!$L:$L,$G565,BASE!$J:$J,$C565,BASE!$A:$A,N$2)</f>
        <v>1</v>
      </c>
      <c r="O565" s="12">
        <f>SUMIFS(BASE!$G:$G,BASE!$B:$B,$B565,BASE!$L:$L,$G565,BASE!$J:$J,$C565,BASE!$A:$A,O$2)</f>
        <v>1</v>
      </c>
      <c r="P565" s="12">
        <f>SUMIFS(BASE!$G:$G,BASE!$B:$B,$B565,BASE!$L:$L,$G565,BASE!$J:$J,$C565,BASE!$A:$A,P$2)</f>
        <v>2</v>
      </c>
      <c r="Q565" s="12">
        <f>SUMIFS(BASE!$G:$G,BASE!$B:$B,$B565,BASE!$L:$L,$G565,BASE!$J:$J,$C565,BASE!$A:$A,Q$2)</f>
        <v>6</v>
      </c>
      <c r="R565" s="12">
        <f>SUMIFS(BASE!$G:$G,BASE!$B:$B,$B565,BASE!$L:$L,$G565,BASE!$J:$J,$C565,BASE!$A:$A,R$2)</f>
        <v>6</v>
      </c>
      <c r="S565" s="12">
        <f>SUMIFS(BASE!$G:$G,BASE!$B:$B,$B565,BASE!$L:$L,$G565,BASE!$J:$J,$C565,BASE!$A:$A,S$2)</f>
        <v>0</v>
      </c>
      <c r="T565" s="12">
        <f>SUMIFS(BASE!$G:$G,BASE!$B:$B,$B565,BASE!$L:$L,$G565,BASE!$J:$J,$C565,BASE!$A:$A,T$2)</f>
        <v>0</v>
      </c>
      <c r="U565" s="12">
        <f>SUMIFS(BASE!$G:$G,BASE!$B:$B,$B565,BASE!$L:$L,$G565,BASE!$J:$J,$C565,BASE!$A:$A,U$2)</f>
        <v>0</v>
      </c>
      <c r="V565" s="12">
        <f>SUMIFS(BASE!$G:$G,BASE!$B:$B,$B565,BASE!$L:$L,$G565,BASE!$J:$J,$C565,BASE!$A:$A,V$2)</f>
        <v>0</v>
      </c>
      <c r="X565" t="str">
        <f t="shared" si="17"/>
        <v>COM TROCAS</v>
      </c>
    </row>
    <row r="566" spans="2:24">
      <c r="B566" s="8" t="s">
        <v>1265</v>
      </c>
      <c r="C566" s="9" t="s">
        <v>228</v>
      </c>
      <c r="D566" s="9" t="s">
        <v>1206</v>
      </c>
      <c r="E566" s="9" t="s">
        <v>1151</v>
      </c>
      <c r="F566" s="9" t="s">
        <v>1266</v>
      </c>
      <c r="G566" s="9" t="s">
        <v>55</v>
      </c>
      <c r="H566" s="7" t="str">
        <f>IFERROR(IF(_xlfn.XLOOKUP(B566,REPASSE!D:D,REPASSE!D:D)="","Não","Sim"),"Não")</f>
        <v>Não</v>
      </c>
      <c r="I566" s="7" t="str">
        <f>IF(_xlfn.XLOOKUP(B566,'BOOST LIBERADO'!B:B,'BOOST LIBERADO'!B:B,"Não")="Não","Não","Sim")</f>
        <v>Sim</v>
      </c>
      <c r="J566" s="83" t="str">
        <f t="shared" si="16"/>
        <v>Sim</v>
      </c>
      <c r="K566" s="12">
        <f>SUMIFS(BASE!$G:$G,BASE!$B:$B,$B566,BASE!$L:$L,$G566,BASE!$J:$J,$C566,BASE!$A:$A,K$2)</f>
        <v>9</v>
      </c>
      <c r="L566" s="12">
        <f>SUMIFS(BASE!$G:$G,BASE!$B:$B,$B566,BASE!$L:$L,$G566,BASE!$J:$J,$C566,BASE!$A:$A,L$2)</f>
        <v>6</v>
      </c>
      <c r="M566" s="12">
        <f>SUMIFS(BASE!$G:$G,BASE!$B:$B,$B566,BASE!$L:$L,$G566,BASE!$J:$J,$C566,BASE!$A:$A,M$2)</f>
        <v>8</v>
      </c>
      <c r="N566" s="12">
        <f>SUMIFS(BASE!$G:$G,BASE!$B:$B,$B566,BASE!$L:$L,$G566,BASE!$J:$J,$C566,BASE!$A:$A,N$2)</f>
        <v>12</v>
      </c>
      <c r="O566" s="12">
        <f>SUMIFS(BASE!$G:$G,BASE!$B:$B,$B566,BASE!$L:$L,$G566,BASE!$J:$J,$C566,BASE!$A:$A,O$2)</f>
        <v>11</v>
      </c>
      <c r="P566" s="12">
        <f>SUMIFS(BASE!$G:$G,BASE!$B:$B,$B566,BASE!$L:$L,$G566,BASE!$J:$J,$C566,BASE!$A:$A,P$2)</f>
        <v>13</v>
      </c>
      <c r="Q566" s="12">
        <f>SUMIFS(BASE!$G:$G,BASE!$B:$B,$B566,BASE!$L:$L,$G566,BASE!$J:$J,$C566,BASE!$A:$A,Q$2)</f>
        <v>30</v>
      </c>
      <c r="R566" s="12">
        <f>SUMIFS(BASE!$G:$G,BASE!$B:$B,$B566,BASE!$L:$L,$G566,BASE!$J:$J,$C566,BASE!$A:$A,R$2)</f>
        <v>16</v>
      </c>
      <c r="S566" s="12">
        <f>SUMIFS(BASE!$G:$G,BASE!$B:$B,$B566,BASE!$L:$L,$G566,BASE!$J:$J,$C566,BASE!$A:$A,S$2)</f>
        <v>0</v>
      </c>
      <c r="T566" s="12">
        <f>SUMIFS(BASE!$G:$G,BASE!$B:$B,$B566,BASE!$L:$L,$G566,BASE!$J:$J,$C566,BASE!$A:$A,T$2)</f>
        <v>0</v>
      </c>
      <c r="U566" s="12">
        <f>SUMIFS(BASE!$G:$G,BASE!$B:$B,$B566,BASE!$L:$L,$G566,BASE!$J:$J,$C566,BASE!$A:$A,U$2)</f>
        <v>0</v>
      </c>
      <c r="V566" s="12">
        <f>SUMIFS(BASE!$G:$G,BASE!$B:$B,$B566,BASE!$L:$L,$G566,BASE!$J:$J,$C566,BASE!$A:$A,V$2)</f>
        <v>0</v>
      </c>
      <c r="X566" t="str">
        <f t="shared" si="17"/>
        <v>COM TROCAS</v>
      </c>
    </row>
    <row r="567" spans="2:24">
      <c r="B567" s="8" t="s">
        <v>1267</v>
      </c>
      <c r="C567" s="9" t="s">
        <v>228</v>
      </c>
      <c r="D567" s="9" t="s">
        <v>1206</v>
      </c>
      <c r="E567" s="9" t="s">
        <v>1151</v>
      </c>
      <c r="F567" s="9" t="s">
        <v>1268</v>
      </c>
      <c r="G567" s="9" t="s">
        <v>55</v>
      </c>
      <c r="H567" s="7" t="str">
        <f>IFERROR(IF(_xlfn.XLOOKUP(B567,REPASSE!D:D,REPASSE!D:D)="","Não","Sim"),"Não")</f>
        <v>Não</v>
      </c>
      <c r="I567" s="7" t="str">
        <f>IF(_xlfn.XLOOKUP(B567,'BOOST LIBERADO'!B:B,'BOOST LIBERADO'!B:B,"Não")="Não","Não","Sim")</f>
        <v>Sim</v>
      </c>
      <c r="J567" s="83" t="str">
        <f t="shared" si="16"/>
        <v>Sim</v>
      </c>
      <c r="K567" s="12">
        <f>SUMIFS(BASE!$G:$G,BASE!$B:$B,$B567,BASE!$L:$L,$G567,BASE!$J:$J,$C567,BASE!$A:$A,K$2)</f>
        <v>0</v>
      </c>
      <c r="L567" s="12">
        <f>SUMIFS(BASE!$G:$G,BASE!$B:$B,$B567,BASE!$L:$L,$G567,BASE!$J:$J,$C567,BASE!$A:$A,L$2)</f>
        <v>0</v>
      </c>
      <c r="M567" s="12">
        <f>SUMIFS(BASE!$G:$G,BASE!$B:$B,$B567,BASE!$L:$L,$G567,BASE!$J:$J,$C567,BASE!$A:$A,M$2)</f>
        <v>0</v>
      </c>
      <c r="N567" s="12">
        <f>SUMIFS(BASE!$G:$G,BASE!$B:$B,$B567,BASE!$L:$L,$G567,BASE!$J:$J,$C567,BASE!$A:$A,N$2)</f>
        <v>3</v>
      </c>
      <c r="O567" s="12">
        <f>SUMIFS(BASE!$G:$G,BASE!$B:$B,$B567,BASE!$L:$L,$G567,BASE!$J:$J,$C567,BASE!$A:$A,O$2)</f>
        <v>2</v>
      </c>
      <c r="P567" s="12">
        <f>SUMIFS(BASE!$G:$G,BASE!$B:$B,$B567,BASE!$L:$L,$G567,BASE!$J:$J,$C567,BASE!$A:$A,P$2)</f>
        <v>1</v>
      </c>
      <c r="Q567" s="12">
        <f>SUMIFS(BASE!$G:$G,BASE!$B:$B,$B567,BASE!$L:$L,$G567,BASE!$J:$J,$C567,BASE!$A:$A,Q$2)</f>
        <v>1</v>
      </c>
      <c r="R567" s="12">
        <f>SUMIFS(BASE!$G:$G,BASE!$B:$B,$B567,BASE!$L:$L,$G567,BASE!$J:$J,$C567,BASE!$A:$A,R$2)</f>
        <v>2</v>
      </c>
      <c r="S567" s="12">
        <f>SUMIFS(BASE!$G:$G,BASE!$B:$B,$B567,BASE!$L:$L,$G567,BASE!$J:$J,$C567,BASE!$A:$A,S$2)</f>
        <v>0</v>
      </c>
      <c r="T567" s="12">
        <f>SUMIFS(BASE!$G:$G,BASE!$B:$B,$B567,BASE!$L:$L,$G567,BASE!$J:$J,$C567,BASE!$A:$A,T$2)</f>
        <v>0</v>
      </c>
      <c r="U567" s="12">
        <f>SUMIFS(BASE!$G:$G,BASE!$B:$B,$B567,BASE!$L:$L,$G567,BASE!$J:$J,$C567,BASE!$A:$A,U$2)</f>
        <v>0</v>
      </c>
      <c r="V567" s="12">
        <f>SUMIFS(BASE!$G:$G,BASE!$B:$B,$B567,BASE!$L:$L,$G567,BASE!$J:$J,$C567,BASE!$A:$A,V$2)</f>
        <v>0</v>
      </c>
      <c r="X567" t="str">
        <f t="shared" si="17"/>
        <v>COM TROCAS</v>
      </c>
    </row>
    <row r="568" spans="2:24">
      <c r="B568" s="8" t="s">
        <v>1269</v>
      </c>
      <c r="C568" s="9" t="s">
        <v>237</v>
      </c>
      <c r="D568" s="9" t="s">
        <v>1144</v>
      </c>
      <c r="E568" s="9" t="s">
        <v>1141</v>
      </c>
      <c r="F568" s="9" t="s">
        <v>1142</v>
      </c>
      <c r="G568" s="9" t="s">
        <v>55</v>
      </c>
      <c r="H568" s="7" t="str">
        <f>IFERROR(IF(_xlfn.XLOOKUP(B568,REPASSE!D:D,REPASSE!D:D)="","Não","Sim"),"Não")</f>
        <v>Não</v>
      </c>
      <c r="I568" s="7" t="str">
        <f>IF(_xlfn.XLOOKUP(B568,'BOOST LIBERADO'!B:B,'BOOST LIBERADO'!B:B,"Não")="Não","Não","Sim")</f>
        <v>Sim</v>
      </c>
      <c r="J568" s="83" t="str">
        <f t="shared" si="16"/>
        <v>Sim</v>
      </c>
      <c r="K568" s="12">
        <f>SUMIFS(BASE!$G:$G,BASE!$B:$B,$B568,BASE!$L:$L,$G568,BASE!$J:$J,$C568,BASE!$A:$A,K$2)</f>
        <v>0</v>
      </c>
      <c r="L568" s="12">
        <f>SUMIFS(BASE!$G:$G,BASE!$B:$B,$B568,BASE!$L:$L,$G568,BASE!$J:$J,$C568,BASE!$A:$A,L$2)</f>
        <v>0</v>
      </c>
      <c r="M568" s="12">
        <f>SUMIFS(BASE!$G:$G,BASE!$B:$B,$B568,BASE!$L:$L,$G568,BASE!$J:$J,$C568,BASE!$A:$A,M$2)</f>
        <v>1</v>
      </c>
      <c r="N568" s="12">
        <f>SUMIFS(BASE!$G:$G,BASE!$B:$B,$B568,BASE!$L:$L,$G568,BASE!$J:$J,$C568,BASE!$A:$A,N$2)</f>
        <v>1</v>
      </c>
      <c r="O568" s="12">
        <f>SUMIFS(BASE!$G:$G,BASE!$B:$B,$B568,BASE!$L:$L,$G568,BASE!$J:$J,$C568,BASE!$A:$A,O$2)</f>
        <v>3</v>
      </c>
      <c r="P568" s="12">
        <f>SUMIFS(BASE!$G:$G,BASE!$B:$B,$B568,BASE!$L:$L,$G568,BASE!$J:$J,$C568,BASE!$A:$A,P$2)</f>
        <v>0</v>
      </c>
      <c r="Q568" s="12">
        <f>SUMIFS(BASE!$G:$G,BASE!$B:$B,$B568,BASE!$L:$L,$G568,BASE!$J:$J,$C568,BASE!$A:$A,Q$2)</f>
        <v>10</v>
      </c>
      <c r="R568" s="12">
        <f>SUMIFS(BASE!$G:$G,BASE!$B:$B,$B568,BASE!$L:$L,$G568,BASE!$J:$J,$C568,BASE!$A:$A,R$2)</f>
        <v>22</v>
      </c>
      <c r="S568" s="12">
        <f>SUMIFS(BASE!$G:$G,BASE!$B:$B,$B568,BASE!$L:$L,$G568,BASE!$J:$J,$C568,BASE!$A:$A,S$2)</f>
        <v>0</v>
      </c>
      <c r="T568" s="12">
        <f>SUMIFS(BASE!$G:$G,BASE!$B:$B,$B568,BASE!$L:$L,$G568,BASE!$J:$J,$C568,BASE!$A:$A,T$2)</f>
        <v>0</v>
      </c>
      <c r="U568" s="12">
        <f>SUMIFS(BASE!$G:$G,BASE!$B:$B,$B568,BASE!$L:$L,$G568,BASE!$J:$J,$C568,BASE!$A:$A,U$2)</f>
        <v>0</v>
      </c>
      <c r="V568" s="12">
        <f>SUMIFS(BASE!$G:$G,BASE!$B:$B,$B568,BASE!$L:$L,$G568,BASE!$J:$J,$C568,BASE!$A:$A,V$2)</f>
        <v>0</v>
      </c>
      <c r="X568" t="str">
        <f t="shared" si="17"/>
        <v>COM TROCAS</v>
      </c>
    </row>
    <row r="569" spans="2:24">
      <c r="B569" s="8" t="s">
        <v>1270</v>
      </c>
      <c r="C569" s="9" t="s">
        <v>237</v>
      </c>
      <c r="D569" s="9" t="s">
        <v>1213</v>
      </c>
      <c r="E569" s="9" t="s">
        <v>1151</v>
      </c>
      <c r="F569" s="9" t="s">
        <v>1142</v>
      </c>
      <c r="G569" s="9" t="s">
        <v>55</v>
      </c>
      <c r="H569" s="7" t="str">
        <f>IFERROR(IF(_xlfn.XLOOKUP(B569,REPASSE!D:D,REPASSE!D:D)="","Não","Sim"),"Não")</f>
        <v>Não</v>
      </c>
      <c r="I569" s="7" t="str">
        <f>IF(_xlfn.XLOOKUP(B569,'BOOST LIBERADO'!B:B,'BOOST LIBERADO'!B:B,"Não")="Não","Não","Sim")</f>
        <v>Sim</v>
      </c>
      <c r="J569" s="83" t="str">
        <f t="shared" si="16"/>
        <v>Sim</v>
      </c>
      <c r="K569" s="12">
        <f>SUMIFS(BASE!$G:$G,BASE!$B:$B,$B569,BASE!$L:$L,$G569,BASE!$J:$J,$C569,BASE!$A:$A,K$2)</f>
        <v>0</v>
      </c>
      <c r="L569" s="12">
        <f>SUMIFS(BASE!$G:$G,BASE!$B:$B,$B569,BASE!$L:$L,$G569,BASE!$J:$J,$C569,BASE!$A:$A,L$2)</f>
        <v>0</v>
      </c>
      <c r="M569" s="12">
        <f>SUMIFS(BASE!$G:$G,BASE!$B:$B,$B569,BASE!$L:$L,$G569,BASE!$J:$J,$C569,BASE!$A:$A,M$2)</f>
        <v>4</v>
      </c>
      <c r="N569" s="12">
        <f>SUMIFS(BASE!$G:$G,BASE!$B:$B,$B569,BASE!$L:$L,$G569,BASE!$J:$J,$C569,BASE!$A:$A,N$2)</f>
        <v>1</v>
      </c>
      <c r="O569" s="12">
        <f>SUMIFS(BASE!$G:$G,BASE!$B:$B,$B569,BASE!$L:$L,$G569,BASE!$J:$J,$C569,BASE!$A:$A,O$2)</f>
        <v>1</v>
      </c>
      <c r="P569" s="12">
        <f>SUMIFS(BASE!$G:$G,BASE!$B:$B,$B569,BASE!$L:$L,$G569,BASE!$J:$J,$C569,BASE!$A:$A,P$2)</f>
        <v>0</v>
      </c>
      <c r="Q569" s="12">
        <f>SUMIFS(BASE!$G:$G,BASE!$B:$B,$B569,BASE!$L:$L,$G569,BASE!$J:$J,$C569,BASE!$A:$A,Q$2)</f>
        <v>1</v>
      </c>
      <c r="R569" s="12">
        <f>SUMIFS(BASE!$G:$G,BASE!$B:$B,$B569,BASE!$L:$L,$G569,BASE!$J:$J,$C569,BASE!$A:$A,R$2)</f>
        <v>0</v>
      </c>
      <c r="S569" s="12">
        <f>SUMIFS(BASE!$G:$G,BASE!$B:$B,$B569,BASE!$L:$L,$G569,BASE!$J:$J,$C569,BASE!$A:$A,S$2)</f>
        <v>0</v>
      </c>
      <c r="T569" s="12">
        <f>SUMIFS(BASE!$G:$G,BASE!$B:$B,$B569,BASE!$L:$L,$G569,BASE!$J:$J,$C569,BASE!$A:$A,T$2)</f>
        <v>0</v>
      </c>
      <c r="U569" s="12">
        <f>SUMIFS(BASE!$G:$G,BASE!$B:$B,$B569,BASE!$L:$L,$G569,BASE!$J:$J,$C569,BASE!$A:$A,U$2)</f>
        <v>0</v>
      </c>
      <c r="V569" s="12">
        <f>SUMIFS(BASE!$G:$G,BASE!$B:$B,$B569,BASE!$L:$L,$G569,BASE!$J:$J,$C569,BASE!$A:$A,V$2)</f>
        <v>0</v>
      </c>
      <c r="X569" t="str">
        <f t="shared" si="17"/>
        <v>ZERADO</v>
      </c>
    </row>
    <row r="570" spans="2:24">
      <c r="B570" s="8" t="s">
        <v>1271</v>
      </c>
      <c r="C570" s="9" t="s">
        <v>233</v>
      </c>
      <c r="D570" s="9" t="s">
        <v>1198</v>
      </c>
      <c r="E570" s="9" t="s">
        <v>1141</v>
      </c>
      <c r="F570" s="9" t="s">
        <v>1142</v>
      </c>
      <c r="G570" s="9" t="s">
        <v>55</v>
      </c>
      <c r="H570" s="7" t="str">
        <f>IFERROR(IF(_xlfn.XLOOKUP(B570,REPASSE!D:D,REPASSE!D:D)="","Não","Sim"),"Não")</f>
        <v>Não</v>
      </c>
      <c r="I570" s="7" t="str">
        <f>IF(_xlfn.XLOOKUP(B570,'BOOST LIBERADO'!B:B,'BOOST LIBERADO'!B:B,"Não")="Não","Não","Sim")</f>
        <v>Sim</v>
      </c>
      <c r="J570" s="83" t="str">
        <f t="shared" si="16"/>
        <v>Sim</v>
      </c>
      <c r="K570" s="12">
        <f>SUMIFS(BASE!$G:$G,BASE!$B:$B,$B570,BASE!$L:$L,$G570,BASE!$J:$J,$C570,BASE!$A:$A,K$2)</f>
        <v>8</v>
      </c>
      <c r="L570" s="12">
        <f>SUMIFS(BASE!$G:$G,BASE!$B:$B,$B570,BASE!$L:$L,$G570,BASE!$J:$J,$C570,BASE!$A:$A,L$2)</f>
        <v>2</v>
      </c>
      <c r="M570" s="12">
        <f>SUMIFS(BASE!$G:$G,BASE!$B:$B,$B570,BASE!$L:$L,$G570,BASE!$J:$J,$C570,BASE!$A:$A,M$2)</f>
        <v>1</v>
      </c>
      <c r="N570" s="12">
        <f>SUMIFS(BASE!$G:$G,BASE!$B:$B,$B570,BASE!$L:$L,$G570,BASE!$J:$J,$C570,BASE!$A:$A,N$2)</f>
        <v>1</v>
      </c>
      <c r="O570" s="12">
        <f>SUMIFS(BASE!$G:$G,BASE!$B:$B,$B570,BASE!$L:$L,$G570,BASE!$J:$J,$C570,BASE!$A:$A,O$2)</f>
        <v>1</v>
      </c>
      <c r="P570" s="12">
        <f>SUMIFS(BASE!$G:$G,BASE!$B:$B,$B570,BASE!$L:$L,$G570,BASE!$J:$J,$C570,BASE!$A:$A,P$2)</f>
        <v>1</v>
      </c>
      <c r="Q570" s="12">
        <f>SUMIFS(BASE!$G:$G,BASE!$B:$B,$B570,BASE!$L:$L,$G570,BASE!$J:$J,$C570,BASE!$A:$A,Q$2)</f>
        <v>0</v>
      </c>
      <c r="R570" s="12">
        <f>SUMIFS(BASE!$G:$G,BASE!$B:$B,$B570,BASE!$L:$L,$G570,BASE!$J:$J,$C570,BASE!$A:$A,R$2)</f>
        <v>1</v>
      </c>
      <c r="S570" s="12">
        <f>SUMIFS(BASE!$G:$G,BASE!$B:$B,$B570,BASE!$L:$L,$G570,BASE!$J:$J,$C570,BASE!$A:$A,S$2)</f>
        <v>0</v>
      </c>
      <c r="T570" s="12">
        <f>SUMIFS(BASE!$G:$G,BASE!$B:$B,$B570,BASE!$L:$L,$G570,BASE!$J:$J,$C570,BASE!$A:$A,T$2)</f>
        <v>0</v>
      </c>
      <c r="U570" s="12">
        <f>SUMIFS(BASE!$G:$G,BASE!$B:$B,$B570,BASE!$L:$L,$G570,BASE!$J:$J,$C570,BASE!$A:$A,U$2)</f>
        <v>0</v>
      </c>
      <c r="V570" s="12">
        <f>SUMIFS(BASE!$G:$G,BASE!$B:$B,$B570,BASE!$L:$L,$G570,BASE!$J:$J,$C570,BASE!$A:$A,V$2)</f>
        <v>0</v>
      </c>
      <c r="X570" t="str">
        <f t="shared" si="17"/>
        <v>COM TROCAS</v>
      </c>
    </row>
    <row r="571" spans="2:24">
      <c r="B571" s="8" t="s">
        <v>1272</v>
      </c>
      <c r="C571" s="9" t="s">
        <v>138</v>
      </c>
      <c r="D571" s="9" t="s">
        <v>1154</v>
      </c>
      <c r="E571" s="9" t="s">
        <v>1147</v>
      </c>
      <c r="F571" s="9" t="s">
        <v>1142</v>
      </c>
      <c r="G571" s="9" t="s">
        <v>55</v>
      </c>
      <c r="H571" s="7" t="str">
        <f>IFERROR(IF(_xlfn.XLOOKUP(B571,REPASSE!D:D,REPASSE!D:D)="","Não","Sim"),"Não")</f>
        <v>Não</v>
      </c>
      <c r="I571" s="7" t="str">
        <f>IF(_xlfn.XLOOKUP(B571,'BOOST LIBERADO'!B:B,'BOOST LIBERADO'!B:B,"Não")="Não","Não","Sim")</f>
        <v>Sim</v>
      </c>
      <c r="J571" s="83" t="str">
        <f t="shared" si="16"/>
        <v>Sim</v>
      </c>
      <c r="K571" s="12">
        <f>SUMIFS(BASE!$G:$G,BASE!$B:$B,$B571,BASE!$L:$L,$G571,BASE!$J:$J,$C571,BASE!$A:$A,K$2)</f>
        <v>0</v>
      </c>
      <c r="L571" s="12">
        <f>SUMIFS(BASE!$G:$G,BASE!$B:$B,$B571,BASE!$L:$L,$G571,BASE!$J:$J,$C571,BASE!$A:$A,L$2)</f>
        <v>0</v>
      </c>
      <c r="M571" s="12">
        <f>SUMIFS(BASE!$G:$G,BASE!$B:$B,$B571,BASE!$L:$L,$G571,BASE!$J:$J,$C571,BASE!$A:$A,M$2)</f>
        <v>0</v>
      </c>
      <c r="N571" s="12">
        <f>SUMIFS(BASE!$G:$G,BASE!$B:$B,$B571,BASE!$L:$L,$G571,BASE!$J:$J,$C571,BASE!$A:$A,N$2)</f>
        <v>0</v>
      </c>
      <c r="O571" s="12">
        <f>SUMIFS(BASE!$G:$G,BASE!$B:$B,$B571,BASE!$L:$L,$G571,BASE!$J:$J,$C571,BASE!$A:$A,O$2)</f>
        <v>0</v>
      </c>
      <c r="P571" s="12">
        <f>SUMIFS(BASE!$G:$G,BASE!$B:$B,$B571,BASE!$L:$L,$G571,BASE!$J:$J,$C571,BASE!$A:$A,P$2)</f>
        <v>0</v>
      </c>
      <c r="Q571" s="12">
        <f>SUMIFS(BASE!$G:$G,BASE!$B:$B,$B571,BASE!$L:$L,$G571,BASE!$J:$J,$C571,BASE!$A:$A,Q$2)</f>
        <v>0</v>
      </c>
      <c r="R571" s="12">
        <f>SUMIFS(BASE!$G:$G,BASE!$B:$B,$B571,BASE!$L:$L,$G571,BASE!$J:$J,$C571,BASE!$A:$A,R$2)</f>
        <v>0</v>
      </c>
      <c r="S571" s="12">
        <f>SUMIFS(BASE!$G:$G,BASE!$B:$B,$B571,BASE!$L:$L,$G571,BASE!$J:$J,$C571,BASE!$A:$A,S$2)</f>
        <v>0</v>
      </c>
      <c r="T571" s="12">
        <f>SUMIFS(BASE!$G:$G,BASE!$B:$B,$B571,BASE!$L:$L,$G571,BASE!$J:$J,$C571,BASE!$A:$A,T$2)</f>
        <v>0</v>
      </c>
      <c r="U571" s="12">
        <f>SUMIFS(BASE!$G:$G,BASE!$B:$B,$B571,BASE!$L:$L,$G571,BASE!$J:$J,$C571,BASE!$A:$A,U$2)</f>
        <v>0</v>
      </c>
      <c r="V571" s="12">
        <f>SUMIFS(BASE!$G:$G,BASE!$B:$B,$B571,BASE!$L:$L,$G571,BASE!$J:$J,$C571,BASE!$A:$A,V$2)</f>
        <v>0</v>
      </c>
      <c r="X571" t="str">
        <f t="shared" si="17"/>
        <v>ZERADO</v>
      </c>
    </row>
    <row r="572" spans="2:24">
      <c r="B572" s="8" t="s">
        <v>1273</v>
      </c>
      <c r="C572" s="9" t="s">
        <v>234</v>
      </c>
      <c r="D572" s="9" t="s">
        <v>1201</v>
      </c>
      <c r="E572" s="9" t="s">
        <v>1193</v>
      </c>
      <c r="F572" s="9" t="s">
        <v>1204</v>
      </c>
      <c r="G572" s="9" t="s">
        <v>55</v>
      </c>
      <c r="H572" s="7" t="str">
        <f>IFERROR(IF(_xlfn.XLOOKUP(B572,REPASSE!D:D,REPASSE!D:D)="","Não","Sim"),"Não")</f>
        <v>Não</v>
      </c>
      <c r="I572" s="7" t="str">
        <f>IF(_xlfn.XLOOKUP(B572,'BOOST LIBERADO'!B:B,'BOOST LIBERADO'!B:B,"Não")="Não","Não","Sim")</f>
        <v>Sim</v>
      </c>
      <c r="J572" s="83" t="str">
        <f t="shared" si="16"/>
        <v>Sim</v>
      </c>
      <c r="K572" s="12">
        <f>SUMIFS(BASE!$G:$G,BASE!$B:$B,$B572,BASE!$L:$L,$G572,BASE!$J:$J,$C572,BASE!$A:$A,K$2)</f>
        <v>5</v>
      </c>
      <c r="L572" s="12">
        <f>SUMIFS(BASE!$G:$G,BASE!$B:$B,$B572,BASE!$L:$L,$G572,BASE!$J:$J,$C572,BASE!$A:$A,L$2)</f>
        <v>10</v>
      </c>
      <c r="M572" s="12">
        <f>SUMIFS(BASE!$G:$G,BASE!$B:$B,$B572,BASE!$L:$L,$G572,BASE!$J:$J,$C572,BASE!$A:$A,M$2)</f>
        <v>13</v>
      </c>
      <c r="N572" s="12">
        <f>SUMIFS(BASE!$G:$G,BASE!$B:$B,$B572,BASE!$L:$L,$G572,BASE!$J:$J,$C572,BASE!$A:$A,N$2)</f>
        <v>5</v>
      </c>
      <c r="O572" s="12">
        <f>SUMIFS(BASE!$G:$G,BASE!$B:$B,$B572,BASE!$L:$L,$G572,BASE!$J:$J,$C572,BASE!$A:$A,O$2)</f>
        <v>5</v>
      </c>
      <c r="P572" s="12">
        <f>SUMIFS(BASE!$G:$G,BASE!$B:$B,$B572,BASE!$L:$L,$G572,BASE!$J:$J,$C572,BASE!$A:$A,P$2)</f>
        <v>1</v>
      </c>
      <c r="Q572" s="12">
        <f>SUMIFS(BASE!$G:$G,BASE!$B:$B,$B572,BASE!$L:$L,$G572,BASE!$J:$J,$C572,BASE!$A:$A,Q$2)</f>
        <v>2</v>
      </c>
      <c r="R572" s="12">
        <f>SUMIFS(BASE!$G:$G,BASE!$B:$B,$B572,BASE!$L:$L,$G572,BASE!$J:$J,$C572,BASE!$A:$A,R$2)</f>
        <v>3</v>
      </c>
      <c r="S572" s="12">
        <f>SUMIFS(BASE!$G:$G,BASE!$B:$B,$B572,BASE!$L:$L,$G572,BASE!$J:$J,$C572,BASE!$A:$A,S$2)</f>
        <v>0</v>
      </c>
      <c r="T572" s="12">
        <f>SUMIFS(BASE!$G:$G,BASE!$B:$B,$B572,BASE!$L:$L,$G572,BASE!$J:$J,$C572,BASE!$A:$A,T$2)</f>
        <v>0</v>
      </c>
      <c r="U572" s="12">
        <f>SUMIFS(BASE!$G:$G,BASE!$B:$B,$B572,BASE!$L:$L,$G572,BASE!$J:$J,$C572,BASE!$A:$A,U$2)</f>
        <v>0</v>
      </c>
      <c r="V572" s="12">
        <f>SUMIFS(BASE!$G:$G,BASE!$B:$B,$B572,BASE!$L:$L,$G572,BASE!$J:$J,$C572,BASE!$A:$A,V$2)</f>
        <v>0</v>
      </c>
      <c r="X572" t="str">
        <f t="shared" si="17"/>
        <v>COM TROCAS</v>
      </c>
    </row>
    <row r="573" spans="2:24">
      <c r="B573" s="8" t="s">
        <v>1274</v>
      </c>
      <c r="C573" s="9" t="s">
        <v>233</v>
      </c>
      <c r="D573" s="9" t="s">
        <v>1163</v>
      </c>
      <c r="E573" s="9" t="s">
        <v>1141</v>
      </c>
      <c r="F573" s="9" t="s">
        <v>1142</v>
      </c>
      <c r="G573" s="9" t="s">
        <v>55</v>
      </c>
      <c r="H573" s="7" t="str">
        <f>IFERROR(IF(_xlfn.XLOOKUP(B573,REPASSE!D:D,REPASSE!D:D)="","Não","Sim"),"Não")</f>
        <v>Não</v>
      </c>
      <c r="I573" s="7" t="str">
        <f>IF(_xlfn.XLOOKUP(B573,'BOOST LIBERADO'!B:B,'BOOST LIBERADO'!B:B,"Não")="Não","Não","Sim")</f>
        <v>Sim</v>
      </c>
      <c r="J573" s="83" t="str">
        <f t="shared" si="16"/>
        <v>Sim</v>
      </c>
      <c r="K573" s="12">
        <f>SUMIFS(BASE!$G:$G,BASE!$B:$B,$B573,BASE!$L:$L,$G573,BASE!$J:$J,$C573,BASE!$A:$A,K$2)</f>
        <v>0</v>
      </c>
      <c r="L573" s="12">
        <f>SUMIFS(BASE!$G:$G,BASE!$B:$B,$B573,BASE!$L:$L,$G573,BASE!$J:$J,$C573,BASE!$A:$A,L$2)</f>
        <v>0</v>
      </c>
      <c r="M573" s="12">
        <f>SUMIFS(BASE!$G:$G,BASE!$B:$B,$B573,BASE!$L:$L,$G573,BASE!$J:$J,$C573,BASE!$A:$A,M$2)</f>
        <v>0</v>
      </c>
      <c r="N573" s="12">
        <f>SUMIFS(BASE!$G:$G,BASE!$B:$B,$B573,BASE!$L:$L,$G573,BASE!$J:$J,$C573,BASE!$A:$A,N$2)</f>
        <v>0</v>
      </c>
      <c r="O573" s="12">
        <f>SUMIFS(BASE!$G:$G,BASE!$B:$B,$B573,BASE!$L:$L,$G573,BASE!$J:$J,$C573,BASE!$A:$A,O$2)</f>
        <v>0</v>
      </c>
      <c r="P573" s="12">
        <f>SUMIFS(BASE!$G:$G,BASE!$B:$B,$B573,BASE!$L:$L,$G573,BASE!$J:$J,$C573,BASE!$A:$A,P$2)</f>
        <v>0</v>
      </c>
      <c r="Q573" s="12">
        <f>SUMIFS(BASE!$G:$G,BASE!$B:$B,$B573,BASE!$L:$L,$G573,BASE!$J:$J,$C573,BASE!$A:$A,Q$2)</f>
        <v>0</v>
      </c>
      <c r="R573" s="12">
        <f>SUMIFS(BASE!$G:$G,BASE!$B:$B,$B573,BASE!$L:$L,$G573,BASE!$J:$J,$C573,BASE!$A:$A,R$2)</f>
        <v>0</v>
      </c>
      <c r="S573" s="12">
        <f>SUMIFS(BASE!$G:$G,BASE!$B:$B,$B573,BASE!$L:$L,$G573,BASE!$J:$J,$C573,BASE!$A:$A,S$2)</f>
        <v>0</v>
      </c>
      <c r="T573" s="12">
        <f>SUMIFS(BASE!$G:$G,BASE!$B:$B,$B573,BASE!$L:$L,$G573,BASE!$J:$J,$C573,BASE!$A:$A,T$2)</f>
        <v>0</v>
      </c>
      <c r="U573" s="12">
        <f>SUMIFS(BASE!$G:$G,BASE!$B:$B,$B573,BASE!$L:$L,$G573,BASE!$J:$J,$C573,BASE!$A:$A,U$2)</f>
        <v>0</v>
      </c>
      <c r="V573" s="12">
        <f>SUMIFS(BASE!$G:$G,BASE!$B:$B,$B573,BASE!$L:$L,$G573,BASE!$J:$J,$C573,BASE!$A:$A,V$2)</f>
        <v>0</v>
      </c>
      <c r="X573" t="str">
        <f t="shared" si="17"/>
        <v>ZERADO</v>
      </c>
    </row>
    <row r="574" spans="2:24">
      <c r="B574" s="8" t="s">
        <v>1275</v>
      </c>
      <c r="C574" s="9" t="s">
        <v>228</v>
      </c>
      <c r="D574" s="9" t="s">
        <v>1187</v>
      </c>
      <c r="E574" s="9" t="s">
        <v>1147</v>
      </c>
      <c r="F574" s="9" t="s">
        <v>1188</v>
      </c>
      <c r="G574" s="9" t="s">
        <v>55</v>
      </c>
      <c r="H574" s="7" t="str">
        <f>IFERROR(IF(_xlfn.XLOOKUP(B574,REPASSE!D:D,REPASSE!D:D)="","Não","Sim"),"Não")</f>
        <v>Não</v>
      </c>
      <c r="I574" s="7" t="str">
        <f>IF(_xlfn.XLOOKUP(B574,'BOOST LIBERADO'!B:B,'BOOST LIBERADO'!B:B,"Não")="Não","Não","Sim")</f>
        <v>Sim</v>
      </c>
      <c r="J574" s="83" t="str">
        <f t="shared" si="16"/>
        <v>Sim</v>
      </c>
      <c r="K574" s="12">
        <f>SUMIFS(BASE!$G:$G,BASE!$B:$B,$B574,BASE!$L:$L,$G574,BASE!$J:$J,$C574,BASE!$A:$A,K$2)</f>
        <v>6</v>
      </c>
      <c r="L574" s="12">
        <f>SUMIFS(BASE!$G:$G,BASE!$B:$B,$B574,BASE!$L:$L,$G574,BASE!$J:$J,$C574,BASE!$A:$A,L$2)</f>
        <v>6</v>
      </c>
      <c r="M574" s="12">
        <f>SUMIFS(BASE!$G:$G,BASE!$B:$B,$B574,BASE!$L:$L,$G574,BASE!$J:$J,$C574,BASE!$A:$A,M$2)</f>
        <v>5</v>
      </c>
      <c r="N574" s="12">
        <f>SUMIFS(BASE!$G:$G,BASE!$B:$B,$B574,BASE!$L:$L,$G574,BASE!$J:$J,$C574,BASE!$A:$A,N$2)</f>
        <v>3</v>
      </c>
      <c r="O574" s="12">
        <f>SUMIFS(BASE!$G:$G,BASE!$B:$B,$B574,BASE!$L:$L,$G574,BASE!$J:$J,$C574,BASE!$A:$A,O$2)</f>
        <v>4</v>
      </c>
      <c r="P574" s="12">
        <f>SUMIFS(BASE!$G:$G,BASE!$B:$B,$B574,BASE!$L:$L,$G574,BASE!$J:$J,$C574,BASE!$A:$A,P$2)</f>
        <v>9</v>
      </c>
      <c r="Q574" s="12">
        <f>SUMIFS(BASE!$G:$G,BASE!$B:$B,$B574,BASE!$L:$L,$G574,BASE!$J:$J,$C574,BASE!$A:$A,Q$2)</f>
        <v>5</v>
      </c>
      <c r="R574" s="12">
        <f>SUMIFS(BASE!$G:$G,BASE!$B:$B,$B574,BASE!$L:$L,$G574,BASE!$J:$J,$C574,BASE!$A:$A,R$2)</f>
        <v>5</v>
      </c>
      <c r="S574" s="12">
        <f>SUMIFS(BASE!$G:$G,BASE!$B:$B,$B574,BASE!$L:$L,$G574,BASE!$J:$J,$C574,BASE!$A:$A,S$2)</f>
        <v>0</v>
      </c>
      <c r="T574" s="12">
        <f>SUMIFS(BASE!$G:$G,BASE!$B:$B,$B574,BASE!$L:$L,$G574,BASE!$J:$J,$C574,BASE!$A:$A,T$2)</f>
        <v>0</v>
      </c>
      <c r="U574" s="12">
        <f>SUMIFS(BASE!$G:$G,BASE!$B:$B,$B574,BASE!$L:$L,$G574,BASE!$J:$J,$C574,BASE!$A:$A,U$2)</f>
        <v>0</v>
      </c>
      <c r="V574" s="12">
        <f>SUMIFS(BASE!$G:$G,BASE!$B:$B,$B574,BASE!$L:$L,$G574,BASE!$J:$J,$C574,BASE!$A:$A,V$2)</f>
        <v>0</v>
      </c>
      <c r="X574" t="str">
        <f t="shared" si="17"/>
        <v>COM TROCAS</v>
      </c>
    </row>
    <row r="575" spans="2:24">
      <c r="B575" s="8" t="s">
        <v>1276</v>
      </c>
      <c r="C575" s="9" t="s">
        <v>228</v>
      </c>
      <c r="D575" s="9" t="s">
        <v>1184</v>
      </c>
      <c r="E575" s="9" t="s">
        <v>1147</v>
      </c>
      <c r="F575" s="9" t="s">
        <v>1185</v>
      </c>
      <c r="G575" s="9" t="s">
        <v>55</v>
      </c>
      <c r="H575" s="7" t="str">
        <f>IFERROR(IF(_xlfn.XLOOKUP(B575,REPASSE!D:D,REPASSE!D:D)="","Não","Sim"),"Não")</f>
        <v>Não</v>
      </c>
      <c r="I575" s="7" t="str">
        <f>IF(_xlfn.XLOOKUP(B575,'BOOST LIBERADO'!B:B,'BOOST LIBERADO'!B:B,"Não")="Não","Não","Sim")</f>
        <v>Sim</v>
      </c>
      <c r="J575" s="83" t="str">
        <f t="shared" si="16"/>
        <v>Sim</v>
      </c>
      <c r="K575" s="12">
        <f>SUMIFS(BASE!$G:$G,BASE!$B:$B,$B575,BASE!$L:$L,$G575,BASE!$J:$J,$C575,BASE!$A:$A,K$2)</f>
        <v>0</v>
      </c>
      <c r="L575" s="12">
        <f>SUMIFS(BASE!$G:$G,BASE!$B:$B,$B575,BASE!$L:$L,$G575,BASE!$J:$J,$C575,BASE!$A:$A,L$2)</f>
        <v>0</v>
      </c>
      <c r="M575" s="12">
        <f>SUMIFS(BASE!$G:$G,BASE!$B:$B,$B575,BASE!$L:$L,$G575,BASE!$J:$J,$C575,BASE!$A:$A,M$2)</f>
        <v>4</v>
      </c>
      <c r="N575" s="12">
        <f>SUMIFS(BASE!$G:$G,BASE!$B:$B,$B575,BASE!$L:$L,$G575,BASE!$J:$J,$C575,BASE!$A:$A,N$2)</f>
        <v>4</v>
      </c>
      <c r="O575" s="12">
        <f>SUMIFS(BASE!$G:$G,BASE!$B:$B,$B575,BASE!$L:$L,$G575,BASE!$J:$J,$C575,BASE!$A:$A,O$2)</f>
        <v>5</v>
      </c>
      <c r="P575" s="12">
        <f>SUMIFS(BASE!$G:$G,BASE!$B:$B,$B575,BASE!$L:$L,$G575,BASE!$J:$J,$C575,BASE!$A:$A,P$2)</f>
        <v>6</v>
      </c>
      <c r="Q575" s="12">
        <f>SUMIFS(BASE!$G:$G,BASE!$B:$B,$B575,BASE!$L:$L,$G575,BASE!$J:$J,$C575,BASE!$A:$A,Q$2)</f>
        <v>8</v>
      </c>
      <c r="R575" s="12">
        <f>SUMIFS(BASE!$G:$G,BASE!$B:$B,$B575,BASE!$L:$L,$G575,BASE!$J:$J,$C575,BASE!$A:$A,R$2)</f>
        <v>2</v>
      </c>
      <c r="S575" s="12">
        <f>SUMIFS(BASE!$G:$G,BASE!$B:$B,$B575,BASE!$L:$L,$G575,BASE!$J:$J,$C575,BASE!$A:$A,S$2)</f>
        <v>0</v>
      </c>
      <c r="T575" s="12">
        <f>SUMIFS(BASE!$G:$G,BASE!$B:$B,$B575,BASE!$L:$L,$G575,BASE!$J:$J,$C575,BASE!$A:$A,T$2)</f>
        <v>0</v>
      </c>
      <c r="U575" s="12">
        <f>SUMIFS(BASE!$G:$G,BASE!$B:$B,$B575,BASE!$L:$L,$G575,BASE!$J:$J,$C575,BASE!$A:$A,U$2)</f>
        <v>0</v>
      </c>
      <c r="V575" s="12">
        <f>SUMIFS(BASE!$G:$G,BASE!$B:$B,$B575,BASE!$L:$L,$G575,BASE!$J:$J,$C575,BASE!$A:$A,V$2)</f>
        <v>0</v>
      </c>
      <c r="X575" t="str">
        <f t="shared" si="17"/>
        <v>COM TROCAS</v>
      </c>
    </row>
    <row r="576" spans="2:24">
      <c r="B576" s="8" t="s">
        <v>1277</v>
      </c>
      <c r="C576" s="9" t="s">
        <v>228</v>
      </c>
      <c r="D576" s="9" t="s">
        <v>1184</v>
      </c>
      <c r="E576" s="9" t="s">
        <v>1147</v>
      </c>
      <c r="F576" s="9" t="s">
        <v>1278</v>
      </c>
      <c r="G576" s="9" t="s">
        <v>55</v>
      </c>
      <c r="H576" s="7" t="str">
        <f>IFERROR(IF(_xlfn.XLOOKUP(B576,REPASSE!D:D,REPASSE!D:D)="","Não","Sim"),"Não")</f>
        <v>Não</v>
      </c>
      <c r="I576" s="7" t="str">
        <f>IF(_xlfn.XLOOKUP(B576,'BOOST LIBERADO'!B:B,'BOOST LIBERADO'!B:B,"Não")="Não","Não","Sim")</f>
        <v>Sim</v>
      </c>
      <c r="J576" s="83" t="str">
        <f t="shared" si="16"/>
        <v>Sim</v>
      </c>
      <c r="K576" s="12">
        <f>SUMIFS(BASE!$G:$G,BASE!$B:$B,$B576,BASE!$L:$L,$G576,BASE!$J:$J,$C576,BASE!$A:$A,K$2)</f>
        <v>0</v>
      </c>
      <c r="L576" s="12">
        <f>SUMIFS(BASE!$G:$G,BASE!$B:$B,$B576,BASE!$L:$L,$G576,BASE!$J:$J,$C576,BASE!$A:$A,L$2)</f>
        <v>0</v>
      </c>
      <c r="M576" s="12">
        <f>SUMIFS(BASE!$G:$G,BASE!$B:$B,$B576,BASE!$L:$L,$G576,BASE!$J:$J,$C576,BASE!$A:$A,M$2)</f>
        <v>0</v>
      </c>
      <c r="N576" s="12">
        <f>SUMIFS(BASE!$G:$G,BASE!$B:$B,$B576,BASE!$L:$L,$G576,BASE!$J:$J,$C576,BASE!$A:$A,N$2)</f>
        <v>5</v>
      </c>
      <c r="O576" s="12">
        <f>SUMIFS(BASE!$G:$G,BASE!$B:$B,$B576,BASE!$L:$L,$G576,BASE!$J:$J,$C576,BASE!$A:$A,O$2)</f>
        <v>3</v>
      </c>
      <c r="P576" s="12">
        <f>SUMIFS(BASE!$G:$G,BASE!$B:$B,$B576,BASE!$L:$L,$G576,BASE!$J:$J,$C576,BASE!$A:$A,P$2)</f>
        <v>6</v>
      </c>
      <c r="Q576" s="12">
        <f>SUMIFS(BASE!$G:$G,BASE!$B:$B,$B576,BASE!$L:$L,$G576,BASE!$J:$J,$C576,BASE!$A:$A,Q$2)</f>
        <v>6</v>
      </c>
      <c r="R576" s="12">
        <f>SUMIFS(BASE!$G:$G,BASE!$B:$B,$B576,BASE!$L:$L,$G576,BASE!$J:$J,$C576,BASE!$A:$A,R$2)</f>
        <v>3</v>
      </c>
      <c r="S576" s="12">
        <f>SUMIFS(BASE!$G:$G,BASE!$B:$B,$B576,BASE!$L:$L,$G576,BASE!$J:$J,$C576,BASE!$A:$A,S$2)</f>
        <v>0</v>
      </c>
      <c r="T576" s="12">
        <f>SUMIFS(BASE!$G:$G,BASE!$B:$B,$B576,BASE!$L:$L,$G576,BASE!$J:$J,$C576,BASE!$A:$A,T$2)</f>
        <v>0</v>
      </c>
      <c r="U576" s="12">
        <f>SUMIFS(BASE!$G:$G,BASE!$B:$B,$B576,BASE!$L:$L,$G576,BASE!$J:$J,$C576,BASE!$A:$A,U$2)</f>
        <v>0</v>
      </c>
      <c r="V576" s="12">
        <f>SUMIFS(BASE!$G:$G,BASE!$B:$B,$B576,BASE!$L:$L,$G576,BASE!$J:$J,$C576,BASE!$A:$A,V$2)</f>
        <v>0</v>
      </c>
      <c r="X576" t="str">
        <f t="shared" si="17"/>
        <v>COM TROCAS</v>
      </c>
    </row>
    <row r="577" spans="2:24">
      <c r="B577" s="8" t="s">
        <v>1279</v>
      </c>
      <c r="C577" s="9" t="s">
        <v>228</v>
      </c>
      <c r="D577" s="9" t="s">
        <v>1184</v>
      </c>
      <c r="E577" s="9" t="s">
        <v>1147</v>
      </c>
      <c r="F577" s="9" t="s">
        <v>1280</v>
      </c>
      <c r="G577" s="9" t="s">
        <v>55</v>
      </c>
      <c r="H577" s="7" t="str">
        <f>IFERROR(IF(_xlfn.XLOOKUP(B577,REPASSE!D:D,REPASSE!D:D)="","Não","Sim"),"Não")</f>
        <v>Não</v>
      </c>
      <c r="I577" s="7" t="str">
        <f>IF(_xlfn.XLOOKUP(B577,'BOOST LIBERADO'!B:B,'BOOST LIBERADO'!B:B,"Não")="Não","Não","Sim")</f>
        <v>Sim</v>
      </c>
      <c r="J577" s="83" t="str">
        <f t="shared" si="16"/>
        <v>Sim</v>
      </c>
      <c r="K577" s="12">
        <f>SUMIFS(BASE!$G:$G,BASE!$B:$B,$B577,BASE!$L:$L,$G577,BASE!$J:$J,$C577,BASE!$A:$A,K$2)</f>
        <v>2</v>
      </c>
      <c r="L577" s="12">
        <f>SUMIFS(BASE!$G:$G,BASE!$B:$B,$B577,BASE!$L:$L,$G577,BASE!$J:$J,$C577,BASE!$A:$A,L$2)</f>
        <v>2</v>
      </c>
      <c r="M577" s="12">
        <f>SUMIFS(BASE!$G:$G,BASE!$B:$B,$B577,BASE!$L:$L,$G577,BASE!$J:$J,$C577,BASE!$A:$A,M$2)</f>
        <v>0</v>
      </c>
      <c r="N577" s="12">
        <f>SUMIFS(BASE!$G:$G,BASE!$B:$B,$B577,BASE!$L:$L,$G577,BASE!$J:$J,$C577,BASE!$A:$A,N$2)</f>
        <v>0</v>
      </c>
      <c r="O577" s="12">
        <f>SUMIFS(BASE!$G:$G,BASE!$B:$B,$B577,BASE!$L:$L,$G577,BASE!$J:$J,$C577,BASE!$A:$A,O$2)</f>
        <v>1</v>
      </c>
      <c r="P577" s="12">
        <f>SUMIFS(BASE!$G:$G,BASE!$B:$B,$B577,BASE!$L:$L,$G577,BASE!$J:$J,$C577,BASE!$A:$A,P$2)</f>
        <v>1</v>
      </c>
      <c r="Q577" s="12">
        <f>SUMIFS(BASE!$G:$G,BASE!$B:$B,$B577,BASE!$L:$L,$G577,BASE!$J:$J,$C577,BASE!$A:$A,Q$2)</f>
        <v>5</v>
      </c>
      <c r="R577" s="12">
        <f>SUMIFS(BASE!$G:$G,BASE!$B:$B,$B577,BASE!$L:$L,$G577,BASE!$J:$J,$C577,BASE!$A:$A,R$2)</f>
        <v>2</v>
      </c>
      <c r="S577" s="12">
        <f>SUMIFS(BASE!$G:$G,BASE!$B:$B,$B577,BASE!$L:$L,$G577,BASE!$J:$J,$C577,BASE!$A:$A,S$2)</f>
        <v>0</v>
      </c>
      <c r="T577" s="12">
        <f>SUMIFS(BASE!$G:$G,BASE!$B:$B,$B577,BASE!$L:$L,$G577,BASE!$J:$J,$C577,BASE!$A:$A,T$2)</f>
        <v>0</v>
      </c>
      <c r="U577" s="12">
        <f>SUMIFS(BASE!$G:$G,BASE!$B:$B,$B577,BASE!$L:$L,$G577,BASE!$J:$J,$C577,BASE!$A:$A,U$2)</f>
        <v>0</v>
      </c>
      <c r="V577" s="12">
        <f>SUMIFS(BASE!$G:$G,BASE!$B:$B,$B577,BASE!$L:$L,$G577,BASE!$J:$J,$C577,BASE!$A:$A,V$2)</f>
        <v>0</v>
      </c>
      <c r="X577" t="str">
        <f t="shared" si="17"/>
        <v>COM TROCAS</v>
      </c>
    </row>
    <row r="578" spans="2:24">
      <c r="B578" s="8" t="s">
        <v>1281</v>
      </c>
      <c r="C578" s="9" t="s">
        <v>228</v>
      </c>
      <c r="D578" s="9" t="s">
        <v>1184</v>
      </c>
      <c r="E578" s="9" t="s">
        <v>1147</v>
      </c>
      <c r="F578" s="9" t="s">
        <v>1185</v>
      </c>
      <c r="G578" s="9" t="s">
        <v>55</v>
      </c>
      <c r="H578" s="7" t="str">
        <f>IFERROR(IF(_xlfn.XLOOKUP(B578,REPASSE!D:D,REPASSE!D:D)="","Não","Sim"),"Não")</f>
        <v>Não</v>
      </c>
      <c r="I578" s="7" t="str">
        <f>IF(_xlfn.XLOOKUP(B578,'BOOST LIBERADO'!B:B,'BOOST LIBERADO'!B:B,"Não")="Não","Não","Sim")</f>
        <v>Sim</v>
      </c>
      <c r="J578" s="83" t="str">
        <f t="shared" si="16"/>
        <v>Sim</v>
      </c>
      <c r="K578" s="12">
        <f>SUMIFS(BASE!$G:$G,BASE!$B:$B,$B578,BASE!$L:$L,$G578,BASE!$J:$J,$C578,BASE!$A:$A,K$2)</f>
        <v>3</v>
      </c>
      <c r="L578" s="12">
        <f>SUMIFS(BASE!$G:$G,BASE!$B:$B,$B578,BASE!$L:$L,$G578,BASE!$J:$J,$C578,BASE!$A:$A,L$2)</f>
        <v>5</v>
      </c>
      <c r="M578" s="12">
        <f>SUMIFS(BASE!$G:$G,BASE!$B:$B,$B578,BASE!$L:$L,$G578,BASE!$J:$J,$C578,BASE!$A:$A,M$2)</f>
        <v>18</v>
      </c>
      <c r="N578" s="12">
        <f>SUMIFS(BASE!$G:$G,BASE!$B:$B,$B578,BASE!$L:$L,$G578,BASE!$J:$J,$C578,BASE!$A:$A,N$2)</f>
        <v>10</v>
      </c>
      <c r="O578" s="12">
        <f>SUMIFS(BASE!$G:$G,BASE!$B:$B,$B578,BASE!$L:$L,$G578,BASE!$J:$J,$C578,BASE!$A:$A,O$2)</f>
        <v>7</v>
      </c>
      <c r="P578" s="12">
        <f>SUMIFS(BASE!$G:$G,BASE!$B:$B,$B578,BASE!$L:$L,$G578,BASE!$J:$J,$C578,BASE!$A:$A,P$2)</f>
        <v>7</v>
      </c>
      <c r="Q578" s="12">
        <f>SUMIFS(BASE!$G:$G,BASE!$B:$B,$B578,BASE!$L:$L,$G578,BASE!$J:$J,$C578,BASE!$A:$A,Q$2)</f>
        <v>24</v>
      </c>
      <c r="R578" s="12">
        <f>SUMIFS(BASE!$G:$G,BASE!$B:$B,$B578,BASE!$L:$L,$G578,BASE!$J:$J,$C578,BASE!$A:$A,R$2)</f>
        <v>13</v>
      </c>
      <c r="S578" s="12">
        <f>SUMIFS(BASE!$G:$G,BASE!$B:$B,$B578,BASE!$L:$L,$G578,BASE!$J:$J,$C578,BASE!$A:$A,S$2)</f>
        <v>0</v>
      </c>
      <c r="T578" s="12">
        <f>SUMIFS(BASE!$G:$G,BASE!$B:$B,$B578,BASE!$L:$L,$G578,BASE!$J:$J,$C578,BASE!$A:$A,T$2)</f>
        <v>0</v>
      </c>
      <c r="U578" s="12">
        <f>SUMIFS(BASE!$G:$G,BASE!$B:$B,$B578,BASE!$L:$L,$G578,BASE!$J:$J,$C578,BASE!$A:$A,U$2)</f>
        <v>0</v>
      </c>
      <c r="V578" s="12">
        <f>SUMIFS(BASE!$G:$G,BASE!$B:$B,$B578,BASE!$L:$L,$G578,BASE!$J:$J,$C578,BASE!$A:$A,V$2)</f>
        <v>0</v>
      </c>
      <c r="X578" t="str">
        <f t="shared" si="17"/>
        <v>COM TROCAS</v>
      </c>
    </row>
    <row r="579" spans="2:24">
      <c r="B579" s="8" t="s">
        <v>1282</v>
      </c>
      <c r="C579" s="9" t="s">
        <v>228</v>
      </c>
      <c r="D579" s="9" t="s">
        <v>1184</v>
      </c>
      <c r="E579" s="9" t="s">
        <v>1147</v>
      </c>
      <c r="F579" s="9" t="s">
        <v>1283</v>
      </c>
      <c r="G579" s="9" t="s">
        <v>55</v>
      </c>
      <c r="H579" s="7" t="str">
        <f>IFERROR(IF(_xlfn.XLOOKUP(B579,REPASSE!D:D,REPASSE!D:D)="","Não","Sim"),"Não")</f>
        <v>Não</v>
      </c>
      <c r="I579" s="7" t="str">
        <f>IF(_xlfn.XLOOKUP(B579,'BOOST LIBERADO'!B:B,'BOOST LIBERADO'!B:B,"Não")="Não","Não","Sim")</f>
        <v>Sim</v>
      </c>
      <c r="J579" s="83" t="str">
        <f t="shared" si="16"/>
        <v>Sim</v>
      </c>
      <c r="K579" s="12">
        <f>SUMIFS(BASE!$G:$G,BASE!$B:$B,$B579,BASE!$L:$L,$G579,BASE!$J:$J,$C579,BASE!$A:$A,K$2)</f>
        <v>3</v>
      </c>
      <c r="L579" s="12">
        <f>SUMIFS(BASE!$G:$G,BASE!$B:$B,$B579,BASE!$L:$L,$G579,BASE!$J:$J,$C579,BASE!$A:$A,L$2)</f>
        <v>3</v>
      </c>
      <c r="M579" s="12">
        <f>SUMIFS(BASE!$G:$G,BASE!$B:$B,$B579,BASE!$L:$L,$G579,BASE!$J:$J,$C579,BASE!$A:$A,M$2)</f>
        <v>6</v>
      </c>
      <c r="N579" s="12">
        <f>SUMIFS(BASE!$G:$G,BASE!$B:$B,$B579,BASE!$L:$L,$G579,BASE!$J:$J,$C579,BASE!$A:$A,N$2)</f>
        <v>2</v>
      </c>
      <c r="O579" s="12">
        <f>SUMIFS(BASE!$G:$G,BASE!$B:$B,$B579,BASE!$L:$L,$G579,BASE!$J:$J,$C579,BASE!$A:$A,O$2)</f>
        <v>8</v>
      </c>
      <c r="P579" s="12">
        <f>SUMIFS(BASE!$G:$G,BASE!$B:$B,$B579,BASE!$L:$L,$G579,BASE!$J:$J,$C579,BASE!$A:$A,P$2)</f>
        <v>18</v>
      </c>
      <c r="Q579" s="12">
        <f>SUMIFS(BASE!$G:$G,BASE!$B:$B,$B579,BASE!$L:$L,$G579,BASE!$J:$J,$C579,BASE!$A:$A,Q$2)</f>
        <v>28</v>
      </c>
      <c r="R579" s="12">
        <f>SUMIFS(BASE!$G:$G,BASE!$B:$B,$B579,BASE!$L:$L,$G579,BASE!$J:$J,$C579,BASE!$A:$A,R$2)</f>
        <v>19</v>
      </c>
      <c r="S579" s="12">
        <f>SUMIFS(BASE!$G:$G,BASE!$B:$B,$B579,BASE!$L:$L,$G579,BASE!$J:$J,$C579,BASE!$A:$A,S$2)</f>
        <v>0</v>
      </c>
      <c r="T579" s="12">
        <f>SUMIFS(BASE!$G:$G,BASE!$B:$B,$B579,BASE!$L:$L,$G579,BASE!$J:$J,$C579,BASE!$A:$A,T$2)</f>
        <v>0</v>
      </c>
      <c r="U579" s="12">
        <f>SUMIFS(BASE!$G:$G,BASE!$B:$B,$B579,BASE!$L:$L,$G579,BASE!$J:$J,$C579,BASE!$A:$A,U$2)</f>
        <v>0</v>
      </c>
      <c r="V579" s="12">
        <f>SUMIFS(BASE!$G:$G,BASE!$B:$B,$B579,BASE!$L:$L,$G579,BASE!$J:$J,$C579,BASE!$A:$A,V$2)</f>
        <v>0</v>
      </c>
      <c r="X579" t="str">
        <f t="shared" si="17"/>
        <v>COM TROCAS</v>
      </c>
    </row>
    <row r="580" spans="2:24">
      <c r="B580" s="8" t="s">
        <v>1284</v>
      </c>
      <c r="C580" s="9" t="s">
        <v>228</v>
      </c>
      <c r="D580" s="9" t="s">
        <v>1184</v>
      </c>
      <c r="E580" s="9" t="s">
        <v>1147</v>
      </c>
      <c r="F580" s="9" t="s">
        <v>1283</v>
      </c>
      <c r="G580" s="9" t="s">
        <v>55</v>
      </c>
      <c r="H580" s="7" t="str">
        <f>IFERROR(IF(_xlfn.XLOOKUP(B580,REPASSE!D:D,REPASSE!D:D)="","Não","Sim"),"Não")</f>
        <v>Não</v>
      </c>
      <c r="I580" s="7" t="str">
        <f>IF(_xlfn.XLOOKUP(B580,'BOOST LIBERADO'!B:B,'BOOST LIBERADO'!B:B,"Não")="Não","Não","Sim")</f>
        <v>Sim</v>
      </c>
      <c r="J580" s="83" t="str">
        <f t="shared" ref="J580:J643" si="18">IF(AND(H580="Não",I580="Sim"),"Sim","Não")</f>
        <v>Sim</v>
      </c>
      <c r="K580" s="12">
        <f>SUMIFS(BASE!$G:$G,BASE!$B:$B,$B580,BASE!$L:$L,$G580,BASE!$J:$J,$C580,BASE!$A:$A,K$2)</f>
        <v>9</v>
      </c>
      <c r="L580" s="12">
        <f>SUMIFS(BASE!$G:$G,BASE!$B:$B,$B580,BASE!$L:$L,$G580,BASE!$J:$J,$C580,BASE!$A:$A,L$2)</f>
        <v>14</v>
      </c>
      <c r="M580" s="12">
        <f>SUMIFS(BASE!$G:$G,BASE!$B:$B,$B580,BASE!$L:$L,$G580,BASE!$J:$J,$C580,BASE!$A:$A,M$2)</f>
        <v>20</v>
      </c>
      <c r="N580" s="12">
        <f>SUMIFS(BASE!$G:$G,BASE!$B:$B,$B580,BASE!$L:$L,$G580,BASE!$J:$J,$C580,BASE!$A:$A,N$2)</f>
        <v>13</v>
      </c>
      <c r="O580" s="12">
        <f>SUMIFS(BASE!$G:$G,BASE!$B:$B,$B580,BASE!$L:$L,$G580,BASE!$J:$J,$C580,BASE!$A:$A,O$2)</f>
        <v>5</v>
      </c>
      <c r="P580" s="12">
        <f>SUMIFS(BASE!$G:$G,BASE!$B:$B,$B580,BASE!$L:$L,$G580,BASE!$J:$J,$C580,BASE!$A:$A,P$2)</f>
        <v>25</v>
      </c>
      <c r="Q580" s="12">
        <f>SUMIFS(BASE!$G:$G,BASE!$B:$B,$B580,BASE!$L:$L,$G580,BASE!$J:$J,$C580,BASE!$A:$A,Q$2)</f>
        <v>27</v>
      </c>
      <c r="R580" s="12">
        <f>SUMIFS(BASE!$G:$G,BASE!$B:$B,$B580,BASE!$L:$L,$G580,BASE!$J:$J,$C580,BASE!$A:$A,R$2)</f>
        <v>13</v>
      </c>
      <c r="S580" s="12">
        <f>SUMIFS(BASE!$G:$G,BASE!$B:$B,$B580,BASE!$L:$L,$G580,BASE!$J:$J,$C580,BASE!$A:$A,S$2)</f>
        <v>0</v>
      </c>
      <c r="T580" s="12">
        <f>SUMIFS(BASE!$G:$G,BASE!$B:$B,$B580,BASE!$L:$L,$G580,BASE!$J:$J,$C580,BASE!$A:$A,T$2)</f>
        <v>0</v>
      </c>
      <c r="U580" s="12">
        <f>SUMIFS(BASE!$G:$G,BASE!$B:$B,$B580,BASE!$L:$L,$G580,BASE!$J:$J,$C580,BASE!$A:$A,U$2)</f>
        <v>0</v>
      </c>
      <c r="V580" s="12">
        <f>SUMIFS(BASE!$G:$G,BASE!$B:$B,$B580,BASE!$L:$L,$G580,BASE!$J:$J,$C580,BASE!$A:$A,V$2)</f>
        <v>0</v>
      </c>
      <c r="X580" t="str">
        <f t="shared" ref="X580:X643" si="19">IF(AND(R580=0),"ZERADO","COM TROCAS")</f>
        <v>COM TROCAS</v>
      </c>
    </row>
    <row r="581" spans="2:24">
      <c r="B581" s="8" t="s">
        <v>1285</v>
      </c>
      <c r="C581" s="9" t="s">
        <v>237</v>
      </c>
      <c r="D581" s="9" t="s">
        <v>1144</v>
      </c>
      <c r="E581" s="9" t="s">
        <v>1141</v>
      </c>
      <c r="F581" s="9" t="s">
        <v>1142</v>
      </c>
      <c r="G581" s="9" t="s">
        <v>55</v>
      </c>
      <c r="H581" s="7" t="str">
        <f>IFERROR(IF(_xlfn.XLOOKUP(B581,REPASSE!D:D,REPASSE!D:D)="","Não","Sim"),"Não")</f>
        <v>Não</v>
      </c>
      <c r="I581" s="7" t="str">
        <f>IF(_xlfn.XLOOKUP(B581,'BOOST LIBERADO'!B:B,'BOOST LIBERADO'!B:B,"Não")="Não","Não","Sim")</f>
        <v>Sim</v>
      </c>
      <c r="J581" s="83" t="str">
        <f t="shared" si="18"/>
        <v>Sim</v>
      </c>
      <c r="K581" s="12">
        <f>SUMIFS(BASE!$G:$G,BASE!$B:$B,$B581,BASE!$L:$L,$G581,BASE!$J:$J,$C581,BASE!$A:$A,K$2)</f>
        <v>0</v>
      </c>
      <c r="L581" s="12">
        <f>SUMIFS(BASE!$G:$G,BASE!$B:$B,$B581,BASE!$L:$L,$G581,BASE!$J:$J,$C581,BASE!$A:$A,L$2)</f>
        <v>0</v>
      </c>
      <c r="M581" s="12">
        <f>SUMIFS(BASE!$G:$G,BASE!$B:$B,$B581,BASE!$L:$L,$G581,BASE!$J:$J,$C581,BASE!$A:$A,M$2)</f>
        <v>0</v>
      </c>
      <c r="N581" s="12">
        <f>SUMIFS(BASE!$G:$G,BASE!$B:$B,$B581,BASE!$L:$L,$G581,BASE!$J:$J,$C581,BASE!$A:$A,N$2)</f>
        <v>6</v>
      </c>
      <c r="O581" s="12">
        <f>SUMIFS(BASE!$G:$G,BASE!$B:$B,$B581,BASE!$L:$L,$G581,BASE!$J:$J,$C581,BASE!$A:$A,O$2)</f>
        <v>24</v>
      </c>
      <c r="P581" s="12">
        <f>SUMIFS(BASE!$G:$G,BASE!$B:$B,$B581,BASE!$L:$L,$G581,BASE!$J:$J,$C581,BASE!$A:$A,P$2)</f>
        <v>17</v>
      </c>
      <c r="Q581" s="12">
        <f>SUMIFS(BASE!$G:$G,BASE!$B:$B,$B581,BASE!$L:$L,$G581,BASE!$J:$J,$C581,BASE!$A:$A,Q$2)</f>
        <v>18</v>
      </c>
      <c r="R581" s="12">
        <f>SUMIFS(BASE!$G:$G,BASE!$B:$B,$B581,BASE!$L:$L,$G581,BASE!$J:$J,$C581,BASE!$A:$A,R$2)</f>
        <v>22</v>
      </c>
      <c r="S581" s="12">
        <f>SUMIFS(BASE!$G:$G,BASE!$B:$B,$B581,BASE!$L:$L,$G581,BASE!$J:$J,$C581,BASE!$A:$A,S$2)</f>
        <v>0</v>
      </c>
      <c r="T581" s="12">
        <f>SUMIFS(BASE!$G:$G,BASE!$B:$B,$B581,BASE!$L:$L,$G581,BASE!$J:$J,$C581,BASE!$A:$A,T$2)</f>
        <v>0</v>
      </c>
      <c r="U581" s="12">
        <f>SUMIFS(BASE!$G:$G,BASE!$B:$B,$B581,BASE!$L:$L,$G581,BASE!$J:$J,$C581,BASE!$A:$A,U$2)</f>
        <v>0</v>
      </c>
      <c r="V581" s="12">
        <f>SUMIFS(BASE!$G:$G,BASE!$B:$B,$B581,BASE!$L:$L,$G581,BASE!$J:$J,$C581,BASE!$A:$A,V$2)</f>
        <v>0</v>
      </c>
      <c r="X581" t="str">
        <f t="shared" si="19"/>
        <v>COM TROCAS</v>
      </c>
    </row>
    <row r="582" spans="2:24">
      <c r="B582" s="8" t="s">
        <v>1286</v>
      </c>
      <c r="C582" s="9" t="s">
        <v>232</v>
      </c>
      <c r="D582" s="9" t="s">
        <v>1187</v>
      </c>
      <c r="E582" s="9" t="s">
        <v>1147</v>
      </c>
      <c r="F582" s="9" t="s">
        <v>1287</v>
      </c>
      <c r="G582" s="9" t="s">
        <v>55</v>
      </c>
      <c r="H582" s="7" t="str">
        <f>IFERROR(IF(_xlfn.XLOOKUP(B582,REPASSE!D:D,REPASSE!D:D)="","Não","Sim"),"Não")</f>
        <v>Não</v>
      </c>
      <c r="I582" s="7" t="str">
        <f>IF(_xlfn.XLOOKUP(B582,'BOOST LIBERADO'!B:B,'BOOST LIBERADO'!B:B,"Não")="Não","Não","Sim")</f>
        <v>Sim</v>
      </c>
      <c r="J582" s="83" t="str">
        <f t="shared" si="18"/>
        <v>Sim</v>
      </c>
      <c r="K582" s="12">
        <f>SUMIFS(BASE!$G:$G,BASE!$B:$B,$B582,BASE!$L:$L,$G582,BASE!$J:$J,$C582,BASE!$A:$A,K$2)</f>
        <v>0</v>
      </c>
      <c r="L582" s="12">
        <f>SUMIFS(BASE!$G:$G,BASE!$B:$B,$B582,BASE!$L:$L,$G582,BASE!$J:$J,$C582,BASE!$A:$A,L$2)</f>
        <v>0</v>
      </c>
      <c r="M582" s="12">
        <f>SUMIFS(BASE!$G:$G,BASE!$B:$B,$B582,BASE!$L:$L,$G582,BASE!$J:$J,$C582,BASE!$A:$A,M$2)</f>
        <v>11</v>
      </c>
      <c r="N582" s="12">
        <f>SUMIFS(BASE!$G:$G,BASE!$B:$B,$B582,BASE!$L:$L,$G582,BASE!$J:$J,$C582,BASE!$A:$A,N$2)</f>
        <v>14</v>
      </c>
      <c r="O582" s="12">
        <f>SUMIFS(BASE!$G:$G,BASE!$B:$B,$B582,BASE!$L:$L,$G582,BASE!$J:$J,$C582,BASE!$A:$A,O$2)</f>
        <v>14</v>
      </c>
      <c r="P582" s="12">
        <f>SUMIFS(BASE!$G:$G,BASE!$B:$B,$B582,BASE!$L:$L,$G582,BASE!$J:$J,$C582,BASE!$A:$A,P$2)</f>
        <v>2</v>
      </c>
      <c r="Q582" s="12">
        <f>SUMIFS(BASE!$G:$G,BASE!$B:$B,$B582,BASE!$L:$L,$G582,BASE!$J:$J,$C582,BASE!$A:$A,Q$2)</f>
        <v>0</v>
      </c>
      <c r="R582" s="12">
        <f>SUMIFS(BASE!$G:$G,BASE!$B:$B,$B582,BASE!$L:$L,$G582,BASE!$J:$J,$C582,BASE!$A:$A,R$2)</f>
        <v>2</v>
      </c>
      <c r="S582" s="12">
        <f>SUMIFS(BASE!$G:$G,BASE!$B:$B,$B582,BASE!$L:$L,$G582,BASE!$J:$J,$C582,BASE!$A:$A,S$2)</f>
        <v>0</v>
      </c>
      <c r="T582" s="12">
        <f>SUMIFS(BASE!$G:$G,BASE!$B:$B,$B582,BASE!$L:$L,$G582,BASE!$J:$J,$C582,BASE!$A:$A,T$2)</f>
        <v>0</v>
      </c>
      <c r="U582" s="12">
        <f>SUMIFS(BASE!$G:$G,BASE!$B:$B,$B582,BASE!$L:$L,$G582,BASE!$J:$J,$C582,BASE!$A:$A,U$2)</f>
        <v>0</v>
      </c>
      <c r="V582" s="12">
        <f>SUMIFS(BASE!$G:$G,BASE!$B:$B,$B582,BASE!$L:$L,$G582,BASE!$J:$J,$C582,BASE!$A:$A,V$2)</f>
        <v>0</v>
      </c>
      <c r="X582" t="str">
        <f t="shared" si="19"/>
        <v>COM TROCAS</v>
      </c>
    </row>
    <row r="583" spans="2:24">
      <c r="B583" s="8" t="s">
        <v>1288</v>
      </c>
      <c r="C583" s="9" t="s">
        <v>232</v>
      </c>
      <c r="D583" s="9" t="s">
        <v>1187</v>
      </c>
      <c r="E583" s="9" t="s">
        <v>1147</v>
      </c>
      <c r="F583" s="9" t="s">
        <v>1188</v>
      </c>
      <c r="G583" s="9" t="s">
        <v>55</v>
      </c>
      <c r="H583" s="7" t="str">
        <f>IFERROR(IF(_xlfn.XLOOKUP(B583,REPASSE!D:D,REPASSE!D:D)="","Não","Sim"),"Não")</f>
        <v>Não</v>
      </c>
      <c r="I583" s="7" t="str">
        <f>IF(_xlfn.XLOOKUP(B583,'BOOST LIBERADO'!B:B,'BOOST LIBERADO'!B:B,"Não")="Não","Não","Sim")</f>
        <v>Sim</v>
      </c>
      <c r="J583" s="83" t="str">
        <f t="shared" si="18"/>
        <v>Sim</v>
      </c>
      <c r="K583" s="12">
        <f>SUMIFS(BASE!$G:$G,BASE!$B:$B,$B583,BASE!$L:$L,$G583,BASE!$J:$J,$C583,BASE!$A:$A,K$2)</f>
        <v>0</v>
      </c>
      <c r="L583" s="12">
        <f>SUMIFS(BASE!$G:$G,BASE!$B:$B,$B583,BASE!$L:$L,$G583,BASE!$J:$J,$C583,BASE!$A:$A,L$2)</f>
        <v>0</v>
      </c>
      <c r="M583" s="12">
        <f>SUMIFS(BASE!$G:$G,BASE!$B:$B,$B583,BASE!$L:$L,$G583,BASE!$J:$J,$C583,BASE!$A:$A,M$2)</f>
        <v>0</v>
      </c>
      <c r="N583" s="12">
        <f>SUMIFS(BASE!$G:$G,BASE!$B:$B,$B583,BASE!$L:$L,$G583,BASE!$J:$J,$C583,BASE!$A:$A,N$2)</f>
        <v>0</v>
      </c>
      <c r="O583" s="12">
        <f>SUMIFS(BASE!$G:$G,BASE!$B:$B,$B583,BASE!$L:$L,$G583,BASE!$J:$J,$C583,BASE!$A:$A,O$2)</f>
        <v>0</v>
      </c>
      <c r="P583" s="12">
        <f>SUMIFS(BASE!$G:$G,BASE!$B:$B,$B583,BASE!$L:$L,$G583,BASE!$J:$J,$C583,BASE!$A:$A,P$2)</f>
        <v>3</v>
      </c>
      <c r="Q583" s="12">
        <f>SUMIFS(BASE!$G:$G,BASE!$B:$B,$B583,BASE!$L:$L,$G583,BASE!$J:$J,$C583,BASE!$A:$A,Q$2)</f>
        <v>10</v>
      </c>
      <c r="R583" s="12">
        <f>SUMIFS(BASE!$G:$G,BASE!$B:$B,$B583,BASE!$L:$L,$G583,BASE!$J:$J,$C583,BASE!$A:$A,R$2)</f>
        <v>5</v>
      </c>
      <c r="S583" s="12">
        <f>SUMIFS(BASE!$G:$G,BASE!$B:$B,$B583,BASE!$L:$L,$G583,BASE!$J:$J,$C583,BASE!$A:$A,S$2)</f>
        <v>0</v>
      </c>
      <c r="T583" s="12">
        <f>SUMIFS(BASE!$G:$G,BASE!$B:$B,$B583,BASE!$L:$L,$G583,BASE!$J:$J,$C583,BASE!$A:$A,T$2)</f>
        <v>0</v>
      </c>
      <c r="U583" s="12">
        <f>SUMIFS(BASE!$G:$G,BASE!$B:$B,$B583,BASE!$L:$L,$G583,BASE!$J:$J,$C583,BASE!$A:$A,U$2)</f>
        <v>0</v>
      </c>
      <c r="V583" s="12">
        <f>SUMIFS(BASE!$G:$G,BASE!$B:$B,$B583,BASE!$L:$L,$G583,BASE!$J:$J,$C583,BASE!$A:$A,V$2)</f>
        <v>0</v>
      </c>
      <c r="X583" t="str">
        <f t="shared" si="19"/>
        <v>COM TROCAS</v>
      </c>
    </row>
    <row r="584" spans="2:24">
      <c r="B584" s="8" t="s">
        <v>1289</v>
      </c>
      <c r="C584" s="9" t="s">
        <v>232</v>
      </c>
      <c r="D584" s="9" t="s">
        <v>1187</v>
      </c>
      <c r="E584" s="9" t="s">
        <v>1147</v>
      </c>
      <c r="F584" s="9" t="s">
        <v>1290</v>
      </c>
      <c r="G584" s="9" t="s">
        <v>55</v>
      </c>
      <c r="H584" s="7" t="str">
        <f>IFERROR(IF(_xlfn.XLOOKUP(B584,REPASSE!D:D,REPASSE!D:D)="","Não","Sim"),"Não")</f>
        <v>Não</v>
      </c>
      <c r="I584" s="7" t="str">
        <f>IF(_xlfn.XLOOKUP(B584,'BOOST LIBERADO'!B:B,'BOOST LIBERADO'!B:B,"Não")="Não","Não","Sim")</f>
        <v>Sim</v>
      </c>
      <c r="J584" s="83" t="str">
        <f t="shared" si="18"/>
        <v>Sim</v>
      </c>
      <c r="K584" s="12">
        <f>SUMIFS(BASE!$G:$G,BASE!$B:$B,$B584,BASE!$L:$L,$G584,BASE!$J:$J,$C584,BASE!$A:$A,K$2)</f>
        <v>0</v>
      </c>
      <c r="L584" s="12">
        <f>SUMIFS(BASE!$G:$G,BASE!$B:$B,$B584,BASE!$L:$L,$G584,BASE!$J:$J,$C584,BASE!$A:$A,L$2)</f>
        <v>0</v>
      </c>
      <c r="M584" s="12">
        <f>SUMIFS(BASE!$G:$G,BASE!$B:$B,$B584,BASE!$L:$L,$G584,BASE!$J:$J,$C584,BASE!$A:$A,M$2)</f>
        <v>0</v>
      </c>
      <c r="N584" s="12">
        <f>SUMIFS(BASE!$G:$G,BASE!$B:$B,$B584,BASE!$L:$L,$G584,BASE!$J:$J,$C584,BASE!$A:$A,N$2)</f>
        <v>0</v>
      </c>
      <c r="O584" s="12">
        <f>SUMIFS(BASE!$G:$G,BASE!$B:$B,$B584,BASE!$L:$L,$G584,BASE!$J:$J,$C584,BASE!$A:$A,O$2)</f>
        <v>1</v>
      </c>
      <c r="P584" s="12">
        <f>SUMIFS(BASE!$G:$G,BASE!$B:$B,$B584,BASE!$L:$L,$G584,BASE!$J:$J,$C584,BASE!$A:$A,P$2)</f>
        <v>10</v>
      </c>
      <c r="Q584" s="12">
        <f>SUMIFS(BASE!$G:$G,BASE!$B:$B,$B584,BASE!$L:$L,$G584,BASE!$J:$J,$C584,BASE!$A:$A,Q$2)</f>
        <v>13</v>
      </c>
      <c r="R584" s="12">
        <f>SUMIFS(BASE!$G:$G,BASE!$B:$B,$B584,BASE!$L:$L,$G584,BASE!$J:$J,$C584,BASE!$A:$A,R$2)</f>
        <v>14</v>
      </c>
      <c r="S584" s="12">
        <f>SUMIFS(BASE!$G:$G,BASE!$B:$B,$B584,BASE!$L:$L,$G584,BASE!$J:$J,$C584,BASE!$A:$A,S$2)</f>
        <v>0</v>
      </c>
      <c r="T584" s="12">
        <f>SUMIFS(BASE!$G:$G,BASE!$B:$B,$B584,BASE!$L:$L,$G584,BASE!$J:$J,$C584,BASE!$A:$A,T$2)</f>
        <v>0</v>
      </c>
      <c r="U584" s="12">
        <f>SUMIFS(BASE!$G:$G,BASE!$B:$B,$B584,BASE!$L:$L,$G584,BASE!$J:$J,$C584,BASE!$A:$A,U$2)</f>
        <v>0</v>
      </c>
      <c r="V584" s="12">
        <f>SUMIFS(BASE!$G:$G,BASE!$B:$B,$B584,BASE!$L:$L,$G584,BASE!$J:$J,$C584,BASE!$A:$A,V$2)</f>
        <v>0</v>
      </c>
      <c r="X584" t="str">
        <f t="shared" si="19"/>
        <v>COM TROCAS</v>
      </c>
    </row>
    <row r="585" spans="2:24">
      <c r="B585" s="8" t="s">
        <v>1291</v>
      </c>
      <c r="C585" s="9" t="s">
        <v>232</v>
      </c>
      <c r="D585" s="9" t="s">
        <v>1187</v>
      </c>
      <c r="E585" s="9" t="s">
        <v>1147</v>
      </c>
      <c r="F585" s="9" t="s">
        <v>1292</v>
      </c>
      <c r="G585" s="9" t="s">
        <v>55</v>
      </c>
      <c r="H585" s="7" t="str">
        <f>IFERROR(IF(_xlfn.XLOOKUP(B585,REPASSE!D:D,REPASSE!D:D)="","Não","Sim"),"Não")</f>
        <v>Não</v>
      </c>
      <c r="I585" s="7" t="str">
        <f>IF(_xlfn.XLOOKUP(B585,'BOOST LIBERADO'!B:B,'BOOST LIBERADO'!B:B,"Não")="Não","Não","Sim")</f>
        <v>Sim</v>
      </c>
      <c r="J585" s="83" t="str">
        <f t="shared" si="18"/>
        <v>Sim</v>
      </c>
      <c r="K585" s="12">
        <f>SUMIFS(BASE!$G:$G,BASE!$B:$B,$B585,BASE!$L:$L,$G585,BASE!$J:$J,$C585,BASE!$A:$A,K$2)</f>
        <v>0</v>
      </c>
      <c r="L585" s="12">
        <f>SUMIFS(BASE!$G:$G,BASE!$B:$B,$B585,BASE!$L:$L,$G585,BASE!$J:$J,$C585,BASE!$A:$A,L$2)</f>
        <v>0</v>
      </c>
      <c r="M585" s="12">
        <f>SUMIFS(BASE!$G:$G,BASE!$B:$B,$B585,BASE!$L:$L,$G585,BASE!$J:$J,$C585,BASE!$A:$A,M$2)</f>
        <v>4</v>
      </c>
      <c r="N585" s="12">
        <f>SUMIFS(BASE!$G:$G,BASE!$B:$B,$B585,BASE!$L:$L,$G585,BASE!$J:$J,$C585,BASE!$A:$A,N$2)</f>
        <v>3</v>
      </c>
      <c r="O585" s="12">
        <f>SUMIFS(BASE!$G:$G,BASE!$B:$B,$B585,BASE!$L:$L,$G585,BASE!$J:$J,$C585,BASE!$A:$A,O$2)</f>
        <v>1</v>
      </c>
      <c r="P585" s="12">
        <f>SUMIFS(BASE!$G:$G,BASE!$B:$B,$B585,BASE!$L:$L,$G585,BASE!$J:$J,$C585,BASE!$A:$A,P$2)</f>
        <v>1</v>
      </c>
      <c r="Q585" s="12">
        <f>SUMIFS(BASE!$G:$G,BASE!$B:$B,$B585,BASE!$L:$L,$G585,BASE!$J:$J,$C585,BASE!$A:$A,Q$2)</f>
        <v>2</v>
      </c>
      <c r="R585" s="12">
        <f>SUMIFS(BASE!$G:$G,BASE!$B:$B,$B585,BASE!$L:$L,$G585,BASE!$J:$J,$C585,BASE!$A:$A,R$2)</f>
        <v>9</v>
      </c>
      <c r="S585" s="12">
        <f>SUMIFS(BASE!$G:$G,BASE!$B:$B,$B585,BASE!$L:$L,$G585,BASE!$J:$J,$C585,BASE!$A:$A,S$2)</f>
        <v>0</v>
      </c>
      <c r="T585" s="12">
        <f>SUMIFS(BASE!$G:$G,BASE!$B:$B,$B585,BASE!$L:$L,$G585,BASE!$J:$J,$C585,BASE!$A:$A,T$2)</f>
        <v>0</v>
      </c>
      <c r="U585" s="12">
        <f>SUMIFS(BASE!$G:$G,BASE!$B:$B,$B585,BASE!$L:$L,$G585,BASE!$J:$J,$C585,BASE!$A:$A,U$2)</f>
        <v>0</v>
      </c>
      <c r="V585" s="12">
        <f>SUMIFS(BASE!$G:$G,BASE!$B:$B,$B585,BASE!$L:$L,$G585,BASE!$J:$J,$C585,BASE!$A:$A,V$2)</f>
        <v>0</v>
      </c>
      <c r="X585" t="str">
        <f t="shared" si="19"/>
        <v>COM TROCAS</v>
      </c>
    </row>
    <row r="586" spans="2:24">
      <c r="B586" s="8" t="s">
        <v>1293</v>
      </c>
      <c r="C586" s="9" t="s">
        <v>232</v>
      </c>
      <c r="D586" s="9" t="s">
        <v>1187</v>
      </c>
      <c r="E586" s="9" t="s">
        <v>1147</v>
      </c>
      <c r="F586" s="9" t="s">
        <v>1188</v>
      </c>
      <c r="G586" s="9" t="s">
        <v>55</v>
      </c>
      <c r="H586" s="7" t="str">
        <f>IFERROR(IF(_xlfn.XLOOKUP(B586,REPASSE!D:D,REPASSE!D:D)="","Não","Sim"),"Não")</f>
        <v>Não</v>
      </c>
      <c r="I586" s="7" t="str">
        <f>IF(_xlfn.XLOOKUP(B586,'BOOST LIBERADO'!B:B,'BOOST LIBERADO'!B:B,"Não")="Não","Não","Sim")</f>
        <v>Sim</v>
      </c>
      <c r="J586" s="83" t="str">
        <f t="shared" si="18"/>
        <v>Sim</v>
      </c>
      <c r="K586" s="12">
        <f>SUMIFS(BASE!$G:$G,BASE!$B:$B,$B586,BASE!$L:$L,$G586,BASE!$J:$J,$C586,BASE!$A:$A,K$2)</f>
        <v>0</v>
      </c>
      <c r="L586" s="12">
        <f>SUMIFS(BASE!$G:$G,BASE!$B:$B,$B586,BASE!$L:$L,$G586,BASE!$J:$J,$C586,BASE!$A:$A,L$2)</f>
        <v>0</v>
      </c>
      <c r="M586" s="12">
        <f>SUMIFS(BASE!$G:$G,BASE!$B:$B,$B586,BASE!$L:$L,$G586,BASE!$J:$J,$C586,BASE!$A:$A,M$2)</f>
        <v>0</v>
      </c>
      <c r="N586" s="12">
        <f>SUMIFS(BASE!$G:$G,BASE!$B:$B,$B586,BASE!$L:$L,$G586,BASE!$J:$J,$C586,BASE!$A:$A,N$2)</f>
        <v>0</v>
      </c>
      <c r="O586" s="12">
        <f>SUMIFS(BASE!$G:$G,BASE!$B:$B,$B586,BASE!$L:$L,$G586,BASE!$J:$J,$C586,BASE!$A:$A,O$2)</f>
        <v>0</v>
      </c>
      <c r="P586" s="12">
        <f>SUMIFS(BASE!$G:$G,BASE!$B:$B,$B586,BASE!$L:$L,$G586,BASE!$J:$J,$C586,BASE!$A:$A,P$2)</f>
        <v>0</v>
      </c>
      <c r="Q586" s="12">
        <f>SUMIFS(BASE!$G:$G,BASE!$B:$B,$B586,BASE!$L:$L,$G586,BASE!$J:$J,$C586,BASE!$A:$A,Q$2)</f>
        <v>6</v>
      </c>
      <c r="R586" s="12">
        <f>SUMIFS(BASE!$G:$G,BASE!$B:$B,$B586,BASE!$L:$L,$G586,BASE!$J:$J,$C586,BASE!$A:$A,R$2)</f>
        <v>1</v>
      </c>
      <c r="S586" s="12">
        <f>SUMIFS(BASE!$G:$G,BASE!$B:$B,$B586,BASE!$L:$L,$G586,BASE!$J:$J,$C586,BASE!$A:$A,S$2)</f>
        <v>0</v>
      </c>
      <c r="T586" s="12">
        <f>SUMIFS(BASE!$G:$G,BASE!$B:$B,$B586,BASE!$L:$L,$G586,BASE!$J:$J,$C586,BASE!$A:$A,T$2)</f>
        <v>0</v>
      </c>
      <c r="U586" s="12">
        <f>SUMIFS(BASE!$G:$G,BASE!$B:$B,$B586,BASE!$L:$L,$G586,BASE!$J:$J,$C586,BASE!$A:$A,U$2)</f>
        <v>0</v>
      </c>
      <c r="V586" s="12">
        <f>SUMIFS(BASE!$G:$G,BASE!$B:$B,$B586,BASE!$L:$L,$G586,BASE!$J:$J,$C586,BASE!$A:$A,V$2)</f>
        <v>0</v>
      </c>
      <c r="X586" t="str">
        <f t="shared" si="19"/>
        <v>COM TROCAS</v>
      </c>
    </row>
    <row r="587" spans="2:24">
      <c r="B587" s="8" t="s">
        <v>1294</v>
      </c>
      <c r="C587" s="9" t="s">
        <v>234</v>
      </c>
      <c r="D587" s="9" t="s">
        <v>1192</v>
      </c>
      <c r="E587" s="9" t="s">
        <v>1193</v>
      </c>
      <c r="F587" s="9" t="s">
        <v>1295</v>
      </c>
      <c r="G587" s="9" t="s">
        <v>55</v>
      </c>
      <c r="H587" s="7" t="str">
        <f>IFERROR(IF(_xlfn.XLOOKUP(B587,REPASSE!D:D,REPASSE!D:D)="","Não","Sim"),"Não")</f>
        <v>Não</v>
      </c>
      <c r="I587" s="7" t="str">
        <f>IF(_xlfn.XLOOKUP(B587,'BOOST LIBERADO'!B:B,'BOOST LIBERADO'!B:B,"Não")="Não","Não","Sim")</f>
        <v>Sim</v>
      </c>
      <c r="J587" s="83" t="str">
        <f t="shared" si="18"/>
        <v>Sim</v>
      </c>
      <c r="K587" s="12">
        <f>SUMIFS(BASE!$G:$G,BASE!$B:$B,$B587,BASE!$L:$L,$G587,BASE!$J:$J,$C587,BASE!$A:$A,K$2)</f>
        <v>0</v>
      </c>
      <c r="L587" s="12">
        <f>SUMIFS(BASE!$G:$G,BASE!$B:$B,$B587,BASE!$L:$L,$G587,BASE!$J:$J,$C587,BASE!$A:$A,L$2)</f>
        <v>0</v>
      </c>
      <c r="M587" s="12">
        <f>SUMIFS(BASE!$G:$G,BASE!$B:$B,$B587,BASE!$L:$L,$G587,BASE!$J:$J,$C587,BASE!$A:$A,M$2)</f>
        <v>0</v>
      </c>
      <c r="N587" s="12">
        <f>SUMIFS(BASE!$G:$G,BASE!$B:$B,$B587,BASE!$L:$L,$G587,BASE!$J:$J,$C587,BASE!$A:$A,N$2)</f>
        <v>0</v>
      </c>
      <c r="O587" s="12">
        <f>SUMIFS(BASE!$G:$G,BASE!$B:$B,$B587,BASE!$L:$L,$G587,BASE!$J:$J,$C587,BASE!$A:$A,O$2)</f>
        <v>0</v>
      </c>
      <c r="P587" s="12">
        <f>SUMIFS(BASE!$G:$G,BASE!$B:$B,$B587,BASE!$L:$L,$G587,BASE!$J:$J,$C587,BASE!$A:$A,P$2)</f>
        <v>0</v>
      </c>
      <c r="Q587" s="12">
        <f>SUMIFS(BASE!$G:$G,BASE!$B:$B,$B587,BASE!$L:$L,$G587,BASE!$J:$J,$C587,BASE!$A:$A,Q$2)</f>
        <v>0</v>
      </c>
      <c r="R587" s="12">
        <f>SUMIFS(BASE!$G:$G,BASE!$B:$B,$B587,BASE!$L:$L,$G587,BASE!$J:$J,$C587,BASE!$A:$A,R$2)</f>
        <v>1</v>
      </c>
      <c r="S587" s="12">
        <f>SUMIFS(BASE!$G:$G,BASE!$B:$B,$B587,BASE!$L:$L,$G587,BASE!$J:$J,$C587,BASE!$A:$A,S$2)</f>
        <v>0</v>
      </c>
      <c r="T587" s="12">
        <f>SUMIFS(BASE!$G:$G,BASE!$B:$B,$B587,BASE!$L:$L,$G587,BASE!$J:$J,$C587,BASE!$A:$A,T$2)</f>
        <v>0</v>
      </c>
      <c r="U587" s="12">
        <f>SUMIFS(BASE!$G:$G,BASE!$B:$B,$B587,BASE!$L:$L,$G587,BASE!$J:$J,$C587,BASE!$A:$A,U$2)</f>
        <v>0</v>
      </c>
      <c r="V587" s="12">
        <f>SUMIFS(BASE!$G:$G,BASE!$B:$B,$B587,BASE!$L:$L,$G587,BASE!$J:$J,$C587,BASE!$A:$A,V$2)</f>
        <v>0</v>
      </c>
      <c r="X587" t="str">
        <f t="shared" si="19"/>
        <v>COM TROCAS</v>
      </c>
    </row>
    <row r="588" spans="2:24">
      <c r="B588" s="8" t="s">
        <v>1296</v>
      </c>
      <c r="C588" s="9" t="s">
        <v>237</v>
      </c>
      <c r="D588" s="9" t="s">
        <v>1198</v>
      </c>
      <c r="E588" s="9" t="s">
        <v>1141</v>
      </c>
      <c r="F588" s="9" t="s">
        <v>1142</v>
      </c>
      <c r="G588" s="9" t="s">
        <v>55</v>
      </c>
      <c r="H588" s="7" t="str">
        <f>IFERROR(IF(_xlfn.XLOOKUP(B588,REPASSE!D:D,REPASSE!D:D)="","Não","Sim"),"Não")</f>
        <v>Não</v>
      </c>
      <c r="I588" s="7" t="str">
        <f>IF(_xlfn.XLOOKUP(B588,'BOOST LIBERADO'!B:B,'BOOST LIBERADO'!B:B,"Não")="Não","Não","Sim")</f>
        <v>Sim</v>
      </c>
      <c r="J588" s="83" t="str">
        <f t="shared" si="18"/>
        <v>Sim</v>
      </c>
      <c r="K588" s="12">
        <f>SUMIFS(BASE!$G:$G,BASE!$B:$B,$B588,BASE!$L:$L,$G588,BASE!$J:$J,$C588,BASE!$A:$A,K$2)</f>
        <v>0</v>
      </c>
      <c r="L588" s="12">
        <f>SUMIFS(BASE!$G:$G,BASE!$B:$B,$B588,BASE!$L:$L,$G588,BASE!$J:$J,$C588,BASE!$A:$A,L$2)</f>
        <v>0</v>
      </c>
      <c r="M588" s="12">
        <f>SUMIFS(BASE!$G:$G,BASE!$B:$B,$B588,BASE!$L:$L,$G588,BASE!$J:$J,$C588,BASE!$A:$A,M$2)</f>
        <v>0</v>
      </c>
      <c r="N588" s="12">
        <f>SUMIFS(BASE!$G:$G,BASE!$B:$B,$B588,BASE!$L:$L,$G588,BASE!$J:$J,$C588,BASE!$A:$A,N$2)</f>
        <v>3</v>
      </c>
      <c r="O588" s="12">
        <f>SUMIFS(BASE!$G:$G,BASE!$B:$B,$B588,BASE!$L:$L,$G588,BASE!$J:$J,$C588,BASE!$A:$A,O$2)</f>
        <v>0</v>
      </c>
      <c r="P588" s="12">
        <f>SUMIFS(BASE!$G:$G,BASE!$B:$B,$B588,BASE!$L:$L,$G588,BASE!$J:$J,$C588,BASE!$A:$A,P$2)</f>
        <v>0</v>
      </c>
      <c r="Q588" s="12">
        <f>SUMIFS(BASE!$G:$G,BASE!$B:$B,$B588,BASE!$L:$L,$G588,BASE!$J:$J,$C588,BASE!$A:$A,Q$2)</f>
        <v>0</v>
      </c>
      <c r="R588" s="12">
        <f>SUMIFS(BASE!$G:$G,BASE!$B:$B,$B588,BASE!$L:$L,$G588,BASE!$J:$J,$C588,BASE!$A:$A,R$2)</f>
        <v>1</v>
      </c>
      <c r="S588" s="12">
        <f>SUMIFS(BASE!$G:$G,BASE!$B:$B,$B588,BASE!$L:$L,$G588,BASE!$J:$J,$C588,BASE!$A:$A,S$2)</f>
        <v>0</v>
      </c>
      <c r="T588" s="12">
        <f>SUMIFS(BASE!$G:$G,BASE!$B:$B,$B588,BASE!$L:$L,$G588,BASE!$J:$J,$C588,BASE!$A:$A,T$2)</f>
        <v>0</v>
      </c>
      <c r="U588" s="12">
        <f>SUMIFS(BASE!$G:$G,BASE!$B:$B,$B588,BASE!$L:$L,$G588,BASE!$J:$J,$C588,BASE!$A:$A,U$2)</f>
        <v>0</v>
      </c>
      <c r="V588" s="12">
        <f>SUMIFS(BASE!$G:$G,BASE!$B:$B,$B588,BASE!$L:$L,$G588,BASE!$J:$J,$C588,BASE!$A:$A,V$2)</f>
        <v>0</v>
      </c>
      <c r="X588" t="str">
        <f t="shared" si="19"/>
        <v>COM TROCAS</v>
      </c>
    </row>
    <row r="589" spans="2:24">
      <c r="B589" s="8" t="s">
        <v>1297</v>
      </c>
      <c r="C589" s="9" t="s">
        <v>138</v>
      </c>
      <c r="D589" s="9" t="s">
        <v>1154</v>
      </c>
      <c r="E589" s="9" t="s">
        <v>1147</v>
      </c>
      <c r="F589" s="9" t="s">
        <v>1298</v>
      </c>
      <c r="G589" s="9" t="s">
        <v>55</v>
      </c>
      <c r="H589" s="7" t="str">
        <f>IFERROR(IF(_xlfn.XLOOKUP(B589,REPASSE!D:D,REPASSE!D:D)="","Não","Sim"),"Não")</f>
        <v>Não</v>
      </c>
      <c r="I589" s="7" t="str">
        <f>IF(_xlfn.XLOOKUP(B589,'BOOST LIBERADO'!B:B,'BOOST LIBERADO'!B:B,"Não")="Não","Não","Sim")</f>
        <v>Sim</v>
      </c>
      <c r="J589" s="83" t="str">
        <f t="shared" si="18"/>
        <v>Sim</v>
      </c>
      <c r="K589" s="12">
        <f>SUMIFS(BASE!$G:$G,BASE!$B:$B,$B589,BASE!$L:$L,$G589,BASE!$J:$J,$C589,BASE!$A:$A,K$2)</f>
        <v>0</v>
      </c>
      <c r="L589" s="12">
        <f>SUMIFS(BASE!$G:$G,BASE!$B:$B,$B589,BASE!$L:$L,$G589,BASE!$J:$J,$C589,BASE!$A:$A,L$2)</f>
        <v>0</v>
      </c>
      <c r="M589" s="12">
        <f>SUMIFS(BASE!$G:$G,BASE!$B:$B,$B589,BASE!$L:$L,$G589,BASE!$J:$J,$C589,BASE!$A:$A,M$2)</f>
        <v>0</v>
      </c>
      <c r="N589" s="12">
        <f>SUMIFS(BASE!$G:$G,BASE!$B:$B,$B589,BASE!$L:$L,$G589,BASE!$J:$J,$C589,BASE!$A:$A,N$2)</f>
        <v>0</v>
      </c>
      <c r="O589" s="12">
        <f>SUMIFS(BASE!$G:$G,BASE!$B:$B,$B589,BASE!$L:$L,$G589,BASE!$J:$J,$C589,BASE!$A:$A,O$2)</f>
        <v>0</v>
      </c>
      <c r="P589" s="12">
        <f>SUMIFS(BASE!$G:$G,BASE!$B:$B,$B589,BASE!$L:$L,$G589,BASE!$J:$J,$C589,BASE!$A:$A,P$2)</f>
        <v>0</v>
      </c>
      <c r="Q589" s="12">
        <f>SUMIFS(BASE!$G:$G,BASE!$B:$B,$B589,BASE!$L:$L,$G589,BASE!$J:$J,$C589,BASE!$A:$A,Q$2)</f>
        <v>0</v>
      </c>
      <c r="R589" s="12">
        <f>SUMIFS(BASE!$G:$G,BASE!$B:$B,$B589,BASE!$L:$L,$G589,BASE!$J:$J,$C589,BASE!$A:$A,R$2)</f>
        <v>0</v>
      </c>
      <c r="S589" s="12">
        <f>SUMIFS(BASE!$G:$G,BASE!$B:$B,$B589,BASE!$L:$L,$G589,BASE!$J:$J,$C589,BASE!$A:$A,S$2)</f>
        <v>0</v>
      </c>
      <c r="T589" s="12">
        <f>SUMIFS(BASE!$G:$G,BASE!$B:$B,$B589,BASE!$L:$L,$G589,BASE!$J:$J,$C589,BASE!$A:$A,T$2)</f>
        <v>0</v>
      </c>
      <c r="U589" s="12">
        <f>SUMIFS(BASE!$G:$G,BASE!$B:$B,$B589,BASE!$L:$L,$G589,BASE!$J:$J,$C589,BASE!$A:$A,U$2)</f>
        <v>0</v>
      </c>
      <c r="V589" s="12">
        <f>SUMIFS(BASE!$G:$G,BASE!$B:$B,$B589,BASE!$L:$L,$G589,BASE!$J:$J,$C589,BASE!$A:$A,V$2)</f>
        <v>0</v>
      </c>
      <c r="X589" t="str">
        <f t="shared" si="19"/>
        <v>ZERADO</v>
      </c>
    </row>
    <row r="590" spans="2:24">
      <c r="B590" s="8" t="s">
        <v>1299</v>
      </c>
      <c r="C590" s="9" t="s">
        <v>86</v>
      </c>
      <c r="D590" s="9" t="s">
        <v>1300</v>
      </c>
      <c r="E590" s="9" t="s">
        <v>1301</v>
      </c>
      <c r="F590" s="9" t="s">
        <v>1302</v>
      </c>
      <c r="G590" s="9" t="s">
        <v>53</v>
      </c>
      <c r="H590" s="7" t="str">
        <f>IFERROR(IF(_xlfn.XLOOKUP(B590,REPASSE!D:D,REPASSE!D:D)="","Não","Sim"),"Não")</f>
        <v>Não</v>
      </c>
      <c r="I590" s="7" t="str">
        <f>IF(_xlfn.XLOOKUP(B590,'BOOST LIBERADO'!B:B,'BOOST LIBERADO'!B:B,"Não")="Não","Não","Sim")</f>
        <v>Sim</v>
      </c>
      <c r="J590" s="83" t="str">
        <f t="shared" si="18"/>
        <v>Sim</v>
      </c>
      <c r="K590" s="12">
        <f>SUMIFS(BASE!$G:$G,BASE!$B:$B,$B590,BASE!$L:$L,$G590,BASE!$J:$J,$C590,BASE!$A:$A,K$2)</f>
        <v>0</v>
      </c>
      <c r="L590" s="12">
        <f>SUMIFS(BASE!$G:$G,BASE!$B:$B,$B590,BASE!$L:$L,$G590,BASE!$J:$J,$C590,BASE!$A:$A,L$2)</f>
        <v>0</v>
      </c>
      <c r="M590" s="12">
        <f>SUMIFS(BASE!$G:$G,BASE!$B:$B,$B590,BASE!$L:$L,$G590,BASE!$J:$J,$C590,BASE!$A:$A,M$2)</f>
        <v>0</v>
      </c>
      <c r="N590" s="12">
        <f>SUMIFS(BASE!$G:$G,BASE!$B:$B,$B590,BASE!$L:$L,$G590,BASE!$J:$J,$C590,BASE!$A:$A,N$2)</f>
        <v>0</v>
      </c>
      <c r="O590" s="12">
        <f>SUMIFS(BASE!$G:$G,BASE!$B:$B,$B590,BASE!$L:$L,$G590,BASE!$J:$J,$C590,BASE!$A:$A,O$2)</f>
        <v>0</v>
      </c>
      <c r="P590" s="12">
        <f>SUMIFS(BASE!$G:$G,BASE!$B:$B,$B590,BASE!$L:$L,$G590,BASE!$J:$J,$C590,BASE!$A:$A,P$2)</f>
        <v>0</v>
      </c>
      <c r="Q590" s="12">
        <f>SUMIFS(BASE!$G:$G,BASE!$B:$B,$B590,BASE!$L:$L,$G590,BASE!$J:$J,$C590,BASE!$A:$A,Q$2)</f>
        <v>0</v>
      </c>
      <c r="R590" s="12">
        <f>SUMIFS(BASE!$G:$G,BASE!$B:$B,$B590,BASE!$L:$L,$G590,BASE!$J:$J,$C590,BASE!$A:$A,R$2)</f>
        <v>0</v>
      </c>
      <c r="S590" s="12">
        <f>SUMIFS(BASE!$G:$G,BASE!$B:$B,$B590,BASE!$L:$L,$G590,BASE!$J:$J,$C590,BASE!$A:$A,S$2)</f>
        <v>0</v>
      </c>
      <c r="T590" s="12">
        <f>SUMIFS(BASE!$G:$G,BASE!$B:$B,$B590,BASE!$L:$L,$G590,BASE!$J:$J,$C590,BASE!$A:$A,T$2)</f>
        <v>0</v>
      </c>
      <c r="U590" s="12">
        <f>SUMIFS(BASE!$G:$G,BASE!$B:$B,$B590,BASE!$L:$L,$G590,BASE!$J:$J,$C590,BASE!$A:$A,U$2)</f>
        <v>0</v>
      </c>
      <c r="V590" s="12">
        <f>SUMIFS(BASE!$G:$G,BASE!$B:$B,$B590,BASE!$L:$L,$G590,BASE!$J:$J,$C590,BASE!$A:$A,V$2)</f>
        <v>0</v>
      </c>
      <c r="X590" t="str">
        <f t="shared" si="19"/>
        <v>ZERADO</v>
      </c>
    </row>
    <row r="591" spans="2:24">
      <c r="B591" s="8" t="s">
        <v>1303</v>
      </c>
      <c r="C591" s="9" t="s">
        <v>87</v>
      </c>
      <c r="D591" s="9" t="s">
        <v>1304</v>
      </c>
      <c r="E591" s="9" t="s">
        <v>1305</v>
      </c>
      <c r="F591" s="9" t="s">
        <v>1306</v>
      </c>
      <c r="G591" s="9" t="s">
        <v>53</v>
      </c>
      <c r="H591" s="7" t="str">
        <f>IFERROR(IF(_xlfn.XLOOKUP(B591,REPASSE!D:D,REPASSE!D:D)="","Não","Sim"),"Não")</f>
        <v>Não</v>
      </c>
      <c r="I591" s="7" t="str">
        <f>IF(_xlfn.XLOOKUP(B591,'BOOST LIBERADO'!B:B,'BOOST LIBERADO'!B:B,"Não")="Não","Não","Sim")</f>
        <v>Sim</v>
      </c>
      <c r="J591" s="83" t="str">
        <f t="shared" si="18"/>
        <v>Sim</v>
      </c>
      <c r="K591" s="12">
        <f>SUMIFS(BASE!$G:$G,BASE!$B:$B,$B591,BASE!$L:$L,$G591,BASE!$J:$J,$C591,BASE!$A:$A,K$2)</f>
        <v>0</v>
      </c>
      <c r="L591" s="12">
        <f>SUMIFS(BASE!$G:$G,BASE!$B:$B,$B591,BASE!$L:$L,$G591,BASE!$J:$J,$C591,BASE!$A:$A,L$2)</f>
        <v>0</v>
      </c>
      <c r="M591" s="12">
        <f>SUMIFS(BASE!$G:$G,BASE!$B:$B,$B591,BASE!$L:$L,$G591,BASE!$J:$J,$C591,BASE!$A:$A,M$2)</f>
        <v>0</v>
      </c>
      <c r="N591" s="12">
        <f>SUMIFS(BASE!$G:$G,BASE!$B:$B,$B591,BASE!$L:$L,$G591,BASE!$J:$J,$C591,BASE!$A:$A,N$2)</f>
        <v>0</v>
      </c>
      <c r="O591" s="12">
        <f>SUMIFS(BASE!$G:$G,BASE!$B:$B,$B591,BASE!$L:$L,$G591,BASE!$J:$J,$C591,BASE!$A:$A,O$2)</f>
        <v>0</v>
      </c>
      <c r="P591" s="12">
        <f>SUMIFS(BASE!$G:$G,BASE!$B:$B,$B591,BASE!$L:$L,$G591,BASE!$J:$J,$C591,BASE!$A:$A,P$2)</f>
        <v>0</v>
      </c>
      <c r="Q591" s="12">
        <f>SUMIFS(BASE!$G:$G,BASE!$B:$B,$B591,BASE!$L:$L,$G591,BASE!$J:$J,$C591,BASE!$A:$A,Q$2)</f>
        <v>0</v>
      </c>
      <c r="R591" s="12">
        <f>SUMIFS(BASE!$G:$G,BASE!$B:$B,$B591,BASE!$L:$L,$G591,BASE!$J:$J,$C591,BASE!$A:$A,R$2)</f>
        <v>0</v>
      </c>
      <c r="S591" s="12">
        <f>SUMIFS(BASE!$G:$G,BASE!$B:$B,$B591,BASE!$L:$L,$G591,BASE!$J:$J,$C591,BASE!$A:$A,S$2)</f>
        <v>0</v>
      </c>
      <c r="T591" s="12">
        <f>SUMIFS(BASE!$G:$G,BASE!$B:$B,$B591,BASE!$L:$L,$G591,BASE!$J:$J,$C591,BASE!$A:$A,T$2)</f>
        <v>0</v>
      </c>
      <c r="U591" s="12">
        <f>SUMIFS(BASE!$G:$G,BASE!$B:$B,$B591,BASE!$L:$L,$G591,BASE!$J:$J,$C591,BASE!$A:$A,U$2)</f>
        <v>0</v>
      </c>
      <c r="V591" s="12">
        <f>SUMIFS(BASE!$G:$G,BASE!$B:$B,$B591,BASE!$L:$L,$G591,BASE!$J:$J,$C591,BASE!$A:$A,V$2)</f>
        <v>0</v>
      </c>
      <c r="X591" t="str">
        <f t="shared" si="19"/>
        <v>ZERADO</v>
      </c>
    </row>
    <row r="592" spans="2:24">
      <c r="B592" s="8" t="s">
        <v>1307</v>
      </c>
      <c r="C592" s="9" t="s">
        <v>105</v>
      </c>
      <c r="D592" s="9" t="s">
        <v>1300</v>
      </c>
      <c r="E592" s="9" t="s">
        <v>1301</v>
      </c>
      <c r="F592" s="9" t="s">
        <v>1308</v>
      </c>
      <c r="G592" s="9" t="s">
        <v>53</v>
      </c>
      <c r="H592" s="7" t="str">
        <f>IFERROR(IF(_xlfn.XLOOKUP(B592,REPASSE!D:D,REPASSE!D:D)="","Não","Sim"),"Não")</f>
        <v>Não</v>
      </c>
      <c r="I592" s="7" t="str">
        <f>IF(_xlfn.XLOOKUP(B592,'BOOST LIBERADO'!B:B,'BOOST LIBERADO'!B:B,"Não")="Não","Não","Sim")</f>
        <v>Sim</v>
      </c>
      <c r="J592" s="83" t="str">
        <f t="shared" si="18"/>
        <v>Sim</v>
      </c>
      <c r="K592" s="12">
        <f>SUMIFS(BASE!$G:$G,BASE!$B:$B,$B592,BASE!$L:$L,$G592,BASE!$J:$J,$C592,BASE!$A:$A,K$2)</f>
        <v>0</v>
      </c>
      <c r="L592" s="12">
        <f>SUMIFS(BASE!$G:$G,BASE!$B:$B,$B592,BASE!$L:$L,$G592,BASE!$J:$J,$C592,BASE!$A:$A,L$2)</f>
        <v>0</v>
      </c>
      <c r="M592" s="12">
        <f>SUMIFS(BASE!$G:$G,BASE!$B:$B,$B592,BASE!$L:$L,$G592,BASE!$J:$J,$C592,BASE!$A:$A,M$2)</f>
        <v>0</v>
      </c>
      <c r="N592" s="12">
        <f>SUMIFS(BASE!$G:$G,BASE!$B:$B,$B592,BASE!$L:$L,$G592,BASE!$J:$J,$C592,BASE!$A:$A,N$2)</f>
        <v>0</v>
      </c>
      <c r="O592" s="12">
        <f>SUMIFS(BASE!$G:$G,BASE!$B:$B,$B592,BASE!$L:$L,$G592,BASE!$J:$J,$C592,BASE!$A:$A,O$2)</f>
        <v>0</v>
      </c>
      <c r="P592" s="12">
        <f>SUMIFS(BASE!$G:$G,BASE!$B:$B,$B592,BASE!$L:$L,$G592,BASE!$J:$J,$C592,BASE!$A:$A,P$2)</f>
        <v>0</v>
      </c>
      <c r="Q592" s="12">
        <f>SUMIFS(BASE!$G:$G,BASE!$B:$B,$B592,BASE!$L:$L,$G592,BASE!$J:$J,$C592,BASE!$A:$A,Q$2)</f>
        <v>0</v>
      </c>
      <c r="R592" s="12">
        <f>SUMIFS(BASE!$G:$G,BASE!$B:$B,$B592,BASE!$L:$L,$G592,BASE!$J:$J,$C592,BASE!$A:$A,R$2)</f>
        <v>0</v>
      </c>
      <c r="S592" s="12">
        <f>SUMIFS(BASE!$G:$G,BASE!$B:$B,$B592,BASE!$L:$L,$G592,BASE!$J:$J,$C592,BASE!$A:$A,S$2)</f>
        <v>0</v>
      </c>
      <c r="T592" s="12">
        <f>SUMIFS(BASE!$G:$G,BASE!$B:$B,$B592,BASE!$L:$L,$G592,BASE!$J:$J,$C592,BASE!$A:$A,T$2)</f>
        <v>0</v>
      </c>
      <c r="U592" s="12">
        <f>SUMIFS(BASE!$G:$G,BASE!$B:$B,$B592,BASE!$L:$L,$G592,BASE!$J:$J,$C592,BASE!$A:$A,U$2)</f>
        <v>0</v>
      </c>
      <c r="V592" s="12">
        <f>SUMIFS(BASE!$G:$G,BASE!$B:$B,$B592,BASE!$L:$L,$G592,BASE!$J:$J,$C592,BASE!$A:$A,V$2)</f>
        <v>0</v>
      </c>
      <c r="X592" t="str">
        <f t="shared" si="19"/>
        <v>ZERADO</v>
      </c>
    </row>
    <row r="593" spans="2:24">
      <c r="B593" s="8" t="s">
        <v>1309</v>
      </c>
      <c r="C593" s="9" t="s">
        <v>105</v>
      </c>
      <c r="D593" s="9" t="s">
        <v>1300</v>
      </c>
      <c r="E593" s="9" t="s">
        <v>1301</v>
      </c>
      <c r="F593" s="9" t="s">
        <v>1310</v>
      </c>
      <c r="G593" s="9" t="s">
        <v>53</v>
      </c>
      <c r="H593" s="7" t="str">
        <f>IFERROR(IF(_xlfn.XLOOKUP(B593,REPASSE!D:D,REPASSE!D:D)="","Não","Sim"),"Não")</f>
        <v>Não</v>
      </c>
      <c r="I593" s="7" t="str">
        <f>IF(_xlfn.XLOOKUP(B593,'BOOST LIBERADO'!B:B,'BOOST LIBERADO'!B:B,"Não")="Não","Não","Sim")</f>
        <v>Sim</v>
      </c>
      <c r="J593" s="83" t="str">
        <f t="shared" si="18"/>
        <v>Sim</v>
      </c>
      <c r="K593" s="12">
        <f>SUMIFS(BASE!$G:$G,BASE!$B:$B,$B593,BASE!$L:$L,$G593,BASE!$J:$J,$C593,BASE!$A:$A,K$2)</f>
        <v>0</v>
      </c>
      <c r="L593" s="12">
        <f>SUMIFS(BASE!$G:$G,BASE!$B:$B,$B593,BASE!$L:$L,$G593,BASE!$J:$J,$C593,BASE!$A:$A,L$2)</f>
        <v>0</v>
      </c>
      <c r="M593" s="12">
        <f>SUMIFS(BASE!$G:$G,BASE!$B:$B,$B593,BASE!$L:$L,$G593,BASE!$J:$J,$C593,BASE!$A:$A,M$2)</f>
        <v>0</v>
      </c>
      <c r="N593" s="12">
        <f>SUMIFS(BASE!$G:$G,BASE!$B:$B,$B593,BASE!$L:$L,$G593,BASE!$J:$J,$C593,BASE!$A:$A,N$2)</f>
        <v>0</v>
      </c>
      <c r="O593" s="12">
        <f>SUMIFS(BASE!$G:$G,BASE!$B:$B,$B593,BASE!$L:$L,$G593,BASE!$J:$J,$C593,BASE!$A:$A,O$2)</f>
        <v>0</v>
      </c>
      <c r="P593" s="12">
        <f>SUMIFS(BASE!$G:$G,BASE!$B:$B,$B593,BASE!$L:$L,$G593,BASE!$J:$J,$C593,BASE!$A:$A,P$2)</f>
        <v>0</v>
      </c>
      <c r="Q593" s="12">
        <f>SUMIFS(BASE!$G:$G,BASE!$B:$B,$B593,BASE!$L:$L,$G593,BASE!$J:$J,$C593,BASE!$A:$A,Q$2)</f>
        <v>0</v>
      </c>
      <c r="R593" s="12">
        <f>SUMIFS(BASE!$G:$G,BASE!$B:$B,$B593,BASE!$L:$L,$G593,BASE!$J:$J,$C593,BASE!$A:$A,R$2)</f>
        <v>0</v>
      </c>
      <c r="S593" s="12">
        <f>SUMIFS(BASE!$G:$G,BASE!$B:$B,$B593,BASE!$L:$L,$G593,BASE!$J:$J,$C593,BASE!$A:$A,S$2)</f>
        <v>0</v>
      </c>
      <c r="T593" s="12">
        <f>SUMIFS(BASE!$G:$G,BASE!$B:$B,$B593,BASE!$L:$L,$G593,BASE!$J:$J,$C593,BASE!$A:$A,T$2)</f>
        <v>0</v>
      </c>
      <c r="U593" s="12">
        <f>SUMIFS(BASE!$G:$G,BASE!$B:$B,$B593,BASE!$L:$L,$G593,BASE!$J:$J,$C593,BASE!$A:$A,U$2)</f>
        <v>0</v>
      </c>
      <c r="V593" s="12">
        <f>SUMIFS(BASE!$G:$G,BASE!$B:$B,$B593,BASE!$L:$L,$G593,BASE!$J:$J,$C593,BASE!$A:$A,V$2)</f>
        <v>0</v>
      </c>
      <c r="X593" t="str">
        <f t="shared" si="19"/>
        <v>ZERADO</v>
      </c>
    </row>
    <row r="594" spans="2:24">
      <c r="B594" s="8" t="s">
        <v>1311</v>
      </c>
      <c r="C594" s="9" t="s">
        <v>105</v>
      </c>
      <c r="D594" s="9" t="s">
        <v>1300</v>
      </c>
      <c r="E594" s="9" t="s">
        <v>1301</v>
      </c>
      <c r="F594" s="9" t="s">
        <v>1308</v>
      </c>
      <c r="G594" s="9" t="s">
        <v>53</v>
      </c>
      <c r="H594" s="7" t="str">
        <f>IFERROR(IF(_xlfn.XLOOKUP(B594,REPASSE!D:D,REPASSE!D:D)="","Não","Sim"),"Não")</f>
        <v>Não</v>
      </c>
      <c r="I594" s="7" t="str">
        <f>IF(_xlfn.XLOOKUP(B594,'BOOST LIBERADO'!B:B,'BOOST LIBERADO'!B:B,"Não")="Não","Não","Sim")</f>
        <v>Sim</v>
      </c>
      <c r="J594" s="83" t="str">
        <f t="shared" si="18"/>
        <v>Sim</v>
      </c>
      <c r="K594" s="12">
        <f>SUMIFS(BASE!$G:$G,BASE!$B:$B,$B594,BASE!$L:$L,$G594,BASE!$J:$J,$C594,BASE!$A:$A,K$2)</f>
        <v>0</v>
      </c>
      <c r="L594" s="12">
        <f>SUMIFS(BASE!$G:$G,BASE!$B:$B,$B594,BASE!$L:$L,$G594,BASE!$J:$J,$C594,BASE!$A:$A,L$2)</f>
        <v>0</v>
      </c>
      <c r="M594" s="12">
        <f>SUMIFS(BASE!$G:$G,BASE!$B:$B,$B594,BASE!$L:$L,$G594,BASE!$J:$J,$C594,BASE!$A:$A,M$2)</f>
        <v>0</v>
      </c>
      <c r="N594" s="12">
        <f>SUMIFS(BASE!$G:$G,BASE!$B:$B,$B594,BASE!$L:$L,$G594,BASE!$J:$J,$C594,BASE!$A:$A,N$2)</f>
        <v>0</v>
      </c>
      <c r="O594" s="12">
        <f>SUMIFS(BASE!$G:$G,BASE!$B:$B,$B594,BASE!$L:$L,$G594,BASE!$J:$J,$C594,BASE!$A:$A,O$2)</f>
        <v>0</v>
      </c>
      <c r="P594" s="12">
        <f>SUMIFS(BASE!$G:$G,BASE!$B:$B,$B594,BASE!$L:$L,$G594,BASE!$J:$J,$C594,BASE!$A:$A,P$2)</f>
        <v>0</v>
      </c>
      <c r="Q594" s="12">
        <f>SUMIFS(BASE!$G:$G,BASE!$B:$B,$B594,BASE!$L:$L,$G594,BASE!$J:$J,$C594,BASE!$A:$A,Q$2)</f>
        <v>0</v>
      </c>
      <c r="R594" s="12">
        <f>SUMIFS(BASE!$G:$G,BASE!$B:$B,$B594,BASE!$L:$L,$G594,BASE!$J:$J,$C594,BASE!$A:$A,R$2)</f>
        <v>0</v>
      </c>
      <c r="S594" s="12">
        <f>SUMIFS(BASE!$G:$G,BASE!$B:$B,$B594,BASE!$L:$L,$G594,BASE!$J:$J,$C594,BASE!$A:$A,S$2)</f>
        <v>0</v>
      </c>
      <c r="T594" s="12">
        <f>SUMIFS(BASE!$G:$G,BASE!$B:$B,$B594,BASE!$L:$L,$G594,BASE!$J:$J,$C594,BASE!$A:$A,T$2)</f>
        <v>0</v>
      </c>
      <c r="U594" s="12">
        <f>SUMIFS(BASE!$G:$G,BASE!$B:$B,$B594,BASE!$L:$L,$G594,BASE!$J:$J,$C594,BASE!$A:$A,U$2)</f>
        <v>0</v>
      </c>
      <c r="V594" s="12">
        <f>SUMIFS(BASE!$G:$G,BASE!$B:$B,$B594,BASE!$L:$L,$G594,BASE!$J:$J,$C594,BASE!$A:$A,V$2)</f>
        <v>0</v>
      </c>
      <c r="X594" t="str">
        <f t="shared" si="19"/>
        <v>ZERADO</v>
      </c>
    </row>
    <row r="595" spans="2:24">
      <c r="B595" s="8" t="s">
        <v>1312</v>
      </c>
      <c r="C595" s="9" t="s">
        <v>105</v>
      </c>
      <c r="D595" s="9" t="s">
        <v>1300</v>
      </c>
      <c r="E595" s="9" t="s">
        <v>1301</v>
      </c>
      <c r="F595" s="9" t="s">
        <v>1313</v>
      </c>
      <c r="G595" s="9" t="s">
        <v>53</v>
      </c>
      <c r="H595" s="7" t="str">
        <f>IFERROR(IF(_xlfn.XLOOKUP(B595,REPASSE!D:D,REPASSE!D:D)="","Não","Sim"),"Não")</f>
        <v>Não</v>
      </c>
      <c r="I595" s="7" t="str">
        <f>IF(_xlfn.XLOOKUP(B595,'BOOST LIBERADO'!B:B,'BOOST LIBERADO'!B:B,"Não")="Não","Não","Sim")</f>
        <v>Sim</v>
      </c>
      <c r="J595" s="83" t="str">
        <f t="shared" si="18"/>
        <v>Sim</v>
      </c>
      <c r="K595" s="12">
        <f>SUMIFS(BASE!$G:$G,BASE!$B:$B,$B595,BASE!$L:$L,$G595,BASE!$J:$J,$C595,BASE!$A:$A,K$2)</f>
        <v>0</v>
      </c>
      <c r="L595" s="12">
        <f>SUMIFS(BASE!$G:$G,BASE!$B:$B,$B595,BASE!$L:$L,$G595,BASE!$J:$J,$C595,BASE!$A:$A,L$2)</f>
        <v>0</v>
      </c>
      <c r="M595" s="12">
        <f>SUMIFS(BASE!$G:$G,BASE!$B:$B,$B595,BASE!$L:$L,$G595,BASE!$J:$J,$C595,BASE!$A:$A,M$2)</f>
        <v>0</v>
      </c>
      <c r="N595" s="12">
        <f>SUMIFS(BASE!$G:$G,BASE!$B:$B,$B595,BASE!$L:$L,$G595,BASE!$J:$J,$C595,BASE!$A:$A,N$2)</f>
        <v>0</v>
      </c>
      <c r="O595" s="12">
        <f>SUMIFS(BASE!$G:$G,BASE!$B:$B,$B595,BASE!$L:$L,$G595,BASE!$J:$J,$C595,BASE!$A:$A,O$2)</f>
        <v>0</v>
      </c>
      <c r="P595" s="12">
        <f>SUMIFS(BASE!$G:$G,BASE!$B:$B,$B595,BASE!$L:$L,$G595,BASE!$J:$J,$C595,BASE!$A:$A,P$2)</f>
        <v>0</v>
      </c>
      <c r="Q595" s="12">
        <f>SUMIFS(BASE!$G:$G,BASE!$B:$B,$B595,BASE!$L:$L,$G595,BASE!$J:$J,$C595,BASE!$A:$A,Q$2)</f>
        <v>0</v>
      </c>
      <c r="R595" s="12">
        <f>SUMIFS(BASE!$G:$G,BASE!$B:$B,$B595,BASE!$L:$L,$G595,BASE!$J:$J,$C595,BASE!$A:$A,R$2)</f>
        <v>0</v>
      </c>
      <c r="S595" s="12">
        <f>SUMIFS(BASE!$G:$G,BASE!$B:$B,$B595,BASE!$L:$L,$G595,BASE!$J:$J,$C595,BASE!$A:$A,S$2)</f>
        <v>0</v>
      </c>
      <c r="T595" s="12">
        <f>SUMIFS(BASE!$G:$G,BASE!$B:$B,$B595,BASE!$L:$L,$G595,BASE!$J:$J,$C595,BASE!$A:$A,T$2)</f>
        <v>0</v>
      </c>
      <c r="U595" s="12">
        <f>SUMIFS(BASE!$G:$G,BASE!$B:$B,$B595,BASE!$L:$L,$G595,BASE!$J:$J,$C595,BASE!$A:$A,U$2)</f>
        <v>0</v>
      </c>
      <c r="V595" s="12">
        <f>SUMIFS(BASE!$G:$G,BASE!$B:$B,$B595,BASE!$L:$L,$G595,BASE!$J:$J,$C595,BASE!$A:$A,V$2)</f>
        <v>0</v>
      </c>
      <c r="X595" t="str">
        <f t="shared" si="19"/>
        <v>ZERADO</v>
      </c>
    </row>
    <row r="596" spans="2:24">
      <c r="B596" s="8" t="s">
        <v>1314</v>
      </c>
      <c r="C596" s="9" t="s">
        <v>105</v>
      </c>
      <c r="D596" s="9" t="s">
        <v>1300</v>
      </c>
      <c r="E596" s="9" t="s">
        <v>1301</v>
      </c>
      <c r="F596" s="9" t="s">
        <v>1310</v>
      </c>
      <c r="G596" s="9" t="s">
        <v>53</v>
      </c>
      <c r="H596" s="7" t="str">
        <f>IFERROR(IF(_xlfn.XLOOKUP(B596,REPASSE!D:D,REPASSE!D:D)="","Não","Sim"),"Não")</f>
        <v>Não</v>
      </c>
      <c r="I596" s="7" t="str">
        <f>IF(_xlfn.XLOOKUP(B596,'BOOST LIBERADO'!B:B,'BOOST LIBERADO'!B:B,"Não")="Não","Não","Sim")</f>
        <v>Sim</v>
      </c>
      <c r="J596" s="83" t="str">
        <f t="shared" si="18"/>
        <v>Sim</v>
      </c>
      <c r="K596" s="12">
        <f>SUMIFS(BASE!$G:$G,BASE!$B:$B,$B596,BASE!$L:$L,$G596,BASE!$J:$J,$C596,BASE!$A:$A,K$2)</f>
        <v>0</v>
      </c>
      <c r="L596" s="12">
        <f>SUMIFS(BASE!$G:$G,BASE!$B:$B,$B596,BASE!$L:$L,$G596,BASE!$J:$J,$C596,BASE!$A:$A,L$2)</f>
        <v>0</v>
      </c>
      <c r="M596" s="12">
        <f>SUMIFS(BASE!$G:$G,BASE!$B:$B,$B596,BASE!$L:$L,$G596,BASE!$J:$J,$C596,BASE!$A:$A,M$2)</f>
        <v>0</v>
      </c>
      <c r="N596" s="12">
        <f>SUMIFS(BASE!$G:$G,BASE!$B:$B,$B596,BASE!$L:$L,$G596,BASE!$J:$J,$C596,BASE!$A:$A,N$2)</f>
        <v>0</v>
      </c>
      <c r="O596" s="12">
        <f>SUMIFS(BASE!$G:$G,BASE!$B:$B,$B596,BASE!$L:$L,$G596,BASE!$J:$J,$C596,BASE!$A:$A,O$2)</f>
        <v>0</v>
      </c>
      <c r="P596" s="12">
        <f>SUMIFS(BASE!$G:$G,BASE!$B:$B,$B596,BASE!$L:$L,$G596,BASE!$J:$J,$C596,BASE!$A:$A,P$2)</f>
        <v>0</v>
      </c>
      <c r="Q596" s="12">
        <f>SUMIFS(BASE!$G:$G,BASE!$B:$B,$B596,BASE!$L:$L,$G596,BASE!$J:$J,$C596,BASE!$A:$A,Q$2)</f>
        <v>0</v>
      </c>
      <c r="R596" s="12">
        <f>SUMIFS(BASE!$G:$G,BASE!$B:$B,$B596,BASE!$L:$L,$G596,BASE!$J:$J,$C596,BASE!$A:$A,R$2)</f>
        <v>0</v>
      </c>
      <c r="S596" s="12">
        <f>SUMIFS(BASE!$G:$G,BASE!$B:$B,$B596,BASE!$L:$L,$G596,BASE!$J:$J,$C596,BASE!$A:$A,S$2)</f>
        <v>0</v>
      </c>
      <c r="T596" s="12">
        <f>SUMIFS(BASE!$G:$G,BASE!$B:$B,$B596,BASE!$L:$L,$G596,BASE!$J:$J,$C596,BASE!$A:$A,T$2)</f>
        <v>0</v>
      </c>
      <c r="U596" s="12">
        <f>SUMIFS(BASE!$G:$G,BASE!$B:$B,$B596,BASE!$L:$L,$G596,BASE!$J:$J,$C596,BASE!$A:$A,U$2)</f>
        <v>0</v>
      </c>
      <c r="V596" s="12">
        <f>SUMIFS(BASE!$G:$G,BASE!$B:$B,$B596,BASE!$L:$L,$G596,BASE!$J:$J,$C596,BASE!$A:$A,V$2)</f>
        <v>0</v>
      </c>
      <c r="X596" t="str">
        <f t="shared" si="19"/>
        <v>ZERADO</v>
      </c>
    </row>
    <row r="597" spans="2:24">
      <c r="B597" s="8" t="s">
        <v>1315</v>
      </c>
      <c r="C597" s="9" t="s">
        <v>105</v>
      </c>
      <c r="D597" s="9" t="s">
        <v>1300</v>
      </c>
      <c r="E597" s="9" t="s">
        <v>1301</v>
      </c>
      <c r="F597" s="9" t="s">
        <v>1310</v>
      </c>
      <c r="G597" s="9" t="s">
        <v>53</v>
      </c>
      <c r="H597" s="7" t="str">
        <f>IFERROR(IF(_xlfn.XLOOKUP(B597,REPASSE!D:D,REPASSE!D:D)="","Não","Sim"),"Não")</f>
        <v>Não</v>
      </c>
      <c r="I597" s="7" t="str">
        <f>IF(_xlfn.XLOOKUP(B597,'BOOST LIBERADO'!B:B,'BOOST LIBERADO'!B:B,"Não")="Não","Não","Sim")</f>
        <v>Sim</v>
      </c>
      <c r="J597" s="83" t="str">
        <f t="shared" si="18"/>
        <v>Sim</v>
      </c>
      <c r="K597" s="12">
        <f>SUMIFS(BASE!$G:$G,BASE!$B:$B,$B597,BASE!$L:$L,$G597,BASE!$J:$J,$C597,BASE!$A:$A,K$2)</f>
        <v>0</v>
      </c>
      <c r="L597" s="12">
        <f>SUMIFS(BASE!$G:$G,BASE!$B:$B,$B597,BASE!$L:$L,$G597,BASE!$J:$J,$C597,BASE!$A:$A,L$2)</f>
        <v>0</v>
      </c>
      <c r="M597" s="12">
        <f>SUMIFS(BASE!$G:$G,BASE!$B:$B,$B597,BASE!$L:$L,$G597,BASE!$J:$J,$C597,BASE!$A:$A,M$2)</f>
        <v>0</v>
      </c>
      <c r="N597" s="12">
        <f>SUMIFS(BASE!$G:$G,BASE!$B:$B,$B597,BASE!$L:$L,$G597,BASE!$J:$J,$C597,BASE!$A:$A,N$2)</f>
        <v>0</v>
      </c>
      <c r="O597" s="12">
        <f>SUMIFS(BASE!$G:$G,BASE!$B:$B,$B597,BASE!$L:$L,$G597,BASE!$J:$J,$C597,BASE!$A:$A,O$2)</f>
        <v>0</v>
      </c>
      <c r="P597" s="12">
        <f>SUMIFS(BASE!$G:$G,BASE!$B:$B,$B597,BASE!$L:$L,$G597,BASE!$J:$J,$C597,BASE!$A:$A,P$2)</f>
        <v>0</v>
      </c>
      <c r="Q597" s="12">
        <f>SUMIFS(BASE!$G:$G,BASE!$B:$B,$B597,BASE!$L:$L,$G597,BASE!$J:$J,$C597,BASE!$A:$A,Q$2)</f>
        <v>0</v>
      </c>
      <c r="R597" s="12">
        <f>SUMIFS(BASE!$G:$G,BASE!$B:$B,$B597,BASE!$L:$L,$G597,BASE!$J:$J,$C597,BASE!$A:$A,R$2)</f>
        <v>0</v>
      </c>
      <c r="S597" s="12">
        <f>SUMIFS(BASE!$G:$G,BASE!$B:$B,$B597,BASE!$L:$L,$G597,BASE!$J:$J,$C597,BASE!$A:$A,S$2)</f>
        <v>0</v>
      </c>
      <c r="T597" s="12">
        <f>SUMIFS(BASE!$G:$G,BASE!$B:$B,$B597,BASE!$L:$L,$G597,BASE!$J:$J,$C597,BASE!$A:$A,T$2)</f>
        <v>0</v>
      </c>
      <c r="U597" s="12">
        <f>SUMIFS(BASE!$G:$G,BASE!$B:$B,$B597,BASE!$L:$L,$G597,BASE!$J:$J,$C597,BASE!$A:$A,U$2)</f>
        <v>0</v>
      </c>
      <c r="V597" s="12">
        <f>SUMIFS(BASE!$G:$G,BASE!$B:$B,$B597,BASE!$L:$L,$G597,BASE!$J:$J,$C597,BASE!$A:$A,V$2)</f>
        <v>0</v>
      </c>
      <c r="X597" t="str">
        <f t="shared" si="19"/>
        <v>ZERADO</v>
      </c>
    </row>
    <row r="598" spans="2:24">
      <c r="B598" s="8" t="s">
        <v>1316</v>
      </c>
      <c r="C598" s="9" t="s">
        <v>105</v>
      </c>
      <c r="D598" s="9" t="s">
        <v>1300</v>
      </c>
      <c r="E598" s="9" t="s">
        <v>1301</v>
      </c>
      <c r="F598" s="9" t="s">
        <v>1317</v>
      </c>
      <c r="G598" s="9" t="s">
        <v>53</v>
      </c>
      <c r="H598" s="7" t="str">
        <f>IFERROR(IF(_xlfn.XLOOKUP(B598,REPASSE!D:D,REPASSE!D:D)="","Não","Sim"),"Não")</f>
        <v>Não</v>
      </c>
      <c r="I598" s="7" t="str">
        <f>IF(_xlfn.XLOOKUP(B598,'BOOST LIBERADO'!B:B,'BOOST LIBERADO'!B:B,"Não")="Não","Não","Sim")</f>
        <v>Sim</v>
      </c>
      <c r="J598" s="83" t="str">
        <f t="shared" si="18"/>
        <v>Sim</v>
      </c>
      <c r="K598" s="12">
        <f>SUMIFS(BASE!$G:$G,BASE!$B:$B,$B598,BASE!$L:$L,$G598,BASE!$J:$J,$C598,BASE!$A:$A,K$2)</f>
        <v>0</v>
      </c>
      <c r="L598" s="12">
        <f>SUMIFS(BASE!$G:$G,BASE!$B:$B,$B598,BASE!$L:$L,$G598,BASE!$J:$J,$C598,BASE!$A:$A,L$2)</f>
        <v>0</v>
      </c>
      <c r="M598" s="12">
        <f>SUMIFS(BASE!$G:$G,BASE!$B:$B,$B598,BASE!$L:$L,$G598,BASE!$J:$J,$C598,BASE!$A:$A,M$2)</f>
        <v>0</v>
      </c>
      <c r="N598" s="12">
        <f>SUMIFS(BASE!$G:$G,BASE!$B:$B,$B598,BASE!$L:$L,$G598,BASE!$J:$J,$C598,BASE!$A:$A,N$2)</f>
        <v>0</v>
      </c>
      <c r="O598" s="12">
        <f>SUMIFS(BASE!$G:$G,BASE!$B:$B,$B598,BASE!$L:$L,$G598,BASE!$J:$J,$C598,BASE!$A:$A,O$2)</f>
        <v>0</v>
      </c>
      <c r="P598" s="12">
        <f>SUMIFS(BASE!$G:$G,BASE!$B:$B,$B598,BASE!$L:$L,$G598,BASE!$J:$J,$C598,BASE!$A:$A,P$2)</f>
        <v>0</v>
      </c>
      <c r="Q598" s="12">
        <f>SUMIFS(BASE!$G:$G,BASE!$B:$B,$B598,BASE!$L:$L,$G598,BASE!$J:$J,$C598,BASE!$A:$A,Q$2)</f>
        <v>0</v>
      </c>
      <c r="R598" s="12">
        <f>SUMIFS(BASE!$G:$G,BASE!$B:$B,$B598,BASE!$L:$L,$G598,BASE!$J:$J,$C598,BASE!$A:$A,R$2)</f>
        <v>0</v>
      </c>
      <c r="S598" s="12">
        <f>SUMIFS(BASE!$G:$G,BASE!$B:$B,$B598,BASE!$L:$L,$G598,BASE!$J:$J,$C598,BASE!$A:$A,S$2)</f>
        <v>0</v>
      </c>
      <c r="T598" s="12">
        <f>SUMIFS(BASE!$G:$G,BASE!$B:$B,$B598,BASE!$L:$L,$G598,BASE!$J:$J,$C598,BASE!$A:$A,T$2)</f>
        <v>0</v>
      </c>
      <c r="U598" s="12">
        <f>SUMIFS(BASE!$G:$G,BASE!$B:$B,$B598,BASE!$L:$L,$G598,BASE!$J:$J,$C598,BASE!$A:$A,U$2)</f>
        <v>0</v>
      </c>
      <c r="V598" s="12">
        <f>SUMIFS(BASE!$G:$G,BASE!$B:$B,$B598,BASE!$L:$L,$G598,BASE!$J:$J,$C598,BASE!$A:$A,V$2)</f>
        <v>0</v>
      </c>
      <c r="X598" t="str">
        <f t="shared" si="19"/>
        <v>ZERADO</v>
      </c>
    </row>
    <row r="599" spans="2:24">
      <c r="B599" s="8" t="s">
        <v>1318</v>
      </c>
      <c r="C599" s="9" t="s">
        <v>105</v>
      </c>
      <c r="D599" s="9" t="s">
        <v>1300</v>
      </c>
      <c r="E599" s="9" t="s">
        <v>1301</v>
      </c>
      <c r="F599" s="9" t="s">
        <v>1310</v>
      </c>
      <c r="G599" s="9" t="s">
        <v>53</v>
      </c>
      <c r="H599" s="7" t="str">
        <f>IFERROR(IF(_xlfn.XLOOKUP(B599,REPASSE!D:D,REPASSE!D:D)="","Não","Sim"),"Não")</f>
        <v>Não</v>
      </c>
      <c r="I599" s="7" t="str">
        <f>IF(_xlfn.XLOOKUP(B599,'BOOST LIBERADO'!B:B,'BOOST LIBERADO'!B:B,"Não")="Não","Não","Sim")</f>
        <v>Sim</v>
      </c>
      <c r="J599" s="83" t="str">
        <f t="shared" si="18"/>
        <v>Sim</v>
      </c>
      <c r="K599" s="12">
        <f>SUMIFS(BASE!$G:$G,BASE!$B:$B,$B599,BASE!$L:$L,$G599,BASE!$J:$J,$C599,BASE!$A:$A,K$2)</f>
        <v>0</v>
      </c>
      <c r="L599" s="12">
        <f>SUMIFS(BASE!$G:$G,BASE!$B:$B,$B599,BASE!$L:$L,$G599,BASE!$J:$J,$C599,BASE!$A:$A,L$2)</f>
        <v>0</v>
      </c>
      <c r="M599" s="12">
        <f>SUMIFS(BASE!$G:$G,BASE!$B:$B,$B599,BASE!$L:$L,$G599,BASE!$J:$J,$C599,BASE!$A:$A,M$2)</f>
        <v>0</v>
      </c>
      <c r="N599" s="12">
        <f>SUMIFS(BASE!$G:$G,BASE!$B:$B,$B599,BASE!$L:$L,$G599,BASE!$J:$J,$C599,BASE!$A:$A,N$2)</f>
        <v>0</v>
      </c>
      <c r="O599" s="12">
        <f>SUMIFS(BASE!$G:$G,BASE!$B:$B,$B599,BASE!$L:$L,$G599,BASE!$J:$J,$C599,BASE!$A:$A,O$2)</f>
        <v>0</v>
      </c>
      <c r="P599" s="12">
        <f>SUMIFS(BASE!$G:$G,BASE!$B:$B,$B599,BASE!$L:$L,$G599,BASE!$J:$J,$C599,BASE!$A:$A,P$2)</f>
        <v>0</v>
      </c>
      <c r="Q599" s="12">
        <f>SUMIFS(BASE!$G:$G,BASE!$B:$B,$B599,BASE!$L:$L,$G599,BASE!$J:$J,$C599,BASE!$A:$A,Q$2)</f>
        <v>0</v>
      </c>
      <c r="R599" s="12">
        <f>SUMIFS(BASE!$G:$G,BASE!$B:$B,$B599,BASE!$L:$L,$G599,BASE!$J:$J,$C599,BASE!$A:$A,R$2)</f>
        <v>0</v>
      </c>
      <c r="S599" s="12">
        <f>SUMIFS(BASE!$G:$G,BASE!$B:$B,$B599,BASE!$L:$L,$G599,BASE!$J:$J,$C599,BASE!$A:$A,S$2)</f>
        <v>0</v>
      </c>
      <c r="T599" s="12">
        <f>SUMIFS(BASE!$G:$G,BASE!$B:$B,$B599,BASE!$L:$L,$G599,BASE!$J:$J,$C599,BASE!$A:$A,T$2)</f>
        <v>0</v>
      </c>
      <c r="U599" s="12">
        <f>SUMIFS(BASE!$G:$G,BASE!$B:$B,$B599,BASE!$L:$L,$G599,BASE!$J:$J,$C599,BASE!$A:$A,U$2)</f>
        <v>0</v>
      </c>
      <c r="V599" s="12">
        <f>SUMIFS(BASE!$G:$G,BASE!$B:$B,$B599,BASE!$L:$L,$G599,BASE!$J:$J,$C599,BASE!$A:$A,V$2)</f>
        <v>0</v>
      </c>
      <c r="X599" t="str">
        <f t="shared" si="19"/>
        <v>ZERADO</v>
      </c>
    </row>
    <row r="600" spans="2:24">
      <c r="B600" s="8" t="s">
        <v>1319</v>
      </c>
      <c r="C600" s="9" t="s">
        <v>225</v>
      </c>
      <c r="D600" s="9" t="s">
        <v>1320</v>
      </c>
      <c r="E600" s="9" t="s">
        <v>1321</v>
      </c>
      <c r="F600" s="9" t="s">
        <v>1313</v>
      </c>
      <c r="G600" s="9" t="s">
        <v>53</v>
      </c>
      <c r="H600" s="7" t="str">
        <f>IFERROR(IF(_xlfn.XLOOKUP(B600,REPASSE!D:D,REPASSE!D:D)="","Não","Sim"),"Não")</f>
        <v>Não</v>
      </c>
      <c r="I600" s="7" t="str">
        <f>IF(_xlfn.XLOOKUP(B600,'BOOST LIBERADO'!B:B,'BOOST LIBERADO'!B:B,"Não")="Não","Não","Sim")</f>
        <v>Sim</v>
      </c>
      <c r="J600" s="83" t="str">
        <f t="shared" si="18"/>
        <v>Sim</v>
      </c>
      <c r="K600" s="12">
        <f>SUMIFS(BASE!$G:$G,BASE!$B:$B,$B600,BASE!$L:$L,$G600,BASE!$J:$J,$C600,BASE!$A:$A,K$2)</f>
        <v>7</v>
      </c>
      <c r="L600" s="12">
        <f>SUMIFS(BASE!$G:$G,BASE!$B:$B,$B600,BASE!$L:$L,$G600,BASE!$J:$J,$C600,BASE!$A:$A,L$2)</f>
        <v>5</v>
      </c>
      <c r="M600" s="12">
        <f>SUMIFS(BASE!$G:$G,BASE!$B:$B,$B600,BASE!$L:$L,$G600,BASE!$J:$J,$C600,BASE!$A:$A,M$2)</f>
        <v>12</v>
      </c>
      <c r="N600" s="12">
        <f>SUMIFS(BASE!$G:$G,BASE!$B:$B,$B600,BASE!$L:$L,$G600,BASE!$J:$J,$C600,BASE!$A:$A,N$2)</f>
        <v>7</v>
      </c>
      <c r="O600" s="12">
        <f>SUMIFS(BASE!$G:$G,BASE!$B:$B,$B600,BASE!$L:$L,$G600,BASE!$J:$J,$C600,BASE!$A:$A,O$2)</f>
        <v>10</v>
      </c>
      <c r="P600" s="12">
        <f>SUMIFS(BASE!$G:$G,BASE!$B:$B,$B600,BASE!$L:$L,$G600,BASE!$J:$J,$C600,BASE!$A:$A,P$2)</f>
        <v>16</v>
      </c>
      <c r="Q600" s="12">
        <f>SUMIFS(BASE!$G:$G,BASE!$B:$B,$B600,BASE!$L:$L,$G600,BASE!$J:$J,$C600,BASE!$A:$A,Q$2)</f>
        <v>24</v>
      </c>
      <c r="R600" s="12">
        <f>SUMIFS(BASE!$G:$G,BASE!$B:$B,$B600,BASE!$L:$L,$G600,BASE!$J:$J,$C600,BASE!$A:$A,R$2)</f>
        <v>18</v>
      </c>
      <c r="S600" s="12">
        <f>SUMIFS(BASE!$G:$G,BASE!$B:$B,$B600,BASE!$L:$L,$G600,BASE!$J:$J,$C600,BASE!$A:$A,S$2)</f>
        <v>0</v>
      </c>
      <c r="T600" s="12">
        <f>SUMIFS(BASE!$G:$G,BASE!$B:$B,$B600,BASE!$L:$L,$G600,BASE!$J:$J,$C600,BASE!$A:$A,T$2)</f>
        <v>0</v>
      </c>
      <c r="U600" s="12">
        <f>SUMIFS(BASE!$G:$G,BASE!$B:$B,$B600,BASE!$L:$L,$G600,BASE!$J:$J,$C600,BASE!$A:$A,U$2)</f>
        <v>0</v>
      </c>
      <c r="V600" s="12">
        <f>SUMIFS(BASE!$G:$G,BASE!$B:$B,$B600,BASE!$L:$L,$G600,BASE!$J:$J,$C600,BASE!$A:$A,V$2)</f>
        <v>0</v>
      </c>
      <c r="X600" t="str">
        <f t="shared" si="19"/>
        <v>COM TROCAS</v>
      </c>
    </row>
    <row r="601" spans="2:24">
      <c r="B601" s="8" t="s">
        <v>1322</v>
      </c>
      <c r="C601" s="9" t="s">
        <v>225</v>
      </c>
      <c r="D601" s="9" t="s">
        <v>1323</v>
      </c>
      <c r="E601" s="9" t="s">
        <v>1321</v>
      </c>
      <c r="F601" s="9" t="s">
        <v>1324</v>
      </c>
      <c r="G601" s="9" t="s">
        <v>53</v>
      </c>
      <c r="H601" s="7" t="str">
        <f>IFERROR(IF(_xlfn.XLOOKUP(B601,REPASSE!D:D,REPASSE!D:D)="","Não","Sim"),"Não")</f>
        <v>Não</v>
      </c>
      <c r="I601" s="7" t="str">
        <f>IF(_xlfn.XLOOKUP(B601,'BOOST LIBERADO'!B:B,'BOOST LIBERADO'!B:B,"Não")="Não","Não","Sim")</f>
        <v>Sim</v>
      </c>
      <c r="J601" s="83" t="str">
        <f t="shared" si="18"/>
        <v>Sim</v>
      </c>
      <c r="K601" s="12">
        <f>SUMIFS(BASE!$G:$G,BASE!$B:$B,$B601,BASE!$L:$L,$G601,BASE!$J:$J,$C601,BASE!$A:$A,K$2)</f>
        <v>0</v>
      </c>
      <c r="L601" s="12">
        <f>SUMIFS(BASE!$G:$G,BASE!$B:$B,$B601,BASE!$L:$L,$G601,BASE!$J:$J,$C601,BASE!$A:$A,L$2)</f>
        <v>0</v>
      </c>
      <c r="M601" s="12">
        <f>SUMIFS(BASE!$G:$G,BASE!$B:$B,$B601,BASE!$L:$L,$G601,BASE!$J:$J,$C601,BASE!$A:$A,M$2)</f>
        <v>0</v>
      </c>
      <c r="N601" s="12">
        <f>SUMIFS(BASE!$G:$G,BASE!$B:$B,$B601,BASE!$L:$L,$G601,BASE!$J:$J,$C601,BASE!$A:$A,N$2)</f>
        <v>0</v>
      </c>
      <c r="O601" s="12">
        <f>SUMIFS(BASE!$G:$G,BASE!$B:$B,$B601,BASE!$L:$L,$G601,BASE!$J:$J,$C601,BASE!$A:$A,O$2)</f>
        <v>0</v>
      </c>
      <c r="P601" s="12">
        <f>SUMIFS(BASE!$G:$G,BASE!$B:$B,$B601,BASE!$L:$L,$G601,BASE!$J:$J,$C601,BASE!$A:$A,P$2)</f>
        <v>1</v>
      </c>
      <c r="Q601" s="12">
        <f>SUMIFS(BASE!$G:$G,BASE!$B:$B,$B601,BASE!$L:$L,$G601,BASE!$J:$J,$C601,BASE!$A:$A,Q$2)</f>
        <v>0</v>
      </c>
      <c r="R601" s="12">
        <f>SUMIFS(BASE!$G:$G,BASE!$B:$B,$B601,BASE!$L:$L,$G601,BASE!$J:$J,$C601,BASE!$A:$A,R$2)</f>
        <v>2</v>
      </c>
      <c r="S601" s="12">
        <f>SUMIFS(BASE!$G:$G,BASE!$B:$B,$B601,BASE!$L:$L,$G601,BASE!$J:$J,$C601,BASE!$A:$A,S$2)</f>
        <v>0</v>
      </c>
      <c r="T601" s="12">
        <f>SUMIFS(BASE!$G:$G,BASE!$B:$B,$B601,BASE!$L:$L,$G601,BASE!$J:$J,$C601,BASE!$A:$A,T$2)</f>
        <v>0</v>
      </c>
      <c r="U601" s="12">
        <f>SUMIFS(BASE!$G:$G,BASE!$B:$B,$B601,BASE!$L:$L,$G601,BASE!$J:$J,$C601,BASE!$A:$A,U$2)</f>
        <v>0</v>
      </c>
      <c r="V601" s="12">
        <f>SUMIFS(BASE!$G:$G,BASE!$B:$B,$B601,BASE!$L:$L,$G601,BASE!$J:$J,$C601,BASE!$A:$A,V$2)</f>
        <v>0</v>
      </c>
      <c r="X601" t="str">
        <f t="shared" si="19"/>
        <v>COM TROCAS</v>
      </c>
    </row>
    <row r="602" spans="2:24">
      <c r="B602" s="8" t="s">
        <v>1325</v>
      </c>
      <c r="C602" s="9" t="s">
        <v>225</v>
      </c>
      <c r="D602" s="9" t="s">
        <v>1320</v>
      </c>
      <c r="E602" s="9" t="s">
        <v>1321</v>
      </c>
      <c r="F602" s="9" t="s">
        <v>1313</v>
      </c>
      <c r="G602" s="9" t="s">
        <v>53</v>
      </c>
      <c r="H602" s="7" t="str">
        <f>IFERROR(IF(_xlfn.XLOOKUP(B602,REPASSE!D:D,REPASSE!D:D)="","Não","Sim"),"Não")</f>
        <v>Não</v>
      </c>
      <c r="I602" s="7" t="str">
        <f>IF(_xlfn.XLOOKUP(B602,'BOOST LIBERADO'!B:B,'BOOST LIBERADO'!B:B,"Não")="Não","Não","Sim")</f>
        <v>Sim</v>
      </c>
      <c r="J602" s="83" t="str">
        <f t="shared" si="18"/>
        <v>Sim</v>
      </c>
      <c r="K602" s="12">
        <f>SUMIFS(BASE!$G:$G,BASE!$B:$B,$B602,BASE!$L:$L,$G602,BASE!$J:$J,$C602,BASE!$A:$A,K$2)</f>
        <v>0</v>
      </c>
      <c r="L602" s="12">
        <f>SUMIFS(BASE!$G:$G,BASE!$B:$B,$B602,BASE!$L:$L,$G602,BASE!$J:$J,$C602,BASE!$A:$A,L$2)</f>
        <v>0</v>
      </c>
      <c r="M602" s="12">
        <f>SUMIFS(BASE!$G:$G,BASE!$B:$B,$B602,BASE!$L:$L,$G602,BASE!$J:$J,$C602,BASE!$A:$A,M$2)</f>
        <v>0</v>
      </c>
      <c r="N602" s="12">
        <f>SUMIFS(BASE!$G:$G,BASE!$B:$B,$B602,BASE!$L:$L,$G602,BASE!$J:$J,$C602,BASE!$A:$A,N$2)</f>
        <v>0</v>
      </c>
      <c r="O602" s="12">
        <f>SUMIFS(BASE!$G:$G,BASE!$B:$B,$B602,BASE!$L:$L,$G602,BASE!$J:$J,$C602,BASE!$A:$A,O$2)</f>
        <v>0</v>
      </c>
      <c r="P602" s="12">
        <f>SUMIFS(BASE!$G:$G,BASE!$B:$B,$B602,BASE!$L:$L,$G602,BASE!$J:$J,$C602,BASE!$A:$A,P$2)</f>
        <v>0</v>
      </c>
      <c r="Q602" s="12">
        <f>SUMIFS(BASE!$G:$G,BASE!$B:$B,$B602,BASE!$L:$L,$G602,BASE!$J:$J,$C602,BASE!$A:$A,Q$2)</f>
        <v>1</v>
      </c>
      <c r="R602" s="12">
        <f>SUMIFS(BASE!$G:$G,BASE!$B:$B,$B602,BASE!$L:$L,$G602,BASE!$J:$J,$C602,BASE!$A:$A,R$2)</f>
        <v>1</v>
      </c>
      <c r="S602" s="12">
        <f>SUMIFS(BASE!$G:$G,BASE!$B:$B,$B602,BASE!$L:$L,$G602,BASE!$J:$J,$C602,BASE!$A:$A,S$2)</f>
        <v>0</v>
      </c>
      <c r="T602" s="12">
        <f>SUMIFS(BASE!$G:$G,BASE!$B:$B,$B602,BASE!$L:$L,$G602,BASE!$J:$J,$C602,BASE!$A:$A,T$2)</f>
        <v>0</v>
      </c>
      <c r="U602" s="12">
        <f>SUMIFS(BASE!$G:$G,BASE!$B:$B,$B602,BASE!$L:$L,$G602,BASE!$J:$J,$C602,BASE!$A:$A,U$2)</f>
        <v>0</v>
      </c>
      <c r="V602" s="12">
        <f>SUMIFS(BASE!$G:$G,BASE!$B:$B,$B602,BASE!$L:$L,$G602,BASE!$J:$J,$C602,BASE!$A:$A,V$2)</f>
        <v>0</v>
      </c>
      <c r="X602" t="str">
        <f t="shared" si="19"/>
        <v>COM TROCAS</v>
      </c>
    </row>
    <row r="603" spans="2:24">
      <c r="B603" s="8" t="s">
        <v>1326</v>
      </c>
      <c r="C603" s="9" t="s">
        <v>225</v>
      </c>
      <c r="D603" s="9" t="s">
        <v>1320</v>
      </c>
      <c r="E603" s="9" t="s">
        <v>1321</v>
      </c>
      <c r="F603" s="9" t="s">
        <v>1313</v>
      </c>
      <c r="G603" s="9" t="s">
        <v>53</v>
      </c>
      <c r="H603" s="7" t="str">
        <f>IFERROR(IF(_xlfn.XLOOKUP(B603,REPASSE!D:D,REPASSE!D:D)="","Não","Sim"),"Não")</f>
        <v>Não</v>
      </c>
      <c r="I603" s="7" t="str">
        <f>IF(_xlfn.XLOOKUP(B603,'BOOST LIBERADO'!B:B,'BOOST LIBERADO'!B:B,"Não")="Não","Não","Sim")</f>
        <v>Sim</v>
      </c>
      <c r="J603" s="83" t="str">
        <f t="shared" si="18"/>
        <v>Sim</v>
      </c>
      <c r="K603" s="12">
        <f>SUMIFS(BASE!$G:$G,BASE!$B:$B,$B603,BASE!$L:$L,$G603,BASE!$J:$J,$C603,BASE!$A:$A,K$2)</f>
        <v>0</v>
      </c>
      <c r="L603" s="12">
        <f>SUMIFS(BASE!$G:$G,BASE!$B:$B,$B603,BASE!$L:$L,$G603,BASE!$J:$J,$C603,BASE!$A:$A,L$2)</f>
        <v>1</v>
      </c>
      <c r="M603" s="12">
        <f>SUMIFS(BASE!$G:$G,BASE!$B:$B,$B603,BASE!$L:$L,$G603,BASE!$J:$J,$C603,BASE!$A:$A,M$2)</f>
        <v>0</v>
      </c>
      <c r="N603" s="12">
        <f>SUMIFS(BASE!$G:$G,BASE!$B:$B,$B603,BASE!$L:$L,$G603,BASE!$J:$J,$C603,BASE!$A:$A,N$2)</f>
        <v>2</v>
      </c>
      <c r="O603" s="12">
        <f>SUMIFS(BASE!$G:$G,BASE!$B:$B,$B603,BASE!$L:$L,$G603,BASE!$J:$J,$C603,BASE!$A:$A,O$2)</f>
        <v>3</v>
      </c>
      <c r="P603" s="12">
        <f>SUMIFS(BASE!$G:$G,BASE!$B:$B,$B603,BASE!$L:$L,$G603,BASE!$J:$J,$C603,BASE!$A:$A,P$2)</f>
        <v>1</v>
      </c>
      <c r="Q603" s="12">
        <f>SUMIFS(BASE!$G:$G,BASE!$B:$B,$B603,BASE!$L:$L,$G603,BASE!$J:$J,$C603,BASE!$A:$A,Q$2)</f>
        <v>8</v>
      </c>
      <c r="R603" s="12">
        <f>SUMIFS(BASE!$G:$G,BASE!$B:$B,$B603,BASE!$L:$L,$G603,BASE!$J:$J,$C603,BASE!$A:$A,R$2)</f>
        <v>5</v>
      </c>
      <c r="S603" s="12">
        <f>SUMIFS(BASE!$G:$G,BASE!$B:$B,$B603,BASE!$L:$L,$G603,BASE!$J:$J,$C603,BASE!$A:$A,S$2)</f>
        <v>0</v>
      </c>
      <c r="T603" s="12">
        <f>SUMIFS(BASE!$G:$G,BASE!$B:$B,$B603,BASE!$L:$L,$G603,BASE!$J:$J,$C603,BASE!$A:$A,T$2)</f>
        <v>0</v>
      </c>
      <c r="U603" s="12">
        <f>SUMIFS(BASE!$G:$G,BASE!$B:$B,$B603,BASE!$L:$L,$G603,BASE!$J:$J,$C603,BASE!$A:$A,U$2)</f>
        <v>0</v>
      </c>
      <c r="V603" s="12">
        <f>SUMIFS(BASE!$G:$G,BASE!$B:$B,$B603,BASE!$L:$L,$G603,BASE!$J:$J,$C603,BASE!$A:$A,V$2)</f>
        <v>0</v>
      </c>
      <c r="X603" t="str">
        <f t="shared" si="19"/>
        <v>COM TROCAS</v>
      </c>
    </row>
    <row r="604" spans="2:24">
      <c r="B604" s="8" t="s">
        <v>1327</v>
      </c>
      <c r="C604" s="9" t="s">
        <v>225</v>
      </c>
      <c r="D604" s="9" t="s">
        <v>1328</v>
      </c>
      <c r="E604" s="9" t="s">
        <v>1321</v>
      </c>
      <c r="F604" s="9" t="s">
        <v>1313</v>
      </c>
      <c r="G604" s="9" t="s">
        <v>53</v>
      </c>
      <c r="H604" s="7" t="str">
        <f>IFERROR(IF(_xlfn.XLOOKUP(B604,REPASSE!D:D,REPASSE!D:D)="","Não","Sim"),"Não")</f>
        <v>Não</v>
      </c>
      <c r="I604" s="7" t="str">
        <f>IF(_xlfn.XLOOKUP(B604,'BOOST LIBERADO'!B:B,'BOOST LIBERADO'!B:B,"Não")="Não","Não","Sim")</f>
        <v>Sim</v>
      </c>
      <c r="J604" s="83" t="str">
        <f t="shared" si="18"/>
        <v>Sim</v>
      </c>
      <c r="K604" s="12">
        <f>SUMIFS(BASE!$G:$G,BASE!$B:$B,$B604,BASE!$L:$L,$G604,BASE!$J:$J,$C604,BASE!$A:$A,K$2)</f>
        <v>0</v>
      </c>
      <c r="L604" s="12">
        <f>SUMIFS(BASE!$G:$G,BASE!$B:$B,$B604,BASE!$L:$L,$G604,BASE!$J:$J,$C604,BASE!$A:$A,L$2)</f>
        <v>0</v>
      </c>
      <c r="M604" s="12">
        <f>SUMIFS(BASE!$G:$G,BASE!$B:$B,$B604,BASE!$L:$L,$G604,BASE!$J:$J,$C604,BASE!$A:$A,M$2)</f>
        <v>0</v>
      </c>
      <c r="N604" s="12">
        <f>SUMIFS(BASE!$G:$G,BASE!$B:$B,$B604,BASE!$L:$L,$G604,BASE!$J:$J,$C604,BASE!$A:$A,N$2)</f>
        <v>1</v>
      </c>
      <c r="O604" s="12">
        <f>SUMIFS(BASE!$G:$G,BASE!$B:$B,$B604,BASE!$L:$L,$G604,BASE!$J:$J,$C604,BASE!$A:$A,O$2)</f>
        <v>0</v>
      </c>
      <c r="P604" s="12">
        <f>SUMIFS(BASE!$G:$G,BASE!$B:$B,$B604,BASE!$L:$L,$G604,BASE!$J:$J,$C604,BASE!$A:$A,P$2)</f>
        <v>0</v>
      </c>
      <c r="Q604" s="12">
        <f>SUMIFS(BASE!$G:$G,BASE!$B:$B,$B604,BASE!$L:$L,$G604,BASE!$J:$J,$C604,BASE!$A:$A,Q$2)</f>
        <v>0</v>
      </c>
      <c r="R604" s="12">
        <f>SUMIFS(BASE!$G:$G,BASE!$B:$B,$B604,BASE!$L:$L,$G604,BASE!$J:$J,$C604,BASE!$A:$A,R$2)</f>
        <v>0</v>
      </c>
      <c r="S604" s="12">
        <f>SUMIFS(BASE!$G:$G,BASE!$B:$B,$B604,BASE!$L:$L,$G604,BASE!$J:$J,$C604,BASE!$A:$A,S$2)</f>
        <v>0</v>
      </c>
      <c r="T604" s="12">
        <f>SUMIFS(BASE!$G:$G,BASE!$B:$B,$B604,BASE!$L:$L,$G604,BASE!$J:$J,$C604,BASE!$A:$A,T$2)</f>
        <v>0</v>
      </c>
      <c r="U604" s="12">
        <f>SUMIFS(BASE!$G:$G,BASE!$B:$B,$B604,BASE!$L:$L,$G604,BASE!$J:$J,$C604,BASE!$A:$A,U$2)</f>
        <v>0</v>
      </c>
      <c r="V604" s="12">
        <f>SUMIFS(BASE!$G:$G,BASE!$B:$B,$B604,BASE!$L:$L,$G604,BASE!$J:$J,$C604,BASE!$A:$A,V$2)</f>
        <v>0</v>
      </c>
      <c r="X604" t="str">
        <f t="shared" si="19"/>
        <v>ZERADO</v>
      </c>
    </row>
    <row r="605" spans="2:24">
      <c r="B605" s="8" t="s">
        <v>1329</v>
      </c>
      <c r="C605" s="9" t="s">
        <v>225</v>
      </c>
      <c r="D605" s="9" t="s">
        <v>1323</v>
      </c>
      <c r="E605" s="9" t="s">
        <v>1321</v>
      </c>
      <c r="F605" s="9" t="s">
        <v>1313</v>
      </c>
      <c r="G605" s="9" t="s">
        <v>53</v>
      </c>
      <c r="H605" s="7" t="str">
        <f>IFERROR(IF(_xlfn.XLOOKUP(B605,REPASSE!D:D,REPASSE!D:D)="","Não","Sim"),"Não")</f>
        <v>Não</v>
      </c>
      <c r="I605" s="7" t="str">
        <f>IF(_xlfn.XLOOKUP(B605,'BOOST LIBERADO'!B:B,'BOOST LIBERADO'!B:B,"Não")="Não","Não","Sim")</f>
        <v>Sim</v>
      </c>
      <c r="J605" s="83" t="str">
        <f t="shared" si="18"/>
        <v>Sim</v>
      </c>
      <c r="K605" s="12">
        <f>SUMIFS(BASE!$G:$G,BASE!$B:$B,$B605,BASE!$L:$L,$G605,BASE!$J:$J,$C605,BASE!$A:$A,K$2)</f>
        <v>0</v>
      </c>
      <c r="L605" s="12">
        <f>SUMIFS(BASE!$G:$G,BASE!$B:$B,$B605,BASE!$L:$L,$G605,BASE!$J:$J,$C605,BASE!$A:$A,L$2)</f>
        <v>0</v>
      </c>
      <c r="M605" s="12">
        <f>SUMIFS(BASE!$G:$G,BASE!$B:$B,$B605,BASE!$L:$L,$G605,BASE!$J:$J,$C605,BASE!$A:$A,M$2)</f>
        <v>0</v>
      </c>
      <c r="N605" s="12">
        <f>SUMIFS(BASE!$G:$G,BASE!$B:$B,$B605,BASE!$L:$L,$G605,BASE!$J:$J,$C605,BASE!$A:$A,N$2)</f>
        <v>0</v>
      </c>
      <c r="O605" s="12">
        <f>SUMIFS(BASE!$G:$G,BASE!$B:$B,$B605,BASE!$L:$L,$G605,BASE!$J:$J,$C605,BASE!$A:$A,O$2)</f>
        <v>0</v>
      </c>
      <c r="P605" s="12">
        <f>SUMIFS(BASE!$G:$G,BASE!$B:$B,$B605,BASE!$L:$L,$G605,BASE!$J:$J,$C605,BASE!$A:$A,P$2)</f>
        <v>0</v>
      </c>
      <c r="Q605" s="12">
        <f>SUMIFS(BASE!$G:$G,BASE!$B:$B,$B605,BASE!$L:$L,$G605,BASE!$J:$J,$C605,BASE!$A:$A,Q$2)</f>
        <v>1</v>
      </c>
      <c r="R605" s="12">
        <f>SUMIFS(BASE!$G:$G,BASE!$B:$B,$B605,BASE!$L:$L,$G605,BASE!$J:$J,$C605,BASE!$A:$A,R$2)</f>
        <v>0</v>
      </c>
      <c r="S605" s="12">
        <f>SUMIFS(BASE!$G:$G,BASE!$B:$B,$B605,BASE!$L:$L,$G605,BASE!$J:$J,$C605,BASE!$A:$A,S$2)</f>
        <v>0</v>
      </c>
      <c r="T605" s="12">
        <f>SUMIFS(BASE!$G:$G,BASE!$B:$B,$B605,BASE!$L:$L,$G605,BASE!$J:$J,$C605,BASE!$A:$A,T$2)</f>
        <v>0</v>
      </c>
      <c r="U605" s="12">
        <f>SUMIFS(BASE!$G:$G,BASE!$B:$B,$B605,BASE!$L:$L,$G605,BASE!$J:$J,$C605,BASE!$A:$A,U$2)</f>
        <v>0</v>
      </c>
      <c r="V605" s="12">
        <f>SUMIFS(BASE!$G:$G,BASE!$B:$B,$B605,BASE!$L:$L,$G605,BASE!$J:$J,$C605,BASE!$A:$A,V$2)</f>
        <v>0</v>
      </c>
      <c r="X605" t="str">
        <f t="shared" si="19"/>
        <v>ZERADO</v>
      </c>
    </row>
    <row r="606" spans="2:24">
      <c r="B606" s="8" t="s">
        <v>1330</v>
      </c>
      <c r="C606" s="9" t="s">
        <v>225</v>
      </c>
      <c r="D606" s="9" t="s">
        <v>1323</v>
      </c>
      <c r="E606" s="9" t="s">
        <v>1321</v>
      </c>
      <c r="F606" s="9" t="s">
        <v>1331</v>
      </c>
      <c r="G606" s="9" t="s">
        <v>53</v>
      </c>
      <c r="H606" s="7" t="str">
        <f>IFERROR(IF(_xlfn.XLOOKUP(B606,REPASSE!D:D,REPASSE!D:D)="","Não","Sim"),"Não")</f>
        <v>Não</v>
      </c>
      <c r="I606" s="7" t="str">
        <f>IF(_xlfn.XLOOKUP(B606,'BOOST LIBERADO'!B:B,'BOOST LIBERADO'!B:B,"Não")="Não","Não","Sim")</f>
        <v>Sim</v>
      </c>
      <c r="J606" s="83" t="str">
        <f t="shared" si="18"/>
        <v>Sim</v>
      </c>
      <c r="K606" s="12">
        <f>SUMIFS(BASE!$G:$G,BASE!$B:$B,$B606,BASE!$L:$L,$G606,BASE!$J:$J,$C606,BASE!$A:$A,K$2)</f>
        <v>0</v>
      </c>
      <c r="L606" s="12">
        <f>SUMIFS(BASE!$G:$G,BASE!$B:$B,$B606,BASE!$L:$L,$G606,BASE!$J:$J,$C606,BASE!$A:$A,L$2)</f>
        <v>0</v>
      </c>
      <c r="M606" s="12">
        <f>SUMIFS(BASE!$G:$G,BASE!$B:$B,$B606,BASE!$L:$L,$G606,BASE!$J:$J,$C606,BASE!$A:$A,M$2)</f>
        <v>0</v>
      </c>
      <c r="N606" s="12">
        <f>SUMIFS(BASE!$G:$G,BASE!$B:$B,$B606,BASE!$L:$L,$G606,BASE!$J:$J,$C606,BASE!$A:$A,N$2)</f>
        <v>0</v>
      </c>
      <c r="O606" s="12">
        <f>SUMIFS(BASE!$G:$G,BASE!$B:$B,$B606,BASE!$L:$L,$G606,BASE!$J:$J,$C606,BASE!$A:$A,O$2)</f>
        <v>0</v>
      </c>
      <c r="P606" s="12">
        <f>SUMIFS(BASE!$G:$G,BASE!$B:$B,$B606,BASE!$L:$L,$G606,BASE!$J:$J,$C606,BASE!$A:$A,P$2)</f>
        <v>2</v>
      </c>
      <c r="Q606" s="12">
        <f>SUMIFS(BASE!$G:$G,BASE!$B:$B,$B606,BASE!$L:$L,$G606,BASE!$J:$J,$C606,BASE!$A:$A,Q$2)</f>
        <v>2</v>
      </c>
      <c r="R606" s="12">
        <f>SUMIFS(BASE!$G:$G,BASE!$B:$B,$B606,BASE!$L:$L,$G606,BASE!$J:$J,$C606,BASE!$A:$A,R$2)</f>
        <v>1</v>
      </c>
      <c r="S606" s="12">
        <f>SUMIFS(BASE!$G:$G,BASE!$B:$B,$B606,BASE!$L:$L,$G606,BASE!$J:$J,$C606,BASE!$A:$A,S$2)</f>
        <v>0</v>
      </c>
      <c r="T606" s="12">
        <f>SUMIFS(BASE!$G:$G,BASE!$B:$B,$B606,BASE!$L:$L,$G606,BASE!$J:$J,$C606,BASE!$A:$A,T$2)</f>
        <v>0</v>
      </c>
      <c r="U606" s="12">
        <f>SUMIFS(BASE!$G:$G,BASE!$B:$B,$B606,BASE!$L:$L,$G606,BASE!$J:$J,$C606,BASE!$A:$A,U$2)</f>
        <v>0</v>
      </c>
      <c r="V606" s="12">
        <f>SUMIFS(BASE!$G:$G,BASE!$B:$B,$B606,BASE!$L:$L,$G606,BASE!$J:$J,$C606,BASE!$A:$A,V$2)</f>
        <v>0</v>
      </c>
      <c r="X606" t="str">
        <f t="shared" si="19"/>
        <v>COM TROCAS</v>
      </c>
    </row>
    <row r="607" spans="2:24">
      <c r="B607" s="8" t="s">
        <v>1332</v>
      </c>
      <c r="C607" s="9" t="s">
        <v>225</v>
      </c>
      <c r="D607" s="9" t="s">
        <v>1320</v>
      </c>
      <c r="E607" s="9" t="s">
        <v>1321</v>
      </c>
      <c r="F607" s="9" t="s">
        <v>1313</v>
      </c>
      <c r="G607" s="9" t="s">
        <v>53</v>
      </c>
      <c r="H607" s="7" t="str">
        <f>IFERROR(IF(_xlfn.XLOOKUP(B607,REPASSE!D:D,REPASSE!D:D)="","Não","Sim"),"Não")</f>
        <v>Não</v>
      </c>
      <c r="I607" s="7" t="str">
        <f>IF(_xlfn.XLOOKUP(B607,'BOOST LIBERADO'!B:B,'BOOST LIBERADO'!B:B,"Não")="Não","Não","Sim")</f>
        <v>Sim</v>
      </c>
      <c r="J607" s="83" t="str">
        <f t="shared" si="18"/>
        <v>Sim</v>
      </c>
      <c r="K607" s="12">
        <f>SUMIFS(BASE!$G:$G,BASE!$B:$B,$B607,BASE!$L:$L,$G607,BASE!$J:$J,$C607,BASE!$A:$A,K$2)</f>
        <v>3</v>
      </c>
      <c r="L607" s="12">
        <f>SUMIFS(BASE!$G:$G,BASE!$B:$B,$B607,BASE!$L:$L,$G607,BASE!$J:$J,$C607,BASE!$A:$A,L$2)</f>
        <v>0</v>
      </c>
      <c r="M607" s="12">
        <f>SUMIFS(BASE!$G:$G,BASE!$B:$B,$B607,BASE!$L:$L,$G607,BASE!$J:$J,$C607,BASE!$A:$A,M$2)</f>
        <v>0</v>
      </c>
      <c r="N607" s="12">
        <f>SUMIFS(BASE!$G:$G,BASE!$B:$B,$B607,BASE!$L:$L,$G607,BASE!$J:$J,$C607,BASE!$A:$A,N$2)</f>
        <v>0</v>
      </c>
      <c r="O607" s="12">
        <f>SUMIFS(BASE!$G:$G,BASE!$B:$B,$B607,BASE!$L:$L,$G607,BASE!$J:$J,$C607,BASE!$A:$A,O$2)</f>
        <v>3</v>
      </c>
      <c r="P607" s="12">
        <f>SUMIFS(BASE!$G:$G,BASE!$B:$B,$B607,BASE!$L:$L,$G607,BASE!$J:$J,$C607,BASE!$A:$A,P$2)</f>
        <v>1</v>
      </c>
      <c r="Q607" s="12">
        <f>SUMIFS(BASE!$G:$G,BASE!$B:$B,$B607,BASE!$L:$L,$G607,BASE!$J:$J,$C607,BASE!$A:$A,Q$2)</f>
        <v>4</v>
      </c>
      <c r="R607" s="12">
        <f>SUMIFS(BASE!$G:$G,BASE!$B:$B,$B607,BASE!$L:$L,$G607,BASE!$J:$J,$C607,BASE!$A:$A,R$2)</f>
        <v>3</v>
      </c>
      <c r="S607" s="12">
        <f>SUMIFS(BASE!$G:$G,BASE!$B:$B,$B607,BASE!$L:$L,$G607,BASE!$J:$J,$C607,BASE!$A:$A,S$2)</f>
        <v>0</v>
      </c>
      <c r="T607" s="12">
        <f>SUMIFS(BASE!$G:$G,BASE!$B:$B,$B607,BASE!$L:$L,$G607,BASE!$J:$J,$C607,BASE!$A:$A,T$2)</f>
        <v>0</v>
      </c>
      <c r="U607" s="12">
        <f>SUMIFS(BASE!$G:$G,BASE!$B:$B,$B607,BASE!$L:$L,$G607,BASE!$J:$J,$C607,BASE!$A:$A,U$2)</f>
        <v>0</v>
      </c>
      <c r="V607" s="12">
        <f>SUMIFS(BASE!$G:$G,BASE!$B:$B,$B607,BASE!$L:$L,$G607,BASE!$J:$J,$C607,BASE!$A:$A,V$2)</f>
        <v>0</v>
      </c>
      <c r="X607" t="str">
        <f t="shared" si="19"/>
        <v>COM TROCAS</v>
      </c>
    </row>
    <row r="608" spans="2:24">
      <c r="B608" s="8" t="s">
        <v>1333</v>
      </c>
      <c r="C608" s="9" t="s">
        <v>225</v>
      </c>
      <c r="D608" s="9" t="s">
        <v>1328</v>
      </c>
      <c r="E608" s="9" t="s">
        <v>1321</v>
      </c>
      <c r="F608" s="9" t="s">
        <v>1313</v>
      </c>
      <c r="G608" s="9" t="s">
        <v>53</v>
      </c>
      <c r="H608" s="7" t="str">
        <f>IFERROR(IF(_xlfn.XLOOKUP(B608,REPASSE!D:D,REPASSE!D:D)="","Não","Sim"),"Não")</f>
        <v>Não</v>
      </c>
      <c r="I608" s="7" t="str">
        <f>IF(_xlfn.XLOOKUP(B608,'BOOST LIBERADO'!B:B,'BOOST LIBERADO'!B:B,"Não")="Não","Não","Sim")</f>
        <v>Sim</v>
      </c>
      <c r="J608" s="83" t="str">
        <f t="shared" si="18"/>
        <v>Sim</v>
      </c>
      <c r="K608" s="12">
        <f>SUMIFS(BASE!$G:$G,BASE!$B:$B,$B608,BASE!$L:$L,$G608,BASE!$J:$J,$C608,BASE!$A:$A,K$2)</f>
        <v>0</v>
      </c>
      <c r="L608" s="12">
        <f>SUMIFS(BASE!$G:$G,BASE!$B:$B,$B608,BASE!$L:$L,$G608,BASE!$J:$J,$C608,BASE!$A:$A,L$2)</f>
        <v>0</v>
      </c>
      <c r="M608" s="12">
        <f>SUMIFS(BASE!$G:$G,BASE!$B:$B,$B608,BASE!$L:$L,$G608,BASE!$J:$J,$C608,BASE!$A:$A,M$2)</f>
        <v>0</v>
      </c>
      <c r="N608" s="12">
        <f>SUMIFS(BASE!$G:$G,BASE!$B:$B,$B608,BASE!$L:$L,$G608,BASE!$J:$J,$C608,BASE!$A:$A,N$2)</f>
        <v>1</v>
      </c>
      <c r="O608" s="12">
        <f>SUMIFS(BASE!$G:$G,BASE!$B:$B,$B608,BASE!$L:$L,$G608,BASE!$J:$J,$C608,BASE!$A:$A,O$2)</f>
        <v>3</v>
      </c>
      <c r="P608" s="12">
        <f>SUMIFS(BASE!$G:$G,BASE!$B:$B,$B608,BASE!$L:$L,$G608,BASE!$J:$J,$C608,BASE!$A:$A,P$2)</f>
        <v>3</v>
      </c>
      <c r="Q608" s="12">
        <f>SUMIFS(BASE!$G:$G,BASE!$B:$B,$B608,BASE!$L:$L,$G608,BASE!$J:$J,$C608,BASE!$A:$A,Q$2)</f>
        <v>1</v>
      </c>
      <c r="R608" s="12">
        <f>SUMIFS(BASE!$G:$G,BASE!$B:$B,$B608,BASE!$L:$L,$G608,BASE!$J:$J,$C608,BASE!$A:$A,R$2)</f>
        <v>3</v>
      </c>
      <c r="S608" s="12">
        <f>SUMIFS(BASE!$G:$G,BASE!$B:$B,$B608,BASE!$L:$L,$G608,BASE!$J:$J,$C608,BASE!$A:$A,S$2)</f>
        <v>0</v>
      </c>
      <c r="T608" s="12">
        <f>SUMIFS(BASE!$G:$G,BASE!$B:$B,$B608,BASE!$L:$L,$G608,BASE!$J:$J,$C608,BASE!$A:$A,T$2)</f>
        <v>0</v>
      </c>
      <c r="U608" s="12">
        <f>SUMIFS(BASE!$G:$G,BASE!$B:$B,$B608,BASE!$L:$L,$G608,BASE!$J:$J,$C608,BASE!$A:$A,U$2)</f>
        <v>0</v>
      </c>
      <c r="V608" s="12">
        <f>SUMIFS(BASE!$G:$G,BASE!$B:$B,$B608,BASE!$L:$L,$G608,BASE!$J:$J,$C608,BASE!$A:$A,V$2)</f>
        <v>0</v>
      </c>
      <c r="X608" t="str">
        <f t="shared" si="19"/>
        <v>COM TROCAS</v>
      </c>
    </row>
    <row r="609" spans="2:24">
      <c r="B609" s="8" t="s">
        <v>1334</v>
      </c>
      <c r="C609" s="9" t="s">
        <v>225</v>
      </c>
      <c r="D609" s="9" t="s">
        <v>1328</v>
      </c>
      <c r="E609" s="9" t="s">
        <v>1321</v>
      </c>
      <c r="F609" s="9" t="s">
        <v>1313</v>
      </c>
      <c r="G609" s="9" t="s">
        <v>53</v>
      </c>
      <c r="H609" s="7" t="str">
        <f>IFERROR(IF(_xlfn.XLOOKUP(B609,REPASSE!D:D,REPASSE!D:D)="","Não","Sim"),"Não")</f>
        <v>Não</v>
      </c>
      <c r="I609" s="7" t="str">
        <f>IF(_xlfn.XLOOKUP(B609,'BOOST LIBERADO'!B:B,'BOOST LIBERADO'!B:B,"Não")="Não","Não","Sim")</f>
        <v>Sim</v>
      </c>
      <c r="J609" s="83" t="str">
        <f t="shared" si="18"/>
        <v>Sim</v>
      </c>
      <c r="K609" s="12">
        <f>SUMIFS(BASE!$G:$G,BASE!$B:$B,$B609,BASE!$L:$L,$G609,BASE!$J:$J,$C609,BASE!$A:$A,K$2)</f>
        <v>3</v>
      </c>
      <c r="L609" s="12">
        <f>SUMIFS(BASE!$G:$G,BASE!$B:$B,$B609,BASE!$L:$L,$G609,BASE!$J:$J,$C609,BASE!$A:$A,L$2)</f>
        <v>1</v>
      </c>
      <c r="M609" s="12">
        <f>SUMIFS(BASE!$G:$G,BASE!$B:$B,$B609,BASE!$L:$L,$G609,BASE!$J:$J,$C609,BASE!$A:$A,M$2)</f>
        <v>10</v>
      </c>
      <c r="N609" s="12">
        <f>SUMIFS(BASE!$G:$G,BASE!$B:$B,$B609,BASE!$L:$L,$G609,BASE!$J:$J,$C609,BASE!$A:$A,N$2)</f>
        <v>17</v>
      </c>
      <c r="O609" s="12">
        <f>SUMIFS(BASE!$G:$G,BASE!$B:$B,$B609,BASE!$L:$L,$G609,BASE!$J:$J,$C609,BASE!$A:$A,O$2)</f>
        <v>13</v>
      </c>
      <c r="P609" s="12">
        <f>SUMIFS(BASE!$G:$G,BASE!$B:$B,$B609,BASE!$L:$L,$G609,BASE!$J:$J,$C609,BASE!$A:$A,P$2)</f>
        <v>2</v>
      </c>
      <c r="Q609" s="12">
        <f>SUMIFS(BASE!$G:$G,BASE!$B:$B,$B609,BASE!$L:$L,$G609,BASE!$J:$J,$C609,BASE!$A:$A,Q$2)</f>
        <v>10</v>
      </c>
      <c r="R609" s="12">
        <f>SUMIFS(BASE!$G:$G,BASE!$B:$B,$B609,BASE!$L:$L,$G609,BASE!$J:$J,$C609,BASE!$A:$A,R$2)</f>
        <v>12</v>
      </c>
      <c r="S609" s="12">
        <f>SUMIFS(BASE!$G:$G,BASE!$B:$B,$B609,BASE!$L:$L,$G609,BASE!$J:$J,$C609,BASE!$A:$A,S$2)</f>
        <v>0</v>
      </c>
      <c r="T609" s="12">
        <f>SUMIFS(BASE!$G:$G,BASE!$B:$B,$B609,BASE!$L:$L,$G609,BASE!$J:$J,$C609,BASE!$A:$A,T$2)</f>
        <v>0</v>
      </c>
      <c r="U609" s="12">
        <f>SUMIFS(BASE!$G:$G,BASE!$B:$B,$B609,BASE!$L:$L,$G609,BASE!$J:$J,$C609,BASE!$A:$A,U$2)</f>
        <v>0</v>
      </c>
      <c r="V609" s="12">
        <f>SUMIFS(BASE!$G:$G,BASE!$B:$B,$B609,BASE!$L:$L,$G609,BASE!$J:$J,$C609,BASE!$A:$A,V$2)</f>
        <v>0</v>
      </c>
      <c r="X609" t="str">
        <f t="shared" si="19"/>
        <v>COM TROCAS</v>
      </c>
    </row>
    <row r="610" spans="2:24">
      <c r="B610" s="8" t="s">
        <v>1335</v>
      </c>
      <c r="C610" s="9" t="s">
        <v>225</v>
      </c>
      <c r="D610" s="9" t="s">
        <v>1320</v>
      </c>
      <c r="E610" s="9" t="s">
        <v>1321</v>
      </c>
      <c r="F610" s="9" t="s">
        <v>1313</v>
      </c>
      <c r="G610" s="9" t="s">
        <v>53</v>
      </c>
      <c r="H610" s="7" t="str">
        <f>IFERROR(IF(_xlfn.XLOOKUP(B610,REPASSE!D:D,REPASSE!D:D)="","Não","Sim"),"Não")</f>
        <v>Não</v>
      </c>
      <c r="I610" s="7" t="str">
        <f>IF(_xlfn.XLOOKUP(B610,'BOOST LIBERADO'!B:B,'BOOST LIBERADO'!B:B,"Não")="Não","Não","Sim")</f>
        <v>Sim</v>
      </c>
      <c r="J610" s="83" t="str">
        <f t="shared" si="18"/>
        <v>Sim</v>
      </c>
      <c r="K610" s="12">
        <f>SUMIFS(BASE!$G:$G,BASE!$B:$B,$B610,BASE!$L:$L,$G610,BASE!$J:$J,$C610,BASE!$A:$A,K$2)</f>
        <v>2</v>
      </c>
      <c r="L610" s="12">
        <f>SUMIFS(BASE!$G:$G,BASE!$B:$B,$B610,BASE!$L:$L,$G610,BASE!$J:$J,$C610,BASE!$A:$A,L$2)</f>
        <v>1</v>
      </c>
      <c r="M610" s="12">
        <f>SUMIFS(BASE!$G:$G,BASE!$B:$B,$B610,BASE!$L:$L,$G610,BASE!$J:$J,$C610,BASE!$A:$A,M$2)</f>
        <v>4</v>
      </c>
      <c r="N610" s="12">
        <f>SUMIFS(BASE!$G:$G,BASE!$B:$B,$B610,BASE!$L:$L,$G610,BASE!$J:$J,$C610,BASE!$A:$A,N$2)</f>
        <v>4</v>
      </c>
      <c r="O610" s="12">
        <f>SUMIFS(BASE!$G:$G,BASE!$B:$B,$B610,BASE!$L:$L,$G610,BASE!$J:$J,$C610,BASE!$A:$A,O$2)</f>
        <v>3</v>
      </c>
      <c r="P610" s="12">
        <f>SUMIFS(BASE!$G:$G,BASE!$B:$B,$B610,BASE!$L:$L,$G610,BASE!$J:$J,$C610,BASE!$A:$A,P$2)</f>
        <v>5</v>
      </c>
      <c r="Q610" s="12">
        <f>SUMIFS(BASE!$G:$G,BASE!$B:$B,$B610,BASE!$L:$L,$G610,BASE!$J:$J,$C610,BASE!$A:$A,Q$2)</f>
        <v>5</v>
      </c>
      <c r="R610" s="12">
        <f>SUMIFS(BASE!$G:$G,BASE!$B:$B,$B610,BASE!$L:$L,$G610,BASE!$J:$J,$C610,BASE!$A:$A,R$2)</f>
        <v>4</v>
      </c>
      <c r="S610" s="12">
        <f>SUMIFS(BASE!$G:$G,BASE!$B:$B,$B610,BASE!$L:$L,$G610,BASE!$J:$J,$C610,BASE!$A:$A,S$2)</f>
        <v>0</v>
      </c>
      <c r="T610" s="12">
        <f>SUMIFS(BASE!$G:$G,BASE!$B:$B,$B610,BASE!$L:$L,$G610,BASE!$J:$J,$C610,BASE!$A:$A,T$2)</f>
        <v>0</v>
      </c>
      <c r="U610" s="12">
        <f>SUMIFS(BASE!$G:$G,BASE!$B:$B,$B610,BASE!$L:$L,$G610,BASE!$J:$J,$C610,BASE!$A:$A,U$2)</f>
        <v>0</v>
      </c>
      <c r="V610" s="12">
        <f>SUMIFS(BASE!$G:$G,BASE!$B:$B,$B610,BASE!$L:$L,$G610,BASE!$J:$J,$C610,BASE!$A:$A,V$2)</f>
        <v>0</v>
      </c>
      <c r="X610" t="str">
        <f t="shared" si="19"/>
        <v>COM TROCAS</v>
      </c>
    </row>
    <row r="611" spans="2:24">
      <c r="B611" s="8" t="s">
        <v>1336</v>
      </c>
      <c r="C611" s="9" t="s">
        <v>225</v>
      </c>
      <c r="D611" s="9" t="s">
        <v>1320</v>
      </c>
      <c r="E611" s="9" t="s">
        <v>1321</v>
      </c>
      <c r="F611" s="9" t="s">
        <v>1313</v>
      </c>
      <c r="G611" s="9" t="s">
        <v>53</v>
      </c>
      <c r="H611" s="7" t="str">
        <f>IFERROR(IF(_xlfn.XLOOKUP(B611,REPASSE!D:D,REPASSE!D:D)="","Não","Sim"),"Não")</f>
        <v>Não</v>
      </c>
      <c r="I611" s="7" t="str">
        <f>IF(_xlfn.XLOOKUP(B611,'BOOST LIBERADO'!B:B,'BOOST LIBERADO'!B:B,"Não")="Não","Não","Sim")</f>
        <v>Sim</v>
      </c>
      <c r="J611" s="83" t="str">
        <f t="shared" si="18"/>
        <v>Sim</v>
      </c>
      <c r="K611" s="12">
        <f>SUMIFS(BASE!$G:$G,BASE!$B:$B,$B611,BASE!$L:$L,$G611,BASE!$J:$J,$C611,BASE!$A:$A,K$2)</f>
        <v>0</v>
      </c>
      <c r="L611" s="12">
        <f>SUMIFS(BASE!$G:$G,BASE!$B:$B,$B611,BASE!$L:$L,$G611,BASE!$J:$J,$C611,BASE!$A:$A,L$2)</f>
        <v>0</v>
      </c>
      <c r="M611" s="12">
        <f>SUMIFS(BASE!$G:$G,BASE!$B:$B,$B611,BASE!$L:$L,$G611,BASE!$J:$J,$C611,BASE!$A:$A,M$2)</f>
        <v>6</v>
      </c>
      <c r="N611" s="12">
        <f>SUMIFS(BASE!$G:$G,BASE!$B:$B,$B611,BASE!$L:$L,$G611,BASE!$J:$J,$C611,BASE!$A:$A,N$2)</f>
        <v>0</v>
      </c>
      <c r="O611" s="12">
        <f>SUMIFS(BASE!$G:$G,BASE!$B:$B,$B611,BASE!$L:$L,$G611,BASE!$J:$J,$C611,BASE!$A:$A,O$2)</f>
        <v>2</v>
      </c>
      <c r="P611" s="12">
        <f>SUMIFS(BASE!$G:$G,BASE!$B:$B,$B611,BASE!$L:$L,$G611,BASE!$J:$J,$C611,BASE!$A:$A,P$2)</f>
        <v>3</v>
      </c>
      <c r="Q611" s="12">
        <f>SUMIFS(BASE!$G:$G,BASE!$B:$B,$B611,BASE!$L:$L,$G611,BASE!$J:$J,$C611,BASE!$A:$A,Q$2)</f>
        <v>8</v>
      </c>
      <c r="R611" s="12">
        <f>SUMIFS(BASE!$G:$G,BASE!$B:$B,$B611,BASE!$L:$L,$G611,BASE!$J:$J,$C611,BASE!$A:$A,R$2)</f>
        <v>11</v>
      </c>
      <c r="S611" s="12">
        <f>SUMIFS(BASE!$G:$G,BASE!$B:$B,$B611,BASE!$L:$L,$G611,BASE!$J:$J,$C611,BASE!$A:$A,S$2)</f>
        <v>0</v>
      </c>
      <c r="T611" s="12">
        <f>SUMIFS(BASE!$G:$G,BASE!$B:$B,$B611,BASE!$L:$L,$G611,BASE!$J:$J,$C611,BASE!$A:$A,T$2)</f>
        <v>0</v>
      </c>
      <c r="U611" s="12">
        <f>SUMIFS(BASE!$G:$G,BASE!$B:$B,$B611,BASE!$L:$L,$G611,BASE!$J:$J,$C611,BASE!$A:$A,U$2)</f>
        <v>0</v>
      </c>
      <c r="V611" s="12">
        <f>SUMIFS(BASE!$G:$G,BASE!$B:$B,$B611,BASE!$L:$L,$G611,BASE!$J:$J,$C611,BASE!$A:$A,V$2)</f>
        <v>0</v>
      </c>
      <c r="X611" t="str">
        <f t="shared" si="19"/>
        <v>COM TROCAS</v>
      </c>
    </row>
    <row r="612" spans="2:24">
      <c r="B612" s="8" t="s">
        <v>1337</v>
      </c>
      <c r="C612" s="9" t="s">
        <v>225</v>
      </c>
      <c r="D612" s="9" t="s">
        <v>1328</v>
      </c>
      <c r="E612" s="9" t="s">
        <v>1321</v>
      </c>
      <c r="F612" s="9" t="s">
        <v>1313</v>
      </c>
      <c r="G612" s="9" t="s">
        <v>53</v>
      </c>
      <c r="H612" s="7" t="str">
        <f>IFERROR(IF(_xlfn.XLOOKUP(B612,REPASSE!D:D,REPASSE!D:D)="","Não","Sim"),"Não")</f>
        <v>Não</v>
      </c>
      <c r="I612" s="7" t="str">
        <f>IF(_xlfn.XLOOKUP(B612,'BOOST LIBERADO'!B:B,'BOOST LIBERADO'!B:B,"Não")="Não","Não","Sim")</f>
        <v>Sim</v>
      </c>
      <c r="J612" s="83" t="str">
        <f t="shared" si="18"/>
        <v>Sim</v>
      </c>
      <c r="K612" s="12">
        <f>SUMIFS(BASE!$G:$G,BASE!$B:$B,$B612,BASE!$L:$L,$G612,BASE!$J:$J,$C612,BASE!$A:$A,K$2)</f>
        <v>5</v>
      </c>
      <c r="L612" s="12">
        <f>SUMIFS(BASE!$G:$G,BASE!$B:$B,$B612,BASE!$L:$L,$G612,BASE!$J:$J,$C612,BASE!$A:$A,L$2)</f>
        <v>6</v>
      </c>
      <c r="M612" s="12">
        <f>SUMIFS(BASE!$G:$G,BASE!$B:$B,$B612,BASE!$L:$L,$G612,BASE!$J:$J,$C612,BASE!$A:$A,M$2)</f>
        <v>0</v>
      </c>
      <c r="N612" s="12">
        <f>SUMIFS(BASE!$G:$G,BASE!$B:$B,$B612,BASE!$L:$L,$G612,BASE!$J:$J,$C612,BASE!$A:$A,N$2)</f>
        <v>0</v>
      </c>
      <c r="O612" s="12">
        <f>SUMIFS(BASE!$G:$G,BASE!$B:$B,$B612,BASE!$L:$L,$G612,BASE!$J:$J,$C612,BASE!$A:$A,O$2)</f>
        <v>0</v>
      </c>
      <c r="P612" s="12">
        <f>SUMIFS(BASE!$G:$G,BASE!$B:$B,$B612,BASE!$L:$L,$G612,BASE!$J:$J,$C612,BASE!$A:$A,P$2)</f>
        <v>0</v>
      </c>
      <c r="Q612" s="12">
        <f>SUMIFS(BASE!$G:$G,BASE!$B:$B,$B612,BASE!$L:$L,$G612,BASE!$J:$J,$C612,BASE!$A:$A,Q$2)</f>
        <v>7</v>
      </c>
      <c r="R612" s="12">
        <f>SUMIFS(BASE!$G:$G,BASE!$B:$B,$B612,BASE!$L:$L,$G612,BASE!$J:$J,$C612,BASE!$A:$A,R$2)</f>
        <v>12</v>
      </c>
      <c r="S612" s="12">
        <f>SUMIFS(BASE!$G:$G,BASE!$B:$B,$B612,BASE!$L:$L,$G612,BASE!$J:$J,$C612,BASE!$A:$A,S$2)</f>
        <v>0</v>
      </c>
      <c r="T612" s="12">
        <f>SUMIFS(BASE!$G:$G,BASE!$B:$B,$B612,BASE!$L:$L,$G612,BASE!$J:$J,$C612,BASE!$A:$A,T$2)</f>
        <v>0</v>
      </c>
      <c r="U612" s="12">
        <f>SUMIFS(BASE!$G:$G,BASE!$B:$B,$B612,BASE!$L:$L,$G612,BASE!$J:$J,$C612,BASE!$A:$A,U$2)</f>
        <v>0</v>
      </c>
      <c r="V612" s="12">
        <f>SUMIFS(BASE!$G:$G,BASE!$B:$B,$B612,BASE!$L:$L,$G612,BASE!$J:$J,$C612,BASE!$A:$A,V$2)</f>
        <v>0</v>
      </c>
      <c r="X612" t="str">
        <f t="shared" si="19"/>
        <v>COM TROCAS</v>
      </c>
    </row>
    <row r="613" spans="2:24">
      <c r="B613" s="8" t="s">
        <v>1338</v>
      </c>
      <c r="C613" s="9" t="s">
        <v>225</v>
      </c>
      <c r="D613" s="9" t="s">
        <v>1328</v>
      </c>
      <c r="E613" s="9" t="s">
        <v>1321</v>
      </c>
      <c r="F613" s="9" t="s">
        <v>1313</v>
      </c>
      <c r="G613" s="9" t="s">
        <v>53</v>
      </c>
      <c r="H613" s="7" t="str">
        <f>IFERROR(IF(_xlfn.XLOOKUP(B613,REPASSE!D:D,REPASSE!D:D)="","Não","Sim"),"Não")</f>
        <v>Não</v>
      </c>
      <c r="I613" s="7" t="str">
        <f>IF(_xlfn.XLOOKUP(B613,'BOOST LIBERADO'!B:B,'BOOST LIBERADO'!B:B,"Não")="Não","Não","Sim")</f>
        <v>Sim</v>
      </c>
      <c r="J613" s="83" t="str">
        <f t="shared" si="18"/>
        <v>Sim</v>
      </c>
      <c r="K613" s="12">
        <f>SUMIFS(BASE!$G:$G,BASE!$B:$B,$B613,BASE!$L:$L,$G613,BASE!$J:$J,$C613,BASE!$A:$A,K$2)</f>
        <v>0</v>
      </c>
      <c r="L613" s="12">
        <f>SUMIFS(BASE!$G:$G,BASE!$B:$B,$B613,BASE!$L:$L,$G613,BASE!$J:$J,$C613,BASE!$A:$A,L$2)</f>
        <v>1</v>
      </c>
      <c r="M613" s="12">
        <f>SUMIFS(BASE!$G:$G,BASE!$B:$B,$B613,BASE!$L:$L,$G613,BASE!$J:$J,$C613,BASE!$A:$A,M$2)</f>
        <v>5</v>
      </c>
      <c r="N613" s="12">
        <f>SUMIFS(BASE!$G:$G,BASE!$B:$B,$B613,BASE!$L:$L,$G613,BASE!$J:$J,$C613,BASE!$A:$A,N$2)</f>
        <v>10</v>
      </c>
      <c r="O613" s="12">
        <f>SUMIFS(BASE!$G:$G,BASE!$B:$B,$B613,BASE!$L:$L,$G613,BASE!$J:$J,$C613,BASE!$A:$A,O$2)</f>
        <v>6</v>
      </c>
      <c r="P613" s="12">
        <f>SUMIFS(BASE!$G:$G,BASE!$B:$B,$B613,BASE!$L:$L,$G613,BASE!$J:$J,$C613,BASE!$A:$A,P$2)</f>
        <v>14</v>
      </c>
      <c r="Q613" s="12">
        <f>SUMIFS(BASE!$G:$G,BASE!$B:$B,$B613,BASE!$L:$L,$G613,BASE!$J:$J,$C613,BASE!$A:$A,Q$2)</f>
        <v>17</v>
      </c>
      <c r="R613" s="12">
        <f>SUMIFS(BASE!$G:$G,BASE!$B:$B,$B613,BASE!$L:$L,$G613,BASE!$J:$J,$C613,BASE!$A:$A,R$2)</f>
        <v>11</v>
      </c>
      <c r="S613" s="12">
        <f>SUMIFS(BASE!$G:$G,BASE!$B:$B,$B613,BASE!$L:$L,$G613,BASE!$J:$J,$C613,BASE!$A:$A,S$2)</f>
        <v>0</v>
      </c>
      <c r="T613" s="12">
        <f>SUMIFS(BASE!$G:$G,BASE!$B:$B,$B613,BASE!$L:$L,$G613,BASE!$J:$J,$C613,BASE!$A:$A,T$2)</f>
        <v>0</v>
      </c>
      <c r="U613" s="12">
        <f>SUMIFS(BASE!$G:$G,BASE!$B:$B,$B613,BASE!$L:$L,$G613,BASE!$J:$J,$C613,BASE!$A:$A,U$2)</f>
        <v>0</v>
      </c>
      <c r="V613" s="12">
        <f>SUMIFS(BASE!$G:$G,BASE!$B:$B,$B613,BASE!$L:$L,$G613,BASE!$J:$J,$C613,BASE!$A:$A,V$2)</f>
        <v>0</v>
      </c>
      <c r="X613" t="str">
        <f t="shared" si="19"/>
        <v>COM TROCAS</v>
      </c>
    </row>
    <row r="614" spans="2:24">
      <c r="B614" s="8" t="s">
        <v>1339</v>
      </c>
      <c r="C614" s="9" t="s">
        <v>225</v>
      </c>
      <c r="D614" s="9" t="s">
        <v>1328</v>
      </c>
      <c r="E614" s="9" t="s">
        <v>1321</v>
      </c>
      <c r="F614" s="9" t="s">
        <v>1313</v>
      </c>
      <c r="G614" s="9" t="s">
        <v>53</v>
      </c>
      <c r="H614" s="7" t="str">
        <f>IFERROR(IF(_xlfn.XLOOKUP(B614,REPASSE!D:D,REPASSE!D:D)="","Não","Sim"),"Não")</f>
        <v>Não</v>
      </c>
      <c r="I614" s="7" t="str">
        <f>IF(_xlfn.XLOOKUP(B614,'BOOST LIBERADO'!B:B,'BOOST LIBERADO'!B:B,"Não")="Não","Não","Sim")</f>
        <v>Sim</v>
      </c>
      <c r="J614" s="83" t="str">
        <f t="shared" si="18"/>
        <v>Sim</v>
      </c>
      <c r="K614" s="12">
        <f>SUMIFS(BASE!$G:$G,BASE!$B:$B,$B614,BASE!$L:$L,$G614,BASE!$J:$J,$C614,BASE!$A:$A,K$2)</f>
        <v>4</v>
      </c>
      <c r="L614" s="12">
        <f>SUMIFS(BASE!$G:$G,BASE!$B:$B,$B614,BASE!$L:$L,$G614,BASE!$J:$J,$C614,BASE!$A:$A,L$2)</f>
        <v>6</v>
      </c>
      <c r="M614" s="12">
        <f>SUMIFS(BASE!$G:$G,BASE!$B:$B,$B614,BASE!$L:$L,$G614,BASE!$J:$J,$C614,BASE!$A:$A,M$2)</f>
        <v>2</v>
      </c>
      <c r="N614" s="12">
        <f>SUMIFS(BASE!$G:$G,BASE!$B:$B,$B614,BASE!$L:$L,$G614,BASE!$J:$J,$C614,BASE!$A:$A,N$2)</f>
        <v>9</v>
      </c>
      <c r="O614" s="12">
        <f>SUMIFS(BASE!$G:$G,BASE!$B:$B,$B614,BASE!$L:$L,$G614,BASE!$J:$J,$C614,BASE!$A:$A,O$2)</f>
        <v>10</v>
      </c>
      <c r="P614" s="12">
        <f>SUMIFS(BASE!$G:$G,BASE!$B:$B,$B614,BASE!$L:$L,$G614,BASE!$J:$J,$C614,BASE!$A:$A,P$2)</f>
        <v>6</v>
      </c>
      <c r="Q614" s="12">
        <f>SUMIFS(BASE!$G:$G,BASE!$B:$B,$B614,BASE!$L:$L,$G614,BASE!$J:$J,$C614,BASE!$A:$A,Q$2)</f>
        <v>12</v>
      </c>
      <c r="R614" s="12">
        <f>SUMIFS(BASE!$G:$G,BASE!$B:$B,$B614,BASE!$L:$L,$G614,BASE!$J:$J,$C614,BASE!$A:$A,R$2)</f>
        <v>17</v>
      </c>
      <c r="S614" s="12">
        <f>SUMIFS(BASE!$G:$G,BASE!$B:$B,$B614,BASE!$L:$L,$G614,BASE!$J:$J,$C614,BASE!$A:$A,S$2)</f>
        <v>0</v>
      </c>
      <c r="T614" s="12">
        <f>SUMIFS(BASE!$G:$G,BASE!$B:$B,$B614,BASE!$L:$L,$G614,BASE!$J:$J,$C614,BASE!$A:$A,T$2)</f>
        <v>0</v>
      </c>
      <c r="U614" s="12">
        <f>SUMIFS(BASE!$G:$G,BASE!$B:$B,$B614,BASE!$L:$L,$G614,BASE!$J:$J,$C614,BASE!$A:$A,U$2)</f>
        <v>0</v>
      </c>
      <c r="V614" s="12">
        <f>SUMIFS(BASE!$G:$G,BASE!$B:$B,$B614,BASE!$L:$L,$G614,BASE!$J:$J,$C614,BASE!$A:$A,V$2)</f>
        <v>0</v>
      </c>
      <c r="X614" t="str">
        <f t="shared" si="19"/>
        <v>COM TROCAS</v>
      </c>
    </row>
    <row r="615" spans="2:24">
      <c r="B615" s="8" t="s">
        <v>1340</v>
      </c>
      <c r="C615" s="9" t="s">
        <v>225</v>
      </c>
      <c r="D615" s="9" t="s">
        <v>1323</v>
      </c>
      <c r="E615" s="9" t="s">
        <v>1321</v>
      </c>
      <c r="F615" s="9" t="s">
        <v>1341</v>
      </c>
      <c r="G615" s="9" t="s">
        <v>53</v>
      </c>
      <c r="H615" s="7" t="str">
        <f>IFERROR(IF(_xlfn.XLOOKUP(B615,REPASSE!D:D,REPASSE!D:D)="","Não","Sim"),"Não")</f>
        <v>Não</v>
      </c>
      <c r="I615" s="7" t="str">
        <f>IF(_xlfn.XLOOKUP(B615,'BOOST LIBERADO'!B:B,'BOOST LIBERADO'!B:B,"Não")="Não","Não","Sim")</f>
        <v>Sim</v>
      </c>
      <c r="J615" s="83" t="str">
        <f t="shared" si="18"/>
        <v>Sim</v>
      </c>
      <c r="K615" s="12">
        <f>SUMIFS(BASE!$G:$G,BASE!$B:$B,$B615,BASE!$L:$L,$G615,BASE!$J:$J,$C615,BASE!$A:$A,K$2)</f>
        <v>0</v>
      </c>
      <c r="L615" s="12">
        <f>SUMIFS(BASE!$G:$G,BASE!$B:$B,$B615,BASE!$L:$L,$G615,BASE!$J:$J,$C615,BASE!$A:$A,L$2)</f>
        <v>0</v>
      </c>
      <c r="M615" s="12">
        <f>SUMIFS(BASE!$G:$G,BASE!$B:$B,$B615,BASE!$L:$L,$G615,BASE!$J:$J,$C615,BASE!$A:$A,M$2)</f>
        <v>0</v>
      </c>
      <c r="N615" s="12">
        <f>SUMIFS(BASE!$G:$G,BASE!$B:$B,$B615,BASE!$L:$L,$G615,BASE!$J:$J,$C615,BASE!$A:$A,N$2)</f>
        <v>1</v>
      </c>
      <c r="O615" s="12">
        <f>SUMIFS(BASE!$G:$G,BASE!$B:$B,$B615,BASE!$L:$L,$G615,BASE!$J:$J,$C615,BASE!$A:$A,O$2)</f>
        <v>0</v>
      </c>
      <c r="P615" s="12">
        <f>SUMIFS(BASE!$G:$G,BASE!$B:$B,$B615,BASE!$L:$L,$G615,BASE!$J:$J,$C615,BASE!$A:$A,P$2)</f>
        <v>0</v>
      </c>
      <c r="Q615" s="12">
        <f>SUMIFS(BASE!$G:$G,BASE!$B:$B,$B615,BASE!$L:$L,$G615,BASE!$J:$J,$C615,BASE!$A:$A,Q$2)</f>
        <v>0</v>
      </c>
      <c r="R615" s="12">
        <f>SUMIFS(BASE!$G:$G,BASE!$B:$B,$B615,BASE!$L:$L,$G615,BASE!$J:$J,$C615,BASE!$A:$A,R$2)</f>
        <v>0</v>
      </c>
      <c r="S615" s="12">
        <f>SUMIFS(BASE!$G:$G,BASE!$B:$B,$B615,BASE!$L:$L,$G615,BASE!$J:$J,$C615,BASE!$A:$A,S$2)</f>
        <v>0</v>
      </c>
      <c r="T615" s="12">
        <f>SUMIFS(BASE!$G:$G,BASE!$B:$B,$B615,BASE!$L:$L,$G615,BASE!$J:$J,$C615,BASE!$A:$A,T$2)</f>
        <v>0</v>
      </c>
      <c r="U615" s="12">
        <f>SUMIFS(BASE!$G:$G,BASE!$B:$B,$B615,BASE!$L:$L,$G615,BASE!$J:$J,$C615,BASE!$A:$A,U$2)</f>
        <v>0</v>
      </c>
      <c r="V615" s="12">
        <f>SUMIFS(BASE!$G:$G,BASE!$B:$B,$B615,BASE!$L:$L,$G615,BASE!$J:$J,$C615,BASE!$A:$A,V$2)</f>
        <v>0</v>
      </c>
      <c r="X615" t="str">
        <f t="shared" si="19"/>
        <v>ZERADO</v>
      </c>
    </row>
    <row r="616" spans="2:24">
      <c r="B616" s="8" t="s">
        <v>1342</v>
      </c>
      <c r="C616" s="9" t="s">
        <v>225</v>
      </c>
      <c r="D616" s="9" t="s">
        <v>1323</v>
      </c>
      <c r="E616" s="9" t="s">
        <v>1321</v>
      </c>
      <c r="F616" s="9" t="s">
        <v>1313</v>
      </c>
      <c r="G616" s="9" t="s">
        <v>53</v>
      </c>
      <c r="H616" s="7" t="str">
        <f>IFERROR(IF(_xlfn.XLOOKUP(B616,REPASSE!D:D,REPASSE!D:D)="","Não","Sim"),"Não")</f>
        <v>Não</v>
      </c>
      <c r="I616" s="7" t="str">
        <f>IF(_xlfn.XLOOKUP(B616,'BOOST LIBERADO'!B:B,'BOOST LIBERADO'!B:B,"Não")="Não","Não","Sim")</f>
        <v>Sim</v>
      </c>
      <c r="J616" s="83" t="str">
        <f t="shared" si="18"/>
        <v>Sim</v>
      </c>
      <c r="K616" s="12">
        <f>SUMIFS(BASE!$G:$G,BASE!$B:$B,$B616,BASE!$L:$L,$G616,BASE!$J:$J,$C616,BASE!$A:$A,K$2)</f>
        <v>8</v>
      </c>
      <c r="L616" s="12">
        <f>SUMIFS(BASE!$G:$G,BASE!$B:$B,$B616,BASE!$L:$L,$G616,BASE!$J:$J,$C616,BASE!$A:$A,L$2)</f>
        <v>9</v>
      </c>
      <c r="M616" s="12">
        <f>SUMIFS(BASE!$G:$G,BASE!$B:$B,$B616,BASE!$L:$L,$G616,BASE!$J:$J,$C616,BASE!$A:$A,M$2)</f>
        <v>18</v>
      </c>
      <c r="N616" s="12">
        <f>SUMIFS(BASE!$G:$G,BASE!$B:$B,$B616,BASE!$L:$L,$G616,BASE!$J:$J,$C616,BASE!$A:$A,N$2)</f>
        <v>15</v>
      </c>
      <c r="O616" s="12">
        <f>SUMIFS(BASE!$G:$G,BASE!$B:$B,$B616,BASE!$L:$L,$G616,BASE!$J:$J,$C616,BASE!$A:$A,O$2)</f>
        <v>15</v>
      </c>
      <c r="P616" s="12">
        <f>SUMIFS(BASE!$G:$G,BASE!$B:$B,$B616,BASE!$L:$L,$G616,BASE!$J:$J,$C616,BASE!$A:$A,P$2)</f>
        <v>9</v>
      </c>
      <c r="Q616" s="12">
        <f>SUMIFS(BASE!$G:$G,BASE!$B:$B,$B616,BASE!$L:$L,$G616,BASE!$J:$J,$C616,BASE!$A:$A,Q$2)</f>
        <v>23</v>
      </c>
      <c r="R616" s="12">
        <f>SUMIFS(BASE!$G:$G,BASE!$B:$B,$B616,BASE!$L:$L,$G616,BASE!$J:$J,$C616,BASE!$A:$A,R$2)</f>
        <v>16</v>
      </c>
      <c r="S616" s="12">
        <f>SUMIFS(BASE!$G:$G,BASE!$B:$B,$B616,BASE!$L:$L,$G616,BASE!$J:$J,$C616,BASE!$A:$A,S$2)</f>
        <v>0</v>
      </c>
      <c r="T616" s="12">
        <f>SUMIFS(BASE!$G:$G,BASE!$B:$B,$B616,BASE!$L:$L,$G616,BASE!$J:$J,$C616,BASE!$A:$A,T$2)</f>
        <v>0</v>
      </c>
      <c r="U616" s="12">
        <f>SUMIFS(BASE!$G:$G,BASE!$B:$B,$B616,BASE!$L:$L,$G616,BASE!$J:$J,$C616,BASE!$A:$A,U$2)</f>
        <v>0</v>
      </c>
      <c r="V616" s="12">
        <f>SUMIFS(BASE!$G:$G,BASE!$B:$B,$B616,BASE!$L:$L,$G616,BASE!$J:$J,$C616,BASE!$A:$A,V$2)</f>
        <v>0</v>
      </c>
      <c r="X616" t="str">
        <f t="shared" si="19"/>
        <v>COM TROCAS</v>
      </c>
    </row>
    <row r="617" spans="2:24">
      <c r="B617" s="8" t="s">
        <v>1343</v>
      </c>
      <c r="C617" s="9" t="s">
        <v>229</v>
      </c>
      <c r="D617" s="9" t="s">
        <v>1304</v>
      </c>
      <c r="E617" s="9" t="s">
        <v>1305</v>
      </c>
      <c r="F617" s="9" t="s">
        <v>1344</v>
      </c>
      <c r="G617" s="9" t="s">
        <v>53</v>
      </c>
      <c r="H617" s="7" t="str">
        <f>IFERROR(IF(_xlfn.XLOOKUP(B617,REPASSE!D:D,REPASSE!D:D)="","Não","Sim"),"Não")</f>
        <v>Não</v>
      </c>
      <c r="I617" s="7" t="str">
        <f>IF(_xlfn.XLOOKUP(B617,'BOOST LIBERADO'!B:B,'BOOST LIBERADO'!B:B,"Não")="Não","Não","Sim")</f>
        <v>Sim</v>
      </c>
      <c r="J617" s="83" t="str">
        <f t="shared" si="18"/>
        <v>Sim</v>
      </c>
      <c r="K617" s="12">
        <f>SUMIFS(BASE!$G:$G,BASE!$B:$B,$B617,BASE!$L:$L,$G617,BASE!$J:$J,$C617,BASE!$A:$A,K$2)</f>
        <v>0</v>
      </c>
      <c r="L617" s="12">
        <f>SUMIFS(BASE!$G:$G,BASE!$B:$B,$B617,BASE!$L:$L,$G617,BASE!$J:$J,$C617,BASE!$A:$A,L$2)</f>
        <v>2</v>
      </c>
      <c r="M617" s="12">
        <f>SUMIFS(BASE!$G:$G,BASE!$B:$B,$B617,BASE!$L:$L,$G617,BASE!$J:$J,$C617,BASE!$A:$A,M$2)</f>
        <v>0</v>
      </c>
      <c r="N617" s="12">
        <f>SUMIFS(BASE!$G:$G,BASE!$B:$B,$B617,BASE!$L:$L,$G617,BASE!$J:$J,$C617,BASE!$A:$A,N$2)</f>
        <v>0</v>
      </c>
      <c r="O617" s="12">
        <f>SUMIFS(BASE!$G:$G,BASE!$B:$B,$B617,BASE!$L:$L,$G617,BASE!$J:$J,$C617,BASE!$A:$A,O$2)</f>
        <v>0</v>
      </c>
      <c r="P617" s="12">
        <f>SUMIFS(BASE!$G:$G,BASE!$B:$B,$B617,BASE!$L:$L,$G617,BASE!$J:$J,$C617,BASE!$A:$A,P$2)</f>
        <v>0</v>
      </c>
      <c r="Q617" s="12">
        <f>SUMIFS(BASE!$G:$G,BASE!$B:$B,$B617,BASE!$L:$L,$G617,BASE!$J:$J,$C617,BASE!$A:$A,Q$2)</f>
        <v>0</v>
      </c>
      <c r="R617" s="12">
        <f>SUMIFS(BASE!$G:$G,BASE!$B:$B,$B617,BASE!$L:$L,$G617,BASE!$J:$J,$C617,BASE!$A:$A,R$2)</f>
        <v>0</v>
      </c>
      <c r="S617" s="12">
        <f>SUMIFS(BASE!$G:$G,BASE!$B:$B,$B617,BASE!$L:$L,$G617,BASE!$J:$J,$C617,BASE!$A:$A,S$2)</f>
        <v>0</v>
      </c>
      <c r="T617" s="12">
        <f>SUMIFS(BASE!$G:$G,BASE!$B:$B,$B617,BASE!$L:$L,$G617,BASE!$J:$J,$C617,BASE!$A:$A,T$2)</f>
        <v>0</v>
      </c>
      <c r="U617" s="12">
        <f>SUMIFS(BASE!$G:$G,BASE!$B:$B,$B617,BASE!$L:$L,$G617,BASE!$J:$J,$C617,BASE!$A:$A,U$2)</f>
        <v>0</v>
      </c>
      <c r="V617" s="12">
        <f>SUMIFS(BASE!$G:$G,BASE!$B:$B,$B617,BASE!$L:$L,$G617,BASE!$J:$J,$C617,BASE!$A:$A,V$2)</f>
        <v>0</v>
      </c>
      <c r="X617" t="str">
        <f t="shared" si="19"/>
        <v>ZERADO</v>
      </c>
    </row>
    <row r="618" spans="2:24">
      <c r="B618" s="8" t="s">
        <v>1345</v>
      </c>
      <c r="C618" s="9" t="s">
        <v>229</v>
      </c>
      <c r="D618" s="9" t="s">
        <v>1304</v>
      </c>
      <c r="E618" s="9" t="s">
        <v>1305</v>
      </c>
      <c r="F618" s="9" t="s">
        <v>1346</v>
      </c>
      <c r="G618" s="9" t="s">
        <v>53</v>
      </c>
      <c r="H618" s="7" t="str">
        <f>IFERROR(IF(_xlfn.XLOOKUP(B618,REPASSE!D:D,REPASSE!D:D)="","Não","Sim"),"Não")</f>
        <v>Não</v>
      </c>
      <c r="I618" s="7" t="str">
        <f>IF(_xlfn.XLOOKUP(B618,'BOOST LIBERADO'!B:B,'BOOST LIBERADO'!B:B,"Não")="Não","Não","Sim")</f>
        <v>Sim</v>
      </c>
      <c r="J618" s="83" t="str">
        <f t="shared" si="18"/>
        <v>Sim</v>
      </c>
      <c r="K618" s="12">
        <f>SUMIFS(BASE!$G:$G,BASE!$B:$B,$B618,BASE!$L:$L,$G618,BASE!$J:$J,$C618,BASE!$A:$A,K$2)</f>
        <v>0</v>
      </c>
      <c r="L618" s="12">
        <f>SUMIFS(BASE!$G:$G,BASE!$B:$B,$B618,BASE!$L:$L,$G618,BASE!$J:$J,$C618,BASE!$A:$A,L$2)</f>
        <v>0</v>
      </c>
      <c r="M618" s="12">
        <f>SUMIFS(BASE!$G:$G,BASE!$B:$B,$B618,BASE!$L:$L,$G618,BASE!$J:$J,$C618,BASE!$A:$A,M$2)</f>
        <v>1</v>
      </c>
      <c r="N618" s="12">
        <f>SUMIFS(BASE!$G:$G,BASE!$B:$B,$B618,BASE!$L:$L,$G618,BASE!$J:$J,$C618,BASE!$A:$A,N$2)</f>
        <v>0</v>
      </c>
      <c r="O618" s="12">
        <f>SUMIFS(BASE!$G:$G,BASE!$B:$B,$B618,BASE!$L:$L,$G618,BASE!$J:$J,$C618,BASE!$A:$A,O$2)</f>
        <v>1</v>
      </c>
      <c r="P618" s="12">
        <f>SUMIFS(BASE!$G:$G,BASE!$B:$B,$B618,BASE!$L:$L,$G618,BASE!$J:$J,$C618,BASE!$A:$A,P$2)</f>
        <v>0</v>
      </c>
      <c r="Q618" s="12">
        <f>SUMIFS(BASE!$G:$G,BASE!$B:$B,$B618,BASE!$L:$L,$G618,BASE!$J:$J,$C618,BASE!$A:$A,Q$2)</f>
        <v>0</v>
      </c>
      <c r="R618" s="12">
        <f>SUMIFS(BASE!$G:$G,BASE!$B:$B,$B618,BASE!$L:$L,$G618,BASE!$J:$J,$C618,BASE!$A:$A,R$2)</f>
        <v>0</v>
      </c>
      <c r="S618" s="12">
        <f>SUMIFS(BASE!$G:$G,BASE!$B:$B,$B618,BASE!$L:$L,$G618,BASE!$J:$J,$C618,BASE!$A:$A,S$2)</f>
        <v>0</v>
      </c>
      <c r="T618" s="12">
        <f>SUMIFS(BASE!$G:$G,BASE!$B:$B,$B618,BASE!$L:$L,$G618,BASE!$J:$J,$C618,BASE!$A:$A,T$2)</f>
        <v>0</v>
      </c>
      <c r="U618" s="12">
        <f>SUMIFS(BASE!$G:$G,BASE!$B:$B,$B618,BASE!$L:$L,$G618,BASE!$J:$J,$C618,BASE!$A:$A,U$2)</f>
        <v>0</v>
      </c>
      <c r="V618" s="12">
        <f>SUMIFS(BASE!$G:$G,BASE!$B:$B,$B618,BASE!$L:$L,$G618,BASE!$J:$J,$C618,BASE!$A:$A,V$2)</f>
        <v>0</v>
      </c>
      <c r="X618" t="str">
        <f t="shared" si="19"/>
        <v>ZERADO</v>
      </c>
    </row>
    <row r="619" spans="2:24">
      <c r="B619" s="8" t="s">
        <v>1347</v>
      </c>
      <c r="C619" s="9" t="s">
        <v>229</v>
      </c>
      <c r="D619" s="9" t="s">
        <v>1304</v>
      </c>
      <c r="E619" s="9" t="s">
        <v>1305</v>
      </c>
      <c r="F619" s="9" t="s">
        <v>1346</v>
      </c>
      <c r="G619" s="9" t="s">
        <v>53</v>
      </c>
      <c r="H619" s="7" t="str">
        <f>IFERROR(IF(_xlfn.XLOOKUP(B619,REPASSE!D:D,REPASSE!D:D)="","Não","Sim"),"Não")</f>
        <v>Não</v>
      </c>
      <c r="I619" s="7" t="str">
        <f>IF(_xlfn.XLOOKUP(B619,'BOOST LIBERADO'!B:B,'BOOST LIBERADO'!B:B,"Não")="Não","Não","Sim")</f>
        <v>Sim</v>
      </c>
      <c r="J619" s="83" t="str">
        <f t="shared" si="18"/>
        <v>Sim</v>
      </c>
      <c r="K619" s="12">
        <f>SUMIFS(BASE!$G:$G,BASE!$B:$B,$B619,BASE!$L:$L,$G619,BASE!$J:$J,$C619,BASE!$A:$A,K$2)</f>
        <v>4</v>
      </c>
      <c r="L619" s="12">
        <f>SUMIFS(BASE!$G:$G,BASE!$B:$B,$B619,BASE!$L:$L,$G619,BASE!$J:$J,$C619,BASE!$A:$A,L$2)</f>
        <v>0</v>
      </c>
      <c r="M619" s="12">
        <f>SUMIFS(BASE!$G:$G,BASE!$B:$B,$B619,BASE!$L:$L,$G619,BASE!$J:$J,$C619,BASE!$A:$A,M$2)</f>
        <v>0</v>
      </c>
      <c r="N619" s="12">
        <f>SUMIFS(BASE!$G:$G,BASE!$B:$B,$B619,BASE!$L:$L,$G619,BASE!$J:$J,$C619,BASE!$A:$A,N$2)</f>
        <v>1</v>
      </c>
      <c r="O619" s="12">
        <f>SUMIFS(BASE!$G:$G,BASE!$B:$B,$B619,BASE!$L:$L,$G619,BASE!$J:$J,$C619,BASE!$A:$A,O$2)</f>
        <v>2</v>
      </c>
      <c r="P619" s="12">
        <f>SUMIFS(BASE!$G:$G,BASE!$B:$B,$B619,BASE!$L:$L,$G619,BASE!$J:$J,$C619,BASE!$A:$A,P$2)</f>
        <v>3</v>
      </c>
      <c r="Q619" s="12">
        <f>SUMIFS(BASE!$G:$G,BASE!$B:$B,$B619,BASE!$L:$L,$G619,BASE!$J:$J,$C619,BASE!$A:$A,Q$2)</f>
        <v>2</v>
      </c>
      <c r="R619" s="12">
        <f>SUMIFS(BASE!$G:$G,BASE!$B:$B,$B619,BASE!$L:$L,$G619,BASE!$J:$J,$C619,BASE!$A:$A,R$2)</f>
        <v>3</v>
      </c>
      <c r="S619" s="12">
        <f>SUMIFS(BASE!$G:$G,BASE!$B:$B,$B619,BASE!$L:$L,$G619,BASE!$J:$J,$C619,BASE!$A:$A,S$2)</f>
        <v>0</v>
      </c>
      <c r="T619" s="12">
        <f>SUMIFS(BASE!$G:$G,BASE!$B:$B,$B619,BASE!$L:$L,$G619,BASE!$J:$J,$C619,BASE!$A:$A,T$2)</f>
        <v>0</v>
      </c>
      <c r="U619" s="12">
        <f>SUMIFS(BASE!$G:$G,BASE!$B:$B,$B619,BASE!$L:$L,$G619,BASE!$J:$J,$C619,BASE!$A:$A,U$2)</f>
        <v>0</v>
      </c>
      <c r="V619" s="12">
        <f>SUMIFS(BASE!$G:$G,BASE!$B:$B,$B619,BASE!$L:$L,$G619,BASE!$J:$J,$C619,BASE!$A:$A,V$2)</f>
        <v>0</v>
      </c>
      <c r="X619" t="str">
        <f t="shared" si="19"/>
        <v>COM TROCAS</v>
      </c>
    </row>
    <row r="620" spans="2:24">
      <c r="B620" s="8" t="s">
        <v>1348</v>
      </c>
      <c r="C620" s="9" t="s">
        <v>132</v>
      </c>
      <c r="D620" s="9" t="s">
        <v>1349</v>
      </c>
      <c r="E620" s="9" t="s">
        <v>1305</v>
      </c>
      <c r="F620" s="9" t="s">
        <v>1350</v>
      </c>
      <c r="G620" s="9" t="s">
        <v>53</v>
      </c>
      <c r="H620" s="7" t="str">
        <f>IFERROR(IF(_xlfn.XLOOKUP(B620,REPASSE!D:D,REPASSE!D:D)="","Não","Sim"),"Não")</f>
        <v>Não</v>
      </c>
      <c r="I620" s="7" t="str">
        <f>IF(_xlfn.XLOOKUP(B620,'BOOST LIBERADO'!B:B,'BOOST LIBERADO'!B:B,"Não")="Não","Não","Sim")</f>
        <v>Sim</v>
      </c>
      <c r="J620" s="83" t="str">
        <f t="shared" si="18"/>
        <v>Sim</v>
      </c>
      <c r="K620" s="12">
        <f>SUMIFS(BASE!$G:$G,BASE!$B:$B,$B620,BASE!$L:$L,$G620,BASE!$J:$J,$C620,BASE!$A:$A,K$2)</f>
        <v>9</v>
      </c>
      <c r="L620" s="12">
        <f>SUMIFS(BASE!$G:$G,BASE!$B:$B,$B620,BASE!$L:$L,$G620,BASE!$J:$J,$C620,BASE!$A:$A,L$2)</f>
        <v>5</v>
      </c>
      <c r="M620" s="12">
        <f>SUMIFS(BASE!$G:$G,BASE!$B:$B,$B620,BASE!$L:$L,$G620,BASE!$J:$J,$C620,BASE!$A:$A,M$2)</f>
        <v>13</v>
      </c>
      <c r="N620" s="12">
        <f>SUMIFS(BASE!$G:$G,BASE!$B:$B,$B620,BASE!$L:$L,$G620,BASE!$J:$J,$C620,BASE!$A:$A,N$2)</f>
        <v>18</v>
      </c>
      <c r="O620" s="12">
        <f>SUMIFS(BASE!$G:$G,BASE!$B:$B,$B620,BASE!$L:$L,$G620,BASE!$J:$J,$C620,BASE!$A:$A,O$2)</f>
        <v>23</v>
      </c>
      <c r="P620" s="12">
        <f>SUMIFS(BASE!$G:$G,BASE!$B:$B,$B620,BASE!$L:$L,$G620,BASE!$J:$J,$C620,BASE!$A:$A,P$2)</f>
        <v>23</v>
      </c>
      <c r="Q620" s="12">
        <f>SUMIFS(BASE!$G:$G,BASE!$B:$B,$B620,BASE!$L:$L,$G620,BASE!$J:$J,$C620,BASE!$A:$A,Q$2)</f>
        <v>26</v>
      </c>
      <c r="R620" s="12">
        <f>SUMIFS(BASE!$G:$G,BASE!$B:$B,$B620,BASE!$L:$L,$G620,BASE!$J:$J,$C620,BASE!$A:$A,R$2)</f>
        <v>19</v>
      </c>
      <c r="S620" s="12">
        <f>SUMIFS(BASE!$G:$G,BASE!$B:$B,$B620,BASE!$L:$L,$G620,BASE!$J:$J,$C620,BASE!$A:$A,S$2)</f>
        <v>0</v>
      </c>
      <c r="T620" s="12">
        <f>SUMIFS(BASE!$G:$G,BASE!$B:$B,$B620,BASE!$L:$L,$G620,BASE!$J:$J,$C620,BASE!$A:$A,T$2)</f>
        <v>0</v>
      </c>
      <c r="U620" s="12">
        <f>SUMIFS(BASE!$G:$G,BASE!$B:$B,$B620,BASE!$L:$L,$G620,BASE!$J:$J,$C620,BASE!$A:$A,U$2)</f>
        <v>0</v>
      </c>
      <c r="V620" s="12">
        <f>SUMIFS(BASE!$G:$G,BASE!$B:$B,$B620,BASE!$L:$L,$G620,BASE!$J:$J,$C620,BASE!$A:$A,V$2)</f>
        <v>0</v>
      </c>
      <c r="X620" t="str">
        <f t="shared" si="19"/>
        <v>COM TROCAS</v>
      </c>
    </row>
    <row r="621" spans="2:24">
      <c r="B621" s="8" t="s">
        <v>1351</v>
      </c>
      <c r="C621" s="9" t="s">
        <v>132</v>
      </c>
      <c r="D621" s="9" t="s">
        <v>1352</v>
      </c>
      <c r="E621" s="9" t="s">
        <v>1305</v>
      </c>
      <c r="F621" s="9" t="s">
        <v>1313</v>
      </c>
      <c r="G621" s="9" t="s">
        <v>53</v>
      </c>
      <c r="H621" s="7" t="str">
        <f>IFERROR(IF(_xlfn.XLOOKUP(B621,REPASSE!D:D,REPASSE!D:D)="","Não","Sim"),"Não")</f>
        <v>Não</v>
      </c>
      <c r="I621" s="7" t="str">
        <f>IF(_xlfn.XLOOKUP(B621,'BOOST LIBERADO'!B:B,'BOOST LIBERADO'!B:B,"Não")="Não","Não","Sim")</f>
        <v>Sim</v>
      </c>
      <c r="J621" s="83" t="str">
        <f t="shared" si="18"/>
        <v>Sim</v>
      </c>
      <c r="K621" s="12">
        <f>SUMIFS(BASE!$G:$G,BASE!$B:$B,$B621,BASE!$L:$L,$G621,BASE!$J:$J,$C621,BASE!$A:$A,K$2)</f>
        <v>2</v>
      </c>
      <c r="L621" s="12">
        <f>SUMIFS(BASE!$G:$G,BASE!$B:$B,$B621,BASE!$L:$L,$G621,BASE!$J:$J,$C621,BASE!$A:$A,L$2)</f>
        <v>1</v>
      </c>
      <c r="M621" s="12">
        <f>SUMIFS(BASE!$G:$G,BASE!$B:$B,$B621,BASE!$L:$L,$G621,BASE!$J:$J,$C621,BASE!$A:$A,M$2)</f>
        <v>3</v>
      </c>
      <c r="N621" s="12">
        <f>SUMIFS(BASE!$G:$G,BASE!$B:$B,$B621,BASE!$L:$L,$G621,BASE!$J:$J,$C621,BASE!$A:$A,N$2)</f>
        <v>6</v>
      </c>
      <c r="O621" s="12">
        <f>SUMIFS(BASE!$G:$G,BASE!$B:$B,$B621,BASE!$L:$L,$G621,BASE!$J:$J,$C621,BASE!$A:$A,O$2)</f>
        <v>5</v>
      </c>
      <c r="P621" s="12">
        <f>SUMIFS(BASE!$G:$G,BASE!$B:$B,$B621,BASE!$L:$L,$G621,BASE!$J:$J,$C621,BASE!$A:$A,P$2)</f>
        <v>3</v>
      </c>
      <c r="Q621" s="12">
        <f>SUMIFS(BASE!$G:$G,BASE!$B:$B,$B621,BASE!$L:$L,$G621,BASE!$J:$J,$C621,BASE!$A:$A,Q$2)</f>
        <v>3</v>
      </c>
      <c r="R621" s="12">
        <f>SUMIFS(BASE!$G:$G,BASE!$B:$B,$B621,BASE!$L:$L,$G621,BASE!$J:$J,$C621,BASE!$A:$A,R$2)</f>
        <v>1</v>
      </c>
      <c r="S621" s="12">
        <f>SUMIFS(BASE!$G:$G,BASE!$B:$B,$B621,BASE!$L:$L,$G621,BASE!$J:$J,$C621,BASE!$A:$A,S$2)</f>
        <v>0</v>
      </c>
      <c r="T621" s="12">
        <f>SUMIFS(BASE!$G:$G,BASE!$B:$B,$B621,BASE!$L:$L,$G621,BASE!$J:$J,$C621,BASE!$A:$A,T$2)</f>
        <v>0</v>
      </c>
      <c r="U621" s="12">
        <f>SUMIFS(BASE!$G:$G,BASE!$B:$B,$B621,BASE!$L:$L,$G621,BASE!$J:$J,$C621,BASE!$A:$A,U$2)</f>
        <v>0</v>
      </c>
      <c r="V621" s="12">
        <f>SUMIFS(BASE!$G:$G,BASE!$B:$B,$B621,BASE!$L:$L,$G621,BASE!$J:$J,$C621,BASE!$A:$A,V$2)</f>
        <v>0</v>
      </c>
      <c r="X621" t="str">
        <f t="shared" si="19"/>
        <v>COM TROCAS</v>
      </c>
    </row>
    <row r="622" spans="2:24">
      <c r="B622" s="8" t="s">
        <v>1353</v>
      </c>
      <c r="C622" s="9" t="s">
        <v>132</v>
      </c>
      <c r="D622" s="9" t="s">
        <v>1354</v>
      </c>
      <c r="E622" s="9" t="s">
        <v>1305</v>
      </c>
      <c r="F622" s="9" t="s">
        <v>1313</v>
      </c>
      <c r="G622" s="9" t="s">
        <v>53</v>
      </c>
      <c r="H622" s="7" t="str">
        <f>IFERROR(IF(_xlfn.XLOOKUP(B622,REPASSE!D:D,REPASSE!D:D)="","Não","Sim"),"Não")</f>
        <v>Não</v>
      </c>
      <c r="I622" s="7" t="str">
        <f>IF(_xlfn.XLOOKUP(B622,'BOOST LIBERADO'!B:B,'BOOST LIBERADO'!B:B,"Não")="Não","Não","Sim")</f>
        <v>Sim</v>
      </c>
      <c r="J622" s="83" t="str">
        <f t="shared" si="18"/>
        <v>Sim</v>
      </c>
      <c r="K622" s="12">
        <f>SUMIFS(BASE!$G:$G,BASE!$B:$B,$B622,BASE!$L:$L,$G622,BASE!$J:$J,$C622,BASE!$A:$A,K$2)</f>
        <v>6</v>
      </c>
      <c r="L622" s="12">
        <f>SUMIFS(BASE!$G:$G,BASE!$B:$B,$B622,BASE!$L:$L,$G622,BASE!$J:$J,$C622,BASE!$A:$A,L$2)</f>
        <v>5</v>
      </c>
      <c r="M622" s="12">
        <f>SUMIFS(BASE!$G:$G,BASE!$B:$B,$B622,BASE!$L:$L,$G622,BASE!$J:$J,$C622,BASE!$A:$A,M$2)</f>
        <v>18</v>
      </c>
      <c r="N622" s="12">
        <f>SUMIFS(BASE!$G:$G,BASE!$B:$B,$B622,BASE!$L:$L,$G622,BASE!$J:$J,$C622,BASE!$A:$A,N$2)</f>
        <v>13</v>
      </c>
      <c r="O622" s="12">
        <f>SUMIFS(BASE!$G:$G,BASE!$B:$B,$B622,BASE!$L:$L,$G622,BASE!$J:$J,$C622,BASE!$A:$A,O$2)</f>
        <v>15</v>
      </c>
      <c r="P622" s="12">
        <f>SUMIFS(BASE!$G:$G,BASE!$B:$B,$B622,BASE!$L:$L,$G622,BASE!$J:$J,$C622,BASE!$A:$A,P$2)</f>
        <v>11</v>
      </c>
      <c r="Q622" s="12">
        <f>SUMIFS(BASE!$G:$G,BASE!$B:$B,$B622,BASE!$L:$L,$G622,BASE!$J:$J,$C622,BASE!$A:$A,Q$2)</f>
        <v>20</v>
      </c>
      <c r="R622" s="12">
        <f>SUMIFS(BASE!$G:$G,BASE!$B:$B,$B622,BASE!$L:$L,$G622,BASE!$J:$J,$C622,BASE!$A:$A,R$2)</f>
        <v>23</v>
      </c>
      <c r="S622" s="12">
        <f>SUMIFS(BASE!$G:$G,BASE!$B:$B,$B622,BASE!$L:$L,$G622,BASE!$J:$J,$C622,BASE!$A:$A,S$2)</f>
        <v>0</v>
      </c>
      <c r="T622" s="12">
        <f>SUMIFS(BASE!$G:$G,BASE!$B:$B,$B622,BASE!$L:$L,$G622,BASE!$J:$J,$C622,BASE!$A:$A,T$2)</f>
        <v>0</v>
      </c>
      <c r="U622" s="12">
        <f>SUMIFS(BASE!$G:$G,BASE!$B:$B,$B622,BASE!$L:$L,$G622,BASE!$J:$J,$C622,BASE!$A:$A,U$2)</f>
        <v>0</v>
      </c>
      <c r="V622" s="12">
        <f>SUMIFS(BASE!$G:$G,BASE!$B:$B,$B622,BASE!$L:$L,$G622,BASE!$J:$J,$C622,BASE!$A:$A,V$2)</f>
        <v>0</v>
      </c>
      <c r="X622" t="str">
        <f t="shared" si="19"/>
        <v>COM TROCAS</v>
      </c>
    </row>
    <row r="623" spans="2:24">
      <c r="B623" s="8" t="s">
        <v>1355</v>
      </c>
      <c r="C623" s="9" t="s">
        <v>132</v>
      </c>
      <c r="D623" s="9" t="s">
        <v>1352</v>
      </c>
      <c r="E623" s="9" t="s">
        <v>1305</v>
      </c>
      <c r="F623" s="9" t="s">
        <v>1313</v>
      </c>
      <c r="G623" s="9" t="s">
        <v>53</v>
      </c>
      <c r="H623" s="7" t="str">
        <f>IFERROR(IF(_xlfn.XLOOKUP(B623,REPASSE!D:D,REPASSE!D:D)="","Não","Sim"),"Não")</f>
        <v>Não</v>
      </c>
      <c r="I623" s="7" t="str">
        <f>IF(_xlfn.XLOOKUP(B623,'BOOST LIBERADO'!B:B,'BOOST LIBERADO'!B:B,"Não")="Não","Não","Sim")</f>
        <v>Sim</v>
      </c>
      <c r="J623" s="83" t="str">
        <f t="shared" si="18"/>
        <v>Sim</v>
      </c>
      <c r="K623" s="12">
        <f>SUMIFS(BASE!$G:$G,BASE!$B:$B,$B623,BASE!$L:$L,$G623,BASE!$J:$J,$C623,BASE!$A:$A,K$2)</f>
        <v>1</v>
      </c>
      <c r="L623" s="12">
        <f>SUMIFS(BASE!$G:$G,BASE!$B:$B,$B623,BASE!$L:$L,$G623,BASE!$J:$J,$C623,BASE!$A:$A,L$2)</f>
        <v>0</v>
      </c>
      <c r="M623" s="12">
        <f>SUMIFS(BASE!$G:$G,BASE!$B:$B,$B623,BASE!$L:$L,$G623,BASE!$J:$J,$C623,BASE!$A:$A,M$2)</f>
        <v>0</v>
      </c>
      <c r="N623" s="12">
        <f>SUMIFS(BASE!$G:$G,BASE!$B:$B,$B623,BASE!$L:$L,$G623,BASE!$J:$J,$C623,BASE!$A:$A,N$2)</f>
        <v>0</v>
      </c>
      <c r="O623" s="12">
        <f>SUMIFS(BASE!$G:$G,BASE!$B:$B,$B623,BASE!$L:$L,$G623,BASE!$J:$J,$C623,BASE!$A:$A,O$2)</f>
        <v>0</v>
      </c>
      <c r="P623" s="12">
        <f>SUMIFS(BASE!$G:$G,BASE!$B:$B,$B623,BASE!$L:$L,$G623,BASE!$J:$J,$C623,BASE!$A:$A,P$2)</f>
        <v>0</v>
      </c>
      <c r="Q623" s="12">
        <f>SUMIFS(BASE!$G:$G,BASE!$B:$B,$B623,BASE!$L:$L,$G623,BASE!$J:$J,$C623,BASE!$A:$A,Q$2)</f>
        <v>0</v>
      </c>
      <c r="R623" s="12">
        <f>SUMIFS(BASE!$G:$G,BASE!$B:$B,$B623,BASE!$L:$L,$G623,BASE!$J:$J,$C623,BASE!$A:$A,R$2)</f>
        <v>0</v>
      </c>
      <c r="S623" s="12">
        <f>SUMIFS(BASE!$G:$G,BASE!$B:$B,$B623,BASE!$L:$L,$G623,BASE!$J:$J,$C623,BASE!$A:$A,S$2)</f>
        <v>0</v>
      </c>
      <c r="T623" s="12">
        <f>SUMIFS(BASE!$G:$G,BASE!$B:$B,$B623,BASE!$L:$L,$G623,BASE!$J:$J,$C623,BASE!$A:$A,T$2)</f>
        <v>0</v>
      </c>
      <c r="U623" s="12">
        <f>SUMIFS(BASE!$G:$G,BASE!$B:$B,$B623,BASE!$L:$L,$G623,BASE!$J:$J,$C623,BASE!$A:$A,U$2)</f>
        <v>0</v>
      </c>
      <c r="V623" s="12">
        <f>SUMIFS(BASE!$G:$G,BASE!$B:$B,$B623,BASE!$L:$L,$G623,BASE!$J:$J,$C623,BASE!$A:$A,V$2)</f>
        <v>0</v>
      </c>
      <c r="X623" t="str">
        <f t="shared" si="19"/>
        <v>ZERADO</v>
      </c>
    </row>
    <row r="624" spans="2:24">
      <c r="B624" s="8" t="s">
        <v>1356</v>
      </c>
      <c r="C624" s="9" t="s">
        <v>132</v>
      </c>
      <c r="D624" s="9" t="s">
        <v>1349</v>
      </c>
      <c r="E624" s="9" t="s">
        <v>1305</v>
      </c>
      <c r="F624" s="9" t="s">
        <v>1357</v>
      </c>
      <c r="G624" s="9" t="s">
        <v>53</v>
      </c>
      <c r="H624" s="7" t="str">
        <f>IFERROR(IF(_xlfn.XLOOKUP(B624,REPASSE!D:D,REPASSE!D:D)="","Não","Sim"),"Não")</f>
        <v>Não</v>
      </c>
      <c r="I624" s="7" t="str">
        <f>IF(_xlfn.XLOOKUP(B624,'BOOST LIBERADO'!B:B,'BOOST LIBERADO'!B:B,"Não")="Não","Não","Sim")</f>
        <v>Sim</v>
      </c>
      <c r="J624" s="83" t="str">
        <f t="shared" si="18"/>
        <v>Sim</v>
      </c>
      <c r="K624" s="12">
        <f>SUMIFS(BASE!$G:$G,BASE!$B:$B,$B624,BASE!$L:$L,$G624,BASE!$J:$J,$C624,BASE!$A:$A,K$2)</f>
        <v>1</v>
      </c>
      <c r="L624" s="12">
        <f>SUMIFS(BASE!$G:$G,BASE!$B:$B,$B624,BASE!$L:$L,$G624,BASE!$J:$J,$C624,BASE!$A:$A,L$2)</f>
        <v>0</v>
      </c>
      <c r="M624" s="12">
        <f>SUMIFS(BASE!$G:$G,BASE!$B:$B,$B624,BASE!$L:$L,$G624,BASE!$J:$J,$C624,BASE!$A:$A,M$2)</f>
        <v>1</v>
      </c>
      <c r="N624" s="12">
        <f>SUMIFS(BASE!$G:$G,BASE!$B:$B,$B624,BASE!$L:$L,$G624,BASE!$J:$J,$C624,BASE!$A:$A,N$2)</f>
        <v>0</v>
      </c>
      <c r="O624" s="12">
        <f>SUMIFS(BASE!$G:$G,BASE!$B:$B,$B624,BASE!$L:$L,$G624,BASE!$J:$J,$C624,BASE!$A:$A,O$2)</f>
        <v>0</v>
      </c>
      <c r="P624" s="12">
        <f>SUMIFS(BASE!$G:$G,BASE!$B:$B,$B624,BASE!$L:$L,$G624,BASE!$J:$J,$C624,BASE!$A:$A,P$2)</f>
        <v>1</v>
      </c>
      <c r="Q624" s="12">
        <f>SUMIFS(BASE!$G:$G,BASE!$B:$B,$B624,BASE!$L:$L,$G624,BASE!$J:$J,$C624,BASE!$A:$A,Q$2)</f>
        <v>7</v>
      </c>
      <c r="R624" s="12">
        <f>SUMIFS(BASE!$G:$G,BASE!$B:$B,$B624,BASE!$L:$L,$G624,BASE!$J:$J,$C624,BASE!$A:$A,R$2)</f>
        <v>4</v>
      </c>
      <c r="S624" s="12">
        <f>SUMIFS(BASE!$G:$G,BASE!$B:$B,$B624,BASE!$L:$L,$G624,BASE!$J:$J,$C624,BASE!$A:$A,S$2)</f>
        <v>0</v>
      </c>
      <c r="T624" s="12">
        <f>SUMIFS(BASE!$G:$G,BASE!$B:$B,$B624,BASE!$L:$L,$G624,BASE!$J:$J,$C624,BASE!$A:$A,T$2)</f>
        <v>0</v>
      </c>
      <c r="U624" s="12">
        <f>SUMIFS(BASE!$G:$G,BASE!$B:$B,$B624,BASE!$L:$L,$G624,BASE!$J:$J,$C624,BASE!$A:$A,U$2)</f>
        <v>0</v>
      </c>
      <c r="V624" s="12">
        <f>SUMIFS(BASE!$G:$G,BASE!$B:$B,$B624,BASE!$L:$L,$G624,BASE!$J:$J,$C624,BASE!$A:$A,V$2)</f>
        <v>0</v>
      </c>
      <c r="X624" t="str">
        <f t="shared" si="19"/>
        <v>COM TROCAS</v>
      </c>
    </row>
    <row r="625" spans="2:24">
      <c r="B625" s="8" t="s">
        <v>1358</v>
      </c>
      <c r="C625" s="9" t="s">
        <v>132</v>
      </c>
      <c r="D625" s="9" t="s">
        <v>1349</v>
      </c>
      <c r="E625" s="9" t="s">
        <v>1305</v>
      </c>
      <c r="F625" s="9" t="s">
        <v>1357</v>
      </c>
      <c r="G625" s="9" t="s">
        <v>53</v>
      </c>
      <c r="H625" s="7" t="str">
        <f>IFERROR(IF(_xlfn.XLOOKUP(B625,REPASSE!D:D,REPASSE!D:D)="","Não","Sim"),"Não")</f>
        <v>Não</v>
      </c>
      <c r="I625" s="7" t="str">
        <f>IF(_xlfn.XLOOKUP(B625,'BOOST LIBERADO'!B:B,'BOOST LIBERADO'!B:B,"Não")="Não","Não","Sim")</f>
        <v>Sim</v>
      </c>
      <c r="J625" s="83" t="str">
        <f t="shared" si="18"/>
        <v>Sim</v>
      </c>
      <c r="K625" s="12">
        <f>SUMIFS(BASE!$G:$G,BASE!$B:$B,$B625,BASE!$L:$L,$G625,BASE!$J:$J,$C625,BASE!$A:$A,K$2)</f>
        <v>4</v>
      </c>
      <c r="L625" s="12">
        <f>SUMIFS(BASE!$G:$G,BASE!$B:$B,$B625,BASE!$L:$L,$G625,BASE!$J:$J,$C625,BASE!$A:$A,L$2)</f>
        <v>4</v>
      </c>
      <c r="M625" s="12">
        <f>SUMIFS(BASE!$G:$G,BASE!$B:$B,$B625,BASE!$L:$L,$G625,BASE!$J:$J,$C625,BASE!$A:$A,M$2)</f>
        <v>6</v>
      </c>
      <c r="N625" s="12">
        <f>SUMIFS(BASE!$G:$G,BASE!$B:$B,$B625,BASE!$L:$L,$G625,BASE!$J:$J,$C625,BASE!$A:$A,N$2)</f>
        <v>6</v>
      </c>
      <c r="O625" s="12">
        <f>SUMIFS(BASE!$G:$G,BASE!$B:$B,$B625,BASE!$L:$L,$G625,BASE!$J:$J,$C625,BASE!$A:$A,O$2)</f>
        <v>7</v>
      </c>
      <c r="P625" s="12">
        <f>SUMIFS(BASE!$G:$G,BASE!$B:$B,$B625,BASE!$L:$L,$G625,BASE!$J:$J,$C625,BASE!$A:$A,P$2)</f>
        <v>7</v>
      </c>
      <c r="Q625" s="12">
        <f>SUMIFS(BASE!$G:$G,BASE!$B:$B,$B625,BASE!$L:$L,$G625,BASE!$J:$J,$C625,BASE!$A:$A,Q$2)</f>
        <v>9</v>
      </c>
      <c r="R625" s="12">
        <f>SUMIFS(BASE!$G:$G,BASE!$B:$B,$B625,BASE!$L:$L,$G625,BASE!$J:$J,$C625,BASE!$A:$A,R$2)</f>
        <v>3</v>
      </c>
      <c r="S625" s="12">
        <f>SUMIFS(BASE!$G:$G,BASE!$B:$B,$B625,BASE!$L:$L,$G625,BASE!$J:$J,$C625,BASE!$A:$A,S$2)</f>
        <v>0</v>
      </c>
      <c r="T625" s="12">
        <f>SUMIFS(BASE!$G:$G,BASE!$B:$B,$B625,BASE!$L:$L,$G625,BASE!$J:$J,$C625,BASE!$A:$A,T$2)</f>
        <v>0</v>
      </c>
      <c r="U625" s="12">
        <f>SUMIFS(BASE!$G:$G,BASE!$B:$B,$B625,BASE!$L:$L,$G625,BASE!$J:$J,$C625,BASE!$A:$A,U$2)</f>
        <v>0</v>
      </c>
      <c r="V625" s="12">
        <f>SUMIFS(BASE!$G:$G,BASE!$B:$B,$B625,BASE!$L:$L,$G625,BASE!$J:$J,$C625,BASE!$A:$A,V$2)</f>
        <v>0</v>
      </c>
      <c r="X625" t="str">
        <f t="shared" si="19"/>
        <v>COM TROCAS</v>
      </c>
    </row>
    <row r="626" spans="2:24">
      <c r="B626" s="8" t="s">
        <v>1359</v>
      </c>
      <c r="C626" s="9" t="s">
        <v>132</v>
      </c>
      <c r="D626" s="9" t="s">
        <v>1354</v>
      </c>
      <c r="E626" s="9" t="s">
        <v>1305</v>
      </c>
      <c r="F626" s="9" t="s">
        <v>1360</v>
      </c>
      <c r="G626" s="9" t="s">
        <v>53</v>
      </c>
      <c r="H626" s="7" t="str">
        <f>IFERROR(IF(_xlfn.XLOOKUP(B626,REPASSE!D:D,REPASSE!D:D)="","Não","Sim"),"Não")</f>
        <v>Não</v>
      </c>
      <c r="I626" s="7" t="str">
        <f>IF(_xlfn.XLOOKUP(B626,'BOOST LIBERADO'!B:B,'BOOST LIBERADO'!B:B,"Não")="Não","Não","Sim")</f>
        <v>Sim</v>
      </c>
      <c r="J626" s="83" t="str">
        <f t="shared" si="18"/>
        <v>Sim</v>
      </c>
      <c r="K626" s="12">
        <f>SUMIFS(BASE!$G:$G,BASE!$B:$B,$B626,BASE!$L:$L,$G626,BASE!$J:$J,$C626,BASE!$A:$A,K$2)</f>
        <v>0</v>
      </c>
      <c r="L626" s="12">
        <f>SUMIFS(BASE!$G:$G,BASE!$B:$B,$B626,BASE!$L:$L,$G626,BASE!$J:$J,$C626,BASE!$A:$A,L$2)</f>
        <v>1</v>
      </c>
      <c r="M626" s="12">
        <f>SUMIFS(BASE!$G:$G,BASE!$B:$B,$B626,BASE!$L:$L,$G626,BASE!$J:$J,$C626,BASE!$A:$A,M$2)</f>
        <v>0</v>
      </c>
      <c r="N626" s="12">
        <f>SUMIFS(BASE!$G:$G,BASE!$B:$B,$B626,BASE!$L:$L,$G626,BASE!$J:$J,$C626,BASE!$A:$A,N$2)</f>
        <v>0</v>
      </c>
      <c r="O626" s="12">
        <f>SUMIFS(BASE!$G:$G,BASE!$B:$B,$B626,BASE!$L:$L,$G626,BASE!$J:$J,$C626,BASE!$A:$A,O$2)</f>
        <v>0</v>
      </c>
      <c r="P626" s="12">
        <f>SUMIFS(BASE!$G:$G,BASE!$B:$B,$B626,BASE!$L:$L,$G626,BASE!$J:$J,$C626,BASE!$A:$A,P$2)</f>
        <v>0</v>
      </c>
      <c r="Q626" s="12">
        <f>SUMIFS(BASE!$G:$G,BASE!$B:$B,$B626,BASE!$L:$L,$G626,BASE!$J:$J,$C626,BASE!$A:$A,Q$2)</f>
        <v>2</v>
      </c>
      <c r="R626" s="12">
        <f>SUMIFS(BASE!$G:$G,BASE!$B:$B,$B626,BASE!$L:$L,$G626,BASE!$J:$J,$C626,BASE!$A:$A,R$2)</f>
        <v>3</v>
      </c>
      <c r="S626" s="12">
        <f>SUMIFS(BASE!$G:$G,BASE!$B:$B,$B626,BASE!$L:$L,$G626,BASE!$J:$J,$C626,BASE!$A:$A,S$2)</f>
        <v>0</v>
      </c>
      <c r="T626" s="12">
        <f>SUMIFS(BASE!$G:$G,BASE!$B:$B,$B626,BASE!$L:$L,$G626,BASE!$J:$J,$C626,BASE!$A:$A,T$2)</f>
        <v>0</v>
      </c>
      <c r="U626" s="12">
        <f>SUMIFS(BASE!$G:$G,BASE!$B:$B,$B626,BASE!$L:$L,$G626,BASE!$J:$J,$C626,BASE!$A:$A,U$2)</f>
        <v>0</v>
      </c>
      <c r="V626" s="12">
        <f>SUMIFS(BASE!$G:$G,BASE!$B:$B,$B626,BASE!$L:$L,$G626,BASE!$J:$J,$C626,BASE!$A:$A,V$2)</f>
        <v>0</v>
      </c>
      <c r="X626" t="str">
        <f t="shared" si="19"/>
        <v>COM TROCAS</v>
      </c>
    </row>
    <row r="627" spans="2:24">
      <c r="B627" s="8" t="s">
        <v>1361</v>
      </c>
      <c r="C627" s="9" t="s">
        <v>132</v>
      </c>
      <c r="D627" s="9" t="s">
        <v>1354</v>
      </c>
      <c r="E627" s="9" t="s">
        <v>1305</v>
      </c>
      <c r="F627" s="9" t="s">
        <v>1350</v>
      </c>
      <c r="G627" s="9" t="s">
        <v>53</v>
      </c>
      <c r="H627" s="7" t="str">
        <f>IFERROR(IF(_xlfn.XLOOKUP(B627,REPASSE!D:D,REPASSE!D:D)="","Não","Sim"),"Não")</f>
        <v>Não</v>
      </c>
      <c r="I627" s="7" t="str">
        <f>IF(_xlfn.XLOOKUP(B627,'BOOST LIBERADO'!B:B,'BOOST LIBERADO'!B:B,"Não")="Não","Não","Sim")</f>
        <v>Sim</v>
      </c>
      <c r="J627" s="83" t="str">
        <f t="shared" si="18"/>
        <v>Sim</v>
      </c>
      <c r="K627" s="12">
        <f>SUMIFS(BASE!$G:$G,BASE!$B:$B,$B627,BASE!$L:$L,$G627,BASE!$J:$J,$C627,BASE!$A:$A,K$2)</f>
        <v>0</v>
      </c>
      <c r="L627" s="12">
        <f>SUMIFS(BASE!$G:$G,BASE!$B:$B,$B627,BASE!$L:$L,$G627,BASE!$J:$J,$C627,BASE!$A:$A,L$2)</f>
        <v>3</v>
      </c>
      <c r="M627" s="12">
        <f>SUMIFS(BASE!$G:$G,BASE!$B:$B,$B627,BASE!$L:$L,$G627,BASE!$J:$J,$C627,BASE!$A:$A,M$2)</f>
        <v>2</v>
      </c>
      <c r="N627" s="12">
        <f>SUMIFS(BASE!$G:$G,BASE!$B:$B,$B627,BASE!$L:$L,$G627,BASE!$J:$J,$C627,BASE!$A:$A,N$2)</f>
        <v>1</v>
      </c>
      <c r="O627" s="12">
        <f>SUMIFS(BASE!$G:$G,BASE!$B:$B,$B627,BASE!$L:$L,$G627,BASE!$J:$J,$C627,BASE!$A:$A,O$2)</f>
        <v>2</v>
      </c>
      <c r="P627" s="12">
        <f>SUMIFS(BASE!$G:$G,BASE!$B:$B,$B627,BASE!$L:$L,$G627,BASE!$J:$J,$C627,BASE!$A:$A,P$2)</f>
        <v>0</v>
      </c>
      <c r="Q627" s="12">
        <f>SUMIFS(BASE!$G:$G,BASE!$B:$B,$B627,BASE!$L:$L,$G627,BASE!$J:$J,$C627,BASE!$A:$A,Q$2)</f>
        <v>5</v>
      </c>
      <c r="R627" s="12">
        <f>SUMIFS(BASE!$G:$G,BASE!$B:$B,$B627,BASE!$L:$L,$G627,BASE!$J:$J,$C627,BASE!$A:$A,R$2)</f>
        <v>5</v>
      </c>
      <c r="S627" s="12">
        <f>SUMIFS(BASE!$G:$G,BASE!$B:$B,$B627,BASE!$L:$L,$G627,BASE!$J:$J,$C627,BASE!$A:$A,S$2)</f>
        <v>0</v>
      </c>
      <c r="T627" s="12">
        <f>SUMIFS(BASE!$G:$G,BASE!$B:$B,$B627,BASE!$L:$L,$G627,BASE!$J:$J,$C627,BASE!$A:$A,T$2)</f>
        <v>0</v>
      </c>
      <c r="U627" s="12">
        <f>SUMIFS(BASE!$G:$G,BASE!$B:$B,$B627,BASE!$L:$L,$G627,BASE!$J:$J,$C627,BASE!$A:$A,U$2)</f>
        <v>0</v>
      </c>
      <c r="V627" s="12">
        <f>SUMIFS(BASE!$G:$G,BASE!$B:$B,$B627,BASE!$L:$L,$G627,BASE!$J:$J,$C627,BASE!$A:$A,V$2)</f>
        <v>0</v>
      </c>
      <c r="X627" t="str">
        <f t="shared" si="19"/>
        <v>COM TROCAS</v>
      </c>
    </row>
    <row r="628" spans="2:24">
      <c r="B628" s="8" t="s">
        <v>1362</v>
      </c>
      <c r="C628" s="9" t="s">
        <v>132</v>
      </c>
      <c r="D628" s="9" t="s">
        <v>1352</v>
      </c>
      <c r="E628" s="9" t="s">
        <v>1305</v>
      </c>
      <c r="F628" s="9" t="s">
        <v>1313</v>
      </c>
      <c r="G628" s="9" t="s">
        <v>53</v>
      </c>
      <c r="H628" s="7" t="str">
        <f>IFERROR(IF(_xlfn.XLOOKUP(B628,REPASSE!D:D,REPASSE!D:D)="","Não","Sim"),"Não")</f>
        <v>Não</v>
      </c>
      <c r="I628" s="7" t="str">
        <f>IF(_xlfn.XLOOKUP(B628,'BOOST LIBERADO'!B:B,'BOOST LIBERADO'!B:B,"Não")="Não","Não","Sim")</f>
        <v>Sim</v>
      </c>
      <c r="J628" s="83" t="str">
        <f t="shared" si="18"/>
        <v>Sim</v>
      </c>
      <c r="K628" s="12">
        <f>SUMIFS(BASE!$G:$G,BASE!$B:$B,$B628,BASE!$L:$L,$G628,BASE!$J:$J,$C628,BASE!$A:$A,K$2)</f>
        <v>5</v>
      </c>
      <c r="L628" s="12">
        <f>SUMIFS(BASE!$G:$G,BASE!$B:$B,$B628,BASE!$L:$L,$G628,BASE!$J:$J,$C628,BASE!$A:$A,L$2)</f>
        <v>8</v>
      </c>
      <c r="M628" s="12">
        <f>SUMIFS(BASE!$G:$G,BASE!$B:$B,$B628,BASE!$L:$L,$G628,BASE!$J:$J,$C628,BASE!$A:$A,M$2)</f>
        <v>9</v>
      </c>
      <c r="N628" s="12">
        <f>SUMIFS(BASE!$G:$G,BASE!$B:$B,$B628,BASE!$L:$L,$G628,BASE!$J:$J,$C628,BASE!$A:$A,N$2)</f>
        <v>12</v>
      </c>
      <c r="O628" s="12">
        <f>SUMIFS(BASE!$G:$G,BASE!$B:$B,$B628,BASE!$L:$L,$G628,BASE!$J:$J,$C628,BASE!$A:$A,O$2)</f>
        <v>4</v>
      </c>
      <c r="P628" s="12">
        <f>SUMIFS(BASE!$G:$G,BASE!$B:$B,$B628,BASE!$L:$L,$G628,BASE!$J:$J,$C628,BASE!$A:$A,P$2)</f>
        <v>9</v>
      </c>
      <c r="Q628" s="12">
        <f>SUMIFS(BASE!$G:$G,BASE!$B:$B,$B628,BASE!$L:$L,$G628,BASE!$J:$J,$C628,BASE!$A:$A,Q$2)</f>
        <v>15</v>
      </c>
      <c r="R628" s="12">
        <f>SUMIFS(BASE!$G:$G,BASE!$B:$B,$B628,BASE!$L:$L,$G628,BASE!$J:$J,$C628,BASE!$A:$A,R$2)</f>
        <v>13</v>
      </c>
      <c r="S628" s="12">
        <f>SUMIFS(BASE!$G:$G,BASE!$B:$B,$B628,BASE!$L:$L,$G628,BASE!$J:$J,$C628,BASE!$A:$A,S$2)</f>
        <v>0</v>
      </c>
      <c r="T628" s="12">
        <f>SUMIFS(BASE!$G:$G,BASE!$B:$B,$B628,BASE!$L:$L,$G628,BASE!$J:$J,$C628,BASE!$A:$A,T$2)</f>
        <v>0</v>
      </c>
      <c r="U628" s="12">
        <f>SUMIFS(BASE!$G:$G,BASE!$B:$B,$B628,BASE!$L:$L,$G628,BASE!$J:$J,$C628,BASE!$A:$A,U$2)</f>
        <v>0</v>
      </c>
      <c r="V628" s="12">
        <f>SUMIFS(BASE!$G:$G,BASE!$B:$B,$B628,BASE!$L:$L,$G628,BASE!$J:$J,$C628,BASE!$A:$A,V$2)</f>
        <v>0</v>
      </c>
      <c r="X628" t="str">
        <f t="shared" si="19"/>
        <v>COM TROCAS</v>
      </c>
    </row>
    <row r="629" spans="2:24">
      <c r="B629" s="8" t="s">
        <v>1363</v>
      </c>
      <c r="C629" s="9" t="s">
        <v>132</v>
      </c>
      <c r="D629" s="9" t="s">
        <v>1354</v>
      </c>
      <c r="E629" s="9" t="s">
        <v>1305</v>
      </c>
      <c r="F629" s="9" t="s">
        <v>1313</v>
      </c>
      <c r="G629" s="9" t="s">
        <v>53</v>
      </c>
      <c r="H629" s="7" t="str">
        <f>IFERROR(IF(_xlfn.XLOOKUP(B629,REPASSE!D:D,REPASSE!D:D)="","Não","Sim"),"Não")</f>
        <v>Não</v>
      </c>
      <c r="I629" s="7" t="str">
        <f>IF(_xlfn.XLOOKUP(B629,'BOOST LIBERADO'!B:B,'BOOST LIBERADO'!B:B,"Não")="Não","Não","Sim")</f>
        <v>Sim</v>
      </c>
      <c r="J629" s="83" t="str">
        <f t="shared" si="18"/>
        <v>Sim</v>
      </c>
      <c r="K629" s="12">
        <f>SUMIFS(BASE!$G:$G,BASE!$B:$B,$B629,BASE!$L:$L,$G629,BASE!$J:$J,$C629,BASE!$A:$A,K$2)</f>
        <v>5</v>
      </c>
      <c r="L629" s="12">
        <f>SUMIFS(BASE!$G:$G,BASE!$B:$B,$B629,BASE!$L:$L,$G629,BASE!$J:$J,$C629,BASE!$A:$A,L$2)</f>
        <v>2</v>
      </c>
      <c r="M629" s="12">
        <f>SUMIFS(BASE!$G:$G,BASE!$B:$B,$B629,BASE!$L:$L,$G629,BASE!$J:$J,$C629,BASE!$A:$A,M$2)</f>
        <v>9</v>
      </c>
      <c r="N629" s="12">
        <f>SUMIFS(BASE!$G:$G,BASE!$B:$B,$B629,BASE!$L:$L,$G629,BASE!$J:$J,$C629,BASE!$A:$A,N$2)</f>
        <v>8</v>
      </c>
      <c r="O629" s="12">
        <f>SUMIFS(BASE!$G:$G,BASE!$B:$B,$B629,BASE!$L:$L,$G629,BASE!$J:$J,$C629,BASE!$A:$A,O$2)</f>
        <v>11</v>
      </c>
      <c r="P629" s="12">
        <f>SUMIFS(BASE!$G:$G,BASE!$B:$B,$B629,BASE!$L:$L,$G629,BASE!$J:$J,$C629,BASE!$A:$A,P$2)</f>
        <v>12</v>
      </c>
      <c r="Q629" s="12">
        <f>SUMIFS(BASE!$G:$G,BASE!$B:$B,$B629,BASE!$L:$L,$G629,BASE!$J:$J,$C629,BASE!$A:$A,Q$2)</f>
        <v>13</v>
      </c>
      <c r="R629" s="12">
        <f>SUMIFS(BASE!$G:$G,BASE!$B:$B,$B629,BASE!$L:$L,$G629,BASE!$J:$J,$C629,BASE!$A:$A,R$2)</f>
        <v>23</v>
      </c>
      <c r="S629" s="12">
        <f>SUMIFS(BASE!$G:$G,BASE!$B:$B,$B629,BASE!$L:$L,$G629,BASE!$J:$J,$C629,BASE!$A:$A,S$2)</f>
        <v>0</v>
      </c>
      <c r="T629" s="12">
        <f>SUMIFS(BASE!$G:$G,BASE!$B:$B,$B629,BASE!$L:$L,$G629,BASE!$J:$J,$C629,BASE!$A:$A,T$2)</f>
        <v>0</v>
      </c>
      <c r="U629" s="12">
        <f>SUMIFS(BASE!$G:$G,BASE!$B:$B,$B629,BASE!$L:$L,$G629,BASE!$J:$J,$C629,BASE!$A:$A,U$2)</f>
        <v>0</v>
      </c>
      <c r="V629" s="12">
        <f>SUMIFS(BASE!$G:$G,BASE!$B:$B,$B629,BASE!$L:$L,$G629,BASE!$J:$J,$C629,BASE!$A:$A,V$2)</f>
        <v>0</v>
      </c>
      <c r="X629" t="str">
        <f t="shared" si="19"/>
        <v>COM TROCAS</v>
      </c>
    </row>
    <row r="630" spans="2:24">
      <c r="B630" s="8" t="s">
        <v>1364</v>
      </c>
      <c r="C630" s="9" t="s">
        <v>132</v>
      </c>
      <c r="D630" s="9" t="s">
        <v>1349</v>
      </c>
      <c r="E630" s="9" t="s">
        <v>1305</v>
      </c>
      <c r="F630" s="9" t="s">
        <v>1313</v>
      </c>
      <c r="G630" s="9" t="s">
        <v>53</v>
      </c>
      <c r="H630" s="7" t="str">
        <f>IFERROR(IF(_xlfn.XLOOKUP(B630,REPASSE!D:D,REPASSE!D:D)="","Não","Sim"),"Não")</f>
        <v>Não</v>
      </c>
      <c r="I630" s="7" t="str">
        <f>IF(_xlfn.XLOOKUP(B630,'BOOST LIBERADO'!B:B,'BOOST LIBERADO'!B:B,"Não")="Não","Não","Sim")</f>
        <v>Sim</v>
      </c>
      <c r="J630" s="83" t="str">
        <f t="shared" si="18"/>
        <v>Sim</v>
      </c>
      <c r="K630" s="12">
        <f>SUMIFS(BASE!$G:$G,BASE!$B:$B,$B630,BASE!$L:$L,$G630,BASE!$J:$J,$C630,BASE!$A:$A,K$2)</f>
        <v>6</v>
      </c>
      <c r="L630" s="12">
        <f>SUMIFS(BASE!$G:$G,BASE!$B:$B,$B630,BASE!$L:$L,$G630,BASE!$J:$J,$C630,BASE!$A:$A,L$2)</f>
        <v>11</v>
      </c>
      <c r="M630" s="12">
        <f>SUMIFS(BASE!$G:$G,BASE!$B:$B,$B630,BASE!$L:$L,$G630,BASE!$J:$J,$C630,BASE!$A:$A,M$2)</f>
        <v>14</v>
      </c>
      <c r="N630" s="12">
        <f>SUMIFS(BASE!$G:$G,BASE!$B:$B,$B630,BASE!$L:$L,$G630,BASE!$J:$J,$C630,BASE!$A:$A,N$2)</f>
        <v>9</v>
      </c>
      <c r="O630" s="12">
        <f>SUMIFS(BASE!$G:$G,BASE!$B:$B,$B630,BASE!$L:$L,$G630,BASE!$J:$J,$C630,BASE!$A:$A,O$2)</f>
        <v>12</v>
      </c>
      <c r="P630" s="12">
        <f>SUMIFS(BASE!$G:$G,BASE!$B:$B,$B630,BASE!$L:$L,$G630,BASE!$J:$J,$C630,BASE!$A:$A,P$2)</f>
        <v>19</v>
      </c>
      <c r="Q630" s="12">
        <f>SUMIFS(BASE!$G:$G,BASE!$B:$B,$B630,BASE!$L:$L,$G630,BASE!$J:$J,$C630,BASE!$A:$A,Q$2)</f>
        <v>34</v>
      </c>
      <c r="R630" s="12">
        <f>SUMIFS(BASE!$G:$G,BASE!$B:$B,$B630,BASE!$L:$L,$G630,BASE!$J:$J,$C630,BASE!$A:$A,R$2)</f>
        <v>16</v>
      </c>
      <c r="S630" s="12">
        <f>SUMIFS(BASE!$G:$G,BASE!$B:$B,$B630,BASE!$L:$L,$G630,BASE!$J:$J,$C630,BASE!$A:$A,S$2)</f>
        <v>0</v>
      </c>
      <c r="T630" s="12">
        <f>SUMIFS(BASE!$G:$G,BASE!$B:$B,$B630,BASE!$L:$L,$G630,BASE!$J:$J,$C630,BASE!$A:$A,T$2)</f>
        <v>0</v>
      </c>
      <c r="U630" s="12">
        <f>SUMIFS(BASE!$G:$G,BASE!$B:$B,$B630,BASE!$L:$L,$G630,BASE!$J:$J,$C630,BASE!$A:$A,U$2)</f>
        <v>0</v>
      </c>
      <c r="V630" s="12">
        <f>SUMIFS(BASE!$G:$G,BASE!$B:$B,$B630,BASE!$L:$L,$G630,BASE!$J:$J,$C630,BASE!$A:$A,V$2)</f>
        <v>0</v>
      </c>
      <c r="X630" t="str">
        <f t="shared" si="19"/>
        <v>COM TROCAS</v>
      </c>
    </row>
    <row r="631" spans="2:24">
      <c r="B631" s="8" t="s">
        <v>1365</v>
      </c>
      <c r="C631" s="9" t="s">
        <v>132</v>
      </c>
      <c r="D631" s="9" t="s">
        <v>1354</v>
      </c>
      <c r="E631" s="9" t="s">
        <v>1305</v>
      </c>
      <c r="F631" s="9" t="s">
        <v>1366</v>
      </c>
      <c r="G631" s="9" t="s">
        <v>53</v>
      </c>
      <c r="H631" s="7" t="str">
        <f>IFERROR(IF(_xlfn.XLOOKUP(B631,REPASSE!D:D,REPASSE!D:D)="","Não","Sim"),"Não")</f>
        <v>Não</v>
      </c>
      <c r="I631" s="7" t="str">
        <f>IF(_xlfn.XLOOKUP(B631,'BOOST LIBERADO'!B:B,'BOOST LIBERADO'!B:B,"Não")="Não","Não","Sim")</f>
        <v>Sim</v>
      </c>
      <c r="J631" s="83" t="str">
        <f t="shared" si="18"/>
        <v>Sim</v>
      </c>
      <c r="K631" s="12">
        <f>SUMIFS(BASE!$G:$G,BASE!$B:$B,$B631,BASE!$L:$L,$G631,BASE!$J:$J,$C631,BASE!$A:$A,K$2)</f>
        <v>0</v>
      </c>
      <c r="L631" s="12">
        <f>SUMIFS(BASE!$G:$G,BASE!$B:$B,$B631,BASE!$L:$L,$G631,BASE!$J:$J,$C631,BASE!$A:$A,L$2)</f>
        <v>0</v>
      </c>
      <c r="M631" s="12">
        <f>SUMIFS(BASE!$G:$G,BASE!$B:$B,$B631,BASE!$L:$L,$G631,BASE!$J:$J,$C631,BASE!$A:$A,M$2)</f>
        <v>0</v>
      </c>
      <c r="N631" s="12">
        <f>SUMIFS(BASE!$G:$G,BASE!$B:$B,$B631,BASE!$L:$L,$G631,BASE!$J:$J,$C631,BASE!$A:$A,N$2)</f>
        <v>0</v>
      </c>
      <c r="O631" s="12">
        <f>SUMIFS(BASE!$G:$G,BASE!$B:$B,$B631,BASE!$L:$L,$G631,BASE!$J:$J,$C631,BASE!$A:$A,O$2)</f>
        <v>4</v>
      </c>
      <c r="P631" s="12">
        <f>SUMIFS(BASE!$G:$G,BASE!$B:$B,$B631,BASE!$L:$L,$G631,BASE!$J:$J,$C631,BASE!$A:$A,P$2)</f>
        <v>4</v>
      </c>
      <c r="Q631" s="12">
        <f>SUMIFS(BASE!$G:$G,BASE!$B:$B,$B631,BASE!$L:$L,$G631,BASE!$J:$J,$C631,BASE!$A:$A,Q$2)</f>
        <v>13</v>
      </c>
      <c r="R631" s="12">
        <f>SUMIFS(BASE!$G:$G,BASE!$B:$B,$B631,BASE!$L:$L,$G631,BASE!$J:$J,$C631,BASE!$A:$A,R$2)</f>
        <v>5</v>
      </c>
      <c r="S631" s="12">
        <f>SUMIFS(BASE!$G:$G,BASE!$B:$B,$B631,BASE!$L:$L,$G631,BASE!$J:$J,$C631,BASE!$A:$A,S$2)</f>
        <v>0</v>
      </c>
      <c r="T631" s="12">
        <f>SUMIFS(BASE!$G:$G,BASE!$B:$B,$B631,BASE!$L:$L,$G631,BASE!$J:$J,$C631,BASE!$A:$A,T$2)</f>
        <v>0</v>
      </c>
      <c r="U631" s="12">
        <f>SUMIFS(BASE!$G:$G,BASE!$B:$B,$B631,BASE!$L:$L,$G631,BASE!$J:$J,$C631,BASE!$A:$A,U$2)</f>
        <v>0</v>
      </c>
      <c r="V631" s="12">
        <f>SUMIFS(BASE!$G:$G,BASE!$B:$B,$B631,BASE!$L:$L,$G631,BASE!$J:$J,$C631,BASE!$A:$A,V$2)</f>
        <v>0</v>
      </c>
      <c r="X631" t="str">
        <f t="shared" si="19"/>
        <v>COM TROCAS</v>
      </c>
    </row>
    <row r="632" spans="2:24">
      <c r="B632" s="8" t="s">
        <v>1367</v>
      </c>
      <c r="C632" s="9" t="s">
        <v>132</v>
      </c>
      <c r="D632" s="9" t="s">
        <v>1352</v>
      </c>
      <c r="E632" s="9" t="s">
        <v>1305</v>
      </c>
      <c r="F632" s="9" t="s">
        <v>1313</v>
      </c>
      <c r="G632" s="9" t="s">
        <v>53</v>
      </c>
      <c r="H632" s="7" t="str">
        <f>IFERROR(IF(_xlfn.XLOOKUP(B632,REPASSE!D:D,REPASSE!D:D)="","Não","Sim"),"Não")</f>
        <v>Não</v>
      </c>
      <c r="I632" s="7" t="str">
        <f>IF(_xlfn.XLOOKUP(B632,'BOOST LIBERADO'!B:B,'BOOST LIBERADO'!B:B,"Não")="Não","Não","Sim")</f>
        <v>Sim</v>
      </c>
      <c r="J632" s="83" t="str">
        <f t="shared" si="18"/>
        <v>Sim</v>
      </c>
      <c r="K632" s="12">
        <f>SUMIFS(BASE!$G:$G,BASE!$B:$B,$B632,BASE!$L:$L,$G632,BASE!$J:$J,$C632,BASE!$A:$A,K$2)</f>
        <v>0</v>
      </c>
      <c r="L632" s="12">
        <f>SUMIFS(BASE!$G:$G,BASE!$B:$B,$B632,BASE!$L:$L,$G632,BASE!$J:$J,$C632,BASE!$A:$A,L$2)</f>
        <v>0</v>
      </c>
      <c r="M632" s="12">
        <f>SUMIFS(BASE!$G:$G,BASE!$B:$B,$B632,BASE!$L:$L,$G632,BASE!$J:$J,$C632,BASE!$A:$A,M$2)</f>
        <v>1</v>
      </c>
      <c r="N632" s="12">
        <f>SUMIFS(BASE!$G:$G,BASE!$B:$B,$B632,BASE!$L:$L,$G632,BASE!$J:$J,$C632,BASE!$A:$A,N$2)</f>
        <v>3</v>
      </c>
      <c r="O632" s="12">
        <f>SUMIFS(BASE!$G:$G,BASE!$B:$B,$B632,BASE!$L:$L,$G632,BASE!$J:$J,$C632,BASE!$A:$A,O$2)</f>
        <v>2</v>
      </c>
      <c r="P632" s="12">
        <f>SUMIFS(BASE!$G:$G,BASE!$B:$B,$B632,BASE!$L:$L,$G632,BASE!$J:$J,$C632,BASE!$A:$A,P$2)</f>
        <v>5</v>
      </c>
      <c r="Q632" s="12">
        <f>SUMIFS(BASE!$G:$G,BASE!$B:$B,$B632,BASE!$L:$L,$G632,BASE!$J:$J,$C632,BASE!$A:$A,Q$2)</f>
        <v>1</v>
      </c>
      <c r="R632" s="12">
        <f>SUMIFS(BASE!$G:$G,BASE!$B:$B,$B632,BASE!$L:$L,$G632,BASE!$J:$J,$C632,BASE!$A:$A,R$2)</f>
        <v>2</v>
      </c>
      <c r="S632" s="12">
        <f>SUMIFS(BASE!$G:$G,BASE!$B:$B,$B632,BASE!$L:$L,$G632,BASE!$J:$J,$C632,BASE!$A:$A,S$2)</f>
        <v>0</v>
      </c>
      <c r="T632" s="12">
        <f>SUMIFS(BASE!$G:$G,BASE!$B:$B,$B632,BASE!$L:$L,$G632,BASE!$J:$J,$C632,BASE!$A:$A,T$2)</f>
        <v>0</v>
      </c>
      <c r="U632" s="12">
        <f>SUMIFS(BASE!$G:$G,BASE!$B:$B,$B632,BASE!$L:$L,$G632,BASE!$J:$J,$C632,BASE!$A:$A,U$2)</f>
        <v>0</v>
      </c>
      <c r="V632" s="12">
        <f>SUMIFS(BASE!$G:$G,BASE!$B:$B,$B632,BASE!$L:$L,$G632,BASE!$J:$J,$C632,BASE!$A:$A,V$2)</f>
        <v>0</v>
      </c>
      <c r="X632" t="str">
        <f t="shared" si="19"/>
        <v>COM TROCAS</v>
      </c>
    </row>
    <row r="633" spans="2:24">
      <c r="B633" s="8" t="s">
        <v>1368</v>
      </c>
      <c r="C633" s="9" t="s">
        <v>132</v>
      </c>
      <c r="D633" s="9" t="s">
        <v>1349</v>
      </c>
      <c r="E633" s="9" t="s">
        <v>1305</v>
      </c>
      <c r="F633" s="9" t="s">
        <v>1357</v>
      </c>
      <c r="G633" s="9" t="s">
        <v>53</v>
      </c>
      <c r="H633" s="7" t="str">
        <f>IFERROR(IF(_xlfn.XLOOKUP(B633,REPASSE!D:D,REPASSE!D:D)="","Não","Sim"),"Não")</f>
        <v>Não</v>
      </c>
      <c r="I633" s="7" t="str">
        <f>IF(_xlfn.XLOOKUP(B633,'BOOST LIBERADO'!B:B,'BOOST LIBERADO'!B:B,"Não")="Não","Não","Sim")</f>
        <v>Sim</v>
      </c>
      <c r="J633" s="83" t="str">
        <f t="shared" si="18"/>
        <v>Sim</v>
      </c>
      <c r="K633" s="12">
        <f>SUMIFS(BASE!$G:$G,BASE!$B:$B,$B633,BASE!$L:$L,$G633,BASE!$J:$J,$C633,BASE!$A:$A,K$2)</f>
        <v>0</v>
      </c>
      <c r="L633" s="12">
        <f>SUMIFS(BASE!$G:$G,BASE!$B:$B,$B633,BASE!$L:$L,$G633,BASE!$J:$J,$C633,BASE!$A:$A,L$2)</f>
        <v>0</v>
      </c>
      <c r="M633" s="12">
        <f>SUMIFS(BASE!$G:$G,BASE!$B:$B,$B633,BASE!$L:$L,$G633,BASE!$J:$J,$C633,BASE!$A:$A,M$2)</f>
        <v>2</v>
      </c>
      <c r="N633" s="12">
        <f>SUMIFS(BASE!$G:$G,BASE!$B:$B,$B633,BASE!$L:$L,$G633,BASE!$J:$J,$C633,BASE!$A:$A,N$2)</f>
        <v>4</v>
      </c>
      <c r="O633" s="12">
        <f>SUMIFS(BASE!$G:$G,BASE!$B:$B,$B633,BASE!$L:$L,$G633,BASE!$J:$J,$C633,BASE!$A:$A,O$2)</f>
        <v>5</v>
      </c>
      <c r="P633" s="12">
        <f>SUMIFS(BASE!$G:$G,BASE!$B:$B,$B633,BASE!$L:$L,$G633,BASE!$J:$J,$C633,BASE!$A:$A,P$2)</f>
        <v>1</v>
      </c>
      <c r="Q633" s="12">
        <f>SUMIFS(BASE!$G:$G,BASE!$B:$B,$B633,BASE!$L:$L,$G633,BASE!$J:$J,$C633,BASE!$A:$A,Q$2)</f>
        <v>17</v>
      </c>
      <c r="R633" s="12">
        <f>SUMIFS(BASE!$G:$G,BASE!$B:$B,$B633,BASE!$L:$L,$G633,BASE!$J:$J,$C633,BASE!$A:$A,R$2)</f>
        <v>18</v>
      </c>
      <c r="S633" s="12">
        <f>SUMIFS(BASE!$G:$G,BASE!$B:$B,$B633,BASE!$L:$L,$G633,BASE!$J:$J,$C633,BASE!$A:$A,S$2)</f>
        <v>0</v>
      </c>
      <c r="T633" s="12">
        <f>SUMIFS(BASE!$G:$G,BASE!$B:$B,$B633,BASE!$L:$L,$G633,BASE!$J:$J,$C633,BASE!$A:$A,T$2)</f>
        <v>0</v>
      </c>
      <c r="U633" s="12">
        <f>SUMIFS(BASE!$G:$G,BASE!$B:$B,$B633,BASE!$L:$L,$G633,BASE!$J:$J,$C633,BASE!$A:$A,U$2)</f>
        <v>0</v>
      </c>
      <c r="V633" s="12">
        <f>SUMIFS(BASE!$G:$G,BASE!$B:$B,$B633,BASE!$L:$L,$G633,BASE!$J:$J,$C633,BASE!$A:$A,V$2)</f>
        <v>0</v>
      </c>
      <c r="X633" t="str">
        <f t="shared" si="19"/>
        <v>COM TROCAS</v>
      </c>
    </row>
    <row r="634" spans="2:24">
      <c r="B634" s="8" t="s">
        <v>1369</v>
      </c>
      <c r="C634" s="9" t="s">
        <v>132</v>
      </c>
      <c r="D634" s="9" t="s">
        <v>1349</v>
      </c>
      <c r="E634" s="9" t="s">
        <v>1305</v>
      </c>
      <c r="F634" s="9" t="s">
        <v>1313</v>
      </c>
      <c r="G634" s="9" t="s">
        <v>53</v>
      </c>
      <c r="H634" s="7" t="str">
        <f>IFERROR(IF(_xlfn.XLOOKUP(B634,REPASSE!D:D,REPASSE!D:D)="","Não","Sim"),"Não")</f>
        <v>Não</v>
      </c>
      <c r="I634" s="7" t="str">
        <f>IF(_xlfn.XLOOKUP(B634,'BOOST LIBERADO'!B:B,'BOOST LIBERADO'!B:B,"Não")="Não","Não","Sim")</f>
        <v>Sim</v>
      </c>
      <c r="J634" s="83" t="str">
        <f t="shared" si="18"/>
        <v>Sim</v>
      </c>
      <c r="K634" s="12">
        <f>SUMIFS(BASE!$G:$G,BASE!$B:$B,$B634,BASE!$L:$L,$G634,BASE!$J:$J,$C634,BASE!$A:$A,K$2)</f>
        <v>0</v>
      </c>
      <c r="L634" s="12">
        <f>SUMIFS(BASE!$G:$G,BASE!$B:$B,$B634,BASE!$L:$L,$G634,BASE!$J:$J,$C634,BASE!$A:$A,L$2)</f>
        <v>1</v>
      </c>
      <c r="M634" s="12">
        <f>SUMIFS(BASE!$G:$G,BASE!$B:$B,$B634,BASE!$L:$L,$G634,BASE!$J:$J,$C634,BASE!$A:$A,M$2)</f>
        <v>0</v>
      </c>
      <c r="N634" s="12">
        <f>SUMIFS(BASE!$G:$G,BASE!$B:$B,$B634,BASE!$L:$L,$G634,BASE!$J:$J,$C634,BASE!$A:$A,N$2)</f>
        <v>0</v>
      </c>
      <c r="O634" s="12">
        <f>SUMIFS(BASE!$G:$G,BASE!$B:$B,$B634,BASE!$L:$L,$G634,BASE!$J:$J,$C634,BASE!$A:$A,O$2)</f>
        <v>0</v>
      </c>
      <c r="P634" s="12">
        <f>SUMIFS(BASE!$G:$G,BASE!$B:$B,$B634,BASE!$L:$L,$G634,BASE!$J:$J,$C634,BASE!$A:$A,P$2)</f>
        <v>0</v>
      </c>
      <c r="Q634" s="12">
        <f>SUMIFS(BASE!$G:$G,BASE!$B:$B,$B634,BASE!$L:$L,$G634,BASE!$J:$J,$C634,BASE!$A:$A,Q$2)</f>
        <v>0</v>
      </c>
      <c r="R634" s="12">
        <f>SUMIFS(BASE!$G:$G,BASE!$B:$B,$B634,BASE!$L:$L,$G634,BASE!$J:$J,$C634,BASE!$A:$A,R$2)</f>
        <v>0</v>
      </c>
      <c r="S634" s="12">
        <f>SUMIFS(BASE!$G:$G,BASE!$B:$B,$B634,BASE!$L:$L,$G634,BASE!$J:$J,$C634,BASE!$A:$A,S$2)</f>
        <v>0</v>
      </c>
      <c r="T634" s="12">
        <f>SUMIFS(BASE!$G:$G,BASE!$B:$B,$B634,BASE!$L:$L,$G634,BASE!$J:$J,$C634,BASE!$A:$A,T$2)</f>
        <v>0</v>
      </c>
      <c r="U634" s="12">
        <f>SUMIFS(BASE!$G:$G,BASE!$B:$B,$B634,BASE!$L:$L,$G634,BASE!$J:$J,$C634,BASE!$A:$A,U$2)</f>
        <v>0</v>
      </c>
      <c r="V634" s="12">
        <f>SUMIFS(BASE!$G:$G,BASE!$B:$B,$B634,BASE!$L:$L,$G634,BASE!$J:$J,$C634,BASE!$A:$A,V$2)</f>
        <v>0</v>
      </c>
      <c r="X634" t="str">
        <f t="shared" si="19"/>
        <v>ZERADO</v>
      </c>
    </row>
    <row r="635" spans="2:24">
      <c r="B635" s="8" t="s">
        <v>1370</v>
      </c>
      <c r="C635" s="9" t="s">
        <v>132</v>
      </c>
      <c r="D635" s="9" t="s">
        <v>1352</v>
      </c>
      <c r="E635" s="9" t="s">
        <v>1305</v>
      </c>
      <c r="F635" s="9" t="s">
        <v>1371</v>
      </c>
      <c r="G635" s="9" t="s">
        <v>53</v>
      </c>
      <c r="H635" s="7" t="str">
        <f>IFERROR(IF(_xlfn.XLOOKUP(B635,REPASSE!D:D,REPASSE!D:D)="","Não","Sim"),"Não")</f>
        <v>Não</v>
      </c>
      <c r="I635" s="7" t="str">
        <f>IF(_xlfn.XLOOKUP(B635,'BOOST LIBERADO'!B:B,'BOOST LIBERADO'!B:B,"Não")="Não","Não","Sim")</f>
        <v>Sim</v>
      </c>
      <c r="J635" s="83" t="str">
        <f t="shared" si="18"/>
        <v>Sim</v>
      </c>
      <c r="K635" s="12">
        <f>SUMIFS(BASE!$G:$G,BASE!$B:$B,$B635,BASE!$L:$L,$G635,BASE!$J:$J,$C635,BASE!$A:$A,K$2)</f>
        <v>2</v>
      </c>
      <c r="L635" s="12">
        <f>SUMIFS(BASE!$G:$G,BASE!$B:$B,$B635,BASE!$L:$L,$G635,BASE!$J:$J,$C635,BASE!$A:$A,L$2)</f>
        <v>0</v>
      </c>
      <c r="M635" s="12">
        <f>SUMIFS(BASE!$G:$G,BASE!$B:$B,$B635,BASE!$L:$L,$G635,BASE!$J:$J,$C635,BASE!$A:$A,M$2)</f>
        <v>5</v>
      </c>
      <c r="N635" s="12">
        <f>SUMIFS(BASE!$G:$G,BASE!$B:$B,$B635,BASE!$L:$L,$G635,BASE!$J:$J,$C635,BASE!$A:$A,N$2)</f>
        <v>2</v>
      </c>
      <c r="O635" s="12">
        <f>SUMIFS(BASE!$G:$G,BASE!$B:$B,$B635,BASE!$L:$L,$G635,BASE!$J:$J,$C635,BASE!$A:$A,O$2)</f>
        <v>2</v>
      </c>
      <c r="P635" s="12">
        <f>SUMIFS(BASE!$G:$G,BASE!$B:$B,$B635,BASE!$L:$L,$G635,BASE!$J:$J,$C635,BASE!$A:$A,P$2)</f>
        <v>5</v>
      </c>
      <c r="Q635" s="12">
        <f>SUMIFS(BASE!$G:$G,BASE!$B:$B,$B635,BASE!$L:$L,$G635,BASE!$J:$J,$C635,BASE!$A:$A,Q$2)</f>
        <v>4</v>
      </c>
      <c r="R635" s="12">
        <f>SUMIFS(BASE!$G:$G,BASE!$B:$B,$B635,BASE!$L:$L,$G635,BASE!$J:$J,$C635,BASE!$A:$A,R$2)</f>
        <v>2</v>
      </c>
      <c r="S635" s="12">
        <f>SUMIFS(BASE!$G:$G,BASE!$B:$B,$B635,BASE!$L:$L,$G635,BASE!$J:$J,$C635,BASE!$A:$A,S$2)</f>
        <v>0</v>
      </c>
      <c r="T635" s="12">
        <f>SUMIFS(BASE!$G:$G,BASE!$B:$B,$B635,BASE!$L:$L,$G635,BASE!$J:$J,$C635,BASE!$A:$A,T$2)</f>
        <v>0</v>
      </c>
      <c r="U635" s="12">
        <f>SUMIFS(BASE!$G:$G,BASE!$B:$B,$B635,BASE!$L:$L,$G635,BASE!$J:$J,$C635,BASE!$A:$A,U$2)</f>
        <v>0</v>
      </c>
      <c r="V635" s="12">
        <f>SUMIFS(BASE!$G:$G,BASE!$B:$B,$B635,BASE!$L:$L,$G635,BASE!$J:$J,$C635,BASE!$A:$A,V$2)</f>
        <v>0</v>
      </c>
      <c r="X635" t="str">
        <f t="shared" si="19"/>
        <v>COM TROCAS</v>
      </c>
    </row>
    <row r="636" spans="2:24">
      <c r="B636" s="8" t="s">
        <v>1372</v>
      </c>
      <c r="C636" s="9" t="s">
        <v>132</v>
      </c>
      <c r="D636" s="9" t="s">
        <v>1354</v>
      </c>
      <c r="E636" s="9" t="s">
        <v>1305</v>
      </c>
      <c r="F636" s="9" t="s">
        <v>1313</v>
      </c>
      <c r="G636" s="9" t="s">
        <v>53</v>
      </c>
      <c r="H636" s="7" t="str">
        <f>IFERROR(IF(_xlfn.XLOOKUP(B636,REPASSE!D:D,REPASSE!D:D)="","Não","Sim"),"Não")</f>
        <v>Não</v>
      </c>
      <c r="I636" s="7" t="str">
        <f>IF(_xlfn.XLOOKUP(B636,'BOOST LIBERADO'!B:B,'BOOST LIBERADO'!B:B,"Não")="Não","Não","Sim")</f>
        <v>Sim</v>
      </c>
      <c r="J636" s="83" t="str">
        <f t="shared" si="18"/>
        <v>Sim</v>
      </c>
      <c r="K636" s="12">
        <f>SUMIFS(BASE!$G:$G,BASE!$B:$B,$B636,BASE!$L:$L,$G636,BASE!$J:$J,$C636,BASE!$A:$A,K$2)</f>
        <v>19</v>
      </c>
      <c r="L636" s="12">
        <f>SUMIFS(BASE!$G:$G,BASE!$B:$B,$B636,BASE!$L:$L,$G636,BASE!$J:$J,$C636,BASE!$A:$A,L$2)</f>
        <v>16</v>
      </c>
      <c r="M636" s="12">
        <f>SUMIFS(BASE!$G:$G,BASE!$B:$B,$B636,BASE!$L:$L,$G636,BASE!$J:$J,$C636,BASE!$A:$A,M$2)</f>
        <v>38</v>
      </c>
      <c r="N636" s="12">
        <f>SUMIFS(BASE!$G:$G,BASE!$B:$B,$B636,BASE!$L:$L,$G636,BASE!$J:$J,$C636,BASE!$A:$A,N$2)</f>
        <v>26</v>
      </c>
      <c r="O636" s="12">
        <f>SUMIFS(BASE!$G:$G,BASE!$B:$B,$B636,BASE!$L:$L,$G636,BASE!$J:$J,$C636,BASE!$A:$A,O$2)</f>
        <v>23</v>
      </c>
      <c r="P636" s="12">
        <f>SUMIFS(BASE!$G:$G,BASE!$B:$B,$B636,BASE!$L:$L,$G636,BASE!$J:$J,$C636,BASE!$A:$A,P$2)</f>
        <v>29</v>
      </c>
      <c r="Q636" s="12">
        <f>SUMIFS(BASE!$G:$G,BASE!$B:$B,$B636,BASE!$L:$L,$G636,BASE!$J:$J,$C636,BASE!$A:$A,Q$2)</f>
        <v>72</v>
      </c>
      <c r="R636" s="12">
        <f>SUMIFS(BASE!$G:$G,BASE!$B:$B,$B636,BASE!$L:$L,$G636,BASE!$J:$J,$C636,BASE!$A:$A,R$2)</f>
        <v>37</v>
      </c>
      <c r="S636" s="12">
        <f>SUMIFS(BASE!$G:$G,BASE!$B:$B,$B636,BASE!$L:$L,$G636,BASE!$J:$J,$C636,BASE!$A:$A,S$2)</f>
        <v>0</v>
      </c>
      <c r="T636" s="12">
        <f>SUMIFS(BASE!$G:$G,BASE!$B:$B,$B636,BASE!$L:$L,$G636,BASE!$J:$J,$C636,BASE!$A:$A,T$2)</f>
        <v>0</v>
      </c>
      <c r="U636" s="12">
        <f>SUMIFS(BASE!$G:$G,BASE!$B:$B,$B636,BASE!$L:$L,$G636,BASE!$J:$J,$C636,BASE!$A:$A,U$2)</f>
        <v>0</v>
      </c>
      <c r="V636" s="12">
        <f>SUMIFS(BASE!$G:$G,BASE!$B:$B,$B636,BASE!$L:$L,$G636,BASE!$J:$J,$C636,BASE!$A:$A,V$2)</f>
        <v>0</v>
      </c>
      <c r="X636" t="str">
        <f t="shared" si="19"/>
        <v>COM TROCAS</v>
      </c>
    </row>
    <row r="637" spans="2:24">
      <c r="B637" s="8" t="s">
        <v>1373</v>
      </c>
      <c r="C637" s="9" t="s">
        <v>132</v>
      </c>
      <c r="D637" s="9" t="s">
        <v>1352</v>
      </c>
      <c r="E637" s="9" t="s">
        <v>1305</v>
      </c>
      <c r="F637" s="9" t="s">
        <v>1313</v>
      </c>
      <c r="G637" s="9" t="s">
        <v>53</v>
      </c>
      <c r="H637" s="7" t="str">
        <f>IFERROR(IF(_xlfn.XLOOKUP(B637,REPASSE!D:D,REPASSE!D:D)="","Não","Sim"),"Não")</f>
        <v>Não</v>
      </c>
      <c r="I637" s="7" t="str">
        <f>IF(_xlfn.XLOOKUP(B637,'BOOST LIBERADO'!B:B,'BOOST LIBERADO'!B:B,"Não")="Não","Não","Sim")</f>
        <v>Sim</v>
      </c>
      <c r="J637" s="83" t="str">
        <f t="shared" si="18"/>
        <v>Sim</v>
      </c>
      <c r="K637" s="12">
        <f>SUMIFS(BASE!$G:$G,BASE!$B:$B,$B637,BASE!$L:$L,$G637,BASE!$J:$J,$C637,BASE!$A:$A,K$2)</f>
        <v>2</v>
      </c>
      <c r="L637" s="12">
        <f>SUMIFS(BASE!$G:$G,BASE!$B:$B,$B637,BASE!$L:$L,$G637,BASE!$J:$J,$C637,BASE!$A:$A,L$2)</f>
        <v>0</v>
      </c>
      <c r="M637" s="12">
        <f>SUMIFS(BASE!$G:$G,BASE!$B:$B,$B637,BASE!$L:$L,$G637,BASE!$J:$J,$C637,BASE!$A:$A,M$2)</f>
        <v>0</v>
      </c>
      <c r="N637" s="12">
        <f>SUMIFS(BASE!$G:$G,BASE!$B:$B,$B637,BASE!$L:$L,$G637,BASE!$J:$J,$C637,BASE!$A:$A,N$2)</f>
        <v>7</v>
      </c>
      <c r="O637" s="12">
        <f>SUMIFS(BASE!$G:$G,BASE!$B:$B,$B637,BASE!$L:$L,$G637,BASE!$J:$J,$C637,BASE!$A:$A,O$2)</f>
        <v>3</v>
      </c>
      <c r="P637" s="12">
        <f>SUMIFS(BASE!$G:$G,BASE!$B:$B,$B637,BASE!$L:$L,$G637,BASE!$J:$J,$C637,BASE!$A:$A,P$2)</f>
        <v>3</v>
      </c>
      <c r="Q637" s="12">
        <f>SUMIFS(BASE!$G:$G,BASE!$B:$B,$B637,BASE!$L:$L,$G637,BASE!$J:$J,$C637,BASE!$A:$A,Q$2)</f>
        <v>2</v>
      </c>
      <c r="R637" s="12">
        <f>SUMIFS(BASE!$G:$G,BASE!$B:$B,$B637,BASE!$L:$L,$G637,BASE!$J:$J,$C637,BASE!$A:$A,R$2)</f>
        <v>1</v>
      </c>
      <c r="S637" s="12">
        <f>SUMIFS(BASE!$G:$G,BASE!$B:$B,$B637,BASE!$L:$L,$G637,BASE!$J:$J,$C637,BASE!$A:$A,S$2)</f>
        <v>0</v>
      </c>
      <c r="T637" s="12">
        <f>SUMIFS(BASE!$G:$G,BASE!$B:$B,$B637,BASE!$L:$L,$G637,BASE!$J:$J,$C637,BASE!$A:$A,T$2)</f>
        <v>0</v>
      </c>
      <c r="U637" s="12">
        <f>SUMIFS(BASE!$G:$G,BASE!$B:$B,$B637,BASE!$L:$L,$G637,BASE!$J:$J,$C637,BASE!$A:$A,U$2)</f>
        <v>0</v>
      </c>
      <c r="V637" s="12">
        <f>SUMIFS(BASE!$G:$G,BASE!$B:$B,$B637,BASE!$L:$L,$G637,BASE!$J:$J,$C637,BASE!$A:$A,V$2)</f>
        <v>0</v>
      </c>
      <c r="X637" t="str">
        <f t="shared" si="19"/>
        <v>COM TROCAS</v>
      </c>
    </row>
    <row r="638" spans="2:24">
      <c r="B638" s="8" t="s">
        <v>1374</v>
      </c>
      <c r="C638" s="9" t="s">
        <v>229</v>
      </c>
      <c r="D638" s="9" t="s">
        <v>1304</v>
      </c>
      <c r="E638" s="9" t="s">
        <v>1305</v>
      </c>
      <c r="F638" s="9" t="s">
        <v>1375</v>
      </c>
      <c r="G638" s="9" t="s">
        <v>53</v>
      </c>
      <c r="H638" s="7" t="str">
        <f>IFERROR(IF(_xlfn.XLOOKUP(B638,REPASSE!D:D,REPASSE!D:D)="","Não","Sim"),"Não")</f>
        <v>Não</v>
      </c>
      <c r="I638" s="7" t="str">
        <f>IF(_xlfn.XLOOKUP(B638,'BOOST LIBERADO'!B:B,'BOOST LIBERADO'!B:B,"Não")="Não","Não","Sim")</f>
        <v>Sim</v>
      </c>
      <c r="J638" s="83" t="str">
        <f t="shared" si="18"/>
        <v>Sim</v>
      </c>
      <c r="K638" s="12">
        <f>SUMIFS(BASE!$G:$G,BASE!$B:$B,$B638,BASE!$L:$L,$G638,BASE!$J:$J,$C638,BASE!$A:$A,K$2)</f>
        <v>3</v>
      </c>
      <c r="L638" s="12">
        <f>SUMIFS(BASE!$G:$G,BASE!$B:$B,$B638,BASE!$L:$L,$G638,BASE!$J:$J,$C638,BASE!$A:$A,L$2)</f>
        <v>2</v>
      </c>
      <c r="M638" s="12">
        <f>SUMIFS(BASE!$G:$G,BASE!$B:$B,$B638,BASE!$L:$L,$G638,BASE!$J:$J,$C638,BASE!$A:$A,M$2)</f>
        <v>3</v>
      </c>
      <c r="N638" s="12">
        <f>SUMIFS(BASE!$G:$G,BASE!$B:$B,$B638,BASE!$L:$L,$G638,BASE!$J:$J,$C638,BASE!$A:$A,N$2)</f>
        <v>0</v>
      </c>
      <c r="O638" s="12">
        <f>SUMIFS(BASE!$G:$G,BASE!$B:$B,$B638,BASE!$L:$L,$G638,BASE!$J:$J,$C638,BASE!$A:$A,O$2)</f>
        <v>0</v>
      </c>
      <c r="P638" s="12">
        <f>SUMIFS(BASE!$G:$G,BASE!$B:$B,$B638,BASE!$L:$L,$G638,BASE!$J:$J,$C638,BASE!$A:$A,P$2)</f>
        <v>1</v>
      </c>
      <c r="Q638" s="12">
        <f>SUMIFS(BASE!$G:$G,BASE!$B:$B,$B638,BASE!$L:$L,$G638,BASE!$J:$J,$C638,BASE!$A:$A,Q$2)</f>
        <v>3</v>
      </c>
      <c r="R638" s="12">
        <f>SUMIFS(BASE!$G:$G,BASE!$B:$B,$B638,BASE!$L:$L,$G638,BASE!$J:$J,$C638,BASE!$A:$A,R$2)</f>
        <v>2</v>
      </c>
      <c r="S638" s="12">
        <f>SUMIFS(BASE!$G:$G,BASE!$B:$B,$B638,BASE!$L:$L,$G638,BASE!$J:$J,$C638,BASE!$A:$A,S$2)</f>
        <v>0</v>
      </c>
      <c r="T638" s="12">
        <f>SUMIFS(BASE!$G:$G,BASE!$B:$B,$B638,BASE!$L:$L,$G638,BASE!$J:$J,$C638,BASE!$A:$A,T$2)</f>
        <v>0</v>
      </c>
      <c r="U638" s="12">
        <f>SUMIFS(BASE!$G:$G,BASE!$B:$B,$B638,BASE!$L:$L,$G638,BASE!$J:$J,$C638,BASE!$A:$A,U$2)</f>
        <v>0</v>
      </c>
      <c r="V638" s="12">
        <f>SUMIFS(BASE!$G:$G,BASE!$B:$B,$B638,BASE!$L:$L,$G638,BASE!$J:$J,$C638,BASE!$A:$A,V$2)</f>
        <v>0</v>
      </c>
      <c r="X638" t="str">
        <f t="shared" si="19"/>
        <v>COM TROCAS</v>
      </c>
    </row>
    <row r="639" spans="2:24">
      <c r="B639" s="8" t="s">
        <v>1376</v>
      </c>
      <c r="C639" s="9" t="s">
        <v>229</v>
      </c>
      <c r="D639" s="9" t="s">
        <v>1304</v>
      </c>
      <c r="E639" s="9" t="s">
        <v>1305</v>
      </c>
      <c r="F639" s="9" t="s">
        <v>1346</v>
      </c>
      <c r="G639" s="9" t="s">
        <v>53</v>
      </c>
      <c r="H639" s="7" t="str">
        <f>IFERROR(IF(_xlfn.XLOOKUP(B639,REPASSE!D:D,REPASSE!D:D)="","Não","Sim"),"Não")</f>
        <v>Não</v>
      </c>
      <c r="I639" s="7" t="str">
        <f>IF(_xlfn.XLOOKUP(B639,'BOOST LIBERADO'!B:B,'BOOST LIBERADO'!B:B,"Não")="Não","Não","Sim")</f>
        <v>Sim</v>
      </c>
      <c r="J639" s="83" t="str">
        <f t="shared" si="18"/>
        <v>Sim</v>
      </c>
      <c r="K639" s="12">
        <f>SUMIFS(BASE!$G:$G,BASE!$B:$B,$B639,BASE!$L:$L,$G639,BASE!$J:$J,$C639,BASE!$A:$A,K$2)</f>
        <v>3</v>
      </c>
      <c r="L639" s="12">
        <f>SUMIFS(BASE!$G:$G,BASE!$B:$B,$B639,BASE!$L:$L,$G639,BASE!$J:$J,$C639,BASE!$A:$A,L$2)</f>
        <v>1</v>
      </c>
      <c r="M639" s="12">
        <f>SUMIFS(BASE!$G:$G,BASE!$B:$B,$B639,BASE!$L:$L,$G639,BASE!$J:$J,$C639,BASE!$A:$A,M$2)</f>
        <v>8</v>
      </c>
      <c r="N639" s="12">
        <f>SUMIFS(BASE!$G:$G,BASE!$B:$B,$B639,BASE!$L:$L,$G639,BASE!$J:$J,$C639,BASE!$A:$A,N$2)</f>
        <v>1</v>
      </c>
      <c r="O639" s="12">
        <f>SUMIFS(BASE!$G:$G,BASE!$B:$B,$B639,BASE!$L:$L,$G639,BASE!$J:$J,$C639,BASE!$A:$A,O$2)</f>
        <v>4</v>
      </c>
      <c r="P639" s="12">
        <f>SUMIFS(BASE!$G:$G,BASE!$B:$B,$B639,BASE!$L:$L,$G639,BASE!$J:$J,$C639,BASE!$A:$A,P$2)</f>
        <v>2</v>
      </c>
      <c r="Q639" s="12">
        <f>SUMIFS(BASE!$G:$G,BASE!$B:$B,$B639,BASE!$L:$L,$G639,BASE!$J:$J,$C639,BASE!$A:$A,Q$2)</f>
        <v>0</v>
      </c>
      <c r="R639" s="12">
        <f>SUMIFS(BASE!$G:$G,BASE!$B:$B,$B639,BASE!$L:$L,$G639,BASE!$J:$J,$C639,BASE!$A:$A,R$2)</f>
        <v>0</v>
      </c>
      <c r="S639" s="12">
        <f>SUMIFS(BASE!$G:$G,BASE!$B:$B,$B639,BASE!$L:$L,$G639,BASE!$J:$J,$C639,BASE!$A:$A,S$2)</f>
        <v>0</v>
      </c>
      <c r="T639" s="12">
        <f>SUMIFS(BASE!$G:$G,BASE!$B:$B,$B639,BASE!$L:$L,$G639,BASE!$J:$J,$C639,BASE!$A:$A,T$2)</f>
        <v>0</v>
      </c>
      <c r="U639" s="12">
        <f>SUMIFS(BASE!$G:$G,BASE!$B:$B,$B639,BASE!$L:$L,$G639,BASE!$J:$J,$C639,BASE!$A:$A,U$2)</f>
        <v>0</v>
      </c>
      <c r="V639" s="12">
        <f>SUMIFS(BASE!$G:$G,BASE!$B:$B,$B639,BASE!$L:$L,$G639,BASE!$J:$J,$C639,BASE!$A:$A,V$2)</f>
        <v>0</v>
      </c>
      <c r="X639" t="str">
        <f t="shared" si="19"/>
        <v>ZERADO</v>
      </c>
    </row>
    <row r="640" spans="2:24">
      <c r="B640" s="8" t="s">
        <v>1377</v>
      </c>
      <c r="C640" s="9" t="s">
        <v>229</v>
      </c>
      <c r="D640" s="9" t="s">
        <v>1304</v>
      </c>
      <c r="E640" s="9" t="s">
        <v>1305</v>
      </c>
      <c r="F640" s="9" t="s">
        <v>1375</v>
      </c>
      <c r="G640" s="9" t="s">
        <v>53</v>
      </c>
      <c r="H640" s="7" t="str">
        <f>IFERROR(IF(_xlfn.XLOOKUP(B640,REPASSE!D:D,REPASSE!D:D)="","Não","Sim"),"Não")</f>
        <v>Não</v>
      </c>
      <c r="I640" s="7" t="str">
        <f>IF(_xlfn.XLOOKUP(B640,'BOOST LIBERADO'!B:B,'BOOST LIBERADO'!B:B,"Não")="Não","Não","Sim")</f>
        <v>Sim</v>
      </c>
      <c r="J640" s="83" t="str">
        <f t="shared" si="18"/>
        <v>Sim</v>
      </c>
      <c r="K640" s="12">
        <f>SUMIFS(BASE!$G:$G,BASE!$B:$B,$B640,BASE!$L:$L,$G640,BASE!$J:$J,$C640,BASE!$A:$A,K$2)</f>
        <v>3</v>
      </c>
      <c r="L640" s="12">
        <f>SUMIFS(BASE!$G:$G,BASE!$B:$B,$B640,BASE!$L:$L,$G640,BASE!$J:$J,$C640,BASE!$A:$A,L$2)</f>
        <v>3</v>
      </c>
      <c r="M640" s="12">
        <f>SUMIFS(BASE!$G:$G,BASE!$B:$B,$B640,BASE!$L:$L,$G640,BASE!$J:$J,$C640,BASE!$A:$A,M$2)</f>
        <v>4</v>
      </c>
      <c r="N640" s="12">
        <f>SUMIFS(BASE!$G:$G,BASE!$B:$B,$B640,BASE!$L:$L,$G640,BASE!$J:$J,$C640,BASE!$A:$A,N$2)</f>
        <v>4</v>
      </c>
      <c r="O640" s="12">
        <f>SUMIFS(BASE!$G:$G,BASE!$B:$B,$B640,BASE!$L:$L,$G640,BASE!$J:$J,$C640,BASE!$A:$A,O$2)</f>
        <v>1</v>
      </c>
      <c r="P640" s="12">
        <f>SUMIFS(BASE!$G:$G,BASE!$B:$B,$B640,BASE!$L:$L,$G640,BASE!$J:$J,$C640,BASE!$A:$A,P$2)</f>
        <v>4</v>
      </c>
      <c r="Q640" s="12">
        <f>SUMIFS(BASE!$G:$G,BASE!$B:$B,$B640,BASE!$L:$L,$G640,BASE!$J:$J,$C640,BASE!$A:$A,Q$2)</f>
        <v>5</v>
      </c>
      <c r="R640" s="12">
        <f>SUMIFS(BASE!$G:$G,BASE!$B:$B,$B640,BASE!$L:$L,$G640,BASE!$J:$J,$C640,BASE!$A:$A,R$2)</f>
        <v>8</v>
      </c>
      <c r="S640" s="12">
        <f>SUMIFS(BASE!$G:$G,BASE!$B:$B,$B640,BASE!$L:$L,$G640,BASE!$J:$J,$C640,BASE!$A:$A,S$2)</f>
        <v>0</v>
      </c>
      <c r="T640" s="12">
        <f>SUMIFS(BASE!$G:$G,BASE!$B:$B,$B640,BASE!$L:$L,$G640,BASE!$J:$J,$C640,BASE!$A:$A,T$2)</f>
        <v>0</v>
      </c>
      <c r="U640" s="12">
        <f>SUMIFS(BASE!$G:$G,BASE!$B:$B,$B640,BASE!$L:$L,$G640,BASE!$J:$J,$C640,BASE!$A:$A,U$2)</f>
        <v>0</v>
      </c>
      <c r="V640" s="12">
        <f>SUMIFS(BASE!$G:$G,BASE!$B:$B,$B640,BASE!$L:$L,$G640,BASE!$J:$J,$C640,BASE!$A:$A,V$2)</f>
        <v>0</v>
      </c>
      <c r="X640" t="str">
        <f t="shared" si="19"/>
        <v>COM TROCAS</v>
      </c>
    </row>
    <row r="641" spans="2:24">
      <c r="B641" s="8" t="s">
        <v>1378</v>
      </c>
      <c r="C641" s="9" t="s">
        <v>229</v>
      </c>
      <c r="D641" s="9" t="s">
        <v>1304</v>
      </c>
      <c r="E641" s="9" t="s">
        <v>1305</v>
      </c>
      <c r="F641" s="9" t="s">
        <v>1308</v>
      </c>
      <c r="G641" s="9" t="s">
        <v>53</v>
      </c>
      <c r="H641" s="7" t="str">
        <f>IFERROR(IF(_xlfn.XLOOKUP(B641,REPASSE!D:D,REPASSE!D:D)="","Não","Sim"),"Não")</f>
        <v>Não</v>
      </c>
      <c r="I641" s="7" t="str">
        <f>IF(_xlfn.XLOOKUP(B641,'BOOST LIBERADO'!B:B,'BOOST LIBERADO'!B:B,"Não")="Não","Não","Sim")</f>
        <v>Sim</v>
      </c>
      <c r="J641" s="83" t="str">
        <f t="shared" si="18"/>
        <v>Sim</v>
      </c>
      <c r="K641" s="12">
        <f>SUMIFS(BASE!$G:$G,BASE!$B:$B,$B641,BASE!$L:$L,$G641,BASE!$J:$J,$C641,BASE!$A:$A,K$2)</f>
        <v>6</v>
      </c>
      <c r="L641" s="12">
        <f>SUMIFS(BASE!$G:$G,BASE!$B:$B,$B641,BASE!$L:$L,$G641,BASE!$J:$J,$C641,BASE!$A:$A,L$2)</f>
        <v>3</v>
      </c>
      <c r="M641" s="12">
        <f>SUMIFS(BASE!$G:$G,BASE!$B:$B,$B641,BASE!$L:$L,$G641,BASE!$J:$J,$C641,BASE!$A:$A,M$2)</f>
        <v>4</v>
      </c>
      <c r="N641" s="12">
        <f>SUMIFS(BASE!$G:$G,BASE!$B:$B,$B641,BASE!$L:$L,$G641,BASE!$J:$J,$C641,BASE!$A:$A,N$2)</f>
        <v>2</v>
      </c>
      <c r="O641" s="12">
        <f>SUMIFS(BASE!$G:$G,BASE!$B:$B,$B641,BASE!$L:$L,$G641,BASE!$J:$J,$C641,BASE!$A:$A,O$2)</f>
        <v>4</v>
      </c>
      <c r="P641" s="12">
        <f>SUMIFS(BASE!$G:$G,BASE!$B:$B,$B641,BASE!$L:$L,$G641,BASE!$J:$J,$C641,BASE!$A:$A,P$2)</f>
        <v>1</v>
      </c>
      <c r="Q641" s="12">
        <f>SUMIFS(BASE!$G:$G,BASE!$B:$B,$B641,BASE!$L:$L,$G641,BASE!$J:$J,$C641,BASE!$A:$A,Q$2)</f>
        <v>3</v>
      </c>
      <c r="R641" s="12">
        <f>SUMIFS(BASE!$G:$G,BASE!$B:$B,$B641,BASE!$L:$L,$G641,BASE!$J:$J,$C641,BASE!$A:$A,R$2)</f>
        <v>2</v>
      </c>
      <c r="S641" s="12">
        <f>SUMIFS(BASE!$G:$G,BASE!$B:$B,$B641,BASE!$L:$L,$G641,BASE!$J:$J,$C641,BASE!$A:$A,S$2)</f>
        <v>0</v>
      </c>
      <c r="T641" s="12">
        <f>SUMIFS(BASE!$G:$G,BASE!$B:$B,$B641,BASE!$L:$L,$G641,BASE!$J:$J,$C641,BASE!$A:$A,T$2)</f>
        <v>0</v>
      </c>
      <c r="U641" s="12">
        <f>SUMIFS(BASE!$G:$G,BASE!$B:$B,$B641,BASE!$L:$L,$G641,BASE!$J:$J,$C641,BASE!$A:$A,U$2)</f>
        <v>0</v>
      </c>
      <c r="V641" s="12">
        <f>SUMIFS(BASE!$G:$G,BASE!$B:$B,$B641,BASE!$L:$L,$G641,BASE!$J:$J,$C641,BASE!$A:$A,V$2)</f>
        <v>0</v>
      </c>
      <c r="X641" t="str">
        <f t="shared" si="19"/>
        <v>COM TROCAS</v>
      </c>
    </row>
    <row r="642" spans="2:24">
      <c r="B642" s="8" t="s">
        <v>1379</v>
      </c>
      <c r="C642" s="9" t="s">
        <v>229</v>
      </c>
      <c r="D642" s="9" t="s">
        <v>1304</v>
      </c>
      <c r="E642" s="9" t="s">
        <v>1305</v>
      </c>
      <c r="F642" s="9" t="s">
        <v>1380</v>
      </c>
      <c r="G642" s="9" t="s">
        <v>53</v>
      </c>
      <c r="H642" s="7" t="str">
        <f>IFERROR(IF(_xlfn.XLOOKUP(B642,REPASSE!D:D,REPASSE!D:D)="","Não","Sim"),"Não")</f>
        <v>Não</v>
      </c>
      <c r="I642" s="7" t="str">
        <f>IF(_xlfn.XLOOKUP(B642,'BOOST LIBERADO'!B:B,'BOOST LIBERADO'!B:B,"Não")="Não","Não","Sim")</f>
        <v>Sim</v>
      </c>
      <c r="J642" s="83" t="str">
        <f t="shared" si="18"/>
        <v>Sim</v>
      </c>
      <c r="K642" s="12">
        <f>SUMIFS(BASE!$G:$G,BASE!$B:$B,$B642,BASE!$L:$L,$G642,BASE!$J:$J,$C642,BASE!$A:$A,K$2)</f>
        <v>0</v>
      </c>
      <c r="L642" s="12">
        <f>SUMIFS(BASE!$G:$G,BASE!$B:$B,$B642,BASE!$L:$L,$G642,BASE!$J:$J,$C642,BASE!$A:$A,L$2)</f>
        <v>0</v>
      </c>
      <c r="M642" s="12">
        <f>SUMIFS(BASE!$G:$G,BASE!$B:$B,$B642,BASE!$L:$L,$G642,BASE!$J:$J,$C642,BASE!$A:$A,M$2)</f>
        <v>0</v>
      </c>
      <c r="N642" s="12">
        <f>SUMIFS(BASE!$G:$G,BASE!$B:$B,$B642,BASE!$L:$L,$G642,BASE!$J:$J,$C642,BASE!$A:$A,N$2)</f>
        <v>0</v>
      </c>
      <c r="O642" s="12">
        <f>SUMIFS(BASE!$G:$G,BASE!$B:$B,$B642,BASE!$L:$L,$G642,BASE!$J:$J,$C642,BASE!$A:$A,O$2)</f>
        <v>0</v>
      </c>
      <c r="P642" s="12">
        <f>SUMIFS(BASE!$G:$G,BASE!$B:$B,$B642,BASE!$L:$L,$G642,BASE!$J:$J,$C642,BASE!$A:$A,P$2)</f>
        <v>0</v>
      </c>
      <c r="Q642" s="12">
        <f>SUMIFS(BASE!$G:$G,BASE!$B:$B,$B642,BASE!$L:$L,$G642,BASE!$J:$J,$C642,BASE!$A:$A,Q$2)</f>
        <v>0</v>
      </c>
      <c r="R642" s="12">
        <f>SUMIFS(BASE!$G:$G,BASE!$B:$B,$B642,BASE!$L:$L,$G642,BASE!$J:$J,$C642,BASE!$A:$A,R$2)</f>
        <v>1</v>
      </c>
      <c r="S642" s="12">
        <f>SUMIFS(BASE!$G:$G,BASE!$B:$B,$B642,BASE!$L:$L,$G642,BASE!$J:$J,$C642,BASE!$A:$A,S$2)</f>
        <v>0</v>
      </c>
      <c r="T642" s="12">
        <f>SUMIFS(BASE!$G:$G,BASE!$B:$B,$B642,BASE!$L:$L,$G642,BASE!$J:$J,$C642,BASE!$A:$A,T$2)</f>
        <v>0</v>
      </c>
      <c r="U642" s="12">
        <f>SUMIFS(BASE!$G:$G,BASE!$B:$B,$B642,BASE!$L:$L,$G642,BASE!$J:$J,$C642,BASE!$A:$A,U$2)</f>
        <v>0</v>
      </c>
      <c r="V642" s="12">
        <f>SUMIFS(BASE!$G:$G,BASE!$B:$B,$B642,BASE!$L:$L,$G642,BASE!$J:$J,$C642,BASE!$A:$A,V$2)</f>
        <v>0</v>
      </c>
      <c r="X642" t="str">
        <f t="shared" si="19"/>
        <v>COM TROCAS</v>
      </c>
    </row>
    <row r="643" spans="2:24">
      <c r="B643" s="8" t="s">
        <v>1381</v>
      </c>
      <c r="C643" s="9" t="s">
        <v>157</v>
      </c>
      <c r="D643" s="9" t="s">
        <v>1382</v>
      </c>
      <c r="E643" s="9" t="s">
        <v>1321</v>
      </c>
      <c r="F643" s="9" t="s">
        <v>1383</v>
      </c>
      <c r="G643" s="9" t="s">
        <v>53</v>
      </c>
      <c r="H643" s="7" t="str">
        <f>IFERROR(IF(_xlfn.XLOOKUP(B643,REPASSE!D:D,REPASSE!D:D)="","Não","Sim"),"Não")</f>
        <v>Não</v>
      </c>
      <c r="I643" s="7" t="str">
        <f>IF(_xlfn.XLOOKUP(B643,'BOOST LIBERADO'!B:B,'BOOST LIBERADO'!B:B,"Não")="Não","Não","Sim")</f>
        <v>Sim</v>
      </c>
      <c r="J643" s="83" t="str">
        <f t="shared" si="18"/>
        <v>Sim</v>
      </c>
      <c r="K643" s="12">
        <f>SUMIFS(BASE!$G:$G,BASE!$B:$B,$B643,BASE!$L:$L,$G643,BASE!$J:$J,$C643,BASE!$A:$A,K$2)</f>
        <v>0</v>
      </c>
      <c r="L643" s="12">
        <f>SUMIFS(BASE!$G:$G,BASE!$B:$B,$B643,BASE!$L:$L,$G643,BASE!$J:$J,$C643,BASE!$A:$A,L$2)</f>
        <v>0</v>
      </c>
      <c r="M643" s="12">
        <f>SUMIFS(BASE!$G:$G,BASE!$B:$B,$B643,BASE!$L:$L,$G643,BASE!$J:$J,$C643,BASE!$A:$A,M$2)</f>
        <v>0</v>
      </c>
      <c r="N643" s="12">
        <f>SUMIFS(BASE!$G:$G,BASE!$B:$B,$B643,BASE!$L:$L,$G643,BASE!$J:$J,$C643,BASE!$A:$A,N$2)</f>
        <v>0</v>
      </c>
      <c r="O643" s="12">
        <f>SUMIFS(BASE!$G:$G,BASE!$B:$B,$B643,BASE!$L:$L,$G643,BASE!$J:$J,$C643,BASE!$A:$A,O$2)</f>
        <v>0</v>
      </c>
      <c r="P643" s="12">
        <f>SUMIFS(BASE!$G:$G,BASE!$B:$B,$B643,BASE!$L:$L,$G643,BASE!$J:$J,$C643,BASE!$A:$A,P$2)</f>
        <v>0</v>
      </c>
      <c r="Q643" s="12">
        <f>SUMIFS(BASE!$G:$G,BASE!$B:$B,$B643,BASE!$L:$L,$G643,BASE!$J:$J,$C643,BASE!$A:$A,Q$2)</f>
        <v>0</v>
      </c>
      <c r="R643" s="12">
        <f>SUMIFS(BASE!$G:$G,BASE!$B:$B,$B643,BASE!$L:$L,$G643,BASE!$J:$J,$C643,BASE!$A:$A,R$2)</f>
        <v>0</v>
      </c>
      <c r="S643" s="12">
        <f>SUMIFS(BASE!$G:$G,BASE!$B:$B,$B643,BASE!$L:$L,$G643,BASE!$J:$J,$C643,BASE!$A:$A,S$2)</f>
        <v>0</v>
      </c>
      <c r="T643" s="12">
        <f>SUMIFS(BASE!$G:$G,BASE!$B:$B,$B643,BASE!$L:$L,$G643,BASE!$J:$J,$C643,BASE!$A:$A,T$2)</f>
        <v>0</v>
      </c>
      <c r="U643" s="12">
        <f>SUMIFS(BASE!$G:$G,BASE!$B:$B,$B643,BASE!$L:$L,$G643,BASE!$J:$J,$C643,BASE!$A:$A,U$2)</f>
        <v>0</v>
      </c>
      <c r="V643" s="12">
        <f>SUMIFS(BASE!$G:$G,BASE!$B:$B,$B643,BASE!$L:$L,$G643,BASE!$J:$J,$C643,BASE!$A:$A,V$2)</f>
        <v>0</v>
      </c>
      <c r="X643" t="str">
        <f t="shared" si="19"/>
        <v>ZERADO</v>
      </c>
    </row>
    <row r="644" spans="2:24">
      <c r="B644" s="8" t="s">
        <v>1384</v>
      </c>
      <c r="C644" s="9" t="s">
        <v>157</v>
      </c>
      <c r="D644" s="9" t="s">
        <v>1382</v>
      </c>
      <c r="E644" s="9" t="s">
        <v>1321</v>
      </c>
      <c r="F644" s="9" t="s">
        <v>1385</v>
      </c>
      <c r="G644" s="9" t="s">
        <v>53</v>
      </c>
      <c r="H644" s="7" t="str">
        <f>IFERROR(IF(_xlfn.XLOOKUP(B644,REPASSE!D:D,REPASSE!D:D)="","Não","Sim"),"Não")</f>
        <v>Não</v>
      </c>
      <c r="I644" s="7" t="str">
        <f>IF(_xlfn.XLOOKUP(B644,'BOOST LIBERADO'!B:B,'BOOST LIBERADO'!B:B,"Não")="Não","Não","Sim")</f>
        <v>Sim</v>
      </c>
      <c r="J644" s="83" t="str">
        <f t="shared" ref="J644:J707" si="20">IF(AND(H644="Não",I644="Sim"),"Sim","Não")</f>
        <v>Sim</v>
      </c>
      <c r="K644" s="12">
        <f>SUMIFS(BASE!$G:$G,BASE!$B:$B,$B644,BASE!$L:$L,$G644,BASE!$J:$J,$C644,BASE!$A:$A,K$2)</f>
        <v>0</v>
      </c>
      <c r="L644" s="12">
        <f>SUMIFS(BASE!$G:$G,BASE!$B:$B,$B644,BASE!$L:$L,$G644,BASE!$J:$J,$C644,BASE!$A:$A,L$2)</f>
        <v>0</v>
      </c>
      <c r="M644" s="12">
        <f>SUMIFS(BASE!$G:$G,BASE!$B:$B,$B644,BASE!$L:$L,$G644,BASE!$J:$J,$C644,BASE!$A:$A,M$2)</f>
        <v>0</v>
      </c>
      <c r="N644" s="12">
        <f>SUMIFS(BASE!$G:$G,BASE!$B:$B,$B644,BASE!$L:$L,$G644,BASE!$J:$J,$C644,BASE!$A:$A,N$2)</f>
        <v>0</v>
      </c>
      <c r="O644" s="12">
        <f>SUMIFS(BASE!$G:$G,BASE!$B:$B,$B644,BASE!$L:$L,$G644,BASE!$J:$J,$C644,BASE!$A:$A,O$2)</f>
        <v>0</v>
      </c>
      <c r="P644" s="12">
        <f>SUMIFS(BASE!$G:$G,BASE!$B:$B,$B644,BASE!$L:$L,$G644,BASE!$J:$J,$C644,BASE!$A:$A,P$2)</f>
        <v>0</v>
      </c>
      <c r="Q644" s="12">
        <f>SUMIFS(BASE!$G:$G,BASE!$B:$B,$B644,BASE!$L:$L,$G644,BASE!$J:$J,$C644,BASE!$A:$A,Q$2)</f>
        <v>0</v>
      </c>
      <c r="R644" s="12">
        <f>SUMIFS(BASE!$G:$G,BASE!$B:$B,$B644,BASE!$L:$L,$G644,BASE!$J:$J,$C644,BASE!$A:$A,R$2)</f>
        <v>0</v>
      </c>
      <c r="S644" s="12">
        <f>SUMIFS(BASE!$G:$G,BASE!$B:$B,$B644,BASE!$L:$L,$G644,BASE!$J:$J,$C644,BASE!$A:$A,S$2)</f>
        <v>0</v>
      </c>
      <c r="T644" s="12">
        <f>SUMIFS(BASE!$G:$G,BASE!$B:$B,$B644,BASE!$L:$L,$G644,BASE!$J:$J,$C644,BASE!$A:$A,T$2)</f>
        <v>0</v>
      </c>
      <c r="U644" s="12">
        <f>SUMIFS(BASE!$G:$G,BASE!$B:$B,$B644,BASE!$L:$L,$G644,BASE!$J:$J,$C644,BASE!$A:$A,U$2)</f>
        <v>0</v>
      </c>
      <c r="V644" s="12">
        <f>SUMIFS(BASE!$G:$G,BASE!$B:$B,$B644,BASE!$L:$L,$G644,BASE!$J:$J,$C644,BASE!$A:$A,V$2)</f>
        <v>0</v>
      </c>
      <c r="X644" t="str">
        <f t="shared" ref="X644:X707" si="21">IF(AND(R644=0),"ZERADO","COM TROCAS")</f>
        <v>ZERADO</v>
      </c>
    </row>
    <row r="645" spans="2:24">
      <c r="B645" s="8" t="s">
        <v>1386</v>
      </c>
      <c r="C645" s="9" t="s">
        <v>157</v>
      </c>
      <c r="D645" s="9" t="s">
        <v>1382</v>
      </c>
      <c r="E645" s="9" t="s">
        <v>1321</v>
      </c>
      <c r="F645" s="9" t="s">
        <v>1387</v>
      </c>
      <c r="G645" s="9" t="s">
        <v>53</v>
      </c>
      <c r="H645" s="7" t="str">
        <f>IFERROR(IF(_xlfn.XLOOKUP(B645,REPASSE!D:D,REPASSE!D:D)="","Não","Sim"),"Não")</f>
        <v>Não</v>
      </c>
      <c r="I645" s="7" t="str">
        <f>IF(_xlfn.XLOOKUP(B645,'BOOST LIBERADO'!B:B,'BOOST LIBERADO'!B:B,"Não")="Não","Não","Sim")</f>
        <v>Sim</v>
      </c>
      <c r="J645" s="83" t="str">
        <f t="shared" si="20"/>
        <v>Sim</v>
      </c>
      <c r="K645" s="12">
        <f>SUMIFS(BASE!$G:$G,BASE!$B:$B,$B645,BASE!$L:$L,$G645,BASE!$J:$J,$C645,BASE!$A:$A,K$2)</f>
        <v>0</v>
      </c>
      <c r="L645" s="12">
        <f>SUMIFS(BASE!$G:$G,BASE!$B:$B,$B645,BASE!$L:$L,$G645,BASE!$J:$J,$C645,BASE!$A:$A,L$2)</f>
        <v>0</v>
      </c>
      <c r="M645" s="12">
        <f>SUMIFS(BASE!$G:$G,BASE!$B:$B,$B645,BASE!$L:$L,$G645,BASE!$J:$J,$C645,BASE!$A:$A,M$2)</f>
        <v>0</v>
      </c>
      <c r="N645" s="12">
        <f>SUMIFS(BASE!$G:$G,BASE!$B:$B,$B645,BASE!$L:$L,$G645,BASE!$J:$J,$C645,BASE!$A:$A,N$2)</f>
        <v>0</v>
      </c>
      <c r="O645" s="12">
        <f>SUMIFS(BASE!$G:$G,BASE!$B:$B,$B645,BASE!$L:$L,$G645,BASE!$J:$J,$C645,BASE!$A:$A,O$2)</f>
        <v>0</v>
      </c>
      <c r="P645" s="12">
        <f>SUMIFS(BASE!$G:$G,BASE!$B:$B,$B645,BASE!$L:$L,$G645,BASE!$J:$J,$C645,BASE!$A:$A,P$2)</f>
        <v>0</v>
      </c>
      <c r="Q645" s="12">
        <f>SUMIFS(BASE!$G:$G,BASE!$B:$B,$B645,BASE!$L:$L,$G645,BASE!$J:$J,$C645,BASE!$A:$A,Q$2)</f>
        <v>0</v>
      </c>
      <c r="R645" s="12">
        <f>SUMIFS(BASE!$G:$G,BASE!$B:$B,$B645,BASE!$L:$L,$G645,BASE!$J:$J,$C645,BASE!$A:$A,R$2)</f>
        <v>0</v>
      </c>
      <c r="S645" s="12">
        <f>SUMIFS(BASE!$G:$G,BASE!$B:$B,$B645,BASE!$L:$L,$G645,BASE!$J:$J,$C645,BASE!$A:$A,S$2)</f>
        <v>0</v>
      </c>
      <c r="T645" s="12">
        <f>SUMIFS(BASE!$G:$G,BASE!$B:$B,$B645,BASE!$L:$L,$G645,BASE!$J:$J,$C645,BASE!$A:$A,T$2)</f>
        <v>0</v>
      </c>
      <c r="U645" s="12">
        <f>SUMIFS(BASE!$G:$G,BASE!$B:$B,$B645,BASE!$L:$L,$G645,BASE!$J:$J,$C645,BASE!$A:$A,U$2)</f>
        <v>0</v>
      </c>
      <c r="V645" s="12">
        <f>SUMIFS(BASE!$G:$G,BASE!$B:$B,$B645,BASE!$L:$L,$G645,BASE!$J:$J,$C645,BASE!$A:$A,V$2)</f>
        <v>0</v>
      </c>
      <c r="X645" t="str">
        <f t="shared" si="21"/>
        <v>ZERADO</v>
      </c>
    </row>
    <row r="646" spans="2:24">
      <c r="B646" s="8" t="s">
        <v>1388</v>
      </c>
      <c r="C646" s="9" t="s">
        <v>157</v>
      </c>
      <c r="D646" s="9" t="s">
        <v>1382</v>
      </c>
      <c r="E646" s="9" t="s">
        <v>1321</v>
      </c>
      <c r="F646" s="9" t="s">
        <v>1357</v>
      </c>
      <c r="G646" s="9" t="s">
        <v>53</v>
      </c>
      <c r="H646" s="7" t="str">
        <f>IFERROR(IF(_xlfn.XLOOKUP(B646,REPASSE!D:D,REPASSE!D:D)="","Não","Sim"),"Não")</f>
        <v>Não</v>
      </c>
      <c r="I646" s="7" t="str">
        <f>IF(_xlfn.XLOOKUP(B646,'BOOST LIBERADO'!B:B,'BOOST LIBERADO'!B:B,"Não")="Não","Não","Sim")</f>
        <v>Sim</v>
      </c>
      <c r="J646" s="83" t="str">
        <f t="shared" si="20"/>
        <v>Sim</v>
      </c>
      <c r="K646" s="12">
        <f>SUMIFS(BASE!$G:$G,BASE!$B:$B,$B646,BASE!$L:$L,$G646,BASE!$J:$J,$C646,BASE!$A:$A,K$2)</f>
        <v>0</v>
      </c>
      <c r="L646" s="12">
        <f>SUMIFS(BASE!$G:$G,BASE!$B:$B,$B646,BASE!$L:$L,$G646,BASE!$J:$J,$C646,BASE!$A:$A,L$2)</f>
        <v>0</v>
      </c>
      <c r="M646" s="12">
        <f>SUMIFS(BASE!$G:$G,BASE!$B:$B,$B646,BASE!$L:$L,$G646,BASE!$J:$J,$C646,BASE!$A:$A,M$2)</f>
        <v>0</v>
      </c>
      <c r="N646" s="12">
        <f>SUMIFS(BASE!$G:$G,BASE!$B:$B,$B646,BASE!$L:$L,$G646,BASE!$J:$J,$C646,BASE!$A:$A,N$2)</f>
        <v>0</v>
      </c>
      <c r="O646" s="12">
        <f>SUMIFS(BASE!$G:$G,BASE!$B:$B,$B646,BASE!$L:$L,$G646,BASE!$J:$J,$C646,BASE!$A:$A,O$2)</f>
        <v>0</v>
      </c>
      <c r="P646" s="12">
        <f>SUMIFS(BASE!$G:$G,BASE!$B:$B,$B646,BASE!$L:$L,$G646,BASE!$J:$J,$C646,BASE!$A:$A,P$2)</f>
        <v>0</v>
      </c>
      <c r="Q646" s="12">
        <f>SUMIFS(BASE!$G:$G,BASE!$B:$B,$B646,BASE!$L:$L,$G646,BASE!$J:$J,$C646,BASE!$A:$A,Q$2)</f>
        <v>0</v>
      </c>
      <c r="R646" s="12">
        <f>SUMIFS(BASE!$G:$G,BASE!$B:$B,$B646,BASE!$L:$L,$G646,BASE!$J:$J,$C646,BASE!$A:$A,R$2)</f>
        <v>0</v>
      </c>
      <c r="S646" s="12">
        <f>SUMIFS(BASE!$G:$G,BASE!$B:$B,$B646,BASE!$L:$L,$G646,BASE!$J:$J,$C646,BASE!$A:$A,S$2)</f>
        <v>0</v>
      </c>
      <c r="T646" s="12">
        <f>SUMIFS(BASE!$G:$G,BASE!$B:$B,$B646,BASE!$L:$L,$G646,BASE!$J:$J,$C646,BASE!$A:$A,T$2)</f>
        <v>0</v>
      </c>
      <c r="U646" s="12">
        <f>SUMIFS(BASE!$G:$G,BASE!$B:$B,$B646,BASE!$L:$L,$G646,BASE!$J:$J,$C646,BASE!$A:$A,U$2)</f>
        <v>0</v>
      </c>
      <c r="V646" s="12">
        <f>SUMIFS(BASE!$G:$G,BASE!$B:$B,$B646,BASE!$L:$L,$G646,BASE!$J:$J,$C646,BASE!$A:$A,V$2)</f>
        <v>0</v>
      </c>
      <c r="X646" t="str">
        <f t="shared" si="21"/>
        <v>ZERADO</v>
      </c>
    </row>
    <row r="647" spans="2:24">
      <c r="B647" s="8" t="s">
        <v>1389</v>
      </c>
      <c r="C647" s="9" t="s">
        <v>157</v>
      </c>
      <c r="D647" s="9" t="s">
        <v>1382</v>
      </c>
      <c r="E647" s="9" t="s">
        <v>1321</v>
      </c>
      <c r="F647" s="9" t="s">
        <v>1390</v>
      </c>
      <c r="G647" s="9" t="s">
        <v>53</v>
      </c>
      <c r="H647" s="7" t="str">
        <f>IFERROR(IF(_xlfn.XLOOKUP(B647,REPASSE!D:D,REPASSE!D:D)="","Não","Sim"),"Não")</f>
        <v>Não</v>
      </c>
      <c r="I647" s="7" t="str">
        <f>IF(_xlfn.XLOOKUP(B647,'BOOST LIBERADO'!B:B,'BOOST LIBERADO'!B:B,"Não")="Não","Não","Sim")</f>
        <v>Sim</v>
      </c>
      <c r="J647" s="83" t="str">
        <f t="shared" si="20"/>
        <v>Sim</v>
      </c>
      <c r="K647" s="12">
        <f>SUMIFS(BASE!$G:$G,BASE!$B:$B,$B647,BASE!$L:$L,$G647,BASE!$J:$J,$C647,BASE!$A:$A,K$2)</f>
        <v>0</v>
      </c>
      <c r="L647" s="12">
        <f>SUMIFS(BASE!$G:$G,BASE!$B:$B,$B647,BASE!$L:$L,$G647,BASE!$J:$J,$C647,BASE!$A:$A,L$2)</f>
        <v>0</v>
      </c>
      <c r="M647" s="12">
        <f>SUMIFS(BASE!$G:$G,BASE!$B:$B,$B647,BASE!$L:$L,$G647,BASE!$J:$J,$C647,BASE!$A:$A,M$2)</f>
        <v>0</v>
      </c>
      <c r="N647" s="12">
        <f>SUMIFS(BASE!$G:$G,BASE!$B:$B,$B647,BASE!$L:$L,$G647,BASE!$J:$J,$C647,BASE!$A:$A,N$2)</f>
        <v>0</v>
      </c>
      <c r="O647" s="12">
        <f>SUMIFS(BASE!$G:$G,BASE!$B:$B,$B647,BASE!$L:$L,$G647,BASE!$J:$J,$C647,BASE!$A:$A,O$2)</f>
        <v>0</v>
      </c>
      <c r="P647" s="12">
        <f>SUMIFS(BASE!$G:$G,BASE!$B:$B,$B647,BASE!$L:$L,$G647,BASE!$J:$J,$C647,BASE!$A:$A,P$2)</f>
        <v>0</v>
      </c>
      <c r="Q647" s="12">
        <f>SUMIFS(BASE!$G:$G,BASE!$B:$B,$B647,BASE!$L:$L,$G647,BASE!$J:$J,$C647,BASE!$A:$A,Q$2)</f>
        <v>0</v>
      </c>
      <c r="R647" s="12">
        <f>SUMIFS(BASE!$G:$G,BASE!$B:$B,$B647,BASE!$L:$L,$G647,BASE!$J:$J,$C647,BASE!$A:$A,R$2)</f>
        <v>0</v>
      </c>
      <c r="S647" s="12">
        <f>SUMIFS(BASE!$G:$G,BASE!$B:$B,$B647,BASE!$L:$L,$G647,BASE!$J:$J,$C647,BASE!$A:$A,S$2)</f>
        <v>0</v>
      </c>
      <c r="T647" s="12">
        <f>SUMIFS(BASE!$G:$G,BASE!$B:$B,$B647,BASE!$L:$L,$G647,BASE!$J:$J,$C647,BASE!$A:$A,T$2)</f>
        <v>0</v>
      </c>
      <c r="U647" s="12">
        <f>SUMIFS(BASE!$G:$G,BASE!$B:$B,$B647,BASE!$L:$L,$G647,BASE!$J:$J,$C647,BASE!$A:$A,U$2)</f>
        <v>0</v>
      </c>
      <c r="V647" s="12">
        <f>SUMIFS(BASE!$G:$G,BASE!$B:$B,$B647,BASE!$L:$L,$G647,BASE!$J:$J,$C647,BASE!$A:$A,V$2)</f>
        <v>0</v>
      </c>
      <c r="X647" t="str">
        <f t="shared" si="21"/>
        <v>ZERADO</v>
      </c>
    </row>
    <row r="648" spans="2:24">
      <c r="B648" s="8" t="s">
        <v>1391</v>
      </c>
      <c r="C648" s="9" t="s">
        <v>157</v>
      </c>
      <c r="D648" s="9" t="s">
        <v>1382</v>
      </c>
      <c r="E648" s="9" t="s">
        <v>1321</v>
      </c>
      <c r="F648" s="9" t="s">
        <v>1392</v>
      </c>
      <c r="G648" s="9" t="s">
        <v>53</v>
      </c>
      <c r="H648" s="7" t="str">
        <f>IFERROR(IF(_xlfn.XLOOKUP(B648,REPASSE!D:D,REPASSE!D:D)="","Não","Sim"),"Não")</f>
        <v>Não</v>
      </c>
      <c r="I648" s="7" t="str">
        <f>IF(_xlfn.XLOOKUP(B648,'BOOST LIBERADO'!B:B,'BOOST LIBERADO'!B:B,"Não")="Não","Não","Sim")</f>
        <v>Sim</v>
      </c>
      <c r="J648" s="83" t="str">
        <f t="shared" si="20"/>
        <v>Sim</v>
      </c>
      <c r="K648" s="12">
        <f>SUMIFS(BASE!$G:$G,BASE!$B:$B,$B648,BASE!$L:$L,$G648,BASE!$J:$J,$C648,BASE!$A:$A,K$2)</f>
        <v>0</v>
      </c>
      <c r="L648" s="12">
        <f>SUMIFS(BASE!$G:$G,BASE!$B:$B,$B648,BASE!$L:$L,$G648,BASE!$J:$J,$C648,BASE!$A:$A,L$2)</f>
        <v>0</v>
      </c>
      <c r="M648" s="12">
        <f>SUMIFS(BASE!$G:$G,BASE!$B:$B,$B648,BASE!$L:$L,$G648,BASE!$J:$J,$C648,BASE!$A:$A,M$2)</f>
        <v>0</v>
      </c>
      <c r="N648" s="12">
        <f>SUMIFS(BASE!$G:$G,BASE!$B:$B,$B648,BASE!$L:$L,$G648,BASE!$J:$J,$C648,BASE!$A:$A,N$2)</f>
        <v>0</v>
      </c>
      <c r="O648" s="12">
        <f>SUMIFS(BASE!$G:$G,BASE!$B:$B,$B648,BASE!$L:$L,$G648,BASE!$J:$J,$C648,BASE!$A:$A,O$2)</f>
        <v>0</v>
      </c>
      <c r="P648" s="12">
        <f>SUMIFS(BASE!$G:$G,BASE!$B:$B,$B648,BASE!$L:$L,$G648,BASE!$J:$J,$C648,BASE!$A:$A,P$2)</f>
        <v>0</v>
      </c>
      <c r="Q648" s="12">
        <f>SUMIFS(BASE!$G:$G,BASE!$B:$B,$B648,BASE!$L:$L,$G648,BASE!$J:$J,$C648,BASE!$A:$A,Q$2)</f>
        <v>0</v>
      </c>
      <c r="R648" s="12">
        <f>SUMIFS(BASE!$G:$G,BASE!$B:$B,$B648,BASE!$L:$L,$G648,BASE!$J:$J,$C648,BASE!$A:$A,R$2)</f>
        <v>0</v>
      </c>
      <c r="S648" s="12">
        <f>SUMIFS(BASE!$G:$G,BASE!$B:$B,$B648,BASE!$L:$L,$G648,BASE!$J:$J,$C648,BASE!$A:$A,S$2)</f>
        <v>0</v>
      </c>
      <c r="T648" s="12">
        <f>SUMIFS(BASE!$G:$G,BASE!$B:$B,$B648,BASE!$L:$L,$G648,BASE!$J:$J,$C648,BASE!$A:$A,T$2)</f>
        <v>0</v>
      </c>
      <c r="U648" s="12">
        <f>SUMIFS(BASE!$G:$G,BASE!$B:$B,$B648,BASE!$L:$L,$G648,BASE!$J:$J,$C648,BASE!$A:$A,U$2)</f>
        <v>0</v>
      </c>
      <c r="V648" s="12">
        <f>SUMIFS(BASE!$G:$G,BASE!$B:$B,$B648,BASE!$L:$L,$G648,BASE!$J:$J,$C648,BASE!$A:$A,V$2)</f>
        <v>0</v>
      </c>
      <c r="X648" t="str">
        <f t="shared" si="21"/>
        <v>ZERADO</v>
      </c>
    </row>
    <row r="649" spans="2:24">
      <c r="B649" s="8" t="s">
        <v>1393</v>
      </c>
      <c r="C649" s="9" t="s">
        <v>106</v>
      </c>
      <c r="D649" s="9" t="s">
        <v>1394</v>
      </c>
      <c r="E649" s="9" t="s">
        <v>1301</v>
      </c>
      <c r="F649" s="9" t="s">
        <v>1313</v>
      </c>
      <c r="G649" s="9" t="s">
        <v>53</v>
      </c>
      <c r="H649" s="7" t="str">
        <f>IFERROR(IF(_xlfn.XLOOKUP(B649,REPASSE!D:D,REPASSE!D:D)="","Não","Sim"),"Não")</f>
        <v>Não</v>
      </c>
      <c r="I649" s="7" t="str">
        <f>IF(_xlfn.XLOOKUP(B649,'BOOST LIBERADO'!B:B,'BOOST LIBERADO'!B:B,"Não")="Não","Não","Sim")</f>
        <v>Sim</v>
      </c>
      <c r="J649" s="83" t="str">
        <f t="shared" si="20"/>
        <v>Sim</v>
      </c>
      <c r="K649" s="12">
        <f>SUMIFS(BASE!$G:$G,BASE!$B:$B,$B649,BASE!$L:$L,$G649,BASE!$J:$J,$C649,BASE!$A:$A,K$2)</f>
        <v>0</v>
      </c>
      <c r="L649" s="12">
        <f>SUMIFS(BASE!$G:$G,BASE!$B:$B,$B649,BASE!$L:$L,$G649,BASE!$J:$J,$C649,BASE!$A:$A,L$2)</f>
        <v>0</v>
      </c>
      <c r="M649" s="12">
        <f>SUMIFS(BASE!$G:$G,BASE!$B:$B,$B649,BASE!$L:$L,$G649,BASE!$J:$J,$C649,BASE!$A:$A,M$2)</f>
        <v>0</v>
      </c>
      <c r="N649" s="12">
        <f>SUMIFS(BASE!$G:$G,BASE!$B:$B,$B649,BASE!$L:$L,$G649,BASE!$J:$J,$C649,BASE!$A:$A,N$2)</f>
        <v>0</v>
      </c>
      <c r="O649" s="12">
        <f>SUMIFS(BASE!$G:$G,BASE!$B:$B,$B649,BASE!$L:$L,$G649,BASE!$J:$J,$C649,BASE!$A:$A,O$2)</f>
        <v>0</v>
      </c>
      <c r="P649" s="12">
        <f>SUMIFS(BASE!$G:$G,BASE!$B:$B,$B649,BASE!$L:$L,$G649,BASE!$J:$J,$C649,BASE!$A:$A,P$2)</f>
        <v>0</v>
      </c>
      <c r="Q649" s="12">
        <f>SUMIFS(BASE!$G:$G,BASE!$B:$B,$B649,BASE!$L:$L,$G649,BASE!$J:$J,$C649,BASE!$A:$A,Q$2)</f>
        <v>3</v>
      </c>
      <c r="R649" s="12">
        <f>SUMIFS(BASE!$G:$G,BASE!$B:$B,$B649,BASE!$L:$L,$G649,BASE!$J:$J,$C649,BASE!$A:$A,R$2)</f>
        <v>2</v>
      </c>
      <c r="S649" s="12">
        <f>SUMIFS(BASE!$G:$G,BASE!$B:$B,$B649,BASE!$L:$L,$G649,BASE!$J:$J,$C649,BASE!$A:$A,S$2)</f>
        <v>0</v>
      </c>
      <c r="T649" s="12">
        <f>SUMIFS(BASE!$G:$G,BASE!$B:$B,$B649,BASE!$L:$L,$G649,BASE!$J:$J,$C649,BASE!$A:$A,T$2)</f>
        <v>0</v>
      </c>
      <c r="U649" s="12">
        <f>SUMIFS(BASE!$G:$G,BASE!$B:$B,$B649,BASE!$L:$L,$G649,BASE!$J:$J,$C649,BASE!$A:$A,U$2)</f>
        <v>0</v>
      </c>
      <c r="V649" s="12">
        <f>SUMIFS(BASE!$G:$G,BASE!$B:$B,$B649,BASE!$L:$L,$G649,BASE!$J:$J,$C649,BASE!$A:$A,V$2)</f>
        <v>0</v>
      </c>
      <c r="X649" t="str">
        <f t="shared" si="21"/>
        <v>COM TROCAS</v>
      </c>
    </row>
    <row r="650" spans="2:24">
      <c r="B650" s="8" t="s">
        <v>1395</v>
      </c>
      <c r="C650" s="9" t="s">
        <v>106</v>
      </c>
      <c r="D650" s="9" t="s">
        <v>1394</v>
      </c>
      <c r="E650" s="9" t="s">
        <v>1301</v>
      </c>
      <c r="F650" s="9" t="s">
        <v>1313</v>
      </c>
      <c r="G650" s="9" t="s">
        <v>53</v>
      </c>
      <c r="H650" s="7" t="str">
        <f>IFERROR(IF(_xlfn.XLOOKUP(B650,REPASSE!D:D,REPASSE!D:D)="","Não","Sim"),"Não")</f>
        <v>Não</v>
      </c>
      <c r="I650" s="7" t="str">
        <f>IF(_xlfn.XLOOKUP(B650,'BOOST LIBERADO'!B:B,'BOOST LIBERADO'!B:B,"Não")="Não","Não","Sim")</f>
        <v>Sim</v>
      </c>
      <c r="J650" s="83" t="str">
        <f t="shared" si="20"/>
        <v>Sim</v>
      </c>
      <c r="K650" s="12">
        <f>SUMIFS(BASE!$G:$G,BASE!$B:$B,$B650,BASE!$L:$L,$G650,BASE!$J:$J,$C650,BASE!$A:$A,K$2)</f>
        <v>0</v>
      </c>
      <c r="L650" s="12">
        <f>SUMIFS(BASE!$G:$G,BASE!$B:$B,$B650,BASE!$L:$L,$G650,BASE!$J:$J,$C650,BASE!$A:$A,L$2)</f>
        <v>0</v>
      </c>
      <c r="M650" s="12">
        <f>SUMIFS(BASE!$G:$G,BASE!$B:$B,$B650,BASE!$L:$L,$G650,BASE!$J:$J,$C650,BASE!$A:$A,M$2)</f>
        <v>0</v>
      </c>
      <c r="N650" s="12">
        <f>SUMIFS(BASE!$G:$G,BASE!$B:$B,$B650,BASE!$L:$L,$G650,BASE!$J:$J,$C650,BASE!$A:$A,N$2)</f>
        <v>0</v>
      </c>
      <c r="O650" s="12">
        <f>SUMIFS(BASE!$G:$G,BASE!$B:$B,$B650,BASE!$L:$L,$G650,BASE!$J:$J,$C650,BASE!$A:$A,O$2)</f>
        <v>0</v>
      </c>
      <c r="P650" s="12">
        <f>SUMIFS(BASE!$G:$G,BASE!$B:$B,$B650,BASE!$L:$L,$G650,BASE!$J:$J,$C650,BASE!$A:$A,P$2)</f>
        <v>0</v>
      </c>
      <c r="Q650" s="12">
        <f>SUMIFS(BASE!$G:$G,BASE!$B:$B,$B650,BASE!$L:$L,$G650,BASE!$J:$J,$C650,BASE!$A:$A,Q$2)</f>
        <v>1</v>
      </c>
      <c r="R650" s="12">
        <f>SUMIFS(BASE!$G:$G,BASE!$B:$B,$B650,BASE!$L:$L,$G650,BASE!$J:$J,$C650,BASE!$A:$A,R$2)</f>
        <v>5</v>
      </c>
      <c r="S650" s="12">
        <f>SUMIFS(BASE!$G:$G,BASE!$B:$B,$B650,BASE!$L:$L,$G650,BASE!$J:$J,$C650,BASE!$A:$A,S$2)</f>
        <v>0</v>
      </c>
      <c r="T650" s="12">
        <f>SUMIFS(BASE!$G:$G,BASE!$B:$B,$B650,BASE!$L:$L,$G650,BASE!$J:$J,$C650,BASE!$A:$A,T$2)</f>
        <v>0</v>
      </c>
      <c r="U650" s="12">
        <f>SUMIFS(BASE!$G:$G,BASE!$B:$B,$B650,BASE!$L:$L,$G650,BASE!$J:$J,$C650,BASE!$A:$A,U$2)</f>
        <v>0</v>
      </c>
      <c r="V650" s="12">
        <f>SUMIFS(BASE!$G:$G,BASE!$B:$B,$B650,BASE!$L:$L,$G650,BASE!$J:$J,$C650,BASE!$A:$A,V$2)</f>
        <v>0</v>
      </c>
      <c r="X650" t="str">
        <f t="shared" si="21"/>
        <v>COM TROCAS</v>
      </c>
    </row>
    <row r="651" spans="2:24">
      <c r="B651" s="8" t="s">
        <v>1396</v>
      </c>
      <c r="C651" s="9" t="s">
        <v>106</v>
      </c>
      <c r="D651" s="9" t="s">
        <v>1394</v>
      </c>
      <c r="E651" s="9" t="s">
        <v>1301</v>
      </c>
      <c r="F651" s="9" t="s">
        <v>1366</v>
      </c>
      <c r="G651" s="9" t="s">
        <v>53</v>
      </c>
      <c r="H651" s="7" t="str">
        <f>IFERROR(IF(_xlfn.XLOOKUP(B651,REPASSE!D:D,REPASSE!D:D)="","Não","Sim"),"Não")</f>
        <v>Não</v>
      </c>
      <c r="I651" s="7" t="str">
        <f>IF(_xlfn.XLOOKUP(B651,'BOOST LIBERADO'!B:B,'BOOST LIBERADO'!B:B,"Não")="Não","Não","Sim")</f>
        <v>Sim</v>
      </c>
      <c r="J651" s="83" t="str">
        <f t="shared" si="20"/>
        <v>Sim</v>
      </c>
      <c r="K651" s="12">
        <f>SUMIFS(BASE!$G:$G,BASE!$B:$B,$B651,BASE!$L:$L,$G651,BASE!$J:$J,$C651,BASE!$A:$A,K$2)</f>
        <v>0</v>
      </c>
      <c r="L651" s="12">
        <f>SUMIFS(BASE!$G:$G,BASE!$B:$B,$B651,BASE!$L:$L,$G651,BASE!$J:$J,$C651,BASE!$A:$A,L$2)</f>
        <v>0</v>
      </c>
      <c r="M651" s="12">
        <f>SUMIFS(BASE!$G:$G,BASE!$B:$B,$B651,BASE!$L:$L,$G651,BASE!$J:$J,$C651,BASE!$A:$A,M$2)</f>
        <v>0</v>
      </c>
      <c r="N651" s="12">
        <f>SUMIFS(BASE!$G:$G,BASE!$B:$B,$B651,BASE!$L:$L,$G651,BASE!$J:$J,$C651,BASE!$A:$A,N$2)</f>
        <v>0</v>
      </c>
      <c r="O651" s="12">
        <f>SUMIFS(BASE!$G:$G,BASE!$B:$B,$B651,BASE!$L:$L,$G651,BASE!$J:$J,$C651,BASE!$A:$A,O$2)</f>
        <v>0</v>
      </c>
      <c r="P651" s="12">
        <f>SUMIFS(BASE!$G:$G,BASE!$B:$B,$B651,BASE!$L:$L,$G651,BASE!$J:$J,$C651,BASE!$A:$A,P$2)</f>
        <v>0</v>
      </c>
      <c r="Q651" s="12">
        <f>SUMIFS(BASE!$G:$G,BASE!$B:$B,$B651,BASE!$L:$L,$G651,BASE!$J:$J,$C651,BASE!$A:$A,Q$2)</f>
        <v>1</v>
      </c>
      <c r="R651" s="12">
        <f>SUMIFS(BASE!$G:$G,BASE!$B:$B,$B651,BASE!$L:$L,$G651,BASE!$J:$J,$C651,BASE!$A:$A,R$2)</f>
        <v>3</v>
      </c>
      <c r="S651" s="12">
        <f>SUMIFS(BASE!$G:$G,BASE!$B:$B,$B651,BASE!$L:$L,$G651,BASE!$J:$J,$C651,BASE!$A:$A,S$2)</f>
        <v>0</v>
      </c>
      <c r="T651" s="12">
        <f>SUMIFS(BASE!$G:$G,BASE!$B:$B,$B651,BASE!$L:$L,$G651,BASE!$J:$J,$C651,BASE!$A:$A,T$2)</f>
        <v>0</v>
      </c>
      <c r="U651" s="12">
        <f>SUMIFS(BASE!$G:$G,BASE!$B:$B,$B651,BASE!$L:$L,$G651,BASE!$J:$J,$C651,BASE!$A:$A,U$2)</f>
        <v>0</v>
      </c>
      <c r="V651" s="12">
        <f>SUMIFS(BASE!$G:$G,BASE!$B:$B,$B651,BASE!$L:$L,$G651,BASE!$J:$J,$C651,BASE!$A:$A,V$2)</f>
        <v>0</v>
      </c>
      <c r="X651" t="str">
        <f t="shared" si="21"/>
        <v>COM TROCAS</v>
      </c>
    </row>
    <row r="652" spans="2:24">
      <c r="B652" s="8" t="s">
        <v>1397</v>
      </c>
      <c r="C652" s="9" t="s">
        <v>106</v>
      </c>
      <c r="D652" s="9" t="s">
        <v>1398</v>
      </c>
      <c r="E652" s="9" t="s">
        <v>1301</v>
      </c>
      <c r="F652" s="9" t="s">
        <v>1399</v>
      </c>
      <c r="G652" s="9" t="s">
        <v>53</v>
      </c>
      <c r="H652" s="7" t="str">
        <f>IFERROR(IF(_xlfn.XLOOKUP(B652,REPASSE!D:D,REPASSE!D:D)="","Não","Sim"),"Não")</f>
        <v>Não</v>
      </c>
      <c r="I652" s="7" t="str">
        <f>IF(_xlfn.XLOOKUP(B652,'BOOST LIBERADO'!B:B,'BOOST LIBERADO'!B:B,"Não")="Não","Não","Sim")</f>
        <v>Sim</v>
      </c>
      <c r="J652" s="83" t="str">
        <f t="shared" si="20"/>
        <v>Sim</v>
      </c>
      <c r="K652" s="12">
        <f>SUMIFS(BASE!$G:$G,BASE!$B:$B,$B652,BASE!$L:$L,$G652,BASE!$J:$J,$C652,BASE!$A:$A,K$2)</f>
        <v>0</v>
      </c>
      <c r="L652" s="12">
        <f>SUMIFS(BASE!$G:$G,BASE!$B:$B,$B652,BASE!$L:$L,$G652,BASE!$J:$J,$C652,BASE!$A:$A,L$2)</f>
        <v>0</v>
      </c>
      <c r="M652" s="12">
        <f>SUMIFS(BASE!$G:$G,BASE!$B:$B,$B652,BASE!$L:$L,$G652,BASE!$J:$J,$C652,BASE!$A:$A,M$2)</f>
        <v>0</v>
      </c>
      <c r="N652" s="12">
        <f>SUMIFS(BASE!$G:$G,BASE!$B:$B,$B652,BASE!$L:$L,$G652,BASE!$J:$J,$C652,BASE!$A:$A,N$2)</f>
        <v>0</v>
      </c>
      <c r="O652" s="12">
        <f>SUMIFS(BASE!$G:$G,BASE!$B:$B,$B652,BASE!$L:$L,$G652,BASE!$J:$J,$C652,BASE!$A:$A,O$2)</f>
        <v>0</v>
      </c>
      <c r="P652" s="12">
        <f>SUMIFS(BASE!$G:$G,BASE!$B:$B,$B652,BASE!$L:$L,$G652,BASE!$J:$J,$C652,BASE!$A:$A,P$2)</f>
        <v>0</v>
      </c>
      <c r="Q652" s="12">
        <f>SUMIFS(BASE!$G:$G,BASE!$B:$B,$B652,BASE!$L:$L,$G652,BASE!$J:$J,$C652,BASE!$A:$A,Q$2)</f>
        <v>0</v>
      </c>
      <c r="R652" s="12">
        <f>SUMIFS(BASE!$G:$G,BASE!$B:$B,$B652,BASE!$L:$L,$G652,BASE!$J:$J,$C652,BASE!$A:$A,R$2)</f>
        <v>0</v>
      </c>
      <c r="S652" s="12">
        <f>SUMIFS(BASE!$G:$G,BASE!$B:$B,$B652,BASE!$L:$L,$G652,BASE!$J:$J,$C652,BASE!$A:$A,S$2)</f>
        <v>0</v>
      </c>
      <c r="T652" s="12">
        <f>SUMIFS(BASE!$G:$G,BASE!$B:$B,$B652,BASE!$L:$L,$G652,BASE!$J:$J,$C652,BASE!$A:$A,T$2)</f>
        <v>0</v>
      </c>
      <c r="U652" s="12">
        <f>SUMIFS(BASE!$G:$G,BASE!$B:$B,$B652,BASE!$L:$L,$G652,BASE!$J:$J,$C652,BASE!$A:$A,U$2)</f>
        <v>0</v>
      </c>
      <c r="V652" s="12">
        <f>SUMIFS(BASE!$G:$G,BASE!$B:$B,$B652,BASE!$L:$L,$G652,BASE!$J:$J,$C652,BASE!$A:$A,V$2)</f>
        <v>0</v>
      </c>
      <c r="X652" t="str">
        <f t="shared" si="21"/>
        <v>ZERADO</v>
      </c>
    </row>
    <row r="653" spans="2:24">
      <c r="B653" s="8" t="s">
        <v>1400</v>
      </c>
      <c r="C653" s="9" t="s">
        <v>106</v>
      </c>
      <c r="D653" s="9" t="s">
        <v>1394</v>
      </c>
      <c r="E653" s="9" t="s">
        <v>1301</v>
      </c>
      <c r="F653" s="9" t="s">
        <v>1313</v>
      </c>
      <c r="G653" s="9" t="s">
        <v>53</v>
      </c>
      <c r="H653" s="7" t="str">
        <f>IFERROR(IF(_xlfn.XLOOKUP(B653,REPASSE!D:D,REPASSE!D:D)="","Não","Sim"),"Não")</f>
        <v>Não</v>
      </c>
      <c r="I653" s="7" t="str">
        <f>IF(_xlfn.XLOOKUP(B653,'BOOST LIBERADO'!B:B,'BOOST LIBERADO'!B:B,"Não")="Não","Não","Sim")</f>
        <v>Sim</v>
      </c>
      <c r="J653" s="83" t="str">
        <f t="shared" si="20"/>
        <v>Sim</v>
      </c>
      <c r="K653" s="12">
        <f>SUMIFS(BASE!$G:$G,BASE!$B:$B,$B653,BASE!$L:$L,$G653,BASE!$J:$J,$C653,BASE!$A:$A,K$2)</f>
        <v>0</v>
      </c>
      <c r="L653" s="12">
        <f>SUMIFS(BASE!$G:$G,BASE!$B:$B,$B653,BASE!$L:$L,$G653,BASE!$J:$J,$C653,BASE!$A:$A,L$2)</f>
        <v>0</v>
      </c>
      <c r="M653" s="12">
        <f>SUMIFS(BASE!$G:$G,BASE!$B:$B,$B653,BASE!$L:$L,$G653,BASE!$J:$J,$C653,BASE!$A:$A,M$2)</f>
        <v>0</v>
      </c>
      <c r="N653" s="12">
        <f>SUMIFS(BASE!$G:$G,BASE!$B:$B,$B653,BASE!$L:$L,$G653,BASE!$J:$J,$C653,BASE!$A:$A,N$2)</f>
        <v>0</v>
      </c>
      <c r="O653" s="12">
        <f>SUMIFS(BASE!$G:$G,BASE!$B:$B,$B653,BASE!$L:$L,$G653,BASE!$J:$J,$C653,BASE!$A:$A,O$2)</f>
        <v>0</v>
      </c>
      <c r="P653" s="12">
        <f>SUMIFS(BASE!$G:$G,BASE!$B:$B,$B653,BASE!$L:$L,$G653,BASE!$J:$J,$C653,BASE!$A:$A,P$2)</f>
        <v>6</v>
      </c>
      <c r="Q653" s="12">
        <f>SUMIFS(BASE!$G:$G,BASE!$B:$B,$B653,BASE!$L:$L,$G653,BASE!$J:$J,$C653,BASE!$A:$A,Q$2)</f>
        <v>1</v>
      </c>
      <c r="R653" s="12">
        <f>SUMIFS(BASE!$G:$G,BASE!$B:$B,$B653,BASE!$L:$L,$G653,BASE!$J:$J,$C653,BASE!$A:$A,R$2)</f>
        <v>2</v>
      </c>
      <c r="S653" s="12">
        <f>SUMIFS(BASE!$G:$G,BASE!$B:$B,$B653,BASE!$L:$L,$G653,BASE!$J:$J,$C653,BASE!$A:$A,S$2)</f>
        <v>0</v>
      </c>
      <c r="T653" s="12">
        <f>SUMIFS(BASE!$G:$G,BASE!$B:$B,$B653,BASE!$L:$L,$G653,BASE!$J:$J,$C653,BASE!$A:$A,T$2)</f>
        <v>0</v>
      </c>
      <c r="U653" s="12">
        <f>SUMIFS(BASE!$G:$G,BASE!$B:$B,$B653,BASE!$L:$L,$G653,BASE!$J:$J,$C653,BASE!$A:$A,U$2)</f>
        <v>0</v>
      </c>
      <c r="V653" s="12">
        <f>SUMIFS(BASE!$G:$G,BASE!$B:$B,$B653,BASE!$L:$L,$G653,BASE!$J:$J,$C653,BASE!$A:$A,V$2)</f>
        <v>0</v>
      </c>
      <c r="X653" t="str">
        <f t="shared" si="21"/>
        <v>COM TROCAS</v>
      </c>
    </row>
    <row r="654" spans="2:24">
      <c r="B654" s="8" t="s">
        <v>1401</v>
      </c>
      <c r="C654" s="9" t="s">
        <v>106</v>
      </c>
      <c r="D654" s="9" t="s">
        <v>1394</v>
      </c>
      <c r="E654" s="9" t="s">
        <v>1301</v>
      </c>
      <c r="F654" s="9" t="s">
        <v>1402</v>
      </c>
      <c r="G654" s="9" t="s">
        <v>53</v>
      </c>
      <c r="H654" s="7" t="str">
        <f>IFERROR(IF(_xlfn.XLOOKUP(B654,REPASSE!D:D,REPASSE!D:D)="","Não","Sim"),"Não")</f>
        <v>Não</v>
      </c>
      <c r="I654" s="7" t="str">
        <f>IF(_xlfn.XLOOKUP(B654,'BOOST LIBERADO'!B:B,'BOOST LIBERADO'!B:B,"Não")="Não","Não","Sim")</f>
        <v>Sim</v>
      </c>
      <c r="J654" s="83" t="str">
        <f t="shared" si="20"/>
        <v>Sim</v>
      </c>
      <c r="K654" s="12">
        <f>SUMIFS(BASE!$G:$G,BASE!$B:$B,$B654,BASE!$L:$L,$G654,BASE!$J:$J,$C654,BASE!$A:$A,K$2)</f>
        <v>0</v>
      </c>
      <c r="L654" s="12">
        <f>SUMIFS(BASE!$G:$G,BASE!$B:$B,$B654,BASE!$L:$L,$G654,BASE!$J:$J,$C654,BASE!$A:$A,L$2)</f>
        <v>0</v>
      </c>
      <c r="M654" s="12">
        <f>SUMIFS(BASE!$G:$G,BASE!$B:$B,$B654,BASE!$L:$L,$G654,BASE!$J:$J,$C654,BASE!$A:$A,M$2)</f>
        <v>0</v>
      </c>
      <c r="N654" s="12">
        <f>SUMIFS(BASE!$G:$G,BASE!$B:$B,$B654,BASE!$L:$L,$G654,BASE!$J:$J,$C654,BASE!$A:$A,N$2)</f>
        <v>0</v>
      </c>
      <c r="O654" s="12">
        <f>SUMIFS(BASE!$G:$G,BASE!$B:$B,$B654,BASE!$L:$L,$G654,BASE!$J:$J,$C654,BASE!$A:$A,O$2)</f>
        <v>0</v>
      </c>
      <c r="P654" s="12">
        <f>SUMIFS(BASE!$G:$G,BASE!$B:$B,$B654,BASE!$L:$L,$G654,BASE!$J:$J,$C654,BASE!$A:$A,P$2)</f>
        <v>0</v>
      </c>
      <c r="Q654" s="12">
        <f>SUMIFS(BASE!$G:$G,BASE!$B:$B,$B654,BASE!$L:$L,$G654,BASE!$J:$J,$C654,BASE!$A:$A,Q$2)</f>
        <v>0</v>
      </c>
      <c r="R654" s="12">
        <f>SUMIFS(BASE!$G:$G,BASE!$B:$B,$B654,BASE!$L:$L,$G654,BASE!$J:$J,$C654,BASE!$A:$A,R$2)</f>
        <v>0</v>
      </c>
      <c r="S654" s="12">
        <f>SUMIFS(BASE!$G:$G,BASE!$B:$B,$B654,BASE!$L:$L,$G654,BASE!$J:$J,$C654,BASE!$A:$A,S$2)</f>
        <v>0</v>
      </c>
      <c r="T654" s="12">
        <f>SUMIFS(BASE!$G:$G,BASE!$B:$B,$B654,BASE!$L:$L,$G654,BASE!$J:$J,$C654,BASE!$A:$A,T$2)</f>
        <v>0</v>
      </c>
      <c r="U654" s="12">
        <f>SUMIFS(BASE!$G:$G,BASE!$B:$B,$B654,BASE!$L:$L,$G654,BASE!$J:$J,$C654,BASE!$A:$A,U$2)</f>
        <v>0</v>
      </c>
      <c r="V654" s="12">
        <f>SUMIFS(BASE!$G:$G,BASE!$B:$B,$B654,BASE!$L:$L,$G654,BASE!$J:$J,$C654,BASE!$A:$A,V$2)</f>
        <v>0</v>
      </c>
      <c r="X654" t="str">
        <f t="shared" si="21"/>
        <v>ZERADO</v>
      </c>
    </row>
    <row r="655" spans="2:24">
      <c r="B655" s="8" t="s">
        <v>1403</v>
      </c>
      <c r="C655" s="9" t="s">
        <v>106</v>
      </c>
      <c r="D655" s="9" t="s">
        <v>1394</v>
      </c>
      <c r="E655" s="9" t="s">
        <v>1301</v>
      </c>
      <c r="F655" s="9" t="s">
        <v>1346</v>
      </c>
      <c r="G655" s="9" t="s">
        <v>53</v>
      </c>
      <c r="H655" s="7" t="str">
        <f>IFERROR(IF(_xlfn.XLOOKUP(B655,REPASSE!D:D,REPASSE!D:D)="","Não","Sim"),"Não")</f>
        <v>Não</v>
      </c>
      <c r="I655" s="7" t="str">
        <f>IF(_xlfn.XLOOKUP(B655,'BOOST LIBERADO'!B:B,'BOOST LIBERADO'!B:B,"Não")="Não","Não","Sim")</f>
        <v>Sim</v>
      </c>
      <c r="J655" s="83" t="str">
        <f t="shared" si="20"/>
        <v>Sim</v>
      </c>
      <c r="K655" s="12">
        <f>SUMIFS(BASE!$G:$G,BASE!$B:$B,$B655,BASE!$L:$L,$G655,BASE!$J:$J,$C655,BASE!$A:$A,K$2)</f>
        <v>0</v>
      </c>
      <c r="L655" s="12">
        <f>SUMIFS(BASE!$G:$G,BASE!$B:$B,$B655,BASE!$L:$L,$G655,BASE!$J:$J,$C655,BASE!$A:$A,L$2)</f>
        <v>0</v>
      </c>
      <c r="M655" s="12">
        <f>SUMIFS(BASE!$G:$G,BASE!$B:$B,$B655,BASE!$L:$L,$G655,BASE!$J:$J,$C655,BASE!$A:$A,M$2)</f>
        <v>0</v>
      </c>
      <c r="N655" s="12">
        <f>SUMIFS(BASE!$G:$G,BASE!$B:$B,$B655,BASE!$L:$L,$G655,BASE!$J:$J,$C655,BASE!$A:$A,N$2)</f>
        <v>0</v>
      </c>
      <c r="O655" s="12">
        <f>SUMIFS(BASE!$G:$G,BASE!$B:$B,$B655,BASE!$L:$L,$G655,BASE!$J:$J,$C655,BASE!$A:$A,O$2)</f>
        <v>0</v>
      </c>
      <c r="P655" s="12">
        <f>SUMIFS(BASE!$G:$G,BASE!$B:$B,$B655,BASE!$L:$L,$G655,BASE!$J:$J,$C655,BASE!$A:$A,P$2)</f>
        <v>0</v>
      </c>
      <c r="Q655" s="12">
        <f>SUMIFS(BASE!$G:$G,BASE!$B:$B,$B655,BASE!$L:$L,$G655,BASE!$J:$J,$C655,BASE!$A:$A,Q$2)</f>
        <v>0</v>
      </c>
      <c r="R655" s="12">
        <f>SUMIFS(BASE!$G:$G,BASE!$B:$B,$B655,BASE!$L:$L,$G655,BASE!$J:$J,$C655,BASE!$A:$A,R$2)</f>
        <v>0</v>
      </c>
      <c r="S655" s="12">
        <f>SUMIFS(BASE!$G:$G,BASE!$B:$B,$B655,BASE!$L:$L,$G655,BASE!$J:$J,$C655,BASE!$A:$A,S$2)</f>
        <v>0</v>
      </c>
      <c r="T655" s="12">
        <f>SUMIFS(BASE!$G:$G,BASE!$B:$B,$B655,BASE!$L:$L,$G655,BASE!$J:$J,$C655,BASE!$A:$A,T$2)</f>
        <v>0</v>
      </c>
      <c r="U655" s="12">
        <f>SUMIFS(BASE!$G:$G,BASE!$B:$B,$B655,BASE!$L:$L,$G655,BASE!$J:$J,$C655,BASE!$A:$A,U$2)</f>
        <v>0</v>
      </c>
      <c r="V655" s="12">
        <f>SUMIFS(BASE!$G:$G,BASE!$B:$B,$B655,BASE!$L:$L,$G655,BASE!$J:$J,$C655,BASE!$A:$A,V$2)</f>
        <v>0</v>
      </c>
      <c r="X655" t="str">
        <f t="shared" si="21"/>
        <v>ZERADO</v>
      </c>
    </row>
    <row r="656" spans="2:24">
      <c r="B656" s="8" t="s">
        <v>1404</v>
      </c>
      <c r="C656" s="9" t="s">
        <v>106</v>
      </c>
      <c r="D656" s="9" t="s">
        <v>1394</v>
      </c>
      <c r="E656" s="9" t="s">
        <v>1301</v>
      </c>
      <c r="F656" s="9" t="s">
        <v>1405</v>
      </c>
      <c r="G656" s="9" t="s">
        <v>53</v>
      </c>
      <c r="H656" s="7" t="str">
        <f>IFERROR(IF(_xlfn.XLOOKUP(B656,REPASSE!D:D,REPASSE!D:D)="","Não","Sim"),"Não")</f>
        <v>Não</v>
      </c>
      <c r="I656" s="7" t="str">
        <f>IF(_xlfn.XLOOKUP(B656,'BOOST LIBERADO'!B:B,'BOOST LIBERADO'!B:B,"Não")="Não","Não","Sim")</f>
        <v>Sim</v>
      </c>
      <c r="J656" s="83" t="str">
        <f t="shared" si="20"/>
        <v>Sim</v>
      </c>
      <c r="K656" s="12">
        <f>SUMIFS(BASE!$G:$G,BASE!$B:$B,$B656,BASE!$L:$L,$G656,BASE!$J:$J,$C656,BASE!$A:$A,K$2)</f>
        <v>0</v>
      </c>
      <c r="L656" s="12">
        <f>SUMIFS(BASE!$G:$G,BASE!$B:$B,$B656,BASE!$L:$L,$G656,BASE!$J:$J,$C656,BASE!$A:$A,L$2)</f>
        <v>0</v>
      </c>
      <c r="M656" s="12">
        <f>SUMIFS(BASE!$G:$G,BASE!$B:$B,$B656,BASE!$L:$L,$G656,BASE!$J:$J,$C656,BASE!$A:$A,M$2)</f>
        <v>0</v>
      </c>
      <c r="N656" s="12">
        <f>SUMIFS(BASE!$G:$G,BASE!$B:$B,$B656,BASE!$L:$L,$G656,BASE!$J:$J,$C656,BASE!$A:$A,N$2)</f>
        <v>0</v>
      </c>
      <c r="O656" s="12">
        <f>SUMIFS(BASE!$G:$G,BASE!$B:$B,$B656,BASE!$L:$L,$G656,BASE!$J:$J,$C656,BASE!$A:$A,O$2)</f>
        <v>0</v>
      </c>
      <c r="P656" s="12">
        <f>SUMIFS(BASE!$G:$G,BASE!$B:$B,$B656,BASE!$L:$L,$G656,BASE!$J:$J,$C656,BASE!$A:$A,P$2)</f>
        <v>0</v>
      </c>
      <c r="Q656" s="12">
        <f>SUMIFS(BASE!$G:$G,BASE!$B:$B,$B656,BASE!$L:$L,$G656,BASE!$J:$J,$C656,BASE!$A:$A,Q$2)</f>
        <v>0</v>
      </c>
      <c r="R656" s="12">
        <f>SUMIFS(BASE!$G:$G,BASE!$B:$B,$B656,BASE!$L:$L,$G656,BASE!$J:$J,$C656,BASE!$A:$A,R$2)</f>
        <v>0</v>
      </c>
      <c r="S656" s="12">
        <f>SUMIFS(BASE!$G:$G,BASE!$B:$B,$B656,BASE!$L:$L,$G656,BASE!$J:$J,$C656,BASE!$A:$A,S$2)</f>
        <v>0</v>
      </c>
      <c r="T656" s="12">
        <f>SUMIFS(BASE!$G:$G,BASE!$B:$B,$B656,BASE!$L:$L,$G656,BASE!$J:$J,$C656,BASE!$A:$A,T$2)</f>
        <v>0</v>
      </c>
      <c r="U656" s="12">
        <f>SUMIFS(BASE!$G:$G,BASE!$B:$B,$B656,BASE!$L:$L,$G656,BASE!$J:$J,$C656,BASE!$A:$A,U$2)</f>
        <v>0</v>
      </c>
      <c r="V656" s="12">
        <f>SUMIFS(BASE!$G:$G,BASE!$B:$B,$B656,BASE!$L:$L,$G656,BASE!$J:$J,$C656,BASE!$A:$A,V$2)</f>
        <v>0</v>
      </c>
      <c r="X656" t="str">
        <f t="shared" si="21"/>
        <v>ZERADO</v>
      </c>
    </row>
    <row r="657" spans="2:24">
      <c r="B657" s="8" t="s">
        <v>1406</v>
      </c>
      <c r="C657" s="9" t="s">
        <v>106</v>
      </c>
      <c r="D657" s="9" t="s">
        <v>1394</v>
      </c>
      <c r="E657" s="9" t="s">
        <v>1301</v>
      </c>
      <c r="F657" s="9" t="s">
        <v>1366</v>
      </c>
      <c r="G657" s="9" t="s">
        <v>53</v>
      </c>
      <c r="H657" s="7" t="str">
        <f>IFERROR(IF(_xlfn.XLOOKUP(B657,REPASSE!D:D,REPASSE!D:D)="","Não","Sim"),"Não")</f>
        <v>Não</v>
      </c>
      <c r="I657" s="7" t="str">
        <f>IF(_xlfn.XLOOKUP(B657,'BOOST LIBERADO'!B:B,'BOOST LIBERADO'!B:B,"Não")="Não","Não","Sim")</f>
        <v>Sim</v>
      </c>
      <c r="J657" s="83" t="str">
        <f t="shared" si="20"/>
        <v>Sim</v>
      </c>
      <c r="K657" s="12">
        <f>SUMIFS(BASE!$G:$G,BASE!$B:$B,$B657,BASE!$L:$L,$G657,BASE!$J:$J,$C657,BASE!$A:$A,K$2)</f>
        <v>0</v>
      </c>
      <c r="L657" s="12">
        <f>SUMIFS(BASE!$G:$G,BASE!$B:$B,$B657,BASE!$L:$L,$G657,BASE!$J:$J,$C657,BASE!$A:$A,L$2)</f>
        <v>1</v>
      </c>
      <c r="M657" s="12">
        <f>SUMIFS(BASE!$G:$G,BASE!$B:$B,$B657,BASE!$L:$L,$G657,BASE!$J:$J,$C657,BASE!$A:$A,M$2)</f>
        <v>7</v>
      </c>
      <c r="N657" s="12">
        <f>SUMIFS(BASE!$G:$G,BASE!$B:$B,$B657,BASE!$L:$L,$G657,BASE!$J:$J,$C657,BASE!$A:$A,N$2)</f>
        <v>2</v>
      </c>
      <c r="O657" s="12">
        <f>SUMIFS(BASE!$G:$G,BASE!$B:$B,$B657,BASE!$L:$L,$G657,BASE!$J:$J,$C657,BASE!$A:$A,O$2)</f>
        <v>5</v>
      </c>
      <c r="P657" s="12">
        <f>SUMIFS(BASE!$G:$G,BASE!$B:$B,$B657,BASE!$L:$L,$G657,BASE!$J:$J,$C657,BASE!$A:$A,P$2)</f>
        <v>4</v>
      </c>
      <c r="Q657" s="12">
        <f>SUMIFS(BASE!$G:$G,BASE!$B:$B,$B657,BASE!$L:$L,$G657,BASE!$J:$J,$C657,BASE!$A:$A,Q$2)</f>
        <v>2</v>
      </c>
      <c r="R657" s="12">
        <f>SUMIFS(BASE!$G:$G,BASE!$B:$B,$B657,BASE!$L:$L,$G657,BASE!$J:$J,$C657,BASE!$A:$A,R$2)</f>
        <v>2</v>
      </c>
      <c r="S657" s="12">
        <f>SUMIFS(BASE!$G:$G,BASE!$B:$B,$B657,BASE!$L:$L,$G657,BASE!$J:$J,$C657,BASE!$A:$A,S$2)</f>
        <v>0</v>
      </c>
      <c r="T657" s="12">
        <f>SUMIFS(BASE!$G:$G,BASE!$B:$B,$B657,BASE!$L:$L,$G657,BASE!$J:$J,$C657,BASE!$A:$A,T$2)</f>
        <v>0</v>
      </c>
      <c r="U657" s="12">
        <f>SUMIFS(BASE!$G:$G,BASE!$B:$B,$B657,BASE!$L:$L,$G657,BASE!$J:$J,$C657,BASE!$A:$A,U$2)</f>
        <v>0</v>
      </c>
      <c r="V657" s="12">
        <f>SUMIFS(BASE!$G:$G,BASE!$B:$B,$B657,BASE!$L:$L,$G657,BASE!$J:$J,$C657,BASE!$A:$A,V$2)</f>
        <v>0</v>
      </c>
      <c r="X657" t="str">
        <f t="shared" si="21"/>
        <v>COM TROCAS</v>
      </c>
    </row>
    <row r="658" spans="2:24">
      <c r="B658" s="8" t="s">
        <v>1407</v>
      </c>
      <c r="C658" s="9" t="s">
        <v>106</v>
      </c>
      <c r="D658" s="9" t="s">
        <v>1394</v>
      </c>
      <c r="E658" s="9" t="s">
        <v>1301</v>
      </c>
      <c r="F658" s="9" t="s">
        <v>1366</v>
      </c>
      <c r="G658" s="9" t="s">
        <v>53</v>
      </c>
      <c r="H658" s="7" t="str">
        <f>IFERROR(IF(_xlfn.XLOOKUP(B658,REPASSE!D:D,REPASSE!D:D)="","Não","Sim"),"Não")</f>
        <v>Não</v>
      </c>
      <c r="I658" s="7" t="str">
        <f>IF(_xlfn.XLOOKUP(B658,'BOOST LIBERADO'!B:B,'BOOST LIBERADO'!B:B,"Não")="Não","Não","Sim")</f>
        <v>Sim</v>
      </c>
      <c r="J658" s="83" t="str">
        <f t="shared" si="20"/>
        <v>Sim</v>
      </c>
      <c r="K658" s="12">
        <f>SUMIFS(BASE!$G:$G,BASE!$B:$B,$B658,BASE!$L:$L,$G658,BASE!$J:$J,$C658,BASE!$A:$A,K$2)</f>
        <v>0</v>
      </c>
      <c r="L658" s="12">
        <f>SUMIFS(BASE!$G:$G,BASE!$B:$B,$B658,BASE!$L:$L,$G658,BASE!$J:$J,$C658,BASE!$A:$A,L$2)</f>
        <v>0</v>
      </c>
      <c r="M658" s="12">
        <f>SUMIFS(BASE!$G:$G,BASE!$B:$B,$B658,BASE!$L:$L,$G658,BASE!$J:$J,$C658,BASE!$A:$A,M$2)</f>
        <v>0</v>
      </c>
      <c r="N658" s="12">
        <f>SUMIFS(BASE!$G:$G,BASE!$B:$B,$B658,BASE!$L:$L,$G658,BASE!$J:$J,$C658,BASE!$A:$A,N$2)</f>
        <v>0</v>
      </c>
      <c r="O658" s="12">
        <f>SUMIFS(BASE!$G:$G,BASE!$B:$B,$B658,BASE!$L:$L,$G658,BASE!$J:$J,$C658,BASE!$A:$A,O$2)</f>
        <v>0</v>
      </c>
      <c r="P658" s="12">
        <f>SUMIFS(BASE!$G:$G,BASE!$B:$B,$B658,BASE!$L:$L,$G658,BASE!$J:$J,$C658,BASE!$A:$A,P$2)</f>
        <v>0</v>
      </c>
      <c r="Q658" s="12">
        <f>SUMIFS(BASE!$G:$G,BASE!$B:$B,$B658,BASE!$L:$L,$G658,BASE!$J:$J,$C658,BASE!$A:$A,Q$2)</f>
        <v>0</v>
      </c>
      <c r="R658" s="12">
        <f>SUMIFS(BASE!$G:$G,BASE!$B:$B,$B658,BASE!$L:$L,$G658,BASE!$J:$J,$C658,BASE!$A:$A,R$2)</f>
        <v>0</v>
      </c>
      <c r="S658" s="12">
        <f>SUMIFS(BASE!$G:$G,BASE!$B:$B,$B658,BASE!$L:$L,$G658,BASE!$J:$J,$C658,BASE!$A:$A,S$2)</f>
        <v>0</v>
      </c>
      <c r="T658" s="12">
        <f>SUMIFS(BASE!$G:$G,BASE!$B:$B,$B658,BASE!$L:$L,$G658,BASE!$J:$J,$C658,BASE!$A:$A,T$2)</f>
        <v>0</v>
      </c>
      <c r="U658" s="12">
        <f>SUMIFS(BASE!$G:$G,BASE!$B:$B,$B658,BASE!$L:$L,$G658,BASE!$J:$J,$C658,BASE!$A:$A,U$2)</f>
        <v>0</v>
      </c>
      <c r="V658" s="12">
        <f>SUMIFS(BASE!$G:$G,BASE!$B:$B,$B658,BASE!$L:$L,$G658,BASE!$J:$J,$C658,BASE!$A:$A,V$2)</f>
        <v>0</v>
      </c>
      <c r="X658" t="str">
        <f t="shared" si="21"/>
        <v>ZERADO</v>
      </c>
    </row>
    <row r="659" spans="2:24">
      <c r="B659" s="8" t="s">
        <v>1408</v>
      </c>
      <c r="C659" s="9" t="s">
        <v>205</v>
      </c>
      <c r="D659" s="9" t="s">
        <v>1409</v>
      </c>
      <c r="E659" s="9" t="s">
        <v>1301</v>
      </c>
      <c r="F659" s="9" t="s">
        <v>1310</v>
      </c>
      <c r="G659" s="9" t="s">
        <v>53</v>
      </c>
      <c r="H659" s="7" t="str">
        <f>IFERROR(IF(_xlfn.XLOOKUP(B659,REPASSE!D:D,REPASSE!D:D)="","Não","Sim"),"Não")</f>
        <v>Não</v>
      </c>
      <c r="I659" s="7" t="str">
        <f>IF(_xlfn.XLOOKUP(B659,'BOOST LIBERADO'!B:B,'BOOST LIBERADO'!B:B,"Não")="Não","Não","Sim")</f>
        <v>Sim</v>
      </c>
      <c r="J659" s="83" t="str">
        <f t="shared" si="20"/>
        <v>Sim</v>
      </c>
      <c r="K659" s="12">
        <f>SUMIFS(BASE!$G:$G,BASE!$B:$B,$B659,BASE!$L:$L,$G659,BASE!$J:$J,$C659,BASE!$A:$A,K$2)</f>
        <v>0</v>
      </c>
      <c r="L659" s="12">
        <f>SUMIFS(BASE!$G:$G,BASE!$B:$B,$B659,BASE!$L:$L,$G659,BASE!$J:$J,$C659,BASE!$A:$A,L$2)</f>
        <v>0</v>
      </c>
      <c r="M659" s="12">
        <f>SUMIFS(BASE!$G:$G,BASE!$B:$B,$B659,BASE!$L:$L,$G659,BASE!$J:$J,$C659,BASE!$A:$A,M$2)</f>
        <v>0</v>
      </c>
      <c r="N659" s="12">
        <f>SUMIFS(BASE!$G:$G,BASE!$B:$B,$B659,BASE!$L:$L,$G659,BASE!$J:$J,$C659,BASE!$A:$A,N$2)</f>
        <v>0</v>
      </c>
      <c r="O659" s="12">
        <f>SUMIFS(BASE!$G:$G,BASE!$B:$B,$B659,BASE!$L:$L,$G659,BASE!$J:$J,$C659,BASE!$A:$A,O$2)</f>
        <v>0</v>
      </c>
      <c r="P659" s="12">
        <f>SUMIFS(BASE!$G:$G,BASE!$B:$B,$B659,BASE!$L:$L,$G659,BASE!$J:$J,$C659,BASE!$A:$A,P$2)</f>
        <v>0</v>
      </c>
      <c r="Q659" s="12">
        <f>SUMIFS(BASE!$G:$G,BASE!$B:$B,$B659,BASE!$L:$L,$G659,BASE!$J:$J,$C659,BASE!$A:$A,Q$2)</f>
        <v>0</v>
      </c>
      <c r="R659" s="12">
        <f>SUMIFS(BASE!$G:$G,BASE!$B:$B,$B659,BASE!$L:$L,$G659,BASE!$J:$J,$C659,BASE!$A:$A,R$2)</f>
        <v>0</v>
      </c>
      <c r="S659" s="12">
        <f>SUMIFS(BASE!$G:$G,BASE!$B:$B,$B659,BASE!$L:$L,$G659,BASE!$J:$J,$C659,BASE!$A:$A,S$2)</f>
        <v>0</v>
      </c>
      <c r="T659" s="12">
        <f>SUMIFS(BASE!$G:$G,BASE!$B:$B,$B659,BASE!$L:$L,$G659,BASE!$J:$J,$C659,BASE!$A:$A,T$2)</f>
        <v>0</v>
      </c>
      <c r="U659" s="12">
        <f>SUMIFS(BASE!$G:$G,BASE!$B:$B,$B659,BASE!$L:$L,$G659,BASE!$J:$J,$C659,BASE!$A:$A,U$2)</f>
        <v>0</v>
      </c>
      <c r="V659" s="12">
        <f>SUMIFS(BASE!$G:$G,BASE!$B:$B,$B659,BASE!$L:$L,$G659,BASE!$J:$J,$C659,BASE!$A:$A,V$2)</f>
        <v>0</v>
      </c>
      <c r="X659" t="str">
        <f t="shared" si="21"/>
        <v>ZERADO</v>
      </c>
    </row>
    <row r="660" spans="2:24">
      <c r="B660" s="8" t="s">
        <v>1410</v>
      </c>
      <c r="C660" s="9" t="s">
        <v>220</v>
      </c>
      <c r="D660" s="9" t="s">
        <v>1411</v>
      </c>
      <c r="E660" s="9" t="s">
        <v>1412</v>
      </c>
      <c r="F660" s="9" t="s">
        <v>1413</v>
      </c>
      <c r="G660" s="9" t="s">
        <v>54</v>
      </c>
      <c r="H660" s="7" t="str">
        <f>IFERROR(IF(_xlfn.XLOOKUP(B660,REPASSE!D:D,REPASSE!D:D)="","Não","Sim"),"Não")</f>
        <v>Não</v>
      </c>
      <c r="I660" s="7" t="str">
        <f>IF(_xlfn.XLOOKUP(B660,'BOOST LIBERADO'!B:B,'BOOST LIBERADO'!B:B,"Não")="Não","Não","Sim")</f>
        <v>Sim</v>
      </c>
      <c r="J660" s="83" t="str">
        <f t="shared" si="20"/>
        <v>Sim</v>
      </c>
      <c r="K660" s="12">
        <f>SUMIFS(BASE!$G:$G,BASE!$B:$B,$B660,BASE!$L:$L,$G660,BASE!$J:$J,$C660,BASE!$A:$A,K$2)</f>
        <v>1</v>
      </c>
      <c r="L660" s="12">
        <f>SUMIFS(BASE!$G:$G,BASE!$B:$B,$B660,BASE!$L:$L,$G660,BASE!$J:$J,$C660,BASE!$A:$A,L$2)</f>
        <v>2</v>
      </c>
      <c r="M660" s="12">
        <f>SUMIFS(BASE!$G:$G,BASE!$B:$B,$B660,BASE!$L:$L,$G660,BASE!$J:$J,$C660,BASE!$A:$A,M$2)</f>
        <v>5</v>
      </c>
      <c r="N660" s="12">
        <f>SUMIFS(BASE!$G:$G,BASE!$B:$B,$B660,BASE!$L:$L,$G660,BASE!$J:$J,$C660,BASE!$A:$A,N$2)</f>
        <v>3</v>
      </c>
      <c r="O660" s="12">
        <f>SUMIFS(BASE!$G:$G,BASE!$B:$B,$B660,BASE!$L:$L,$G660,BASE!$J:$J,$C660,BASE!$A:$A,O$2)</f>
        <v>5</v>
      </c>
      <c r="P660" s="12">
        <f>SUMIFS(BASE!$G:$G,BASE!$B:$B,$B660,BASE!$L:$L,$G660,BASE!$J:$J,$C660,BASE!$A:$A,P$2)</f>
        <v>4</v>
      </c>
      <c r="Q660" s="12">
        <f>SUMIFS(BASE!$G:$G,BASE!$B:$B,$B660,BASE!$L:$L,$G660,BASE!$J:$J,$C660,BASE!$A:$A,Q$2)</f>
        <v>11</v>
      </c>
      <c r="R660" s="12">
        <f>SUMIFS(BASE!$G:$G,BASE!$B:$B,$B660,BASE!$L:$L,$G660,BASE!$J:$J,$C660,BASE!$A:$A,R$2)</f>
        <v>6</v>
      </c>
      <c r="S660" s="12">
        <f>SUMIFS(BASE!$G:$G,BASE!$B:$B,$B660,BASE!$L:$L,$G660,BASE!$J:$J,$C660,BASE!$A:$A,S$2)</f>
        <v>0</v>
      </c>
      <c r="T660" s="12">
        <f>SUMIFS(BASE!$G:$G,BASE!$B:$B,$B660,BASE!$L:$L,$G660,BASE!$J:$J,$C660,BASE!$A:$A,T$2)</f>
        <v>0</v>
      </c>
      <c r="U660" s="12">
        <f>SUMIFS(BASE!$G:$G,BASE!$B:$B,$B660,BASE!$L:$L,$G660,BASE!$J:$J,$C660,BASE!$A:$A,U$2)</f>
        <v>0</v>
      </c>
      <c r="V660" s="12">
        <f>SUMIFS(BASE!$G:$G,BASE!$B:$B,$B660,BASE!$L:$L,$G660,BASE!$J:$J,$C660,BASE!$A:$A,V$2)</f>
        <v>0</v>
      </c>
      <c r="X660" t="str">
        <f t="shared" si="21"/>
        <v>COM TROCAS</v>
      </c>
    </row>
    <row r="661" spans="2:24">
      <c r="B661" s="8" t="s">
        <v>1414</v>
      </c>
      <c r="C661" s="9" t="s">
        <v>116</v>
      </c>
      <c r="D661" s="9" t="s">
        <v>1415</v>
      </c>
      <c r="E661" s="9" t="s">
        <v>1416</v>
      </c>
      <c r="F661" s="9" t="s">
        <v>1417</v>
      </c>
      <c r="G661" s="9" t="s">
        <v>54</v>
      </c>
      <c r="H661" s="7" t="str">
        <f>IFERROR(IF(_xlfn.XLOOKUP(B661,REPASSE!D:D,REPASSE!D:D)="","Não","Sim"),"Não")</f>
        <v>Sim</v>
      </c>
      <c r="I661" s="7" t="str">
        <f>IF(_xlfn.XLOOKUP(B661,'BOOST LIBERADO'!B:B,'BOOST LIBERADO'!B:B,"Não")="Não","Não","Sim")</f>
        <v>Sim</v>
      </c>
      <c r="J661" s="83" t="str">
        <f t="shared" si="20"/>
        <v>Não</v>
      </c>
      <c r="K661" s="12">
        <f>SUMIFS(BASE!$G:$G,BASE!$B:$B,$B661,BASE!$L:$L,$G661,BASE!$J:$J,$C661,BASE!$A:$A,K$2)</f>
        <v>0</v>
      </c>
      <c r="L661" s="12">
        <f>SUMIFS(BASE!$G:$G,BASE!$B:$B,$B661,BASE!$L:$L,$G661,BASE!$J:$J,$C661,BASE!$A:$A,L$2)</f>
        <v>0</v>
      </c>
      <c r="M661" s="12">
        <f>SUMIFS(BASE!$G:$G,BASE!$B:$B,$B661,BASE!$L:$L,$G661,BASE!$J:$J,$C661,BASE!$A:$A,M$2)</f>
        <v>0</v>
      </c>
      <c r="N661" s="12">
        <f>SUMIFS(BASE!$G:$G,BASE!$B:$B,$B661,BASE!$L:$L,$G661,BASE!$J:$J,$C661,BASE!$A:$A,N$2)</f>
        <v>0</v>
      </c>
      <c r="O661" s="12">
        <f>SUMIFS(BASE!$G:$G,BASE!$B:$B,$B661,BASE!$L:$L,$G661,BASE!$J:$J,$C661,BASE!$A:$A,O$2)</f>
        <v>0</v>
      </c>
      <c r="P661" s="12">
        <f>SUMIFS(BASE!$G:$G,BASE!$B:$B,$B661,BASE!$L:$L,$G661,BASE!$J:$J,$C661,BASE!$A:$A,P$2)</f>
        <v>0</v>
      </c>
      <c r="Q661" s="12">
        <f>SUMIFS(BASE!$G:$G,BASE!$B:$B,$B661,BASE!$L:$L,$G661,BASE!$J:$J,$C661,BASE!$A:$A,Q$2)</f>
        <v>0</v>
      </c>
      <c r="R661" s="12">
        <f>SUMIFS(BASE!$G:$G,BASE!$B:$B,$B661,BASE!$L:$L,$G661,BASE!$J:$J,$C661,BASE!$A:$A,R$2)</f>
        <v>0</v>
      </c>
      <c r="S661" s="12">
        <f>SUMIFS(BASE!$G:$G,BASE!$B:$B,$B661,BASE!$L:$L,$G661,BASE!$J:$J,$C661,BASE!$A:$A,S$2)</f>
        <v>0</v>
      </c>
      <c r="T661" s="12">
        <f>SUMIFS(BASE!$G:$G,BASE!$B:$B,$B661,BASE!$L:$L,$G661,BASE!$J:$J,$C661,BASE!$A:$A,T$2)</f>
        <v>0</v>
      </c>
      <c r="U661" s="12">
        <f>SUMIFS(BASE!$G:$G,BASE!$B:$B,$B661,BASE!$L:$L,$G661,BASE!$J:$J,$C661,BASE!$A:$A,U$2)</f>
        <v>0</v>
      </c>
      <c r="V661" s="12">
        <f>SUMIFS(BASE!$G:$G,BASE!$B:$B,$B661,BASE!$L:$L,$G661,BASE!$J:$J,$C661,BASE!$A:$A,V$2)</f>
        <v>0</v>
      </c>
      <c r="X661" t="str">
        <f t="shared" si="21"/>
        <v>ZERADO</v>
      </c>
    </row>
    <row r="662" spans="2:24">
      <c r="B662" s="8" t="s">
        <v>1418</v>
      </c>
      <c r="C662" s="9" t="s">
        <v>106</v>
      </c>
      <c r="D662" s="9" t="s">
        <v>1419</v>
      </c>
      <c r="E662" s="9" t="s">
        <v>1412</v>
      </c>
      <c r="F662" s="9" t="s">
        <v>1420</v>
      </c>
      <c r="G662" s="9" t="s">
        <v>54</v>
      </c>
      <c r="H662" s="7" t="str">
        <f>IFERROR(IF(_xlfn.XLOOKUP(B662,REPASSE!D:D,REPASSE!D:D)="","Não","Sim"),"Não")</f>
        <v>Não</v>
      </c>
      <c r="I662" s="7" t="str">
        <f>IF(_xlfn.XLOOKUP(B662,'BOOST LIBERADO'!B:B,'BOOST LIBERADO'!B:B,"Não")="Não","Não","Sim")</f>
        <v>Sim</v>
      </c>
      <c r="J662" s="83" t="str">
        <f t="shared" si="20"/>
        <v>Sim</v>
      </c>
      <c r="K662" s="12">
        <f>SUMIFS(BASE!$G:$G,BASE!$B:$B,$B662,BASE!$L:$L,$G662,BASE!$J:$J,$C662,BASE!$A:$A,K$2)</f>
        <v>0</v>
      </c>
      <c r="L662" s="12">
        <f>SUMIFS(BASE!$G:$G,BASE!$B:$B,$B662,BASE!$L:$L,$G662,BASE!$J:$J,$C662,BASE!$A:$A,L$2)</f>
        <v>0</v>
      </c>
      <c r="M662" s="12">
        <f>SUMIFS(BASE!$G:$G,BASE!$B:$B,$B662,BASE!$L:$L,$G662,BASE!$J:$J,$C662,BASE!$A:$A,M$2)</f>
        <v>0</v>
      </c>
      <c r="N662" s="12">
        <f>SUMIFS(BASE!$G:$G,BASE!$B:$B,$B662,BASE!$L:$L,$G662,BASE!$J:$J,$C662,BASE!$A:$A,N$2)</f>
        <v>0</v>
      </c>
      <c r="O662" s="12">
        <f>SUMIFS(BASE!$G:$G,BASE!$B:$B,$B662,BASE!$L:$L,$G662,BASE!$J:$J,$C662,BASE!$A:$A,O$2)</f>
        <v>0</v>
      </c>
      <c r="P662" s="12">
        <f>SUMIFS(BASE!$G:$G,BASE!$B:$B,$B662,BASE!$L:$L,$G662,BASE!$J:$J,$C662,BASE!$A:$A,P$2)</f>
        <v>0</v>
      </c>
      <c r="Q662" s="12">
        <f>SUMIFS(BASE!$G:$G,BASE!$B:$B,$B662,BASE!$L:$L,$G662,BASE!$J:$J,$C662,BASE!$A:$A,Q$2)</f>
        <v>1</v>
      </c>
      <c r="R662" s="12">
        <f>SUMIFS(BASE!$G:$G,BASE!$B:$B,$B662,BASE!$L:$L,$G662,BASE!$J:$J,$C662,BASE!$A:$A,R$2)</f>
        <v>1</v>
      </c>
      <c r="S662" s="12">
        <f>SUMIFS(BASE!$G:$G,BASE!$B:$B,$B662,BASE!$L:$L,$G662,BASE!$J:$J,$C662,BASE!$A:$A,S$2)</f>
        <v>0</v>
      </c>
      <c r="T662" s="12">
        <f>SUMIFS(BASE!$G:$G,BASE!$B:$B,$B662,BASE!$L:$L,$G662,BASE!$J:$J,$C662,BASE!$A:$A,T$2)</f>
        <v>0</v>
      </c>
      <c r="U662" s="12">
        <f>SUMIFS(BASE!$G:$G,BASE!$B:$B,$B662,BASE!$L:$L,$G662,BASE!$J:$J,$C662,BASE!$A:$A,U$2)</f>
        <v>0</v>
      </c>
      <c r="V662" s="12">
        <f>SUMIFS(BASE!$G:$G,BASE!$B:$B,$B662,BASE!$L:$L,$G662,BASE!$J:$J,$C662,BASE!$A:$A,V$2)</f>
        <v>0</v>
      </c>
      <c r="X662" t="str">
        <f t="shared" si="21"/>
        <v>COM TROCAS</v>
      </c>
    </row>
    <row r="663" spans="2:24">
      <c r="B663" s="8" t="s">
        <v>1421</v>
      </c>
      <c r="C663" s="9" t="s">
        <v>106</v>
      </c>
      <c r="D663" s="9" t="s">
        <v>1422</v>
      </c>
      <c r="E663" s="9" t="s">
        <v>1423</v>
      </c>
      <c r="F663" s="9" t="s">
        <v>1424</v>
      </c>
      <c r="G663" s="9" t="s">
        <v>54</v>
      </c>
      <c r="H663" s="7" t="str">
        <f>IFERROR(IF(_xlfn.XLOOKUP(B663,REPASSE!D:D,REPASSE!D:D)="","Não","Sim"),"Não")</f>
        <v>Não</v>
      </c>
      <c r="I663" s="7" t="str">
        <f>IF(_xlfn.XLOOKUP(B663,'BOOST LIBERADO'!B:B,'BOOST LIBERADO'!B:B,"Não")="Não","Não","Sim")</f>
        <v>Sim</v>
      </c>
      <c r="J663" s="83" t="str">
        <f t="shared" si="20"/>
        <v>Sim</v>
      </c>
      <c r="K663" s="12">
        <f>SUMIFS(BASE!$G:$G,BASE!$B:$B,$B663,BASE!$L:$L,$G663,BASE!$J:$J,$C663,BASE!$A:$A,K$2)</f>
        <v>0</v>
      </c>
      <c r="L663" s="12">
        <f>SUMIFS(BASE!$G:$G,BASE!$B:$B,$B663,BASE!$L:$L,$G663,BASE!$J:$J,$C663,BASE!$A:$A,L$2)</f>
        <v>0</v>
      </c>
      <c r="M663" s="12">
        <f>SUMIFS(BASE!$G:$G,BASE!$B:$B,$B663,BASE!$L:$L,$G663,BASE!$J:$J,$C663,BASE!$A:$A,M$2)</f>
        <v>0</v>
      </c>
      <c r="N663" s="12">
        <f>SUMIFS(BASE!$G:$G,BASE!$B:$B,$B663,BASE!$L:$L,$G663,BASE!$J:$J,$C663,BASE!$A:$A,N$2)</f>
        <v>0</v>
      </c>
      <c r="O663" s="12">
        <f>SUMIFS(BASE!$G:$G,BASE!$B:$B,$B663,BASE!$L:$L,$G663,BASE!$J:$J,$C663,BASE!$A:$A,O$2)</f>
        <v>0</v>
      </c>
      <c r="P663" s="12">
        <f>SUMIFS(BASE!$G:$G,BASE!$B:$B,$B663,BASE!$L:$L,$G663,BASE!$J:$J,$C663,BASE!$A:$A,P$2)</f>
        <v>0</v>
      </c>
      <c r="Q663" s="12">
        <f>SUMIFS(BASE!$G:$G,BASE!$B:$B,$B663,BASE!$L:$L,$G663,BASE!$J:$J,$C663,BASE!$A:$A,Q$2)</f>
        <v>0</v>
      </c>
      <c r="R663" s="12">
        <f>SUMIFS(BASE!$G:$G,BASE!$B:$B,$B663,BASE!$L:$L,$G663,BASE!$J:$J,$C663,BASE!$A:$A,R$2)</f>
        <v>0</v>
      </c>
      <c r="S663" s="12">
        <f>SUMIFS(BASE!$G:$G,BASE!$B:$B,$B663,BASE!$L:$L,$G663,BASE!$J:$J,$C663,BASE!$A:$A,S$2)</f>
        <v>0</v>
      </c>
      <c r="T663" s="12">
        <f>SUMIFS(BASE!$G:$G,BASE!$B:$B,$B663,BASE!$L:$L,$G663,BASE!$J:$J,$C663,BASE!$A:$A,T$2)</f>
        <v>0</v>
      </c>
      <c r="U663" s="12">
        <f>SUMIFS(BASE!$G:$G,BASE!$B:$B,$B663,BASE!$L:$L,$G663,BASE!$J:$J,$C663,BASE!$A:$A,U$2)</f>
        <v>0</v>
      </c>
      <c r="V663" s="12">
        <f>SUMIFS(BASE!$G:$G,BASE!$B:$B,$B663,BASE!$L:$L,$G663,BASE!$J:$J,$C663,BASE!$A:$A,V$2)</f>
        <v>0</v>
      </c>
      <c r="X663" t="str">
        <f t="shared" si="21"/>
        <v>ZERADO</v>
      </c>
    </row>
    <row r="664" spans="2:24">
      <c r="B664" s="8" t="s">
        <v>1425</v>
      </c>
      <c r="C664" s="9" t="s">
        <v>106</v>
      </c>
      <c r="D664" s="9" t="s">
        <v>1419</v>
      </c>
      <c r="E664" s="9" t="s">
        <v>1412</v>
      </c>
      <c r="F664" s="9" t="s">
        <v>1426</v>
      </c>
      <c r="G664" s="9" t="s">
        <v>54</v>
      </c>
      <c r="H664" s="7" t="str">
        <f>IFERROR(IF(_xlfn.XLOOKUP(B664,REPASSE!D:D,REPASSE!D:D)="","Não","Sim"),"Não")</f>
        <v>Não</v>
      </c>
      <c r="I664" s="7" t="str">
        <f>IF(_xlfn.XLOOKUP(B664,'BOOST LIBERADO'!B:B,'BOOST LIBERADO'!B:B,"Não")="Não","Não","Sim")</f>
        <v>Sim</v>
      </c>
      <c r="J664" s="83" t="str">
        <f t="shared" si="20"/>
        <v>Sim</v>
      </c>
      <c r="K664" s="12">
        <f>SUMIFS(BASE!$G:$G,BASE!$B:$B,$B664,BASE!$L:$L,$G664,BASE!$J:$J,$C664,BASE!$A:$A,K$2)</f>
        <v>0</v>
      </c>
      <c r="L664" s="12">
        <f>SUMIFS(BASE!$G:$G,BASE!$B:$B,$B664,BASE!$L:$L,$G664,BASE!$J:$J,$C664,BASE!$A:$A,L$2)</f>
        <v>0</v>
      </c>
      <c r="M664" s="12">
        <f>SUMIFS(BASE!$G:$G,BASE!$B:$B,$B664,BASE!$L:$L,$G664,BASE!$J:$J,$C664,BASE!$A:$A,M$2)</f>
        <v>0</v>
      </c>
      <c r="N664" s="12">
        <f>SUMIFS(BASE!$G:$G,BASE!$B:$B,$B664,BASE!$L:$L,$G664,BASE!$J:$J,$C664,BASE!$A:$A,N$2)</f>
        <v>0</v>
      </c>
      <c r="O664" s="12">
        <f>SUMIFS(BASE!$G:$G,BASE!$B:$B,$B664,BASE!$L:$L,$G664,BASE!$J:$J,$C664,BASE!$A:$A,O$2)</f>
        <v>0</v>
      </c>
      <c r="P664" s="12">
        <f>SUMIFS(BASE!$G:$G,BASE!$B:$B,$B664,BASE!$L:$L,$G664,BASE!$J:$J,$C664,BASE!$A:$A,P$2)</f>
        <v>0</v>
      </c>
      <c r="Q664" s="12">
        <f>SUMIFS(BASE!$G:$G,BASE!$B:$B,$B664,BASE!$L:$L,$G664,BASE!$J:$J,$C664,BASE!$A:$A,Q$2)</f>
        <v>0</v>
      </c>
      <c r="R664" s="12">
        <f>SUMIFS(BASE!$G:$G,BASE!$B:$B,$B664,BASE!$L:$L,$G664,BASE!$J:$J,$C664,BASE!$A:$A,R$2)</f>
        <v>0</v>
      </c>
      <c r="S664" s="12">
        <f>SUMIFS(BASE!$G:$G,BASE!$B:$B,$B664,BASE!$L:$L,$G664,BASE!$J:$J,$C664,BASE!$A:$A,S$2)</f>
        <v>0</v>
      </c>
      <c r="T664" s="12">
        <f>SUMIFS(BASE!$G:$G,BASE!$B:$B,$B664,BASE!$L:$L,$G664,BASE!$J:$J,$C664,BASE!$A:$A,T$2)</f>
        <v>0</v>
      </c>
      <c r="U664" s="12">
        <f>SUMIFS(BASE!$G:$G,BASE!$B:$B,$B664,BASE!$L:$L,$G664,BASE!$J:$J,$C664,BASE!$A:$A,U$2)</f>
        <v>0</v>
      </c>
      <c r="V664" s="12">
        <f>SUMIFS(BASE!$G:$G,BASE!$B:$B,$B664,BASE!$L:$L,$G664,BASE!$J:$J,$C664,BASE!$A:$A,V$2)</f>
        <v>0</v>
      </c>
      <c r="X664" t="str">
        <f t="shared" si="21"/>
        <v>ZERADO</v>
      </c>
    </row>
    <row r="665" spans="2:24">
      <c r="B665" s="8" t="s">
        <v>1427</v>
      </c>
      <c r="C665" s="9" t="s">
        <v>232</v>
      </c>
      <c r="D665" s="9" t="s">
        <v>1428</v>
      </c>
      <c r="E665" s="9" t="s">
        <v>1412</v>
      </c>
      <c r="F665" s="9" t="s">
        <v>1429</v>
      </c>
      <c r="G665" s="9" t="s">
        <v>54</v>
      </c>
      <c r="H665" s="7" t="str">
        <f>IFERROR(IF(_xlfn.XLOOKUP(B665,REPASSE!D:D,REPASSE!D:D)="","Não","Sim"),"Não")</f>
        <v>Não</v>
      </c>
      <c r="I665" s="7" t="str">
        <f>IF(_xlfn.XLOOKUP(B665,'BOOST LIBERADO'!B:B,'BOOST LIBERADO'!B:B,"Não")="Não","Não","Sim")</f>
        <v>Sim</v>
      </c>
      <c r="J665" s="83" t="str">
        <f t="shared" si="20"/>
        <v>Sim</v>
      </c>
      <c r="K665" s="12">
        <f>SUMIFS(BASE!$G:$G,BASE!$B:$B,$B665,BASE!$L:$L,$G665,BASE!$J:$J,$C665,BASE!$A:$A,K$2)</f>
        <v>5</v>
      </c>
      <c r="L665" s="12">
        <f>SUMIFS(BASE!$G:$G,BASE!$B:$B,$B665,BASE!$L:$L,$G665,BASE!$J:$J,$C665,BASE!$A:$A,L$2)</f>
        <v>3</v>
      </c>
      <c r="M665" s="12">
        <f>SUMIFS(BASE!$G:$G,BASE!$B:$B,$B665,BASE!$L:$L,$G665,BASE!$J:$J,$C665,BASE!$A:$A,M$2)</f>
        <v>11</v>
      </c>
      <c r="N665" s="12">
        <f>SUMIFS(BASE!$G:$G,BASE!$B:$B,$B665,BASE!$L:$L,$G665,BASE!$J:$J,$C665,BASE!$A:$A,N$2)</f>
        <v>3</v>
      </c>
      <c r="O665" s="12">
        <f>SUMIFS(BASE!$G:$G,BASE!$B:$B,$B665,BASE!$L:$L,$G665,BASE!$J:$J,$C665,BASE!$A:$A,O$2)</f>
        <v>4</v>
      </c>
      <c r="P665" s="12">
        <f>SUMIFS(BASE!$G:$G,BASE!$B:$B,$B665,BASE!$L:$L,$G665,BASE!$J:$J,$C665,BASE!$A:$A,P$2)</f>
        <v>1</v>
      </c>
      <c r="Q665" s="12">
        <f>SUMIFS(BASE!$G:$G,BASE!$B:$B,$B665,BASE!$L:$L,$G665,BASE!$J:$J,$C665,BASE!$A:$A,Q$2)</f>
        <v>1</v>
      </c>
      <c r="R665" s="12">
        <f>SUMIFS(BASE!$G:$G,BASE!$B:$B,$B665,BASE!$L:$L,$G665,BASE!$J:$J,$C665,BASE!$A:$A,R$2)</f>
        <v>1</v>
      </c>
      <c r="S665" s="12">
        <f>SUMIFS(BASE!$G:$G,BASE!$B:$B,$B665,BASE!$L:$L,$G665,BASE!$J:$J,$C665,BASE!$A:$A,S$2)</f>
        <v>0</v>
      </c>
      <c r="T665" s="12">
        <f>SUMIFS(BASE!$G:$G,BASE!$B:$B,$B665,BASE!$L:$L,$G665,BASE!$J:$J,$C665,BASE!$A:$A,T$2)</f>
        <v>0</v>
      </c>
      <c r="U665" s="12">
        <f>SUMIFS(BASE!$G:$G,BASE!$B:$B,$B665,BASE!$L:$L,$G665,BASE!$J:$J,$C665,BASE!$A:$A,U$2)</f>
        <v>0</v>
      </c>
      <c r="V665" s="12">
        <f>SUMIFS(BASE!$G:$G,BASE!$B:$B,$B665,BASE!$L:$L,$G665,BASE!$J:$J,$C665,BASE!$A:$A,V$2)</f>
        <v>0</v>
      </c>
      <c r="X665" t="str">
        <f t="shared" si="21"/>
        <v>COM TROCAS</v>
      </c>
    </row>
    <row r="666" spans="2:24">
      <c r="B666" s="8" t="s">
        <v>1430</v>
      </c>
      <c r="C666" s="9" t="s">
        <v>223</v>
      </c>
      <c r="D666" s="9" t="s">
        <v>1431</v>
      </c>
      <c r="E666" s="9" t="s">
        <v>1412</v>
      </c>
      <c r="F666" s="9" t="s">
        <v>1432</v>
      </c>
      <c r="G666" s="9" t="s">
        <v>54</v>
      </c>
      <c r="H666" s="7" t="str">
        <f>IFERROR(IF(_xlfn.XLOOKUP(B666,REPASSE!D:D,REPASSE!D:D)="","Não","Sim"),"Não")</f>
        <v>Não</v>
      </c>
      <c r="I666" s="7" t="str">
        <f>IF(_xlfn.XLOOKUP(B666,'BOOST LIBERADO'!B:B,'BOOST LIBERADO'!B:B,"Não")="Não","Não","Sim")</f>
        <v>Sim</v>
      </c>
      <c r="J666" s="83" t="str">
        <f t="shared" si="20"/>
        <v>Sim</v>
      </c>
      <c r="K666" s="12">
        <f>SUMIFS(BASE!$G:$G,BASE!$B:$B,$B666,BASE!$L:$L,$G666,BASE!$J:$J,$C666,BASE!$A:$A,K$2)</f>
        <v>0</v>
      </c>
      <c r="L666" s="12">
        <f>SUMIFS(BASE!$G:$G,BASE!$B:$B,$B666,BASE!$L:$L,$G666,BASE!$J:$J,$C666,BASE!$A:$A,L$2)</f>
        <v>0</v>
      </c>
      <c r="M666" s="12">
        <f>SUMIFS(BASE!$G:$G,BASE!$B:$B,$B666,BASE!$L:$L,$G666,BASE!$J:$J,$C666,BASE!$A:$A,M$2)</f>
        <v>0</v>
      </c>
      <c r="N666" s="12">
        <f>SUMIFS(BASE!$G:$G,BASE!$B:$B,$B666,BASE!$L:$L,$G666,BASE!$J:$J,$C666,BASE!$A:$A,N$2)</f>
        <v>0</v>
      </c>
      <c r="O666" s="12">
        <f>SUMIFS(BASE!$G:$G,BASE!$B:$B,$B666,BASE!$L:$L,$G666,BASE!$J:$J,$C666,BASE!$A:$A,O$2)</f>
        <v>0</v>
      </c>
      <c r="P666" s="12">
        <f>SUMIFS(BASE!$G:$G,BASE!$B:$B,$B666,BASE!$L:$L,$G666,BASE!$J:$J,$C666,BASE!$A:$A,P$2)</f>
        <v>0</v>
      </c>
      <c r="Q666" s="12">
        <f>SUMIFS(BASE!$G:$G,BASE!$B:$B,$B666,BASE!$L:$L,$G666,BASE!$J:$J,$C666,BASE!$A:$A,Q$2)</f>
        <v>1</v>
      </c>
      <c r="R666" s="12">
        <f>SUMIFS(BASE!$G:$G,BASE!$B:$B,$B666,BASE!$L:$L,$G666,BASE!$J:$J,$C666,BASE!$A:$A,R$2)</f>
        <v>0</v>
      </c>
      <c r="S666" s="12">
        <f>SUMIFS(BASE!$G:$G,BASE!$B:$B,$B666,BASE!$L:$L,$G666,BASE!$J:$J,$C666,BASE!$A:$A,S$2)</f>
        <v>0</v>
      </c>
      <c r="T666" s="12">
        <f>SUMIFS(BASE!$G:$G,BASE!$B:$B,$B666,BASE!$L:$L,$G666,BASE!$J:$J,$C666,BASE!$A:$A,T$2)</f>
        <v>0</v>
      </c>
      <c r="U666" s="12">
        <f>SUMIFS(BASE!$G:$G,BASE!$B:$B,$B666,BASE!$L:$L,$G666,BASE!$J:$J,$C666,BASE!$A:$A,U$2)</f>
        <v>0</v>
      </c>
      <c r="V666" s="12">
        <f>SUMIFS(BASE!$G:$G,BASE!$B:$B,$B666,BASE!$L:$L,$G666,BASE!$J:$J,$C666,BASE!$A:$A,V$2)</f>
        <v>0</v>
      </c>
      <c r="X666" t="str">
        <f t="shared" si="21"/>
        <v>ZERADO</v>
      </c>
    </row>
    <row r="667" spans="2:24">
      <c r="B667" s="8" t="s">
        <v>1433</v>
      </c>
      <c r="C667" s="9" t="s">
        <v>106</v>
      </c>
      <c r="D667" s="9" t="s">
        <v>1434</v>
      </c>
      <c r="E667" s="9" t="s">
        <v>1423</v>
      </c>
      <c r="F667" s="9" t="s">
        <v>1435</v>
      </c>
      <c r="G667" s="9" t="s">
        <v>54</v>
      </c>
      <c r="H667" s="7" t="str">
        <f>IFERROR(IF(_xlfn.XLOOKUP(B667,REPASSE!D:D,REPASSE!D:D)="","Não","Sim"),"Não")</f>
        <v>Não</v>
      </c>
      <c r="I667" s="7" t="str">
        <f>IF(_xlfn.XLOOKUP(B667,'BOOST LIBERADO'!B:B,'BOOST LIBERADO'!B:B,"Não")="Não","Não","Sim")</f>
        <v>Sim</v>
      </c>
      <c r="J667" s="83" t="str">
        <f t="shared" si="20"/>
        <v>Sim</v>
      </c>
      <c r="K667" s="12">
        <f>SUMIFS(BASE!$G:$G,BASE!$B:$B,$B667,BASE!$L:$L,$G667,BASE!$J:$J,$C667,BASE!$A:$A,K$2)</f>
        <v>0</v>
      </c>
      <c r="L667" s="12">
        <f>SUMIFS(BASE!$G:$G,BASE!$B:$B,$B667,BASE!$L:$L,$G667,BASE!$J:$J,$C667,BASE!$A:$A,L$2)</f>
        <v>0</v>
      </c>
      <c r="M667" s="12">
        <f>SUMIFS(BASE!$G:$G,BASE!$B:$B,$B667,BASE!$L:$L,$G667,BASE!$J:$J,$C667,BASE!$A:$A,M$2)</f>
        <v>0</v>
      </c>
      <c r="N667" s="12">
        <f>SUMIFS(BASE!$G:$G,BASE!$B:$B,$B667,BASE!$L:$L,$G667,BASE!$J:$J,$C667,BASE!$A:$A,N$2)</f>
        <v>0</v>
      </c>
      <c r="O667" s="12">
        <f>SUMIFS(BASE!$G:$G,BASE!$B:$B,$B667,BASE!$L:$L,$G667,BASE!$J:$J,$C667,BASE!$A:$A,O$2)</f>
        <v>0</v>
      </c>
      <c r="P667" s="12">
        <f>SUMIFS(BASE!$G:$G,BASE!$B:$B,$B667,BASE!$L:$L,$G667,BASE!$J:$J,$C667,BASE!$A:$A,P$2)</f>
        <v>0</v>
      </c>
      <c r="Q667" s="12">
        <f>SUMIFS(BASE!$G:$G,BASE!$B:$B,$B667,BASE!$L:$L,$G667,BASE!$J:$J,$C667,BASE!$A:$A,Q$2)</f>
        <v>0</v>
      </c>
      <c r="R667" s="12">
        <f>SUMIFS(BASE!$G:$G,BASE!$B:$B,$B667,BASE!$L:$L,$G667,BASE!$J:$J,$C667,BASE!$A:$A,R$2)</f>
        <v>0</v>
      </c>
      <c r="S667" s="12">
        <f>SUMIFS(BASE!$G:$G,BASE!$B:$B,$B667,BASE!$L:$L,$G667,BASE!$J:$J,$C667,BASE!$A:$A,S$2)</f>
        <v>0</v>
      </c>
      <c r="T667" s="12">
        <f>SUMIFS(BASE!$G:$G,BASE!$B:$B,$B667,BASE!$L:$L,$G667,BASE!$J:$J,$C667,BASE!$A:$A,T$2)</f>
        <v>0</v>
      </c>
      <c r="U667" s="12">
        <f>SUMIFS(BASE!$G:$G,BASE!$B:$B,$B667,BASE!$L:$L,$G667,BASE!$J:$J,$C667,BASE!$A:$A,U$2)</f>
        <v>0</v>
      </c>
      <c r="V667" s="12">
        <f>SUMIFS(BASE!$G:$G,BASE!$B:$B,$B667,BASE!$L:$L,$G667,BASE!$J:$J,$C667,BASE!$A:$A,V$2)</f>
        <v>0</v>
      </c>
      <c r="X667" t="str">
        <f t="shared" si="21"/>
        <v>ZERADO</v>
      </c>
    </row>
    <row r="668" spans="2:24">
      <c r="B668" s="8" t="s">
        <v>1436</v>
      </c>
      <c r="C668" s="9" t="s">
        <v>120</v>
      </c>
      <c r="D668" s="9" t="s">
        <v>1437</v>
      </c>
      <c r="E668" s="9" t="s">
        <v>1438</v>
      </c>
      <c r="F668" s="9" t="s">
        <v>1439</v>
      </c>
      <c r="G668" s="9" t="s">
        <v>54</v>
      </c>
      <c r="H668" s="7" t="str">
        <f>IFERROR(IF(_xlfn.XLOOKUP(B668,REPASSE!D:D,REPASSE!D:D)="","Não","Sim"),"Não")</f>
        <v>Não</v>
      </c>
      <c r="I668" s="7" t="str">
        <f>IF(_xlfn.XLOOKUP(B668,'BOOST LIBERADO'!B:B,'BOOST LIBERADO'!B:B,"Não")="Não","Não","Sim")</f>
        <v>Sim</v>
      </c>
      <c r="J668" s="83" t="str">
        <f t="shared" si="20"/>
        <v>Sim</v>
      </c>
      <c r="K668" s="12">
        <f>SUMIFS(BASE!$G:$G,BASE!$B:$B,$B668,BASE!$L:$L,$G668,BASE!$J:$J,$C668,BASE!$A:$A,K$2)</f>
        <v>1</v>
      </c>
      <c r="L668" s="12">
        <f>SUMIFS(BASE!$G:$G,BASE!$B:$B,$B668,BASE!$L:$L,$G668,BASE!$J:$J,$C668,BASE!$A:$A,L$2)</f>
        <v>1</v>
      </c>
      <c r="M668" s="12">
        <f>SUMIFS(BASE!$G:$G,BASE!$B:$B,$B668,BASE!$L:$L,$G668,BASE!$J:$J,$C668,BASE!$A:$A,M$2)</f>
        <v>1</v>
      </c>
      <c r="N668" s="12">
        <f>SUMIFS(BASE!$G:$G,BASE!$B:$B,$B668,BASE!$L:$L,$G668,BASE!$J:$J,$C668,BASE!$A:$A,N$2)</f>
        <v>0</v>
      </c>
      <c r="O668" s="12">
        <f>SUMIFS(BASE!$G:$G,BASE!$B:$B,$B668,BASE!$L:$L,$G668,BASE!$J:$J,$C668,BASE!$A:$A,O$2)</f>
        <v>0</v>
      </c>
      <c r="P668" s="12">
        <f>SUMIFS(BASE!$G:$G,BASE!$B:$B,$B668,BASE!$L:$L,$G668,BASE!$J:$J,$C668,BASE!$A:$A,P$2)</f>
        <v>1</v>
      </c>
      <c r="Q668" s="12">
        <f>SUMIFS(BASE!$G:$G,BASE!$B:$B,$B668,BASE!$L:$L,$G668,BASE!$J:$J,$C668,BASE!$A:$A,Q$2)</f>
        <v>2</v>
      </c>
      <c r="R668" s="12">
        <f>SUMIFS(BASE!$G:$G,BASE!$B:$B,$B668,BASE!$L:$L,$G668,BASE!$J:$J,$C668,BASE!$A:$A,R$2)</f>
        <v>1</v>
      </c>
      <c r="S668" s="12">
        <f>SUMIFS(BASE!$G:$G,BASE!$B:$B,$B668,BASE!$L:$L,$G668,BASE!$J:$J,$C668,BASE!$A:$A,S$2)</f>
        <v>0</v>
      </c>
      <c r="T668" s="12">
        <f>SUMIFS(BASE!$G:$G,BASE!$B:$B,$B668,BASE!$L:$L,$G668,BASE!$J:$J,$C668,BASE!$A:$A,T$2)</f>
        <v>0</v>
      </c>
      <c r="U668" s="12">
        <f>SUMIFS(BASE!$G:$G,BASE!$B:$B,$B668,BASE!$L:$L,$G668,BASE!$J:$J,$C668,BASE!$A:$A,U$2)</f>
        <v>0</v>
      </c>
      <c r="V668" s="12">
        <f>SUMIFS(BASE!$G:$G,BASE!$B:$B,$B668,BASE!$L:$L,$G668,BASE!$J:$J,$C668,BASE!$A:$A,V$2)</f>
        <v>0</v>
      </c>
      <c r="X668" t="str">
        <f t="shared" si="21"/>
        <v>COM TROCAS</v>
      </c>
    </row>
    <row r="669" spans="2:24">
      <c r="B669" s="8" t="s">
        <v>1440</v>
      </c>
      <c r="C669" s="9" t="s">
        <v>116</v>
      </c>
      <c r="D669" s="9" t="s">
        <v>1415</v>
      </c>
      <c r="E669" s="9" t="s">
        <v>1416</v>
      </c>
      <c r="F669" s="9" t="s">
        <v>1441</v>
      </c>
      <c r="G669" s="9" t="s">
        <v>54</v>
      </c>
      <c r="H669" s="7" t="str">
        <f>IFERROR(IF(_xlfn.XLOOKUP(B669,REPASSE!D:D,REPASSE!D:D)="","Não","Sim"),"Não")</f>
        <v>Sim</v>
      </c>
      <c r="I669" s="7" t="str">
        <f>IF(_xlfn.XLOOKUP(B669,'BOOST LIBERADO'!B:B,'BOOST LIBERADO'!B:B,"Não")="Não","Não","Sim")</f>
        <v>Sim</v>
      </c>
      <c r="J669" s="83" t="str">
        <f t="shared" si="20"/>
        <v>Não</v>
      </c>
      <c r="K669" s="12">
        <f>SUMIFS(BASE!$G:$G,BASE!$B:$B,$B669,BASE!$L:$L,$G669,BASE!$J:$J,$C669,BASE!$A:$A,K$2)</f>
        <v>0</v>
      </c>
      <c r="L669" s="12">
        <f>SUMIFS(BASE!$G:$G,BASE!$B:$B,$B669,BASE!$L:$L,$G669,BASE!$J:$J,$C669,BASE!$A:$A,L$2)</f>
        <v>0</v>
      </c>
      <c r="M669" s="12">
        <f>SUMIFS(BASE!$G:$G,BASE!$B:$B,$B669,BASE!$L:$L,$G669,BASE!$J:$J,$C669,BASE!$A:$A,M$2)</f>
        <v>0</v>
      </c>
      <c r="N669" s="12">
        <f>SUMIFS(BASE!$G:$G,BASE!$B:$B,$B669,BASE!$L:$L,$G669,BASE!$J:$J,$C669,BASE!$A:$A,N$2)</f>
        <v>0</v>
      </c>
      <c r="O669" s="12">
        <f>SUMIFS(BASE!$G:$G,BASE!$B:$B,$B669,BASE!$L:$L,$G669,BASE!$J:$J,$C669,BASE!$A:$A,O$2)</f>
        <v>0</v>
      </c>
      <c r="P669" s="12">
        <f>SUMIFS(BASE!$G:$G,BASE!$B:$B,$B669,BASE!$L:$L,$G669,BASE!$J:$J,$C669,BASE!$A:$A,P$2)</f>
        <v>0</v>
      </c>
      <c r="Q669" s="12">
        <f>SUMIFS(BASE!$G:$G,BASE!$B:$B,$B669,BASE!$L:$L,$G669,BASE!$J:$J,$C669,BASE!$A:$A,Q$2)</f>
        <v>0</v>
      </c>
      <c r="R669" s="12">
        <f>SUMIFS(BASE!$G:$G,BASE!$B:$B,$B669,BASE!$L:$L,$G669,BASE!$J:$J,$C669,BASE!$A:$A,R$2)</f>
        <v>0</v>
      </c>
      <c r="S669" s="12">
        <f>SUMIFS(BASE!$G:$G,BASE!$B:$B,$B669,BASE!$L:$L,$G669,BASE!$J:$J,$C669,BASE!$A:$A,S$2)</f>
        <v>0</v>
      </c>
      <c r="T669" s="12">
        <f>SUMIFS(BASE!$G:$G,BASE!$B:$B,$B669,BASE!$L:$L,$G669,BASE!$J:$J,$C669,BASE!$A:$A,T$2)</f>
        <v>0</v>
      </c>
      <c r="U669" s="12">
        <f>SUMIFS(BASE!$G:$G,BASE!$B:$B,$B669,BASE!$L:$L,$G669,BASE!$J:$J,$C669,BASE!$A:$A,U$2)</f>
        <v>0</v>
      </c>
      <c r="V669" s="12">
        <f>SUMIFS(BASE!$G:$G,BASE!$B:$B,$B669,BASE!$L:$L,$G669,BASE!$J:$J,$C669,BASE!$A:$A,V$2)</f>
        <v>0</v>
      </c>
      <c r="X669" t="str">
        <f t="shared" si="21"/>
        <v>ZERADO</v>
      </c>
    </row>
    <row r="670" spans="2:24">
      <c r="B670" s="8" t="s">
        <v>1442</v>
      </c>
      <c r="C670" s="9" t="s">
        <v>106</v>
      </c>
      <c r="D670" s="9" t="s">
        <v>1443</v>
      </c>
      <c r="E670" s="9" t="s">
        <v>1416</v>
      </c>
      <c r="F670" s="9" t="s">
        <v>1444</v>
      </c>
      <c r="G670" s="9" t="s">
        <v>54</v>
      </c>
      <c r="H670" s="7" t="str">
        <f>IFERROR(IF(_xlfn.XLOOKUP(B670,REPASSE!D:D,REPASSE!D:D)="","Não","Sim"),"Não")</f>
        <v>Não</v>
      </c>
      <c r="I670" s="7" t="str">
        <f>IF(_xlfn.XLOOKUP(B670,'BOOST LIBERADO'!B:B,'BOOST LIBERADO'!B:B,"Não")="Não","Não","Sim")</f>
        <v>Sim</v>
      </c>
      <c r="J670" s="83" t="str">
        <f t="shared" si="20"/>
        <v>Sim</v>
      </c>
      <c r="K670" s="12">
        <f>SUMIFS(BASE!$G:$G,BASE!$B:$B,$B670,BASE!$L:$L,$G670,BASE!$J:$J,$C670,BASE!$A:$A,K$2)</f>
        <v>0</v>
      </c>
      <c r="L670" s="12">
        <f>SUMIFS(BASE!$G:$G,BASE!$B:$B,$B670,BASE!$L:$L,$G670,BASE!$J:$J,$C670,BASE!$A:$A,L$2)</f>
        <v>0</v>
      </c>
      <c r="M670" s="12">
        <f>SUMIFS(BASE!$G:$G,BASE!$B:$B,$B670,BASE!$L:$L,$G670,BASE!$J:$J,$C670,BASE!$A:$A,M$2)</f>
        <v>0</v>
      </c>
      <c r="N670" s="12">
        <f>SUMIFS(BASE!$G:$G,BASE!$B:$B,$B670,BASE!$L:$L,$G670,BASE!$J:$J,$C670,BASE!$A:$A,N$2)</f>
        <v>0</v>
      </c>
      <c r="O670" s="12">
        <f>SUMIFS(BASE!$G:$G,BASE!$B:$B,$B670,BASE!$L:$L,$G670,BASE!$J:$J,$C670,BASE!$A:$A,O$2)</f>
        <v>0</v>
      </c>
      <c r="P670" s="12">
        <f>SUMIFS(BASE!$G:$G,BASE!$B:$B,$B670,BASE!$L:$L,$G670,BASE!$J:$J,$C670,BASE!$A:$A,P$2)</f>
        <v>0</v>
      </c>
      <c r="Q670" s="12">
        <f>SUMIFS(BASE!$G:$G,BASE!$B:$B,$B670,BASE!$L:$L,$G670,BASE!$J:$J,$C670,BASE!$A:$A,Q$2)</f>
        <v>0</v>
      </c>
      <c r="R670" s="12">
        <f>SUMIFS(BASE!$G:$G,BASE!$B:$B,$B670,BASE!$L:$L,$G670,BASE!$J:$J,$C670,BASE!$A:$A,R$2)</f>
        <v>2</v>
      </c>
      <c r="S670" s="12">
        <f>SUMIFS(BASE!$G:$G,BASE!$B:$B,$B670,BASE!$L:$L,$G670,BASE!$J:$J,$C670,BASE!$A:$A,S$2)</f>
        <v>0</v>
      </c>
      <c r="T670" s="12">
        <f>SUMIFS(BASE!$G:$G,BASE!$B:$B,$B670,BASE!$L:$L,$G670,BASE!$J:$J,$C670,BASE!$A:$A,T$2)</f>
        <v>0</v>
      </c>
      <c r="U670" s="12">
        <f>SUMIFS(BASE!$G:$G,BASE!$B:$B,$B670,BASE!$L:$L,$G670,BASE!$J:$J,$C670,BASE!$A:$A,U$2)</f>
        <v>0</v>
      </c>
      <c r="V670" s="12">
        <f>SUMIFS(BASE!$G:$G,BASE!$B:$B,$B670,BASE!$L:$L,$G670,BASE!$J:$J,$C670,BASE!$A:$A,V$2)</f>
        <v>0</v>
      </c>
      <c r="X670" t="str">
        <f t="shared" si="21"/>
        <v>COM TROCAS</v>
      </c>
    </row>
    <row r="671" spans="2:24">
      <c r="B671" s="8" t="s">
        <v>1445</v>
      </c>
      <c r="C671" s="9" t="s">
        <v>132</v>
      </c>
      <c r="D671" s="9" t="s">
        <v>1428</v>
      </c>
      <c r="E671" s="9" t="s">
        <v>1412</v>
      </c>
      <c r="F671" s="9" t="s">
        <v>1446</v>
      </c>
      <c r="G671" s="9" t="s">
        <v>54</v>
      </c>
      <c r="H671" s="7" t="str">
        <f>IFERROR(IF(_xlfn.XLOOKUP(B671,REPASSE!D:D,REPASSE!D:D)="","Não","Sim"),"Não")</f>
        <v>Não</v>
      </c>
      <c r="I671" s="7" t="str">
        <f>IF(_xlfn.XLOOKUP(B671,'BOOST LIBERADO'!B:B,'BOOST LIBERADO'!B:B,"Não")="Não","Não","Sim")</f>
        <v>Sim</v>
      </c>
      <c r="J671" s="83" t="str">
        <f t="shared" si="20"/>
        <v>Sim</v>
      </c>
      <c r="K671" s="12">
        <f>SUMIFS(BASE!$G:$G,BASE!$B:$B,$B671,BASE!$L:$L,$G671,BASE!$J:$J,$C671,BASE!$A:$A,K$2)</f>
        <v>1</v>
      </c>
      <c r="L671" s="12">
        <f>SUMIFS(BASE!$G:$G,BASE!$B:$B,$B671,BASE!$L:$L,$G671,BASE!$J:$J,$C671,BASE!$A:$A,L$2)</f>
        <v>0</v>
      </c>
      <c r="M671" s="12">
        <f>SUMIFS(BASE!$G:$G,BASE!$B:$B,$B671,BASE!$L:$L,$G671,BASE!$J:$J,$C671,BASE!$A:$A,M$2)</f>
        <v>0</v>
      </c>
      <c r="N671" s="12">
        <f>SUMIFS(BASE!$G:$G,BASE!$B:$B,$B671,BASE!$L:$L,$G671,BASE!$J:$J,$C671,BASE!$A:$A,N$2)</f>
        <v>0</v>
      </c>
      <c r="O671" s="12">
        <f>SUMIFS(BASE!$G:$G,BASE!$B:$B,$B671,BASE!$L:$L,$G671,BASE!$J:$J,$C671,BASE!$A:$A,O$2)</f>
        <v>0</v>
      </c>
      <c r="P671" s="12">
        <f>SUMIFS(BASE!$G:$G,BASE!$B:$B,$B671,BASE!$L:$L,$G671,BASE!$J:$J,$C671,BASE!$A:$A,P$2)</f>
        <v>0</v>
      </c>
      <c r="Q671" s="12">
        <f>SUMIFS(BASE!$G:$G,BASE!$B:$B,$B671,BASE!$L:$L,$G671,BASE!$J:$J,$C671,BASE!$A:$A,Q$2)</f>
        <v>1</v>
      </c>
      <c r="R671" s="12">
        <f>SUMIFS(BASE!$G:$G,BASE!$B:$B,$B671,BASE!$L:$L,$G671,BASE!$J:$J,$C671,BASE!$A:$A,R$2)</f>
        <v>0</v>
      </c>
      <c r="S671" s="12">
        <f>SUMIFS(BASE!$G:$G,BASE!$B:$B,$B671,BASE!$L:$L,$G671,BASE!$J:$J,$C671,BASE!$A:$A,S$2)</f>
        <v>0</v>
      </c>
      <c r="T671" s="12">
        <f>SUMIFS(BASE!$G:$G,BASE!$B:$B,$B671,BASE!$L:$L,$G671,BASE!$J:$J,$C671,BASE!$A:$A,T$2)</f>
        <v>0</v>
      </c>
      <c r="U671" s="12">
        <f>SUMIFS(BASE!$G:$G,BASE!$B:$B,$B671,BASE!$L:$L,$G671,BASE!$J:$J,$C671,BASE!$A:$A,U$2)</f>
        <v>0</v>
      </c>
      <c r="V671" s="12">
        <f>SUMIFS(BASE!$G:$G,BASE!$B:$B,$B671,BASE!$L:$L,$G671,BASE!$J:$J,$C671,BASE!$A:$A,V$2)</f>
        <v>0</v>
      </c>
      <c r="X671" t="str">
        <f t="shared" si="21"/>
        <v>ZERADO</v>
      </c>
    </row>
    <row r="672" spans="2:24">
      <c r="B672" s="8" t="s">
        <v>1447</v>
      </c>
      <c r="C672" s="9" t="s">
        <v>106</v>
      </c>
      <c r="D672" s="9" t="s">
        <v>1434</v>
      </c>
      <c r="E672" s="9" t="s">
        <v>1423</v>
      </c>
      <c r="F672" s="9" t="s">
        <v>1448</v>
      </c>
      <c r="G672" s="9" t="s">
        <v>54</v>
      </c>
      <c r="H672" s="7" t="str">
        <f>IFERROR(IF(_xlfn.XLOOKUP(B672,REPASSE!D:D,REPASSE!D:D)="","Não","Sim"),"Não")</f>
        <v>Não</v>
      </c>
      <c r="I672" s="7" t="str">
        <f>IF(_xlfn.XLOOKUP(B672,'BOOST LIBERADO'!B:B,'BOOST LIBERADO'!B:B,"Não")="Não","Não","Sim")</f>
        <v>Sim</v>
      </c>
      <c r="J672" s="83" t="str">
        <f t="shared" si="20"/>
        <v>Sim</v>
      </c>
      <c r="K672" s="12">
        <f>SUMIFS(BASE!$G:$G,BASE!$B:$B,$B672,BASE!$L:$L,$G672,BASE!$J:$J,$C672,BASE!$A:$A,K$2)</f>
        <v>0</v>
      </c>
      <c r="L672" s="12">
        <f>SUMIFS(BASE!$G:$G,BASE!$B:$B,$B672,BASE!$L:$L,$G672,BASE!$J:$J,$C672,BASE!$A:$A,L$2)</f>
        <v>0</v>
      </c>
      <c r="M672" s="12">
        <f>SUMIFS(BASE!$G:$G,BASE!$B:$B,$B672,BASE!$L:$L,$G672,BASE!$J:$J,$C672,BASE!$A:$A,M$2)</f>
        <v>0</v>
      </c>
      <c r="N672" s="12">
        <f>SUMIFS(BASE!$G:$G,BASE!$B:$B,$B672,BASE!$L:$L,$G672,BASE!$J:$J,$C672,BASE!$A:$A,N$2)</f>
        <v>0</v>
      </c>
      <c r="O672" s="12">
        <f>SUMIFS(BASE!$G:$G,BASE!$B:$B,$B672,BASE!$L:$L,$G672,BASE!$J:$J,$C672,BASE!$A:$A,O$2)</f>
        <v>0</v>
      </c>
      <c r="P672" s="12">
        <f>SUMIFS(BASE!$G:$G,BASE!$B:$B,$B672,BASE!$L:$L,$G672,BASE!$J:$J,$C672,BASE!$A:$A,P$2)</f>
        <v>0</v>
      </c>
      <c r="Q672" s="12">
        <f>SUMIFS(BASE!$G:$G,BASE!$B:$B,$B672,BASE!$L:$L,$G672,BASE!$J:$J,$C672,BASE!$A:$A,Q$2)</f>
        <v>0</v>
      </c>
      <c r="R672" s="12">
        <f>SUMIFS(BASE!$G:$G,BASE!$B:$B,$B672,BASE!$L:$L,$G672,BASE!$J:$J,$C672,BASE!$A:$A,R$2)</f>
        <v>0</v>
      </c>
      <c r="S672" s="12">
        <f>SUMIFS(BASE!$G:$G,BASE!$B:$B,$B672,BASE!$L:$L,$G672,BASE!$J:$J,$C672,BASE!$A:$A,S$2)</f>
        <v>0</v>
      </c>
      <c r="T672" s="12">
        <f>SUMIFS(BASE!$G:$G,BASE!$B:$B,$B672,BASE!$L:$L,$G672,BASE!$J:$J,$C672,BASE!$A:$A,T$2)</f>
        <v>0</v>
      </c>
      <c r="U672" s="12">
        <f>SUMIFS(BASE!$G:$G,BASE!$B:$B,$B672,BASE!$L:$L,$G672,BASE!$J:$J,$C672,BASE!$A:$A,U$2)</f>
        <v>0</v>
      </c>
      <c r="V672" s="12">
        <f>SUMIFS(BASE!$G:$G,BASE!$B:$B,$B672,BASE!$L:$L,$G672,BASE!$J:$J,$C672,BASE!$A:$A,V$2)</f>
        <v>0</v>
      </c>
      <c r="X672" t="str">
        <f t="shared" si="21"/>
        <v>ZERADO</v>
      </c>
    </row>
    <row r="673" spans="2:24">
      <c r="B673" s="8" t="s">
        <v>1449</v>
      </c>
      <c r="C673" s="9" t="s">
        <v>132</v>
      </c>
      <c r="D673" s="9" t="s">
        <v>1450</v>
      </c>
      <c r="E673" s="9" t="s">
        <v>1412</v>
      </c>
      <c r="F673" s="9" t="s">
        <v>1451</v>
      </c>
      <c r="G673" s="9" t="s">
        <v>54</v>
      </c>
      <c r="H673" s="7" t="str">
        <f>IFERROR(IF(_xlfn.XLOOKUP(B673,REPASSE!D:D,REPASSE!D:D)="","Não","Sim"),"Não")</f>
        <v>Não</v>
      </c>
      <c r="I673" s="7" t="str">
        <f>IF(_xlfn.XLOOKUP(B673,'BOOST LIBERADO'!B:B,'BOOST LIBERADO'!B:B,"Não")="Não","Não","Sim")</f>
        <v>Sim</v>
      </c>
      <c r="J673" s="83" t="str">
        <f t="shared" si="20"/>
        <v>Sim</v>
      </c>
      <c r="K673" s="12">
        <f>SUMIFS(BASE!$G:$G,BASE!$B:$B,$B673,BASE!$L:$L,$G673,BASE!$J:$J,$C673,BASE!$A:$A,K$2)</f>
        <v>1</v>
      </c>
      <c r="L673" s="12">
        <f>SUMIFS(BASE!$G:$G,BASE!$B:$B,$B673,BASE!$L:$L,$G673,BASE!$J:$J,$C673,BASE!$A:$A,L$2)</f>
        <v>1</v>
      </c>
      <c r="M673" s="12">
        <f>SUMIFS(BASE!$G:$G,BASE!$B:$B,$B673,BASE!$L:$L,$G673,BASE!$J:$J,$C673,BASE!$A:$A,M$2)</f>
        <v>2</v>
      </c>
      <c r="N673" s="12">
        <f>SUMIFS(BASE!$G:$G,BASE!$B:$B,$B673,BASE!$L:$L,$G673,BASE!$J:$J,$C673,BASE!$A:$A,N$2)</f>
        <v>1</v>
      </c>
      <c r="O673" s="12">
        <f>SUMIFS(BASE!$G:$G,BASE!$B:$B,$B673,BASE!$L:$L,$G673,BASE!$J:$J,$C673,BASE!$A:$A,O$2)</f>
        <v>3</v>
      </c>
      <c r="P673" s="12">
        <f>SUMIFS(BASE!$G:$G,BASE!$B:$B,$B673,BASE!$L:$L,$G673,BASE!$J:$J,$C673,BASE!$A:$A,P$2)</f>
        <v>2</v>
      </c>
      <c r="Q673" s="12">
        <f>SUMIFS(BASE!$G:$G,BASE!$B:$B,$B673,BASE!$L:$L,$G673,BASE!$J:$J,$C673,BASE!$A:$A,Q$2)</f>
        <v>3</v>
      </c>
      <c r="R673" s="12">
        <f>SUMIFS(BASE!$G:$G,BASE!$B:$B,$B673,BASE!$L:$L,$G673,BASE!$J:$J,$C673,BASE!$A:$A,R$2)</f>
        <v>2</v>
      </c>
      <c r="S673" s="12">
        <f>SUMIFS(BASE!$G:$G,BASE!$B:$B,$B673,BASE!$L:$L,$G673,BASE!$J:$J,$C673,BASE!$A:$A,S$2)</f>
        <v>0</v>
      </c>
      <c r="T673" s="12">
        <f>SUMIFS(BASE!$G:$G,BASE!$B:$B,$B673,BASE!$L:$L,$G673,BASE!$J:$J,$C673,BASE!$A:$A,T$2)</f>
        <v>0</v>
      </c>
      <c r="U673" s="12">
        <f>SUMIFS(BASE!$G:$G,BASE!$B:$B,$B673,BASE!$L:$L,$G673,BASE!$J:$J,$C673,BASE!$A:$A,U$2)</f>
        <v>0</v>
      </c>
      <c r="V673" s="12">
        <f>SUMIFS(BASE!$G:$G,BASE!$B:$B,$B673,BASE!$L:$L,$G673,BASE!$J:$J,$C673,BASE!$A:$A,V$2)</f>
        <v>0</v>
      </c>
      <c r="X673" t="str">
        <f t="shared" si="21"/>
        <v>COM TROCAS</v>
      </c>
    </row>
    <row r="674" spans="2:24">
      <c r="B674" s="8" t="s">
        <v>1452</v>
      </c>
      <c r="C674" s="9" t="s">
        <v>106</v>
      </c>
      <c r="D674" s="9" t="s">
        <v>1453</v>
      </c>
      <c r="E674" s="9" t="s">
        <v>1412</v>
      </c>
      <c r="F674" s="9" t="s">
        <v>1454</v>
      </c>
      <c r="G674" s="9" t="s">
        <v>54</v>
      </c>
      <c r="H674" s="7" t="str">
        <f>IFERROR(IF(_xlfn.XLOOKUP(B674,REPASSE!D:D,REPASSE!D:D)="","Não","Sim"),"Não")</f>
        <v>Não</v>
      </c>
      <c r="I674" s="7" t="str">
        <f>IF(_xlfn.XLOOKUP(B674,'BOOST LIBERADO'!B:B,'BOOST LIBERADO'!B:B,"Não")="Não","Não","Sim")</f>
        <v>Sim</v>
      </c>
      <c r="J674" s="83" t="str">
        <f t="shared" si="20"/>
        <v>Sim</v>
      </c>
      <c r="K674" s="12">
        <f>SUMIFS(BASE!$G:$G,BASE!$B:$B,$B674,BASE!$L:$L,$G674,BASE!$J:$J,$C674,BASE!$A:$A,K$2)</f>
        <v>0</v>
      </c>
      <c r="L674" s="12">
        <f>SUMIFS(BASE!$G:$G,BASE!$B:$B,$B674,BASE!$L:$L,$G674,BASE!$J:$J,$C674,BASE!$A:$A,L$2)</f>
        <v>0</v>
      </c>
      <c r="M674" s="12">
        <f>SUMIFS(BASE!$G:$G,BASE!$B:$B,$B674,BASE!$L:$L,$G674,BASE!$J:$J,$C674,BASE!$A:$A,M$2)</f>
        <v>0</v>
      </c>
      <c r="N674" s="12">
        <f>SUMIFS(BASE!$G:$G,BASE!$B:$B,$B674,BASE!$L:$L,$G674,BASE!$J:$J,$C674,BASE!$A:$A,N$2)</f>
        <v>0</v>
      </c>
      <c r="O674" s="12">
        <f>SUMIFS(BASE!$G:$G,BASE!$B:$B,$B674,BASE!$L:$L,$G674,BASE!$J:$J,$C674,BASE!$A:$A,O$2)</f>
        <v>1</v>
      </c>
      <c r="P674" s="12">
        <f>SUMIFS(BASE!$G:$G,BASE!$B:$B,$B674,BASE!$L:$L,$G674,BASE!$J:$J,$C674,BASE!$A:$A,P$2)</f>
        <v>3</v>
      </c>
      <c r="Q674" s="12">
        <f>SUMIFS(BASE!$G:$G,BASE!$B:$B,$B674,BASE!$L:$L,$G674,BASE!$J:$J,$C674,BASE!$A:$A,Q$2)</f>
        <v>8</v>
      </c>
      <c r="R674" s="12">
        <f>SUMIFS(BASE!$G:$G,BASE!$B:$B,$B674,BASE!$L:$L,$G674,BASE!$J:$J,$C674,BASE!$A:$A,R$2)</f>
        <v>11</v>
      </c>
      <c r="S674" s="12">
        <f>SUMIFS(BASE!$G:$G,BASE!$B:$B,$B674,BASE!$L:$L,$G674,BASE!$J:$J,$C674,BASE!$A:$A,S$2)</f>
        <v>0</v>
      </c>
      <c r="T674" s="12">
        <f>SUMIFS(BASE!$G:$G,BASE!$B:$B,$B674,BASE!$L:$L,$G674,BASE!$J:$J,$C674,BASE!$A:$A,T$2)</f>
        <v>0</v>
      </c>
      <c r="U674" s="12">
        <f>SUMIFS(BASE!$G:$G,BASE!$B:$B,$B674,BASE!$L:$L,$G674,BASE!$J:$J,$C674,BASE!$A:$A,U$2)</f>
        <v>0</v>
      </c>
      <c r="V674" s="12">
        <f>SUMIFS(BASE!$G:$G,BASE!$B:$B,$B674,BASE!$L:$L,$G674,BASE!$J:$J,$C674,BASE!$A:$A,V$2)</f>
        <v>0</v>
      </c>
      <c r="X674" t="str">
        <f t="shared" si="21"/>
        <v>COM TROCAS</v>
      </c>
    </row>
    <row r="675" spans="2:24">
      <c r="B675" s="8" t="s">
        <v>1455</v>
      </c>
      <c r="C675" s="9" t="s">
        <v>106</v>
      </c>
      <c r="D675" s="9" t="s">
        <v>1456</v>
      </c>
      <c r="E675" s="9" t="s">
        <v>1423</v>
      </c>
      <c r="F675" s="9" t="s">
        <v>1457</v>
      </c>
      <c r="G675" s="9" t="s">
        <v>54</v>
      </c>
      <c r="H675" s="7" t="str">
        <f>IFERROR(IF(_xlfn.XLOOKUP(B675,REPASSE!D:D,REPASSE!D:D)="","Não","Sim"),"Não")</f>
        <v>Não</v>
      </c>
      <c r="I675" s="7" t="str">
        <f>IF(_xlfn.XLOOKUP(B675,'BOOST LIBERADO'!B:B,'BOOST LIBERADO'!B:B,"Não")="Não","Não","Sim")</f>
        <v>Sim</v>
      </c>
      <c r="J675" s="83" t="str">
        <f t="shared" si="20"/>
        <v>Sim</v>
      </c>
      <c r="K675" s="12">
        <f>SUMIFS(BASE!$G:$G,BASE!$B:$B,$B675,BASE!$L:$L,$G675,BASE!$J:$J,$C675,BASE!$A:$A,K$2)</f>
        <v>0</v>
      </c>
      <c r="L675" s="12">
        <f>SUMIFS(BASE!$G:$G,BASE!$B:$B,$B675,BASE!$L:$L,$G675,BASE!$J:$J,$C675,BASE!$A:$A,L$2)</f>
        <v>0</v>
      </c>
      <c r="M675" s="12">
        <f>SUMIFS(BASE!$G:$G,BASE!$B:$B,$B675,BASE!$L:$L,$G675,BASE!$J:$J,$C675,BASE!$A:$A,M$2)</f>
        <v>0</v>
      </c>
      <c r="N675" s="12">
        <f>SUMIFS(BASE!$G:$G,BASE!$B:$B,$B675,BASE!$L:$L,$G675,BASE!$J:$J,$C675,BASE!$A:$A,N$2)</f>
        <v>0</v>
      </c>
      <c r="O675" s="12">
        <f>SUMIFS(BASE!$G:$G,BASE!$B:$B,$B675,BASE!$L:$L,$G675,BASE!$J:$J,$C675,BASE!$A:$A,O$2)</f>
        <v>0</v>
      </c>
      <c r="P675" s="12">
        <f>SUMIFS(BASE!$G:$G,BASE!$B:$B,$B675,BASE!$L:$L,$G675,BASE!$J:$J,$C675,BASE!$A:$A,P$2)</f>
        <v>0</v>
      </c>
      <c r="Q675" s="12">
        <f>SUMIFS(BASE!$G:$G,BASE!$B:$B,$B675,BASE!$L:$L,$G675,BASE!$J:$J,$C675,BASE!$A:$A,Q$2)</f>
        <v>0</v>
      </c>
      <c r="R675" s="12">
        <f>SUMIFS(BASE!$G:$G,BASE!$B:$B,$B675,BASE!$L:$L,$G675,BASE!$J:$J,$C675,BASE!$A:$A,R$2)</f>
        <v>0</v>
      </c>
      <c r="S675" s="12">
        <f>SUMIFS(BASE!$G:$G,BASE!$B:$B,$B675,BASE!$L:$L,$G675,BASE!$J:$J,$C675,BASE!$A:$A,S$2)</f>
        <v>0</v>
      </c>
      <c r="T675" s="12">
        <f>SUMIFS(BASE!$G:$G,BASE!$B:$B,$B675,BASE!$L:$L,$G675,BASE!$J:$J,$C675,BASE!$A:$A,T$2)</f>
        <v>0</v>
      </c>
      <c r="U675" s="12">
        <f>SUMIFS(BASE!$G:$G,BASE!$B:$B,$B675,BASE!$L:$L,$G675,BASE!$J:$J,$C675,BASE!$A:$A,U$2)</f>
        <v>0</v>
      </c>
      <c r="V675" s="12">
        <f>SUMIFS(BASE!$G:$G,BASE!$B:$B,$B675,BASE!$L:$L,$G675,BASE!$J:$J,$C675,BASE!$A:$A,V$2)</f>
        <v>0</v>
      </c>
      <c r="X675" t="str">
        <f t="shared" si="21"/>
        <v>ZERADO</v>
      </c>
    </row>
    <row r="676" spans="2:24">
      <c r="B676" s="8" t="s">
        <v>1458</v>
      </c>
      <c r="C676" s="9" t="s">
        <v>116</v>
      </c>
      <c r="D676" s="9" t="s">
        <v>1415</v>
      </c>
      <c r="E676" s="9" t="s">
        <v>1416</v>
      </c>
      <c r="F676" s="9" t="s">
        <v>1459</v>
      </c>
      <c r="G676" s="9" t="s">
        <v>54</v>
      </c>
      <c r="H676" s="7" t="str">
        <f>IFERROR(IF(_xlfn.XLOOKUP(B676,REPASSE!D:D,REPASSE!D:D)="","Não","Sim"),"Não")</f>
        <v>Sim</v>
      </c>
      <c r="I676" s="7" t="str">
        <f>IF(_xlfn.XLOOKUP(B676,'BOOST LIBERADO'!B:B,'BOOST LIBERADO'!B:B,"Não")="Não","Não","Sim")</f>
        <v>Sim</v>
      </c>
      <c r="J676" s="83" t="str">
        <f t="shared" si="20"/>
        <v>Não</v>
      </c>
      <c r="K676" s="12">
        <f>SUMIFS(BASE!$G:$G,BASE!$B:$B,$B676,BASE!$L:$L,$G676,BASE!$J:$J,$C676,BASE!$A:$A,K$2)</f>
        <v>0</v>
      </c>
      <c r="L676" s="12">
        <f>SUMIFS(BASE!$G:$G,BASE!$B:$B,$B676,BASE!$L:$L,$G676,BASE!$J:$J,$C676,BASE!$A:$A,L$2)</f>
        <v>0</v>
      </c>
      <c r="M676" s="12">
        <f>SUMIFS(BASE!$G:$G,BASE!$B:$B,$B676,BASE!$L:$L,$G676,BASE!$J:$J,$C676,BASE!$A:$A,M$2)</f>
        <v>0</v>
      </c>
      <c r="N676" s="12">
        <f>SUMIFS(BASE!$G:$G,BASE!$B:$B,$B676,BASE!$L:$L,$G676,BASE!$J:$J,$C676,BASE!$A:$A,N$2)</f>
        <v>0</v>
      </c>
      <c r="O676" s="12">
        <f>SUMIFS(BASE!$G:$G,BASE!$B:$B,$B676,BASE!$L:$L,$G676,BASE!$J:$J,$C676,BASE!$A:$A,O$2)</f>
        <v>0</v>
      </c>
      <c r="P676" s="12">
        <f>SUMIFS(BASE!$G:$G,BASE!$B:$B,$B676,BASE!$L:$L,$G676,BASE!$J:$J,$C676,BASE!$A:$A,P$2)</f>
        <v>0</v>
      </c>
      <c r="Q676" s="12">
        <f>SUMIFS(BASE!$G:$G,BASE!$B:$B,$B676,BASE!$L:$L,$G676,BASE!$J:$J,$C676,BASE!$A:$A,Q$2)</f>
        <v>0</v>
      </c>
      <c r="R676" s="12">
        <f>SUMIFS(BASE!$G:$G,BASE!$B:$B,$B676,BASE!$L:$L,$G676,BASE!$J:$J,$C676,BASE!$A:$A,R$2)</f>
        <v>0</v>
      </c>
      <c r="S676" s="12">
        <f>SUMIFS(BASE!$G:$G,BASE!$B:$B,$B676,BASE!$L:$L,$G676,BASE!$J:$J,$C676,BASE!$A:$A,S$2)</f>
        <v>0</v>
      </c>
      <c r="T676" s="12">
        <f>SUMIFS(BASE!$G:$G,BASE!$B:$B,$B676,BASE!$L:$L,$G676,BASE!$J:$J,$C676,BASE!$A:$A,T$2)</f>
        <v>0</v>
      </c>
      <c r="U676" s="12">
        <f>SUMIFS(BASE!$G:$G,BASE!$B:$B,$B676,BASE!$L:$L,$G676,BASE!$J:$J,$C676,BASE!$A:$A,U$2)</f>
        <v>0</v>
      </c>
      <c r="V676" s="12">
        <f>SUMIFS(BASE!$G:$G,BASE!$B:$B,$B676,BASE!$L:$L,$G676,BASE!$J:$J,$C676,BASE!$A:$A,V$2)</f>
        <v>0</v>
      </c>
      <c r="X676" t="str">
        <f t="shared" si="21"/>
        <v>ZERADO</v>
      </c>
    </row>
    <row r="677" spans="2:24">
      <c r="B677" s="8" t="s">
        <v>1460</v>
      </c>
      <c r="C677" s="9" t="s">
        <v>106</v>
      </c>
      <c r="D677" s="9" t="s">
        <v>1461</v>
      </c>
      <c r="E677" s="9" t="s">
        <v>1416</v>
      </c>
      <c r="F677" s="9" t="s">
        <v>1462</v>
      </c>
      <c r="G677" s="9" t="s">
        <v>54</v>
      </c>
      <c r="H677" s="7" t="str">
        <f>IFERROR(IF(_xlfn.XLOOKUP(B677,REPASSE!D:D,REPASSE!D:D)="","Não","Sim"),"Não")</f>
        <v>Não</v>
      </c>
      <c r="I677" s="7" t="str">
        <f>IF(_xlfn.XLOOKUP(B677,'BOOST LIBERADO'!B:B,'BOOST LIBERADO'!B:B,"Não")="Não","Não","Sim")</f>
        <v>Sim</v>
      </c>
      <c r="J677" s="83" t="str">
        <f t="shared" si="20"/>
        <v>Sim</v>
      </c>
      <c r="K677" s="12">
        <f>SUMIFS(BASE!$G:$G,BASE!$B:$B,$B677,BASE!$L:$L,$G677,BASE!$J:$J,$C677,BASE!$A:$A,K$2)</f>
        <v>0</v>
      </c>
      <c r="L677" s="12">
        <f>SUMIFS(BASE!$G:$G,BASE!$B:$B,$B677,BASE!$L:$L,$G677,BASE!$J:$J,$C677,BASE!$A:$A,L$2)</f>
        <v>0</v>
      </c>
      <c r="M677" s="12">
        <f>SUMIFS(BASE!$G:$G,BASE!$B:$B,$B677,BASE!$L:$L,$G677,BASE!$J:$J,$C677,BASE!$A:$A,M$2)</f>
        <v>0</v>
      </c>
      <c r="N677" s="12">
        <f>SUMIFS(BASE!$G:$G,BASE!$B:$B,$B677,BASE!$L:$L,$G677,BASE!$J:$J,$C677,BASE!$A:$A,N$2)</f>
        <v>0</v>
      </c>
      <c r="O677" s="12">
        <f>SUMIFS(BASE!$G:$G,BASE!$B:$B,$B677,BASE!$L:$L,$G677,BASE!$J:$J,$C677,BASE!$A:$A,O$2)</f>
        <v>1</v>
      </c>
      <c r="P677" s="12">
        <f>SUMIFS(BASE!$G:$G,BASE!$B:$B,$B677,BASE!$L:$L,$G677,BASE!$J:$J,$C677,BASE!$A:$A,P$2)</f>
        <v>1</v>
      </c>
      <c r="Q677" s="12">
        <f>SUMIFS(BASE!$G:$G,BASE!$B:$B,$B677,BASE!$L:$L,$G677,BASE!$J:$J,$C677,BASE!$A:$A,Q$2)</f>
        <v>1</v>
      </c>
      <c r="R677" s="12">
        <f>SUMIFS(BASE!$G:$G,BASE!$B:$B,$B677,BASE!$L:$L,$G677,BASE!$J:$J,$C677,BASE!$A:$A,R$2)</f>
        <v>0</v>
      </c>
      <c r="S677" s="12">
        <f>SUMIFS(BASE!$G:$G,BASE!$B:$B,$B677,BASE!$L:$L,$G677,BASE!$J:$J,$C677,BASE!$A:$A,S$2)</f>
        <v>0</v>
      </c>
      <c r="T677" s="12">
        <f>SUMIFS(BASE!$G:$G,BASE!$B:$B,$B677,BASE!$L:$L,$G677,BASE!$J:$J,$C677,BASE!$A:$A,T$2)</f>
        <v>0</v>
      </c>
      <c r="U677" s="12">
        <f>SUMIFS(BASE!$G:$G,BASE!$B:$B,$B677,BASE!$L:$L,$G677,BASE!$J:$J,$C677,BASE!$A:$A,U$2)</f>
        <v>0</v>
      </c>
      <c r="V677" s="12">
        <f>SUMIFS(BASE!$G:$G,BASE!$B:$B,$B677,BASE!$L:$L,$G677,BASE!$J:$J,$C677,BASE!$A:$A,V$2)</f>
        <v>0</v>
      </c>
      <c r="X677" t="str">
        <f t="shared" si="21"/>
        <v>ZERADO</v>
      </c>
    </row>
    <row r="678" spans="2:24">
      <c r="B678" s="8" t="s">
        <v>1463</v>
      </c>
      <c r="C678" s="9" t="s">
        <v>219</v>
      </c>
      <c r="D678" s="9" t="s">
        <v>1450</v>
      </c>
      <c r="E678" s="9" t="s">
        <v>1412</v>
      </c>
      <c r="F678" s="9" t="s">
        <v>1464</v>
      </c>
      <c r="G678" s="9" t="s">
        <v>54</v>
      </c>
      <c r="H678" s="7" t="str">
        <f>IFERROR(IF(_xlfn.XLOOKUP(B678,REPASSE!D:D,REPASSE!D:D)="","Não","Sim"),"Não")</f>
        <v>Não</v>
      </c>
      <c r="I678" s="7" t="str">
        <f>IF(_xlfn.XLOOKUP(B678,'BOOST LIBERADO'!B:B,'BOOST LIBERADO'!B:B,"Não")="Não","Não","Sim")</f>
        <v>Sim</v>
      </c>
      <c r="J678" s="83" t="str">
        <f t="shared" si="20"/>
        <v>Sim</v>
      </c>
      <c r="K678" s="12">
        <f>SUMIFS(BASE!$G:$G,BASE!$B:$B,$B678,BASE!$L:$L,$G678,BASE!$J:$J,$C678,BASE!$A:$A,K$2)</f>
        <v>3</v>
      </c>
      <c r="L678" s="12">
        <f>SUMIFS(BASE!$G:$G,BASE!$B:$B,$B678,BASE!$L:$L,$G678,BASE!$J:$J,$C678,BASE!$A:$A,L$2)</f>
        <v>3</v>
      </c>
      <c r="M678" s="12">
        <f>SUMIFS(BASE!$G:$G,BASE!$B:$B,$B678,BASE!$L:$L,$G678,BASE!$J:$J,$C678,BASE!$A:$A,M$2)</f>
        <v>6</v>
      </c>
      <c r="N678" s="12">
        <f>SUMIFS(BASE!$G:$G,BASE!$B:$B,$B678,BASE!$L:$L,$G678,BASE!$J:$J,$C678,BASE!$A:$A,N$2)</f>
        <v>3</v>
      </c>
      <c r="O678" s="12">
        <f>SUMIFS(BASE!$G:$G,BASE!$B:$B,$B678,BASE!$L:$L,$G678,BASE!$J:$J,$C678,BASE!$A:$A,O$2)</f>
        <v>7</v>
      </c>
      <c r="P678" s="12">
        <f>SUMIFS(BASE!$G:$G,BASE!$B:$B,$B678,BASE!$L:$L,$G678,BASE!$J:$J,$C678,BASE!$A:$A,P$2)</f>
        <v>5</v>
      </c>
      <c r="Q678" s="12">
        <f>SUMIFS(BASE!$G:$G,BASE!$B:$B,$B678,BASE!$L:$L,$G678,BASE!$J:$J,$C678,BASE!$A:$A,Q$2)</f>
        <v>8</v>
      </c>
      <c r="R678" s="12">
        <f>SUMIFS(BASE!$G:$G,BASE!$B:$B,$B678,BASE!$L:$L,$G678,BASE!$J:$J,$C678,BASE!$A:$A,R$2)</f>
        <v>8</v>
      </c>
      <c r="S678" s="12">
        <f>SUMIFS(BASE!$G:$G,BASE!$B:$B,$B678,BASE!$L:$L,$G678,BASE!$J:$J,$C678,BASE!$A:$A,S$2)</f>
        <v>0</v>
      </c>
      <c r="T678" s="12">
        <f>SUMIFS(BASE!$G:$G,BASE!$B:$B,$B678,BASE!$L:$L,$G678,BASE!$J:$J,$C678,BASE!$A:$A,T$2)</f>
        <v>0</v>
      </c>
      <c r="U678" s="12">
        <f>SUMIFS(BASE!$G:$G,BASE!$B:$B,$B678,BASE!$L:$L,$G678,BASE!$J:$J,$C678,BASE!$A:$A,U$2)</f>
        <v>0</v>
      </c>
      <c r="V678" s="12">
        <f>SUMIFS(BASE!$G:$G,BASE!$B:$B,$B678,BASE!$L:$L,$G678,BASE!$J:$J,$C678,BASE!$A:$A,V$2)</f>
        <v>0</v>
      </c>
      <c r="X678" t="str">
        <f t="shared" si="21"/>
        <v>COM TROCAS</v>
      </c>
    </row>
    <row r="679" spans="2:24">
      <c r="B679" s="8" t="s">
        <v>1465</v>
      </c>
      <c r="C679" s="9" t="s">
        <v>119</v>
      </c>
      <c r="D679" s="9" t="s">
        <v>1431</v>
      </c>
      <c r="E679" s="9" t="s">
        <v>1412</v>
      </c>
      <c r="F679" s="9" t="s">
        <v>1466</v>
      </c>
      <c r="G679" s="9" t="s">
        <v>54</v>
      </c>
      <c r="H679" s="7" t="str">
        <f>IFERROR(IF(_xlfn.XLOOKUP(B679,REPASSE!D:D,REPASSE!D:D)="","Não","Sim"),"Não")</f>
        <v>Não</v>
      </c>
      <c r="I679" s="7" t="str">
        <f>IF(_xlfn.XLOOKUP(B679,'BOOST LIBERADO'!B:B,'BOOST LIBERADO'!B:B,"Não")="Não","Não","Sim")</f>
        <v>Sim</v>
      </c>
      <c r="J679" s="83" t="str">
        <f t="shared" si="20"/>
        <v>Sim</v>
      </c>
      <c r="K679" s="12">
        <f>SUMIFS(BASE!$G:$G,BASE!$B:$B,$B679,BASE!$L:$L,$G679,BASE!$J:$J,$C679,BASE!$A:$A,K$2)</f>
        <v>0</v>
      </c>
      <c r="L679" s="12">
        <f>SUMIFS(BASE!$G:$G,BASE!$B:$B,$B679,BASE!$L:$L,$G679,BASE!$J:$J,$C679,BASE!$A:$A,L$2)</f>
        <v>3</v>
      </c>
      <c r="M679" s="12">
        <f>SUMIFS(BASE!$G:$G,BASE!$B:$B,$B679,BASE!$L:$L,$G679,BASE!$J:$J,$C679,BASE!$A:$A,M$2)</f>
        <v>4</v>
      </c>
      <c r="N679" s="12">
        <f>SUMIFS(BASE!$G:$G,BASE!$B:$B,$B679,BASE!$L:$L,$G679,BASE!$J:$J,$C679,BASE!$A:$A,N$2)</f>
        <v>1</v>
      </c>
      <c r="O679" s="12">
        <f>SUMIFS(BASE!$G:$G,BASE!$B:$B,$B679,BASE!$L:$L,$G679,BASE!$J:$J,$C679,BASE!$A:$A,O$2)</f>
        <v>1</v>
      </c>
      <c r="P679" s="12">
        <f>SUMIFS(BASE!$G:$G,BASE!$B:$B,$B679,BASE!$L:$L,$G679,BASE!$J:$J,$C679,BASE!$A:$A,P$2)</f>
        <v>8</v>
      </c>
      <c r="Q679" s="12">
        <f>SUMIFS(BASE!$G:$G,BASE!$B:$B,$B679,BASE!$L:$L,$G679,BASE!$J:$J,$C679,BASE!$A:$A,Q$2)</f>
        <v>20</v>
      </c>
      <c r="R679" s="12">
        <f>SUMIFS(BASE!$G:$G,BASE!$B:$B,$B679,BASE!$L:$L,$G679,BASE!$J:$J,$C679,BASE!$A:$A,R$2)</f>
        <v>8</v>
      </c>
      <c r="S679" s="12">
        <f>SUMIFS(BASE!$G:$G,BASE!$B:$B,$B679,BASE!$L:$L,$G679,BASE!$J:$J,$C679,BASE!$A:$A,S$2)</f>
        <v>0</v>
      </c>
      <c r="T679" s="12">
        <f>SUMIFS(BASE!$G:$G,BASE!$B:$B,$B679,BASE!$L:$L,$G679,BASE!$J:$J,$C679,BASE!$A:$A,T$2)</f>
        <v>0</v>
      </c>
      <c r="U679" s="12">
        <f>SUMIFS(BASE!$G:$G,BASE!$B:$B,$B679,BASE!$L:$L,$G679,BASE!$J:$J,$C679,BASE!$A:$A,U$2)</f>
        <v>0</v>
      </c>
      <c r="V679" s="12">
        <f>SUMIFS(BASE!$G:$G,BASE!$B:$B,$B679,BASE!$L:$L,$G679,BASE!$J:$J,$C679,BASE!$A:$A,V$2)</f>
        <v>0</v>
      </c>
      <c r="X679" t="str">
        <f t="shared" si="21"/>
        <v>COM TROCAS</v>
      </c>
    </row>
    <row r="680" spans="2:24">
      <c r="B680" s="8" t="s">
        <v>1467</v>
      </c>
      <c r="C680" s="9" t="s">
        <v>232</v>
      </c>
      <c r="D680" s="9" t="s">
        <v>1468</v>
      </c>
      <c r="E680" s="9" t="s">
        <v>1438</v>
      </c>
      <c r="F680" s="9" t="s">
        <v>1469</v>
      </c>
      <c r="G680" s="9" t="s">
        <v>54</v>
      </c>
      <c r="H680" s="7" t="str">
        <f>IFERROR(IF(_xlfn.XLOOKUP(B680,REPASSE!D:D,REPASSE!D:D)="","Não","Sim"),"Não")</f>
        <v>Não</v>
      </c>
      <c r="I680" s="7" t="str">
        <f>IF(_xlfn.XLOOKUP(B680,'BOOST LIBERADO'!B:B,'BOOST LIBERADO'!B:B,"Não")="Não","Não","Sim")</f>
        <v>Sim</v>
      </c>
      <c r="J680" s="83" t="str">
        <f t="shared" si="20"/>
        <v>Sim</v>
      </c>
      <c r="K680" s="12">
        <f>SUMIFS(BASE!$G:$G,BASE!$B:$B,$B680,BASE!$L:$L,$G680,BASE!$J:$J,$C680,BASE!$A:$A,K$2)</f>
        <v>1</v>
      </c>
      <c r="L680" s="12">
        <f>SUMIFS(BASE!$G:$G,BASE!$B:$B,$B680,BASE!$L:$L,$G680,BASE!$J:$J,$C680,BASE!$A:$A,L$2)</f>
        <v>3</v>
      </c>
      <c r="M680" s="12">
        <f>SUMIFS(BASE!$G:$G,BASE!$B:$B,$B680,BASE!$L:$L,$G680,BASE!$J:$J,$C680,BASE!$A:$A,M$2)</f>
        <v>2</v>
      </c>
      <c r="N680" s="12">
        <f>SUMIFS(BASE!$G:$G,BASE!$B:$B,$B680,BASE!$L:$L,$G680,BASE!$J:$J,$C680,BASE!$A:$A,N$2)</f>
        <v>2</v>
      </c>
      <c r="O680" s="12">
        <f>SUMIFS(BASE!$G:$G,BASE!$B:$B,$B680,BASE!$L:$L,$G680,BASE!$J:$J,$C680,BASE!$A:$A,O$2)</f>
        <v>1</v>
      </c>
      <c r="P680" s="12">
        <f>SUMIFS(BASE!$G:$G,BASE!$B:$B,$B680,BASE!$L:$L,$G680,BASE!$J:$J,$C680,BASE!$A:$A,P$2)</f>
        <v>3</v>
      </c>
      <c r="Q680" s="12">
        <f>SUMIFS(BASE!$G:$G,BASE!$B:$B,$B680,BASE!$L:$L,$G680,BASE!$J:$J,$C680,BASE!$A:$A,Q$2)</f>
        <v>3</v>
      </c>
      <c r="R680" s="12">
        <f>SUMIFS(BASE!$G:$G,BASE!$B:$B,$B680,BASE!$L:$L,$G680,BASE!$J:$J,$C680,BASE!$A:$A,R$2)</f>
        <v>8</v>
      </c>
      <c r="S680" s="12">
        <f>SUMIFS(BASE!$G:$G,BASE!$B:$B,$B680,BASE!$L:$L,$G680,BASE!$J:$J,$C680,BASE!$A:$A,S$2)</f>
        <v>0</v>
      </c>
      <c r="T680" s="12">
        <f>SUMIFS(BASE!$G:$G,BASE!$B:$B,$B680,BASE!$L:$L,$G680,BASE!$J:$J,$C680,BASE!$A:$A,T$2)</f>
        <v>0</v>
      </c>
      <c r="U680" s="12">
        <f>SUMIFS(BASE!$G:$G,BASE!$B:$B,$B680,BASE!$L:$L,$G680,BASE!$J:$J,$C680,BASE!$A:$A,U$2)</f>
        <v>0</v>
      </c>
      <c r="V680" s="12">
        <f>SUMIFS(BASE!$G:$G,BASE!$B:$B,$B680,BASE!$L:$L,$G680,BASE!$J:$J,$C680,BASE!$A:$A,V$2)</f>
        <v>0</v>
      </c>
      <c r="X680" t="str">
        <f t="shared" si="21"/>
        <v>COM TROCAS</v>
      </c>
    </row>
    <row r="681" spans="2:24">
      <c r="B681" s="8" t="s">
        <v>1470</v>
      </c>
      <c r="C681" s="9" t="s">
        <v>148</v>
      </c>
      <c r="D681" s="9" t="s">
        <v>1471</v>
      </c>
      <c r="E681" s="9" t="s">
        <v>1416</v>
      </c>
      <c r="F681" s="9" t="s">
        <v>1472</v>
      </c>
      <c r="G681" s="9" t="s">
        <v>54</v>
      </c>
      <c r="H681" s="7" t="str">
        <f>IFERROR(IF(_xlfn.XLOOKUP(B681,REPASSE!D:D,REPASSE!D:D)="","Não","Sim"),"Não")</f>
        <v>Não</v>
      </c>
      <c r="I681" s="7" t="str">
        <f>IF(_xlfn.XLOOKUP(B681,'BOOST LIBERADO'!B:B,'BOOST LIBERADO'!B:B,"Não")="Não","Não","Sim")</f>
        <v>Sim</v>
      </c>
      <c r="J681" s="83" t="str">
        <f t="shared" si="20"/>
        <v>Sim</v>
      </c>
      <c r="K681" s="12">
        <f>SUMIFS(BASE!$G:$G,BASE!$B:$B,$B681,BASE!$L:$L,$G681,BASE!$J:$J,$C681,BASE!$A:$A,K$2)</f>
        <v>0</v>
      </c>
      <c r="L681" s="12">
        <f>SUMIFS(BASE!$G:$G,BASE!$B:$B,$B681,BASE!$L:$L,$G681,BASE!$J:$J,$C681,BASE!$A:$A,L$2)</f>
        <v>0</v>
      </c>
      <c r="M681" s="12">
        <f>SUMIFS(BASE!$G:$G,BASE!$B:$B,$B681,BASE!$L:$L,$G681,BASE!$J:$J,$C681,BASE!$A:$A,M$2)</f>
        <v>0</v>
      </c>
      <c r="N681" s="12">
        <f>SUMIFS(BASE!$G:$G,BASE!$B:$B,$B681,BASE!$L:$L,$G681,BASE!$J:$J,$C681,BASE!$A:$A,N$2)</f>
        <v>0</v>
      </c>
      <c r="O681" s="12">
        <f>SUMIFS(BASE!$G:$G,BASE!$B:$B,$B681,BASE!$L:$L,$G681,BASE!$J:$J,$C681,BASE!$A:$A,O$2)</f>
        <v>0</v>
      </c>
      <c r="P681" s="12">
        <f>SUMIFS(BASE!$G:$G,BASE!$B:$B,$B681,BASE!$L:$L,$G681,BASE!$J:$J,$C681,BASE!$A:$A,P$2)</f>
        <v>0</v>
      </c>
      <c r="Q681" s="12">
        <f>SUMIFS(BASE!$G:$G,BASE!$B:$B,$B681,BASE!$L:$L,$G681,BASE!$J:$J,$C681,BASE!$A:$A,Q$2)</f>
        <v>0</v>
      </c>
      <c r="R681" s="12">
        <f>SUMIFS(BASE!$G:$G,BASE!$B:$B,$B681,BASE!$L:$L,$G681,BASE!$J:$J,$C681,BASE!$A:$A,R$2)</f>
        <v>0</v>
      </c>
      <c r="S681" s="12">
        <f>SUMIFS(BASE!$G:$G,BASE!$B:$B,$B681,BASE!$L:$L,$G681,BASE!$J:$J,$C681,BASE!$A:$A,S$2)</f>
        <v>0</v>
      </c>
      <c r="T681" s="12">
        <f>SUMIFS(BASE!$G:$G,BASE!$B:$B,$B681,BASE!$L:$L,$G681,BASE!$J:$J,$C681,BASE!$A:$A,T$2)</f>
        <v>0</v>
      </c>
      <c r="U681" s="12">
        <f>SUMIFS(BASE!$G:$G,BASE!$B:$B,$B681,BASE!$L:$L,$G681,BASE!$J:$J,$C681,BASE!$A:$A,U$2)</f>
        <v>0</v>
      </c>
      <c r="V681" s="12">
        <f>SUMIFS(BASE!$G:$G,BASE!$B:$B,$B681,BASE!$L:$L,$G681,BASE!$J:$J,$C681,BASE!$A:$A,V$2)</f>
        <v>0</v>
      </c>
      <c r="X681" t="str">
        <f t="shared" si="21"/>
        <v>ZERADO</v>
      </c>
    </row>
    <row r="682" spans="2:24">
      <c r="B682" s="8" t="s">
        <v>1473</v>
      </c>
      <c r="C682" s="9" t="s">
        <v>106</v>
      </c>
      <c r="D682" s="9" t="s">
        <v>1419</v>
      </c>
      <c r="E682" s="9" t="s">
        <v>1412</v>
      </c>
      <c r="F682" s="9" t="s">
        <v>1474</v>
      </c>
      <c r="G682" s="9" t="s">
        <v>54</v>
      </c>
      <c r="H682" s="7" t="str">
        <f>IFERROR(IF(_xlfn.XLOOKUP(B682,REPASSE!D:D,REPASSE!D:D)="","Não","Sim"),"Não")</f>
        <v>Não</v>
      </c>
      <c r="I682" s="7" t="str">
        <f>IF(_xlfn.XLOOKUP(B682,'BOOST LIBERADO'!B:B,'BOOST LIBERADO'!B:B,"Não")="Não","Não","Sim")</f>
        <v>Sim</v>
      </c>
      <c r="J682" s="83" t="str">
        <f t="shared" si="20"/>
        <v>Sim</v>
      </c>
      <c r="K682" s="12">
        <f>SUMIFS(BASE!$G:$G,BASE!$B:$B,$B682,BASE!$L:$L,$G682,BASE!$J:$J,$C682,BASE!$A:$A,K$2)</f>
        <v>0</v>
      </c>
      <c r="L682" s="12">
        <f>SUMIFS(BASE!$G:$G,BASE!$B:$B,$B682,BASE!$L:$L,$G682,BASE!$J:$J,$C682,BASE!$A:$A,L$2)</f>
        <v>0</v>
      </c>
      <c r="M682" s="12">
        <f>SUMIFS(BASE!$G:$G,BASE!$B:$B,$B682,BASE!$L:$L,$G682,BASE!$J:$J,$C682,BASE!$A:$A,M$2)</f>
        <v>0</v>
      </c>
      <c r="N682" s="12">
        <f>SUMIFS(BASE!$G:$G,BASE!$B:$B,$B682,BASE!$L:$L,$G682,BASE!$J:$J,$C682,BASE!$A:$A,N$2)</f>
        <v>0</v>
      </c>
      <c r="O682" s="12">
        <f>SUMIFS(BASE!$G:$G,BASE!$B:$B,$B682,BASE!$L:$L,$G682,BASE!$J:$J,$C682,BASE!$A:$A,O$2)</f>
        <v>0</v>
      </c>
      <c r="P682" s="12">
        <f>SUMIFS(BASE!$G:$G,BASE!$B:$B,$B682,BASE!$L:$L,$G682,BASE!$J:$J,$C682,BASE!$A:$A,P$2)</f>
        <v>0</v>
      </c>
      <c r="Q682" s="12">
        <f>SUMIFS(BASE!$G:$G,BASE!$B:$B,$B682,BASE!$L:$L,$G682,BASE!$J:$J,$C682,BASE!$A:$A,Q$2)</f>
        <v>0</v>
      </c>
      <c r="R682" s="12">
        <f>SUMIFS(BASE!$G:$G,BASE!$B:$B,$B682,BASE!$L:$L,$G682,BASE!$J:$J,$C682,BASE!$A:$A,R$2)</f>
        <v>0</v>
      </c>
      <c r="S682" s="12">
        <f>SUMIFS(BASE!$G:$G,BASE!$B:$B,$B682,BASE!$L:$L,$G682,BASE!$J:$J,$C682,BASE!$A:$A,S$2)</f>
        <v>0</v>
      </c>
      <c r="T682" s="12">
        <f>SUMIFS(BASE!$G:$G,BASE!$B:$B,$B682,BASE!$L:$L,$G682,BASE!$J:$J,$C682,BASE!$A:$A,T$2)</f>
        <v>0</v>
      </c>
      <c r="U682" s="12">
        <f>SUMIFS(BASE!$G:$G,BASE!$B:$B,$B682,BASE!$L:$L,$G682,BASE!$J:$J,$C682,BASE!$A:$A,U$2)</f>
        <v>0</v>
      </c>
      <c r="V682" s="12">
        <f>SUMIFS(BASE!$G:$G,BASE!$B:$B,$B682,BASE!$L:$L,$G682,BASE!$J:$J,$C682,BASE!$A:$A,V$2)</f>
        <v>0</v>
      </c>
      <c r="X682" t="str">
        <f t="shared" si="21"/>
        <v>ZERADO</v>
      </c>
    </row>
    <row r="683" spans="2:24">
      <c r="B683" s="8" t="s">
        <v>1475</v>
      </c>
      <c r="C683" s="9" t="s">
        <v>132</v>
      </c>
      <c r="D683" s="9" t="s">
        <v>1476</v>
      </c>
      <c r="E683" s="9" t="s">
        <v>1412</v>
      </c>
      <c r="F683" s="9" t="s">
        <v>1477</v>
      </c>
      <c r="G683" s="9" t="s">
        <v>54</v>
      </c>
      <c r="H683" s="7" t="str">
        <f>IFERROR(IF(_xlfn.XLOOKUP(B683,REPASSE!D:D,REPASSE!D:D)="","Não","Sim"),"Não")</f>
        <v>Não</v>
      </c>
      <c r="I683" s="7" t="str">
        <f>IF(_xlfn.XLOOKUP(B683,'BOOST LIBERADO'!B:B,'BOOST LIBERADO'!B:B,"Não")="Não","Não","Sim")</f>
        <v>Sim</v>
      </c>
      <c r="J683" s="83" t="str">
        <f t="shared" si="20"/>
        <v>Sim</v>
      </c>
      <c r="K683" s="12">
        <f>SUMIFS(BASE!$G:$G,BASE!$B:$B,$B683,BASE!$L:$L,$G683,BASE!$J:$J,$C683,BASE!$A:$A,K$2)</f>
        <v>0</v>
      </c>
      <c r="L683" s="12">
        <f>SUMIFS(BASE!$G:$G,BASE!$B:$B,$B683,BASE!$L:$L,$G683,BASE!$J:$J,$C683,BASE!$A:$A,L$2)</f>
        <v>0</v>
      </c>
      <c r="M683" s="12">
        <f>SUMIFS(BASE!$G:$G,BASE!$B:$B,$B683,BASE!$L:$L,$G683,BASE!$J:$J,$C683,BASE!$A:$A,M$2)</f>
        <v>0</v>
      </c>
      <c r="N683" s="12">
        <f>SUMIFS(BASE!$G:$G,BASE!$B:$B,$B683,BASE!$L:$L,$G683,BASE!$J:$J,$C683,BASE!$A:$A,N$2)</f>
        <v>0</v>
      </c>
      <c r="O683" s="12">
        <f>SUMIFS(BASE!$G:$G,BASE!$B:$B,$B683,BASE!$L:$L,$G683,BASE!$J:$J,$C683,BASE!$A:$A,O$2)</f>
        <v>0</v>
      </c>
      <c r="P683" s="12">
        <f>SUMIFS(BASE!$G:$G,BASE!$B:$B,$B683,BASE!$L:$L,$G683,BASE!$J:$J,$C683,BASE!$A:$A,P$2)</f>
        <v>0</v>
      </c>
      <c r="Q683" s="12">
        <f>SUMIFS(BASE!$G:$G,BASE!$B:$B,$B683,BASE!$L:$L,$G683,BASE!$J:$J,$C683,BASE!$A:$A,Q$2)</f>
        <v>0</v>
      </c>
      <c r="R683" s="12">
        <f>SUMIFS(BASE!$G:$G,BASE!$B:$B,$B683,BASE!$L:$L,$G683,BASE!$J:$J,$C683,BASE!$A:$A,R$2)</f>
        <v>1</v>
      </c>
      <c r="S683" s="12">
        <f>SUMIFS(BASE!$G:$G,BASE!$B:$B,$B683,BASE!$L:$L,$G683,BASE!$J:$J,$C683,BASE!$A:$A,S$2)</f>
        <v>0</v>
      </c>
      <c r="T683" s="12">
        <f>SUMIFS(BASE!$G:$G,BASE!$B:$B,$B683,BASE!$L:$L,$G683,BASE!$J:$J,$C683,BASE!$A:$A,T$2)</f>
        <v>0</v>
      </c>
      <c r="U683" s="12">
        <f>SUMIFS(BASE!$G:$G,BASE!$B:$B,$B683,BASE!$L:$L,$G683,BASE!$J:$J,$C683,BASE!$A:$A,U$2)</f>
        <v>0</v>
      </c>
      <c r="V683" s="12">
        <f>SUMIFS(BASE!$G:$G,BASE!$B:$B,$B683,BASE!$L:$L,$G683,BASE!$J:$J,$C683,BASE!$A:$A,V$2)</f>
        <v>0</v>
      </c>
      <c r="X683" t="str">
        <f t="shared" si="21"/>
        <v>COM TROCAS</v>
      </c>
    </row>
    <row r="684" spans="2:24">
      <c r="B684" s="8" t="s">
        <v>1478</v>
      </c>
      <c r="C684" s="9" t="s">
        <v>106</v>
      </c>
      <c r="D684" s="9" t="s">
        <v>1453</v>
      </c>
      <c r="E684" s="9" t="s">
        <v>1412</v>
      </c>
      <c r="F684" s="9" t="s">
        <v>1464</v>
      </c>
      <c r="G684" s="9" t="s">
        <v>54</v>
      </c>
      <c r="H684" s="7" t="str">
        <f>IFERROR(IF(_xlfn.XLOOKUP(B684,REPASSE!D:D,REPASSE!D:D)="","Não","Sim"),"Não")</f>
        <v>Não</v>
      </c>
      <c r="I684" s="7" t="str">
        <f>IF(_xlfn.XLOOKUP(B684,'BOOST LIBERADO'!B:B,'BOOST LIBERADO'!B:B,"Não")="Não","Não","Sim")</f>
        <v>Sim</v>
      </c>
      <c r="J684" s="83" t="str">
        <f t="shared" si="20"/>
        <v>Sim</v>
      </c>
      <c r="K684" s="12">
        <f>SUMIFS(BASE!$G:$G,BASE!$B:$B,$B684,BASE!$L:$L,$G684,BASE!$J:$J,$C684,BASE!$A:$A,K$2)</f>
        <v>1</v>
      </c>
      <c r="L684" s="12">
        <f>SUMIFS(BASE!$G:$G,BASE!$B:$B,$B684,BASE!$L:$L,$G684,BASE!$J:$J,$C684,BASE!$A:$A,L$2)</f>
        <v>0</v>
      </c>
      <c r="M684" s="12">
        <f>SUMIFS(BASE!$G:$G,BASE!$B:$B,$B684,BASE!$L:$L,$G684,BASE!$J:$J,$C684,BASE!$A:$A,M$2)</f>
        <v>0</v>
      </c>
      <c r="N684" s="12">
        <f>SUMIFS(BASE!$G:$G,BASE!$B:$B,$B684,BASE!$L:$L,$G684,BASE!$J:$J,$C684,BASE!$A:$A,N$2)</f>
        <v>0</v>
      </c>
      <c r="O684" s="12">
        <f>SUMIFS(BASE!$G:$G,BASE!$B:$B,$B684,BASE!$L:$L,$G684,BASE!$J:$J,$C684,BASE!$A:$A,O$2)</f>
        <v>5</v>
      </c>
      <c r="P684" s="12">
        <f>SUMIFS(BASE!$G:$G,BASE!$B:$B,$B684,BASE!$L:$L,$G684,BASE!$J:$J,$C684,BASE!$A:$A,P$2)</f>
        <v>4</v>
      </c>
      <c r="Q684" s="12">
        <f>SUMIFS(BASE!$G:$G,BASE!$B:$B,$B684,BASE!$L:$L,$G684,BASE!$J:$J,$C684,BASE!$A:$A,Q$2)</f>
        <v>5</v>
      </c>
      <c r="R684" s="12">
        <f>SUMIFS(BASE!$G:$G,BASE!$B:$B,$B684,BASE!$L:$L,$G684,BASE!$J:$J,$C684,BASE!$A:$A,R$2)</f>
        <v>5</v>
      </c>
      <c r="S684" s="12">
        <f>SUMIFS(BASE!$G:$G,BASE!$B:$B,$B684,BASE!$L:$L,$G684,BASE!$J:$J,$C684,BASE!$A:$A,S$2)</f>
        <v>0</v>
      </c>
      <c r="T684" s="12">
        <f>SUMIFS(BASE!$G:$G,BASE!$B:$B,$B684,BASE!$L:$L,$G684,BASE!$J:$J,$C684,BASE!$A:$A,T$2)</f>
        <v>0</v>
      </c>
      <c r="U684" s="12">
        <f>SUMIFS(BASE!$G:$G,BASE!$B:$B,$B684,BASE!$L:$L,$G684,BASE!$J:$J,$C684,BASE!$A:$A,U$2)</f>
        <v>0</v>
      </c>
      <c r="V684" s="12">
        <f>SUMIFS(BASE!$G:$G,BASE!$B:$B,$B684,BASE!$L:$L,$G684,BASE!$J:$J,$C684,BASE!$A:$A,V$2)</f>
        <v>0</v>
      </c>
      <c r="X684" t="str">
        <f t="shared" si="21"/>
        <v>COM TROCAS</v>
      </c>
    </row>
    <row r="685" spans="2:24">
      <c r="B685" s="8" t="s">
        <v>1479</v>
      </c>
      <c r="C685" s="9" t="s">
        <v>232</v>
      </c>
      <c r="D685" s="9" t="s">
        <v>1471</v>
      </c>
      <c r="E685" s="9" t="s">
        <v>1416</v>
      </c>
      <c r="F685" s="9" t="s">
        <v>1480</v>
      </c>
      <c r="G685" s="9" t="s">
        <v>54</v>
      </c>
      <c r="H685" s="7" t="str">
        <f>IFERROR(IF(_xlfn.XLOOKUP(B685,REPASSE!D:D,REPASSE!D:D)="","Não","Sim"),"Não")</f>
        <v>Não</v>
      </c>
      <c r="I685" s="7" t="str">
        <f>IF(_xlfn.XLOOKUP(B685,'BOOST LIBERADO'!B:B,'BOOST LIBERADO'!B:B,"Não")="Não","Não","Sim")</f>
        <v>Sim</v>
      </c>
      <c r="J685" s="83" t="str">
        <f t="shared" si="20"/>
        <v>Sim</v>
      </c>
      <c r="K685" s="12">
        <f>SUMIFS(BASE!$G:$G,BASE!$B:$B,$B685,BASE!$L:$L,$G685,BASE!$J:$J,$C685,BASE!$A:$A,K$2)</f>
        <v>2</v>
      </c>
      <c r="L685" s="12">
        <f>SUMIFS(BASE!$G:$G,BASE!$B:$B,$B685,BASE!$L:$L,$G685,BASE!$J:$J,$C685,BASE!$A:$A,L$2)</f>
        <v>2</v>
      </c>
      <c r="M685" s="12">
        <f>SUMIFS(BASE!$G:$G,BASE!$B:$B,$B685,BASE!$L:$L,$G685,BASE!$J:$J,$C685,BASE!$A:$A,M$2)</f>
        <v>8</v>
      </c>
      <c r="N685" s="12">
        <f>SUMIFS(BASE!$G:$G,BASE!$B:$B,$B685,BASE!$L:$L,$G685,BASE!$J:$J,$C685,BASE!$A:$A,N$2)</f>
        <v>4</v>
      </c>
      <c r="O685" s="12">
        <f>SUMIFS(BASE!$G:$G,BASE!$B:$B,$B685,BASE!$L:$L,$G685,BASE!$J:$J,$C685,BASE!$A:$A,O$2)</f>
        <v>9</v>
      </c>
      <c r="P685" s="12">
        <f>SUMIFS(BASE!$G:$G,BASE!$B:$B,$B685,BASE!$L:$L,$G685,BASE!$J:$J,$C685,BASE!$A:$A,P$2)</f>
        <v>6</v>
      </c>
      <c r="Q685" s="12">
        <f>SUMIFS(BASE!$G:$G,BASE!$B:$B,$B685,BASE!$L:$L,$G685,BASE!$J:$J,$C685,BASE!$A:$A,Q$2)</f>
        <v>5</v>
      </c>
      <c r="R685" s="12">
        <f>SUMIFS(BASE!$G:$G,BASE!$B:$B,$B685,BASE!$L:$L,$G685,BASE!$J:$J,$C685,BASE!$A:$A,R$2)</f>
        <v>6</v>
      </c>
      <c r="S685" s="12">
        <f>SUMIFS(BASE!$G:$G,BASE!$B:$B,$B685,BASE!$L:$L,$G685,BASE!$J:$J,$C685,BASE!$A:$A,S$2)</f>
        <v>0</v>
      </c>
      <c r="T685" s="12">
        <f>SUMIFS(BASE!$G:$G,BASE!$B:$B,$B685,BASE!$L:$L,$G685,BASE!$J:$J,$C685,BASE!$A:$A,T$2)</f>
        <v>0</v>
      </c>
      <c r="U685" s="12">
        <f>SUMIFS(BASE!$G:$G,BASE!$B:$B,$B685,BASE!$L:$L,$G685,BASE!$J:$J,$C685,BASE!$A:$A,U$2)</f>
        <v>0</v>
      </c>
      <c r="V685" s="12">
        <f>SUMIFS(BASE!$G:$G,BASE!$B:$B,$B685,BASE!$L:$L,$G685,BASE!$J:$J,$C685,BASE!$A:$A,V$2)</f>
        <v>0</v>
      </c>
      <c r="X685" t="str">
        <f t="shared" si="21"/>
        <v>COM TROCAS</v>
      </c>
    </row>
    <row r="686" spans="2:24">
      <c r="B686" s="8" t="s">
        <v>1481</v>
      </c>
      <c r="C686" s="9" t="s">
        <v>232</v>
      </c>
      <c r="D686" s="9" t="s">
        <v>1411</v>
      </c>
      <c r="E686" s="9" t="s">
        <v>1412</v>
      </c>
      <c r="F686" s="9" t="s">
        <v>1482</v>
      </c>
      <c r="G686" s="9" t="s">
        <v>54</v>
      </c>
      <c r="H686" s="7" t="str">
        <f>IFERROR(IF(_xlfn.XLOOKUP(B686,REPASSE!D:D,REPASSE!D:D)="","Não","Sim"),"Não")</f>
        <v>Não</v>
      </c>
      <c r="I686" s="7" t="str">
        <f>IF(_xlfn.XLOOKUP(B686,'BOOST LIBERADO'!B:B,'BOOST LIBERADO'!B:B,"Não")="Não","Não","Sim")</f>
        <v>Sim</v>
      </c>
      <c r="J686" s="83" t="str">
        <f t="shared" si="20"/>
        <v>Sim</v>
      </c>
      <c r="K686" s="12">
        <f>SUMIFS(BASE!$G:$G,BASE!$B:$B,$B686,BASE!$L:$L,$G686,BASE!$J:$J,$C686,BASE!$A:$A,K$2)</f>
        <v>12</v>
      </c>
      <c r="L686" s="12">
        <f>SUMIFS(BASE!$G:$G,BASE!$B:$B,$B686,BASE!$L:$L,$G686,BASE!$J:$J,$C686,BASE!$A:$A,L$2)</f>
        <v>15</v>
      </c>
      <c r="M686" s="12">
        <f>SUMIFS(BASE!$G:$G,BASE!$B:$B,$B686,BASE!$L:$L,$G686,BASE!$J:$J,$C686,BASE!$A:$A,M$2)</f>
        <v>10</v>
      </c>
      <c r="N686" s="12">
        <f>SUMIFS(BASE!$G:$G,BASE!$B:$B,$B686,BASE!$L:$L,$G686,BASE!$J:$J,$C686,BASE!$A:$A,N$2)</f>
        <v>3</v>
      </c>
      <c r="O686" s="12">
        <f>SUMIFS(BASE!$G:$G,BASE!$B:$B,$B686,BASE!$L:$L,$G686,BASE!$J:$J,$C686,BASE!$A:$A,O$2)</f>
        <v>4</v>
      </c>
      <c r="P686" s="12">
        <f>SUMIFS(BASE!$G:$G,BASE!$B:$B,$B686,BASE!$L:$L,$G686,BASE!$J:$J,$C686,BASE!$A:$A,P$2)</f>
        <v>7</v>
      </c>
      <c r="Q686" s="12">
        <f>SUMIFS(BASE!$G:$G,BASE!$B:$B,$B686,BASE!$L:$L,$G686,BASE!$J:$J,$C686,BASE!$A:$A,Q$2)</f>
        <v>19</v>
      </c>
      <c r="R686" s="12">
        <f>SUMIFS(BASE!$G:$G,BASE!$B:$B,$B686,BASE!$L:$L,$G686,BASE!$J:$J,$C686,BASE!$A:$A,R$2)</f>
        <v>15</v>
      </c>
      <c r="S686" s="12">
        <f>SUMIFS(BASE!$G:$G,BASE!$B:$B,$B686,BASE!$L:$L,$G686,BASE!$J:$J,$C686,BASE!$A:$A,S$2)</f>
        <v>0</v>
      </c>
      <c r="T686" s="12">
        <f>SUMIFS(BASE!$G:$G,BASE!$B:$B,$B686,BASE!$L:$L,$G686,BASE!$J:$J,$C686,BASE!$A:$A,T$2)</f>
        <v>0</v>
      </c>
      <c r="U686" s="12">
        <f>SUMIFS(BASE!$G:$G,BASE!$B:$B,$B686,BASE!$L:$L,$G686,BASE!$J:$J,$C686,BASE!$A:$A,U$2)</f>
        <v>0</v>
      </c>
      <c r="V686" s="12">
        <f>SUMIFS(BASE!$G:$G,BASE!$B:$B,$B686,BASE!$L:$L,$G686,BASE!$J:$J,$C686,BASE!$A:$A,V$2)</f>
        <v>0</v>
      </c>
      <c r="X686" t="str">
        <f t="shared" si="21"/>
        <v>COM TROCAS</v>
      </c>
    </row>
    <row r="687" spans="2:24">
      <c r="B687" s="8" t="s">
        <v>1483</v>
      </c>
      <c r="C687" s="9" t="s">
        <v>232</v>
      </c>
      <c r="D687" s="9" t="s">
        <v>1411</v>
      </c>
      <c r="E687" s="9" t="s">
        <v>1412</v>
      </c>
      <c r="F687" s="9" t="s">
        <v>1484</v>
      </c>
      <c r="G687" s="9" t="s">
        <v>54</v>
      </c>
      <c r="H687" s="7" t="str">
        <f>IFERROR(IF(_xlfn.XLOOKUP(B687,REPASSE!D:D,REPASSE!D:D)="","Não","Sim"),"Não")</f>
        <v>Não</v>
      </c>
      <c r="I687" s="7" t="str">
        <f>IF(_xlfn.XLOOKUP(B687,'BOOST LIBERADO'!B:B,'BOOST LIBERADO'!B:B,"Não")="Não","Não","Sim")</f>
        <v>Sim</v>
      </c>
      <c r="J687" s="83" t="str">
        <f t="shared" si="20"/>
        <v>Sim</v>
      </c>
      <c r="K687" s="12">
        <f>SUMIFS(BASE!$G:$G,BASE!$B:$B,$B687,BASE!$L:$L,$G687,BASE!$J:$J,$C687,BASE!$A:$A,K$2)</f>
        <v>0</v>
      </c>
      <c r="L687" s="12">
        <f>SUMIFS(BASE!$G:$G,BASE!$B:$B,$B687,BASE!$L:$L,$G687,BASE!$J:$J,$C687,BASE!$A:$A,L$2)</f>
        <v>1</v>
      </c>
      <c r="M687" s="12">
        <f>SUMIFS(BASE!$G:$G,BASE!$B:$B,$B687,BASE!$L:$L,$G687,BASE!$J:$J,$C687,BASE!$A:$A,M$2)</f>
        <v>0</v>
      </c>
      <c r="N687" s="12">
        <f>SUMIFS(BASE!$G:$G,BASE!$B:$B,$B687,BASE!$L:$L,$G687,BASE!$J:$J,$C687,BASE!$A:$A,N$2)</f>
        <v>4</v>
      </c>
      <c r="O687" s="12">
        <f>SUMIFS(BASE!$G:$G,BASE!$B:$B,$B687,BASE!$L:$L,$G687,BASE!$J:$J,$C687,BASE!$A:$A,O$2)</f>
        <v>6</v>
      </c>
      <c r="P687" s="12">
        <f>SUMIFS(BASE!$G:$G,BASE!$B:$B,$B687,BASE!$L:$L,$G687,BASE!$J:$J,$C687,BASE!$A:$A,P$2)</f>
        <v>3</v>
      </c>
      <c r="Q687" s="12">
        <f>SUMIFS(BASE!$G:$G,BASE!$B:$B,$B687,BASE!$L:$L,$G687,BASE!$J:$J,$C687,BASE!$A:$A,Q$2)</f>
        <v>6</v>
      </c>
      <c r="R687" s="12">
        <f>SUMIFS(BASE!$G:$G,BASE!$B:$B,$B687,BASE!$L:$L,$G687,BASE!$J:$J,$C687,BASE!$A:$A,R$2)</f>
        <v>4</v>
      </c>
      <c r="S687" s="12">
        <f>SUMIFS(BASE!$G:$G,BASE!$B:$B,$B687,BASE!$L:$L,$G687,BASE!$J:$J,$C687,BASE!$A:$A,S$2)</f>
        <v>0</v>
      </c>
      <c r="T687" s="12">
        <f>SUMIFS(BASE!$G:$G,BASE!$B:$B,$B687,BASE!$L:$L,$G687,BASE!$J:$J,$C687,BASE!$A:$A,T$2)</f>
        <v>0</v>
      </c>
      <c r="U687" s="12">
        <f>SUMIFS(BASE!$G:$G,BASE!$B:$B,$B687,BASE!$L:$L,$G687,BASE!$J:$J,$C687,BASE!$A:$A,U$2)</f>
        <v>0</v>
      </c>
      <c r="V687" s="12">
        <f>SUMIFS(BASE!$G:$G,BASE!$B:$B,$B687,BASE!$L:$L,$G687,BASE!$J:$J,$C687,BASE!$A:$A,V$2)</f>
        <v>0</v>
      </c>
      <c r="X687" t="str">
        <f t="shared" si="21"/>
        <v>COM TROCAS</v>
      </c>
    </row>
    <row r="688" spans="2:24">
      <c r="B688" s="8" t="s">
        <v>1485</v>
      </c>
      <c r="C688" s="9" t="s">
        <v>106</v>
      </c>
      <c r="D688" s="9" t="s">
        <v>1443</v>
      </c>
      <c r="E688" s="9" t="s">
        <v>1416</v>
      </c>
      <c r="F688" s="9" t="s">
        <v>1486</v>
      </c>
      <c r="G688" s="9" t="s">
        <v>54</v>
      </c>
      <c r="H688" s="7" t="str">
        <f>IFERROR(IF(_xlfn.XLOOKUP(B688,REPASSE!D:D,REPASSE!D:D)="","Não","Sim"),"Não")</f>
        <v>Não</v>
      </c>
      <c r="I688" s="7" t="str">
        <f>IF(_xlfn.XLOOKUP(B688,'BOOST LIBERADO'!B:B,'BOOST LIBERADO'!B:B,"Não")="Não","Não","Sim")</f>
        <v>Sim</v>
      </c>
      <c r="J688" s="83" t="str">
        <f t="shared" si="20"/>
        <v>Sim</v>
      </c>
      <c r="K688" s="12">
        <f>SUMIFS(BASE!$G:$G,BASE!$B:$B,$B688,BASE!$L:$L,$G688,BASE!$J:$J,$C688,BASE!$A:$A,K$2)</f>
        <v>0</v>
      </c>
      <c r="L688" s="12">
        <f>SUMIFS(BASE!$G:$G,BASE!$B:$B,$B688,BASE!$L:$L,$G688,BASE!$J:$J,$C688,BASE!$A:$A,L$2)</f>
        <v>0</v>
      </c>
      <c r="M688" s="12">
        <f>SUMIFS(BASE!$G:$G,BASE!$B:$B,$B688,BASE!$L:$L,$G688,BASE!$J:$J,$C688,BASE!$A:$A,M$2)</f>
        <v>0</v>
      </c>
      <c r="N688" s="12">
        <f>SUMIFS(BASE!$G:$G,BASE!$B:$B,$B688,BASE!$L:$L,$G688,BASE!$J:$J,$C688,BASE!$A:$A,N$2)</f>
        <v>0</v>
      </c>
      <c r="O688" s="12">
        <f>SUMIFS(BASE!$G:$G,BASE!$B:$B,$B688,BASE!$L:$L,$G688,BASE!$J:$J,$C688,BASE!$A:$A,O$2)</f>
        <v>0</v>
      </c>
      <c r="P688" s="12">
        <f>SUMIFS(BASE!$G:$G,BASE!$B:$B,$B688,BASE!$L:$L,$G688,BASE!$J:$J,$C688,BASE!$A:$A,P$2)</f>
        <v>0</v>
      </c>
      <c r="Q688" s="12">
        <f>SUMIFS(BASE!$G:$G,BASE!$B:$B,$B688,BASE!$L:$L,$G688,BASE!$J:$J,$C688,BASE!$A:$A,Q$2)</f>
        <v>0</v>
      </c>
      <c r="R688" s="12">
        <f>SUMIFS(BASE!$G:$G,BASE!$B:$B,$B688,BASE!$L:$L,$G688,BASE!$J:$J,$C688,BASE!$A:$A,R$2)</f>
        <v>0</v>
      </c>
      <c r="S688" s="12">
        <f>SUMIFS(BASE!$G:$G,BASE!$B:$B,$B688,BASE!$L:$L,$G688,BASE!$J:$J,$C688,BASE!$A:$A,S$2)</f>
        <v>0</v>
      </c>
      <c r="T688" s="12">
        <f>SUMIFS(BASE!$G:$G,BASE!$B:$B,$B688,BASE!$L:$L,$G688,BASE!$J:$J,$C688,BASE!$A:$A,T$2)</f>
        <v>0</v>
      </c>
      <c r="U688" s="12">
        <f>SUMIFS(BASE!$G:$G,BASE!$B:$B,$B688,BASE!$L:$L,$G688,BASE!$J:$J,$C688,BASE!$A:$A,U$2)</f>
        <v>0</v>
      </c>
      <c r="V688" s="12">
        <f>SUMIFS(BASE!$G:$G,BASE!$B:$B,$B688,BASE!$L:$L,$G688,BASE!$J:$J,$C688,BASE!$A:$A,V$2)</f>
        <v>0</v>
      </c>
      <c r="X688" t="str">
        <f t="shared" si="21"/>
        <v>ZERADO</v>
      </c>
    </row>
    <row r="689" spans="2:24">
      <c r="B689" s="8" t="s">
        <v>1487</v>
      </c>
      <c r="C689" s="9" t="s">
        <v>232</v>
      </c>
      <c r="D689" s="9" t="s">
        <v>1488</v>
      </c>
      <c r="E689" s="9" t="s">
        <v>1438</v>
      </c>
      <c r="F689" s="9" t="s">
        <v>1489</v>
      </c>
      <c r="G689" s="9" t="s">
        <v>54</v>
      </c>
      <c r="H689" s="7" t="str">
        <f>IFERROR(IF(_xlfn.XLOOKUP(B689,REPASSE!D:D,REPASSE!D:D)="","Não","Sim"),"Não")</f>
        <v>Não</v>
      </c>
      <c r="I689" s="7" t="str">
        <f>IF(_xlfn.XLOOKUP(B689,'BOOST LIBERADO'!B:B,'BOOST LIBERADO'!B:B,"Não")="Não","Não","Sim")</f>
        <v>Sim</v>
      </c>
      <c r="J689" s="83" t="str">
        <f t="shared" si="20"/>
        <v>Sim</v>
      </c>
      <c r="K689" s="12">
        <f>SUMIFS(BASE!$G:$G,BASE!$B:$B,$B689,BASE!$L:$L,$G689,BASE!$J:$J,$C689,BASE!$A:$A,K$2)</f>
        <v>23</v>
      </c>
      <c r="L689" s="12">
        <f>SUMIFS(BASE!$G:$G,BASE!$B:$B,$B689,BASE!$L:$L,$G689,BASE!$J:$J,$C689,BASE!$A:$A,L$2)</f>
        <v>13</v>
      </c>
      <c r="M689" s="12">
        <f>SUMIFS(BASE!$G:$G,BASE!$B:$B,$B689,BASE!$L:$L,$G689,BASE!$J:$J,$C689,BASE!$A:$A,M$2)</f>
        <v>23</v>
      </c>
      <c r="N689" s="12">
        <f>SUMIFS(BASE!$G:$G,BASE!$B:$B,$B689,BASE!$L:$L,$G689,BASE!$J:$J,$C689,BASE!$A:$A,N$2)</f>
        <v>17</v>
      </c>
      <c r="O689" s="12">
        <f>SUMIFS(BASE!$G:$G,BASE!$B:$B,$B689,BASE!$L:$L,$G689,BASE!$J:$J,$C689,BASE!$A:$A,O$2)</f>
        <v>20</v>
      </c>
      <c r="P689" s="12">
        <f>SUMIFS(BASE!$G:$G,BASE!$B:$B,$B689,BASE!$L:$L,$G689,BASE!$J:$J,$C689,BASE!$A:$A,P$2)</f>
        <v>21</v>
      </c>
      <c r="Q689" s="12">
        <f>SUMIFS(BASE!$G:$G,BASE!$B:$B,$B689,BASE!$L:$L,$G689,BASE!$J:$J,$C689,BASE!$A:$A,Q$2)</f>
        <v>31</v>
      </c>
      <c r="R689" s="12">
        <f>SUMIFS(BASE!$G:$G,BASE!$B:$B,$B689,BASE!$L:$L,$G689,BASE!$J:$J,$C689,BASE!$A:$A,R$2)</f>
        <v>19</v>
      </c>
      <c r="S689" s="12">
        <f>SUMIFS(BASE!$G:$G,BASE!$B:$B,$B689,BASE!$L:$L,$G689,BASE!$J:$J,$C689,BASE!$A:$A,S$2)</f>
        <v>0</v>
      </c>
      <c r="T689" s="12">
        <f>SUMIFS(BASE!$G:$G,BASE!$B:$B,$B689,BASE!$L:$L,$G689,BASE!$J:$J,$C689,BASE!$A:$A,T$2)</f>
        <v>0</v>
      </c>
      <c r="U689" s="12">
        <f>SUMIFS(BASE!$G:$G,BASE!$B:$B,$B689,BASE!$L:$L,$G689,BASE!$J:$J,$C689,BASE!$A:$A,U$2)</f>
        <v>0</v>
      </c>
      <c r="V689" s="12">
        <f>SUMIFS(BASE!$G:$G,BASE!$B:$B,$B689,BASE!$L:$L,$G689,BASE!$J:$J,$C689,BASE!$A:$A,V$2)</f>
        <v>0</v>
      </c>
      <c r="X689" t="str">
        <f t="shared" si="21"/>
        <v>COM TROCAS</v>
      </c>
    </row>
    <row r="690" spans="2:24">
      <c r="B690" s="8" t="s">
        <v>1490</v>
      </c>
      <c r="C690" s="9" t="s">
        <v>106</v>
      </c>
      <c r="D690" s="9" t="s">
        <v>1461</v>
      </c>
      <c r="E690" s="9" t="s">
        <v>1416</v>
      </c>
      <c r="F690" s="9" t="s">
        <v>1462</v>
      </c>
      <c r="G690" s="9" t="s">
        <v>54</v>
      </c>
      <c r="H690" s="7" t="str">
        <f>IFERROR(IF(_xlfn.XLOOKUP(B690,REPASSE!D:D,REPASSE!D:D)="","Não","Sim"),"Não")</f>
        <v>Não</v>
      </c>
      <c r="I690" s="7" t="str">
        <f>IF(_xlfn.XLOOKUP(B690,'BOOST LIBERADO'!B:B,'BOOST LIBERADO'!B:B,"Não")="Não","Não","Sim")</f>
        <v>Sim</v>
      </c>
      <c r="J690" s="83" t="str">
        <f t="shared" si="20"/>
        <v>Sim</v>
      </c>
      <c r="K690" s="12">
        <f>SUMIFS(BASE!$G:$G,BASE!$B:$B,$B690,BASE!$L:$L,$G690,BASE!$J:$J,$C690,BASE!$A:$A,K$2)</f>
        <v>0</v>
      </c>
      <c r="L690" s="12">
        <f>SUMIFS(BASE!$G:$G,BASE!$B:$B,$B690,BASE!$L:$L,$G690,BASE!$J:$J,$C690,BASE!$A:$A,L$2)</f>
        <v>0</v>
      </c>
      <c r="M690" s="12">
        <f>SUMIFS(BASE!$G:$G,BASE!$B:$B,$B690,BASE!$L:$L,$G690,BASE!$J:$J,$C690,BASE!$A:$A,M$2)</f>
        <v>0</v>
      </c>
      <c r="N690" s="12">
        <f>SUMIFS(BASE!$G:$G,BASE!$B:$B,$B690,BASE!$L:$L,$G690,BASE!$J:$J,$C690,BASE!$A:$A,N$2)</f>
        <v>0</v>
      </c>
      <c r="O690" s="12">
        <f>SUMIFS(BASE!$G:$G,BASE!$B:$B,$B690,BASE!$L:$L,$G690,BASE!$J:$J,$C690,BASE!$A:$A,O$2)</f>
        <v>0</v>
      </c>
      <c r="P690" s="12">
        <f>SUMIFS(BASE!$G:$G,BASE!$B:$B,$B690,BASE!$L:$L,$G690,BASE!$J:$J,$C690,BASE!$A:$A,P$2)</f>
        <v>0</v>
      </c>
      <c r="Q690" s="12">
        <f>SUMIFS(BASE!$G:$G,BASE!$B:$B,$B690,BASE!$L:$L,$G690,BASE!$J:$J,$C690,BASE!$A:$A,Q$2)</f>
        <v>0</v>
      </c>
      <c r="R690" s="12">
        <f>SUMIFS(BASE!$G:$G,BASE!$B:$B,$B690,BASE!$L:$L,$G690,BASE!$J:$J,$C690,BASE!$A:$A,R$2)</f>
        <v>0</v>
      </c>
      <c r="S690" s="12">
        <f>SUMIFS(BASE!$G:$G,BASE!$B:$B,$B690,BASE!$L:$L,$G690,BASE!$J:$J,$C690,BASE!$A:$A,S$2)</f>
        <v>0</v>
      </c>
      <c r="T690" s="12">
        <f>SUMIFS(BASE!$G:$G,BASE!$B:$B,$B690,BASE!$L:$L,$G690,BASE!$J:$J,$C690,BASE!$A:$A,T$2)</f>
        <v>0</v>
      </c>
      <c r="U690" s="12">
        <f>SUMIFS(BASE!$G:$G,BASE!$B:$B,$B690,BASE!$L:$L,$G690,BASE!$J:$J,$C690,BASE!$A:$A,U$2)</f>
        <v>0</v>
      </c>
      <c r="V690" s="12">
        <f>SUMIFS(BASE!$G:$G,BASE!$B:$B,$B690,BASE!$L:$L,$G690,BASE!$J:$J,$C690,BASE!$A:$A,V$2)</f>
        <v>0</v>
      </c>
      <c r="X690" t="str">
        <f t="shared" si="21"/>
        <v>ZERADO</v>
      </c>
    </row>
    <row r="691" spans="2:24">
      <c r="B691" s="8" t="s">
        <v>1491</v>
      </c>
      <c r="C691" s="9" t="s">
        <v>106</v>
      </c>
      <c r="D691" s="9" t="s">
        <v>1456</v>
      </c>
      <c r="E691" s="9" t="s">
        <v>1423</v>
      </c>
      <c r="F691" s="9" t="s">
        <v>1492</v>
      </c>
      <c r="G691" s="9" t="s">
        <v>54</v>
      </c>
      <c r="H691" s="7" t="str">
        <f>IFERROR(IF(_xlfn.XLOOKUP(B691,REPASSE!D:D,REPASSE!D:D)="","Não","Sim"),"Não")</f>
        <v>Não</v>
      </c>
      <c r="I691" s="7" t="str">
        <f>IF(_xlfn.XLOOKUP(B691,'BOOST LIBERADO'!B:B,'BOOST LIBERADO'!B:B,"Não")="Não","Não","Sim")</f>
        <v>Sim</v>
      </c>
      <c r="J691" s="83" t="str">
        <f t="shared" si="20"/>
        <v>Sim</v>
      </c>
      <c r="K691" s="12">
        <f>SUMIFS(BASE!$G:$G,BASE!$B:$B,$B691,BASE!$L:$L,$G691,BASE!$J:$J,$C691,BASE!$A:$A,K$2)</f>
        <v>0</v>
      </c>
      <c r="L691" s="12">
        <f>SUMIFS(BASE!$G:$G,BASE!$B:$B,$B691,BASE!$L:$L,$G691,BASE!$J:$J,$C691,BASE!$A:$A,L$2)</f>
        <v>0</v>
      </c>
      <c r="M691" s="12">
        <f>SUMIFS(BASE!$G:$G,BASE!$B:$B,$B691,BASE!$L:$L,$G691,BASE!$J:$J,$C691,BASE!$A:$A,M$2)</f>
        <v>0</v>
      </c>
      <c r="N691" s="12">
        <f>SUMIFS(BASE!$G:$G,BASE!$B:$B,$B691,BASE!$L:$L,$G691,BASE!$J:$J,$C691,BASE!$A:$A,N$2)</f>
        <v>0</v>
      </c>
      <c r="O691" s="12">
        <f>SUMIFS(BASE!$G:$G,BASE!$B:$B,$B691,BASE!$L:$L,$G691,BASE!$J:$J,$C691,BASE!$A:$A,O$2)</f>
        <v>0</v>
      </c>
      <c r="P691" s="12">
        <f>SUMIFS(BASE!$G:$G,BASE!$B:$B,$B691,BASE!$L:$L,$G691,BASE!$J:$J,$C691,BASE!$A:$A,P$2)</f>
        <v>0</v>
      </c>
      <c r="Q691" s="12">
        <f>SUMIFS(BASE!$G:$G,BASE!$B:$B,$B691,BASE!$L:$L,$G691,BASE!$J:$J,$C691,BASE!$A:$A,Q$2)</f>
        <v>0</v>
      </c>
      <c r="R691" s="12">
        <f>SUMIFS(BASE!$G:$G,BASE!$B:$B,$B691,BASE!$L:$L,$G691,BASE!$J:$J,$C691,BASE!$A:$A,R$2)</f>
        <v>0</v>
      </c>
      <c r="S691" s="12">
        <f>SUMIFS(BASE!$G:$G,BASE!$B:$B,$B691,BASE!$L:$L,$G691,BASE!$J:$J,$C691,BASE!$A:$A,S$2)</f>
        <v>0</v>
      </c>
      <c r="T691" s="12">
        <f>SUMIFS(BASE!$G:$G,BASE!$B:$B,$B691,BASE!$L:$L,$G691,BASE!$J:$J,$C691,BASE!$A:$A,T$2)</f>
        <v>0</v>
      </c>
      <c r="U691" s="12">
        <f>SUMIFS(BASE!$G:$G,BASE!$B:$B,$B691,BASE!$L:$L,$G691,BASE!$J:$J,$C691,BASE!$A:$A,U$2)</f>
        <v>0</v>
      </c>
      <c r="V691" s="12">
        <f>SUMIFS(BASE!$G:$G,BASE!$B:$B,$B691,BASE!$L:$L,$G691,BASE!$J:$J,$C691,BASE!$A:$A,V$2)</f>
        <v>0</v>
      </c>
      <c r="X691" t="str">
        <f t="shared" si="21"/>
        <v>ZERADO</v>
      </c>
    </row>
    <row r="692" spans="2:24">
      <c r="B692" s="8" t="s">
        <v>1493</v>
      </c>
      <c r="C692" s="9" t="s">
        <v>180</v>
      </c>
      <c r="D692" s="9" t="s">
        <v>1494</v>
      </c>
      <c r="E692" s="9" t="s">
        <v>1438</v>
      </c>
      <c r="F692" s="9" t="s">
        <v>1495</v>
      </c>
      <c r="G692" s="9" t="s">
        <v>54</v>
      </c>
      <c r="H692" s="7" t="str">
        <f>IFERROR(IF(_xlfn.XLOOKUP(B692,REPASSE!D:D,REPASSE!D:D)="","Não","Sim"),"Não")</f>
        <v>Não</v>
      </c>
      <c r="I692" s="7" t="str">
        <f>IF(_xlfn.XLOOKUP(B692,'BOOST LIBERADO'!B:B,'BOOST LIBERADO'!B:B,"Não")="Não","Não","Sim")</f>
        <v>Sim</v>
      </c>
      <c r="J692" s="83" t="str">
        <f t="shared" si="20"/>
        <v>Sim</v>
      </c>
      <c r="K692" s="12">
        <f>SUMIFS(BASE!$G:$G,BASE!$B:$B,$B692,BASE!$L:$L,$G692,BASE!$J:$J,$C692,BASE!$A:$A,K$2)</f>
        <v>0</v>
      </c>
      <c r="L692" s="12">
        <f>SUMIFS(BASE!$G:$G,BASE!$B:$B,$B692,BASE!$L:$L,$G692,BASE!$J:$J,$C692,BASE!$A:$A,L$2)</f>
        <v>0</v>
      </c>
      <c r="M692" s="12">
        <f>SUMIFS(BASE!$G:$G,BASE!$B:$B,$B692,BASE!$L:$L,$G692,BASE!$J:$J,$C692,BASE!$A:$A,M$2)</f>
        <v>0</v>
      </c>
      <c r="N692" s="12">
        <f>SUMIFS(BASE!$G:$G,BASE!$B:$B,$B692,BASE!$L:$L,$G692,BASE!$J:$J,$C692,BASE!$A:$A,N$2)</f>
        <v>0</v>
      </c>
      <c r="O692" s="12">
        <f>SUMIFS(BASE!$G:$G,BASE!$B:$B,$B692,BASE!$L:$L,$G692,BASE!$J:$J,$C692,BASE!$A:$A,O$2)</f>
        <v>0</v>
      </c>
      <c r="P692" s="12">
        <f>SUMIFS(BASE!$G:$G,BASE!$B:$B,$B692,BASE!$L:$L,$G692,BASE!$J:$J,$C692,BASE!$A:$A,P$2)</f>
        <v>0</v>
      </c>
      <c r="Q692" s="12">
        <f>SUMIFS(BASE!$G:$G,BASE!$B:$B,$B692,BASE!$L:$L,$G692,BASE!$J:$J,$C692,BASE!$A:$A,Q$2)</f>
        <v>0</v>
      </c>
      <c r="R692" s="12">
        <f>SUMIFS(BASE!$G:$G,BASE!$B:$B,$B692,BASE!$L:$L,$G692,BASE!$J:$J,$C692,BASE!$A:$A,R$2)</f>
        <v>0</v>
      </c>
      <c r="S692" s="12">
        <f>SUMIFS(BASE!$G:$G,BASE!$B:$B,$B692,BASE!$L:$L,$G692,BASE!$J:$J,$C692,BASE!$A:$A,S$2)</f>
        <v>0</v>
      </c>
      <c r="T692" s="12">
        <f>SUMIFS(BASE!$G:$G,BASE!$B:$B,$B692,BASE!$L:$L,$G692,BASE!$J:$J,$C692,BASE!$A:$A,T$2)</f>
        <v>0</v>
      </c>
      <c r="U692" s="12">
        <f>SUMIFS(BASE!$G:$G,BASE!$B:$B,$B692,BASE!$L:$L,$G692,BASE!$J:$J,$C692,BASE!$A:$A,U$2)</f>
        <v>0</v>
      </c>
      <c r="V692" s="12">
        <f>SUMIFS(BASE!$G:$G,BASE!$B:$B,$B692,BASE!$L:$L,$G692,BASE!$J:$J,$C692,BASE!$A:$A,V$2)</f>
        <v>0</v>
      </c>
      <c r="X692" t="str">
        <f t="shared" si="21"/>
        <v>ZERADO</v>
      </c>
    </row>
    <row r="693" spans="2:24">
      <c r="B693" s="8" t="s">
        <v>1496</v>
      </c>
      <c r="C693" s="9" t="s">
        <v>132</v>
      </c>
      <c r="D693" s="9" t="s">
        <v>1450</v>
      </c>
      <c r="E693" s="9" t="s">
        <v>1412</v>
      </c>
      <c r="F693" s="9" t="s">
        <v>1464</v>
      </c>
      <c r="G693" s="9" t="s">
        <v>54</v>
      </c>
      <c r="H693" s="7" t="str">
        <f>IFERROR(IF(_xlfn.XLOOKUP(B693,REPASSE!D:D,REPASSE!D:D)="","Não","Sim"),"Não")</f>
        <v>Não</v>
      </c>
      <c r="I693" s="7" t="str">
        <f>IF(_xlfn.XLOOKUP(B693,'BOOST LIBERADO'!B:B,'BOOST LIBERADO'!B:B,"Não")="Não","Não","Sim")</f>
        <v>Sim</v>
      </c>
      <c r="J693" s="83" t="str">
        <f t="shared" si="20"/>
        <v>Sim</v>
      </c>
      <c r="K693" s="12">
        <f>SUMIFS(BASE!$G:$G,BASE!$B:$B,$B693,BASE!$L:$L,$G693,BASE!$J:$J,$C693,BASE!$A:$A,K$2)</f>
        <v>60</v>
      </c>
      <c r="L693" s="12">
        <f>SUMIFS(BASE!$G:$G,BASE!$B:$B,$B693,BASE!$L:$L,$G693,BASE!$J:$J,$C693,BASE!$A:$A,L$2)</f>
        <v>41</v>
      </c>
      <c r="M693" s="12">
        <f>SUMIFS(BASE!$G:$G,BASE!$B:$B,$B693,BASE!$L:$L,$G693,BASE!$J:$J,$C693,BASE!$A:$A,M$2)</f>
        <v>91</v>
      </c>
      <c r="N693" s="12">
        <f>SUMIFS(BASE!$G:$G,BASE!$B:$B,$B693,BASE!$L:$L,$G693,BASE!$J:$J,$C693,BASE!$A:$A,N$2)</f>
        <v>88</v>
      </c>
      <c r="O693" s="12">
        <f>SUMIFS(BASE!$G:$G,BASE!$B:$B,$B693,BASE!$L:$L,$G693,BASE!$J:$J,$C693,BASE!$A:$A,O$2)</f>
        <v>64</v>
      </c>
      <c r="P693" s="12">
        <f>SUMIFS(BASE!$G:$G,BASE!$B:$B,$B693,BASE!$L:$L,$G693,BASE!$J:$J,$C693,BASE!$A:$A,P$2)</f>
        <v>45</v>
      </c>
      <c r="Q693" s="12">
        <f>SUMIFS(BASE!$G:$G,BASE!$B:$B,$B693,BASE!$L:$L,$G693,BASE!$J:$J,$C693,BASE!$A:$A,Q$2)</f>
        <v>75</v>
      </c>
      <c r="R693" s="12">
        <f>SUMIFS(BASE!$G:$G,BASE!$B:$B,$B693,BASE!$L:$L,$G693,BASE!$J:$J,$C693,BASE!$A:$A,R$2)</f>
        <v>38</v>
      </c>
      <c r="S693" s="12">
        <f>SUMIFS(BASE!$G:$G,BASE!$B:$B,$B693,BASE!$L:$L,$G693,BASE!$J:$J,$C693,BASE!$A:$A,S$2)</f>
        <v>0</v>
      </c>
      <c r="T693" s="12">
        <f>SUMIFS(BASE!$G:$G,BASE!$B:$B,$B693,BASE!$L:$L,$G693,BASE!$J:$J,$C693,BASE!$A:$A,T$2)</f>
        <v>0</v>
      </c>
      <c r="U693" s="12">
        <f>SUMIFS(BASE!$G:$G,BASE!$B:$B,$B693,BASE!$L:$L,$G693,BASE!$J:$J,$C693,BASE!$A:$A,U$2)</f>
        <v>0</v>
      </c>
      <c r="V693" s="12">
        <f>SUMIFS(BASE!$G:$G,BASE!$B:$B,$B693,BASE!$L:$L,$G693,BASE!$J:$J,$C693,BASE!$A:$A,V$2)</f>
        <v>0</v>
      </c>
      <c r="X693" t="str">
        <f t="shared" si="21"/>
        <v>COM TROCAS</v>
      </c>
    </row>
    <row r="694" spans="2:24">
      <c r="B694" s="8" t="s">
        <v>1497</v>
      </c>
      <c r="C694" s="9" t="s">
        <v>132</v>
      </c>
      <c r="D694" s="9" t="s">
        <v>1498</v>
      </c>
      <c r="E694" s="9" t="s">
        <v>1416</v>
      </c>
      <c r="F694" s="9" t="s">
        <v>1499</v>
      </c>
      <c r="G694" s="9" t="s">
        <v>54</v>
      </c>
      <c r="H694" s="7" t="str">
        <f>IFERROR(IF(_xlfn.XLOOKUP(B694,REPASSE!D:D,REPASSE!D:D)="","Não","Sim"),"Não")</f>
        <v>Não</v>
      </c>
      <c r="I694" s="7" t="str">
        <f>IF(_xlfn.XLOOKUP(B694,'BOOST LIBERADO'!B:B,'BOOST LIBERADO'!B:B,"Não")="Não","Não","Sim")</f>
        <v>Sim</v>
      </c>
      <c r="J694" s="83" t="str">
        <f t="shared" si="20"/>
        <v>Sim</v>
      </c>
      <c r="K694" s="12">
        <f>SUMIFS(BASE!$G:$G,BASE!$B:$B,$B694,BASE!$L:$L,$G694,BASE!$J:$J,$C694,BASE!$A:$A,K$2)</f>
        <v>5</v>
      </c>
      <c r="L694" s="12">
        <f>SUMIFS(BASE!$G:$G,BASE!$B:$B,$B694,BASE!$L:$L,$G694,BASE!$J:$J,$C694,BASE!$A:$A,L$2)</f>
        <v>4</v>
      </c>
      <c r="M694" s="12">
        <f>SUMIFS(BASE!$G:$G,BASE!$B:$B,$B694,BASE!$L:$L,$G694,BASE!$J:$J,$C694,BASE!$A:$A,M$2)</f>
        <v>10</v>
      </c>
      <c r="N694" s="12">
        <f>SUMIFS(BASE!$G:$G,BASE!$B:$B,$B694,BASE!$L:$L,$G694,BASE!$J:$J,$C694,BASE!$A:$A,N$2)</f>
        <v>8</v>
      </c>
      <c r="O694" s="12">
        <f>SUMIFS(BASE!$G:$G,BASE!$B:$B,$B694,BASE!$L:$L,$G694,BASE!$J:$J,$C694,BASE!$A:$A,O$2)</f>
        <v>6</v>
      </c>
      <c r="P694" s="12">
        <f>SUMIFS(BASE!$G:$G,BASE!$B:$B,$B694,BASE!$L:$L,$G694,BASE!$J:$J,$C694,BASE!$A:$A,P$2)</f>
        <v>4</v>
      </c>
      <c r="Q694" s="12">
        <f>SUMIFS(BASE!$G:$G,BASE!$B:$B,$B694,BASE!$L:$L,$G694,BASE!$J:$J,$C694,BASE!$A:$A,Q$2)</f>
        <v>4</v>
      </c>
      <c r="R694" s="12">
        <f>SUMIFS(BASE!$G:$G,BASE!$B:$B,$B694,BASE!$L:$L,$G694,BASE!$J:$J,$C694,BASE!$A:$A,R$2)</f>
        <v>1</v>
      </c>
      <c r="S694" s="12">
        <f>SUMIFS(BASE!$G:$G,BASE!$B:$B,$B694,BASE!$L:$L,$G694,BASE!$J:$J,$C694,BASE!$A:$A,S$2)</f>
        <v>0</v>
      </c>
      <c r="T694" s="12">
        <f>SUMIFS(BASE!$G:$G,BASE!$B:$B,$B694,BASE!$L:$L,$G694,BASE!$J:$J,$C694,BASE!$A:$A,T$2)</f>
        <v>0</v>
      </c>
      <c r="U694" s="12">
        <f>SUMIFS(BASE!$G:$G,BASE!$B:$B,$B694,BASE!$L:$L,$G694,BASE!$J:$J,$C694,BASE!$A:$A,U$2)</f>
        <v>0</v>
      </c>
      <c r="V694" s="12">
        <f>SUMIFS(BASE!$G:$G,BASE!$B:$B,$B694,BASE!$L:$L,$G694,BASE!$J:$J,$C694,BASE!$A:$A,V$2)</f>
        <v>0</v>
      </c>
      <c r="X694" t="str">
        <f t="shared" si="21"/>
        <v>COM TROCAS</v>
      </c>
    </row>
    <row r="695" spans="2:24">
      <c r="B695" s="8" t="s">
        <v>1500</v>
      </c>
      <c r="C695" s="9" t="s">
        <v>132</v>
      </c>
      <c r="D695" s="9" t="s">
        <v>1476</v>
      </c>
      <c r="E695" s="9" t="s">
        <v>1412</v>
      </c>
      <c r="F695" s="9" t="s">
        <v>1454</v>
      </c>
      <c r="G695" s="9" t="s">
        <v>54</v>
      </c>
      <c r="H695" s="7" t="str">
        <f>IFERROR(IF(_xlfn.XLOOKUP(B695,REPASSE!D:D,REPASSE!D:D)="","Não","Sim"),"Não")</f>
        <v>Não</v>
      </c>
      <c r="I695" s="7" t="str">
        <f>IF(_xlfn.XLOOKUP(B695,'BOOST LIBERADO'!B:B,'BOOST LIBERADO'!B:B,"Não")="Não","Não","Sim")</f>
        <v>Não</v>
      </c>
      <c r="J695" s="83" t="str">
        <f t="shared" si="20"/>
        <v>Não</v>
      </c>
      <c r="K695" s="12">
        <f>SUMIFS(BASE!$G:$G,BASE!$B:$B,$B695,BASE!$L:$L,$G695,BASE!$J:$J,$C695,BASE!$A:$A,K$2)</f>
        <v>0</v>
      </c>
      <c r="L695" s="12">
        <f>SUMIFS(BASE!$G:$G,BASE!$B:$B,$B695,BASE!$L:$L,$G695,BASE!$J:$J,$C695,BASE!$A:$A,L$2)</f>
        <v>0</v>
      </c>
      <c r="M695" s="12">
        <f>SUMIFS(BASE!$G:$G,BASE!$B:$B,$B695,BASE!$L:$L,$G695,BASE!$J:$J,$C695,BASE!$A:$A,M$2)</f>
        <v>0</v>
      </c>
      <c r="N695" s="12">
        <f>SUMIFS(BASE!$G:$G,BASE!$B:$B,$B695,BASE!$L:$L,$G695,BASE!$J:$J,$C695,BASE!$A:$A,N$2)</f>
        <v>0</v>
      </c>
      <c r="O695" s="12">
        <f>SUMIFS(BASE!$G:$G,BASE!$B:$B,$B695,BASE!$L:$L,$G695,BASE!$J:$J,$C695,BASE!$A:$A,O$2)</f>
        <v>0</v>
      </c>
      <c r="P695" s="12">
        <f>SUMIFS(BASE!$G:$G,BASE!$B:$B,$B695,BASE!$L:$L,$G695,BASE!$J:$J,$C695,BASE!$A:$A,P$2)</f>
        <v>0</v>
      </c>
      <c r="Q695" s="12">
        <f>SUMIFS(BASE!$G:$G,BASE!$B:$B,$B695,BASE!$L:$L,$G695,BASE!$J:$J,$C695,BASE!$A:$A,Q$2)</f>
        <v>3</v>
      </c>
      <c r="R695" s="12">
        <f>SUMIFS(BASE!$G:$G,BASE!$B:$B,$B695,BASE!$L:$L,$G695,BASE!$J:$J,$C695,BASE!$A:$A,R$2)</f>
        <v>5</v>
      </c>
      <c r="S695" s="12">
        <f>SUMIFS(BASE!$G:$G,BASE!$B:$B,$B695,BASE!$L:$L,$G695,BASE!$J:$J,$C695,BASE!$A:$A,S$2)</f>
        <v>0</v>
      </c>
      <c r="T695" s="12">
        <f>SUMIFS(BASE!$G:$G,BASE!$B:$B,$B695,BASE!$L:$L,$G695,BASE!$J:$J,$C695,BASE!$A:$A,T$2)</f>
        <v>0</v>
      </c>
      <c r="U695" s="12">
        <f>SUMIFS(BASE!$G:$G,BASE!$B:$B,$B695,BASE!$L:$L,$G695,BASE!$J:$J,$C695,BASE!$A:$A,U$2)</f>
        <v>0</v>
      </c>
      <c r="V695" s="12">
        <f>SUMIFS(BASE!$G:$G,BASE!$B:$B,$B695,BASE!$L:$L,$G695,BASE!$J:$J,$C695,BASE!$A:$A,V$2)</f>
        <v>0</v>
      </c>
      <c r="X695" t="str">
        <f t="shared" si="21"/>
        <v>COM TROCAS</v>
      </c>
    </row>
    <row r="696" spans="2:24">
      <c r="B696" s="8" t="s">
        <v>1501</v>
      </c>
      <c r="C696" s="9" t="s">
        <v>232</v>
      </c>
      <c r="D696" s="9" t="s">
        <v>1502</v>
      </c>
      <c r="E696" s="9" t="s">
        <v>1423</v>
      </c>
      <c r="F696" s="9" t="s">
        <v>1503</v>
      </c>
      <c r="G696" s="9" t="s">
        <v>54</v>
      </c>
      <c r="H696" s="7" t="str">
        <f>IFERROR(IF(_xlfn.XLOOKUP(B696,REPASSE!D:D,REPASSE!D:D)="","Não","Sim"),"Não")</f>
        <v>Não</v>
      </c>
      <c r="I696" s="7" t="str">
        <f>IF(_xlfn.XLOOKUP(B696,'BOOST LIBERADO'!B:B,'BOOST LIBERADO'!B:B,"Não")="Não","Não","Sim")</f>
        <v>Sim</v>
      </c>
      <c r="J696" s="83" t="str">
        <f t="shared" si="20"/>
        <v>Sim</v>
      </c>
      <c r="K696" s="12">
        <f>SUMIFS(BASE!$G:$G,BASE!$B:$B,$B696,BASE!$L:$L,$G696,BASE!$J:$J,$C696,BASE!$A:$A,K$2)</f>
        <v>6</v>
      </c>
      <c r="L696" s="12">
        <f>SUMIFS(BASE!$G:$G,BASE!$B:$B,$B696,BASE!$L:$L,$G696,BASE!$J:$J,$C696,BASE!$A:$A,L$2)</f>
        <v>16</v>
      </c>
      <c r="M696" s="12">
        <f>SUMIFS(BASE!$G:$G,BASE!$B:$B,$B696,BASE!$L:$L,$G696,BASE!$J:$J,$C696,BASE!$A:$A,M$2)</f>
        <v>25</v>
      </c>
      <c r="N696" s="12">
        <f>SUMIFS(BASE!$G:$G,BASE!$B:$B,$B696,BASE!$L:$L,$G696,BASE!$J:$J,$C696,BASE!$A:$A,N$2)</f>
        <v>12</v>
      </c>
      <c r="O696" s="12">
        <f>SUMIFS(BASE!$G:$G,BASE!$B:$B,$B696,BASE!$L:$L,$G696,BASE!$J:$J,$C696,BASE!$A:$A,O$2)</f>
        <v>18</v>
      </c>
      <c r="P696" s="12">
        <f>SUMIFS(BASE!$G:$G,BASE!$B:$B,$B696,BASE!$L:$L,$G696,BASE!$J:$J,$C696,BASE!$A:$A,P$2)</f>
        <v>18</v>
      </c>
      <c r="Q696" s="12">
        <f>SUMIFS(BASE!$G:$G,BASE!$B:$B,$B696,BASE!$L:$L,$G696,BASE!$J:$J,$C696,BASE!$A:$A,Q$2)</f>
        <v>33</v>
      </c>
      <c r="R696" s="12">
        <f>SUMIFS(BASE!$G:$G,BASE!$B:$B,$B696,BASE!$L:$L,$G696,BASE!$J:$J,$C696,BASE!$A:$A,R$2)</f>
        <v>19</v>
      </c>
      <c r="S696" s="12">
        <f>SUMIFS(BASE!$G:$G,BASE!$B:$B,$B696,BASE!$L:$L,$G696,BASE!$J:$J,$C696,BASE!$A:$A,S$2)</f>
        <v>0</v>
      </c>
      <c r="T696" s="12">
        <f>SUMIFS(BASE!$G:$G,BASE!$B:$B,$B696,BASE!$L:$L,$G696,BASE!$J:$J,$C696,BASE!$A:$A,T$2)</f>
        <v>0</v>
      </c>
      <c r="U696" s="12">
        <f>SUMIFS(BASE!$G:$G,BASE!$B:$B,$B696,BASE!$L:$L,$G696,BASE!$J:$J,$C696,BASE!$A:$A,U$2)</f>
        <v>0</v>
      </c>
      <c r="V696" s="12">
        <f>SUMIFS(BASE!$G:$G,BASE!$B:$B,$B696,BASE!$L:$L,$G696,BASE!$J:$J,$C696,BASE!$A:$A,V$2)</f>
        <v>0</v>
      </c>
      <c r="X696" t="str">
        <f t="shared" si="21"/>
        <v>COM TROCAS</v>
      </c>
    </row>
    <row r="697" spans="2:24">
      <c r="B697" s="8" t="s">
        <v>1504</v>
      </c>
      <c r="C697" s="9" t="s">
        <v>132</v>
      </c>
      <c r="D697" s="9" t="s">
        <v>1453</v>
      </c>
      <c r="E697" s="9" t="s">
        <v>1412</v>
      </c>
      <c r="F697" s="9" t="s">
        <v>1505</v>
      </c>
      <c r="G697" s="9" t="s">
        <v>54</v>
      </c>
      <c r="H697" s="7" t="str">
        <f>IFERROR(IF(_xlfn.XLOOKUP(B697,REPASSE!D:D,REPASSE!D:D)="","Não","Sim"),"Não")</f>
        <v>Não</v>
      </c>
      <c r="I697" s="7" t="str">
        <f>IF(_xlfn.XLOOKUP(B697,'BOOST LIBERADO'!B:B,'BOOST LIBERADO'!B:B,"Não")="Não","Não","Sim")</f>
        <v>Sim</v>
      </c>
      <c r="J697" s="83" t="str">
        <f t="shared" si="20"/>
        <v>Sim</v>
      </c>
      <c r="K697" s="12">
        <f>SUMIFS(BASE!$G:$G,BASE!$B:$B,$B697,BASE!$L:$L,$G697,BASE!$J:$J,$C697,BASE!$A:$A,K$2)</f>
        <v>17</v>
      </c>
      <c r="L697" s="12">
        <f>SUMIFS(BASE!$G:$G,BASE!$B:$B,$B697,BASE!$L:$L,$G697,BASE!$J:$J,$C697,BASE!$A:$A,L$2)</f>
        <v>6</v>
      </c>
      <c r="M697" s="12">
        <f>SUMIFS(BASE!$G:$G,BASE!$B:$B,$B697,BASE!$L:$L,$G697,BASE!$J:$J,$C697,BASE!$A:$A,M$2)</f>
        <v>18</v>
      </c>
      <c r="N697" s="12">
        <f>SUMIFS(BASE!$G:$G,BASE!$B:$B,$B697,BASE!$L:$L,$G697,BASE!$J:$J,$C697,BASE!$A:$A,N$2)</f>
        <v>23</v>
      </c>
      <c r="O697" s="12">
        <f>SUMIFS(BASE!$G:$G,BASE!$B:$B,$B697,BASE!$L:$L,$G697,BASE!$J:$J,$C697,BASE!$A:$A,O$2)</f>
        <v>18</v>
      </c>
      <c r="P697" s="12">
        <f>SUMIFS(BASE!$G:$G,BASE!$B:$B,$B697,BASE!$L:$L,$G697,BASE!$J:$J,$C697,BASE!$A:$A,P$2)</f>
        <v>15</v>
      </c>
      <c r="Q697" s="12">
        <f>SUMIFS(BASE!$G:$G,BASE!$B:$B,$B697,BASE!$L:$L,$G697,BASE!$J:$J,$C697,BASE!$A:$A,Q$2)</f>
        <v>38</v>
      </c>
      <c r="R697" s="12">
        <f>SUMIFS(BASE!$G:$G,BASE!$B:$B,$B697,BASE!$L:$L,$G697,BASE!$J:$J,$C697,BASE!$A:$A,R$2)</f>
        <v>12</v>
      </c>
      <c r="S697" s="12">
        <f>SUMIFS(BASE!$G:$G,BASE!$B:$B,$B697,BASE!$L:$L,$G697,BASE!$J:$J,$C697,BASE!$A:$A,S$2)</f>
        <v>0</v>
      </c>
      <c r="T697" s="12">
        <f>SUMIFS(BASE!$G:$G,BASE!$B:$B,$B697,BASE!$L:$L,$G697,BASE!$J:$J,$C697,BASE!$A:$A,T$2)</f>
        <v>0</v>
      </c>
      <c r="U697" s="12">
        <f>SUMIFS(BASE!$G:$G,BASE!$B:$B,$B697,BASE!$L:$L,$G697,BASE!$J:$J,$C697,BASE!$A:$A,U$2)</f>
        <v>0</v>
      </c>
      <c r="V697" s="12">
        <f>SUMIFS(BASE!$G:$G,BASE!$B:$B,$B697,BASE!$L:$L,$G697,BASE!$J:$J,$C697,BASE!$A:$A,V$2)</f>
        <v>0</v>
      </c>
      <c r="X697" t="str">
        <f t="shared" si="21"/>
        <v>COM TROCAS</v>
      </c>
    </row>
    <row r="698" spans="2:24">
      <c r="B698" s="8" t="s">
        <v>1506</v>
      </c>
      <c r="C698" s="9" t="s">
        <v>132</v>
      </c>
      <c r="D698" s="9" t="s">
        <v>1476</v>
      </c>
      <c r="E698" s="9" t="s">
        <v>1412</v>
      </c>
      <c r="F698" s="9" t="s">
        <v>1507</v>
      </c>
      <c r="G698" s="9" t="s">
        <v>54</v>
      </c>
      <c r="H698" s="7" t="str">
        <f>IFERROR(IF(_xlfn.XLOOKUP(B698,REPASSE!D:D,REPASSE!D:D)="","Não","Sim"),"Não")</f>
        <v>Não</v>
      </c>
      <c r="I698" s="7" t="str">
        <f>IF(_xlfn.XLOOKUP(B698,'BOOST LIBERADO'!B:B,'BOOST LIBERADO'!B:B,"Não")="Não","Não","Sim")</f>
        <v>Sim</v>
      </c>
      <c r="J698" s="83" t="str">
        <f t="shared" si="20"/>
        <v>Sim</v>
      </c>
      <c r="K698" s="12">
        <f>SUMIFS(BASE!$G:$G,BASE!$B:$B,$B698,BASE!$L:$L,$G698,BASE!$J:$J,$C698,BASE!$A:$A,K$2)</f>
        <v>2</v>
      </c>
      <c r="L698" s="12">
        <f>SUMIFS(BASE!$G:$G,BASE!$B:$B,$B698,BASE!$L:$L,$G698,BASE!$J:$J,$C698,BASE!$A:$A,L$2)</f>
        <v>3</v>
      </c>
      <c r="M698" s="12">
        <f>SUMIFS(BASE!$G:$G,BASE!$B:$B,$B698,BASE!$L:$L,$G698,BASE!$J:$J,$C698,BASE!$A:$A,M$2)</f>
        <v>9</v>
      </c>
      <c r="N698" s="12">
        <f>SUMIFS(BASE!$G:$G,BASE!$B:$B,$B698,BASE!$L:$L,$G698,BASE!$J:$J,$C698,BASE!$A:$A,N$2)</f>
        <v>4</v>
      </c>
      <c r="O698" s="12">
        <f>SUMIFS(BASE!$G:$G,BASE!$B:$B,$B698,BASE!$L:$L,$G698,BASE!$J:$J,$C698,BASE!$A:$A,O$2)</f>
        <v>4</v>
      </c>
      <c r="P698" s="12">
        <f>SUMIFS(BASE!$G:$G,BASE!$B:$B,$B698,BASE!$L:$L,$G698,BASE!$J:$J,$C698,BASE!$A:$A,P$2)</f>
        <v>5</v>
      </c>
      <c r="Q698" s="12">
        <f>SUMIFS(BASE!$G:$G,BASE!$B:$B,$B698,BASE!$L:$L,$G698,BASE!$J:$J,$C698,BASE!$A:$A,Q$2)</f>
        <v>3</v>
      </c>
      <c r="R698" s="12">
        <f>SUMIFS(BASE!$G:$G,BASE!$B:$B,$B698,BASE!$L:$L,$G698,BASE!$J:$J,$C698,BASE!$A:$A,R$2)</f>
        <v>5</v>
      </c>
      <c r="S698" s="12">
        <f>SUMIFS(BASE!$G:$G,BASE!$B:$B,$B698,BASE!$L:$L,$G698,BASE!$J:$J,$C698,BASE!$A:$A,S$2)</f>
        <v>0</v>
      </c>
      <c r="T698" s="12">
        <f>SUMIFS(BASE!$G:$G,BASE!$B:$B,$B698,BASE!$L:$L,$G698,BASE!$J:$J,$C698,BASE!$A:$A,T$2)</f>
        <v>0</v>
      </c>
      <c r="U698" s="12">
        <f>SUMIFS(BASE!$G:$G,BASE!$B:$B,$B698,BASE!$L:$L,$G698,BASE!$J:$J,$C698,BASE!$A:$A,U$2)</f>
        <v>0</v>
      </c>
      <c r="V698" s="12">
        <f>SUMIFS(BASE!$G:$G,BASE!$B:$B,$B698,BASE!$L:$L,$G698,BASE!$J:$J,$C698,BASE!$A:$A,V$2)</f>
        <v>0</v>
      </c>
      <c r="X698" t="str">
        <f t="shared" si="21"/>
        <v>COM TROCAS</v>
      </c>
    </row>
    <row r="699" spans="2:24">
      <c r="B699" s="8" t="s">
        <v>1508</v>
      </c>
      <c r="C699" s="9" t="s">
        <v>106</v>
      </c>
      <c r="D699" s="9" t="s">
        <v>1509</v>
      </c>
      <c r="E699" s="9" t="s">
        <v>1423</v>
      </c>
      <c r="F699" s="9" t="s">
        <v>1510</v>
      </c>
      <c r="G699" s="9" t="s">
        <v>54</v>
      </c>
      <c r="H699" s="7" t="str">
        <f>IFERROR(IF(_xlfn.XLOOKUP(B699,REPASSE!D:D,REPASSE!D:D)="","Não","Sim"),"Não")</f>
        <v>Não</v>
      </c>
      <c r="I699" s="7" t="str">
        <f>IF(_xlfn.XLOOKUP(B699,'BOOST LIBERADO'!B:B,'BOOST LIBERADO'!B:B,"Não")="Não","Não","Sim")</f>
        <v>Sim</v>
      </c>
      <c r="J699" s="83" t="str">
        <f t="shared" si="20"/>
        <v>Sim</v>
      </c>
      <c r="K699" s="12">
        <f>SUMIFS(BASE!$G:$G,BASE!$B:$B,$B699,BASE!$L:$L,$G699,BASE!$J:$J,$C699,BASE!$A:$A,K$2)</f>
        <v>0</v>
      </c>
      <c r="L699" s="12">
        <f>SUMIFS(BASE!$G:$G,BASE!$B:$B,$B699,BASE!$L:$L,$G699,BASE!$J:$J,$C699,BASE!$A:$A,L$2)</f>
        <v>0</v>
      </c>
      <c r="M699" s="12">
        <f>SUMIFS(BASE!$G:$G,BASE!$B:$B,$B699,BASE!$L:$L,$G699,BASE!$J:$J,$C699,BASE!$A:$A,M$2)</f>
        <v>0</v>
      </c>
      <c r="N699" s="12">
        <f>SUMIFS(BASE!$G:$G,BASE!$B:$B,$B699,BASE!$L:$L,$G699,BASE!$J:$J,$C699,BASE!$A:$A,N$2)</f>
        <v>0</v>
      </c>
      <c r="O699" s="12">
        <f>SUMIFS(BASE!$G:$G,BASE!$B:$B,$B699,BASE!$L:$L,$G699,BASE!$J:$J,$C699,BASE!$A:$A,O$2)</f>
        <v>0</v>
      </c>
      <c r="P699" s="12">
        <f>SUMIFS(BASE!$G:$G,BASE!$B:$B,$B699,BASE!$L:$L,$G699,BASE!$J:$J,$C699,BASE!$A:$A,P$2)</f>
        <v>0</v>
      </c>
      <c r="Q699" s="12">
        <f>SUMIFS(BASE!$G:$G,BASE!$B:$B,$B699,BASE!$L:$L,$G699,BASE!$J:$J,$C699,BASE!$A:$A,Q$2)</f>
        <v>0</v>
      </c>
      <c r="R699" s="12">
        <f>SUMIFS(BASE!$G:$G,BASE!$B:$B,$B699,BASE!$L:$L,$G699,BASE!$J:$J,$C699,BASE!$A:$A,R$2)</f>
        <v>1</v>
      </c>
      <c r="S699" s="12">
        <f>SUMIFS(BASE!$G:$G,BASE!$B:$B,$B699,BASE!$L:$L,$G699,BASE!$J:$J,$C699,BASE!$A:$A,S$2)</f>
        <v>0</v>
      </c>
      <c r="T699" s="12">
        <f>SUMIFS(BASE!$G:$G,BASE!$B:$B,$B699,BASE!$L:$L,$G699,BASE!$J:$J,$C699,BASE!$A:$A,T$2)</f>
        <v>0</v>
      </c>
      <c r="U699" s="12">
        <f>SUMIFS(BASE!$G:$G,BASE!$B:$B,$B699,BASE!$L:$L,$G699,BASE!$J:$J,$C699,BASE!$A:$A,U$2)</f>
        <v>0</v>
      </c>
      <c r="V699" s="12">
        <f>SUMIFS(BASE!$G:$G,BASE!$B:$B,$B699,BASE!$L:$L,$G699,BASE!$J:$J,$C699,BASE!$A:$A,V$2)</f>
        <v>0</v>
      </c>
      <c r="X699" t="str">
        <f t="shared" si="21"/>
        <v>COM TROCAS</v>
      </c>
    </row>
    <row r="700" spans="2:24">
      <c r="B700" s="8" t="s">
        <v>1511</v>
      </c>
      <c r="C700" s="9" t="s">
        <v>120</v>
      </c>
      <c r="D700" s="9" t="s">
        <v>1437</v>
      </c>
      <c r="E700" s="9" t="s">
        <v>1438</v>
      </c>
      <c r="F700" s="9" t="s">
        <v>1512</v>
      </c>
      <c r="G700" s="9" t="s">
        <v>54</v>
      </c>
      <c r="H700" s="7" t="str">
        <f>IFERROR(IF(_xlfn.XLOOKUP(B700,REPASSE!D:D,REPASSE!D:D)="","Não","Sim"),"Não")</f>
        <v>Não</v>
      </c>
      <c r="I700" s="7" t="str">
        <f>IF(_xlfn.XLOOKUP(B700,'BOOST LIBERADO'!B:B,'BOOST LIBERADO'!B:B,"Não")="Não","Não","Sim")</f>
        <v>Sim</v>
      </c>
      <c r="J700" s="83" t="str">
        <f t="shared" si="20"/>
        <v>Sim</v>
      </c>
      <c r="K700" s="12">
        <f>SUMIFS(BASE!$G:$G,BASE!$B:$B,$B700,BASE!$L:$L,$G700,BASE!$J:$J,$C700,BASE!$A:$A,K$2)</f>
        <v>2</v>
      </c>
      <c r="L700" s="12">
        <f>SUMIFS(BASE!$G:$G,BASE!$B:$B,$B700,BASE!$L:$L,$G700,BASE!$J:$J,$C700,BASE!$A:$A,L$2)</f>
        <v>2</v>
      </c>
      <c r="M700" s="12">
        <f>SUMIFS(BASE!$G:$G,BASE!$B:$B,$B700,BASE!$L:$L,$G700,BASE!$J:$J,$C700,BASE!$A:$A,M$2)</f>
        <v>1</v>
      </c>
      <c r="N700" s="12">
        <f>SUMIFS(BASE!$G:$G,BASE!$B:$B,$B700,BASE!$L:$L,$G700,BASE!$J:$J,$C700,BASE!$A:$A,N$2)</f>
        <v>3</v>
      </c>
      <c r="O700" s="12">
        <f>SUMIFS(BASE!$G:$G,BASE!$B:$B,$B700,BASE!$L:$L,$G700,BASE!$J:$J,$C700,BASE!$A:$A,O$2)</f>
        <v>0</v>
      </c>
      <c r="P700" s="12">
        <f>SUMIFS(BASE!$G:$G,BASE!$B:$B,$B700,BASE!$L:$L,$G700,BASE!$J:$J,$C700,BASE!$A:$A,P$2)</f>
        <v>3</v>
      </c>
      <c r="Q700" s="12">
        <f>SUMIFS(BASE!$G:$G,BASE!$B:$B,$B700,BASE!$L:$L,$G700,BASE!$J:$J,$C700,BASE!$A:$A,Q$2)</f>
        <v>2</v>
      </c>
      <c r="R700" s="12">
        <f>SUMIFS(BASE!$G:$G,BASE!$B:$B,$B700,BASE!$L:$L,$G700,BASE!$J:$J,$C700,BASE!$A:$A,R$2)</f>
        <v>4</v>
      </c>
      <c r="S700" s="12">
        <f>SUMIFS(BASE!$G:$G,BASE!$B:$B,$B700,BASE!$L:$L,$G700,BASE!$J:$J,$C700,BASE!$A:$A,S$2)</f>
        <v>0</v>
      </c>
      <c r="T700" s="12">
        <f>SUMIFS(BASE!$G:$G,BASE!$B:$B,$B700,BASE!$L:$L,$G700,BASE!$J:$J,$C700,BASE!$A:$A,T$2)</f>
        <v>0</v>
      </c>
      <c r="U700" s="12">
        <f>SUMIFS(BASE!$G:$G,BASE!$B:$B,$B700,BASE!$L:$L,$G700,BASE!$J:$J,$C700,BASE!$A:$A,U$2)</f>
        <v>0</v>
      </c>
      <c r="V700" s="12">
        <f>SUMIFS(BASE!$G:$G,BASE!$B:$B,$B700,BASE!$L:$L,$G700,BASE!$J:$J,$C700,BASE!$A:$A,V$2)</f>
        <v>0</v>
      </c>
      <c r="X700" t="str">
        <f t="shared" si="21"/>
        <v>COM TROCAS</v>
      </c>
    </row>
    <row r="701" spans="2:24">
      <c r="B701" s="8" t="s">
        <v>1513</v>
      </c>
      <c r="C701" s="9" t="s">
        <v>106</v>
      </c>
      <c r="D701" s="9" t="s">
        <v>1514</v>
      </c>
      <c r="E701" s="9" t="s">
        <v>1438</v>
      </c>
      <c r="F701" s="9" t="s">
        <v>1515</v>
      </c>
      <c r="G701" s="9" t="s">
        <v>54</v>
      </c>
      <c r="H701" s="7" t="str">
        <f>IFERROR(IF(_xlfn.XLOOKUP(B701,REPASSE!D:D,REPASSE!D:D)="","Não","Sim"),"Não")</f>
        <v>Não</v>
      </c>
      <c r="I701" s="7" t="str">
        <f>IF(_xlfn.XLOOKUP(B701,'BOOST LIBERADO'!B:B,'BOOST LIBERADO'!B:B,"Não")="Não","Não","Sim")</f>
        <v>Sim</v>
      </c>
      <c r="J701" s="83" t="str">
        <f t="shared" si="20"/>
        <v>Sim</v>
      </c>
      <c r="K701" s="12">
        <f>SUMIFS(BASE!$G:$G,BASE!$B:$B,$B701,BASE!$L:$L,$G701,BASE!$J:$J,$C701,BASE!$A:$A,K$2)</f>
        <v>0</v>
      </c>
      <c r="L701" s="12">
        <f>SUMIFS(BASE!$G:$G,BASE!$B:$B,$B701,BASE!$L:$L,$G701,BASE!$J:$J,$C701,BASE!$A:$A,L$2)</f>
        <v>0</v>
      </c>
      <c r="M701" s="12">
        <f>SUMIFS(BASE!$G:$G,BASE!$B:$B,$B701,BASE!$L:$L,$G701,BASE!$J:$J,$C701,BASE!$A:$A,M$2)</f>
        <v>0</v>
      </c>
      <c r="N701" s="12">
        <f>SUMIFS(BASE!$G:$G,BASE!$B:$B,$B701,BASE!$L:$L,$G701,BASE!$J:$J,$C701,BASE!$A:$A,N$2)</f>
        <v>0</v>
      </c>
      <c r="O701" s="12">
        <f>SUMIFS(BASE!$G:$G,BASE!$B:$B,$B701,BASE!$L:$L,$G701,BASE!$J:$J,$C701,BASE!$A:$A,O$2)</f>
        <v>0</v>
      </c>
      <c r="P701" s="12">
        <f>SUMIFS(BASE!$G:$G,BASE!$B:$B,$B701,BASE!$L:$L,$G701,BASE!$J:$J,$C701,BASE!$A:$A,P$2)</f>
        <v>0</v>
      </c>
      <c r="Q701" s="12">
        <f>SUMIFS(BASE!$G:$G,BASE!$B:$B,$B701,BASE!$L:$L,$G701,BASE!$J:$J,$C701,BASE!$A:$A,Q$2)</f>
        <v>0</v>
      </c>
      <c r="R701" s="12">
        <f>SUMIFS(BASE!$G:$G,BASE!$B:$B,$B701,BASE!$L:$L,$G701,BASE!$J:$J,$C701,BASE!$A:$A,R$2)</f>
        <v>0</v>
      </c>
      <c r="S701" s="12">
        <f>SUMIFS(BASE!$G:$G,BASE!$B:$B,$B701,BASE!$L:$L,$G701,BASE!$J:$J,$C701,BASE!$A:$A,S$2)</f>
        <v>0</v>
      </c>
      <c r="T701" s="12">
        <f>SUMIFS(BASE!$G:$G,BASE!$B:$B,$B701,BASE!$L:$L,$G701,BASE!$J:$J,$C701,BASE!$A:$A,T$2)</f>
        <v>0</v>
      </c>
      <c r="U701" s="12">
        <f>SUMIFS(BASE!$G:$G,BASE!$B:$B,$B701,BASE!$L:$L,$G701,BASE!$J:$J,$C701,BASE!$A:$A,U$2)</f>
        <v>0</v>
      </c>
      <c r="V701" s="12">
        <f>SUMIFS(BASE!$G:$G,BASE!$B:$B,$B701,BASE!$L:$L,$G701,BASE!$J:$J,$C701,BASE!$A:$A,V$2)</f>
        <v>0</v>
      </c>
      <c r="X701" t="str">
        <f t="shared" si="21"/>
        <v>ZERADO</v>
      </c>
    </row>
    <row r="702" spans="2:24">
      <c r="B702" s="8" t="s">
        <v>1516</v>
      </c>
      <c r="C702" s="9" t="s">
        <v>232</v>
      </c>
      <c r="D702" s="9" t="s">
        <v>1456</v>
      </c>
      <c r="E702" s="9" t="s">
        <v>1423</v>
      </c>
      <c r="F702" s="9" t="s">
        <v>1517</v>
      </c>
      <c r="G702" s="9" t="s">
        <v>54</v>
      </c>
      <c r="H702" s="7" t="str">
        <f>IFERROR(IF(_xlfn.XLOOKUP(B702,REPASSE!D:D,REPASSE!D:D)="","Não","Sim"),"Não")</f>
        <v>Não</v>
      </c>
      <c r="I702" s="7" t="str">
        <f>IF(_xlfn.XLOOKUP(B702,'BOOST LIBERADO'!B:B,'BOOST LIBERADO'!B:B,"Não")="Não","Não","Sim")</f>
        <v>Sim</v>
      </c>
      <c r="J702" s="83" t="str">
        <f t="shared" si="20"/>
        <v>Sim</v>
      </c>
      <c r="K702" s="12">
        <f>SUMIFS(BASE!$G:$G,BASE!$B:$B,$B702,BASE!$L:$L,$G702,BASE!$J:$J,$C702,BASE!$A:$A,K$2)</f>
        <v>0</v>
      </c>
      <c r="L702" s="12">
        <f>SUMIFS(BASE!$G:$G,BASE!$B:$B,$B702,BASE!$L:$L,$G702,BASE!$J:$J,$C702,BASE!$A:$A,L$2)</f>
        <v>0</v>
      </c>
      <c r="M702" s="12">
        <f>SUMIFS(BASE!$G:$G,BASE!$B:$B,$B702,BASE!$L:$L,$G702,BASE!$J:$J,$C702,BASE!$A:$A,M$2)</f>
        <v>0</v>
      </c>
      <c r="N702" s="12">
        <f>SUMIFS(BASE!$G:$G,BASE!$B:$B,$B702,BASE!$L:$L,$G702,BASE!$J:$J,$C702,BASE!$A:$A,N$2)</f>
        <v>1</v>
      </c>
      <c r="O702" s="12">
        <f>SUMIFS(BASE!$G:$G,BASE!$B:$B,$B702,BASE!$L:$L,$G702,BASE!$J:$J,$C702,BASE!$A:$A,O$2)</f>
        <v>9</v>
      </c>
      <c r="P702" s="12">
        <f>SUMIFS(BASE!$G:$G,BASE!$B:$B,$B702,BASE!$L:$L,$G702,BASE!$J:$J,$C702,BASE!$A:$A,P$2)</f>
        <v>15</v>
      </c>
      <c r="Q702" s="12">
        <f>SUMIFS(BASE!$G:$G,BASE!$B:$B,$B702,BASE!$L:$L,$G702,BASE!$J:$J,$C702,BASE!$A:$A,Q$2)</f>
        <v>32</v>
      </c>
      <c r="R702" s="12">
        <f>SUMIFS(BASE!$G:$G,BASE!$B:$B,$B702,BASE!$L:$L,$G702,BASE!$J:$J,$C702,BASE!$A:$A,R$2)</f>
        <v>11</v>
      </c>
      <c r="S702" s="12">
        <f>SUMIFS(BASE!$G:$G,BASE!$B:$B,$B702,BASE!$L:$L,$G702,BASE!$J:$J,$C702,BASE!$A:$A,S$2)</f>
        <v>0</v>
      </c>
      <c r="T702" s="12">
        <f>SUMIFS(BASE!$G:$G,BASE!$B:$B,$B702,BASE!$L:$L,$G702,BASE!$J:$J,$C702,BASE!$A:$A,T$2)</f>
        <v>0</v>
      </c>
      <c r="U702" s="12">
        <f>SUMIFS(BASE!$G:$G,BASE!$B:$B,$B702,BASE!$L:$L,$G702,BASE!$J:$J,$C702,BASE!$A:$A,U$2)</f>
        <v>0</v>
      </c>
      <c r="V702" s="12">
        <f>SUMIFS(BASE!$G:$G,BASE!$B:$B,$B702,BASE!$L:$L,$G702,BASE!$J:$J,$C702,BASE!$A:$A,V$2)</f>
        <v>0</v>
      </c>
      <c r="X702" t="str">
        <f t="shared" si="21"/>
        <v>COM TROCAS</v>
      </c>
    </row>
    <row r="703" spans="2:24">
      <c r="B703" s="8" t="s">
        <v>1518</v>
      </c>
      <c r="C703" s="9" t="s">
        <v>132</v>
      </c>
      <c r="D703" s="9" t="s">
        <v>1428</v>
      </c>
      <c r="E703" s="9" t="s">
        <v>1412</v>
      </c>
      <c r="F703" s="9" t="s">
        <v>1519</v>
      </c>
      <c r="G703" s="9" t="s">
        <v>54</v>
      </c>
      <c r="H703" s="7" t="str">
        <f>IFERROR(IF(_xlfn.XLOOKUP(B703,REPASSE!D:D,REPASSE!D:D)="","Não","Sim"),"Não")</f>
        <v>Não</v>
      </c>
      <c r="I703" s="7" t="str">
        <f>IF(_xlfn.XLOOKUP(B703,'BOOST LIBERADO'!B:B,'BOOST LIBERADO'!B:B,"Não")="Não","Não","Sim")</f>
        <v>Sim</v>
      </c>
      <c r="J703" s="83" t="str">
        <f t="shared" si="20"/>
        <v>Sim</v>
      </c>
      <c r="K703" s="12">
        <f>SUMIFS(BASE!$G:$G,BASE!$B:$B,$B703,BASE!$L:$L,$G703,BASE!$J:$J,$C703,BASE!$A:$A,K$2)</f>
        <v>0</v>
      </c>
      <c r="L703" s="12">
        <f>SUMIFS(BASE!$G:$G,BASE!$B:$B,$B703,BASE!$L:$L,$G703,BASE!$J:$J,$C703,BASE!$A:$A,L$2)</f>
        <v>0</v>
      </c>
      <c r="M703" s="12">
        <f>SUMIFS(BASE!$G:$G,BASE!$B:$B,$B703,BASE!$L:$L,$G703,BASE!$J:$J,$C703,BASE!$A:$A,M$2)</f>
        <v>0</v>
      </c>
      <c r="N703" s="12">
        <f>SUMIFS(BASE!$G:$G,BASE!$B:$B,$B703,BASE!$L:$L,$G703,BASE!$J:$J,$C703,BASE!$A:$A,N$2)</f>
        <v>0</v>
      </c>
      <c r="O703" s="12">
        <f>SUMIFS(BASE!$G:$G,BASE!$B:$B,$B703,BASE!$L:$L,$G703,BASE!$J:$J,$C703,BASE!$A:$A,O$2)</f>
        <v>0</v>
      </c>
      <c r="P703" s="12">
        <f>SUMIFS(BASE!$G:$G,BASE!$B:$B,$B703,BASE!$L:$L,$G703,BASE!$J:$J,$C703,BASE!$A:$A,P$2)</f>
        <v>0</v>
      </c>
      <c r="Q703" s="12">
        <f>SUMIFS(BASE!$G:$G,BASE!$B:$B,$B703,BASE!$L:$L,$G703,BASE!$J:$J,$C703,BASE!$A:$A,Q$2)</f>
        <v>0</v>
      </c>
      <c r="R703" s="12">
        <f>SUMIFS(BASE!$G:$G,BASE!$B:$B,$B703,BASE!$L:$L,$G703,BASE!$J:$J,$C703,BASE!$A:$A,R$2)</f>
        <v>2</v>
      </c>
      <c r="S703" s="12">
        <f>SUMIFS(BASE!$G:$G,BASE!$B:$B,$B703,BASE!$L:$L,$G703,BASE!$J:$J,$C703,BASE!$A:$A,S$2)</f>
        <v>0</v>
      </c>
      <c r="T703" s="12">
        <f>SUMIFS(BASE!$G:$G,BASE!$B:$B,$B703,BASE!$L:$L,$G703,BASE!$J:$J,$C703,BASE!$A:$A,T$2)</f>
        <v>0</v>
      </c>
      <c r="U703" s="12">
        <f>SUMIFS(BASE!$G:$G,BASE!$B:$B,$B703,BASE!$L:$L,$G703,BASE!$J:$J,$C703,BASE!$A:$A,U$2)</f>
        <v>0</v>
      </c>
      <c r="V703" s="12">
        <f>SUMIFS(BASE!$G:$G,BASE!$B:$B,$B703,BASE!$L:$L,$G703,BASE!$J:$J,$C703,BASE!$A:$A,V$2)</f>
        <v>0</v>
      </c>
      <c r="X703" t="str">
        <f t="shared" si="21"/>
        <v>COM TROCAS</v>
      </c>
    </row>
    <row r="704" spans="2:24">
      <c r="B704" s="8" t="s">
        <v>1520</v>
      </c>
      <c r="C704" s="9" t="s">
        <v>106</v>
      </c>
      <c r="D704" s="9" t="s">
        <v>1419</v>
      </c>
      <c r="E704" s="9" t="s">
        <v>1412</v>
      </c>
      <c r="F704" s="9" t="s">
        <v>1521</v>
      </c>
      <c r="G704" s="9" t="s">
        <v>54</v>
      </c>
      <c r="H704" s="7" t="str">
        <f>IFERROR(IF(_xlfn.XLOOKUP(B704,REPASSE!D:D,REPASSE!D:D)="","Não","Sim"),"Não")</f>
        <v>Não</v>
      </c>
      <c r="I704" s="7" t="str">
        <f>IF(_xlfn.XLOOKUP(B704,'BOOST LIBERADO'!B:B,'BOOST LIBERADO'!B:B,"Não")="Não","Não","Sim")</f>
        <v>Sim</v>
      </c>
      <c r="J704" s="83" t="str">
        <f t="shared" si="20"/>
        <v>Sim</v>
      </c>
      <c r="K704" s="12">
        <f>SUMIFS(BASE!$G:$G,BASE!$B:$B,$B704,BASE!$L:$L,$G704,BASE!$J:$J,$C704,BASE!$A:$A,K$2)</f>
        <v>0</v>
      </c>
      <c r="L704" s="12">
        <f>SUMIFS(BASE!$G:$G,BASE!$B:$B,$B704,BASE!$L:$L,$G704,BASE!$J:$J,$C704,BASE!$A:$A,L$2)</f>
        <v>0</v>
      </c>
      <c r="M704" s="12">
        <f>SUMIFS(BASE!$G:$G,BASE!$B:$B,$B704,BASE!$L:$L,$G704,BASE!$J:$J,$C704,BASE!$A:$A,M$2)</f>
        <v>0</v>
      </c>
      <c r="N704" s="12">
        <f>SUMIFS(BASE!$G:$G,BASE!$B:$B,$B704,BASE!$L:$L,$G704,BASE!$J:$J,$C704,BASE!$A:$A,N$2)</f>
        <v>0</v>
      </c>
      <c r="O704" s="12">
        <f>SUMIFS(BASE!$G:$G,BASE!$B:$B,$B704,BASE!$L:$L,$G704,BASE!$J:$J,$C704,BASE!$A:$A,O$2)</f>
        <v>0</v>
      </c>
      <c r="P704" s="12">
        <f>SUMIFS(BASE!$G:$G,BASE!$B:$B,$B704,BASE!$L:$L,$G704,BASE!$J:$J,$C704,BASE!$A:$A,P$2)</f>
        <v>1</v>
      </c>
      <c r="Q704" s="12">
        <f>SUMIFS(BASE!$G:$G,BASE!$B:$B,$B704,BASE!$L:$L,$G704,BASE!$J:$J,$C704,BASE!$A:$A,Q$2)</f>
        <v>6</v>
      </c>
      <c r="R704" s="12">
        <f>SUMIFS(BASE!$G:$G,BASE!$B:$B,$B704,BASE!$L:$L,$G704,BASE!$J:$J,$C704,BASE!$A:$A,R$2)</f>
        <v>5</v>
      </c>
      <c r="S704" s="12">
        <f>SUMIFS(BASE!$G:$G,BASE!$B:$B,$B704,BASE!$L:$L,$G704,BASE!$J:$J,$C704,BASE!$A:$A,S$2)</f>
        <v>0</v>
      </c>
      <c r="T704" s="12">
        <f>SUMIFS(BASE!$G:$G,BASE!$B:$B,$B704,BASE!$L:$L,$G704,BASE!$J:$J,$C704,BASE!$A:$A,T$2)</f>
        <v>0</v>
      </c>
      <c r="U704" s="12">
        <f>SUMIFS(BASE!$G:$G,BASE!$B:$B,$B704,BASE!$L:$L,$G704,BASE!$J:$J,$C704,BASE!$A:$A,U$2)</f>
        <v>0</v>
      </c>
      <c r="V704" s="12">
        <f>SUMIFS(BASE!$G:$G,BASE!$B:$B,$B704,BASE!$L:$L,$G704,BASE!$J:$J,$C704,BASE!$A:$A,V$2)</f>
        <v>0</v>
      </c>
      <c r="X704" t="str">
        <f t="shared" si="21"/>
        <v>COM TROCAS</v>
      </c>
    </row>
    <row r="705" spans="2:24">
      <c r="B705" s="8" t="s">
        <v>1522</v>
      </c>
      <c r="C705" s="9" t="s">
        <v>232</v>
      </c>
      <c r="D705" s="9" t="s">
        <v>1471</v>
      </c>
      <c r="E705" s="9" t="s">
        <v>1416</v>
      </c>
      <c r="F705" s="9" t="s">
        <v>1523</v>
      </c>
      <c r="G705" s="9" t="s">
        <v>54</v>
      </c>
      <c r="H705" s="7" t="str">
        <f>IFERROR(IF(_xlfn.XLOOKUP(B705,REPASSE!D:D,REPASSE!D:D)="","Não","Sim"),"Não")</f>
        <v>Não</v>
      </c>
      <c r="I705" s="7" t="str">
        <f>IF(_xlfn.XLOOKUP(B705,'BOOST LIBERADO'!B:B,'BOOST LIBERADO'!B:B,"Não")="Não","Não","Sim")</f>
        <v>Sim</v>
      </c>
      <c r="J705" s="83" t="str">
        <f t="shared" si="20"/>
        <v>Sim</v>
      </c>
      <c r="K705" s="12">
        <f>SUMIFS(BASE!$G:$G,BASE!$B:$B,$B705,BASE!$L:$L,$G705,BASE!$J:$J,$C705,BASE!$A:$A,K$2)</f>
        <v>5</v>
      </c>
      <c r="L705" s="12">
        <f>SUMIFS(BASE!$G:$G,BASE!$B:$B,$B705,BASE!$L:$L,$G705,BASE!$J:$J,$C705,BASE!$A:$A,L$2)</f>
        <v>9</v>
      </c>
      <c r="M705" s="12">
        <f>SUMIFS(BASE!$G:$G,BASE!$B:$B,$B705,BASE!$L:$L,$G705,BASE!$J:$J,$C705,BASE!$A:$A,M$2)</f>
        <v>9</v>
      </c>
      <c r="N705" s="12">
        <f>SUMIFS(BASE!$G:$G,BASE!$B:$B,$B705,BASE!$L:$L,$G705,BASE!$J:$J,$C705,BASE!$A:$A,N$2)</f>
        <v>9</v>
      </c>
      <c r="O705" s="12">
        <f>SUMIFS(BASE!$G:$G,BASE!$B:$B,$B705,BASE!$L:$L,$G705,BASE!$J:$J,$C705,BASE!$A:$A,O$2)</f>
        <v>10</v>
      </c>
      <c r="P705" s="12">
        <f>SUMIFS(BASE!$G:$G,BASE!$B:$B,$B705,BASE!$L:$L,$G705,BASE!$J:$J,$C705,BASE!$A:$A,P$2)</f>
        <v>2</v>
      </c>
      <c r="Q705" s="12">
        <f>SUMIFS(BASE!$G:$G,BASE!$B:$B,$B705,BASE!$L:$L,$G705,BASE!$J:$J,$C705,BASE!$A:$A,Q$2)</f>
        <v>4</v>
      </c>
      <c r="R705" s="12">
        <f>SUMIFS(BASE!$G:$G,BASE!$B:$B,$B705,BASE!$L:$L,$G705,BASE!$J:$J,$C705,BASE!$A:$A,R$2)</f>
        <v>10</v>
      </c>
      <c r="S705" s="12">
        <f>SUMIFS(BASE!$G:$G,BASE!$B:$B,$B705,BASE!$L:$L,$G705,BASE!$J:$J,$C705,BASE!$A:$A,S$2)</f>
        <v>0</v>
      </c>
      <c r="T705" s="12">
        <f>SUMIFS(BASE!$G:$G,BASE!$B:$B,$B705,BASE!$L:$L,$G705,BASE!$J:$J,$C705,BASE!$A:$A,T$2)</f>
        <v>0</v>
      </c>
      <c r="U705" s="12">
        <f>SUMIFS(BASE!$G:$G,BASE!$B:$B,$B705,BASE!$L:$L,$G705,BASE!$J:$J,$C705,BASE!$A:$A,U$2)</f>
        <v>0</v>
      </c>
      <c r="V705" s="12">
        <f>SUMIFS(BASE!$G:$G,BASE!$B:$B,$B705,BASE!$L:$L,$G705,BASE!$J:$J,$C705,BASE!$A:$A,V$2)</f>
        <v>0</v>
      </c>
      <c r="X705" t="str">
        <f t="shared" si="21"/>
        <v>COM TROCAS</v>
      </c>
    </row>
    <row r="706" spans="2:24">
      <c r="B706" s="8" t="s">
        <v>1524</v>
      </c>
      <c r="C706" s="9" t="s">
        <v>180</v>
      </c>
      <c r="D706" s="9" t="s">
        <v>1494</v>
      </c>
      <c r="E706" s="9" t="s">
        <v>1438</v>
      </c>
      <c r="F706" s="9" t="s">
        <v>1525</v>
      </c>
      <c r="G706" s="9" t="s">
        <v>54</v>
      </c>
      <c r="H706" s="7" t="str">
        <f>IFERROR(IF(_xlfn.XLOOKUP(B706,REPASSE!D:D,REPASSE!D:D)="","Não","Sim"),"Não")</f>
        <v>Não</v>
      </c>
      <c r="I706" s="7" t="str">
        <f>IF(_xlfn.XLOOKUP(B706,'BOOST LIBERADO'!B:B,'BOOST LIBERADO'!B:B,"Não")="Não","Não","Sim")</f>
        <v>Não</v>
      </c>
      <c r="J706" s="83" t="str">
        <f t="shared" si="20"/>
        <v>Não</v>
      </c>
      <c r="K706" s="12">
        <f>SUMIFS(BASE!$G:$G,BASE!$B:$B,$B706,BASE!$L:$L,$G706,BASE!$J:$J,$C706,BASE!$A:$A,K$2)</f>
        <v>0</v>
      </c>
      <c r="L706" s="12">
        <f>SUMIFS(BASE!$G:$G,BASE!$B:$B,$B706,BASE!$L:$L,$G706,BASE!$J:$J,$C706,BASE!$A:$A,L$2)</f>
        <v>0</v>
      </c>
      <c r="M706" s="12">
        <f>SUMIFS(BASE!$G:$G,BASE!$B:$B,$B706,BASE!$L:$L,$G706,BASE!$J:$J,$C706,BASE!$A:$A,M$2)</f>
        <v>0</v>
      </c>
      <c r="N706" s="12">
        <f>SUMIFS(BASE!$G:$G,BASE!$B:$B,$B706,BASE!$L:$L,$G706,BASE!$J:$J,$C706,BASE!$A:$A,N$2)</f>
        <v>0</v>
      </c>
      <c r="O706" s="12">
        <f>SUMIFS(BASE!$G:$G,BASE!$B:$B,$B706,BASE!$L:$L,$G706,BASE!$J:$J,$C706,BASE!$A:$A,O$2)</f>
        <v>0</v>
      </c>
      <c r="P706" s="12">
        <f>SUMIFS(BASE!$G:$G,BASE!$B:$B,$B706,BASE!$L:$L,$G706,BASE!$J:$J,$C706,BASE!$A:$A,P$2)</f>
        <v>0</v>
      </c>
      <c r="Q706" s="12">
        <f>SUMIFS(BASE!$G:$G,BASE!$B:$B,$B706,BASE!$L:$L,$G706,BASE!$J:$J,$C706,BASE!$A:$A,Q$2)</f>
        <v>0</v>
      </c>
      <c r="R706" s="12">
        <f>SUMIFS(BASE!$G:$G,BASE!$B:$B,$B706,BASE!$L:$L,$G706,BASE!$J:$J,$C706,BASE!$A:$A,R$2)</f>
        <v>0</v>
      </c>
      <c r="S706" s="12">
        <f>SUMIFS(BASE!$G:$G,BASE!$B:$B,$B706,BASE!$L:$L,$G706,BASE!$J:$J,$C706,BASE!$A:$A,S$2)</f>
        <v>0</v>
      </c>
      <c r="T706" s="12">
        <f>SUMIFS(BASE!$G:$G,BASE!$B:$B,$B706,BASE!$L:$L,$G706,BASE!$J:$J,$C706,BASE!$A:$A,T$2)</f>
        <v>0</v>
      </c>
      <c r="U706" s="12">
        <f>SUMIFS(BASE!$G:$G,BASE!$B:$B,$B706,BASE!$L:$L,$G706,BASE!$J:$J,$C706,BASE!$A:$A,U$2)</f>
        <v>0</v>
      </c>
      <c r="V706" s="12">
        <f>SUMIFS(BASE!$G:$G,BASE!$B:$B,$B706,BASE!$L:$L,$G706,BASE!$J:$J,$C706,BASE!$A:$A,V$2)</f>
        <v>0</v>
      </c>
      <c r="X706" t="str">
        <f t="shared" si="21"/>
        <v>ZERADO</v>
      </c>
    </row>
    <row r="707" spans="2:24">
      <c r="B707" s="8" t="s">
        <v>1526</v>
      </c>
      <c r="C707" s="9" t="s">
        <v>106</v>
      </c>
      <c r="D707" s="9" t="s">
        <v>1422</v>
      </c>
      <c r="E707" s="9" t="s">
        <v>1423</v>
      </c>
      <c r="F707" s="9" t="s">
        <v>1527</v>
      </c>
      <c r="G707" s="9" t="s">
        <v>54</v>
      </c>
      <c r="H707" s="7" t="str">
        <f>IFERROR(IF(_xlfn.XLOOKUP(B707,REPASSE!D:D,REPASSE!D:D)="","Não","Sim"),"Não")</f>
        <v>Não</v>
      </c>
      <c r="I707" s="7" t="str">
        <f>IF(_xlfn.XLOOKUP(B707,'BOOST LIBERADO'!B:B,'BOOST LIBERADO'!B:B,"Não")="Não","Não","Sim")</f>
        <v>Sim</v>
      </c>
      <c r="J707" s="83" t="str">
        <f t="shared" si="20"/>
        <v>Sim</v>
      </c>
      <c r="K707" s="12">
        <f>SUMIFS(BASE!$G:$G,BASE!$B:$B,$B707,BASE!$L:$L,$G707,BASE!$J:$J,$C707,BASE!$A:$A,K$2)</f>
        <v>0</v>
      </c>
      <c r="L707" s="12">
        <f>SUMIFS(BASE!$G:$G,BASE!$B:$B,$B707,BASE!$L:$L,$G707,BASE!$J:$J,$C707,BASE!$A:$A,L$2)</f>
        <v>0</v>
      </c>
      <c r="M707" s="12">
        <f>SUMIFS(BASE!$G:$G,BASE!$B:$B,$B707,BASE!$L:$L,$G707,BASE!$J:$J,$C707,BASE!$A:$A,M$2)</f>
        <v>0</v>
      </c>
      <c r="N707" s="12">
        <f>SUMIFS(BASE!$G:$G,BASE!$B:$B,$B707,BASE!$L:$L,$G707,BASE!$J:$J,$C707,BASE!$A:$A,N$2)</f>
        <v>0</v>
      </c>
      <c r="O707" s="12">
        <f>SUMIFS(BASE!$G:$G,BASE!$B:$B,$B707,BASE!$L:$L,$G707,BASE!$J:$J,$C707,BASE!$A:$A,O$2)</f>
        <v>1</v>
      </c>
      <c r="P707" s="12">
        <f>SUMIFS(BASE!$G:$G,BASE!$B:$B,$B707,BASE!$L:$L,$G707,BASE!$J:$J,$C707,BASE!$A:$A,P$2)</f>
        <v>0</v>
      </c>
      <c r="Q707" s="12">
        <f>SUMIFS(BASE!$G:$G,BASE!$B:$B,$B707,BASE!$L:$L,$G707,BASE!$J:$J,$C707,BASE!$A:$A,Q$2)</f>
        <v>0</v>
      </c>
      <c r="R707" s="12">
        <f>SUMIFS(BASE!$G:$G,BASE!$B:$B,$B707,BASE!$L:$L,$G707,BASE!$J:$J,$C707,BASE!$A:$A,R$2)</f>
        <v>0</v>
      </c>
      <c r="S707" s="12">
        <f>SUMIFS(BASE!$G:$G,BASE!$B:$B,$B707,BASE!$L:$L,$G707,BASE!$J:$J,$C707,BASE!$A:$A,S$2)</f>
        <v>0</v>
      </c>
      <c r="T707" s="12">
        <f>SUMIFS(BASE!$G:$G,BASE!$B:$B,$B707,BASE!$L:$L,$G707,BASE!$J:$J,$C707,BASE!$A:$A,T$2)</f>
        <v>0</v>
      </c>
      <c r="U707" s="12">
        <f>SUMIFS(BASE!$G:$G,BASE!$B:$B,$B707,BASE!$L:$L,$G707,BASE!$J:$J,$C707,BASE!$A:$A,U$2)</f>
        <v>0</v>
      </c>
      <c r="V707" s="12">
        <f>SUMIFS(BASE!$G:$G,BASE!$B:$B,$B707,BASE!$L:$L,$G707,BASE!$J:$J,$C707,BASE!$A:$A,V$2)</f>
        <v>0</v>
      </c>
      <c r="X707" t="str">
        <f t="shared" si="21"/>
        <v>ZERADO</v>
      </c>
    </row>
    <row r="708" spans="2:24">
      <c r="B708" s="8" t="s">
        <v>1528</v>
      </c>
      <c r="C708" s="9" t="s">
        <v>132</v>
      </c>
      <c r="D708" s="9" t="s">
        <v>1476</v>
      </c>
      <c r="E708" s="9" t="s">
        <v>1412</v>
      </c>
      <c r="F708" s="9" t="s">
        <v>1454</v>
      </c>
      <c r="G708" s="9" t="s">
        <v>54</v>
      </c>
      <c r="H708" s="7" t="str">
        <f>IFERROR(IF(_xlfn.XLOOKUP(B708,REPASSE!D:D,REPASSE!D:D)="","Não","Sim"),"Não")</f>
        <v>Não</v>
      </c>
      <c r="I708" s="7" t="str">
        <f>IF(_xlfn.XLOOKUP(B708,'BOOST LIBERADO'!B:B,'BOOST LIBERADO'!B:B,"Não")="Não","Não","Sim")</f>
        <v>Sim</v>
      </c>
      <c r="J708" s="83" t="str">
        <f t="shared" ref="J708:J771" si="22">IF(AND(H708="Não",I708="Sim"),"Sim","Não")</f>
        <v>Sim</v>
      </c>
      <c r="K708" s="12">
        <f>SUMIFS(BASE!$G:$G,BASE!$B:$B,$B708,BASE!$L:$L,$G708,BASE!$J:$J,$C708,BASE!$A:$A,K$2)</f>
        <v>8</v>
      </c>
      <c r="L708" s="12">
        <f>SUMIFS(BASE!$G:$G,BASE!$B:$B,$B708,BASE!$L:$L,$G708,BASE!$J:$J,$C708,BASE!$A:$A,L$2)</f>
        <v>4</v>
      </c>
      <c r="M708" s="12">
        <f>SUMIFS(BASE!$G:$G,BASE!$B:$B,$B708,BASE!$L:$L,$G708,BASE!$J:$J,$C708,BASE!$A:$A,M$2)</f>
        <v>4</v>
      </c>
      <c r="N708" s="12">
        <f>SUMIFS(BASE!$G:$G,BASE!$B:$B,$B708,BASE!$L:$L,$G708,BASE!$J:$J,$C708,BASE!$A:$A,N$2)</f>
        <v>2</v>
      </c>
      <c r="O708" s="12">
        <f>SUMIFS(BASE!$G:$G,BASE!$B:$B,$B708,BASE!$L:$L,$G708,BASE!$J:$J,$C708,BASE!$A:$A,O$2)</f>
        <v>3</v>
      </c>
      <c r="P708" s="12">
        <f>SUMIFS(BASE!$G:$G,BASE!$B:$B,$B708,BASE!$L:$L,$G708,BASE!$J:$J,$C708,BASE!$A:$A,P$2)</f>
        <v>1</v>
      </c>
      <c r="Q708" s="12">
        <f>SUMIFS(BASE!$G:$G,BASE!$B:$B,$B708,BASE!$L:$L,$G708,BASE!$J:$J,$C708,BASE!$A:$A,Q$2)</f>
        <v>10</v>
      </c>
      <c r="R708" s="12">
        <f>SUMIFS(BASE!$G:$G,BASE!$B:$B,$B708,BASE!$L:$L,$G708,BASE!$J:$J,$C708,BASE!$A:$A,R$2)</f>
        <v>3</v>
      </c>
      <c r="S708" s="12">
        <f>SUMIFS(BASE!$G:$G,BASE!$B:$B,$B708,BASE!$L:$L,$G708,BASE!$J:$J,$C708,BASE!$A:$A,S$2)</f>
        <v>0</v>
      </c>
      <c r="T708" s="12">
        <f>SUMIFS(BASE!$G:$G,BASE!$B:$B,$B708,BASE!$L:$L,$G708,BASE!$J:$J,$C708,BASE!$A:$A,T$2)</f>
        <v>0</v>
      </c>
      <c r="U708" s="12">
        <f>SUMIFS(BASE!$G:$G,BASE!$B:$B,$B708,BASE!$L:$L,$G708,BASE!$J:$J,$C708,BASE!$A:$A,U$2)</f>
        <v>0</v>
      </c>
      <c r="V708" s="12">
        <f>SUMIFS(BASE!$G:$G,BASE!$B:$B,$B708,BASE!$L:$L,$G708,BASE!$J:$J,$C708,BASE!$A:$A,V$2)</f>
        <v>0</v>
      </c>
      <c r="X708" t="str">
        <f t="shared" ref="X708:X771" si="23">IF(AND(R708=0),"ZERADO","COM TROCAS")</f>
        <v>COM TROCAS</v>
      </c>
    </row>
    <row r="709" spans="2:24">
      <c r="B709" s="8" t="s">
        <v>1529</v>
      </c>
      <c r="C709" s="9" t="s">
        <v>120</v>
      </c>
      <c r="D709" s="9" t="s">
        <v>1437</v>
      </c>
      <c r="E709" s="9" t="s">
        <v>1438</v>
      </c>
      <c r="F709" s="9" t="s">
        <v>1530</v>
      </c>
      <c r="G709" s="9" t="s">
        <v>54</v>
      </c>
      <c r="H709" s="7" t="str">
        <f>IFERROR(IF(_xlfn.XLOOKUP(B709,REPASSE!D:D,REPASSE!D:D)="","Não","Sim"),"Não")</f>
        <v>Não</v>
      </c>
      <c r="I709" s="7" t="str">
        <f>IF(_xlfn.XLOOKUP(B709,'BOOST LIBERADO'!B:B,'BOOST LIBERADO'!B:B,"Não")="Não","Não","Sim")</f>
        <v>Sim</v>
      </c>
      <c r="J709" s="83" t="str">
        <f t="shared" si="22"/>
        <v>Sim</v>
      </c>
      <c r="K709" s="12">
        <f>SUMIFS(BASE!$G:$G,BASE!$B:$B,$B709,BASE!$L:$L,$G709,BASE!$J:$J,$C709,BASE!$A:$A,K$2)</f>
        <v>0</v>
      </c>
      <c r="L709" s="12">
        <f>SUMIFS(BASE!$G:$G,BASE!$B:$B,$B709,BASE!$L:$L,$G709,BASE!$J:$J,$C709,BASE!$A:$A,L$2)</f>
        <v>0</v>
      </c>
      <c r="M709" s="12">
        <f>SUMIFS(BASE!$G:$G,BASE!$B:$B,$B709,BASE!$L:$L,$G709,BASE!$J:$J,$C709,BASE!$A:$A,M$2)</f>
        <v>0</v>
      </c>
      <c r="N709" s="12">
        <f>SUMIFS(BASE!$G:$G,BASE!$B:$B,$B709,BASE!$L:$L,$G709,BASE!$J:$J,$C709,BASE!$A:$A,N$2)</f>
        <v>1</v>
      </c>
      <c r="O709" s="12">
        <f>SUMIFS(BASE!$G:$G,BASE!$B:$B,$B709,BASE!$L:$L,$G709,BASE!$J:$J,$C709,BASE!$A:$A,O$2)</f>
        <v>0</v>
      </c>
      <c r="P709" s="12">
        <f>SUMIFS(BASE!$G:$G,BASE!$B:$B,$B709,BASE!$L:$L,$G709,BASE!$J:$J,$C709,BASE!$A:$A,P$2)</f>
        <v>0</v>
      </c>
      <c r="Q709" s="12">
        <f>SUMIFS(BASE!$G:$G,BASE!$B:$B,$B709,BASE!$L:$L,$G709,BASE!$J:$J,$C709,BASE!$A:$A,Q$2)</f>
        <v>0</v>
      </c>
      <c r="R709" s="12">
        <f>SUMIFS(BASE!$G:$G,BASE!$B:$B,$B709,BASE!$L:$L,$G709,BASE!$J:$J,$C709,BASE!$A:$A,R$2)</f>
        <v>0</v>
      </c>
      <c r="S709" s="12">
        <f>SUMIFS(BASE!$G:$G,BASE!$B:$B,$B709,BASE!$L:$L,$G709,BASE!$J:$J,$C709,BASE!$A:$A,S$2)</f>
        <v>0</v>
      </c>
      <c r="T709" s="12">
        <f>SUMIFS(BASE!$G:$G,BASE!$B:$B,$B709,BASE!$L:$L,$G709,BASE!$J:$J,$C709,BASE!$A:$A,T$2)</f>
        <v>0</v>
      </c>
      <c r="U709" s="12">
        <f>SUMIFS(BASE!$G:$G,BASE!$B:$B,$B709,BASE!$L:$L,$G709,BASE!$J:$J,$C709,BASE!$A:$A,U$2)</f>
        <v>0</v>
      </c>
      <c r="V709" s="12">
        <f>SUMIFS(BASE!$G:$G,BASE!$B:$B,$B709,BASE!$L:$L,$G709,BASE!$J:$J,$C709,BASE!$A:$A,V$2)</f>
        <v>0</v>
      </c>
      <c r="X709" t="str">
        <f t="shared" si="23"/>
        <v>ZERADO</v>
      </c>
    </row>
    <row r="710" spans="2:24">
      <c r="B710" s="8" t="s">
        <v>1531</v>
      </c>
      <c r="C710" s="9" t="s">
        <v>132</v>
      </c>
      <c r="D710" s="9" t="s">
        <v>1498</v>
      </c>
      <c r="E710" s="9" t="s">
        <v>1416</v>
      </c>
      <c r="F710" s="9" t="s">
        <v>1441</v>
      </c>
      <c r="G710" s="9" t="s">
        <v>54</v>
      </c>
      <c r="H710" s="7" t="str">
        <f>IFERROR(IF(_xlfn.XLOOKUP(B710,REPASSE!D:D,REPASSE!D:D)="","Não","Sim"),"Não")</f>
        <v>Não</v>
      </c>
      <c r="I710" s="7" t="str">
        <f>IF(_xlfn.XLOOKUP(B710,'BOOST LIBERADO'!B:B,'BOOST LIBERADO'!B:B,"Não")="Não","Não","Sim")</f>
        <v>Sim</v>
      </c>
      <c r="J710" s="83" t="str">
        <f t="shared" si="22"/>
        <v>Sim</v>
      </c>
      <c r="K710" s="12">
        <f>SUMIFS(BASE!$G:$G,BASE!$B:$B,$B710,BASE!$L:$L,$G710,BASE!$J:$J,$C710,BASE!$A:$A,K$2)</f>
        <v>3</v>
      </c>
      <c r="L710" s="12">
        <f>SUMIFS(BASE!$G:$G,BASE!$B:$B,$B710,BASE!$L:$L,$G710,BASE!$J:$J,$C710,BASE!$A:$A,L$2)</f>
        <v>3</v>
      </c>
      <c r="M710" s="12">
        <f>SUMIFS(BASE!$G:$G,BASE!$B:$B,$B710,BASE!$L:$L,$G710,BASE!$J:$J,$C710,BASE!$A:$A,M$2)</f>
        <v>2</v>
      </c>
      <c r="N710" s="12">
        <f>SUMIFS(BASE!$G:$G,BASE!$B:$B,$B710,BASE!$L:$L,$G710,BASE!$J:$J,$C710,BASE!$A:$A,N$2)</f>
        <v>2</v>
      </c>
      <c r="O710" s="12">
        <f>SUMIFS(BASE!$G:$G,BASE!$B:$B,$B710,BASE!$L:$L,$G710,BASE!$J:$J,$C710,BASE!$A:$A,O$2)</f>
        <v>3</v>
      </c>
      <c r="P710" s="12">
        <f>SUMIFS(BASE!$G:$G,BASE!$B:$B,$B710,BASE!$L:$L,$G710,BASE!$J:$J,$C710,BASE!$A:$A,P$2)</f>
        <v>7</v>
      </c>
      <c r="Q710" s="12">
        <f>SUMIFS(BASE!$G:$G,BASE!$B:$B,$B710,BASE!$L:$L,$G710,BASE!$J:$J,$C710,BASE!$A:$A,Q$2)</f>
        <v>7</v>
      </c>
      <c r="R710" s="12">
        <f>SUMIFS(BASE!$G:$G,BASE!$B:$B,$B710,BASE!$L:$L,$G710,BASE!$J:$J,$C710,BASE!$A:$A,R$2)</f>
        <v>5</v>
      </c>
      <c r="S710" s="12">
        <f>SUMIFS(BASE!$G:$G,BASE!$B:$B,$B710,BASE!$L:$L,$G710,BASE!$J:$J,$C710,BASE!$A:$A,S$2)</f>
        <v>0</v>
      </c>
      <c r="T710" s="12">
        <f>SUMIFS(BASE!$G:$G,BASE!$B:$B,$B710,BASE!$L:$L,$G710,BASE!$J:$J,$C710,BASE!$A:$A,T$2)</f>
        <v>0</v>
      </c>
      <c r="U710" s="12">
        <f>SUMIFS(BASE!$G:$G,BASE!$B:$B,$B710,BASE!$L:$L,$G710,BASE!$J:$J,$C710,BASE!$A:$A,U$2)</f>
        <v>0</v>
      </c>
      <c r="V710" s="12">
        <f>SUMIFS(BASE!$G:$G,BASE!$B:$B,$B710,BASE!$L:$L,$G710,BASE!$J:$J,$C710,BASE!$A:$A,V$2)</f>
        <v>0</v>
      </c>
      <c r="X710" t="str">
        <f t="shared" si="23"/>
        <v>COM TROCAS</v>
      </c>
    </row>
    <row r="711" spans="2:24">
      <c r="B711" s="8" t="s">
        <v>1532</v>
      </c>
      <c r="C711" s="9" t="s">
        <v>106</v>
      </c>
      <c r="D711" s="9" t="s">
        <v>1509</v>
      </c>
      <c r="E711" s="9" t="s">
        <v>1423</v>
      </c>
      <c r="F711" s="9" t="s">
        <v>1533</v>
      </c>
      <c r="G711" s="9" t="s">
        <v>54</v>
      </c>
      <c r="H711" s="7" t="str">
        <f>IFERROR(IF(_xlfn.XLOOKUP(B711,REPASSE!D:D,REPASSE!D:D)="","Não","Sim"),"Não")</f>
        <v>Não</v>
      </c>
      <c r="I711" s="7" t="str">
        <f>IF(_xlfn.XLOOKUP(B711,'BOOST LIBERADO'!B:B,'BOOST LIBERADO'!B:B,"Não")="Não","Não","Sim")</f>
        <v>Sim</v>
      </c>
      <c r="J711" s="83" t="str">
        <f t="shared" si="22"/>
        <v>Sim</v>
      </c>
      <c r="K711" s="12">
        <f>SUMIFS(BASE!$G:$G,BASE!$B:$B,$B711,BASE!$L:$L,$G711,BASE!$J:$J,$C711,BASE!$A:$A,K$2)</f>
        <v>0</v>
      </c>
      <c r="L711" s="12">
        <f>SUMIFS(BASE!$G:$G,BASE!$B:$B,$B711,BASE!$L:$L,$G711,BASE!$J:$J,$C711,BASE!$A:$A,L$2)</f>
        <v>0</v>
      </c>
      <c r="M711" s="12">
        <f>SUMIFS(BASE!$G:$G,BASE!$B:$B,$B711,BASE!$L:$L,$G711,BASE!$J:$J,$C711,BASE!$A:$A,M$2)</f>
        <v>0</v>
      </c>
      <c r="N711" s="12">
        <f>SUMIFS(BASE!$G:$G,BASE!$B:$B,$B711,BASE!$L:$L,$G711,BASE!$J:$J,$C711,BASE!$A:$A,N$2)</f>
        <v>0</v>
      </c>
      <c r="O711" s="12">
        <f>SUMIFS(BASE!$G:$G,BASE!$B:$B,$B711,BASE!$L:$L,$G711,BASE!$J:$J,$C711,BASE!$A:$A,O$2)</f>
        <v>0</v>
      </c>
      <c r="P711" s="12">
        <f>SUMIFS(BASE!$G:$G,BASE!$B:$B,$B711,BASE!$L:$L,$G711,BASE!$J:$J,$C711,BASE!$A:$A,P$2)</f>
        <v>0</v>
      </c>
      <c r="Q711" s="12">
        <f>SUMIFS(BASE!$G:$G,BASE!$B:$B,$B711,BASE!$L:$L,$G711,BASE!$J:$J,$C711,BASE!$A:$A,Q$2)</f>
        <v>0</v>
      </c>
      <c r="R711" s="12">
        <f>SUMIFS(BASE!$G:$G,BASE!$B:$B,$B711,BASE!$L:$L,$G711,BASE!$J:$J,$C711,BASE!$A:$A,R$2)</f>
        <v>0</v>
      </c>
      <c r="S711" s="12">
        <f>SUMIFS(BASE!$G:$G,BASE!$B:$B,$B711,BASE!$L:$L,$G711,BASE!$J:$J,$C711,BASE!$A:$A,S$2)</f>
        <v>0</v>
      </c>
      <c r="T711" s="12">
        <f>SUMIFS(BASE!$G:$G,BASE!$B:$B,$B711,BASE!$L:$L,$G711,BASE!$J:$J,$C711,BASE!$A:$A,T$2)</f>
        <v>0</v>
      </c>
      <c r="U711" s="12">
        <f>SUMIFS(BASE!$G:$G,BASE!$B:$B,$B711,BASE!$L:$L,$G711,BASE!$J:$J,$C711,BASE!$A:$A,U$2)</f>
        <v>0</v>
      </c>
      <c r="V711" s="12">
        <f>SUMIFS(BASE!$G:$G,BASE!$B:$B,$B711,BASE!$L:$L,$G711,BASE!$J:$J,$C711,BASE!$A:$A,V$2)</f>
        <v>0</v>
      </c>
      <c r="X711" t="str">
        <f t="shared" si="23"/>
        <v>ZERADO</v>
      </c>
    </row>
    <row r="712" spans="2:24">
      <c r="B712" s="8" t="s">
        <v>1534</v>
      </c>
      <c r="C712" s="9" t="s">
        <v>106</v>
      </c>
      <c r="D712" s="9" t="s">
        <v>1461</v>
      </c>
      <c r="E712" s="9" t="s">
        <v>1416</v>
      </c>
      <c r="F712" s="9" t="s">
        <v>1535</v>
      </c>
      <c r="G712" s="9" t="s">
        <v>54</v>
      </c>
      <c r="H712" s="7" t="str">
        <f>IFERROR(IF(_xlfn.XLOOKUP(B712,REPASSE!D:D,REPASSE!D:D)="","Não","Sim"),"Não")</f>
        <v>Não</v>
      </c>
      <c r="I712" s="7" t="str">
        <f>IF(_xlfn.XLOOKUP(B712,'BOOST LIBERADO'!B:B,'BOOST LIBERADO'!B:B,"Não")="Não","Não","Sim")</f>
        <v>Sim</v>
      </c>
      <c r="J712" s="83" t="str">
        <f t="shared" si="22"/>
        <v>Sim</v>
      </c>
      <c r="K712" s="12">
        <f>SUMIFS(BASE!$G:$G,BASE!$B:$B,$B712,BASE!$L:$L,$G712,BASE!$J:$J,$C712,BASE!$A:$A,K$2)</f>
        <v>0</v>
      </c>
      <c r="L712" s="12">
        <f>SUMIFS(BASE!$G:$G,BASE!$B:$B,$B712,BASE!$L:$L,$G712,BASE!$J:$J,$C712,BASE!$A:$A,L$2)</f>
        <v>0</v>
      </c>
      <c r="M712" s="12">
        <f>SUMIFS(BASE!$G:$G,BASE!$B:$B,$B712,BASE!$L:$L,$G712,BASE!$J:$J,$C712,BASE!$A:$A,M$2)</f>
        <v>0</v>
      </c>
      <c r="N712" s="12">
        <f>SUMIFS(BASE!$G:$G,BASE!$B:$B,$B712,BASE!$L:$L,$G712,BASE!$J:$J,$C712,BASE!$A:$A,N$2)</f>
        <v>0</v>
      </c>
      <c r="O712" s="12">
        <f>SUMIFS(BASE!$G:$G,BASE!$B:$B,$B712,BASE!$L:$L,$G712,BASE!$J:$J,$C712,BASE!$A:$A,O$2)</f>
        <v>5</v>
      </c>
      <c r="P712" s="12">
        <f>SUMIFS(BASE!$G:$G,BASE!$B:$B,$B712,BASE!$L:$L,$G712,BASE!$J:$J,$C712,BASE!$A:$A,P$2)</f>
        <v>9</v>
      </c>
      <c r="Q712" s="12">
        <f>SUMIFS(BASE!$G:$G,BASE!$B:$B,$B712,BASE!$L:$L,$G712,BASE!$J:$J,$C712,BASE!$A:$A,Q$2)</f>
        <v>8</v>
      </c>
      <c r="R712" s="12">
        <f>SUMIFS(BASE!$G:$G,BASE!$B:$B,$B712,BASE!$L:$L,$G712,BASE!$J:$J,$C712,BASE!$A:$A,R$2)</f>
        <v>9</v>
      </c>
      <c r="S712" s="12">
        <f>SUMIFS(BASE!$G:$G,BASE!$B:$B,$B712,BASE!$L:$L,$G712,BASE!$J:$J,$C712,BASE!$A:$A,S$2)</f>
        <v>0</v>
      </c>
      <c r="T712" s="12">
        <f>SUMIFS(BASE!$G:$G,BASE!$B:$B,$B712,BASE!$L:$L,$G712,BASE!$J:$J,$C712,BASE!$A:$A,T$2)</f>
        <v>0</v>
      </c>
      <c r="U712" s="12">
        <f>SUMIFS(BASE!$G:$G,BASE!$B:$B,$B712,BASE!$L:$L,$G712,BASE!$J:$J,$C712,BASE!$A:$A,U$2)</f>
        <v>0</v>
      </c>
      <c r="V712" s="12">
        <f>SUMIFS(BASE!$G:$G,BASE!$B:$B,$B712,BASE!$L:$L,$G712,BASE!$J:$J,$C712,BASE!$A:$A,V$2)</f>
        <v>0</v>
      </c>
      <c r="X712" t="str">
        <f t="shared" si="23"/>
        <v>COM TROCAS</v>
      </c>
    </row>
    <row r="713" spans="2:24">
      <c r="B713" s="8" t="s">
        <v>1536</v>
      </c>
      <c r="C713" s="9" t="s">
        <v>106</v>
      </c>
      <c r="D713" s="9" t="s">
        <v>1461</v>
      </c>
      <c r="E713" s="9" t="s">
        <v>1416</v>
      </c>
      <c r="F713" s="9" t="s">
        <v>1462</v>
      </c>
      <c r="G713" s="9" t="s">
        <v>54</v>
      </c>
      <c r="H713" s="7" t="str">
        <f>IFERROR(IF(_xlfn.XLOOKUP(B713,REPASSE!D:D,REPASSE!D:D)="","Não","Sim"),"Não")</f>
        <v>Não</v>
      </c>
      <c r="I713" s="7" t="str">
        <f>IF(_xlfn.XLOOKUP(B713,'BOOST LIBERADO'!B:B,'BOOST LIBERADO'!B:B,"Não")="Não","Não","Sim")</f>
        <v>Sim</v>
      </c>
      <c r="J713" s="83" t="str">
        <f t="shared" si="22"/>
        <v>Sim</v>
      </c>
      <c r="K713" s="12">
        <f>SUMIFS(BASE!$G:$G,BASE!$B:$B,$B713,BASE!$L:$L,$G713,BASE!$J:$J,$C713,BASE!$A:$A,K$2)</f>
        <v>0</v>
      </c>
      <c r="L713" s="12">
        <f>SUMIFS(BASE!$G:$G,BASE!$B:$B,$B713,BASE!$L:$L,$G713,BASE!$J:$J,$C713,BASE!$A:$A,L$2)</f>
        <v>0</v>
      </c>
      <c r="M713" s="12">
        <f>SUMIFS(BASE!$G:$G,BASE!$B:$B,$B713,BASE!$L:$L,$G713,BASE!$J:$J,$C713,BASE!$A:$A,M$2)</f>
        <v>0</v>
      </c>
      <c r="N713" s="12">
        <f>SUMIFS(BASE!$G:$G,BASE!$B:$B,$B713,BASE!$L:$L,$G713,BASE!$J:$J,$C713,BASE!$A:$A,N$2)</f>
        <v>0</v>
      </c>
      <c r="O713" s="12">
        <f>SUMIFS(BASE!$G:$G,BASE!$B:$B,$B713,BASE!$L:$L,$G713,BASE!$J:$J,$C713,BASE!$A:$A,O$2)</f>
        <v>0</v>
      </c>
      <c r="P713" s="12">
        <f>SUMIFS(BASE!$G:$G,BASE!$B:$B,$B713,BASE!$L:$L,$G713,BASE!$J:$J,$C713,BASE!$A:$A,P$2)</f>
        <v>0</v>
      </c>
      <c r="Q713" s="12">
        <f>SUMIFS(BASE!$G:$G,BASE!$B:$B,$B713,BASE!$L:$L,$G713,BASE!$J:$J,$C713,BASE!$A:$A,Q$2)</f>
        <v>0</v>
      </c>
      <c r="R713" s="12">
        <f>SUMIFS(BASE!$G:$G,BASE!$B:$B,$B713,BASE!$L:$L,$G713,BASE!$J:$J,$C713,BASE!$A:$A,R$2)</f>
        <v>0</v>
      </c>
      <c r="S713" s="12">
        <f>SUMIFS(BASE!$G:$G,BASE!$B:$B,$B713,BASE!$L:$L,$G713,BASE!$J:$J,$C713,BASE!$A:$A,S$2)</f>
        <v>0</v>
      </c>
      <c r="T713" s="12">
        <f>SUMIFS(BASE!$G:$G,BASE!$B:$B,$B713,BASE!$L:$L,$G713,BASE!$J:$J,$C713,BASE!$A:$A,T$2)</f>
        <v>0</v>
      </c>
      <c r="U713" s="12">
        <f>SUMIFS(BASE!$G:$G,BASE!$B:$B,$B713,BASE!$L:$L,$G713,BASE!$J:$J,$C713,BASE!$A:$A,U$2)</f>
        <v>0</v>
      </c>
      <c r="V713" s="12">
        <f>SUMIFS(BASE!$G:$G,BASE!$B:$B,$B713,BASE!$L:$L,$G713,BASE!$J:$J,$C713,BASE!$A:$A,V$2)</f>
        <v>0</v>
      </c>
      <c r="X713" t="str">
        <f t="shared" si="23"/>
        <v>ZERADO</v>
      </c>
    </row>
    <row r="714" spans="2:24">
      <c r="B714" s="8" t="s">
        <v>1537</v>
      </c>
      <c r="C714" s="9" t="s">
        <v>106</v>
      </c>
      <c r="D714" s="9" t="s">
        <v>1422</v>
      </c>
      <c r="E714" s="9" t="s">
        <v>1423</v>
      </c>
      <c r="F714" s="9" t="s">
        <v>1527</v>
      </c>
      <c r="G714" s="9" t="s">
        <v>54</v>
      </c>
      <c r="H714" s="7" t="str">
        <f>IFERROR(IF(_xlfn.XLOOKUP(B714,REPASSE!D:D,REPASSE!D:D)="","Não","Sim"),"Não")</f>
        <v>Não</v>
      </c>
      <c r="I714" s="7" t="str">
        <f>IF(_xlfn.XLOOKUP(B714,'BOOST LIBERADO'!B:B,'BOOST LIBERADO'!B:B,"Não")="Não","Não","Sim")</f>
        <v>Sim</v>
      </c>
      <c r="J714" s="83" t="str">
        <f t="shared" si="22"/>
        <v>Sim</v>
      </c>
      <c r="K714" s="12">
        <f>SUMIFS(BASE!$G:$G,BASE!$B:$B,$B714,BASE!$L:$L,$G714,BASE!$J:$J,$C714,BASE!$A:$A,K$2)</f>
        <v>0</v>
      </c>
      <c r="L714" s="12">
        <f>SUMIFS(BASE!$G:$G,BASE!$B:$B,$B714,BASE!$L:$L,$G714,BASE!$J:$J,$C714,BASE!$A:$A,L$2)</f>
        <v>0</v>
      </c>
      <c r="M714" s="12">
        <f>SUMIFS(BASE!$G:$G,BASE!$B:$B,$B714,BASE!$L:$L,$G714,BASE!$J:$J,$C714,BASE!$A:$A,M$2)</f>
        <v>0</v>
      </c>
      <c r="N714" s="12">
        <f>SUMIFS(BASE!$G:$G,BASE!$B:$B,$B714,BASE!$L:$L,$G714,BASE!$J:$J,$C714,BASE!$A:$A,N$2)</f>
        <v>0</v>
      </c>
      <c r="O714" s="12">
        <f>SUMIFS(BASE!$G:$G,BASE!$B:$B,$B714,BASE!$L:$L,$G714,BASE!$J:$J,$C714,BASE!$A:$A,O$2)</f>
        <v>0</v>
      </c>
      <c r="P714" s="12">
        <f>SUMIFS(BASE!$G:$G,BASE!$B:$B,$B714,BASE!$L:$L,$G714,BASE!$J:$J,$C714,BASE!$A:$A,P$2)</f>
        <v>0</v>
      </c>
      <c r="Q714" s="12">
        <f>SUMIFS(BASE!$G:$G,BASE!$B:$B,$B714,BASE!$L:$L,$G714,BASE!$J:$J,$C714,BASE!$A:$A,Q$2)</f>
        <v>0</v>
      </c>
      <c r="R714" s="12">
        <f>SUMIFS(BASE!$G:$G,BASE!$B:$B,$B714,BASE!$L:$L,$G714,BASE!$J:$J,$C714,BASE!$A:$A,R$2)</f>
        <v>0</v>
      </c>
      <c r="S714" s="12">
        <f>SUMIFS(BASE!$G:$G,BASE!$B:$B,$B714,BASE!$L:$L,$G714,BASE!$J:$J,$C714,BASE!$A:$A,S$2)</f>
        <v>0</v>
      </c>
      <c r="T714" s="12">
        <f>SUMIFS(BASE!$G:$G,BASE!$B:$B,$B714,BASE!$L:$L,$G714,BASE!$J:$J,$C714,BASE!$A:$A,T$2)</f>
        <v>0</v>
      </c>
      <c r="U714" s="12">
        <f>SUMIFS(BASE!$G:$G,BASE!$B:$B,$B714,BASE!$L:$L,$G714,BASE!$J:$J,$C714,BASE!$A:$A,U$2)</f>
        <v>0</v>
      </c>
      <c r="V714" s="12">
        <f>SUMIFS(BASE!$G:$G,BASE!$B:$B,$B714,BASE!$L:$L,$G714,BASE!$J:$J,$C714,BASE!$A:$A,V$2)</f>
        <v>0</v>
      </c>
      <c r="X714" t="str">
        <f t="shared" si="23"/>
        <v>ZERADO</v>
      </c>
    </row>
    <row r="715" spans="2:24">
      <c r="B715" s="8" t="s">
        <v>1538</v>
      </c>
      <c r="C715" s="9" t="s">
        <v>232</v>
      </c>
      <c r="D715" s="9" t="s">
        <v>1437</v>
      </c>
      <c r="E715" s="9" t="s">
        <v>1438</v>
      </c>
      <c r="F715" s="9" t="s">
        <v>1489</v>
      </c>
      <c r="G715" s="9" t="s">
        <v>54</v>
      </c>
      <c r="H715" s="7" t="str">
        <f>IFERROR(IF(_xlfn.XLOOKUP(B715,REPASSE!D:D,REPASSE!D:D)="","Não","Sim"),"Não")</f>
        <v>Não</v>
      </c>
      <c r="I715" s="7" t="str">
        <f>IF(_xlfn.XLOOKUP(B715,'BOOST LIBERADO'!B:B,'BOOST LIBERADO'!B:B,"Não")="Não","Não","Sim")</f>
        <v>Sim</v>
      </c>
      <c r="J715" s="83" t="str">
        <f t="shared" si="22"/>
        <v>Sim</v>
      </c>
      <c r="K715" s="12">
        <f>SUMIFS(BASE!$G:$G,BASE!$B:$B,$B715,BASE!$L:$L,$G715,BASE!$J:$J,$C715,BASE!$A:$A,K$2)</f>
        <v>6</v>
      </c>
      <c r="L715" s="12">
        <f>SUMIFS(BASE!$G:$G,BASE!$B:$B,$B715,BASE!$L:$L,$G715,BASE!$J:$J,$C715,BASE!$A:$A,L$2)</f>
        <v>1</v>
      </c>
      <c r="M715" s="12">
        <f>SUMIFS(BASE!$G:$G,BASE!$B:$B,$B715,BASE!$L:$L,$G715,BASE!$J:$J,$C715,BASE!$A:$A,M$2)</f>
        <v>16</v>
      </c>
      <c r="N715" s="12">
        <f>SUMIFS(BASE!$G:$G,BASE!$B:$B,$B715,BASE!$L:$L,$G715,BASE!$J:$J,$C715,BASE!$A:$A,N$2)</f>
        <v>11</v>
      </c>
      <c r="O715" s="12">
        <f>SUMIFS(BASE!$G:$G,BASE!$B:$B,$B715,BASE!$L:$L,$G715,BASE!$J:$J,$C715,BASE!$A:$A,O$2)</f>
        <v>7</v>
      </c>
      <c r="P715" s="12">
        <f>SUMIFS(BASE!$G:$G,BASE!$B:$B,$B715,BASE!$L:$L,$G715,BASE!$J:$J,$C715,BASE!$A:$A,P$2)</f>
        <v>6</v>
      </c>
      <c r="Q715" s="12">
        <f>SUMIFS(BASE!$G:$G,BASE!$B:$B,$B715,BASE!$L:$L,$G715,BASE!$J:$J,$C715,BASE!$A:$A,Q$2)</f>
        <v>9</v>
      </c>
      <c r="R715" s="12">
        <f>SUMIFS(BASE!$G:$G,BASE!$B:$B,$B715,BASE!$L:$L,$G715,BASE!$J:$J,$C715,BASE!$A:$A,R$2)</f>
        <v>7</v>
      </c>
      <c r="S715" s="12">
        <f>SUMIFS(BASE!$G:$G,BASE!$B:$B,$B715,BASE!$L:$L,$G715,BASE!$J:$J,$C715,BASE!$A:$A,S$2)</f>
        <v>0</v>
      </c>
      <c r="T715" s="12">
        <f>SUMIFS(BASE!$G:$G,BASE!$B:$B,$B715,BASE!$L:$L,$G715,BASE!$J:$J,$C715,BASE!$A:$A,T$2)</f>
        <v>0</v>
      </c>
      <c r="U715" s="12">
        <f>SUMIFS(BASE!$G:$G,BASE!$B:$B,$B715,BASE!$L:$L,$G715,BASE!$J:$J,$C715,BASE!$A:$A,U$2)</f>
        <v>0</v>
      </c>
      <c r="V715" s="12">
        <f>SUMIFS(BASE!$G:$G,BASE!$B:$B,$B715,BASE!$L:$L,$G715,BASE!$J:$J,$C715,BASE!$A:$A,V$2)</f>
        <v>0</v>
      </c>
      <c r="X715" t="str">
        <f t="shared" si="23"/>
        <v>COM TROCAS</v>
      </c>
    </row>
    <row r="716" spans="2:24">
      <c r="B716" s="8" t="s">
        <v>1539</v>
      </c>
      <c r="C716" s="9" t="s">
        <v>119</v>
      </c>
      <c r="D716" s="9" t="s">
        <v>1431</v>
      </c>
      <c r="E716" s="9" t="s">
        <v>1412</v>
      </c>
      <c r="F716" s="9" t="s">
        <v>1540</v>
      </c>
      <c r="G716" s="9" t="s">
        <v>54</v>
      </c>
      <c r="H716" s="7" t="str">
        <f>IFERROR(IF(_xlfn.XLOOKUP(B716,REPASSE!D:D,REPASSE!D:D)="","Não","Sim"),"Não")</f>
        <v>Não</v>
      </c>
      <c r="I716" s="7" t="str">
        <f>IF(_xlfn.XLOOKUP(B716,'BOOST LIBERADO'!B:B,'BOOST LIBERADO'!B:B,"Não")="Não","Não","Sim")</f>
        <v>Sim</v>
      </c>
      <c r="J716" s="83" t="str">
        <f t="shared" si="22"/>
        <v>Sim</v>
      </c>
      <c r="K716" s="12">
        <f>SUMIFS(BASE!$G:$G,BASE!$B:$B,$B716,BASE!$L:$L,$G716,BASE!$J:$J,$C716,BASE!$A:$A,K$2)</f>
        <v>0</v>
      </c>
      <c r="L716" s="12">
        <f>SUMIFS(BASE!$G:$G,BASE!$B:$B,$B716,BASE!$L:$L,$G716,BASE!$J:$J,$C716,BASE!$A:$A,L$2)</f>
        <v>0</v>
      </c>
      <c r="M716" s="12">
        <f>SUMIFS(BASE!$G:$G,BASE!$B:$B,$B716,BASE!$L:$L,$G716,BASE!$J:$J,$C716,BASE!$A:$A,M$2)</f>
        <v>0</v>
      </c>
      <c r="N716" s="12">
        <f>SUMIFS(BASE!$G:$G,BASE!$B:$B,$B716,BASE!$L:$L,$G716,BASE!$J:$J,$C716,BASE!$A:$A,N$2)</f>
        <v>0</v>
      </c>
      <c r="O716" s="12">
        <f>SUMIFS(BASE!$G:$G,BASE!$B:$B,$B716,BASE!$L:$L,$G716,BASE!$J:$J,$C716,BASE!$A:$A,O$2)</f>
        <v>0</v>
      </c>
      <c r="P716" s="12">
        <f>SUMIFS(BASE!$G:$G,BASE!$B:$B,$B716,BASE!$L:$L,$G716,BASE!$J:$J,$C716,BASE!$A:$A,P$2)</f>
        <v>4</v>
      </c>
      <c r="Q716" s="12">
        <f>SUMIFS(BASE!$G:$G,BASE!$B:$B,$B716,BASE!$L:$L,$G716,BASE!$J:$J,$C716,BASE!$A:$A,Q$2)</f>
        <v>1</v>
      </c>
      <c r="R716" s="12">
        <f>SUMIFS(BASE!$G:$G,BASE!$B:$B,$B716,BASE!$L:$L,$G716,BASE!$J:$J,$C716,BASE!$A:$A,R$2)</f>
        <v>1</v>
      </c>
      <c r="S716" s="12">
        <f>SUMIFS(BASE!$G:$G,BASE!$B:$B,$B716,BASE!$L:$L,$G716,BASE!$J:$J,$C716,BASE!$A:$A,S$2)</f>
        <v>0</v>
      </c>
      <c r="T716" s="12">
        <f>SUMIFS(BASE!$G:$G,BASE!$B:$B,$B716,BASE!$L:$L,$G716,BASE!$J:$J,$C716,BASE!$A:$A,T$2)</f>
        <v>0</v>
      </c>
      <c r="U716" s="12">
        <f>SUMIFS(BASE!$G:$G,BASE!$B:$B,$B716,BASE!$L:$L,$G716,BASE!$J:$J,$C716,BASE!$A:$A,U$2)</f>
        <v>0</v>
      </c>
      <c r="V716" s="12">
        <f>SUMIFS(BASE!$G:$G,BASE!$B:$B,$B716,BASE!$L:$L,$G716,BASE!$J:$J,$C716,BASE!$A:$A,V$2)</f>
        <v>0</v>
      </c>
      <c r="X716" t="str">
        <f t="shared" si="23"/>
        <v>COM TROCAS</v>
      </c>
    </row>
    <row r="717" spans="2:24">
      <c r="B717" s="8" t="s">
        <v>1541</v>
      </c>
      <c r="C717" s="9" t="s">
        <v>106</v>
      </c>
      <c r="D717" s="9" t="s">
        <v>1419</v>
      </c>
      <c r="E717" s="9" t="s">
        <v>1412</v>
      </c>
      <c r="F717" s="9" t="s">
        <v>1542</v>
      </c>
      <c r="G717" s="9" t="s">
        <v>54</v>
      </c>
      <c r="H717" s="7" t="str">
        <f>IFERROR(IF(_xlfn.XLOOKUP(B717,REPASSE!D:D,REPASSE!D:D)="","Não","Sim"),"Não")</f>
        <v>Não</v>
      </c>
      <c r="I717" s="7" t="str">
        <f>IF(_xlfn.XLOOKUP(B717,'BOOST LIBERADO'!B:B,'BOOST LIBERADO'!B:B,"Não")="Não","Não","Sim")</f>
        <v>Sim</v>
      </c>
      <c r="J717" s="83" t="str">
        <f t="shared" si="22"/>
        <v>Sim</v>
      </c>
      <c r="K717" s="12">
        <f>SUMIFS(BASE!$G:$G,BASE!$B:$B,$B717,BASE!$L:$L,$G717,BASE!$J:$J,$C717,BASE!$A:$A,K$2)</f>
        <v>0</v>
      </c>
      <c r="L717" s="12">
        <f>SUMIFS(BASE!$G:$G,BASE!$B:$B,$B717,BASE!$L:$L,$G717,BASE!$J:$J,$C717,BASE!$A:$A,L$2)</f>
        <v>0</v>
      </c>
      <c r="M717" s="12">
        <f>SUMIFS(BASE!$G:$G,BASE!$B:$B,$B717,BASE!$L:$L,$G717,BASE!$J:$J,$C717,BASE!$A:$A,M$2)</f>
        <v>0</v>
      </c>
      <c r="N717" s="12">
        <f>SUMIFS(BASE!$G:$G,BASE!$B:$B,$B717,BASE!$L:$L,$G717,BASE!$J:$J,$C717,BASE!$A:$A,N$2)</f>
        <v>0</v>
      </c>
      <c r="O717" s="12">
        <f>SUMIFS(BASE!$G:$G,BASE!$B:$B,$B717,BASE!$L:$L,$G717,BASE!$J:$J,$C717,BASE!$A:$A,O$2)</f>
        <v>0</v>
      </c>
      <c r="P717" s="12">
        <f>SUMIFS(BASE!$G:$G,BASE!$B:$B,$B717,BASE!$L:$L,$G717,BASE!$J:$J,$C717,BASE!$A:$A,P$2)</f>
        <v>0</v>
      </c>
      <c r="Q717" s="12">
        <f>SUMIFS(BASE!$G:$G,BASE!$B:$B,$B717,BASE!$L:$L,$G717,BASE!$J:$J,$C717,BASE!$A:$A,Q$2)</f>
        <v>0</v>
      </c>
      <c r="R717" s="12">
        <f>SUMIFS(BASE!$G:$G,BASE!$B:$B,$B717,BASE!$L:$L,$G717,BASE!$J:$J,$C717,BASE!$A:$A,R$2)</f>
        <v>0</v>
      </c>
      <c r="S717" s="12">
        <f>SUMIFS(BASE!$G:$G,BASE!$B:$B,$B717,BASE!$L:$L,$G717,BASE!$J:$J,$C717,BASE!$A:$A,S$2)</f>
        <v>0</v>
      </c>
      <c r="T717" s="12">
        <f>SUMIFS(BASE!$G:$G,BASE!$B:$B,$B717,BASE!$L:$L,$G717,BASE!$J:$J,$C717,BASE!$A:$A,T$2)</f>
        <v>0</v>
      </c>
      <c r="U717" s="12">
        <f>SUMIFS(BASE!$G:$G,BASE!$B:$B,$B717,BASE!$L:$L,$G717,BASE!$J:$J,$C717,BASE!$A:$A,U$2)</f>
        <v>0</v>
      </c>
      <c r="V717" s="12">
        <f>SUMIFS(BASE!$G:$G,BASE!$B:$B,$B717,BASE!$L:$L,$G717,BASE!$J:$J,$C717,BASE!$A:$A,V$2)</f>
        <v>0</v>
      </c>
      <c r="X717" t="str">
        <f t="shared" si="23"/>
        <v>ZERADO</v>
      </c>
    </row>
    <row r="718" spans="2:24">
      <c r="B718" s="8" t="s">
        <v>1543</v>
      </c>
      <c r="C718" s="9" t="s">
        <v>106</v>
      </c>
      <c r="D718" s="9" t="s">
        <v>1544</v>
      </c>
      <c r="E718" s="9" t="s">
        <v>1423</v>
      </c>
      <c r="F718" s="9" t="s">
        <v>1545</v>
      </c>
      <c r="G718" s="9" t="s">
        <v>54</v>
      </c>
      <c r="H718" s="7" t="str">
        <f>IFERROR(IF(_xlfn.XLOOKUP(B718,REPASSE!D:D,REPASSE!D:D)="","Não","Sim"),"Não")</f>
        <v>Não</v>
      </c>
      <c r="I718" s="7" t="str">
        <f>IF(_xlfn.XLOOKUP(B718,'BOOST LIBERADO'!B:B,'BOOST LIBERADO'!B:B,"Não")="Não","Não","Sim")</f>
        <v>Sim</v>
      </c>
      <c r="J718" s="83" t="str">
        <f t="shared" si="22"/>
        <v>Sim</v>
      </c>
      <c r="K718" s="12">
        <f>SUMIFS(BASE!$G:$G,BASE!$B:$B,$B718,BASE!$L:$L,$G718,BASE!$J:$J,$C718,BASE!$A:$A,K$2)</f>
        <v>0</v>
      </c>
      <c r="L718" s="12">
        <f>SUMIFS(BASE!$G:$G,BASE!$B:$B,$B718,BASE!$L:$L,$G718,BASE!$J:$J,$C718,BASE!$A:$A,L$2)</f>
        <v>0</v>
      </c>
      <c r="M718" s="12">
        <f>SUMIFS(BASE!$G:$G,BASE!$B:$B,$B718,BASE!$L:$L,$G718,BASE!$J:$J,$C718,BASE!$A:$A,M$2)</f>
        <v>0</v>
      </c>
      <c r="N718" s="12">
        <f>SUMIFS(BASE!$G:$G,BASE!$B:$B,$B718,BASE!$L:$L,$G718,BASE!$J:$J,$C718,BASE!$A:$A,N$2)</f>
        <v>0</v>
      </c>
      <c r="O718" s="12">
        <f>SUMIFS(BASE!$G:$G,BASE!$B:$B,$B718,BASE!$L:$L,$G718,BASE!$J:$J,$C718,BASE!$A:$A,O$2)</f>
        <v>0</v>
      </c>
      <c r="P718" s="12">
        <f>SUMIFS(BASE!$G:$G,BASE!$B:$B,$B718,BASE!$L:$L,$G718,BASE!$J:$J,$C718,BASE!$A:$A,P$2)</f>
        <v>0</v>
      </c>
      <c r="Q718" s="12">
        <f>SUMIFS(BASE!$G:$G,BASE!$B:$B,$B718,BASE!$L:$L,$G718,BASE!$J:$J,$C718,BASE!$A:$A,Q$2)</f>
        <v>0</v>
      </c>
      <c r="R718" s="12">
        <f>SUMIFS(BASE!$G:$G,BASE!$B:$B,$B718,BASE!$L:$L,$G718,BASE!$J:$J,$C718,BASE!$A:$A,R$2)</f>
        <v>0</v>
      </c>
      <c r="S718" s="12">
        <f>SUMIFS(BASE!$G:$G,BASE!$B:$B,$B718,BASE!$L:$L,$G718,BASE!$J:$J,$C718,BASE!$A:$A,S$2)</f>
        <v>0</v>
      </c>
      <c r="T718" s="12">
        <f>SUMIFS(BASE!$G:$G,BASE!$B:$B,$B718,BASE!$L:$L,$G718,BASE!$J:$J,$C718,BASE!$A:$A,T$2)</f>
        <v>0</v>
      </c>
      <c r="U718" s="12">
        <f>SUMIFS(BASE!$G:$G,BASE!$B:$B,$B718,BASE!$L:$L,$G718,BASE!$J:$J,$C718,BASE!$A:$A,U$2)</f>
        <v>0</v>
      </c>
      <c r="V718" s="12">
        <f>SUMIFS(BASE!$G:$G,BASE!$B:$B,$B718,BASE!$L:$L,$G718,BASE!$J:$J,$C718,BASE!$A:$A,V$2)</f>
        <v>0</v>
      </c>
      <c r="X718" t="str">
        <f t="shared" si="23"/>
        <v>ZERADO</v>
      </c>
    </row>
    <row r="719" spans="2:24">
      <c r="B719" s="8" t="s">
        <v>1546</v>
      </c>
      <c r="C719" s="9" t="s">
        <v>132</v>
      </c>
      <c r="D719" s="9" t="s">
        <v>1498</v>
      </c>
      <c r="E719" s="9" t="s">
        <v>1416</v>
      </c>
      <c r="F719" s="9" t="s">
        <v>1547</v>
      </c>
      <c r="G719" s="9" t="s">
        <v>54</v>
      </c>
      <c r="H719" s="7" t="str">
        <f>IFERROR(IF(_xlfn.XLOOKUP(B719,REPASSE!D:D,REPASSE!D:D)="","Não","Sim"),"Não")</f>
        <v>Não</v>
      </c>
      <c r="I719" s="7" t="str">
        <f>IF(_xlfn.XLOOKUP(B719,'BOOST LIBERADO'!B:B,'BOOST LIBERADO'!B:B,"Não")="Não","Não","Sim")</f>
        <v>Sim</v>
      </c>
      <c r="J719" s="83" t="str">
        <f t="shared" si="22"/>
        <v>Sim</v>
      </c>
      <c r="K719" s="12">
        <f>SUMIFS(BASE!$G:$G,BASE!$B:$B,$B719,BASE!$L:$L,$G719,BASE!$J:$J,$C719,BASE!$A:$A,K$2)</f>
        <v>0</v>
      </c>
      <c r="L719" s="12">
        <f>SUMIFS(BASE!$G:$G,BASE!$B:$B,$B719,BASE!$L:$L,$G719,BASE!$J:$J,$C719,BASE!$A:$A,L$2)</f>
        <v>0</v>
      </c>
      <c r="M719" s="12">
        <f>SUMIFS(BASE!$G:$G,BASE!$B:$B,$B719,BASE!$L:$L,$G719,BASE!$J:$J,$C719,BASE!$A:$A,M$2)</f>
        <v>0</v>
      </c>
      <c r="N719" s="12">
        <f>SUMIFS(BASE!$G:$G,BASE!$B:$B,$B719,BASE!$L:$L,$G719,BASE!$J:$J,$C719,BASE!$A:$A,N$2)</f>
        <v>0</v>
      </c>
      <c r="O719" s="12">
        <f>SUMIFS(BASE!$G:$G,BASE!$B:$B,$B719,BASE!$L:$L,$G719,BASE!$J:$J,$C719,BASE!$A:$A,O$2)</f>
        <v>1</v>
      </c>
      <c r="P719" s="12">
        <f>SUMIFS(BASE!$G:$G,BASE!$B:$B,$B719,BASE!$L:$L,$G719,BASE!$J:$J,$C719,BASE!$A:$A,P$2)</f>
        <v>2</v>
      </c>
      <c r="Q719" s="12">
        <f>SUMIFS(BASE!$G:$G,BASE!$B:$B,$B719,BASE!$L:$L,$G719,BASE!$J:$J,$C719,BASE!$A:$A,Q$2)</f>
        <v>2</v>
      </c>
      <c r="R719" s="12">
        <f>SUMIFS(BASE!$G:$G,BASE!$B:$B,$B719,BASE!$L:$L,$G719,BASE!$J:$J,$C719,BASE!$A:$A,R$2)</f>
        <v>0</v>
      </c>
      <c r="S719" s="12">
        <f>SUMIFS(BASE!$G:$G,BASE!$B:$B,$B719,BASE!$L:$L,$G719,BASE!$J:$J,$C719,BASE!$A:$A,S$2)</f>
        <v>0</v>
      </c>
      <c r="T719" s="12">
        <f>SUMIFS(BASE!$G:$G,BASE!$B:$B,$B719,BASE!$L:$L,$G719,BASE!$J:$J,$C719,BASE!$A:$A,T$2)</f>
        <v>0</v>
      </c>
      <c r="U719" s="12">
        <f>SUMIFS(BASE!$G:$G,BASE!$B:$B,$B719,BASE!$L:$L,$G719,BASE!$J:$J,$C719,BASE!$A:$A,U$2)</f>
        <v>0</v>
      </c>
      <c r="V719" s="12">
        <f>SUMIFS(BASE!$G:$G,BASE!$B:$B,$B719,BASE!$L:$L,$G719,BASE!$J:$J,$C719,BASE!$A:$A,V$2)</f>
        <v>0</v>
      </c>
      <c r="X719" t="str">
        <f t="shared" si="23"/>
        <v>ZERADO</v>
      </c>
    </row>
    <row r="720" spans="2:24">
      <c r="B720" s="8" t="s">
        <v>1548</v>
      </c>
      <c r="C720" s="9" t="s">
        <v>232</v>
      </c>
      <c r="D720" s="9" t="s">
        <v>1544</v>
      </c>
      <c r="E720" s="9" t="s">
        <v>1423</v>
      </c>
      <c r="F720" s="9" t="s">
        <v>1545</v>
      </c>
      <c r="G720" s="9" t="s">
        <v>54</v>
      </c>
      <c r="H720" s="7" t="str">
        <f>IFERROR(IF(_xlfn.XLOOKUP(B720,REPASSE!D:D,REPASSE!D:D)="","Não","Sim"),"Não")</f>
        <v>Não</v>
      </c>
      <c r="I720" s="7" t="str">
        <f>IF(_xlfn.XLOOKUP(B720,'BOOST LIBERADO'!B:B,'BOOST LIBERADO'!B:B,"Não")="Não","Não","Sim")</f>
        <v>Sim</v>
      </c>
      <c r="J720" s="83" t="str">
        <f t="shared" si="22"/>
        <v>Sim</v>
      </c>
      <c r="K720" s="12">
        <f>SUMIFS(BASE!$G:$G,BASE!$B:$B,$B720,BASE!$L:$L,$G720,BASE!$J:$J,$C720,BASE!$A:$A,K$2)</f>
        <v>22</v>
      </c>
      <c r="L720" s="12">
        <f>SUMIFS(BASE!$G:$G,BASE!$B:$B,$B720,BASE!$L:$L,$G720,BASE!$J:$J,$C720,BASE!$A:$A,L$2)</f>
        <v>33</v>
      </c>
      <c r="M720" s="12">
        <f>SUMIFS(BASE!$G:$G,BASE!$B:$B,$B720,BASE!$L:$L,$G720,BASE!$J:$J,$C720,BASE!$A:$A,M$2)</f>
        <v>42</v>
      </c>
      <c r="N720" s="12">
        <f>SUMIFS(BASE!$G:$G,BASE!$B:$B,$B720,BASE!$L:$L,$G720,BASE!$J:$J,$C720,BASE!$A:$A,N$2)</f>
        <v>24</v>
      </c>
      <c r="O720" s="12">
        <f>SUMIFS(BASE!$G:$G,BASE!$B:$B,$B720,BASE!$L:$L,$G720,BASE!$J:$J,$C720,BASE!$A:$A,O$2)</f>
        <v>27</v>
      </c>
      <c r="P720" s="12">
        <f>SUMIFS(BASE!$G:$G,BASE!$B:$B,$B720,BASE!$L:$L,$G720,BASE!$J:$J,$C720,BASE!$A:$A,P$2)</f>
        <v>26</v>
      </c>
      <c r="Q720" s="12">
        <f>SUMIFS(BASE!$G:$G,BASE!$B:$B,$B720,BASE!$L:$L,$G720,BASE!$J:$J,$C720,BASE!$A:$A,Q$2)</f>
        <v>39</v>
      </c>
      <c r="R720" s="12">
        <f>SUMIFS(BASE!$G:$G,BASE!$B:$B,$B720,BASE!$L:$L,$G720,BASE!$J:$J,$C720,BASE!$A:$A,R$2)</f>
        <v>26</v>
      </c>
      <c r="S720" s="12">
        <f>SUMIFS(BASE!$G:$G,BASE!$B:$B,$B720,BASE!$L:$L,$G720,BASE!$J:$J,$C720,BASE!$A:$A,S$2)</f>
        <v>0</v>
      </c>
      <c r="T720" s="12">
        <f>SUMIFS(BASE!$G:$G,BASE!$B:$B,$B720,BASE!$L:$L,$G720,BASE!$J:$J,$C720,BASE!$A:$A,T$2)</f>
        <v>0</v>
      </c>
      <c r="U720" s="12">
        <f>SUMIFS(BASE!$G:$G,BASE!$B:$B,$B720,BASE!$L:$L,$G720,BASE!$J:$J,$C720,BASE!$A:$A,U$2)</f>
        <v>0</v>
      </c>
      <c r="V720" s="12">
        <f>SUMIFS(BASE!$G:$G,BASE!$B:$B,$B720,BASE!$L:$L,$G720,BASE!$J:$J,$C720,BASE!$A:$A,V$2)</f>
        <v>0</v>
      </c>
      <c r="X720" t="str">
        <f t="shared" si="23"/>
        <v>COM TROCAS</v>
      </c>
    </row>
    <row r="721" spans="2:24">
      <c r="B721" s="8" t="s">
        <v>1549</v>
      </c>
      <c r="C721" s="9" t="s">
        <v>148</v>
      </c>
      <c r="D721" s="9" t="s">
        <v>1471</v>
      </c>
      <c r="E721" s="9" t="s">
        <v>1416</v>
      </c>
      <c r="F721" s="9" t="s">
        <v>1550</v>
      </c>
      <c r="G721" s="9" t="s">
        <v>54</v>
      </c>
      <c r="H721" s="7" t="str">
        <f>IFERROR(IF(_xlfn.XLOOKUP(B721,REPASSE!D:D,REPASSE!D:D)="","Não","Sim"),"Não")</f>
        <v>Não</v>
      </c>
      <c r="I721" s="7" t="str">
        <f>IF(_xlfn.XLOOKUP(B721,'BOOST LIBERADO'!B:B,'BOOST LIBERADO'!B:B,"Não")="Não","Não","Sim")</f>
        <v>Sim</v>
      </c>
      <c r="J721" s="83" t="str">
        <f t="shared" si="22"/>
        <v>Sim</v>
      </c>
      <c r="K721" s="12">
        <f>SUMIFS(BASE!$G:$G,BASE!$B:$B,$B721,BASE!$L:$L,$G721,BASE!$J:$J,$C721,BASE!$A:$A,K$2)</f>
        <v>0</v>
      </c>
      <c r="L721" s="12">
        <f>SUMIFS(BASE!$G:$G,BASE!$B:$B,$B721,BASE!$L:$L,$G721,BASE!$J:$J,$C721,BASE!$A:$A,L$2)</f>
        <v>0</v>
      </c>
      <c r="M721" s="12">
        <f>SUMIFS(BASE!$G:$G,BASE!$B:$B,$B721,BASE!$L:$L,$G721,BASE!$J:$J,$C721,BASE!$A:$A,M$2)</f>
        <v>0</v>
      </c>
      <c r="N721" s="12">
        <f>SUMIFS(BASE!$G:$G,BASE!$B:$B,$B721,BASE!$L:$L,$G721,BASE!$J:$J,$C721,BASE!$A:$A,N$2)</f>
        <v>0</v>
      </c>
      <c r="O721" s="12">
        <f>SUMIFS(BASE!$G:$G,BASE!$B:$B,$B721,BASE!$L:$L,$G721,BASE!$J:$J,$C721,BASE!$A:$A,O$2)</f>
        <v>0</v>
      </c>
      <c r="P721" s="12">
        <f>SUMIFS(BASE!$G:$G,BASE!$B:$B,$B721,BASE!$L:$L,$G721,BASE!$J:$J,$C721,BASE!$A:$A,P$2)</f>
        <v>0</v>
      </c>
      <c r="Q721" s="12">
        <f>SUMIFS(BASE!$G:$G,BASE!$B:$B,$B721,BASE!$L:$L,$G721,BASE!$J:$J,$C721,BASE!$A:$A,Q$2)</f>
        <v>0</v>
      </c>
      <c r="R721" s="12">
        <f>SUMIFS(BASE!$G:$G,BASE!$B:$B,$B721,BASE!$L:$L,$G721,BASE!$J:$J,$C721,BASE!$A:$A,R$2)</f>
        <v>0</v>
      </c>
      <c r="S721" s="12">
        <f>SUMIFS(BASE!$G:$G,BASE!$B:$B,$B721,BASE!$L:$L,$G721,BASE!$J:$J,$C721,BASE!$A:$A,S$2)</f>
        <v>0</v>
      </c>
      <c r="T721" s="12">
        <f>SUMIFS(BASE!$G:$G,BASE!$B:$B,$B721,BASE!$L:$L,$G721,BASE!$J:$J,$C721,BASE!$A:$A,T$2)</f>
        <v>0</v>
      </c>
      <c r="U721" s="12">
        <f>SUMIFS(BASE!$G:$G,BASE!$B:$B,$B721,BASE!$L:$L,$G721,BASE!$J:$J,$C721,BASE!$A:$A,U$2)</f>
        <v>0</v>
      </c>
      <c r="V721" s="12">
        <f>SUMIFS(BASE!$G:$G,BASE!$B:$B,$B721,BASE!$L:$L,$G721,BASE!$J:$J,$C721,BASE!$A:$A,V$2)</f>
        <v>0</v>
      </c>
      <c r="X721" t="str">
        <f t="shared" si="23"/>
        <v>ZERADO</v>
      </c>
    </row>
    <row r="722" spans="2:24">
      <c r="B722" s="8" t="s">
        <v>1551</v>
      </c>
      <c r="C722" s="9" t="s">
        <v>232</v>
      </c>
      <c r="D722" s="9" t="s">
        <v>1437</v>
      </c>
      <c r="E722" s="9" t="s">
        <v>1438</v>
      </c>
      <c r="F722" s="9" t="s">
        <v>1552</v>
      </c>
      <c r="G722" s="9" t="s">
        <v>54</v>
      </c>
      <c r="H722" s="7" t="str">
        <f>IFERROR(IF(_xlfn.XLOOKUP(B722,REPASSE!D:D,REPASSE!D:D)="","Não","Sim"),"Não")</f>
        <v>Não</v>
      </c>
      <c r="I722" s="7" t="str">
        <f>IF(_xlfn.XLOOKUP(B722,'BOOST LIBERADO'!B:B,'BOOST LIBERADO'!B:B,"Não")="Não","Não","Sim")</f>
        <v>Sim</v>
      </c>
      <c r="J722" s="83" t="str">
        <f t="shared" si="22"/>
        <v>Sim</v>
      </c>
      <c r="K722" s="12">
        <f>SUMIFS(BASE!$G:$G,BASE!$B:$B,$B722,BASE!$L:$L,$G722,BASE!$J:$J,$C722,BASE!$A:$A,K$2)</f>
        <v>0</v>
      </c>
      <c r="L722" s="12">
        <f>SUMIFS(BASE!$G:$G,BASE!$B:$B,$B722,BASE!$L:$L,$G722,BASE!$J:$J,$C722,BASE!$A:$A,L$2)</f>
        <v>0</v>
      </c>
      <c r="M722" s="12">
        <f>SUMIFS(BASE!$G:$G,BASE!$B:$B,$B722,BASE!$L:$L,$G722,BASE!$J:$J,$C722,BASE!$A:$A,M$2)</f>
        <v>0</v>
      </c>
      <c r="N722" s="12">
        <f>SUMIFS(BASE!$G:$G,BASE!$B:$B,$B722,BASE!$L:$L,$G722,BASE!$J:$J,$C722,BASE!$A:$A,N$2)</f>
        <v>0</v>
      </c>
      <c r="O722" s="12">
        <f>SUMIFS(BASE!$G:$G,BASE!$B:$B,$B722,BASE!$L:$L,$G722,BASE!$J:$J,$C722,BASE!$A:$A,O$2)</f>
        <v>0</v>
      </c>
      <c r="P722" s="12">
        <f>SUMIFS(BASE!$G:$G,BASE!$B:$B,$B722,BASE!$L:$L,$G722,BASE!$J:$J,$C722,BASE!$A:$A,P$2)</f>
        <v>4</v>
      </c>
      <c r="Q722" s="12">
        <f>SUMIFS(BASE!$G:$G,BASE!$B:$B,$B722,BASE!$L:$L,$G722,BASE!$J:$J,$C722,BASE!$A:$A,Q$2)</f>
        <v>9</v>
      </c>
      <c r="R722" s="12">
        <f>SUMIFS(BASE!$G:$G,BASE!$B:$B,$B722,BASE!$L:$L,$G722,BASE!$J:$J,$C722,BASE!$A:$A,R$2)</f>
        <v>5</v>
      </c>
      <c r="S722" s="12">
        <f>SUMIFS(BASE!$G:$G,BASE!$B:$B,$B722,BASE!$L:$L,$G722,BASE!$J:$J,$C722,BASE!$A:$A,S$2)</f>
        <v>0</v>
      </c>
      <c r="T722" s="12">
        <f>SUMIFS(BASE!$G:$G,BASE!$B:$B,$B722,BASE!$L:$L,$G722,BASE!$J:$J,$C722,BASE!$A:$A,T$2)</f>
        <v>0</v>
      </c>
      <c r="U722" s="12">
        <f>SUMIFS(BASE!$G:$G,BASE!$B:$B,$B722,BASE!$L:$L,$G722,BASE!$J:$J,$C722,BASE!$A:$A,U$2)</f>
        <v>0</v>
      </c>
      <c r="V722" s="12">
        <f>SUMIFS(BASE!$G:$G,BASE!$B:$B,$B722,BASE!$L:$L,$G722,BASE!$J:$J,$C722,BASE!$A:$A,V$2)</f>
        <v>0</v>
      </c>
      <c r="X722" t="str">
        <f t="shared" si="23"/>
        <v>COM TROCAS</v>
      </c>
    </row>
    <row r="723" spans="2:24">
      <c r="B723" s="8" t="s">
        <v>1553</v>
      </c>
      <c r="C723" s="9" t="s">
        <v>106</v>
      </c>
      <c r="D723" s="9" t="s">
        <v>1419</v>
      </c>
      <c r="E723" s="9" t="s">
        <v>1412</v>
      </c>
      <c r="F723" s="9" t="s">
        <v>1554</v>
      </c>
      <c r="G723" s="9" t="s">
        <v>54</v>
      </c>
      <c r="H723" s="7" t="str">
        <f>IFERROR(IF(_xlfn.XLOOKUP(B723,REPASSE!D:D,REPASSE!D:D)="","Não","Sim"),"Não")</f>
        <v>Não</v>
      </c>
      <c r="I723" s="7" t="str">
        <f>IF(_xlfn.XLOOKUP(B723,'BOOST LIBERADO'!B:B,'BOOST LIBERADO'!B:B,"Não")="Não","Não","Sim")</f>
        <v>Sim</v>
      </c>
      <c r="J723" s="83" t="str">
        <f t="shared" si="22"/>
        <v>Sim</v>
      </c>
      <c r="K723" s="12">
        <f>SUMIFS(BASE!$G:$G,BASE!$B:$B,$B723,BASE!$L:$L,$G723,BASE!$J:$J,$C723,BASE!$A:$A,K$2)</f>
        <v>0</v>
      </c>
      <c r="L723" s="12">
        <f>SUMIFS(BASE!$G:$G,BASE!$B:$B,$B723,BASE!$L:$L,$G723,BASE!$J:$J,$C723,BASE!$A:$A,L$2)</f>
        <v>0</v>
      </c>
      <c r="M723" s="12">
        <f>SUMIFS(BASE!$G:$G,BASE!$B:$B,$B723,BASE!$L:$L,$G723,BASE!$J:$J,$C723,BASE!$A:$A,M$2)</f>
        <v>0</v>
      </c>
      <c r="N723" s="12">
        <f>SUMIFS(BASE!$G:$G,BASE!$B:$B,$B723,BASE!$L:$L,$G723,BASE!$J:$J,$C723,BASE!$A:$A,N$2)</f>
        <v>0</v>
      </c>
      <c r="O723" s="12">
        <f>SUMIFS(BASE!$G:$G,BASE!$B:$B,$B723,BASE!$L:$L,$G723,BASE!$J:$J,$C723,BASE!$A:$A,O$2)</f>
        <v>0</v>
      </c>
      <c r="P723" s="12">
        <f>SUMIFS(BASE!$G:$G,BASE!$B:$B,$B723,BASE!$L:$L,$G723,BASE!$J:$J,$C723,BASE!$A:$A,P$2)</f>
        <v>0</v>
      </c>
      <c r="Q723" s="12">
        <f>SUMIFS(BASE!$G:$G,BASE!$B:$B,$B723,BASE!$L:$L,$G723,BASE!$J:$J,$C723,BASE!$A:$A,Q$2)</f>
        <v>0</v>
      </c>
      <c r="R723" s="12">
        <f>SUMIFS(BASE!$G:$G,BASE!$B:$B,$B723,BASE!$L:$L,$G723,BASE!$J:$J,$C723,BASE!$A:$A,R$2)</f>
        <v>0</v>
      </c>
      <c r="S723" s="12">
        <f>SUMIFS(BASE!$G:$G,BASE!$B:$B,$B723,BASE!$L:$L,$G723,BASE!$J:$J,$C723,BASE!$A:$A,S$2)</f>
        <v>0</v>
      </c>
      <c r="T723" s="12">
        <f>SUMIFS(BASE!$G:$G,BASE!$B:$B,$B723,BASE!$L:$L,$G723,BASE!$J:$J,$C723,BASE!$A:$A,T$2)</f>
        <v>0</v>
      </c>
      <c r="U723" s="12">
        <f>SUMIFS(BASE!$G:$G,BASE!$B:$B,$B723,BASE!$L:$L,$G723,BASE!$J:$J,$C723,BASE!$A:$A,U$2)</f>
        <v>0</v>
      </c>
      <c r="V723" s="12">
        <f>SUMIFS(BASE!$G:$G,BASE!$B:$B,$B723,BASE!$L:$L,$G723,BASE!$J:$J,$C723,BASE!$A:$A,V$2)</f>
        <v>0</v>
      </c>
      <c r="X723" t="str">
        <f t="shared" si="23"/>
        <v>ZERADO</v>
      </c>
    </row>
    <row r="724" spans="2:24">
      <c r="B724" s="8" t="s">
        <v>1555</v>
      </c>
      <c r="C724" s="9" t="s">
        <v>106</v>
      </c>
      <c r="D724" s="9" t="s">
        <v>1461</v>
      </c>
      <c r="E724" s="9" t="s">
        <v>1416</v>
      </c>
      <c r="F724" s="9" t="s">
        <v>1535</v>
      </c>
      <c r="G724" s="9" t="s">
        <v>54</v>
      </c>
      <c r="H724" s="7" t="str">
        <f>IFERROR(IF(_xlfn.XLOOKUP(B724,REPASSE!D:D,REPASSE!D:D)="","Não","Sim"),"Não")</f>
        <v>Não</v>
      </c>
      <c r="I724" s="7" t="str">
        <f>IF(_xlfn.XLOOKUP(B724,'BOOST LIBERADO'!B:B,'BOOST LIBERADO'!B:B,"Não")="Não","Não","Sim")</f>
        <v>Sim</v>
      </c>
      <c r="J724" s="83" t="str">
        <f t="shared" si="22"/>
        <v>Sim</v>
      </c>
      <c r="K724" s="12">
        <f>SUMIFS(BASE!$G:$G,BASE!$B:$B,$B724,BASE!$L:$L,$G724,BASE!$J:$J,$C724,BASE!$A:$A,K$2)</f>
        <v>0</v>
      </c>
      <c r="L724" s="12">
        <f>SUMIFS(BASE!$G:$G,BASE!$B:$B,$B724,BASE!$L:$L,$G724,BASE!$J:$J,$C724,BASE!$A:$A,L$2)</f>
        <v>0</v>
      </c>
      <c r="M724" s="12">
        <f>SUMIFS(BASE!$G:$G,BASE!$B:$B,$B724,BASE!$L:$L,$G724,BASE!$J:$J,$C724,BASE!$A:$A,M$2)</f>
        <v>0</v>
      </c>
      <c r="N724" s="12">
        <f>SUMIFS(BASE!$G:$G,BASE!$B:$B,$B724,BASE!$L:$L,$G724,BASE!$J:$J,$C724,BASE!$A:$A,N$2)</f>
        <v>0</v>
      </c>
      <c r="O724" s="12">
        <f>SUMIFS(BASE!$G:$G,BASE!$B:$B,$B724,BASE!$L:$L,$G724,BASE!$J:$J,$C724,BASE!$A:$A,O$2)</f>
        <v>0</v>
      </c>
      <c r="P724" s="12">
        <f>SUMIFS(BASE!$G:$G,BASE!$B:$B,$B724,BASE!$L:$L,$G724,BASE!$J:$J,$C724,BASE!$A:$A,P$2)</f>
        <v>0</v>
      </c>
      <c r="Q724" s="12">
        <f>SUMIFS(BASE!$G:$G,BASE!$B:$B,$B724,BASE!$L:$L,$G724,BASE!$J:$J,$C724,BASE!$A:$A,Q$2)</f>
        <v>0</v>
      </c>
      <c r="R724" s="12">
        <f>SUMIFS(BASE!$G:$G,BASE!$B:$B,$B724,BASE!$L:$L,$G724,BASE!$J:$J,$C724,BASE!$A:$A,R$2)</f>
        <v>0</v>
      </c>
      <c r="S724" s="12">
        <f>SUMIFS(BASE!$G:$G,BASE!$B:$B,$B724,BASE!$L:$L,$G724,BASE!$J:$J,$C724,BASE!$A:$A,S$2)</f>
        <v>0</v>
      </c>
      <c r="T724" s="12">
        <f>SUMIFS(BASE!$G:$G,BASE!$B:$B,$B724,BASE!$L:$L,$G724,BASE!$J:$J,$C724,BASE!$A:$A,T$2)</f>
        <v>0</v>
      </c>
      <c r="U724" s="12">
        <f>SUMIFS(BASE!$G:$G,BASE!$B:$B,$B724,BASE!$L:$L,$G724,BASE!$J:$J,$C724,BASE!$A:$A,U$2)</f>
        <v>0</v>
      </c>
      <c r="V724" s="12">
        <f>SUMIFS(BASE!$G:$G,BASE!$B:$B,$B724,BASE!$L:$L,$G724,BASE!$J:$J,$C724,BASE!$A:$A,V$2)</f>
        <v>0</v>
      </c>
      <c r="X724" t="str">
        <f t="shared" si="23"/>
        <v>ZERADO</v>
      </c>
    </row>
    <row r="725" spans="2:24">
      <c r="B725" s="8" t="s">
        <v>1556</v>
      </c>
      <c r="C725" s="9" t="s">
        <v>132</v>
      </c>
      <c r="D725" s="9" t="s">
        <v>1453</v>
      </c>
      <c r="E725" s="9" t="s">
        <v>1412</v>
      </c>
      <c r="F725" s="9" t="s">
        <v>1557</v>
      </c>
      <c r="G725" s="9" t="s">
        <v>54</v>
      </c>
      <c r="H725" s="7" t="str">
        <f>IFERROR(IF(_xlfn.XLOOKUP(B725,REPASSE!D:D,REPASSE!D:D)="","Não","Sim"),"Não")</f>
        <v>Não</v>
      </c>
      <c r="I725" s="7" t="str">
        <f>IF(_xlfn.XLOOKUP(B725,'BOOST LIBERADO'!B:B,'BOOST LIBERADO'!B:B,"Não")="Não","Não","Sim")</f>
        <v>Sim</v>
      </c>
      <c r="J725" s="83" t="str">
        <f t="shared" si="22"/>
        <v>Sim</v>
      </c>
      <c r="K725" s="12">
        <f>SUMIFS(BASE!$G:$G,BASE!$B:$B,$B725,BASE!$L:$L,$G725,BASE!$J:$J,$C725,BASE!$A:$A,K$2)</f>
        <v>0</v>
      </c>
      <c r="L725" s="12">
        <f>SUMIFS(BASE!$G:$G,BASE!$B:$B,$B725,BASE!$L:$L,$G725,BASE!$J:$J,$C725,BASE!$A:$A,L$2)</f>
        <v>0</v>
      </c>
      <c r="M725" s="12">
        <f>SUMIFS(BASE!$G:$G,BASE!$B:$B,$B725,BASE!$L:$L,$G725,BASE!$J:$J,$C725,BASE!$A:$A,M$2)</f>
        <v>0</v>
      </c>
      <c r="N725" s="12">
        <f>SUMIFS(BASE!$G:$G,BASE!$B:$B,$B725,BASE!$L:$L,$G725,BASE!$J:$J,$C725,BASE!$A:$A,N$2)</f>
        <v>0</v>
      </c>
      <c r="O725" s="12">
        <f>SUMIFS(BASE!$G:$G,BASE!$B:$B,$B725,BASE!$L:$L,$G725,BASE!$J:$J,$C725,BASE!$A:$A,O$2)</f>
        <v>2</v>
      </c>
      <c r="P725" s="12">
        <f>SUMIFS(BASE!$G:$G,BASE!$B:$B,$B725,BASE!$L:$L,$G725,BASE!$J:$J,$C725,BASE!$A:$A,P$2)</f>
        <v>7</v>
      </c>
      <c r="Q725" s="12">
        <f>SUMIFS(BASE!$G:$G,BASE!$B:$B,$B725,BASE!$L:$L,$G725,BASE!$J:$J,$C725,BASE!$A:$A,Q$2)</f>
        <v>12</v>
      </c>
      <c r="R725" s="12">
        <f>SUMIFS(BASE!$G:$G,BASE!$B:$B,$B725,BASE!$L:$L,$G725,BASE!$J:$J,$C725,BASE!$A:$A,R$2)</f>
        <v>0</v>
      </c>
      <c r="S725" s="12">
        <f>SUMIFS(BASE!$G:$G,BASE!$B:$B,$B725,BASE!$L:$L,$G725,BASE!$J:$J,$C725,BASE!$A:$A,S$2)</f>
        <v>0</v>
      </c>
      <c r="T725" s="12">
        <f>SUMIFS(BASE!$G:$G,BASE!$B:$B,$B725,BASE!$L:$L,$G725,BASE!$J:$J,$C725,BASE!$A:$A,T$2)</f>
        <v>0</v>
      </c>
      <c r="U725" s="12">
        <f>SUMIFS(BASE!$G:$G,BASE!$B:$B,$B725,BASE!$L:$L,$G725,BASE!$J:$J,$C725,BASE!$A:$A,U$2)</f>
        <v>0</v>
      </c>
      <c r="V725" s="12">
        <f>SUMIFS(BASE!$G:$G,BASE!$B:$B,$B725,BASE!$L:$L,$G725,BASE!$J:$J,$C725,BASE!$A:$A,V$2)</f>
        <v>0</v>
      </c>
      <c r="X725" t="str">
        <f t="shared" si="23"/>
        <v>ZERADO</v>
      </c>
    </row>
    <row r="726" spans="2:24">
      <c r="B726" s="8" t="s">
        <v>1558</v>
      </c>
      <c r="C726" s="9" t="s">
        <v>219</v>
      </c>
      <c r="D726" s="9" t="s">
        <v>1450</v>
      </c>
      <c r="E726" s="9" t="s">
        <v>1412</v>
      </c>
      <c r="F726" s="9" t="s">
        <v>1559</v>
      </c>
      <c r="G726" s="9" t="s">
        <v>54</v>
      </c>
      <c r="H726" s="7" t="str">
        <f>IFERROR(IF(_xlfn.XLOOKUP(B726,REPASSE!D:D,REPASSE!D:D)="","Não","Sim"),"Não")</f>
        <v>Não</v>
      </c>
      <c r="I726" s="7" t="str">
        <f>IF(_xlfn.XLOOKUP(B726,'BOOST LIBERADO'!B:B,'BOOST LIBERADO'!B:B,"Não")="Não","Não","Sim")</f>
        <v>Sim</v>
      </c>
      <c r="J726" s="83" t="str">
        <f t="shared" si="22"/>
        <v>Sim</v>
      </c>
      <c r="K726" s="12">
        <f>SUMIFS(BASE!$G:$G,BASE!$B:$B,$B726,BASE!$L:$L,$G726,BASE!$J:$J,$C726,BASE!$A:$A,K$2)</f>
        <v>1</v>
      </c>
      <c r="L726" s="12">
        <f>SUMIFS(BASE!$G:$G,BASE!$B:$B,$B726,BASE!$L:$L,$G726,BASE!$J:$J,$C726,BASE!$A:$A,L$2)</f>
        <v>0</v>
      </c>
      <c r="M726" s="12">
        <f>SUMIFS(BASE!$G:$G,BASE!$B:$B,$B726,BASE!$L:$L,$G726,BASE!$J:$J,$C726,BASE!$A:$A,M$2)</f>
        <v>2</v>
      </c>
      <c r="N726" s="12">
        <f>SUMIFS(BASE!$G:$G,BASE!$B:$B,$B726,BASE!$L:$L,$G726,BASE!$J:$J,$C726,BASE!$A:$A,N$2)</f>
        <v>2</v>
      </c>
      <c r="O726" s="12">
        <f>SUMIFS(BASE!$G:$G,BASE!$B:$B,$B726,BASE!$L:$L,$G726,BASE!$J:$J,$C726,BASE!$A:$A,O$2)</f>
        <v>4</v>
      </c>
      <c r="P726" s="12">
        <f>SUMIFS(BASE!$G:$G,BASE!$B:$B,$B726,BASE!$L:$L,$G726,BASE!$J:$J,$C726,BASE!$A:$A,P$2)</f>
        <v>0</v>
      </c>
      <c r="Q726" s="12">
        <f>SUMIFS(BASE!$G:$G,BASE!$B:$B,$B726,BASE!$L:$L,$G726,BASE!$J:$J,$C726,BASE!$A:$A,Q$2)</f>
        <v>1</v>
      </c>
      <c r="R726" s="12">
        <f>SUMIFS(BASE!$G:$G,BASE!$B:$B,$B726,BASE!$L:$L,$G726,BASE!$J:$J,$C726,BASE!$A:$A,R$2)</f>
        <v>1</v>
      </c>
      <c r="S726" s="12">
        <f>SUMIFS(BASE!$G:$G,BASE!$B:$B,$B726,BASE!$L:$L,$G726,BASE!$J:$J,$C726,BASE!$A:$A,S$2)</f>
        <v>0</v>
      </c>
      <c r="T726" s="12">
        <f>SUMIFS(BASE!$G:$G,BASE!$B:$B,$B726,BASE!$L:$L,$G726,BASE!$J:$J,$C726,BASE!$A:$A,T$2)</f>
        <v>0</v>
      </c>
      <c r="U726" s="12">
        <f>SUMIFS(BASE!$G:$G,BASE!$B:$B,$B726,BASE!$L:$L,$G726,BASE!$J:$J,$C726,BASE!$A:$A,U$2)</f>
        <v>0</v>
      </c>
      <c r="V726" s="12">
        <f>SUMIFS(BASE!$G:$G,BASE!$B:$B,$B726,BASE!$L:$L,$G726,BASE!$J:$J,$C726,BASE!$A:$A,V$2)</f>
        <v>0</v>
      </c>
      <c r="X726" t="str">
        <f t="shared" si="23"/>
        <v>COM TROCAS</v>
      </c>
    </row>
    <row r="727" spans="2:24">
      <c r="B727" s="8" t="s">
        <v>1560</v>
      </c>
      <c r="C727" s="9" t="s">
        <v>232</v>
      </c>
      <c r="D727" s="9" t="s">
        <v>1428</v>
      </c>
      <c r="E727" s="9" t="s">
        <v>1412</v>
      </c>
      <c r="F727" s="9" t="s">
        <v>1561</v>
      </c>
      <c r="G727" s="9" t="s">
        <v>54</v>
      </c>
      <c r="H727" s="7" t="str">
        <f>IFERROR(IF(_xlfn.XLOOKUP(B727,REPASSE!D:D,REPASSE!D:D)="","Não","Sim"),"Não")</f>
        <v>Não</v>
      </c>
      <c r="I727" s="7" t="str">
        <f>IF(_xlfn.XLOOKUP(B727,'BOOST LIBERADO'!B:B,'BOOST LIBERADO'!B:B,"Não")="Não","Não","Sim")</f>
        <v>Sim</v>
      </c>
      <c r="J727" s="83" t="str">
        <f t="shared" si="22"/>
        <v>Sim</v>
      </c>
      <c r="K727" s="12">
        <f>SUMIFS(BASE!$G:$G,BASE!$B:$B,$B727,BASE!$L:$L,$G727,BASE!$J:$J,$C727,BASE!$A:$A,K$2)</f>
        <v>4</v>
      </c>
      <c r="L727" s="12">
        <f>SUMIFS(BASE!$G:$G,BASE!$B:$B,$B727,BASE!$L:$L,$G727,BASE!$J:$J,$C727,BASE!$A:$A,L$2)</f>
        <v>8</v>
      </c>
      <c r="M727" s="12">
        <f>SUMIFS(BASE!$G:$G,BASE!$B:$B,$B727,BASE!$L:$L,$G727,BASE!$J:$J,$C727,BASE!$A:$A,M$2)</f>
        <v>17</v>
      </c>
      <c r="N727" s="12">
        <f>SUMIFS(BASE!$G:$G,BASE!$B:$B,$B727,BASE!$L:$L,$G727,BASE!$J:$J,$C727,BASE!$A:$A,N$2)</f>
        <v>17</v>
      </c>
      <c r="O727" s="12">
        <f>SUMIFS(BASE!$G:$G,BASE!$B:$B,$B727,BASE!$L:$L,$G727,BASE!$J:$J,$C727,BASE!$A:$A,O$2)</f>
        <v>13</v>
      </c>
      <c r="P727" s="12">
        <f>SUMIFS(BASE!$G:$G,BASE!$B:$B,$B727,BASE!$L:$L,$G727,BASE!$J:$J,$C727,BASE!$A:$A,P$2)</f>
        <v>17</v>
      </c>
      <c r="Q727" s="12">
        <f>SUMIFS(BASE!$G:$G,BASE!$B:$B,$B727,BASE!$L:$L,$G727,BASE!$J:$J,$C727,BASE!$A:$A,Q$2)</f>
        <v>19</v>
      </c>
      <c r="R727" s="12">
        <f>SUMIFS(BASE!$G:$G,BASE!$B:$B,$B727,BASE!$L:$L,$G727,BASE!$J:$J,$C727,BASE!$A:$A,R$2)</f>
        <v>20</v>
      </c>
      <c r="S727" s="12">
        <f>SUMIFS(BASE!$G:$G,BASE!$B:$B,$B727,BASE!$L:$L,$G727,BASE!$J:$J,$C727,BASE!$A:$A,S$2)</f>
        <v>0</v>
      </c>
      <c r="T727" s="12">
        <f>SUMIFS(BASE!$G:$G,BASE!$B:$B,$B727,BASE!$L:$L,$G727,BASE!$J:$J,$C727,BASE!$A:$A,T$2)</f>
        <v>0</v>
      </c>
      <c r="U727" s="12">
        <f>SUMIFS(BASE!$G:$G,BASE!$B:$B,$B727,BASE!$L:$L,$G727,BASE!$J:$J,$C727,BASE!$A:$A,U$2)</f>
        <v>0</v>
      </c>
      <c r="V727" s="12">
        <f>SUMIFS(BASE!$G:$G,BASE!$B:$B,$B727,BASE!$L:$L,$G727,BASE!$J:$J,$C727,BASE!$A:$A,V$2)</f>
        <v>0</v>
      </c>
      <c r="X727" t="str">
        <f t="shared" si="23"/>
        <v>COM TROCAS</v>
      </c>
    </row>
    <row r="728" spans="2:24">
      <c r="B728" s="8" t="s">
        <v>1562</v>
      </c>
      <c r="C728" s="9" t="s">
        <v>106</v>
      </c>
      <c r="D728" s="9" t="s">
        <v>1422</v>
      </c>
      <c r="E728" s="9" t="s">
        <v>1423</v>
      </c>
      <c r="F728" s="9" t="s">
        <v>1563</v>
      </c>
      <c r="G728" s="9" t="s">
        <v>54</v>
      </c>
      <c r="H728" s="7" t="str">
        <f>IFERROR(IF(_xlfn.XLOOKUP(B728,REPASSE!D:D,REPASSE!D:D)="","Não","Sim"),"Não")</f>
        <v>Não</v>
      </c>
      <c r="I728" s="7" t="str">
        <f>IF(_xlfn.XLOOKUP(B728,'BOOST LIBERADO'!B:B,'BOOST LIBERADO'!B:B,"Não")="Não","Não","Sim")</f>
        <v>Sim</v>
      </c>
      <c r="J728" s="83" t="str">
        <f t="shared" si="22"/>
        <v>Sim</v>
      </c>
      <c r="K728" s="12">
        <f>SUMIFS(BASE!$G:$G,BASE!$B:$B,$B728,BASE!$L:$L,$G728,BASE!$J:$J,$C728,BASE!$A:$A,K$2)</f>
        <v>0</v>
      </c>
      <c r="L728" s="12">
        <f>SUMIFS(BASE!$G:$G,BASE!$B:$B,$B728,BASE!$L:$L,$G728,BASE!$J:$J,$C728,BASE!$A:$A,L$2)</f>
        <v>0</v>
      </c>
      <c r="M728" s="12">
        <f>SUMIFS(BASE!$G:$G,BASE!$B:$B,$B728,BASE!$L:$L,$G728,BASE!$J:$J,$C728,BASE!$A:$A,M$2)</f>
        <v>0</v>
      </c>
      <c r="N728" s="12">
        <f>SUMIFS(BASE!$G:$G,BASE!$B:$B,$B728,BASE!$L:$L,$G728,BASE!$J:$J,$C728,BASE!$A:$A,N$2)</f>
        <v>0</v>
      </c>
      <c r="O728" s="12">
        <f>SUMIFS(BASE!$G:$G,BASE!$B:$B,$B728,BASE!$L:$L,$G728,BASE!$J:$J,$C728,BASE!$A:$A,O$2)</f>
        <v>0</v>
      </c>
      <c r="P728" s="12">
        <f>SUMIFS(BASE!$G:$G,BASE!$B:$B,$B728,BASE!$L:$L,$G728,BASE!$J:$J,$C728,BASE!$A:$A,P$2)</f>
        <v>0</v>
      </c>
      <c r="Q728" s="12">
        <f>SUMIFS(BASE!$G:$G,BASE!$B:$B,$B728,BASE!$L:$L,$G728,BASE!$J:$J,$C728,BASE!$A:$A,Q$2)</f>
        <v>0</v>
      </c>
      <c r="R728" s="12">
        <f>SUMIFS(BASE!$G:$G,BASE!$B:$B,$B728,BASE!$L:$L,$G728,BASE!$J:$J,$C728,BASE!$A:$A,R$2)</f>
        <v>0</v>
      </c>
      <c r="S728" s="12">
        <f>SUMIFS(BASE!$G:$G,BASE!$B:$B,$B728,BASE!$L:$L,$G728,BASE!$J:$J,$C728,BASE!$A:$A,S$2)</f>
        <v>0</v>
      </c>
      <c r="T728" s="12">
        <f>SUMIFS(BASE!$G:$G,BASE!$B:$B,$B728,BASE!$L:$L,$G728,BASE!$J:$J,$C728,BASE!$A:$A,T$2)</f>
        <v>0</v>
      </c>
      <c r="U728" s="12">
        <f>SUMIFS(BASE!$G:$G,BASE!$B:$B,$B728,BASE!$L:$L,$G728,BASE!$J:$J,$C728,BASE!$A:$A,U$2)</f>
        <v>0</v>
      </c>
      <c r="V728" s="12">
        <f>SUMIFS(BASE!$G:$G,BASE!$B:$B,$B728,BASE!$L:$L,$G728,BASE!$J:$J,$C728,BASE!$A:$A,V$2)</f>
        <v>0</v>
      </c>
      <c r="X728" t="str">
        <f t="shared" si="23"/>
        <v>ZERADO</v>
      </c>
    </row>
    <row r="729" spans="2:24">
      <c r="B729" s="8" t="s">
        <v>1564</v>
      </c>
      <c r="C729" s="9" t="s">
        <v>232</v>
      </c>
      <c r="D729" s="9" t="s">
        <v>1565</v>
      </c>
      <c r="E729" s="9" t="s">
        <v>1438</v>
      </c>
      <c r="F729" s="9" t="s">
        <v>1566</v>
      </c>
      <c r="G729" s="9" t="s">
        <v>54</v>
      </c>
      <c r="H729" s="7" t="str">
        <f>IFERROR(IF(_xlfn.XLOOKUP(B729,REPASSE!D:D,REPASSE!D:D)="","Não","Sim"),"Não")</f>
        <v>Não</v>
      </c>
      <c r="I729" s="7" t="str">
        <f>IF(_xlfn.XLOOKUP(B729,'BOOST LIBERADO'!B:B,'BOOST LIBERADO'!B:B,"Não")="Não","Não","Sim")</f>
        <v>Sim</v>
      </c>
      <c r="J729" s="83" t="str">
        <f t="shared" si="22"/>
        <v>Sim</v>
      </c>
      <c r="K729" s="12">
        <f>SUMIFS(BASE!$G:$G,BASE!$B:$B,$B729,BASE!$L:$L,$G729,BASE!$J:$J,$C729,BASE!$A:$A,K$2)</f>
        <v>11</v>
      </c>
      <c r="L729" s="12">
        <f>SUMIFS(BASE!$G:$G,BASE!$B:$B,$B729,BASE!$L:$L,$G729,BASE!$J:$J,$C729,BASE!$A:$A,L$2)</f>
        <v>7</v>
      </c>
      <c r="M729" s="12">
        <f>SUMIFS(BASE!$G:$G,BASE!$B:$B,$B729,BASE!$L:$L,$G729,BASE!$J:$J,$C729,BASE!$A:$A,M$2)</f>
        <v>21</v>
      </c>
      <c r="N729" s="12">
        <f>SUMIFS(BASE!$G:$G,BASE!$B:$B,$B729,BASE!$L:$L,$G729,BASE!$J:$J,$C729,BASE!$A:$A,N$2)</f>
        <v>13</v>
      </c>
      <c r="O729" s="12">
        <f>SUMIFS(BASE!$G:$G,BASE!$B:$B,$B729,BASE!$L:$L,$G729,BASE!$J:$J,$C729,BASE!$A:$A,O$2)</f>
        <v>9</v>
      </c>
      <c r="P729" s="12">
        <f>SUMIFS(BASE!$G:$G,BASE!$B:$B,$B729,BASE!$L:$L,$G729,BASE!$J:$J,$C729,BASE!$A:$A,P$2)</f>
        <v>13</v>
      </c>
      <c r="Q729" s="12">
        <f>SUMIFS(BASE!$G:$G,BASE!$B:$B,$B729,BASE!$L:$L,$G729,BASE!$J:$J,$C729,BASE!$A:$A,Q$2)</f>
        <v>16</v>
      </c>
      <c r="R729" s="12">
        <f>SUMIFS(BASE!$G:$G,BASE!$B:$B,$B729,BASE!$L:$L,$G729,BASE!$J:$J,$C729,BASE!$A:$A,R$2)</f>
        <v>28</v>
      </c>
      <c r="S729" s="12">
        <f>SUMIFS(BASE!$G:$G,BASE!$B:$B,$B729,BASE!$L:$L,$G729,BASE!$J:$J,$C729,BASE!$A:$A,S$2)</f>
        <v>0</v>
      </c>
      <c r="T729" s="12">
        <f>SUMIFS(BASE!$G:$G,BASE!$B:$B,$B729,BASE!$L:$L,$G729,BASE!$J:$J,$C729,BASE!$A:$A,T$2)</f>
        <v>0</v>
      </c>
      <c r="U729" s="12">
        <f>SUMIFS(BASE!$G:$G,BASE!$B:$B,$B729,BASE!$L:$L,$G729,BASE!$J:$J,$C729,BASE!$A:$A,U$2)</f>
        <v>0</v>
      </c>
      <c r="V729" s="12">
        <f>SUMIFS(BASE!$G:$G,BASE!$B:$B,$B729,BASE!$L:$L,$G729,BASE!$J:$J,$C729,BASE!$A:$A,V$2)</f>
        <v>0</v>
      </c>
      <c r="X729" t="str">
        <f t="shared" si="23"/>
        <v>COM TROCAS</v>
      </c>
    </row>
    <row r="730" spans="2:24">
      <c r="B730" s="8" t="s">
        <v>1567</v>
      </c>
      <c r="C730" s="9" t="s">
        <v>119</v>
      </c>
      <c r="D730" s="9" t="s">
        <v>1431</v>
      </c>
      <c r="E730" s="9" t="s">
        <v>1412</v>
      </c>
      <c r="F730" s="9" t="s">
        <v>1568</v>
      </c>
      <c r="G730" s="9" t="s">
        <v>54</v>
      </c>
      <c r="H730" s="7" t="str">
        <f>IFERROR(IF(_xlfn.XLOOKUP(B730,REPASSE!D:D,REPASSE!D:D)="","Não","Sim"),"Não")</f>
        <v>Não</v>
      </c>
      <c r="I730" s="7" t="str">
        <f>IF(_xlfn.XLOOKUP(B730,'BOOST LIBERADO'!B:B,'BOOST LIBERADO'!B:B,"Não")="Não","Não","Sim")</f>
        <v>Sim</v>
      </c>
      <c r="J730" s="83" t="str">
        <f t="shared" si="22"/>
        <v>Sim</v>
      </c>
      <c r="K730" s="12">
        <f>SUMIFS(BASE!$G:$G,BASE!$B:$B,$B730,BASE!$L:$L,$G730,BASE!$J:$J,$C730,BASE!$A:$A,K$2)</f>
        <v>0</v>
      </c>
      <c r="L730" s="12">
        <f>SUMIFS(BASE!$G:$G,BASE!$B:$B,$B730,BASE!$L:$L,$G730,BASE!$J:$J,$C730,BASE!$A:$A,L$2)</f>
        <v>0</v>
      </c>
      <c r="M730" s="12">
        <f>SUMIFS(BASE!$G:$G,BASE!$B:$B,$B730,BASE!$L:$L,$G730,BASE!$J:$J,$C730,BASE!$A:$A,M$2)</f>
        <v>0</v>
      </c>
      <c r="N730" s="12">
        <f>SUMIFS(BASE!$G:$G,BASE!$B:$B,$B730,BASE!$L:$L,$G730,BASE!$J:$J,$C730,BASE!$A:$A,N$2)</f>
        <v>0</v>
      </c>
      <c r="O730" s="12">
        <f>SUMIFS(BASE!$G:$G,BASE!$B:$B,$B730,BASE!$L:$L,$G730,BASE!$J:$J,$C730,BASE!$A:$A,O$2)</f>
        <v>0</v>
      </c>
      <c r="P730" s="12">
        <f>SUMIFS(BASE!$G:$G,BASE!$B:$B,$B730,BASE!$L:$L,$G730,BASE!$J:$J,$C730,BASE!$A:$A,P$2)</f>
        <v>0</v>
      </c>
      <c r="Q730" s="12">
        <f>SUMIFS(BASE!$G:$G,BASE!$B:$B,$B730,BASE!$L:$L,$G730,BASE!$J:$J,$C730,BASE!$A:$A,Q$2)</f>
        <v>1</v>
      </c>
      <c r="R730" s="12">
        <f>SUMIFS(BASE!$G:$G,BASE!$B:$B,$B730,BASE!$L:$L,$G730,BASE!$J:$J,$C730,BASE!$A:$A,R$2)</f>
        <v>1</v>
      </c>
      <c r="S730" s="12">
        <f>SUMIFS(BASE!$G:$G,BASE!$B:$B,$B730,BASE!$L:$L,$G730,BASE!$J:$J,$C730,BASE!$A:$A,S$2)</f>
        <v>0</v>
      </c>
      <c r="T730" s="12">
        <f>SUMIFS(BASE!$G:$G,BASE!$B:$B,$B730,BASE!$L:$L,$G730,BASE!$J:$J,$C730,BASE!$A:$A,T$2)</f>
        <v>0</v>
      </c>
      <c r="U730" s="12">
        <f>SUMIFS(BASE!$G:$G,BASE!$B:$B,$B730,BASE!$L:$L,$G730,BASE!$J:$J,$C730,BASE!$A:$A,U$2)</f>
        <v>0</v>
      </c>
      <c r="V730" s="12">
        <f>SUMIFS(BASE!$G:$G,BASE!$B:$B,$B730,BASE!$L:$L,$G730,BASE!$J:$J,$C730,BASE!$A:$A,V$2)</f>
        <v>0</v>
      </c>
      <c r="X730" t="str">
        <f t="shared" si="23"/>
        <v>COM TROCAS</v>
      </c>
    </row>
    <row r="731" spans="2:24">
      <c r="B731" s="8" t="s">
        <v>1569</v>
      </c>
      <c r="C731" s="9" t="s">
        <v>132</v>
      </c>
      <c r="D731" s="9" t="s">
        <v>1428</v>
      </c>
      <c r="E731" s="9" t="s">
        <v>1412</v>
      </c>
      <c r="F731" s="9" t="s">
        <v>1570</v>
      </c>
      <c r="G731" s="9" t="s">
        <v>54</v>
      </c>
      <c r="H731" s="7" t="str">
        <f>IFERROR(IF(_xlfn.XLOOKUP(B731,REPASSE!D:D,REPASSE!D:D)="","Não","Sim"),"Não")</f>
        <v>Não</v>
      </c>
      <c r="I731" s="7" t="str">
        <f>IF(_xlfn.XLOOKUP(B731,'BOOST LIBERADO'!B:B,'BOOST LIBERADO'!B:B,"Não")="Não","Não","Sim")</f>
        <v>Sim</v>
      </c>
      <c r="J731" s="83" t="str">
        <f t="shared" si="22"/>
        <v>Sim</v>
      </c>
      <c r="K731" s="12">
        <f>SUMIFS(BASE!$G:$G,BASE!$B:$B,$B731,BASE!$L:$L,$G731,BASE!$J:$J,$C731,BASE!$A:$A,K$2)</f>
        <v>0</v>
      </c>
      <c r="L731" s="12">
        <f>SUMIFS(BASE!$G:$G,BASE!$B:$B,$B731,BASE!$L:$L,$G731,BASE!$J:$J,$C731,BASE!$A:$A,L$2)</f>
        <v>0</v>
      </c>
      <c r="M731" s="12">
        <f>SUMIFS(BASE!$G:$G,BASE!$B:$B,$B731,BASE!$L:$L,$G731,BASE!$J:$J,$C731,BASE!$A:$A,M$2)</f>
        <v>0</v>
      </c>
      <c r="N731" s="12">
        <f>SUMIFS(BASE!$G:$G,BASE!$B:$B,$B731,BASE!$L:$L,$G731,BASE!$J:$J,$C731,BASE!$A:$A,N$2)</f>
        <v>0</v>
      </c>
      <c r="O731" s="12">
        <f>SUMIFS(BASE!$G:$G,BASE!$B:$B,$B731,BASE!$L:$L,$G731,BASE!$J:$J,$C731,BASE!$A:$A,O$2)</f>
        <v>0</v>
      </c>
      <c r="P731" s="12">
        <f>SUMIFS(BASE!$G:$G,BASE!$B:$B,$B731,BASE!$L:$L,$G731,BASE!$J:$J,$C731,BASE!$A:$A,P$2)</f>
        <v>1</v>
      </c>
      <c r="Q731" s="12">
        <f>SUMIFS(BASE!$G:$G,BASE!$B:$B,$B731,BASE!$L:$L,$G731,BASE!$J:$J,$C731,BASE!$A:$A,Q$2)</f>
        <v>0</v>
      </c>
      <c r="R731" s="12">
        <f>SUMIFS(BASE!$G:$G,BASE!$B:$B,$B731,BASE!$L:$L,$G731,BASE!$J:$J,$C731,BASE!$A:$A,R$2)</f>
        <v>0</v>
      </c>
      <c r="S731" s="12">
        <f>SUMIFS(BASE!$G:$G,BASE!$B:$B,$B731,BASE!$L:$L,$G731,BASE!$J:$J,$C731,BASE!$A:$A,S$2)</f>
        <v>0</v>
      </c>
      <c r="T731" s="12">
        <f>SUMIFS(BASE!$G:$G,BASE!$B:$B,$B731,BASE!$L:$L,$G731,BASE!$J:$J,$C731,BASE!$A:$A,T$2)</f>
        <v>0</v>
      </c>
      <c r="U731" s="12">
        <f>SUMIFS(BASE!$G:$G,BASE!$B:$B,$B731,BASE!$L:$L,$G731,BASE!$J:$J,$C731,BASE!$A:$A,U$2)</f>
        <v>0</v>
      </c>
      <c r="V731" s="12">
        <f>SUMIFS(BASE!$G:$G,BASE!$B:$B,$B731,BASE!$L:$L,$G731,BASE!$J:$J,$C731,BASE!$A:$A,V$2)</f>
        <v>0</v>
      </c>
      <c r="X731" t="str">
        <f t="shared" si="23"/>
        <v>ZERADO</v>
      </c>
    </row>
    <row r="732" spans="2:24">
      <c r="B732" s="8" t="s">
        <v>1571</v>
      </c>
      <c r="C732" s="9" t="s">
        <v>232</v>
      </c>
      <c r="D732" s="9" t="s">
        <v>1471</v>
      </c>
      <c r="E732" s="9" t="s">
        <v>1416</v>
      </c>
      <c r="F732" s="9" t="s">
        <v>1535</v>
      </c>
      <c r="G732" s="9" t="s">
        <v>54</v>
      </c>
      <c r="H732" s="7" t="str">
        <f>IFERROR(IF(_xlfn.XLOOKUP(B732,REPASSE!D:D,REPASSE!D:D)="","Não","Sim"),"Não")</f>
        <v>Não</v>
      </c>
      <c r="I732" s="7" t="str">
        <f>IF(_xlfn.XLOOKUP(B732,'BOOST LIBERADO'!B:B,'BOOST LIBERADO'!B:B,"Não")="Não","Não","Sim")</f>
        <v>Sim</v>
      </c>
      <c r="J732" s="83" t="str">
        <f t="shared" si="22"/>
        <v>Sim</v>
      </c>
      <c r="K732" s="12">
        <f>SUMIFS(BASE!$G:$G,BASE!$B:$B,$B732,BASE!$L:$L,$G732,BASE!$J:$J,$C732,BASE!$A:$A,K$2)</f>
        <v>29</v>
      </c>
      <c r="L732" s="12">
        <f>SUMIFS(BASE!$G:$G,BASE!$B:$B,$B732,BASE!$L:$L,$G732,BASE!$J:$J,$C732,BASE!$A:$A,L$2)</f>
        <v>19</v>
      </c>
      <c r="M732" s="12">
        <f>SUMIFS(BASE!$G:$G,BASE!$B:$B,$B732,BASE!$L:$L,$G732,BASE!$J:$J,$C732,BASE!$A:$A,M$2)</f>
        <v>41</v>
      </c>
      <c r="N732" s="12">
        <f>SUMIFS(BASE!$G:$G,BASE!$B:$B,$B732,BASE!$L:$L,$G732,BASE!$J:$J,$C732,BASE!$A:$A,N$2)</f>
        <v>27</v>
      </c>
      <c r="O732" s="12">
        <f>SUMIFS(BASE!$G:$G,BASE!$B:$B,$B732,BASE!$L:$L,$G732,BASE!$J:$J,$C732,BASE!$A:$A,O$2)</f>
        <v>68</v>
      </c>
      <c r="P732" s="12">
        <f>SUMIFS(BASE!$G:$G,BASE!$B:$B,$B732,BASE!$L:$L,$G732,BASE!$J:$J,$C732,BASE!$A:$A,P$2)</f>
        <v>36</v>
      </c>
      <c r="Q732" s="12">
        <f>SUMIFS(BASE!$G:$G,BASE!$B:$B,$B732,BASE!$L:$L,$G732,BASE!$J:$J,$C732,BASE!$A:$A,Q$2)</f>
        <v>54</v>
      </c>
      <c r="R732" s="12">
        <f>SUMIFS(BASE!$G:$G,BASE!$B:$B,$B732,BASE!$L:$L,$G732,BASE!$J:$J,$C732,BASE!$A:$A,R$2)</f>
        <v>35</v>
      </c>
      <c r="S732" s="12">
        <f>SUMIFS(BASE!$G:$G,BASE!$B:$B,$B732,BASE!$L:$L,$G732,BASE!$J:$J,$C732,BASE!$A:$A,S$2)</f>
        <v>0</v>
      </c>
      <c r="T732" s="12">
        <f>SUMIFS(BASE!$G:$G,BASE!$B:$B,$B732,BASE!$L:$L,$G732,BASE!$J:$J,$C732,BASE!$A:$A,T$2)</f>
        <v>0</v>
      </c>
      <c r="U732" s="12">
        <f>SUMIFS(BASE!$G:$G,BASE!$B:$B,$B732,BASE!$L:$L,$G732,BASE!$J:$J,$C732,BASE!$A:$A,U$2)</f>
        <v>0</v>
      </c>
      <c r="V732" s="12">
        <f>SUMIFS(BASE!$G:$G,BASE!$B:$B,$B732,BASE!$L:$L,$G732,BASE!$J:$J,$C732,BASE!$A:$A,V$2)</f>
        <v>0</v>
      </c>
      <c r="X732" t="str">
        <f t="shared" si="23"/>
        <v>COM TROCAS</v>
      </c>
    </row>
    <row r="733" spans="2:24">
      <c r="B733" s="8" t="s">
        <v>1572</v>
      </c>
      <c r="C733" s="9" t="s">
        <v>106</v>
      </c>
      <c r="D733" s="9" t="s">
        <v>1461</v>
      </c>
      <c r="E733" s="9" t="s">
        <v>1416</v>
      </c>
      <c r="F733" s="9" t="s">
        <v>1535</v>
      </c>
      <c r="G733" s="9" t="s">
        <v>54</v>
      </c>
      <c r="H733" s="7" t="str">
        <f>IFERROR(IF(_xlfn.XLOOKUP(B733,REPASSE!D:D,REPASSE!D:D)="","Não","Sim"),"Não")</f>
        <v>Não</v>
      </c>
      <c r="I733" s="7" t="str">
        <f>IF(_xlfn.XLOOKUP(B733,'BOOST LIBERADO'!B:B,'BOOST LIBERADO'!B:B,"Não")="Não","Não","Sim")</f>
        <v>Sim</v>
      </c>
      <c r="J733" s="83" t="str">
        <f t="shared" si="22"/>
        <v>Sim</v>
      </c>
      <c r="K733" s="12">
        <f>SUMIFS(BASE!$G:$G,BASE!$B:$B,$B733,BASE!$L:$L,$G733,BASE!$J:$J,$C733,BASE!$A:$A,K$2)</f>
        <v>0</v>
      </c>
      <c r="L733" s="12">
        <f>SUMIFS(BASE!$G:$G,BASE!$B:$B,$B733,BASE!$L:$L,$G733,BASE!$J:$J,$C733,BASE!$A:$A,L$2)</f>
        <v>0</v>
      </c>
      <c r="M733" s="12">
        <f>SUMIFS(BASE!$G:$G,BASE!$B:$B,$B733,BASE!$L:$L,$G733,BASE!$J:$J,$C733,BASE!$A:$A,M$2)</f>
        <v>1</v>
      </c>
      <c r="N733" s="12">
        <f>SUMIFS(BASE!$G:$G,BASE!$B:$B,$B733,BASE!$L:$L,$G733,BASE!$J:$J,$C733,BASE!$A:$A,N$2)</f>
        <v>1</v>
      </c>
      <c r="O733" s="12">
        <f>SUMIFS(BASE!$G:$G,BASE!$B:$B,$B733,BASE!$L:$L,$G733,BASE!$J:$J,$C733,BASE!$A:$A,O$2)</f>
        <v>6</v>
      </c>
      <c r="P733" s="12">
        <f>SUMIFS(BASE!$G:$G,BASE!$B:$B,$B733,BASE!$L:$L,$G733,BASE!$J:$J,$C733,BASE!$A:$A,P$2)</f>
        <v>4</v>
      </c>
      <c r="Q733" s="12">
        <f>SUMIFS(BASE!$G:$G,BASE!$B:$B,$B733,BASE!$L:$L,$G733,BASE!$J:$J,$C733,BASE!$A:$A,Q$2)</f>
        <v>0</v>
      </c>
      <c r="R733" s="12">
        <f>SUMIFS(BASE!$G:$G,BASE!$B:$B,$B733,BASE!$L:$L,$G733,BASE!$J:$J,$C733,BASE!$A:$A,R$2)</f>
        <v>9</v>
      </c>
      <c r="S733" s="12">
        <f>SUMIFS(BASE!$G:$G,BASE!$B:$B,$B733,BASE!$L:$L,$G733,BASE!$J:$J,$C733,BASE!$A:$A,S$2)</f>
        <v>0</v>
      </c>
      <c r="T733" s="12">
        <f>SUMIFS(BASE!$G:$G,BASE!$B:$B,$B733,BASE!$L:$L,$G733,BASE!$J:$J,$C733,BASE!$A:$A,T$2)</f>
        <v>0</v>
      </c>
      <c r="U733" s="12">
        <f>SUMIFS(BASE!$G:$G,BASE!$B:$B,$B733,BASE!$L:$L,$G733,BASE!$J:$J,$C733,BASE!$A:$A,U$2)</f>
        <v>0</v>
      </c>
      <c r="V733" s="12">
        <f>SUMIFS(BASE!$G:$G,BASE!$B:$B,$B733,BASE!$L:$L,$G733,BASE!$J:$J,$C733,BASE!$A:$A,V$2)</f>
        <v>0</v>
      </c>
      <c r="X733" t="str">
        <f t="shared" si="23"/>
        <v>COM TROCAS</v>
      </c>
    </row>
    <row r="734" spans="2:24">
      <c r="B734" s="8" t="s">
        <v>1573</v>
      </c>
      <c r="C734" s="9" t="s">
        <v>132</v>
      </c>
      <c r="D734" s="9" t="s">
        <v>1450</v>
      </c>
      <c r="E734" s="9" t="s">
        <v>1412</v>
      </c>
      <c r="F734" s="9" t="s">
        <v>1464</v>
      </c>
      <c r="G734" s="9" t="s">
        <v>54</v>
      </c>
      <c r="H734" s="7" t="str">
        <f>IFERROR(IF(_xlfn.XLOOKUP(B734,REPASSE!D:D,REPASSE!D:D)="","Não","Sim"),"Não")</f>
        <v>Não</v>
      </c>
      <c r="I734" s="7" t="str">
        <f>IF(_xlfn.XLOOKUP(B734,'BOOST LIBERADO'!B:B,'BOOST LIBERADO'!B:B,"Não")="Não","Não","Sim")</f>
        <v>Sim</v>
      </c>
      <c r="J734" s="83" t="str">
        <f t="shared" si="22"/>
        <v>Sim</v>
      </c>
      <c r="K734" s="12">
        <f>SUMIFS(BASE!$G:$G,BASE!$B:$B,$B734,BASE!$L:$L,$G734,BASE!$J:$J,$C734,BASE!$A:$A,K$2)</f>
        <v>0</v>
      </c>
      <c r="L734" s="12">
        <f>SUMIFS(BASE!$G:$G,BASE!$B:$B,$B734,BASE!$L:$L,$G734,BASE!$J:$J,$C734,BASE!$A:$A,L$2)</f>
        <v>2</v>
      </c>
      <c r="M734" s="12">
        <f>SUMIFS(BASE!$G:$G,BASE!$B:$B,$B734,BASE!$L:$L,$G734,BASE!$J:$J,$C734,BASE!$A:$A,M$2)</f>
        <v>0</v>
      </c>
      <c r="N734" s="12">
        <f>SUMIFS(BASE!$G:$G,BASE!$B:$B,$B734,BASE!$L:$L,$G734,BASE!$J:$J,$C734,BASE!$A:$A,N$2)</f>
        <v>0</v>
      </c>
      <c r="O734" s="12">
        <f>SUMIFS(BASE!$G:$G,BASE!$B:$B,$B734,BASE!$L:$L,$G734,BASE!$J:$J,$C734,BASE!$A:$A,O$2)</f>
        <v>0</v>
      </c>
      <c r="P734" s="12">
        <f>SUMIFS(BASE!$G:$G,BASE!$B:$B,$B734,BASE!$L:$L,$G734,BASE!$J:$J,$C734,BASE!$A:$A,P$2)</f>
        <v>3</v>
      </c>
      <c r="Q734" s="12">
        <f>SUMIFS(BASE!$G:$G,BASE!$B:$B,$B734,BASE!$L:$L,$G734,BASE!$J:$J,$C734,BASE!$A:$A,Q$2)</f>
        <v>0</v>
      </c>
      <c r="R734" s="12">
        <f>SUMIFS(BASE!$G:$G,BASE!$B:$B,$B734,BASE!$L:$L,$G734,BASE!$J:$J,$C734,BASE!$A:$A,R$2)</f>
        <v>0</v>
      </c>
      <c r="S734" s="12">
        <f>SUMIFS(BASE!$G:$G,BASE!$B:$B,$B734,BASE!$L:$L,$G734,BASE!$J:$J,$C734,BASE!$A:$A,S$2)</f>
        <v>0</v>
      </c>
      <c r="T734" s="12">
        <f>SUMIFS(BASE!$G:$G,BASE!$B:$B,$B734,BASE!$L:$L,$G734,BASE!$J:$J,$C734,BASE!$A:$A,T$2)</f>
        <v>0</v>
      </c>
      <c r="U734" s="12">
        <f>SUMIFS(BASE!$G:$G,BASE!$B:$B,$B734,BASE!$L:$L,$G734,BASE!$J:$J,$C734,BASE!$A:$A,U$2)</f>
        <v>0</v>
      </c>
      <c r="V734" s="12">
        <f>SUMIFS(BASE!$G:$G,BASE!$B:$B,$B734,BASE!$L:$L,$G734,BASE!$J:$J,$C734,BASE!$A:$A,V$2)</f>
        <v>0</v>
      </c>
      <c r="X734" t="str">
        <f t="shared" si="23"/>
        <v>ZERADO</v>
      </c>
    </row>
    <row r="735" spans="2:24">
      <c r="B735" s="8" t="s">
        <v>1574</v>
      </c>
      <c r="C735" s="9" t="s">
        <v>132</v>
      </c>
      <c r="D735" s="9" t="s">
        <v>1476</v>
      </c>
      <c r="E735" s="9" t="s">
        <v>1412</v>
      </c>
      <c r="F735" s="9" t="s">
        <v>1575</v>
      </c>
      <c r="G735" s="9" t="s">
        <v>54</v>
      </c>
      <c r="H735" s="7" t="str">
        <f>IFERROR(IF(_xlfn.XLOOKUP(B735,REPASSE!D:D,REPASSE!D:D)="","Não","Sim"),"Não")</f>
        <v>Não</v>
      </c>
      <c r="I735" s="7" t="str">
        <f>IF(_xlfn.XLOOKUP(B735,'BOOST LIBERADO'!B:B,'BOOST LIBERADO'!B:B,"Não")="Não","Não","Sim")</f>
        <v>Sim</v>
      </c>
      <c r="J735" s="83" t="str">
        <f t="shared" si="22"/>
        <v>Sim</v>
      </c>
      <c r="K735" s="12">
        <f>SUMIFS(BASE!$G:$G,BASE!$B:$B,$B735,BASE!$L:$L,$G735,BASE!$J:$J,$C735,BASE!$A:$A,K$2)</f>
        <v>5</v>
      </c>
      <c r="L735" s="12">
        <f>SUMIFS(BASE!$G:$G,BASE!$B:$B,$B735,BASE!$L:$L,$G735,BASE!$J:$J,$C735,BASE!$A:$A,L$2)</f>
        <v>4</v>
      </c>
      <c r="M735" s="12">
        <f>SUMIFS(BASE!$G:$G,BASE!$B:$B,$B735,BASE!$L:$L,$G735,BASE!$J:$J,$C735,BASE!$A:$A,M$2)</f>
        <v>11</v>
      </c>
      <c r="N735" s="12">
        <f>SUMIFS(BASE!$G:$G,BASE!$B:$B,$B735,BASE!$L:$L,$G735,BASE!$J:$J,$C735,BASE!$A:$A,N$2)</f>
        <v>12</v>
      </c>
      <c r="O735" s="12">
        <f>SUMIFS(BASE!$G:$G,BASE!$B:$B,$B735,BASE!$L:$L,$G735,BASE!$J:$J,$C735,BASE!$A:$A,O$2)</f>
        <v>12</v>
      </c>
      <c r="P735" s="12">
        <f>SUMIFS(BASE!$G:$G,BASE!$B:$B,$B735,BASE!$L:$L,$G735,BASE!$J:$J,$C735,BASE!$A:$A,P$2)</f>
        <v>8</v>
      </c>
      <c r="Q735" s="12">
        <f>SUMIFS(BASE!$G:$G,BASE!$B:$B,$B735,BASE!$L:$L,$G735,BASE!$J:$J,$C735,BASE!$A:$A,Q$2)</f>
        <v>23</v>
      </c>
      <c r="R735" s="12">
        <f>SUMIFS(BASE!$G:$G,BASE!$B:$B,$B735,BASE!$L:$L,$G735,BASE!$J:$J,$C735,BASE!$A:$A,R$2)</f>
        <v>12</v>
      </c>
      <c r="S735" s="12">
        <f>SUMIFS(BASE!$G:$G,BASE!$B:$B,$B735,BASE!$L:$L,$G735,BASE!$J:$J,$C735,BASE!$A:$A,S$2)</f>
        <v>0</v>
      </c>
      <c r="T735" s="12">
        <f>SUMIFS(BASE!$G:$G,BASE!$B:$B,$B735,BASE!$L:$L,$G735,BASE!$J:$J,$C735,BASE!$A:$A,T$2)</f>
        <v>0</v>
      </c>
      <c r="U735" s="12">
        <f>SUMIFS(BASE!$G:$G,BASE!$B:$B,$B735,BASE!$L:$L,$G735,BASE!$J:$J,$C735,BASE!$A:$A,U$2)</f>
        <v>0</v>
      </c>
      <c r="V735" s="12">
        <f>SUMIFS(BASE!$G:$G,BASE!$B:$B,$B735,BASE!$L:$L,$G735,BASE!$J:$J,$C735,BASE!$A:$A,V$2)</f>
        <v>0</v>
      </c>
      <c r="X735" t="str">
        <f t="shared" si="23"/>
        <v>COM TROCAS</v>
      </c>
    </row>
    <row r="736" spans="2:24">
      <c r="B736" s="8" t="s">
        <v>1576</v>
      </c>
      <c r="C736" s="9" t="s">
        <v>106</v>
      </c>
      <c r="D736" s="9" t="s">
        <v>1419</v>
      </c>
      <c r="E736" s="9" t="s">
        <v>1412</v>
      </c>
      <c r="F736" s="9" t="s">
        <v>1575</v>
      </c>
      <c r="G736" s="9" t="s">
        <v>54</v>
      </c>
      <c r="H736" s="7" t="str">
        <f>IFERROR(IF(_xlfn.XLOOKUP(B736,REPASSE!D:D,REPASSE!D:D)="","Não","Sim"),"Não")</f>
        <v>Não</v>
      </c>
      <c r="I736" s="7" t="str">
        <f>IF(_xlfn.XLOOKUP(B736,'BOOST LIBERADO'!B:B,'BOOST LIBERADO'!B:B,"Não")="Não","Não","Sim")</f>
        <v>Sim</v>
      </c>
      <c r="J736" s="83" t="str">
        <f t="shared" si="22"/>
        <v>Sim</v>
      </c>
      <c r="K736" s="12">
        <f>SUMIFS(BASE!$G:$G,BASE!$B:$B,$B736,BASE!$L:$L,$G736,BASE!$J:$J,$C736,BASE!$A:$A,K$2)</f>
        <v>0</v>
      </c>
      <c r="L736" s="12">
        <f>SUMIFS(BASE!$G:$G,BASE!$B:$B,$B736,BASE!$L:$L,$G736,BASE!$J:$J,$C736,BASE!$A:$A,L$2)</f>
        <v>0</v>
      </c>
      <c r="M736" s="12">
        <f>SUMIFS(BASE!$G:$G,BASE!$B:$B,$B736,BASE!$L:$L,$G736,BASE!$J:$J,$C736,BASE!$A:$A,M$2)</f>
        <v>0</v>
      </c>
      <c r="N736" s="12">
        <f>SUMIFS(BASE!$G:$G,BASE!$B:$B,$B736,BASE!$L:$L,$G736,BASE!$J:$J,$C736,BASE!$A:$A,N$2)</f>
        <v>0</v>
      </c>
      <c r="O736" s="12">
        <f>SUMIFS(BASE!$G:$G,BASE!$B:$B,$B736,BASE!$L:$L,$G736,BASE!$J:$J,$C736,BASE!$A:$A,O$2)</f>
        <v>0</v>
      </c>
      <c r="P736" s="12">
        <f>SUMIFS(BASE!$G:$G,BASE!$B:$B,$B736,BASE!$L:$L,$G736,BASE!$J:$J,$C736,BASE!$A:$A,P$2)</f>
        <v>0</v>
      </c>
      <c r="Q736" s="12">
        <f>SUMIFS(BASE!$G:$G,BASE!$B:$B,$B736,BASE!$L:$L,$G736,BASE!$J:$J,$C736,BASE!$A:$A,Q$2)</f>
        <v>0</v>
      </c>
      <c r="R736" s="12">
        <f>SUMIFS(BASE!$G:$G,BASE!$B:$B,$B736,BASE!$L:$L,$G736,BASE!$J:$J,$C736,BASE!$A:$A,R$2)</f>
        <v>0</v>
      </c>
      <c r="S736" s="12">
        <f>SUMIFS(BASE!$G:$G,BASE!$B:$B,$B736,BASE!$L:$L,$G736,BASE!$J:$J,$C736,BASE!$A:$A,S$2)</f>
        <v>0</v>
      </c>
      <c r="T736" s="12">
        <f>SUMIFS(BASE!$G:$G,BASE!$B:$B,$B736,BASE!$L:$L,$G736,BASE!$J:$J,$C736,BASE!$A:$A,T$2)</f>
        <v>0</v>
      </c>
      <c r="U736" s="12">
        <f>SUMIFS(BASE!$G:$G,BASE!$B:$B,$B736,BASE!$L:$L,$G736,BASE!$J:$J,$C736,BASE!$A:$A,U$2)</f>
        <v>0</v>
      </c>
      <c r="V736" s="12">
        <f>SUMIFS(BASE!$G:$G,BASE!$B:$B,$B736,BASE!$L:$L,$G736,BASE!$J:$J,$C736,BASE!$A:$A,V$2)</f>
        <v>0</v>
      </c>
      <c r="X736" t="str">
        <f t="shared" si="23"/>
        <v>ZERADO</v>
      </c>
    </row>
    <row r="737" spans="2:24">
      <c r="B737" s="8" t="s">
        <v>1577</v>
      </c>
      <c r="C737" s="9" t="s">
        <v>106</v>
      </c>
      <c r="D737" s="9" t="s">
        <v>1453</v>
      </c>
      <c r="E737" s="9" t="s">
        <v>1412</v>
      </c>
      <c r="F737" s="9" t="s">
        <v>1557</v>
      </c>
      <c r="G737" s="9" t="s">
        <v>54</v>
      </c>
      <c r="H737" s="7" t="str">
        <f>IFERROR(IF(_xlfn.XLOOKUP(B737,REPASSE!D:D,REPASSE!D:D)="","Não","Sim"),"Não")</f>
        <v>Não</v>
      </c>
      <c r="I737" s="7" t="str">
        <f>IF(_xlfn.XLOOKUP(B737,'BOOST LIBERADO'!B:B,'BOOST LIBERADO'!B:B,"Não")="Não","Não","Sim")</f>
        <v>Sim</v>
      </c>
      <c r="J737" s="83" t="str">
        <f t="shared" si="22"/>
        <v>Sim</v>
      </c>
      <c r="K737" s="12">
        <f>SUMIFS(BASE!$G:$G,BASE!$B:$B,$B737,BASE!$L:$L,$G737,BASE!$J:$J,$C737,BASE!$A:$A,K$2)</f>
        <v>0</v>
      </c>
      <c r="L737" s="12">
        <f>SUMIFS(BASE!$G:$G,BASE!$B:$B,$B737,BASE!$L:$L,$G737,BASE!$J:$J,$C737,BASE!$A:$A,L$2)</f>
        <v>0</v>
      </c>
      <c r="M737" s="12">
        <f>SUMIFS(BASE!$G:$G,BASE!$B:$B,$B737,BASE!$L:$L,$G737,BASE!$J:$J,$C737,BASE!$A:$A,M$2)</f>
        <v>0</v>
      </c>
      <c r="N737" s="12">
        <f>SUMIFS(BASE!$G:$G,BASE!$B:$B,$B737,BASE!$L:$L,$G737,BASE!$J:$J,$C737,BASE!$A:$A,N$2)</f>
        <v>0</v>
      </c>
      <c r="O737" s="12">
        <f>SUMIFS(BASE!$G:$G,BASE!$B:$B,$B737,BASE!$L:$L,$G737,BASE!$J:$J,$C737,BASE!$A:$A,O$2)</f>
        <v>0</v>
      </c>
      <c r="P737" s="12">
        <f>SUMIFS(BASE!$G:$G,BASE!$B:$B,$B737,BASE!$L:$L,$G737,BASE!$J:$J,$C737,BASE!$A:$A,P$2)</f>
        <v>0</v>
      </c>
      <c r="Q737" s="12">
        <f>SUMIFS(BASE!$G:$G,BASE!$B:$B,$B737,BASE!$L:$L,$G737,BASE!$J:$J,$C737,BASE!$A:$A,Q$2)</f>
        <v>0</v>
      </c>
      <c r="R737" s="12">
        <f>SUMIFS(BASE!$G:$G,BASE!$B:$B,$B737,BASE!$L:$L,$G737,BASE!$J:$J,$C737,BASE!$A:$A,R$2)</f>
        <v>4</v>
      </c>
      <c r="S737" s="12">
        <f>SUMIFS(BASE!$G:$G,BASE!$B:$B,$B737,BASE!$L:$L,$G737,BASE!$J:$J,$C737,BASE!$A:$A,S$2)</f>
        <v>0</v>
      </c>
      <c r="T737" s="12">
        <f>SUMIFS(BASE!$G:$G,BASE!$B:$B,$B737,BASE!$L:$L,$G737,BASE!$J:$J,$C737,BASE!$A:$A,T$2)</f>
        <v>0</v>
      </c>
      <c r="U737" s="12">
        <f>SUMIFS(BASE!$G:$G,BASE!$B:$B,$B737,BASE!$L:$L,$G737,BASE!$J:$J,$C737,BASE!$A:$A,U$2)</f>
        <v>0</v>
      </c>
      <c r="V737" s="12">
        <f>SUMIFS(BASE!$G:$G,BASE!$B:$B,$B737,BASE!$L:$L,$G737,BASE!$J:$J,$C737,BASE!$A:$A,V$2)</f>
        <v>0</v>
      </c>
      <c r="X737" t="str">
        <f t="shared" si="23"/>
        <v>COM TROCAS</v>
      </c>
    </row>
    <row r="738" spans="2:24">
      <c r="B738" s="8" t="s">
        <v>1578</v>
      </c>
      <c r="C738" s="9" t="s">
        <v>116</v>
      </c>
      <c r="D738" s="9" t="s">
        <v>1415</v>
      </c>
      <c r="E738" s="9" t="s">
        <v>1416</v>
      </c>
      <c r="F738" s="9" t="s">
        <v>1579</v>
      </c>
      <c r="G738" s="9" t="s">
        <v>54</v>
      </c>
      <c r="H738" s="7" t="str">
        <f>IFERROR(IF(_xlfn.XLOOKUP(B738,REPASSE!D:D,REPASSE!D:D)="","Não","Sim"),"Não")</f>
        <v>Sim</v>
      </c>
      <c r="I738" s="7" t="str">
        <f>IF(_xlfn.XLOOKUP(B738,'BOOST LIBERADO'!B:B,'BOOST LIBERADO'!B:B,"Não")="Não","Não","Sim")</f>
        <v>Sim</v>
      </c>
      <c r="J738" s="83" t="str">
        <f t="shared" si="22"/>
        <v>Não</v>
      </c>
      <c r="K738" s="12">
        <f>SUMIFS(BASE!$G:$G,BASE!$B:$B,$B738,BASE!$L:$L,$G738,BASE!$J:$J,$C738,BASE!$A:$A,K$2)</f>
        <v>0</v>
      </c>
      <c r="L738" s="12">
        <f>SUMIFS(BASE!$G:$G,BASE!$B:$B,$B738,BASE!$L:$L,$G738,BASE!$J:$J,$C738,BASE!$A:$A,L$2)</f>
        <v>0</v>
      </c>
      <c r="M738" s="12">
        <f>SUMIFS(BASE!$G:$G,BASE!$B:$B,$B738,BASE!$L:$L,$G738,BASE!$J:$J,$C738,BASE!$A:$A,M$2)</f>
        <v>0</v>
      </c>
      <c r="N738" s="12">
        <f>SUMIFS(BASE!$G:$G,BASE!$B:$B,$B738,BASE!$L:$L,$G738,BASE!$J:$J,$C738,BASE!$A:$A,N$2)</f>
        <v>0</v>
      </c>
      <c r="O738" s="12">
        <f>SUMIFS(BASE!$G:$G,BASE!$B:$B,$B738,BASE!$L:$L,$G738,BASE!$J:$J,$C738,BASE!$A:$A,O$2)</f>
        <v>0</v>
      </c>
      <c r="P738" s="12">
        <f>SUMIFS(BASE!$G:$G,BASE!$B:$B,$B738,BASE!$L:$L,$G738,BASE!$J:$J,$C738,BASE!$A:$A,P$2)</f>
        <v>0</v>
      </c>
      <c r="Q738" s="12">
        <f>SUMIFS(BASE!$G:$G,BASE!$B:$B,$B738,BASE!$L:$L,$G738,BASE!$J:$J,$C738,BASE!$A:$A,Q$2)</f>
        <v>0</v>
      </c>
      <c r="R738" s="12">
        <f>SUMIFS(BASE!$G:$G,BASE!$B:$B,$B738,BASE!$L:$L,$G738,BASE!$J:$J,$C738,BASE!$A:$A,R$2)</f>
        <v>0</v>
      </c>
      <c r="S738" s="12">
        <f>SUMIFS(BASE!$G:$G,BASE!$B:$B,$B738,BASE!$L:$L,$G738,BASE!$J:$J,$C738,BASE!$A:$A,S$2)</f>
        <v>0</v>
      </c>
      <c r="T738" s="12">
        <f>SUMIFS(BASE!$G:$G,BASE!$B:$B,$B738,BASE!$L:$L,$G738,BASE!$J:$J,$C738,BASE!$A:$A,T$2)</f>
        <v>0</v>
      </c>
      <c r="U738" s="12">
        <f>SUMIFS(BASE!$G:$G,BASE!$B:$B,$B738,BASE!$L:$L,$G738,BASE!$J:$J,$C738,BASE!$A:$A,U$2)</f>
        <v>0</v>
      </c>
      <c r="V738" s="12">
        <f>SUMIFS(BASE!$G:$G,BASE!$B:$B,$B738,BASE!$L:$L,$G738,BASE!$J:$J,$C738,BASE!$A:$A,V$2)</f>
        <v>0</v>
      </c>
      <c r="X738" t="str">
        <f t="shared" si="23"/>
        <v>ZERADO</v>
      </c>
    </row>
    <row r="739" spans="2:24">
      <c r="B739" s="8" t="s">
        <v>1580</v>
      </c>
      <c r="C739" s="8" t="s">
        <v>106</v>
      </c>
      <c r="D739" s="8" t="s">
        <v>1434</v>
      </c>
      <c r="E739" s="8" t="s">
        <v>1423</v>
      </c>
      <c r="F739" s="8" t="s">
        <v>1581</v>
      </c>
      <c r="G739" s="8" t="s">
        <v>54</v>
      </c>
      <c r="H739" s="7" t="str">
        <f>IFERROR(IF(_xlfn.XLOOKUP(B739,REPASSE!D:D,REPASSE!D:D)="","Não","Sim"),"Não")</f>
        <v>Não</v>
      </c>
      <c r="I739" s="7" t="str">
        <f>IF(_xlfn.XLOOKUP(B739,'BOOST LIBERADO'!B:B,'BOOST LIBERADO'!B:B,"Não")="Não","Não","Sim")</f>
        <v>Sim</v>
      </c>
      <c r="J739" s="83" t="str">
        <f t="shared" si="22"/>
        <v>Sim</v>
      </c>
      <c r="K739" s="12">
        <f>SUMIFS(BASE!$G:$G,BASE!$B:$B,$B739,BASE!$L:$L,$G739,BASE!$J:$J,$C739,BASE!$A:$A,K$2)</f>
        <v>0</v>
      </c>
      <c r="L739" s="12">
        <f>SUMIFS(BASE!$G:$G,BASE!$B:$B,$B739,BASE!$L:$L,$G739,BASE!$J:$J,$C739,BASE!$A:$A,L$2)</f>
        <v>0</v>
      </c>
      <c r="M739" s="12">
        <f>SUMIFS(BASE!$G:$G,BASE!$B:$B,$B739,BASE!$L:$L,$G739,BASE!$J:$J,$C739,BASE!$A:$A,M$2)</f>
        <v>0</v>
      </c>
      <c r="N739" s="12">
        <f>SUMIFS(BASE!$G:$G,BASE!$B:$B,$B739,BASE!$L:$L,$G739,BASE!$J:$J,$C739,BASE!$A:$A,N$2)</f>
        <v>0</v>
      </c>
      <c r="O739" s="12">
        <f>SUMIFS(BASE!$G:$G,BASE!$B:$B,$B739,BASE!$L:$L,$G739,BASE!$J:$J,$C739,BASE!$A:$A,O$2)</f>
        <v>0</v>
      </c>
      <c r="P739" s="12">
        <f>SUMIFS(BASE!$G:$G,BASE!$B:$B,$B739,BASE!$L:$L,$G739,BASE!$J:$J,$C739,BASE!$A:$A,P$2)</f>
        <v>0</v>
      </c>
      <c r="Q739" s="12">
        <f>SUMIFS(BASE!$G:$G,BASE!$B:$B,$B739,BASE!$L:$L,$G739,BASE!$J:$J,$C739,BASE!$A:$A,Q$2)</f>
        <v>0</v>
      </c>
      <c r="R739" s="12">
        <f>SUMIFS(BASE!$G:$G,BASE!$B:$B,$B739,BASE!$L:$L,$G739,BASE!$J:$J,$C739,BASE!$A:$A,R$2)</f>
        <v>0</v>
      </c>
      <c r="S739" s="12">
        <f>SUMIFS(BASE!$G:$G,BASE!$B:$B,$B739,BASE!$L:$L,$G739,BASE!$J:$J,$C739,BASE!$A:$A,S$2)</f>
        <v>0</v>
      </c>
      <c r="T739" s="12">
        <f>SUMIFS(BASE!$G:$G,BASE!$B:$B,$B739,BASE!$L:$L,$G739,BASE!$J:$J,$C739,BASE!$A:$A,T$2)</f>
        <v>0</v>
      </c>
      <c r="U739" s="12">
        <f>SUMIFS(BASE!$G:$G,BASE!$B:$B,$B739,BASE!$L:$L,$G739,BASE!$J:$J,$C739,BASE!$A:$A,U$2)</f>
        <v>0</v>
      </c>
      <c r="V739" s="12">
        <f>SUMIFS(BASE!$G:$G,BASE!$B:$B,$B739,BASE!$L:$L,$G739,BASE!$J:$J,$C739,BASE!$A:$A,V$2)</f>
        <v>0</v>
      </c>
      <c r="X739" t="str">
        <f t="shared" si="23"/>
        <v>ZERADO</v>
      </c>
    </row>
    <row r="740" spans="2:24">
      <c r="B740" s="8" t="s">
        <v>1582</v>
      </c>
      <c r="C740" s="9" t="s">
        <v>106</v>
      </c>
      <c r="D740" s="9" t="s">
        <v>1443</v>
      </c>
      <c r="E740" s="9" t="s">
        <v>1416</v>
      </c>
      <c r="F740" s="9" t="s">
        <v>1583</v>
      </c>
      <c r="G740" s="9" t="s">
        <v>54</v>
      </c>
      <c r="H740" s="7" t="str">
        <f>IFERROR(IF(_xlfn.XLOOKUP(B740,REPASSE!D:D,REPASSE!D:D)="","Não","Sim"),"Não")</f>
        <v>Não</v>
      </c>
      <c r="I740" s="7" t="str">
        <f>IF(_xlfn.XLOOKUP(B740,'BOOST LIBERADO'!B:B,'BOOST LIBERADO'!B:B,"Não")="Não","Não","Sim")</f>
        <v>Sim</v>
      </c>
      <c r="J740" s="83" t="str">
        <f t="shared" si="22"/>
        <v>Sim</v>
      </c>
      <c r="K740" s="12">
        <f>SUMIFS(BASE!$G:$G,BASE!$B:$B,$B740,BASE!$L:$L,$G740,BASE!$J:$J,$C740,BASE!$A:$A,K$2)</f>
        <v>0</v>
      </c>
      <c r="L740" s="12">
        <f>SUMIFS(BASE!$G:$G,BASE!$B:$B,$B740,BASE!$L:$L,$G740,BASE!$J:$J,$C740,BASE!$A:$A,L$2)</f>
        <v>0</v>
      </c>
      <c r="M740" s="12">
        <f>SUMIFS(BASE!$G:$G,BASE!$B:$B,$B740,BASE!$L:$L,$G740,BASE!$J:$J,$C740,BASE!$A:$A,M$2)</f>
        <v>0</v>
      </c>
      <c r="N740" s="12">
        <f>SUMIFS(BASE!$G:$G,BASE!$B:$B,$B740,BASE!$L:$L,$G740,BASE!$J:$J,$C740,BASE!$A:$A,N$2)</f>
        <v>0</v>
      </c>
      <c r="O740" s="12">
        <f>SUMIFS(BASE!$G:$G,BASE!$B:$B,$B740,BASE!$L:$L,$G740,BASE!$J:$J,$C740,BASE!$A:$A,O$2)</f>
        <v>0</v>
      </c>
      <c r="P740" s="12">
        <f>SUMIFS(BASE!$G:$G,BASE!$B:$B,$B740,BASE!$L:$L,$G740,BASE!$J:$J,$C740,BASE!$A:$A,P$2)</f>
        <v>0</v>
      </c>
      <c r="Q740" s="12">
        <f>SUMIFS(BASE!$G:$G,BASE!$B:$B,$B740,BASE!$L:$L,$G740,BASE!$J:$J,$C740,BASE!$A:$A,Q$2)</f>
        <v>0</v>
      </c>
      <c r="R740" s="12">
        <f>SUMIFS(BASE!$G:$G,BASE!$B:$B,$B740,BASE!$L:$L,$G740,BASE!$J:$J,$C740,BASE!$A:$A,R$2)</f>
        <v>0</v>
      </c>
      <c r="S740" s="12">
        <f>SUMIFS(BASE!$G:$G,BASE!$B:$B,$B740,BASE!$L:$L,$G740,BASE!$J:$J,$C740,BASE!$A:$A,S$2)</f>
        <v>0</v>
      </c>
      <c r="T740" s="12">
        <f>SUMIFS(BASE!$G:$G,BASE!$B:$B,$B740,BASE!$L:$L,$G740,BASE!$J:$J,$C740,BASE!$A:$A,T$2)</f>
        <v>0</v>
      </c>
      <c r="U740" s="12">
        <f>SUMIFS(BASE!$G:$G,BASE!$B:$B,$B740,BASE!$L:$L,$G740,BASE!$J:$J,$C740,BASE!$A:$A,U$2)</f>
        <v>0</v>
      </c>
      <c r="V740" s="12">
        <f>SUMIFS(BASE!$G:$G,BASE!$B:$B,$B740,BASE!$L:$L,$G740,BASE!$J:$J,$C740,BASE!$A:$A,V$2)</f>
        <v>0</v>
      </c>
      <c r="X740" t="str">
        <f t="shared" si="23"/>
        <v>ZERADO</v>
      </c>
    </row>
    <row r="741" spans="2:24">
      <c r="B741" s="8" t="s">
        <v>1584</v>
      </c>
      <c r="C741" s="9" t="s">
        <v>106</v>
      </c>
      <c r="D741" s="9" t="s">
        <v>1443</v>
      </c>
      <c r="E741" s="9" t="s">
        <v>1416</v>
      </c>
      <c r="F741" s="9" t="s">
        <v>1585</v>
      </c>
      <c r="G741" s="9" t="s">
        <v>54</v>
      </c>
      <c r="H741" s="7" t="str">
        <f>IFERROR(IF(_xlfn.XLOOKUP(B741,REPASSE!D:D,REPASSE!D:D)="","Não","Sim"),"Não")</f>
        <v>Não</v>
      </c>
      <c r="I741" s="7" t="str">
        <f>IF(_xlfn.XLOOKUP(B741,'BOOST LIBERADO'!B:B,'BOOST LIBERADO'!B:B,"Não")="Não","Não","Sim")</f>
        <v>Sim</v>
      </c>
      <c r="J741" s="83" t="str">
        <f t="shared" si="22"/>
        <v>Sim</v>
      </c>
      <c r="K741" s="12">
        <f>SUMIFS(BASE!$G:$G,BASE!$B:$B,$B741,BASE!$L:$L,$G741,BASE!$J:$J,$C741,BASE!$A:$A,K$2)</f>
        <v>0</v>
      </c>
      <c r="L741" s="12">
        <f>SUMIFS(BASE!$G:$G,BASE!$B:$B,$B741,BASE!$L:$L,$G741,BASE!$J:$J,$C741,BASE!$A:$A,L$2)</f>
        <v>0</v>
      </c>
      <c r="M741" s="12">
        <f>SUMIFS(BASE!$G:$G,BASE!$B:$B,$B741,BASE!$L:$L,$G741,BASE!$J:$J,$C741,BASE!$A:$A,M$2)</f>
        <v>0</v>
      </c>
      <c r="N741" s="12">
        <f>SUMIFS(BASE!$G:$G,BASE!$B:$B,$B741,BASE!$L:$L,$G741,BASE!$J:$J,$C741,BASE!$A:$A,N$2)</f>
        <v>0</v>
      </c>
      <c r="O741" s="12">
        <f>SUMIFS(BASE!$G:$G,BASE!$B:$B,$B741,BASE!$L:$L,$G741,BASE!$J:$J,$C741,BASE!$A:$A,O$2)</f>
        <v>0</v>
      </c>
      <c r="P741" s="12">
        <f>SUMIFS(BASE!$G:$G,BASE!$B:$B,$B741,BASE!$L:$L,$G741,BASE!$J:$J,$C741,BASE!$A:$A,P$2)</f>
        <v>1</v>
      </c>
      <c r="Q741" s="12">
        <f>SUMIFS(BASE!$G:$G,BASE!$B:$B,$B741,BASE!$L:$L,$G741,BASE!$J:$J,$C741,BASE!$A:$A,Q$2)</f>
        <v>1</v>
      </c>
      <c r="R741" s="12">
        <f>SUMIFS(BASE!$G:$G,BASE!$B:$B,$B741,BASE!$L:$L,$G741,BASE!$J:$J,$C741,BASE!$A:$A,R$2)</f>
        <v>2</v>
      </c>
      <c r="S741" s="12">
        <f>SUMIFS(BASE!$G:$G,BASE!$B:$B,$B741,BASE!$L:$L,$G741,BASE!$J:$J,$C741,BASE!$A:$A,S$2)</f>
        <v>0</v>
      </c>
      <c r="T741" s="12">
        <f>SUMIFS(BASE!$G:$G,BASE!$B:$B,$B741,BASE!$L:$L,$G741,BASE!$J:$J,$C741,BASE!$A:$A,T$2)</f>
        <v>0</v>
      </c>
      <c r="U741" s="12">
        <f>SUMIFS(BASE!$G:$G,BASE!$B:$B,$B741,BASE!$L:$L,$G741,BASE!$J:$J,$C741,BASE!$A:$A,U$2)</f>
        <v>0</v>
      </c>
      <c r="V741" s="12">
        <f>SUMIFS(BASE!$G:$G,BASE!$B:$B,$B741,BASE!$L:$L,$G741,BASE!$J:$J,$C741,BASE!$A:$A,V$2)</f>
        <v>0</v>
      </c>
      <c r="X741" t="str">
        <f t="shared" si="23"/>
        <v>COM TROCAS</v>
      </c>
    </row>
    <row r="742" spans="2:24">
      <c r="B742" s="8" t="s">
        <v>1586</v>
      </c>
      <c r="C742" s="9" t="s">
        <v>132</v>
      </c>
      <c r="D742" s="9" t="s">
        <v>1498</v>
      </c>
      <c r="E742" s="9" t="s">
        <v>1416</v>
      </c>
      <c r="F742" s="9" t="s">
        <v>1587</v>
      </c>
      <c r="G742" s="9" t="s">
        <v>54</v>
      </c>
      <c r="H742" s="7" t="str">
        <f>IFERROR(IF(_xlfn.XLOOKUP(B742,REPASSE!D:D,REPASSE!D:D)="","Não","Sim"),"Não")</f>
        <v>Não</v>
      </c>
      <c r="I742" s="7" t="str">
        <f>IF(_xlfn.XLOOKUP(B742,'BOOST LIBERADO'!B:B,'BOOST LIBERADO'!B:B,"Não")="Não","Não","Sim")</f>
        <v>Sim</v>
      </c>
      <c r="J742" s="83" t="str">
        <f t="shared" si="22"/>
        <v>Sim</v>
      </c>
      <c r="K742" s="12">
        <f>SUMIFS(BASE!$G:$G,BASE!$B:$B,$B742,BASE!$L:$L,$G742,BASE!$J:$J,$C742,BASE!$A:$A,K$2)</f>
        <v>1</v>
      </c>
      <c r="L742" s="12">
        <f>SUMIFS(BASE!$G:$G,BASE!$B:$B,$B742,BASE!$L:$L,$G742,BASE!$J:$J,$C742,BASE!$A:$A,L$2)</f>
        <v>1</v>
      </c>
      <c r="M742" s="12">
        <f>SUMIFS(BASE!$G:$G,BASE!$B:$B,$B742,BASE!$L:$L,$G742,BASE!$J:$J,$C742,BASE!$A:$A,M$2)</f>
        <v>0</v>
      </c>
      <c r="N742" s="12">
        <f>SUMIFS(BASE!$G:$G,BASE!$B:$B,$B742,BASE!$L:$L,$G742,BASE!$J:$J,$C742,BASE!$A:$A,N$2)</f>
        <v>0</v>
      </c>
      <c r="O742" s="12">
        <f>SUMIFS(BASE!$G:$G,BASE!$B:$B,$B742,BASE!$L:$L,$G742,BASE!$J:$J,$C742,BASE!$A:$A,O$2)</f>
        <v>2</v>
      </c>
      <c r="P742" s="12">
        <f>SUMIFS(BASE!$G:$G,BASE!$B:$B,$B742,BASE!$L:$L,$G742,BASE!$J:$J,$C742,BASE!$A:$A,P$2)</f>
        <v>0</v>
      </c>
      <c r="Q742" s="12">
        <f>SUMIFS(BASE!$G:$G,BASE!$B:$B,$B742,BASE!$L:$L,$G742,BASE!$J:$J,$C742,BASE!$A:$A,Q$2)</f>
        <v>0</v>
      </c>
      <c r="R742" s="12">
        <f>SUMIFS(BASE!$G:$G,BASE!$B:$B,$B742,BASE!$L:$L,$G742,BASE!$J:$J,$C742,BASE!$A:$A,R$2)</f>
        <v>1</v>
      </c>
      <c r="S742" s="12">
        <f>SUMIFS(BASE!$G:$G,BASE!$B:$B,$B742,BASE!$L:$L,$G742,BASE!$J:$J,$C742,BASE!$A:$A,S$2)</f>
        <v>0</v>
      </c>
      <c r="T742" s="12">
        <f>SUMIFS(BASE!$G:$G,BASE!$B:$B,$B742,BASE!$L:$L,$G742,BASE!$J:$J,$C742,BASE!$A:$A,T$2)</f>
        <v>0</v>
      </c>
      <c r="U742" s="12">
        <f>SUMIFS(BASE!$G:$G,BASE!$B:$B,$B742,BASE!$L:$L,$G742,BASE!$J:$J,$C742,BASE!$A:$A,U$2)</f>
        <v>0</v>
      </c>
      <c r="V742" s="12">
        <f>SUMIFS(BASE!$G:$G,BASE!$B:$B,$B742,BASE!$L:$L,$G742,BASE!$J:$J,$C742,BASE!$A:$A,V$2)</f>
        <v>0</v>
      </c>
      <c r="X742" t="str">
        <f t="shared" si="23"/>
        <v>COM TROCAS</v>
      </c>
    </row>
    <row r="743" spans="2:24">
      <c r="B743" s="8" t="s">
        <v>1588</v>
      </c>
      <c r="C743" s="9" t="s">
        <v>106</v>
      </c>
      <c r="D743" s="9" t="s">
        <v>1419</v>
      </c>
      <c r="E743" s="9" t="s">
        <v>1412</v>
      </c>
      <c r="F743" s="9" t="s">
        <v>1589</v>
      </c>
      <c r="G743" s="9" t="s">
        <v>54</v>
      </c>
      <c r="H743" s="7" t="str">
        <f>IFERROR(IF(_xlfn.XLOOKUP(B743,REPASSE!D:D,REPASSE!D:D)="","Não","Sim"),"Não")</f>
        <v>Não</v>
      </c>
      <c r="I743" s="7" t="str">
        <f>IF(_xlfn.XLOOKUP(B743,'BOOST LIBERADO'!B:B,'BOOST LIBERADO'!B:B,"Não")="Não","Não","Sim")</f>
        <v>Sim</v>
      </c>
      <c r="J743" s="83" t="str">
        <f t="shared" si="22"/>
        <v>Sim</v>
      </c>
      <c r="K743" s="12">
        <f>SUMIFS(BASE!$G:$G,BASE!$B:$B,$B743,BASE!$L:$L,$G743,BASE!$J:$J,$C743,BASE!$A:$A,K$2)</f>
        <v>0</v>
      </c>
      <c r="L743" s="12">
        <f>SUMIFS(BASE!$G:$G,BASE!$B:$B,$B743,BASE!$L:$L,$G743,BASE!$J:$J,$C743,BASE!$A:$A,L$2)</f>
        <v>0</v>
      </c>
      <c r="M743" s="12">
        <f>SUMIFS(BASE!$G:$G,BASE!$B:$B,$B743,BASE!$L:$L,$G743,BASE!$J:$J,$C743,BASE!$A:$A,M$2)</f>
        <v>0</v>
      </c>
      <c r="N743" s="12">
        <f>SUMIFS(BASE!$G:$G,BASE!$B:$B,$B743,BASE!$L:$L,$G743,BASE!$J:$J,$C743,BASE!$A:$A,N$2)</f>
        <v>1</v>
      </c>
      <c r="O743" s="12">
        <f>SUMIFS(BASE!$G:$G,BASE!$B:$B,$B743,BASE!$L:$L,$G743,BASE!$J:$J,$C743,BASE!$A:$A,O$2)</f>
        <v>0</v>
      </c>
      <c r="P743" s="12">
        <f>SUMIFS(BASE!$G:$G,BASE!$B:$B,$B743,BASE!$L:$L,$G743,BASE!$J:$J,$C743,BASE!$A:$A,P$2)</f>
        <v>2</v>
      </c>
      <c r="Q743" s="12">
        <f>SUMIFS(BASE!$G:$G,BASE!$B:$B,$B743,BASE!$L:$L,$G743,BASE!$J:$J,$C743,BASE!$A:$A,Q$2)</f>
        <v>0</v>
      </c>
      <c r="R743" s="12">
        <f>SUMIFS(BASE!$G:$G,BASE!$B:$B,$B743,BASE!$L:$L,$G743,BASE!$J:$J,$C743,BASE!$A:$A,R$2)</f>
        <v>3</v>
      </c>
      <c r="S743" s="12">
        <f>SUMIFS(BASE!$G:$G,BASE!$B:$B,$B743,BASE!$L:$L,$G743,BASE!$J:$J,$C743,BASE!$A:$A,S$2)</f>
        <v>0</v>
      </c>
      <c r="T743" s="12">
        <f>SUMIFS(BASE!$G:$G,BASE!$B:$B,$B743,BASE!$L:$L,$G743,BASE!$J:$J,$C743,BASE!$A:$A,T$2)</f>
        <v>0</v>
      </c>
      <c r="U743" s="12">
        <f>SUMIFS(BASE!$G:$G,BASE!$B:$B,$B743,BASE!$L:$L,$G743,BASE!$J:$J,$C743,BASE!$A:$A,U$2)</f>
        <v>0</v>
      </c>
      <c r="V743" s="12">
        <f>SUMIFS(BASE!$G:$G,BASE!$B:$B,$B743,BASE!$L:$L,$G743,BASE!$J:$J,$C743,BASE!$A:$A,V$2)</f>
        <v>0</v>
      </c>
      <c r="X743" t="str">
        <f t="shared" si="23"/>
        <v>COM TROCAS</v>
      </c>
    </row>
    <row r="744" spans="2:24">
      <c r="B744" s="8" t="s">
        <v>1590</v>
      </c>
      <c r="C744" s="9" t="s">
        <v>204</v>
      </c>
      <c r="D744" s="9" t="s">
        <v>1456</v>
      </c>
      <c r="E744" s="9" t="s">
        <v>1423</v>
      </c>
      <c r="F744" s="9" t="s">
        <v>1591</v>
      </c>
      <c r="G744" s="9" t="s">
        <v>54</v>
      </c>
      <c r="H744" s="7" t="str">
        <f>IFERROR(IF(_xlfn.XLOOKUP(B744,REPASSE!D:D,REPASSE!D:D)="","Não","Sim"),"Não")</f>
        <v>Não</v>
      </c>
      <c r="I744" s="7" t="str">
        <f>IF(_xlfn.XLOOKUP(B744,'BOOST LIBERADO'!B:B,'BOOST LIBERADO'!B:B,"Não")="Não","Não","Sim")</f>
        <v>Sim</v>
      </c>
      <c r="J744" s="83" t="str">
        <f t="shared" si="22"/>
        <v>Sim</v>
      </c>
      <c r="K744" s="12">
        <f>SUMIFS(BASE!$G:$G,BASE!$B:$B,$B744,BASE!$L:$L,$G744,BASE!$J:$J,$C744,BASE!$A:$A,K$2)</f>
        <v>0</v>
      </c>
      <c r="L744" s="12">
        <f>SUMIFS(BASE!$G:$G,BASE!$B:$B,$B744,BASE!$L:$L,$G744,BASE!$J:$J,$C744,BASE!$A:$A,L$2)</f>
        <v>0</v>
      </c>
      <c r="M744" s="12">
        <f>SUMIFS(BASE!$G:$G,BASE!$B:$B,$B744,BASE!$L:$L,$G744,BASE!$J:$J,$C744,BASE!$A:$A,M$2)</f>
        <v>0</v>
      </c>
      <c r="N744" s="12">
        <f>SUMIFS(BASE!$G:$G,BASE!$B:$B,$B744,BASE!$L:$L,$G744,BASE!$J:$J,$C744,BASE!$A:$A,N$2)</f>
        <v>0</v>
      </c>
      <c r="O744" s="12">
        <f>SUMIFS(BASE!$G:$G,BASE!$B:$B,$B744,BASE!$L:$L,$G744,BASE!$J:$J,$C744,BASE!$A:$A,O$2)</f>
        <v>0</v>
      </c>
      <c r="P744" s="12">
        <f>SUMIFS(BASE!$G:$G,BASE!$B:$B,$B744,BASE!$L:$L,$G744,BASE!$J:$J,$C744,BASE!$A:$A,P$2)</f>
        <v>0</v>
      </c>
      <c r="Q744" s="12">
        <f>SUMIFS(BASE!$G:$G,BASE!$B:$B,$B744,BASE!$L:$L,$G744,BASE!$J:$J,$C744,BASE!$A:$A,Q$2)</f>
        <v>0</v>
      </c>
      <c r="R744" s="12">
        <f>SUMIFS(BASE!$G:$G,BASE!$B:$B,$B744,BASE!$L:$L,$G744,BASE!$J:$J,$C744,BASE!$A:$A,R$2)</f>
        <v>0</v>
      </c>
      <c r="S744" s="12">
        <f>SUMIFS(BASE!$G:$G,BASE!$B:$B,$B744,BASE!$L:$L,$G744,BASE!$J:$J,$C744,BASE!$A:$A,S$2)</f>
        <v>0</v>
      </c>
      <c r="T744" s="12">
        <f>SUMIFS(BASE!$G:$G,BASE!$B:$B,$B744,BASE!$L:$L,$G744,BASE!$J:$J,$C744,BASE!$A:$A,T$2)</f>
        <v>0</v>
      </c>
      <c r="U744" s="12">
        <f>SUMIFS(BASE!$G:$G,BASE!$B:$B,$B744,BASE!$L:$L,$G744,BASE!$J:$J,$C744,BASE!$A:$A,U$2)</f>
        <v>0</v>
      </c>
      <c r="V744" s="12">
        <f>SUMIFS(BASE!$G:$G,BASE!$B:$B,$B744,BASE!$L:$L,$G744,BASE!$J:$J,$C744,BASE!$A:$A,V$2)</f>
        <v>0</v>
      </c>
      <c r="X744" t="str">
        <f t="shared" si="23"/>
        <v>ZERADO</v>
      </c>
    </row>
    <row r="745" spans="2:24">
      <c r="B745" s="8" t="s">
        <v>1592</v>
      </c>
      <c r="C745" s="9" t="s">
        <v>106</v>
      </c>
      <c r="D745" s="9" t="s">
        <v>1514</v>
      </c>
      <c r="E745" s="9" t="s">
        <v>1438</v>
      </c>
      <c r="F745" s="9" t="s">
        <v>1593</v>
      </c>
      <c r="G745" s="9" t="s">
        <v>54</v>
      </c>
      <c r="H745" s="7" t="str">
        <f>IFERROR(IF(_xlfn.XLOOKUP(B745,REPASSE!D:D,REPASSE!D:D)="","Não","Sim"),"Não")</f>
        <v>Não</v>
      </c>
      <c r="I745" s="7" t="str">
        <f>IF(_xlfn.XLOOKUP(B745,'BOOST LIBERADO'!B:B,'BOOST LIBERADO'!B:B,"Não")="Não","Não","Sim")</f>
        <v>Sim</v>
      </c>
      <c r="J745" s="83" t="str">
        <f t="shared" si="22"/>
        <v>Sim</v>
      </c>
      <c r="K745" s="12">
        <f>SUMIFS(BASE!$G:$G,BASE!$B:$B,$B745,BASE!$L:$L,$G745,BASE!$J:$J,$C745,BASE!$A:$A,K$2)</f>
        <v>0</v>
      </c>
      <c r="L745" s="12">
        <f>SUMIFS(BASE!$G:$G,BASE!$B:$B,$B745,BASE!$L:$L,$G745,BASE!$J:$J,$C745,BASE!$A:$A,L$2)</f>
        <v>0</v>
      </c>
      <c r="M745" s="12">
        <f>SUMIFS(BASE!$G:$G,BASE!$B:$B,$B745,BASE!$L:$L,$G745,BASE!$J:$J,$C745,BASE!$A:$A,M$2)</f>
        <v>0</v>
      </c>
      <c r="N745" s="12">
        <f>SUMIFS(BASE!$G:$G,BASE!$B:$B,$B745,BASE!$L:$L,$G745,BASE!$J:$J,$C745,BASE!$A:$A,N$2)</f>
        <v>1</v>
      </c>
      <c r="O745" s="12">
        <f>SUMIFS(BASE!$G:$G,BASE!$B:$B,$B745,BASE!$L:$L,$G745,BASE!$J:$J,$C745,BASE!$A:$A,O$2)</f>
        <v>0</v>
      </c>
      <c r="P745" s="12">
        <f>SUMIFS(BASE!$G:$G,BASE!$B:$B,$B745,BASE!$L:$L,$G745,BASE!$J:$J,$C745,BASE!$A:$A,P$2)</f>
        <v>2</v>
      </c>
      <c r="Q745" s="12">
        <f>SUMIFS(BASE!$G:$G,BASE!$B:$B,$B745,BASE!$L:$L,$G745,BASE!$J:$J,$C745,BASE!$A:$A,Q$2)</f>
        <v>0</v>
      </c>
      <c r="R745" s="12">
        <f>SUMIFS(BASE!$G:$G,BASE!$B:$B,$B745,BASE!$L:$L,$G745,BASE!$J:$J,$C745,BASE!$A:$A,R$2)</f>
        <v>1</v>
      </c>
      <c r="S745" s="12">
        <f>SUMIFS(BASE!$G:$G,BASE!$B:$B,$B745,BASE!$L:$L,$G745,BASE!$J:$J,$C745,BASE!$A:$A,S$2)</f>
        <v>0</v>
      </c>
      <c r="T745" s="12">
        <f>SUMIFS(BASE!$G:$G,BASE!$B:$B,$B745,BASE!$L:$L,$G745,BASE!$J:$J,$C745,BASE!$A:$A,T$2)</f>
        <v>0</v>
      </c>
      <c r="U745" s="12">
        <f>SUMIFS(BASE!$G:$G,BASE!$B:$B,$B745,BASE!$L:$L,$G745,BASE!$J:$J,$C745,BASE!$A:$A,U$2)</f>
        <v>0</v>
      </c>
      <c r="V745" s="12">
        <f>SUMIFS(BASE!$G:$G,BASE!$B:$B,$B745,BASE!$L:$L,$G745,BASE!$J:$J,$C745,BASE!$A:$A,V$2)</f>
        <v>0</v>
      </c>
      <c r="X745" t="str">
        <f t="shared" si="23"/>
        <v>COM TROCAS</v>
      </c>
    </row>
    <row r="746" spans="2:24">
      <c r="B746" s="8" t="s">
        <v>1594</v>
      </c>
      <c r="C746" s="9" t="s">
        <v>120</v>
      </c>
      <c r="D746" s="9" t="s">
        <v>1437</v>
      </c>
      <c r="E746" s="9" t="s">
        <v>1438</v>
      </c>
      <c r="F746" s="9" t="s">
        <v>1512</v>
      </c>
      <c r="G746" s="9" t="s">
        <v>54</v>
      </c>
      <c r="H746" s="7" t="str">
        <f>IFERROR(IF(_xlfn.XLOOKUP(B746,REPASSE!D:D,REPASSE!D:D)="","Não","Sim"),"Não")</f>
        <v>Não</v>
      </c>
      <c r="I746" s="7" t="str">
        <f>IF(_xlfn.XLOOKUP(B746,'BOOST LIBERADO'!B:B,'BOOST LIBERADO'!B:B,"Não")="Não","Não","Sim")</f>
        <v>Sim</v>
      </c>
      <c r="J746" s="83" t="str">
        <f t="shared" si="22"/>
        <v>Sim</v>
      </c>
      <c r="K746" s="12">
        <f>SUMIFS(BASE!$G:$G,BASE!$B:$B,$B746,BASE!$L:$L,$G746,BASE!$J:$J,$C746,BASE!$A:$A,K$2)</f>
        <v>0</v>
      </c>
      <c r="L746" s="12">
        <f>SUMIFS(BASE!$G:$G,BASE!$B:$B,$B746,BASE!$L:$L,$G746,BASE!$J:$J,$C746,BASE!$A:$A,L$2)</f>
        <v>0</v>
      </c>
      <c r="M746" s="12">
        <f>SUMIFS(BASE!$G:$G,BASE!$B:$B,$B746,BASE!$L:$L,$G746,BASE!$J:$J,$C746,BASE!$A:$A,M$2)</f>
        <v>0</v>
      </c>
      <c r="N746" s="12">
        <f>SUMIFS(BASE!$G:$G,BASE!$B:$B,$B746,BASE!$L:$L,$G746,BASE!$J:$J,$C746,BASE!$A:$A,N$2)</f>
        <v>0</v>
      </c>
      <c r="O746" s="12">
        <f>SUMIFS(BASE!$G:$G,BASE!$B:$B,$B746,BASE!$L:$L,$G746,BASE!$J:$J,$C746,BASE!$A:$A,O$2)</f>
        <v>1</v>
      </c>
      <c r="P746" s="12">
        <f>SUMIFS(BASE!$G:$G,BASE!$B:$B,$B746,BASE!$L:$L,$G746,BASE!$J:$J,$C746,BASE!$A:$A,P$2)</f>
        <v>0</v>
      </c>
      <c r="Q746" s="12">
        <f>SUMIFS(BASE!$G:$G,BASE!$B:$B,$B746,BASE!$L:$L,$G746,BASE!$J:$J,$C746,BASE!$A:$A,Q$2)</f>
        <v>0</v>
      </c>
      <c r="R746" s="12">
        <f>SUMIFS(BASE!$G:$G,BASE!$B:$B,$B746,BASE!$L:$L,$G746,BASE!$J:$J,$C746,BASE!$A:$A,R$2)</f>
        <v>1</v>
      </c>
      <c r="S746" s="12">
        <f>SUMIFS(BASE!$G:$G,BASE!$B:$B,$B746,BASE!$L:$L,$G746,BASE!$J:$J,$C746,BASE!$A:$A,S$2)</f>
        <v>0</v>
      </c>
      <c r="T746" s="12">
        <f>SUMIFS(BASE!$G:$G,BASE!$B:$B,$B746,BASE!$L:$L,$G746,BASE!$J:$J,$C746,BASE!$A:$A,T$2)</f>
        <v>0</v>
      </c>
      <c r="U746" s="12">
        <f>SUMIFS(BASE!$G:$G,BASE!$B:$B,$B746,BASE!$L:$L,$G746,BASE!$J:$J,$C746,BASE!$A:$A,U$2)</f>
        <v>0</v>
      </c>
      <c r="V746" s="12">
        <f>SUMIFS(BASE!$G:$G,BASE!$B:$B,$B746,BASE!$L:$L,$G746,BASE!$J:$J,$C746,BASE!$A:$A,V$2)</f>
        <v>0</v>
      </c>
      <c r="X746" t="str">
        <f t="shared" si="23"/>
        <v>COM TROCAS</v>
      </c>
    </row>
    <row r="747" spans="2:24">
      <c r="B747" s="8" t="s">
        <v>1595</v>
      </c>
      <c r="C747" s="9" t="s">
        <v>180</v>
      </c>
      <c r="D747" s="9" t="s">
        <v>1494</v>
      </c>
      <c r="E747" s="9" t="s">
        <v>1438</v>
      </c>
      <c r="F747" s="9" t="s">
        <v>1596</v>
      </c>
      <c r="G747" s="9" t="s">
        <v>54</v>
      </c>
      <c r="H747" s="7" t="str">
        <f>IFERROR(IF(_xlfn.XLOOKUP(B747,REPASSE!D:D,REPASSE!D:D)="","Não","Sim"),"Não")</f>
        <v>Não</v>
      </c>
      <c r="I747" s="7" t="str">
        <f>IF(_xlfn.XLOOKUP(B747,'BOOST LIBERADO'!B:B,'BOOST LIBERADO'!B:B,"Não")="Não","Não","Sim")</f>
        <v>Sim</v>
      </c>
      <c r="J747" s="83" t="str">
        <f t="shared" si="22"/>
        <v>Sim</v>
      </c>
      <c r="K747" s="12">
        <f>SUMIFS(BASE!$G:$G,BASE!$B:$B,$B747,BASE!$L:$L,$G747,BASE!$J:$J,$C747,BASE!$A:$A,K$2)</f>
        <v>0</v>
      </c>
      <c r="L747" s="12">
        <f>SUMIFS(BASE!$G:$G,BASE!$B:$B,$B747,BASE!$L:$L,$G747,BASE!$J:$J,$C747,BASE!$A:$A,L$2)</f>
        <v>0</v>
      </c>
      <c r="M747" s="12">
        <f>SUMIFS(BASE!$G:$G,BASE!$B:$B,$B747,BASE!$L:$L,$G747,BASE!$J:$J,$C747,BASE!$A:$A,M$2)</f>
        <v>0</v>
      </c>
      <c r="N747" s="12">
        <f>SUMIFS(BASE!$G:$G,BASE!$B:$B,$B747,BASE!$L:$L,$G747,BASE!$J:$J,$C747,BASE!$A:$A,N$2)</f>
        <v>0</v>
      </c>
      <c r="O747" s="12">
        <f>SUMIFS(BASE!$G:$G,BASE!$B:$B,$B747,BASE!$L:$L,$G747,BASE!$J:$J,$C747,BASE!$A:$A,O$2)</f>
        <v>0</v>
      </c>
      <c r="P747" s="12">
        <f>SUMIFS(BASE!$G:$G,BASE!$B:$B,$B747,BASE!$L:$L,$G747,BASE!$J:$J,$C747,BASE!$A:$A,P$2)</f>
        <v>0</v>
      </c>
      <c r="Q747" s="12">
        <f>SUMIFS(BASE!$G:$G,BASE!$B:$B,$B747,BASE!$L:$L,$G747,BASE!$J:$J,$C747,BASE!$A:$A,Q$2)</f>
        <v>0</v>
      </c>
      <c r="R747" s="12">
        <f>SUMIFS(BASE!$G:$G,BASE!$B:$B,$B747,BASE!$L:$L,$G747,BASE!$J:$J,$C747,BASE!$A:$A,R$2)</f>
        <v>0</v>
      </c>
      <c r="S747" s="12">
        <f>SUMIFS(BASE!$G:$G,BASE!$B:$B,$B747,BASE!$L:$L,$G747,BASE!$J:$J,$C747,BASE!$A:$A,S$2)</f>
        <v>0</v>
      </c>
      <c r="T747" s="12">
        <f>SUMIFS(BASE!$G:$G,BASE!$B:$B,$B747,BASE!$L:$L,$G747,BASE!$J:$J,$C747,BASE!$A:$A,T$2)</f>
        <v>0</v>
      </c>
      <c r="U747" s="12">
        <f>SUMIFS(BASE!$G:$G,BASE!$B:$B,$B747,BASE!$L:$L,$G747,BASE!$J:$J,$C747,BASE!$A:$A,U$2)</f>
        <v>0</v>
      </c>
      <c r="V747" s="12">
        <f>SUMIFS(BASE!$G:$G,BASE!$B:$B,$B747,BASE!$L:$L,$G747,BASE!$J:$J,$C747,BASE!$A:$A,V$2)</f>
        <v>0</v>
      </c>
      <c r="X747" t="str">
        <f t="shared" si="23"/>
        <v>ZERADO</v>
      </c>
    </row>
    <row r="748" spans="2:24">
      <c r="B748" s="8" t="s">
        <v>1597</v>
      </c>
      <c r="C748" s="9" t="s">
        <v>106</v>
      </c>
      <c r="D748" s="9" t="s">
        <v>1434</v>
      </c>
      <c r="E748" s="9" t="s">
        <v>1423</v>
      </c>
      <c r="F748" s="9" t="s">
        <v>1503</v>
      </c>
      <c r="G748" s="9" t="s">
        <v>54</v>
      </c>
      <c r="H748" s="7" t="str">
        <f>IFERROR(IF(_xlfn.XLOOKUP(B748,REPASSE!D:D,REPASSE!D:D)="","Não","Sim"),"Não")</f>
        <v>Não</v>
      </c>
      <c r="I748" s="7" t="str">
        <f>IF(_xlfn.XLOOKUP(B748,'BOOST LIBERADO'!B:B,'BOOST LIBERADO'!B:B,"Não")="Não","Não","Sim")</f>
        <v>Sim</v>
      </c>
      <c r="J748" s="83" t="str">
        <f t="shared" si="22"/>
        <v>Sim</v>
      </c>
      <c r="K748" s="12">
        <f>SUMIFS(BASE!$G:$G,BASE!$B:$B,$B748,BASE!$L:$L,$G748,BASE!$J:$J,$C748,BASE!$A:$A,K$2)</f>
        <v>0</v>
      </c>
      <c r="L748" s="12">
        <f>SUMIFS(BASE!$G:$G,BASE!$B:$B,$B748,BASE!$L:$L,$G748,BASE!$J:$J,$C748,BASE!$A:$A,L$2)</f>
        <v>0</v>
      </c>
      <c r="M748" s="12">
        <f>SUMIFS(BASE!$G:$G,BASE!$B:$B,$B748,BASE!$L:$L,$G748,BASE!$J:$J,$C748,BASE!$A:$A,M$2)</f>
        <v>0</v>
      </c>
      <c r="N748" s="12">
        <f>SUMIFS(BASE!$G:$G,BASE!$B:$B,$B748,BASE!$L:$L,$G748,BASE!$J:$J,$C748,BASE!$A:$A,N$2)</f>
        <v>0</v>
      </c>
      <c r="O748" s="12">
        <f>SUMIFS(BASE!$G:$G,BASE!$B:$B,$B748,BASE!$L:$L,$G748,BASE!$J:$J,$C748,BASE!$A:$A,O$2)</f>
        <v>0</v>
      </c>
      <c r="P748" s="12">
        <f>SUMIFS(BASE!$G:$G,BASE!$B:$B,$B748,BASE!$L:$L,$G748,BASE!$J:$J,$C748,BASE!$A:$A,P$2)</f>
        <v>0</v>
      </c>
      <c r="Q748" s="12">
        <f>SUMIFS(BASE!$G:$G,BASE!$B:$B,$B748,BASE!$L:$L,$G748,BASE!$J:$J,$C748,BASE!$A:$A,Q$2)</f>
        <v>0</v>
      </c>
      <c r="R748" s="12">
        <f>SUMIFS(BASE!$G:$G,BASE!$B:$B,$B748,BASE!$L:$L,$G748,BASE!$J:$J,$C748,BASE!$A:$A,R$2)</f>
        <v>0</v>
      </c>
      <c r="S748" s="12">
        <f>SUMIFS(BASE!$G:$G,BASE!$B:$B,$B748,BASE!$L:$L,$G748,BASE!$J:$J,$C748,BASE!$A:$A,S$2)</f>
        <v>0</v>
      </c>
      <c r="T748" s="12">
        <f>SUMIFS(BASE!$G:$G,BASE!$B:$B,$B748,BASE!$L:$L,$G748,BASE!$J:$J,$C748,BASE!$A:$A,T$2)</f>
        <v>0</v>
      </c>
      <c r="U748" s="12">
        <f>SUMIFS(BASE!$G:$G,BASE!$B:$B,$B748,BASE!$L:$L,$G748,BASE!$J:$J,$C748,BASE!$A:$A,U$2)</f>
        <v>0</v>
      </c>
      <c r="V748" s="12">
        <f>SUMIFS(BASE!$G:$G,BASE!$B:$B,$B748,BASE!$L:$L,$G748,BASE!$J:$J,$C748,BASE!$A:$A,V$2)</f>
        <v>0</v>
      </c>
      <c r="X748" t="str">
        <f t="shared" si="23"/>
        <v>ZERADO</v>
      </c>
    </row>
    <row r="749" spans="2:24">
      <c r="B749" s="8" t="s">
        <v>1598</v>
      </c>
      <c r="C749" s="8" t="s">
        <v>180</v>
      </c>
      <c r="D749" s="8" t="s">
        <v>1494</v>
      </c>
      <c r="E749" s="8" t="s">
        <v>1438</v>
      </c>
      <c r="F749" s="8" t="s">
        <v>1599</v>
      </c>
      <c r="G749" s="8" t="s">
        <v>54</v>
      </c>
      <c r="H749" s="7" t="str">
        <f>IFERROR(IF(_xlfn.XLOOKUP(B749,REPASSE!D:D,REPASSE!D:D)="","Não","Sim"),"Não")</f>
        <v>Não</v>
      </c>
      <c r="I749" s="7" t="str">
        <f>IF(_xlfn.XLOOKUP(B749,'BOOST LIBERADO'!B:B,'BOOST LIBERADO'!B:B,"Não")="Não","Não","Sim")</f>
        <v>Sim</v>
      </c>
      <c r="J749" s="83" t="str">
        <f t="shared" si="22"/>
        <v>Sim</v>
      </c>
      <c r="K749" s="12">
        <f>SUMIFS(BASE!$G:$G,BASE!$B:$B,$B749,BASE!$L:$L,$G749,BASE!$J:$J,$C749,BASE!$A:$A,K$2)</f>
        <v>0</v>
      </c>
      <c r="L749" s="12">
        <f>SUMIFS(BASE!$G:$G,BASE!$B:$B,$B749,BASE!$L:$L,$G749,BASE!$J:$J,$C749,BASE!$A:$A,L$2)</f>
        <v>0</v>
      </c>
      <c r="M749" s="12">
        <f>SUMIFS(BASE!$G:$G,BASE!$B:$B,$B749,BASE!$L:$L,$G749,BASE!$J:$J,$C749,BASE!$A:$A,M$2)</f>
        <v>0</v>
      </c>
      <c r="N749" s="12">
        <f>SUMIFS(BASE!$G:$G,BASE!$B:$B,$B749,BASE!$L:$L,$G749,BASE!$J:$J,$C749,BASE!$A:$A,N$2)</f>
        <v>0</v>
      </c>
      <c r="O749" s="12">
        <f>SUMIFS(BASE!$G:$G,BASE!$B:$B,$B749,BASE!$L:$L,$G749,BASE!$J:$J,$C749,BASE!$A:$A,O$2)</f>
        <v>0</v>
      </c>
      <c r="P749" s="12">
        <f>SUMIFS(BASE!$G:$G,BASE!$B:$B,$B749,BASE!$L:$L,$G749,BASE!$J:$J,$C749,BASE!$A:$A,P$2)</f>
        <v>0</v>
      </c>
      <c r="Q749" s="12">
        <f>SUMIFS(BASE!$G:$G,BASE!$B:$B,$B749,BASE!$L:$L,$G749,BASE!$J:$J,$C749,BASE!$A:$A,Q$2)</f>
        <v>0</v>
      </c>
      <c r="R749" s="12">
        <f>SUMIFS(BASE!$G:$G,BASE!$B:$B,$B749,BASE!$L:$L,$G749,BASE!$J:$J,$C749,BASE!$A:$A,R$2)</f>
        <v>0</v>
      </c>
      <c r="S749" s="12">
        <f>SUMIFS(BASE!$G:$G,BASE!$B:$B,$B749,BASE!$L:$L,$G749,BASE!$J:$J,$C749,BASE!$A:$A,S$2)</f>
        <v>0</v>
      </c>
      <c r="T749" s="12">
        <f>SUMIFS(BASE!$G:$G,BASE!$B:$B,$B749,BASE!$L:$L,$G749,BASE!$J:$J,$C749,BASE!$A:$A,T$2)</f>
        <v>0</v>
      </c>
      <c r="U749" s="12">
        <f>SUMIFS(BASE!$G:$G,BASE!$B:$B,$B749,BASE!$L:$L,$G749,BASE!$J:$J,$C749,BASE!$A:$A,U$2)</f>
        <v>0</v>
      </c>
      <c r="V749" s="12">
        <f>SUMIFS(BASE!$G:$G,BASE!$B:$B,$B749,BASE!$L:$L,$G749,BASE!$J:$J,$C749,BASE!$A:$A,V$2)</f>
        <v>0</v>
      </c>
      <c r="X749" t="str">
        <f t="shared" si="23"/>
        <v>ZERADO</v>
      </c>
    </row>
    <row r="750" spans="2:24">
      <c r="B750" s="8" t="s">
        <v>1600</v>
      </c>
      <c r="C750" s="9" t="s">
        <v>112</v>
      </c>
      <c r="D750" s="9" t="s">
        <v>1488</v>
      </c>
      <c r="E750" s="9" t="s">
        <v>1438</v>
      </c>
      <c r="F750" s="9" t="s">
        <v>1601</v>
      </c>
      <c r="G750" s="9" t="s">
        <v>54</v>
      </c>
      <c r="H750" s="7" t="str">
        <f>IFERROR(IF(_xlfn.XLOOKUP(B750,REPASSE!D:D,REPASSE!D:D)="","Não","Sim"),"Não")</f>
        <v>Não</v>
      </c>
      <c r="I750" s="7" t="str">
        <f>IF(_xlfn.XLOOKUP(B750,'BOOST LIBERADO'!B:B,'BOOST LIBERADO'!B:B,"Não")="Não","Não","Sim")</f>
        <v>Não</v>
      </c>
      <c r="J750" s="83" t="str">
        <f t="shared" si="22"/>
        <v>Não</v>
      </c>
      <c r="K750" s="12">
        <f>SUMIFS(BASE!$G:$G,BASE!$B:$B,$B750,BASE!$L:$L,$G750,BASE!$J:$J,$C750,BASE!$A:$A,K$2)</f>
        <v>0</v>
      </c>
      <c r="L750" s="12">
        <f>SUMIFS(BASE!$G:$G,BASE!$B:$B,$B750,BASE!$L:$L,$G750,BASE!$J:$J,$C750,BASE!$A:$A,L$2)</f>
        <v>0</v>
      </c>
      <c r="M750" s="12">
        <f>SUMIFS(BASE!$G:$G,BASE!$B:$B,$B750,BASE!$L:$L,$G750,BASE!$J:$J,$C750,BASE!$A:$A,M$2)</f>
        <v>0</v>
      </c>
      <c r="N750" s="12">
        <f>SUMIFS(BASE!$G:$G,BASE!$B:$B,$B750,BASE!$L:$L,$G750,BASE!$J:$J,$C750,BASE!$A:$A,N$2)</f>
        <v>0</v>
      </c>
      <c r="O750" s="12">
        <f>SUMIFS(BASE!$G:$G,BASE!$B:$B,$B750,BASE!$L:$L,$G750,BASE!$J:$J,$C750,BASE!$A:$A,O$2)</f>
        <v>0</v>
      </c>
      <c r="P750" s="12">
        <f>SUMIFS(BASE!$G:$G,BASE!$B:$B,$B750,BASE!$L:$L,$G750,BASE!$J:$J,$C750,BASE!$A:$A,P$2)</f>
        <v>0</v>
      </c>
      <c r="Q750" s="12">
        <f>SUMIFS(BASE!$G:$G,BASE!$B:$B,$B750,BASE!$L:$L,$G750,BASE!$J:$J,$C750,BASE!$A:$A,Q$2)</f>
        <v>0</v>
      </c>
      <c r="R750" s="12">
        <f>SUMIFS(BASE!$G:$G,BASE!$B:$B,$B750,BASE!$L:$L,$G750,BASE!$J:$J,$C750,BASE!$A:$A,R$2)</f>
        <v>0</v>
      </c>
      <c r="S750" s="12">
        <f>SUMIFS(BASE!$G:$G,BASE!$B:$B,$B750,BASE!$L:$L,$G750,BASE!$J:$J,$C750,BASE!$A:$A,S$2)</f>
        <v>0</v>
      </c>
      <c r="T750" s="12">
        <f>SUMIFS(BASE!$G:$G,BASE!$B:$B,$B750,BASE!$L:$L,$G750,BASE!$J:$J,$C750,BASE!$A:$A,T$2)</f>
        <v>0</v>
      </c>
      <c r="U750" s="12">
        <f>SUMIFS(BASE!$G:$G,BASE!$B:$B,$B750,BASE!$L:$L,$G750,BASE!$J:$J,$C750,BASE!$A:$A,U$2)</f>
        <v>0</v>
      </c>
      <c r="V750" s="12">
        <f>SUMIFS(BASE!$G:$G,BASE!$B:$B,$B750,BASE!$L:$L,$G750,BASE!$J:$J,$C750,BASE!$A:$A,V$2)</f>
        <v>0</v>
      </c>
      <c r="X750" t="str">
        <f t="shared" si="23"/>
        <v>ZERADO</v>
      </c>
    </row>
    <row r="751" spans="2:24">
      <c r="B751" s="8" t="s">
        <v>1602</v>
      </c>
      <c r="C751" s="9" t="s">
        <v>232</v>
      </c>
      <c r="D751" s="9" t="s">
        <v>1488</v>
      </c>
      <c r="E751" s="9" t="s">
        <v>1438</v>
      </c>
      <c r="F751" s="9" t="s">
        <v>1489</v>
      </c>
      <c r="G751" s="9" t="s">
        <v>54</v>
      </c>
      <c r="H751" s="7" t="str">
        <f>IFERROR(IF(_xlfn.XLOOKUP(B751,REPASSE!D:D,REPASSE!D:D)="","Não","Sim"),"Não")</f>
        <v>Não</v>
      </c>
      <c r="I751" s="7" t="str">
        <f>IF(_xlfn.XLOOKUP(B751,'BOOST LIBERADO'!B:B,'BOOST LIBERADO'!B:B,"Não")="Não","Não","Sim")</f>
        <v>Sim</v>
      </c>
      <c r="J751" s="83" t="str">
        <f t="shared" si="22"/>
        <v>Sim</v>
      </c>
      <c r="K751" s="12">
        <f>SUMIFS(BASE!$G:$G,BASE!$B:$B,$B751,BASE!$L:$L,$G751,BASE!$J:$J,$C751,BASE!$A:$A,K$2)</f>
        <v>10</v>
      </c>
      <c r="L751" s="12">
        <f>SUMIFS(BASE!$G:$G,BASE!$B:$B,$B751,BASE!$L:$L,$G751,BASE!$J:$J,$C751,BASE!$A:$A,L$2)</f>
        <v>17</v>
      </c>
      <c r="M751" s="12">
        <f>SUMIFS(BASE!$G:$G,BASE!$B:$B,$B751,BASE!$L:$L,$G751,BASE!$J:$J,$C751,BASE!$A:$A,M$2)</f>
        <v>24</v>
      </c>
      <c r="N751" s="12">
        <f>SUMIFS(BASE!$G:$G,BASE!$B:$B,$B751,BASE!$L:$L,$G751,BASE!$J:$J,$C751,BASE!$A:$A,N$2)</f>
        <v>19</v>
      </c>
      <c r="O751" s="12">
        <f>SUMIFS(BASE!$G:$G,BASE!$B:$B,$B751,BASE!$L:$L,$G751,BASE!$J:$J,$C751,BASE!$A:$A,O$2)</f>
        <v>24</v>
      </c>
      <c r="P751" s="12">
        <f>SUMIFS(BASE!$G:$G,BASE!$B:$B,$B751,BASE!$L:$L,$G751,BASE!$J:$J,$C751,BASE!$A:$A,P$2)</f>
        <v>35</v>
      </c>
      <c r="Q751" s="12">
        <f>SUMIFS(BASE!$G:$G,BASE!$B:$B,$B751,BASE!$L:$L,$G751,BASE!$J:$J,$C751,BASE!$A:$A,Q$2)</f>
        <v>45</v>
      </c>
      <c r="R751" s="12">
        <f>SUMIFS(BASE!$G:$G,BASE!$B:$B,$B751,BASE!$L:$L,$G751,BASE!$J:$J,$C751,BASE!$A:$A,R$2)</f>
        <v>31</v>
      </c>
      <c r="S751" s="12">
        <f>SUMIFS(BASE!$G:$G,BASE!$B:$B,$B751,BASE!$L:$L,$G751,BASE!$J:$J,$C751,BASE!$A:$A,S$2)</f>
        <v>0</v>
      </c>
      <c r="T751" s="12">
        <f>SUMIFS(BASE!$G:$G,BASE!$B:$B,$B751,BASE!$L:$L,$G751,BASE!$J:$J,$C751,BASE!$A:$A,T$2)</f>
        <v>0</v>
      </c>
      <c r="U751" s="12">
        <f>SUMIFS(BASE!$G:$G,BASE!$B:$B,$B751,BASE!$L:$L,$G751,BASE!$J:$J,$C751,BASE!$A:$A,U$2)</f>
        <v>0</v>
      </c>
      <c r="V751" s="12">
        <f>SUMIFS(BASE!$G:$G,BASE!$B:$B,$B751,BASE!$L:$L,$G751,BASE!$J:$J,$C751,BASE!$A:$A,V$2)</f>
        <v>0</v>
      </c>
      <c r="X751" t="str">
        <f t="shared" si="23"/>
        <v>COM TROCAS</v>
      </c>
    </row>
    <row r="752" spans="2:24">
      <c r="B752" s="8" t="s">
        <v>1603</v>
      </c>
      <c r="C752" s="9" t="s">
        <v>119</v>
      </c>
      <c r="D752" s="9" t="s">
        <v>1431</v>
      </c>
      <c r="E752" s="9" t="s">
        <v>1412</v>
      </c>
      <c r="F752" s="9" t="s">
        <v>1557</v>
      </c>
      <c r="G752" s="9" t="s">
        <v>54</v>
      </c>
      <c r="H752" s="7" t="str">
        <f>IFERROR(IF(_xlfn.XLOOKUP(B752,REPASSE!D:D,REPASSE!D:D)="","Não","Sim"),"Não")</f>
        <v>Não</v>
      </c>
      <c r="I752" s="7" t="str">
        <f>IF(_xlfn.XLOOKUP(B752,'BOOST LIBERADO'!B:B,'BOOST LIBERADO'!B:B,"Não")="Não","Não","Sim")</f>
        <v>Sim</v>
      </c>
      <c r="J752" s="83" t="str">
        <f t="shared" si="22"/>
        <v>Sim</v>
      </c>
      <c r="K752" s="12">
        <f>SUMIFS(BASE!$G:$G,BASE!$B:$B,$B752,BASE!$L:$L,$G752,BASE!$J:$J,$C752,BASE!$A:$A,K$2)</f>
        <v>1</v>
      </c>
      <c r="L752" s="12">
        <f>SUMIFS(BASE!$G:$G,BASE!$B:$B,$B752,BASE!$L:$L,$G752,BASE!$J:$J,$C752,BASE!$A:$A,L$2)</f>
        <v>0</v>
      </c>
      <c r="M752" s="12">
        <f>SUMIFS(BASE!$G:$G,BASE!$B:$B,$B752,BASE!$L:$L,$G752,BASE!$J:$J,$C752,BASE!$A:$A,M$2)</f>
        <v>0</v>
      </c>
      <c r="N752" s="12">
        <f>SUMIFS(BASE!$G:$G,BASE!$B:$B,$B752,BASE!$L:$L,$G752,BASE!$J:$J,$C752,BASE!$A:$A,N$2)</f>
        <v>0</v>
      </c>
      <c r="O752" s="12">
        <f>SUMIFS(BASE!$G:$G,BASE!$B:$B,$B752,BASE!$L:$L,$G752,BASE!$J:$J,$C752,BASE!$A:$A,O$2)</f>
        <v>1</v>
      </c>
      <c r="P752" s="12">
        <f>SUMIFS(BASE!$G:$G,BASE!$B:$B,$B752,BASE!$L:$L,$G752,BASE!$J:$J,$C752,BASE!$A:$A,P$2)</f>
        <v>1</v>
      </c>
      <c r="Q752" s="12">
        <f>SUMIFS(BASE!$G:$G,BASE!$B:$B,$B752,BASE!$L:$L,$G752,BASE!$J:$J,$C752,BASE!$A:$A,Q$2)</f>
        <v>2</v>
      </c>
      <c r="R752" s="12">
        <f>SUMIFS(BASE!$G:$G,BASE!$B:$B,$B752,BASE!$L:$L,$G752,BASE!$J:$J,$C752,BASE!$A:$A,R$2)</f>
        <v>2</v>
      </c>
      <c r="S752" s="12">
        <f>SUMIFS(BASE!$G:$G,BASE!$B:$B,$B752,BASE!$L:$L,$G752,BASE!$J:$J,$C752,BASE!$A:$A,S$2)</f>
        <v>0</v>
      </c>
      <c r="T752" s="12">
        <f>SUMIFS(BASE!$G:$G,BASE!$B:$B,$B752,BASE!$L:$L,$G752,BASE!$J:$J,$C752,BASE!$A:$A,T$2)</f>
        <v>0</v>
      </c>
      <c r="U752" s="12">
        <f>SUMIFS(BASE!$G:$G,BASE!$B:$B,$B752,BASE!$L:$L,$G752,BASE!$J:$J,$C752,BASE!$A:$A,U$2)</f>
        <v>0</v>
      </c>
      <c r="V752" s="12">
        <f>SUMIFS(BASE!$G:$G,BASE!$B:$B,$B752,BASE!$L:$L,$G752,BASE!$J:$J,$C752,BASE!$A:$A,V$2)</f>
        <v>0</v>
      </c>
      <c r="X752" t="str">
        <f t="shared" si="23"/>
        <v>COM TROCAS</v>
      </c>
    </row>
    <row r="753" spans="2:24">
      <c r="B753" s="8" t="s">
        <v>1604</v>
      </c>
      <c r="C753" s="9" t="s">
        <v>106</v>
      </c>
      <c r="D753" s="9" t="s">
        <v>1502</v>
      </c>
      <c r="E753" s="9" t="s">
        <v>1423</v>
      </c>
      <c r="F753" s="9" t="s">
        <v>1605</v>
      </c>
      <c r="G753" s="9" t="s">
        <v>54</v>
      </c>
      <c r="H753" s="7" t="str">
        <f>IFERROR(IF(_xlfn.XLOOKUP(B753,REPASSE!D:D,REPASSE!D:D)="","Não","Sim"),"Não")</f>
        <v>Não</v>
      </c>
      <c r="I753" s="7" t="str">
        <f>IF(_xlfn.XLOOKUP(B753,'BOOST LIBERADO'!B:B,'BOOST LIBERADO'!B:B,"Não")="Não","Não","Sim")</f>
        <v>Sim</v>
      </c>
      <c r="J753" s="83" t="str">
        <f t="shared" si="22"/>
        <v>Sim</v>
      </c>
      <c r="K753" s="12">
        <f>SUMIFS(BASE!$G:$G,BASE!$B:$B,$B753,BASE!$L:$L,$G753,BASE!$J:$J,$C753,BASE!$A:$A,K$2)</f>
        <v>0</v>
      </c>
      <c r="L753" s="12">
        <f>SUMIFS(BASE!$G:$G,BASE!$B:$B,$B753,BASE!$L:$L,$G753,BASE!$J:$J,$C753,BASE!$A:$A,L$2)</f>
        <v>0</v>
      </c>
      <c r="M753" s="12">
        <f>SUMIFS(BASE!$G:$G,BASE!$B:$B,$B753,BASE!$L:$L,$G753,BASE!$J:$J,$C753,BASE!$A:$A,M$2)</f>
        <v>0</v>
      </c>
      <c r="N753" s="12">
        <f>SUMIFS(BASE!$G:$G,BASE!$B:$B,$B753,BASE!$L:$L,$G753,BASE!$J:$J,$C753,BASE!$A:$A,N$2)</f>
        <v>0</v>
      </c>
      <c r="O753" s="12">
        <f>SUMIFS(BASE!$G:$G,BASE!$B:$B,$B753,BASE!$L:$L,$G753,BASE!$J:$J,$C753,BASE!$A:$A,O$2)</f>
        <v>0</v>
      </c>
      <c r="P753" s="12">
        <f>SUMIFS(BASE!$G:$G,BASE!$B:$B,$B753,BASE!$L:$L,$G753,BASE!$J:$J,$C753,BASE!$A:$A,P$2)</f>
        <v>0</v>
      </c>
      <c r="Q753" s="12">
        <f>SUMIFS(BASE!$G:$G,BASE!$B:$B,$B753,BASE!$L:$L,$G753,BASE!$J:$J,$C753,BASE!$A:$A,Q$2)</f>
        <v>0</v>
      </c>
      <c r="R753" s="12">
        <f>SUMIFS(BASE!$G:$G,BASE!$B:$B,$B753,BASE!$L:$L,$G753,BASE!$J:$J,$C753,BASE!$A:$A,R$2)</f>
        <v>0</v>
      </c>
      <c r="S753" s="12">
        <f>SUMIFS(BASE!$G:$G,BASE!$B:$B,$B753,BASE!$L:$L,$G753,BASE!$J:$J,$C753,BASE!$A:$A,S$2)</f>
        <v>0</v>
      </c>
      <c r="T753" s="12">
        <f>SUMIFS(BASE!$G:$G,BASE!$B:$B,$B753,BASE!$L:$L,$G753,BASE!$J:$J,$C753,BASE!$A:$A,T$2)</f>
        <v>0</v>
      </c>
      <c r="U753" s="12">
        <f>SUMIFS(BASE!$G:$G,BASE!$B:$B,$B753,BASE!$L:$L,$G753,BASE!$J:$J,$C753,BASE!$A:$A,U$2)</f>
        <v>0</v>
      </c>
      <c r="V753" s="12">
        <f>SUMIFS(BASE!$G:$G,BASE!$B:$B,$B753,BASE!$L:$L,$G753,BASE!$J:$J,$C753,BASE!$A:$A,V$2)</f>
        <v>0</v>
      </c>
      <c r="X753" t="str">
        <f t="shared" si="23"/>
        <v>ZERADO</v>
      </c>
    </row>
    <row r="754" spans="2:24">
      <c r="B754" s="8" t="s">
        <v>1606</v>
      </c>
      <c r="C754" s="9" t="s">
        <v>106</v>
      </c>
      <c r="D754" s="9" t="s">
        <v>1544</v>
      </c>
      <c r="E754" s="9" t="s">
        <v>1423</v>
      </c>
      <c r="F754" s="9" t="s">
        <v>1545</v>
      </c>
      <c r="G754" s="9" t="s">
        <v>54</v>
      </c>
      <c r="H754" s="7" t="str">
        <f>IFERROR(IF(_xlfn.XLOOKUP(B754,REPASSE!D:D,REPASSE!D:D)="","Não","Sim"),"Não")</f>
        <v>Não</v>
      </c>
      <c r="I754" s="7" t="str">
        <f>IF(_xlfn.XLOOKUP(B754,'BOOST LIBERADO'!B:B,'BOOST LIBERADO'!B:B,"Não")="Não","Não","Sim")</f>
        <v>Sim</v>
      </c>
      <c r="J754" s="83" t="str">
        <f t="shared" si="22"/>
        <v>Sim</v>
      </c>
      <c r="K754" s="12">
        <f>SUMIFS(BASE!$G:$G,BASE!$B:$B,$B754,BASE!$L:$L,$G754,BASE!$J:$J,$C754,BASE!$A:$A,K$2)</f>
        <v>0</v>
      </c>
      <c r="L754" s="12">
        <f>SUMIFS(BASE!$G:$G,BASE!$B:$B,$B754,BASE!$L:$L,$G754,BASE!$J:$J,$C754,BASE!$A:$A,L$2)</f>
        <v>0</v>
      </c>
      <c r="M754" s="12">
        <f>SUMIFS(BASE!$G:$G,BASE!$B:$B,$B754,BASE!$L:$L,$G754,BASE!$J:$J,$C754,BASE!$A:$A,M$2)</f>
        <v>0</v>
      </c>
      <c r="N754" s="12">
        <f>SUMIFS(BASE!$G:$G,BASE!$B:$B,$B754,BASE!$L:$L,$G754,BASE!$J:$J,$C754,BASE!$A:$A,N$2)</f>
        <v>0</v>
      </c>
      <c r="O754" s="12">
        <f>SUMIFS(BASE!$G:$G,BASE!$B:$B,$B754,BASE!$L:$L,$G754,BASE!$J:$J,$C754,BASE!$A:$A,O$2)</f>
        <v>0</v>
      </c>
      <c r="P754" s="12">
        <f>SUMIFS(BASE!$G:$G,BASE!$B:$B,$B754,BASE!$L:$L,$G754,BASE!$J:$J,$C754,BASE!$A:$A,P$2)</f>
        <v>0</v>
      </c>
      <c r="Q754" s="12">
        <f>SUMIFS(BASE!$G:$G,BASE!$B:$B,$B754,BASE!$L:$L,$G754,BASE!$J:$J,$C754,BASE!$A:$A,Q$2)</f>
        <v>0</v>
      </c>
      <c r="R754" s="12">
        <f>SUMIFS(BASE!$G:$G,BASE!$B:$B,$B754,BASE!$L:$L,$G754,BASE!$J:$J,$C754,BASE!$A:$A,R$2)</f>
        <v>2</v>
      </c>
      <c r="S754" s="12">
        <f>SUMIFS(BASE!$G:$G,BASE!$B:$B,$B754,BASE!$L:$L,$G754,BASE!$J:$J,$C754,BASE!$A:$A,S$2)</f>
        <v>0</v>
      </c>
      <c r="T754" s="12">
        <f>SUMIFS(BASE!$G:$G,BASE!$B:$B,$B754,BASE!$L:$L,$G754,BASE!$J:$J,$C754,BASE!$A:$A,T$2)</f>
        <v>0</v>
      </c>
      <c r="U754" s="12">
        <f>SUMIFS(BASE!$G:$G,BASE!$B:$B,$B754,BASE!$L:$L,$G754,BASE!$J:$J,$C754,BASE!$A:$A,U$2)</f>
        <v>0</v>
      </c>
      <c r="V754" s="12">
        <f>SUMIFS(BASE!$G:$G,BASE!$B:$B,$B754,BASE!$L:$L,$G754,BASE!$J:$J,$C754,BASE!$A:$A,V$2)</f>
        <v>0</v>
      </c>
      <c r="X754" t="str">
        <f t="shared" si="23"/>
        <v>COM TROCAS</v>
      </c>
    </row>
    <row r="755" spans="2:24">
      <c r="B755" s="8" t="s">
        <v>1607</v>
      </c>
      <c r="C755" s="9" t="s">
        <v>180</v>
      </c>
      <c r="D755" s="9" t="s">
        <v>1494</v>
      </c>
      <c r="E755" s="9" t="s">
        <v>1438</v>
      </c>
      <c r="F755" s="9" t="s">
        <v>1608</v>
      </c>
      <c r="G755" s="9" t="s">
        <v>54</v>
      </c>
      <c r="H755" s="7" t="str">
        <f>IFERROR(IF(_xlfn.XLOOKUP(B755,REPASSE!D:D,REPASSE!D:D)="","Não","Sim"),"Não")</f>
        <v>Não</v>
      </c>
      <c r="I755" s="7" t="str">
        <f>IF(_xlfn.XLOOKUP(B755,'BOOST LIBERADO'!B:B,'BOOST LIBERADO'!B:B,"Não")="Não","Não","Sim")</f>
        <v>Não</v>
      </c>
      <c r="J755" s="83" t="str">
        <f t="shared" si="22"/>
        <v>Não</v>
      </c>
      <c r="K755" s="12">
        <f>SUMIFS(BASE!$G:$G,BASE!$B:$B,$B755,BASE!$L:$L,$G755,BASE!$J:$J,$C755,BASE!$A:$A,K$2)</f>
        <v>0</v>
      </c>
      <c r="L755" s="12">
        <f>SUMIFS(BASE!$G:$G,BASE!$B:$B,$B755,BASE!$L:$L,$G755,BASE!$J:$J,$C755,BASE!$A:$A,L$2)</f>
        <v>0</v>
      </c>
      <c r="M755" s="12">
        <f>SUMIFS(BASE!$G:$G,BASE!$B:$B,$B755,BASE!$L:$L,$G755,BASE!$J:$J,$C755,BASE!$A:$A,M$2)</f>
        <v>0</v>
      </c>
      <c r="N755" s="12">
        <f>SUMIFS(BASE!$G:$G,BASE!$B:$B,$B755,BASE!$L:$L,$G755,BASE!$J:$J,$C755,BASE!$A:$A,N$2)</f>
        <v>0</v>
      </c>
      <c r="O755" s="12">
        <f>SUMIFS(BASE!$G:$G,BASE!$B:$B,$B755,BASE!$L:$L,$G755,BASE!$J:$J,$C755,BASE!$A:$A,O$2)</f>
        <v>0</v>
      </c>
      <c r="P755" s="12">
        <f>SUMIFS(BASE!$G:$G,BASE!$B:$B,$B755,BASE!$L:$L,$G755,BASE!$J:$J,$C755,BASE!$A:$A,P$2)</f>
        <v>0</v>
      </c>
      <c r="Q755" s="12">
        <f>SUMIFS(BASE!$G:$G,BASE!$B:$B,$B755,BASE!$L:$L,$G755,BASE!$J:$J,$C755,BASE!$A:$A,Q$2)</f>
        <v>0</v>
      </c>
      <c r="R755" s="12">
        <f>SUMIFS(BASE!$G:$G,BASE!$B:$B,$B755,BASE!$L:$L,$G755,BASE!$J:$J,$C755,BASE!$A:$A,R$2)</f>
        <v>0</v>
      </c>
      <c r="S755" s="12">
        <f>SUMIFS(BASE!$G:$G,BASE!$B:$B,$B755,BASE!$L:$L,$G755,BASE!$J:$J,$C755,BASE!$A:$A,S$2)</f>
        <v>0</v>
      </c>
      <c r="T755" s="12">
        <f>SUMIFS(BASE!$G:$G,BASE!$B:$B,$B755,BASE!$L:$L,$G755,BASE!$J:$J,$C755,BASE!$A:$A,T$2)</f>
        <v>0</v>
      </c>
      <c r="U755" s="12">
        <f>SUMIFS(BASE!$G:$G,BASE!$B:$B,$B755,BASE!$L:$L,$G755,BASE!$J:$J,$C755,BASE!$A:$A,U$2)</f>
        <v>0</v>
      </c>
      <c r="V755" s="12">
        <f>SUMIFS(BASE!$G:$G,BASE!$B:$B,$B755,BASE!$L:$L,$G755,BASE!$J:$J,$C755,BASE!$A:$A,V$2)</f>
        <v>0</v>
      </c>
      <c r="X755" t="str">
        <f t="shared" si="23"/>
        <v>ZERADO</v>
      </c>
    </row>
    <row r="756" spans="2:24">
      <c r="B756" s="8" t="s">
        <v>1609</v>
      </c>
      <c r="C756" s="9" t="s">
        <v>112</v>
      </c>
      <c r="D756" s="9" t="s">
        <v>1488</v>
      </c>
      <c r="E756" s="9" t="s">
        <v>1438</v>
      </c>
      <c r="F756" s="9" t="s">
        <v>1610</v>
      </c>
      <c r="G756" s="9" t="s">
        <v>54</v>
      </c>
      <c r="H756" s="7" t="str">
        <f>IFERROR(IF(_xlfn.XLOOKUP(B756,REPASSE!D:D,REPASSE!D:D)="","Não","Sim"),"Não")</f>
        <v>Não</v>
      </c>
      <c r="I756" s="7" t="str">
        <f>IF(_xlfn.XLOOKUP(B756,'BOOST LIBERADO'!B:B,'BOOST LIBERADO'!B:B,"Não")="Não","Não","Sim")</f>
        <v>Sim</v>
      </c>
      <c r="J756" s="83" t="str">
        <f t="shared" si="22"/>
        <v>Sim</v>
      </c>
      <c r="K756" s="12">
        <f>SUMIFS(BASE!$G:$G,BASE!$B:$B,$B756,BASE!$L:$L,$G756,BASE!$J:$J,$C756,BASE!$A:$A,K$2)</f>
        <v>0</v>
      </c>
      <c r="L756" s="12">
        <f>SUMIFS(BASE!$G:$G,BASE!$B:$B,$B756,BASE!$L:$L,$G756,BASE!$J:$J,$C756,BASE!$A:$A,L$2)</f>
        <v>0</v>
      </c>
      <c r="M756" s="12">
        <f>SUMIFS(BASE!$G:$G,BASE!$B:$B,$B756,BASE!$L:$L,$G756,BASE!$J:$J,$C756,BASE!$A:$A,M$2)</f>
        <v>0</v>
      </c>
      <c r="N756" s="12">
        <f>SUMIFS(BASE!$G:$G,BASE!$B:$B,$B756,BASE!$L:$L,$G756,BASE!$J:$J,$C756,BASE!$A:$A,N$2)</f>
        <v>0</v>
      </c>
      <c r="O756" s="12">
        <f>SUMIFS(BASE!$G:$G,BASE!$B:$B,$B756,BASE!$L:$L,$G756,BASE!$J:$J,$C756,BASE!$A:$A,O$2)</f>
        <v>0</v>
      </c>
      <c r="P756" s="12">
        <f>SUMIFS(BASE!$G:$G,BASE!$B:$B,$B756,BASE!$L:$L,$G756,BASE!$J:$J,$C756,BASE!$A:$A,P$2)</f>
        <v>0</v>
      </c>
      <c r="Q756" s="12">
        <f>SUMIFS(BASE!$G:$G,BASE!$B:$B,$B756,BASE!$L:$L,$G756,BASE!$J:$J,$C756,BASE!$A:$A,Q$2)</f>
        <v>0</v>
      </c>
      <c r="R756" s="12">
        <f>SUMIFS(BASE!$G:$G,BASE!$B:$B,$B756,BASE!$L:$L,$G756,BASE!$J:$J,$C756,BASE!$A:$A,R$2)</f>
        <v>0</v>
      </c>
      <c r="S756" s="12">
        <f>SUMIFS(BASE!$G:$G,BASE!$B:$B,$B756,BASE!$L:$L,$G756,BASE!$J:$J,$C756,BASE!$A:$A,S$2)</f>
        <v>0</v>
      </c>
      <c r="T756" s="12">
        <f>SUMIFS(BASE!$G:$G,BASE!$B:$B,$B756,BASE!$L:$L,$G756,BASE!$J:$J,$C756,BASE!$A:$A,T$2)</f>
        <v>0</v>
      </c>
      <c r="U756" s="12">
        <f>SUMIFS(BASE!$G:$G,BASE!$B:$B,$B756,BASE!$L:$L,$G756,BASE!$J:$J,$C756,BASE!$A:$A,U$2)</f>
        <v>0</v>
      </c>
      <c r="V756" s="12">
        <f>SUMIFS(BASE!$G:$G,BASE!$B:$B,$B756,BASE!$L:$L,$G756,BASE!$J:$J,$C756,BASE!$A:$A,V$2)</f>
        <v>0</v>
      </c>
      <c r="X756" t="str">
        <f t="shared" si="23"/>
        <v>ZERADO</v>
      </c>
    </row>
    <row r="757" spans="2:24">
      <c r="B757" s="8" t="s">
        <v>1611</v>
      </c>
      <c r="C757" s="9" t="s">
        <v>232</v>
      </c>
      <c r="D757" s="9" t="s">
        <v>1509</v>
      </c>
      <c r="E757" s="9" t="s">
        <v>1423</v>
      </c>
      <c r="F757" s="9" t="s">
        <v>1527</v>
      </c>
      <c r="G757" s="9" t="s">
        <v>54</v>
      </c>
      <c r="H757" s="7" t="str">
        <f>IFERROR(IF(_xlfn.XLOOKUP(B757,REPASSE!D:D,REPASSE!D:D)="","Não","Sim"),"Não")</f>
        <v>Não</v>
      </c>
      <c r="I757" s="7" t="str">
        <f>IF(_xlfn.XLOOKUP(B757,'BOOST LIBERADO'!B:B,'BOOST LIBERADO'!B:B,"Não")="Não","Não","Sim")</f>
        <v>Sim</v>
      </c>
      <c r="J757" s="83" t="str">
        <f t="shared" si="22"/>
        <v>Sim</v>
      </c>
      <c r="K757" s="12">
        <f>SUMIFS(BASE!$G:$G,BASE!$B:$B,$B757,BASE!$L:$L,$G757,BASE!$J:$J,$C757,BASE!$A:$A,K$2)</f>
        <v>33</v>
      </c>
      <c r="L757" s="12">
        <f>SUMIFS(BASE!$G:$G,BASE!$B:$B,$B757,BASE!$L:$L,$G757,BASE!$J:$J,$C757,BASE!$A:$A,L$2)</f>
        <v>20</v>
      </c>
      <c r="M757" s="12">
        <f>SUMIFS(BASE!$G:$G,BASE!$B:$B,$B757,BASE!$L:$L,$G757,BASE!$J:$J,$C757,BASE!$A:$A,M$2)</f>
        <v>39</v>
      </c>
      <c r="N757" s="12">
        <f>SUMIFS(BASE!$G:$G,BASE!$B:$B,$B757,BASE!$L:$L,$G757,BASE!$J:$J,$C757,BASE!$A:$A,N$2)</f>
        <v>32</v>
      </c>
      <c r="O757" s="12">
        <f>SUMIFS(BASE!$G:$G,BASE!$B:$B,$B757,BASE!$L:$L,$G757,BASE!$J:$J,$C757,BASE!$A:$A,O$2)</f>
        <v>46</v>
      </c>
      <c r="P757" s="12">
        <f>SUMIFS(BASE!$G:$G,BASE!$B:$B,$B757,BASE!$L:$L,$G757,BASE!$J:$J,$C757,BASE!$A:$A,P$2)</f>
        <v>28</v>
      </c>
      <c r="Q757" s="12">
        <f>SUMIFS(BASE!$G:$G,BASE!$B:$B,$B757,BASE!$L:$L,$G757,BASE!$J:$J,$C757,BASE!$A:$A,Q$2)</f>
        <v>54</v>
      </c>
      <c r="R757" s="12">
        <f>SUMIFS(BASE!$G:$G,BASE!$B:$B,$B757,BASE!$L:$L,$G757,BASE!$J:$J,$C757,BASE!$A:$A,R$2)</f>
        <v>50</v>
      </c>
      <c r="S757" s="12">
        <f>SUMIFS(BASE!$G:$G,BASE!$B:$B,$B757,BASE!$L:$L,$G757,BASE!$J:$J,$C757,BASE!$A:$A,S$2)</f>
        <v>0</v>
      </c>
      <c r="T757" s="12">
        <f>SUMIFS(BASE!$G:$G,BASE!$B:$B,$B757,BASE!$L:$L,$G757,BASE!$J:$J,$C757,BASE!$A:$A,T$2)</f>
        <v>0</v>
      </c>
      <c r="U757" s="12">
        <f>SUMIFS(BASE!$G:$G,BASE!$B:$B,$B757,BASE!$L:$L,$G757,BASE!$J:$J,$C757,BASE!$A:$A,U$2)</f>
        <v>0</v>
      </c>
      <c r="V757" s="12">
        <f>SUMIFS(BASE!$G:$G,BASE!$B:$B,$B757,BASE!$L:$L,$G757,BASE!$J:$J,$C757,BASE!$A:$A,V$2)</f>
        <v>0</v>
      </c>
      <c r="X757" t="str">
        <f t="shared" si="23"/>
        <v>COM TROCAS</v>
      </c>
    </row>
    <row r="758" spans="2:24">
      <c r="B758" s="8" t="s">
        <v>1612</v>
      </c>
      <c r="C758" s="9" t="s">
        <v>132</v>
      </c>
      <c r="D758" s="9" t="s">
        <v>1498</v>
      </c>
      <c r="E758" s="9" t="s">
        <v>1416</v>
      </c>
      <c r="F758" s="9" t="s">
        <v>1547</v>
      </c>
      <c r="G758" s="9" t="s">
        <v>54</v>
      </c>
      <c r="H758" s="7" t="str">
        <f>IFERROR(IF(_xlfn.XLOOKUP(B758,REPASSE!D:D,REPASSE!D:D)="","Não","Sim"),"Não")</f>
        <v>Não</v>
      </c>
      <c r="I758" s="7" t="str">
        <f>IF(_xlfn.XLOOKUP(B758,'BOOST LIBERADO'!B:B,'BOOST LIBERADO'!B:B,"Não")="Não","Não","Sim")</f>
        <v>Sim</v>
      </c>
      <c r="J758" s="83" t="str">
        <f t="shared" si="22"/>
        <v>Sim</v>
      </c>
      <c r="K758" s="12">
        <f>SUMIFS(BASE!$G:$G,BASE!$B:$B,$B758,BASE!$L:$L,$G758,BASE!$J:$J,$C758,BASE!$A:$A,K$2)</f>
        <v>1</v>
      </c>
      <c r="L758" s="12">
        <f>SUMIFS(BASE!$G:$G,BASE!$B:$B,$B758,BASE!$L:$L,$G758,BASE!$J:$J,$C758,BASE!$A:$A,L$2)</f>
        <v>3</v>
      </c>
      <c r="M758" s="12">
        <f>SUMIFS(BASE!$G:$G,BASE!$B:$B,$B758,BASE!$L:$L,$G758,BASE!$J:$J,$C758,BASE!$A:$A,M$2)</f>
        <v>2</v>
      </c>
      <c r="N758" s="12">
        <f>SUMIFS(BASE!$G:$G,BASE!$B:$B,$B758,BASE!$L:$L,$G758,BASE!$J:$J,$C758,BASE!$A:$A,N$2)</f>
        <v>4</v>
      </c>
      <c r="O758" s="12">
        <f>SUMIFS(BASE!$G:$G,BASE!$B:$B,$B758,BASE!$L:$L,$G758,BASE!$J:$J,$C758,BASE!$A:$A,O$2)</f>
        <v>4</v>
      </c>
      <c r="P758" s="12">
        <f>SUMIFS(BASE!$G:$G,BASE!$B:$B,$B758,BASE!$L:$L,$G758,BASE!$J:$J,$C758,BASE!$A:$A,P$2)</f>
        <v>4</v>
      </c>
      <c r="Q758" s="12">
        <f>SUMIFS(BASE!$G:$G,BASE!$B:$B,$B758,BASE!$L:$L,$G758,BASE!$J:$J,$C758,BASE!$A:$A,Q$2)</f>
        <v>0</v>
      </c>
      <c r="R758" s="12">
        <f>SUMIFS(BASE!$G:$G,BASE!$B:$B,$B758,BASE!$L:$L,$G758,BASE!$J:$J,$C758,BASE!$A:$A,R$2)</f>
        <v>6</v>
      </c>
      <c r="S758" s="12">
        <f>SUMIFS(BASE!$G:$G,BASE!$B:$B,$B758,BASE!$L:$L,$G758,BASE!$J:$J,$C758,BASE!$A:$A,S$2)</f>
        <v>0</v>
      </c>
      <c r="T758" s="12">
        <f>SUMIFS(BASE!$G:$G,BASE!$B:$B,$B758,BASE!$L:$L,$G758,BASE!$J:$J,$C758,BASE!$A:$A,T$2)</f>
        <v>0</v>
      </c>
      <c r="U758" s="12">
        <f>SUMIFS(BASE!$G:$G,BASE!$B:$B,$B758,BASE!$L:$L,$G758,BASE!$J:$J,$C758,BASE!$A:$A,U$2)</f>
        <v>0</v>
      </c>
      <c r="V758" s="12">
        <f>SUMIFS(BASE!$G:$G,BASE!$B:$B,$B758,BASE!$L:$L,$G758,BASE!$J:$J,$C758,BASE!$A:$A,V$2)</f>
        <v>0</v>
      </c>
      <c r="X758" t="str">
        <f t="shared" si="23"/>
        <v>COM TROCAS</v>
      </c>
    </row>
    <row r="759" spans="2:24">
      <c r="B759" s="8" t="s">
        <v>1613</v>
      </c>
      <c r="C759" s="9" t="s">
        <v>106</v>
      </c>
      <c r="D759" s="9" t="s">
        <v>1443</v>
      </c>
      <c r="E759" s="9" t="s">
        <v>1416</v>
      </c>
      <c r="F759" s="9" t="s">
        <v>1614</v>
      </c>
      <c r="G759" s="9" t="s">
        <v>54</v>
      </c>
      <c r="H759" s="7" t="str">
        <f>IFERROR(IF(_xlfn.XLOOKUP(B759,REPASSE!D:D,REPASSE!D:D)="","Não","Sim"),"Não")</f>
        <v>Não</v>
      </c>
      <c r="I759" s="7" t="str">
        <f>IF(_xlfn.XLOOKUP(B759,'BOOST LIBERADO'!B:B,'BOOST LIBERADO'!B:B,"Não")="Não","Não","Sim")</f>
        <v>Sim</v>
      </c>
      <c r="J759" s="83" t="str">
        <f t="shared" si="22"/>
        <v>Sim</v>
      </c>
      <c r="K759" s="12">
        <f>SUMIFS(BASE!$G:$G,BASE!$B:$B,$B759,BASE!$L:$L,$G759,BASE!$J:$J,$C759,BASE!$A:$A,K$2)</f>
        <v>0</v>
      </c>
      <c r="L759" s="12">
        <f>SUMIFS(BASE!$G:$G,BASE!$B:$B,$B759,BASE!$L:$L,$G759,BASE!$J:$J,$C759,BASE!$A:$A,L$2)</f>
        <v>0</v>
      </c>
      <c r="M759" s="12">
        <f>SUMIFS(BASE!$G:$G,BASE!$B:$B,$B759,BASE!$L:$L,$G759,BASE!$J:$J,$C759,BASE!$A:$A,M$2)</f>
        <v>0</v>
      </c>
      <c r="N759" s="12">
        <f>SUMIFS(BASE!$G:$G,BASE!$B:$B,$B759,BASE!$L:$L,$G759,BASE!$J:$J,$C759,BASE!$A:$A,N$2)</f>
        <v>0</v>
      </c>
      <c r="O759" s="12">
        <f>SUMIFS(BASE!$G:$G,BASE!$B:$B,$B759,BASE!$L:$L,$G759,BASE!$J:$J,$C759,BASE!$A:$A,O$2)</f>
        <v>0</v>
      </c>
      <c r="P759" s="12">
        <f>SUMIFS(BASE!$G:$G,BASE!$B:$B,$B759,BASE!$L:$L,$G759,BASE!$J:$J,$C759,BASE!$A:$A,P$2)</f>
        <v>0</v>
      </c>
      <c r="Q759" s="12">
        <f>SUMIFS(BASE!$G:$G,BASE!$B:$B,$B759,BASE!$L:$L,$G759,BASE!$J:$J,$C759,BASE!$A:$A,Q$2)</f>
        <v>0</v>
      </c>
      <c r="R759" s="12">
        <f>SUMIFS(BASE!$G:$G,BASE!$B:$B,$B759,BASE!$L:$L,$G759,BASE!$J:$J,$C759,BASE!$A:$A,R$2)</f>
        <v>1</v>
      </c>
      <c r="S759" s="12">
        <f>SUMIFS(BASE!$G:$G,BASE!$B:$B,$B759,BASE!$L:$L,$G759,BASE!$J:$J,$C759,BASE!$A:$A,S$2)</f>
        <v>0</v>
      </c>
      <c r="T759" s="12">
        <f>SUMIFS(BASE!$G:$G,BASE!$B:$B,$B759,BASE!$L:$L,$G759,BASE!$J:$J,$C759,BASE!$A:$A,T$2)</f>
        <v>0</v>
      </c>
      <c r="U759" s="12">
        <f>SUMIFS(BASE!$G:$G,BASE!$B:$B,$B759,BASE!$L:$L,$G759,BASE!$J:$J,$C759,BASE!$A:$A,U$2)</f>
        <v>0</v>
      </c>
      <c r="V759" s="12">
        <f>SUMIFS(BASE!$G:$G,BASE!$B:$B,$B759,BASE!$L:$L,$G759,BASE!$J:$J,$C759,BASE!$A:$A,V$2)</f>
        <v>0</v>
      </c>
      <c r="X759" t="str">
        <f t="shared" si="23"/>
        <v>COM TROCAS</v>
      </c>
    </row>
    <row r="760" spans="2:24">
      <c r="B760" s="8" t="s">
        <v>1615</v>
      </c>
      <c r="C760" s="9" t="s">
        <v>132</v>
      </c>
      <c r="D760" s="9" t="s">
        <v>1453</v>
      </c>
      <c r="E760" s="9" t="s">
        <v>1412</v>
      </c>
      <c r="F760" s="9" t="s">
        <v>1616</v>
      </c>
      <c r="G760" s="9" t="s">
        <v>54</v>
      </c>
      <c r="H760" s="7" t="str">
        <f>IFERROR(IF(_xlfn.XLOOKUP(B760,REPASSE!D:D,REPASSE!D:D)="","Não","Sim"),"Não")</f>
        <v>Não</v>
      </c>
      <c r="I760" s="7" t="str">
        <f>IF(_xlfn.XLOOKUP(B760,'BOOST LIBERADO'!B:B,'BOOST LIBERADO'!B:B,"Não")="Não","Não","Sim")</f>
        <v>Sim</v>
      </c>
      <c r="J760" s="83" t="str">
        <f t="shared" si="22"/>
        <v>Sim</v>
      </c>
      <c r="K760" s="12">
        <f>SUMIFS(BASE!$G:$G,BASE!$B:$B,$B760,BASE!$L:$L,$G760,BASE!$J:$J,$C760,BASE!$A:$A,K$2)</f>
        <v>1</v>
      </c>
      <c r="L760" s="12">
        <f>SUMIFS(BASE!$G:$G,BASE!$B:$B,$B760,BASE!$L:$L,$G760,BASE!$J:$J,$C760,BASE!$A:$A,L$2)</f>
        <v>0</v>
      </c>
      <c r="M760" s="12">
        <f>SUMIFS(BASE!$G:$G,BASE!$B:$B,$B760,BASE!$L:$L,$G760,BASE!$J:$J,$C760,BASE!$A:$A,M$2)</f>
        <v>2</v>
      </c>
      <c r="N760" s="12">
        <f>SUMIFS(BASE!$G:$G,BASE!$B:$B,$B760,BASE!$L:$L,$G760,BASE!$J:$J,$C760,BASE!$A:$A,N$2)</f>
        <v>2</v>
      </c>
      <c r="O760" s="12">
        <f>SUMIFS(BASE!$G:$G,BASE!$B:$B,$B760,BASE!$L:$L,$G760,BASE!$J:$J,$C760,BASE!$A:$A,O$2)</f>
        <v>1</v>
      </c>
      <c r="P760" s="12">
        <f>SUMIFS(BASE!$G:$G,BASE!$B:$B,$B760,BASE!$L:$L,$G760,BASE!$J:$J,$C760,BASE!$A:$A,P$2)</f>
        <v>4</v>
      </c>
      <c r="Q760" s="12">
        <f>SUMIFS(BASE!$G:$G,BASE!$B:$B,$B760,BASE!$L:$L,$G760,BASE!$J:$J,$C760,BASE!$A:$A,Q$2)</f>
        <v>5</v>
      </c>
      <c r="R760" s="12">
        <f>SUMIFS(BASE!$G:$G,BASE!$B:$B,$B760,BASE!$L:$L,$G760,BASE!$J:$J,$C760,BASE!$A:$A,R$2)</f>
        <v>2</v>
      </c>
      <c r="S760" s="12">
        <f>SUMIFS(BASE!$G:$G,BASE!$B:$B,$B760,BASE!$L:$L,$G760,BASE!$J:$J,$C760,BASE!$A:$A,S$2)</f>
        <v>0</v>
      </c>
      <c r="T760" s="12">
        <f>SUMIFS(BASE!$G:$G,BASE!$B:$B,$B760,BASE!$L:$L,$G760,BASE!$J:$J,$C760,BASE!$A:$A,T$2)</f>
        <v>0</v>
      </c>
      <c r="U760" s="12">
        <f>SUMIFS(BASE!$G:$G,BASE!$B:$B,$B760,BASE!$L:$L,$G760,BASE!$J:$J,$C760,BASE!$A:$A,U$2)</f>
        <v>0</v>
      </c>
      <c r="V760" s="12">
        <f>SUMIFS(BASE!$G:$G,BASE!$B:$B,$B760,BASE!$L:$L,$G760,BASE!$J:$J,$C760,BASE!$A:$A,V$2)</f>
        <v>0</v>
      </c>
      <c r="X760" t="str">
        <f t="shared" si="23"/>
        <v>COM TROCAS</v>
      </c>
    </row>
    <row r="761" spans="2:24">
      <c r="B761" s="8" t="s">
        <v>1617</v>
      </c>
      <c r="C761" s="9" t="s">
        <v>106</v>
      </c>
      <c r="D761" s="9" t="s">
        <v>1443</v>
      </c>
      <c r="E761" s="9" t="s">
        <v>1416</v>
      </c>
      <c r="F761" s="9" t="s">
        <v>1618</v>
      </c>
      <c r="G761" s="9" t="s">
        <v>54</v>
      </c>
      <c r="H761" s="7" t="str">
        <f>IFERROR(IF(_xlfn.XLOOKUP(B761,REPASSE!D:D,REPASSE!D:D)="","Não","Sim"),"Não")</f>
        <v>Não</v>
      </c>
      <c r="I761" s="7" t="str">
        <f>IF(_xlfn.XLOOKUP(B761,'BOOST LIBERADO'!B:B,'BOOST LIBERADO'!B:B,"Não")="Não","Não","Sim")</f>
        <v>Sim</v>
      </c>
      <c r="J761" s="83" t="str">
        <f t="shared" si="22"/>
        <v>Sim</v>
      </c>
      <c r="K761" s="12">
        <f>SUMIFS(BASE!$G:$G,BASE!$B:$B,$B761,BASE!$L:$L,$G761,BASE!$J:$J,$C761,BASE!$A:$A,K$2)</f>
        <v>0</v>
      </c>
      <c r="L761" s="12">
        <f>SUMIFS(BASE!$G:$G,BASE!$B:$B,$B761,BASE!$L:$L,$G761,BASE!$J:$J,$C761,BASE!$A:$A,L$2)</f>
        <v>0</v>
      </c>
      <c r="M761" s="12">
        <f>SUMIFS(BASE!$G:$G,BASE!$B:$B,$B761,BASE!$L:$L,$G761,BASE!$J:$J,$C761,BASE!$A:$A,M$2)</f>
        <v>0</v>
      </c>
      <c r="N761" s="12">
        <f>SUMIFS(BASE!$G:$G,BASE!$B:$B,$B761,BASE!$L:$L,$G761,BASE!$J:$J,$C761,BASE!$A:$A,N$2)</f>
        <v>0</v>
      </c>
      <c r="O761" s="12">
        <f>SUMIFS(BASE!$G:$G,BASE!$B:$B,$B761,BASE!$L:$L,$G761,BASE!$J:$J,$C761,BASE!$A:$A,O$2)</f>
        <v>0</v>
      </c>
      <c r="P761" s="12">
        <f>SUMIFS(BASE!$G:$G,BASE!$B:$B,$B761,BASE!$L:$L,$G761,BASE!$J:$J,$C761,BASE!$A:$A,P$2)</f>
        <v>0</v>
      </c>
      <c r="Q761" s="12">
        <f>SUMIFS(BASE!$G:$G,BASE!$B:$B,$B761,BASE!$L:$L,$G761,BASE!$J:$J,$C761,BASE!$A:$A,Q$2)</f>
        <v>0</v>
      </c>
      <c r="R761" s="12">
        <f>SUMIFS(BASE!$G:$G,BASE!$B:$B,$B761,BASE!$L:$L,$G761,BASE!$J:$J,$C761,BASE!$A:$A,R$2)</f>
        <v>0</v>
      </c>
      <c r="S761" s="12">
        <f>SUMIFS(BASE!$G:$G,BASE!$B:$B,$B761,BASE!$L:$L,$G761,BASE!$J:$J,$C761,BASE!$A:$A,S$2)</f>
        <v>0</v>
      </c>
      <c r="T761" s="12">
        <f>SUMIFS(BASE!$G:$G,BASE!$B:$B,$B761,BASE!$L:$L,$G761,BASE!$J:$J,$C761,BASE!$A:$A,T$2)</f>
        <v>0</v>
      </c>
      <c r="U761" s="12">
        <f>SUMIFS(BASE!$G:$G,BASE!$B:$B,$B761,BASE!$L:$L,$G761,BASE!$J:$J,$C761,BASE!$A:$A,U$2)</f>
        <v>0</v>
      </c>
      <c r="V761" s="12">
        <f>SUMIFS(BASE!$G:$G,BASE!$B:$B,$B761,BASE!$L:$L,$G761,BASE!$J:$J,$C761,BASE!$A:$A,V$2)</f>
        <v>0</v>
      </c>
      <c r="X761" t="str">
        <f t="shared" si="23"/>
        <v>ZERADO</v>
      </c>
    </row>
    <row r="762" spans="2:24">
      <c r="B762" s="8" t="s">
        <v>1619</v>
      </c>
      <c r="C762" s="9" t="s">
        <v>106</v>
      </c>
      <c r="D762" s="9" t="s">
        <v>1509</v>
      </c>
      <c r="E762" s="9" t="s">
        <v>1423</v>
      </c>
      <c r="F762" s="9" t="s">
        <v>1620</v>
      </c>
      <c r="G762" s="9" t="s">
        <v>54</v>
      </c>
      <c r="H762" s="7" t="str">
        <f>IFERROR(IF(_xlfn.XLOOKUP(B762,REPASSE!D:D,REPASSE!D:D)="","Não","Sim"),"Não")</f>
        <v>Não</v>
      </c>
      <c r="I762" s="7" t="str">
        <f>IF(_xlfn.XLOOKUP(B762,'BOOST LIBERADO'!B:B,'BOOST LIBERADO'!B:B,"Não")="Não","Não","Sim")</f>
        <v>Sim</v>
      </c>
      <c r="J762" s="83" t="str">
        <f t="shared" si="22"/>
        <v>Sim</v>
      </c>
      <c r="K762" s="12">
        <f>SUMIFS(BASE!$G:$G,BASE!$B:$B,$B762,BASE!$L:$L,$G762,BASE!$J:$J,$C762,BASE!$A:$A,K$2)</f>
        <v>0</v>
      </c>
      <c r="L762" s="12">
        <f>SUMIFS(BASE!$G:$G,BASE!$B:$B,$B762,BASE!$L:$L,$G762,BASE!$J:$J,$C762,BASE!$A:$A,L$2)</f>
        <v>0</v>
      </c>
      <c r="M762" s="12">
        <f>SUMIFS(BASE!$G:$G,BASE!$B:$B,$B762,BASE!$L:$L,$G762,BASE!$J:$J,$C762,BASE!$A:$A,M$2)</f>
        <v>0</v>
      </c>
      <c r="N762" s="12">
        <f>SUMIFS(BASE!$G:$G,BASE!$B:$B,$B762,BASE!$L:$L,$G762,BASE!$J:$J,$C762,BASE!$A:$A,N$2)</f>
        <v>0</v>
      </c>
      <c r="O762" s="12">
        <f>SUMIFS(BASE!$G:$G,BASE!$B:$B,$B762,BASE!$L:$L,$G762,BASE!$J:$J,$C762,BASE!$A:$A,O$2)</f>
        <v>0</v>
      </c>
      <c r="P762" s="12">
        <f>SUMIFS(BASE!$G:$G,BASE!$B:$B,$B762,BASE!$L:$L,$G762,BASE!$J:$J,$C762,BASE!$A:$A,P$2)</f>
        <v>0</v>
      </c>
      <c r="Q762" s="12">
        <f>SUMIFS(BASE!$G:$G,BASE!$B:$B,$B762,BASE!$L:$L,$G762,BASE!$J:$J,$C762,BASE!$A:$A,Q$2)</f>
        <v>0</v>
      </c>
      <c r="R762" s="12">
        <f>SUMIFS(BASE!$G:$G,BASE!$B:$B,$B762,BASE!$L:$L,$G762,BASE!$J:$J,$C762,BASE!$A:$A,R$2)</f>
        <v>1</v>
      </c>
      <c r="S762" s="12">
        <f>SUMIFS(BASE!$G:$G,BASE!$B:$B,$B762,BASE!$L:$L,$G762,BASE!$J:$J,$C762,BASE!$A:$A,S$2)</f>
        <v>0</v>
      </c>
      <c r="T762" s="12">
        <f>SUMIFS(BASE!$G:$G,BASE!$B:$B,$B762,BASE!$L:$L,$G762,BASE!$J:$J,$C762,BASE!$A:$A,T$2)</f>
        <v>0</v>
      </c>
      <c r="U762" s="12">
        <f>SUMIFS(BASE!$G:$G,BASE!$B:$B,$B762,BASE!$L:$L,$G762,BASE!$J:$J,$C762,BASE!$A:$A,U$2)</f>
        <v>0</v>
      </c>
      <c r="V762" s="12">
        <f>SUMIFS(BASE!$G:$G,BASE!$B:$B,$B762,BASE!$L:$L,$G762,BASE!$J:$J,$C762,BASE!$A:$A,V$2)</f>
        <v>0</v>
      </c>
      <c r="X762" t="str">
        <f t="shared" si="23"/>
        <v>COM TROCAS</v>
      </c>
    </row>
    <row r="763" spans="2:24">
      <c r="B763" s="8" t="s">
        <v>1621</v>
      </c>
      <c r="C763" s="9" t="s">
        <v>148</v>
      </c>
      <c r="D763" s="9" t="s">
        <v>1471</v>
      </c>
      <c r="E763" s="9" t="s">
        <v>1416</v>
      </c>
      <c r="F763" s="9" t="s">
        <v>1550</v>
      </c>
      <c r="G763" s="9" t="s">
        <v>54</v>
      </c>
      <c r="H763" s="7" t="str">
        <f>IFERROR(IF(_xlfn.XLOOKUP(B763,REPASSE!D:D,REPASSE!D:D)="","Não","Sim"),"Não")</f>
        <v>Não</v>
      </c>
      <c r="I763" s="7" t="str">
        <f>IF(_xlfn.XLOOKUP(B763,'BOOST LIBERADO'!B:B,'BOOST LIBERADO'!B:B,"Não")="Não","Não","Sim")</f>
        <v>Sim</v>
      </c>
      <c r="J763" s="83" t="str">
        <f t="shared" si="22"/>
        <v>Sim</v>
      </c>
      <c r="K763" s="12">
        <f>SUMIFS(BASE!$G:$G,BASE!$B:$B,$B763,BASE!$L:$L,$G763,BASE!$J:$J,$C763,BASE!$A:$A,K$2)</f>
        <v>0</v>
      </c>
      <c r="L763" s="12">
        <f>SUMIFS(BASE!$G:$G,BASE!$B:$B,$B763,BASE!$L:$L,$G763,BASE!$J:$J,$C763,BASE!$A:$A,L$2)</f>
        <v>0</v>
      </c>
      <c r="M763" s="12">
        <f>SUMIFS(BASE!$G:$G,BASE!$B:$B,$B763,BASE!$L:$L,$G763,BASE!$J:$J,$C763,BASE!$A:$A,M$2)</f>
        <v>0</v>
      </c>
      <c r="N763" s="12">
        <f>SUMIFS(BASE!$G:$G,BASE!$B:$B,$B763,BASE!$L:$L,$G763,BASE!$J:$J,$C763,BASE!$A:$A,N$2)</f>
        <v>0</v>
      </c>
      <c r="O763" s="12">
        <f>SUMIFS(BASE!$G:$G,BASE!$B:$B,$B763,BASE!$L:$L,$G763,BASE!$J:$J,$C763,BASE!$A:$A,O$2)</f>
        <v>0</v>
      </c>
      <c r="P763" s="12">
        <f>SUMIFS(BASE!$G:$G,BASE!$B:$B,$B763,BASE!$L:$L,$G763,BASE!$J:$J,$C763,BASE!$A:$A,P$2)</f>
        <v>0</v>
      </c>
      <c r="Q763" s="12">
        <f>SUMIFS(BASE!$G:$G,BASE!$B:$B,$B763,BASE!$L:$L,$G763,BASE!$J:$J,$C763,BASE!$A:$A,Q$2)</f>
        <v>0</v>
      </c>
      <c r="R763" s="12">
        <f>SUMIFS(BASE!$G:$G,BASE!$B:$B,$B763,BASE!$L:$L,$G763,BASE!$J:$J,$C763,BASE!$A:$A,R$2)</f>
        <v>0</v>
      </c>
      <c r="S763" s="12">
        <f>SUMIFS(BASE!$G:$G,BASE!$B:$B,$B763,BASE!$L:$L,$G763,BASE!$J:$J,$C763,BASE!$A:$A,S$2)</f>
        <v>0</v>
      </c>
      <c r="T763" s="12">
        <f>SUMIFS(BASE!$G:$G,BASE!$B:$B,$B763,BASE!$L:$L,$G763,BASE!$J:$J,$C763,BASE!$A:$A,T$2)</f>
        <v>0</v>
      </c>
      <c r="U763" s="12">
        <f>SUMIFS(BASE!$G:$G,BASE!$B:$B,$B763,BASE!$L:$L,$G763,BASE!$J:$J,$C763,BASE!$A:$A,U$2)</f>
        <v>0</v>
      </c>
      <c r="V763" s="12">
        <f>SUMIFS(BASE!$G:$G,BASE!$B:$B,$B763,BASE!$L:$L,$G763,BASE!$J:$J,$C763,BASE!$A:$A,V$2)</f>
        <v>0</v>
      </c>
      <c r="X763" t="str">
        <f t="shared" si="23"/>
        <v>ZERADO</v>
      </c>
    </row>
    <row r="764" spans="2:24">
      <c r="B764" s="8" t="s">
        <v>1622</v>
      </c>
      <c r="C764" s="9" t="s">
        <v>112</v>
      </c>
      <c r="D764" s="9" t="s">
        <v>1488</v>
      </c>
      <c r="E764" s="9" t="s">
        <v>1438</v>
      </c>
      <c r="F764" s="9" t="s">
        <v>1623</v>
      </c>
      <c r="G764" s="9" t="s">
        <v>54</v>
      </c>
      <c r="H764" s="7" t="str">
        <f>IFERROR(IF(_xlfn.XLOOKUP(B764,REPASSE!D:D,REPASSE!D:D)="","Não","Sim"),"Não")</f>
        <v>Não</v>
      </c>
      <c r="I764" s="7" t="str">
        <f>IF(_xlfn.XLOOKUP(B764,'BOOST LIBERADO'!B:B,'BOOST LIBERADO'!B:B,"Não")="Não","Não","Sim")</f>
        <v>Sim</v>
      </c>
      <c r="J764" s="83" t="str">
        <f t="shared" si="22"/>
        <v>Sim</v>
      </c>
      <c r="K764" s="12">
        <f>SUMIFS(BASE!$G:$G,BASE!$B:$B,$B764,BASE!$L:$L,$G764,BASE!$J:$J,$C764,BASE!$A:$A,K$2)</f>
        <v>0</v>
      </c>
      <c r="L764" s="12">
        <f>SUMIFS(BASE!$G:$G,BASE!$B:$B,$B764,BASE!$L:$L,$G764,BASE!$J:$J,$C764,BASE!$A:$A,L$2)</f>
        <v>0</v>
      </c>
      <c r="M764" s="12">
        <f>SUMIFS(BASE!$G:$G,BASE!$B:$B,$B764,BASE!$L:$L,$G764,BASE!$J:$J,$C764,BASE!$A:$A,M$2)</f>
        <v>0</v>
      </c>
      <c r="N764" s="12">
        <f>SUMIFS(BASE!$G:$G,BASE!$B:$B,$B764,BASE!$L:$L,$G764,BASE!$J:$J,$C764,BASE!$A:$A,N$2)</f>
        <v>0</v>
      </c>
      <c r="O764" s="12">
        <f>SUMIFS(BASE!$G:$G,BASE!$B:$B,$B764,BASE!$L:$L,$G764,BASE!$J:$J,$C764,BASE!$A:$A,O$2)</f>
        <v>0</v>
      </c>
      <c r="P764" s="12">
        <f>SUMIFS(BASE!$G:$G,BASE!$B:$B,$B764,BASE!$L:$L,$G764,BASE!$J:$J,$C764,BASE!$A:$A,P$2)</f>
        <v>0</v>
      </c>
      <c r="Q764" s="12">
        <f>SUMIFS(BASE!$G:$G,BASE!$B:$B,$B764,BASE!$L:$L,$G764,BASE!$J:$J,$C764,BASE!$A:$A,Q$2)</f>
        <v>0</v>
      </c>
      <c r="R764" s="12">
        <f>SUMIFS(BASE!$G:$G,BASE!$B:$B,$B764,BASE!$L:$L,$G764,BASE!$J:$J,$C764,BASE!$A:$A,R$2)</f>
        <v>0</v>
      </c>
      <c r="S764" s="12">
        <f>SUMIFS(BASE!$G:$G,BASE!$B:$B,$B764,BASE!$L:$L,$G764,BASE!$J:$J,$C764,BASE!$A:$A,S$2)</f>
        <v>0</v>
      </c>
      <c r="T764" s="12">
        <f>SUMIFS(BASE!$G:$G,BASE!$B:$B,$B764,BASE!$L:$L,$G764,BASE!$J:$J,$C764,BASE!$A:$A,T$2)</f>
        <v>0</v>
      </c>
      <c r="U764" s="12">
        <f>SUMIFS(BASE!$G:$G,BASE!$B:$B,$B764,BASE!$L:$L,$G764,BASE!$J:$J,$C764,BASE!$A:$A,U$2)</f>
        <v>0</v>
      </c>
      <c r="V764" s="12">
        <f>SUMIFS(BASE!$G:$G,BASE!$B:$B,$B764,BASE!$L:$L,$G764,BASE!$J:$J,$C764,BASE!$A:$A,V$2)</f>
        <v>0</v>
      </c>
      <c r="X764" t="str">
        <f t="shared" si="23"/>
        <v>ZERADO</v>
      </c>
    </row>
    <row r="765" spans="2:24">
      <c r="B765" s="8" t="s">
        <v>1624</v>
      </c>
      <c r="C765" s="9" t="s">
        <v>232</v>
      </c>
      <c r="D765" s="9" t="s">
        <v>1428</v>
      </c>
      <c r="E765" s="9" t="s">
        <v>1412</v>
      </c>
      <c r="F765" s="9" t="s">
        <v>1625</v>
      </c>
      <c r="G765" s="9" t="s">
        <v>54</v>
      </c>
      <c r="H765" s="7" t="str">
        <f>IFERROR(IF(_xlfn.XLOOKUP(B765,REPASSE!D:D,REPASSE!D:D)="","Não","Sim"),"Não")</f>
        <v>Não</v>
      </c>
      <c r="I765" s="7" t="str">
        <f>IF(_xlfn.XLOOKUP(B765,'BOOST LIBERADO'!B:B,'BOOST LIBERADO'!B:B,"Não")="Não","Não","Sim")</f>
        <v>Sim</v>
      </c>
      <c r="J765" s="83" t="str">
        <f t="shared" si="22"/>
        <v>Sim</v>
      </c>
      <c r="K765" s="12">
        <f>SUMIFS(BASE!$G:$G,BASE!$B:$B,$B765,BASE!$L:$L,$G765,BASE!$J:$J,$C765,BASE!$A:$A,K$2)</f>
        <v>4</v>
      </c>
      <c r="L765" s="12">
        <f>SUMIFS(BASE!$G:$G,BASE!$B:$B,$B765,BASE!$L:$L,$G765,BASE!$J:$J,$C765,BASE!$A:$A,L$2)</f>
        <v>5</v>
      </c>
      <c r="M765" s="12">
        <f>SUMIFS(BASE!$G:$G,BASE!$B:$B,$B765,BASE!$L:$L,$G765,BASE!$J:$J,$C765,BASE!$A:$A,M$2)</f>
        <v>8</v>
      </c>
      <c r="N765" s="12">
        <f>SUMIFS(BASE!$G:$G,BASE!$B:$B,$B765,BASE!$L:$L,$G765,BASE!$J:$J,$C765,BASE!$A:$A,N$2)</f>
        <v>11</v>
      </c>
      <c r="O765" s="12">
        <f>SUMIFS(BASE!$G:$G,BASE!$B:$B,$B765,BASE!$L:$L,$G765,BASE!$J:$J,$C765,BASE!$A:$A,O$2)</f>
        <v>0</v>
      </c>
      <c r="P765" s="12">
        <f>SUMIFS(BASE!$G:$G,BASE!$B:$B,$B765,BASE!$L:$L,$G765,BASE!$J:$J,$C765,BASE!$A:$A,P$2)</f>
        <v>1</v>
      </c>
      <c r="Q765" s="12">
        <f>SUMIFS(BASE!$G:$G,BASE!$B:$B,$B765,BASE!$L:$L,$G765,BASE!$J:$J,$C765,BASE!$A:$A,Q$2)</f>
        <v>8</v>
      </c>
      <c r="R765" s="12">
        <f>SUMIFS(BASE!$G:$G,BASE!$B:$B,$B765,BASE!$L:$L,$G765,BASE!$J:$J,$C765,BASE!$A:$A,R$2)</f>
        <v>2</v>
      </c>
      <c r="S765" s="12">
        <f>SUMIFS(BASE!$G:$G,BASE!$B:$B,$B765,BASE!$L:$L,$G765,BASE!$J:$J,$C765,BASE!$A:$A,S$2)</f>
        <v>0</v>
      </c>
      <c r="T765" s="12">
        <f>SUMIFS(BASE!$G:$G,BASE!$B:$B,$B765,BASE!$L:$L,$G765,BASE!$J:$J,$C765,BASE!$A:$A,T$2)</f>
        <v>0</v>
      </c>
      <c r="U765" s="12">
        <f>SUMIFS(BASE!$G:$G,BASE!$B:$B,$B765,BASE!$L:$L,$G765,BASE!$J:$J,$C765,BASE!$A:$A,U$2)</f>
        <v>0</v>
      </c>
      <c r="V765" s="12">
        <f>SUMIFS(BASE!$G:$G,BASE!$B:$B,$B765,BASE!$L:$L,$G765,BASE!$J:$J,$C765,BASE!$A:$A,V$2)</f>
        <v>0</v>
      </c>
      <c r="X765" t="str">
        <f t="shared" si="23"/>
        <v>COM TROCAS</v>
      </c>
    </row>
    <row r="766" spans="2:24">
      <c r="B766" s="8" t="s">
        <v>1626</v>
      </c>
      <c r="C766" s="9" t="s">
        <v>220</v>
      </c>
      <c r="D766" s="9" t="s">
        <v>1411</v>
      </c>
      <c r="E766" s="9" t="s">
        <v>1412</v>
      </c>
      <c r="F766" s="9" t="s">
        <v>1616</v>
      </c>
      <c r="G766" s="9" t="s">
        <v>54</v>
      </c>
      <c r="H766" s="7" t="str">
        <f>IFERROR(IF(_xlfn.XLOOKUP(B766,REPASSE!D:D,REPASSE!D:D)="","Não","Sim"),"Não")</f>
        <v>Não</v>
      </c>
      <c r="I766" s="7" t="str">
        <f>IF(_xlfn.XLOOKUP(B766,'BOOST LIBERADO'!B:B,'BOOST LIBERADO'!B:B,"Não")="Não","Não","Sim")</f>
        <v>Sim</v>
      </c>
      <c r="J766" s="83" t="str">
        <f t="shared" si="22"/>
        <v>Sim</v>
      </c>
      <c r="K766" s="12">
        <f>SUMIFS(BASE!$G:$G,BASE!$B:$B,$B766,BASE!$L:$L,$G766,BASE!$J:$J,$C766,BASE!$A:$A,K$2)</f>
        <v>5</v>
      </c>
      <c r="L766" s="12">
        <f>SUMIFS(BASE!$G:$G,BASE!$B:$B,$B766,BASE!$L:$L,$G766,BASE!$J:$J,$C766,BASE!$A:$A,L$2)</f>
        <v>2</v>
      </c>
      <c r="M766" s="12">
        <f>SUMIFS(BASE!$G:$G,BASE!$B:$B,$B766,BASE!$L:$L,$G766,BASE!$J:$J,$C766,BASE!$A:$A,M$2)</f>
        <v>3</v>
      </c>
      <c r="N766" s="12">
        <f>SUMIFS(BASE!$G:$G,BASE!$B:$B,$B766,BASE!$L:$L,$G766,BASE!$J:$J,$C766,BASE!$A:$A,N$2)</f>
        <v>1</v>
      </c>
      <c r="O766" s="12">
        <f>SUMIFS(BASE!$G:$G,BASE!$B:$B,$B766,BASE!$L:$L,$G766,BASE!$J:$J,$C766,BASE!$A:$A,O$2)</f>
        <v>7</v>
      </c>
      <c r="P766" s="12">
        <f>SUMIFS(BASE!$G:$G,BASE!$B:$B,$B766,BASE!$L:$L,$G766,BASE!$J:$J,$C766,BASE!$A:$A,P$2)</f>
        <v>5</v>
      </c>
      <c r="Q766" s="12">
        <f>SUMIFS(BASE!$G:$G,BASE!$B:$B,$B766,BASE!$L:$L,$G766,BASE!$J:$J,$C766,BASE!$A:$A,Q$2)</f>
        <v>4</v>
      </c>
      <c r="R766" s="12">
        <f>SUMIFS(BASE!$G:$G,BASE!$B:$B,$B766,BASE!$L:$L,$G766,BASE!$J:$J,$C766,BASE!$A:$A,R$2)</f>
        <v>8</v>
      </c>
      <c r="S766" s="12">
        <f>SUMIFS(BASE!$G:$G,BASE!$B:$B,$B766,BASE!$L:$L,$G766,BASE!$J:$J,$C766,BASE!$A:$A,S$2)</f>
        <v>0</v>
      </c>
      <c r="T766" s="12">
        <f>SUMIFS(BASE!$G:$G,BASE!$B:$B,$B766,BASE!$L:$L,$G766,BASE!$J:$J,$C766,BASE!$A:$A,T$2)</f>
        <v>0</v>
      </c>
      <c r="U766" s="12">
        <f>SUMIFS(BASE!$G:$G,BASE!$B:$B,$B766,BASE!$L:$L,$G766,BASE!$J:$J,$C766,BASE!$A:$A,U$2)</f>
        <v>0</v>
      </c>
      <c r="V766" s="12">
        <f>SUMIFS(BASE!$G:$G,BASE!$B:$B,$B766,BASE!$L:$L,$G766,BASE!$J:$J,$C766,BASE!$A:$A,V$2)</f>
        <v>0</v>
      </c>
      <c r="X766" t="str">
        <f t="shared" si="23"/>
        <v>COM TROCAS</v>
      </c>
    </row>
    <row r="767" spans="2:24">
      <c r="B767" s="8" t="s">
        <v>1627</v>
      </c>
      <c r="C767" s="8" t="s">
        <v>106</v>
      </c>
      <c r="D767" s="8" t="s">
        <v>1509</v>
      </c>
      <c r="E767" s="8" t="s">
        <v>1423</v>
      </c>
      <c r="F767" s="8" t="s">
        <v>1628</v>
      </c>
      <c r="G767" s="8" t="s">
        <v>54</v>
      </c>
      <c r="H767" s="7" t="str">
        <f>IFERROR(IF(_xlfn.XLOOKUP(B767,REPASSE!D:D,REPASSE!D:D)="","Não","Sim"),"Não")</f>
        <v>Não</v>
      </c>
      <c r="I767" s="7" t="str">
        <f>IF(_xlfn.XLOOKUP(B767,'BOOST LIBERADO'!B:B,'BOOST LIBERADO'!B:B,"Não")="Não","Não","Sim")</f>
        <v>Sim</v>
      </c>
      <c r="J767" s="83" t="str">
        <f t="shared" si="22"/>
        <v>Sim</v>
      </c>
      <c r="K767" s="12">
        <f>SUMIFS(BASE!$G:$G,BASE!$B:$B,$B767,BASE!$L:$L,$G767,BASE!$J:$J,$C767,BASE!$A:$A,K$2)</f>
        <v>0</v>
      </c>
      <c r="L767" s="12">
        <f>SUMIFS(BASE!$G:$G,BASE!$B:$B,$B767,BASE!$L:$L,$G767,BASE!$J:$J,$C767,BASE!$A:$A,L$2)</f>
        <v>0</v>
      </c>
      <c r="M767" s="12">
        <f>SUMIFS(BASE!$G:$G,BASE!$B:$B,$B767,BASE!$L:$L,$G767,BASE!$J:$J,$C767,BASE!$A:$A,M$2)</f>
        <v>0</v>
      </c>
      <c r="N767" s="12">
        <f>SUMIFS(BASE!$G:$G,BASE!$B:$B,$B767,BASE!$L:$L,$G767,BASE!$J:$J,$C767,BASE!$A:$A,N$2)</f>
        <v>0</v>
      </c>
      <c r="O767" s="12">
        <f>SUMIFS(BASE!$G:$G,BASE!$B:$B,$B767,BASE!$L:$L,$G767,BASE!$J:$J,$C767,BASE!$A:$A,O$2)</f>
        <v>0</v>
      </c>
      <c r="P767" s="12">
        <f>SUMIFS(BASE!$G:$G,BASE!$B:$B,$B767,BASE!$L:$L,$G767,BASE!$J:$J,$C767,BASE!$A:$A,P$2)</f>
        <v>0</v>
      </c>
      <c r="Q767" s="12">
        <f>SUMIFS(BASE!$G:$G,BASE!$B:$B,$B767,BASE!$L:$L,$G767,BASE!$J:$J,$C767,BASE!$A:$A,Q$2)</f>
        <v>1</v>
      </c>
      <c r="R767" s="12">
        <f>SUMIFS(BASE!$G:$G,BASE!$B:$B,$B767,BASE!$L:$L,$G767,BASE!$J:$J,$C767,BASE!$A:$A,R$2)</f>
        <v>0</v>
      </c>
      <c r="S767" s="12">
        <f>SUMIFS(BASE!$G:$G,BASE!$B:$B,$B767,BASE!$L:$L,$G767,BASE!$J:$J,$C767,BASE!$A:$A,S$2)</f>
        <v>0</v>
      </c>
      <c r="T767" s="12">
        <f>SUMIFS(BASE!$G:$G,BASE!$B:$B,$B767,BASE!$L:$L,$G767,BASE!$J:$J,$C767,BASE!$A:$A,T$2)</f>
        <v>0</v>
      </c>
      <c r="U767" s="12">
        <f>SUMIFS(BASE!$G:$G,BASE!$B:$B,$B767,BASE!$L:$L,$G767,BASE!$J:$J,$C767,BASE!$A:$A,U$2)</f>
        <v>0</v>
      </c>
      <c r="V767" s="12">
        <f>SUMIFS(BASE!$G:$G,BASE!$B:$B,$B767,BASE!$L:$L,$G767,BASE!$J:$J,$C767,BASE!$A:$A,V$2)</f>
        <v>0</v>
      </c>
      <c r="X767" t="str">
        <f t="shared" si="23"/>
        <v>ZERADO</v>
      </c>
    </row>
    <row r="768" spans="2:24">
      <c r="B768" s="8" t="s">
        <v>1629</v>
      </c>
      <c r="C768" s="8" t="s">
        <v>132</v>
      </c>
      <c r="D768" s="8" t="s">
        <v>1450</v>
      </c>
      <c r="E768" s="8" t="s">
        <v>1412</v>
      </c>
      <c r="F768" s="8" t="s">
        <v>1464</v>
      </c>
      <c r="G768" s="8" t="s">
        <v>54</v>
      </c>
      <c r="H768" s="7" t="str">
        <f>IFERROR(IF(_xlfn.XLOOKUP(B768,REPASSE!D:D,REPASSE!D:D)="","Não","Sim"),"Não")</f>
        <v>Não</v>
      </c>
      <c r="I768" s="7" t="str">
        <f>IF(_xlfn.XLOOKUP(B768,'BOOST LIBERADO'!B:B,'BOOST LIBERADO'!B:B,"Não")="Não","Não","Sim")</f>
        <v>Sim</v>
      </c>
      <c r="J768" s="83" t="str">
        <f t="shared" si="22"/>
        <v>Sim</v>
      </c>
      <c r="K768" s="12">
        <f>SUMIFS(BASE!$G:$G,BASE!$B:$B,$B768,BASE!$L:$L,$G768,BASE!$J:$J,$C768,BASE!$A:$A,K$2)</f>
        <v>2</v>
      </c>
      <c r="L768" s="12">
        <f>SUMIFS(BASE!$G:$G,BASE!$B:$B,$B768,BASE!$L:$L,$G768,BASE!$J:$J,$C768,BASE!$A:$A,L$2)</f>
        <v>1</v>
      </c>
      <c r="M768" s="12">
        <f>SUMIFS(BASE!$G:$G,BASE!$B:$B,$B768,BASE!$L:$L,$G768,BASE!$J:$J,$C768,BASE!$A:$A,M$2)</f>
        <v>5</v>
      </c>
      <c r="N768" s="12">
        <f>SUMIFS(BASE!$G:$G,BASE!$B:$B,$B768,BASE!$L:$L,$G768,BASE!$J:$J,$C768,BASE!$A:$A,N$2)</f>
        <v>3</v>
      </c>
      <c r="O768" s="12">
        <f>SUMIFS(BASE!$G:$G,BASE!$B:$B,$B768,BASE!$L:$L,$G768,BASE!$J:$J,$C768,BASE!$A:$A,O$2)</f>
        <v>2</v>
      </c>
      <c r="P768" s="12">
        <f>SUMIFS(BASE!$G:$G,BASE!$B:$B,$B768,BASE!$L:$L,$G768,BASE!$J:$J,$C768,BASE!$A:$A,P$2)</f>
        <v>4</v>
      </c>
      <c r="Q768" s="12">
        <f>SUMIFS(BASE!$G:$G,BASE!$B:$B,$B768,BASE!$L:$L,$G768,BASE!$J:$J,$C768,BASE!$A:$A,Q$2)</f>
        <v>7</v>
      </c>
      <c r="R768" s="12">
        <f>SUMIFS(BASE!$G:$G,BASE!$B:$B,$B768,BASE!$L:$L,$G768,BASE!$J:$J,$C768,BASE!$A:$A,R$2)</f>
        <v>7</v>
      </c>
      <c r="S768" s="12">
        <f>SUMIFS(BASE!$G:$G,BASE!$B:$B,$B768,BASE!$L:$L,$G768,BASE!$J:$J,$C768,BASE!$A:$A,S$2)</f>
        <v>0</v>
      </c>
      <c r="T768" s="12">
        <f>SUMIFS(BASE!$G:$G,BASE!$B:$B,$B768,BASE!$L:$L,$G768,BASE!$J:$J,$C768,BASE!$A:$A,T$2)</f>
        <v>0</v>
      </c>
      <c r="U768" s="12">
        <f>SUMIFS(BASE!$G:$G,BASE!$B:$B,$B768,BASE!$L:$L,$G768,BASE!$J:$J,$C768,BASE!$A:$A,U$2)</f>
        <v>0</v>
      </c>
      <c r="V768" s="12">
        <f>SUMIFS(BASE!$G:$G,BASE!$B:$B,$B768,BASE!$L:$L,$G768,BASE!$J:$J,$C768,BASE!$A:$A,V$2)</f>
        <v>0</v>
      </c>
      <c r="X768" t="str">
        <f t="shared" si="23"/>
        <v>COM TROCAS</v>
      </c>
    </row>
    <row r="769" spans="2:24">
      <c r="B769" s="8" t="s">
        <v>1630</v>
      </c>
      <c r="C769" s="9" t="s">
        <v>232</v>
      </c>
      <c r="D769" s="9" t="s">
        <v>1631</v>
      </c>
      <c r="E769" s="9" t="s">
        <v>1438</v>
      </c>
      <c r="F769" s="9" t="s">
        <v>1632</v>
      </c>
      <c r="G769" s="9" t="s">
        <v>54</v>
      </c>
      <c r="H769" s="7" t="str">
        <f>IFERROR(IF(_xlfn.XLOOKUP(B769,REPASSE!D:D,REPASSE!D:D)="","Não","Sim"),"Não")</f>
        <v>Não</v>
      </c>
      <c r="I769" s="7" t="str">
        <f>IF(_xlfn.XLOOKUP(B769,'BOOST LIBERADO'!B:B,'BOOST LIBERADO'!B:B,"Não")="Não","Não","Sim")</f>
        <v>Sim</v>
      </c>
      <c r="J769" s="83" t="str">
        <f t="shared" si="22"/>
        <v>Sim</v>
      </c>
      <c r="K769" s="12">
        <f>SUMIFS(BASE!$G:$G,BASE!$B:$B,$B769,BASE!$L:$L,$G769,BASE!$J:$J,$C769,BASE!$A:$A,K$2)</f>
        <v>8</v>
      </c>
      <c r="L769" s="12">
        <f>SUMIFS(BASE!$G:$G,BASE!$B:$B,$B769,BASE!$L:$L,$G769,BASE!$J:$J,$C769,BASE!$A:$A,L$2)</f>
        <v>5</v>
      </c>
      <c r="M769" s="12">
        <f>SUMIFS(BASE!$G:$G,BASE!$B:$B,$B769,BASE!$L:$L,$G769,BASE!$J:$J,$C769,BASE!$A:$A,M$2)</f>
        <v>13</v>
      </c>
      <c r="N769" s="12">
        <f>SUMIFS(BASE!$G:$G,BASE!$B:$B,$B769,BASE!$L:$L,$G769,BASE!$J:$J,$C769,BASE!$A:$A,N$2)</f>
        <v>8</v>
      </c>
      <c r="O769" s="12">
        <f>SUMIFS(BASE!$G:$G,BASE!$B:$B,$B769,BASE!$L:$L,$G769,BASE!$J:$J,$C769,BASE!$A:$A,O$2)</f>
        <v>10</v>
      </c>
      <c r="P769" s="12">
        <f>SUMIFS(BASE!$G:$G,BASE!$B:$B,$B769,BASE!$L:$L,$G769,BASE!$J:$J,$C769,BASE!$A:$A,P$2)</f>
        <v>15</v>
      </c>
      <c r="Q769" s="12">
        <f>SUMIFS(BASE!$G:$G,BASE!$B:$B,$B769,BASE!$L:$L,$G769,BASE!$J:$J,$C769,BASE!$A:$A,Q$2)</f>
        <v>7</v>
      </c>
      <c r="R769" s="12">
        <f>SUMIFS(BASE!$G:$G,BASE!$B:$B,$B769,BASE!$L:$L,$G769,BASE!$J:$J,$C769,BASE!$A:$A,R$2)</f>
        <v>8</v>
      </c>
      <c r="S769" s="12">
        <f>SUMIFS(BASE!$G:$G,BASE!$B:$B,$B769,BASE!$L:$L,$G769,BASE!$J:$J,$C769,BASE!$A:$A,S$2)</f>
        <v>0</v>
      </c>
      <c r="T769" s="12">
        <f>SUMIFS(BASE!$G:$G,BASE!$B:$B,$B769,BASE!$L:$L,$G769,BASE!$J:$J,$C769,BASE!$A:$A,T$2)</f>
        <v>0</v>
      </c>
      <c r="U769" s="12">
        <f>SUMIFS(BASE!$G:$G,BASE!$B:$B,$B769,BASE!$L:$L,$G769,BASE!$J:$J,$C769,BASE!$A:$A,U$2)</f>
        <v>0</v>
      </c>
      <c r="V769" s="12">
        <f>SUMIFS(BASE!$G:$G,BASE!$B:$B,$B769,BASE!$L:$L,$G769,BASE!$J:$J,$C769,BASE!$A:$A,V$2)</f>
        <v>0</v>
      </c>
      <c r="X769" t="str">
        <f t="shared" si="23"/>
        <v>COM TROCAS</v>
      </c>
    </row>
    <row r="770" spans="2:24">
      <c r="B770" s="8" t="s">
        <v>1633</v>
      </c>
      <c r="C770" s="9" t="s">
        <v>106</v>
      </c>
      <c r="D770" s="9" t="s">
        <v>1544</v>
      </c>
      <c r="E770" s="9" t="s">
        <v>1423</v>
      </c>
      <c r="F770" s="9" t="s">
        <v>1527</v>
      </c>
      <c r="G770" s="9" t="s">
        <v>54</v>
      </c>
      <c r="H770" s="7" t="str">
        <f>IFERROR(IF(_xlfn.XLOOKUP(B770,REPASSE!D:D,REPASSE!D:D)="","Não","Sim"),"Não")</f>
        <v>Não</v>
      </c>
      <c r="I770" s="7" t="str">
        <f>IF(_xlfn.XLOOKUP(B770,'BOOST LIBERADO'!B:B,'BOOST LIBERADO'!B:B,"Não")="Não","Não","Sim")</f>
        <v>Sim</v>
      </c>
      <c r="J770" s="83" t="str">
        <f t="shared" si="22"/>
        <v>Sim</v>
      </c>
      <c r="K770" s="12">
        <f>SUMIFS(BASE!$G:$G,BASE!$B:$B,$B770,BASE!$L:$L,$G770,BASE!$J:$J,$C770,BASE!$A:$A,K$2)</f>
        <v>0</v>
      </c>
      <c r="L770" s="12">
        <f>SUMIFS(BASE!$G:$G,BASE!$B:$B,$B770,BASE!$L:$L,$G770,BASE!$J:$J,$C770,BASE!$A:$A,L$2)</f>
        <v>0</v>
      </c>
      <c r="M770" s="12">
        <f>SUMIFS(BASE!$G:$G,BASE!$B:$B,$B770,BASE!$L:$L,$G770,BASE!$J:$J,$C770,BASE!$A:$A,M$2)</f>
        <v>0</v>
      </c>
      <c r="N770" s="12">
        <f>SUMIFS(BASE!$G:$G,BASE!$B:$B,$B770,BASE!$L:$L,$G770,BASE!$J:$J,$C770,BASE!$A:$A,N$2)</f>
        <v>0</v>
      </c>
      <c r="O770" s="12">
        <f>SUMIFS(BASE!$G:$G,BASE!$B:$B,$B770,BASE!$L:$L,$G770,BASE!$J:$J,$C770,BASE!$A:$A,O$2)</f>
        <v>1</v>
      </c>
      <c r="P770" s="12">
        <f>SUMIFS(BASE!$G:$G,BASE!$B:$B,$B770,BASE!$L:$L,$G770,BASE!$J:$J,$C770,BASE!$A:$A,P$2)</f>
        <v>0</v>
      </c>
      <c r="Q770" s="12">
        <f>SUMIFS(BASE!$G:$G,BASE!$B:$B,$B770,BASE!$L:$L,$G770,BASE!$J:$J,$C770,BASE!$A:$A,Q$2)</f>
        <v>0</v>
      </c>
      <c r="R770" s="12">
        <f>SUMIFS(BASE!$G:$G,BASE!$B:$B,$B770,BASE!$L:$L,$G770,BASE!$J:$J,$C770,BASE!$A:$A,R$2)</f>
        <v>0</v>
      </c>
      <c r="S770" s="12">
        <f>SUMIFS(BASE!$G:$G,BASE!$B:$B,$B770,BASE!$L:$L,$G770,BASE!$J:$J,$C770,BASE!$A:$A,S$2)</f>
        <v>0</v>
      </c>
      <c r="T770" s="12">
        <f>SUMIFS(BASE!$G:$G,BASE!$B:$B,$B770,BASE!$L:$L,$G770,BASE!$J:$J,$C770,BASE!$A:$A,T$2)</f>
        <v>0</v>
      </c>
      <c r="U770" s="12">
        <f>SUMIFS(BASE!$G:$G,BASE!$B:$B,$B770,BASE!$L:$L,$G770,BASE!$J:$J,$C770,BASE!$A:$A,U$2)</f>
        <v>0</v>
      </c>
      <c r="V770" s="12">
        <f>SUMIFS(BASE!$G:$G,BASE!$B:$B,$B770,BASE!$L:$L,$G770,BASE!$J:$J,$C770,BASE!$A:$A,V$2)</f>
        <v>0</v>
      </c>
      <c r="X770" t="str">
        <f t="shared" si="23"/>
        <v>ZERADO</v>
      </c>
    </row>
    <row r="771" spans="2:24">
      <c r="B771" s="8" t="s">
        <v>1634</v>
      </c>
      <c r="C771" s="9" t="s">
        <v>211</v>
      </c>
      <c r="D771" s="9" t="s">
        <v>1488</v>
      </c>
      <c r="E771" s="9" t="s">
        <v>1438</v>
      </c>
      <c r="F771" s="9" t="s">
        <v>1635</v>
      </c>
      <c r="G771" s="9" t="s">
        <v>54</v>
      </c>
      <c r="H771" s="7" t="str">
        <f>IFERROR(IF(_xlfn.XLOOKUP(B771,REPASSE!D:D,REPASSE!D:D)="","Não","Sim"),"Não")</f>
        <v>Não</v>
      </c>
      <c r="I771" s="7" t="str">
        <f>IF(_xlfn.XLOOKUP(B771,'BOOST LIBERADO'!B:B,'BOOST LIBERADO'!B:B,"Não")="Não","Não","Sim")</f>
        <v>Sim</v>
      </c>
      <c r="J771" s="83" t="str">
        <f t="shared" si="22"/>
        <v>Sim</v>
      </c>
      <c r="K771" s="12">
        <f>SUMIFS(BASE!$G:$G,BASE!$B:$B,$B771,BASE!$L:$L,$G771,BASE!$J:$J,$C771,BASE!$A:$A,K$2)</f>
        <v>0</v>
      </c>
      <c r="L771" s="12">
        <f>SUMIFS(BASE!$G:$G,BASE!$B:$B,$B771,BASE!$L:$L,$G771,BASE!$J:$J,$C771,BASE!$A:$A,L$2)</f>
        <v>0</v>
      </c>
      <c r="M771" s="12">
        <f>SUMIFS(BASE!$G:$G,BASE!$B:$B,$B771,BASE!$L:$L,$G771,BASE!$J:$J,$C771,BASE!$A:$A,M$2)</f>
        <v>0</v>
      </c>
      <c r="N771" s="12">
        <f>SUMIFS(BASE!$G:$G,BASE!$B:$B,$B771,BASE!$L:$L,$G771,BASE!$J:$J,$C771,BASE!$A:$A,N$2)</f>
        <v>0</v>
      </c>
      <c r="O771" s="12">
        <f>SUMIFS(BASE!$G:$G,BASE!$B:$B,$B771,BASE!$L:$L,$G771,BASE!$J:$J,$C771,BASE!$A:$A,O$2)</f>
        <v>0</v>
      </c>
      <c r="P771" s="12">
        <f>SUMIFS(BASE!$G:$G,BASE!$B:$B,$B771,BASE!$L:$L,$G771,BASE!$J:$J,$C771,BASE!$A:$A,P$2)</f>
        <v>0</v>
      </c>
      <c r="Q771" s="12">
        <f>SUMIFS(BASE!$G:$G,BASE!$B:$B,$B771,BASE!$L:$L,$G771,BASE!$J:$J,$C771,BASE!$A:$A,Q$2)</f>
        <v>0</v>
      </c>
      <c r="R771" s="12">
        <f>SUMIFS(BASE!$G:$G,BASE!$B:$B,$B771,BASE!$L:$L,$G771,BASE!$J:$J,$C771,BASE!$A:$A,R$2)</f>
        <v>0</v>
      </c>
      <c r="S771" s="12">
        <f>SUMIFS(BASE!$G:$G,BASE!$B:$B,$B771,BASE!$L:$L,$G771,BASE!$J:$J,$C771,BASE!$A:$A,S$2)</f>
        <v>0</v>
      </c>
      <c r="T771" s="12">
        <f>SUMIFS(BASE!$G:$G,BASE!$B:$B,$B771,BASE!$L:$L,$G771,BASE!$J:$J,$C771,BASE!$A:$A,T$2)</f>
        <v>0</v>
      </c>
      <c r="U771" s="12">
        <f>SUMIFS(BASE!$G:$G,BASE!$B:$B,$B771,BASE!$L:$L,$G771,BASE!$J:$J,$C771,BASE!$A:$A,U$2)</f>
        <v>0</v>
      </c>
      <c r="V771" s="12">
        <f>SUMIFS(BASE!$G:$G,BASE!$B:$B,$B771,BASE!$L:$L,$G771,BASE!$J:$J,$C771,BASE!$A:$A,V$2)</f>
        <v>0</v>
      </c>
      <c r="X771" t="str">
        <f t="shared" si="23"/>
        <v>ZERADO</v>
      </c>
    </row>
    <row r="772" spans="2:24">
      <c r="B772" s="8" t="s">
        <v>1636</v>
      </c>
      <c r="C772" s="9" t="s">
        <v>232</v>
      </c>
      <c r="D772" s="9" t="s">
        <v>1411</v>
      </c>
      <c r="E772" s="9" t="s">
        <v>1412</v>
      </c>
      <c r="F772" s="9" t="s">
        <v>1484</v>
      </c>
      <c r="G772" s="9" t="s">
        <v>54</v>
      </c>
      <c r="H772" s="7" t="str">
        <f>IFERROR(IF(_xlfn.XLOOKUP(B772,REPASSE!D:D,REPASSE!D:D)="","Não","Sim"),"Não")</f>
        <v>Não</v>
      </c>
      <c r="I772" s="7" t="str">
        <f>IF(_xlfn.XLOOKUP(B772,'BOOST LIBERADO'!B:B,'BOOST LIBERADO'!B:B,"Não")="Não","Não","Sim")</f>
        <v>Sim</v>
      </c>
      <c r="J772" s="83" t="str">
        <f t="shared" ref="J772:J835" si="24">IF(AND(H772="Não",I772="Sim"),"Sim","Não")</f>
        <v>Sim</v>
      </c>
      <c r="K772" s="12">
        <f>SUMIFS(BASE!$G:$G,BASE!$B:$B,$B772,BASE!$L:$L,$G772,BASE!$J:$J,$C772,BASE!$A:$A,K$2)</f>
        <v>12</v>
      </c>
      <c r="L772" s="12">
        <f>SUMIFS(BASE!$G:$G,BASE!$B:$B,$B772,BASE!$L:$L,$G772,BASE!$J:$J,$C772,BASE!$A:$A,L$2)</f>
        <v>19</v>
      </c>
      <c r="M772" s="12">
        <f>SUMIFS(BASE!$G:$G,BASE!$B:$B,$B772,BASE!$L:$L,$G772,BASE!$J:$J,$C772,BASE!$A:$A,M$2)</f>
        <v>4</v>
      </c>
      <c r="N772" s="12">
        <f>SUMIFS(BASE!$G:$G,BASE!$B:$B,$B772,BASE!$L:$L,$G772,BASE!$J:$J,$C772,BASE!$A:$A,N$2)</f>
        <v>11</v>
      </c>
      <c r="O772" s="12">
        <f>SUMIFS(BASE!$G:$G,BASE!$B:$B,$B772,BASE!$L:$L,$G772,BASE!$J:$J,$C772,BASE!$A:$A,O$2)</f>
        <v>19</v>
      </c>
      <c r="P772" s="12">
        <f>SUMIFS(BASE!$G:$G,BASE!$B:$B,$B772,BASE!$L:$L,$G772,BASE!$J:$J,$C772,BASE!$A:$A,P$2)</f>
        <v>19</v>
      </c>
      <c r="Q772" s="12">
        <f>SUMIFS(BASE!$G:$G,BASE!$B:$B,$B772,BASE!$L:$L,$G772,BASE!$J:$J,$C772,BASE!$A:$A,Q$2)</f>
        <v>23</v>
      </c>
      <c r="R772" s="12">
        <f>SUMIFS(BASE!$G:$G,BASE!$B:$B,$B772,BASE!$L:$L,$G772,BASE!$J:$J,$C772,BASE!$A:$A,R$2)</f>
        <v>21</v>
      </c>
      <c r="S772" s="12">
        <f>SUMIFS(BASE!$G:$G,BASE!$B:$B,$B772,BASE!$L:$L,$G772,BASE!$J:$J,$C772,BASE!$A:$A,S$2)</f>
        <v>0</v>
      </c>
      <c r="T772" s="12">
        <f>SUMIFS(BASE!$G:$G,BASE!$B:$B,$B772,BASE!$L:$L,$G772,BASE!$J:$J,$C772,BASE!$A:$A,T$2)</f>
        <v>0</v>
      </c>
      <c r="U772" s="12">
        <f>SUMIFS(BASE!$G:$G,BASE!$B:$B,$B772,BASE!$L:$L,$G772,BASE!$J:$J,$C772,BASE!$A:$A,U$2)</f>
        <v>0</v>
      </c>
      <c r="V772" s="12">
        <f>SUMIFS(BASE!$G:$G,BASE!$B:$B,$B772,BASE!$L:$L,$G772,BASE!$J:$J,$C772,BASE!$A:$A,V$2)</f>
        <v>0</v>
      </c>
      <c r="X772" t="str">
        <f t="shared" ref="X772:X835" si="25">IF(AND(R772=0),"ZERADO","COM TROCAS")</f>
        <v>COM TROCAS</v>
      </c>
    </row>
    <row r="773" spans="2:24">
      <c r="B773" s="8" t="s">
        <v>1637</v>
      </c>
      <c r="C773" s="9" t="s">
        <v>106</v>
      </c>
      <c r="D773" s="9" t="s">
        <v>1434</v>
      </c>
      <c r="E773" s="9" t="s">
        <v>1423</v>
      </c>
      <c r="F773" s="9" t="s">
        <v>1638</v>
      </c>
      <c r="G773" s="9" t="s">
        <v>54</v>
      </c>
      <c r="H773" s="7" t="str">
        <f>IFERROR(IF(_xlfn.XLOOKUP(B773,REPASSE!D:D,REPASSE!D:D)="","Não","Sim"),"Não")</f>
        <v>Não</v>
      </c>
      <c r="I773" s="7" t="str">
        <f>IF(_xlfn.XLOOKUP(B773,'BOOST LIBERADO'!B:B,'BOOST LIBERADO'!B:B,"Não")="Não","Não","Sim")</f>
        <v>Sim</v>
      </c>
      <c r="J773" s="83" t="str">
        <f t="shared" si="24"/>
        <v>Sim</v>
      </c>
      <c r="K773" s="12">
        <f>SUMIFS(BASE!$G:$G,BASE!$B:$B,$B773,BASE!$L:$L,$G773,BASE!$J:$J,$C773,BASE!$A:$A,K$2)</f>
        <v>0</v>
      </c>
      <c r="L773" s="12">
        <f>SUMIFS(BASE!$G:$G,BASE!$B:$B,$B773,BASE!$L:$L,$G773,BASE!$J:$J,$C773,BASE!$A:$A,L$2)</f>
        <v>0</v>
      </c>
      <c r="M773" s="12">
        <f>SUMIFS(BASE!$G:$G,BASE!$B:$B,$B773,BASE!$L:$L,$G773,BASE!$J:$J,$C773,BASE!$A:$A,M$2)</f>
        <v>0</v>
      </c>
      <c r="N773" s="12">
        <f>SUMIFS(BASE!$G:$G,BASE!$B:$B,$B773,BASE!$L:$L,$G773,BASE!$J:$J,$C773,BASE!$A:$A,N$2)</f>
        <v>0</v>
      </c>
      <c r="O773" s="12">
        <f>SUMIFS(BASE!$G:$G,BASE!$B:$B,$B773,BASE!$L:$L,$G773,BASE!$J:$J,$C773,BASE!$A:$A,O$2)</f>
        <v>0</v>
      </c>
      <c r="P773" s="12">
        <f>SUMIFS(BASE!$G:$G,BASE!$B:$B,$B773,BASE!$L:$L,$G773,BASE!$J:$J,$C773,BASE!$A:$A,P$2)</f>
        <v>0</v>
      </c>
      <c r="Q773" s="12">
        <f>SUMIFS(BASE!$G:$G,BASE!$B:$B,$B773,BASE!$L:$L,$G773,BASE!$J:$J,$C773,BASE!$A:$A,Q$2)</f>
        <v>0</v>
      </c>
      <c r="R773" s="12">
        <f>SUMIFS(BASE!$G:$G,BASE!$B:$B,$B773,BASE!$L:$L,$G773,BASE!$J:$J,$C773,BASE!$A:$A,R$2)</f>
        <v>0</v>
      </c>
      <c r="S773" s="12">
        <f>SUMIFS(BASE!$G:$G,BASE!$B:$B,$B773,BASE!$L:$L,$G773,BASE!$J:$J,$C773,BASE!$A:$A,S$2)</f>
        <v>0</v>
      </c>
      <c r="T773" s="12">
        <f>SUMIFS(BASE!$G:$G,BASE!$B:$B,$B773,BASE!$L:$L,$G773,BASE!$J:$J,$C773,BASE!$A:$A,T$2)</f>
        <v>0</v>
      </c>
      <c r="U773" s="12">
        <f>SUMIFS(BASE!$G:$G,BASE!$B:$B,$B773,BASE!$L:$L,$G773,BASE!$J:$J,$C773,BASE!$A:$A,U$2)</f>
        <v>0</v>
      </c>
      <c r="V773" s="12">
        <f>SUMIFS(BASE!$G:$G,BASE!$B:$B,$B773,BASE!$L:$L,$G773,BASE!$J:$J,$C773,BASE!$A:$A,V$2)</f>
        <v>0</v>
      </c>
      <c r="X773" t="str">
        <f t="shared" si="25"/>
        <v>ZERADO</v>
      </c>
    </row>
    <row r="774" spans="2:24">
      <c r="B774" s="8" t="s">
        <v>1639</v>
      </c>
      <c r="C774" s="9" t="s">
        <v>116</v>
      </c>
      <c r="D774" s="9" t="s">
        <v>1415</v>
      </c>
      <c r="E774" s="9" t="s">
        <v>1416</v>
      </c>
      <c r="F774" s="9" t="s">
        <v>1640</v>
      </c>
      <c r="G774" s="9" t="s">
        <v>54</v>
      </c>
      <c r="H774" s="7" t="str">
        <f>IFERROR(IF(_xlfn.XLOOKUP(B774,REPASSE!D:D,REPASSE!D:D)="","Não","Sim"),"Não")</f>
        <v>Sim</v>
      </c>
      <c r="I774" s="7" t="str">
        <f>IF(_xlfn.XLOOKUP(B774,'BOOST LIBERADO'!B:B,'BOOST LIBERADO'!B:B,"Não")="Não","Não","Sim")</f>
        <v>Sim</v>
      </c>
      <c r="J774" s="83" t="str">
        <f t="shared" si="24"/>
        <v>Não</v>
      </c>
      <c r="K774" s="12">
        <f>SUMIFS(BASE!$G:$G,BASE!$B:$B,$B774,BASE!$L:$L,$G774,BASE!$J:$J,$C774,BASE!$A:$A,K$2)</f>
        <v>0</v>
      </c>
      <c r="L774" s="12">
        <f>SUMIFS(BASE!$G:$G,BASE!$B:$B,$B774,BASE!$L:$L,$G774,BASE!$J:$J,$C774,BASE!$A:$A,L$2)</f>
        <v>0</v>
      </c>
      <c r="M774" s="12">
        <f>SUMIFS(BASE!$G:$G,BASE!$B:$B,$B774,BASE!$L:$L,$G774,BASE!$J:$J,$C774,BASE!$A:$A,M$2)</f>
        <v>0</v>
      </c>
      <c r="N774" s="12">
        <f>SUMIFS(BASE!$G:$G,BASE!$B:$B,$B774,BASE!$L:$L,$G774,BASE!$J:$J,$C774,BASE!$A:$A,N$2)</f>
        <v>0</v>
      </c>
      <c r="O774" s="12">
        <f>SUMIFS(BASE!$G:$G,BASE!$B:$B,$B774,BASE!$L:$L,$G774,BASE!$J:$J,$C774,BASE!$A:$A,O$2)</f>
        <v>0</v>
      </c>
      <c r="P774" s="12">
        <f>SUMIFS(BASE!$G:$G,BASE!$B:$B,$B774,BASE!$L:$L,$G774,BASE!$J:$J,$C774,BASE!$A:$A,P$2)</f>
        <v>0</v>
      </c>
      <c r="Q774" s="12">
        <f>SUMIFS(BASE!$G:$G,BASE!$B:$B,$B774,BASE!$L:$L,$G774,BASE!$J:$J,$C774,BASE!$A:$A,Q$2)</f>
        <v>0</v>
      </c>
      <c r="R774" s="12">
        <f>SUMIFS(BASE!$G:$G,BASE!$B:$B,$B774,BASE!$L:$L,$G774,BASE!$J:$J,$C774,BASE!$A:$A,R$2)</f>
        <v>0</v>
      </c>
      <c r="S774" s="12">
        <f>SUMIFS(BASE!$G:$G,BASE!$B:$B,$B774,BASE!$L:$L,$G774,BASE!$J:$J,$C774,BASE!$A:$A,S$2)</f>
        <v>0</v>
      </c>
      <c r="T774" s="12">
        <f>SUMIFS(BASE!$G:$G,BASE!$B:$B,$B774,BASE!$L:$L,$G774,BASE!$J:$J,$C774,BASE!$A:$A,T$2)</f>
        <v>0</v>
      </c>
      <c r="U774" s="12">
        <f>SUMIFS(BASE!$G:$G,BASE!$B:$B,$B774,BASE!$L:$L,$G774,BASE!$J:$J,$C774,BASE!$A:$A,U$2)</f>
        <v>0</v>
      </c>
      <c r="V774" s="12">
        <f>SUMIFS(BASE!$G:$G,BASE!$B:$B,$B774,BASE!$L:$L,$G774,BASE!$J:$J,$C774,BASE!$A:$A,V$2)</f>
        <v>0</v>
      </c>
      <c r="X774" t="str">
        <f t="shared" si="25"/>
        <v>ZERADO</v>
      </c>
    </row>
    <row r="775" spans="2:24">
      <c r="B775" s="8" t="s">
        <v>1641</v>
      </c>
      <c r="C775" s="9" t="s">
        <v>132</v>
      </c>
      <c r="D775" s="9" t="s">
        <v>1453</v>
      </c>
      <c r="E775" s="9" t="s">
        <v>1412</v>
      </c>
      <c r="F775" s="9" t="s">
        <v>1616</v>
      </c>
      <c r="G775" s="9" t="s">
        <v>54</v>
      </c>
      <c r="H775" s="7" t="str">
        <f>IFERROR(IF(_xlfn.XLOOKUP(B775,REPASSE!D:D,REPASSE!D:D)="","Não","Sim"),"Não")</f>
        <v>Não</v>
      </c>
      <c r="I775" s="7" t="str">
        <f>IF(_xlfn.XLOOKUP(B775,'BOOST LIBERADO'!B:B,'BOOST LIBERADO'!B:B,"Não")="Não","Não","Sim")</f>
        <v>Sim</v>
      </c>
      <c r="J775" s="83" t="str">
        <f t="shared" si="24"/>
        <v>Sim</v>
      </c>
      <c r="K775" s="12">
        <f>SUMIFS(BASE!$G:$G,BASE!$B:$B,$B775,BASE!$L:$L,$G775,BASE!$J:$J,$C775,BASE!$A:$A,K$2)</f>
        <v>11</v>
      </c>
      <c r="L775" s="12">
        <f>SUMIFS(BASE!$G:$G,BASE!$B:$B,$B775,BASE!$L:$L,$G775,BASE!$J:$J,$C775,BASE!$A:$A,L$2)</f>
        <v>9</v>
      </c>
      <c r="M775" s="12">
        <f>SUMIFS(BASE!$G:$G,BASE!$B:$B,$B775,BASE!$L:$L,$G775,BASE!$J:$J,$C775,BASE!$A:$A,M$2)</f>
        <v>17</v>
      </c>
      <c r="N775" s="12">
        <f>SUMIFS(BASE!$G:$G,BASE!$B:$B,$B775,BASE!$L:$L,$G775,BASE!$J:$J,$C775,BASE!$A:$A,N$2)</f>
        <v>13</v>
      </c>
      <c r="O775" s="12">
        <f>SUMIFS(BASE!$G:$G,BASE!$B:$B,$B775,BASE!$L:$L,$G775,BASE!$J:$J,$C775,BASE!$A:$A,O$2)</f>
        <v>13</v>
      </c>
      <c r="P775" s="12">
        <f>SUMIFS(BASE!$G:$G,BASE!$B:$B,$B775,BASE!$L:$L,$G775,BASE!$J:$J,$C775,BASE!$A:$A,P$2)</f>
        <v>19</v>
      </c>
      <c r="Q775" s="12">
        <f>SUMIFS(BASE!$G:$G,BASE!$B:$B,$B775,BASE!$L:$L,$G775,BASE!$J:$J,$C775,BASE!$A:$A,Q$2)</f>
        <v>18</v>
      </c>
      <c r="R775" s="12">
        <f>SUMIFS(BASE!$G:$G,BASE!$B:$B,$B775,BASE!$L:$L,$G775,BASE!$J:$J,$C775,BASE!$A:$A,R$2)</f>
        <v>11</v>
      </c>
      <c r="S775" s="12">
        <f>SUMIFS(BASE!$G:$G,BASE!$B:$B,$B775,BASE!$L:$L,$G775,BASE!$J:$J,$C775,BASE!$A:$A,S$2)</f>
        <v>0</v>
      </c>
      <c r="T775" s="12">
        <f>SUMIFS(BASE!$G:$G,BASE!$B:$B,$B775,BASE!$L:$L,$G775,BASE!$J:$J,$C775,BASE!$A:$A,T$2)</f>
        <v>0</v>
      </c>
      <c r="U775" s="12">
        <f>SUMIFS(BASE!$G:$G,BASE!$B:$B,$B775,BASE!$L:$L,$G775,BASE!$J:$J,$C775,BASE!$A:$A,U$2)</f>
        <v>0</v>
      </c>
      <c r="V775" s="12">
        <f>SUMIFS(BASE!$G:$G,BASE!$B:$B,$B775,BASE!$L:$L,$G775,BASE!$J:$J,$C775,BASE!$A:$A,V$2)</f>
        <v>0</v>
      </c>
      <c r="X775" t="str">
        <f t="shared" si="25"/>
        <v>COM TROCAS</v>
      </c>
    </row>
    <row r="776" spans="2:24">
      <c r="B776" s="8" t="s">
        <v>1642</v>
      </c>
      <c r="C776" s="9" t="s">
        <v>223</v>
      </c>
      <c r="D776" s="9" t="s">
        <v>1431</v>
      </c>
      <c r="E776" s="9" t="s">
        <v>1412</v>
      </c>
      <c r="F776" s="9" t="s">
        <v>1643</v>
      </c>
      <c r="G776" s="9" t="s">
        <v>54</v>
      </c>
      <c r="H776" s="7" t="str">
        <f>IFERROR(IF(_xlfn.XLOOKUP(B776,REPASSE!D:D,REPASSE!D:D)="","Não","Sim"),"Não")</f>
        <v>Não</v>
      </c>
      <c r="I776" s="7" t="str">
        <f>IF(_xlfn.XLOOKUP(B776,'BOOST LIBERADO'!B:B,'BOOST LIBERADO'!B:B,"Não")="Não","Não","Sim")</f>
        <v>Sim</v>
      </c>
      <c r="J776" s="83" t="str">
        <f t="shared" si="24"/>
        <v>Sim</v>
      </c>
      <c r="K776" s="12">
        <f>SUMIFS(BASE!$G:$G,BASE!$B:$B,$B776,BASE!$L:$L,$G776,BASE!$J:$J,$C776,BASE!$A:$A,K$2)</f>
        <v>0</v>
      </c>
      <c r="L776" s="12">
        <f>SUMIFS(BASE!$G:$G,BASE!$B:$B,$B776,BASE!$L:$L,$G776,BASE!$J:$J,$C776,BASE!$A:$A,L$2)</f>
        <v>0</v>
      </c>
      <c r="M776" s="12">
        <f>SUMIFS(BASE!$G:$G,BASE!$B:$B,$B776,BASE!$L:$L,$G776,BASE!$J:$J,$C776,BASE!$A:$A,M$2)</f>
        <v>3</v>
      </c>
      <c r="N776" s="12">
        <f>SUMIFS(BASE!$G:$G,BASE!$B:$B,$B776,BASE!$L:$L,$G776,BASE!$J:$J,$C776,BASE!$A:$A,N$2)</f>
        <v>1</v>
      </c>
      <c r="O776" s="12">
        <f>SUMIFS(BASE!$G:$G,BASE!$B:$B,$B776,BASE!$L:$L,$G776,BASE!$J:$J,$C776,BASE!$A:$A,O$2)</f>
        <v>9</v>
      </c>
      <c r="P776" s="12">
        <f>SUMIFS(BASE!$G:$G,BASE!$B:$B,$B776,BASE!$L:$L,$G776,BASE!$J:$J,$C776,BASE!$A:$A,P$2)</f>
        <v>4</v>
      </c>
      <c r="Q776" s="12">
        <f>SUMIFS(BASE!$G:$G,BASE!$B:$B,$B776,BASE!$L:$L,$G776,BASE!$J:$J,$C776,BASE!$A:$A,Q$2)</f>
        <v>2</v>
      </c>
      <c r="R776" s="12">
        <f>SUMIFS(BASE!$G:$G,BASE!$B:$B,$B776,BASE!$L:$L,$G776,BASE!$J:$J,$C776,BASE!$A:$A,R$2)</f>
        <v>2</v>
      </c>
      <c r="S776" s="12">
        <f>SUMIFS(BASE!$G:$G,BASE!$B:$B,$B776,BASE!$L:$L,$G776,BASE!$J:$J,$C776,BASE!$A:$A,S$2)</f>
        <v>0</v>
      </c>
      <c r="T776" s="12">
        <f>SUMIFS(BASE!$G:$G,BASE!$B:$B,$B776,BASE!$L:$L,$G776,BASE!$J:$J,$C776,BASE!$A:$A,T$2)</f>
        <v>0</v>
      </c>
      <c r="U776" s="12">
        <f>SUMIFS(BASE!$G:$G,BASE!$B:$B,$B776,BASE!$L:$L,$G776,BASE!$J:$J,$C776,BASE!$A:$A,U$2)</f>
        <v>0</v>
      </c>
      <c r="V776" s="12">
        <f>SUMIFS(BASE!$G:$G,BASE!$B:$B,$B776,BASE!$L:$L,$G776,BASE!$J:$J,$C776,BASE!$A:$A,V$2)</f>
        <v>0</v>
      </c>
      <c r="X776" t="str">
        <f t="shared" si="25"/>
        <v>COM TROCAS</v>
      </c>
    </row>
    <row r="777" spans="2:24">
      <c r="B777" s="8" t="s">
        <v>1644</v>
      </c>
      <c r="C777" s="9" t="s">
        <v>106</v>
      </c>
      <c r="D777" s="9" t="s">
        <v>1422</v>
      </c>
      <c r="E777" s="9" t="s">
        <v>1423</v>
      </c>
      <c r="F777" s="9" t="s">
        <v>1645</v>
      </c>
      <c r="G777" s="9" t="s">
        <v>54</v>
      </c>
      <c r="H777" s="7" t="str">
        <f>IFERROR(IF(_xlfn.XLOOKUP(B777,REPASSE!D:D,REPASSE!D:D)="","Não","Sim"),"Não")</f>
        <v>Não</v>
      </c>
      <c r="I777" s="7" t="str">
        <f>IF(_xlfn.XLOOKUP(B777,'BOOST LIBERADO'!B:B,'BOOST LIBERADO'!B:B,"Não")="Não","Não","Sim")</f>
        <v>Sim</v>
      </c>
      <c r="J777" s="83" t="str">
        <f t="shared" si="24"/>
        <v>Sim</v>
      </c>
      <c r="K777" s="12">
        <f>SUMIFS(BASE!$G:$G,BASE!$B:$B,$B777,BASE!$L:$L,$G777,BASE!$J:$J,$C777,BASE!$A:$A,K$2)</f>
        <v>0</v>
      </c>
      <c r="L777" s="12">
        <f>SUMIFS(BASE!$G:$G,BASE!$B:$B,$B777,BASE!$L:$L,$G777,BASE!$J:$J,$C777,BASE!$A:$A,L$2)</f>
        <v>0</v>
      </c>
      <c r="M777" s="12">
        <f>SUMIFS(BASE!$G:$G,BASE!$B:$B,$B777,BASE!$L:$L,$G777,BASE!$J:$J,$C777,BASE!$A:$A,M$2)</f>
        <v>0</v>
      </c>
      <c r="N777" s="12">
        <f>SUMIFS(BASE!$G:$G,BASE!$B:$B,$B777,BASE!$L:$L,$G777,BASE!$J:$J,$C777,BASE!$A:$A,N$2)</f>
        <v>0</v>
      </c>
      <c r="O777" s="12">
        <f>SUMIFS(BASE!$G:$G,BASE!$B:$B,$B777,BASE!$L:$L,$G777,BASE!$J:$J,$C777,BASE!$A:$A,O$2)</f>
        <v>0</v>
      </c>
      <c r="P777" s="12">
        <f>SUMIFS(BASE!$G:$G,BASE!$B:$B,$B777,BASE!$L:$L,$G777,BASE!$J:$J,$C777,BASE!$A:$A,P$2)</f>
        <v>0</v>
      </c>
      <c r="Q777" s="12">
        <f>SUMIFS(BASE!$G:$G,BASE!$B:$B,$B777,BASE!$L:$L,$G777,BASE!$J:$J,$C777,BASE!$A:$A,Q$2)</f>
        <v>0</v>
      </c>
      <c r="R777" s="12">
        <f>SUMIFS(BASE!$G:$G,BASE!$B:$B,$B777,BASE!$L:$L,$G777,BASE!$J:$J,$C777,BASE!$A:$A,R$2)</f>
        <v>0</v>
      </c>
      <c r="S777" s="12">
        <f>SUMIFS(BASE!$G:$G,BASE!$B:$B,$B777,BASE!$L:$L,$G777,BASE!$J:$J,$C777,BASE!$A:$A,S$2)</f>
        <v>0</v>
      </c>
      <c r="T777" s="12">
        <f>SUMIFS(BASE!$G:$G,BASE!$B:$B,$B777,BASE!$L:$L,$G777,BASE!$J:$J,$C777,BASE!$A:$A,T$2)</f>
        <v>0</v>
      </c>
      <c r="U777" s="12">
        <f>SUMIFS(BASE!$G:$G,BASE!$B:$B,$B777,BASE!$L:$L,$G777,BASE!$J:$J,$C777,BASE!$A:$A,U$2)</f>
        <v>0</v>
      </c>
      <c r="V777" s="12">
        <f>SUMIFS(BASE!$G:$G,BASE!$B:$B,$B777,BASE!$L:$L,$G777,BASE!$J:$J,$C777,BASE!$A:$A,V$2)</f>
        <v>0</v>
      </c>
      <c r="X777" t="str">
        <f t="shared" si="25"/>
        <v>ZERADO</v>
      </c>
    </row>
    <row r="778" spans="2:24">
      <c r="B778" s="8" t="s">
        <v>1646</v>
      </c>
      <c r="C778" s="9" t="s">
        <v>232</v>
      </c>
      <c r="D778" s="9" t="s">
        <v>1471</v>
      </c>
      <c r="E778" s="9" t="s">
        <v>1416</v>
      </c>
      <c r="F778" s="9" t="s">
        <v>1535</v>
      </c>
      <c r="G778" s="9" t="s">
        <v>54</v>
      </c>
      <c r="H778" s="7" t="str">
        <f>IFERROR(IF(_xlfn.XLOOKUP(B778,REPASSE!D:D,REPASSE!D:D)="","Não","Sim"),"Não")</f>
        <v>Não</v>
      </c>
      <c r="I778" s="7" t="str">
        <f>IF(_xlfn.XLOOKUP(B778,'BOOST LIBERADO'!B:B,'BOOST LIBERADO'!B:B,"Não")="Não","Não","Sim")</f>
        <v>Sim</v>
      </c>
      <c r="J778" s="83" t="str">
        <f t="shared" si="24"/>
        <v>Sim</v>
      </c>
      <c r="K778" s="12">
        <f>SUMIFS(BASE!$G:$G,BASE!$B:$B,$B778,BASE!$L:$L,$G778,BASE!$J:$J,$C778,BASE!$A:$A,K$2)</f>
        <v>3</v>
      </c>
      <c r="L778" s="12">
        <f>SUMIFS(BASE!$G:$G,BASE!$B:$B,$B778,BASE!$L:$L,$G778,BASE!$J:$J,$C778,BASE!$A:$A,L$2)</f>
        <v>11</v>
      </c>
      <c r="M778" s="12">
        <f>SUMIFS(BASE!$G:$G,BASE!$B:$B,$B778,BASE!$L:$L,$G778,BASE!$J:$J,$C778,BASE!$A:$A,M$2)</f>
        <v>11</v>
      </c>
      <c r="N778" s="12">
        <f>SUMIFS(BASE!$G:$G,BASE!$B:$B,$B778,BASE!$L:$L,$G778,BASE!$J:$J,$C778,BASE!$A:$A,N$2)</f>
        <v>5</v>
      </c>
      <c r="O778" s="12">
        <f>SUMIFS(BASE!$G:$G,BASE!$B:$B,$B778,BASE!$L:$L,$G778,BASE!$J:$J,$C778,BASE!$A:$A,O$2)</f>
        <v>8</v>
      </c>
      <c r="P778" s="12">
        <f>SUMIFS(BASE!$G:$G,BASE!$B:$B,$B778,BASE!$L:$L,$G778,BASE!$J:$J,$C778,BASE!$A:$A,P$2)</f>
        <v>10</v>
      </c>
      <c r="Q778" s="12">
        <f>SUMIFS(BASE!$G:$G,BASE!$B:$B,$B778,BASE!$L:$L,$G778,BASE!$J:$J,$C778,BASE!$A:$A,Q$2)</f>
        <v>16</v>
      </c>
      <c r="R778" s="12">
        <f>SUMIFS(BASE!$G:$G,BASE!$B:$B,$B778,BASE!$L:$L,$G778,BASE!$J:$J,$C778,BASE!$A:$A,R$2)</f>
        <v>17</v>
      </c>
      <c r="S778" s="12">
        <f>SUMIFS(BASE!$G:$G,BASE!$B:$B,$B778,BASE!$L:$L,$G778,BASE!$J:$J,$C778,BASE!$A:$A,S$2)</f>
        <v>0</v>
      </c>
      <c r="T778" s="12">
        <f>SUMIFS(BASE!$G:$G,BASE!$B:$B,$B778,BASE!$L:$L,$G778,BASE!$J:$J,$C778,BASE!$A:$A,T$2)</f>
        <v>0</v>
      </c>
      <c r="U778" s="12">
        <f>SUMIFS(BASE!$G:$G,BASE!$B:$B,$B778,BASE!$L:$L,$G778,BASE!$J:$J,$C778,BASE!$A:$A,U$2)</f>
        <v>0</v>
      </c>
      <c r="V778" s="12">
        <f>SUMIFS(BASE!$G:$G,BASE!$B:$B,$B778,BASE!$L:$L,$G778,BASE!$J:$J,$C778,BASE!$A:$A,V$2)</f>
        <v>0</v>
      </c>
      <c r="X778" t="str">
        <f t="shared" si="25"/>
        <v>COM TROCAS</v>
      </c>
    </row>
    <row r="779" spans="2:24">
      <c r="B779" s="8" t="s">
        <v>1647</v>
      </c>
      <c r="C779" s="8" t="s">
        <v>162</v>
      </c>
      <c r="D779" s="8" t="s">
        <v>1631</v>
      </c>
      <c r="E779" s="8" t="s">
        <v>1438</v>
      </c>
      <c r="F779" s="8" t="s">
        <v>1648</v>
      </c>
      <c r="G779" s="8" t="s">
        <v>54</v>
      </c>
      <c r="H779" s="7" t="str">
        <f>IFERROR(IF(_xlfn.XLOOKUP(B779,REPASSE!D:D,REPASSE!D:D)="","Não","Sim"),"Não")</f>
        <v>Não</v>
      </c>
      <c r="I779" s="7" t="str">
        <f>IF(_xlfn.XLOOKUP(B779,'BOOST LIBERADO'!B:B,'BOOST LIBERADO'!B:B,"Não")="Não","Não","Sim")</f>
        <v>Sim</v>
      </c>
      <c r="J779" s="83" t="str">
        <f t="shared" si="24"/>
        <v>Sim</v>
      </c>
      <c r="K779" s="12">
        <f>SUMIFS(BASE!$G:$G,BASE!$B:$B,$B779,BASE!$L:$L,$G779,BASE!$J:$J,$C779,BASE!$A:$A,K$2)</f>
        <v>0</v>
      </c>
      <c r="L779" s="12">
        <f>SUMIFS(BASE!$G:$G,BASE!$B:$B,$B779,BASE!$L:$L,$G779,BASE!$J:$J,$C779,BASE!$A:$A,L$2)</f>
        <v>0</v>
      </c>
      <c r="M779" s="12">
        <f>SUMIFS(BASE!$G:$G,BASE!$B:$B,$B779,BASE!$L:$L,$G779,BASE!$J:$J,$C779,BASE!$A:$A,M$2)</f>
        <v>0</v>
      </c>
      <c r="N779" s="12">
        <f>SUMIFS(BASE!$G:$G,BASE!$B:$B,$B779,BASE!$L:$L,$G779,BASE!$J:$J,$C779,BASE!$A:$A,N$2)</f>
        <v>0</v>
      </c>
      <c r="O779" s="12">
        <f>SUMIFS(BASE!$G:$G,BASE!$B:$B,$B779,BASE!$L:$L,$G779,BASE!$J:$J,$C779,BASE!$A:$A,O$2)</f>
        <v>0</v>
      </c>
      <c r="P779" s="12">
        <f>SUMIFS(BASE!$G:$G,BASE!$B:$B,$B779,BASE!$L:$L,$G779,BASE!$J:$J,$C779,BASE!$A:$A,P$2)</f>
        <v>0</v>
      </c>
      <c r="Q779" s="12">
        <f>SUMIFS(BASE!$G:$G,BASE!$B:$B,$B779,BASE!$L:$L,$G779,BASE!$J:$J,$C779,BASE!$A:$A,Q$2)</f>
        <v>0</v>
      </c>
      <c r="R779" s="12">
        <f>SUMIFS(BASE!$G:$G,BASE!$B:$B,$B779,BASE!$L:$L,$G779,BASE!$J:$J,$C779,BASE!$A:$A,R$2)</f>
        <v>0</v>
      </c>
      <c r="S779" s="12">
        <f>SUMIFS(BASE!$G:$G,BASE!$B:$B,$B779,BASE!$L:$L,$G779,BASE!$J:$J,$C779,BASE!$A:$A,S$2)</f>
        <v>0</v>
      </c>
      <c r="T779" s="12">
        <f>SUMIFS(BASE!$G:$G,BASE!$B:$B,$B779,BASE!$L:$L,$G779,BASE!$J:$J,$C779,BASE!$A:$A,T$2)</f>
        <v>0</v>
      </c>
      <c r="U779" s="12">
        <f>SUMIFS(BASE!$G:$G,BASE!$B:$B,$B779,BASE!$L:$L,$G779,BASE!$J:$J,$C779,BASE!$A:$A,U$2)</f>
        <v>0</v>
      </c>
      <c r="V779" s="12">
        <f>SUMIFS(BASE!$G:$G,BASE!$B:$B,$B779,BASE!$L:$L,$G779,BASE!$J:$J,$C779,BASE!$A:$A,V$2)</f>
        <v>0</v>
      </c>
      <c r="X779" t="str">
        <f t="shared" si="25"/>
        <v>ZERADO</v>
      </c>
    </row>
    <row r="780" spans="2:24">
      <c r="B780" s="8" t="s">
        <v>1649</v>
      </c>
      <c r="C780" s="9" t="s">
        <v>106</v>
      </c>
      <c r="D780" s="9" t="s">
        <v>1456</v>
      </c>
      <c r="E780" s="9" t="s">
        <v>1423</v>
      </c>
      <c r="F780" s="9" t="s">
        <v>1457</v>
      </c>
      <c r="G780" s="9" t="s">
        <v>54</v>
      </c>
      <c r="H780" s="7" t="str">
        <f>IFERROR(IF(_xlfn.XLOOKUP(B780,REPASSE!D:D,REPASSE!D:D)="","Não","Sim"),"Não")</f>
        <v>Não</v>
      </c>
      <c r="I780" s="7" t="str">
        <f>IF(_xlfn.XLOOKUP(B780,'BOOST LIBERADO'!B:B,'BOOST LIBERADO'!B:B,"Não")="Não","Não","Sim")</f>
        <v>Sim</v>
      </c>
      <c r="J780" s="83" t="str">
        <f t="shared" si="24"/>
        <v>Sim</v>
      </c>
      <c r="K780" s="12">
        <f>SUMIFS(BASE!$G:$G,BASE!$B:$B,$B780,BASE!$L:$L,$G780,BASE!$J:$J,$C780,BASE!$A:$A,K$2)</f>
        <v>0</v>
      </c>
      <c r="L780" s="12">
        <f>SUMIFS(BASE!$G:$G,BASE!$B:$B,$B780,BASE!$L:$L,$G780,BASE!$J:$J,$C780,BASE!$A:$A,L$2)</f>
        <v>0</v>
      </c>
      <c r="M780" s="12">
        <f>SUMIFS(BASE!$G:$G,BASE!$B:$B,$B780,BASE!$L:$L,$G780,BASE!$J:$J,$C780,BASE!$A:$A,M$2)</f>
        <v>0</v>
      </c>
      <c r="N780" s="12">
        <f>SUMIFS(BASE!$G:$G,BASE!$B:$B,$B780,BASE!$L:$L,$G780,BASE!$J:$J,$C780,BASE!$A:$A,N$2)</f>
        <v>0</v>
      </c>
      <c r="O780" s="12">
        <f>SUMIFS(BASE!$G:$G,BASE!$B:$B,$B780,BASE!$L:$L,$G780,BASE!$J:$J,$C780,BASE!$A:$A,O$2)</f>
        <v>0</v>
      </c>
      <c r="P780" s="12">
        <f>SUMIFS(BASE!$G:$G,BASE!$B:$B,$B780,BASE!$L:$L,$G780,BASE!$J:$J,$C780,BASE!$A:$A,P$2)</f>
        <v>0</v>
      </c>
      <c r="Q780" s="12">
        <f>SUMIFS(BASE!$G:$G,BASE!$B:$B,$B780,BASE!$L:$L,$G780,BASE!$J:$J,$C780,BASE!$A:$A,Q$2)</f>
        <v>0</v>
      </c>
      <c r="R780" s="12">
        <f>SUMIFS(BASE!$G:$G,BASE!$B:$B,$B780,BASE!$L:$L,$G780,BASE!$J:$J,$C780,BASE!$A:$A,R$2)</f>
        <v>0</v>
      </c>
      <c r="S780" s="12">
        <f>SUMIFS(BASE!$G:$G,BASE!$B:$B,$B780,BASE!$L:$L,$G780,BASE!$J:$J,$C780,BASE!$A:$A,S$2)</f>
        <v>0</v>
      </c>
      <c r="T780" s="12">
        <f>SUMIFS(BASE!$G:$G,BASE!$B:$B,$B780,BASE!$L:$L,$G780,BASE!$J:$J,$C780,BASE!$A:$A,T$2)</f>
        <v>0</v>
      </c>
      <c r="U780" s="12">
        <f>SUMIFS(BASE!$G:$G,BASE!$B:$B,$B780,BASE!$L:$L,$G780,BASE!$J:$J,$C780,BASE!$A:$A,U$2)</f>
        <v>0</v>
      </c>
      <c r="V780" s="12">
        <f>SUMIFS(BASE!$G:$G,BASE!$B:$B,$B780,BASE!$L:$L,$G780,BASE!$J:$J,$C780,BASE!$A:$A,V$2)</f>
        <v>0</v>
      </c>
      <c r="X780" t="str">
        <f t="shared" si="25"/>
        <v>ZERADO</v>
      </c>
    </row>
    <row r="781" spans="2:24">
      <c r="B781" s="8" t="s">
        <v>1650</v>
      </c>
      <c r="C781" s="9" t="s">
        <v>106</v>
      </c>
      <c r="D781" s="9" t="s">
        <v>1456</v>
      </c>
      <c r="E781" s="9" t="s">
        <v>1423</v>
      </c>
      <c r="F781" s="9" t="s">
        <v>1651</v>
      </c>
      <c r="G781" s="9" t="s">
        <v>54</v>
      </c>
      <c r="H781" s="7" t="str">
        <f>IFERROR(IF(_xlfn.XLOOKUP(B781,REPASSE!D:D,REPASSE!D:D)="","Não","Sim"),"Não")</f>
        <v>Não</v>
      </c>
      <c r="I781" s="7" t="str">
        <f>IF(_xlfn.XLOOKUP(B781,'BOOST LIBERADO'!B:B,'BOOST LIBERADO'!B:B,"Não")="Não","Não","Sim")</f>
        <v>Sim</v>
      </c>
      <c r="J781" s="83" t="str">
        <f t="shared" si="24"/>
        <v>Sim</v>
      </c>
      <c r="K781" s="12">
        <f>SUMIFS(BASE!$G:$G,BASE!$B:$B,$B781,BASE!$L:$L,$G781,BASE!$J:$J,$C781,BASE!$A:$A,K$2)</f>
        <v>0</v>
      </c>
      <c r="L781" s="12">
        <f>SUMIFS(BASE!$G:$G,BASE!$B:$B,$B781,BASE!$L:$L,$G781,BASE!$J:$J,$C781,BASE!$A:$A,L$2)</f>
        <v>0</v>
      </c>
      <c r="M781" s="12">
        <f>SUMIFS(BASE!$G:$G,BASE!$B:$B,$B781,BASE!$L:$L,$G781,BASE!$J:$J,$C781,BASE!$A:$A,M$2)</f>
        <v>0</v>
      </c>
      <c r="N781" s="12">
        <f>SUMIFS(BASE!$G:$G,BASE!$B:$B,$B781,BASE!$L:$L,$G781,BASE!$J:$J,$C781,BASE!$A:$A,N$2)</f>
        <v>0</v>
      </c>
      <c r="O781" s="12">
        <f>SUMIFS(BASE!$G:$G,BASE!$B:$B,$B781,BASE!$L:$L,$G781,BASE!$J:$J,$C781,BASE!$A:$A,O$2)</f>
        <v>0</v>
      </c>
      <c r="P781" s="12">
        <f>SUMIFS(BASE!$G:$G,BASE!$B:$B,$B781,BASE!$L:$L,$G781,BASE!$J:$J,$C781,BASE!$A:$A,P$2)</f>
        <v>0</v>
      </c>
      <c r="Q781" s="12">
        <f>SUMIFS(BASE!$G:$G,BASE!$B:$B,$B781,BASE!$L:$L,$G781,BASE!$J:$J,$C781,BASE!$A:$A,Q$2)</f>
        <v>0</v>
      </c>
      <c r="R781" s="12">
        <f>SUMIFS(BASE!$G:$G,BASE!$B:$B,$B781,BASE!$L:$L,$G781,BASE!$J:$J,$C781,BASE!$A:$A,R$2)</f>
        <v>0</v>
      </c>
      <c r="S781" s="12">
        <f>SUMIFS(BASE!$G:$G,BASE!$B:$B,$B781,BASE!$L:$L,$G781,BASE!$J:$J,$C781,BASE!$A:$A,S$2)</f>
        <v>0</v>
      </c>
      <c r="T781" s="12">
        <f>SUMIFS(BASE!$G:$G,BASE!$B:$B,$B781,BASE!$L:$L,$G781,BASE!$J:$J,$C781,BASE!$A:$A,T$2)</f>
        <v>0</v>
      </c>
      <c r="U781" s="12">
        <f>SUMIFS(BASE!$G:$G,BASE!$B:$B,$B781,BASE!$L:$L,$G781,BASE!$J:$J,$C781,BASE!$A:$A,U$2)</f>
        <v>0</v>
      </c>
      <c r="V781" s="12">
        <f>SUMIFS(BASE!$G:$G,BASE!$B:$B,$B781,BASE!$L:$L,$G781,BASE!$J:$J,$C781,BASE!$A:$A,V$2)</f>
        <v>0</v>
      </c>
      <c r="X781" t="str">
        <f t="shared" si="25"/>
        <v>ZERADO</v>
      </c>
    </row>
    <row r="782" spans="2:24">
      <c r="B782" s="8" t="s">
        <v>1652</v>
      </c>
      <c r="C782" s="9" t="s">
        <v>223</v>
      </c>
      <c r="D782" s="9" t="s">
        <v>1431</v>
      </c>
      <c r="E782" s="9" t="s">
        <v>1412</v>
      </c>
      <c r="F782" s="9" t="s">
        <v>1653</v>
      </c>
      <c r="G782" s="9" t="s">
        <v>54</v>
      </c>
      <c r="H782" s="7" t="str">
        <f>IFERROR(IF(_xlfn.XLOOKUP(B782,REPASSE!D:D,REPASSE!D:D)="","Não","Sim"),"Não")</f>
        <v>Não</v>
      </c>
      <c r="I782" s="7" t="str">
        <f>IF(_xlfn.XLOOKUP(B782,'BOOST LIBERADO'!B:B,'BOOST LIBERADO'!B:B,"Não")="Não","Não","Sim")</f>
        <v>Sim</v>
      </c>
      <c r="J782" s="83" t="str">
        <f t="shared" si="24"/>
        <v>Sim</v>
      </c>
      <c r="K782" s="12">
        <f>SUMIFS(BASE!$G:$G,BASE!$B:$B,$B782,BASE!$L:$L,$G782,BASE!$J:$J,$C782,BASE!$A:$A,K$2)</f>
        <v>4</v>
      </c>
      <c r="L782" s="12">
        <f>SUMIFS(BASE!$G:$G,BASE!$B:$B,$B782,BASE!$L:$L,$G782,BASE!$J:$J,$C782,BASE!$A:$A,L$2)</f>
        <v>2</v>
      </c>
      <c r="M782" s="12">
        <f>SUMIFS(BASE!$G:$G,BASE!$B:$B,$B782,BASE!$L:$L,$G782,BASE!$J:$J,$C782,BASE!$A:$A,M$2)</f>
        <v>8</v>
      </c>
      <c r="N782" s="12">
        <f>SUMIFS(BASE!$G:$G,BASE!$B:$B,$B782,BASE!$L:$L,$G782,BASE!$J:$J,$C782,BASE!$A:$A,N$2)</f>
        <v>1</v>
      </c>
      <c r="O782" s="12">
        <f>SUMIFS(BASE!$G:$G,BASE!$B:$B,$B782,BASE!$L:$L,$G782,BASE!$J:$J,$C782,BASE!$A:$A,O$2)</f>
        <v>5</v>
      </c>
      <c r="P782" s="12">
        <f>SUMIFS(BASE!$G:$G,BASE!$B:$B,$B782,BASE!$L:$L,$G782,BASE!$J:$J,$C782,BASE!$A:$A,P$2)</f>
        <v>5</v>
      </c>
      <c r="Q782" s="12">
        <f>SUMIFS(BASE!$G:$G,BASE!$B:$B,$B782,BASE!$L:$L,$G782,BASE!$J:$J,$C782,BASE!$A:$A,Q$2)</f>
        <v>4</v>
      </c>
      <c r="R782" s="12">
        <f>SUMIFS(BASE!$G:$G,BASE!$B:$B,$B782,BASE!$L:$L,$G782,BASE!$J:$J,$C782,BASE!$A:$A,R$2)</f>
        <v>7</v>
      </c>
      <c r="S782" s="12">
        <f>SUMIFS(BASE!$G:$G,BASE!$B:$B,$B782,BASE!$L:$L,$G782,BASE!$J:$J,$C782,BASE!$A:$A,S$2)</f>
        <v>0</v>
      </c>
      <c r="T782" s="12">
        <f>SUMIFS(BASE!$G:$G,BASE!$B:$B,$B782,BASE!$L:$L,$G782,BASE!$J:$J,$C782,BASE!$A:$A,T$2)</f>
        <v>0</v>
      </c>
      <c r="U782" s="12">
        <f>SUMIFS(BASE!$G:$G,BASE!$B:$B,$B782,BASE!$L:$L,$G782,BASE!$J:$J,$C782,BASE!$A:$A,U$2)</f>
        <v>0</v>
      </c>
      <c r="V782" s="12">
        <f>SUMIFS(BASE!$G:$G,BASE!$B:$B,$B782,BASE!$L:$L,$G782,BASE!$J:$J,$C782,BASE!$A:$A,V$2)</f>
        <v>0</v>
      </c>
      <c r="X782" t="str">
        <f t="shared" si="25"/>
        <v>COM TROCAS</v>
      </c>
    </row>
    <row r="783" spans="2:24">
      <c r="B783" s="8" t="s">
        <v>1654</v>
      </c>
      <c r="C783" s="9" t="s">
        <v>241</v>
      </c>
      <c r="D783" s="9" t="s">
        <v>1565</v>
      </c>
      <c r="E783" s="9" t="s">
        <v>1438</v>
      </c>
      <c r="F783" s="9" t="s">
        <v>1655</v>
      </c>
      <c r="G783" s="9" t="s">
        <v>54</v>
      </c>
      <c r="H783" s="7" t="str">
        <f>IFERROR(IF(_xlfn.XLOOKUP(B783,REPASSE!D:D,REPASSE!D:D)="","Não","Sim"),"Não")</f>
        <v>Não</v>
      </c>
      <c r="I783" s="7" t="str">
        <f>IF(_xlfn.XLOOKUP(B783,'BOOST LIBERADO'!B:B,'BOOST LIBERADO'!B:B,"Não")="Não","Não","Sim")</f>
        <v>Sim</v>
      </c>
      <c r="J783" s="83" t="str">
        <f t="shared" si="24"/>
        <v>Sim</v>
      </c>
      <c r="K783" s="12">
        <f>SUMIFS(BASE!$G:$G,BASE!$B:$B,$B783,BASE!$L:$L,$G783,BASE!$J:$J,$C783,BASE!$A:$A,K$2)</f>
        <v>2</v>
      </c>
      <c r="L783" s="12">
        <f>SUMIFS(BASE!$G:$G,BASE!$B:$B,$B783,BASE!$L:$L,$G783,BASE!$J:$J,$C783,BASE!$A:$A,L$2)</f>
        <v>0</v>
      </c>
      <c r="M783" s="12">
        <f>SUMIFS(BASE!$G:$G,BASE!$B:$B,$B783,BASE!$L:$L,$G783,BASE!$J:$J,$C783,BASE!$A:$A,M$2)</f>
        <v>3</v>
      </c>
      <c r="N783" s="12">
        <f>SUMIFS(BASE!$G:$G,BASE!$B:$B,$B783,BASE!$L:$L,$G783,BASE!$J:$J,$C783,BASE!$A:$A,N$2)</f>
        <v>1</v>
      </c>
      <c r="O783" s="12">
        <f>SUMIFS(BASE!$G:$G,BASE!$B:$B,$B783,BASE!$L:$L,$G783,BASE!$J:$J,$C783,BASE!$A:$A,O$2)</f>
        <v>1</v>
      </c>
      <c r="P783" s="12">
        <f>SUMIFS(BASE!$G:$G,BASE!$B:$B,$B783,BASE!$L:$L,$G783,BASE!$J:$J,$C783,BASE!$A:$A,P$2)</f>
        <v>2</v>
      </c>
      <c r="Q783" s="12">
        <f>SUMIFS(BASE!$G:$G,BASE!$B:$B,$B783,BASE!$L:$L,$G783,BASE!$J:$J,$C783,BASE!$A:$A,Q$2)</f>
        <v>2</v>
      </c>
      <c r="R783" s="12">
        <f>SUMIFS(BASE!$G:$G,BASE!$B:$B,$B783,BASE!$L:$L,$G783,BASE!$J:$J,$C783,BASE!$A:$A,R$2)</f>
        <v>6</v>
      </c>
      <c r="S783" s="12">
        <f>SUMIFS(BASE!$G:$G,BASE!$B:$B,$B783,BASE!$L:$L,$G783,BASE!$J:$J,$C783,BASE!$A:$A,S$2)</f>
        <v>0</v>
      </c>
      <c r="T783" s="12">
        <f>SUMIFS(BASE!$G:$G,BASE!$B:$B,$B783,BASE!$L:$L,$G783,BASE!$J:$J,$C783,BASE!$A:$A,T$2)</f>
        <v>0</v>
      </c>
      <c r="U783" s="12">
        <f>SUMIFS(BASE!$G:$G,BASE!$B:$B,$B783,BASE!$L:$L,$G783,BASE!$J:$J,$C783,BASE!$A:$A,U$2)</f>
        <v>0</v>
      </c>
      <c r="V783" s="12">
        <f>SUMIFS(BASE!$G:$G,BASE!$B:$B,$B783,BASE!$L:$L,$G783,BASE!$J:$J,$C783,BASE!$A:$A,V$2)</f>
        <v>0</v>
      </c>
      <c r="X783" t="str">
        <f t="shared" si="25"/>
        <v>COM TROCAS</v>
      </c>
    </row>
    <row r="784" spans="2:24">
      <c r="B784" s="8" t="s">
        <v>1656</v>
      </c>
      <c r="C784" s="9" t="s">
        <v>232</v>
      </c>
      <c r="D784" s="9" t="s">
        <v>1514</v>
      </c>
      <c r="E784" s="9" t="s">
        <v>1438</v>
      </c>
      <c r="F784" s="9" t="s">
        <v>1657</v>
      </c>
      <c r="G784" s="9" t="s">
        <v>54</v>
      </c>
      <c r="H784" s="7" t="str">
        <f>IFERROR(IF(_xlfn.XLOOKUP(B784,REPASSE!D:D,REPASSE!D:D)="","Não","Sim"),"Não")</f>
        <v>Não</v>
      </c>
      <c r="I784" s="7" t="str">
        <f>IF(_xlfn.XLOOKUP(B784,'BOOST LIBERADO'!B:B,'BOOST LIBERADO'!B:B,"Não")="Não","Não","Sim")</f>
        <v>Sim</v>
      </c>
      <c r="J784" s="83" t="str">
        <f t="shared" si="24"/>
        <v>Sim</v>
      </c>
      <c r="K784" s="12">
        <f>SUMIFS(BASE!$G:$G,BASE!$B:$B,$B784,BASE!$L:$L,$G784,BASE!$J:$J,$C784,BASE!$A:$A,K$2)</f>
        <v>15</v>
      </c>
      <c r="L784" s="12">
        <f>SUMIFS(BASE!$G:$G,BASE!$B:$B,$B784,BASE!$L:$L,$G784,BASE!$J:$J,$C784,BASE!$A:$A,L$2)</f>
        <v>14</v>
      </c>
      <c r="M784" s="12">
        <f>SUMIFS(BASE!$G:$G,BASE!$B:$B,$B784,BASE!$L:$L,$G784,BASE!$J:$J,$C784,BASE!$A:$A,M$2)</f>
        <v>18</v>
      </c>
      <c r="N784" s="12">
        <f>SUMIFS(BASE!$G:$G,BASE!$B:$B,$B784,BASE!$L:$L,$G784,BASE!$J:$J,$C784,BASE!$A:$A,N$2)</f>
        <v>7</v>
      </c>
      <c r="O784" s="12">
        <f>SUMIFS(BASE!$G:$G,BASE!$B:$B,$B784,BASE!$L:$L,$G784,BASE!$J:$J,$C784,BASE!$A:$A,O$2)</f>
        <v>7</v>
      </c>
      <c r="P784" s="12">
        <f>SUMIFS(BASE!$G:$G,BASE!$B:$B,$B784,BASE!$L:$L,$G784,BASE!$J:$J,$C784,BASE!$A:$A,P$2)</f>
        <v>27</v>
      </c>
      <c r="Q784" s="12">
        <f>SUMIFS(BASE!$G:$G,BASE!$B:$B,$B784,BASE!$L:$L,$G784,BASE!$J:$J,$C784,BASE!$A:$A,Q$2)</f>
        <v>30</v>
      </c>
      <c r="R784" s="12">
        <f>SUMIFS(BASE!$G:$G,BASE!$B:$B,$B784,BASE!$L:$L,$G784,BASE!$J:$J,$C784,BASE!$A:$A,R$2)</f>
        <v>14</v>
      </c>
      <c r="S784" s="12">
        <f>SUMIFS(BASE!$G:$G,BASE!$B:$B,$B784,BASE!$L:$L,$G784,BASE!$J:$J,$C784,BASE!$A:$A,S$2)</f>
        <v>0</v>
      </c>
      <c r="T784" s="12">
        <f>SUMIFS(BASE!$G:$G,BASE!$B:$B,$B784,BASE!$L:$L,$G784,BASE!$J:$J,$C784,BASE!$A:$A,T$2)</f>
        <v>0</v>
      </c>
      <c r="U784" s="12">
        <f>SUMIFS(BASE!$G:$G,BASE!$B:$B,$B784,BASE!$L:$L,$G784,BASE!$J:$J,$C784,BASE!$A:$A,U$2)</f>
        <v>0</v>
      </c>
      <c r="V784" s="12">
        <f>SUMIFS(BASE!$G:$G,BASE!$B:$B,$B784,BASE!$L:$L,$G784,BASE!$J:$J,$C784,BASE!$A:$A,V$2)</f>
        <v>0</v>
      </c>
      <c r="X784" t="str">
        <f t="shared" si="25"/>
        <v>COM TROCAS</v>
      </c>
    </row>
    <row r="785" spans="2:24">
      <c r="B785" s="8" t="s">
        <v>1658</v>
      </c>
      <c r="C785" s="9" t="s">
        <v>232</v>
      </c>
      <c r="D785" s="9" t="s">
        <v>1488</v>
      </c>
      <c r="E785" s="9" t="s">
        <v>1438</v>
      </c>
      <c r="F785" s="9" t="s">
        <v>1659</v>
      </c>
      <c r="G785" s="9" t="s">
        <v>54</v>
      </c>
      <c r="H785" s="7" t="str">
        <f>IFERROR(IF(_xlfn.XLOOKUP(B785,REPASSE!D:D,REPASSE!D:D)="","Não","Sim"),"Não")</f>
        <v>Não</v>
      </c>
      <c r="I785" s="7" t="str">
        <f>IF(_xlfn.XLOOKUP(B785,'BOOST LIBERADO'!B:B,'BOOST LIBERADO'!B:B,"Não")="Não","Não","Sim")</f>
        <v>Sim</v>
      </c>
      <c r="J785" s="83" t="str">
        <f t="shared" si="24"/>
        <v>Sim</v>
      </c>
      <c r="K785" s="12">
        <f>SUMIFS(BASE!$G:$G,BASE!$B:$B,$B785,BASE!$L:$L,$G785,BASE!$J:$J,$C785,BASE!$A:$A,K$2)</f>
        <v>1</v>
      </c>
      <c r="L785" s="12">
        <f>SUMIFS(BASE!$G:$G,BASE!$B:$B,$B785,BASE!$L:$L,$G785,BASE!$J:$J,$C785,BASE!$A:$A,L$2)</f>
        <v>1</v>
      </c>
      <c r="M785" s="12">
        <f>SUMIFS(BASE!$G:$G,BASE!$B:$B,$B785,BASE!$L:$L,$G785,BASE!$J:$J,$C785,BASE!$A:$A,M$2)</f>
        <v>8</v>
      </c>
      <c r="N785" s="12">
        <f>SUMIFS(BASE!$G:$G,BASE!$B:$B,$B785,BASE!$L:$L,$G785,BASE!$J:$J,$C785,BASE!$A:$A,N$2)</f>
        <v>10</v>
      </c>
      <c r="O785" s="12">
        <f>SUMIFS(BASE!$G:$G,BASE!$B:$B,$B785,BASE!$L:$L,$G785,BASE!$J:$J,$C785,BASE!$A:$A,O$2)</f>
        <v>3</v>
      </c>
      <c r="P785" s="12">
        <f>SUMIFS(BASE!$G:$G,BASE!$B:$B,$B785,BASE!$L:$L,$G785,BASE!$J:$J,$C785,BASE!$A:$A,P$2)</f>
        <v>5</v>
      </c>
      <c r="Q785" s="12">
        <f>SUMIFS(BASE!$G:$G,BASE!$B:$B,$B785,BASE!$L:$L,$G785,BASE!$J:$J,$C785,BASE!$A:$A,Q$2)</f>
        <v>8</v>
      </c>
      <c r="R785" s="12">
        <f>SUMIFS(BASE!$G:$G,BASE!$B:$B,$B785,BASE!$L:$L,$G785,BASE!$J:$J,$C785,BASE!$A:$A,R$2)</f>
        <v>17</v>
      </c>
      <c r="S785" s="12">
        <f>SUMIFS(BASE!$G:$G,BASE!$B:$B,$B785,BASE!$L:$L,$G785,BASE!$J:$J,$C785,BASE!$A:$A,S$2)</f>
        <v>0</v>
      </c>
      <c r="T785" s="12">
        <f>SUMIFS(BASE!$G:$G,BASE!$B:$B,$B785,BASE!$L:$L,$G785,BASE!$J:$J,$C785,BASE!$A:$A,T$2)</f>
        <v>0</v>
      </c>
      <c r="U785" s="12">
        <f>SUMIFS(BASE!$G:$G,BASE!$B:$B,$B785,BASE!$L:$L,$G785,BASE!$J:$J,$C785,BASE!$A:$A,U$2)</f>
        <v>0</v>
      </c>
      <c r="V785" s="12">
        <f>SUMIFS(BASE!$G:$G,BASE!$B:$B,$B785,BASE!$L:$L,$G785,BASE!$J:$J,$C785,BASE!$A:$A,V$2)</f>
        <v>0</v>
      </c>
      <c r="X785" t="str">
        <f t="shared" si="25"/>
        <v>COM TROCAS</v>
      </c>
    </row>
    <row r="786" spans="2:24">
      <c r="B786" s="8" t="s">
        <v>1660</v>
      </c>
      <c r="C786" s="9" t="s">
        <v>232</v>
      </c>
      <c r="D786" s="9" t="s">
        <v>1437</v>
      </c>
      <c r="E786" s="9" t="s">
        <v>1438</v>
      </c>
      <c r="F786" s="9" t="s">
        <v>1661</v>
      </c>
      <c r="G786" s="9" t="s">
        <v>54</v>
      </c>
      <c r="H786" s="7" t="str">
        <f>IFERROR(IF(_xlfn.XLOOKUP(B786,REPASSE!D:D,REPASSE!D:D)="","Não","Sim"),"Não")</f>
        <v>Não</v>
      </c>
      <c r="I786" s="7" t="str">
        <f>IF(_xlfn.XLOOKUP(B786,'BOOST LIBERADO'!B:B,'BOOST LIBERADO'!B:B,"Não")="Não","Não","Sim")</f>
        <v>Sim</v>
      </c>
      <c r="J786" s="83" t="str">
        <f t="shared" si="24"/>
        <v>Sim</v>
      </c>
      <c r="K786" s="12">
        <f>SUMIFS(BASE!$G:$G,BASE!$B:$B,$B786,BASE!$L:$L,$G786,BASE!$J:$J,$C786,BASE!$A:$A,K$2)</f>
        <v>15</v>
      </c>
      <c r="L786" s="12">
        <f>SUMIFS(BASE!$G:$G,BASE!$B:$B,$B786,BASE!$L:$L,$G786,BASE!$J:$J,$C786,BASE!$A:$A,L$2)</f>
        <v>16</v>
      </c>
      <c r="M786" s="12">
        <f>SUMIFS(BASE!$G:$G,BASE!$B:$B,$B786,BASE!$L:$L,$G786,BASE!$J:$J,$C786,BASE!$A:$A,M$2)</f>
        <v>26</v>
      </c>
      <c r="N786" s="12">
        <f>SUMIFS(BASE!$G:$G,BASE!$B:$B,$B786,BASE!$L:$L,$G786,BASE!$J:$J,$C786,BASE!$A:$A,N$2)</f>
        <v>22</v>
      </c>
      <c r="O786" s="12">
        <f>SUMIFS(BASE!$G:$G,BASE!$B:$B,$B786,BASE!$L:$L,$G786,BASE!$J:$J,$C786,BASE!$A:$A,O$2)</f>
        <v>24</v>
      </c>
      <c r="P786" s="12">
        <f>SUMIFS(BASE!$G:$G,BASE!$B:$B,$B786,BASE!$L:$L,$G786,BASE!$J:$J,$C786,BASE!$A:$A,P$2)</f>
        <v>32</v>
      </c>
      <c r="Q786" s="12">
        <f>SUMIFS(BASE!$G:$G,BASE!$B:$B,$B786,BASE!$L:$L,$G786,BASE!$J:$J,$C786,BASE!$A:$A,Q$2)</f>
        <v>36</v>
      </c>
      <c r="R786" s="12">
        <f>SUMIFS(BASE!$G:$G,BASE!$B:$B,$B786,BASE!$L:$L,$G786,BASE!$J:$J,$C786,BASE!$A:$A,R$2)</f>
        <v>30</v>
      </c>
      <c r="S786" s="12">
        <f>SUMIFS(BASE!$G:$G,BASE!$B:$B,$B786,BASE!$L:$L,$G786,BASE!$J:$J,$C786,BASE!$A:$A,S$2)</f>
        <v>0</v>
      </c>
      <c r="T786" s="12">
        <f>SUMIFS(BASE!$G:$G,BASE!$B:$B,$B786,BASE!$L:$L,$G786,BASE!$J:$J,$C786,BASE!$A:$A,T$2)</f>
        <v>0</v>
      </c>
      <c r="U786" s="12">
        <f>SUMIFS(BASE!$G:$G,BASE!$B:$B,$B786,BASE!$L:$L,$G786,BASE!$J:$J,$C786,BASE!$A:$A,U$2)</f>
        <v>0</v>
      </c>
      <c r="V786" s="12">
        <f>SUMIFS(BASE!$G:$G,BASE!$B:$B,$B786,BASE!$L:$L,$G786,BASE!$J:$J,$C786,BASE!$A:$A,V$2)</f>
        <v>0</v>
      </c>
      <c r="X786" t="str">
        <f t="shared" si="25"/>
        <v>COM TROCAS</v>
      </c>
    </row>
    <row r="787" spans="2:24">
      <c r="B787" s="8" t="s">
        <v>1662</v>
      </c>
      <c r="C787" s="8" t="s">
        <v>232</v>
      </c>
      <c r="D787" s="8" t="s">
        <v>1509</v>
      </c>
      <c r="E787" s="8" t="s">
        <v>1423</v>
      </c>
      <c r="F787" s="8" t="s">
        <v>1663</v>
      </c>
      <c r="G787" s="8" t="s">
        <v>54</v>
      </c>
      <c r="H787" s="7" t="str">
        <f>IFERROR(IF(_xlfn.XLOOKUP(B787,REPASSE!D:D,REPASSE!D:D)="","Não","Sim"),"Não")</f>
        <v>Não</v>
      </c>
      <c r="I787" s="7" t="str">
        <f>IF(_xlfn.XLOOKUP(B787,'BOOST LIBERADO'!B:B,'BOOST LIBERADO'!B:B,"Não")="Não","Não","Sim")</f>
        <v>Sim</v>
      </c>
      <c r="J787" s="83" t="str">
        <f t="shared" si="24"/>
        <v>Sim</v>
      </c>
      <c r="K787" s="12">
        <f>SUMIFS(BASE!$G:$G,BASE!$B:$B,$B787,BASE!$L:$L,$G787,BASE!$J:$J,$C787,BASE!$A:$A,K$2)</f>
        <v>23</v>
      </c>
      <c r="L787" s="12">
        <f>SUMIFS(BASE!$G:$G,BASE!$B:$B,$B787,BASE!$L:$L,$G787,BASE!$J:$J,$C787,BASE!$A:$A,L$2)</f>
        <v>14</v>
      </c>
      <c r="M787" s="12">
        <f>SUMIFS(BASE!$G:$G,BASE!$B:$B,$B787,BASE!$L:$L,$G787,BASE!$J:$J,$C787,BASE!$A:$A,M$2)</f>
        <v>37</v>
      </c>
      <c r="N787" s="12">
        <f>SUMIFS(BASE!$G:$G,BASE!$B:$B,$B787,BASE!$L:$L,$G787,BASE!$J:$J,$C787,BASE!$A:$A,N$2)</f>
        <v>19</v>
      </c>
      <c r="O787" s="12">
        <f>SUMIFS(BASE!$G:$G,BASE!$B:$B,$B787,BASE!$L:$L,$G787,BASE!$J:$J,$C787,BASE!$A:$A,O$2)</f>
        <v>44</v>
      </c>
      <c r="P787" s="12">
        <f>SUMIFS(BASE!$G:$G,BASE!$B:$B,$B787,BASE!$L:$L,$G787,BASE!$J:$J,$C787,BASE!$A:$A,P$2)</f>
        <v>31</v>
      </c>
      <c r="Q787" s="12">
        <f>SUMIFS(BASE!$G:$G,BASE!$B:$B,$B787,BASE!$L:$L,$G787,BASE!$J:$J,$C787,BASE!$A:$A,Q$2)</f>
        <v>53</v>
      </c>
      <c r="R787" s="12">
        <f>SUMIFS(BASE!$G:$G,BASE!$B:$B,$B787,BASE!$L:$L,$G787,BASE!$J:$J,$C787,BASE!$A:$A,R$2)</f>
        <v>35</v>
      </c>
      <c r="S787" s="12">
        <f>SUMIFS(BASE!$G:$G,BASE!$B:$B,$B787,BASE!$L:$L,$G787,BASE!$J:$J,$C787,BASE!$A:$A,S$2)</f>
        <v>0</v>
      </c>
      <c r="T787" s="12">
        <f>SUMIFS(BASE!$G:$G,BASE!$B:$B,$B787,BASE!$L:$L,$G787,BASE!$J:$J,$C787,BASE!$A:$A,T$2)</f>
        <v>0</v>
      </c>
      <c r="U787" s="12">
        <f>SUMIFS(BASE!$G:$G,BASE!$B:$B,$B787,BASE!$L:$L,$G787,BASE!$J:$J,$C787,BASE!$A:$A,U$2)</f>
        <v>0</v>
      </c>
      <c r="V787" s="12">
        <f>SUMIFS(BASE!$G:$G,BASE!$B:$B,$B787,BASE!$L:$L,$G787,BASE!$J:$J,$C787,BASE!$A:$A,V$2)</f>
        <v>0</v>
      </c>
      <c r="X787" t="str">
        <f t="shared" si="25"/>
        <v>COM TROCAS</v>
      </c>
    </row>
    <row r="788" spans="2:24">
      <c r="B788" s="8" t="s">
        <v>1664</v>
      </c>
      <c r="C788" s="9" t="s">
        <v>232</v>
      </c>
      <c r="D788" s="9" t="s">
        <v>1488</v>
      </c>
      <c r="E788" s="9" t="s">
        <v>1438</v>
      </c>
      <c r="F788" s="9" t="s">
        <v>1659</v>
      </c>
      <c r="G788" s="9" t="s">
        <v>54</v>
      </c>
      <c r="H788" s="7" t="str">
        <f>IFERROR(IF(_xlfn.XLOOKUP(B788,REPASSE!D:D,REPASSE!D:D)="","Não","Sim"),"Não")</f>
        <v>Não</v>
      </c>
      <c r="I788" s="7" t="str">
        <f>IF(_xlfn.XLOOKUP(B788,'BOOST LIBERADO'!B:B,'BOOST LIBERADO'!B:B,"Não")="Não","Não","Sim")</f>
        <v>Sim</v>
      </c>
      <c r="J788" s="83" t="str">
        <f t="shared" si="24"/>
        <v>Sim</v>
      </c>
      <c r="K788" s="12">
        <f>SUMIFS(BASE!$G:$G,BASE!$B:$B,$B788,BASE!$L:$L,$G788,BASE!$J:$J,$C788,BASE!$A:$A,K$2)</f>
        <v>4</v>
      </c>
      <c r="L788" s="12">
        <f>SUMIFS(BASE!$G:$G,BASE!$B:$B,$B788,BASE!$L:$L,$G788,BASE!$J:$J,$C788,BASE!$A:$A,L$2)</f>
        <v>2</v>
      </c>
      <c r="M788" s="12">
        <f>SUMIFS(BASE!$G:$G,BASE!$B:$B,$B788,BASE!$L:$L,$G788,BASE!$J:$J,$C788,BASE!$A:$A,M$2)</f>
        <v>4</v>
      </c>
      <c r="N788" s="12">
        <f>SUMIFS(BASE!$G:$G,BASE!$B:$B,$B788,BASE!$L:$L,$G788,BASE!$J:$J,$C788,BASE!$A:$A,N$2)</f>
        <v>4</v>
      </c>
      <c r="O788" s="12">
        <f>SUMIFS(BASE!$G:$G,BASE!$B:$B,$B788,BASE!$L:$L,$G788,BASE!$J:$J,$C788,BASE!$A:$A,O$2)</f>
        <v>7</v>
      </c>
      <c r="P788" s="12">
        <f>SUMIFS(BASE!$G:$G,BASE!$B:$B,$B788,BASE!$L:$L,$G788,BASE!$J:$J,$C788,BASE!$A:$A,P$2)</f>
        <v>2</v>
      </c>
      <c r="Q788" s="12">
        <f>SUMIFS(BASE!$G:$G,BASE!$B:$B,$B788,BASE!$L:$L,$G788,BASE!$J:$J,$C788,BASE!$A:$A,Q$2)</f>
        <v>9</v>
      </c>
      <c r="R788" s="12">
        <f>SUMIFS(BASE!$G:$G,BASE!$B:$B,$B788,BASE!$L:$L,$G788,BASE!$J:$J,$C788,BASE!$A:$A,R$2)</f>
        <v>8</v>
      </c>
      <c r="S788" s="12">
        <f>SUMIFS(BASE!$G:$G,BASE!$B:$B,$B788,BASE!$L:$L,$G788,BASE!$J:$J,$C788,BASE!$A:$A,S$2)</f>
        <v>0</v>
      </c>
      <c r="T788" s="12">
        <f>SUMIFS(BASE!$G:$G,BASE!$B:$B,$B788,BASE!$L:$L,$G788,BASE!$J:$J,$C788,BASE!$A:$A,T$2)</f>
        <v>0</v>
      </c>
      <c r="U788" s="12">
        <f>SUMIFS(BASE!$G:$G,BASE!$B:$B,$B788,BASE!$L:$L,$G788,BASE!$J:$J,$C788,BASE!$A:$A,U$2)</f>
        <v>0</v>
      </c>
      <c r="V788" s="12">
        <f>SUMIFS(BASE!$G:$G,BASE!$B:$B,$B788,BASE!$L:$L,$G788,BASE!$J:$J,$C788,BASE!$A:$A,V$2)</f>
        <v>0</v>
      </c>
      <c r="X788" t="str">
        <f t="shared" si="25"/>
        <v>COM TROCAS</v>
      </c>
    </row>
    <row r="789" spans="2:24">
      <c r="B789" s="8" t="s">
        <v>1665</v>
      </c>
      <c r="C789" s="9" t="s">
        <v>232</v>
      </c>
      <c r="D789" s="9" t="s">
        <v>1468</v>
      </c>
      <c r="E789" s="9" t="s">
        <v>1438</v>
      </c>
      <c r="F789" s="9" t="s">
        <v>1666</v>
      </c>
      <c r="G789" s="9" t="s">
        <v>54</v>
      </c>
      <c r="H789" s="7" t="str">
        <f>IFERROR(IF(_xlfn.XLOOKUP(B789,REPASSE!D:D,REPASSE!D:D)="","Não","Sim"),"Não")</f>
        <v>Não</v>
      </c>
      <c r="I789" s="7" t="str">
        <f>IF(_xlfn.XLOOKUP(B789,'BOOST LIBERADO'!B:B,'BOOST LIBERADO'!B:B,"Não")="Não","Não","Sim")</f>
        <v>Sim</v>
      </c>
      <c r="J789" s="83" t="str">
        <f t="shared" si="24"/>
        <v>Sim</v>
      </c>
      <c r="K789" s="12">
        <f>SUMIFS(BASE!$G:$G,BASE!$B:$B,$B789,BASE!$L:$L,$G789,BASE!$J:$J,$C789,BASE!$A:$A,K$2)</f>
        <v>3</v>
      </c>
      <c r="L789" s="12">
        <f>SUMIFS(BASE!$G:$G,BASE!$B:$B,$B789,BASE!$L:$L,$G789,BASE!$J:$J,$C789,BASE!$A:$A,L$2)</f>
        <v>1</v>
      </c>
      <c r="M789" s="12">
        <f>SUMIFS(BASE!$G:$G,BASE!$B:$B,$B789,BASE!$L:$L,$G789,BASE!$J:$J,$C789,BASE!$A:$A,M$2)</f>
        <v>10</v>
      </c>
      <c r="N789" s="12">
        <f>SUMIFS(BASE!$G:$G,BASE!$B:$B,$B789,BASE!$L:$L,$G789,BASE!$J:$J,$C789,BASE!$A:$A,N$2)</f>
        <v>3</v>
      </c>
      <c r="O789" s="12">
        <f>SUMIFS(BASE!$G:$G,BASE!$B:$B,$B789,BASE!$L:$L,$G789,BASE!$J:$J,$C789,BASE!$A:$A,O$2)</f>
        <v>4</v>
      </c>
      <c r="P789" s="12">
        <f>SUMIFS(BASE!$G:$G,BASE!$B:$B,$B789,BASE!$L:$L,$G789,BASE!$J:$J,$C789,BASE!$A:$A,P$2)</f>
        <v>4</v>
      </c>
      <c r="Q789" s="12">
        <f>SUMIFS(BASE!$G:$G,BASE!$B:$B,$B789,BASE!$L:$L,$G789,BASE!$J:$J,$C789,BASE!$A:$A,Q$2)</f>
        <v>6</v>
      </c>
      <c r="R789" s="12">
        <f>SUMIFS(BASE!$G:$G,BASE!$B:$B,$B789,BASE!$L:$L,$G789,BASE!$J:$J,$C789,BASE!$A:$A,R$2)</f>
        <v>9</v>
      </c>
      <c r="S789" s="12">
        <f>SUMIFS(BASE!$G:$G,BASE!$B:$B,$B789,BASE!$L:$L,$G789,BASE!$J:$J,$C789,BASE!$A:$A,S$2)</f>
        <v>0</v>
      </c>
      <c r="T789" s="12">
        <f>SUMIFS(BASE!$G:$G,BASE!$B:$B,$B789,BASE!$L:$L,$G789,BASE!$J:$J,$C789,BASE!$A:$A,T$2)</f>
        <v>0</v>
      </c>
      <c r="U789" s="12">
        <f>SUMIFS(BASE!$G:$G,BASE!$B:$B,$B789,BASE!$L:$L,$G789,BASE!$J:$J,$C789,BASE!$A:$A,U$2)</f>
        <v>0</v>
      </c>
      <c r="V789" s="12">
        <f>SUMIFS(BASE!$G:$G,BASE!$B:$B,$B789,BASE!$L:$L,$G789,BASE!$J:$J,$C789,BASE!$A:$A,V$2)</f>
        <v>0</v>
      </c>
      <c r="X789" t="str">
        <f t="shared" si="25"/>
        <v>COM TROCAS</v>
      </c>
    </row>
    <row r="790" spans="2:24">
      <c r="B790" s="8" t="s">
        <v>1667</v>
      </c>
      <c r="C790" s="9" t="s">
        <v>232</v>
      </c>
      <c r="D790" s="9" t="s">
        <v>1468</v>
      </c>
      <c r="E790" s="9" t="s">
        <v>1438</v>
      </c>
      <c r="F790" s="9" t="s">
        <v>1668</v>
      </c>
      <c r="G790" s="9" t="s">
        <v>54</v>
      </c>
      <c r="H790" s="7" t="str">
        <f>IFERROR(IF(_xlfn.XLOOKUP(B790,REPASSE!D:D,REPASSE!D:D)="","Não","Sim"),"Não")</f>
        <v>Não</v>
      </c>
      <c r="I790" s="7" t="str">
        <f>IF(_xlfn.XLOOKUP(B790,'BOOST LIBERADO'!B:B,'BOOST LIBERADO'!B:B,"Não")="Não","Não","Sim")</f>
        <v>Sim</v>
      </c>
      <c r="J790" s="83" t="str">
        <f t="shared" si="24"/>
        <v>Sim</v>
      </c>
      <c r="K790" s="12">
        <f>SUMIFS(BASE!$G:$G,BASE!$B:$B,$B790,BASE!$L:$L,$G790,BASE!$J:$J,$C790,BASE!$A:$A,K$2)</f>
        <v>17</v>
      </c>
      <c r="L790" s="12">
        <f>SUMIFS(BASE!$G:$G,BASE!$B:$B,$B790,BASE!$L:$L,$G790,BASE!$J:$J,$C790,BASE!$A:$A,L$2)</f>
        <v>12</v>
      </c>
      <c r="M790" s="12">
        <f>SUMIFS(BASE!$G:$G,BASE!$B:$B,$B790,BASE!$L:$L,$G790,BASE!$J:$J,$C790,BASE!$A:$A,M$2)</f>
        <v>8</v>
      </c>
      <c r="N790" s="12">
        <f>SUMIFS(BASE!$G:$G,BASE!$B:$B,$B790,BASE!$L:$L,$G790,BASE!$J:$J,$C790,BASE!$A:$A,N$2)</f>
        <v>13</v>
      </c>
      <c r="O790" s="12">
        <f>SUMIFS(BASE!$G:$G,BASE!$B:$B,$B790,BASE!$L:$L,$G790,BASE!$J:$J,$C790,BASE!$A:$A,O$2)</f>
        <v>15</v>
      </c>
      <c r="P790" s="12">
        <f>SUMIFS(BASE!$G:$G,BASE!$B:$B,$B790,BASE!$L:$L,$G790,BASE!$J:$J,$C790,BASE!$A:$A,P$2)</f>
        <v>8</v>
      </c>
      <c r="Q790" s="12">
        <f>SUMIFS(BASE!$G:$G,BASE!$B:$B,$B790,BASE!$L:$L,$G790,BASE!$J:$J,$C790,BASE!$A:$A,Q$2)</f>
        <v>11</v>
      </c>
      <c r="R790" s="12">
        <f>SUMIFS(BASE!$G:$G,BASE!$B:$B,$B790,BASE!$L:$L,$G790,BASE!$J:$J,$C790,BASE!$A:$A,R$2)</f>
        <v>13</v>
      </c>
      <c r="S790" s="12">
        <f>SUMIFS(BASE!$G:$G,BASE!$B:$B,$B790,BASE!$L:$L,$G790,BASE!$J:$J,$C790,BASE!$A:$A,S$2)</f>
        <v>0</v>
      </c>
      <c r="T790" s="12">
        <f>SUMIFS(BASE!$G:$G,BASE!$B:$B,$B790,BASE!$L:$L,$G790,BASE!$J:$J,$C790,BASE!$A:$A,T$2)</f>
        <v>0</v>
      </c>
      <c r="U790" s="12">
        <f>SUMIFS(BASE!$G:$G,BASE!$B:$B,$B790,BASE!$L:$L,$G790,BASE!$J:$J,$C790,BASE!$A:$A,U$2)</f>
        <v>0</v>
      </c>
      <c r="V790" s="12">
        <f>SUMIFS(BASE!$G:$G,BASE!$B:$B,$B790,BASE!$L:$L,$G790,BASE!$J:$J,$C790,BASE!$A:$A,V$2)</f>
        <v>0</v>
      </c>
      <c r="X790" t="str">
        <f t="shared" si="25"/>
        <v>COM TROCAS</v>
      </c>
    </row>
    <row r="791" spans="2:24">
      <c r="B791" s="8" t="s">
        <v>1669</v>
      </c>
      <c r="C791" s="9" t="s">
        <v>232</v>
      </c>
      <c r="D791" s="9" t="s">
        <v>1437</v>
      </c>
      <c r="E791" s="9" t="s">
        <v>1438</v>
      </c>
      <c r="F791" s="9" t="s">
        <v>1661</v>
      </c>
      <c r="G791" s="9" t="s">
        <v>54</v>
      </c>
      <c r="H791" s="7" t="str">
        <f>IFERROR(IF(_xlfn.XLOOKUP(B791,REPASSE!D:D,REPASSE!D:D)="","Não","Sim"),"Não")</f>
        <v>Não</v>
      </c>
      <c r="I791" s="7" t="str">
        <f>IF(_xlfn.XLOOKUP(B791,'BOOST LIBERADO'!B:B,'BOOST LIBERADO'!B:B,"Não")="Não","Não","Sim")</f>
        <v>Sim</v>
      </c>
      <c r="J791" s="83" t="str">
        <f t="shared" si="24"/>
        <v>Sim</v>
      </c>
      <c r="K791" s="12">
        <f>SUMIFS(BASE!$G:$G,BASE!$B:$B,$B791,BASE!$L:$L,$G791,BASE!$J:$J,$C791,BASE!$A:$A,K$2)</f>
        <v>23</v>
      </c>
      <c r="L791" s="12">
        <f>SUMIFS(BASE!$G:$G,BASE!$B:$B,$B791,BASE!$L:$L,$G791,BASE!$J:$J,$C791,BASE!$A:$A,L$2)</f>
        <v>10</v>
      </c>
      <c r="M791" s="12">
        <f>SUMIFS(BASE!$G:$G,BASE!$B:$B,$B791,BASE!$L:$L,$G791,BASE!$J:$J,$C791,BASE!$A:$A,M$2)</f>
        <v>16</v>
      </c>
      <c r="N791" s="12">
        <f>SUMIFS(BASE!$G:$G,BASE!$B:$B,$B791,BASE!$L:$L,$G791,BASE!$J:$J,$C791,BASE!$A:$A,N$2)</f>
        <v>11</v>
      </c>
      <c r="O791" s="12">
        <f>SUMIFS(BASE!$G:$G,BASE!$B:$B,$B791,BASE!$L:$L,$G791,BASE!$J:$J,$C791,BASE!$A:$A,O$2)</f>
        <v>21</v>
      </c>
      <c r="P791" s="12">
        <f>SUMIFS(BASE!$G:$G,BASE!$B:$B,$B791,BASE!$L:$L,$G791,BASE!$J:$J,$C791,BASE!$A:$A,P$2)</f>
        <v>15</v>
      </c>
      <c r="Q791" s="12">
        <f>SUMIFS(BASE!$G:$G,BASE!$B:$B,$B791,BASE!$L:$L,$G791,BASE!$J:$J,$C791,BASE!$A:$A,Q$2)</f>
        <v>16</v>
      </c>
      <c r="R791" s="12">
        <f>SUMIFS(BASE!$G:$G,BASE!$B:$B,$B791,BASE!$L:$L,$G791,BASE!$J:$J,$C791,BASE!$A:$A,R$2)</f>
        <v>21</v>
      </c>
      <c r="S791" s="12">
        <f>SUMIFS(BASE!$G:$G,BASE!$B:$B,$B791,BASE!$L:$L,$G791,BASE!$J:$J,$C791,BASE!$A:$A,S$2)</f>
        <v>0</v>
      </c>
      <c r="T791" s="12">
        <f>SUMIFS(BASE!$G:$G,BASE!$B:$B,$B791,BASE!$L:$L,$G791,BASE!$J:$J,$C791,BASE!$A:$A,T$2)</f>
        <v>0</v>
      </c>
      <c r="U791" s="12">
        <f>SUMIFS(BASE!$G:$G,BASE!$B:$B,$B791,BASE!$L:$L,$G791,BASE!$J:$J,$C791,BASE!$A:$A,U$2)</f>
        <v>0</v>
      </c>
      <c r="V791" s="12">
        <f>SUMIFS(BASE!$G:$G,BASE!$B:$B,$B791,BASE!$L:$L,$G791,BASE!$J:$J,$C791,BASE!$A:$A,V$2)</f>
        <v>0</v>
      </c>
      <c r="X791" t="str">
        <f t="shared" si="25"/>
        <v>COM TROCAS</v>
      </c>
    </row>
    <row r="792" spans="2:24">
      <c r="B792" s="8" t="s">
        <v>1670</v>
      </c>
      <c r="C792" s="9" t="s">
        <v>232</v>
      </c>
      <c r="D792" s="9" t="s">
        <v>1565</v>
      </c>
      <c r="E792" s="9" t="s">
        <v>1438</v>
      </c>
      <c r="F792" s="9" t="s">
        <v>1671</v>
      </c>
      <c r="G792" s="9" t="s">
        <v>54</v>
      </c>
      <c r="H792" s="7" t="str">
        <f>IFERROR(IF(_xlfn.XLOOKUP(B792,REPASSE!D:D,REPASSE!D:D)="","Não","Sim"),"Não")</f>
        <v>Não</v>
      </c>
      <c r="I792" s="7" t="str">
        <f>IF(_xlfn.XLOOKUP(B792,'BOOST LIBERADO'!B:B,'BOOST LIBERADO'!B:B,"Não")="Não","Não","Sim")</f>
        <v>Sim</v>
      </c>
      <c r="J792" s="83" t="str">
        <f t="shared" si="24"/>
        <v>Sim</v>
      </c>
      <c r="K792" s="12">
        <f>SUMIFS(BASE!$G:$G,BASE!$B:$B,$B792,BASE!$L:$L,$G792,BASE!$J:$J,$C792,BASE!$A:$A,K$2)</f>
        <v>8</v>
      </c>
      <c r="L792" s="12">
        <f>SUMIFS(BASE!$G:$G,BASE!$B:$B,$B792,BASE!$L:$L,$G792,BASE!$J:$J,$C792,BASE!$A:$A,L$2)</f>
        <v>5</v>
      </c>
      <c r="M792" s="12">
        <f>SUMIFS(BASE!$G:$G,BASE!$B:$B,$B792,BASE!$L:$L,$G792,BASE!$J:$J,$C792,BASE!$A:$A,M$2)</f>
        <v>9</v>
      </c>
      <c r="N792" s="12">
        <f>SUMIFS(BASE!$G:$G,BASE!$B:$B,$B792,BASE!$L:$L,$G792,BASE!$J:$J,$C792,BASE!$A:$A,N$2)</f>
        <v>4</v>
      </c>
      <c r="O792" s="12">
        <f>SUMIFS(BASE!$G:$G,BASE!$B:$B,$B792,BASE!$L:$L,$G792,BASE!$J:$J,$C792,BASE!$A:$A,O$2)</f>
        <v>11</v>
      </c>
      <c r="P792" s="12">
        <f>SUMIFS(BASE!$G:$G,BASE!$B:$B,$B792,BASE!$L:$L,$G792,BASE!$J:$J,$C792,BASE!$A:$A,P$2)</f>
        <v>17</v>
      </c>
      <c r="Q792" s="12">
        <f>SUMIFS(BASE!$G:$G,BASE!$B:$B,$B792,BASE!$L:$L,$G792,BASE!$J:$J,$C792,BASE!$A:$A,Q$2)</f>
        <v>20</v>
      </c>
      <c r="R792" s="12">
        <f>SUMIFS(BASE!$G:$G,BASE!$B:$B,$B792,BASE!$L:$L,$G792,BASE!$J:$J,$C792,BASE!$A:$A,R$2)</f>
        <v>18</v>
      </c>
      <c r="S792" s="12">
        <f>SUMIFS(BASE!$G:$G,BASE!$B:$B,$B792,BASE!$L:$L,$G792,BASE!$J:$J,$C792,BASE!$A:$A,S$2)</f>
        <v>0</v>
      </c>
      <c r="T792" s="12">
        <f>SUMIFS(BASE!$G:$G,BASE!$B:$B,$B792,BASE!$L:$L,$G792,BASE!$J:$J,$C792,BASE!$A:$A,T$2)</f>
        <v>0</v>
      </c>
      <c r="U792" s="12">
        <f>SUMIFS(BASE!$G:$G,BASE!$B:$B,$B792,BASE!$L:$L,$G792,BASE!$J:$J,$C792,BASE!$A:$A,U$2)</f>
        <v>0</v>
      </c>
      <c r="V792" s="12">
        <f>SUMIFS(BASE!$G:$G,BASE!$B:$B,$B792,BASE!$L:$L,$G792,BASE!$J:$J,$C792,BASE!$A:$A,V$2)</f>
        <v>0</v>
      </c>
      <c r="X792" t="str">
        <f t="shared" si="25"/>
        <v>COM TROCAS</v>
      </c>
    </row>
    <row r="793" spans="2:24">
      <c r="B793" s="8" t="s">
        <v>1672</v>
      </c>
      <c r="C793" s="9" t="s">
        <v>232</v>
      </c>
      <c r="D793" s="9" t="s">
        <v>1468</v>
      </c>
      <c r="E793" s="9" t="s">
        <v>1438</v>
      </c>
      <c r="F793" s="9" t="s">
        <v>1668</v>
      </c>
      <c r="G793" s="9" t="s">
        <v>54</v>
      </c>
      <c r="H793" s="7" t="str">
        <f>IFERROR(IF(_xlfn.XLOOKUP(B793,REPASSE!D:D,REPASSE!D:D)="","Não","Sim"),"Não")</f>
        <v>Não</v>
      </c>
      <c r="I793" s="7" t="str">
        <f>IF(_xlfn.XLOOKUP(B793,'BOOST LIBERADO'!B:B,'BOOST LIBERADO'!B:B,"Não")="Não","Não","Sim")</f>
        <v>Sim</v>
      </c>
      <c r="J793" s="83" t="str">
        <f t="shared" si="24"/>
        <v>Sim</v>
      </c>
      <c r="K793" s="12">
        <f>SUMIFS(BASE!$G:$G,BASE!$B:$B,$B793,BASE!$L:$L,$G793,BASE!$J:$J,$C793,BASE!$A:$A,K$2)</f>
        <v>41</v>
      </c>
      <c r="L793" s="12">
        <f>SUMIFS(BASE!$G:$G,BASE!$B:$B,$B793,BASE!$L:$L,$G793,BASE!$J:$J,$C793,BASE!$A:$A,L$2)</f>
        <v>31</v>
      </c>
      <c r="M793" s="12">
        <f>SUMIFS(BASE!$G:$G,BASE!$B:$B,$B793,BASE!$L:$L,$G793,BASE!$J:$J,$C793,BASE!$A:$A,M$2)</f>
        <v>53</v>
      </c>
      <c r="N793" s="12">
        <f>SUMIFS(BASE!$G:$G,BASE!$B:$B,$B793,BASE!$L:$L,$G793,BASE!$J:$J,$C793,BASE!$A:$A,N$2)</f>
        <v>42</v>
      </c>
      <c r="O793" s="12">
        <f>SUMIFS(BASE!$G:$G,BASE!$B:$B,$B793,BASE!$L:$L,$G793,BASE!$J:$J,$C793,BASE!$A:$A,O$2)</f>
        <v>61</v>
      </c>
      <c r="P793" s="12">
        <f>SUMIFS(BASE!$G:$G,BASE!$B:$B,$B793,BASE!$L:$L,$G793,BASE!$J:$J,$C793,BASE!$A:$A,P$2)</f>
        <v>36</v>
      </c>
      <c r="Q793" s="12">
        <f>SUMIFS(BASE!$G:$G,BASE!$B:$B,$B793,BASE!$L:$L,$G793,BASE!$J:$J,$C793,BASE!$A:$A,Q$2)</f>
        <v>52</v>
      </c>
      <c r="R793" s="12">
        <f>SUMIFS(BASE!$G:$G,BASE!$B:$B,$B793,BASE!$L:$L,$G793,BASE!$J:$J,$C793,BASE!$A:$A,R$2)</f>
        <v>37</v>
      </c>
      <c r="S793" s="12">
        <f>SUMIFS(BASE!$G:$G,BASE!$B:$B,$B793,BASE!$L:$L,$G793,BASE!$J:$J,$C793,BASE!$A:$A,S$2)</f>
        <v>0</v>
      </c>
      <c r="T793" s="12">
        <f>SUMIFS(BASE!$G:$G,BASE!$B:$B,$B793,BASE!$L:$L,$G793,BASE!$J:$J,$C793,BASE!$A:$A,T$2)</f>
        <v>0</v>
      </c>
      <c r="U793" s="12">
        <f>SUMIFS(BASE!$G:$G,BASE!$B:$B,$B793,BASE!$L:$L,$G793,BASE!$J:$J,$C793,BASE!$A:$A,U$2)</f>
        <v>0</v>
      </c>
      <c r="V793" s="12">
        <f>SUMIFS(BASE!$G:$G,BASE!$B:$B,$B793,BASE!$L:$L,$G793,BASE!$J:$J,$C793,BASE!$A:$A,V$2)</f>
        <v>0</v>
      </c>
      <c r="X793" t="str">
        <f t="shared" si="25"/>
        <v>COM TROCAS</v>
      </c>
    </row>
    <row r="794" spans="2:24">
      <c r="B794" s="8" t="s">
        <v>1673</v>
      </c>
      <c r="C794" s="9" t="s">
        <v>232</v>
      </c>
      <c r="D794" s="9" t="s">
        <v>1544</v>
      </c>
      <c r="E794" s="9" t="s">
        <v>1423</v>
      </c>
      <c r="F794" s="9" t="s">
        <v>1545</v>
      </c>
      <c r="G794" s="9" t="s">
        <v>54</v>
      </c>
      <c r="H794" s="7" t="str">
        <f>IFERROR(IF(_xlfn.XLOOKUP(B794,REPASSE!D:D,REPASSE!D:D)="","Não","Sim"),"Não")</f>
        <v>Não</v>
      </c>
      <c r="I794" s="7" t="str">
        <f>IF(_xlfn.XLOOKUP(B794,'BOOST LIBERADO'!B:B,'BOOST LIBERADO'!B:B,"Não")="Não","Não","Sim")</f>
        <v>Sim</v>
      </c>
      <c r="J794" s="83" t="str">
        <f t="shared" si="24"/>
        <v>Sim</v>
      </c>
      <c r="K794" s="12">
        <f>SUMIFS(BASE!$G:$G,BASE!$B:$B,$B794,BASE!$L:$L,$G794,BASE!$J:$J,$C794,BASE!$A:$A,K$2)</f>
        <v>9</v>
      </c>
      <c r="L794" s="12">
        <f>SUMIFS(BASE!$G:$G,BASE!$B:$B,$B794,BASE!$L:$L,$G794,BASE!$J:$J,$C794,BASE!$A:$A,L$2)</f>
        <v>2</v>
      </c>
      <c r="M794" s="12">
        <f>SUMIFS(BASE!$G:$G,BASE!$B:$B,$B794,BASE!$L:$L,$G794,BASE!$J:$J,$C794,BASE!$A:$A,M$2)</f>
        <v>8</v>
      </c>
      <c r="N794" s="12">
        <f>SUMIFS(BASE!$G:$G,BASE!$B:$B,$B794,BASE!$L:$L,$G794,BASE!$J:$J,$C794,BASE!$A:$A,N$2)</f>
        <v>4</v>
      </c>
      <c r="O794" s="12">
        <f>SUMIFS(BASE!$G:$G,BASE!$B:$B,$B794,BASE!$L:$L,$G794,BASE!$J:$J,$C794,BASE!$A:$A,O$2)</f>
        <v>10</v>
      </c>
      <c r="P794" s="12">
        <f>SUMIFS(BASE!$G:$G,BASE!$B:$B,$B794,BASE!$L:$L,$G794,BASE!$J:$J,$C794,BASE!$A:$A,P$2)</f>
        <v>8</v>
      </c>
      <c r="Q794" s="12">
        <f>SUMIFS(BASE!$G:$G,BASE!$B:$B,$B794,BASE!$L:$L,$G794,BASE!$J:$J,$C794,BASE!$A:$A,Q$2)</f>
        <v>17</v>
      </c>
      <c r="R794" s="12">
        <f>SUMIFS(BASE!$G:$G,BASE!$B:$B,$B794,BASE!$L:$L,$G794,BASE!$J:$J,$C794,BASE!$A:$A,R$2)</f>
        <v>9</v>
      </c>
      <c r="S794" s="12">
        <f>SUMIFS(BASE!$G:$G,BASE!$B:$B,$B794,BASE!$L:$L,$G794,BASE!$J:$J,$C794,BASE!$A:$A,S$2)</f>
        <v>0</v>
      </c>
      <c r="T794" s="12">
        <f>SUMIFS(BASE!$G:$G,BASE!$B:$B,$B794,BASE!$L:$L,$G794,BASE!$J:$J,$C794,BASE!$A:$A,T$2)</f>
        <v>0</v>
      </c>
      <c r="U794" s="12">
        <f>SUMIFS(BASE!$G:$G,BASE!$B:$B,$B794,BASE!$L:$L,$G794,BASE!$J:$J,$C794,BASE!$A:$A,U$2)</f>
        <v>0</v>
      </c>
      <c r="V794" s="12">
        <f>SUMIFS(BASE!$G:$G,BASE!$B:$B,$B794,BASE!$L:$L,$G794,BASE!$J:$J,$C794,BASE!$A:$A,V$2)</f>
        <v>0</v>
      </c>
      <c r="X794" t="str">
        <f t="shared" si="25"/>
        <v>COM TROCAS</v>
      </c>
    </row>
    <row r="795" spans="2:24">
      <c r="B795" s="8" t="s">
        <v>1674</v>
      </c>
      <c r="C795" s="9" t="s">
        <v>232</v>
      </c>
      <c r="D795" s="9" t="s">
        <v>1437</v>
      </c>
      <c r="E795" s="9" t="s">
        <v>1438</v>
      </c>
      <c r="F795" s="9" t="s">
        <v>1489</v>
      </c>
      <c r="G795" s="9" t="s">
        <v>54</v>
      </c>
      <c r="H795" s="7" t="str">
        <f>IFERROR(IF(_xlfn.XLOOKUP(B795,REPASSE!D:D,REPASSE!D:D)="","Não","Sim"),"Não")</f>
        <v>Não</v>
      </c>
      <c r="I795" s="7" t="str">
        <f>IF(_xlfn.XLOOKUP(B795,'BOOST LIBERADO'!B:B,'BOOST LIBERADO'!B:B,"Não")="Não","Não","Sim")</f>
        <v>Sim</v>
      </c>
      <c r="J795" s="83" t="str">
        <f t="shared" si="24"/>
        <v>Sim</v>
      </c>
      <c r="K795" s="12">
        <f>SUMIFS(BASE!$G:$G,BASE!$B:$B,$B795,BASE!$L:$L,$G795,BASE!$J:$J,$C795,BASE!$A:$A,K$2)</f>
        <v>12</v>
      </c>
      <c r="L795" s="12">
        <f>SUMIFS(BASE!$G:$G,BASE!$B:$B,$B795,BASE!$L:$L,$G795,BASE!$J:$J,$C795,BASE!$A:$A,L$2)</f>
        <v>8</v>
      </c>
      <c r="M795" s="12">
        <f>SUMIFS(BASE!$G:$G,BASE!$B:$B,$B795,BASE!$L:$L,$G795,BASE!$J:$J,$C795,BASE!$A:$A,M$2)</f>
        <v>19</v>
      </c>
      <c r="N795" s="12">
        <f>SUMIFS(BASE!$G:$G,BASE!$B:$B,$B795,BASE!$L:$L,$G795,BASE!$J:$J,$C795,BASE!$A:$A,N$2)</f>
        <v>16</v>
      </c>
      <c r="O795" s="12">
        <f>SUMIFS(BASE!$G:$G,BASE!$B:$B,$B795,BASE!$L:$L,$G795,BASE!$J:$J,$C795,BASE!$A:$A,O$2)</f>
        <v>26</v>
      </c>
      <c r="P795" s="12">
        <f>SUMIFS(BASE!$G:$G,BASE!$B:$B,$B795,BASE!$L:$L,$G795,BASE!$J:$J,$C795,BASE!$A:$A,P$2)</f>
        <v>25</v>
      </c>
      <c r="Q795" s="12">
        <f>SUMIFS(BASE!$G:$G,BASE!$B:$B,$B795,BASE!$L:$L,$G795,BASE!$J:$J,$C795,BASE!$A:$A,Q$2)</f>
        <v>46</v>
      </c>
      <c r="R795" s="12">
        <f>SUMIFS(BASE!$G:$G,BASE!$B:$B,$B795,BASE!$L:$L,$G795,BASE!$J:$J,$C795,BASE!$A:$A,R$2)</f>
        <v>18</v>
      </c>
      <c r="S795" s="12">
        <f>SUMIFS(BASE!$G:$G,BASE!$B:$B,$B795,BASE!$L:$L,$G795,BASE!$J:$J,$C795,BASE!$A:$A,S$2)</f>
        <v>0</v>
      </c>
      <c r="T795" s="12">
        <f>SUMIFS(BASE!$G:$G,BASE!$B:$B,$B795,BASE!$L:$L,$G795,BASE!$J:$J,$C795,BASE!$A:$A,T$2)</f>
        <v>0</v>
      </c>
      <c r="U795" s="12">
        <f>SUMIFS(BASE!$G:$G,BASE!$B:$B,$B795,BASE!$L:$L,$G795,BASE!$J:$J,$C795,BASE!$A:$A,U$2)</f>
        <v>0</v>
      </c>
      <c r="V795" s="12">
        <f>SUMIFS(BASE!$G:$G,BASE!$B:$B,$B795,BASE!$L:$L,$G795,BASE!$J:$J,$C795,BASE!$A:$A,V$2)</f>
        <v>0</v>
      </c>
      <c r="X795" t="str">
        <f t="shared" si="25"/>
        <v>COM TROCAS</v>
      </c>
    </row>
    <row r="796" spans="2:24">
      <c r="B796" s="8" t="s">
        <v>1675</v>
      </c>
      <c r="C796" s="9" t="s">
        <v>232</v>
      </c>
      <c r="D796" s="9" t="s">
        <v>1456</v>
      </c>
      <c r="E796" s="9" t="s">
        <v>1423</v>
      </c>
      <c r="F796" s="9" t="s">
        <v>1676</v>
      </c>
      <c r="G796" s="9" t="s">
        <v>54</v>
      </c>
      <c r="H796" s="7" t="str">
        <f>IFERROR(IF(_xlfn.XLOOKUP(B796,REPASSE!D:D,REPASSE!D:D)="","Não","Sim"),"Não")</f>
        <v>Não</v>
      </c>
      <c r="I796" s="7" t="str">
        <f>IF(_xlfn.XLOOKUP(B796,'BOOST LIBERADO'!B:B,'BOOST LIBERADO'!B:B,"Não")="Não","Não","Sim")</f>
        <v>Sim</v>
      </c>
      <c r="J796" s="83" t="str">
        <f t="shared" si="24"/>
        <v>Sim</v>
      </c>
      <c r="K796" s="12">
        <f>SUMIFS(BASE!$G:$G,BASE!$B:$B,$B796,BASE!$L:$L,$G796,BASE!$J:$J,$C796,BASE!$A:$A,K$2)</f>
        <v>43</v>
      </c>
      <c r="L796" s="12">
        <f>SUMIFS(BASE!$G:$G,BASE!$B:$B,$B796,BASE!$L:$L,$G796,BASE!$J:$J,$C796,BASE!$A:$A,L$2)</f>
        <v>46</v>
      </c>
      <c r="M796" s="12">
        <f>SUMIFS(BASE!$G:$G,BASE!$B:$B,$B796,BASE!$L:$L,$G796,BASE!$J:$J,$C796,BASE!$A:$A,M$2)</f>
        <v>64</v>
      </c>
      <c r="N796" s="12">
        <f>SUMIFS(BASE!$G:$G,BASE!$B:$B,$B796,BASE!$L:$L,$G796,BASE!$J:$J,$C796,BASE!$A:$A,N$2)</f>
        <v>41</v>
      </c>
      <c r="O796" s="12">
        <f>SUMIFS(BASE!$G:$G,BASE!$B:$B,$B796,BASE!$L:$L,$G796,BASE!$J:$J,$C796,BASE!$A:$A,O$2)</f>
        <v>54</v>
      </c>
      <c r="P796" s="12">
        <f>SUMIFS(BASE!$G:$G,BASE!$B:$B,$B796,BASE!$L:$L,$G796,BASE!$J:$J,$C796,BASE!$A:$A,P$2)</f>
        <v>40</v>
      </c>
      <c r="Q796" s="12">
        <f>SUMIFS(BASE!$G:$G,BASE!$B:$B,$B796,BASE!$L:$L,$G796,BASE!$J:$J,$C796,BASE!$A:$A,Q$2)</f>
        <v>39</v>
      </c>
      <c r="R796" s="12">
        <f>SUMIFS(BASE!$G:$G,BASE!$B:$B,$B796,BASE!$L:$L,$G796,BASE!$J:$J,$C796,BASE!$A:$A,R$2)</f>
        <v>30</v>
      </c>
      <c r="S796" s="12">
        <f>SUMIFS(BASE!$G:$G,BASE!$B:$B,$B796,BASE!$L:$L,$G796,BASE!$J:$J,$C796,BASE!$A:$A,S$2)</f>
        <v>0</v>
      </c>
      <c r="T796" s="12">
        <f>SUMIFS(BASE!$G:$G,BASE!$B:$B,$B796,BASE!$L:$L,$G796,BASE!$J:$J,$C796,BASE!$A:$A,T$2)</f>
        <v>0</v>
      </c>
      <c r="U796" s="12">
        <f>SUMIFS(BASE!$G:$G,BASE!$B:$B,$B796,BASE!$L:$L,$G796,BASE!$J:$J,$C796,BASE!$A:$A,U$2)</f>
        <v>0</v>
      </c>
      <c r="V796" s="12">
        <f>SUMIFS(BASE!$G:$G,BASE!$B:$B,$B796,BASE!$L:$L,$G796,BASE!$J:$J,$C796,BASE!$A:$A,V$2)</f>
        <v>0</v>
      </c>
      <c r="X796" t="str">
        <f t="shared" si="25"/>
        <v>COM TROCAS</v>
      </c>
    </row>
    <row r="797" spans="2:24">
      <c r="B797" s="8" t="s">
        <v>1677</v>
      </c>
      <c r="C797" s="9" t="s">
        <v>106</v>
      </c>
      <c r="D797" s="9" t="s">
        <v>1514</v>
      </c>
      <c r="E797" s="9" t="s">
        <v>1438</v>
      </c>
      <c r="F797" s="9" t="s">
        <v>1678</v>
      </c>
      <c r="G797" s="9" t="s">
        <v>54</v>
      </c>
      <c r="H797" s="7" t="str">
        <f>IFERROR(IF(_xlfn.XLOOKUP(B797,REPASSE!D:D,REPASSE!D:D)="","Não","Sim"),"Não")</f>
        <v>Não</v>
      </c>
      <c r="I797" s="7" t="str">
        <f>IF(_xlfn.XLOOKUP(B797,'BOOST LIBERADO'!B:B,'BOOST LIBERADO'!B:B,"Não")="Não","Não","Sim")</f>
        <v>Sim</v>
      </c>
      <c r="J797" s="83" t="str">
        <f t="shared" si="24"/>
        <v>Sim</v>
      </c>
      <c r="K797" s="12">
        <f>SUMIFS(BASE!$G:$G,BASE!$B:$B,$B797,BASE!$L:$L,$G797,BASE!$J:$J,$C797,BASE!$A:$A,K$2)</f>
        <v>0</v>
      </c>
      <c r="L797" s="12">
        <f>SUMIFS(BASE!$G:$G,BASE!$B:$B,$B797,BASE!$L:$L,$G797,BASE!$J:$J,$C797,BASE!$A:$A,L$2)</f>
        <v>0</v>
      </c>
      <c r="M797" s="12">
        <f>SUMIFS(BASE!$G:$G,BASE!$B:$B,$B797,BASE!$L:$L,$G797,BASE!$J:$J,$C797,BASE!$A:$A,M$2)</f>
        <v>0</v>
      </c>
      <c r="N797" s="12">
        <f>SUMIFS(BASE!$G:$G,BASE!$B:$B,$B797,BASE!$L:$L,$G797,BASE!$J:$J,$C797,BASE!$A:$A,N$2)</f>
        <v>0</v>
      </c>
      <c r="O797" s="12">
        <f>SUMIFS(BASE!$G:$G,BASE!$B:$B,$B797,BASE!$L:$L,$G797,BASE!$J:$J,$C797,BASE!$A:$A,O$2)</f>
        <v>0</v>
      </c>
      <c r="P797" s="12">
        <f>SUMIFS(BASE!$G:$G,BASE!$B:$B,$B797,BASE!$L:$L,$G797,BASE!$J:$J,$C797,BASE!$A:$A,P$2)</f>
        <v>0</v>
      </c>
      <c r="Q797" s="12">
        <f>SUMIFS(BASE!$G:$G,BASE!$B:$B,$B797,BASE!$L:$L,$G797,BASE!$J:$J,$C797,BASE!$A:$A,Q$2)</f>
        <v>0</v>
      </c>
      <c r="R797" s="12">
        <f>SUMIFS(BASE!$G:$G,BASE!$B:$B,$B797,BASE!$L:$L,$G797,BASE!$J:$J,$C797,BASE!$A:$A,R$2)</f>
        <v>0</v>
      </c>
      <c r="S797" s="12">
        <f>SUMIFS(BASE!$G:$G,BASE!$B:$B,$B797,BASE!$L:$L,$G797,BASE!$J:$J,$C797,BASE!$A:$A,S$2)</f>
        <v>0</v>
      </c>
      <c r="T797" s="12">
        <f>SUMIFS(BASE!$G:$G,BASE!$B:$B,$B797,BASE!$L:$L,$G797,BASE!$J:$J,$C797,BASE!$A:$A,T$2)</f>
        <v>0</v>
      </c>
      <c r="U797" s="12">
        <f>SUMIFS(BASE!$G:$G,BASE!$B:$B,$B797,BASE!$L:$L,$G797,BASE!$J:$J,$C797,BASE!$A:$A,U$2)</f>
        <v>0</v>
      </c>
      <c r="V797" s="12">
        <f>SUMIFS(BASE!$G:$G,BASE!$B:$B,$B797,BASE!$L:$L,$G797,BASE!$J:$J,$C797,BASE!$A:$A,V$2)</f>
        <v>0</v>
      </c>
      <c r="X797" t="str">
        <f t="shared" si="25"/>
        <v>ZERADO</v>
      </c>
    </row>
    <row r="798" spans="2:24">
      <c r="B798" s="8" t="s">
        <v>1679</v>
      </c>
      <c r="C798" s="9" t="s">
        <v>232</v>
      </c>
      <c r="D798" s="9" t="s">
        <v>1411</v>
      </c>
      <c r="E798" s="9" t="s">
        <v>1412</v>
      </c>
      <c r="F798" s="9" t="s">
        <v>1451</v>
      </c>
      <c r="G798" s="9" t="s">
        <v>54</v>
      </c>
      <c r="H798" s="7" t="str">
        <f>IFERROR(IF(_xlfn.XLOOKUP(B798,REPASSE!D:D,REPASSE!D:D)="","Não","Sim"),"Não")</f>
        <v>Não</v>
      </c>
      <c r="I798" s="7" t="str">
        <f>IF(_xlfn.XLOOKUP(B798,'BOOST LIBERADO'!B:B,'BOOST LIBERADO'!B:B,"Não")="Não","Não","Sim")</f>
        <v>Sim</v>
      </c>
      <c r="J798" s="83" t="str">
        <f t="shared" si="24"/>
        <v>Sim</v>
      </c>
      <c r="K798" s="12">
        <f>SUMIFS(BASE!$G:$G,BASE!$B:$B,$B798,BASE!$L:$L,$G798,BASE!$J:$J,$C798,BASE!$A:$A,K$2)</f>
        <v>8</v>
      </c>
      <c r="L798" s="12">
        <f>SUMIFS(BASE!$G:$G,BASE!$B:$B,$B798,BASE!$L:$L,$G798,BASE!$J:$J,$C798,BASE!$A:$A,L$2)</f>
        <v>2</v>
      </c>
      <c r="M798" s="12">
        <f>SUMIFS(BASE!$G:$G,BASE!$B:$B,$B798,BASE!$L:$L,$G798,BASE!$J:$J,$C798,BASE!$A:$A,M$2)</f>
        <v>3</v>
      </c>
      <c r="N798" s="12">
        <f>SUMIFS(BASE!$G:$G,BASE!$B:$B,$B798,BASE!$L:$L,$G798,BASE!$J:$J,$C798,BASE!$A:$A,N$2)</f>
        <v>1</v>
      </c>
      <c r="O798" s="12">
        <f>SUMIFS(BASE!$G:$G,BASE!$B:$B,$B798,BASE!$L:$L,$G798,BASE!$J:$J,$C798,BASE!$A:$A,O$2)</f>
        <v>1</v>
      </c>
      <c r="P798" s="12">
        <f>SUMIFS(BASE!$G:$G,BASE!$B:$B,$B798,BASE!$L:$L,$G798,BASE!$J:$J,$C798,BASE!$A:$A,P$2)</f>
        <v>2</v>
      </c>
      <c r="Q798" s="12">
        <f>SUMIFS(BASE!$G:$G,BASE!$B:$B,$B798,BASE!$L:$L,$G798,BASE!$J:$J,$C798,BASE!$A:$A,Q$2)</f>
        <v>9</v>
      </c>
      <c r="R798" s="12">
        <f>SUMIFS(BASE!$G:$G,BASE!$B:$B,$B798,BASE!$L:$L,$G798,BASE!$J:$J,$C798,BASE!$A:$A,R$2)</f>
        <v>10</v>
      </c>
      <c r="S798" s="12">
        <f>SUMIFS(BASE!$G:$G,BASE!$B:$B,$B798,BASE!$L:$L,$G798,BASE!$J:$J,$C798,BASE!$A:$A,S$2)</f>
        <v>0</v>
      </c>
      <c r="T798" s="12">
        <f>SUMIFS(BASE!$G:$G,BASE!$B:$B,$B798,BASE!$L:$L,$G798,BASE!$J:$J,$C798,BASE!$A:$A,T$2)</f>
        <v>0</v>
      </c>
      <c r="U798" s="12">
        <f>SUMIFS(BASE!$G:$G,BASE!$B:$B,$B798,BASE!$L:$L,$G798,BASE!$J:$J,$C798,BASE!$A:$A,U$2)</f>
        <v>0</v>
      </c>
      <c r="V798" s="12">
        <f>SUMIFS(BASE!$G:$G,BASE!$B:$B,$B798,BASE!$L:$L,$G798,BASE!$J:$J,$C798,BASE!$A:$A,V$2)</f>
        <v>0</v>
      </c>
      <c r="X798" t="str">
        <f t="shared" si="25"/>
        <v>COM TROCAS</v>
      </c>
    </row>
    <row r="799" spans="2:24">
      <c r="B799" s="8" t="s">
        <v>1680</v>
      </c>
      <c r="C799" s="9" t="s">
        <v>232</v>
      </c>
      <c r="D799" s="9" t="s">
        <v>1456</v>
      </c>
      <c r="E799" s="9" t="s">
        <v>1423</v>
      </c>
      <c r="F799" s="9" t="s">
        <v>1676</v>
      </c>
      <c r="G799" s="9" t="s">
        <v>54</v>
      </c>
      <c r="H799" s="7" t="str">
        <f>IFERROR(IF(_xlfn.XLOOKUP(B799,REPASSE!D:D,REPASSE!D:D)="","Não","Sim"),"Não")</f>
        <v>Não</v>
      </c>
      <c r="I799" s="7" t="str">
        <f>IF(_xlfn.XLOOKUP(B799,'BOOST LIBERADO'!B:B,'BOOST LIBERADO'!B:B,"Não")="Não","Não","Sim")</f>
        <v>Sim</v>
      </c>
      <c r="J799" s="83" t="str">
        <f t="shared" si="24"/>
        <v>Sim</v>
      </c>
      <c r="K799" s="12">
        <f>SUMIFS(BASE!$G:$G,BASE!$B:$B,$B799,BASE!$L:$L,$G799,BASE!$J:$J,$C799,BASE!$A:$A,K$2)</f>
        <v>17</v>
      </c>
      <c r="L799" s="12">
        <f>SUMIFS(BASE!$G:$G,BASE!$B:$B,$B799,BASE!$L:$L,$G799,BASE!$J:$J,$C799,BASE!$A:$A,L$2)</f>
        <v>20</v>
      </c>
      <c r="M799" s="12">
        <f>SUMIFS(BASE!$G:$G,BASE!$B:$B,$B799,BASE!$L:$L,$G799,BASE!$J:$J,$C799,BASE!$A:$A,M$2)</f>
        <v>17</v>
      </c>
      <c r="N799" s="12">
        <f>SUMIFS(BASE!$G:$G,BASE!$B:$B,$B799,BASE!$L:$L,$G799,BASE!$J:$J,$C799,BASE!$A:$A,N$2)</f>
        <v>15</v>
      </c>
      <c r="O799" s="12">
        <f>SUMIFS(BASE!$G:$G,BASE!$B:$B,$B799,BASE!$L:$L,$G799,BASE!$J:$J,$C799,BASE!$A:$A,O$2)</f>
        <v>24</v>
      </c>
      <c r="P799" s="12">
        <f>SUMIFS(BASE!$G:$G,BASE!$B:$B,$B799,BASE!$L:$L,$G799,BASE!$J:$J,$C799,BASE!$A:$A,P$2)</f>
        <v>27</v>
      </c>
      <c r="Q799" s="12">
        <f>SUMIFS(BASE!$G:$G,BASE!$B:$B,$B799,BASE!$L:$L,$G799,BASE!$J:$J,$C799,BASE!$A:$A,Q$2)</f>
        <v>24</v>
      </c>
      <c r="R799" s="12">
        <f>SUMIFS(BASE!$G:$G,BASE!$B:$B,$B799,BASE!$L:$L,$G799,BASE!$J:$J,$C799,BASE!$A:$A,R$2)</f>
        <v>29</v>
      </c>
      <c r="S799" s="12">
        <f>SUMIFS(BASE!$G:$G,BASE!$B:$B,$B799,BASE!$L:$L,$G799,BASE!$J:$J,$C799,BASE!$A:$A,S$2)</f>
        <v>0</v>
      </c>
      <c r="T799" s="12">
        <f>SUMIFS(BASE!$G:$G,BASE!$B:$B,$B799,BASE!$L:$L,$G799,BASE!$J:$J,$C799,BASE!$A:$A,T$2)</f>
        <v>0</v>
      </c>
      <c r="U799" s="12">
        <f>SUMIFS(BASE!$G:$G,BASE!$B:$B,$B799,BASE!$L:$L,$G799,BASE!$J:$J,$C799,BASE!$A:$A,U$2)</f>
        <v>0</v>
      </c>
      <c r="V799" s="12">
        <f>SUMIFS(BASE!$G:$G,BASE!$B:$B,$B799,BASE!$L:$L,$G799,BASE!$J:$J,$C799,BASE!$A:$A,V$2)</f>
        <v>0</v>
      </c>
      <c r="X799" t="str">
        <f t="shared" si="25"/>
        <v>COM TROCAS</v>
      </c>
    </row>
    <row r="800" spans="2:24">
      <c r="B800" s="8" t="s">
        <v>1681</v>
      </c>
      <c r="C800" s="9" t="s">
        <v>232</v>
      </c>
      <c r="D800" s="9" t="s">
        <v>1509</v>
      </c>
      <c r="E800" s="9" t="s">
        <v>1423</v>
      </c>
      <c r="F800" s="9" t="s">
        <v>1527</v>
      </c>
      <c r="G800" s="9" t="s">
        <v>54</v>
      </c>
      <c r="H800" s="7" t="str">
        <f>IFERROR(IF(_xlfn.XLOOKUP(B800,REPASSE!D:D,REPASSE!D:D)="","Não","Sim"),"Não")</f>
        <v>Não</v>
      </c>
      <c r="I800" s="7" t="str">
        <f>IF(_xlfn.XLOOKUP(B800,'BOOST LIBERADO'!B:B,'BOOST LIBERADO'!B:B,"Não")="Não","Não","Sim")</f>
        <v>Sim</v>
      </c>
      <c r="J800" s="83" t="str">
        <f t="shared" si="24"/>
        <v>Sim</v>
      </c>
      <c r="K800" s="12">
        <f>SUMIFS(BASE!$G:$G,BASE!$B:$B,$B800,BASE!$L:$L,$G800,BASE!$J:$J,$C800,BASE!$A:$A,K$2)</f>
        <v>11</v>
      </c>
      <c r="L800" s="12">
        <f>SUMIFS(BASE!$G:$G,BASE!$B:$B,$B800,BASE!$L:$L,$G800,BASE!$J:$J,$C800,BASE!$A:$A,L$2)</f>
        <v>7</v>
      </c>
      <c r="M800" s="12">
        <f>SUMIFS(BASE!$G:$G,BASE!$B:$B,$B800,BASE!$L:$L,$G800,BASE!$J:$J,$C800,BASE!$A:$A,M$2)</f>
        <v>8</v>
      </c>
      <c r="N800" s="12">
        <f>SUMIFS(BASE!$G:$G,BASE!$B:$B,$B800,BASE!$L:$L,$G800,BASE!$J:$J,$C800,BASE!$A:$A,N$2)</f>
        <v>8</v>
      </c>
      <c r="O800" s="12">
        <f>SUMIFS(BASE!$G:$G,BASE!$B:$B,$B800,BASE!$L:$L,$G800,BASE!$J:$J,$C800,BASE!$A:$A,O$2)</f>
        <v>11</v>
      </c>
      <c r="P800" s="12">
        <f>SUMIFS(BASE!$G:$G,BASE!$B:$B,$B800,BASE!$L:$L,$G800,BASE!$J:$J,$C800,BASE!$A:$A,P$2)</f>
        <v>10</v>
      </c>
      <c r="Q800" s="12">
        <f>SUMIFS(BASE!$G:$G,BASE!$B:$B,$B800,BASE!$L:$L,$G800,BASE!$J:$J,$C800,BASE!$A:$A,Q$2)</f>
        <v>12</v>
      </c>
      <c r="R800" s="12">
        <f>SUMIFS(BASE!$G:$G,BASE!$B:$B,$B800,BASE!$L:$L,$G800,BASE!$J:$J,$C800,BASE!$A:$A,R$2)</f>
        <v>13</v>
      </c>
      <c r="S800" s="12">
        <f>SUMIFS(BASE!$G:$G,BASE!$B:$B,$B800,BASE!$L:$L,$G800,BASE!$J:$J,$C800,BASE!$A:$A,S$2)</f>
        <v>0</v>
      </c>
      <c r="T800" s="12">
        <f>SUMIFS(BASE!$G:$G,BASE!$B:$B,$B800,BASE!$L:$L,$G800,BASE!$J:$J,$C800,BASE!$A:$A,T$2)</f>
        <v>0</v>
      </c>
      <c r="U800" s="12">
        <f>SUMIFS(BASE!$G:$G,BASE!$B:$B,$B800,BASE!$L:$L,$G800,BASE!$J:$J,$C800,BASE!$A:$A,U$2)</f>
        <v>0</v>
      </c>
      <c r="V800" s="12">
        <f>SUMIFS(BASE!$G:$G,BASE!$B:$B,$B800,BASE!$L:$L,$G800,BASE!$J:$J,$C800,BASE!$A:$A,V$2)</f>
        <v>0</v>
      </c>
      <c r="X800" t="str">
        <f t="shared" si="25"/>
        <v>COM TROCAS</v>
      </c>
    </row>
    <row r="801" spans="2:24">
      <c r="B801" s="8" t="s">
        <v>1682</v>
      </c>
      <c r="C801" s="9" t="s">
        <v>232</v>
      </c>
      <c r="D801" s="9" t="s">
        <v>1565</v>
      </c>
      <c r="E801" s="9" t="s">
        <v>1438</v>
      </c>
      <c r="F801" s="9" t="s">
        <v>1566</v>
      </c>
      <c r="G801" s="9" t="s">
        <v>54</v>
      </c>
      <c r="H801" s="7" t="str">
        <f>IFERROR(IF(_xlfn.XLOOKUP(B801,REPASSE!D:D,REPASSE!D:D)="","Não","Sim"),"Não")</f>
        <v>Não</v>
      </c>
      <c r="I801" s="7" t="str">
        <f>IF(_xlfn.XLOOKUP(B801,'BOOST LIBERADO'!B:B,'BOOST LIBERADO'!B:B,"Não")="Não","Não","Sim")</f>
        <v>Sim</v>
      </c>
      <c r="J801" s="83" t="str">
        <f t="shared" si="24"/>
        <v>Sim</v>
      </c>
      <c r="K801" s="12">
        <f>SUMIFS(BASE!$G:$G,BASE!$B:$B,$B801,BASE!$L:$L,$G801,BASE!$J:$J,$C801,BASE!$A:$A,K$2)</f>
        <v>27</v>
      </c>
      <c r="L801" s="12">
        <f>SUMIFS(BASE!$G:$G,BASE!$B:$B,$B801,BASE!$L:$L,$G801,BASE!$J:$J,$C801,BASE!$A:$A,L$2)</f>
        <v>26</v>
      </c>
      <c r="M801" s="12">
        <f>SUMIFS(BASE!$G:$G,BASE!$B:$B,$B801,BASE!$L:$L,$G801,BASE!$J:$J,$C801,BASE!$A:$A,M$2)</f>
        <v>24</v>
      </c>
      <c r="N801" s="12">
        <f>SUMIFS(BASE!$G:$G,BASE!$B:$B,$B801,BASE!$L:$L,$G801,BASE!$J:$J,$C801,BASE!$A:$A,N$2)</f>
        <v>14</v>
      </c>
      <c r="O801" s="12">
        <f>SUMIFS(BASE!$G:$G,BASE!$B:$B,$B801,BASE!$L:$L,$G801,BASE!$J:$J,$C801,BASE!$A:$A,O$2)</f>
        <v>27</v>
      </c>
      <c r="P801" s="12">
        <f>SUMIFS(BASE!$G:$G,BASE!$B:$B,$B801,BASE!$L:$L,$G801,BASE!$J:$J,$C801,BASE!$A:$A,P$2)</f>
        <v>32</v>
      </c>
      <c r="Q801" s="12">
        <f>SUMIFS(BASE!$G:$G,BASE!$B:$B,$B801,BASE!$L:$L,$G801,BASE!$J:$J,$C801,BASE!$A:$A,Q$2)</f>
        <v>39</v>
      </c>
      <c r="R801" s="12">
        <f>SUMIFS(BASE!$G:$G,BASE!$B:$B,$B801,BASE!$L:$L,$G801,BASE!$J:$J,$C801,BASE!$A:$A,R$2)</f>
        <v>21</v>
      </c>
      <c r="S801" s="12">
        <f>SUMIFS(BASE!$G:$G,BASE!$B:$B,$B801,BASE!$L:$L,$G801,BASE!$J:$J,$C801,BASE!$A:$A,S$2)</f>
        <v>0</v>
      </c>
      <c r="T801" s="12">
        <f>SUMIFS(BASE!$G:$G,BASE!$B:$B,$B801,BASE!$L:$L,$G801,BASE!$J:$J,$C801,BASE!$A:$A,T$2)</f>
        <v>0</v>
      </c>
      <c r="U801" s="12">
        <f>SUMIFS(BASE!$G:$G,BASE!$B:$B,$B801,BASE!$L:$L,$G801,BASE!$J:$J,$C801,BASE!$A:$A,U$2)</f>
        <v>0</v>
      </c>
      <c r="V801" s="12">
        <f>SUMIFS(BASE!$G:$G,BASE!$B:$B,$B801,BASE!$L:$L,$G801,BASE!$J:$J,$C801,BASE!$A:$A,V$2)</f>
        <v>0</v>
      </c>
      <c r="X801" t="str">
        <f t="shared" si="25"/>
        <v>COM TROCAS</v>
      </c>
    </row>
    <row r="802" spans="2:24">
      <c r="B802" s="8" t="s">
        <v>1683</v>
      </c>
      <c r="C802" s="9" t="s">
        <v>232</v>
      </c>
      <c r="D802" s="9" t="s">
        <v>1488</v>
      </c>
      <c r="E802" s="9" t="s">
        <v>1438</v>
      </c>
      <c r="F802" s="9" t="s">
        <v>1684</v>
      </c>
      <c r="G802" s="9" t="s">
        <v>54</v>
      </c>
      <c r="H802" s="7" t="str">
        <f>IFERROR(IF(_xlfn.XLOOKUP(B802,REPASSE!D:D,REPASSE!D:D)="","Não","Sim"),"Não")</f>
        <v>Não</v>
      </c>
      <c r="I802" s="7" t="str">
        <f>IF(_xlfn.XLOOKUP(B802,'BOOST LIBERADO'!B:B,'BOOST LIBERADO'!B:B,"Não")="Não","Não","Sim")</f>
        <v>Sim</v>
      </c>
      <c r="J802" s="83" t="str">
        <f t="shared" si="24"/>
        <v>Sim</v>
      </c>
      <c r="K802" s="12">
        <f>SUMIFS(BASE!$G:$G,BASE!$B:$B,$B802,BASE!$L:$L,$G802,BASE!$J:$J,$C802,BASE!$A:$A,K$2)</f>
        <v>3</v>
      </c>
      <c r="L802" s="12">
        <f>SUMIFS(BASE!$G:$G,BASE!$B:$B,$B802,BASE!$L:$L,$G802,BASE!$J:$J,$C802,BASE!$A:$A,L$2)</f>
        <v>4</v>
      </c>
      <c r="M802" s="12">
        <f>SUMIFS(BASE!$G:$G,BASE!$B:$B,$B802,BASE!$L:$L,$G802,BASE!$J:$J,$C802,BASE!$A:$A,M$2)</f>
        <v>9</v>
      </c>
      <c r="N802" s="12">
        <f>SUMIFS(BASE!$G:$G,BASE!$B:$B,$B802,BASE!$L:$L,$G802,BASE!$J:$J,$C802,BASE!$A:$A,N$2)</f>
        <v>7</v>
      </c>
      <c r="O802" s="12">
        <f>SUMIFS(BASE!$G:$G,BASE!$B:$B,$B802,BASE!$L:$L,$G802,BASE!$J:$J,$C802,BASE!$A:$A,O$2)</f>
        <v>6</v>
      </c>
      <c r="P802" s="12">
        <f>SUMIFS(BASE!$G:$G,BASE!$B:$B,$B802,BASE!$L:$L,$G802,BASE!$J:$J,$C802,BASE!$A:$A,P$2)</f>
        <v>5</v>
      </c>
      <c r="Q802" s="12">
        <f>SUMIFS(BASE!$G:$G,BASE!$B:$B,$B802,BASE!$L:$L,$G802,BASE!$J:$J,$C802,BASE!$A:$A,Q$2)</f>
        <v>5</v>
      </c>
      <c r="R802" s="12">
        <f>SUMIFS(BASE!$G:$G,BASE!$B:$B,$B802,BASE!$L:$L,$G802,BASE!$J:$J,$C802,BASE!$A:$A,R$2)</f>
        <v>3</v>
      </c>
      <c r="S802" s="12">
        <f>SUMIFS(BASE!$G:$G,BASE!$B:$B,$B802,BASE!$L:$L,$G802,BASE!$J:$J,$C802,BASE!$A:$A,S$2)</f>
        <v>0</v>
      </c>
      <c r="T802" s="12">
        <f>SUMIFS(BASE!$G:$G,BASE!$B:$B,$B802,BASE!$L:$L,$G802,BASE!$J:$J,$C802,BASE!$A:$A,T$2)</f>
        <v>0</v>
      </c>
      <c r="U802" s="12">
        <f>SUMIFS(BASE!$G:$G,BASE!$B:$B,$B802,BASE!$L:$L,$G802,BASE!$J:$J,$C802,BASE!$A:$A,U$2)</f>
        <v>0</v>
      </c>
      <c r="V802" s="12">
        <f>SUMIFS(BASE!$G:$G,BASE!$B:$B,$B802,BASE!$L:$L,$G802,BASE!$J:$J,$C802,BASE!$A:$A,V$2)</f>
        <v>0</v>
      </c>
      <c r="X802" t="str">
        <f t="shared" si="25"/>
        <v>COM TROCAS</v>
      </c>
    </row>
    <row r="803" spans="2:24">
      <c r="B803" s="8" t="s">
        <v>1685</v>
      </c>
      <c r="C803" s="9" t="s">
        <v>232</v>
      </c>
      <c r="D803" s="9" t="s">
        <v>1502</v>
      </c>
      <c r="E803" s="9" t="s">
        <v>1423</v>
      </c>
      <c r="F803" s="9" t="s">
        <v>1686</v>
      </c>
      <c r="G803" s="9" t="s">
        <v>54</v>
      </c>
      <c r="H803" s="7" t="str">
        <f>IFERROR(IF(_xlfn.XLOOKUP(B803,REPASSE!D:D,REPASSE!D:D)="","Não","Sim"),"Não")</f>
        <v>Não</v>
      </c>
      <c r="I803" s="7" t="str">
        <f>IF(_xlfn.XLOOKUP(B803,'BOOST LIBERADO'!B:B,'BOOST LIBERADO'!B:B,"Não")="Não","Não","Sim")</f>
        <v>Sim</v>
      </c>
      <c r="J803" s="83" t="str">
        <f t="shared" si="24"/>
        <v>Sim</v>
      </c>
      <c r="K803" s="12">
        <f>SUMIFS(BASE!$G:$G,BASE!$B:$B,$B803,BASE!$L:$L,$G803,BASE!$J:$J,$C803,BASE!$A:$A,K$2)</f>
        <v>24</v>
      </c>
      <c r="L803" s="12">
        <f>SUMIFS(BASE!$G:$G,BASE!$B:$B,$B803,BASE!$L:$L,$G803,BASE!$J:$J,$C803,BASE!$A:$A,L$2)</f>
        <v>7</v>
      </c>
      <c r="M803" s="12">
        <f>SUMIFS(BASE!$G:$G,BASE!$B:$B,$B803,BASE!$L:$L,$G803,BASE!$J:$J,$C803,BASE!$A:$A,M$2)</f>
        <v>23</v>
      </c>
      <c r="N803" s="12">
        <f>SUMIFS(BASE!$G:$G,BASE!$B:$B,$B803,BASE!$L:$L,$G803,BASE!$J:$J,$C803,BASE!$A:$A,N$2)</f>
        <v>11</v>
      </c>
      <c r="O803" s="12">
        <f>SUMIFS(BASE!$G:$G,BASE!$B:$B,$B803,BASE!$L:$L,$G803,BASE!$J:$J,$C803,BASE!$A:$A,O$2)</f>
        <v>29</v>
      </c>
      <c r="P803" s="12">
        <f>SUMIFS(BASE!$G:$G,BASE!$B:$B,$B803,BASE!$L:$L,$G803,BASE!$J:$J,$C803,BASE!$A:$A,P$2)</f>
        <v>14</v>
      </c>
      <c r="Q803" s="12">
        <f>SUMIFS(BASE!$G:$G,BASE!$B:$B,$B803,BASE!$L:$L,$G803,BASE!$J:$J,$C803,BASE!$A:$A,Q$2)</f>
        <v>28</v>
      </c>
      <c r="R803" s="12">
        <f>SUMIFS(BASE!$G:$G,BASE!$B:$B,$B803,BASE!$L:$L,$G803,BASE!$J:$J,$C803,BASE!$A:$A,R$2)</f>
        <v>21</v>
      </c>
      <c r="S803" s="12">
        <f>SUMIFS(BASE!$G:$G,BASE!$B:$B,$B803,BASE!$L:$L,$G803,BASE!$J:$J,$C803,BASE!$A:$A,S$2)</f>
        <v>0</v>
      </c>
      <c r="T803" s="12">
        <f>SUMIFS(BASE!$G:$G,BASE!$B:$B,$B803,BASE!$L:$L,$G803,BASE!$J:$J,$C803,BASE!$A:$A,T$2)</f>
        <v>0</v>
      </c>
      <c r="U803" s="12">
        <f>SUMIFS(BASE!$G:$G,BASE!$B:$B,$B803,BASE!$L:$L,$G803,BASE!$J:$J,$C803,BASE!$A:$A,U$2)</f>
        <v>0</v>
      </c>
      <c r="V803" s="12">
        <f>SUMIFS(BASE!$G:$G,BASE!$B:$B,$B803,BASE!$L:$L,$G803,BASE!$J:$J,$C803,BASE!$A:$A,V$2)</f>
        <v>0</v>
      </c>
      <c r="X803" t="str">
        <f t="shared" si="25"/>
        <v>COM TROCAS</v>
      </c>
    </row>
    <row r="804" spans="2:24">
      <c r="B804" s="8" t="s">
        <v>1687</v>
      </c>
      <c r="C804" s="9" t="s">
        <v>232</v>
      </c>
      <c r="D804" s="9" t="s">
        <v>1544</v>
      </c>
      <c r="E804" s="9" t="s">
        <v>1423</v>
      </c>
      <c r="F804" s="9" t="s">
        <v>1688</v>
      </c>
      <c r="G804" s="9" t="s">
        <v>54</v>
      </c>
      <c r="H804" s="7" t="str">
        <f>IFERROR(IF(_xlfn.XLOOKUP(B804,REPASSE!D:D,REPASSE!D:D)="","Não","Sim"),"Não")</f>
        <v>Não</v>
      </c>
      <c r="I804" s="7" t="str">
        <f>IF(_xlfn.XLOOKUP(B804,'BOOST LIBERADO'!B:B,'BOOST LIBERADO'!B:B,"Não")="Não","Não","Sim")</f>
        <v>Sim</v>
      </c>
      <c r="J804" s="83" t="str">
        <f t="shared" si="24"/>
        <v>Sim</v>
      </c>
      <c r="K804" s="12">
        <f>SUMIFS(BASE!$G:$G,BASE!$B:$B,$B804,BASE!$L:$L,$G804,BASE!$J:$J,$C804,BASE!$A:$A,K$2)</f>
        <v>19</v>
      </c>
      <c r="L804" s="12">
        <f>SUMIFS(BASE!$G:$G,BASE!$B:$B,$B804,BASE!$L:$L,$G804,BASE!$J:$J,$C804,BASE!$A:$A,L$2)</f>
        <v>17</v>
      </c>
      <c r="M804" s="12">
        <f>SUMIFS(BASE!$G:$G,BASE!$B:$B,$B804,BASE!$L:$L,$G804,BASE!$J:$J,$C804,BASE!$A:$A,M$2)</f>
        <v>22</v>
      </c>
      <c r="N804" s="12">
        <f>SUMIFS(BASE!$G:$G,BASE!$B:$B,$B804,BASE!$L:$L,$G804,BASE!$J:$J,$C804,BASE!$A:$A,N$2)</f>
        <v>12</v>
      </c>
      <c r="O804" s="12">
        <f>SUMIFS(BASE!$G:$G,BASE!$B:$B,$B804,BASE!$L:$L,$G804,BASE!$J:$J,$C804,BASE!$A:$A,O$2)</f>
        <v>9</v>
      </c>
      <c r="P804" s="12">
        <f>SUMIFS(BASE!$G:$G,BASE!$B:$B,$B804,BASE!$L:$L,$G804,BASE!$J:$J,$C804,BASE!$A:$A,P$2)</f>
        <v>6</v>
      </c>
      <c r="Q804" s="12">
        <f>SUMIFS(BASE!$G:$G,BASE!$B:$B,$B804,BASE!$L:$L,$G804,BASE!$J:$J,$C804,BASE!$A:$A,Q$2)</f>
        <v>13</v>
      </c>
      <c r="R804" s="12">
        <f>SUMIFS(BASE!$G:$G,BASE!$B:$B,$B804,BASE!$L:$L,$G804,BASE!$J:$J,$C804,BASE!$A:$A,R$2)</f>
        <v>11</v>
      </c>
      <c r="S804" s="12">
        <f>SUMIFS(BASE!$G:$G,BASE!$B:$B,$B804,BASE!$L:$L,$G804,BASE!$J:$J,$C804,BASE!$A:$A,S$2)</f>
        <v>0</v>
      </c>
      <c r="T804" s="12">
        <f>SUMIFS(BASE!$G:$G,BASE!$B:$B,$B804,BASE!$L:$L,$G804,BASE!$J:$J,$C804,BASE!$A:$A,T$2)</f>
        <v>0</v>
      </c>
      <c r="U804" s="12">
        <f>SUMIFS(BASE!$G:$G,BASE!$B:$B,$B804,BASE!$L:$L,$G804,BASE!$J:$J,$C804,BASE!$A:$A,U$2)</f>
        <v>0</v>
      </c>
      <c r="V804" s="12">
        <f>SUMIFS(BASE!$G:$G,BASE!$B:$B,$B804,BASE!$L:$L,$G804,BASE!$J:$J,$C804,BASE!$A:$A,V$2)</f>
        <v>0</v>
      </c>
      <c r="X804" t="str">
        <f t="shared" si="25"/>
        <v>COM TROCAS</v>
      </c>
    </row>
    <row r="805" spans="2:24">
      <c r="B805" s="8" t="s">
        <v>1689</v>
      </c>
      <c r="C805" s="9" t="s">
        <v>232</v>
      </c>
      <c r="D805" s="9" t="s">
        <v>1544</v>
      </c>
      <c r="E805" s="9" t="s">
        <v>1423</v>
      </c>
      <c r="F805" s="9" t="s">
        <v>1527</v>
      </c>
      <c r="G805" s="9" t="s">
        <v>54</v>
      </c>
      <c r="H805" s="7" t="str">
        <f>IFERROR(IF(_xlfn.XLOOKUP(B805,REPASSE!D:D,REPASSE!D:D)="","Não","Sim"),"Não")</f>
        <v>Não</v>
      </c>
      <c r="I805" s="7" t="str">
        <f>IF(_xlfn.XLOOKUP(B805,'BOOST LIBERADO'!B:B,'BOOST LIBERADO'!B:B,"Não")="Não","Não","Sim")</f>
        <v>Sim</v>
      </c>
      <c r="J805" s="83" t="str">
        <f t="shared" si="24"/>
        <v>Sim</v>
      </c>
      <c r="K805" s="12">
        <f>SUMIFS(BASE!$G:$G,BASE!$B:$B,$B805,BASE!$L:$L,$G805,BASE!$J:$J,$C805,BASE!$A:$A,K$2)</f>
        <v>33</v>
      </c>
      <c r="L805" s="12">
        <f>SUMIFS(BASE!$G:$G,BASE!$B:$B,$B805,BASE!$L:$L,$G805,BASE!$J:$J,$C805,BASE!$A:$A,L$2)</f>
        <v>31</v>
      </c>
      <c r="M805" s="12">
        <f>SUMIFS(BASE!$G:$G,BASE!$B:$B,$B805,BASE!$L:$L,$G805,BASE!$J:$J,$C805,BASE!$A:$A,M$2)</f>
        <v>44</v>
      </c>
      <c r="N805" s="12">
        <f>SUMIFS(BASE!$G:$G,BASE!$B:$B,$B805,BASE!$L:$L,$G805,BASE!$J:$J,$C805,BASE!$A:$A,N$2)</f>
        <v>27</v>
      </c>
      <c r="O805" s="12">
        <f>SUMIFS(BASE!$G:$G,BASE!$B:$B,$B805,BASE!$L:$L,$G805,BASE!$J:$J,$C805,BASE!$A:$A,O$2)</f>
        <v>43</v>
      </c>
      <c r="P805" s="12">
        <f>SUMIFS(BASE!$G:$G,BASE!$B:$B,$B805,BASE!$L:$L,$G805,BASE!$J:$J,$C805,BASE!$A:$A,P$2)</f>
        <v>31</v>
      </c>
      <c r="Q805" s="12">
        <f>SUMIFS(BASE!$G:$G,BASE!$B:$B,$B805,BASE!$L:$L,$G805,BASE!$J:$J,$C805,BASE!$A:$A,Q$2)</f>
        <v>45</v>
      </c>
      <c r="R805" s="12">
        <f>SUMIFS(BASE!$G:$G,BASE!$B:$B,$B805,BASE!$L:$L,$G805,BASE!$J:$J,$C805,BASE!$A:$A,R$2)</f>
        <v>36</v>
      </c>
      <c r="S805" s="12">
        <f>SUMIFS(BASE!$G:$G,BASE!$B:$B,$B805,BASE!$L:$L,$G805,BASE!$J:$J,$C805,BASE!$A:$A,S$2)</f>
        <v>0</v>
      </c>
      <c r="T805" s="12">
        <f>SUMIFS(BASE!$G:$G,BASE!$B:$B,$B805,BASE!$L:$L,$G805,BASE!$J:$J,$C805,BASE!$A:$A,T$2)</f>
        <v>0</v>
      </c>
      <c r="U805" s="12">
        <f>SUMIFS(BASE!$G:$G,BASE!$B:$B,$B805,BASE!$L:$L,$G805,BASE!$J:$J,$C805,BASE!$A:$A,U$2)</f>
        <v>0</v>
      </c>
      <c r="V805" s="12">
        <f>SUMIFS(BASE!$G:$G,BASE!$B:$B,$B805,BASE!$L:$L,$G805,BASE!$J:$J,$C805,BASE!$A:$A,V$2)</f>
        <v>0</v>
      </c>
      <c r="X805" t="str">
        <f t="shared" si="25"/>
        <v>COM TROCAS</v>
      </c>
    </row>
    <row r="806" spans="2:24">
      <c r="B806" s="8" t="s">
        <v>1690</v>
      </c>
      <c r="C806" s="9" t="s">
        <v>232</v>
      </c>
      <c r="D806" s="9" t="s">
        <v>1502</v>
      </c>
      <c r="E806" s="9" t="s">
        <v>1423</v>
      </c>
      <c r="F806" s="9" t="s">
        <v>1503</v>
      </c>
      <c r="G806" s="9" t="s">
        <v>54</v>
      </c>
      <c r="H806" s="7" t="str">
        <f>IFERROR(IF(_xlfn.XLOOKUP(B806,REPASSE!D:D,REPASSE!D:D)="","Não","Sim"),"Não")</f>
        <v>Não</v>
      </c>
      <c r="I806" s="7" t="str">
        <f>IF(_xlfn.XLOOKUP(B806,'BOOST LIBERADO'!B:B,'BOOST LIBERADO'!B:B,"Não")="Não","Não","Sim")</f>
        <v>Sim</v>
      </c>
      <c r="J806" s="83" t="str">
        <f t="shared" si="24"/>
        <v>Sim</v>
      </c>
      <c r="K806" s="12">
        <f>SUMIFS(BASE!$G:$G,BASE!$B:$B,$B806,BASE!$L:$L,$G806,BASE!$J:$J,$C806,BASE!$A:$A,K$2)</f>
        <v>13</v>
      </c>
      <c r="L806" s="12">
        <f>SUMIFS(BASE!$G:$G,BASE!$B:$B,$B806,BASE!$L:$L,$G806,BASE!$J:$J,$C806,BASE!$A:$A,L$2)</f>
        <v>8</v>
      </c>
      <c r="M806" s="12">
        <f>SUMIFS(BASE!$G:$G,BASE!$B:$B,$B806,BASE!$L:$L,$G806,BASE!$J:$J,$C806,BASE!$A:$A,M$2)</f>
        <v>28</v>
      </c>
      <c r="N806" s="12">
        <f>SUMIFS(BASE!$G:$G,BASE!$B:$B,$B806,BASE!$L:$L,$G806,BASE!$J:$J,$C806,BASE!$A:$A,N$2)</f>
        <v>10</v>
      </c>
      <c r="O806" s="12">
        <f>SUMIFS(BASE!$G:$G,BASE!$B:$B,$B806,BASE!$L:$L,$G806,BASE!$J:$J,$C806,BASE!$A:$A,O$2)</f>
        <v>24</v>
      </c>
      <c r="P806" s="12">
        <f>SUMIFS(BASE!$G:$G,BASE!$B:$B,$B806,BASE!$L:$L,$G806,BASE!$J:$J,$C806,BASE!$A:$A,P$2)</f>
        <v>18</v>
      </c>
      <c r="Q806" s="12">
        <f>SUMIFS(BASE!$G:$G,BASE!$B:$B,$B806,BASE!$L:$L,$G806,BASE!$J:$J,$C806,BASE!$A:$A,Q$2)</f>
        <v>24</v>
      </c>
      <c r="R806" s="12">
        <f>SUMIFS(BASE!$G:$G,BASE!$B:$B,$B806,BASE!$L:$L,$G806,BASE!$J:$J,$C806,BASE!$A:$A,R$2)</f>
        <v>12</v>
      </c>
      <c r="S806" s="12">
        <f>SUMIFS(BASE!$G:$G,BASE!$B:$B,$B806,BASE!$L:$L,$G806,BASE!$J:$J,$C806,BASE!$A:$A,S$2)</f>
        <v>0</v>
      </c>
      <c r="T806" s="12">
        <f>SUMIFS(BASE!$G:$G,BASE!$B:$B,$B806,BASE!$L:$L,$G806,BASE!$J:$J,$C806,BASE!$A:$A,T$2)</f>
        <v>0</v>
      </c>
      <c r="U806" s="12">
        <f>SUMIFS(BASE!$G:$G,BASE!$B:$B,$B806,BASE!$L:$L,$G806,BASE!$J:$J,$C806,BASE!$A:$A,U$2)</f>
        <v>0</v>
      </c>
      <c r="V806" s="12">
        <f>SUMIFS(BASE!$G:$G,BASE!$B:$B,$B806,BASE!$L:$L,$G806,BASE!$J:$J,$C806,BASE!$A:$A,V$2)</f>
        <v>0</v>
      </c>
      <c r="X806" t="str">
        <f t="shared" si="25"/>
        <v>COM TROCAS</v>
      </c>
    </row>
    <row r="807" spans="2:24">
      <c r="B807" s="8" t="s">
        <v>1691</v>
      </c>
      <c r="C807" s="9" t="s">
        <v>232</v>
      </c>
      <c r="D807" s="9" t="s">
        <v>1502</v>
      </c>
      <c r="E807" s="9" t="s">
        <v>1423</v>
      </c>
      <c r="F807" s="9" t="s">
        <v>1503</v>
      </c>
      <c r="G807" s="9" t="s">
        <v>54</v>
      </c>
      <c r="H807" s="7" t="str">
        <f>IFERROR(IF(_xlfn.XLOOKUP(B807,REPASSE!D:D,REPASSE!D:D)="","Não","Sim"),"Não")</f>
        <v>Não</v>
      </c>
      <c r="I807" s="7" t="str">
        <f>IF(_xlfn.XLOOKUP(B807,'BOOST LIBERADO'!B:B,'BOOST LIBERADO'!B:B,"Não")="Não","Não","Sim")</f>
        <v>Sim</v>
      </c>
      <c r="J807" s="83" t="str">
        <f t="shared" si="24"/>
        <v>Sim</v>
      </c>
      <c r="K807" s="12">
        <f>SUMIFS(BASE!$G:$G,BASE!$B:$B,$B807,BASE!$L:$L,$G807,BASE!$J:$J,$C807,BASE!$A:$A,K$2)</f>
        <v>9</v>
      </c>
      <c r="L807" s="12">
        <f>SUMIFS(BASE!$G:$G,BASE!$B:$B,$B807,BASE!$L:$L,$G807,BASE!$J:$J,$C807,BASE!$A:$A,L$2)</f>
        <v>5</v>
      </c>
      <c r="M807" s="12">
        <f>SUMIFS(BASE!$G:$G,BASE!$B:$B,$B807,BASE!$L:$L,$G807,BASE!$J:$J,$C807,BASE!$A:$A,M$2)</f>
        <v>13</v>
      </c>
      <c r="N807" s="12">
        <f>SUMIFS(BASE!$G:$G,BASE!$B:$B,$B807,BASE!$L:$L,$G807,BASE!$J:$J,$C807,BASE!$A:$A,N$2)</f>
        <v>14</v>
      </c>
      <c r="O807" s="12">
        <f>SUMIFS(BASE!$G:$G,BASE!$B:$B,$B807,BASE!$L:$L,$G807,BASE!$J:$J,$C807,BASE!$A:$A,O$2)</f>
        <v>9</v>
      </c>
      <c r="P807" s="12">
        <f>SUMIFS(BASE!$G:$G,BASE!$B:$B,$B807,BASE!$L:$L,$G807,BASE!$J:$J,$C807,BASE!$A:$A,P$2)</f>
        <v>9</v>
      </c>
      <c r="Q807" s="12">
        <f>SUMIFS(BASE!$G:$G,BASE!$B:$B,$B807,BASE!$L:$L,$G807,BASE!$J:$J,$C807,BASE!$A:$A,Q$2)</f>
        <v>9</v>
      </c>
      <c r="R807" s="12">
        <f>SUMIFS(BASE!$G:$G,BASE!$B:$B,$B807,BASE!$L:$L,$G807,BASE!$J:$J,$C807,BASE!$A:$A,R$2)</f>
        <v>12</v>
      </c>
      <c r="S807" s="12">
        <f>SUMIFS(BASE!$G:$G,BASE!$B:$B,$B807,BASE!$L:$L,$G807,BASE!$J:$J,$C807,BASE!$A:$A,S$2)</f>
        <v>0</v>
      </c>
      <c r="T807" s="12">
        <f>SUMIFS(BASE!$G:$G,BASE!$B:$B,$B807,BASE!$L:$L,$G807,BASE!$J:$J,$C807,BASE!$A:$A,T$2)</f>
        <v>0</v>
      </c>
      <c r="U807" s="12">
        <f>SUMIFS(BASE!$G:$G,BASE!$B:$B,$B807,BASE!$L:$L,$G807,BASE!$J:$J,$C807,BASE!$A:$A,U$2)</f>
        <v>0</v>
      </c>
      <c r="V807" s="12">
        <f>SUMIFS(BASE!$G:$G,BASE!$B:$B,$B807,BASE!$L:$L,$G807,BASE!$J:$J,$C807,BASE!$A:$A,V$2)</f>
        <v>0</v>
      </c>
      <c r="X807" t="str">
        <f t="shared" si="25"/>
        <v>COM TROCAS</v>
      </c>
    </row>
    <row r="808" spans="2:24">
      <c r="B808" s="8" t="s">
        <v>1692</v>
      </c>
      <c r="C808" s="9" t="s">
        <v>232</v>
      </c>
      <c r="D808" s="9" t="s">
        <v>1631</v>
      </c>
      <c r="E808" s="9" t="s">
        <v>1438</v>
      </c>
      <c r="F808" s="9" t="s">
        <v>1693</v>
      </c>
      <c r="G808" s="9" t="s">
        <v>54</v>
      </c>
      <c r="H808" s="7" t="str">
        <f>IFERROR(IF(_xlfn.XLOOKUP(B808,REPASSE!D:D,REPASSE!D:D)="","Não","Sim"),"Não")</f>
        <v>Não</v>
      </c>
      <c r="I808" s="7" t="str">
        <f>IF(_xlfn.XLOOKUP(B808,'BOOST LIBERADO'!B:B,'BOOST LIBERADO'!B:B,"Não")="Não","Não","Sim")</f>
        <v>Sim</v>
      </c>
      <c r="J808" s="83" t="str">
        <f t="shared" si="24"/>
        <v>Sim</v>
      </c>
      <c r="K808" s="12">
        <f>SUMIFS(BASE!$G:$G,BASE!$B:$B,$B808,BASE!$L:$L,$G808,BASE!$J:$J,$C808,BASE!$A:$A,K$2)</f>
        <v>2</v>
      </c>
      <c r="L808" s="12">
        <f>SUMIFS(BASE!$G:$G,BASE!$B:$B,$B808,BASE!$L:$L,$G808,BASE!$J:$J,$C808,BASE!$A:$A,L$2)</f>
        <v>7</v>
      </c>
      <c r="M808" s="12">
        <f>SUMIFS(BASE!$G:$G,BASE!$B:$B,$B808,BASE!$L:$L,$G808,BASE!$J:$J,$C808,BASE!$A:$A,M$2)</f>
        <v>3</v>
      </c>
      <c r="N808" s="12">
        <f>SUMIFS(BASE!$G:$G,BASE!$B:$B,$B808,BASE!$L:$L,$G808,BASE!$J:$J,$C808,BASE!$A:$A,N$2)</f>
        <v>18</v>
      </c>
      <c r="O808" s="12">
        <f>SUMIFS(BASE!$G:$G,BASE!$B:$B,$B808,BASE!$L:$L,$G808,BASE!$J:$J,$C808,BASE!$A:$A,O$2)</f>
        <v>19</v>
      </c>
      <c r="P808" s="12">
        <f>SUMIFS(BASE!$G:$G,BASE!$B:$B,$B808,BASE!$L:$L,$G808,BASE!$J:$J,$C808,BASE!$A:$A,P$2)</f>
        <v>15</v>
      </c>
      <c r="Q808" s="12">
        <f>SUMIFS(BASE!$G:$G,BASE!$B:$B,$B808,BASE!$L:$L,$G808,BASE!$J:$J,$C808,BASE!$A:$A,Q$2)</f>
        <v>27</v>
      </c>
      <c r="R808" s="12">
        <f>SUMIFS(BASE!$G:$G,BASE!$B:$B,$B808,BASE!$L:$L,$G808,BASE!$J:$J,$C808,BASE!$A:$A,R$2)</f>
        <v>14</v>
      </c>
      <c r="S808" s="12">
        <f>SUMIFS(BASE!$G:$G,BASE!$B:$B,$B808,BASE!$L:$L,$G808,BASE!$J:$J,$C808,BASE!$A:$A,S$2)</f>
        <v>0</v>
      </c>
      <c r="T808" s="12">
        <f>SUMIFS(BASE!$G:$G,BASE!$B:$B,$B808,BASE!$L:$L,$G808,BASE!$J:$J,$C808,BASE!$A:$A,T$2)</f>
        <v>0</v>
      </c>
      <c r="U808" s="12">
        <f>SUMIFS(BASE!$G:$G,BASE!$B:$B,$B808,BASE!$L:$L,$G808,BASE!$J:$J,$C808,BASE!$A:$A,U$2)</f>
        <v>0</v>
      </c>
      <c r="V808" s="12">
        <f>SUMIFS(BASE!$G:$G,BASE!$B:$B,$B808,BASE!$L:$L,$G808,BASE!$J:$J,$C808,BASE!$A:$A,V$2)</f>
        <v>0</v>
      </c>
      <c r="X808" t="str">
        <f t="shared" si="25"/>
        <v>COM TROCAS</v>
      </c>
    </row>
    <row r="809" spans="2:24">
      <c r="B809" s="8" t="s">
        <v>1694</v>
      </c>
      <c r="C809" s="9" t="s">
        <v>232</v>
      </c>
      <c r="D809" s="9" t="s">
        <v>1631</v>
      </c>
      <c r="E809" s="9" t="s">
        <v>1438</v>
      </c>
      <c r="F809" s="9" t="s">
        <v>1695</v>
      </c>
      <c r="G809" s="9" t="s">
        <v>54</v>
      </c>
      <c r="H809" s="7" t="str">
        <f>IFERROR(IF(_xlfn.XLOOKUP(B809,REPASSE!D:D,REPASSE!D:D)="","Não","Sim"),"Não")</f>
        <v>Não</v>
      </c>
      <c r="I809" s="7" t="str">
        <f>IF(_xlfn.XLOOKUP(B809,'BOOST LIBERADO'!B:B,'BOOST LIBERADO'!B:B,"Não")="Não","Não","Sim")</f>
        <v>Sim</v>
      </c>
      <c r="J809" s="83" t="str">
        <f t="shared" si="24"/>
        <v>Sim</v>
      </c>
      <c r="K809" s="12">
        <f>SUMIFS(BASE!$G:$G,BASE!$B:$B,$B809,BASE!$L:$L,$G809,BASE!$J:$J,$C809,BASE!$A:$A,K$2)</f>
        <v>1</v>
      </c>
      <c r="L809" s="12">
        <f>SUMIFS(BASE!$G:$G,BASE!$B:$B,$B809,BASE!$L:$L,$G809,BASE!$J:$J,$C809,BASE!$A:$A,L$2)</f>
        <v>1</v>
      </c>
      <c r="M809" s="12">
        <f>SUMIFS(BASE!$G:$G,BASE!$B:$B,$B809,BASE!$L:$L,$G809,BASE!$J:$J,$C809,BASE!$A:$A,M$2)</f>
        <v>2</v>
      </c>
      <c r="N809" s="12">
        <f>SUMIFS(BASE!$G:$G,BASE!$B:$B,$B809,BASE!$L:$L,$G809,BASE!$J:$J,$C809,BASE!$A:$A,N$2)</f>
        <v>1</v>
      </c>
      <c r="O809" s="12">
        <f>SUMIFS(BASE!$G:$G,BASE!$B:$B,$B809,BASE!$L:$L,$G809,BASE!$J:$J,$C809,BASE!$A:$A,O$2)</f>
        <v>0</v>
      </c>
      <c r="P809" s="12">
        <f>SUMIFS(BASE!$G:$G,BASE!$B:$B,$B809,BASE!$L:$L,$G809,BASE!$J:$J,$C809,BASE!$A:$A,P$2)</f>
        <v>2</v>
      </c>
      <c r="Q809" s="12">
        <f>SUMIFS(BASE!$G:$G,BASE!$B:$B,$B809,BASE!$L:$L,$G809,BASE!$J:$J,$C809,BASE!$A:$A,Q$2)</f>
        <v>9</v>
      </c>
      <c r="R809" s="12">
        <f>SUMIFS(BASE!$G:$G,BASE!$B:$B,$B809,BASE!$L:$L,$G809,BASE!$J:$J,$C809,BASE!$A:$A,R$2)</f>
        <v>3</v>
      </c>
      <c r="S809" s="12">
        <f>SUMIFS(BASE!$G:$G,BASE!$B:$B,$B809,BASE!$L:$L,$G809,BASE!$J:$J,$C809,BASE!$A:$A,S$2)</f>
        <v>0</v>
      </c>
      <c r="T809" s="12">
        <f>SUMIFS(BASE!$G:$G,BASE!$B:$B,$B809,BASE!$L:$L,$G809,BASE!$J:$J,$C809,BASE!$A:$A,T$2)</f>
        <v>0</v>
      </c>
      <c r="U809" s="12">
        <f>SUMIFS(BASE!$G:$G,BASE!$B:$B,$B809,BASE!$L:$L,$G809,BASE!$J:$J,$C809,BASE!$A:$A,U$2)</f>
        <v>0</v>
      </c>
      <c r="V809" s="12">
        <f>SUMIFS(BASE!$G:$G,BASE!$B:$B,$B809,BASE!$L:$L,$G809,BASE!$J:$J,$C809,BASE!$A:$A,V$2)</f>
        <v>0</v>
      </c>
      <c r="X809" t="str">
        <f t="shared" si="25"/>
        <v>COM TROCAS</v>
      </c>
    </row>
    <row r="810" spans="2:24">
      <c r="B810" s="8" t="s">
        <v>1696</v>
      </c>
      <c r="C810" s="9" t="s">
        <v>132</v>
      </c>
      <c r="D810" s="9" t="s">
        <v>1498</v>
      </c>
      <c r="E810" s="9" t="s">
        <v>1416</v>
      </c>
      <c r="F810" s="9" t="s">
        <v>1499</v>
      </c>
      <c r="G810" s="9" t="s">
        <v>54</v>
      </c>
      <c r="H810" s="7" t="str">
        <f>IFERROR(IF(_xlfn.XLOOKUP(B810,REPASSE!D:D,REPASSE!D:D)="","Não","Sim"),"Não")</f>
        <v>Não</v>
      </c>
      <c r="I810" s="7" t="str">
        <f>IF(_xlfn.XLOOKUP(B810,'BOOST LIBERADO'!B:B,'BOOST LIBERADO'!B:B,"Não")="Não","Não","Sim")</f>
        <v>Sim</v>
      </c>
      <c r="J810" s="83" t="str">
        <f t="shared" si="24"/>
        <v>Sim</v>
      </c>
      <c r="K810" s="12">
        <f>SUMIFS(BASE!$G:$G,BASE!$B:$B,$B810,BASE!$L:$L,$G810,BASE!$J:$J,$C810,BASE!$A:$A,K$2)</f>
        <v>1</v>
      </c>
      <c r="L810" s="12">
        <f>SUMIFS(BASE!$G:$G,BASE!$B:$B,$B810,BASE!$L:$L,$G810,BASE!$J:$J,$C810,BASE!$A:$A,L$2)</f>
        <v>0</v>
      </c>
      <c r="M810" s="12">
        <f>SUMIFS(BASE!$G:$G,BASE!$B:$B,$B810,BASE!$L:$L,$G810,BASE!$J:$J,$C810,BASE!$A:$A,M$2)</f>
        <v>1</v>
      </c>
      <c r="N810" s="12">
        <f>SUMIFS(BASE!$G:$G,BASE!$B:$B,$B810,BASE!$L:$L,$G810,BASE!$J:$J,$C810,BASE!$A:$A,N$2)</f>
        <v>2</v>
      </c>
      <c r="O810" s="12">
        <f>SUMIFS(BASE!$G:$G,BASE!$B:$B,$B810,BASE!$L:$L,$G810,BASE!$J:$J,$C810,BASE!$A:$A,O$2)</f>
        <v>1</v>
      </c>
      <c r="P810" s="12">
        <f>SUMIFS(BASE!$G:$G,BASE!$B:$B,$B810,BASE!$L:$L,$G810,BASE!$J:$J,$C810,BASE!$A:$A,P$2)</f>
        <v>2</v>
      </c>
      <c r="Q810" s="12">
        <f>SUMIFS(BASE!$G:$G,BASE!$B:$B,$B810,BASE!$L:$L,$G810,BASE!$J:$J,$C810,BASE!$A:$A,Q$2)</f>
        <v>4</v>
      </c>
      <c r="R810" s="12">
        <f>SUMIFS(BASE!$G:$G,BASE!$B:$B,$B810,BASE!$L:$L,$G810,BASE!$J:$J,$C810,BASE!$A:$A,R$2)</f>
        <v>2</v>
      </c>
      <c r="S810" s="12">
        <f>SUMIFS(BASE!$G:$G,BASE!$B:$B,$B810,BASE!$L:$L,$G810,BASE!$J:$J,$C810,BASE!$A:$A,S$2)</f>
        <v>0</v>
      </c>
      <c r="T810" s="12">
        <f>SUMIFS(BASE!$G:$G,BASE!$B:$B,$B810,BASE!$L:$L,$G810,BASE!$J:$J,$C810,BASE!$A:$A,T$2)</f>
        <v>0</v>
      </c>
      <c r="U810" s="12">
        <f>SUMIFS(BASE!$G:$G,BASE!$B:$B,$B810,BASE!$L:$L,$G810,BASE!$J:$J,$C810,BASE!$A:$A,U$2)</f>
        <v>0</v>
      </c>
      <c r="V810" s="12">
        <f>SUMIFS(BASE!$G:$G,BASE!$B:$B,$B810,BASE!$L:$L,$G810,BASE!$J:$J,$C810,BASE!$A:$A,V$2)</f>
        <v>0</v>
      </c>
      <c r="X810" t="str">
        <f t="shared" si="25"/>
        <v>COM TROCAS</v>
      </c>
    </row>
    <row r="811" spans="2:24">
      <c r="B811" s="8" t="s">
        <v>1697</v>
      </c>
      <c r="C811" s="9" t="s">
        <v>232</v>
      </c>
      <c r="D811" s="9" t="s">
        <v>1471</v>
      </c>
      <c r="E811" s="9" t="s">
        <v>1416</v>
      </c>
      <c r="F811" s="9" t="s">
        <v>1698</v>
      </c>
      <c r="G811" s="9" t="s">
        <v>54</v>
      </c>
      <c r="H811" s="7" t="str">
        <f>IFERROR(IF(_xlfn.XLOOKUP(B811,REPASSE!D:D,REPASSE!D:D)="","Não","Sim"),"Não")</f>
        <v>Não</v>
      </c>
      <c r="I811" s="7" t="str">
        <f>IF(_xlfn.XLOOKUP(B811,'BOOST LIBERADO'!B:B,'BOOST LIBERADO'!B:B,"Não")="Não","Não","Sim")</f>
        <v>Sim</v>
      </c>
      <c r="J811" s="83" t="str">
        <f t="shared" si="24"/>
        <v>Sim</v>
      </c>
      <c r="K811" s="12">
        <f>SUMIFS(BASE!$G:$G,BASE!$B:$B,$B811,BASE!$L:$L,$G811,BASE!$J:$J,$C811,BASE!$A:$A,K$2)</f>
        <v>15</v>
      </c>
      <c r="L811" s="12">
        <f>SUMIFS(BASE!$G:$G,BASE!$B:$B,$B811,BASE!$L:$L,$G811,BASE!$J:$J,$C811,BASE!$A:$A,L$2)</f>
        <v>5</v>
      </c>
      <c r="M811" s="12">
        <f>SUMIFS(BASE!$G:$G,BASE!$B:$B,$B811,BASE!$L:$L,$G811,BASE!$J:$J,$C811,BASE!$A:$A,M$2)</f>
        <v>8</v>
      </c>
      <c r="N811" s="12">
        <f>SUMIFS(BASE!$G:$G,BASE!$B:$B,$B811,BASE!$L:$L,$G811,BASE!$J:$J,$C811,BASE!$A:$A,N$2)</f>
        <v>6</v>
      </c>
      <c r="O811" s="12">
        <f>SUMIFS(BASE!$G:$G,BASE!$B:$B,$B811,BASE!$L:$L,$G811,BASE!$J:$J,$C811,BASE!$A:$A,O$2)</f>
        <v>12</v>
      </c>
      <c r="P811" s="12">
        <f>SUMIFS(BASE!$G:$G,BASE!$B:$B,$B811,BASE!$L:$L,$G811,BASE!$J:$J,$C811,BASE!$A:$A,P$2)</f>
        <v>11</v>
      </c>
      <c r="Q811" s="12">
        <f>SUMIFS(BASE!$G:$G,BASE!$B:$B,$B811,BASE!$L:$L,$G811,BASE!$J:$J,$C811,BASE!$A:$A,Q$2)</f>
        <v>28</v>
      </c>
      <c r="R811" s="12">
        <f>SUMIFS(BASE!$G:$G,BASE!$B:$B,$B811,BASE!$L:$L,$G811,BASE!$J:$J,$C811,BASE!$A:$A,R$2)</f>
        <v>25</v>
      </c>
      <c r="S811" s="12">
        <f>SUMIFS(BASE!$G:$G,BASE!$B:$B,$B811,BASE!$L:$L,$G811,BASE!$J:$J,$C811,BASE!$A:$A,S$2)</f>
        <v>0</v>
      </c>
      <c r="T811" s="12">
        <f>SUMIFS(BASE!$G:$G,BASE!$B:$B,$B811,BASE!$L:$L,$G811,BASE!$J:$J,$C811,BASE!$A:$A,T$2)</f>
        <v>0</v>
      </c>
      <c r="U811" s="12">
        <f>SUMIFS(BASE!$G:$G,BASE!$B:$B,$B811,BASE!$L:$L,$G811,BASE!$J:$J,$C811,BASE!$A:$A,U$2)</f>
        <v>0</v>
      </c>
      <c r="V811" s="12">
        <f>SUMIFS(BASE!$G:$G,BASE!$B:$B,$B811,BASE!$L:$L,$G811,BASE!$J:$J,$C811,BASE!$A:$A,V$2)</f>
        <v>0</v>
      </c>
      <c r="X811" t="str">
        <f t="shared" si="25"/>
        <v>COM TROCAS</v>
      </c>
    </row>
    <row r="812" spans="2:24">
      <c r="B812" s="8" t="s">
        <v>1699</v>
      </c>
      <c r="C812" s="9" t="s">
        <v>106</v>
      </c>
      <c r="D812" s="9" t="s">
        <v>1422</v>
      </c>
      <c r="E812" s="9" t="s">
        <v>1423</v>
      </c>
      <c r="F812" s="9" t="s">
        <v>1700</v>
      </c>
      <c r="G812" s="9" t="s">
        <v>54</v>
      </c>
      <c r="H812" s="7" t="str">
        <f>IFERROR(IF(_xlfn.XLOOKUP(B812,REPASSE!D:D,REPASSE!D:D)="","Não","Sim"),"Não")</f>
        <v>Não</v>
      </c>
      <c r="I812" s="7" t="str">
        <f>IF(_xlfn.XLOOKUP(B812,'BOOST LIBERADO'!B:B,'BOOST LIBERADO'!B:B,"Não")="Não","Não","Sim")</f>
        <v>Sim</v>
      </c>
      <c r="J812" s="83" t="str">
        <f t="shared" si="24"/>
        <v>Sim</v>
      </c>
      <c r="K812" s="12">
        <f>SUMIFS(BASE!$G:$G,BASE!$B:$B,$B812,BASE!$L:$L,$G812,BASE!$J:$J,$C812,BASE!$A:$A,K$2)</f>
        <v>0</v>
      </c>
      <c r="L812" s="12">
        <f>SUMIFS(BASE!$G:$G,BASE!$B:$B,$B812,BASE!$L:$L,$G812,BASE!$J:$J,$C812,BASE!$A:$A,L$2)</f>
        <v>0</v>
      </c>
      <c r="M812" s="12">
        <f>SUMIFS(BASE!$G:$G,BASE!$B:$B,$B812,BASE!$L:$L,$G812,BASE!$J:$J,$C812,BASE!$A:$A,M$2)</f>
        <v>0</v>
      </c>
      <c r="N812" s="12">
        <f>SUMIFS(BASE!$G:$G,BASE!$B:$B,$B812,BASE!$L:$L,$G812,BASE!$J:$J,$C812,BASE!$A:$A,N$2)</f>
        <v>0</v>
      </c>
      <c r="O812" s="12">
        <f>SUMIFS(BASE!$G:$G,BASE!$B:$B,$B812,BASE!$L:$L,$G812,BASE!$J:$J,$C812,BASE!$A:$A,O$2)</f>
        <v>0</v>
      </c>
      <c r="P812" s="12">
        <f>SUMIFS(BASE!$G:$G,BASE!$B:$B,$B812,BASE!$L:$L,$G812,BASE!$J:$J,$C812,BASE!$A:$A,P$2)</f>
        <v>4</v>
      </c>
      <c r="Q812" s="12">
        <f>SUMIFS(BASE!$G:$G,BASE!$B:$B,$B812,BASE!$L:$L,$G812,BASE!$J:$J,$C812,BASE!$A:$A,Q$2)</f>
        <v>8</v>
      </c>
      <c r="R812" s="12">
        <f>SUMIFS(BASE!$G:$G,BASE!$B:$B,$B812,BASE!$L:$L,$G812,BASE!$J:$J,$C812,BASE!$A:$A,R$2)</f>
        <v>14</v>
      </c>
      <c r="S812" s="12">
        <f>SUMIFS(BASE!$G:$G,BASE!$B:$B,$B812,BASE!$L:$L,$G812,BASE!$J:$J,$C812,BASE!$A:$A,S$2)</f>
        <v>0</v>
      </c>
      <c r="T812" s="12">
        <f>SUMIFS(BASE!$G:$G,BASE!$B:$B,$B812,BASE!$L:$L,$G812,BASE!$J:$J,$C812,BASE!$A:$A,T$2)</f>
        <v>0</v>
      </c>
      <c r="U812" s="12">
        <f>SUMIFS(BASE!$G:$G,BASE!$B:$B,$B812,BASE!$L:$L,$G812,BASE!$J:$J,$C812,BASE!$A:$A,U$2)</f>
        <v>0</v>
      </c>
      <c r="V812" s="12">
        <f>SUMIFS(BASE!$G:$G,BASE!$B:$B,$B812,BASE!$L:$L,$G812,BASE!$J:$J,$C812,BASE!$A:$A,V$2)</f>
        <v>0</v>
      </c>
      <c r="X812" t="str">
        <f t="shared" si="25"/>
        <v>COM TROCAS</v>
      </c>
    </row>
    <row r="813" spans="2:24">
      <c r="B813" s="8" t="s">
        <v>1701</v>
      </c>
      <c r="C813" s="9" t="s">
        <v>106</v>
      </c>
      <c r="D813" s="9" t="s">
        <v>1422</v>
      </c>
      <c r="E813" s="9" t="s">
        <v>1423</v>
      </c>
      <c r="F813" s="9" t="s">
        <v>1702</v>
      </c>
      <c r="G813" s="9" t="s">
        <v>54</v>
      </c>
      <c r="H813" s="7" t="str">
        <f>IFERROR(IF(_xlfn.XLOOKUP(B813,REPASSE!D:D,REPASSE!D:D)="","Não","Sim"),"Não")</f>
        <v>Não</v>
      </c>
      <c r="I813" s="7" t="str">
        <f>IF(_xlfn.XLOOKUP(B813,'BOOST LIBERADO'!B:B,'BOOST LIBERADO'!B:B,"Não")="Não","Não","Sim")</f>
        <v>Sim</v>
      </c>
      <c r="J813" s="83" t="str">
        <f t="shared" si="24"/>
        <v>Sim</v>
      </c>
      <c r="K813" s="12">
        <f>SUMIFS(BASE!$G:$G,BASE!$B:$B,$B813,BASE!$L:$L,$G813,BASE!$J:$J,$C813,BASE!$A:$A,K$2)</f>
        <v>0</v>
      </c>
      <c r="L813" s="12">
        <f>SUMIFS(BASE!$G:$G,BASE!$B:$B,$B813,BASE!$L:$L,$G813,BASE!$J:$J,$C813,BASE!$A:$A,L$2)</f>
        <v>0</v>
      </c>
      <c r="M813" s="12">
        <f>SUMIFS(BASE!$G:$G,BASE!$B:$B,$B813,BASE!$L:$L,$G813,BASE!$J:$J,$C813,BASE!$A:$A,M$2)</f>
        <v>0</v>
      </c>
      <c r="N813" s="12">
        <f>SUMIFS(BASE!$G:$G,BASE!$B:$B,$B813,BASE!$L:$L,$G813,BASE!$J:$J,$C813,BASE!$A:$A,N$2)</f>
        <v>0</v>
      </c>
      <c r="O813" s="12">
        <f>SUMIFS(BASE!$G:$G,BASE!$B:$B,$B813,BASE!$L:$L,$G813,BASE!$J:$J,$C813,BASE!$A:$A,O$2)</f>
        <v>1</v>
      </c>
      <c r="P813" s="12">
        <f>SUMIFS(BASE!$G:$G,BASE!$B:$B,$B813,BASE!$L:$L,$G813,BASE!$J:$J,$C813,BASE!$A:$A,P$2)</f>
        <v>1</v>
      </c>
      <c r="Q813" s="12">
        <f>SUMIFS(BASE!$G:$G,BASE!$B:$B,$B813,BASE!$L:$L,$G813,BASE!$J:$J,$C813,BASE!$A:$A,Q$2)</f>
        <v>6</v>
      </c>
      <c r="R813" s="12">
        <f>SUMIFS(BASE!$G:$G,BASE!$B:$B,$B813,BASE!$L:$L,$G813,BASE!$J:$J,$C813,BASE!$A:$A,R$2)</f>
        <v>1</v>
      </c>
      <c r="S813" s="12">
        <f>SUMIFS(BASE!$G:$G,BASE!$B:$B,$B813,BASE!$L:$L,$G813,BASE!$J:$J,$C813,BASE!$A:$A,S$2)</f>
        <v>0</v>
      </c>
      <c r="T813" s="12">
        <f>SUMIFS(BASE!$G:$G,BASE!$B:$B,$B813,BASE!$L:$L,$G813,BASE!$J:$J,$C813,BASE!$A:$A,T$2)</f>
        <v>0</v>
      </c>
      <c r="U813" s="12">
        <f>SUMIFS(BASE!$G:$G,BASE!$B:$B,$B813,BASE!$L:$L,$G813,BASE!$J:$J,$C813,BASE!$A:$A,U$2)</f>
        <v>0</v>
      </c>
      <c r="V813" s="12">
        <f>SUMIFS(BASE!$G:$G,BASE!$B:$B,$B813,BASE!$L:$L,$G813,BASE!$J:$J,$C813,BASE!$A:$A,V$2)</f>
        <v>0</v>
      </c>
      <c r="X813" t="str">
        <f t="shared" si="25"/>
        <v>COM TROCAS</v>
      </c>
    </row>
    <row r="814" spans="2:24">
      <c r="B814" s="8" t="s">
        <v>1703</v>
      </c>
      <c r="C814" s="9" t="s">
        <v>132</v>
      </c>
      <c r="D814" s="9" t="s">
        <v>1428</v>
      </c>
      <c r="E814" s="9" t="s">
        <v>1412</v>
      </c>
      <c r="F814" s="9" t="s">
        <v>1519</v>
      </c>
      <c r="G814" s="9" t="s">
        <v>54</v>
      </c>
      <c r="H814" s="7" t="str">
        <f>IFERROR(IF(_xlfn.XLOOKUP(B814,REPASSE!D:D,REPASSE!D:D)="","Não","Sim"),"Não")</f>
        <v>Não</v>
      </c>
      <c r="I814" s="7" t="str">
        <f>IF(_xlfn.XLOOKUP(B814,'BOOST LIBERADO'!B:B,'BOOST LIBERADO'!B:B,"Não")="Não","Não","Sim")</f>
        <v>Sim</v>
      </c>
      <c r="J814" s="83" t="str">
        <f t="shared" si="24"/>
        <v>Sim</v>
      </c>
      <c r="K814" s="12">
        <f>SUMIFS(BASE!$G:$G,BASE!$B:$B,$B814,BASE!$L:$L,$G814,BASE!$J:$J,$C814,BASE!$A:$A,K$2)</f>
        <v>1</v>
      </c>
      <c r="L814" s="12">
        <f>SUMIFS(BASE!$G:$G,BASE!$B:$B,$B814,BASE!$L:$L,$G814,BASE!$J:$J,$C814,BASE!$A:$A,L$2)</f>
        <v>1</v>
      </c>
      <c r="M814" s="12">
        <f>SUMIFS(BASE!$G:$G,BASE!$B:$B,$B814,BASE!$L:$L,$G814,BASE!$J:$J,$C814,BASE!$A:$A,M$2)</f>
        <v>0</v>
      </c>
      <c r="N814" s="12">
        <f>SUMIFS(BASE!$G:$G,BASE!$B:$B,$B814,BASE!$L:$L,$G814,BASE!$J:$J,$C814,BASE!$A:$A,N$2)</f>
        <v>0</v>
      </c>
      <c r="O814" s="12">
        <f>SUMIFS(BASE!$G:$G,BASE!$B:$B,$B814,BASE!$L:$L,$G814,BASE!$J:$J,$C814,BASE!$A:$A,O$2)</f>
        <v>0</v>
      </c>
      <c r="P814" s="12">
        <f>SUMIFS(BASE!$G:$G,BASE!$B:$B,$B814,BASE!$L:$L,$G814,BASE!$J:$J,$C814,BASE!$A:$A,P$2)</f>
        <v>0</v>
      </c>
      <c r="Q814" s="12">
        <f>SUMIFS(BASE!$G:$G,BASE!$B:$B,$B814,BASE!$L:$L,$G814,BASE!$J:$J,$C814,BASE!$A:$A,Q$2)</f>
        <v>7</v>
      </c>
      <c r="R814" s="12">
        <f>SUMIFS(BASE!$G:$G,BASE!$B:$B,$B814,BASE!$L:$L,$G814,BASE!$J:$J,$C814,BASE!$A:$A,R$2)</f>
        <v>9</v>
      </c>
      <c r="S814" s="12">
        <f>SUMIFS(BASE!$G:$G,BASE!$B:$B,$B814,BASE!$L:$L,$G814,BASE!$J:$J,$C814,BASE!$A:$A,S$2)</f>
        <v>0</v>
      </c>
      <c r="T814" s="12">
        <f>SUMIFS(BASE!$G:$G,BASE!$B:$B,$B814,BASE!$L:$L,$G814,BASE!$J:$J,$C814,BASE!$A:$A,T$2)</f>
        <v>0</v>
      </c>
      <c r="U814" s="12">
        <f>SUMIFS(BASE!$G:$G,BASE!$B:$B,$B814,BASE!$L:$L,$G814,BASE!$J:$J,$C814,BASE!$A:$A,U$2)</f>
        <v>0</v>
      </c>
      <c r="V814" s="12">
        <f>SUMIFS(BASE!$G:$G,BASE!$B:$B,$B814,BASE!$L:$L,$G814,BASE!$J:$J,$C814,BASE!$A:$A,V$2)</f>
        <v>0</v>
      </c>
      <c r="X814" t="str">
        <f t="shared" si="25"/>
        <v>COM TROCAS</v>
      </c>
    </row>
    <row r="815" spans="2:24">
      <c r="B815" s="8" t="s">
        <v>1704</v>
      </c>
      <c r="C815" s="9" t="s">
        <v>132</v>
      </c>
      <c r="D815" s="9" t="s">
        <v>1498</v>
      </c>
      <c r="E815" s="9" t="s">
        <v>1416</v>
      </c>
      <c r="F815" s="9" t="s">
        <v>1705</v>
      </c>
      <c r="G815" s="9" t="s">
        <v>54</v>
      </c>
      <c r="H815" s="7" t="str">
        <f>IFERROR(IF(_xlfn.XLOOKUP(B815,REPASSE!D:D,REPASSE!D:D)="","Não","Sim"),"Não")</f>
        <v>Não</v>
      </c>
      <c r="I815" s="7" t="str">
        <f>IF(_xlfn.XLOOKUP(B815,'BOOST LIBERADO'!B:B,'BOOST LIBERADO'!B:B,"Não")="Não","Não","Sim")</f>
        <v>Não</v>
      </c>
      <c r="J815" s="83" t="str">
        <f t="shared" si="24"/>
        <v>Não</v>
      </c>
      <c r="K815" s="12">
        <f>SUMIFS(BASE!$G:$G,BASE!$B:$B,$B815,BASE!$L:$L,$G815,BASE!$J:$J,$C815,BASE!$A:$A,K$2)</f>
        <v>0</v>
      </c>
      <c r="L815" s="12">
        <f>SUMIFS(BASE!$G:$G,BASE!$B:$B,$B815,BASE!$L:$L,$G815,BASE!$J:$J,$C815,BASE!$A:$A,L$2)</f>
        <v>0</v>
      </c>
      <c r="M815" s="12">
        <f>SUMIFS(BASE!$G:$G,BASE!$B:$B,$B815,BASE!$L:$L,$G815,BASE!$J:$J,$C815,BASE!$A:$A,M$2)</f>
        <v>0</v>
      </c>
      <c r="N815" s="12">
        <f>SUMIFS(BASE!$G:$G,BASE!$B:$B,$B815,BASE!$L:$L,$G815,BASE!$J:$J,$C815,BASE!$A:$A,N$2)</f>
        <v>0</v>
      </c>
      <c r="O815" s="12">
        <f>SUMIFS(BASE!$G:$G,BASE!$B:$B,$B815,BASE!$L:$L,$G815,BASE!$J:$J,$C815,BASE!$A:$A,O$2)</f>
        <v>0</v>
      </c>
      <c r="P815" s="12">
        <f>SUMIFS(BASE!$G:$G,BASE!$B:$B,$B815,BASE!$L:$L,$G815,BASE!$J:$J,$C815,BASE!$A:$A,P$2)</f>
        <v>2</v>
      </c>
      <c r="Q815" s="12">
        <f>SUMIFS(BASE!$G:$G,BASE!$B:$B,$B815,BASE!$L:$L,$G815,BASE!$J:$J,$C815,BASE!$A:$A,Q$2)</f>
        <v>0</v>
      </c>
      <c r="R815" s="12">
        <f>SUMIFS(BASE!$G:$G,BASE!$B:$B,$B815,BASE!$L:$L,$G815,BASE!$J:$J,$C815,BASE!$A:$A,R$2)</f>
        <v>0</v>
      </c>
      <c r="S815" s="12">
        <f>SUMIFS(BASE!$G:$G,BASE!$B:$B,$B815,BASE!$L:$L,$G815,BASE!$J:$J,$C815,BASE!$A:$A,S$2)</f>
        <v>0</v>
      </c>
      <c r="T815" s="12">
        <f>SUMIFS(BASE!$G:$G,BASE!$B:$B,$B815,BASE!$L:$L,$G815,BASE!$J:$J,$C815,BASE!$A:$A,T$2)</f>
        <v>0</v>
      </c>
      <c r="U815" s="12">
        <f>SUMIFS(BASE!$G:$G,BASE!$B:$B,$B815,BASE!$L:$L,$G815,BASE!$J:$J,$C815,BASE!$A:$A,U$2)</f>
        <v>0</v>
      </c>
      <c r="V815" s="12">
        <f>SUMIFS(BASE!$G:$G,BASE!$B:$B,$B815,BASE!$L:$L,$G815,BASE!$J:$J,$C815,BASE!$A:$A,V$2)</f>
        <v>0</v>
      </c>
      <c r="X815" t="str">
        <f t="shared" si="25"/>
        <v>ZERADO</v>
      </c>
    </row>
    <row r="816" spans="2:24">
      <c r="B816" s="8" t="s">
        <v>1706</v>
      </c>
      <c r="C816" s="9" t="s">
        <v>232</v>
      </c>
      <c r="D816" s="9" t="s">
        <v>1631</v>
      </c>
      <c r="E816" s="9" t="s">
        <v>1438</v>
      </c>
      <c r="F816" s="9" t="s">
        <v>1693</v>
      </c>
      <c r="G816" s="9" t="s">
        <v>54</v>
      </c>
      <c r="H816" s="7" t="str">
        <f>IFERROR(IF(_xlfn.XLOOKUP(B816,REPASSE!D:D,REPASSE!D:D)="","Não","Sim"),"Não")</f>
        <v>Não</v>
      </c>
      <c r="I816" s="7" t="str">
        <f>IF(_xlfn.XLOOKUP(B816,'BOOST LIBERADO'!B:B,'BOOST LIBERADO'!B:B,"Não")="Não","Não","Sim")</f>
        <v>Sim</v>
      </c>
      <c r="J816" s="83" t="str">
        <f t="shared" si="24"/>
        <v>Sim</v>
      </c>
      <c r="K816" s="12">
        <f>SUMIFS(BASE!$G:$G,BASE!$B:$B,$B816,BASE!$L:$L,$G816,BASE!$J:$J,$C816,BASE!$A:$A,K$2)</f>
        <v>8</v>
      </c>
      <c r="L816" s="12">
        <f>SUMIFS(BASE!$G:$G,BASE!$B:$B,$B816,BASE!$L:$L,$G816,BASE!$J:$J,$C816,BASE!$A:$A,L$2)</f>
        <v>5</v>
      </c>
      <c r="M816" s="12">
        <f>SUMIFS(BASE!$G:$G,BASE!$B:$B,$B816,BASE!$L:$L,$G816,BASE!$J:$J,$C816,BASE!$A:$A,M$2)</f>
        <v>8</v>
      </c>
      <c r="N816" s="12">
        <f>SUMIFS(BASE!$G:$G,BASE!$B:$B,$B816,BASE!$L:$L,$G816,BASE!$J:$J,$C816,BASE!$A:$A,N$2)</f>
        <v>3</v>
      </c>
      <c r="O816" s="12">
        <f>SUMIFS(BASE!$G:$G,BASE!$B:$B,$B816,BASE!$L:$L,$G816,BASE!$J:$J,$C816,BASE!$A:$A,O$2)</f>
        <v>7</v>
      </c>
      <c r="P816" s="12">
        <f>SUMIFS(BASE!$G:$G,BASE!$B:$B,$B816,BASE!$L:$L,$G816,BASE!$J:$J,$C816,BASE!$A:$A,P$2)</f>
        <v>8</v>
      </c>
      <c r="Q816" s="12">
        <f>SUMIFS(BASE!$G:$G,BASE!$B:$B,$B816,BASE!$L:$L,$G816,BASE!$J:$J,$C816,BASE!$A:$A,Q$2)</f>
        <v>15</v>
      </c>
      <c r="R816" s="12">
        <f>SUMIFS(BASE!$G:$G,BASE!$B:$B,$B816,BASE!$L:$L,$G816,BASE!$J:$J,$C816,BASE!$A:$A,R$2)</f>
        <v>13</v>
      </c>
      <c r="S816" s="12">
        <f>SUMIFS(BASE!$G:$G,BASE!$B:$B,$B816,BASE!$L:$L,$G816,BASE!$J:$J,$C816,BASE!$A:$A,S$2)</f>
        <v>0</v>
      </c>
      <c r="T816" s="12">
        <f>SUMIFS(BASE!$G:$G,BASE!$B:$B,$B816,BASE!$L:$L,$G816,BASE!$J:$J,$C816,BASE!$A:$A,T$2)</f>
        <v>0</v>
      </c>
      <c r="U816" s="12">
        <f>SUMIFS(BASE!$G:$G,BASE!$B:$B,$B816,BASE!$L:$L,$G816,BASE!$J:$J,$C816,BASE!$A:$A,U$2)</f>
        <v>0</v>
      </c>
      <c r="V816" s="12">
        <f>SUMIFS(BASE!$G:$G,BASE!$B:$B,$B816,BASE!$L:$L,$G816,BASE!$J:$J,$C816,BASE!$A:$A,V$2)</f>
        <v>0</v>
      </c>
      <c r="X816" t="str">
        <f t="shared" si="25"/>
        <v>COM TROCAS</v>
      </c>
    </row>
    <row r="817" spans="2:24">
      <c r="B817" s="8" t="s">
        <v>1707</v>
      </c>
      <c r="C817" s="9" t="s">
        <v>132</v>
      </c>
      <c r="D817" s="9" t="s">
        <v>1476</v>
      </c>
      <c r="E817" s="9" t="s">
        <v>1412</v>
      </c>
      <c r="F817" s="9" t="s">
        <v>1521</v>
      </c>
      <c r="G817" s="9" t="s">
        <v>54</v>
      </c>
      <c r="H817" s="7" t="str">
        <f>IFERROR(IF(_xlfn.XLOOKUP(B817,REPASSE!D:D,REPASSE!D:D)="","Não","Sim"),"Não")</f>
        <v>Não</v>
      </c>
      <c r="I817" s="7" t="str">
        <f>IF(_xlfn.XLOOKUP(B817,'BOOST LIBERADO'!B:B,'BOOST LIBERADO'!B:B,"Não")="Não","Não","Sim")</f>
        <v>Sim</v>
      </c>
      <c r="J817" s="83" t="str">
        <f t="shared" si="24"/>
        <v>Sim</v>
      </c>
      <c r="K817" s="12">
        <f>SUMIFS(BASE!$G:$G,BASE!$B:$B,$B817,BASE!$L:$L,$G817,BASE!$J:$J,$C817,BASE!$A:$A,K$2)</f>
        <v>1</v>
      </c>
      <c r="L817" s="12">
        <f>SUMIFS(BASE!$G:$G,BASE!$B:$B,$B817,BASE!$L:$L,$G817,BASE!$J:$J,$C817,BASE!$A:$A,L$2)</f>
        <v>2</v>
      </c>
      <c r="M817" s="12">
        <f>SUMIFS(BASE!$G:$G,BASE!$B:$B,$B817,BASE!$L:$L,$G817,BASE!$J:$J,$C817,BASE!$A:$A,M$2)</f>
        <v>2</v>
      </c>
      <c r="N817" s="12">
        <f>SUMIFS(BASE!$G:$G,BASE!$B:$B,$B817,BASE!$L:$L,$G817,BASE!$J:$J,$C817,BASE!$A:$A,N$2)</f>
        <v>4</v>
      </c>
      <c r="O817" s="12">
        <f>SUMIFS(BASE!$G:$G,BASE!$B:$B,$B817,BASE!$L:$L,$G817,BASE!$J:$J,$C817,BASE!$A:$A,O$2)</f>
        <v>3</v>
      </c>
      <c r="P817" s="12">
        <f>SUMIFS(BASE!$G:$G,BASE!$B:$B,$B817,BASE!$L:$L,$G817,BASE!$J:$J,$C817,BASE!$A:$A,P$2)</f>
        <v>4</v>
      </c>
      <c r="Q817" s="12">
        <f>SUMIFS(BASE!$G:$G,BASE!$B:$B,$B817,BASE!$L:$L,$G817,BASE!$J:$J,$C817,BASE!$A:$A,Q$2)</f>
        <v>4</v>
      </c>
      <c r="R817" s="12">
        <f>SUMIFS(BASE!$G:$G,BASE!$B:$B,$B817,BASE!$L:$L,$G817,BASE!$J:$J,$C817,BASE!$A:$A,R$2)</f>
        <v>6</v>
      </c>
      <c r="S817" s="12">
        <f>SUMIFS(BASE!$G:$G,BASE!$B:$B,$B817,BASE!$L:$L,$G817,BASE!$J:$J,$C817,BASE!$A:$A,S$2)</f>
        <v>0</v>
      </c>
      <c r="T817" s="12">
        <f>SUMIFS(BASE!$G:$G,BASE!$B:$B,$B817,BASE!$L:$L,$G817,BASE!$J:$J,$C817,BASE!$A:$A,T$2)</f>
        <v>0</v>
      </c>
      <c r="U817" s="12">
        <f>SUMIFS(BASE!$G:$G,BASE!$B:$B,$B817,BASE!$L:$L,$G817,BASE!$J:$J,$C817,BASE!$A:$A,U$2)</f>
        <v>0</v>
      </c>
      <c r="V817" s="12">
        <f>SUMIFS(BASE!$G:$G,BASE!$B:$B,$B817,BASE!$L:$L,$G817,BASE!$J:$J,$C817,BASE!$A:$A,V$2)</f>
        <v>0</v>
      </c>
      <c r="X817" t="str">
        <f t="shared" si="25"/>
        <v>COM TROCAS</v>
      </c>
    </row>
    <row r="818" spans="2:24">
      <c r="B818" s="8" t="s">
        <v>1708</v>
      </c>
      <c r="C818" s="9" t="s">
        <v>132</v>
      </c>
      <c r="D818" s="9" t="s">
        <v>1476</v>
      </c>
      <c r="E818" s="9" t="s">
        <v>1412</v>
      </c>
      <c r="F818" s="9" t="s">
        <v>1505</v>
      </c>
      <c r="G818" s="9" t="s">
        <v>54</v>
      </c>
      <c r="H818" s="7" t="str">
        <f>IFERROR(IF(_xlfn.XLOOKUP(B818,REPASSE!D:D,REPASSE!D:D)="","Não","Sim"),"Não")</f>
        <v>Não</v>
      </c>
      <c r="I818" s="7" t="str">
        <f>IF(_xlfn.XLOOKUP(B818,'BOOST LIBERADO'!B:B,'BOOST LIBERADO'!B:B,"Não")="Não","Não","Sim")</f>
        <v>Sim</v>
      </c>
      <c r="J818" s="83" t="str">
        <f t="shared" si="24"/>
        <v>Sim</v>
      </c>
      <c r="K818" s="12">
        <f>SUMIFS(BASE!$G:$G,BASE!$B:$B,$B818,BASE!$L:$L,$G818,BASE!$J:$J,$C818,BASE!$A:$A,K$2)</f>
        <v>4</v>
      </c>
      <c r="L818" s="12">
        <f>SUMIFS(BASE!$G:$G,BASE!$B:$B,$B818,BASE!$L:$L,$G818,BASE!$J:$J,$C818,BASE!$A:$A,L$2)</f>
        <v>1</v>
      </c>
      <c r="M818" s="12">
        <f>SUMIFS(BASE!$G:$G,BASE!$B:$B,$B818,BASE!$L:$L,$G818,BASE!$J:$J,$C818,BASE!$A:$A,M$2)</f>
        <v>2</v>
      </c>
      <c r="N818" s="12">
        <f>SUMIFS(BASE!$G:$G,BASE!$B:$B,$B818,BASE!$L:$L,$G818,BASE!$J:$J,$C818,BASE!$A:$A,N$2)</f>
        <v>3</v>
      </c>
      <c r="O818" s="12">
        <f>SUMIFS(BASE!$G:$G,BASE!$B:$B,$B818,BASE!$L:$L,$G818,BASE!$J:$J,$C818,BASE!$A:$A,O$2)</f>
        <v>1</v>
      </c>
      <c r="P818" s="12">
        <f>SUMIFS(BASE!$G:$G,BASE!$B:$B,$B818,BASE!$L:$L,$G818,BASE!$J:$J,$C818,BASE!$A:$A,P$2)</f>
        <v>2</v>
      </c>
      <c r="Q818" s="12">
        <f>SUMIFS(BASE!$G:$G,BASE!$B:$B,$B818,BASE!$L:$L,$G818,BASE!$J:$J,$C818,BASE!$A:$A,Q$2)</f>
        <v>14</v>
      </c>
      <c r="R818" s="12">
        <f>SUMIFS(BASE!$G:$G,BASE!$B:$B,$B818,BASE!$L:$L,$G818,BASE!$J:$J,$C818,BASE!$A:$A,R$2)</f>
        <v>5</v>
      </c>
      <c r="S818" s="12">
        <f>SUMIFS(BASE!$G:$G,BASE!$B:$B,$B818,BASE!$L:$L,$G818,BASE!$J:$J,$C818,BASE!$A:$A,S$2)</f>
        <v>0</v>
      </c>
      <c r="T818" s="12">
        <f>SUMIFS(BASE!$G:$G,BASE!$B:$B,$B818,BASE!$L:$L,$G818,BASE!$J:$J,$C818,BASE!$A:$A,T$2)</f>
        <v>0</v>
      </c>
      <c r="U818" s="12">
        <f>SUMIFS(BASE!$G:$G,BASE!$B:$B,$B818,BASE!$L:$L,$G818,BASE!$J:$J,$C818,BASE!$A:$A,U$2)</f>
        <v>0</v>
      </c>
      <c r="V818" s="12">
        <f>SUMIFS(BASE!$G:$G,BASE!$B:$B,$B818,BASE!$L:$L,$G818,BASE!$J:$J,$C818,BASE!$A:$A,V$2)</f>
        <v>0</v>
      </c>
      <c r="X818" t="str">
        <f t="shared" si="25"/>
        <v>COM TROCAS</v>
      </c>
    </row>
    <row r="819" spans="2:24">
      <c r="B819" s="8" t="s">
        <v>1709</v>
      </c>
      <c r="C819" s="9" t="s">
        <v>106</v>
      </c>
      <c r="D819" s="9" t="s">
        <v>1434</v>
      </c>
      <c r="E819" s="9" t="s">
        <v>1423</v>
      </c>
      <c r="F819" s="9" t="s">
        <v>1503</v>
      </c>
      <c r="G819" s="9" t="s">
        <v>54</v>
      </c>
      <c r="H819" s="7" t="str">
        <f>IFERROR(IF(_xlfn.XLOOKUP(B819,REPASSE!D:D,REPASSE!D:D)="","Não","Sim"),"Não")</f>
        <v>Não</v>
      </c>
      <c r="I819" s="7" t="str">
        <f>IF(_xlfn.XLOOKUP(B819,'BOOST LIBERADO'!B:B,'BOOST LIBERADO'!B:B,"Não")="Não","Não","Sim")</f>
        <v>Sim</v>
      </c>
      <c r="J819" s="83" t="str">
        <f t="shared" si="24"/>
        <v>Sim</v>
      </c>
      <c r="K819" s="12">
        <f>SUMIFS(BASE!$G:$G,BASE!$B:$B,$B819,BASE!$L:$L,$G819,BASE!$J:$J,$C819,BASE!$A:$A,K$2)</f>
        <v>0</v>
      </c>
      <c r="L819" s="12">
        <f>SUMIFS(BASE!$G:$G,BASE!$B:$B,$B819,BASE!$L:$L,$G819,BASE!$J:$J,$C819,BASE!$A:$A,L$2)</f>
        <v>0</v>
      </c>
      <c r="M819" s="12">
        <f>SUMIFS(BASE!$G:$G,BASE!$B:$B,$B819,BASE!$L:$L,$G819,BASE!$J:$J,$C819,BASE!$A:$A,M$2)</f>
        <v>0</v>
      </c>
      <c r="N819" s="12">
        <f>SUMIFS(BASE!$G:$G,BASE!$B:$B,$B819,BASE!$L:$L,$G819,BASE!$J:$J,$C819,BASE!$A:$A,N$2)</f>
        <v>0</v>
      </c>
      <c r="O819" s="12">
        <f>SUMIFS(BASE!$G:$G,BASE!$B:$B,$B819,BASE!$L:$L,$G819,BASE!$J:$J,$C819,BASE!$A:$A,O$2)</f>
        <v>0</v>
      </c>
      <c r="P819" s="12">
        <f>SUMIFS(BASE!$G:$G,BASE!$B:$B,$B819,BASE!$L:$L,$G819,BASE!$J:$J,$C819,BASE!$A:$A,P$2)</f>
        <v>0</v>
      </c>
      <c r="Q819" s="12">
        <f>SUMIFS(BASE!$G:$G,BASE!$B:$B,$B819,BASE!$L:$L,$G819,BASE!$J:$J,$C819,BASE!$A:$A,Q$2)</f>
        <v>0</v>
      </c>
      <c r="R819" s="12">
        <f>SUMIFS(BASE!$G:$G,BASE!$B:$B,$B819,BASE!$L:$L,$G819,BASE!$J:$J,$C819,BASE!$A:$A,R$2)</f>
        <v>3</v>
      </c>
      <c r="S819" s="12">
        <f>SUMIFS(BASE!$G:$G,BASE!$B:$B,$B819,BASE!$L:$L,$G819,BASE!$J:$J,$C819,BASE!$A:$A,S$2)</f>
        <v>0</v>
      </c>
      <c r="T819" s="12">
        <f>SUMIFS(BASE!$G:$G,BASE!$B:$B,$B819,BASE!$L:$L,$G819,BASE!$J:$J,$C819,BASE!$A:$A,T$2)</f>
        <v>0</v>
      </c>
      <c r="U819" s="12">
        <f>SUMIFS(BASE!$G:$G,BASE!$B:$B,$B819,BASE!$L:$L,$G819,BASE!$J:$J,$C819,BASE!$A:$A,U$2)</f>
        <v>0</v>
      </c>
      <c r="V819" s="12">
        <f>SUMIFS(BASE!$G:$G,BASE!$B:$B,$B819,BASE!$L:$L,$G819,BASE!$J:$J,$C819,BASE!$A:$A,V$2)</f>
        <v>0</v>
      </c>
      <c r="X819" t="str">
        <f t="shared" si="25"/>
        <v>COM TROCAS</v>
      </c>
    </row>
    <row r="820" spans="2:24">
      <c r="B820" s="8" t="s">
        <v>1710</v>
      </c>
      <c r="C820" s="9" t="s">
        <v>119</v>
      </c>
      <c r="D820" s="9" t="s">
        <v>1431</v>
      </c>
      <c r="E820" s="9" t="s">
        <v>1412</v>
      </c>
      <c r="F820" s="9" t="s">
        <v>1568</v>
      </c>
      <c r="G820" s="9" t="s">
        <v>54</v>
      </c>
      <c r="H820" s="7" t="str">
        <f>IFERROR(IF(_xlfn.XLOOKUP(B820,REPASSE!D:D,REPASSE!D:D)="","Não","Sim"),"Não")</f>
        <v>Não</v>
      </c>
      <c r="I820" s="7" t="str">
        <f>IF(_xlfn.XLOOKUP(B820,'BOOST LIBERADO'!B:B,'BOOST LIBERADO'!B:B,"Não")="Não","Não","Sim")</f>
        <v>Sim</v>
      </c>
      <c r="J820" s="83" t="str">
        <f t="shared" si="24"/>
        <v>Sim</v>
      </c>
      <c r="K820" s="12">
        <f>SUMIFS(BASE!$G:$G,BASE!$B:$B,$B820,BASE!$L:$L,$G820,BASE!$J:$J,$C820,BASE!$A:$A,K$2)</f>
        <v>11</v>
      </c>
      <c r="L820" s="12">
        <f>SUMIFS(BASE!$G:$G,BASE!$B:$B,$B820,BASE!$L:$L,$G820,BASE!$J:$J,$C820,BASE!$A:$A,L$2)</f>
        <v>15</v>
      </c>
      <c r="M820" s="12">
        <f>SUMIFS(BASE!$G:$G,BASE!$B:$B,$B820,BASE!$L:$L,$G820,BASE!$J:$J,$C820,BASE!$A:$A,M$2)</f>
        <v>10</v>
      </c>
      <c r="N820" s="12">
        <f>SUMIFS(BASE!$G:$G,BASE!$B:$B,$B820,BASE!$L:$L,$G820,BASE!$J:$J,$C820,BASE!$A:$A,N$2)</f>
        <v>2</v>
      </c>
      <c r="O820" s="12">
        <f>SUMIFS(BASE!$G:$G,BASE!$B:$B,$B820,BASE!$L:$L,$G820,BASE!$J:$J,$C820,BASE!$A:$A,O$2)</f>
        <v>8</v>
      </c>
      <c r="P820" s="12">
        <f>SUMIFS(BASE!$G:$G,BASE!$B:$B,$B820,BASE!$L:$L,$G820,BASE!$J:$J,$C820,BASE!$A:$A,P$2)</f>
        <v>8</v>
      </c>
      <c r="Q820" s="12">
        <f>SUMIFS(BASE!$G:$G,BASE!$B:$B,$B820,BASE!$L:$L,$G820,BASE!$J:$J,$C820,BASE!$A:$A,Q$2)</f>
        <v>27</v>
      </c>
      <c r="R820" s="12">
        <f>SUMIFS(BASE!$G:$G,BASE!$B:$B,$B820,BASE!$L:$L,$G820,BASE!$J:$J,$C820,BASE!$A:$A,R$2)</f>
        <v>9</v>
      </c>
      <c r="S820" s="12">
        <f>SUMIFS(BASE!$G:$G,BASE!$B:$B,$B820,BASE!$L:$L,$G820,BASE!$J:$J,$C820,BASE!$A:$A,S$2)</f>
        <v>0</v>
      </c>
      <c r="T820" s="12">
        <f>SUMIFS(BASE!$G:$G,BASE!$B:$B,$B820,BASE!$L:$L,$G820,BASE!$J:$J,$C820,BASE!$A:$A,T$2)</f>
        <v>0</v>
      </c>
      <c r="U820" s="12">
        <f>SUMIFS(BASE!$G:$G,BASE!$B:$B,$B820,BASE!$L:$L,$G820,BASE!$J:$J,$C820,BASE!$A:$A,U$2)</f>
        <v>0</v>
      </c>
      <c r="V820" s="12">
        <f>SUMIFS(BASE!$G:$G,BASE!$B:$B,$B820,BASE!$L:$L,$G820,BASE!$J:$J,$C820,BASE!$A:$A,V$2)</f>
        <v>0</v>
      </c>
      <c r="X820" t="str">
        <f t="shared" si="25"/>
        <v>COM TROCAS</v>
      </c>
    </row>
    <row r="821" spans="2:24">
      <c r="B821" s="8" t="s">
        <v>1711</v>
      </c>
      <c r="C821" s="9" t="s">
        <v>220</v>
      </c>
      <c r="D821" s="9" t="s">
        <v>1411</v>
      </c>
      <c r="E821" s="9" t="s">
        <v>1412</v>
      </c>
      <c r="F821" s="9" t="s">
        <v>1712</v>
      </c>
      <c r="G821" s="9" t="s">
        <v>54</v>
      </c>
      <c r="H821" s="7" t="str">
        <f>IFERROR(IF(_xlfn.XLOOKUP(B821,REPASSE!D:D,REPASSE!D:D)="","Não","Sim"),"Não")</f>
        <v>Não</v>
      </c>
      <c r="I821" s="7" t="str">
        <f>IF(_xlfn.XLOOKUP(B821,'BOOST LIBERADO'!B:B,'BOOST LIBERADO'!B:B,"Não")="Não","Não","Sim")</f>
        <v>Sim</v>
      </c>
      <c r="J821" s="83" t="str">
        <f t="shared" si="24"/>
        <v>Sim</v>
      </c>
      <c r="K821" s="12">
        <f>SUMIFS(BASE!$G:$G,BASE!$B:$B,$B821,BASE!$L:$L,$G821,BASE!$J:$J,$C821,BASE!$A:$A,K$2)</f>
        <v>7</v>
      </c>
      <c r="L821" s="12">
        <f>SUMIFS(BASE!$G:$G,BASE!$B:$B,$B821,BASE!$L:$L,$G821,BASE!$J:$J,$C821,BASE!$A:$A,L$2)</f>
        <v>1</v>
      </c>
      <c r="M821" s="12">
        <f>SUMIFS(BASE!$G:$G,BASE!$B:$B,$B821,BASE!$L:$L,$G821,BASE!$J:$J,$C821,BASE!$A:$A,M$2)</f>
        <v>7</v>
      </c>
      <c r="N821" s="12">
        <f>SUMIFS(BASE!$G:$G,BASE!$B:$B,$B821,BASE!$L:$L,$G821,BASE!$J:$J,$C821,BASE!$A:$A,N$2)</f>
        <v>1</v>
      </c>
      <c r="O821" s="12">
        <f>SUMIFS(BASE!$G:$G,BASE!$B:$B,$B821,BASE!$L:$L,$G821,BASE!$J:$J,$C821,BASE!$A:$A,O$2)</f>
        <v>3</v>
      </c>
      <c r="P821" s="12">
        <f>SUMIFS(BASE!$G:$G,BASE!$B:$B,$B821,BASE!$L:$L,$G821,BASE!$J:$J,$C821,BASE!$A:$A,P$2)</f>
        <v>1</v>
      </c>
      <c r="Q821" s="12">
        <f>SUMIFS(BASE!$G:$G,BASE!$B:$B,$B821,BASE!$L:$L,$G821,BASE!$J:$J,$C821,BASE!$A:$A,Q$2)</f>
        <v>4</v>
      </c>
      <c r="R821" s="12">
        <f>SUMIFS(BASE!$G:$G,BASE!$B:$B,$B821,BASE!$L:$L,$G821,BASE!$J:$J,$C821,BASE!$A:$A,R$2)</f>
        <v>1</v>
      </c>
      <c r="S821" s="12">
        <f>SUMIFS(BASE!$G:$G,BASE!$B:$B,$B821,BASE!$L:$L,$G821,BASE!$J:$J,$C821,BASE!$A:$A,S$2)</f>
        <v>0</v>
      </c>
      <c r="T821" s="12">
        <f>SUMIFS(BASE!$G:$G,BASE!$B:$B,$B821,BASE!$L:$L,$G821,BASE!$J:$J,$C821,BASE!$A:$A,T$2)</f>
        <v>0</v>
      </c>
      <c r="U821" s="12">
        <f>SUMIFS(BASE!$G:$G,BASE!$B:$B,$B821,BASE!$L:$L,$G821,BASE!$J:$J,$C821,BASE!$A:$A,U$2)</f>
        <v>0</v>
      </c>
      <c r="V821" s="12">
        <f>SUMIFS(BASE!$G:$G,BASE!$B:$B,$B821,BASE!$L:$L,$G821,BASE!$J:$J,$C821,BASE!$A:$A,V$2)</f>
        <v>0</v>
      </c>
      <c r="X821" t="str">
        <f t="shared" si="25"/>
        <v>COM TROCAS</v>
      </c>
    </row>
    <row r="822" spans="2:24">
      <c r="B822" s="8" t="s">
        <v>1713</v>
      </c>
      <c r="C822" s="9" t="s">
        <v>232</v>
      </c>
      <c r="D822" s="9" t="s">
        <v>1411</v>
      </c>
      <c r="E822" s="9" t="s">
        <v>1412</v>
      </c>
      <c r="F822" s="9" t="s">
        <v>1540</v>
      </c>
      <c r="G822" s="9" t="s">
        <v>54</v>
      </c>
      <c r="H822" s="7" t="str">
        <f>IFERROR(IF(_xlfn.XLOOKUP(B822,REPASSE!D:D,REPASSE!D:D)="","Não","Sim"),"Não")</f>
        <v>Não</v>
      </c>
      <c r="I822" s="7" t="str">
        <f>IF(_xlfn.XLOOKUP(B822,'BOOST LIBERADO'!B:B,'BOOST LIBERADO'!B:B,"Não")="Não","Não","Sim")</f>
        <v>Sim</v>
      </c>
      <c r="J822" s="83" t="str">
        <f t="shared" si="24"/>
        <v>Sim</v>
      </c>
      <c r="K822" s="12">
        <f>SUMIFS(BASE!$G:$G,BASE!$B:$B,$B822,BASE!$L:$L,$G822,BASE!$J:$J,$C822,BASE!$A:$A,K$2)</f>
        <v>1</v>
      </c>
      <c r="L822" s="12">
        <f>SUMIFS(BASE!$G:$G,BASE!$B:$B,$B822,BASE!$L:$L,$G822,BASE!$J:$J,$C822,BASE!$A:$A,L$2)</f>
        <v>3</v>
      </c>
      <c r="M822" s="12">
        <f>SUMIFS(BASE!$G:$G,BASE!$B:$B,$B822,BASE!$L:$L,$G822,BASE!$J:$J,$C822,BASE!$A:$A,M$2)</f>
        <v>7</v>
      </c>
      <c r="N822" s="12">
        <f>SUMIFS(BASE!$G:$G,BASE!$B:$B,$B822,BASE!$L:$L,$G822,BASE!$J:$J,$C822,BASE!$A:$A,N$2)</f>
        <v>1</v>
      </c>
      <c r="O822" s="12">
        <f>SUMIFS(BASE!$G:$G,BASE!$B:$B,$B822,BASE!$L:$L,$G822,BASE!$J:$J,$C822,BASE!$A:$A,O$2)</f>
        <v>2</v>
      </c>
      <c r="P822" s="12">
        <f>SUMIFS(BASE!$G:$G,BASE!$B:$B,$B822,BASE!$L:$L,$G822,BASE!$J:$J,$C822,BASE!$A:$A,P$2)</f>
        <v>2</v>
      </c>
      <c r="Q822" s="12">
        <f>SUMIFS(BASE!$G:$G,BASE!$B:$B,$B822,BASE!$L:$L,$G822,BASE!$J:$J,$C822,BASE!$A:$A,Q$2)</f>
        <v>3</v>
      </c>
      <c r="R822" s="12">
        <f>SUMIFS(BASE!$G:$G,BASE!$B:$B,$B822,BASE!$L:$L,$G822,BASE!$J:$J,$C822,BASE!$A:$A,R$2)</f>
        <v>2</v>
      </c>
      <c r="S822" s="12">
        <f>SUMIFS(BASE!$G:$G,BASE!$B:$B,$B822,BASE!$L:$L,$G822,BASE!$J:$J,$C822,BASE!$A:$A,S$2)</f>
        <v>0</v>
      </c>
      <c r="T822" s="12">
        <f>SUMIFS(BASE!$G:$G,BASE!$B:$B,$B822,BASE!$L:$L,$G822,BASE!$J:$J,$C822,BASE!$A:$A,T$2)</f>
        <v>0</v>
      </c>
      <c r="U822" s="12">
        <f>SUMIFS(BASE!$G:$G,BASE!$B:$B,$B822,BASE!$L:$L,$G822,BASE!$J:$J,$C822,BASE!$A:$A,U$2)</f>
        <v>0</v>
      </c>
      <c r="V822" s="12">
        <f>SUMIFS(BASE!$G:$G,BASE!$B:$B,$B822,BASE!$L:$L,$G822,BASE!$J:$J,$C822,BASE!$A:$A,V$2)</f>
        <v>0</v>
      </c>
      <c r="X822" t="str">
        <f t="shared" si="25"/>
        <v>COM TROCAS</v>
      </c>
    </row>
    <row r="823" spans="2:24">
      <c r="B823" s="8" t="s">
        <v>1714</v>
      </c>
      <c r="C823" s="9" t="s">
        <v>120</v>
      </c>
      <c r="D823" s="9" t="s">
        <v>1437</v>
      </c>
      <c r="E823" s="9" t="s">
        <v>1438</v>
      </c>
      <c r="F823" s="9" t="s">
        <v>1715</v>
      </c>
      <c r="G823" s="9" t="s">
        <v>54</v>
      </c>
      <c r="H823" s="7" t="str">
        <f>IFERROR(IF(_xlfn.XLOOKUP(B823,REPASSE!D:D,REPASSE!D:D)="","Não","Sim"),"Não")</f>
        <v>Não</v>
      </c>
      <c r="I823" s="7" t="str">
        <f>IF(_xlfn.XLOOKUP(B823,'BOOST LIBERADO'!B:B,'BOOST LIBERADO'!B:B,"Não")="Não","Não","Sim")</f>
        <v>Sim</v>
      </c>
      <c r="J823" s="83" t="str">
        <f t="shared" si="24"/>
        <v>Sim</v>
      </c>
      <c r="K823" s="12">
        <f>SUMIFS(BASE!$G:$G,BASE!$B:$B,$B823,BASE!$L:$L,$G823,BASE!$J:$J,$C823,BASE!$A:$A,K$2)</f>
        <v>0</v>
      </c>
      <c r="L823" s="12">
        <f>SUMIFS(BASE!$G:$G,BASE!$B:$B,$B823,BASE!$L:$L,$G823,BASE!$J:$J,$C823,BASE!$A:$A,L$2)</f>
        <v>0</v>
      </c>
      <c r="M823" s="12">
        <f>SUMIFS(BASE!$G:$G,BASE!$B:$B,$B823,BASE!$L:$L,$G823,BASE!$J:$J,$C823,BASE!$A:$A,M$2)</f>
        <v>0</v>
      </c>
      <c r="N823" s="12">
        <f>SUMIFS(BASE!$G:$G,BASE!$B:$B,$B823,BASE!$L:$L,$G823,BASE!$J:$J,$C823,BASE!$A:$A,N$2)</f>
        <v>0</v>
      </c>
      <c r="O823" s="12">
        <f>SUMIFS(BASE!$G:$G,BASE!$B:$B,$B823,BASE!$L:$L,$G823,BASE!$J:$J,$C823,BASE!$A:$A,O$2)</f>
        <v>0</v>
      </c>
      <c r="P823" s="12">
        <f>SUMIFS(BASE!$G:$G,BASE!$B:$B,$B823,BASE!$L:$L,$G823,BASE!$J:$J,$C823,BASE!$A:$A,P$2)</f>
        <v>0</v>
      </c>
      <c r="Q823" s="12">
        <f>SUMIFS(BASE!$G:$G,BASE!$B:$B,$B823,BASE!$L:$L,$G823,BASE!$J:$J,$C823,BASE!$A:$A,Q$2)</f>
        <v>0</v>
      </c>
      <c r="R823" s="12">
        <f>SUMIFS(BASE!$G:$G,BASE!$B:$B,$B823,BASE!$L:$L,$G823,BASE!$J:$J,$C823,BASE!$A:$A,R$2)</f>
        <v>0</v>
      </c>
      <c r="S823" s="12">
        <f>SUMIFS(BASE!$G:$G,BASE!$B:$B,$B823,BASE!$L:$L,$G823,BASE!$J:$J,$C823,BASE!$A:$A,S$2)</f>
        <v>0</v>
      </c>
      <c r="T823" s="12">
        <f>SUMIFS(BASE!$G:$G,BASE!$B:$B,$B823,BASE!$L:$L,$G823,BASE!$J:$J,$C823,BASE!$A:$A,T$2)</f>
        <v>0</v>
      </c>
      <c r="U823" s="12">
        <f>SUMIFS(BASE!$G:$G,BASE!$B:$B,$B823,BASE!$L:$L,$G823,BASE!$J:$J,$C823,BASE!$A:$A,U$2)</f>
        <v>0</v>
      </c>
      <c r="V823" s="12">
        <f>SUMIFS(BASE!$G:$G,BASE!$B:$B,$B823,BASE!$L:$L,$G823,BASE!$J:$J,$C823,BASE!$A:$A,V$2)</f>
        <v>0</v>
      </c>
      <c r="X823" t="str">
        <f t="shared" si="25"/>
        <v>ZERADO</v>
      </c>
    </row>
    <row r="824" spans="2:24">
      <c r="B824" s="8" t="s">
        <v>1716</v>
      </c>
      <c r="C824" s="9" t="s">
        <v>232</v>
      </c>
      <c r="D824" s="9" t="s">
        <v>1509</v>
      </c>
      <c r="E824" s="9" t="s">
        <v>1423</v>
      </c>
      <c r="F824" s="9" t="s">
        <v>1663</v>
      </c>
      <c r="G824" s="9" t="s">
        <v>54</v>
      </c>
      <c r="H824" s="7" t="str">
        <f>IFERROR(IF(_xlfn.XLOOKUP(B824,REPASSE!D:D,REPASSE!D:D)="","Não","Sim"),"Não")</f>
        <v>Não</v>
      </c>
      <c r="I824" s="7" t="str">
        <f>IF(_xlfn.XLOOKUP(B824,'BOOST LIBERADO'!B:B,'BOOST LIBERADO'!B:B,"Não")="Não","Não","Sim")</f>
        <v>Sim</v>
      </c>
      <c r="J824" s="83" t="str">
        <f t="shared" si="24"/>
        <v>Sim</v>
      </c>
      <c r="K824" s="12">
        <f>SUMIFS(BASE!$G:$G,BASE!$B:$B,$B824,BASE!$L:$L,$G824,BASE!$J:$J,$C824,BASE!$A:$A,K$2)</f>
        <v>15</v>
      </c>
      <c r="L824" s="12">
        <f>SUMIFS(BASE!$G:$G,BASE!$B:$B,$B824,BASE!$L:$L,$G824,BASE!$J:$J,$C824,BASE!$A:$A,L$2)</f>
        <v>10</v>
      </c>
      <c r="M824" s="12">
        <f>SUMIFS(BASE!$G:$G,BASE!$B:$B,$B824,BASE!$L:$L,$G824,BASE!$J:$J,$C824,BASE!$A:$A,M$2)</f>
        <v>19</v>
      </c>
      <c r="N824" s="12">
        <f>SUMIFS(BASE!$G:$G,BASE!$B:$B,$B824,BASE!$L:$L,$G824,BASE!$J:$J,$C824,BASE!$A:$A,N$2)</f>
        <v>12</v>
      </c>
      <c r="O824" s="12">
        <f>SUMIFS(BASE!$G:$G,BASE!$B:$B,$B824,BASE!$L:$L,$G824,BASE!$J:$J,$C824,BASE!$A:$A,O$2)</f>
        <v>18</v>
      </c>
      <c r="P824" s="12">
        <f>SUMIFS(BASE!$G:$G,BASE!$B:$B,$B824,BASE!$L:$L,$G824,BASE!$J:$J,$C824,BASE!$A:$A,P$2)</f>
        <v>32</v>
      </c>
      <c r="Q824" s="12">
        <f>SUMIFS(BASE!$G:$G,BASE!$B:$B,$B824,BASE!$L:$L,$G824,BASE!$J:$J,$C824,BASE!$A:$A,Q$2)</f>
        <v>52</v>
      </c>
      <c r="R824" s="12">
        <f>SUMIFS(BASE!$G:$G,BASE!$B:$B,$B824,BASE!$L:$L,$G824,BASE!$J:$J,$C824,BASE!$A:$A,R$2)</f>
        <v>34</v>
      </c>
      <c r="S824" s="12">
        <f>SUMIFS(BASE!$G:$G,BASE!$B:$B,$B824,BASE!$L:$L,$G824,BASE!$J:$J,$C824,BASE!$A:$A,S$2)</f>
        <v>0</v>
      </c>
      <c r="T824" s="12">
        <f>SUMIFS(BASE!$G:$G,BASE!$B:$B,$B824,BASE!$L:$L,$G824,BASE!$J:$J,$C824,BASE!$A:$A,T$2)</f>
        <v>0</v>
      </c>
      <c r="U824" s="12">
        <f>SUMIFS(BASE!$G:$G,BASE!$B:$B,$B824,BASE!$L:$L,$G824,BASE!$J:$J,$C824,BASE!$A:$A,U$2)</f>
        <v>0</v>
      </c>
      <c r="V824" s="12">
        <f>SUMIFS(BASE!$G:$G,BASE!$B:$B,$B824,BASE!$L:$L,$G824,BASE!$J:$J,$C824,BASE!$A:$A,V$2)</f>
        <v>0</v>
      </c>
      <c r="X824" t="str">
        <f t="shared" si="25"/>
        <v>COM TROCAS</v>
      </c>
    </row>
    <row r="825" spans="2:24">
      <c r="B825" s="8" t="s">
        <v>1717</v>
      </c>
      <c r="C825" s="9" t="s">
        <v>232</v>
      </c>
      <c r="D825" s="9" t="s">
        <v>1565</v>
      </c>
      <c r="E825" s="9" t="s">
        <v>1438</v>
      </c>
      <c r="F825" s="9" t="s">
        <v>1718</v>
      </c>
      <c r="G825" s="9" t="s">
        <v>54</v>
      </c>
      <c r="H825" s="7" t="str">
        <f>IFERROR(IF(_xlfn.XLOOKUP(B825,REPASSE!D:D,REPASSE!D:D)="","Não","Sim"),"Não")</f>
        <v>Não</v>
      </c>
      <c r="I825" s="7" t="str">
        <f>IF(_xlfn.XLOOKUP(B825,'BOOST LIBERADO'!B:B,'BOOST LIBERADO'!B:B,"Não")="Não","Não","Sim")</f>
        <v>Sim</v>
      </c>
      <c r="J825" s="83" t="str">
        <f t="shared" si="24"/>
        <v>Sim</v>
      </c>
      <c r="K825" s="12">
        <f>SUMIFS(BASE!$G:$G,BASE!$B:$B,$B825,BASE!$L:$L,$G825,BASE!$J:$J,$C825,BASE!$A:$A,K$2)</f>
        <v>4</v>
      </c>
      <c r="L825" s="12">
        <f>SUMIFS(BASE!$G:$G,BASE!$B:$B,$B825,BASE!$L:$L,$G825,BASE!$J:$J,$C825,BASE!$A:$A,L$2)</f>
        <v>7</v>
      </c>
      <c r="M825" s="12">
        <f>SUMIFS(BASE!$G:$G,BASE!$B:$B,$B825,BASE!$L:$L,$G825,BASE!$J:$J,$C825,BASE!$A:$A,M$2)</f>
        <v>6</v>
      </c>
      <c r="N825" s="12">
        <f>SUMIFS(BASE!$G:$G,BASE!$B:$B,$B825,BASE!$L:$L,$G825,BASE!$J:$J,$C825,BASE!$A:$A,N$2)</f>
        <v>3</v>
      </c>
      <c r="O825" s="12">
        <f>SUMIFS(BASE!$G:$G,BASE!$B:$B,$B825,BASE!$L:$L,$G825,BASE!$J:$J,$C825,BASE!$A:$A,O$2)</f>
        <v>2</v>
      </c>
      <c r="P825" s="12">
        <f>SUMIFS(BASE!$G:$G,BASE!$B:$B,$B825,BASE!$L:$L,$G825,BASE!$J:$J,$C825,BASE!$A:$A,P$2)</f>
        <v>1</v>
      </c>
      <c r="Q825" s="12">
        <f>SUMIFS(BASE!$G:$G,BASE!$B:$B,$B825,BASE!$L:$L,$G825,BASE!$J:$J,$C825,BASE!$A:$A,Q$2)</f>
        <v>2</v>
      </c>
      <c r="R825" s="12">
        <f>SUMIFS(BASE!$G:$G,BASE!$B:$B,$B825,BASE!$L:$L,$G825,BASE!$J:$J,$C825,BASE!$A:$A,R$2)</f>
        <v>0</v>
      </c>
      <c r="S825" s="12">
        <f>SUMIFS(BASE!$G:$G,BASE!$B:$B,$B825,BASE!$L:$L,$G825,BASE!$J:$J,$C825,BASE!$A:$A,S$2)</f>
        <v>0</v>
      </c>
      <c r="T825" s="12">
        <f>SUMIFS(BASE!$G:$G,BASE!$B:$B,$B825,BASE!$L:$L,$G825,BASE!$J:$J,$C825,BASE!$A:$A,T$2)</f>
        <v>0</v>
      </c>
      <c r="U825" s="12">
        <f>SUMIFS(BASE!$G:$G,BASE!$B:$B,$B825,BASE!$L:$L,$G825,BASE!$J:$J,$C825,BASE!$A:$A,U$2)</f>
        <v>0</v>
      </c>
      <c r="V825" s="12">
        <f>SUMIFS(BASE!$G:$G,BASE!$B:$B,$B825,BASE!$L:$L,$G825,BASE!$J:$J,$C825,BASE!$A:$A,V$2)</f>
        <v>0</v>
      </c>
      <c r="X825" t="str">
        <f t="shared" si="25"/>
        <v>ZERADO</v>
      </c>
    </row>
    <row r="826" spans="2:24">
      <c r="B826" s="8" t="s">
        <v>1719</v>
      </c>
      <c r="C826" s="9" t="s">
        <v>106</v>
      </c>
      <c r="D826" s="9" t="s">
        <v>1419</v>
      </c>
      <c r="E826" s="9" t="s">
        <v>1412</v>
      </c>
      <c r="F826" s="9" t="s">
        <v>1557</v>
      </c>
      <c r="G826" s="9" t="s">
        <v>54</v>
      </c>
      <c r="H826" s="7" t="str">
        <f>IFERROR(IF(_xlfn.XLOOKUP(B826,REPASSE!D:D,REPASSE!D:D)="","Não","Sim"),"Não")</f>
        <v>Não</v>
      </c>
      <c r="I826" s="7" t="str">
        <f>IF(_xlfn.XLOOKUP(B826,'BOOST LIBERADO'!B:B,'BOOST LIBERADO'!B:B,"Não")="Não","Não","Sim")</f>
        <v>Sim</v>
      </c>
      <c r="J826" s="83" t="str">
        <f t="shared" si="24"/>
        <v>Sim</v>
      </c>
      <c r="K826" s="12">
        <f>SUMIFS(BASE!$G:$G,BASE!$B:$B,$B826,BASE!$L:$L,$G826,BASE!$J:$J,$C826,BASE!$A:$A,K$2)</f>
        <v>0</v>
      </c>
      <c r="L826" s="12">
        <f>SUMIFS(BASE!$G:$G,BASE!$B:$B,$B826,BASE!$L:$L,$G826,BASE!$J:$J,$C826,BASE!$A:$A,L$2)</f>
        <v>0</v>
      </c>
      <c r="M826" s="12">
        <f>SUMIFS(BASE!$G:$G,BASE!$B:$B,$B826,BASE!$L:$L,$G826,BASE!$J:$J,$C826,BASE!$A:$A,M$2)</f>
        <v>5</v>
      </c>
      <c r="N826" s="12">
        <f>SUMIFS(BASE!$G:$G,BASE!$B:$B,$B826,BASE!$L:$L,$G826,BASE!$J:$J,$C826,BASE!$A:$A,N$2)</f>
        <v>6</v>
      </c>
      <c r="O826" s="12">
        <f>SUMIFS(BASE!$G:$G,BASE!$B:$B,$B826,BASE!$L:$L,$G826,BASE!$J:$J,$C826,BASE!$A:$A,O$2)</f>
        <v>15</v>
      </c>
      <c r="P826" s="12">
        <f>SUMIFS(BASE!$G:$G,BASE!$B:$B,$B826,BASE!$L:$L,$G826,BASE!$J:$J,$C826,BASE!$A:$A,P$2)</f>
        <v>19</v>
      </c>
      <c r="Q826" s="12">
        <f>SUMIFS(BASE!$G:$G,BASE!$B:$B,$B826,BASE!$L:$L,$G826,BASE!$J:$J,$C826,BASE!$A:$A,Q$2)</f>
        <v>33</v>
      </c>
      <c r="R826" s="12">
        <f>SUMIFS(BASE!$G:$G,BASE!$B:$B,$B826,BASE!$L:$L,$G826,BASE!$J:$J,$C826,BASE!$A:$A,R$2)</f>
        <v>18</v>
      </c>
      <c r="S826" s="12">
        <f>SUMIFS(BASE!$G:$G,BASE!$B:$B,$B826,BASE!$L:$L,$G826,BASE!$J:$J,$C826,BASE!$A:$A,S$2)</f>
        <v>0</v>
      </c>
      <c r="T826" s="12">
        <f>SUMIFS(BASE!$G:$G,BASE!$B:$B,$B826,BASE!$L:$L,$G826,BASE!$J:$J,$C826,BASE!$A:$A,T$2)</f>
        <v>0</v>
      </c>
      <c r="U826" s="12">
        <f>SUMIFS(BASE!$G:$G,BASE!$B:$B,$B826,BASE!$L:$L,$G826,BASE!$J:$J,$C826,BASE!$A:$A,U$2)</f>
        <v>0</v>
      </c>
      <c r="V826" s="12">
        <f>SUMIFS(BASE!$G:$G,BASE!$B:$B,$B826,BASE!$L:$L,$G826,BASE!$J:$J,$C826,BASE!$A:$A,V$2)</f>
        <v>0</v>
      </c>
      <c r="X826" t="str">
        <f t="shared" si="25"/>
        <v>COM TROCAS</v>
      </c>
    </row>
    <row r="827" spans="2:24">
      <c r="B827" s="8" t="s">
        <v>1720</v>
      </c>
      <c r="C827" s="9" t="s">
        <v>106</v>
      </c>
      <c r="D827" s="9" t="s">
        <v>1434</v>
      </c>
      <c r="E827" s="9" t="s">
        <v>1423</v>
      </c>
      <c r="F827" s="9" t="s">
        <v>1435</v>
      </c>
      <c r="G827" s="9" t="s">
        <v>54</v>
      </c>
      <c r="H827" s="7" t="str">
        <f>IFERROR(IF(_xlfn.XLOOKUP(B827,REPASSE!D:D,REPASSE!D:D)="","Não","Sim"),"Não")</f>
        <v>Não</v>
      </c>
      <c r="I827" s="7" t="str">
        <f>IF(_xlfn.XLOOKUP(B827,'BOOST LIBERADO'!B:B,'BOOST LIBERADO'!B:B,"Não")="Não","Não","Sim")</f>
        <v>Sim</v>
      </c>
      <c r="J827" s="83" t="str">
        <f t="shared" si="24"/>
        <v>Sim</v>
      </c>
      <c r="K827" s="12">
        <f>SUMIFS(BASE!$G:$G,BASE!$B:$B,$B827,BASE!$L:$L,$G827,BASE!$J:$J,$C827,BASE!$A:$A,K$2)</f>
        <v>0</v>
      </c>
      <c r="L827" s="12">
        <f>SUMIFS(BASE!$G:$G,BASE!$B:$B,$B827,BASE!$L:$L,$G827,BASE!$J:$J,$C827,BASE!$A:$A,L$2)</f>
        <v>0</v>
      </c>
      <c r="M827" s="12">
        <f>SUMIFS(BASE!$G:$G,BASE!$B:$B,$B827,BASE!$L:$L,$G827,BASE!$J:$J,$C827,BASE!$A:$A,M$2)</f>
        <v>0</v>
      </c>
      <c r="N827" s="12">
        <f>SUMIFS(BASE!$G:$G,BASE!$B:$B,$B827,BASE!$L:$L,$G827,BASE!$J:$J,$C827,BASE!$A:$A,N$2)</f>
        <v>0</v>
      </c>
      <c r="O827" s="12">
        <f>SUMIFS(BASE!$G:$G,BASE!$B:$B,$B827,BASE!$L:$L,$G827,BASE!$J:$J,$C827,BASE!$A:$A,O$2)</f>
        <v>0</v>
      </c>
      <c r="P827" s="12">
        <f>SUMIFS(BASE!$G:$G,BASE!$B:$B,$B827,BASE!$L:$L,$G827,BASE!$J:$J,$C827,BASE!$A:$A,P$2)</f>
        <v>0</v>
      </c>
      <c r="Q827" s="12">
        <f>SUMIFS(BASE!$G:$G,BASE!$B:$B,$B827,BASE!$L:$L,$G827,BASE!$J:$J,$C827,BASE!$A:$A,Q$2)</f>
        <v>0</v>
      </c>
      <c r="R827" s="12">
        <f>SUMIFS(BASE!$G:$G,BASE!$B:$B,$B827,BASE!$L:$L,$G827,BASE!$J:$J,$C827,BASE!$A:$A,R$2)</f>
        <v>0</v>
      </c>
      <c r="S827" s="12">
        <f>SUMIFS(BASE!$G:$G,BASE!$B:$B,$B827,BASE!$L:$L,$G827,BASE!$J:$J,$C827,BASE!$A:$A,S$2)</f>
        <v>0</v>
      </c>
      <c r="T827" s="12">
        <f>SUMIFS(BASE!$G:$G,BASE!$B:$B,$B827,BASE!$L:$L,$G827,BASE!$J:$J,$C827,BASE!$A:$A,T$2)</f>
        <v>0</v>
      </c>
      <c r="U827" s="12">
        <f>SUMIFS(BASE!$G:$G,BASE!$B:$B,$B827,BASE!$L:$L,$G827,BASE!$J:$J,$C827,BASE!$A:$A,U$2)</f>
        <v>0</v>
      </c>
      <c r="V827" s="12">
        <f>SUMIFS(BASE!$G:$G,BASE!$B:$B,$B827,BASE!$L:$L,$G827,BASE!$J:$J,$C827,BASE!$A:$A,V$2)</f>
        <v>0</v>
      </c>
      <c r="X827" t="str">
        <f t="shared" si="25"/>
        <v>ZERADO</v>
      </c>
    </row>
    <row r="828" spans="2:24">
      <c r="B828" s="8" t="s">
        <v>1721</v>
      </c>
      <c r="C828" s="9" t="s">
        <v>112</v>
      </c>
      <c r="D828" s="9" t="s">
        <v>1488</v>
      </c>
      <c r="E828" s="9" t="s">
        <v>1438</v>
      </c>
      <c r="F828" s="9" t="s">
        <v>1722</v>
      </c>
      <c r="G828" s="9" t="s">
        <v>54</v>
      </c>
      <c r="H828" s="7" t="str">
        <f>IFERROR(IF(_xlfn.XLOOKUP(B828,REPASSE!D:D,REPASSE!D:D)="","Não","Sim"),"Não")</f>
        <v>Não</v>
      </c>
      <c r="I828" s="7" t="str">
        <f>IF(_xlfn.XLOOKUP(B828,'BOOST LIBERADO'!B:B,'BOOST LIBERADO'!B:B,"Não")="Não","Não","Sim")</f>
        <v>Sim</v>
      </c>
      <c r="J828" s="83" t="str">
        <f t="shared" si="24"/>
        <v>Sim</v>
      </c>
      <c r="K828" s="12">
        <f>SUMIFS(BASE!$G:$G,BASE!$B:$B,$B828,BASE!$L:$L,$G828,BASE!$J:$J,$C828,BASE!$A:$A,K$2)</f>
        <v>0</v>
      </c>
      <c r="L828" s="12">
        <f>SUMIFS(BASE!$G:$G,BASE!$B:$B,$B828,BASE!$L:$L,$G828,BASE!$J:$J,$C828,BASE!$A:$A,L$2)</f>
        <v>0</v>
      </c>
      <c r="M828" s="12">
        <f>SUMIFS(BASE!$G:$G,BASE!$B:$B,$B828,BASE!$L:$L,$G828,BASE!$J:$J,$C828,BASE!$A:$A,M$2)</f>
        <v>0</v>
      </c>
      <c r="N828" s="12">
        <f>SUMIFS(BASE!$G:$G,BASE!$B:$B,$B828,BASE!$L:$L,$G828,BASE!$J:$J,$C828,BASE!$A:$A,N$2)</f>
        <v>1</v>
      </c>
      <c r="O828" s="12">
        <f>SUMIFS(BASE!$G:$G,BASE!$B:$B,$B828,BASE!$L:$L,$G828,BASE!$J:$J,$C828,BASE!$A:$A,O$2)</f>
        <v>2</v>
      </c>
      <c r="P828" s="12">
        <f>SUMIFS(BASE!$G:$G,BASE!$B:$B,$B828,BASE!$L:$L,$G828,BASE!$J:$J,$C828,BASE!$A:$A,P$2)</f>
        <v>4</v>
      </c>
      <c r="Q828" s="12">
        <f>SUMIFS(BASE!$G:$G,BASE!$B:$B,$B828,BASE!$L:$L,$G828,BASE!$J:$J,$C828,BASE!$A:$A,Q$2)</f>
        <v>9</v>
      </c>
      <c r="R828" s="12">
        <f>SUMIFS(BASE!$G:$G,BASE!$B:$B,$B828,BASE!$L:$L,$G828,BASE!$J:$J,$C828,BASE!$A:$A,R$2)</f>
        <v>3</v>
      </c>
      <c r="S828" s="12">
        <f>SUMIFS(BASE!$G:$G,BASE!$B:$B,$B828,BASE!$L:$L,$G828,BASE!$J:$J,$C828,BASE!$A:$A,S$2)</f>
        <v>0</v>
      </c>
      <c r="T828" s="12">
        <f>SUMIFS(BASE!$G:$G,BASE!$B:$B,$B828,BASE!$L:$L,$G828,BASE!$J:$J,$C828,BASE!$A:$A,T$2)</f>
        <v>0</v>
      </c>
      <c r="U828" s="12">
        <f>SUMIFS(BASE!$G:$G,BASE!$B:$B,$B828,BASE!$L:$L,$G828,BASE!$J:$J,$C828,BASE!$A:$A,U$2)</f>
        <v>0</v>
      </c>
      <c r="V828" s="12">
        <f>SUMIFS(BASE!$G:$G,BASE!$B:$B,$B828,BASE!$L:$L,$G828,BASE!$J:$J,$C828,BASE!$A:$A,V$2)</f>
        <v>0</v>
      </c>
      <c r="X828" t="str">
        <f t="shared" si="25"/>
        <v>COM TROCAS</v>
      </c>
    </row>
    <row r="829" spans="2:24">
      <c r="B829" s="8" t="s">
        <v>1723</v>
      </c>
      <c r="C829" s="9" t="s">
        <v>232</v>
      </c>
      <c r="D829" s="9" t="s">
        <v>1411</v>
      </c>
      <c r="E829" s="9" t="s">
        <v>1412</v>
      </c>
      <c r="F829" s="9" t="s">
        <v>1451</v>
      </c>
      <c r="G829" s="9" t="s">
        <v>54</v>
      </c>
      <c r="H829" s="7" t="str">
        <f>IFERROR(IF(_xlfn.XLOOKUP(B829,REPASSE!D:D,REPASSE!D:D)="","Não","Sim"),"Não")</f>
        <v>Não</v>
      </c>
      <c r="I829" s="7" t="str">
        <f>IF(_xlfn.XLOOKUP(B829,'BOOST LIBERADO'!B:B,'BOOST LIBERADO'!B:B,"Não")="Não","Não","Sim")</f>
        <v>Sim</v>
      </c>
      <c r="J829" s="83" t="str">
        <f t="shared" si="24"/>
        <v>Sim</v>
      </c>
      <c r="K829" s="12">
        <f>SUMIFS(BASE!$G:$G,BASE!$B:$B,$B829,BASE!$L:$L,$G829,BASE!$J:$J,$C829,BASE!$A:$A,K$2)</f>
        <v>7</v>
      </c>
      <c r="L829" s="12">
        <f>SUMIFS(BASE!$G:$G,BASE!$B:$B,$B829,BASE!$L:$L,$G829,BASE!$J:$J,$C829,BASE!$A:$A,L$2)</f>
        <v>7</v>
      </c>
      <c r="M829" s="12">
        <f>SUMIFS(BASE!$G:$G,BASE!$B:$B,$B829,BASE!$L:$L,$G829,BASE!$J:$J,$C829,BASE!$A:$A,M$2)</f>
        <v>13</v>
      </c>
      <c r="N829" s="12">
        <f>SUMIFS(BASE!$G:$G,BASE!$B:$B,$B829,BASE!$L:$L,$G829,BASE!$J:$J,$C829,BASE!$A:$A,N$2)</f>
        <v>15</v>
      </c>
      <c r="O829" s="12">
        <f>SUMIFS(BASE!$G:$G,BASE!$B:$B,$B829,BASE!$L:$L,$G829,BASE!$J:$J,$C829,BASE!$A:$A,O$2)</f>
        <v>21</v>
      </c>
      <c r="P829" s="12">
        <f>SUMIFS(BASE!$G:$G,BASE!$B:$B,$B829,BASE!$L:$L,$G829,BASE!$J:$J,$C829,BASE!$A:$A,P$2)</f>
        <v>19</v>
      </c>
      <c r="Q829" s="12">
        <f>SUMIFS(BASE!$G:$G,BASE!$B:$B,$B829,BASE!$L:$L,$G829,BASE!$J:$J,$C829,BASE!$A:$A,Q$2)</f>
        <v>21</v>
      </c>
      <c r="R829" s="12">
        <f>SUMIFS(BASE!$G:$G,BASE!$B:$B,$B829,BASE!$L:$L,$G829,BASE!$J:$J,$C829,BASE!$A:$A,R$2)</f>
        <v>15</v>
      </c>
      <c r="S829" s="12">
        <f>SUMIFS(BASE!$G:$G,BASE!$B:$B,$B829,BASE!$L:$L,$G829,BASE!$J:$J,$C829,BASE!$A:$A,S$2)</f>
        <v>0</v>
      </c>
      <c r="T829" s="12">
        <f>SUMIFS(BASE!$G:$G,BASE!$B:$B,$B829,BASE!$L:$L,$G829,BASE!$J:$J,$C829,BASE!$A:$A,T$2)</f>
        <v>0</v>
      </c>
      <c r="U829" s="12">
        <f>SUMIFS(BASE!$G:$G,BASE!$B:$B,$B829,BASE!$L:$L,$G829,BASE!$J:$J,$C829,BASE!$A:$A,U$2)</f>
        <v>0</v>
      </c>
      <c r="V829" s="12">
        <f>SUMIFS(BASE!$G:$G,BASE!$B:$B,$B829,BASE!$L:$L,$G829,BASE!$J:$J,$C829,BASE!$A:$A,V$2)</f>
        <v>0</v>
      </c>
      <c r="X829" t="str">
        <f t="shared" si="25"/>
        <v>COM TROCAS</v>
      </c>
    </row>
    <row r="830" spans="2:24">
      <c r="B830" s="8" t="s">
        <v>1724</v>
      </c>
      <c r="C830" s="9" t="s">
        <v>106</v>
      </c>
      <c r="D830" s="9" t="s">
        <v>1443</v>
      </c>
      <c r="E830" s="9" t="s">
        <v>1416</v>
      </c>
      <c r="F830" s="9" t="s">
        <v>1725</v>
      </c>
      <c r="G830" s="9" t="s">
        <v>54</v>
      </c>
      <c r="H830" s="7" t="str">
        <f>IFERROR(IF(_xlfn.XLOOKUP(B830,REPASSE!D:D,REPASSE!D:D)="","Não","Sim"),"Não")</f>
        <v>Não</v>
      </c>
      <c r="I830" s="7" t="str">
        <f>IF(_xlfn.XLOOKUP(B830,'BOOST LIBERADO'!B:B,'BOOST LIBERADO'!B:B,"Não")="Não","Não","Sim")</f>
        <v>Sim</v>
      </c>
      <c r="J830" s="83" t="str">
        <f t="shared" si="24"/>
        <v>Sim</v>
      </c>
      <c r="K830" s="12">
        <f>SUMIFS(BASE!$G:$G,BASE!$B:$B,$B830,BASE!$L:$L,$G830,BASE!$J:$J,$C830,BASE!$A:$A,K$2)</f>
        <v>0</v>
      </c>
      <c r="L830" s="12">
        <f>SUMIFS(BASE!$G:$G,BASE!$B:$B,$B830,BASE!$L:$L,$G830,BASE!$J:$J,$C830,BASE!$A:$A,L$2)</f>
        <v>0</v>
      </c>
      <c r="M830" s="12">
        <f>SUMIFS(BASE!$G:$G,BASE!$B:$B,$B830,BASE!$L:$L,$G830,BASE!$J:$J,$C830,BASE!$A:$A,M$2)</f>
        <v>0</v>
      </c>
      <c r="N830" s="12">
        <f>SUMIFS(BASE!$G:$G,BASE!$B:$B,$B830,BASE!$L:$L,$G830,BASE!$J:$J,$C830,BASE!$A:$A,N$2)</f>
        <v>0</v>
      </c>
      <c r="O830" s="12">
        <f>SUMIFS(BASE!$G:$G,BASE!$B:$B,$B830,BASE!$L:$L,$G830,BASE!$J:$J,$C830,BASE!$A:$A,O$2)</f>
        <v>0</v>
      </c>
      <c r="P830" s="12">
        <f>SUMIFS(BASE!$G:$G,BASE!$B:$B,$B830,BASE!$L:$L,$G830,BASE!$J:$J,$C830,BASE!$A:$A,P$2)</f>
        <v>0</v>
      </c>
      <c r="Q830" s="12">
        <f>SUMIFS(BASE!$G:$G,BASE!$B:$B,$B830,BASE!$L:$L,$G830,BASE!$J:$J,$C830,BASE!$A:$A,Q$2)</f>
        <v>0</v>
      </c>
      <c r="R830" s="12">
        <f>SUMIFS(BASE!$G:$G,BASE!$B:$B,$B830,BASE!$L:$L,$G830,BASE!$J:$J,$C830,BASE!$A:$A,R$2)</f>
        <v>0</v>
      </c>
      <c r="S830" s="12">
        <f>SUMIFS(BASE!$G:$G,BASE!$B:$B,$B830,BASE!$L:$L,$G830,BASE!$J:$J,$C830,BASE!$A:$A,S$2)</f>
        <v>0</v>
      </c>
      <c r="T830" s="12">
        <f>SUMIFS(BASE!$G:$G,BASE!$B:$B,$B830,BASE!$L:$L,$G830,BASE!$J:$J,$C830,BASE!$A:$A,T$2)</f>
        <v>0</v>
      </c>
      <c r="U830" s="12">
        <f>SUMIFS(BASE!$G:$G,BASE!$B:$B,$B830,BASE!$L:$L,$G830,BASE!$J:$J,$C830,BASE!$A:$A,U$2)</f>
        <v>0</v>
      </c>
      <c r="V830" s="12">
        <f>SUMIFS(BASE!$G:$G,BASE!$B:$B,$B830,BASE!$L:$L,$G830,BASE!$J:$J,$C830,BASE!$A:$A,V$2)</f>
        <v>0</v>
      </c>
      <c r="X830" t="str">
        <f t="shared" si="25"/>
        <v>ZERADO</v>
      </c>
    </row>
    <row r="831" spans="2:24">
      <c r="B831" s="8" t="s">
        <v>1726</v>
      </c>
      <c r="C831" s="9" t="s">
        <v>150</v>
      </c>
      <c r="D831" s="9" t="s">
        <v>1565</v>
      </c>
      <c r="E831" s="9" t="s">
        <v>1438</v>
      </c>
      <c r="F831" s="9" t="s">
        <v>1727</v>
      </c>
      <c r="G831" s="9" t="s">
        <v>54</v>
      </c>
      <c r="H831" s="7" t="str">
        <f>IFERROR(IF(_xlfn.XLOOKUP(B831,REPASSE!D:D,REPASSE!D:D)="","Não","Sim"),"Não")</f>
        <v>Não</v>
      </c>
      <c r="I831" s="7" t="str">
        <f>IF(_xlfn.XLOOKUP(B831,'BOOST LIBERADO'!B:B,'BOOST LIBERADO'!B:B,"Não")="Não","Não","Sim")</f>
        <v>Sim</v>
      </c>
      <c r="J831" s="83" t="str">
        <f t="shared" si="24"/>
        <v>Sim</v>
      </c>
      <c r="K831" s="12">
        <f>SUMIFS(BASE!$G:$G,BASE!$B:$B,$B831,BASE!$L:$L,$G831,BASE!$J:$J,$C831,BASE!$A:$A,K$2)</f>
        <v>0</v>
      </c>
      <c r="L831" s="12">
        <f>SUMIFS(BASE!$G:$G,BASE!$B:$B,$B831,BASE!$L:$L,$G831,BASE!$J:$J,$C831,BASE!$A:$A,L$2)</f>
        <v>0</v>
      </c>
      <c r="M831" s="12">
        <f>SUMIFS(BASE!$G:$G,BASE!$B:$B,$B831,BASE!$L:$L,$G831,BASE!$J:$J,$C831,BASE!$A:$A,M$2)</f>
        <v>0</v>
      </c>
      <c r="N831" s="12">
        <f>SUMIFS(BASE!$G:$G,BASE!$B:$B,$B831,BASE!$L:$L,$G831,BASE!$J:$J,$C831,BASE!$A:$A,N$2)</f>
        <v>0</v>
      </c>
      <c r="O831" s="12">
        <f>SUMIFS(BASE!$G:$G,BASE!$B:$B,$B831,BASE!$L:$L,$G831,BASE!$J:$J,$C831,BASE!$A:$A,O$2)</f>
        <v>0</v>
      </c>
      <c r="P831" s="12">
        <f>SUMIFS(BASE!$G:$G,BASE!$B:$B,$B831,BASE!$L:$L,$G831,BASE!$J:$J,$C831,BASE!$A:$A,P$2)</f>
        <v>0</v>
      </c>
      <c r="Q831" s="12">
        <f>SUMIFS(BASE!$G:$G,BASE!$B:$B,$B831,BASE!$L:$L,$G831,BASE!$J:$J,$C831,BASE!$A:$A,Q$2)</f>
        <v>0</v>
      </c>
      <c r="R831" s="12">
        <f>SUMIFS(BASE!$G:$G,BASE!$B:$B,$B831,BASE!$L:$L,$G831,BASE!$J:$J,$C831,BASE!$A:$A,R$2)</f>
        <v>0</v>
      </c>
      <c r="S831" s="12">
        <f>SUMIFS(BASE!$G:$G,BASE!$B:$B,$B831,BASE!$L:$L,$G831,BASE!$J:$J,$C831,BASE!$A:$A,S$2)</f>
        <v>0</v>
      </c>
      <c r="T831" s="12">
        <f>SUMIFS(BASE!$G:$G,BASE!$B:$B,$B831,BASE!$L:$L,$G831,BASE!$J:$J,$C831,BASE!$A:$A,T$2)</f>
        <v>0</v>
      </c>
      <c r="U831" s="12">
        <f>SUMIFS(BASE!$G:$G,BASE!$B:$B,$B831,BASE!$L:$L,$G831,BASE!$J:$J,$C831,BASE!$A:$A,U$2)</f>
        <v>0</v>
      </c>
      <c r="V831" s="12">
        <f>SUMIFS(BASE!$G:$G,BASE!$B:$B,$B831,BASE!$L:$L,$G831,BASE!$J:$J,$C831,BASE!$A:$A,V$2)</f>
        <v>0</v>
      </c>
      <c r="X831" t="str">
        <f t="shared" si="25"/>
        <v>ZERADO</v>
      </c>
    </row>
    <row r="832" spans="2:24">
      <c r="B832" s="8" t="s">
        <v>1728</v>
      </c>
      <c r="C832" s="9" t="s">
        <v>106</v>
      </c>
      <c r="D832" s="9" t="s">
        <v>1422</v>
      </c>
      <c r="E832" s="9" t="s">
        <v>1423</v>
      </c>
      <c r="F832" s="9" t="s">
        <v>1729</v>
      </c>
      <c r="G832" s="9" t="s">
        <v>54</v>
      </c>
      <c r="H832" s="7" t="str">
        <f>IFERROR(IF(_xlfn.XLOOKUP(B832,REPASSE!D:D,REPASSE!D:D)="","Não","Sim"),"Não")</f>
        <v>Não</v>
      </c>
      <c r="I832" s="7" t="str">
        <f>IF(_xlfn.XLOOKUP(B832,'BOOST LIBERADO'!B:B,'BOOST LIBERADO'!B:B,"Não")="Não","Não","Sim")</f>
        <v>Sim</v>
      </c>
      <c r="J832" s="83" t="str">
        <f t="shared" si="24"/>
        <v>Sim</v>
      </c>
      <c r="K832" s="12">
        <f>SUMIFS(BASE!$G:$G,BASE!$B:$B,$B832,BASE!$L:$L,$G832,BASE!$J:$J,$C832,BASE!$A:$A,K$2)</f>
        <v>0</v>
      </c>
      <c r="L832" s="12">
        <f>SUMIFS(BASE!$G:$G,BASE!$B:$B,$B832,BASE!$L:$L,$G832,BASE!$J:$J,$C832,BASE!$A:$A,L$2)</f>
        <v>0</v>
      </c>
      <c r="M832" s="12">
        <f>SUMIFS(BASE!$G:$G,BASE!$B:$B,$B832,BASE!$L:$L,$G832,BASE!$J:$J,$C832,BASE!$A:$A,M$2)</f>
        <v>0</v>
      </c>
      <c r="N832" s="12">
        <f>SUMIFS(BASE!$G:$G,BASE!$B:$B,$B832,BASE!$L:$L,$G832,BASE!$J:$J,$C832,BASE!$A:$A,N$2)</f>
        <v>0</v>
      </c>
      <c r="O832" s="12">
        <f>SUMIFS(BASE!$G:$G,BASE!$B:$B,$B832,BASE!$L:$L,$G832,BASE!$J:$J,$C832,BASE!$A:$A,O$2)</f>
        <v>0</v>
      </c>
      <c r="P832" s="12">
        <f>SUMIFS(BASE!$G:$G,BASE!$B:$B,$B832,BASE!$L:$L,$G832,BASE!$J:$J,$C832,BASE!$A:$A,P$2)</f>
        <v>0</v>
      </c>
      <c r="Q832" s="12">
        <f>SUMIFS(BASE!$G:$G,BASE!$B:$B,$B832,BASE!$L:$L,$G832,BASE!$J:$J,$C832,BASE!$A:$A,Q$2)</f>
        <v>0</v>
      </c>
      <c r="R832" s="12">
        <f>SUMIFS(BASE!$G:$G,BASE!$B:$B,$B832,BASE!$L:$L,$G832,BASE!$J:$J,$C832,BASE!$A:$A,R$2)</f>
        <v>0</v>
      </c>
      <c r="S832" s="12">
        <f>SUMIFS(BASE!$G:$G,BASE!$B:$B,$B832,BASE!$L:$L,$G832,BASE!$J:$J,$C832,BASE!$A:$A,S$2)</f>
        <v>0</v>
      </c>
      <c r="T832" s="12">
        <f>SUMIFS(BASE!$G:$G,BASE!$B:$B,$B832,BASE!$L:$L,$G832,BASE!$J:$J,$C832,BASE!$A:$A,T$2)</f>
        <v>0</v>
      </c>
      <c r="U832" s="12">
        <f>SUMIFS(BASE!$G:$G,BASE!$B:$B,$B832,BASE!$L:$L,$G832,BASE!$J:$J,$C832,BASE!$A:$A,U$2)</f>
        <v>0</v>
      </c>
      <c r="V832" s="12">
        <f>SUMIFS(BASE!$G:$G,BASE!$B:$B,$B832,BASE!$L:$L,$G832,BASE!$J:$J,$C832,BASE!$A:$A,V$2)</f>
        <v>0</v>
      </c>
      <c r="X832" t="str">
        <f t="shared" si="25"/>
        <v>ZERADO</v>
      </c>
    </row>
    <row r="833" spans="2:24">
      <c r="B833" s="8" t="s">
        <v>1730</v>
      </c>
      <c r="C833" s="9" t="s">
        <v>220</v>
      </c>
      <c r="D833" s="9" t="s">
        <v>1502</v>
      </c>
      <c r="E833" s="9" t="s">
        <v>1423</v>
      </c>
      <c r="F833" s="9" t="s">
        <v>1731</v>
      </c>
      <c r="G833" s="9" t="s">
        <v>54</v>
      </c>
      <c r="H833" s="7" t="str">
        <f>IFERROR(IF(_xlfn.XLOOKUP(B833,REPASSE!D:D,REPASSE!D:D)="","Não","Sim"),"Não")</f>
        <v>Não</v>
      </c>
      <c r="I833" s="7" t="str">
        <f>IF(_xlfn.XLOOKUP(B833,'BOOST LIBERADO'!B:B,'BOOST LIBERADO'!B:B,"Não")="Não","Não","Sim")</f>
        <v>Sim</v>
      </c>
      <c r="J833" s="83" t="str">
        <f t="shared" si="24"/>
        <v>Sim</v>
      </c>
      <c r="K833" s="12">
        <f>SUMIFS(BASE!$G:$G,BASE!$B:$B,$B833,BASE!$L:$L,$G833,BASE!$J:$J,$C833,BASE!$A:$A,K$2)</f>
        <v>0</v>
      </c>
      <c r="L833" s="12">
        <f>SUMIFS(BASE!$G:$G,BASE!$B:$B,$B833,BASE!$L:$L,$G833,BASE!$J:$J,$C833,BASE!$A:$A,L$2)</f>
        <v>0</v>
      </c>
      <c r="M833" s="12">
        <f>SUMIFS(BASE!$G:$G,BASE!$B:$B,$B833,BASE!$L:$L,$G833,BASE!$J:$J,$C833,BASE!$A:$A,M$2)</f>
        <v>0</v>
      </c>
      <c r="N833" s="12">
        <f>SUMIFS(BASE!$G:$G,BASE!$B:$B,$B833,BASE!$L:$L,$G833,BASE!$J:$J,$C833,BASE!$A:$A,N$2)</f>
        <v>0</v>
      </c>
      <c r="O833" s="12">
        <f>SUMIFS(BASE!$G:$G,BASE!$B:$B,$B833,BASE!$L:$L,$G833,BASE!$J:$J,$C833,BASE!$A:$A,O$2)</f>
        <v>0</v>
      </c>
      <c r="P833" s="12">
        <f>SUMIFS(BASE!$G:$G,BASE!$B:$B,$B833,BASE!$L:$L,$G833,BASE!$J:$J,$C833,BASE!$A:$A,P$2)</f>
        <v>0</v>
      </c>
      <c r="Q833" s="12">
        <f>SUMIFS(BASE!$G:$G,BASE!$B:$B,$B833,BASE!$L:$L,$G833,BASE!$J:$J,$C833,BASE!$A:$A,Q$2)</f>
        <v>0</v>
      </c>
      <c r="R833" s="12">
        <f>SUMIFS(BASE!$G:$G,BASE!$B:$B,$B833,BASE!$L:$L,$G833,BASE!$J:$J,$C833,BASE!$A:$A,R$2)</f>
        <v>0</v>
      </c>
      <c r="S833" s="12">
        <f>SUMIFS(BASE!$G:$G,BASE!$B:$B,$B833,BASE!$L:$L,$G833,BASE!$J:$J,$C833,BASE!$A:$A,S$2)</f>
        <v>0</v>
      </c>
      <c r="T833" s="12">
        <f>SUMIFS(BASE!$G:$G,BASE!$B:$B,$B833,BASE!$L:$L,$G833,BASE!$J:$J,$C833,BASE!$A:$A,T$2)</f>
        <v>0</v>
      </c>
      <c r="U833" s="12">
        <f>SUMIFS(BASE!$G:$G,BASE!$B:$B,$B833,BASE!$L:$L,$G833,BASE!$J:$J,$C833,BASE!$A:$A,U$2)</f>
        <v>0</v>
      </c>
      <c r="V833" s="12">
        <f>SUMIFS(BASE!$G:$G,BASE!$B:$B,$B833,BASE!$L:$L,$G833,BASE!$J:$J,$C833,BASE!$A:$A,V$2)</f>
        <v>0</v>
      </c>
      <c r="X833" t="str">
        <f t="shared" si="25"/>
        <v>ZERADO</v>
      </c>
    </row>
    <row r="834" spans="2:24">
      <c r="B834" s="8" t="s">
        <v>1732</v>
      </c>
      <c r="C834" s="9" t="s">
        <v>106</v>
      </c>
      <c r="D834" s="9" t="s">
        <v>1514</v>
      </c>
      <c r="E834" s="9" t="s">
        <v>1438</v>
      </c>
      <c r="F834" s="9" t="s">
        <v>1593</v>
      </c>
      <c r="G834" s="9" t="s">
        <v>54</v>
      </c>
      <c r="H834" s="7" t="str">
        <f>IFERROR(IF(_xlfn.XLOOKUP(B834,REPASSE!D:D,REPASSE!D:D)="","Não","Sim"),"Não")</f>
        <v>Não</v>
      </c>
      <c r="I834" s="7" t="str">
        <f>IF(_xlfn.XLOOKUP(B834,'BOOST LIBERADO'!B:B,'BOOST LIBERADO'!B:B,"Não")="Não","Não","Sim")</f>
        <v>Sim</v>
      </c>
      <c r="J834" s="83" t="str">
        <f t="shared" si="24"/>
        <v>Sim</v>
      </c>
      <c r="K834" s="12">
        <f>SUMIFS(BASE!$G:$G,BASE!$B:$B,$B834,BASE!$L:$L,$G834,BASE!$J:$J,$C834,BASE!$A:$A,K$2)</f>
        <v>0</v>
      </c>
      <c r="L834" s="12">
        <f>SUMIFS(BASE!$G:$G,BASE!$B:$B,$B834,BASE!$L:$L,$G834,BASE!$J:$J,$C834,BASE!$A:$A,L$2)</f>
        <v>0</v>
      </c>
      <c r="M834" s="12">
        <f>SUMIFS(BASE!$G:$G,BASE!$B:$B,$B834,BASE!$L:$L,$G834,BASE!$J:$J,$C834,BASE!$A:$A,M$2)</f>
        <v>0</v>
      </c>
      <c r="N834" s="12">
        <f>SUMIFS(BASE!$G:$G,BASE!$B:$B,$B834,BASE!$L:$L,$G834,BASE!$J:$J,$C834,BASE!$A:$A,N$2)</f>
        <v>0</v>
      </c>
      <c r="O834" s="12">
        <f>SUMIFS(BASE!$G:$G,BASE!$B:$B,$B834,BASE!$L:$L,$G834,BASE!$J:$J,$C834,BASE!$A:$A,O$2)</f>
        <v>1</v>
      </c>
      <c r="P834" s="12">
        <f>SUMIFS(BASE!$G:$G,BASE!$B:$B,$B834,BASE!$L:$L,$G834,BASE!$J:$J,$C834,BASE!$A:$A,P$2)</f>
        <v>1</v>
      </c>
      <c r="Q834" s="12">
        <f>SUMIFS(BASE!$G:$G,BASE!$B:$B,$B834,BASE!$L:$L,$G834,BASE!$J:$J,$C834,BASE!$A:$A,Q$2)</f>
        <v>1</v>
      </c>
      <c r="R834" s="12">
        <f>SUMIFS(BASE!$G:$G,BASE!$B:$B,$B834,BASE!$L:$L,$G834,BASE!$J:$J,$C834,BASE!$A:$A,R$2)</f>
        <v>0</v>
      </c>
      <c r="S834" s="12">
        <f>SUMIFS(BASE!$G:$G,BASE!$B:$B,$B834,BASE!$L:$L,$G834,BASE!$J:$J,$C834,BASE!$A:$A,S$2)</f>
        <v>0</v>
      </c>
      <c r="T834" s="12">
        <f>SUMIFS(BASE!$G:$G,BASE!$B:$B,$B834,BASE!$L:$L,$G834,BASE!$J:$J,$C834,BASE!$A:$A,T$2)</f>
        <v>0</v>
      </c>
      <c r="U834" s="12">
        <f>SUMIFS(BASE!$G:$G,BASE!$B:$B,$B834,BASE!$L:$L,$G834,BASE!$J:$J,$C834,BASE!$A:$A,U$2)</f>
        <v>0</v>
      </c>
      <c r="V834" s="12">
        <f>SUMIFS(BASE!$G:$G,BASE!$B:$B,$B834,BASE!$L:$L,$G834,BASE!$J:$J,$C834,BASE!$A:$A,V$2)</f>
        <v>0</v>
      </c>
      <c r="X834" t="str">
        <f t="shared" si="25"/>
        <v>ZERADO</v>
      </c>
    </row>
    <row r="835" spans="2:24">
      <c r="B835" s="8" t="s">
        <v>1733</v>
      </c>
      <c r="C835" s="9" t="s">
        <v>220</v>
      </c>
      <c r="D835" s="9" t="s">
        <v>1502</v>
      </c>
      <c r="E835" s="9" t="s">
        <v>1423</v>
      </c>
      <c r="F835" s="9" t="s">
        <v>1734</v>
      </c>
      <c r="G835" s="9" t="s">
        <v>54</v>
      </c>
      <c r="H835" s="7" t="str">
        <f>IFERROR(IF(_xlfn.XLOOKUP(B835,REPASSE!D:D,REPASSE!D:D)="","Não","Sim"),"Não")</f>
        <v>Não</v>
      </c>
      <c r="I835" s="7" t="str">
        <f>IF(_xlfn.XLOOKUP(B835,'BOOST LIBERADO'!B:B,'BOOST LIBERADO'!B:B,"Não")="Não","Não","Sim")</f>
        <v>Sim</v>
      </c>
      <c r="J835" s="83" t="str">
        <f t="shared" si="24"/>
        <v>Sim</v>
      </c>
      <c r="K835" s="12">
        <f>SUMIFS(BASE!$G:$G,BASE!$B:$B,$B835,BASE!$L:$L,$G835,BASE!$J:$J,$C835,BASE!$A:$A,K$2)</f>
        <v>0</v>
      </c>
      <c r="L835" s="12">
        <f>SUMIFS(BASE!$G:$G,BASE!$B:$B,$B835,BASE!$L:$L,$G835,BASE!$J:$J,$C835,BASE!$A:$A,L$2)</f>
        <v>1</v>
      </c>
      <c r="M835" s="12">
        <f>SUMIFS(BASE!$G:$G,BASE!$B:$B,$B835,BASE!$L:$L,$G835,BASE!$J:$J,$C835,BASE!$A:$A,M$2)</f>
        <v>1</v>
      </c>
      <c r="N835" s="12">
        <f>SUMIFS(BASE!$G:$G,BASE!$B:$B,$B835,BASE!$L:$L,$G835,BASE!$J:$J,$C835,BASE!$A:$A,N$2)</f>
        <v>1</v>
      </c>
      <c r="O835" s="12">
        <f>SUMIFS(BASE!$G:$G,BASE!$B:$B,$B835,BASE!$L:$L,$G835,BASE!$J:$J,$C835,BASE!$A:$A,O$2)</f>
        <v>0</v>
      </c>
      <c r="P835" s="12">
        <f>SUMIFS(BASE!$G:$G,BASE!$B:$B,$B835,BASE!$L:$L,$G835,BASE!$J:$J,$C835,BASE!$A:$A,P$2)</f>
        <v>0</v>
      </c>
      <c r="Q835" s="12">
        <f>SUMIFS(BASE!$G:$G,BASE!$B:$B,$B835,BASE!$L:$L,$G835,BASE!$J:$J,$C835,BASE!$A:$A,Q$2)</f>
        <v>0</v>
      </c>
      <c r="R835" s="12">
        <f>SUMIFS(BASE!$G:$G,BASE!$B:$B,$B835,BASE!$L:$L,$G835,BASE!$J:$J,$C835,BASE!$A:$A,R$2)</f>
        <v>4</v>
      </c>
      <c r="S835" s="12">
        <f>SUMIFS(BASE!$G:$G,BASE!$B:$B,$B835,BASE!$L:$L,$G835,BASE!$J:$J,$C835,BASE!$A:$A,S$2)</f>
        <v>0</v>
      </c>
      <c r="T835" s="12">
        <f>SUMIFS(BASE!$G:$G,BASE!$B:$B,$B835,BASE!$L:$L,$G835,BASE!$J:$J,$C835,BASE!$A:$A,T$2)</f>
        <v>0</v>
      </c>
      <c r="U835" s="12">
        <f>SUMIFS(BASE!$G:$G,BASE!$B:$B,$B835,BASE!$L:$L,$G835,BASE!$J:$J,$C835,BASE!$A:$A,U$2)</f>
        <v>0</v>
      </c>
      <c r="V835" s="12">
        <f>SUMIFS(BASE!$G:$G,BASE!$B:$B,$B835,BASE!$L:$L,$G835,BASE!$J:$J,$C835,BASE!$A:$A,V$2)</f>
        <v>0</v>
      </c>
      <c r="X835" t="str">
        <f t="shared" si="25"/>
        <v>COM TROCAS</v>
      </c>
    </row>
    <row r="836" spans="2:24">
      <c r="B836" s="8" t="s">
        <v>1735</v>
      </c>
      <c r="C836" s="9" t="s">
        <v>132</v>
      </c>
      <c r="D836" s="9" t="s">
        <v>1450</v>
      </c>
      <c r="E836" s="9" t="s">
        <v>1412</v>
      </c>
      <c r="F836" s="9" t="s">
        <v>1464</v>
      </c>
      <c r="G836" s="9" t="s">
        <v>54</v>
      </c>
      <c r="H836" s="7" t="str">
        <f>IFERROR(IF(_xlfn.XLOOKUP(B836,REPASSE!D:D,REPASSE!D:D)="","Não","Sim"),"Não")</f>
        <v>Não</v>
      </c>
      <c r="I836" s="7" t="str">
        <f>IF(_xlfn.XLOOKUP(B836,'BOOST LIBERADO'!B:B,'BOOST LIBERADO'!B:B,"Não")="Não","Não","Sim")</f>
        <v>Sim</v>
      </c>
      <c r="J836" s="83" t="str">
        <f t="shared" ref="J836:J899" si="26">IF(AND(H836="Não",I836="Sim"),"Sim","Não")</f>
        <v>Sim</v>
      </c>
      <c r="K836" s="12">
        <f>SUMIFS(BASE!$G:$G,BASE!$B:$B,$B836,BASE!$L:$L,$G836,BASE!$J:$J,$C836,BASE!$A:$A,K$2)</f>
        <v>21</v>
      </c>
      <c r="L836" s="12">
        <f>SUMIFS(BASE!$G:$G,BASE!$B:$B,$B836,BASE!$L:$L,$G836,BASE!$J:$J,$C836,BASE!$A:$A,L$2)</f>
        <v>18</v>
      </c>
      <c r="M836" s="12">
        <f>SUMIFS(BASE!$G:$G,BASE!$B:$B,$B836,BASE!$L:$L,$G836,BASE!$J:$J,$C836,BASE!$A:$A,M$2)</f>
        <v>21</v>
      </c>
      <c r="N836" s="12">
        <f>SUMIFS(BASE!$G:$G,BASE!$B:$B,$B836,BASE!$L:$L,$G836,BASE!$J:$J,$C836,BASE!$A:$A,N$2)</f>
        <v>12</v>
      </c>
      <c r="O836" s="12">
        <f>SUMIFS(BASE!$G:$G,BASE!$B:$B,$B836,BASE!$L:$L,$G836,BASE!$J:$J,$C836,BASE!$A:$A,O$2)</f>
        <v>12</v>
      </c>
      <c r="P836" s="12">
        <f>SUMIFS(BASE!$G:$G,BASE!$B:$B,$B836,BASE!$L:$L,$G836,BASE!$J:$J,$C836,BASE!$A:$A,P$2)</f>
        <v>11</v>
      </c>
      <c r="Q836" s="12">
        <f>SUMIFS(BASE!$G:$G,BASE!$B:$B,$B836,BASE!$L:$L,$G836,BASE!$J:$J,$C836,BASE!$A:$A,Q$2)</f>
        <v>28</v>
      </c>
      <c r="R836" s="12">
        <f>SUMIFS(BASE!$G:$G,BASE!$B:$B,$B836,BASE!$L:$L,$G836,BASE!$J:$J,$C836,BASE!$A:$A,R$2)</f>
        <v>10</v>
      </c>
      <c r="S836" s="12">
        <f>SUMIFS(BASE!$G:$G,BASE!$B:$B,$B836,BASE!$L:$L,$G836,BASE!$J:$J,$C836,BASE!$A:$A,S$2)</f>
        <v>0</v>
      </c>
      <c r="T836" s="12">
        <f>SUMIFS(BASE!$G:$G,BASE!$B:$B,$B836,BASE!$L:$L,$G836,BASE!$J:$J,$C836,BASE!$A:$A,T$2)</f>
        <v>0</v>
      </c>
      <c r="U836" s="12">
        <f>SUMIFS(BASE!$G:$G,BASE!$B:$B,$B836,BASE!$L:$L,$G836,BASE!$J:$J,$C836,BASE!$A:$A,U$2)</f>
        <v>0</v>
      </c>
      <c r="V836" s="12">
        <f>SUMIFS(BASE!$G:$G,BASE!$B:$B,$B836,BASE!$L:$L,$G836,BASE!$J:$J,$C836,BASE!$A:$A,V$2)</f>
        <v>0</v>
      </c>
      <c r="X836" t="str">
        <f t="shared" ref="X836:X899" si="27">IF(AND(R836=0),"ZERADO","COM TROCAS")</f>
        <v>COM TROCAS</v>
      </c>
    </row>
    <row r="837" spans="2:24">
      <c r="B837" s="8" t="s">
        <v>1736</v>
      </c>
      <c r="C837" s="9" t="s">
        <v>232</v>
      </c>
      <c r="D837" s="9" t="s">
        <v>1471</v>
      </c>
      <c r="E837" s="9" t="s">
        <v>1416</v>
      </c>
      <c r="F837" s="9" t="s">
        <v>1523</v>
      </c>
      <c r="G837" s="9" t="s">
        <v>54</v>
      </c>
      <c r="H837" s="7" t="str">
        <f>IFERROR(IF(_xlfn.XLOOKUP(B837,REPASSE!D:D,REPASSE!D:D)="","Não","Sim"),"Não")</f>
        <v>Não</v>
      </c>
      <c r="I837" s="7" t="str">
        <f>IF(_xlfn.XLOOKUP(B837,'BOOST LIBERADO'!B:B,'BOOST LIBERADO'!B:B,"Não")="Não","Não","Sim")</f>
        <v>Sim</v>
      </c>
      <c r="J837" s="83" t="str">
        <f t="shared" si="26"/>
        <v>Sim</v>
      </c>
      <c r="K837" s="12">
        <f>SUMIFS(BASE!$G:$G,BASE!$B:$B,$B837,BASE!$L:$L,$G837,BASE!$J:$J,$C837,BASE!$A:$A,K$2)</f>
        <v>1</v>
      </c>
      <c r="L837" s="12">
        <f>SUMIFS(BASE!$G:$G,BASE!$B:$B,$B837,BASE!$L:$L,$G837,BASE!$J:$J,$C837,BASE!$A:$A,L$2)</f>
        <v>3</v>
      </c>
      <c r="M837" s="12">
        <f>SUMIFS(BASE!$G:$G,BASE!$B:$B,$B837,BASE!$L:$L,$G837,BASE!$J:$J,$C837,BASE!$A:$A,M$2)</f>
        <v>1</v>
      </c>
      <c r="N837" s="12">
        <f>SUMIFS(BASE!$G:$G,BASE!$B:$B,$B837,BASE!$L:$L,$G837,BASE!$J:$J,$C837,BASE!$A:$A,N$2)</f>
        <v>3</v>
      </c>
      <c r="O837" s="12">
        <f>SUMIFS(BASE!$G:$G,BASE!$B:$B,$B837,BASE!$L:$L,$G837,BASE!$J:$J,$C837,BASE!$A:$A,O$2)</f>
        <v>7</v>
      </c>
      <c r="P837" s="12">
        <f>SUMIFS(BASE!$G:$G,BASE!$B:$B,$B837,BASE!$L:$L,$G837,BASE!$J:$J,$C837,BASE!$A:$A,P$2)</f>
        <v>6</v>
      </c>
      <c r="Q837" s="12">
        <f>SUMIFS(BASE!$G:$G,BASE!$B:$B,$B837,BASE!$L:$L,$G837,BASE!$J:$J,$C837,BASE!$A:$A,Q$2)</f>
        <v>20</v>
      </c>
      <c r="R837" s="12">
        <f>SUMIFS(BASE!$G:$G,BASE!$B:$B,$B837,BASE!$L:$L,$G837,BASE!$J:$J,$C837,BASE!$A:$A,R$2)</f>
        <v>9</v>
      </c>
      <c r="S837" s="12">
        <f>SUMIFS(BASE!$G:$G,BASE!$B:$B,$B837,BASE!$L:$L,$G837,BASE!$J:$J,$C837,BASE!$A:$A,S$2)</f>
        <v>0</v>
      </c>
      <c r="T837" s="12">
        <f>SUMIFS(BASE!$G:$G,BASE!$B:$B,$B837,BASE!$L:$L,$G837,BASE!$J:$J,$C837,BASE!$A:$A,T$2)</f>
        <v>0</v>
      </c>
      <c r="U837" s="12">
        <f>SUMIFS(BASE!$G:$G,BASE!$B:$B,$B837,BASE!$L:$L,$G837,BASE!$J:$J,$C837,BASE!$A:$A,U$2)</f>
        <v>0</v>
      </c>
      <c r="V837" s="12">
        <f>SUMIFS(BASE!$G:$G,BASE!$B:$B,$B837,BASE!$L:$L,$G837,BASE!$J:$J,$C837,BASE!$A:$A,V$2)</f>
        <v>0</v>
      </c>
      <c r="X837" t="str">
        <f t="shared" si="27"/>
        <v>COM TROCAS</v>
      </c>
    </row>
    <row r="838" spans="2:24">
      <c r="B838" s="8" t="s">
        <v>1737</v>
      </c>
      <c r="C838" s="9" t="s">
        <v>106</v>
      </c>
      <c r="D838" s="9" t="s">
        <v>1422</v>
      </c>
      <c r="E838" s="9" t="s">
        <v>1423</v>
      </c>
      <c r="F838" s="9" t="s">
        <v>1738</v>
      </c>
      <c r="G838" s="9" t="s">
        <v>54</v>
      </c>
      <c r="H838" s="7" t="str">
        <f>IFERROR(IF(_xlfn.XLOOKUP(B838,REPASSE!D:D,REPASSE!D:D)="","Não","Sim"),"Não")</f>
        <v>Não</v>
      </c>
      <c r="I838" s="7" t="str">
        <f>IF(_xlfn.XLOOKUP(B838,'BOOST LIBERADO'!B:B,'BOOST LIBERADO'!B:B,"Não")="Não","Não","Sim")</f>
        <v>Sim</v>
      </c>
      <c r="J838" s="83" t="str">
        <f t="shared" si="26"/>
        <v>Sim</v>
      </c>
      <c r="K838" s="12">
        <f>SUMIFS(BASE!$G:$G,BASE!$B:$B,$B838,BASE!$L:$L,$G838,BASE!$J:$J,$C838,BASE!$A:$A,K$2)</f>
        <v>0</v>
      </c>
      <c r="L838" s="12">
        <f>SUMIFS(BASE!$G:$G,BASE!$B:$B,$B838,BASE!$L:$L,$G838,BASE!$J:$J,$C838,BASE!$A:$A,L$2)</f>
        <v>0</v>
      </c>
      <c r="M838" s="12">
        <f>SUMIFS(BASE!$G:$G,BASE!$B:$B,$B838,BASE!$L:$L,$G838,BASE!$J:$J,$C838,BASE!$A:$A,M$2)</f>
        <v>0</v>
      </c>
      <c r="N838" s="12">
        <f>SUMIFS(BASE!$G:$G,BASE!$B:$B,$B838,BASE!$L:$L,$G838,BASE!$J:$J,$C838,BASE!$A:$A,N$2)</f>
        <v>0</v>
      </c>
      <c r="O838" s="12">
        <f>SUMIFS(BASE!$G:$G,BASE!$B:$B,$B838,BASE!$L:$L,$G838,BASE!$J:$J,$C838,BASE!$A:$A,O$2)</f>
        <v>0</v>
      </c>
      <c r="P838" s="12">
        <f>SUMIFS(BASE!$G:$G,BASE!$B:$B,$B838,BASE!$L:$L,$G838,BASE!$J:$J,$C838,BASE!$A:$A,P$2)</f>
        <v>0</v>
      </c>
      <c r="Q838" s="12">
        <f>SUMIFS(BASE!$G:$G,BASE!$B:$B,$B838,BASE!$L:$L,$G838,BASE!$J:$J,$C838,BASE!$A:$A,Q$2)</f>
        <v>0</v>
      </c>
      <c r="R838" s="12">
        <f>SUMIFS(BASE!$G:$G,BASE!$B:$B,$B838,BASE!$L:$L,$G838,BASE!$J:$J,$C838,BASE!$A:$A,R$2)</f>
        <v>0</v>
      </c>
      <c r="S838" s="12">
        <f>SUMIFS(BASE!$G:$G,BASE!$B:$B,$B838,BASE!$L:$L,$G838,BASE!$J:$J,$C838,BASE!$A:$A,S$2)</f>
        <v>0</v>
      </c>
      <c r="T838" s="12">
        <f>SUMIFS(BASE!$G:$G,BASE!$B:$B,$B838,BASE!$L:$L,$G838,BASE!$J:$J,$C838,BASE!$A:$A,T$2)</f>
        <v>0</v>
      </c>
      <c r="U838" s="12">
        <f>SUMIFS(BASE!$G:$G,BASE!$B:$B,$B838,BASE!$L:$L,$G838,BASE!$J:$J,$C838,BASE!$A:$A,U$2)</f>
        <v>0</v>
      </c>
      <c r="V838" s="12">
        <f>SUMIFS(BASE!$G:$G,BASE!$B:$B,$B838,BASE!$L:$L,$G838,BASE!$J:$J,$C838,BASE!$A:$A,V$2)</f>
        <v>0</v>
      </c>
      <c r="X838" t="str">
        <f t="shared" si="27"/>
        <v>ZERADO</v>
      </c>
    </row>
    <row r="839" spans="2:24">
      <c r="B839" s="8" t="s">
        <v>1739</v>
      </c>
      <c r="C839" s="9" t="s">
        <v>106</v>
      </c>
      <c r="D839" s="9" t="s">
        <v>1509</v>
      </c>
      <c r="E839" s="9" t="s">
        <v>1423</v>
      </c>
      <c r="F839" s="9" t="s">
        <v>1740</v>
      </c>
      <c r="G839" s="9" t="s">
        <v>54</v>
      </c>
      <c r="H839" s="7" t="str">
        <f>IFERROR(IF(_xlfn.XLOOKUP(B839,REPASSE!D:D,REPASSE!D:D)="","Não","Sim"),"Não")</f>
        <v>Não</v>
      </c>
      <c r="I839" s="7" t="str">
        <f>IF(_xlfn.XLOOKUP(B839,'BOOST LIBERADO'!B:B,'BOOST LIBERADO'!B:B,"Não")="Não","Não","Sim")</f>
        <v>Sim</v>
      </c>
      <c r="J839" s="83" t="str">
        <f t="shared" si="26"/>
        <v>Sim</v>
      </c>
      <c r="K839" s="12">
        <f>SUMIFS(BASE!$G:$G,BASE!$B:$B,$B839,BASE!$L:$L,$G839,BASE!$J:$J,$C839,BASE!$A:$A,K$2)</f>
        <v>0</v>
      </c>
      <c r="L839" s="12">
        <f>SUMIFS(BASE!$G:$G,BASE!$B:$B,$B839,BASE!$L:$L,$G839,BASE!$J:$J,$C839,BASE!$A:$A,L$2)</f>
        <v>0</v>
      </c>
      <c r="M839" s="12">
        <f>SUMIFS(BASE!$G:$G,BASE!$B:$B,$B839,BASE!$L:$L,$G839,BASE!$J:$J,$C839,BASE!$A:$A,M$2)</f>
        <v>0</v>
      </c>
      <c r="N839" s="12">
        <f>SUMIFS(BASE!$G:$G,BASE!$B:$B,$B839,BASE!$L:$L,$G839,BASE!$J:$J,$C839,BASE!$A:$A,N$2)</f>
        <v>0</v>
      </c>
      <c r="O839" s="12">
        <f>SUMIFS(BASE!$G:$G,BASE!$B:$B,$B839,BASE!$L:$L,$G839,BASE!$J:$J,$C839,BASE!$A:$A,O$2)</f>
        <v>0</v>
      </c>
      <c r="P839" s="12">
        <f>SUMIFS(BASE!$G:$G,BASE!$B:$B,$B839,BASE!$L:$L,$G839,BASE!$J:$J,$C839,BASE!$A:$A,P$2)</f>
        <v>0</v>
      </c>
      <c r="Q839" s="12">
        <f>SUMIFS(BASE!$G:$G,BASE!$B:$B,$B839,BASE!$L:$L,$G839,BASE!$J:$J,$C839,BASE!$A:$A,Q$2)</f>
        <v>0</v>
      </c>
      <c r="R839" s="12">
        <f>SUMIFS(BASE!$G:$G,BASE!$B:$B,$B839,BASE!$L:$L,$G839,BASE!$J:$J,$C839,BASE!$A:$A,R$2)</f>
        <v>6</v>
      </c>
      <c r="S839" s="12">
        <f>SUMIFS(BASE!$G:$G,BASE!$B:$B,$B839,BASE!$L:$L,$G839,BASE!$J:$J,$C839,BASE!$A:$A,S$2)</f>
        <v>0</v>
      </c>
      <c r="T839" s="12">
        <f>SUMIFS(BASE!$G:$G,BASE!$B:$B,$B839,BASE!$L:$L,$G839,BASE!$J:$J,$C839,BASE!$A:$A,T$2)</f>
        <v>0</v>
      </c>
      <c r="U839" s="12">
        <f>SUMIFS(BASE!$G:$G,BASE!$B:$B,$B839,BASE!$L:$L,$G839,BASE!$J:$J,$C839,BASE!$A:$A,U$2)</f>
        <v>0</v>
      </c>
      <c r="V839" s="12">
        <f>SUMIFS(BASE!$G:$G,BASE!$B:$B,$B839,BASE!$L:$L,$G839,BASE!$J:$J,$C839,BASE!$A:$A,V$2)</f>
        <v>0</v>
      </c>
      <c r="X839" t="str">
        <f t="shared" si="27"/>
        <v>COM TROCAS</v>
      </c>
    </row>
    <row r="840" spans="2:24">
      <c r="B840" s="8" t="s">
        <v>1741</v>
      </c>
      <c r="C840" s="9" t="s">
        <v>190</v>
      </c>
      <c r="D840" s="9" t="s">
        <v>1742</v>
      </c>
      <c r="E840" s="9" t="s">
        <v>1743</v>
      </c>
      <c r="F840" s="9" t="s">
        <v>1744</v>
      </c>
      <c r="G840" s="9" t="s">
        <v>57</v>
      </c>
      <c r="H840" s="7" t="str">
        <f>IFERROR(IF(_xlfn.XLOOKUP(B840,REPASSE!D:D,REPASSE!D:D)="","Não","Sim"),"Não")</f>
        <v>Não</v>
      </c>
      <c r="I840" s="7" t="str">
        <f>IF(_xlfn.XLOOKUP(B840,'BOOST LIBERADO'!B:B,'BOOST LIBERADO'!B:B,"Não")="Não","Não","Sim")</f>
        <v>Sim</v>
      </c>
      <c r="J840" s="83" t="str">
        <f t="shared" si="26"/>
        <v>Sim</v>
      </c>
      <c r="K840" s="12">
        <f>SUMIFS(BASE!$G:$G,BASE!$B:$B,$B840,BASE!$L:$L,$G840,BASE!$J:$J,$C840,BASE!$A:$A,K$2)</f>
        <v>2</v>
      </c>
      <c r="L840" s="12">
        <f>SUMIFS(BASE!$G:$G,BASE!$B:$B,$B840,BASE!$L:$L,$G840,BASE!$J:$J,$C840,BASE!$A:$A,L$2)</f>
        <v>0</v>
      </c>
      <c r="M840" s="12">
        <f>SUMIFS(BASE!$G:$G,BASE!$B:$B,$B840,BASE!$L:$L,$G840,BASE!$J:$J,$C840,BASE!$A:$A,M$2)</f>
        <v>0</v>
      </c>
      <c r="N840" s="12">
        <f>SUMIFS(BASE!$G:$G,BASE!$B:$B,$B840,BASE!$L:$L,$G840,BASE!$J:$J,$C840,BASE!$A:$A,N$2)</f>
        <v>0</v>
      </c>
      <c r="O840" s="12">
        <f>SUMIFS(BASE!$G:$G,BASE!$B:$B,$B840,BASE!$L:$L,$G840,BASE!$J:$J,$C840,BASE!$A:$A,O$2)</f>
        <v>1</v>
      </c>
      <c r="P840" s="12">
        <f>SUMIFS(BASE!$G:$G,BASE!$B:$B,$B840,BASE!$L:$L,$G840,BASE!$J:$J,$C840,BASE!$A:$A,P$2)</f>
        <v>0</v>
      </c>
      <c r="Q840" s="12">
        <f>SUMIFS(BASE!$G:$G,BASE!$B:$B,$B840,BASE!$L:$L,$G840,BASE!$J:$J,$C840,BASE!$A:$A,Q$2)</f>
        <v>0</v>
      </c>
      <c r="R840" s="12">
        <f>SUMIFS(BASE!$G:$G,BASE!$B:$B,$B840,BASE!$L:$L,$G840,BASE!$J:$J,$C840,BASE!$A:$A,R$2)</f>
        <v>9</v>
      </c>
      <c r="S840" s="12">
        <f>SUMIFS(BASE!$G:$G,BASE!$B:$B,$B840,BASE!$L:$L,$G840,BASE!$J:$J,$C840,BASE!$A:$A,S$2)</f>
        <v>0</v>
      </c>
      <c r="T840" s="12">
        <f>SUMIFS(BASE!$G:$G,BASE!$B:$B,$B840,BASE!$L:$L,$G840,BASE!$J:$J,$C840,BASE!$A:$A,T$2)</f>
        <v>0</v>
      </c>
      <c r="U840" s="12">
        <f>SUMIFS(BASE!$G:$G,BASE!$B:$B,$B840,BASE!$L:$L,$G840,BASE!$J:$J,$C840,BASE!$A:$A,U$2)</f>
        <v>0</v>
      </c>
      <c r="V840" s="12">
        <f>SUMIFS(BASE!$G:$G,BASE!$B:$B,$B840,BASE!$L:$L,$G840,BASE!$J:$J,$C840,BASE!$A:$A,V$2)</f>
        <v>0</v>
      </c>
      <c r="X840" t="str">
        <f t="shared" si="27"/>
        <v>COM TROCAS</v>
      </c>
    </row>
    <row r="841" spans="2:24">
      <c r="B841" s="8" t="s">
        <v>1745</v>
      </c>
      <c r="C841" s="9" t="s">
        <v>190</v>
      </c>
      <c r="D841" s="9" t="s">
        <v>1742</v>
      </c>
      <c r="E841" s="9" t="s">
        <v>1743</v>
      </c>
      <c r="F841" s="9" t="s">
        <v>1744</v>
      </c>
      <c r="G841" s="9" t="s">
        <v>57</v>
      </c>
      <c r="H841" s="7" t="str">
        <f>IFERROR(IF(_xlfn.XLOOKUP(B841,REPASSE!D:D,REPASSE!D:D)="","Não","Sim"),"Não")</f>
        <v>Não</v>
      </c>
      <c r="I841" s="7" t="str">
        <f>IF(_xlfn.XLOOKUP(B841,'BOOST LIBERADO'!B:B,'BOOST LIBERADO'!B:B,"Não")="Não","Não","Sim")</f>
        <v>Sim</v>
      </c>
      <c r="J841" s="83" t="str">
        <f t="shared" si="26"/>
        <v>Sim</v>
      </c>
      <c r="K841" s="12">
        <f>SUMIFS(BASE!$G:$G,BASE!$B:$B,$B841,BASE!$L:$L,$G841,BASE!$J:$J,$C841,BASE!$A:$A,K$2)</f>
        <v>0</v>
      </c>
      <c r="L841" s="12">
        <f>SUMIFS(BASE!$G:$G,BASE!$B:$B,$B841,BASE!$L:$L,$G841,BASE!$J:$J,$C841,BASE!$A:$A,L$2)</f>
        <v>0</v>
      </c>
      <c r="M841" s="12">
        <f>SUMIFS(BASE!$G:$G,BASE!$B:$B,$B841,BASE!$L:$L,$G841,BASE!$J:$J,$C841,BASE!$A:$A,M$2)</f>
        <v>0</v>
      </c>
      <c r="N841" s="12">
        <f>SUMIFS(BASE!$G:$G,BASE!$B:$B,$B841,BASE!$L:$L,$G841,BASE!$J:$J,$C841,BASE!$A:$A,N$2)</f>
        <v>0</v>
      </c>
      <c r="O841" s="12">
        <f>SUMIFS(BASE!$G:$G,BASE!$B:$B,$B841,BASE!$L:$L,$G841,BASE!$J:$J,$C841,BASE!$A:$A,O$2)</f>
        <v>0</v>
      </c>
      <c r="P841" s="12">
        <f>SUMIFS(BASE!$G:$G,BASE!$B:$B,$B841,BASE!$L:$L,$G841,BASE!$J:$J,$C841,BASE!$A:$A,P$2)</f>
        <v>0</v>
      </c>
      <c r="Q841" s="12">
        <f>SUMIFS(BASE!$G:$G,BASE!$B:$B,$B841,BASE!$L:$L,$G841,BASE!$J:$J,$C841,BASE!$A:$A,Q$2)</f>
        <v>0</v>
      </c>
      <c r="R841" s="12">
        <f>SUMIFS(BASE!$G:$G,BASE!$B:$B,$B841,BASE!$L:$L,$G841,BASE!$J:$J,$C841,BASE!$A:$A,R$2)</f>
        <v>3</v>
      </c>
      <c r="S841" s="12">
        <f>SUMIFS(BASE!$G:$G,BASE!$B:$B,$B841,BASE!$L:$L,$G841,BASE!$J:$J,$C841,BASE!$A:$A,S$2)</f>
        <v>0</v>
      </c>
      <c r="T841" s="12">
        <f>SUMIFS(BASE!$G:$G,BASE!$B:$B,$B841,BASE!$L:$L,$G841,BASE!$J:$J,$C841,BASE!$A:$A,T$2)</f>
        <v>0</v>
      </c>
      <c r="U841" s="12">
        <f>SUMIFS(BASE!$G:$G,BASE!$B:$B,$B841,BASE!$L:$L,$G841,BASE!$J:$J,$C841,BASE!$A:$A,U$2)</f>
        <v>0</v>
      </c>
      <c r="V841" s="12">
        <f>SUMIFS(BASE!$G:$G,BASE!$B:$B,$B841,BASE!$L:$L,$G841,BASE!$J:$J,$C841,BASE!$A:$A,V$2)</f>
        <v>0</v>
      </c>
      <c r="X841" t="str">
        <f t="shared" si="27"/>
        <v>COM TROCAS</v>
      </c>
    </row>
    <row r="842" spans="2:24">
      <c r="B842" s="8" t="s">
        <v>1746</v>
      </c>
      <c r="C842" s="9" t="s">
        <v>190</v>
      </c>
      <c r="D842" s="9" t="s">
        <v>1742</v>
      </c>
      <c r="E842" s="9" t="s">
        <v>1743</v>
      </c>
      <c r="F842" s="9" t="s">
        <v>1744</v>
      </c>
      <c r="G842" s="9" t="s">
        <v>57</v>
      </c>
      <c r="H842" s="7" t="str">
        <f>IFERROR(IF(_xlfn.XLOOKUP(B842,REPASSE!D:D,REPASSE!D:D)="","Não","Sim"),"Não")</f>
        <v>Não</v>
      </c>
      <c r="I842" s="7" t="str">
        <f>IF(_xlfn.XLOOKUP(B842,'BOOST LIBERADO'!B:B,'BOOST LIBERADO'!B:B,"Não")="Não","Não","Sim")</f>
        <v>Sim</v>
      </c>
      <c r="J842" s="83" t="str">
        <f t="shared" si="26"/>
        <v>Sim</v>
      </c>
      <c r="K842" s="12">
        <f>SUMIFS(BASE!$G:$G,BASE!$B:$B,$B842,BASE!$L:$L,$G842,BASE!$J:$J,$C842,BASE!$A:$A,K$2)</f>
        <v>0</v>
      </c>
      <c r="L842" s="12">
        <f>SUMIFS(BASE!$G:$G,BASE!$B:$B,$B842,BASE!$L:$L,$G842,BASE!$J:$J,$C842,BASE!$A:$A,L$2)</f>
        <v>0</v>
      </c>
      <c r="M842" s="12">
        <f>SUMIFS(BASE!$G:$G,BASE!$B:$B,$B842,BASE!$L:$L,$G842,BASE!$J:$J,$C842,BASE!$A:$A,M$2)</f>
        <v>0</v>
      </c>
      <c r="N842" s="12">
        <f>SUMIFS(BASE!$G:$G,BASE!$B:$B,$B842,BASE!$L:$L,$G842,BASE!$J:$J,$C842,BASE!$A:$A,N$2)</f>
        <v>0</v>
      </c>
      <c r="O842" s="12">
        <f>SUMIFS(BASE!$G:$G,BASE!$B:$B,$B842,BASE!$L:$L,$G842,BASE!$J:$J,$C842,BASE!$A:$A,O$2)</f>
        <v>0</v>
      </c>
      <c r="P842" s="12">
        <f>SUMIFS(BASE!$G:$G,BASE!$B:$B,$B842,BASE!$L:$L,$G842,BASE!$J:$J,$C842,BASE!$A:$A,P$2)</f>
        <v>0</v>
      </c>
      <c r="Q842" s="12">
        <f>SUMIFS(BASE!$G:$G,BASE!$B:$B,$B842,BASE!$L:$L,$G842,BASE!$J:$J,$C842,BASE!$A:$A,Q$2)</f>
        <v>1</v>
      </c>
      <c r="R842" s="12">
        <f>SUMIFS(BASE!$G:$G,BASE!$B:$B,$B842,BASE!$L:$L,$G842,BASE!$J:$J,$C842,BASE!$A:$A,R$2)</f>
        <v>0</v>
      </c>
      <c r="S842" s="12">
        <f>SUMIFS(BASE!$G:$G,BASE!$B:$B,$B842,BASE!$L:$L,$G842,BASE!$J:$J,$C842,BASE!$A:$A,S$2)</f>
        <v>0</v>
      </c>
      <c r="T842" s="12">
        <f>SUMIFS(BASE!$G:$G,BASE!$B:$B,$B842,BASE!$L:$L,$G842,BASE!$J:$J,$C842,BASE!$A:$A,T$2)</f>
        <v>0</v>
      </c>
      <c r="U842" s="12">
        <f>SUMIFS(BASE!$G:$G,BASE!$B:$B,$B842,BASE!$L:$L,$G842,BASE!$J:$J,$C842,BASE!$A:$A,U$2)</f>
        <v>0</v>
      </c>
      <c r="V842" s="12">
        <f>SUMIFS(BASE!$G:$G,BASE!$B:$B,$B842,BASE!$L:$L,$G842,BASE!$J:$J,$C842,BASE!$A:$A,V$2)</f>
        <v>0</v>
      </c>
      <c r="X842" t="str">
        <f t="shared" si="27"/>
        <v>ZERADO</v>
      </c>
    </row>
    <row r="843" spans="2:24">
      <c r="B843" s="8" t="s">
        <v>1747</v>
      </c>
      <c r="C843" s="9" t="s">
        <v>190</v>
      </c>
      <c r="D843" s="9" t="s">
        <v>1742</v>
      </c>
      <c r="E843" s="9" t="s">
        <v>1743</v>
      </c>
      <c r="F843" s="9" t="s">
        <v>1748</v>
      </c>
      <c r="G843" s="9" t="s">
        <v>57</v>
      </c>
      <c r="H843" s="7" t="str">
        <f>IFERROR(IF(_xlfn.XLOOKUP(B843,REPASSE!D:D,REPASSE!D:D)="","Não","Sim"),"Não")</f>
        <v>Não</v>
      </c>
      <c r="I843" s="7" t="str">
        <f>IF(_xlfn.XLOOKUP(B843,'BOOST LIBERADO'!B:B,'BOOST LIBERADO'!B:B,"Não")="Não","Não","Sim")</f>
        <v>Sim</v>
      </c>
      <c r="J843" s="83" t="str">
        <f t="shared" si="26"/>
        <v>Sim</v>
      </c>
      <c r="K843" s="12">
        <f>SUMIFS(BASE!$G:$G,BASE!$B:$B,$B843,BASE!$L:$L,$G843,BASE!$J:$J,$C843,BASE!$A:$A,K$2)</f>
        <v>0</v>
      </c>
      <c r="L843" s="12">
        <f>SUMIFS(BASE!$G:$G,BASE!$B:$B,$B843,BASE!$L:$L,$G843,BASE!$J:$J,$C843,BASE!$A:$A,L$2)</f>
        <v>0</v>
      </c>
      <c r="M843" s="12">
        <f>SUMIFS(BASE!$G:$G,BASE!$B:$B,$B843,BASE!$L:$L,$G843,BASE!$J:$J,$C843,BASE!$A:$A,M$2)</f>
        <v>0</v>
      </c>
      <c r="N843" s="12">
        <f>SUMIFS(BASE!$G:$G,BASE!$B:$B,$B843,BASE!$L:$L,$G843,BASE!$J:$J,$C843,BASE!$A:$A,N$2)</f>
        <v>0</v>
      </c>
      <c r="O843" s="12">
        <f>SUMIFS(BASE!$G:$G,BASE!$B:$B,$B843,BASE!$L:$L,$G843,BASE!$J:$J,$C843,BASE!$A:$A,O$2)</f>
        <v>1</v>
      </c>
      <c r="P843" s="12">
        <f>SUMIFS(BASE!$G:$G,BASE!$B:$B,$B843,BASE!$L:$L,$G843,BASE!$J:$J,$C843,BASE!$A:$A,P$2)</f>
        <v>0</v>
      </c>
      <c r="Q843" s="12">
        <f>SUMIFS(BASE!$G:$G,BASE!$B:$B,$B843,BASE!$L:$L,$G843,BASE!$J:$J,$C843,BASE!$A:$A,Q$2)</f>
        <v>2</v>
      </c>
      <c r="R843" s="12">
        <f>SUMIFS(BASE!$G:$G,BASE!$B:$B,$B843,BASE!$L:$L,$G843,BASE!$J:$J,$C843,BASE!$A:$A,R$2)</f>
        <v>4</v>
      </c>
      <c r="S843" s="12">
        <f>SUMIFS(BASE!$G:$G,BASE!$B:$B,$B843,BASE!$L:$L,$G843,BASE!$J:$J,$C843,BASE!$A:$A,S$2)</f>
        <v>0</v>
      </c>
      <c r="T843" s="12">
        <f>SUMIFS(BASE!$G:$G,BASE!$B:$B,$B843,BASE!$L:$L,$G843,BASE!$J:$J,$C843,BASE!$A:$A,T$2)</f>
        <v>0</v>
      </c>
      <c r="U843" s="12">
        <f>SUMIFS(BASE!$G:$G,BASE!$B:$B,$B843,BASE!$L:$L,$G843,BASE!$J:$J,$C843,BASE!$A:$A,U$2)</f>
        <v>0</v>
      </c>
      <c r="V843" s="12">
        <f>SUMIFS(BASE!$G:$G,BASE!$B:$B,$B843,BASE!$L:$L,$G843,BASE!$J:$J,$C843,BASE!$A:$A,V$2)</f>
        <v>0</v>
      </c>
      <c r="X843" t="str">
        <f t="shared" si="27"/>
        <v>COM TROCAS</v>
      </c>
    </row>
    <row r="844" spans="2:24">
      <c r="B844" s="8" t="s">
        <v>1749</v>
      </c>
      <c r="C844" s="9" t="s">
        <v>190</v>
      </c>
      <c r="D844" s="9" t="s">
        <v>1742</v>
      </c>
      <c r="E844" s="9" t="s">
        <v>1743</v>
      </c>
      <c r="F844" s="9" t="s">
        <v>1748</v>
      </c>
      <c r="G844" s="9" t="s">
        <v>57</v>
      </c>
      <c r="H844" s="7" t="str">
        <f>IFERROR(IF(_xlfn.XLOOKUP(B844,REPASSE!D:D,REPASSE!D:D)="","Não","Sim"),"Não")</f>
        <v>Não</v>
      </c>
      <c r="I844" s="7" t="str">
        <f>IF(_xlfn.XLOOKUP(B844,'BOOST LIBERADO'!B:B,'BOOST LIBERADO'!B:B,"Não")="Não","Não","Sim")</f>
        <v>Sim</v>
      </c>
      <c r="J844" s="83" t="str">
        <f t="shared" si="26"/>
        <v>Sim</v>
      </c>
      <c r="K844" s="12">
        <f>SUMIFS(BASE!$G:$G,BASE!$B:$B,$B844,BASE!$L:$L,$G844,BASE!$J:$J,$C844,BASE!$A:$A,K$2)</f>
        <v>7</v>
      </c>
      <c r="L844" s="12">
        <f>SUMIFS(BASE!$G:$G,BASE!$B:$B,$B844,BASE!$L:$L,$G844,BASE!$J:$J,$C844,BASE!$A:$A,L$2)</f>
        <v>3</v>
      </c>
      <c r="M844" s="12">
        <f>SUMIFS(BASE!$G:$G,BASE!$B:$B,$B844,BASE!$L:$L,$G844,BASE!$J:$J,$C844,BASE!$A:$A,M$2)</f>
        <v>7</v>
      </c>
      <c r="N844" s="12">
        <f>SUMIFS(BASE!$G:$G,BASE!$B:$B,$B844,BASE!$L:$L,$G844,BASE!$J:$J,$C844,BASE!$A:$A,N$2)</f>
        <v>6</v>
      </c>
      <c r="O844" s="12">
        <f>SUMIFS(BASE!$G:$G,BASE!$B:$B,$B844,BASE!$L:$L,$G844,BASE!$J:$J,$C844,BASE!$A:$A,O$2)</f>
        <v>9</v>
      </c>
      <c r="P844" s="12">
        <f>SUMIFS(BASE!$G:$G,BASE!$B:$B,$B844,BASE!$L:$L,$G844,BASE!$J:$J,$C844,BASE!$A:$A,P$2)</f>
        <v>9</v>
      </c>
      <c r="Q844" s="12">
        <f>SUMIFS(BASE!$G:$G,BASE!$B:$B,$B844,BASE!$L:$L,$G844,BASE!$J:$J,$C844,BASE!$A:$A,Q$2)</f>
        <v>14</v>
      </c>
      <c r="R844" s="12">
        <f>SUMIFS(BASE!$G:$G,BASE!$B:$B,$B844,BASE!$L:$L,$G844,BASE!$J:$J,$C844,BASE!$A:$A,R$2)</f>
        <v>6</v>
      </c>
      <c r="S844" s="12">
        <f>SUMIFS(BASE!$G:$G,BASE!$B:$B,$B844,BASE!$L:$L,$G844,BASE!$J:$J,$C844,BASE!$A:$A,S$2)</f>
        <v>0</v>
      </c>
      <c r="T844" s="12">
        <f>SUMIFS(BASE!$G:$G,BASE!$B:$B,$B844,BASE!$L:$L,$G844,BASE!$J:$J,$C844,BASE!$A:$A,T$2)</f>
        <v>0</v>
      </c>
      <c r="U844" s="12">
        <f>SUMIFS(BASE!$G:$G,BASE!$B:$B,$B844,BASE!$L:$L,$G844,BASE!$J:$J,$C844,BASE!$A:$A,U$2)</f>
        <v>0</v>
      </c>
      <c r="V844" s="12">
        <f>SUMIFS(BASE!$G:$G,BASE!$B:$B,$B844,BASE!$L:$L,$G844,BASE!$J:$J,$C844,BASE!$A:$A,V$2)</f>
        <v>0</v>
      </c>
      <c r="X844" t="str">
        <f t="shared" si="27"/>
        <v>COM TROCAS</v>
      </c>
    </row>
    <row r="845" spans="2:24">
      <c r="B845" s="8" t="s">
        <v>1750</v>
      </c>
      <c r="C845" s="9" t="s">
        <v>190</v>
      </c>
      <c r="D845" s="9" t="s">
        <v>1742</v>
      </c>
      <c r="E845" s="9" t="s">
        <v>1743</v>
      </c>
      <c r="F845" s="9" t="s">
        <v>1751</v>
      </c>
      <c r="G845" s="9" t="s">
        <v>57</v>
      </c>
      <c r="H845" s="7" t="str">
        <f>IFERROR(IF(_xlfn.XLOOKUP(B845,REPASSE!D:D,REPASSE!D:D)="","Não","Sim"),"Não")</f>
        <v>Não</v>
      </c>
      <c r="I845" s="7" t="str">
        <f>IF(_xlfn.XLOOKUP(B845,'BOOST LIBERADO'!B:B,'BOOST LIBERADO'!B:B,"Não")="Não","Não","Sim")</f>
        <v>Sim</v>
      </c>
      <c r="J845" s="83" t="str">
        <f t="shared" si="26"/>
        <v>Sim</v>
      </c>
      <c r="K845" s="12">
        <f>SUMIFS(BASE!$G:$G,BASE!$B:$B,$B845,BASE!$L:$L,$G845,BASE!$J:$J,$C845,BASE!$A:$A,K$2)</f>
        <v>0</v>
      </c>
      <c r="L845" s="12">
        <f>SUMIFS(BASE!$G:$G,BASE!$B:$B,$B845,BASE!$L:$L,$G845,BASE!$J:$J,$C845,BASE!$A:$A,L$2)</f>
        <v>0</v>
      </c>
      <c r="M845" s="12">
        <f>SUMIFS(BASE!$G:$G,BASE!$B:$B,$B845,BASE!$L:$L,$G845,BASE!$J:$J,$C845,BASE!$A:$A,M$2)</f>
        <v>0</v>
      </c>
      <c r="N845" s="12">
        <f>SUMIFS(BASE!$G:$G,BASE!$B:$B,$B845,BASE!$L:$L,$G845,BASE!$J:$J,$C845,BASE!$A:$A,N$2)</f>
        <v>0</v>
      </c>
      <c r="O845" s="12">
        <f>SUMIFS(BASE!$G:$G,BASE!$B:$B,$B845,BASE!$L:$L,$G845,BASE!$J:$J,$C845,BASE!$A:$A,O$2)</f>
        <v>0</v>
      </c>
      <c r="P845" s="12">
        <f>SUMIFS(BASE!$G:$G,BASE!$B:$B,$B845,BASE!$L:$L,$G845,BASE!$J:$J,$C845,BASE!$A:$A,P$2)</f>
        <v>0</v>
      </c>
      <c r="Q845" s="12">
        <f>SUMIFS(BASE!$G:$G,BASE!$B:$B,$B845,BASE!$L:$L,$G845,BASE!$J:$J,$C845,BASE!$A:$A,Q$2)</f>
        <v>0</v>
      </c>
      <c r="R845" s="12">
        <f>SUMIFS(BASE!$G:$G,BASE!$B:$B,$B845,BASE!$L:$L,$G845,BASE!$J:$J,$C845,BASE!$A:$A,R$2)</f>
        <v>0</v>
      </c>
      <c r="S845" s="12">
        <f>SUMIFS(BASE!$G:$G,BASE!$B:$B,$B845,BASE!$L:$L,$G845,BASE!$J:$J,$C845,BASE!$A:$A,S$2)</f>
        <v>0</v>
      </c>
      <c r="T845" s="12">
        <f>SUMIFS(BASE!$G:$G,BASE!$B:$B,$B845,BASE!$L:$L,$G845,BASE!$J:$J,$C845,BASE!$A:$A,T$2)</f>
        <v>0</v>
      </c>
      <c r="U845" s="12">
        <f>SUMIFS(BASE!$G:$G,BASE!$B:$B,$B845,BASE!$L:$L,$G845,BASE!$J:$J,$C845,BASE!$A:$A,U$2)</f>
        <v>0</v>
      </c>
      <c r="V845" s="12">
        <f>SUMIFS(BASE!$G:$G,BASE!$B:$B,$B845,BASE!$L:$L,$G845,BASE!$J:$J,$C845,BASE!$A:$A,V$2)</f>
        <v>0</v>
      </c>
      <c r="X845" t="str">
        <f t="shared" si="27"/>
        <v>ZERADO</v>
      </c>
    </row>
    <row r="846" spans="2:24">
      <c r="B846" s="8" t="s">
        <v>1752</v>
      </c>
      <c r="C846" s="9" t="s">
        <v>106</v>
      </c>
      <c r="D846" s="9" t="s">
        <v>1753</v>
      </c>
      <c r="E846" s="9" t="s">
        <v>1754</v>
      </c>
      <c r="F846" s="9" t="s">
        <v>1755</v>
      </c>
      <c r="G846" s="9" t="s">
        <v>58</v>
      </c>
      <c r="H846" s="7" t="str">
        <f>IFERROR(IF(_xlfn.XLOOKUP(B846,REPASSE!D:D,REPASSE!D:D)="","Não","Sim"),"Não")</f>
        <v>Não</v>
      </c>
      <c r="I846" s="7" t="str">
        <f>IF(_xlfn.XLOOKUP(B846,'BOOST LIBERADO'!B:B,'BOOST LIBERADO'!B:B,"Não")="Não","Não","Sim")</f>
        <v>Sim</v>
      </c>
      <c r="J846" s="83" t="str">
        <f t="shared" si="26"/>
        <v>Sim</v>
      </c>
      <c r="K846" s="12">
        <f>SUMIFS(BASE!$G:$G,BASE!$B:$B,$B846,BASE!$L:$L,$G846,BASE!$J:$J,$C846,BASE!$A:$A,K$2)</f>
        <v>0</v>
      </c>
      <c r="L846" s="12">
        <f>SUMIFS(BASE!$G:$G,BASE!$B:$B,$B846,BASE!$L:$L,$G846,BASE!$J:$J,$C846,BASE!$A:$A,L$2)</f>
        <v>0</v>
      </c>
      <c r="M846" s="12">
        <f>SUMIFS(BASE!$G:$G,BASE!$B:$B,$B846,BASE!$L:$L,$G846,BASE!$J:$J,$C846,BASE!$A:$A,M$2)</f>
        <v>0</v>
      </c>
      <c r="N846" s="12">
        <f>SUMIFS(BASE!$G:$G,BASE!$B:$B,$B846,BASE!$L:$L,$G846,BASE!$J:$J,$C846,BASE!$A:$A,N$2)</f>
        <v>0</v>
      </c>
      <c r="O846" s="12">
        <f>SUMIFS(BASE!$G:$G,BASE!$B:$B,$B846,BASE!$L:$L,$G846,BASE!$J:$J,$C846,BASE!$A:$A,O$2)</f>
        <v>1</v>
      </c>
      <c r="P846" s="12">
        <f>SUMIFS(BASE!$G:$G,BASE!$B:$B,$B846,BASE!$L:$L,$G846,BASE!$J:$J,$C846,BASE!$A:$A,P$2)</f>
        <v>0</v>
      </c>
      <c r="Q846" s="12">
        <f>SUMIFS(BASE!$G:$G,BASE!$B:$B,$B846,BASE!$L:$L,$G846,BASE!$J:$J,$C846,BASE!$A:$A,Q$2)</f>
        <v>0</v>
      </c>
      <c r="R846" s="12">
        <f>SUMIFS(BASE!$G:$G,BASE!$B:$B,$B846,BASE!$L:$L,$G846,BASE!$J:$J,$C846,BASE!$A:$A,R$2)</f>
        <v>1</v>
      </c>
      <c r="S846" s="12">
        <f>SUMIFS(BASE!$G:$G,BASE!$B:$B,$B846,BASE!$L:$L,$G846,BASE!$J:$J,$C846,BASE!$A:$A,S$2)</f>
        <v>0</v>
      </c>
      <c r="T846" s="12">
        <f>SUMIFS(BASE!$G:$G,BASE!$B:$B,$B846,BASE!$L:$L,$G846,BASE!$J:$J,$C846,BASE!$A:$A,T$2)</f>
        <v>0</v>
      </c>
      <c r="U846" s="12">
        <f>SUMIFS(BASE!$G:$G,BASE!$B:$B,$B846,BASE!$L:$L,$G846,BASE!$J:$J,$C846,BASE!$A:$A,U$2)</f>
        <v>0</v>
      </c>
      <c r="V846" s="12">
        <f>SUMIFS(BASE!$G:$G,BASE!$B:$B,$B846,BASE!$L:$L,$G846,BASE!$J:$J,$C846,BASE!$A:$A,V$2)</f>
        <v>0</v>
      </c>
      <c r="X846" t="str">
        <f t="shared" si="27"/>
        <v>COM TROCAS</v>
      </c>
    </row>
    <row r="847" spans="2:24">
      <c r="B847" s="8" t="s">
        <v>1756</v>
      </c>
      <c r="C847" s="9" t="s">
        <v>124</v>
      </c>
      <c r="D847" s="9" t="s">
        <v>1753</v>
      </c>
      <c r="E847" s="9" t="s">
        <v>1754</v>
      </c>
      <c r="F847" s="9" t="s">
        <v>1757</v>
      </c>
      <c r="G847" s="9" t="s">
        <v>58</v>
      </c>
      <c r="H847" s="7" t="str">
        <f>IFERROR(IF(_xlfn.XLOOKUP(B847,REPASSE!D:D,REPASSE!D:D)="","Não","Sim"),"Não")</f>
        <v>Não</v>
      </c>
      <c r="I847" s="7" t="str">
        <f>IF(_xlfn.XLOOKUP(B847,'BOOST LIBERADO'!B:B,'BOOST LIBERADO'!B:B,"Não")="Não","Não","Sim")</f>
        <v>Sim</v>
      </c>
      <c r="J847" s="83" t="str">
        <f t="shared" si="26"/>
        <v>Sim</v>
      </c>
      <c r="K847" s="12">
        <f>SUMIFS(BASE!$G:$G,BASE!$B:$B,$B847,BASE!$L:$L,$G847,BASE!$J:$J,$C847,BASE!$A:$A,K$2)</f>
        <v>0</v>
      </c>
      <c r="L847" s="12">
        <f>SUMIFS(BASE!$G:$G,BASE!$B:$B,$B847,BASE!$L:$L,$G847,BASE!$J:$J,$C847,BASE!$A:$A,L$2)</f>
        <v>5</v>
      </c>
      <c r="M847" s="12">
        <f>SUMIFS(BASE!$G:$G,BASE!$B:$B,$B847,BASE!$L:$L,$G847,BASE!$J:$J,$C847,BASE!$A:$A,M$2)</f>
        <v>19</v>
      </c>
      <c r="N847" s="12">
        <f>SUMIFS(BASE!$G:$G,BASE!$B:$B,$B847,BASE!$L:$L,$G847,BASE!$J:$J,$C847,BASE!$A:$A,N$2)</f>
        <v>22</v>
      </c>
      <c r="O847" s="12">
        <f>SUMIFS(BASE!$G:$G,BASE!$B:$B,$B847,BASE!$L:$L,$G847,BASE!$J:$J,$C847,BASE!$A:$A,O$2)</f>
        <v>28</v>
      </c>
      <c r="P847" s="12">
        <f>SUMIFS(BASE!$G:$G,BASE!$B:$B,$B847,BASE!$L:$L,$G847,BASE!$J:$J,$C847,BASE!$A:$A,P$2)</f>
        <v>28</v>
      </c>
      <c r="Q847" s="12">
        <f>SUMIFS(BASE!$G:$G,BASE!$B:$B,$B847,BASE!$L:$L,$G847,BASE!$J:$J,$C847,BASE!$A:$A,Q$2)</f>
        <v>55</v>
      </c>
      <c r="R847" s="12">
        <f>SUMIFS(BASE!$G:$G,BASE!$B:$B,$B847,BASE!$L:$L,$G847,BASE!$J:$J,$C847,BASE!$A:$A,R$2)</f>
        <v>31</v>
      </c>
      <c r="S847" s="12">
        <f>SUMIFS(BASE!$G:$G,BASE!$B:$B,$B847,BASE!$L:$L,$G847,BASE!$J:$J,$C847,BASE!$A:$A,S$2)</f>
        <v>0</v>
      </c>
      <c r="T847" s="12">
        <f>SUMIFS(BASE!$G:$G,BASE!$B:$B,$B847,BASE!$L:$L,$G847,BASE!$J:$J,$C847,BASE!$A:$A,T$2)</f>
        <v>0</v>
      </c>
      <c r="U847" s="12">
        <f>SUMIFS(BASE!$G:$G,BASE!$B:$B,$B847,BASE!$L:$L,$G847,BASE!$J:$J,$C847,BASE!$A:$A,U$2)</f>
        <v>0</v>
      </c>
      <c r="V847" s="12">
        <f>SUMIFS(BASE!$G:$G,BASE!$B:$B,$B847,BASE!$L:$L,$G847,BASE!$J:$J,$C847,BASE!$A:$A,V$2)</f>
        <v>0</v>
      </c>
      <c r="X847" t="str">
        <f t="shared" si="27"/>
        <v>COM TROCAS</v>
      </c>
    </row>
    <row r="848" spans="2:24">
      <c r="B848" s="8" t="s">
        <v>1758</v>
      </c>
      <c r="C848" s="9" t="s">
        <v>124</v>
      </c>
      <c r="D848" s="9" t="s">
        <v>1753</v>
      </c>
      <c r="E848" s="9" t="s">
        <v>1754</v>
      </c>
      <c r="F848" s="9" t="s">
        <v>1757</v>
      </c>
      <c r="G848" s="9" t="s">
        <v>58</v>
      </c>
      <c r="H848" s="7" t="str">
        <f>IFERROR(IF(_xlfn.XLOOKUP(B848,REPASSE!D:D,REPASSE!D:D)="","Não","Sim"),"Não")</f>
        <v>Não</v>
      </c>
      <c r="I848" s="7" t="str">
        <f>IF(_xlfn.XLOOKUP(B848,'BOOST LIBERADO'!B:B,'BOOST LIBERADO'!B:B,"Não")="Não","Não","Sim")</f>
        <v>Sim</v>
      </c>
      <c r="J848" s="83" t="str">
        <f t="shared" si="26"/>
        <v>Sim</v>
      </c>
      <c r="K848" s="12">
        <f>SUMIFS(BASE!$G:$G,BASE!$B:$B,$B848,BASE!$L:$L,$G848,BASE!$J:$J,$C848,BASE!$A:$A,K$2)</f>
        <v>0</v>
      </c>
      <c r="L848" s="12">
        <f>SUMIFS(BASE!$G:$G,BASE!$B:$B,$B848,BASE!$L:$L,$G848,BASE!$J:$J,$C848,BASE!$A:$A,L$2)</f>
        <v>1</v>
      </c>
      <c r="M848" s="12">
        <f>SUMIFS(BASE!$G:$G,BASE!$B:$B,$B848,BASE!$L:$L,$G848,BASE!$J:$J,$C848,BASE!$A:$A,M$2)</f>
        <v>0</v>
      </c>
      <c r="N848" s="12">
        <f>SUMIFS(BASE!$G:$G,BASE!$B:$B,$B848,BASE!$L:$L,$G848,BASE!$J:$J,$C848,BASE!$A:$A,N$2)</f>
        <v>0</v>
      </c>
      <c r="O848" s="12">
        <f>SUMIFS(BASE!$G:$G,BASE!$B:$B,$B848,BASE!$L:$L,$G848,BASE!$J:$J,$C848,BASE!$A:$A,O$2)</f>
        <v>0</v>
      </c>
      <c r="P848" s="12">
        <f>SUMIFS(BASE!$G:$G,BASE!$B:$B,$B848,BASE!$L:$L,$G848,BASE!$J:$J,$C848,BASE!$A:$A,P$2)</f>
        <v>0</v>
      </c>
      <c r="Q848" s="12">
        <f>SUMIFS(BASE!$G:$G,BASE!$B:$B,$B848,BASE!$L:$L,$G848,BASE!$J:$J,$C848,BASE!$A:$A,Q$2)</f>
        <v>4</v>
      </c>
      <c r="R848" s="12">
        <f>SUMIFS(BASE!$G:$G,BASE!$B:$B,$B848,BASE!$L:$L,$G848,BASE!$J:$J,$C848,BASE!$A:$A,R$2)</f>
        <v>3</v>
      </c>
      <c r="S848" s="12">
        <f>SUMIFS(BASE!$G:$G,BASE!$B:$B,$B848,BASE!$L:$L,$G848,BASE!$J:$J,$C848,BASE!$A:$A,S$2)</f>
        <v>0</v>
      </c>
      <c r="T848" s="12">
        <f>SUMIFS(BASE!$G:$G,BASE!$B:$B,$B848,BASE!$L:$L,$G848,BASE!$J:$J,$C848,BASE!$A:$A,T$2)</f>
        <v>0</v>
      </c>
      <c r="U848" s="12">
        <f>SUMIFS(BASE!$G:$G,BASE!$B:$B,$B848,BASE!$L:$L,$G848,BASE!$J:$J,$C848,BASE!$A:$A,U$2)</f>
        <v>0</v>
      </c>
      <c r="V848" s="12">
        <f>SUMIFS(BASE!$G:$G,BASE!$B:$B,$B848,BASE!$L:$L,$G848,BASE!$J:$J,$C848,BASE!$A:$A,V$2)</f>
        <v>0</v>
      </c>
      <c r="X848" t="str">
        <f t="shared" si="27"/>
        <v>COM TROCAS</v>
      </c>
    </row>
    <row r="849" spans="2:24">
      <c r="B849" s="8" t="s">
        <v>1759</v>
      </c>
      <c r="C849" s="9" t="s">
        <v>106</v>
      </c>
      <c r="D849" s="9" t="s">
        <v>1753</v>
      </c>
      <c r="E849" s="9" t="s">
        <v>1754</v>
      </c>
      <c r="F849" s="9" t="s">
        <v>1760</v>
      </c>
      <c r="G849" s="9" t="s">
        <v>58</v>
      </c>
      <c r="H849" s="7" t="str">
        <f>IFERROR(IF(_xlfn.XLOOKUP(B849,REPASSE!D:D,REPASSE!D:D)="","Não","Sim"),"Não")</f>
        <v>Não</v>
      </c>
      <c r="I849" s="7" t="str">
        <f>IF(_xlfn.XLOOKUP(B849,'BOOST LIBERADO'!B:B,'BOOST LIBERADO'!B:B,"Não")="Não","Não","Sim")</f>
        <v>Sim</v>
      </c>
      <c r="J849" s="83" t="str">
        <f t="shared" si="26"/>
        <v>Sim</v>
      </c>
      <c r="K849" s="12">
        <f>SUMIFS(BASE!$G:$G,BASE!$B:$B,$B849,BASE!$L:$L,$G849,BASE!$J:$J,$C849,BASE!$A:$A,K$2)</f>
        <v>0</v>
      </c>
      <c r="L849" s="12">
        <f>SUMIFS(BASE!$G:$G,BASE!$B:$B,$B849,BASE!$L:$L,$G849,BASE!$J:$J,$C849,BASE!$A:$A,L$2)</f>
        <v>0</v>
      </c>
      <c r="M849" s="12">
        <f>SUMIFS(BASE!$G:$G,BASE!$B:$B,$B849,BASE!$L:$L,$G849,BASE!$J:$J,$C849,BASE!$A:$A,M$2)</f>
        <v>0</v>
      </c>
      <c r="N849" s="12">
        <f>SUMIFS(BASE!$G:$G,BASE!$B:$B,$B849,BASE!$L:$L,$G849,BASE!$J:$J,$C849,BASE!$A:$A,N$2)</f>
        <v>0</v>
      </c>
      <c r="O849" s="12">
        <f>SUMIFS(BASE!$G:$G,BASE!$B:$B,$B849,BASE!$L:$L,$G849,BASE!$J:$J,$C849,BASE!$A:$A,O$2)</f>
        <v>0</v>
      </c>
      <c r="P849" s="12">
        <f>SUMIFS(BASE!$G:$G,BASE!$B:$B,$B849,BASE!$L:$L,$G849,BASE!$J:$J,$C849,BASE!$A:$A,P$2)</f>
        <v>0</v>
      </c>
      <c r="Q849" s="12">
        <f>SUMIFS(BASE!$G:$G,BASE!$B:$B,$B849,BASE!$L:$L,$G849,BASE!$J:$J,$C849,BASE!$A:$A,Q$2)</f>
        <v>0</v>
      </c>
      <c r="R849" s="12">
        <f>SUMIFS(BASE!$G:$G,BASE!$B:$B,$B849,BASE!$L:$L,$G849,BASE!$J:$J,$C849,BASE!$A:$A,R$2)</f>
        <v>0</v>
      </c>
      <c r="S849" s="12">
        <f>SUMIFS(BASE!$G:$G,BASE!$B:$B,$B849,BASE!$L:$L,$G849,BASE!$J:$J,$C849,BASE!$A:$A,S$2)</f>
        <v>0</v>
      </c>
      <c r="T849" s="12">
        <f>SUMIFS(BASE!$G:$G,BASE!$B:$B,$B849,BASE!$L:$L,$G849,BASE!$J:$J,$C849,BASE!$A:$A,T$2)</f>
        <v>0</v>
      </c>
      <c r="U849" s="12">
        <f>SUMIFS(BASE!$G:$G,BASE!$B:$B,$B849,BASE!$L:$L,$G849,BASE!$J:$J,$C849,BASE!$A:$A,U$2)</f>
        <v>0</v>
      </c>
      <c r="V849" s="12">
        <f>SUMIFS(BASE!$G:$G,BASE!$B:$B,$B849,BASE!$L:$L,$G849,BASE!$J:$J,$C849,BASE!$A:$A,V$2)</f>
        <v>0</v>
      </c>
      <c r="X849" t="str">
        <f t="shared" si="27"/>
        <v>ZERADO</v>
      </c>
    </row>
    <row r="850" spans="2:24">
      <c r="B850" s="8" t="s">
        <v>1761</v>
      </c>
      <c r="C850" s="9" t="s">
        <v>124</v>
      </c>
      <c r="D850" s="9" t="s">
        <v>1762</v>
      </c>
      <c r="E850" s="9" t="s">
        <v>1754</v>
      </c>
      <c r="F850" s="9" t="s">
        <v>1763</v>
      </c>
      <c r="G850" s="9" t="s">
        <v>58</v>
      </c>
      <c r="H850" s="7" t="str">
        <f>IFERROR(IF(_xlfn.XLOOKUP(B850,REPASSE!D:D,REPASSE!D:D)="","Não","Sim"),"Não")</f>
        <v>Não</v>
      </c>
      <c r="I850" s="7" t="str">
        <f>IF(_xlfn.XLOOKUP(B850,'BOOST LIBERADO'!B:B,'BOOST LIBERADO'!B:B,"Não")="Não","Não","Sim")</f>
        <v>Sim</v>
      </c>
      <c r="J850" s="83" t="str">
        <f t="shared" si="26"/>
        <v>Sim</v>
      </c>
      <c r="K850" s="12">
        <f>SUMIFS(BASE!$G:$G,BASE!$B:$B,$B850,BASE!$L:$L,$G850,BASE!$J:$J,$C850,BASE!$A:$A,K$2)</f>
        <v>0</v>
      </c>
      <c r="L850" s="12">
        <f>SUMIFS(BASE!$G:$G,BASE!$B:$B,$B850,BASE!$L:$L,$G850,BASE!$J:$J,$C850,BASE!$A:$A,L$2)</f>
        <v>0</v>
      </c>
      <c r="M850" s="12">
        <f>SUMIFS(BASE!$G:$G,BASE!$B:$B,$B850,BASE!$L:$L,$G850,BASE!$J:$J,$C850,BASE!$A:$A,M$2)</f>
        <v>0</v>
      </c>
      <c r="N850" s="12">
        <f>SUMIFS(BASE!$G:$G,BASE!$B:$B,$B850,BASE!$L:$L,$G850,BASE!$J:$J,$C850,BASE!$A:$A,N$2)</f>
        <v>0</v>
      </c>
      <c r="O850" s="12">
        <f>SUMIFS(BASE!$G:$G,BASE!$B:$B,$B850,BASE!$L:$L,$G850,BASE!$J:$J,$C850,BASE!$A:$A,O$2)</f>
        <v>0</v>
      </c>
      <c r="P850" s="12">
        <f>SUMIFS(BASE!$G:$G,BASE!$B:$B,$B850,BASE!$L:$L,$G850,BASE!$J:$J,$C850,BASE!$A:$A,P$2)</f>
        <v>0</v>
      </c>
      <c r="Q850" s="12">
        <f>SUMIFS(BASE!$G:$G,BASE!$B:$B,$B850,BASE!$L:$L,$G850,BASE!$J:$J,$C850,BASE!$A:$A,Q$2)</f>
        <v>0</v>
      </c>
      <c r="R850" s="12">
        <f>SUMIFS(BASE!$G:$G,BASE!$B:$B,$B850,BASE!$L:$L,$G850,BASE!$J:$J,$C850,BASE!$A:$A,R$2)</f>
        <v>0</v>
      </c>
      <c r="S850" s="12">
        <f>SUMIFS(BASE!$G:$G,BASE!$B:$B,$B850,BASE!$L:$L,$G850,BASE!$J:$J,$C850,BASE!$A:$A,S$2)</f>
        <v>0</v>
      </c>
      <c r="T850" s="12">
        <f>SUMIFS(BASE!$G:$G,BASE!$B:$B,$B850,BASE!$L:$L,$G850,BASE!$J:$J,$C850,BASE!$A:$A,T$2)</f>
        <v>0</v>
      </c>
      <c r="U850" s="12">
        <f>SUMIFS(BASE!$G:$G,BASE!$B:$B,$B850,BASE!$L:$L,$G850,BASE!$J:$J,$C850,BASE!$A:$A,U$2)</f>
        <v>0</v>
      </c>
      <c r="V850" s="12">
        <f>SUMIFS(BASE!$G:$G,BASE!$B:$B,$B850,BASE!$L:$L,$G850,BASE!$J:$J,$C850,BASE!$A:$A,V$2)</f>
        <v>0</v>
      </c>
      <c r="X850" t="str">
        <f t="shared" si="27"/>
        <v>ZERADO</v>
      </c>
    </row>
    <row r="851" spans="2:24">
      <c r="B851" s="8" t="s">
        <v>1764</v>
      </c>
      <c r="C851" s="9" t="s">
        <v>124</v>
      </c>
      <c r="D851" s="9" t="s">
        <v>1762</v>
      </c>
      <c r="E851" s="9" t="s">
        <v>1754</v>
      </c>
      <c r="F851" s="9" t="s">
        <v>1765</v>
      </c>
      <c r="G851" s="9" t="s">
        <v>58</v>
      </c>
      <c r="H851" s="7" t="str">
        <f>IFERROR(IF(_xlfn.XLOOKUP(B851,REPASSE!D:D,REPASSE!D:D)="","Não","Sim"),"Não")</f>
        <v>Não</v>
      </c>
      <c r="I851" s="7" t="str">
        <f>IF(_xlfn.XLOOKUP(B851,'BOOST LIBERADO'!B:B,'BOOST LIBERADO'!B:B,"Não")="Não","Não","Sim")</f>
        <v>Sim</v>
      </c>
      <c r="J851" s="83" t="str">
        <f t="shared" si="26"/>
        <v>Sim</v>
      </c>
      <c r="K851" s="12">
        <f>SUMIFS(BASE!$G:$G,BASE!$B:$B,$B851,BASE!$L:$L,$G851,BASE!$J:$J,$C851,BASE!$A:$A,K$2)</f>
        <v>0</v>
      </c>
      <c r="L851" s="12">
        <f>SUMIFS(BASE!$G:$G,BASE!$B:$B,$B851,BASE!$L:$L,$G851,BASE!$J:$J,$C851,BASE!$A:$A,L$2)</f>
        <v>0</v>
      </c>
      <c r="M851" s="12">
        <f>SUMIFS(BASE!$G:$G,BASE!$B:$B,$B851,BASE!$L:$L,$G851,BASE!$J:$J,$C851,BASE!$A:$A,M$2)</f>
        <v>0</v>
      </c>
      <c r="N851" s="12">
        <f>SUMIFS(BASE!$G:$G,BASE!$B:$B,$B851,BASE!$L:$L,$G851,BASE!$J:$J,$C851,BASE!$A:$A,N$2)</f>
        <v>0</v>
      </c>
      <c r="O851" s="12">
        <f>SUMIFS(BASE!$G:$G,BASE!$B:$B,$B851,BASE!$L:$L,$G851,BASE!$J:$J,$C851,BASE!$A:$A,O$2)</f>
        <v>0</v>
      </c>
      <c r="P851" s="12">
        <f>SUMIFS(BASE!$G:$G,BASE!$B:$B,$B851,BASE!$L:$L,$G851,BASE!$J:$J,$C851,BASE!$A:$A,P$2)</f>
        <v>0</v>
      </c>
      <c r="Q851" s="12">
        <f>SUMIFS(BASE!$G:$G,BASE!$B:$B,$B851,BASE!$L:$L,$G851,BASE!$J:$J,$C851,BASE!$A:$A,Q$2)</f>
        <v>0</v>
      </c>
      <c r="R851" s="12">
        <f>SUMIFS(BASE!$G:$G,BASE!$B:$B,$B851,BASE!$L:$L,$G851,BASE!$J:$J,$C851,BASE!$A:$A,R$2)</f>
        <v>0</v>
      </c>
      <c r="S851" s="12">
        <f>SUMIFS(BASE!$G:$G,BASE!$B:$B,$B851,BASE!$L:$L,$G851,BASE!$J:$J,$C851,BASE!$A:$A,S$2)</f>
        <v>0</v>
      </c>
      <c r="T851" s="12">
        <f>SUMIFS(BASE!$G:$G,BASE!$B:$B,$B851,BASE!$L:$L,$G851,BASE!$J:$J,$C851,BASE!$A:$A,T$2)</f>
        <v>0</v>
      </c>
      <c r="U851" s="12">
        <f>SUMIFS(BASE!$G:$G,BASE!$B:$B,$B851,BASE!$L:$L,$G851,BASE!$J:$J,$C851,BASE!$A:$A,U$2)</f>
        <v>0</v>
      </c>
      <c r="V851" s="12">
        <f>SUMIFS(BASE!$G:$G,BASE!$B:$B,$B851,BASE!$L:$L,$G851,BASE!$J:$J,$C851,BASE!$A:$A,V$2)</f>
        <v>0</v>
      </c>
      <c r="X851" t="str">
        <f t="shared" si="27"/>
        <v>ZERADO</v>
      </c>
    </row>
    <row r="852" spans="2:24">
      <c r="B852" s="8" t="s">
        <v>1766</v>
      </c>
      <c r="C852" s="9" t="s">
        <v>124</v>
      </c>
      <c r="D852" s="9" t="s">
        <v>1762</v>
      </c>
      <c r="E852" s="9" t="s">
        <v>1754</v>
      </c>
      <c r="F852" s="9" t="s">
        <v>1767</v>
      </c>
      <c r="G852" s="9" t="s">
        <v>58</v>
      </c>
      <c r="H852" s="7" t="str">
        <f>IFERROR(IF(_xlfn.XLOOKUP(B852,REPASSE!D:D,REPASSE!D:D)="","Não","Sim"),"Não")</f>
        <v>Não</v>
      </c>
      <c r="I852" s="7" t="str">
        <f>IF(_xlfn.XLOOKUP(B852,'BOOST LIBERADO'!B:B,'BOOST LIBERADO'!B:B,"Não")="Não","Não","Sim")</f>
        <v>Sim</v>
      </c>
      <c r="J852" s="83" t="str">
        <f t="shared" si="26"/>
        <v>Sim</v>
      </c>
      <c r="K852" s="12">
        <f>SUMIFS(BASE!$G:$G,BASE!$B:$B,$B852,BASE!$L:$L,$G852,BASE!$J:$J,$C852,BASE!$A:$A,K$2)</f>
        <v>0</v>
      </c>
      <c r="L852" s="12">
        <f>SUMIFS(BASE!$G:$G,BASE!$B:$B,$B852,BASE!$L:$L,$G852,BASE!$J:$J,$C852,BASE!$A:$A,L$2)</f>
        <v>0</v>
      </c>
      <c r="M852" s="12">
        <f>SUMIFS(BASE!$G:$G,BASE!$B:$B,$B852,BASE!$L:$L,$G852,BASE!$J:$J,$C852,BASE!$A:$A,M$2)</f>
        <v>0</v>
      </c>
      <c r="N852" s="12">
        <f>SUMIFS(BASE!$G:$G,BASE!$B:$B,$B852,BASE!$L:$L,$G852,BASE!$J:$J,$C852,BASE!$A:$A,N$2)</f>
        <v>0</v>
      </c>
      <c r="O852" s="12">
        <f>SUMIFS(BASE!$G:$G,BASE!$B:$B,$B852,BASE!$L:$L,$G852,BASE!$J:$J,$C852,BASE!$A:$A,O$2)</f>
        <v>0</v>
      </c>
      <c r="P852" s="12">
        <f>SUMIFS(BASE!$G:$G,BASE!$B:$B,$B852,BASE!$L:$L,$G852,BASE!$J:$J,$C852,BASE!$A:$A,P$2)</f>
        <v>0</v>
      </c>
      <c r="Q852" s="12">
        <f>SUMIFS(BASE!$G:$G,BASE!$B:$B,$B852,BASE!$L:$L,$G852,BASE!$J:$J,$C852,BASE!$A:$A,Q$2)</f>
        <v>0</v>
      </c>
      <c r="R852" s="12">
        <f>SUMIFS(BASE!$G:$G,BASE!$B:$B,$B852,BASE!$L:$L,$G852,BASE!$J:$J,$C852,BASE!$A:$A,R$2)</f>
        <v>1</v>
      </c>
      <c r="S852" s="12">
        <f>SUMIFS(BASE!$G:$G,BASE!$B:$B,$B852,BASE!$L:$L,$G852,BASE!$J:$J,$C852,BASE!$A:$A,S$2)</f>
        <v>0</v>
      </c>
      <c r="T852" s="12">
        <f>SUMIFS(BASE!$G:$G,BASE!$B:$B,$B852,BASE!$L:$L,$G852,BASE!$J:$J,$C852,BASE!$A:$A,T$2)</f>
        <v>0</v>
      </c>
      <c r="U852" s="12">
        <f>SUMIFS(BASE!$G:$G,BASE!$B:$B,$B852,BASE!$L:$L,$G852,BASE!$J:$J,$C852,BASE!$A:$A,U$2)</f>
        <v>0</v>
      </c>
      <c r="V852" s="12">
        <f>SUMIFS(BASE!$G:$G,BASE!$B:$B,$B852,BASE!$L:$L,$G852,BASE!$J:$J,$C852,BASE!$A:$A,V$2)</f>
        <v>0</v>
      </c>
      <c r="X852" t="str">
        <f t="shared" si="27"/>
        <v>COM TROCAS</v>
      </c>
    </row>
    <row r="853" spans="2:24">
      <c r="B853" s="8" t="s">
        <v>1768</v>
      </c>
      <c r="C853" s="9" t="s">
        <v>124</v>
      </c>
      <c r="D853" s="9" t="s">
        <v>1762</v>
      </c>
      <c r="E853" s="9" t="s">
        <v>1754</v>
      </c>
      <c r="F853" s="9" t="s">
        <v>1769</v>
      </c>
      <c r="G853" s="9" t="s">
        <v>58</v>
      </c>
      <c r="H853" s="7" t="str">
        <f>IFERROR(IF(_xlfn.XLOOKUP(B853,REPASSE!D:D,REPASSE!D:D)="","Não","Sim"),"Não")</f>
        <v>Não</v>
      </c>
      <c r="I853" s="7" t="str">
        <f>IF(_xlfn.XLOOKUP(B853,'BOOST LIBERADO'!B:B,'BOOST LIBERADO'!B:B,"Não")="Não","Não","Sim")</f>
        <v>Sim</v>
      </c>
      <c r="J853" s="83" t="str">
        <f t="shared" si="26"/>
        <v>Sim</v>
      </c>
      <c r="K853" s="12">
        <f>SUMIFS(BASE!$G:$G,BASE!$B:$B,$B853,BASE!$L:$L,$G853,BASE!$J:$J,$C853,BASE!$A:$A,K$2)</f>
        <v>0</v>
      </c>
      <c r="L853" s="12">
        <f>SUMIFS(BASE!$G:$G,BASE!$B:$B,$B853,BASE!$L:$L,$G853,BASE!$J:$J,$C853,BASE!$A:$A,L$2)</f>
        <v>0</v>
      </c>
      <c r="M853" s="12">
        <f>SUMIFS(BASE!$G:$G,BASE!$B:$B,$B853,BASE!$L:$L,$G853,BASE!$J:$J,$C853,BASE!$A:$A,M$2)</f>
        <v>0</v>
      </c>
      <c r="N853" s="12">
        <f>SUMIFS(BASE!$G:$G,BASE!$B:$B,$B853,BASE!$L:$L,$G853,BASE!$J:$J,$C853,BASE!$A:$A,N$2)</f>
        <v>0</v>
      </c>
      <c r="O853" s="12">
        <f>SUMIFS(BASE!$G:$G,BASE!$B:$B,$B853,BASE!$L:$L,$G853,BASE!$J:$J,$C853,BASE!$A:$A,O$2)</f>
        <v>0</v>
      </c>
      <c r="P853" s="12">
        <f>SUMIFS(BASE!$G:$G,BASE!$B:$B,$B853,BASE!$L:$L,$G853,BASE!$J:$J,$C853,BASE!$A:$A,P$2)</f>
        <v>0</v>
      </c>
      <c r="Q853" s="12">
        <f>SUMIFS(BASE!$G:$G,BASE!$B:$B,$B853,BASE!$L:$L,$G853,BASE!$J:$J,$C853,BASE!$A:$A,Q$2)</f>
        <v>0</v>
      </c>
      <c r="R853" s="12">
        <f>SUMIFS(BASE!$G:$G,BASE!$B:$B,$B853,BASE!$L:$L,$G853,BASE!$J:$J,$C853,BASE!$A:$A,R$2)</f>
        <v>1</v>
      </c>
      <c r="S853" s="12">
        <f>SUMIFS(BASE!$G:$G,BASE!$B:$B,$B853,BASE!$L:$L,$G853,BASE!$J:$J,$C853,BASE!$A:$A,S$2)</f>
        <v>0</v>
      </c>
      <c r="T853" s="12">
        <f>SUMIFS(BASE!$G:$G,BASE!$B:$B,$B853,BASE!$L:$L,$G853,BASE!$J:$J,$C853,BASE!$A:$A,T$2)</f>
        <v>0</v>
      </c>
      <c r="U853" s="12">
        <f>SUMIFS(BASE!$G:$G,BASE!$B:$B,$B853,BASE!$L:$L,$G853,BASE!$J:$J,$C853,BASE!$A:$A,U$2)</f>
        <v>0</v>
      </c>
      <c r="V853" s="12">
        <f>SUMIFS(BASE!$G:$G,BASE!$B:$B,$B853,BASE!$L:$L,$G853,BASE!$J:$J,$C853,BASE!$A:$A,V$2)</f>
        <v>0</v>
      </c>
      <c r="X853" t="str">
        <f t="shared" si="27"/>
        <v>COM TROCAS</v>
      </c>
    </row>
    <row r="854" spans="2:24">
      <c r="B854" s="8" t="s">
        <v>1770</v>
      </c>
      <c r="C854" s="9" t="s">
        <v>124</v>
      </c>
      <c r="D854" s="9" t="s">
        <v>1762</v>
      </c>
      <c r="E854" s="9" t="s">
        <v>1754</v>
      </c>
      <c r="F854" s="9" t="s">
        <v>1771</v>
      </c>
      <c r="G854" s="9" t="s">
        <v>58</v>
      </c>
      <c r="H854" s="7" t="str">
        <f>IFERROR(IF(_xlfn.XLOOKUP(B854,REPASSE!D:D,REPASSE!D:D)="","Não","Sim"),"Não")</f>
        <v>Não</v>
      </c>
      <c r="I854" s="7" t="str">
        <f>IF(_xlfn.XLOOKUP(B854,'BOOST LIBERADO'!B:B,'BOOST LIBERADO'!B:B,"Não")="Não","Não","Sim")</f>
        <v>Sim</v>
      </c>
      <c r="J854" s="83" t="str">
        <f t="shared" si="26"/>
        <v>Sim</v>
      </c>
      <c r="K854" s="12">
        <f>SUMIFS(BASE!$G:$G,BASE!$B:$B,$B854,BASE!$L:$L,$G854,BASE!$J:$J,$C854,BASE!$A:$A,K$2)</f>
        <v>0</v>
      </c>
      <c r="L854" s="12">
        <f>SUMIFS(BASE!$G:$G,BASE!$B:$B,$B854,BASE!$L:$L,$G854,BASE!$J:$J,$C854,BASE!$A:$A,L$2)</f>
        <v>0</v>
      </c>
      <c r="M854" s="12">
        <f>SUMIFS(BASE!$G:$G,BASE!$B:$B,$B854,BASE!$L:$L,$G854,BASE!$J:$J,$C854,BASE!$A:$A,M$2)</f>
        <v>0</v>
      </c>
      <c r="N854" s="12">
        <f>SUMIFS(BASE!$G:$G,BASE!$B:$B,$B854,BASE!$L:$L,$G854,BASE!$J:$J,$C854,BASE!$A:$A,N$2)</f>
        <v>0</v>
      </c>
      <c r="O854" s="12">
        <f>SUMIFS(BASE!$G:$G,BASE!$B:$B,$B854,BASE!$L:$L,$G854,BASE!$J:$J,$C854,BASE!$A:$A,O$2)</f>
        <v>0</v>
      </c>
      <c r="P854" s="12">
        <f>SUMIFS(BASE!$G:$G,BASE!$B:$B,$B854,BASE!$L:$L,$G854,BASE!$J:$J,$C854,BASE!$A:$A,P$2)</f>
        <v>0</v>
      </c>
      <c r="Q854" s="12">
        <f>SUMIFS(BASE!$G:$G,BASE!$B:$B,$B854,BASE!$L:$L,$G854,BASE!$J:$J,$C854,BASE!$A:$A,Q$2)</f>
        <v>0</v>
      </c>
      <c r="R854" s="12">
        <f>SUMIFS(BASE!$G:$G,BASE!$B:$B,$B854,BASE!$L:$L,$G854,BASE!$J:$J,$C854,BASE!$A:$A,R$2)</f>
        <v>0</v>
      </c>
      <c r="S854" s="12">
        <f>SUMIFS(BASE!$G:$G,BASE!$B:$B,$B854,BASE!$L:$L,$G854,BASE!$J:$J,$C854,BASE!$A:$A,S$2)</f>
        <v>0</v>
      </c>
      <c r="T854" s="12">
        <f>SUMIFS(BASE!$G:$G,BASE!$B:$B,$B854,BASE!$L:$L,$G854,BASE!$J:$J,$C854,BASE!$A:$A,T$2)</f>
        <v>0</v>
      </c>
      <c r="U854" s="12">
        <f>SUMIFS(BASE!$G:$G,BASE!$B:$B,$B854,BASE!$L:$L,$G854,BASE!$J:$J,$C854,BASE!$A:$A,U$2)</f>
        <v>0</v>
      </c>
      <c r="V854" s="12">
        <f>SUMIFS(BASE!$G:$G,BASE!$B:$B,$B854,BASE!$L:$L,$G854,BASE!$J:$J,$C854,BASE!$A:$A,V$2)</f>
        <v>0</v>
      </c>
      <c r="X854" t="str">
        <f t="shared" si="27"/>
        <v>ZERADO</v>
      </c>
    </row>
    <row r="855" spans="2:24">
      <c r="B855" s="8" t="s">
        <v>1772</v>
      </c>
      <c r="C855" s="9" t="s">
        <v>124</v>
      </c>
      <c r="D855" s="9" t="s">
        <v>1762</v>
      </c>
      <c r="E855" s="9" t="s">
        <v>1754</v>
      </c>
      <c r="F855" s="9" t="s">
        <v>1773</v>
      </c>
      <c r="G855" s="9" t="s">
        <v>58</v>
      </c>
      <c r="H855" s="7" t="str">
        <f>IFERROR(IF(_xlfn.XLOOKUP(B855,REPASSE!D:D,REPASSE!D:D)="","Não","Sim"),"Não")</f>
        <v>Não</v>
      </c>
      <c r="I855" s="7" t="str">
        <f>IF(_xlfn.XLOOKUP(B855,'BOOST LIBERADO'!B:B,'BOOST LIBERADO'!B:B,"Não")="Não","Não","Sim")</f>
        <v>Sim</v>
      </c>
      <c r="J855" s="83" t="str">
        <f t="shared" si="26"/>
        <v>Sim</v>
      </c>
      <c r="K855" s="12">
        <f>SUMIFS(BASE!$G:$G,BASE!$B:$B,$B855,BASE!$L:$L,$G855,BASE!$J:$J,$C855,BASE!$A:$A,K$2)</f>
        <v>0</v>
      </c>
      <c r="L855" s="12">
        <f>SUMIFS(BASE!$G:$G,BASE!$B:$B,$B855,BASE!$L:$L,$G855,BASE!$J:$J,$C855,BASE!$A:$A,L$2)</f>
        <v>0</v>
      </c>
      <c r="M855" s="12">
        <f>SUMIFS(BASE!$G:$G,BASE!$B:$B,$B855,BASE!$L:$L,$G855,BASE!$J:$J,$C855,BASE!$A:$A,M$2)</f>
        <v>0</v>
      </c>
      <c r="N855" s="12">
        <f>SUMIFS(BASE!$G:$G,BASE!$B:$B,$B855,BASE!$L:$L,$G855,BASE!$J:$J,$C855,BASE!$A:$A,N$2)</f>
        <v>0</v>
      </c>
      <c r="O855" s="12">
        <f>SUMIFS(BASE!$G:$G,BASE!$B:$B,$B855,BASE!$L:$L,$G855,BASE!$J:$J,$C855,BASE!$A:$A,O$2)</f>
        <v>0</v>
      </c>
      <c r="P855" s="12">
        <f>SUMIFS(BASE!$G:$G,BASE!$B:$B,$B855,BASE!$L:$L,$G855,BASE!$J:$J,$C855,BASE!$A:$A,P$2)</f>
        <v>0</v>
      </c>
      <c r="Q855" s="12">
        <f>SUMIFS(BASE!$G:$G,BASE!$B:$B,$B855,BASE!$L:$L,$G855,BASE!$J:$J,$C855,BASE!$A:$A,Q$2)</f>
        <v>0</v>
      </c>
      <c r="R855" s="12">
        <f>SUMIFS(BASE!$G:$G,BASE!$B:$B,$B855,BASE!$L:$L,$G855,BASE!$J:$J,$C855,BASE!$A:$A,R$2)</f>
        <v>2</v>
      </c>
      <c r="S855" s="12">
        <f>SUMIFS(BASE!$G:$G,BASE!$B:$B,$B855,BASE!$L:$L,$G855,BASE!$J:$J,$C855,BASE!$A:$A,S$2)</f>
        <v>0</v>
      </c>
      <c r="T855" s="12">
        <f>SUMIFS(BASE!$G:$G,BASE!$B:$B,$B855,BASE!$L:$L,$G855,BASE!$J:$J,$C855,BASE!$A:$A,T$2)</f>
        <v>0</v>
      </c>
      <c r="U855" s="12">
        <f>SUMIFS(BASE!$G:$G,BASE!$B:$B,$B855,BASE!$L:$L,$G855,BASE!$J:$J,$C855,BASE!$A:$A,U$2)</f>
        <v>0</v>
      </c>
      <c r="V855" s="12">
        <f>SUMIFS(BASE!$G:$G,BASE!$B:$B,$B855,BASE!$L:$L,$G855,BASE!$J:$J,$C855,BASE!$A:$A,V$2)</f>
        <v>0</v>
      </c>
      <c r="X855" t="str">
        <f t="shared" si="27"/>
        <v>COM TROCAS</v>
      </c>
    </row>
    <row r="856" spans="2:24">
      <c r="B856" s="8" t="s">
        <v>1774</v>
      </c>
      <c r="C856" s="9" t="s">
        <v>124</v>
      </c>
      <c r="D856" s="9" t="s">
        <v>1762</v>
      </c>
      <c r="E856" s="9" t="s">
        <v>1754</v>
      </c>
      <c r="F856" s="9" t="s">
        <v>1775</v>
      </c>
      <c r="G856" s="9" t="s">
        <v>58</v>
      </c>
      <c r="H856" s="7" t="str">
        <f>IFERROR(IF(_xlfn.XLOOKUP(B856,REPASSE!D:D,REPASSE!D:D)="","Não","Sim"),"Não")</f>
        <v>Não</v>
      </c>
      <c r="I856" s="7" t="str">
        <f>IF(_xlfn.XLOOKUP(B856,'BOOST LIBERADO'!B:B,'BOOST LIBERADO'!B:B,"Não")="Não","Não","Sim")</f>
        <v>Sim</v>
      </c>
      <c r="J856" s="83" t="str">
        <f t="shared" si="26"/>
        <v>Sim</v>
      </c>
      <c r="K856" s="12">
        <f>SUMIFS(BASE!$G:$G,BASE!$B:$B,$B856,BASE!$L:$L,$G856,BASE!$J:$J,$C856,BASE!$A:$A,K$2)</f>
        <v>0</v>
      </c>
      <c r="L856" s="12">
        <f>SUMIFS(BASE!$G:$G,BASE!$B:$B,$B856,BASE!$L:$L,$G856,BASE!$J:$J,$C856,BASE!$A:$A,L$2)</f>
        <v>0</v>
      </c>
      <c r="M856" s="12">
        <f>SUMIFS(BASE!$G:$G,BASE!$B:$B,$B856,BASE!$L:$L,$G856,BASE!$J:$J,$C856,BASE!$A:$A,M$2)</f>
        <v>0</v>
      </c>
      <c r="N856" s="12">
        <f>SUMIFS(BASE!$G:$G,BASE!$B:$B,$B856,BASE!$L:$L,$G856,BASE!$J:$J,$C856,BASE!$A:$A,N$2)</f>
        <v>0</v>
      </c>
      <c r="O856" s="12">
        <f>SUMIFS(BASE!$G:$G,BASE!$B:$B,$B856,BASE!$L:$L,$G856,BASE!$J:$J,$C856,BASE!$A:$A,O$2)</f>
        <v>0</v>
      </c>
      <c r="P856" s="12">
        <f>SUMIFS(BASE!$G:$G,BASE!$B:$B,$B856,BASE!$L:$L,$G856,BASE!$J:$J,$C856,BASE!$A:$A,P$2)</f>
        <v>0</v>
      </c>
      <c r="Q856" s="12">
        <f>SUMIFS(BASE!$G:$G,BASE!$B:$B,$B856,BASE!$L:$L,$G856,BASE!$J:$J,$C856,BASE!$A:$A,Q$2)</f>
        <v>8</v>
      </c>
      <c r="R856" s="12">
        <f>SUMIFS(BASE!$G:$G,BASE!$B:$B,$B856,BASE!$L:$L,$G856,BASE!$J:$J,$C856,BASE!$A:$A,R$2)</f>
        <v>3</v>
      </c>
      <c r="S856" s="12">
        <f>SUMIFS(BASE!$G:$G,BASE!$B:$B,$B856,BASE!$L:$L,$G856,BASE!$J:$J,$C856,BASE!$A:$A,S$2)</f>
        <v>0</v>
      </c>
      <c r="T856" s="12">
        <f>SUMIFS(BASE!$G:$G,BASE!$B:$B,$B856,BASE!$L:$L,$G856,BASE!$J:$J,$C856,BASE!$A:$A,T$2)</f>
        <v>0</v>
      </c>
      <c r="U856" s="12">
        <f>SUMIFS(BASE!$G:$G,BASE!$B:$B,$B856,BASE!$L:$L,$G856,BASE!$J:$J,$C856,BASE!$A:$A,U$2)</f>
        <v>0</v>
      </c>
      <c r="V856" s="12">
        <f>SUMIFS(BASE!$G:$G,BASE!$B:$B,$B856,BASE!$L:$L,$G856,BASE!$J:$J,$C856,BASE!$A:$A,V$2)</f>
        <v>0</v>
      </c>
      <c r="X856" t="str">
        <f t="shared" si="27"/>
        <v>COM TROCAS</v>
      </c>
    </row>
    <row r="857" spans="2:24">
      <c r="B857" s="8" t="s">
        <v>1776</v>
      </c>
      <c r="C857" s="9" t="s">
        <v>124</v>
      </c>
      <c r="D857" s="9" t="s">
        <v>1762</v>
      </c>
      <c r="E857" s="9" t="s">
        <v>1754</v>
      </c>
      <c r="F857" s="9" t="s">
        <v>1777</v>
      </c>
      <c r="G857" s="9" t="s">
        <v>58</v>
      </c>
      <c r="H857" s="7" t="str">
        <f>IFERROR(IF(_xlfn.XLOOKUP(B857,REPASSE!D:D,REPASSE!D:D)="","Não","Sim"),"Não")</f>
        <v>Não</v>
      </c>
      <c r="I857" s="7" t="str">
        <f>IF(_xlfn.XLOOKUP(B857,'BOOST LIBERADO'!B:B,'BOOST LIBERADO'!B:B,"Não")="Não","Não","Sim")</f>
        <v>Sim</v>
      </c>
      <c r="J857" s="83" t="str">
        <f t="shared" si="26"/>
        <v>Sim</v>
      </c>
      <c r="K857" s="12">
        <f>SUMIFS(BASE!$G:$G,BASE!$B:$B,$B857,BASE!$L:$L,$G857,BASE!$J:$J,$C857,BASE!$A:$A,K$2)</f>
        <v>0</v>
      </c>
      <c r="L857" s="12">
        <f>SUMIFS(BASE!$G:$G,BASE!$B:$B,$B857,BASE!$L:$L,$G857,BASE!$J:$J,$C857,BASE!$A:$A,L$2)</f>
        <v>0</v>
      </c>
      <c r="M857" s="12">
        <f>SUMIFS(BASE!$G:$G,BASE!$B:$B,$B857,BASE!$L:$L,$G857,BASE!$J:$J,$C857,BASE!$A:$A,M$2)</f>
        <v>0</v>
      </c>
      <c r="N857" s="12">
        <f>SUMIFS(BASE!$G:$G,BASE!$B:$B,$B857,BASE!$L:$L,$G857,BASE!$J:$J,$C857,BASE!$A:$A,N$2)</f>
        <v>0</v>
      </c>
      <c r="O857" s="12">
        <f>SUMIFS(BASE!$G:$G,BASE!$B:$B,$B857,BASE!$L:$L,$G857,BASE!$J:$J,$C857,BASE!$A:$A,O$2)</f>
        <v>0</v>
      </c>
      <c r="P857" s="12">
        <f>SUMIFS(BASE!$G:$G,BASE!$B:$B,$B857,BASE!$L:$L,$G857,BASE!$J:$J,$C857,BASE!$A:$A,P$2)</f>
        <v>0</v>
      </c>
      <c r="Q857" s="12">
        <f>SUMIFS(BASE!$G:$G,BASE!$B:$B,$B857,BASE!$L:$L,$G857,BASE!$J:$J,$C857,BASE!$A:$A,Q$2)</f>
        <v>1</v>
      </c>
      <c r="R857" s="12">
        <f>SUMIFS(BASE!$G:$G,BASE!$B:$B,$B857,BASE!$L:$L,$G857,BASE!$J:$J,$C857,BASE!$A:$A,R$2)</f>
        <v>5</v>
      </c>
      <c r="S857" s="12">
        <f>SUMIFS(BASE!$G:$G,BASE!$B:$B,$B857,BASE!$L:$L,$G857,BASE!$J:$J,$C857,BASE!$A:$A,S$2)</f>
        <v>0</v>
      </c>
      <c r="T857" s="12">
        <f>SUMIFS(BASE!$G:$G,BASE!$B:$B,$B857,BASE!$L:$L,$G857,BASE!$J:$J,$C857,BASE!$A:$A,T$2)</f>
        <v>0</v>
      </c>
      <c r="U857" s="12">
        <f>SUMIFS(BASE!$G:$G,BASE!$B:$B,$B857,BASE!$L:$L,$G857,BASE!$J:$J,$C857,BASE!$A:$A,U$2)</f>
        <v>0</v>
      </c>
      <c r="V857" s="12">
        <f>SUMIFS(BASE!$G:$G,BASE!$B:$B,$B857,BASE!$L:$L,$G857,BASE!$J:$J,$C857,BASE!$A:$A,V$2)</f>
        <v>0</v>
      </c>
      <c r="X857" t="str">
        <f t="shared" si="27"/>
        <v>COM TROCAS</v>
      </c>
    </row>
    <row r="858" spans="2:24">
      <c r="B858" s="8" t="s">
        <v>1778</v>
      </c>
      <c r="C858" s="9" t="s">
        <v>103</v>
      </c>
      <c r="D858" s="9" t="s">
        <v>1779</v>
      </c>
      <c r="E858" s="9" t="s">
        <v>1780</v>
      </c>
      <c r="F858" s="9" t="s">
        <v>1781</v>
      </c>
      <c r="G858" s="9" t="s">
        <v>57</v>
      </c>
      <c r="H858" s="7" t="str">
        <f>IFERROR(IF(_xlfn.XLOOKUP(B858,REPASSE!D:D,REPASSE!D:D)="","Não","Sim"),"Não")</f>
        <v>Não</v>
      </c>
      <c r="I858" s="7" t="str">
        <f>IF(_xlfn.XLOOKUP(B858,'BOOST LIBERADO'!B:B,'BOOST LIBERADO'!B:B,"Não")="Não","Não","Sim")</f>
        <v>Sim</v>
      </c>
      <c r="J858" s="83" t="str">
        <f t="shared" si="26"/>
        <v>Sim</v>
      </c>
      <c r="K858" s="12">
        <f>SUMIFS(BASE!$G:$G,BASE!$B:$B,$B858,BASE!$L:$L,$G858,BASE!$J:$J,$C858,BASE!$A:$A,K$2)</f>
        <v>0</v>
      </c>
      <c r="L858" s="12">
        <f>SUMIFS(BASE!$G:$G,BASE!$B:$B,$B858,BASE!$L:$L,$G858,BASE!$J:$J,$C858,BASE!$A:$A,L$2)</f>
        <v>0</v>
      </c>
      <c r="M858" s="12">
        <f>SUMIFS(BASE!$G:$G,BASE!$B:$B,$B858,BASE!$L:$L,$G858,BASE!$J:$J,$C858,BASE!$A:$A,M$2)</f>
        <v>0</v>
      </c>
      <c r="N858" s="12">
        <f>SUMIFS(BASE!$G:$G,BASE!$B:$B,$B858,BASE!$L:$L,$G858,BASE!$J:$J,$C858,BASE!$A:$A,N$2)</f>
        <v>0</v>
      </c>
      <c r="O858" s="12">
        <f>SUMIFS(BASE!$G:$G,BASE!$B:$B,$B858,BASE!$L:$L,$G858,BASE!$J:$J,$C858,BASE!$A:$A,O$2)</f>
        <v>0</v>
      </c>
      <c r="P858" s="12">
        <f>SUMIFS(BASE!$G:$G,BASE!$B:$B,$B858,BASE!$L:$L,$G858,BASE!$J:$J,$C858,BASE!$A:$A,P$2)</f>
        <v>0</v>
      </c>
      <c r="Q858" s="12">
        <f>SUMIFS(BASE!$G:$G,BASE!$B:$B,$B858,BASE!$L:$L,$G858,BASE!$J:$J,$C858,BASE!$A:$A,Q$2)</f>
        <v>0</v>
      </c>
      <c r="R858" s="12">
        <f>SUMIFS(BASE!$G:$G,BASE!$B:$B,$B858,BASE!$L:$L,$G858,BASE!$J:$J,$C858,BASE!$A:$A,R$2)</f>
        <v>0</v>
      </c>
      <c r="S858" s="12">
        <f>SUMIFS(BASE!$G:$G,BASE!$B:$B,$B858,BASE!$L:$L,$G858,BASE!$J:$J,$C858,BASE!$A:$A,S$2)</f>
        <v>0</v>
      </c>
      <c r="T858" s="12">
        <f>SUMIFS(BASE!$G:$G,BASE!$B:$B,$B858,BASE!$L:$L,$G858,BASE!$J:$J,$C858,BASE!$A:$A,T$2)</f>
        <v>0</v>
      </c>
      <c r="U858" s="12">
        <f>SUMIFS(BASE!$G:$G,BASE!$B:$B,$B858,BASE!$L:$L,$G858,BASE!$J:$J,$C858,BASE!$A:$A,U$2)</f>
        <v>0</v>
      </c>
      <c r="V858" s="12">
        <f>SUMIFS(BASE!$G:$G,BASE!$B:$B,$B858,BASE!$L:$L,$G858,BASE!$J:$J,$C858,BASE!$A:$A,V$2)</f>
        <v>0</v>
      </c>
      <c r="X858" t="str">
        <f t="shared" si="27"/>
        <v>ZERADO</v>
      </c>
    </row>
    <row r="859" spans="2:24">
      <c r="B859" s="8" t="s">
        <v>1782</v>
      </c>
      <c r="C859" s="9" t="s">
        <v>103</v>
      </c>
      <c r="D859" s="9" t="s">
        <v>1779</v>
      </c>
      <c r="E859" s="9" t="s">
        <v>1780</v>
      </c>
      <c r="F859" s="9" t="s">
        <v>1783</v>
      </c>
      <c r="G859" s="9" t="s">
        <v>57</v>
      </c>
      <c r="H859" s="7" t="str">
        <f>IFERROR(IF(_xlfn.XLOOKUP(B859,REPASSE!D:D,REPASSE!D:D)="","Não","Sim"),"Não")</f>
        <v>Não</v>
      </c>
      <c r="I859" s="7" t="str">
        <f>IF(_xlfn.XLOOKUP(B859,'BOOST LIBERADO'!B:B,'BOOST LIBERADO'!B:B,"Não")="Não","Não","Sim")</f>
        <v>Sim</v>
      </c>
      <c r="J859" s="83" t="str">
        <f t="shared" si="26"/>
        <v>Sim</v>
      </c>
      <c r="K859" s="12">
        <f>SUMIFS(BASE!$G:$G,BASE!$B:$B,$B859,BASE!$L:$L,$G859,BASE!$J:$J,$C859,BASE!$A:$A,K$2)</f>
        <v>0</v>
      </c>
      <c r="L859" s="12">
        <f>SUMIFS(BASE!$G:$G,BASE!$B:$B,$B859,BASE!$L:$L,$G859,BASE!$J:$J,$C859,BASE!$A:$A,L$2)</f>
        <v>0</v>
      </c>
      <c r="M859" s="12">
        <f>SUMIFS(BASE!$G:$G,BASE!$B:$B,$B859,BASE!$L:$L,$G859,BASE!$J:$J,$C859,BASE!$A:$A,M$2)</f>
        <v>0</v>
      </c>
      <c r="N859" s="12">
        <f>SUMIFS(BASE!$G:$G,BASE!$B:$B,$B859,BASE!$L:$L,$G859,BASE!$J:$J,$C859,BASE!$A:$A,N$2)</f>
        <v>0</v>
      </c>
      <c r="O859" s="12">
        <f>SUMIFS(BASE!$G:$G,BASE!$B:$B,$B859,BASE!$L:$L,$G859,BASE!$J:$J,$C859,BASE!$A:$A,O$2)</f>
        <v>0</v>
      </c>
      <c r="P859" s="12">
        <f>SUMIFS(BASE!$G:$G,BASE!$B:$B,$B859,BASE!$L:$L,$G859,BASE!$J:$J,$C859,BASE!$A:$A,P$2)</f>
        <v>0</v>
      </c>
      <c r="Q859" s="12">
        <f>SUMIFS(BASE!$G:$G,BASE!$B:$B,$B859,BASE!$L:$L,$G859,BASE!$J:$J,$C859,BASE!$A:$A,Q$2)</f>
        <v>0</v>
      </c>
      <c r="R859" s="12">
        <f>SUMIFS(BASE!$G:$G,BASE!$B:$B,$B859,BASE!$L:$L,$G859,BASE!$J:$J,$C859,BASE!$A:$A,R$2)</f>
        <v>0</v>
      </c>
      <c r="S859" s="12">
        <f>SUMIFS(BASE!$G:$G,BASE!$B:$B,$B859,BASE!$L:$L,$G859,BASE!$J:$J,$C859,BASE!$A:$A,S$2)</f>
        <v>0</v>
      </c>
      <c r="T859" s="12">
        <f>SUMIFS(BASE!$G:$G,BASE!$B:$B,$B859,BASE!$L:$L,$G859,BASE!$J:$J,$C859,BASE!$A:$A,T$2)</f>
        <v>0</v>
      </c>
      <c r="U859" s="12">
        <f>SUMIFS(BASE!$G:$G,BASE!$B:$B,$B859,BASE!$L:$L,$G859,BASE!$J:$J,$C859,BASE!$A:$A,U$2)</f>
        <v>0</v>
      </c>
      <c r="V859" s="12">
        <f>SUMIFS(BASE!$G:$G,BASE!$B:$B,$B859,BASE!$L:$L,$G859,BASE!$J:$J,$C859,BASE!$A:$A,V$2)</f>
        <v>0</v>
      </c>
      <c r="X859" t="str">
        <f t="shared" si="27"/>
        <v>ZERADO</v>
      </c>
    </row>
    <row r="860" spans="2:24">
      <c r="B860" s="8" t="s">
        <v>1784</v>
      </c>
      <c r="C860" s="9" t="s">
        <v>103</v>
      </c>
      <c r="D860" s="9" t="s">
        <v>1779</v>
      </c>
      <c r="E860" s="9" t="s">
        <v>1780</v>
      </c>
      <c r="F860" s="9" t="s">
        <v>1785</v>
      </c>
      <c r="G860" s="9" t="s">
        <v>57</v>
      </c>
      <c r="H860" s="7" t="str">
        <f>IFERROR(IF(_xlfn.XLOOKUP(B860,REPASSE!D:D,REPASSE!D:D)="","Não","Sim"),"Não")</f>
        <v>Não</v>
      </c>
      <c r="I860" s="7" t="str">
        <f>IF(_xlfn.XLOOKUP(B860,'BOOST LIBERADO'!B:B,'BOOST LIBERADO'!B:B,"Não")="Não","Não","Sim")</f>
        <v>Sim</v>
      </c>
      <c r="J860" s="83" t="str">
        <f t="shared" si="26"/>
        <v>Sim</v>
      </c>
      <c r="K860" s="12">
        <f>SUMIFS(BASE!$G:$G,BASE!$B:$B,$B860,BASE!$L:$L,$G860,BASE!$J:$J,$C860,BASE!$A:$A,K$2)</f>
        <v>1</v>
      </c>
      <c r="L860" s="12">
        <f>SUMIFS(BASE!$G:$G,BASE!$B:$B,$B860,BASE!$L:$L,$G860,BASE!$J:$J,$C860,BASE!$A:$A,L$2)</f>
        <v>1</v>
      </c>
      <c r="M860" s="12">
        <f>SUMIFS(BASE!$G:$G,BASE!$B:$B,$B860,BASE!$L:$L,$G860,BASE!$J:$J,$C860,BASE!$A:$A,M$2)</f>
        <v>2</v>
      </c>
      <c r="N860" s="12">
        <f>SUMIFS(BASE!$G:$G,BASE!$B:$B,$B860,BASE!$L:$L,$G860,BASE!$J:$J,$C860,BASE!$A:$A,N$2)</f>
        <v>0</v>
      </c>
      <c r="O860" s="12">
        <f>SUMIFS(BASE!$G:$G,BASE!$B:$B,$B860,BASE!$L:$L,$G860,BASE!$J:$J,$C860,BASE!$A:$A,O$2)</f>
        <v>0</v>
      </c>
      <c r="P860" s="12">
        <f>SUMIFS(BASE!$G:$G,BASE!$B:$B,$B860,BASE!$L:$L,$G860,BASE!$J:$J,$C860,BASE!$A:$A,P$2)</f>
        <v>0</v>
      </c>
      <c r="Q860" s="12">
        <f>SUMIFS(BASE!$G:$G,BASE!$B:$B,$B860,BASE!$L:$L,$G860,BASE!$J:$J,$C860,BASE!$A:$A,Q$2)</f>
        <v>1</v>
      </c>
      <c r="R860" s="12">
        <f>SUMIFS(BASE!$G:$G,BASE!$B:$B,$B860,BASE!$L:$L,$G860,BASE!$J:$J,$C860,BASE!$A:$A,R$2)</f>
        <v>1</v>
      </c>
      <c r="S860" s="12">
        <f>SUMIFS(BASE!$G:$G,BASE!$B:$B,$B860,BASE!$L:$L,$G860,BASE!$J:$J,$C860,BASE!$A:$A,S$2)</f>
        <v>0</v>
      </c>
      <c r="T860" s="12">
        <f>SUMIFS(BASE!$G:$G,BASE!$B:$B,$B860,BASE!$L:$L,$G860,BASE!$J:$J,$C860,BASE!$A:$A,T$2)</f>
        <v>0</v>
      </c>
      <c r="U860" s="12">
        <f>SUMIFS(BASE!$G:$G,BASE!$B:$B,$B860,BASE!$L:$L,$G860,BASE!$J:$J,$C860,BASE!$A:$A,U$2)</f>
        <v>0</v>
      </c>
      <c r="V860" s="12">
        <f>SUMIFS(BASE!$G:$G,BASE!$B:$B,$B860,BASE!$L:$L,$G860,BASE!$J:$J,$C860,BASE!$A:$A,V$2)</f>
        <v>0</v>
      </c>
      <c r="X860" t="str">
        <f t="shared" si="27"/>
        <v>COM TROCAS</v>
      </c>
    </row>
    <row r="861" spans="2:24">
      <c r="B861" s="8" t="s">
        <v>1786</v>
      </c>
      <c r="C861" s="9" t="s">
        <v>103</v>
      </c>
      <c r="D861" s="9" t="s">
        <v>1779</v>
      </c>
      <c r="E861" s="9" t="s">
        <v>1780</v>
      </c>
      <c r="F861" s="9" t="s">
        <v>1787</v>
      </c>
      <c r="G861" s="9" t="s">
        <v>57</v>
      </c>
      <c r="H861" s="7" t="str">
        <f>IFERROR(IF(_xlfn.XLOOKUP(B861,REPASSE!D:D,REPASSE!D:D)="","Não","Sim"),"Não")</f>
        <v>Não</v>
      </c>
      <c r="I861" s="7" t="str">
        <f>IF(_xlfn.XLOOKUP(B861,'BOOST LIBERADO'!B:B,'BOOST LIBERADO'!B:B,"Não")="Não","Não","Sim")</f>
        <v>Sim</v>
      </c>
      <c r="J861" s="83" t="str">
        <f t="shared" si="26"/>
        <v>Sim</v>
      </c>
      <c r="K861" s="12">
        <f>SUMIFS(BASE!$G:$G,BASE!$B:$B,$B861,BASE!$L:$L,$G861,BASE!$J:$J,$C861,BASE!$A:$A,K$2)</f>
        <v>0</v>
      </c>
      <c r="L861" s="12">
        <f>SUMIFS(BASE!$G:$G,BASE!$B:$B,$B861,BASE!$L:$L,$G861,BASE!$J:$J,$C861,BASE!$A:$A,L$2)</f>
        <v>0</v>
      </c>
      <c r="M861" s="12">
        <f>SUMIFS(BASE!$G:$G,BASE!$B:$B,$B861,BASE!$L:$L,$G861,BASE!$J:$J,$C861,BASE!$A:$A,M$2)</f>
        <v>0</v>
      </c>
      <c r="N861" s="12">
        <f>SUMIFS(BASE!$G:$G,BASE!$B:$B,$B861,BASE!$L:$L,$G861,BASE!$J:$J,$C861,BASE!$A:$A,N$2)</f>
        <v>0</v>
      </c>
      <c r="O861" s="12">
        <f>SUMIFS(BASE!$G:$G,BASE!$B:$B,$B861,BASE!$L:$L,$G861,BASE!$J:$J,$C861,BASE!$A:$A,O$2)</f>
        <v>0</v>
      </c>
      <c r="P861" s="12">
        <f>SUMIFS(BASE!$G:$G,BASE!$B:$B,$B861,BASE!$L:$L,$G861,BASE!$J:$J,$C861,BASE!$A:$A,P$2)</f>
        <v>0</v>
      </c>
      <c r="Q861" s="12">
        <f>SUMIFS(BASE!$G:$G,BASE!$B:$B,$B861,BASE!$L:$L,$G861,BASE!$J:$J,$C861,BASE!$A:$A,Q$2)</f>
        <v>0</v>
      </c>
      <c r="R861" s="12">
        <f>SUMIFS(BASE!$G:$G,BASE!$B:$B,$B861,BASE!$L:$L,$G861,BASE!$J:$J,$C861,BASE!$A:$A,R$2)</f>
        <v>0</v>
      </c>
      <c r="S861" s="12">
        <f>SUMIFS(BASE!$G:$G,BASE!$B:$B,$B861,BASE!$L:$L,$G861,BASE!$J:$J,$C861,BASE!$A:$A,S$2)</f>
        <v>0</v>
      </c>
      <c r="T861" s="12">
        <f>SUMIFS(BASE!$G:$G,BASE!$B:$B,$B861,BASE!$L:$L,$G861,BASE!$J:$J,$C861,BASE!$A:$A,T$2)</f>
        <v>0</v>
      </c>
      <c r="U861" s="12">
        <f>SUMIFS(BASE!$G:$G,BASE!$B:$B,$B861,BASE!$L:$L,$G861,BASE!$J:$J,$C861,BASE!$A:$A,U$2)</f>
        <v>0</v>
      </c>
      <c r="V861" s="12">
        <f>SUMIFS(BASE!$G:$G,BASE!$B:$B,$B861,BASE!$L:$L,$G861,BASE!$J:$J,$C861,BASE!$A:$A,V$2)</f>
        <v>0</v>
      </c>
      <c r="X861" t="str">
        <f t="shared" si="27"/>
        <v>ZERADO</v>
      </c>
    </row>
    <row r="862" spans="2:24">
      <c r="B862" s="8" t="s">
        <v>1788</v>
      </c>
      <c r="C862" s="9" t="s">
        <v>103</v>
      </c>
      <c r="D862" s="9" t="s">
        <v>1779</v>
      </c>
      <c r="E862" s="9" t="s">
        <v>1780</v>
      </c>
      <c r="F862" s="9" t="s">
        <v>1789</v>
      </c>
      <c r="G862" s="9" t="s">
        <v>57</v>
      </c>
      <c r="H862" s="7" t="str">
        <f>IFERROR(IF(_xlfn.XLOOKUP(B862,REPASSE!D:D,REPASSE!D:D)="","Não","Sim"),"Não")</f>
        <v>Não</v>
      </c>
      <c r="I862" s="7" t="str">
        <f>IF(_xlfn.XLOOKUP(B862,'BOOST LIBERADO'!B:B,'BOOST LIBERADO'!B:B,"Não")="Não","Não","Sim")</f>
        <v>Sim</v>
      </c>
      <c r="J862" s="83" t="str">
        <f t="shared" si="26"/>
        <v>Sim</v>
      </c>
      <c r="K862" s="12">
        <f>SUMIFS(BASE!$G:$G,BASE!$B:$B,$B862,BASE!$L:$L,$G862,BASE!$J:$J,$C862,BASE!$A:$A,K$2)</f>
        <v>1</v>
      </c>
      <c r="L862" s="12">
        <f>SUMIFS(BASE!$G:$G,BASE!$B:$B,$B862,BASE!$L:$L,$G862,BASE!$J:$J,$C862,BASE!$A:$A,L$2)</f>
        <v>0</v>
      </c>
      <c r="M862" s="12">
        <f>SUMIFS(BASE!$G:$G,BASE!$B:$B,$B862,BASE!$L:$L,$G862,BASE!$J:$J,$C862,BASE!$A:$A,M$2)</f>
        <v>0</v>
      </c>
      <c r="N862" s="12">
        <f>SUMIFS(BASE!$G:$G,BASE!$B:$B,$B862,BASE!$L:$L,$G862,BASE!$J:$J,$C862,BASE!$A:$A,N$2)</f>
        <v>0</v>
      </c>
      <c r="O862" s="12">
        <f>SUMIFS(BASE!$G:$G,BASE!$B:$B,$B862,BASE!$L:$L,$G862,BASE!$J:$J,$C862,BASE!$A:$A,O$2)</f>
        <v>2</v>
      </c>
      <c r="P862" s="12">
        <f>SUMIFS(BASE!$G:$G,BASE!$B:$B,$B862,BASE!$L:$L,$G862,BASE!$J:$J,$C862,BASE!$A:$A,P$2)</f>
        <v>3</v>
      </c>
      <c r="Q862" s="12">
        <f>SUMIFS(BASE!$G:$G,BASE!$B:$B,$B862,BASE!$L:$L,$G862,BASE!$J:$J,$C862,BASE!$A:$A,Q$2)</f>
        <v>2</v>
      </c>
      <c r="R862" s="12">
        <f>SUMIFS(BASE!$G:$G,BASE!$B:$B,$B862,BASE!$L:$L,$G862,BASE!$J:$J,$C862,BASE!$A:$A,R$2)</f>
        <v>6</v>
      </c>
      <c r="S862" s="12">
        <f>SUMIFS(BASE!$G:$G,BASE!$B:$B,$B862,BASE!$L:$L,$G862,BASE!$J:$J,$C862,BASE!$A:$A,S$2)</f>
        <v>0</v>
      </c>
      <c r="T862" s="12">
        <f>SUMIFS(BASE!$G:$G,BASE!$B:$B,$B862,BASE!$L:$L,$G862,BASE!$J:$J,$C862,BASE!$A:$A,T$2)</f>
        <v>0</v>
      </c>
      <c r="U862" s="12">
        <f>SUMIFS(BASE!$G:$G,BASE!$B:$B,$B862,BASE!$L:$L,$G862,BASE!$J:$J,$C862,BASE!$A:$A,U$2)</f>
        <v>0</v>
      </c>
      <c r="V862" s="12">
        <f>SUMIFS(BASE!$G:$G,BASE!$B:$B,$B862,BASE!$L:$L,$G862,BASE!$J:$J,$C862,BASE!$A:$A,V$2)</f>
        <v>0</v>
      </c>
      <c r="X862" t="str">
        <f t="shared" si="27"/>
        <v>COM TROCAS</v>
      </c>
    </row>
    <row r="863" spans="2:24">
      <c r="B863" s="8" t="s">
        <v>1790</v>
      </c>
      <c r="C863" s="9" t="s">
        <v>103</v>
      </c>
      <c r="D863" s="9" t="s">
        <v>1779</v>
      </c>
      <c r="E863" s="9" t="s">
        <v>1780</v>
      </c>
      <c r="F863" s="9" t="s">
        <v>1791</v>
      </c>
      <c r="G863" s="9" t="s">
        <v>57</v>
      </c>
      <c r="H863" s="7" t="str">
        <f>IFERROR(IF(_xlfn.XLOOKUP(B863,REPASSE!D:D,REPASSE!D:D)="","Não","Sim"),"Não")</f>
        <v>Não</v>
      </c>
      <c r="I863" s="7" t="str">
        <f>IF(_xlfn.XLOOKUP(B863,'BOOST LIBERADO'!B:B,'BOOST LIBERADO'!B:B,"Não")="Não","Não","Sim")</f>
        <v>Sim</v>
      </c>
      <c r="J863" s="83" t="str">
        <f t="shared" si="26"/>
        <v>Sim</v>
      </c>
      <c r="K863" s="12">
        <f>SUMIFS(BASE!$G:$G,BASE!$B:$B,$B863,BASE!$L:$L,$G863,BASE!$J:$J,$C863,BASE!$A:$A,K$2)</f>
        <v>0</v>
      </c>
      <c r="L863" s="12">
        <f>SUMIFS(BASE!$G:$G,BASE!$B:$B,$B863,BASE!$L:$L,$G863,BASE!$J:$J,$C863,BASE!$A:$A,L$2)</f>
        <v>0</v>
      </c>
      <c r="M863" s="12">
        <f>SUMIFS(BASE!$G:$G,BASE!$B:$B,$B863,BASE!$L:$L,$G863,BASE!$J:$J,$C863,BASE!$A:$A,M$2)</f>
        <v>0</v>
      </c>
      <c r="N863" s="12">
        <f>SUMIFS(BASE!$G:$G,BASE!$B:$B,$B863,BASE!$L:$L,$G863,BASE!$J:$J,$C863,BASE!$A:$A,N$2)</f>
        <v>0</v>
      </c>
      <c r="O863" s="12">
        <f>SUMIFS(BASE!$G:$G,BASE!$B:$B,$B863,BASE!$L:$L,$G863,BASE!$J:$J,$C863,BASE!$A:$A,O$2)</f>
        <v>0</v>
      </c>
      <c r="P863" s="12">
        <f>SUMIFS(BASE!$G:$G,BASE!$B:$B,$B863,BASE!$L:$L,$G863,BASE!$J:$J,$C863,BASE!$A:$A,P$2)</f>
        <v>0</v>
      </c>
      <c r="Q863" s="12">
        <f>SUMIFS(BASE!$G:$G,BASE!$B:$B,$B863,BASE!$L:$L,$G863,BASE!$J:$J,$C863,BASE!$A:$A,Q$2)</f>
        <v>0</v>
      </c>
      <c r="R863" s="12">
        <f>SUMIFS(BASE!$G:$G,BASE!$B:$B,$B863,BASE!$L:$L,$G863,BASE!$J:$J,$C863,BASE!$A:$A,R$2)</f>
        <v>0</v>
      </c>
      <c r="S863" s="12">
        <f>SUMIFS(BASE!$G:$G,BASE!$B:$B,$B863,BASE!$L:$L,$G863,BASE!$J:$J,$C863,BASE!$A:$A,S$2)</f>
        <v>0</v>
      </c>
      <c r="T863" s="12">
        <f>SUMIFS(BASE!$G:$G,BASE!$B:$B,$B863,BASE!$L:$L,$G863,BASE!$J:$J,$C863,BASE!$A:$A,T$2)</f>
        <v>0</v>
      </c>
      <c r="U863" s="12">
        <f>SUMIFS(BASE!$G:$G,BASE!$B:$B,$B863,BASE!$L:$L,$G863,BASE!$J:$J,$C863,BASE!$A:$A,U$2)</f>
        <v>0</v>
      </c>
      <c r="V863" s="12">
        <f>SUMIFS(BASE!$G:$G,BASE!$B:$B,$B863,BASE!$L:$L,$G863,BASE!$J:$J,$C863,BASE!$A:$A,V$2)</f>
        <v>0</v>
      </c>
      <c r="X863" t="str">
        <f t="shared" si="27"/>
        <v>ZERADO</v>
      </c>
    </row>
    <row r="864" spans="2:24">
      <c r="B864" s="8" t="s">
        <v>1792</v>
      </c>
      <c r="C864" s="9" t="s">
        <v>103</v>
      </c>
      <c r="D864" s="9" t="s">
        <v>1779</v>
      </c>
      <c r="E864" s="9" t="s">
        <v>1780</v>
      </c>
      <c r="F864" s="9" t="s">
        <v>1793</v>
      </c>
      <c r="G864" s="9" t="s">
        <v>57</v>
      </c>
      <c r="H864" s="7" t="str">
        <f>IFERROR(IF(_xlfn.XLOOKUP(B864,REPASSE!D:D,REPASSE!D:D)="","Não","Sim"),"Não")</f>
        <v>Não</v>
      </c>
      <c r="I864" s="7" t="str">
        <f>IF(_xlfn.XLOOKUP(B864,'BOOST LIBERADO'!B:B,'BOOST LIBERADO'!B:B,"Não")="Não","Não","Sim")</f>
        <v>Sim</v>
      </c>
      <c r="J864" s="83" t="str">
        <f t="shared" si="26"/>
        <v>Sim</v>
      </c>
      <c r="K864" s="12">
        <f>SUMIFS(BASE!$G:$G,BASE!$B:$B,$B864,BASE!$L:$L,$G864,BASE!$J:$J,$C864,BASE!$A:$A,K$2)</f>
        <v>0</v>
      </c>
      <c r="L864" s="12">
        <f>SUMIFS(BASE!$G:$G,BASE!$B:$B,$B864,BASE!$L:$L,$G864,BASE!$J:$J,$C864,BASE!$A:$A,L$2)</f>
        <v>0</v>
      </c>
      <c r="M864" s="12">
        <f>SUMIFS(BASE!$G:$G,BASE!$B:$B,$B864,BASE!$L:$L,$G864,BASE!$J:$J,$C864,BASE!$A:$A,M$2)</f>
        <v>0</v>
      </c>
      <c r="N864" s="12">
        <f>SUMIFS(BASE!$G:$G,BASE!$B:$B,$B864,BASE!$L:$L,$G864,BASE!$J:$J,$C864,BASE!$A:$A,N$2)</f>
        <v>0</v>
      </c>
      <c r="O864" s="12">
        <f>SUMIFS(BASE!$G:$G,BASE!$B:$B,$B864,BASE!$L:$L,$G864,BASE!$J:$J,$C864,BASE!$A:$A,O$2)</f>
        <v>0</v>
      </c>
      <c r="P864" s="12">
        <f>SUMIFS(BASE!$G:$G,BASE!$B:$B,$B864,BASE!$L:$L,$G864,BASE!$J:$J,$C864,BASE!$A:$A,P$2)</f>
        <v>0</v>
      </c>
      <c r="Q864" s="12">
        <f>SUMIFS(BASE!$G:$G,BASE!$B:$B,$B864,BASE!$L:$L,$G864,BASE!$J:$J,$C864,BASE!$A:$A,Q$2)</f>
        <v>0</v>
      </c>
      <c r="R864" s="12">
        <f>SUMIFS(BASE!$G:$G,BASE!$B:$B,$B864,BASE!$L:$L,$G864,BASE!$J:$J,$C864,BASE!$A:$A,R$2)</f>
        <v>0</v>
      </c>
      <c r="S864" s="12">
        <f>SUMIFS(BASE!$G:$G,BASE!$B:$B,$B864,BASE!$L:$L,$G864,BASE!$J:$J,$C864,BASE!$A:$A,S$2)</f>
        <v>0</v>
      </c>
      <c r="T864" s="12">
        <f>SUMIFS(BASE!$G:$G,BASE!$B:$B,$B864,BASE!$L:$L,$G864,BASE!$J:$J,$C864,BASE!$A:$A,T$2)</f>
        <v>0</v>
      </c>
      <c r="U864" s="12">
        <f>SUMIFS(BASE!$G:$G,BASE!$B:$B,$B864,BASE!$L:$L,$G864,BASE!$J:$J,$C864,BASE!$A:$A,U$2)</f>
        <v>0</v>
      </c>
      <c r="V864" s="12">
        <f>SUMIFS(BASE!$G:$G,BASE!$B:$B,$B864,BASE!$L:$L,$G864,BASE!$J:$J,$C864,BASE!$A:$A,V$2)</f>
        <v>0</v>
      </c>
      <c r="X864" t="str">
        <f t="shared" si="27"/>
        <v>ZERADO</v>
      </c>
    </row>
    <row r="865" spans="2:24">
      <c r="B865" s="8" t="s">
        <v>1794</v>
      </c>
      <c r="C865" s="9" t="s">
        <v>106</v>
      </c>
      <c r="D865" s="9" t="s">
        <v>1795</v>
      </c>
      <c r="E865" s="9" t="s">
        <v>1796</v>
      </c>
      <c r="F865" s="9" t="s">
        <v>1797</v>
      </c>
      <c r="G865" s="9" t="s">
        <v>57</v>
      </c>
      <c r="H865" s="7" t="str">
        <f>IFERROR(IF(_xlfn.XLOOKUP(B865,REPASSE!D:D,REPASSE!D:D)="","Não","Sim"),"Não")</f>
        <v>Não</v>
      </c>
      <c r="I865" s="7" t="str">
        <f>IF(_xlfn.XLOOKUP(B865,'BOOST LIBERADO'!B:B,'BOOST LIBERADO'!B:B,"Não")="Não","Não","Sim")</f>
        <v>Sim</v>
      </c>
      <c r="J865" s="83" t="str">
        <f t="shared" si="26"/>
        <v>Sim</v>
      </c>
      <c r="K865" s="12">
        <f>SUMIFS(BASE!$G:$G,BASE!$B:$B,$B865,BASE!$L:$L,$G865,BASE!$J:$J,$C865,BASE!$A:$A,K$2)</f>
        <v>0</v>
      </c>
      <c r="L865" s="12">
        <f>SUMIFS(BASE!$G:$G,BASE!$B:$B,$B865,BASE!$L:$L,$G865,BASE!$J:$J,$C865,BASE!$A:$A,L$2)</f>
        <v>0</v>
      </c>
      <c r="M865" s="12">
        <f>SUMIFS(BASE!$G:$G,BASE!$B:$B,$B865,BASE!$L:$L,$G865,BASE!$J:$J,$C865,BASE!$A:$A,M$2)</f>
        <v>0</v>
      </c>
      <c r="N865" s="12">
        <f>SUMIFS(BASE!$G:$G,BASE!$B:$B,$B865,BASE!$L:$L,$G865,BASE!$J:$J,$C865,BASE!$A:$A,N$2)</f>
        <v>0</v>
      </c>
      <c r="O865" s="12">
        <f>SUMIFS(BASE!$G:$G,BASE!$B:$B,$B865,BASE!$L:$L,$G865,BASE!$J:$J,$C865,BASE!$A:$A,O$2)</f>
        <v>0</v>
      </c>
      <c r="P865" s="12">
        <f>SUMIFS(BASE!$G:$G,BASE!$B:$B,$B865,BASE!$L:$L,$G865,BASE!$J:$J,$C865,BASE!$A:$A,P$2)</f>
        <v>0</v>
      </c>
      <c r="Q865" s="12">
        <f>SUMIFS(BASE!$G:$G,BASE!$B:$B,$B865,BASE!$L:$L,$G865,BASE!$J:$J,$C865,BASE!$A:$A,Q$2)</f>
        <v>0</v>
      </c>
      <c r="R865" s="12">
        <f>SUMIFS(BASE!$G:$G,BASE!$B:$B,$B865,BASE!$L:$L,$G865,BASE!$J:$J,$C865,BASE!$A:$A,R$2)</f>
        <v>1</v>
      </c>
      <c r="S865" s="12">
        <f>SUMIFS(BASE!$G:$G,BASE!$B:$B,$B865,BASE!$L:$L,$G865,BASE!$J:$J,$C865,BASE!$A:$A,S$2)</f>
        <v>0</v>
      </c>
      <c r="T865" s="12">
        <f>SUMIFS(BASE!$G:$G,BASE!$B:$B,$B865,BASE!$L:$L,$G865,BASE!$J:$J,$C865,BASE!$A:$A,T$2)</f>
        <v>0</v>
      </c>
      <c r="U865" s="12">
        <f>SUMIFS(BASE!$G:$G,BASE!$B:$B,$B865,BASE!$L:$L,$G865,BASE!$J:$J,$C865,BASE!$A:$A,U$2)</f>
        <v>0</v>
      </c>
      <c r="V865" s="12">
        <f>SUMIFS(BASE!$G:$G,BASE!$B:$B,$B865,BASE!$L:$L,$G865,BASE!$J:$J,$C865,BASE!$A:$A,V$2)</f>
        <v>0</v>
      </c>
      <c r="X865" t="str">
        <f t="shared" si="27"/>
        <v>COM TROCAS</v>
      </c>
    </row>
    <row r="866" spans="2:24">
      <c r="B866" s="8" t="s">
        <v>1798</v>
      </c>
      <c r="C866" s="9" t="s">
        <v>106</v>
      </c>
      <c r="D866" s="9" t="s">
        <v>1795</v>
      </c>
      <c r="E866" s="9" t="s">
        <v>1796</v>
      </c>
      <c r="F866" s="9" t="s">
        <v>1799</v>
      </c>
      <c r="G866" s="9" t="s">
        <v>57</v>
      </c>
      <c r="H866" s="7" t="str">
        <f>IFERROR(IF(_xlfn.XLOOKUP(B866,REPASSE!D:D,REPASSE!D:D)="","Não","Sim"),"Não")</f>
        <v>Não</v>
      </c>
      <c r="I866" s="7" t="str">
        <f>IF(_xlfn.XLOOKUP(B866,'BOOST LIBERADO'!B:B,'BOOST LIBERADO'!B:B,"Não")="Não","Não","Sim")</f>
        <v>Sim</v>
      </c>
      <c r="J866" s="83" t="str">
        <f t="shared" si="26"/>
        <v>Sim</v>
      </c>
      <c r="K866" s="12">
        <f>SUMIFS(BASE!$G:$G,BASE!$B:$B,$B866,BASE!$L:$L,$G866,BASE!$J:$J,$C866,BASE!$A:$A,K$2)</f>
        <v>0</v>
      </c>
      <c r="L866" s="12">
        <f>SUMIFS(BASE!$G:$G,BASE!$B:$B,$B866,BASE!$L:$L,$G866,BASE!$J:$J,$C866,BASE!$A:$A,L$2)</f>
        <v>0</v>
      </c>
      <c r="M866" s="12">
        <f>SUMIFS(BASE!$G:$G,BASE!$B:$B,$B866,BASE!$L:$L,$G866,BASE!$J:$J,$C866,BASE!$A:$A,M$2)</f>
        <v>0</v>
      </c>
      <c r="N866" s="12">
        <f>SUMIFS(BASE!$G:$G,BASE!$B:$B,$B866,BASE!$L:$L,$G866,BASE!$J:$J,$C866,BASE!$A:$A,N$2)</f>
        <v>0</v>
      </c>
      <c r="O866" s="12">
        <f>SUMIFS(BASE!$G:$G,BASE!$B:$B,$B866,BASE!$L:$L,$G866,BASE!$J:$J,$C866,BASE!$A:$A,O$2)</f>
        <v>0</v>
      </c>
      <c r="P866" s="12">
        <f>SUMIFS(BASE!$G:$G,BASE!$B:$B,$B866,BASE!$L:$L,$G866,BASE!$J:$J,$C866,BASE!$A:$A,P$2)</f>
        <v>0</v>
      </c>
      <c r="Q866" s="12">
        <f>SUMIFS(BASE!$G:$G,BASE!$B:$B,$B866,BASE!$L:$L,$G866,BASE!$J:$J,$C866,BASE!$A:$A,Q$2)</f>
        <v>0</v>
      </c>
      <c r="R866" s="12">
        <f>SUMIFS(BASE!$G:$G,BASE!$B:$B,$B866,BASE!$L:$L,$G866,BASE!$J:$J,$C866,BASE!$A:$A,R$2)</f>
        <v>8</v>
      </c>
      <c r="S866" s="12">
        <f>SUMIFS(BASE!$G:$G,BASE!$B:$B,$B866,BASE!$L:$L,$G866,BASE!$J:$J,$C866,BASE!$A:$A,S$2)</f>
        <v>0</v>
      </c>
      <c r="T866" s="12">
        <f>SUMIFS(BASE!$G:$G,BASE!$B:$B,$B866,BASE!$L:$L,$G866,BASE!$J:$J,$C866,BASE!$A:$A,T$2)</f>
        <v>0</v>
      </c>
      <c r="U866" s="12">
        <f>SUMIFS(BASE!$G:$G,BASE!$B:$B,$B866,BASE!$L:$L,$G866,BASE!$J:$J,$C866,BASE!$A:$A,U$2)</f>
        <v>0</v>
      </c>
      <c r="V866" s="12">
        <f>SUMIFS(BASE!$G:$G,BASE!$B:$B,$B866,BASE!$L:$L,$G866,BASE!$J:$J,$C866,BASE!$A:$A,V$2)</f>
        <v>0</v>
      </c>
      <c r="X866" t="str">
        <f t="shared" si="27"/>
        <v>COM TROCAS</v>
      </c>
    </row>
    <row r="867" spans="2:24">
      <c r="B867" s="8" t="s">
        <v>1800</v>
      </c>
      <c r="C867" s="9" t="s">
        <v>106</v>
      </c>
      <c r="D867" s="9" t="s">
        <v>1795</v>
      </c>
      <c r="E867" s="9" t="s">
        <v>1796</v>
      </c>
      <c r="F867" s="9" t="s">
        <v>1799</v>
      </c>
      <c r="G867" s="9" t="s">
        <v>57</v>
      </c>
      <c r="H867" s="7" t="str">
        <f>IFERROR(IF(_xlfn.XLOOKUP(B867,REPASSE!D:D,REPASSE!D:D)="","Não","Sim"),"Não")</f>
        <v>Não</v>
      </c>
      <c r="I867" s="7" t="str">
        <f>IF(_xlfn.XLOOKUP(B867,'BOOST LIBERADO'!B:B,'BOOST LIBERADO'!B:B,"Não")="Não","Não","Sim")</f>
        <v>Sim</v>
      </c>
      <c r="J867" s="83" t="str">
        <f t="shared" si="26"/>
        <v>Sim</v>
      </c>
      <c r="K867" s="12">
        <f>SUMIFS(BASE!$G:$G,BASE!$B:$B,$B867,BASE!$L:$L,$G867,BASE!$J:$J,$C867,BASE!$A:$A,K$2)</f>
        <v>0</v>
      </c>
      <c r="L867" s="12">
        <f>SUMIFS(BASE!$G:$G,BASE!$B:$B,$B867,BASE!$L:$L,$G867,BASE!$J:$J,$C867,BASE!$A:$A,L$2)</f>
        <v>0</v>
      </c>
      <c r="M867" s="12">
        <f>SUMIFS(BASE!$G:$G,BASE!$B:$B,$B867,BASE!$L:$L,$G867,BASE!$J:$J,$C867,BASE!$A:$A,M$2)</f>
        <v>0</v>
      </c>
      <c r="N867" s="12">
        <f>SUMIFS(BASE!$G:$G,BASE!$B:$B,$B867,BASE!$L:$L,$G867,BASE!$J:$J,$C867,BASE!$A:$A,N$2)</f>
        <v>0</v>
      </c>
      <c r="O867" s="12">
        <f>SUMIFS(BASE!$G:$G,BASE!$B:$B,$B867,BASE!$L:$L,$G867,BASE!$J:$J,$C867,BASE!$A:$A,O$2)</f>
        <v>0</v>
      </c>
      <c r="P867" s="12">
        <f>SUMIFS(BASE!$G:$G,BASE!$B:$B,$B867,BASE!$L:$L,$G867,BASE!$J:$J,$C867,BASE!$A:$A,P$2)</f>
        <v>0</v>
      </c>
      <c r="Q867" s="12">
        <f>SUMIFS(BASE!$G:$G,BASE!$B:$B,$B867,BASE!$L:$L,$G867,BASE!$J:$J,$C867,BASE!$A:$A,Q$2)</f>
        <v>0</v>
      </c>
      <c r="R867" s="12">
        <f>SUMIFS(BASE!$G:$G,BASE!$B:$B,$B867,BASE!$L:$L,$G867,BASE!$J:$J,$C867,BASE!$A:$A,R$2)</f>
        <v>0</v>
      </c>
      <c r="S867" s="12">
        <f>SUMIFS(BASE!$G:$G,BASE!$B:$B,$B867,BASE!$L:$L,$G867,BASE!$J:$J,$C867,BASE!$A:$A,S$2)</f>
        <v>0</v>
      </c>
      <c r="T867" s="12">
        <f>SUMIFS(BASE!$G:$G,BASE!$B:$B,$B867,BASE!$L:$L,$G867,BASE!$J:$J,$C867,BASE!$A:$A,T$2)</f>
        <v>0</v>
      </c>
      <c r="U867" s="12">
        <f>SUMIFS(BASE!$G:$G,BASE!$B:$B,$B867,BASE!$L:$L,$G867,BASE!$J:$J,$C867,BASE!$A:$A,U$2)</f>
        <v>0</v>
      </c>
      <c r="V867" s="12">
        <f>SUMIFS(BASE!$G:$G,BASE!$B:$B,$B867,BASE!$L:$L,$G867,BASE!$J:$J,$C867,BASE!$A:$A,V$2)</f>
        <v>0</v>
      </c>
      <c r="X867" t="str">
        <f t="shared" si="27"/>
        <v>ZERADO</v>
      </c>
    </row>
    <row r="868" spans="2:24">
      <c r="B868" s="8" t="s">
        <v>1801</v>
      </c>
      <c r="C868" s="9" t="s">
        <v>102</v>
      </c>
      <c r="D868" s="9" t="s">
        <v>1802</v>
      </c>
      <c r="E868" s="9" t="s">
        <v>1796</v>
      </c>
      <c r="F868" s="9" t="s">
        <v>1803</v>
      </c>
      <c r="G868" s="9" t="s">
        <v>57</v>
      </c>
      <c r="H868" s="7" t="str">
        <f>IFERROR(IF(_xlfn.XLOOKUP(B868,REPASSE!D:D,REPASSE!D:D)="","Não","Sim"),"Não")</f>
        <v>Não</v>
      </c>
      <c r="I868" s="7" t="str">
        <f>IF(_xlfn.XLOOKUP(B868,'BOOST LIBERADO'!B:B,'BOOST LIBERADO'!B:B,"Não")="Não","Não","Sim")</f>
        <v>Sim</v>
      </c>
      <c r="J868" s="83" t="str">
        <f t="shared" si="26"/>
        <v>Sim</v>
      </c>
      <c r="K868" s="12">
        <f>SUMIFS(BASE!$G:$G,BASE!$B:$B,$B868,BASE!$L:$L,$G868,BASE!$J:$J,$C868,BASE!$A:$A,K$2)</f>
        <v>0</v>
      </c>
      <c r="L868" s="12">
        <f>SUMIFS(BASE!$G:$G,BASE!$B:$B,$B868,BASE!$L:$L,$G868,BASE!$J:$J,$C868,BASE!$A:$A,L$2)</f>
        <v>0</v>
      </c>
      <c r="M868" s="12">
        <f>SUMIFS(BASE!$G:$G,BASE!$B:$B,$B868,BASE!$L:$L,$G868,BASE!$J:$J,$C868,BASE!$A:$A,M$2)</f>
        <v>0</v>
      </c>
      <c r="N868" s="12">
        <f>SUMIFS(BASE!$G:$G,BASE!$B:$B,$B868,BASE!$L:$L,$G868,BASE!$J:$J,$C868,BASE!$A:$A,N$2)</f>
        <v>0</v>
      </c>
      <c r="O868" s="12">
        <f>SUMIFS(BASE!$G:$G,BASE!$B:$B,$B868,BASE!$L:$L,$G868,BASE!$J:$J,$C868,BASE!$A:$A,O$2)</f>
        <v>0</v>
      </c>
      <c r="P868" s="12">
        <f>SUMIFS(BASE!$G:$G,BASE!$B:$B,$B868,BASE!$L:$L,$G868,BASE!$J:$J,$C868,BASE!$A:$A,P$2)</f>
        <v>0</v>
      </c>
      <c r="Q868" s="12">
        <f>SUMIFS(BASE!$G:$G,BASE!$B:$B,$B868,BASE!$L:$L,$G868,BASE!$J:$J,$C868,BASE!$A:$A,Q$2)</f>
        <v>0</v>
      </c>
      <c r="R868" s="12">
        <f>SUMIFS(BASE!$G:$G,BASE!$B:$B,$B868,BASE!$L:$L,$G868,BASE!$J:$J,$C868,BASE!$A:$A,R$2)</f>
        <v>0</v>
      </c>
      <c r="S868" s="12">
        <f>SUMIFS(BASE!$G:$G,BASE!$B:$B,$B868,BASE!$L:$L,$G868,BASE!$J:$J,$C868,BASE!$A:$A,S$2)</f>
        <v>0</v>
      </c>
      <c r="T868" s="12">
        <f>SUMIFS(BASE!$G:$G,BASE!$B:$B,$B868,BASE!$L:$L,$G868,BASE!$J:$J,$C868,BASE!$A:$A,T$2)</f>
        <v>0</v>
      </c>
      <c r="U868" s="12">
        <f>SUMIFS(BASE!$G:$G,BASE!$B:$B,$B868,BASE!$L:$L,$G868,BASE!$J:$J,$C868,BASE!$A:$A,U$2)</f>
        <v>0</v>
      </c>
      <c r="V868" s="12">
        <f>SUMIFS(BASE!$G:$G,BASE!$B:$B,$B868,BASE!$L:$L,$G868,BASE!$J:$J,$C868,BASE!$A:$A,V$2)</f>
        <v>0</v>
      </c>
      <c r="X868" t="str">
        <f t="shared" si="27"/>
        <v>ZERADO</v>
      </c>
    </row>
    <row r="869" spans="2:24">
      <c r="B869" s="8" t="s">
        <v>1804</v>
      </c>
      <c r="C869" s="9" t="s">
        <v>106</v>
      </c>
      <c r="D869" s="9" t="s">
        <v>1802</v>
      </c>
      <c r="E869" s="9" t="s">
        <v>1796</v>
      </c>
      <c r="F869" s="9" t="s">
        <v>1805</v>
      </c>
      <c r="G869" s="9" t="s">
        <v>57</v>
      </c>
      <c r="H869" s="7" t="str">
        <f>IFERROR(IF(_xlfn.XLOOKUP(B869,REPASSE!D:D,REPASSE!D:D)="","Não","Sim"),"Não")</f>
        <v>Não</v>
      </c>
      <c r="I869" s="7" t="str">
        <f>IF(_xlfn.XLOOKUP(B869,'BOOST LIBERADO'!B:B,'BOOST LIBERADO'!B:B,"Não")="Não","Não","Sim")</f>
        <v>Sim</v>
      </c>
      <c r="J869" s="83" t="str">
        <f t="shared" si="26"/>
        <v>Sim</v>
      </c>
      <c r="K869" s="12">
        <f>SUMIFS(BASE!$G:$G,BASE!$B:$B,$B869,BASE!$L:$L,$G869,BASE!$J:$J,$C869,BASE!$A:$A,K$2)</f>
        <v>0</v>
      </c>
      <c r="L869" s="12">
        <f>SUMIFS(BASE!$G:$G,BASE!$B:$B,$B869,BASE!$L:$L,$G869,BASE!$J:$J,$C869,BASE!$A:$A,L$2)</f>
        <v>0</v>
      </c>
      <c r="M869" s="12">
        <f>SUMIFS(BASE!$G:$G,BASE!$B:$B,$B869,BASE!$L:$L,$G869,BASE!$J:$J,$C869,BASE!$A:$A,M$2)</f>
        <v>1</v>
      </c>
      <c r="N869" s="12">
        <f>SUMIFS(BASE!$G:$G,BASE!$B:$B,$B869,BASE!$L:$L,$G869,BASE!$J:$J,$C869,BASE!$A:$A,N$2)</f>
        <v>0</v>
      </c>
      <c r="O869" s="12">
        <f>SUMIFS(BASE!$G:$G,BASE!$B:$B,$B869,BASE!$L:$L,$G869,BASE!$J:$J,$C869,BASE!$A:$A,O$2)</f>
        <v>0</v>
      </c>
      <c r="P869" s="12">
        <f>SUMIFS(BASE!$G:$G,BASE!$B:$B,$B869,BASE!$L:$L,$G869,BASE!$J:$J,$C869,BASE!$A:$A,P$2)</f>
        <v>0</v>
      </c>
      <c r="Q869" s="12">
        <f>SUMIFS(BASE!$G:$G,BASE!$B:$B,$B869,BASE!$L:$L,$G869,BASE!$J:$J,$C869,BASE!$A:$A,Q$2)</f>
        <v>0</v>
      </c>
      <c r="R869" s="12">
        <f>SUMIFS(BASE!$G:$G,BASE!$B:$B,$B869,BASE!$L:$L,$G869,BASE!$J:$J,$C869,BASE!$A:$A,R$2)</f>
        <v>6</v>
      </c>
      <c r="S869" s="12">
        <f>SUMIFS(BASE!$G:$G,BASE!$B:$B,$B869,BASE!$L:$L,$G869,BASE!$J:$J,$C869,BASE!$A:$A,S$2)</f>
        <v>0</v>
      </c>
      <c r="T869" s="12">
        <f>SUMIFS(BASE!$G:$G,BASE!$B:$B,$B869,BASE!$L:$L,$G869,BASE!$J:$J,$C869,BASE!$A:$A,T$2)</f>
        <v>0</v>
      </c>
      <c r="U869" s="12">
        <f>SUMIFS(BASE!$G:$G,BASE!$B:$B,$B869,BASE!$L:$L,$G869,BASE!$J:$J,$C869,BASE!$A:$A,U$2)</f>
        <v>0</v>
      </c>
      <c r="V869" s="12">
        <f>SUMIFS(BASE!$G:$G,BASE!$B:$B,$B869,BASE!$L:$L,$G869,BASE!$J:$J,$C869,BASE!$A:$A,V$2)</f>
        <v>0</v>
      </c>
      <c r="X869" t="str">
        <f t="shared" si="27"/>
        <v>COM TROCAS</v>
      </c>
    </row>
    <row r="870" spans="2:24">
      <c r="B870" s="8" t="s">
        <v>1806</v>
      </c>
      <c r="C870" s="9" t="s">
        <v>106</v>
      </c>
      <c r="D870" s="9" t="s">
        <v>1802</v>
      </c>
      <c r="E870" s="9" t="s">
        <v>1796</v>
      </c>
      <c r="F870" s="9" t="s">
        <v>1805</v>
      </c>
      <c r="G870" s="9" t="s">
        <v>57</v>
      </c>
      <c r="H870" s="7" t="str">
        <f>IFERROR(IF(_xlfn.XLOOKUP(B870,REPASSE!D:D,REPASSE!D:D)="","Não","Sim"),"Não")</f>
        <v>Não</v>
      </c>
      <c r="I870" s="7" t="str">
        <f>IF(_xlfn.XLOOKUP(B870,'BOOST LIBERADO'!B:B,'BOOST LIBERADO'!B:B,"Não")="Não","Não","Sim")</f>
        <v>Sim</v>
      </c>
      <c r="J870" s="83" t="str">
        <f t="shared" si="26"/>
        <v>Sim</v>
      </c>
      <c r="K870" s="12">
        <f>SUMIFS(BASE!$G:$G,BASE!$B:$B,$B870,BASE!$L:$L,$G870,BASE!$J:$J,$C870,BASE!$A:$A,K$2)</f>
        <v>0</v>
      </c>
      <c r="L870" s="12">
        <f>SUMIFS(BASE!$G:$G,BASE!$B:$B,$B870,BASE!$L:$L,$G870,BASE!$J:$J,$C870,BASE!$A:$A,L$2)</f>
        <v>0</v>
      </c>
      <c r="M870" s="12">
        <f>SUMIFS(BASE!$G:$G,BASE!$B:$B,$B870,BASE!$L:$L,$G870,BASE!$J:$J,$C870,BASE!$A:$A,M$2)</f>
        <v>0</v>
      </c>
      <c r="N870" s="12">
        <f>SUMIFS(BASE!$G:$G,BASE!$B:$B,$B870,BASE!$L:$L,$G870,BASE!$J:$J,$C870,BASE!$A:$A,N$2)</f>
        <v>0</v>
      </c>
      <c r="O870" s="12">
        <f>SUMIFS(BASE!$G:$G,BASE!$B:$B,$B870,BASE!$L:$L,$G870,BASE!$J:$J,$C870,BASE!$A:$A,O$2)</f>
        <v>0</v>
      </c>
      <c r="P870" s="12">
        <f>SUMIFS(BASE!$G:$G,BASE!$B:$B,$B870,BASE!$L:$L,$G870,BASE!$J:$J,$C870,BASE!$A:$A,P$2)</f>
        <v>0</v>
      </c>
      <c r="Q870" s="12">
        <f>SUMIFS(BASE!$G:$G,BASE!$B:$B,$B870,BASE!$L:$L,$G870,BASE!$J:$J,$C870,BASE!$A:$A,Q$2)</f>
        <v>0</v>
      </c>
      <c r="R870" s="12">
        <f>SUMIFS(BASE!$G:$G,BASE!$B:$B,$B870,BASE!$L:$L,$G870,BASE!$J:$J,$C870,BASE!$A:$A,R$2)</f>
        <v>0</v>
      </c>
      <c r="S870" s="12">
        <f>SUMIFS(BASE!$G:$G,BASE!$B:$B,$B870,BASE!$L:$L,$G870,BASE!$J:$J,$C870,BASE!$A:$A,S$2)</f>
        <v>0</v>
      </c>
      <c r="T870" s="12">
        <f>SUMIFS(BASE!$G:$G,BASE!$B:$B,$B870,BASE!$L:$L,$G870,BASE!$J:$J,$C870,BASE!$A:$A,T$2)</f>
        <v>0</v>
      </c>
      <c r="U870" s="12">
        <f>SUMIFS(BASE!$G:$G,BASE!$B:$B,$B870,BASE!$L:$L,$G870,BASE!$J:$J,$C870,BASE!$A:$A,U$2)</f>
        <v>0</v>
      </c>
      <c r="V870" s="12">
        <f>SUMIFS(BASE!$G:$G,BASE!$B:$B,$B870,BASE!$L:$L,$G870,BASE!$J:$J,$C870,BASE!$A:$A,V$2)</f>
        <v>0</v>
      </c>
      <c r="X870" t="str">
        <f t="shared" si="27"/>
        <v>ZERADO</v>
      </c>
    </row>
    <row r="871" spans="2:24">
      <c r="B871" s="8" t="s">
        <v>1807</v>
      </c>
      <c r="C871" s="9" t="s">
        <v>106</v>
      </c>
      <c r="D871" s="9" t="s">
        <v>1802</v>
      </c>
      <c r="E871" s="9" t="s">
        <v>1796</v>
      </c>
      <c r="F871" s="9" t="s">
        <v>1808</v>
      </c>
      <c r="G871" s="9" t="s">
        <v>57</v>
      </c>
      <c r="H871" s="7" t="str">
        <f>IFERROR(IF(_xlfn.XLOOKUP(B871,REPASSE!D:D,REPASSE!D:D)="","Não","Sim"),"Não")</f>
        <v>Não</v>
      </c>
      <c r="I871" s="7" t="str">
        <f>IF(_xlfn.XLOOKUP(B871,'BOOST LIBERADO'!B:B,'BOOST LIBERADO'!B:B,"Não")="Não","Não","Sim")</f>
        <v>Sim</v>
      </c>
      <c r="J871" s="83" t="str">
        <f t="shared" si="26"/>
        <v>Sim</v>
      </c>
      <c r="K871" s="12">
        <f>SUMIFS(BASE!$G:$G,BASE!$B:$B,$B871,BASE!$L:$L,$G871,BASE!$J:$J,$C871,BASE!$A:$A,K$2)</f>
        <v>0</v>
      </c>
      <c r="L871" s="12">
        <f>SUMIFS(BASE!$G:$G,BASE!$B:$B,$B871,BASE!$L:$L,$G871,BASE!$J:$J,$C871,BASE!$A:$A,L$2)</f>
        <v>0</v>
      </c>
      <c r="M871" s="12">
        <f>SUMIFS(BASE!$G:$G,BASE!$B:$B,$B871,BASE!$L:$L,$G871,BASE!$J:$J,$C871,BASE!$A:$A,M$2)</f>
        <v>0</v>
      </c>
      <c r="N871" s="12">
        <f>SUMIFS(BASE!$G:$G,BASE!$B:$B,$B871,BASE!$L:$L,$G871,BASE!$J:$J,$C871,BASE!$A:$A,N$2)</f>
        <v>0</v>
      </c>
      <c r="O871" s="12">
        <f>SUMIFS(BASE!$G:$G,BASE!$B:$B,$B871,BASE!$L:$L,$G871,BASE!$J:$J,$C871,BASE!$A:$A,O$2)</f>
        <v>0</v>
      </c>
      <c r="P871" s="12">
        <f>SUMIFS(BASE!$G:$G,BASE!$B:$B,$B871,BASE!$L:$L,$G871,BASE!$J:$J,$C871,BASE!$A:$A,P$2)</f>
        <v>0</v>
      </c>
      <c r="Q871" s="12">
        <f>SUMIFS(BASE!$G:$G,BASE!$B:$B,$B871,BASE!$L:$L,$G871,BASE!$J:$J,$C871,BASE!$A:$A,Q$2)</f>
        <v>0</v>
      </c>
      <c r="R871" s="12">
        <f>SUMIFS(BASE!$G:$G,BASE!$B:$B,$B871,BASE!$L:$L,$G871,BASE!$J:$J,$C871,BASE!$A:$A,R$2)</f>
        <v>0</v>
      </c>
      <c r="S871" s="12">
        <f>SUMIFS(BASE!$G:$G,BASE!$B:$B,$B871,BASE!$L:$L,$G871,BASE!$J:$J,$C871,BASE!$A:$A,S$2)</f>
        <v>0</v>
      </c>
      <c r="T871" s="12">
        <f>SUMIFS(BASE!$G:$G,BASE!$B:$B,$B871,BASE!$L:$L,$G871,BASE!$J:$J,$C871,BASE!$A:$A,T$2)</f>
        <v>0</v>
      </c>
      <c r="U871" s="12">
        <f>SUMIFS(BASE!$G:$G,BASE!$B:$B,$B871,BASE!$L:$L,$G871,BASE!$J:$J,$C871,BASE!$A:$A,U$2)</f>
        <v>0</v>
      </c>
      <c r="V871" s="12">
        <f>SUMIFS(BASE!$G:$G,BASE!$B:$B,$B871,BASE!$L:$L,$G871,BASE!$J:$J,$C871,BASE!$A:$A,V$2)</f>
        <v>0</v>
      </c>
      <c r="X871" t="str">
        <f t="shared" si="27"/>
        <v>ZERADO</v>
      </c>
    </row>
    <row r="872" spans="2:24">
      <c r="B872" s="8" t="s">
        <v>1809</v>
      </c>
      <c r="C872" s="9" t="s">
        <v>106</v>
      </c>
      <c r="D872" s="9" t="s">
        <v>1802</v>
      </c>
      <c r="E872" s="9" t="s">
        <v>1796</v>
      </c>
      <c r="F872" s="9" t="s">
        <v>1808</v>
      </c>
      <c r="G872" s="9" t="s">
        <v>57</v>
      </c>
      <c r="H872" s="7" t="str">
        <f>IFERROR(IF(_xlfn.XLOOKUP(B872,REPASSE!D:D,REPASSE!D:D)="","Não","Sim"),"Não")</f>
        <v>Não</v>
      </c>
      <c r="I872" s="7" t="str">
        <f>IF(_xlfn.XLOOKUP(B872,'BOOST LIBERADO'!B:B,'BOOST LIBERADO'!B:B,"Não")="Não","Não","Sim")</f>
        <v>Sim</v>
      </c>
      <c r="J872" s="83" t="str">
        <f t="shared" si="26"/>
        <v>Sim</v>
      </c>
      <c r="K872" s="12">
        <f>SUMIFS(BASE!$G:$G,BASE!$B:$B,$B872,BASE!$L:$L,$G872,BASE!$J:$J,$C872,BASE!$A:$A,K$2)</f>
        <v>0</v>
      </c>
      <c r="L872" s="12">
        <f>SUMIFS(BASE!$G:$G,BASE!$B:$B,$B872,BASE!$L:$L,$G872,BASE!$J:$J,$C872,BASE!$A:$A,L$2)</f>
        <v>0</v>
      </c>
      <c r="M872" s="12">
        <f>SUMIFS(BASE!$G:$G,BASE!$B:$B,$B872,BASE!$L:$L,$G872,BASE!$J:$J,$C872,BASE!$A:$A,M$2)</f>
        <v>0</v>
      </c>
      <c r="N872" s="12">
        <f>SUMIFS(BASE!$G:$G,BASE!$B:$B,$B872,BASE!$L:$L,$G872,BASE!$J:$J,$C872,BASE!$A:$A,N$2)</f>
        <v>0</v>
      </c>
      <c r="O872" s="12">
        <f>SUMIFS(BASE!$G:$G,BASE!$B:$B,$B872,BASE!$L:$L,$G872,BASE!$J:$J,$C872,BASE!$A:$A,O$2)</f>
        <v>0</v>
      </c>
      <c r="P872" s="12">
        <f>SUMIFS(BASE!$G:$G,BASE!$B:$B,$B872,BASE!$L:$L,$G872,BASE!$J:$J,$C872,BASE!$A:$A,P$2)</f>
        <v>0</v>
      </c>
      <c r="Q872" s="12">
        <f>SUMIFS(BASE!$G:$G,BASE!$B:$B,$B872,BASE!$L:$L,$G872,BASE!$J:$J,$C872,BASE!$A:$A,Q$2)</f>
        <v>0</v>
      </c>
      <c r="R872" s="12">
        <f>SUMIFS(BASE!$G:$G,BASE!$B:$B,$B872,BASE!$L:$L,$G872,BASE!$J:$J,$C872,BASE!$A:$A,R$2)</f>
        <v>0</v>
      </c>
      <c r="S872" s="12">
        <f>SUMIFS(BASE!$G:$G,BASE!$B:$B,$B872,BASE!$L:$L,$G872,BASE!$J:$J,$C872,BASE!$A:$A,S$2)</f>
        <v>0</v>
      </c>
      <c r="T872" s="12">
        <f>SUMIFS(BASE!$G:$G,BASE!$B:$B,$B872,BASE!$L:$L,$G872,BASE!$J:$J,$C872,BASE!$A:$A,T$2)</f>
        <v>0</v>
      </c>
      <c r="U872" s="12">
        <f>SUMIFS(BASE!$G:$G,BASE!$B:$B,$B872,BASE!$L:$L,$G872,BASE!$J:$J,$C872,BASE!$A:$A,U$2)</f>
        <v>0</v>
      </c>
      <c r="V872" s="12">
        <f>SUMIFS(BASE!$G:$G,BASE!$B:$B,$B872,BASE!$L:$L,$G872,BASE!$J:$J,$C872,BASE!$A:$A,V$2)</f>
        <v>0</v>
      </c>
      <c r="X872" t="str">
        <f t="shared" si="27"/>
        <v>ZERADO</v>
      </c>
    </row>
    <row r="873" spans="2:24">
      <c r="B873" s="8" t="s">
        <v>1810</v>
      </c>
      <c r="C873" s="9" t="s">
        <v>95</v>
      </c>
      <c r="D873" s="9" t="s">
        <v>1811</v>
      </c>
      <c r="E873" s="9" t="s">
        <v>1812</v>
      </c>
      <c r="F873" s="9" t="s">
        <v>1813</v>
      </c>
      <c r="G873" s="9" t="s">
        <v>58</v>
      </c>
      <c r="H873" s="7" t="str">
        <f>IFERROR(IF(_xlfn.XLOOKUP(B873,REPASSE!D:D,REPASSE!D:D)="","Não","Sim"),"Não")</f>
        <v>Não</v>
      </c>
      <c r="I873" s="7" t="str">
        <f>IF(_xlfn.XLOOKUP(B873,'BOOST LIBERADO'!B:B,'BOOST LIBERADO'!B:B,"Não")="Não","Não","Sim")</f>
        <v>Sim</v>
      </c>
      <c r="J873" s="83" t="str">
        <f t="shared" si="26"/>
        <v>Sim</v>
      </c>
      <c r="K873" s="12">
        <f>SUMIFS(BASE!$G:$G,BASE!$B:$B,$B873,BASE!$L:$L,$G873,BASE!$J:$J,$C873,BASE!$A:$A,K$2)</f>
        <v>0</v>
      </c>
      <c r="L873" s="12">
        <f>SUMIFS(BASE!$G:$G,BASE!$B:$B,$B873,BASE!$L:$L,$G873,BASE!$J:$J,$C873,BASE!$A:$A,L$2)</f>
        <v>1</v>
      </c>
      <c r="M873" s="12">
        <f>SUMIFS(BASE!$G:$G,BASE!$B:$B,$B873,BASE!$L:$L,$G873,BASE!$J:$J,$C873,BASE!$A:$A,M$2)</f>
        <v>1</v>
      </c>
      <c r="N873" s="12">
        <f>SUMIFS(BASE!$G:$G,BASE!$B:$B,$B873,BASE!$L:$L,$G873,BASE!$J:$J,$C873,BASE!$A:$A,N$2)</f>
        <v>0</v>
      </c>
      <c r="O873" s="12">
        <f>SUMIFS(BASE!$G:$G,BASE!$B:$B,$B873,BASE!$L:$L,$G873,BASE!$J:$J,$C873,BASE!$A:$A,O$2)</f>
        <v>3</v>
      </c>
      <c r="P873" s="12">
        <f>SUMIFS(BASE!$G:$G,BASE!$B:$B,$B873,BASE!$L:$L,$G873,BASE!$J:$J,$C873,BASE!$A:$A,P$2)</f>
        <v>3</v>
      </c>
      <c r="Q873" s="12">
        <f>SUMIFS(BASE!$G:$G,BASE!$B:$B,$B873,BASE!$L:$L,$G873,BASE!$J:$J,$C873,BASE!$A:$A,Q$2)</f>
        <v>2</v>
      </c>
      <c r="R873" s="12">
        <f>SUMIFS(BASE!$G:$G,BASE!$B:$B,$B873,BASE!$L:$L,$G873,BASE!$J:$J,$C873,BASE!$A:$A,R$2)</f>
        <v>2</v>
      </c>
      <c r="S873" s="12">
        <f>SUMIFS(BASE!$G:$G,BASE!$B:$B,$B873,BASE!$L:$L,$G873,BASE!$J:$J,$C873,BASE!$A:$A,S$2)</f>
        <v>0</v>
      </c>
      <c r="T873" s="12">
        <f>SUMIFS(BASE!$G:$G,BASE!$B:$B,$B873,BASE!$L:$L,$G873,BASE!$J:$J,$C873,BASE!$A:$A,T$2)</f>
        <v>0</v>
      </c>
      <c r="U873" s="12">
        <f>SUMIFS(BASE!$G:$G,BASE!$B:$B,$B873,BASE!$L:$L,$G873,BASE!$J:$J,$C873,BASE!$A:$A,U$2)</f>
        <v>0</v>
      </c>
      <c r="V873" s="12">
        <f>SUMIFS(BASE!$G:$G,BASE!$B:$B,$B873,BASE!$L:$L,$G873,BASE!$J:$J,$C873,BASE!$A:$A,V$2)</f>
        <v>0</v>
      </c>
      <c r="X873" t="str">
        <f t="shared" si="27"/>
        <v>COM TROCAS</v>
      </c>
    </row>
    <row r="874" spans="2:24">
      <c r="B874" s="8" t="s">
        <v>1814</v>
      </c>
      <c r="C874" s="9" t="s">
        <v>95</v>
      </c>
      <c r="D874" s="9" t="s">
        <v>1811</v>
      </c>
      <c r="E874" s="9" t="s">
        <v>1812</v>
      </c>
      <c r="F874" s="9" t="s">
        <v>1815</v>
      </c>
      <c r="G874" s="9" t="s">
        <v>58</v>
      </c>
      <c r="H874" s="7" t="str">
        <f>IFERROR(IF(_xlfn.XLOOKUP(B874,REPASSE!D:D,REPASSE!D:D)="","Não","Sim"),"Não")</f>
        <v>Não</v>
      </c>
      <c r="I874" s="7" t="str">
        <f>IF(_xlfn.XLOOKUP(B874,'BOOST LIBERADO'!B:B,'BOOST LIBERADO'!B:B,"Não")="Não","Não","Sim")</f>
        <v>Sim</v>
      </c>
      <c r="J874" s="83" t="str">
        <f t="shared" si="26"/>
        <v>Sim</v>
      </c>
      <c r="K874" s="12">
        <f>SUMIFS(BASE!$G:$G,BASE!$B:$B,$B874,BASE!$L:$L,$G874,BASE!$J:$J,$C874,BASE!$A:$A,K$2)</f>
        <v>0</v>
      </c>
      <c r="L874" s="12">
        <f>SUMIFS(BASE!$G:$G,BASE!$B:$B,$B874,BASE!$L:$L,$G874,BASE!$J:$J,$C874,BASE!$A:$A,L$2)</f>
        <v>0</v>
      </c>
      <c r="M874" s="12">
        <f>SUMIFS(BASE!$G:$G,BASE!$B:$B,$B874,BASE!$L:$L,$G874,BASE!$J:$J,$C874,BASE!$A:$A,M$2)</f>
        <v>0</v>
      </c>
      <c r="N874" s="12">
        <f>SUMIFS(BASE!$G:$G,BASE!$B:$B,$B874,BASE!$L:$L,$G874,BASE!$J:$J,$C874,BASE!$A:$A,N$2)</f>
        <v>0</v>
      </c>
      <c r="O874" s="12">
        <f>SUMIFS(BASE!$G:$G,BASE!$B:$B,$B874,BASE!$L:$L,$G874,BASE!$J:$J,$C874,BASE!$A:$A,O$2)</f>
        <v>0</v>
      </c>
      <c r="P874" s="12">
        <f>SUMIFS(BASE!$G:$G,BASE!$B:$B,$B874,BASE!$L:$L,$G874,BASE!$J:$J,$C874,BASE!$A:$A,P$2)</f>
        <v>0</v>
      </c>
      <c r="Q874" s="12">
        <f>SUMIFS(BASE!$G:$G,BASE!$B:$B,$B874,BASE!$L:$L,$G874,BASE!$J:$J,$C874,BASE!$A:$A,Q$2)</f>
        <v>0</v>
      </c>
      <c r="R874" s="12">
        <f>SUMIFS(BASE!$G:$G,BASE!$B:$B,$B874,BASE!$L:$L,$G874,BASE!$J:$J,$C874,BASE!$A:$A,R$2)</f>
        <v>0</v>
      </c>
      <c r="S874" s="12">
        <f>SUMIFS(BASE!$G:$G,BASE!$B:$B,$B874,BASE!$L:$L,$G874,BASE!$J:$J,$C874,BASE!$A:$A,S$2)</f>
        <v>0</v>
      </c>
      <c r="T874" s="12">
        <f>SUMIFS(BASE!$G:$G,BASE!$B:$B,$B874,BASE!$L:$L,$G874,BASE!$J:$J,$C874,BASE!$A:$A,T$2)</f>
        <v>0</v>
      </c>
      <c r="U874" s="12">
        <f>SUMIFS(BASE!$G:$G,BASE!$B:$B,$B874,BASE!$L:$L,$G874,BASE!$J:$J,$C874,BASE!$A:$A,U$2)</f>
        <v>0</v>
      </c>
      <c r="V874" s="12">
        <f>SUMIFS(BASE!$G:$G,BASE!$B:$B,$B874,BASE!$L:$L,$G874,BASE!$J:$J,$C874,BASE!$A:$A,V$2)</f>
        <v>0</v>
      </c>
      <c r="X874" t="str">
        <f t="shared" si="27"/>
        <v>ZERADO</v>
      </c>
    </row>
    <row r="875" spans="2:24">
      <c r="B875" s="8" t="s">
        <v>1816</v>
      </c>
      <c r="C875" s="9" t="s">
        <v>95</v>
      </c>
      <c r="D875" s="9" t="s">
        <v>1811</v>
      </c>
      <c r="E875" s="9" t="s">
        <v>1812</v>
      </c>
      <c r="F875" s="9" t="s">
        <v>1817</v>
      </c>
      <c r="G875" s="9" t="s">
        <v>58</v>
      </c>
      <c r="H875" s="7" t="str">
        <f>IFERROR(IF(_xlfn.XLOOKUP(B875,REPASSE!D:D,REPASSE!D:D)="","Não","Sim"),"Não")</f>
        <v>Não</v>
      </c>
      <c r="I875" s="7" t="str">
        <f>IF(_xlfn.XLOOKUP(B875,'BOOST LIBERADO'!B:B,'BOOST LIBERADO'!B:B,"Não")="Não","Não","Sim")</f>
        <v>Sim</v>
      </c>
      <c r="J875" s="83" t="str">
        <f t="shared" si="26"/>
        <v>Sim</v>
      </c>
      <c r="K875" s="12">
        <f>SUMIFS(BASE!$G:$G,BASE!$B:$B,$B875,BASE!$L:$L,$G875,BASE!$J:$J,$C875,BASE!$A:$A,K$2)</f>
        <v>0</v>
      </c>
      <c r="L875" s="12">
        <f>SUMIFS(BASE!$G:$G,BASE!$B:$B,$B875,BASE!$L:$L,$G875,BASE!$J:$J,$C875,BASE!$A:$A,L$2)</f>
        <v>0</v>
      </c>
      <c r="M875" s="12">
        <f>SUMIFS(BASE!$G:$G,BASE!$B:$B,$B875,BASE!$L:$L,$G875,BASE!$J:$J,$C875,BASE!$A:$A,M$2)</f>
        <v>3</v>
      </c>
      <c r="N875" s="12">
        <f>SUMIFS(BASE!$G:$G,BASE!$B:$B,$B875,BASE!$L:$L,$G875,BASE!$J:$J,$C875,BASE!$A:$A,N$2)</f>
        <v>4</v>
      </c>
      <c r="O875" s="12">
        <f>SUMIFS(BASE!$G:$G,BASE!$B:$B,$B875,BASE!$L:$L,$G875,BASE!$J:$J,$C875,BASE!$A:$A,O$2)</f>
        <v>4</v>
      </c>
      <c r="P875" s="12">
        <f>SUMIFS(BASE!$G:$G,BASE!$B:$B,$B875,BASE!$L:$L,$G875,BASE!$J:$J,$C875,BASE!$A:$A,P$2)</f>
        <v>3</v>
      </c>
      <c r="Q875" s="12">
        <f>SUMIFS(BASE!$G:$G,BASE!$B:$B,$B875,BASE!$L:$L,$G875,BASE!$J:$J,$C875,BASE!$A:$A,Q$2)</f>
        <v>6</v>
      </c>
      <c r="R875" s="12">
        <f>SUMIFS(BASE!$G:$G,BASE!$B:$B,$B875,BASE!$L:$L,$G875,BASE!$J:$J,$C875,BASE!$A:$A,R$2)</f>
        <v>8</v>
      </c>
      <c r="S875" s="12">
        <f>SUMIFS(BASE!$G:$G,BASE!$B:$B,$B875,BASE!$L:$L,$G875,BASE!$J:$J,$C875,BASE!$A:$A,S$2)</f>
        <v>0</v>
      </c>
      <c r="T875" s="12">
        <f>SUMIFS(BASE!$G:$G,BASE!$B:$B,$B875,BASE!$L:$L,$G875,BASE!$J:$J,$C875,BASE!$A:$A,T$2)</f>
        <v>0</v>
      </c>
      <c r="U875" s="12">
        <f>SUMIFS(BASE!$G:$G,BASE!$B:$B,$B875,BASE!$L:$L,$G875,BASE!$J:$J,$C875,BASE!$A:$A,U$2)</f>
        <v>0</v>
      </c>
      <c r="V875" s="12">
        <f>SUMIFS(BASE!$G:$G,BASE!$B:$B,$B875,BASE!$L:$L,$G875,BASE!$J:$J,$C875,BASE!$A:$A,V$2)</f>
        <v>0</v>
      </c>
      <c r="X875" t="str">
        <f t="shared" si="27"/>
        <v>COM TROCAS</v>
      </c>
    </row>
    <row r="876" spans="2:24">
      <c r="B876" s="8" t="s">
        <v>1818</v>
      </c>
      <c r="C876" s="9" t="s">
        <v>95</v>
      </c>
      <c r="D876" s="9" t="s">
        <v>1811</v>
      </c>
      <c r="E876" s="9" t="s">
        <v>1812</v>
      </c>
      <c r="F876" s="9" t="s">
        <v>1817</v>
      </c>
      <c r="G876" s="9" t="s">
        <v>58</v>
      </c>
      <c r="H876" s="7" t="str">
        <f>IFERROR(IF(_xlfn.XLOOKUP(B876,REPASSE!D:D,REPASSE!D:D)="","Não","Sim"),"Não")</f>
        <v>Não</v>
      </c>
      <c r="I876" s="7" t="str">
        <f>IF(_xlfn.XLOOKUP(B876,'BOOST LIBERADO'!B:B,'BOOST LIBERADO'!B:B,"Não")="Não","Não","Sim")</f>
        <v>Sim</v>
      </c>
      <c r="J876" s="83" t="str">
        <f t="shared" si="26"/>
        <v>Sim</v>
      </c>
      <c r="K876" s="12">
        <f>SUMIFS(BASE!$G:$G,BASE!$B:$B,$B876,BASE!$L:$L,$G876,BASE!$J:$J,$C876,BASE!$A:$A,K$2)</f>
        <v>0</v>
      </c>
      <c r="L876" s="12">
        <f>SUMIFS(BASE!$G:$G,BASE!$B:$B,$B876,BASE!$L:$L,$G876,BASE!$J:$J,$C876,BASE!$A:$A,L$2)</f>
        <v>0</v>
      </c>
      <c r="M876" s="12">
        <f>SUMIFS(BASE!$G:$G,BASE!$B:$B,$B876,BASE!$L:$L,$G876,BASE!$J:$J,$C876,BASE!$A:$A,M$2)</f>
        <v>0</v>
      </c>
      <c r="N876" s="12">
        <f>SUMIFS(BASE!$G:$G,BASE!$B:$B,$B876,BASE!$L:$L,$G876,BASE!$J:$J,$C876,BASE!$A:$A,N$2)</f>
        <v>1</v>
      </c>
      <c r="O876" s="12">
        <f>SUMIFS(BASE!$G:$G,BASE!$B:$B,$B876,BASE!$L:$L,$G876,BASE!$J:$J,$C876,BASE!$A:$A,O$2)</f>
        <v>0</v>
      </c>
      <c r="P876" s="12">
        <f>SUMIFS(BASE!$G:$G,BASE!$B:$B,$B876,BASE!$L:$L,$G876,BASE!$J:$J,$C876,BASE!$A:$A,P$2)</f>
        <v>2</v>
      </c>
      <c r="Q876" s="12">
        <f>SUMIFS(BASE!$G:$G,BASE!$B:$B,$B876,BASE!$L:$L,$G876,BASE!$J:$J,$C876,BASE!$A:$A,Q$2)</f>
        <v>1</v>
      </c>
      <c r="R876" s="12">
        <f>SUMIFS(BASE!$G:$G,BASE!$B:$B,$B876,BASE!$L:$L,$G876,BASE!$J:$J,$C876,BASE!$A:$A,R$2)</f>
        <v>2</v>
      </c>
      <c r="S876" s="12">
        <f>SUMIFS(BASE!$G:$G,BASE!$B:$B,$B876,BASE!$L:$L,$G876,BASE!$J:$J,$C876,BASE!$A:$A,S$2)</f>
        <v>0</v>
      </c>
      <c r="T876" s="12">
        <f>SUMIFS(BASE!$G:$G,BASE!$B:$B,$B876,BASE!$L:$L,$G876,BASE!$J:$J,$C876,BASE!$A:$A,T$2)</f>
        <v>0</v>
      </c>
      <c r="U876" s="12">
        <f>SUMIFS(BASE!$G:$G,BASE!$B:$B,$B876,BASE!$L:$L,$G876,BASE!$J:$J,$C876,BASE!$A:$A,U$2)</f>
        <v>0</v>
      </c>
      <c r="V876" s="12">
        <f>SUMIFS(BASE!$G:$G,BASE!$B:$B,$B876,BASE!$L:$L,$G876,BASE!$J:$J,$C876,BASE!$A:$A,V$2)</f>
        <v>0</v>
      </c>
      <c r="X876" t="str">
        <f t="shared" si="27"/>
        <v>COM TROCAS</v>
      </c>
    </row>
    <row r="877" spans="2:24">
      <c r="B877" s="8" t="s">
        <v>1819</v>
      </c>
      <c r="C877" s="9" t="s">
        <v>95</v>
      </c>
      <c r="D877" s="9" t="s">
        <v>1811</v>
      </c>
      <c r="E877" s="9" t="s">
        <v>1812</v>
      </c>
      <c r="F877" s="9" t="s">
        <v>1820</v>
      </c>
      <c r="G877" s="9" t="s">
        <v>58</v>
      </c>
      <c r="H877" s="7" t="str">
        <f>IFERROR(IF(_xlfn.XLOOKUP(B877,REPASSE!D:D,REPASSE!D:D)="","Não","Sim"),"Não")</f>
        <v>Não</v>
      </c>
      <c r="I877" s="7" t="str">
        <f>IF(_xlfn.XLOOKUP(B877,'BOOST LIBERADO'!B:B,'BOOST LIBERADO'!B:B,"Não")="Não","Não","Sim")</f>
        <v>Sim</v>
      </c>
      <c r="J877" s="83" t="str">
        <f t="shared" si="26"/>
        <v>Sim</v>
      </c>
      <c r="K877" s="12">
        <f>SUMIFS(BASE!$G:$G,BASE!$B:$B,$B877,BASE!$L:$L,$G877,BASE!$J:$J,$C877,BASE!$A:$A,K$2)</f>
        <v>0</v>
      </c>
      <c r="L877" s="12">
        <f>SUMIFS(BASE!$G:$G,BASE!$B:$B,$B877,BASE!$L:$L,$G877,BASE!$J:$J,$C877,BASE!$A:$A,L$2)</f>
        <v>0</v>
      </c>
      <c r="M877" s="12">
        <f>SUMIFS(BASE!$G:$G,BASE!$B:$B,$B877,BASE!$L:$L,$G877,BASE!$J:$J,$C877,BASE!$A:$A,M$2)</f>
        <v>0</v>
      </c>
      <c r="N877" s="12">
        <f>SUMIFS(BASE!$G:$G,BASE!$B:$B,$B877,BASE!$L:$L,$G877,BASE!$J:$J,$C877,BASE!$A:$A,N$2)</f>
        <v>0</v>
      </c>
      <c r="O877" s="12">
        <f>SUMIFS(BASE!$G:$G,BASE!$B:$B,$B877,BASE!$L:$L,$G877,BASE!$J:$J,$C877,BASE!$A:$A,O$2)</f>
        <v>0</v>
      </c>
      <c r="P877" s="12">
        <f>SUMIFS(BASE!$G:$G,BASE!$B:$B,$B877,BASE!$L:$L,$G877,BASE!$J:$J,$C877,BASE!$A:$A,P$2)</f>
        <v>0</v>
      </c>
      <c r="Q877" s="12">
        <f>SUMIFS(BASE!$G:$G,BASE!$B:$B,$B877,BASE!$L:$L,$G877,BASE!$J:$J,$C877,BASE!$A:$A,Q$2)</f>
        <v>0</v>
      </c>
      <c r="R877" s="12">
        <f>SUMIFS(BASE!$G:$G,BASE!$B:$B,$B877,BASE!$L:$L,$G877,BASE!$J:$J,$C877,BASE!$A:$A,R$2)</f>
        <v>0</v>
      </c>
      <c r="S877" s="12">
        <f>SUMIFS(BASE!$G:$G,BASE!$B:$B,$B877,BASE!$L:$L,$G877,BASE!$J:$J,$C877,BASE!$A:$A,S$2)</f>
        <v>0</v>
      </c>
      <c r="T877" s="12">
        <f>SUMIFS(BASE!$G:$G,BASE!$B:$B,$B877,BASE!$L:$L,$G877,BASE!$J:$J,$C877,BASE!$A:$A,T$2)</f>
        <v>0</v>
      </c>
      <c r="U877" s="12">
        <f>SUMIFS(BASE!$G:$G,BASE!$B:$B,$B877,BASE!$L:$L,$G877,BASE!$J:$J,$C877,BASE!$A:$A,U$2)</f>
        <v>0</v>
      </c>
      <c r="V877" s="12">
        <f>SUMIFS(BASE!$G:$G,BASE!$B:$B,$B877,BASE!$L:$L,$G877,BASE!$J:$J,$C877,BASE!$A:$A,V$2)</f>
        <v>0</v>
      </c>
      <c r="X877" t="str">
        <f t="shared" si="27"/>
        <v>ZERADO</v>
      </c>
    </row>
    <row r="878" spans="2:24">
      <c r="B878" s="8" t="s">
        <v>1821</v>
      </c>
      <c r="C878" s="9" t="s">
        <v>95</v>
      </c>
      <c r="D878" s="9" t="s">
        <v>1811</v>
      </c>
      <c r="E878" s="9" t="s">
        <v>1812</v>
      </c>
      <c r="F878" s="9" t="s">
        <v>1822</v>
      </c>
      <c r="G878" s="9" t="s">
        <v>58</v>
      </c>
      <c r="H878" s="7" t="str">
        <f>IFERROR(IF(_xlfn.XLOOKUP(B878,REPASSE!D:D,REPASSE!D:D)="","Não","Sim"),"Não")</f>
        <v>Não</v>
      </c>
      <c r="I878" s="7" t="str">
        <f>IF(_xlfn.XLOOKUP(B878,'BOOST LIBERADO'!B:B,'BOOST LIBERADO'!B:B,"Não")="Não","Não","Sim")</f>
        <v>Sim</v>
      </c>
      <c r="J878" s="83" t="str">
        <f t="shared" si="26"/>
        <v>Sim</v>
      </c>
      <c r="K878" s="12">
        <f>SUMIFS(BASE!$G:$G,BASE!$B:$B,$B878,BASE!$L:$L,$G878,BASE!$J:$J,$C878,BASE!$A:$A,K$2)</f>
        <v>1</v>
      </c>
      <c r="L878" s="12">
        <f>SUMIFS(BASE!$G:$G,BASE!$B:$B,$B878,BASE!$L:$L,$G878,BASE!$J:$J,$C878,BASE!$A:$A,L$2)</f>
        <v>1</v>
      </c>
      <c r="M878" s="12">
        <f>SUMIFS(BASE!$G:$G,BASE!$B:$B,$B878,BASE!$L:$L,$G878,BASE!$J:$J,$C878,BASE!$A:$A,M$2)</f>
        <v>1</v>
      </c>
      <c r="N878" s="12">
        <f>SUMIFS(BASE!$G:$G,BASE!$B:$B,$B878,BASE!$L:$L,$G878,BASE!$J:$J,$C878,BASE!$A:$A,N$2)</f>
        <v>1</v>
      </c>
      <c r="O878" s="12">
        <f>SUMIFS(BASE!$G:$G,BASE!$B:$B,$B878,BASE!$L:$L,$G878,BASE!$J:$J,$C878,BASE!$A:$A,O$2)</f>
        <v>0</v>
      </c>
      <c r="P878" s="12">
        <f>SUMIFS(BASE!$G:$G,BASE!$B:$B,$B878,BASE!$L:$L,$G878,BASE!$J:$J,$C878,BASE!$A:$A,P$2)</f>
        <v>2</v>
      </c>
      <c r="Q878" s="12">
        <f>SUMIFS(BASE!$G:$G,BASE!$B:$B,$B878,BASE!$L:$L,$G878,BASE!$J:$J,$C878,BASE!$A:$A,Q$2)</f>
        <v>0</v>
      </c>
      <c r="R878" s="12">
        <f>SUMIFS(BASE!$G:$G,BASE!$B:$B,$B878,BASE!$L:$L,$G878,BASE!$J:$J,$C878,BASE!$A:$A,R$2)</f>
        <v>0</v>
      </c>
      <c r="S878" s="12">
        <f>SUMIFS(BASE!$G:$G,BASE!$B:$B,$B878,BASE!$L:$L,$G878,BASE!$J:$J,$C878,BASE!$A:$A,S$2)</f>
        <v>0</v>
      </c>
      <c r="T878" s="12">
        <f>SUMIFS(BASE!$G:$G,BASE!$B:$B,$B878,BASE!$L:$L,$G878,BASE!$J:$J,$C878,BASE!$A:$A,T$2)</f>
        <v>0</v>
      </c>
      <c r="U878" s="12">
        <f>SUMIFS(BASE!$G:$G,BASE!$B:$B,$B878,BASE!$L:$L,$G878,BASE!$J:$J,$C878,BASE!$A:$A,U$2)</f>
        <v>0</v>
      </c>
      <c r="V878" s="12">
        <f>SUMIFS(BASE!$G:$G,BASE!$B:$B,$B878,BASE!$L:$L,$G878,BASE!$J:$J,$C878,BASE!$A:$A,V$2)</f>
        <v>0</v>
      </c>
      <c r="X878" t="str">
        <f t="shared" si="27"/>
        <v>ZERADO</v>
      </c>
    </row>
    <row r="879" spans="2:24">
      <c r="B879" s="8" t="s">
        <v>1823</v>
      </c>
      <c r="C879" s="9" t="s">
        <v>95</v>
      </c>
      <c r="D879" s="9" t="s">
        <v>1811</v>
      </c>
      <c r="E879" s="9" t="s">
        <v>1812</v>
      </c>
      <c r="F879" s="9" t="s">
        <v>1824</v>
      </c>
      <c r="G879" s="9" t="s">
        <v>58</v>
      </c>
      <c r="H879" s="7" t="str">
        <f>IFERROR(IF(_xlfn.XLOOKUP(B879,REPASSE!D:D,REPASSE!D:D)="","Não","Sim"),"Não")</f>
        <v>Não</v>
      </c>
      <c r="I879" s="7" t="str">
        <f>IF(_xlfn.XLOOKUP(B879,'BOOST LIBERADO'!B:B,'BOOST LIBERADO'!B:B,"Não")="Não","Não","Sim")</f>
        <v>Sim</v>
      </c>
      <c r="J879" s="83" t="str">
        <f t="shared" si="26"/>
        <v>Sim</v>
      </c>
      <c r="K879" s="12">
        <f>SUMIFS(BASE!$G:$G,BASE!$B:$B,$B879,BASE!$L:$L,$G879,BASE!$J:$J,$C879,BASE!$A:$A,K$2)</f>
        <v>0</v>
      </c>
      <c r="L879" s="12">
        <f>SUMIFS(BASE!$G:$G,BASE!$B:$B,$B879,BASE!$L:$L,$G879,BASE!$J:$J,$C879,BASE!$A:$A,L$2)</f>
        <v>0</v>
      </c>
      <c r="M879" s="12">
        <f>SUMIFS(BASE!$G:$G,BASE!$B:$B,$B879,BASE!$L:$L,$G879,BASE!$J:$J,$C879,BASE!$A:$A,M$2)</f>
        <v>1</v>
      </c>
      <c r="N879" s="12">
        <f>SUMIFS(BASE!$G:$G,BASE!$B:$B,$B879,BASE!$L:$L,$G879,BASE!$J:$J,$C879,BASE!$A:$A,N$2)</f>
        <v>0</v>
      </c>
      <c r="O879" s="12">
        <f>SUMIFS(BASE!$G:$G,BASE!$B:$B,$B879,BASE!$L:$L,$G879,BASE!$J:$J,$C879,BASE!$A:$A,O$2)</f>
        <v>0</v>
      </c>
      <c r="P879" s="12">
        <f>SUMIFS(BASE!$G:$G,BASE!$B:$B,$B879,BASE!$L:$L,$G879,BASE!$J:$J,$C879,BASE!$A:$A,P$2)</f>
        <v>0</v>
      </c>
      <c r="Q879" s="12">
        <f>SUMIFS(BASE!$G:$G,BASE!$B:$B,$B879,BASE!$L:$L,$G879,BASE!$J:$J,$C879,BASE!$A:$A,Q$2)</f>
        <v>0</v>
      </c>
      <c r="R879" s="12">
        <f>SUMIFS(BASE!$G:$G,BASE!$B:$B,$B879,BASE!$L:$L,$G879,BASE!$J:$J,$C879,BASE!$A:$A,R$2)</f>
        <v>0</v>
      </c>
      <c r="S879" s="12">
        <f>SUMIFS(BASE!$G:$G,BASE!$B:$B,$B879,BASE!$L:$L,$G879,BASE!$J:$J,$C879,BASE!$A:$A,S$2)</f>
        <v>0</v>
      </c>
      <c r="T879" s="12">
        <f>SUMIFS(BASE!$G:$G,BASE!$B:$B,$B879,BASE!$L:$L,$G879,BASE!$J:$J,$C879,BASE!$A:$A,T$2)</f>
        <v>0</v>
      </c>
      <c r="U879" s="12">
        <f>SUMIFS(BASE!$G:$G,BASE!$B:$B,$B879,BASE!$L:$L,$G879,BASE!$J:$J,$C879,BASE!$A:$A,U$2)</f>
        <v>0</v>
      </c>
      <c r="V879" s="12">
        <f>SUMIFS(BASE!$G:$G,BASE!$B:$B,$B879,BASE!$L:$L,$G879,BASE!$J:$J,$C879,BASE!$A:$A,V$2)</f>
        <v>0</v>
      </c>
      <c r="X879" t="str">
        <f t="shared" si="27"/>
        <v>ZERADO</v>
      </c>
    </row>
    <row r="880" spans="2:24">
      <c r="B880" s="8" t="s">
        <v>1825</v>
      </c>
      <c r="C880" s="9" t="s">
        <v>95</v>
      </c>
      <c r="D880" s="9" t="s">
        <v>1811</v>
      </c>
      <c r="E880" s="9" t="s">
        <v>1812</v>
      </c>
      <c r="F880" s="9" t="s">
        <v>1826</v>
      </c>
      <c r="G880" s="9" t="s">
        <v>58</v>
      </c>
      <c r="H880" s="7" t="str">
        <f>IFERROR(IF(_xlfn.XLOOKUP(B880,REPASSE!D:D,REPASSE!D:D)="","Não","Sim"),"Não")</f>
        <v>Não</v>
      </c>
      <c r="I880" s="7" t="str">
        <f>IF(_xlfn.XLOOKUP(B880,'BOOST LIBERADO'!B:B,'BOOST LIBERADO'!B:B,"Não")="Não","Não","Sim")</f>
        <v>Sim</v>
      </c>
      <c r="J880" s="83" t="str">
        <f t="shared" si="26"/>
        <v>Sim</v>
      </c>
      <c r="K880" s="12">
        <f>SUMIFS(BASE!$G:$G,BASE!$B:$B,$B880,BASE!$L:$L,$G880,BASE!$J:$J,$C880,BASE!$A:$A,K$2)</f>
        <v>1</v>
      </c>
      <c r="L880" s="12">
        <f>SUMIFS(BASE!$G:$G,BASE!$B:$B,$B880,BASE!$L:$L,$G880,BASE!$J:$J,$C880,BASE!$A:$A,L$2)</f>
        <v>0</v>
      </c>
      <c r="M880" s="12">
        <f>SUMIFS(BASE!$G:$G,BASE!$B:$B,$B880,BASE!$L:$L,$G880,BASE!$J:$J,$C880,BASE!$A:$A,M$2)</f>
        <v>0</v>
      </c>
      <c r="N880" s="12">
        <f>SUMIFS(BASE!$G:$G,BASE!$B:$B,$B880,BASE!$L:$L,$G880,BASE!$J:$J,$C880,BASE!$A:$A,N$2)</f>
        <v>0</v>
      </c>
      <c r="O880" s="12">
        <f>SUMIFS(BASE!$G:$G,BASE!$B:$B,$B880,BASE!$L:$L,$G880,BASE!$J:$J,$C880,BASE!$A:$A,O$2)</f>
        <v>0</v>
      </c>
      <c r="P880" s="12">
        <f>SUMIFS(BASE!$G:$G,BASE!$B:$B,$B880,BASE!$L:$L,$G880,BASE!$J:$J,$C880,BASE!$A:$A,P$2)</f>
        <v>0</v>
      </c>
      <c r="Q880" s="12">
        <f>SUMIFS(BASE!$G:$G,BASE!$B:$B,$B880,BASE!$L:$L,$G880,BASE!$J:$J,$C880,BASE!$A:$A,Q$2)</f>
        <v>0</v>
      </c>
      <c r="R880" s="12">
        <f>SUMIFS(BASE!$G:$G,BASE!$B:$B,$B880,BASE!$L:$L,$G880,BASE!$J:$J,$C880,BASE!$A:$A,R$2)</f>
        <v>0</v>
      </c>
      <c r="S880" s="12">
        <f>SUMIFS(BASE!$G:$G,BASE!$B:$B,$B880,BASE!$L:$L,$G880,BASE!$J:$J,$C880,BASE!$A:$A,S$2)</f>
        <v>0</v>
      </c>
      <c r="T880" s="12">
        <f>SUMIFS(BASE!$G:$G,BASE!$B:$B,$B880,BASE!$L:$L,$G880,BASE!$J:$J,$C880,BASE!$A:$A,T$2)</f>
        <v>0</v>
      </c>
      <c r="U880" s="12">
        <f>SUMIFS(BASE!$G:$G,BASE!$B:$B,$B880,BASE!$L:$L,$G880,BASE!$J:$J,$C880,BASE!$A:$A,U$2)</f>
        <v>0</v>
      </c>
      <c r="V880" s="12">
        <f>SUMIFS(BASE!$G:$G,BASE!$B:$B,$B880,BASE!$L:$L,$G880,BASE!$J:$J,$C880,BASE!$A:$A,V$2)</f>
        <v>0</v>
      </c>
      <c r="X880" t="str">
        <f t="shared" si="27"/>
        <v>ZERADO</v>
      </c>
    </row>
    <row r="881" spans="2:24">
      <c r="B881" s="8" t="s">
        <v>1827</v>
      </c>
      <c r="C881" s="9" t="s">
        <v>95</v>
      </c>
      <c r="D881" s="9" t="s">
        <v>1811</v>
      </c>
      <c r="E881" s="9" t="s">
        <v>1812</v>
      </c>
      <c r="F881" s="9" t="s">
        <v>1828</v>
      </c>
      <c r="G881" s="9" t="s">
        <v>58</v>
      </c>
      <c r="H881" s="7" t="str">
        <f>IFERROR(IF(_xlfn.XLOOKUP(B881,REPASSE!D:D,REPASSE!D:D)="","Não","Sim"),"Não")</f>
        <v>Não</v>
      </c>
      <c r="I881" s="7" t="str">
        <f>IF(_xlfn.XLOOKUP(B881,'BOOST LIBERADO'!B:B,'BOOST LIBERADO'!B:B,"Não")="Não","Não","Sim")</f>
        <v>Sim</v>
      </c>
      <c r="J881" s="83" t="str">
        <f t="shared" si="26"/>
        <v>Sim</v>
      </c>
      <c r="K881" s="12">
        <f>SUMIFS(BASE!$G:$G,BASE!$B:$B,$B881,BASE!$L:$L,$G881,BASE!$J:$J,$C881,BASE!$A:$A,K$2)</f>
        <v>5</v>
      </c>
      <c r="L881" s="12">
        <f>SUMIFS(BASE!$G:$G,BASE!$B:$B,$B881,BASE!$L:$L,$G881,BASE!$J:$J,$C881,BASE!$A:$A,L$2)</f>
        <v>3</v>
      </c>
      <c r="M881" s="12">
        <f>SUMIFS(BASE!$G:$G,BASE!$B:$B,$B881,BASE!$L:$L,$G881,BASE!$J:$J,$C881,BASE!$A:$A,M$2)</f>
        <v>4</v>
      </c>
      <c r="N881" s="12">
        <f>SUMIFS(BASE!$G:$G,BASE!$B:$B,$B881,BASE!$L:$L,$G881,BASE!$J:$J,$C881,BASE!$A:$A,N$2)</f>
        <v>3</v>
      </c>
      <c r="O881" s="12">
        <f>SUMIFS(BASE!$G:$G,BASE!$B:$B,$B881,BASE!$L:$L,$G881,BASE!$J:$J,$C881,BASE!$A:$A,O$2)</f>
        <v>1</v>
      </c>
      <c r="P881" s="12">
        <f>SUMIFS(BASE!$G:$G,BASE!$B:$B,$B881,BASE!$L:$L,$G881,BASE!$J:$J,$C881,BASE!$A:$A,P$2)</f>
        <v>5</v>
      </c>
      <c r="Q881" s="12">
        <f>SUMIFS(BASE!$G:$G,BASE!$B:$B,$B881,BASE!$L:$L,$G881,BASE!$J:$J,$C881,BASE!$A:$A,Q$2)</f>
        <v>0</v>
      </c>
      <c r="R881" s="12">
        <f>SUMIFS(BASE!$G:$G,BASE!$B:$B,$B881,BASE!$L:$L,$G881,BASE!$J:$J,$C881,BASE!$A:$A,R$2)</f>
        <v>0</v>
      </c>
      <c r="S881" s="12">
        <f>SUMIFS(BASE!$G:$G,BASE!$B:$B,$B881,BASE!$L:$L,$G881,BASE!$J:$J,$C881,BASE!$A:$A,S$2)</f>
        <v>0</v>
      </c>
      <c r="T881" s="12">
        <f>SUMIFS(BASE!$G:$G,BASE!$B:$B,$B881,BASE!$L:$L,$G881,BASE!$J:$J,$C881,BASE!$A:$A,T$2)</f>
        <v>0</v>
      </c>
      <c r="U881" s="12">
        <f>SUMIFS(BASE!$G:$G,BASE!$B:$B,$B881,BASE!$L:$L,$G881,BASE!$J:$J,$C881,BASE!$A:$A,U$2)</f>
        <v>0</v>
      </c>
      <c r="V881" s="12">
        <f>SUMIFS(BASE!$G:$G,BASE!$B:$B,$B881,BASE!$L:$L,$G881,BASE!$J:$J,$C881,BASE!$A:$A,V$2)</f>
        <v>0</v>
      </c>
      <c r="X881" t="str">
        <f t="shared" si="27"/>
        <v>ZERADO</v>
      </c>
    </row>
    <row r="882" spans="2:24">
      <c r="B882" s="8" t="s">
        <v>1829</v>
      </c>
      <c r="C882" s="9" t="s">
        <v>95</v>
      </c>
      <c r="D882" s="9" t="s">
        <v>1811</v>
      </c>
      <c r="E882" s="9" t="s">
        <v>1812</v>
      </c>
      <c r="F882" s="9" t="s">
        <v>1830</v>
      </c>
      <c r="G882" s="9" t="s">
        <v>58</v>
      </c>
      <c r="H882" s="7" t="str">
        <f>IFERROR(IF(_xlfn.XLOOKUP(B882,REPASSE!D:D,REPASSE!D:D)="","Não","Sim"),"Não")</f>
        <v>Não</v>
      </c>
      <c r="I882" s="7" t="str">
        <f>IF(_xlfn.XLOOKUP(B882,'BOOST LIBERADO'!B:B,'BOOST LIBERADO'!B:B,"Não")="Não","Não","Sim")</f>
        <v>Sim</v>
      </c>
      <c r="J882" s="83" t="str">
        <f t="shared" si="26"/>
        <v>Sim</v>
      </c>
      <c r="K882" s="12">
        <f>SUMIFS(BASE!$G:$G,BASE!$B:$B,$B882,BASE!$L:$L,$G882,BASE!$J:$J,$C882,BASE!$A:$A,K$2)</f>
        <v>0</v>
      </c>
      <c r="L882" s="12">
        <f>SUMIFS(BASE!$G:$G,BASE!$B:$B,$B882,BASE!$L:$L,$G882,BASE!$J:$J,$C882,BASE!$A:$A,L$2)</f>
        <v>0</v>
      </c>
      <c r="M882" s="12">
        <f>SUMIFS(BASE!$G:$G,BASE!$B:$B,$B882,BASE!$L:$L,$G882,BASE!$J:$J,$C882,BASE!$A:$A,M$2)</f>
        <v>0</v>
      </c>
      <c r="N882" s="12">
        <f>SUMIFS(BASE!$G:$G,BASE!$B:$B,$B882,BASE!$L:$L,$G882,BASE!$J:$J,$C882,BASE!$A:$A,N$2)</f>
        <v>0</v>
      </c>
      <c r="O882" s="12">
        <f>SUMIFS(BASE!$G:$G,BASE!$B:$B,$B882,BASE!$L:$L,$G882,BASE!$J:$J,$C882,BASE!$A:$A,O$2)</f>
        <v>0</v>
      </c>
      <c r="P882" s="12">
        <f>SUMIFS(BASE!$G:$G,BASE!$B:$B,$B882,BASE!$L:$L,$G882,BASE!$J:$J,$C882,BASE!$A:$A,P$2)</f>
        <v>0</v>
      </c>
      <c r="Q882" s="12">
        <f>SUMIFS(BASE!$G:$G,BASE!$B:$B,$B882,BASE!$L:$L,$G882,BASE!$J:$J,$C882,BASE!$A:$A,Q$2)</f>
        <v>1</v>
      </c>
      <c r="R882" s="12">
        <f>SUMIFS(BASE!$G:$G,BASE!$B:$B,$B882,BASE!$L:$L,$G882,BASE!$J:$J,$C882,BASE!$A:$A,R$2)</f>
        <v>1</v>
      </c>
      <c r="S882" s="12">
        <f>SUMIFS(BASE!$G:$G,BASE!$B:$B,$B882,BASE!$L:$L,$G882,BASE!$J:$J,$C882,BASE!$A:$A,S$2)</f>
        <v>0</v>
      </c>
      <c r="T882" s="12">
        <f>SUMIFS(BASE!$G:$G,BASE!$B:$B,$B882,BASE!$L:$L,$G882,BASE!$J:$J,$C882,BASE!$A:$A,T$2)</f>
        <v>0</v>
      </c>
      <c r="U882" s="12">
        <f>SUMIFS(BASE!$G:$G,BASE!$B:$B,$B882,BASE!$L:$L,$G882,BASE!$J:$J,$C882,BASE!$A:$A,U$2)</f>
        <v>0</v>
      </c>
      <c r="V882" s="12">
        <f>SUMIFS(BASE!$G:$G,BASE!$B:$B,$B882,BASE!$L:$L,$G882,BASE!$J:$J,$C882,BASE!$A:$A,V$2)</f>
        <v>0</v>
      </c>
      <c r="X882" t="str">
        <f t="shared" si="27"/>
        <v>COM TROCAS</v>
      </c>
    </row>
    <row r="883" spans="2:24">
      <c r="B883" s="8" t="s">
        <v>1831</v>
      </c>
      <c r="C883" s="9" t="s">
        <v>95</v>
      </c>
      <c r="D883" s="9" t="s">
        <v>1811</v>
      </c>
      <c r="E883" s="9" t="s">
        <v>1812</v>
      </c>
      <c r="F883" s="9" t="s">
        <v>1832</v>
      </c>
      <c r="G883" s="9" t="s">
        <v>58</v>
      </c>
      <c r="H883" s="7" t="str">
        <f>IFERROR(IF(_xlfn.XLOOKUP(B883,REPASSE!D:D,REPASSE!D:D)="","Não","Sim"),"Não")</f>
        <v>Não</v>
      </c>
      <c r="I883" s="7" t="str">
        <f>IF(_xlfn.XLOOKUP(B883,'BOOST LIBERADO'!B:B,'BOOST LIBERADO'!B:B,"Não")="Não","Não","Sim")</f>
        <v>Sim</v>
      </c>
      <c r="J883" s="83" t="str">
        <f t="shared" si="26"/>
        <v>Sim</v>
      </c>
      <c r="K883" s="12">
        <f>SUMIFS(BASE!$G:$G,BASE!$B:$B,$B883,BASE!$L:$L,$G883,BASE!$J:$J,$C883,BASE!$A:$A,K$2)</f>
        <v>1</v>
      </c>
      <c r="L883" s="12">
        <f>SUMIFS(BASE!$G:$G,BASE!$B:$B,$B883,BASE!$L:$L,$G883,BASE!$J:$J,$C883,BASE!$A:$A,L$2)</f>
        <v>0</v>
      </c>
      <c r="M883" s="12">
        <f>SUMIFS(BASE!$G:$G,BASE!$B:$B,$B883,BASE!$L:$L,$G883,BASE!$J:$J,$C883,BASE!$A:$A,M$2)</f>
        <v>0</v>
      </c>
      <c r="N883" s="12">
        <f>SUMIFS(BASE!$G:$G,BASE!$B:$B,$B883,BASE!$L:$L,$G883,BASE!$J:$J,$C883,BASE!$A:$A,N$2)</f>
        <v>0</v>
      </c>
      <c r="O883" s="12">
        <f>SUMIFS(BASE!$G:$G,BASE!$B:$B,$B883,BASE!$L:$L,$G883,BASE!$J:$J,$C883,BASE!$A:$A,O$2)</f>
        <v>0</v>
      </c>
      <c r="P883" s="12">
        <f>SUMIFS(BASE!$G:$G,BASE!$B:$B,$B883,BASE!$L:$L,$G883,BASE!$J:$J,$C883,BASE!$A:$A,P$2)</f>
        <v>0</v>
      </c>
      <c r="Q883" s="12">
        <f>SUMIFS(BASE!$G:$G,BASE!$B:$B,$B883,BASE!$L:$L,$G883,BASE!$J:$J,$C883,BASE!$A:$A,Q$2)</f>
        <v>0</v>
      </c>
      <c r="R883" s="12">
        <f>SUMIFS(BASE!$G:$G,BASE!$B:$B,$B883,BASE!$L:$L,$G883,BASE!$J:$J,$C883,BASE!$A:$A,R$2)</f>
        <v>4</v>
      </c>
      <c r="S883" s="12">
        <f>SUMIFS(BASE!$G:$G,BASE!$B:$B,$B883,BASE!$L:$L,$G883,BASE!$J:$J,$C883,BASE!$A:$A,S$2)</f>
        <v>0</v>
      </c>
      <c r="T883" s="12">
        <f>SUMIFS(BASE!$G:$G,BASE!$B:$B,$B883,BASE!$L:$L,$G883,BASE!$J:$J,$C883,BASE!$A:$A,T$2)</f>
        <v>0</v>
      </c>
      <c r="U883" s="12">
        <f>SUMIFS(BASE!$G:$G,BASE!$B:$B,$B883,BASE!$L:$L,$G883,BASE!$J:$J,$C883,BASE!$A:$A,U$2)</f>
        <v>0</v>
      </c>
      <c r="V883" s="12">
        <f>SUMIFS(BASE!$G:$G,BASE!$B:$B,$B883,BASE!$L:$L,$G883,BASE!$J:$J,$C883,BASE!$A:$A,V$2)</f>
        <v>0</v>
      </c>
      <c r="X883" t="str">
        <f t="shared" si="27"/>
        <v>COM TROCAS</v>
      </c>
    </row>
    <row r="884" spans="2:24">
      <c r="B884" s="8" t="s">
        <v>1833</v>
      </c>
      <c r="C884" s="9" t="s">
        <v>95</v>
      </c>
      <c r="D884" s="9" t="s">
        <v>1811</v>
      </c>
      <c r="E884" s="9" t="s">
        <v>1812</v>
      </c>
      <c r="F884" s="9" t="s">
        <v>1834</v>
      </c>
      <c r="G884" s="9" t="s">
        <v>58</v>
      </c>
      <c r="H884" s="7" t="str">
        <f>IFERROR(IF(_xlfn.XLOOKUP(B884,REPASSE!D:D,REPASSE!D:D)="","Não","Sim"),"Não")</f>
        <v>Não</v>
      </c>
      <c r="I884" s="7" t="str">
        <f>IF(_xlfn.XLOOKUP(B884,'BOOST LIBERADO'!B:B,'BOOST LIBERADO'!B:B,"Não")="Não","Não","Sim")</f>
        <v>Sim</v>
      </c>
      <c r="J884" s="83" t="str">
        <f t="shared" si="26"/>
        <v>Sim</v>
      </c>
      <c r="K884" s="12">
        <f>SUMIFS(BASE!$G:$G,BASE!$B:$B,$B884,BASE!$L:$L,$G884,BASE!$J:$J,$C884,BASE!$A:$A,K$2)</f>
        <v>0</v>
      </c>
      <c r="L884" s="12">
        <f>SUMIFS(BASE!$G:$G,BASE!$B:$B,$B884,BASE!$L:$L,$G884,BASE!$J:$J,$C884,BASE!$A:$A,L$2)</f>
        <v>0</v>
      </c>
      <c r="M884" s="12">
        <f>SUMIFS(BASE!$G:$G,BASE!$B:$B,$B884,BASE!$L:$L,$G884,BASE!$J:$J,$C884,BASE!$A:$A,M$2)</f>
        <v>0</v>
      </c>
      <c r="N884" s="12">
        <f>SUMIFS(BASE!$G:$G,BASE!$B:$B,$B884,BASE!$L:$L,$G884,BASE!$J:$J,$C884,BASE!$A:$A,N$2)</f>
        <v>0</v>
      </c>
      <c r="O884" s="12">
        <f>SUMIFS(BASE!$G:$G,BASE!$B:$B,$B884,BASE!$L:$L,$G884,BASE!$J:$J,$C884,BASE!$A:$A,O$2)</f>
        <v>0</v>
      </c>
      <c r="P884" s="12">
        <f>SUMIFS(BASE!$G:$G,BASE!$B:$B,$B884,BASE!$L:$L,$G884,BASE!$J:$J,$C884,BASE!$A:$A,P$2)</f>
        <v>0</v>
      </c>
      <c r="Q884" s="12">
        <f>SUMIFS(BASE!$G:$G,BASE!$B:$B,$B884,BASE!$L:$L,$G884,BASE!$J:$J,$C884,BASE!$A:$A,Q$2)</f>
        <v>0</v>
      </c>
      <c r="R884" s="12">
        <f>SUMIFS(BASE!$G:$G,BASE!$B:$B,$B884,BASE!$L:$L,$G884,BASE!$J:$J,$C884,BASE!$A:$A,R$2)</f>
        <v>0</v>
      </c>
      <c r="S884" s="12">
        <f>SUMIFS(BASE!$G:$G,BASE!$B:$B,$B884,BASE!$L:$L,$G884,BASE!$J:$J,$C884,BASE!$A:$A,S$2)</f>
        <v>0</v>
      </c>
      <c r="T884" s="12">
        <f>SUMIFS(BASE!$G:$G,BASE!$B:$B,$B884,BASE!$L:$L,$G884,BASE!$J:$J,$C884,BASE!$A:$A,T$2)</f>
        <v>0</v>
      </c>
      <c r="U884" s="12">
        <f>SUMIFS(BASE!$G:$G,BASE!$B:$B,$B884,BASE!$L:$L,$G884,BASE!$J:$J,$C884,BASE!$A:$A,U$2)</f>
        <v>0</v>
      </c>
      <c r="V884" s="12">
        <f>SUMIFS(BASE!$G:$G,BASE!$B:$B,$B884,BASE!$L:$L,$G884,BASE!$J:$J,$C884,BASE!$A:$A,V$2)</f>
        <v>0</v>
      </c>
      <c r="X884" t="str">
        <f t="shared" si="27"/>
        <v>ZERADO</v>
      </c>
    </row>
    <row r="885" spans="2:24">
      <c r="B885" s="8" t="s">
        <v>1835</v>
      </c>
      <c r="C885" s="9" t="s">
        <v>124</v>
      </c>
      <c r="D885" s="9" t="s">
        <v>1836</v>
      </c>
      <c r="E885" s="9" t="s">
        <v>1812</v>
      </c>
      <c r="F885" s="9" t="s">
        <v>1837</v>
      </c>
      <c r="G885" s="9" t="s">
        <v>58</v>
      </c>
      <c r="H885" s="7" t="str">
        <f>IFERROR(IF(_xlfn.XLOOKUP(B885,REPASSE!D:D,REPASSE!D:D)="","Não","Sim"),"Não")</f>
        <v>Não</v>
      </c>
      <c r="I885" s="7" t="str">
        <f>IF(_xlfn.XLOOKUP(B885,'BOOST LIBERADO'!B:B,'BOOST LIBERADO'!B:B,"Não")="Não","Não","Sim")</f>
        <v>Sim</v>
      </c>
      <c r="J885" s="83" t="str">
        <f t="shared" si="26"/>
        <v>Sim</v>
      </c>
      <c r="K885" s="12">
        <f>SUMIFS(BASE!$G:$G,BASE!$B:$B,$B885,BASE!$L:$L,$G885,BASE!$J:$J,$C885,BASE!$A:$A,K$2)</f>
        <v>0</v>
      </c>
      <c r="L885" s="12">
        <f>SUMIFS(BASE!$G:$G,BASE!$B:$B,$B885,BASE!$L:$L,$G885,BASE!$J:$J,$C885,BASE!$A:$A,L$2)</f>
        <v>0</v>
      </c>
      <c r="M885" s="12">
        <f>SUMIFS(BASE!$G:$G,BASE!$B:$B,$B885,BASE!$L:$L,$G885,BASE!$J:$J,$C885,BASE!$A:$A,M$2)</f>
        <v>0</v>
      </c>
      <c r="N885" s="12">
        <f>SUMIFS(BASE!$G:$G,BASE!$B:$B,$B885,BASE!$L:$L,$G885,BASE!$J:$J,$C885,BASE!$A:$A,N$2)</f>
        <v>0</v>
      </c>
      <c r="O885" s="12">
        <f>SUMIFS(BASE!$G:$G,BASE!$B:$B,$B885,BASE!$L:$L,$G885,BASE!$J:$J,$C885,BASE!$A:$A,O$2)</f>
        <v>0</v>
      </c>
      <c r="P885" s="12">
        <f>SUMIFS(BASE!$G:$G,BASE!$B:$B,$B885,BASE!$L:$L,$G885,BASE!$J:$J,$C885,BASE!$A:$A,P$2)</f>
        <v>0</v>
      </c>
      <c r="Q885" s="12">
        <f>SUMIFS(BASE!$G:$G,BASE!$B:$B,$B885,BASE!$L:$L,$G885,BASE!$J:$J,$C885,BASE!$A:$A,Q$2)</f>
        <v>3</v>
      </c>
      <c r="R885" s="12">
        <f>SUMIFS(BASE!$G:$G,BASE!$B:$B,$B885,BASE!$L:$L,$G885,BASE!$J:$J,$C885,BASE!$A:$A,R$2)</f>
        <v>0</v>
      </c>
      <c r="S885" s="12">
        <f>SUMIFS(BASE!$G:$G,BASE!$B:$B,$B885,BASE!$L:$L,$G885,BASE!$J:$J,$C885,BASE!$A:$A,S$2)</f>
        <v>0</v>
      </c>
      <c r="T885" s="12">
        <f>SUMIFS(BASE!$G:$G,BASE!$B:$B,$B885,BASE!$L:$L,$G885,BASE!$J:$J,$C885,BASE!$A:$A,T$2)</f>
        <v>0</v>
      </c>
      <c r="U885" s="12">
        <f>SUMIFS(BASE!$G:$G,BASE!$B:$B,$B885,BASE!$L:$L,$G885,BASE!$J:$J,$C885,BASE!$A:$A,U$2)</f>
        <v>0</v>
      </c>
      <c r="V885" s="12">
        <f>SUMIFS(BASE!$G:$G,BASE!$B:$B,$B885,BASE!$L:$L,$G885,BASE!$J:$J,$C885,BASE!$A:$A,V$2)</f>
        <v>0</v>
      </c>
      <c r="X885" t="str">
        <f t="shared" si="27"/>
        <v>ZERADO</v>
      </c>
    </row>
    <row r="886" spans="2:24">
      <c r="B886" s="8" t="s">
        <v>1838</v>
      </c>
      <c r="C886" s="9" t="s">
        <v>124</v>
      </c>
      <c r="D886" s="9" t="s">
        <v>1836</v>
      </c>
      <c r="E886" s="9" t="s">
        <v>1812</v>
      </c>
      <c r="F886" s="9" t="s">
        <v>1839</v>
      </c>
      <c r="G886" s="9" t="s">
        <v>58</v>
      </c>
      <c r="H886" s="7" t="str">
        <f>IFERROR(IF(_xlfn.XLOOKUP(B886,REPASSE!D:D,REPASSE!D:D)="","Não","Sim"),"Não")</f>
        <v>Não</v>
      </c>
      <c r="I886" s="7" t="str">
        <f>IF(_xlfn.XLOOKUP(B886,'BOOST LIBERADO'!B:B,'BOOST LIBERADO'!B:B,"Não")="Não","Não","Sim")</f>
        <v>Sim</v>
      </c>
      <c r="J886" s="83" t="str">
        <f t="shared" si="26"/>
        <v>Sim</v>
      </c>
      <c r="K886" s="12">
        <f>SUMIFS(BASE!$G:$G,BASE!$B:$B,$B886,BASE!$L:$L,$G886,BASE!$J:$J,$C886,BASE!$A:$A,K$2)</f>
        <v>3</v>
      </c>
      <c r="L886" s="12">
        <f>SUMIFS(BASE!$G:$G,BASE!$B:$B,$B886,BASE!$L:$L,$G886,BASE!$J:$J,$C886,BASE!$A:$A,L$2)</f>
        <v>3</v>
      </c>
      <c r="M886" s="12">
        <f>SUMIFS(BASE!$G:$G,BASE!$B:$B,$B886,BASE!$L:$L,$G886,BASE!$J:$J,$C886,BASE!$A:$A,M$2)</f>
        <v>0</v>
      </c>
      <c r="N886" s="12">
        <f>SUMIFS(BASE!$G:$G,BASE!$B:$B,$B886,BASE!$L:$L,$G886,BASE!$J:$J,$C886,BASE!$A:$A,N$2)</f>
        <v>1</v>
      </c>
      <c r="O886" s="12">
        <f>SUMIFS(BASE!$G:$G,BASE!$B:$B,$B886,BASE!$L:$L,$G886,BASE!$J:$J,$C886,BASE!$A:$A,O$2)</f>
        <v>1</v>
      </c>
      <c r="P886" s="12">
        <f>SUMIFS(BASE!$G:$G,BASE!$B:$B,$B886,BASE!$L:$L,$G886,BASE!$J:$J,$C886,BASE!$A:$A,P$2)</f>
        <v>1</v>
      </c>
      <c r="Q886" s="12">
        <f>SUMIFS(BASE!$G:$G,BASE!$B:$B,$B886,BASE!$L:$L,$G886,BASE!$J:$J,$C886,BASE!$A:$A,Q$2)</f>
        <v>6</v>
      </c>
      <c r="R886" s="12">
        <f>SUMIFS(BASE!$G:$G,BASE!$B:$B,$B886,BASE!$L:$L,$G886,BASE!$J:$J,$C886,BASE!$A:$A,R$2)</f>
        <v>9</v>
      </c>
      <c r="S886" s="12">
        <f>SUMIFS(BASE!$G:$G,BASE!$B:$B,$B886,BASE!$L:$L,$G886,BASE!$J:$J,$C886,BASE!$A:$A,S$2)</f>
        <v>0</v>
      </c>
      <c r="T886" s="12">
        <f>SUMIFS(BASE!$G:$G,BASE!$B:$B,$B886,BASE!$L:$L,$G886,BASE!$J:$J,$C886,BASE!$A:$A,T$2)</f>
        <v>0</v>
      </c>
      <c r="U886" s="12">
        <f>SUMIFS(BASE!$G:$G,BASE!$B:$B,$B886,BASE!$L:$L,$G886,BASE!$J:$J,$C886,BASE!$A:$A,U$2)</f>
        <v>0</v>
      </c>
      <c r="V886" s="12">
        <f>SUMIFS(BASE!$G:$G,BASE!$B:$B,$B886,BASE!$L:$L,$G886,BASE!$J:$J,$C886,BASE!$A:$A,V$2)</f>
        <v>0</v>
      </c>
      <c r="X886" t="str">
        <f t="shared" si="27"/>
        <v>COM TROCAS</v>
      </c>
    </row>
    <row r="887" spans="2:24">
      <c r="B887" s="8" t="s">
        <v>1840</v>
      </c>
      <c r="C887" s="9" t="s">
        <v>124</v>
      </c>
      <c r="D887" s="9" t="s">
        <v>1836</v>
      </c>
      <c r="E887" s="9" t="s">
        <v>1812</v>
      </c>
      <c r="F887" s="9" t="s">
        <v>1839</v>
      </c>
      <c r="G887" s="9" t="s">
        <v>58</v>
      </c>
      <c r="H887" s="7" t="str">
        <f>IFERROR(IF(_xlfn.XLOOKUP(B887,REPASSE!D:D,REPASSE!D:D)="","Não","Sim"),"Não")</f>
        <v>Não</v>
      </c>
      <c r="I887" s="7" t="str">
        <f>IF(_xlfn.XLOOKUP(B887,'BOOST LIBERADO'!B:B,'BOOST LIBERADO'!B:B,"Não")="Não","Não","Sim")</f>
        <v>Sim</v>
      </c>
      <c r="J887" s="83" t="str">
        <f t="shared" si="26"/>
        <v>Sim</v>
      </c>
      <c r="K887" s="12">
        <f>SUMIFS(BASE!$G:$G,BASE!$B:$B,$B887,BASE!$L:$L,$G887,BASE!$J:$J,$C887,BASE!$A:$A,K$2)</f>
        <v>0</v>
      </c>
      <c r="L887" s="12">
        <f>SUMIFS(BASE!$G:$G,BASE!$B:$B,$B887,BASE!$L:$L,$G887,BASE!$J:$J,$C887,BASE!$A:$A,L$2)</f>
        <v>0</v>
      </c>
      <c r="M887" s="12">
        <f>SUMIFS(BASE!$G:$G,BASE!$B:$B,$B887,BASE!$L:$L,$G887,BASE!$J:$J,$C887,BASE!$A:$A,M$2)</f>
        <v>9</v>
      </c>
      <c r="N887" s="12">
        <f>SUMIFS(BASE!$G:$G,BASE!$B:$B,$B887,BASE!$L:$L,$G887,BASE!$J:$J,$C887,BASE!$A:$A,N$2)</f>
        <v>5</v>
      </c>
      <c r="O887" s="12">
        <f>SUMIFS(BASE!$G:$G,BASE!$B:$B,$B887,BASE!$L:$L,$G887,BASE!$J:$J,$C887,BASE!$A:$A,O$2)</f>
        <v>8</v>
      </c>
      <c r="P887" s="12">
        <f>SUMIFS(BASE!$G:$G,BASE!$B:$B,$B887,BASE!$L:$L,$G887,BASE!$J:$J,$C887,BASE!$A:$A,P$2)</f>
        <v>5</v>
      </c>
      <c r="Q887" s="12">
        <f>SUMIFS(BASE!$G:$G,BASE!$B:$B,$B887,BASE!$L:$L,$G887,BASE!$J:$J,$C887,BASE!$A:$A,Q$2)</f>
        <v>13</v>
      </c>
      <c r="R887" s="12">
        <f>SUMIFS(BASE!$G:$G,BASE!$B:$B,$B887,BASE!$L:$L,$G887,BASE!$J:$J,$C887,BASE!$A:$A,R$2)</f>
        <v>3</v>
      </c>
      <c r="S887" s="12">
        <f>SUMIFS(BASE!$G:$G,BASE!$B:$B,$B887,BASE!$L:$L,$G887,BASE!$J:$J,$C887,BASE!$A:$A,S$2)</f>
        <v>0</v>
      </c>
      <c r="T887" s="12">
        <f>SUMIFS(BASE!$G:$G,BASE!$B:$B,$B887,BASE!$L:$L,$G887,BASE!$J:$J,$C887,BASE!$A:$A,T$2)</f>
        <v>0</v>
      </c>
      <c r="U887" s="12">
        <f>SUMIFS(BASE!$G:$G,BASE!$B:$B,$B887,BASE!$L:$L,$G887,BASE!$J:$J,$C887,BASE!$A:$A,U$2)</f>
        <v>0</v>
      </c>
      <c r="V887" s="12">
        <f>SUMIFS(BASE!$G:$G,BASE!$B:$B,$B887,BASE!$L:$L,$G887,BASE!$J:$J,$C887,BASE!$A:$A,V$2)</f>
        <v>0</v>
      </c>
      <c r="X887" t="str">
        <f t="shared" si="27"/>
        <v>COM TROCAS</v>
      </c>
    </row>
    <row r="888" spans="2:24">
      <c r="B888" s="8" t="s">
        <v>1841</v>
      </c>
      <c r="C888" s="9" t="s">
        <v>124</v>
      </c>
      <c r="D888" s="9" t="s">
        <v>1836</v>
      </c>
      <c r="E888" s="9" t="s">
        <v>1812</v>
      </c>
      <c r="F888" s="9" t="s">
        <v>1842</v>
      </c>
      <c r="G888" s="9" t="s">
        <v>58</v>
      </c>
      <c r="H888" s="7" t="str">
        <f>IFERROR(IF(_xlfn.XLOOKUP(B888,REPASSE!D:D,REPASSE!D:D)="","Não","Sim"),"Não")</f>
        <v>Não</v>
      </c>
      <c r="I888" s="7" t="str">
        <f>IF(_xlfn.XLOOKUP(B888,'BOOST LIBERADO'!B:B,'BOOST LIBERADO'!B:B,"Não")="Não","Não","Sim")</f>
        <v>Sim</v>
      </c>
      <c r="J888" s="83" t="str">
        <f t="shared" si="26"/>
        <v>Sim</v>
      </c>
      <c r="K888" s="12">
        <f>SUMIFS(BASE!$G:$G,BASE!$B:$B,$B888,BASE!$L:$L,$G888,BASE!$J:$J,$C888,BASE!$A:$A,K$2)</f>
        <v>0</v>
      </c>
      <c r="L888" s="12">
        <f>SUMIFS(BASE!$G:$G,BASE!$B:$B,$B888,BASE!$L:$L,$G888,BASE!$J:$J,$C888,BASE!$A:$A,L$2)</f>
        <v>0</v>
      </c>
      <c r="M888" s="12">
        <f>SUMIFS(BASE!$G:$G,BASE!$B:$B,$B888,BASE!$L:$L,$G888,BASE!$J:$J,$C888,BASE!$A:$A,M$2)</f>
        <v>0</v>
      </c>
      <c r="N888" s="12">
        <f>SUMIFS(BASE!$G:$G,BASE!$B:$B,$B888,BASE!$L:$L,$G888,BASE!$J:$J,$C888,BASE!$A:$A,N$2)</f>
        <v>0</v>
      </c>
      <c r="O888" s="12">
        <f>SUMIFS(BASE!$G:$G,BASE!$B:$B,$B888,BASE!$L:$L,$G888,BASE!$J:$J,$C888,BASE!$A:$A,O$2)</f>
        <v>0</v>
      </c>
      <c r="P888" s="12">
        <f>SUMIFS(BASE!$G:$G,BASE!$B:$B,$B888,BASE!$L:$L,$G888,BASE!$J:$J,$C888,BASE!$A:$A,P$2)</f>
        <v>0</v>
      </c>
      <c r="Q888" s="12">
        <f>SUMIFS(BASE!$G:$G,BASE!$B:$B,$B888,BASE!$L:$L,$G888,BASE!$J:$J,$C888,BASE!$A:$A,Q$2)</f>
        <v>2</v>
      </c>
      <c r="R888" s="12">
        <f>SUMIFS(BASE!$G:$G,BASE!$B:$B,$B888,BASE!$L:$L,$G888,BASE!$J:$J,$C888,BASE!$A:$A,R$2)</f>
        <v>1</v>
      </c>
      <c r="S888" s="12">
        <f>SUMIFS(BASE!$G:$G,BASE!$B:$B,$B888,BASE!$L:$L,$G888,BASE!$J:$J,$C888,BASE!$A:$A,S$2)</f>
        <v>0</v>
      </c>
      <c r="T888" s="12">
        <f>SUMIFS(BASE!$G:$G,BASE!$B:$B,$B888,BASE!$L:$L,$G888,BASE!$J:$J,$C888,BASE!$A:$A,T$2)</f>
        <v>0</v>
      </c>
      <c r="U888" s="12">
        <f>SUMIFS(BASE!$G:$G,BASE!$B:$B,$B888,BASE!$L:$L,$G888,BASE!$J:$J,$C888,BASE!$A:$A,U$2)</f>
        <v>0</v>
      </c>
      <c r="V888" s="12">
        <f>SUMIFS(BASE!$G:$G,BASE!$B:$B,$B888,BASE!$L:$L,$G888,BASE!$J:$J,$C888,BASE!$A:$A,V$2)</f>
        <v>0</v>
      </c>
      <c r="X888" t="str">
        <f t="shared" si="27"/>
        <v>COM TROCAS</v>
      </c>
    </row>
    <row r="889" spans="2:24">
      <c r="B889" s="8" t="s">
        <v>1843</v>
      </c>
      <c r="C889" s="9" t="s">
        <v>124</v>
      </c>
      <c r="D889" s="9" t="s">
        <v>1836</v>
      </c>
      <c r="E889" s="9" t="s">
        <v>1812</v>
      </c>
      <c r="F889" s="9" t="s">
        <v>1844</v>
      </c>
      <c r="G889" s="9" t="s">
        <v>58</v>
      </c>
      <c r="H889" s="7" t="str">
        <f>IFERROR(IF(_xlfn.XLOOKUP(B889,REPASSE!D:D,REPASSE!D:D)="","Não","Sim"),"Não")</f>
        <v>Não</v>
      </c>
      <c r="I889" s="7" t="str">
        <f>IF(_xlfn.XLOOKUP(B889,'BOOST LIBERADO'!B:B,'BOOST LIBERADO'!B:B,"Não")="Não","Não","Sim")</f>
        <v>Sim</v>
      </c>
      <c r="J889" s="83" t="str">
        <f t="shared" si="26"/>
        <v>Sim</v>
      </c>
      <c r="K889" s="12">
        <f>SUMIFS(BASE!$G:$G,BASE!$B:$B,$B889,BASE!$L:$L,$G889,BASE!$J:$J,$C889,BASE!$A:$A,K$2)</f>
        <v>0</v>
      </c>
      <c r="L889" s="12">
        <f>SUMIFS(BASE!$G:$G,BASE!$B:$B,$B889,BASE!$L:$L,$G889,BASE!$J:$J,$C889,BASE!$A:$A,L$2)</f>
        <v>0</v>
      </c>
      <c r="M889" s="12">
        <f>SUMIFS(BASE!$G:$G,BASE!$B:$B,$B889,BASE!$L:$L,$G889,BASE!$J:$J,$C889,BASE!$A:$A,M$2)</f>
        <v>0</v>
      </c>
      <c r="N889" s="12">
        <f>SUMIFS(BASE!$G:$G,BASE!$B:$B,$B889,BASE!$L:$L,$G889,BASE!$J:$J,$C889,BASE!$A:$A,N$2)</f>
        <v>0</v>
      </c>
      <c r="O889" s="12">
        <f>SUMIFS(BASE!$G:$G,BASE!$B:$B,$B889,BASE!$L:$L,$G889,BASE!$J:$J,$C889,BASE!$A:$A,O$2)</f>
        <v>0</v>
      </c>
      <c r="P889" s="12">
        <f>SUMIFS(BASE!$G:$G,BASE!$B:$B,$B889,BASE!$L:$L,$G889,BASE!$J:$J,$C889,BASE!$A:$A,P$2)</f>
        <v>0</v>
      </c>
      <c r="Q889" s="12">
        <f>SUMIFS(BASE!$G:$G,BASE!$B:$B,$B889,BASE!$L:$L,$G889,BASE!$J:$J,$C889,BASE!$A:$A,Q$2)</f>
        <v>1</v>
      </c>
      <c r="R889" s="12">
        <f>SUMIFS(BASE!$G:$G,BASE!$B:$B,$B889,BASE!$L:$L,$G889,BASE!$J:$J,$C889,BASE!$A:$A,R$2)</f>
        <v>1</v>
      </c>
      <c r="S889" s="12">
        <f>SUMIFS(BASE!$G:$G,BASE!$B:$B,$B889,BASE!$L:$L,$G889,BASE!$J:$J,$C889,BASE!$A:$A,S$2)</f>
        <v>0</v>
      </c>
      <c r="T889" s="12">
        <f>SUMIFS(BASE!$G:$G,BASE!$B:$B,$B889,BASE!$L:$L,$G889,BASE!$J:$J,$C889,BASE!$A:$A,T$2)</f>
        <v>0</v>
      </c>
      <c r="U889" s="12">
        <f>SUMIFS(BASE!$G:$G,BASE!$B:$B,$B889,BASE!$L:$L,$G889,BASE!$J:$J,$C889,BASE!$A:$A,U$2)</f>
        <v>0</v>
      </c>
      <c r="V889" s="12">
        <f>SUMIFS(BASE!$G:$G,BASE!$B:$B,$B889,BASE!$L:$L,$G889,BASE!$J:$J,$C889,BASE!$A:$A,V$2)</f>
        <v>0</v>
      </c>
      <c r="X889" t="str">
        <f t="shared" si="27"/>
        <v>COM TROCAS</v>
      </c>
    </row>
    <row r="890" spans="2:24">
      <c r="B890" s="8" t="s">
        <v>1845</v>
      </c>
      <c r="C890" s="9" t="s">
        <v>106</v>
      </c>
      <c r="D890" s="9" t="s">
        <v>1846</v>
      </c>
      <c r="E890" s="9" t="s">
        <v>1796</v>
      </c>
      <c r="F890" s="9" t="s">
        <v>1847</v>
      </c>
      <c r="G890" s="9" t="s">
        <v>57</v>
      </c>
      <c r="H890" s="7" t="str">
        <f>IFERROR(IF(_xlfn.XLOOKUP(B890,REPASSE!D:D,REPASSE!D:D)="","Não","Sim"),"Não")</f>
        <v>Não</v>
      </c>
      <c r="I890" s="7" t="str">
        <f>IF(_xlfn.XLOOKUP(B890,'BOOST LIBERADO'!B:B,'BOOST LIBERADO'!B:B,"Não")="Não","Não","Sim")</f>
        <v>Sim</v>
      </c>
      <c r="J890" s="83" t="str">
        <f t="shared" si="26"/>
        <v>Sim</v>
      </c>
      <c r="K890" s="12">
        <f>SUMIFS(BASE!$G:$G,BASE!$B:$B,$B890,BASE!$L:$L,$G890,BASE!$J:$J,$C890,BASE!$A:$A,K$2)</f>
        <v>0</v>
      </c>
      <c r="L890" s="12">
        <f>SUMIFS(BASE!$G:$G,BASE!$B:$B,$B890,BASE!$L:$L,$G890,BASE!$J:$J,$C890,BASE!$A:$A,L$2)</f>
        <v>0</v>
      </c>
      <c r="M890" s="12">
        <f>SUMIFS(BASE!$G:$G,BASE!$B:$B,$B890,BASE!$L:$L,$G890,BASE!$J:$J,$C890,BASE!$A:$A,M$2)</f>
        <v>0</v>
      </c>
      <c r="N890" s="12">
        <f>SUMIFS(BASE!$G:$G,BASE!$B:$B,$B890,BASE!$L:$L,$G890,BASE!$J:$J,$C890,BASE!$A:$A,N$2)</f>
        <v>0</v>
      </c>
      <c r="O890" s="12">
        <f>SUMIFS(BASE!$G:$G,BASE!$B:$B,$B890,BASE!$L:$L,$G890,BASE!$J:$J,$C890,BASE!$A:$A,O$2)</f>
        <v>0</v>
      </c>
      <c r="P890" s="12">
        <f>SUMIFS(BASE!$G:$G,BASE!$B:$B,$B890,BASE!$L:$L,$G890,BASE!$J:$J,$C890,BASE!$A:$A,P$2)</f>
        <v>0</v>
      </c>
      <c r="Q890" s="12">
        <f>SUMIFS(BASE!$G:$G,BASE!$B:$B,$B890,BASE!$L:$L,$G890,BASE!$J:$J,$C890,BASE!$A:$A,Q$2)</f>
        <v>0</v>
      </c>
      <c r="R890" s="12">
        <f>SUMIFS(BASE!$G:$G,BASE!$B:$B,$B890,BASE!$L:$L,$G890,BASE!$J:$J,$C890,BASE!$A:$A,R$2)</f>
        <v>0</v>
      </c>
      <c r="S890" s="12">
        <f>SUMIFS(BASE!$G:$G,BASE!$B:$B,$B890,BASE!$L:$L,$G890,BASE!$J:$J,$C890,BASE!$A:$A,S$2)</f>
        <v>0</v>
      </c>
      <c r="T890" s="12">
        <f>SUMIFS(BASE!$G:$G,BASE!$B:$B,$B890,BASE!$L:$L,$G890,BASE!$J:$J,$C890,BASE!$A:$A,T$2)</f>
        <v>0</v>
      </c>
      <c r="U890" s="12">
        <f>SUMIFS(BASE!$G:$G,BASE!$B:$B,$B890,BASE!$L:$L,$G890,BASE!$J:$J,$C890,BASE!$A:$A,U$2)</f>
        <v>0</v>
      </c>
      <c r="V890" s="12">
        <f>SUMIFS(BASE!$G:$G,BASE!$B:$B,$B890,BASE!$L:$L,$G890,BASE!$J:$J,$C890,BASE!$A:$A,V$2)</f>
        <v>0</v>
      </c>
      <c r="X890" t="str">
        <f t="shared" si="27"/>
        <v>ZERADO</v>
      </c>
    </row>
    <row r="891" spans="2:24">
      <c r="B891" s="8" t="s">
        <v>1848</v>
      </c>
      <c r="C891" s="9" t="s">
        <v>106</v>
      </c>
      <c r="D891" s="9" t="s">
        <v>1846</v>
      </c>
      <c r="E891" s="9" t="s">
        <v>1796</v>
      </c>
      <c r="F891" s="9" t="s">
        <v>1847</v>
      </c>
      <c r="G891" s="9" t="s">
        <v>57</v>
      </c>
      <c r="H891" s="7" t="str">
        <f>IFERROR(IF(_xlfn.XLOOKUP(B891,REPASSE!D:D,REPASSE!D:D)="","Não","Sim"),"Não")</f>
        <v>Não</v>
      </c>
      <c r="I891" s="7" t="str">
        <f>IF(_xlfn.XLOOKUP(B891,'BOOST LIBERADO'!B:B,'BOOST LIBERADO'!B:B,"Não")="Não","Não","Sim")</f>
        <v>Sim</v>
      </c>
      <c r="J891" s="83" t="str">
        <f t="shared" si="26"/>
        <v>Sim</v>
      </c>
      <c r="K891" s="12">
        <f>SUMIFS(BASE!$G:$G,BASE!$B:$B,$B891,BASE!$L:$L,$G891,BASE!$J:$J,$C891,BASE!$A:$A,K$2)</f>
        <v>0</v>
      </c>
      <c r="L891" s="12">
        <f>SUMIFS(BASE!$G:$G,BASE!$B:$B,$B891,BASE!$L:$L,$G891,BASE!$J:$J,$C891,BASE!$A:$A,L$2)</f>
        <v>0</v>
      </c>
      <c r="M891" s="12">
        <f>SUMIFS(BASE!$G:$G,BASE!$B:$B,$B891,BASE!$L:$L,$G891,BASE!$J:$J,$C891,BASE!$A:$A,M$2)</f>
        <v>0</v>
      </c>
      <c r="N891" s="12">
        <f>SUMIFS(BASE!$G:$G,BASE!$B:$B,$B891,BASE!$L:$L,$G891,BASE!$J:$J,$C891,BASE!$A:$A,N$2)</f>
        <v>0</v>
      </c>
      <c r="O891" s="12">
        <f>SUMIFS(BASE!$G:$G,BASE!$B:$B,$B891,BASE!$L:$L,$G891,BASE!$J:$J,$C891,BASE!$A:$A,O$2)</f>
        <v>0</v>
      </c>
      <c r="P891" s="12">
        <f>SUMIFS(BASE!$G:$G,BASE!$B:$B,$B891,BASE!$L:$L,$G891,BASE!$J:$J,$C891,BASE!$A:$A,P$2)</f>
        <v>1</v>
      </c>
      <c r="Q891" s="12">
        <f>SUMIFS(BASE!$G:$G,BASE!$B:$B,$B891,BASE!$L:$L,$G891,BASE!$J:$J,$C891,BASE!$A:$A,Q$2)</f>
        <v>0</v>
      </c>
      <c r="R891" s="12">
        <f>SUMIFS(BASE!$G:$G,BASE!$B:$B,$B891,BASE!$L:$L,$G891,BASE!$J:$J,$C891,BASE!$A:$A,R$2)</f>
        <v>13</v>
      </c>
      <c r="S891" s="12">
        <f>SUMIFS(BASE!$G:$G,BASE!$B:$B,$B891,BASE!$L:$L,$G891,BASE!$J:$J,$C891,BASE!$A:$A,S$2)</f>
        <v>0</v>
      </c>
      <c r="T891" s="12">
        <f>SUMIFS(BASE!$G:$G,BASE!$B:$B,$B891,BASE!$L:$L,$G891,BASE!$J:$J,$C891,BASE!$A:$A,T$2)</f>
        <v>0</v>
      </c>
      <c r="U891" s="12">
        <f>SUMIFS(BASE!$G:$G,BASE!$B:$B,$B891,BASE!$L:$L,$G891,BASE!$J:$J,$C891,BASE!$A:$A,U$2)</f>
        <v>0</v>
      </c>
      <c r="V891" s="12">
        <f>SUMIFS(BASE!$G:$G,BASE!$B:$B,$B891,BASE!$L:$L,$G891,BASE!$J:$J,$C891,BASE!$A:$A,V$2)</f>
        <v>0</v>
      </c>
      <c r="X891" t="str">
        <f t="shared" si="27"/>
        <v>COM TROCAS</v>
      </c>
    </row>
    <row r="892" spans="2:24">
      <c r="B892" s="8" t="s">
        <v>1849</v>
      </c>
      <c r="C892" s="9" t="s">
        <v>106</v>
      </c>
      <c r="D892" s="9" t="s">
        <v>1846</v>
      </c>
      <c r="E892" s="9" t="s">
        <v>1796</v>
      </c>
      <c r="F892" s="9" t="s">
        <v>1847</v>
      </c>
      <c r="G892" s="9" t="s">
        <v>57</v>
      </c>
      <c r="H892" s="7" t="str">
        <f>IFERROR(IF(_xlfn.XLOOKUP(B892,REPASSE!D:D,REPASSE!D:D)="","Não","Sim"),"Não")</f>
        <v>Não</v>
      </c>
      <c r="I892" s="7" t="str">
        <f>IF(_xlfn.XLOOKUP(B892,'BOOST LIBERADO'!B:B,'BOOST LIBERADO'!B:B,"Não")="Não","Não","Sim")</f>
        <v>Sim</v>
      </c>
      <c r="J892" s="83" t="str">
        <f t="shared" si="26"/>
        <v>Sim</v>
      </c>
      <c r="K892" s="12">
        <f>SUMIFS(BASE!$G:$G,BASE!$B:$B,$B892,BASE!$L:$L,$G892,BASE!$J:$J,$C892,BASE!$A:$A,K$2)</f>
        <v>0</v>
      </c>
      <c r="L892" s="12">
        <f>SUMIFS(BASE!$G:$G,BASE!$B:$B,$B892,BASE!$L:$L,$G892,BASE!$J:$J,$C892,BASE!$A:$A,L$2)</f>
        <v>0</v>
      </c>
      <c r="M892" s="12">
        <f>SUMIFS(BASE!$G:$G,BASE!$B:$B,$B892,BASE!$L:$L,$G892,BASE!$J:$J,$C892,BASE!$A:$A,M$2)</f>
        <v>1</v>
      </c>
      <c r="N892" s="12">
        <f>SUMIFS(BASE!$G:$G,BASE!$B:$B,$B892,BASE!$L:$L,$G892,BASE!$J:$J,$C892,BASE!$A:$A,N$2)</f>
        <v>1</v>
      </c>
      <c r="O892" s="12">
        <f>SUMIFS(BASE!$G:$G,BASE!$B:$B,$B892,BASE!$L:$L,$G892,BASE!$J:$J,$C892,BASE!$A:$A,O$2)</f>
        <v>1</v>
      </c>
      <c r="P892" s="12">
        <f>SUMIFS(BASE!$G:$G,BASE!$B:$B,$B892,BASE!$L:$L,$G892,BASE!$J:$J,$C892,BASE!$A:$A,P$2)</f>
        <v>6</v>
      </c>
      <c r="Q892" s="12">
        <f>SUMIFS(BASE!$G:$G,BASE!$B:$B,$B892,BASE!$L:$L,$G892,BASE!$J:$J,$C892,BASE!$A:$A,Q$2)</f>
        <v>5</v>
      </c>
      <c r="R892" s="12">
        <f>SUMIFS(BASE!$G:$G,BASE!$B:$B,$B892,BASE!$L:$L,$G892,BASE!$J:$J,$C892,BASE!$A:$A,R$2)</f>
        <v>2</v>
      </c>
      <c r="S892" s="12">
        <f>SUMIFS(BASE!$G:$G,BASE!$B:$B,$B892,BASE!$L:$L,$G892,BASE!$J:$J,$C892,BASE!$A:$A,S$2)</f>
        <v>0</v>
      </c>
      <c r="T892" s="12">
        <f>SUMIFS(BASE!$G:$G,BASE!$B:$B,$B892,BASE!$L:$L,$G892,BASE!$J:$J,$C892,BASE!$A:$A,T$2)</f>
        <v>0</v>
      </c>
      <c r="U892" s="12">
        <f>SUMIFS(BASE!$G:$G,BASE!$B:$B,$B892,BASE!$L:$L,$G892,BASE!$J:$J,$C892,BASE!$A:$A,U$2)</f>
        <v>0</v>
      </c>
      <c r="V892" s="12">
        <f>SUMIFS(BASE!$G:$G,BASE!$B:$B,$B892,BASE!$L:$L,$G892,BASE!$J:$J,$C892,BASE!$A:$A,V$2)</f>
        <v>0</v>
      </c>
      <c r="X892" t="str">
        <f t="shared" si="27"/>
        <v>COM TROCAS</v>
      </c>
    </row>
    <row r="893" spans="2:24">
      <c r="B893" s="8" t="s">
        <v>1850</v>
      </c>
      <c r="C893" s="9" t="s">
        <v>106</v>
      </c>
      <c r="D893" s="9" t="s">
        <v>1846</v>
      </c>
      <c r="E893" s="9" t="s">
        <v>1796</v>
      </c>
      <c r="F893" s="9" t="s">
        <v>1847</v>
      </c>
      <c r="G893" s="9" t="s">
        <v>57</v>
      </c>
      <c r="H893" s="7" t="str">
        <f>IFERROR(IF(_xlfn.XLOOKUP(B893,REPASSE!D:D,REPASSE!D:D)="","Não","Sim"),"Não")</f>
        <v>Não</v>
      </c>
      <c r="I893" s="7" t="str">
        <f>IF(_xlfn.XLOOKUP(B893,'BOOST LIBERADO'!B:B,'BOOST LIBERADO'!B:B,"Não")="Não","Não","Sim")</f>
        <v>Sim</v>
      </c>
      <c r="J893" s="83" t="str">
        <f t="shared" si="26"/>
        <v>Sim</v>
      </c>
      <c r="K893" s="12">
        <f>SUMIFS(BASE!$G:$G,BASE!$B:$B,$B893,BASE!$L:$L,$G893,BASE!$J:$J,$C893,BASE!$A:$A,K$2)</f>
        <v>0</v>
      </c>
      <c r="L893" s="12">
        <f>SUMIFS(BASE!$G:$G,BASE!$B:$B,$B893,BASE!$L:$L,$G893,BASE!$J:$J,$C893,BASE!$A:$A,L$2)</f>
        <v>0</v>
      </c>
      <c r="M893" s="12">
        <f>SUMIFS(BASE!$G:$G,BASE!$B:$B,$B893,BASE!$L:$L,$G893,BASE!$J:$J,$C893,BASE!$A:$A,M$2)</f>
        <v>0</v>
      </c>
      <c r="N893" s="12">
        <f>SUMIFS(BASE!$G:$G,BASE!$B:$B,$B893,BASE!$L:$L,$G893,BASE!$J:$J,$C893,BASE!$A:$A,N$2)</f>
        <v>0</v>
      </c>
      <c r="O893" s="12">
        <f>SUMIFS(BASE!$G:$G,BASE!$B:$B,$B893,BASE!$L:$L,$G893,BASE!$J:$J,$C893,BASE!$A:$A,O$2)</f>
        <v>3</v>
      </c>
      <c r="P893" s="12">
        <f>SUMIFS(BASE!$G:$G,BASE!$B:$B,$B893,BASE!$L:$L,$G893,BASE!$J:$J,$C893,BASE!$A:$A,P$2)</f>
        <v>5</v>
      </c>
      <c r="Q893" s="12">
        <f>SUMIFS(BASE!$G:$G,BASE!$B:$B,$B893,BASE!$L:$L,$G893,BASE!$J:$J,$C893,BASE!$A:$A,Q$2)</f>
        <v>6</v>
      </c>
      <c r="R893" s="12">
        <f>SUMIFS(BASE!$G:$G,BASE!$B:$B,$B893,BASE!$L:$L,$G893,BASE!$J:$J,$C893,BASE!$A:$A,R$2)</f>
        <v>7</v>
      </c>
      <c r="S893" s="12">
        <f>SUMIFS(BASE!$G:$G,BASE!$B:$B,$B893,BASE!$L:$L,$G893,BASE!$J:$J,$C893,BASE!$A:$A,S$2)</f>
        <v>0</v>
      </c>
      <c r="T893" s="12">
        <f>SUMIFS(BASE!$G:$G,BASE!$B:$B,$B893,BASE!$L:$L,$G893,BASE!$J:$J,$C893,BASE!$A:$A,T$2)</f>
        <v>0</v>
      </c>
      <c r="U893" s="12">
        <f>SUMIFS(BASE!$G:$G,BASE!$B:$B,$B893,BASE!$L:$L,$G893,BASE!$J:$J,$C893,BASE!$A:$A,U$2)</f>
        <v>0</v>
      </c>
      <c r="V893" s="12">
        <f>SUMIFS(BASE!$G:$G,BASE!$B:$B,$B893,BASE!$L:$L,$G893,BASE!$J:$J,$C893,BASE!$A:$A,V$2)</f>
        <v>0</v>
      </c>
      <c r="X893" t="str">
        <f t="shared" si="27"/>
        <v>COM TROCAS</v>
      </c>
    </row>
    <row r="894" spans="2:24">
      <c r="B894" s="8" t="s">
        <v>1851</v>
      </c>
      <c r="C894" s="9" t="s">
        <v>106</v>
      </c>
      <c r="D894" s="9" t="s">
        <v>1846</v>
      </c>
      <c r="E894" s="9" t="s">
        <v>1796</v>
      </c>
      <c r="F894" s="9" t="s">
        <v>1852</v>
      </c>
      <c r="G894" s="9" t="s">
        <v>57</v>
      </c>
      <c r="H894" s="7" t="str">
        <f>IFERROR(IF(_xlfn.XLOOKUP(B894,REPASSE!D:D,REPASSE!D:D)="","Não","Sim"),"Não")</f>
        <v>Não</v>
      </c>
      <c r="I894" s="7" t="str">
        <f>IF(_xlfn.XLOOKUP(B894,'BOOST LIBERADO'!B:B,'BOOST LIBERADO'!B:B,"Não")="Não","Não","Sim")</f>
        <v>Sim</v>
      </c>
      <c r="J894" s="83" t="str">
        <f t="shared" si="26"/>
        <v>Sim</v>
      </c>
      <c r="K894" s="12">
        <f>SUMIFS(BASE!$G:$G,BASE!$B:$B,$B894,BASE!$L:$L,$G894,BASE!$J:$J,$C894,BASE!$A:$A,K$2)</f>
        <v>0</v>
      </c>
      <c r="L894" s="12">
        <f>SUMIFS(BASE!$G:$G,BASE!$B:$B,$B894,BASE!$L:$L,$G894,BASE!$J:$J,$C894,BASE!$A:$A,L$2)</f>
        <v>0</v>
      </c>
      <c r="M894" s="12">
        <f>SUMIFS(BASE!$G:$G,BASE!$B:$B,$B894,BASE!$L:$L,$G894,BASE!$J:$J,$C894,BASE!$A:$A,M$2)</f>
        <v>1</v>
      </c>
      <c r="N894" s="12">
        <f>SUMIFS(BASE!$G:$G,BASE!$B:$B,$B894,BASE!$L:$L,$G894,BASE!$J:$J,$C894,BASE!$A:$A,N$2)</f>
        <v>0</v>
      </c>
      <c r="O894" s="12">
        <f>SUMIFS(BASE!$G:$G,BASE!$B:$B,$B894,BASE!$L:$L,$G894,BASE!$J:$J,$C894,BASE!$A:$A,O$2)</f>
        <v>1</v>
      </c>
      <c r="P894" s="12">
        <f>SUMIFS(BASE!$G:$G,BASE!$B:$B,$B894,BASE!$L:$L,$G894,BASE!$J:$J,$C894,BASE!$A:$A,P$2)</f>
        <v>1</v>
      </c>
      <c r="Q894" s="12">
        <f>SUMIFS(BASE!$G:$G,BASE!$B:$B,$B894,BASE!$L:$L,$G894,BASE!$J:$J,$C894,BASE!$A:$A,Q$2)</f>
        <v>4</v>
      </c>
      <c r="R894" s="12">
        <f>SUMIFS(BASE!$G:$G,BASE!$B:$B,$B894,BASE!$L:$L,$G894,BASE!$J:$J,$C894,BASE!$A:$A,R$2)</f>
        <v>6</v>
      </c>
      <c r="S894" s="12">
        <f>SUMIFS(BASE!$G:$G,BASE!$B:$B,$B894,BASE!$L:$L,$G894,BASE!$J:$J,$C894,BASE!$A:$A,S$2)</f>
        <v>0</v>
      </c>
      <c r="T894" s="12">
        <f>SUMIFS(BASE!$G:$G,BASE!$B:$B,$B894,BASE!$L:$L,$G894,BASE!$J:$J,$C894,BASE!$A:$A,T$2)</f>
        <v>0</v>
      </c>
      <c r="U894" s="12">
        <f>SUMIFS(BASE!$G:$G,BASE!$B:$B,$B894,BASE!$L:$L,$G894,BASE!$J:$J,$C894,BASE!$A:$A,U$2)</f>
        <v>0</v>
      </c>
      <c r="V894" s="12">
        <f>SUMIFS(BASE!$G:$G,BASE!$B:$B,$B894,BASE!$L:$L,$G894,BASE!$J:$J,$C894,BASE!$A:$A,V$2)</f>
        <v>0</v>
      </c>
      <c r="X894" t="str">
        <f t="shared" si="27"/>
        <v>COM TROCAS</v>
      </c>
    </row>
    <row r="895" spans="2:24">
      <c r="B895" s="8" t="s">
        <v>1853</v>
      </c>
      <c r="C895" s="9" t="s">
        <v>106</v>
      </c>
      <c r="D895" s="9" t="s">
        <v>1846</v>
      </c>
      <c r="E895" s="9" t="s">
        <v>1796</v>
      </c>
      <c r="F895" s="9" t="s">
        <v>1852</v>
      </c>
      <c r="G895" s="9" t="s">
        <v>57</v>
      </c>
      <c r="H895" s="7" t="str">
        <f>IFERROR(IF(_xlfn.XLOOKUP(B895,REPASSE!D:D,REPASSE!D:D)="","Não","Sim"),"Não")</f>
        <v>Não</v>
      </c>
      <c r="I895" s="7" t="str">
        <f>IF(_xlfn.XLOOKUP(B895,'BOOST LIBERADO'!B:B,'BOOST LIBERADO'!B:B,"Não")="Não","Não","Sim")</f>
        <v>Sim</v>
      </c>
      <c r="J895" s="83" t="str">
        <f t="shared" si="26"/>
        <v>Sim</v>
      </c>
      <c r="K895" s="12">
        <f>SUMIFS(BASE!$G:$G,BASE!$B:$B,$B895,BASE!$L:$L,$G895,BASE!$J:$J,$C895,BASE!$A:$A,K$2)</f>
        <v>0</v>
      </c>
      <c r="L895" s="12">
        <f>SUMIFS(BASE!$G:$G,BASE!$B:$B,$B895,BASE!$L:$L,$G895,BASE!$J:$J,$C895,BASE!$A:$A,L$2)</f>
        <v>0</v>
      </c>
      <c r="M895" s="12">
        <f>SUMIFS(BASE!$G:$G,BASE!$B:$B,$B895,BASE!$L:$L,$G895,BASE!$J:$J,$C895,BASE!$A:$A,M$2)</f>
        <v>0</v>
      </c>
      <c r="N895" s="12">
        <f>SUMIFS(BASE!$G:$G,BASE!$B:$B,$B895,BASE!$L:$L,$G895,BASE!$J:$J,$C895,BASE!$A:$A,N$2)</f>
        <v>0</v>
      </c>
      <c r="O895" s="12">
        <f>SUMIFS(BASE!$G:$G,BASE!$B:$B,$B895,BASE!$L:$L,$G895,BASE!$J:$J,$C895,BASE!$A:$A,O$2)</f>
        <v>1</v>
      </c>
      <c r="P895" s="12">
        <f>SUMIFS(BASE!$G:$G,BASE!$B:$B,$B895,BASE!$L:$L,$G895,BASE!$J:$J,$C895,BASE!$A:$A,P$2)</f>
        <v>0</v>
      </c>
      <c r="Q895" s="12">
        <f>SUMIFS(BASE!$G:$G,BASE!$B:$B,$B895,BASE!$L:$L,$G895,BASE!$J:$J,$C895,BASE!$A:$A,Q$2)</f>
        <v>0</v>
      </c>
      <c r="R895" s="12">
        <f>SUMIFS(BASE!$G:$G,BASE!$B:$B,$B895,BASE!$L:$L,$G895,BASE!$J:$J,$C895,BASE!$A:$A,R$2)</f>
        <v>0</v>
      </c>
      <c r="S895" s="12">
        <f>SUMIFS(BASE!$G:$G,BASE!$B:$B,$B895,BASE!$L:$L,$G895,BASE!$J:$J,$C895,BASE!$A:$A,S$2)</f>
        <v>0</v>
      </c>
      <c r="T895" s="12">
        <f>SUMIFS(BASE!$G:$G,BASE!$B:$B,$B895,BASE!$L:$L,$G895,BASE!$J:$J,$C895,BASE!$A:$A,T$2)</f>
        <v>0</v>
      </c>
      <c r="U895" s="12">
        <f>SUMIFS(BASE!$G:$G,BASE!$B:$B,$B895,BASE!$L:$L,$G895,BASE!$J:$J,$C895,BASE!$A:$A,U$2)</f>
        <v>0</v>
      </c>
      <c r="V895" s="12">
        <f>SUMIFS(BASE!$G:$G,BASE!$B:$B,$B895,BASE!$L:$L,$G895,BASE!$J:$J,$C895,BASE!$A:$A,V$2)</f>
        <v>0</v>
      </c>
      <c r="X895" t="str">
        <f t="shared" si="27"/>
        <v>ZERADO</v>
      </c>
    </row>
    <row r="896" spans="2:24">
      <c r="B896" s="8" t="s">
        <v>1854</v>
      </c>
      <c r="C896" s="9" t="s">
        <v>106</v>
      </c>
      <c r="D896" s="9" t="s">
        <v>1855</v>
      </c>
      <c r="E896" s="9" t="s">
        <v>1796</v>
      </c>
      <c r="F896" s="9" t="s">
        <v>1856</v>
      </c>
      <c r="G896" s="9" t="s">
        <v>57</v>
      </c>
      <c r="H896" s="7" t="str">
        <f>IFERROR(IF(_xlfn.XLOOKUP(B896,REPASSE!D:D,REPASSE!D:D)="","Não","Sim"),"Não")</f>
        <v>Não</v>
      </c>
      <c r="I896" s="7" t="str">
        <f>IF(_xlfn.XLOOKUP(B896,'BOOST LIBERADO'!B:B,'BOOST LIBERADO'!B:B,"Não")="Não","Não","Sim")</f>
        <v>Sim</v>
      </c>
      <c r="J896" s="83" t="str">
        <f t="shared" si="26"/>
        <v>Sim</v>
      </c>
      <c r="K896" s="12">
        <f>SUMIFS(BASE!$G:$G,BASE!$B:$B,$B896,BASE!$L:$L,$G896,BASE!$J:$J,$C896,BASE!$A:$A,K$2)</f>
        <v>0</v>
      </c>
      <c r="L896" s="12">
        <f>SUMIFS(BASE!$G:$G,BASE!$B:$B,$B896,BASE!$L:$L,$G896,BASE!$J:$J,$C896,BASE!$A:$A,L$2)</f>
        <v>0</v>
      </c>
      <c r="M896" s="12">
        <f>SUMIFS(BASE!$G:$G,BASE!$B:$B,$B896,BASE!$L:$L,$G896,BASE!$J:$J,$C896,BASE!$A:$A,M$2)</f>
        <v>2</v>
      </c>
      <c r="N896" s="12">
        <f>SUMIFS(BASE!$G:$G,BASE!$B:$B,$B896,BASE!$L:$L,$G896,BASE!$J:$J,$C896,BASE!$A:$A,N$2)</f>
        <v>0</v>
      </c>
      <c r="O896" s="12">
        <f>SUMIFS(BASE!$G:$G,BASE!$B:$B,$B896,BASE!$L:$L,$G896,BASE!$J:$J,$C896,BASE!$A:$A,O$2)</f>
        <v>0</v>
      </c>
      <c r="P896" s="12">
        <f>SUMIFS(BASE!$G:$G,BASE!$B:$B,$B896,BASE!$L:$L,$G896,BASE!$J:$J,$C896,BASE!$A:$A,P$2)</f>
        <v>0</v>
      </c>
      <c r="Q896" s="12">
        <f>SUMIFS(BASE!$G:$G,BASE!$B:$B,$B896,BASE!$L:$L,$G896,BASE!$J:$J,$C896,BASE!$A:$A,Q$2)</f>
        <v>0</v>
      </c>
      <c r="R896" s="12">
        <f>SUMIFS(BASE!$G:$G,BASE!$B:$B,$B896,BASE!$L:$L,$G896,BASE!$J:$J,$C896,BASE!$A:$A,R$2)</f>
        <v>0</v>
      </c>
      <c r="S896" s="12">
        <f>SUMIFS(BASE!$G:$G,BASE!$B:$B,$B896,BASE!$L:$L,$G896,BASE!$J:$J,$C896,BASE!$A:$A,S$2)</f>
        <v>0</v>
      </c>
      <c r="T896" s="12">
        <f>SUMIFS(BASE!$G:$G,BASE!$B:$B,$B896,BASE!$L:$L,$G896,BASE!$J:$J,$C896,BASE!$A:$A,T$2)</f>
        <v>0</v>
      </c>
      <c r="U896" s="12">
        <f>SUMIFS(BASE!$G:$G,BASE!$B:$B,$B896,BASE!$L:$L,$G896,BASE!$J:$J,$C896,BASE!$A:$A,U$2)</f>
        <v>0</v>
      </c>
      <c r="V896" s="12">
        <f>SUMIFS(BASE!$G:$G,BASE!$B:$B,$B896,BASE!$L:$L,$G896,BASE!$J:$J,$C896,BASE!$A:$A,V$2)</f>
        <v>0</v>
      </c>
      <c r="X896" t="str">
        <f t="shared" si="27"/>
        <v>ZERADO</v>
      </c>
    </row>
    <row r="897" spans="2:24">
      <c r="B897" s="8" t="s">
        <v>1857</v>
      </c>
      <c r="C897" s="9" t="s">
        <v>106</v>
      </c>
      <c r="D897" s="9" t="s">
        <v>1855</v>
      </c>
      <c r="E897" s="9" t="s">
        <v>1796</v>
      </c>
      <c r="F897" s="9" t="s">
        <v>1856</v>
      </c>
      <c r="G897" s="9" t="s">
        <v>57</v>
      </c>
      <c r="H897" s="7" t="str">
        <f>IFERROR(IF(_xlfn.XLOOKUP(B897,REPASSE!D:D,REPASSE!D:D)="","Não","Sim"),"Não")</f>
        <v>Não</v>
      </c>
      <c r="I897" s="7" t="str">
        <f>IF(_xlfn.XLOOKUP(B897,'BOOST LIBERADO'!B:B,'BOOST LIBERADO'!B:B,"Não")="Não","Não","Sim")</f>
        <v>Sim</v>
      </c>
      <c r="J897" s="83" t="str">
        <f t="shared" si="26"/>
        <v>Sim</v>
      </c>
      <c r="K897" s="12">
        <f>SUMIFS(BASE!$G:$G,BASE!$B:$B,$B897,BASE!$L:$L,$G897,BASE!$J:$J,$C897,BASE!$A:$A,K$2)</f>
        <v>0</v>
      </c>
      <c r="L897" s="12">
        <f>SUMIFS(BASE!$G:$G,BASE!$B:$B,$B897,BASE!$L:$L,$G897,BASE!$J:$J,$C897,BASE!$A:$A,L$2)</f>
        <v>0</v>
      </c>
      <c r="M897" s="12">
        <f>SUMIFS(BASE!$G:$G,BASE!$B:$B,$B897,BASE!$L:$L,$G897,BASE!$J:$J,$C897,BASE!$A:$A,M$2)</f>
        <v>0</v>
      </c>
      <c r="N897" s="12">
        <f>SUMIFS(BASE!$G:$G,BASE!$B:$B,$B897,BASE!$L:$L,$G897,BASE!$J:$J,$C897,BASE!$A:$A,N$2)</f>
        <v>0</v>
      </c>
      <c r="O897" s="12">
        <f>SUMIFS(BASE!$G:$G,BASE!$B:$B,$B897,BASE!$L:$L,$G897,BASE!$J:$J,$C897,BASE!$A:$A,O$2)</f>
        <v>0</v>
      </c>
      <c r="P897" s="12">
        <f>SUMIFS(BASE!$G:$G,BASE!$B:$B,$B897,BASE!$L:$L,$G897,BASE!$J:$J,$C897,BASE!$A:$A,P$2)</f>
        <v>0</v>
      </c>
      <c r="Q897" s="12">
        <f>SUMIFS(BASE!$G:$G,BASE!$B:$B,$B897,BASE!$L:$L,$G897,BASE!$J:$J,$C897,BASE!$A:$A,Q$2)</f>
        <v>0</v>
      </c>
      <c r="R897" s="12">
        <f>SUMIFS(BASE!$G:$G,BASE!$B:$B,$B897,BASE!$L:$L,$G897,BASE!$J:$J,$C897,BASE!$A:$A,R$2)</f>
        <v>0</v>
      </c>
      <c r="S897" s="12">
        <f>SUMIFS(BASE!$G:$G,BASE!$B:$B,$B897,BASE!$L:$L,$G897,BASE!$J:$J,$C897,BASE!$A:$A,S$2)</f>
        <v>0</v>
      </c>
      <c r="T897" s="12">
        <f>SUMIFS(BASE!$G:$G,BASE!$B:$B,$B897,BASE!$L:$L,$G897,BASE!$J:$J,$C897,BASE!$A:$A,T$2)</f>
        <v>0</v>
      </c>
      <c r="U897" s="12">
        <f>SUMIFS(BASE!$G:$G,BASE!$B:$B,$B897,BASE!$L:$L,$G897,BASE!$J:$J,$C897,BASE!$A:$A,U$2)</f>
        <v>0</v>
      </c>
      <c r="V897" s="12">
        <f>SUMIFS(BASE!$G:$G,BASE!$B:$B,$B897,BASE!$L:$L,$G897,BASE!$J:$J,$C897,BASE!$A:$A,V$2)</f>
        <v>0</v>
      </c>
      <c r="X897" t="str">
        <f t="shared" si="27"/>
        <v>ZERADO</v>
      </c>
    </row>
    <row r="898" spans="2:24">
      <c r="B898" s="8" t="s">
        <v>1858</v>
      </c>
      <c r="C898" s="9" t="s">
        <v>106</v>
      </c>
      <c r="D898" s="9" t="s">
        <v>1855</v>
      </c>
      <c r="E898" s="9" t="s">
        <v>1796</v>
      </c>
      <c r="F898" s="9" t="s">
        <v>1859</v>
      </c>
      <c r="G898" s="9" t="s">
        <v>57</v>
      </c>
      <c r="H898" s="7" t="str">
        <f>IFERROR(IF(_xlfn.XLOOKUP(B898,REPASSE!D:D,REPASSE!D:D)="","Não","Sim"),"Não")</f>
        <v>Não</v>
      </c>
      <c r="I898" s="7" t="str">
        <f>IF(_xlfn.XLOOKUP(B898,'BOOST LIBERADO'!B:B,'BOOST LIBERADO'!B:B,"Não")="Não","Não","Sim")</f>
        <v>Sim</v>
      </c>
      <c r="J898" s="83" t="str">
        <f t="shared" si="26"/>
        <v>Sim</v>
      </c>
      <c r="K898" s="12">
        <f>SUMIFS(BASE!$G:$G,BASE!$B:$B,$B898,BASE!$L:$L,$G898,BASE!$J:$J,$C898,BASE!$A:$A,K$2)</f>
        <v>0</v>
      </c>
      <c r="L898" s="12">
        <f>SUMIFS(BASE!$G:$G,BASE!$B:$B,$B898,BASE!$L:$L,$G898,BASE!$J:$J,$C898,BASE!$A:$A,L$2)</f>
        <v>0</v>
      </c>
      <c r="M898" s="12">
        <f>SUMIFS(BASE!$G:$G,BASE!$B:$B,$B898,BASE!$L:$L,$G898,BASE!$J:$J,$C898,BASE!$A:$A,M$2)</f>
        <v>0</v>
      </c>
      <c r="N898" s="12">
        <f>SUMIFS(BASE!$G:$G,BASE!$B:$B,$B898,BASE!$L:$L,$G898,BASE!$J:$J,$C898,BASE!$A:$A,N$2)</f>
        <v>0</v>
      </c>
      <c r="O898" s="12">
        <f>SUMIFS(BASE!$G:$G,BASE!$B:$B,$B898,BASE!$L:$L,$G898,BASE!$J:$J,$C898,BASE!$A:$A,O$2)</f>
        <v>0</v>
      </c>
      <c r="P898" s="12">
        <f>SUMIFS(BASE!$G:$G,BASE!$B:$B,$B898,BASE!$L:$L,$G898,BASE!$J:$J,$C898,BASE!$A:$A,P$2)</f>
        <v>0</v>
      </c>
      <c r="Q898" s="12">
        <f>SUMIFS(BASE!$G:$G,BASE!$B:$B,$B898,BASE!$L:$L,$G898,BASE!$J:$J,$C898,BASE!$A:$A,Q$2)</f>
        <v>0</v>
      </c>
      <c r="R898" s="12">
        <f>SUMIFS(BASE!$G:$G,BASE!$B:$B,$B898,BASE!$L:$L,$G898,BASE!$J:$J,$C898,BASE!$A:$A,R$2)</f>
        <v>0</v>
      </c>
      <c r="S898" s="12">
        <f>SUMIFS(BASE!$G:$G,BASE!$B:$B,$B898,BASE!$L:$L,$G898,BASE!$J:$J,$C898,BASE!$A:$A,S$2)</f>
        <v>0</v>
      </c>
      <c r="T898" s="12">
        <f>SUMIFS(BASE!$G:$G,BASE!$B:$B,$B898,BASE!$L:$L,$G898,BASE!$J:$J,$C898,BASE!$A:$A,T$2)</f>
        <v>0</v>
      </c>
      <c r="U898" s="12">
        <f>SUMIFS(BASE!$G:$G,BASE!$B:$B,$B898,BASE!$L:$L,$G898,BASE!$J:$J,$C898,BASE!$A:$A,U$2)</f>
        <v>0</v>
      </c>
      <c r="V898" s="12">
        <f>SUMIFS(BASE!$G:$G,BASE!$B:$B,$B898,BASE!$L:$L,$G898,BASE!$J:$J,$C898,BASE!$A:$A,V$2)</f>
        <v>0</v>
      </c>
      <c r="X898" t="str">
        <f t="shared" si="27"/>
        <v>ZERADO</v>
      </c>
    </row>
    <row r="899" spans="2:24">
      <c r="B899" s="8" t="s">
        <v>1860</v>
      </c>
      <c r="C899" s="9" t="s">
        <v>106</v>
      </c>
      <c r="D899" s="9" t="s">
        <v>1855</v>
      </c>
      <c r="E899" s="9" t="s">
        <v>1796</v>
      </c>
      <c r="F899" s="9" t="s">
        <v>1861</v>
      </c>
      <c r="G899" s="9" t="s">
        <v>57</v>
      </c>
      <c r="H899" s="7" t="str">
        <f>IFERROR(IF(_xlfn.XLOOKUP(B899,REPASSE!D:D,REPASSE!D:D)="","Não","Sim"),"Não")</f>
        <v>Não</v>
      </c>
      <c r="I899" s="7" t="str">
        <f>IF(_xlfn.XLOOKUP(B899,'BOOST LIBERADO'!B:B,'BOOST LIBERADO'!B:B,"Não")="Não","Não","Sim")</f>
        <v>Sim</v>
      </c>
      <c r="J899" s="83" t="str">
        <f t="shared" si="26"/>
        <v>Sim</v>
      </c>
      <c r="K899" s="12">
        <f>SUMIFS(BASE!$G:$G,BASE!$B:$B,$B899,BASE!$L:$L,$G899,BASE!$J:$J,$C899,BASE!$A:$A,K$2)</f>
        <v>0</v>
      </c>
      <c r="L899" s="12">
        <f>SUMIFS(BASE!$G:$G,BASE!$B:$B,$B899,BASE!$L:$L,$G899,BASE!$J:$J,$C899,BASE!$A:$A,L$2)</f>
        <v>0</v>
      </c>
      <c r="M899" s="12">
        <f>SUMIFS(BASE!$G:$G,BASE!$B:$B,$B899,BASE!$L:$L,$G899,BASE!$J:$J,$C899,BASE!$A:$A,M$2)</f>
        <v>0</v>
      </c>
      <c r="N899" s="12">
        <f>SUMIFS(BASE!$G:$G,BASE!$B:$B,$B899,BASE!$L:$L,$G899,BASE!$J:$J,$C899,BASE!$A:$A,N$2)</f>
        <v>0</v>
      </c>
      <c r="O899" s="12">
        <f>SUMIFS(BASE!$G:$G,BASE!$B:$B,$B899,BASE!$L:$L,$G899,BASE!$J:$J,$C899,BASE!$A:$A,O$2)</f>
        <v>0</v>
      </c>
      <c r="P899" s="12">
        <f>SUMIFS(BASE!$G:$G,BASE!$B:$B,$B899,BASE!$L:$L,$G899,BASE!$J:$J,$C899,BASE!$A:$A,P$2)</f>
        <v>0</v>
      </c>
      <c r="Q899" s="12">
        <f>SUMIFS(BASE!$G:$G,BASE!$B:$B,$B899,BASE!$L:$L,$G899,BASE!$J:$J,$C899,BASE!$A:$A,Q$2)</f>
        <v>0</v>
      </c>
      <c r="R899" s="12">
        <f>SUMIFS(BASE!$G:$G,BASE!$B:$B,$B899,BASE!$L:$L,$G899,BASE!$J:$J,$C899,BASE!$A:$A,R$2)</f>
        <v>0</v>
      </c>
      <c r="S899" s="12">
        <f>SUMIFS(BASE!$G:$G,BASE!$B:$B,$B899,BASE!$L:$L,$G899,BASE!$J:$J,$C899,BASE!$A:$A,S$2)</f>
        <v>0</v>
      </c>
      <c r="T899" s="12">
        <f>SUMIFS(BASE!$G:$G,BASE!$B:$B,$B899,BASE!$L:$L,$G899,BASE!$J:$J,$C899,BASE!$A:$A,T$2)</f>
        <v>0</v>
      </c>
      <c r="U899" s="12">
        <f>SUMIFS(BASE!$G:$G,BASE!$B:$B,$B899,BASE!$L:$L,$G899,BASE!$J:$J,$C899,BASE!$A:$A,U$2)</f>
        <v>0</v>
      </c>
      <c r="V899" s="12">
        <f>SUMIFS(BASE!$G:$G,BASE!$B:$B,$B899,BASE!$L:$L,$G899,BASE!$J:$J,$C899,BASE!$A:$A,V$2)</f>
        <v>0</v>
      </c>
      <c r="X899" t="str">
        <f t="shared" si="27"/>
        <v>ZERADO</v>
      </c>
    </row>
    <row r="900" spans="2:24">
      <c r="B900" s="8" t="s">
        <v>1862</v>
      </c>
      <c r="C900" s="9" t="s">
        <v>106</v>
      </c>
      <c r="D900" s="9" t="s">
        <v>1855</v>
      </c>
      <c r="E900" s="9" t="s">
        <v>1796</v>
      </c>
      <c r="F900" s="9" t="s">
        <v>1861</v>
      </c>
      <c r="G900" s="9" t="s">
        <v>57</v>
      </c>
      <c r="H900" s="7" t="str">
        <f>IFERROR(IF(_xlfn.XLOOKUP(B900,REPASSE!D:D,REPASSE!D:D)="","Não","Sim"),"Não")</f>
        <v>Não</v>
      </c>
      <c r="I900" s="7" t="str">
        <f>IF(_xlfn.XLOOKUP(B900,'BOOST LIBERADO'!B:B,'BOOST LIBERADO'!B:B,"Não")="Não","Não","Sim")</f>
        <v>Sim</v>
      </c>
      <c r="J900" s="83" t="str">
        <f t="shared" ref="J900:J963" si="28">IF(AND(H900="Não",I900="Sim"),"Sim","Não")</f>
        <v>Sim</v>
      </c>
      <c r="K900" s="12">
        <f>SUMIFS(BASE!$G:$G,BASE!$B:$B,$B900,BASE!$L:$L,$G900,BASE!$J:$J,$C900,BASE!$A:$A,K$2)</f>
        <v>0</v>
      </c>
      <c r="L900" s="12">
        <f>SUMIFS(BASE!$G:$G,BASE!$B:$B,$B900,BASE!$L:$L,$G900,BASE!$J:$J,$C900,BASE!$A:$A,L$2)</f>
        <v>0</v>
      </c>
      <c r="M900" s="12">
        <f>SUMIFS(BASE!$G:$G,BASE!$B:$B,$B900,BASE!$L:$L,$G900,BASE!$J:$J,$C900,BASE!$A:$A,M$2)</f>
        <v>1</v>
      </c>
      <c r="N900" s="12">
        <f>SUMIFS(BASE!$G:$G,BASE!$B:$B,$B900,BASE!$L:$L,$G900,BASE!$J:$J,$C900,BASE!$A:$A,N$2)</f>
        <v>2</v>
      </c>
      <c r="O900" s="12">
        <f>SUMIFS(BASE!$G:$G,BASE!$B:$B,$B900,BASE!$L:$L,$G900,BASE!$J:$J,$C900,BASE!$A:$A,O$2)</f>
        <v>3</v>
      </c>
      <c r="P900" s="12">
        <f>SUMIFS(BASE!$G:$G,BASE!$B:$B,$B900,BASE!$L:$L,$G900,BASE!$J:$J,$C900,BASE!$A:$A,P$2)</f>
        <v>2</v>
      </c>
      <c r="Q900" s="12">
        <f>SUMIFS(BASE!$G:$G,BASE!$B:$B,$B900,BASE!$L:$L,$G900,BASE!$J:$J,$C900,BASE!$A:$A,Q$2)</f>
        <v>11</v>
      </c>
      <c r="R900" s="12">
        <f>SUMIFS(BASE!$G:$G,BASE!$B:$B,$B900,BASE!$L:$L,$G900,BASE!$J:$J,$C900,BASE!$A:$A,R$2)</f>
        <v>16</v>
      </c>
      <c r="S900" s="12">
        <f>SUMIFS(BASE!$G:$G,BASE!$B:$B,$B900,BASE!$L:$L,$G900,BASE!$J:$J,$C900,BASE!$A:$A,S$2)</f>
        <v>0</v>
      </c>
      <c r="T900" s="12">
        <f>SUMIFS(BASE!$G:$G,BASE!$B:$B,$B900,BASE!$L:$L,$G900,BASE!$J:$J,$C900,BASE!$A:$A,T$2)</f>
        <v>0</v>
      </c>
      <c r="U900" s="12">
        <f>SUMIFS(BASE!$G:$G,BASE!$B:$B,$B900,BASE!$L:$L,$G900,BASE!$J:$J,$C900,BASE!$A:$A,U$2)</f>
        <v>0</v>
      </c>
      <c r="V900" s="12">
        <f>SUMIFS(BASE!$G:$G,BASE!$B:$B,$B900,BASE!$L:$L,$G900,BASE!$J:$J,$C900,BASE!$A:$A,V$2)</f>
        <v>0</v>
      </c>
      <c r="X900" t="str">
        <f t="shared" ref="X900:X963" si="29">IF(AND(R900=0),"ZERADO","COM TROCAS")</f>
        <v>COM TROCAS</v>
      </c>
    </row>
    <row r="901" spans="2:24">
      <c r="B901" s="8" t="s">
        <v>1863</v>
      </c>
      <c r="C901" s="9" t="s">
        <v>97</v>
      </c>
      <c r="D901" s="9" t="s">
        <v>1855</v>
      </c>
      <c r="E901" s="9" t="s">
        <v>1796</v>
      </c>
      <c r="F901" s="9" t="s">
        <v>1864</v>
      </c>
      <c r="G901" s="9" t="s">
        <v>57</v>
      </c>
      <c r="H901" s="7" t="str">
        <f>IFERROR(IF(_xlfn.XLOOKUP(B901,REPASSE!D:D,REPASSE!D:D)="","Não","Sim"),"Não")</f>
        <v>Não</v>
      </c>
      <c r="I901" s="7" t="str">
        <f>IF(_xlfn.XLOOKUP(B901,'BOOST LIBERADO'!B:B,'BOOST LIBERADO'!B:B,"Não")="Não","Não","Sim")</f>
        <v>Sim</v>
      </c>
      <c r="J901" s="83" t="str">
        <f t="shared" si="28"/>
        <v>Sim</v>
      </c>
      <c r="K901" s="12">
        <f>SUMIFS(BASE!$G:$G,BASE!$B:$B,$B901,BASE!$L:$L,$G901,BASE!$J:$J,$C901,BASE!$A:$A,K$2)</f>
        <v>0</v>
      </c>
      <c r="L901" s="12">
        <f>SUMIFS(BASE!$G:$G,BASE!$B:$B,$B901,BASE!$L:$L,$G901,BASE!$J:$J,$C901,BASE!$A:$A,L$2)</f>
        <v>0</v>
      </c>
      <c r="M901" s="12">
        <f>SUMIFS(BASE!$G:$G,BASE!$B:$B,$B901,BASE!$L:$L,$G901,BASE!$J:$J,$C901,BASE!$A:$A,M$2)</f>
        <v>1</v>
      </c>
      <c r="N901" s="12">
        <f>SUMIFS(BASE!$G:$G,BASE!$B:$B,$B901,BASE!$L:$L,$G901,BASE!$J:$J,$C901,BASE!$A:$A,N$2)</f>
        <v>4</v>
      </c>
      <c r="O901" s="12">
        <f>SUMIFS(BASE!$G:$G,BASE!$B:$B,$B901,BASE!$L:$L,$G901,BASE!$J:$J,$C901,BASE!$A:$A,O$2)</f>
        <v>3</v>
      </c>
      <c r="P901" s="12">
        <f>SUMIFS(BASE!$G:$G,BASE!$B:$B,$B901,BASE!$L:$L,$G901,BASE!$J:$J,$C901,BASE!$A:$A,P$2)</f>
        <v>1</v>
      </c>
      <c r="Q901" s="12">
        <f>SUMIFS(BASE!$G:$G,BASE!$B:$B,$B901,BASE!$L:$L,$G901,BASE!$J:$J,$C901,BASE!$A:$A,Q$2)</f>
        <v>9</v>
      </c>
      <c r="R901" s="12">
        <f>SUMIFS(BASE!$G:$G,BASE!$B:$B,$B901,BASE!$L:$L,$G901,BASE!$J:$J,$C901,BASE!$A:$A,R$2)</f>
        <v>6</v>
      </c>
      <c r="S901" s="12">
        <f>SUMIFS(BASE!$G:$G,BASE!$B:$B,$B901,BASE!$L:$L,$G901,BASE!$J:$J,$C901,BASE!$A:$A,S$2)</f>
        <v>0</v>
      </c>
      <c r="T901" s="12">
        <f>SUMIFS(BASE!$G:$G,BASE!$B:$B,$B901,BASE!$L:$L,$G901,BASE!$J:$J,$C901,BASE!$A:$A,T$2)</f>
        <v>0</v>
      </c>
      <c r="U901" s="12">
        <f>SUMIFS(BASE!$G:$G,BASE!$B:$B,$B901,BASE!$L:$L,$G901,BASE!$J:$J,$C901,BASE!$A:$A,U$2)</f>
        <v>0</v>
      </c>
      <c r="V901" s="12">
        <f>SUMIFS(BASE!$G:$G,BASE!$B:$B,$B901,BASE!$L:$L,$G901,BASE!$J:$J,$C901,BASE!$A:$A,V$2)</f>
        <v>0</v>
      </c>
      <c r="X901" t="str">
        <f t="shared" si="29"/>
        <v>COM TROCAS</v>
      </c>
    </row>
    <row r="902" spans="2:24">
      <c r="B902" s="8" t="s">
        <v>1865</v>
      </c>
      <c r="C902" s="9" t="s">
        <v>106</v>
      </c>
      <c r="D902" s="9" t="s">
        <v>1855</v>
      </c>
      <c r="E902" s="9" t="s">
        <v>1796</v>
      </c>
      <c r="F902" s="9" t="s">
        <v>1864</v>
      </c>
      <c r="G902" s="9" t="s">
        <v>57</v>
      </c>
      <c r="H902" s="7" t="str">
        <f>IFERROR(IF(_xlfn.XLOOKUP(B902,REPASSE!D:D,REPASSE!D:D)="","Não","Sim"),"Não")</f>
        <v>Não</v>
      </c>
      <c r="I902" s="7" t="str">
        <f>IF(_xlfn.XLOOKUP(B902,'BOOST LIBERADO'!B:B,'BOOST LIBERADO'!B:B,"Não")="Não","Não","Sim")</f>
        <v>Sim</v>
      </c>
      <c r="J902" s="83" t="str">
        <f t="shared" si="28"/>
        <v>Sim</v>
      </c>
      <c r="K902" s="12">
        <f>SUMIFS(BASE!$G:$G,BASE!$B:$B,$B902,BASE!$L:$L,$G902,BASE!$J:$J,$C902,BASE!$A:$A,K$2)</f>
        <v>0</v>
      </c>
      <c r="L902" s="12">
        <f>SUMIFS(BASE!$G:$G,BASE!$B:$B,$B902,BASE!$L:$L,$G902,BASE!$J:$J,$C902,BASE!$A:$A,L$2)</f>
        <v>0</v>
      </c>
      <c r="M902" s="12">
        <f>SUMIFS(BASE!$G:$G,BASE!$B:$B,$B902,BASE!$L:$L,$G902,BASE!$J:$J,$C902,BASE!$A:$A,M$2)</f>
        <v>2</v>
      </c>
      <c r="N902" s="12">
        <f>SUMIFS(BASE!$G:$G,BASE!$B:$B,$B902,BASE!$L:$L,$G902,BASE!$J:$J,$C902,BASE!$A:$A,N$2)</f>
        <v>0</v>
      </c>
      <c r="O902" s="12">
        <f>SUMIFS(BASE!$G:$G,BASE!$B:$B,$B902,BASE!$L:$L,$G902,BASE!$J:$J,$C902,BASE!$A:$A,O$2)</f>
        <v>0</v>
      </c>
      <c r="P902" s="12">
        <f>SUMIFS(BASE!$G:$G,BASE!$B:$B,$B902,BASE!$L:$L,$G902,BASE!$J:$J,$C902,BASE!$A:$A,P$2)</f>
        <v>0</v>
      </c>
      <c r="Q902" s="12">
        <f>SUMIFS(BASE!$G:$G,BASE!$B:$B,$B902,BASE!$L:$L,$G902,BASE!$J:$J,$C902,BASE!$A:$A,Q$2)</f>
        <v>0</v>
      </c>
      <c r="R902" s="12">
        <f>SUMIFS(BASE!$G:$G,BASE!$B:$B,$B902,BASE!$L:$L,$G902,BASE!$J:$J,$C902,BASE!$A:$A,R$2)</f>
        <v>0</v>
      </c>
      <c r="S902" s="12">
        <f>SUMIFS(BASE!$G:$G,BASE!$B:$B,$B902,BASE!$L:$L,$G902,BASE!$J:$J,$C902,BASE!$A:$A,S$2)</f>
        <v>0</v>
      </c>
      <c r="T902" s="12">
        <f>SUMIFS(BASE!$G:$G,BASE!$B:$B,$B902,BASE!$L:$L,$G902,BASE!$J:$J,$C902,BASE!$A:$A,T$2)</f>
        <v>0</v>
      </c>
      <c r="U902" s="12">
        <f>SUMIFS(BASE!$G:$G,BASE!$B:$B,$B902,BASE!$L:$L,$G902,BASE!$J:$J,$C902,BASE!$A:$A,U$2)</f>
        <v>0</v>
      </c>
      <c r="V902" s="12">
        <f>SUMIFS(BASE!$G:$G,BASE!$B:$B,$B902,BASE!$L:$L,$G902,BASE!$J:$J,$C902,BASE!$A:$A,V$2)</f>
        <v>0</v>
      </c>
      <c r="X902" t="str">
        <f t="shared" si="29"/>
        <v>ZERADO</v>
      </c>
    </row>
    <row r="903" spans="2:24">
      <c r="B903" s="8" t="s">
        <v>1866</v>
      </c>
      <c r="C903" s="9" t="s">
        <v>106</v>
      </c>
      <c r="D903" s="9" t="s">
        <v>1855</v>
      </c>
      <c r="E903" s="9" t="s">
        <v>1796</v>
      </c>
      <c r="F903" s="9" t="s">
        <v>1867</v>
      </c>
      <c r="G903" s="9" t="s">
        <v>57</v>
      </c>
      <c r="H903" s="7" t="str">
        <f>IFERROR(IF(_xlfn.XLOOKUP(B903,REPASSE!D:D,REPASSE!D:D)="","Não","Sim"),"Não")</f>
        <v>Não</v>
      </c>
      <c r="I903" s="7" t="str">
        <f>IF(_xlfn.XLOOKUP(B903,'BOOST LIBERADO'!B:B,'BOOST LIBERADO'!B:B,"Não")="Não","Não","Sim")</f>
        <v>Sim</v>
      </c>
      <c r="J903" s="83" t="str">
        <f t="shared" si="28"/>
        <v>Sim</v>
      </c>
      <c r="K903" s="12">
        <f>SUMIFS(BASE!$G:$G,BASE!$B:$B,$B903,BASE!$L:$L,$G903,BASE!$J:$J,$C903,BASE!$A:$A,K$2)</f>
        <v>0</v>
      </c>
      <c r="L903" s="12">
        <f>SUMIFS(BASE!$G:$G,BASE!$B:$B,$B903,BASE!$L:$L,$G903,BASE!$J:$J,$C903,BASE!$A:$A,L$2)</f>
        <v>0</v>
      </c>
      <c r="M903" s="12">
        <f>SUMIFS(BASE!$G:$G,BASE!$B:$B,$B903,BASE!$L:$L,$G903,BASE!$J:$J,$C903,BASE!$A:$A,M$2)</f>
        <v>0</v>
      </c>
      <c r="N903" s="12">
        <f>SUMIFS(BASE!$G:$G,BASE!$B:$B,$B903,BASE!$L:$L,$G903,BASE!$J:$J,$C903,BASE!$A:$A,N$2)</f>
        <v>0</v>
      </c>
      <c r="O903" s="12">
        <f>SUMIFS(BASE!$G:$G,BASE!$B:$B,$B903,BASE!$L:$L,$G903,BASE!$J:$J,$C903,BASE!$A:$A,O$2)</f>
        <v>0</v>
      </c>
      <c r="P903" s="12">
        <f>SUMIFS(BASE!$G:$G,BASE!$B:$B,$B903,BASE!$L:$L,$G903,BASE!$J:$J,$C903,BASE!$A:$A,P$2)</f>
        <v>0</v>
      </c>
      <c r="Q903" s="12">
        <f>SUMIFS(BASE!$G:$G,BASE!$B:$B,$B903,BASE!$L:$L,$G903,BASE!$J:$J,$C903,BASE!$A:$A,Q$2)</f>
        <v>0</v>
      </c>
      <c r="R903" s="12">
        <f>SUMIFS(BASE!$G:$G,BASE!$B:$B,$B903,BASE!$L:$L,$G903,BASE!$J:$J,$C903,BASE!$A:$A,R$2)</f>
        <v>0</v>
      </c>
      <c r="S903" s="12">
        <f>SUMIFS(BASE!$G:$G,BASE!$B:$B,$B903,BASE!$L:$L,$G903,BASE!$J:$J,$C903,BASE!$A:$A,S$2)</f>
        <v>0</v>
      </c>
      <c r="T903" s="12">
        <f>SUMIFS(BASE!$G:$G,BASE!$B:$B,$B903,BASE!$L:$L,$G903,BASE!$J:$J,$C903,BASE!$A:$A,T$2)</f>
        <v>0</v>
      </c>
      <c r="U903" s="12">
        <f>SUMIFS(BASE!$G:$G,BASE!$B:$B,$B903,BASE!$L:$L,$G903,BASE!$J:$J,$C903,BASE!$A:$A,U$2)</f>
        <v>0</v>
      </c>
      <c r="V903" s="12">
        <f>SUMIFS(BASE!$G:$G,BASE!$B:$B,$B903,BASE!$L:$L,$G903,BASE!$J:$J,$C903,BASE!$A:$A,V$2)</f>
        <v>0</v>
      </c>
      <c r="X903" t="str">
        <f t="shared" si="29"/>
        <v>ZERADO</v>
      </c>
    </row>
    <row r="904" spans="2:24">
      <c r="B904" s="8" t="s">
        <v>1868</v>
      </c>
      <c r="C904" s="9" t="s">
        <v>124</v>
      </c>
      <c r="D904" s="9" t="s">
        <v>1869</v>
      </c>
      <c r="E904" s="9" t="s">
        <v>1812</v>
      </c>
      <c r="F904" s="9" t="s">
        <v>1870</v>
      </c>
      <c r="G904" s="9" t="s">
        <v>58</v>
      </c>
      <c r="H904" s="7" t="str">
        <f>IFERROR(IF(_xlfn.XLOOKUP(B904,REPASSE!D:D,REPASSE!D:D)="","Não","Sim"),"Não")</f>
        <v>Não</v>
      </c>
      <c r="I904" s="7" t="str">
        <f>IF(_xlfn.XLOOKUP(B904,'BOOST LIBERADO'!B:B,'BOOST LIBERADO'!B:B,"Não")="Não","Não","Sim")</f>
        <v>Sim</v>
      </c>
      <c r="J904" s="83" t="str">
        <f t="shared" si="28"/>
        <v>Sim</v>
      </c>
      <c r="K904" s="12">
        <f>SUMIFS(BASE!$G:$G,BASE!$B:$B,$B904,BASE!$L:$L,$G904,BASE!$J:$J,$C904,BASE!$A:$A,K$2)</f>
        <v>1</v>
      </c>
      <c r="L904" s="12">
        <f>SUMIFS(BASE!$G:$G,BASE!$B:$B,$B904,BASE!$L:$L,$G904,BASE!$J:$J,$C904,BASE!$A:$A,L$2)</f>
        <v>4</v>
      </c>
      <c r="M904" s="12">
        <f>SUMIFS(BASE!$G:$G,BASE!$B:$B,$B904,BASE!$L:$L,$G904,BASE!$J:$J,$C904,BASE!$A:$A,M$2)</f>
        <v>2</v>
      </c>
      <c r="N904" s="12">
        <f>SUMIFS(BASE!$G:$G,BASE!$B:$B,$B904,BASE!$L:$L,$G904,BASE!$J:$J,$C904,BASE!$A:$A,N$2)</f>
        <v>4</v>
      </c>
      <c r="O904" s="12">
        <f>SUMIFS(BASE!$G:$G,BASE!$B:$B,$B904,BASE!$L:$L,$G904,BASE!$J:$J,$C904,BASE!$A:$A,O$2)</f>
        <v>1</v>
      </c>
      <c r="P904" s="12">
        <f>SUMIFS(BASE!$G:$G,BASE!$B:$B,$B904,BASE!$L:$L,$G904,BASE!$J:$J,$C904,BASE!$A:$A,P$2)</f>
        <v>3</v>
      </c>
      <c r="Q904" s="12">
        <f>SUMIFS(BASE!$G:$G,BASE!$B:$B,$B904,BASE!$L:$L,$G904,BASE!$J:$J,$C904,BASE!$A:$A,Q$2)</f>
        <v>6</v>
      </c>
      <c r="R904" s="12">
        <f>SUMIFS(BASE!$G:$G,BASE!$B:$B,$B904,BASE!$L:$L,$G904,BASE!$J:$J,$C904,BASE!$A:$A,R$2)</f>
        <v>4</v>
      </c>
      <c r="S904" s="12">
        <f>SUMIFS(BASE!$G:$G,BASE!$B:$B,$B904,BASE!$L:$L,$G904,BASE!$J:$J,$C904,BASE!$A:$A,S$2)</f>
        <v>0</v>
      </c>
      <c r="T904" s="12">
        <f>SUMIFS(BASE!$G:$G,BASE!$B:$B,$B904,BASE!$L:$L,$G904,BASE!$J:$J,$C904,BASE!$A:$A,T$2)</f>
        <v>0</v>
      </c>
      <c r="U904" s="12">
        <f>SUMIFS(BASE!$G:$G,BASE!$B:$B,$B904,BASE!$L:$L,$G904,BASE!$J:$J,$C904,BASE!$A:$A,U$2)</f>
        <v>0</v>
      </c>
      <c r="V904" s="12">
        <f>SUMIFS(BASE!$G:$G,BASE!$B:$B,$B904,BASE!$L:$L,$G904,BASE!$J:$J,$C904,BASE!$A:$A,V$2)</f>
        <v>0</v>
      </c>
      <c r="X904" t="str">
        <f t="shared" si="29"/>
        <v>COM TROCAS</v>
      </c>
    </row>
    <row r="905" spans="2:24">
      <c r="B905" s="8" t="s">
        <v>1871</v>
      </c>
      <c r="C905" s="9" t="s">
        <v>124</v>
      </c>
      <c r="D905" s="9" t="s">
        <v>1869</v>
      </c>
      <c r="E905" s="9" t="s">
        <v>1812</v>
      </c>
      <c r="F905" s="9" t="s">
        <v>1872</v>
      </c>
      <c r="G905" s="9" t="s">
        <v>58</v>
      </c>
      <c r="H905" s="7" t="str">
        <f>IFERROR(IF(_xlfn.XLOOKUP(B905,REPASSE!D:D,REPASSE!D:D)="","Não","Sim"),"Não")</f>
        <v>Não</v>
      </c>
      <c r="I905" s="7" t="str">
        <f>IF(_xlfn.XLOOKUP(B905,'BOOST LIBERADO'!B:B,'BOOST LIBERADO'!B:B,"Não")="Não","Não","Sim")</f>
        <v>Sim</v>
      </c>
      <c r="J905" s="83" t="str">
        <f t="shared" si="28"/>
        <v>Sim</v>
      </c>
      <c r="K905" s="12">
        <f>SUMIFS(BASE!$G:$G,BASE!$B:$B,$B905,BASE!$L:$L,$G905,BASE!$J:$J,$C905,BASE!$A:$A,K$2)</f>
        <v>0</v>
      </c>
      <c r="L905" s="12">
        <f>SUMIFS(BASE!$G:$G,BASE!$B:$B,$B905,BASE!$L:$L,$G905,BASE!$J:$J,$C905,BASE!$A:$A,L$2)</f>
        <v>0</v>
      </c>
      <c r="M905" s="12">
        <f>SUMIFS(BASE!$G:$G,BASE!$B:$B,$B905,BASE!$L:$L,$G905,BASE!$J:$J,$C905,BASE!$A:$A,M$2)</f>
        <v>3</v>
      </c>
      <c r="N905" s="12">
        <f>SUMIFS(BASE!$G:$G,BASE!$B:$B,$B905,BASE!$L:$L,$G905,BASE!$J:$J,$C905,BASE!$A:$A,N$2)</f>
        <v>1</v>
      </c>
      <c r="O905" s="12">
        <f>SUMIFS(BASE!$G:$G,BASE!$B:$B,$B905,BASE!$L:$L,$G905,BASE!$J:$J,$C905,BASE!$A:$A,O$2)</f>
        <v>1</v>
      </c>
      <c r="P905" s="12">
        <f>SUMIFS(BASE!$G:$G,BASE!$B:$B,$B905,BASE!$L:$L,$G905,BASE!$J:$J,$C905,BASE!$A:$A,P$2)</f>
        <v>0</v>
      </c>
      <c r="Q905" s="12">
        <f>SUMIFS(BASE!$G:$G,BASE!$B:$B,$B905,BASE!$L:$L,$G905,BASE!$J:$J,$C905,BASE!$A:$A,Q$2)</f>
        <v>5</v>
      </c>
      <c r="R905" s="12">
        <f>SUMIFS(BASE!$G:$G,BASE!$B:$B,$B905,BASE!$L:$L,$G905,BASE!$J:$J,$C905,BASE!$A:$A,R$2)</f>
        <v>3</v>
      </c>
      <c r="S905" s="12">
        <f>SUMIFS(BASE!$G:$G,BASE!$B:$B,$B905,BASE!$L:$L,$G905,BASE!$J:$J,$C905,BASE!$A:$A,S$2)</f>
        <v>0</v>
      </c>
      <c r="T905" s="12">
        <f>SUMIFS(BASE!$G:$G,BASE!$B:$B,$B905,BASE!$L:$L,$G905,BASE!$J:$J,$C905,BASE!$A:$A,T$2)</f>
        <v>0</v>
      </c>
      <c r="U905" s="12">
        <f>SUMIFS(BASE!$G:$G,BASE!$B:$B,$B905,BASE!$L:$L,$G905,BASE!$J:$J,$C905,BASE!$A:$A,U$2)</f>
        <v>0</v>
      </c>
      <c r="V905" s="12">
        <f>SUMIFS(BASE!$G:$G,BASE!$B:$B,$B905,BASE!$L:$L,$G905,BASE!$J:$J,$C905,BASE!$A:$A,V$2)</f>
        <v>0</v>
      </c>
      <c r="X905" t="str">
        <f t="shared" si="29"/>
        <v>COM TROCAS</v>
      </c>
    </row>
    <row r="906" spans="2:24">
      <c r="B906" s="8" t="s">
        <v>1873</v>
      </c>
      <c r="C906" s="9" t="s">
        <v>124</v>
      </c>
      <c r="D906" s="9" t="s">
        <v>1869</v>
      </c>
      <c r="E906" s="9" t="s">
        <v>1812</v>
      </c>
      <c r="F906" s="9" t="s">
        <v>1874</v>
      </c>
      <c r="G906" s="9" t="s">
        <v>58</v>
      </c>
      <c r="H906" s="7" t="str">
        <f>IFERROR(IF(_xlfn.XLOOKUP(B906,REPASSE!D:D,REPASSE!D:D)="","Não","Sim"),"Não")</f>
        <v>Sim</v>
      </c>
      <c r="I906" s="7" t="str">
        <f>IF(_xlfn.XLOOKUP(B906,'BOOST LIBERADO'!B:B,'BOOST LIBERADO'!B:B,"Não")="Não","Não","Sim")</f>
        <v>Sim</v>
      </c>
      <c r="J906" s="83" t="str">
        <f t="shared" si="28"/>
        <v>Não</v>
      </c>
      <c r="K906" s="12">
        <f>SUMIFS(BASE!$G:$G,BASE!$B:$B,$B906,BASE!$L:$L,$G906,BASE!$J:$J,$C906,BASE!$A:$A,K$2)</f>
        <v>0</v>
      </c>
      <c r="L906" s="12">
        <f>SUMIFS(BASE!$G:$G,BASE!$B:$B,$B906,BASE!$L:$L,$G906,BASE!$J:$J,$C906,BASE!$A:$A,L$2)</f>
        <v>0</v>
      </c>
      <c r="M906" s="12">
        <f>SUMIFS(BASE!$G:$G,BASE!$B:$B,$B906,BASE!$L:$L,$G906,BASE!$J:$J,$C906,BASE!$A:$A,M$2)</f>
        <v>0</v>
      </c>
      <c r="N906" s="12">
        <f>SUMIFS(BASE!$G:$G,BASE!$B:$B,$B906,BASE!$L:$L,$G906,BASE!$J:$J,$C906,BASE!$A:$A,N$2)</f>
        <v>0</v>
      </c>
      <c r="O906" s="12">
        <f>SUMIFS(BASE!$G:$G,BASE!$B:$B,$B906,BASE!$L:$L,$G906,BASE!$J:$J,$C906,BASE!$A:$A,O$2)</f>
        <v>0</v>
      </c>
      <c r="P906" s="12">
        <f>SUMIFS(BASE!$G:$G,BASE!$B:$B,$B906,BASE!$L:$L,$G906,BASE!$J:$J,$C906,BASE!$A:$A,P$2)</f>
        <v>0</v>
      </c>
      <c r="Q906" s="12">
        <f>SUMIFS(BASE!$G:$G,BASE!$B:$B,$B906,BASE!$L:$L,$G906,BASE!$J:$J,$C906,BASE!$A:$A,Q$2)</f>
        <v>6</v>
      </c>
      <c r="R906" s="12">
        <f>SUMIFS(BASE!$G:$G,BASE!$B:$B,$B906,BASE!$L:$L,$G906,BASE!$J:$J,$C906,BASE!$A:$A,R$2)</f>
        <v>5</v>
      </c>
      <c r="S906" s="12">
        <f>SUMIFS(BASE!$G:$G,BASE!$B:$B,$B906,BASE!$L:$L,$G906,BASE!$J:$J,$C906,BASE!$A:$A,S$2)</f>
        <v>0</v>
      </c>
      <c r="T906" s="12">
        <f>SUMIFS(BASE!$G:$G,BASE!$B:$B,$B906,BASE!$L:$L,$G906,BASE!$J:$J,$C906,BASE!$A:$A,T$2)</f>
        <v>0</v>
      </c>
      <c r="U906" s="12">
        <f>SUMIFS(BASE!$G:$G,BASE!$B:$B,$B906,BASE!$L:$L,$G906,BASE!$J:$J,$C906,BASE!$A:$A,U$2)</f>
        <v>0</v>
      </c>
      <c r="V906" s="12">
        <f>SUMIFS(BASE!$G:$G,BASE!$B:$B,$B906,BASE!$L:$L,$G906,BASE!$J:$J,$C906,BASE!$A:$A,V$2)</f>
        <v>0</v>
      </c>
      <c r="X906" t="str">
        <f t="shared" si="29"/>
        <v>COM TROCAS</v>
      </c>
    </row>
    <row r="907" spans="2:24">
      <c r="B907" s="8" t="s">
        <v>1875</v>
      </c>
      <c r="C907" s="9" t="s">
        <v>124</v>
      </c>
      <c r="D907" s="9" t="s">
        <v>1869</v>
      </c>
      <c r="E907" s="9" t="s">
        <v>1812</v>
      </c>
      <c r="F907" s="9" t="s">
        <v>1876</v>
      </c>
      <c r="G907" s="9" t="s">
        <v>58</v>
      </c>
      <c r="H907" s="7" t="str">
        <f>IFERROR(IF(_xlfn.XLOOKUP(B907,REPASSE!D:D,REPASSE!D:D)="","Não","Sim"),"Não")</f>
        <v>Não</v>
      </c>
      <c r="I907" s="7" t="str">
        <f>IF(_xlfn.XLOOKUP(B907,'BOOST LIBERADO'!B:B,'BOOST LIBERADO'!B:B,"Não")="Não","Não","Sim")</f>
        <v>Sim</v>
      </c>
      <c r="J907" s="83" t="str">
        <f t="shared" si="28"/>
        <v>Sim</v>
      </c>
      <c r="K907" s="12">
        <f>SUMIFS(BASE!$G:$G,BASE!$B:$B,$B907,BASE!$L:$L,$G907,BASE!$J:$J,$C907,BASE!$A:$A,K$2)</f>
        <v>5</v>
      </c>
      <c r="L907" s="12">
        <f>SUMIFS(BASE!$G:$G,BASE!$B:$B,$B907,BASE!$L:$L,$G907,BASE!$J:$J,$C907,BASE!$A:$A,L$2)</f>
        <v>6</v>
      </c>
      <c r="M907" s="12">
        <f>SUMIFS(BASE!$G:$G,BASE!$B:$B,$B907,BASE!$L:$L,$G907,BASE!$J:$J,$C907,BASE!$A:$A,M$2)</f>
        <v>3</v>
      </c>
      <c r="N907" s="12">
        <f>SUMIFS(BASE!$G:$G,BASE!$B:$B,$B907,BASE!$L:$L,$G907,BASE!$J:$J,$C907,BASE!$A:$A,N$2)</f>
        <v>8</v>
      </c>
      <c r="O907" s="12">
        <f>SUMIFS(BASE!$G:$G,BASE!$B:$B,$B907,BASE!$L:$L,$G907,BASE!$J:$J,$C907,BASE!$A:$A,O$2)</f>
        <v>13</v>
      </c>
      <c r="P907" s="12">
        <f>SUMIFS(BASE!$G:$G,BASE!$B:$B,$B907,BASE!$L:$L,$G907,BASE!$J:$J,$C907,BASE!$A:$A,P$2)</f>
        <v>8</v>
      </c>
      <c r="Q907" s="12">
        <f>SUMIFS(BASE!$G:$G,BASE!$B:$B,$B907,BASE!$L:$L,$G907,BASE!$J:$J,$C907,BASE!$A:$A,Q$2)</f>
        <v>12</v>
      </c>
      <c r="R907" s="12">
        <f>SUMIFS(BASE!$G:$G,BASE!$B:$B,$B907,BASE!$L:$L,$G907,BASE!$J:$J,$C907,BASE!$A:$A,R$2)</f>
        <v>5</v>
      </c>
      <c r="S907" s="12">
        <f>SUMIFS(BASE!$G:$G,BASE!$B:$B,$B907,BASE!$L:$L,$G907,BASE!$J:$J,$C907,BASE!$A:$A,S$2)</f>
        <v>0</v>
      </c>
      <c r="T907" s="12">
        <f>SUMIFS(BASE!$G:$G,BASE!$B:$B,$B907,BASE!$L:$L,$G907,BASE!$J:$J,$C907,BASE!$A:$A,T$2)</f>
        <v>0</v>
      </c>
      <c r="U907" s="12">
        <f>SUMIFS(BASE!$G:$G,BASE!$B:$B,$B907,BASE!$L:$L,$G907,BASE!$J:$J,$C907,BASE!$A:$A,U$2)</f>
        <v>0</v>
      </c>
      <c r="V907" s="12">
        <f>SUMIFS(BASE!$G:$G,BASE!$B:$B,$B907,BASE!$L:$L,$G907,BASE!$J:$J,$C907,BASE!$A:$A,V$2)</f>
        <v>0</v>
      </c>
      <c r="X907" t="str">
        <f t="shared" si="29"/>
        <v>COM TROCAS</v>
      </c>
    </row>
    <row r="908" spans="2:24">
      <c r="B908" s="8" t="s">
        <v>1877</v>
      </c>
      <c r="C908" s="9" t="s">
        <v>124</v>
      </c>
      <c r="D908" s="9" t="s">
        <v>1869</v>
      </c>
      <c r="E908" s="9" t="s">
        <v>1812</v>
      </c>
      <c r="F908" s="9" t="s">
        <v>1876</v>
      </c>
      <c r="G908" s="9" t="s">
        <v>58</v>
      </c>
      <c r="H908" s="7" t="str">
        <f>IFERROR(IF(_xlfn.XLOOKUP(B908,REPASSE!D:D,REPASSE!D:D)="","Não","Sim"),"Não")</f>
        <v>Não</v>
      </c>
      <c r="I908" s="7" t="str">
        <f>IF(_xlfn.XLOOKUP(B908,'BOOST LIBERADO'!B:B,'BOOST LIBERADO'!B:B,"Não")="Não","Não","Sim")</f>
        <v>Sim</v>
      </c>
      <c r="J908" s="83" t="str">
        <f t="shared" si="28"/>
        <v>Sim</v>
      </c>
      <c r="K908" s="12">
        <f>SUMIFS(BASE!$G:$G,BASE!$B:$B,$B908,BASE!$L:$L,$G908,BASE!$J:$J,$C908,BASE!$A:$A,K$2)</f>
        <v>3</v>
      </c>
      <c r="L908" s="12">
        <f>SUMIFS(BASE!$G:$G,BASE!$B:$B,$B908,BASE!$L:$L,$G908,BASE!$J:$J,$C908,BASE!$A:$A,L$2)</f>
        <v>4</v>
      </c>
      <c r="M908" s="12">
        <f>SUMIFS(BASE!$G:$G,BASE!$B:$B,$B908,BASE!$L:$L,$G908,BASE!$J:$J,$C908,BASE!$A:$A,M$2)</f>
        <v>3</v>
      </c>
      <c r="N908" s="12">
        <f>SUMIFS(BASE!$G:$G,BASE!$B:$B,$B908,BASE!$L:$L,$G908,BASE!$J:$J,$C908,BASE!$A:$A,N$2)</f>
        <v>7</v>
      </c>
      <c r="O908" s="12">
        <f>SUMIFS(BASE!$G:$G,BASE!$B:$B,$B908,BASE!$L:$L,$G908,BASE!$J:$J,$C908,BASE!$A:$A,O$2)</f>
        <v>11</v>
      </c>
      <c r="P908" s="12">
        <f>SUMIFS(BASE!$G:$G,BASE!$B:$B,$B908,BASE!$L:$L,$G908,BASE!$J:$J,$C908,BASE!$A:$A,P$2)</f>
        <v>12</v>
      </c>
      <c r="Q908" s="12">
        <f>SUMIFS(BASE!$G:$G,BASE!$B:$B,$B908,BASE!$L:$L,$G908,BASE!$J:$J,$C908,BASE!$A:$A,Q$2)</f>
        <v>6</v>
      </c>
      <c r="R908" s="12">
        <f>SUMIFS(BASE!$G:$G,BASE!$B:$B,$B908,BASE!$L:$L,$G908,BASE!$J:$J,$C908,BASE!$A:$A,R$2)</f>
        <v>3</v>
      </c>
      <c r="S908" s="12">
        <f>SUMIFS(BASE!$G:$G,BASE!$B:$B,$B908,BASE!$L:$L,$G908,BASE!$J:$J,$C908,BASE!$A:$A,S$2)</f>
        <v>0</v>
      </c>
      <c r="T908" s="12">
        <f>SUMIFS(BASE!$G:$G,BASE!$B:$B,$B908,BASE!$L:$L,$G908,BASE!$J:$J,$C908,BASE!$A:$A,T$2)</f>
        <v>0</v>
      </c>
      <c r="U908" s="12">
        <f>SUMIFS(BASE!$G:$G,BASE!$B:$B,$B908,BASE!$L:$L,$G908,BASE!$J:$J,$C908,BASE!$A:$A,U$2)</f>
        <v>0</v>
      </c>
      <c r="V908" s="12">
        <f>SUMIFS(BASE!$G:$G,BASE!$B:$B,$B908,BASE!$L:$L,$G908,BASE!$J:$J,$C908,BASE!$A:$A,V$2)</f>
        <v>0</v>
      </c>
      <c r="X908" t="str">
        <f t="shared" si="29"/>
        <v>COM TROCAS</v>
      </c>
    </row>
    <row r="909" spans="2:24">
      <c r="B909" s="8" t="s">
        <v>1878</v>
      </c>
      <c r="C909" s="9" t="s">
        <v>124</v>
      </c>
      <c r="D909" s="9" t="s">
        <v>1869</v>
      </c>
      <c r="E909" s="9" t="s">
        <v>1812</v>
      </c>
      <c r="F909" s="9" t="s">
        <v>1876</v>
      </c>
      <c r="G909" s="9" t="s">
        <v>58</v>
      </c>
      <c r="H909" s="7" t="str">
        <f>IFERROR(IF(_xlfn.XLOOKUP(B909,REPASSE!D:D,REPASSE!D:D)="","Não","Sim"),"Não")</f>
        <v>Não</v>
      </c>
      <c r="I909" s="7" t="str">
        <f>IF(_xlfn.XLOOKUP(B909,'BOOST LIBERADO'!B:B,'BOOST LIBERADO'!B:B,"Não")="Não","Não","Sim")</f>
        <v>Sim</v>
      </c>
      <c r="J909" s="83" t="str">
        <f t="shared" si="28"/>
        <v>Sim</v>
      </c>
      <c r="K909" s="12">
        <f>SUMIFS(BASE!$G:$G,BASE!$B:$B,$B909,BASE!$L:$L,$G909,BASE!$J:$J,$C909,BASE!$A:$A,K$2)</f>
        <v>2</v>
      </c>
      <c r="L909" s="12">
        <f>SUMIFS(BASE!$G:$G,BASE!$B:$B,$B909,BASE!$L:$L,$G909,BASE!$J:$J,$C909,BASE!$A:$A,L$2)</f>
        <v>2</v>
      </c>
      <c r="M909" s="12">
        <f>SUMIFS(BASE!$G:$G,BASE!$B:$B,$B909,BASE!$L:$L,$G909,BASE!$J:$J,$C909,BASE!$A:$A,M$2)</f>
        <v>6</v>
      </c>
      <c r="N909" s="12">
        <f>SUMIFS(BASE!$G:$G,BASE!$B:$B,$B909,BASE!$L:$L,$G909,BASE!$J:$J,$C909,BASE!$A:$A,N$2)</f>
        <v>6</v>
      </c>
      <c r="O909" s="12">
        <f>SUMIFS(BASE!$G:$G,BASE!$B:$B,$B909,BASE!$L:$L,$G909,BASE!$J:$J,$C909,BASE!$A:$A,O$2)</f>
        <v>3</v>
      </c>
      <c r="P909" s="12">
        <f>SUMIFS(BASE!$G:$G,BASE!$B:$B,$B909,BASE!$L:$L,$G909,BASE!$J:$J,$C909,BASE!$A:$A,P$2)</f>
        <v>22</v>
      </c>
      <c r="Q909" s="12">
        <f>SUMIFS(BASE!$G:$G,BASE!$B:$B,$B909,BASE!$L:$L,$G909,BASE!$J:$J,$C909,BASE!$A:$A,Q$2)</f>
        <v>28</v>
      </c>
      <c r="R909" s="12">
        <f>SUMIFS(BASE!$G:$G,BASE!$B:$B,$B909,BASE!$L:$L,$G909,BASE!$J:$J,$C909,BASE!$A:$A,R$2)</f>
        <v>8</v>
      </c>
      <c r="S909" s="12">
        <f>SUMIFS(BASE!$G:$G,BASE!$B:$B,$B909,BASE!$L:$L,$G909,BASE!$J:$J,$C909,BASE!$A:$A,S$2)</f>
        <v>0</v>
      </c>
      <c r="T909" s="12">
        <f>SUMIFS(BASE!$G:$G,BASE!$B:$B,$B909,BASE!$L:$L,$G909,BASE!$J:$J,$C909,BASE!$A:$A,T$2)</f>
        <v>0</v>
      </c>
      <c r="U909" s="12">
        <f>SUMIFS(BASE!$G:$G,BASE!$B:$B,$B909,BASE!$L:$L,$G909,BASE!$J:$J,$C909,BASE!$A:$A,U$2)</f>
        <v>0</v>
      </c>
      <c r="V909" s="12">
        <f>SUMIFS(BASE!$G:$G,BASE!$B:$B,$B909,BASE!$L:$L,$G909,BASE!$J:$J,$C909,BASE!$A:$A,V$2)</f>
        <v>0</v>
      </c>
      <c r="X909" t="str">
        <f t="shared" si="29"/>
        <v>COM TROCAS</v>
      </c>
    </row>
    <row r="910" spans="2:24">
      <c r="B910" s="8" t="s">
        <v>1879</v>
      </c>
      <c r="C910" s="9" t="s">
        <v>124</v>
      </c>
      <c r="D910" s="9" t="s">
        <v>1869</v>
      </c>
      <c r="E910" s="9" t="s">
        <v>1812</v>
      </c>
      <c r="F910" s="9" t="s">
        <v>1880</v>
      </c>
      <c r="G910" s="9" t="s">
        <v>58</v>
      </c>
      <c r="H910" s="7" t="str">
        <f>IFERROR(IF(_xlfn.XLOOKUP(B910,REPASSE!D:D,REPASSE!D:D)="","Não","Sim"),"Não")</f>
        <v>Não</v>
      </c>
      <c r="I910" s="7" t="str">
        <f>IF(_xlfn.XLOOKUP(B910,'BOOST LIBERADO'!B:B,'BOOST LIBERADO'!B:B,"Não")="Não","Não","Sim")</f>
        <v>Sim</v>
      </c>
      <c r="J910" s="83" t="str">
        <f t="shared" si="28"/>
        <v>Sim</v>
      </c>
      <c r="K910" s="12">
        <f>SUMIFS(BASE!$G:$G,BASE!$B:$B,$B910,BASE!$L:$L,$G910,BASE!$J:$J,$C910,BASE!$A:$A,K$2)</f>
        <v>0</v>
      </c>
      <c r="L910" s="12">
        <f>SUMIFS(BASE!$G:$G,BASE!$B:$B,$B910,BASE!$L:$L,$G910,BASE!$J:$J,$C910,BASE!$A:$A,L$2)</f>
        <v>0</v>
      </c>
      <c r="M910" s="12">
        <f>SUMIFS(BASE!$G:$G,BASE!$B:$B,$B910,BASE!$L:$L,$G910,BASE!$J:$J,$C910,BASE!$A:$A,M$2)</f>
        <v>0</v>
      </c>
      <c r="N910" s="12">
        <f>SUMIFS(BASE!$G:$G,BASE!$B:$B,$B910,BASE!$L:$L,$G910,BASE!$J:$J,$C910,BASE!$A:$A,N$2)</f>
        <v>0</v>
      </c>
      <c r="O910" s="12">
        <f>SUMIFS(BASE!$G:$G,BASE!$B:$B,$B910,BASE!$L:$L,$G910,BASE!$J:$J,$C910,BASE!$A:$A,O$2)</f>
        <v>0</v>
      </c>
      <c r="P910" s="12">
        <f>SUMIFS(BASE!$G:$G,BASE!$B:$B,$B910,BASE!$L:$L,$G910,BASE!$J:$J,$C910,BASE!$A:$A,P$2)</f>
        <v>0</v>
      </c>
      <c r="Q910" s="12">
        <f>SUMIFS(BASE!$G:$G,BASE!$B:$B,$B910,BASE!$L:$L,$G910,BASE!$J:$J,$C910,BASE!$A:$A,Q$2)</f>
        <v>0</v>
      </c>
      <c r="R910" s="12">
        <f>SUMIFS(BASE!$G:$G,BASE!$B:$B,$B910,BASE!$L:$L,$G910,BASE!$J:$J,$C910,BASE!$A:$A,R$2)</f>
        <v>0</v>
      </c>
      <c r="S910" s="12">
        <f>SUMIFS(BASE!$G:$G,BASE!$B:$B,$B910,BASE!$L:$L,$G910,BASE!$J:$J,$C910,BASE!$A:$A,S$2)</f>
        <v>0</v>
      </c>
      <c r="T910" s="12">
        <f>SUMIFS(BASE!$G:$G,BASE!$B:$B,$B910,BASE!$L:$L,$G910,BASE!$J:$J,$C910,BASE!$A:$A,T$2)</f>
        <v>0</v>
      </c>
      <c r="U910" s="12">
        <f>SUMIFS(BASE!$G:$G,BASE!$B:$B,$B910,BASE!$L:$L,$G910,BASE!$J:$J,$C910,BASE!$A:$A,U$2)</f>
        <v>0</v>
      </c>
      <c r="V910" s="12">
        <f>SUMIFS(BASE!$G:$G,BASE!$B:$B,$B910,BASE!$L:$L,$G910,BASE!$J:$J,$C910,BASE!$A:$A,V$2)</f>
        <v>0</v>
      </c>
      <c r="X910" t="str">
        <f t="shared" si="29"/>
        <v>ZERADO</v>
      </c>
    </row>
    <row r="911" spans="2:24">
      <c r="B911" s="8" t="s">
        <v>1881</v>
      </c>
      <c r="C911" s="9" t="s">
        <v>124</v>
      </c>
      <c r="D911" s="9" t="s">
        <v>1869</v>
      </c>
      <c r="E911" s="9" t="s">
        <v>1812</v>
      </c>
      <c r="F911" s="9" t="s">
        <v>1882</v>
      </c>
      <c r="G911" s="9" t="s">
        <v>58</v>
      </c>
      <c r="H911" s="7" t="str">
        <f>IFERROR(IF(_xlfn.XLOOKUP(B911,REPASSE!D:D,REPASSE!D:D)="","Não","Sim"),"Não")</f>
        <v>Não</v>
      </c>
      <c r="I911" s="7" t="str">
        <f>IF(_xlfn.XLOOKUP(B911,'BOOST LIBERADO'!B:B,'BOOST LIBERADO'!B:B,"Não")="Não","Não","Sim")</f>
        <v>Sim</v>
      </c>
      <c r="J911" s="83" t="str">
        <f t="shared" si="28"/>
        <v>Sim</v>
      </c>
      <c r="K911" s="12">
        <f>SUMIFS(BASE!$G:$G,BASE!$B:$B,$B911,BASE!$L:$L,$G911,BASE!$J:$J,$C911,BASE!$A:$A,K$2)</f>
        <v>0</v>
      </c>
      <c r="L911" s="12">
        <f>SUMIFS(BASE!$G:$G,BASE!$B:$B,$B911,BASE!$L:$L,$G911,BASE!$J:$J,$C911,BASE!$A:$A,L$2)</f>
        <v>0</v>
      </c>
      <c r="M911" s="12">
        <f>SUMIFS(BASE!$G:$G,BASE!$B:$B,$B911,BASE!$L:$L,$G911,BASE!$J:$J,$C911,BASE!$A:$A,M$2)</f>
        <v>0</v>
      </c>
      <c r="N911" s="12">
        <f>SUMIFS(BASE!$G:$G,BASE!$B:$B,$B911,BASE!$L:$L,$G911,BASE!$J:$J,$C911,BASE!$A:$A,N$2)</f>
        <v>0</v>
      </c>
      <c r="O911" s="12">
        <f>SUMIFS(BASE!$G:$G,BASE!$B:$B,$B911,BASE!$L:$L,$G911,BASE!$J:$J,$C911,BASE!$A:$A,O$2)</f>
        <v>3</v>
      </c>
      <c r="P911" s="12">
        <f>SUMIFS(BASE!$G:$G,BASE!$B:$B,$B911,BASE!$L:$L,$G911,BASE!$J:$J,$C911,BASE!$A:$A,P$2)</f>
        <v>1</v>
      </c>
      <c r="Q911" s="12">
        <f>SUMIFS(BASE!$G:$G,BASE!$B:$B,$B911,BASE!$L:$L,$G911,BASE!$J:$J,$C911,BASE!$A:$A,Q$2)</f>
        <v>3</v>
      </c>
      <c r="R911" s="12">
        <f>SUMIFS(BASE!$G:$G,BASE!$B:$B,$B911,BASE!$L:$L,$G911,BASE!$J:$J,$C911,BASE!$A:$A,R$2)</f>
        <v>3</v>
      </c>
      <c r="S911" s="12">
        <f>SUMIFS(BASE!$G:$G,BASE!$B:$B,$B911,BASE!$L:$L,$G911,BASE!$J:$J,$C911,BASE!$A:$A,S$2)</f>
        <v>0</v>
      </c>
      <c r="T911" s="12">
        <f>SUMIFS(BASE!$G:$G,BASE!$B:$B,$B911,BASE!$L:$L,$G911,BASE!$J:$J,$C911,BASE!$A:$A,T$2)</f>
        <v>0</v>
      </c>
      <c r="U911" s="12">
        <f>SUMIFS(BASE!$G:$G,BASE!$B:$B,$B911,BASE!$L:$L,$G911,BASE!$J:$J,$C911,BASE!$A:$A,U$2)</f>
        <v>0</v>
      </c>
      <c r="V911" s="12">
        <f>SUMIFS(BASE!$G:$G,BASE!$B:$B,$B911,BASE!$L:$L,$G911,BASE!$J:$J,$C911,BASE!$A:$A,V$2)</f>
        <v>0</v>
      </c>
      <c r="X911" t="str">
        <f t="shared" si="29"/>
        <v>COM TROCAS</v>
      </c>
    </row>
    <row r="912" spans="2:24">
      <c r="B912" s="8" t="s">
        <v>1883</v>
      </c>
      <c r="C912" s="9" t="s">
        <v>124</v>
      </c>
      <c r="D912" s="9" t="s">
        <v>1869</v>
      </c>
      <c r="E912" s="9" t="s">
        <v>1812</v>
      </c>
      <c r="F912" s="9" t="s">
        <v>1884</v>
      </c>
      <c r="G912" s="9" t="s">
        <v>58</v>
      </c>
      <c r="H912" s="7" t="str">
        <f>IFERROR(IF(_xlfn.XLOOKUP(B912,REPASSE!D:D,REPASSE!D:D)="","Não","Sim"),"Não")</f>
        <v>Sim</v>
      </c>
      <c r="I912" s="7" t="str">
        <f>IF(_xlfn.XLOOKUP(B912,'BOOST LIBERADO'!B:B,'BOOST LIBERADO'!B:B,"Não")="Não","Não","Sim")</f>
        <v>Sim</v>
      </c>
      <c r="J912" s="83" t="str">
        <f t="shared" si="28"/>
        <v>Não</v>
      </c>
      <c r="K912" s="12">
        <f>SUMIFS(BASE!$G:$G,BASE!$B:$B,$B912,BASE!$L:$L,$G912,BASE!$J:$J,$C912,BASE!$A:$A,K$2)</f>
        <v>0</v>
      </c>
      <c r="L912" s="12">
        <f>SUMIFS(BASE!$G:$G,BASE!$B:$B,$B912,BASE!$L:$L,$G912,BASE!$J:$J,$C912,BASE!$A:$A,L$2)</f>
        <v>0</v>
      </c>
      <c r="M912" s="12">
        <f>SUMIFS(BASE!$G:$G,BASE!$B:$B,$B912,BASE!$L:$L,$G912,BASE!$J:$J,$C912,BASE!$A:$A,M$2)</f>
        <v>2</v>
      </c>
      <c r="N912" s="12">
        <f>SUMIFS(BASE!$G:$G,BASE!$B:$B,$B912,BASE!$L:$L,$G912,BASE!$J:$J,$C912,BASE!$A:$A,N$2)</f>
        <v>0</v>
      </c>
      <c r="O912" s="12">
        <f>SUMIFS(BASE!$G:$G,BASE!$B:$B,$B912,BASE!$L:$L,$G912,BASE!$J:$J,$C912,BASE!$A:$A,O$2)</f>
        <v>2</v>
      </c>
      <c r="P912" s="12">
        <f>SUMIFS(BASE!$G:$G,BASE!$B:$B,$B912,BASE!$L:$L,$G912,BASE!$J:$J,$C912,BASE!$A:$A,P$2)</f>
        <v>0</v>
      </c>
      <c r="Q912" s="12">
        <f>SUMIFS(BASE!$G:$G,BASE!$B:$B,$B912,BASE!$L:$L,$G912,BASE!$J:$J,$C912,BASE!$A:$A,Q$2)</f>
        <v>1</v>
      </c>
      <c r="R912" s="12">
        <f>SUMIFS(BASE!$G:$G,BASE!$B:$B,$B912,BASE!$L:$L,$G912,BASE!$J:$J,$C912,BASE!$A:$A,R$2)</f>
        <v>0</v>
      </c>
      <c r="S912" s="12">
        <f>SUMIFS(BASE!$G:$G,BASE!$B:$B,$B912,BASE!$L:$L,$G912,BASE!$J:$J,$C912,BASE!$A:$A,S$2)</f>
        <v>0</v>
      </c>
      <c r="T912" s="12">
        <f>SUMIFS(BASE!$G:$G,BASE!$B:$B,$B912,BASE!$L:$L,$G912,BASE!$J:$J,$C912,BASE!$A:$A,T$2)</f>
        <v>0</v>
      </c>
      <c r="U912" s="12">
        <f>SUMIFS(BASE!$G:$G,BASE!$B:$B,$B912,BASE!$L:$L,$G912,BASE!$J:$J,$C912,BASE!$A:$A,U$2)</f>
        <v>0</v>
      </c>
      <c r="V912" s="12">
        <f>SUMIFS(BASE!$G:$G,BASE!$B:$B,$B912,BASE!$L:$L,$G912,BASE!$J:$J,$C912,BASE!$A:$A,V$2)</f>
        <v>0</v>
      </c>
      <c r="X912" t="str">
        <f t="shared" si="29"/>
        <v>ZERADO</v>
      </c>
    </row>
    <row r="913" spans="2:24">
      <c r="B913" s="8" t="s">
        <v>1885</v>
      </c>
      <c r="C913" s="9" t="s">
        <v>124</v>
      </c>
      <c r="D913" s="9" t="s">
        <v>1886</v>
      </c>
      <c r="E913" s="9" t="s">
        <v>1754</v>
      </c>
      <c r="F913" s="9" t="s">
        <v>1887</v>
      </c>
      <c r="G913" s="9" t="s">
        <v>58</v>
      </c>
      <c r="H913" s="7" t="str">
        <f>IFERROR(IF(_xlfn.XLOOKUP(B913,REPASSE!D:D,REPASSE!D:D)="","Não","Sim"),"Não")</f>
        <v>Não</v>
      </c>
      <c r="I913" s="7" t="str">
        <f>IF(_xlfn.XLOOKUP(B913,'BOOST LIBERADO'!B:B,'BOOST LIBERADO'!B:B,"Não")="Não","Não","Sim")</f>
        <v>Sim</v>
      </c>
      <c r="J913" s="83" t="str">
        <f t="shared" si="28"/>
        <v>Sim</v>
      </c>
      <c r="K913" s="12">
        <f>SUMIFS(BASE!$G:$G,BASE!$B:$B,$B913,BASE!$L:$L,$G913,BASE!$J:$J,$C913,BASE!$A:$A,K$2)</f>
        <v>0</v>
      </c>
      <c r="L913" s="12">
        <f>SUMIFS(BASE!$G:$G,BASE!$B:$B,$B913,BASE!$L:$L,$G913,BASE!$J:$J,$C913,BASE!$A:$A,L$2)</f>
        <v>0</v>
      </c>
      <c r="M913" s="12">
        <f>SUMIFS(BASE!$G:$G,BASE!$B:$B,$B913,BASE!$L:$L,$G913,BASE!$J:$J,$C913,BASE!$A:$A,M$2)</f>
        <v>0</v>
      </c>
      <c r="N913" s="12">
        <f>SUMIFS(BASE!$G:$G,BASE!$B:$B,$B913,BASE!$L:$L,$G913,BASE!$J:$J,$C913,BASE!$A:$A,N$2)</f>
        <v>0</v>
      </c>
      <c r="O913" s="12">
        <f>SUMIFS(BASE!$G:$G,BASE!$B:$B,$B913,BASE!$L:$L,$G913,BASE!$J:$J,$C913,BASE!$A:$A,O$2)</f>
        <v>0</v>
      </c>
      <c r="P913" s="12">
        <f>SUMIFS(BASE!$G:$G,BASE!$B:$B,$B913,BASE!$L:$L,$G913,BASE!$J:$J,$C913,BASE!$A:$A,P$2)</f>
        <v>3</v>
      </c>
      <c r="Q913" s="12">
        <f>SUMIFS(BASE!$G:$G,BASE!$B:$B,$B913,BASE!$L:$L,$G913,BASE!$J:$J,$C913,BASE!$A:$A,Q$2)</f>
        <v>0</v>
      </c>
      <c r="R913" s="12">
        <f>SUMIFS(BASE!$G:$G,BASE!$B:$B,$B913,BASE!$L:$L,$G913,BASE!$J:$J,$C913,BASE!$A:$A,R$2)</f>
        <v>0</v>
      </c>
      <c r="S913" s="12">
        <f>SUMIFS(BASE!$G:$G,BASE!$B:$B,$B913,BASE!$L:$L,$G913,BASE!$J:$J,$C913,BASE!$A:$A,S$2)</f>
        <v>0</v>
      </c>
      <c r="T913" s="12">
        <f>SUMIFS(BASE!$G:$G,BASE!$B:$B,$B913,BASE!$L:$L,$G913,BASE!$J:$J,$C913,BASE!$A:$A,T$2)</f>
        <v>0</v>
      </c>
      <c r="U913" s="12">
        <f>SUMIFS(BASE!$G:$G,BASE!$B:$B,$B913,BASE!$L:$L,$G913,BASE!$J:$J,$C913,BASE!$A:$A,U$2)</f>
        <v>0</v>
      </c>
      <c r="V913" s="12">
        <f>SUMIFS(BASE!$G:$G,BASE!$B:$B,$B913,BASE!$L:$L,$G913,BASE!$J:$J,$C913,BASE!$A:$A,V$2)</f>
        <v>0</v>
      </c>
      <c r="X913" t="str">
        <f t="shared" si="29"/>
        <v>ZERADO</v>
      </c>
    </row>
    <row r="914" spans="2:24">
      <c r="B914" s="8" t="s">
        <v>1888</v>
      </c>
      <c r="C914" s="9" t="s">
        <v>124</v>
      </c>
      <c r="D914" s="9" t="s">
        <v>1886</v>
      </c>
      <c r="E914" s="9" t="s">
        <v>1754</v>
      </c>
      <c r="F914" s="9" t="s">
        <v>1889</v>
      </c>
      <c r="G914" s="9" t="s">
        <v>58</v>
      </c>
      <c r="H914" s="7" t="str">
        <f>IFERROR(IF(_xlfn.XLOOKUP(B914,REPASSE!D:D,REPASSE!D:D)="","Não","Sim"),"Não")</f>
        <v>Não</v>
      </c>
      <c r="I914" s="7" t="str">
        <f>IF(_xlfn.XLOOKUP(B914,'BOOST LIBERADO'!B:B,'BOOST LIBERADO'!B:B,"Não")="Não","Não","Sim")</f>
        <v>Sim</v>
      </c>
      <c r="J914" s="83" t="str">
        <f t="shared" si="28"/>
        <v>Sim</v>
      </c>
      <c r="K914" s="12">
        <f>SUMIFS(BASE!$G:$G,BASE!$B:$B,$B914,BASE!$L:$L,$G914,BASE!$J:$J,$C914,BASE!$A:$A,K$2)</f>
        <v>0</v>
      </c>
      <c r="L914" s="12">
        <f>SUMIFS(BASE!$G:$G,BASE!$B:$B,$B914,BASE!$L:$L,$G914,BASE!$J:$J,$C914,BASE!$A:$A,L$2)</f>
        <v>0</v>
      </c>
      <c r="M914" s="12">
        <f>SUMIFS(BASE!$G:$G,BASE!$B:$B,$B914,BASE!$L:$L,$G914,BASE!$J:$J,$C914,BASE!$A:$A,M$2)</f>
        <v>0</v>
      </c>
      <c r="N914" s="12">
        <f>SUMIFS(BASE!$G:$G,BASE!$B:$B,$B914,BASE!$L:$L,$G914,BASE!$J:$J,$C914,BASE!$A:$A,N$2)</f>
        <v>0</v>
      </c>
      <c r="O914" s="12">
        <f>SUMIFS(BASE!$G:$G,BASE!$B:$B,$B914,BASE!$L:$L,$G914,BASE!$J:$J,$C914,BASE!$A:$A,O$2)</f>
        <v>0</v>
      </c>
      <c r="P914" s="12">
        <f>SUMIFS(BASE!$G:$G,BASE!$B:$B,$B914,BASE!$L:$L,$G914,BASE!$J:$J,$C914,BASE!$A:$A,P$2)</f>
        <v>0</v>
      </c>
      <c r="Q914" s="12">
        <f>SUMIFS(BASE!$G:$G,BASE!$B:$B,$B914,BASE!$L:$L,$G914,BASE!$J:$J,$C914,BASE!$A:$A,Q$2)</f>
        <v>0</v>
      </c>
      <c r="R914" s="12">
        <f>SUMIFS(BASE!$G:$G,BASE!$B:$B,$B914,BASE!$L:$L,$G914,BASE!$J:$J,$C914,BASE!$A:$A,R$2)</f>
        <v>0</v>
      </c>
      <c r="S914" s="12">
        <f>SUMIFS(BASE!$G:$G,BASE!$B:$B,$B914,BASE!$L:$L,$G914,BASE!$J:$J,$C914,BASE!$A:$A,S$2)</f>
        <v>0</v>
      </c>
      <c r="T914" s="12">
        <f>SUMIFS(BASE!$G:$G,BASE!$B:$B,$B914,BASE!$L:$L,$G914,BASE!$J:$J,$C914,BASE!$A:$A,T$2)</f>
        <v>0</v>
      </c>
      <c r="U914" s="12">
        <f>SUMIFS(BASE!$G:$G,BASE!$B:$B,$B914,BASE!$L:$L,$G914,BASE!$J:$J,$C914,BASE!$A:$A,U$2)</f>
        <v>0</v>
      </c>
      <c r="V914" s="12">
        <f>SUMIFS(BASE!$G:$G,BASE!$B:$B,$B914,BASE!$L:$L,$G914,BASE!$J:$J,$C914,BASE!$A:$A,V$2)</f>
        <v>0</v>
      </c>
      <c r="X914" t="str">
        <f t="shared" si="29"/>
        <v>ZERADO</v>
      </c>
    </row>
    <row r="915" spans="2:24">
      <c r="B915" s="8" t="s">
        <v>1890</v>
      </c>
      <c r="C915" s="9" t="s">
        <v>124</v>
      </c>
      <c r="D915" s="9" t="s">
        <v>1886</v>
      </c>
      <c r="E915" s="9" t="s">
        <v>1754</v>
      </c>
      <c r="F915" s="9" t="s">
        <v>1891</v>
      </c>
      <c r="G915" s="9" t="s">
        <v>58</v>
      </c>
      <c r="H915" s="7" t="str">
        <f>IFERROR(IF(_xlfn.XLOOKUP(B915,REPASSE!D:D,REPASSE!D:D)="","Não","Sim"),"Não")</f>
        <v>Não</v>
      </c>
      <c r="I915" s="7" t="str">
        <f>IF(_xlfn.XLOOKUP(B915,'BOOST LIBERADO'!B:B,'BOOST LIBERADO'!B:B,"Não")="Não","Não","Sim")</f>
        <v>Sim</v>
      </c>
      <c r="J915" s="83" t="str">
        <f t="shared" si="28"/>
        <v>Sim</v>
      </c>
      <c r="K915" s="12">
        <f>SUMIFS(BASE!$G:$G,BASE!$B:$B,$B915,BASE!$L:$L,$G915,BASE!$J:$J,$C915,BASE!$A:$A,K$2)</f>
        <v>0</v>
      </c>
      <c r="L915" s="12">
        <f>SUMIFS(BASE!$G:$G,BASE!$B:$B,$B915,BASE!$L:$L,$G915,BASE!$J:$J,$C915,BASE!$A:$A,L$2)</f>
        <v>0</v>
      </c>
      <c r="M915" s="12">
        <f>SUMIFS(BASE!$G:$G,BASE!$B:$B,$B915,BASE!$L:$L,$G915,BASE!$J:$J,$C915,BASE!$A:$A,M$2)</f>
        <v>0</v>
      </c>
      <c r="N915" s="12">
        <f>SUMIFS(BASE!$G:$G,BASE!$B:$B,$B915,BASE!$L:$L,$G915,BASE!$J:$J,$C915,BASE!$A:$A,N$2)</f>
        <v>0</v>
      </c>
      <c r="O915" s="12">
        <f>SUMIFS(BASE!$G:$G,BASE!$B:$B,$B915,BASE!$L:$L,$G915,BASE!$J:$J,$C915,BASE!$A:$A,O$2)</f>
        <v>0</v>
      </c>
      <c r="P915" s="12">
        <f>SUMIFS(BASE!$G:$G,BASE!$B:$B,$B915,BASE!$L:$L,$G915,BASE!$J:$J,$C915,BASE!$A:$A,P$2)</f>
        <v>0</v>
      </c>
      <c r="Q915" s="12">
        <f>SUMIFS(BASE!$G:$G,BASE!$B:$B,$B915,BASE!$L:$L,$G915,BASE!$J:$J,$C915,BASE!$A:$A,Q$2)</f>
        <v>2</v>
      </c>
      <c r="R915" s="12">
        <f>SUMIFS(BASE!$G:$G,BASE!$B:$B,$B915,BASE!$L:$L,$G915,BASE!$J:$J,$C915,BASE!$A:$A,R$2)</f>
        <v>1</v>
      </c>
      <c r="S915" s="12">
        <f>SUMIFS(BASE!$G:$G,BASE!$B:$B,$B915,BASE!$L:$L,$G915,BASE!$J:$J,$C915,BASE!$A:$A,S$2)</f>
        <v>0</v>
      </c>
      <c r="T915" s="12">
        <f>SUMIFS(BASE!$G:$G,BASE!$B:$B,$B915,BASE!$L:$L,$G915,BASE!$J:$J,$C915,BASE!$A:$A,T$2)</f>
        <v>0</v>
      </c>
      <c r="U915" s="12">
        <f>SUMIFS(BASE!$G:$G,BASE!$B:$B,$B915,BASE!$L:$L,$G915,BASE!$J:$J,$C915,BASE!$A:$A,U$2)</f>
        <v>0</v>
      </c>
      <c r="V915" s="12">
        <f>SUMIFS(BASE!$G:$G,BASE!$B:$B,$B915,BASE!$L:$L,$G915,BASE!$J:$J,$C915,BASE!$A:$A,V$2)</f>
        <v>0</v>
      </c>
      <c r="X915" t="str">
        <f t="shared" si="29"/>
        <v>COM TROCAS</v>
      </c>
    </row>
    <row r="916" spans="2:24">
      <c r="B916" s="8" t="s">
        <v>1892</v>
      </c>
      <c r="C916" s="9" t="s">
        <v>124</v>
      </c>
      <c r="D916" s="9" t="s">
        <v>1886</v>
      </c>
      <c r="E916" s="9" t="s">
        <v>1754</v>
      </c>
      <c r="F916" s="9" t="s">
        <v>1891</v>
      </c>
      <c r="G916" s="9" t="s">
        <v>58</v>
      </c>
      <c r="H916" s="7" t="str">
        <f>IFERROR(IF(_xlfn.XLOOKUP(B916,REPASSE!D:D,REPASSE!D:D)="","Não","Sim"),"Não")</f>
        <v>Não</v>
      </c>
      <c r="I916" s="7" t="str">
        <f>IF(_xlfn.XLOOKUP(B916,'BOOST LIBERADO'!B:B,'BOOST LIBERADO'!B:B,"Não")="Não","Não","Sim")</f>
        <v>Sim</v>
      </c>
      <c r="J916" s="83" t="str">
        <f t="shared" si="28"/>
        <v>Sim</v>
      </c>
      <c r="K916" s="12">
        <f>SUMIFS(BASE!$G:$G,BASE!$B:$B,$B916,BASE!$L:$L,$G916,BASE!$J:$J,$C916,BASE!$A:$A,K$2)</f>
        <v>0</v>
      </c>
      <c r="L916" s="12">
        <f>SUMIFS(BASE!$G:$G,BASE!$B:$B,$B916,BASE!$L:$L,$G916,BASE!$J:$J,$C916,BASE!$A:$A,L$2)</f>
        <v>0</v>
      </c>
      <c r="M916" s="12">
        <f>SUMIFS(BASE!$G:$G,BASE!$B:$B,$B916,BASE!$L:$L,$G916,BASE!$J:$J,$C916,BASE!$A:$A,M$2)</f>
        <v>0</v>
      </c>
      <c r="N916" s="12">
        <f>SUMIFS(BASE!$G:$G,BASE!$B:$B,$B916,BASE!$L:$L,$G916,BASE!$J:$J,$C916,BASE!$A:$A,N$2)</f>
        <v>0</v>
      </c>
      <c r="O916" s="12">
        <f>SUMIFS(BASE!$G:$G,BASE!$B:$B,$B916,BASE!$L:$L,$G916,BASE!$J:$J,$C916,BASE!$A:$A,O$2)</f>
        <v>0</v>
      </c>
      <c r="P916" s="12">
        <f>SUMIFS(BASE!$G:$G,BASE!$B:$B,$B916,BASE!$L:$L,$G916,BASE!$J:$J,$C916,BASE!$A:$A,P$2)</f>
        <v>0</v>
      </c>
      <c r="Q916" s="12">
        <f>SUMIFS(BASE!$G:$G,BASE!$B:$B,$B916,BASE!$L:$L,$G916,BASE!$J:$J,$C916,BASE!$A:$A,Q$2)</f>
        <v>1</v>
      </c>
      <c r="R916" s="12">
        <f>SUMIFS(BASE!$G:$G,BASE!$B:$B,$B916,BASE!$L:$L,$G916,BASE!$J:$J,$C916,BASE!$A:$A,R$2)</f>
        <v>1</v>
      </c>
      <c r="S916" s="12">
        <f>SUMIFS(BASE!$G:$G,BASE!$B:$B,$B916,BASE!$L:$L,$G916,BASE!$J:$J,$C916,BASE!$A:$A,S$2)</f>
        <v>0</v>
      </c>
      <c r="T916" s="12">
        <f>SUMIFS(BASE!$G:$G,BASE!$B:$B,$B916,BASE!$L:$L,$G916,BASE!$J:$J,$C916,BASE!$A:$A,T$2)</f>
        <v>0</v>
      </c>
      <c r="U916" s="12">
        <f>SUMIFS(BASE!$G:$G,BASE!$B:$B,$B916,BASE!$L:$L,$G916,BASE!$J:$J,$C916,BASE!$A:$A,U$2)</f>
        <v>0</v>
      </c>
      <c r="V916" s="12">
        <f>SUMIFS(BASE!$G:$G,BASE!$B:$B,$B916,BASE!$L:$L,$G916,BASE!$J:$J,$C916,BASE!$A:$A,V$2)</f>
        <v>0</v>
      </c>
      <c r="X916" t="str">
        <f t="shared" si="29"/>
        <v>COM TROCAS</v>
      </c>
    </row>
    <row r="917" spans="2:24">
      <c r="B917" s="8" t="s">
        <v>1893</v>
      </c>
      <c r="C917" s="9" t="s">
        <v>124</v>
      </c>
      <c r="D917" s="9" t="s">
        <v>1886</v>
      </c>
      <c r="E917" s="9" t="s">
        <v>1754</v>
      </c>
      <c r="F917" s="9" t="s">
        <v>1894</v>
      </c>
      <c r="G917" s="9" t="s">
        <v>58</v>
      </c>
      <c r="H917" s="7" t="str">
        <f>IFERROR(IF(_xlfn.XLOOKUP(B917,REPASSE!D:D,REPASSE!D:D)="","Não","Sim"),"Não")</f>
        <v>Não</v>
      </c>
      <c r="I917" s="7" t="str">
        <f>IF(_xlfn.XLOOKUP(B917,'BOOST LIBERADO'!B:B,'BOOST LIBERADO'!B:B,"Não")="Não","Não","Sim")</f>
        <v>Sim</v>
      </c>
      <c r="J917" s="83" t="str">
        <f t="shared" si="28"/>
        <v>Sim</v>
      </c>
      <c r="K917" s="12">
        <f>SUMIFS(BASE!$G:$G,BASE!$B:$B,$B917,BASE!$L:$L,$G917,BASE!$J:$J,$C917,BASE!$A:$A,K$2)</f>
        <v>0</v>
      </c>
      <c r="L917" s="12">
        <f>SUMIFS(BASE!$G:$G,BASE!$B:$B,$B917,BASE!$L:$L,$G917,BASE!$J:$J,$C917,BASE!$A:$A,L$2)</f>
        <v>0</v>
      </c>
      <c r="M917" s="12">
        <f>SUMIFS(BASE!$G:$G,BASE!$B:$B,$B917,BASE!$L:$L,$G917,BASE!$J:$J,$C917,BASE!$A:$A,M$2)</f>
        <v>0</v>
      </c>
      <c r="N917" s="12">
        <f>SUMIFS(BASE!$G:$G,BASE!$B:$B,$B917,BASE!$L:$L,$G917,BASE!$J:$J,$C917,BASE!$A:$A,N$2)</f>
        <v>0</v>
      </c>
      <c r="O917" s="12">
        <f>SUMIFS(BASE!$G:$G,BASE!$B:$B,$B917,BASE!$L:$L,$G917,BASE!$J:$J,$C917,BASE!$A:$A,O$2)</f>
        <v>0</v>
      </c>
      <c r="P917" s="12">
        <f>SUMIFS(BASE!$G:$G,BASE!$B:$B,$B917,BASE!$L:$L,$G917,BASE!$J:$J,$C917,BASE!$A:$A,P$2)</f>
        <v>0</v>
      </c>
      <c r="Q917" s="12">
        <f>SUMIFS(BASE!$G:$G,BASE!$B:$B,$B917,BASE!$L:$L,$G917,BASE!$J:$J,$C917,BASE!$A:$A,Q$2)</f>
        <v>9</v>
      </c>
      <c r="R917" s="12">
        <f>SUMIFS(BASE!$G:$G,BASE!$B:$B,$B917,BASE!$L:$L,$G917,BASE!$J:$J,$C917,BASE!$A:$A,R$2)</f>
        <v>2</v>
      </c>
      <c r="S917" s="12">
        <f>SUMIFS(BASE!$G:$G,BASE!$B:$B,$B917,BASE!$L:$L,$G917,BASE!$J:$J,$C917,BASE!$A:$A,S$2)</f>
        <v>0</v>
      </c>
      <c r="T917" s="12">
        <f>SUMIFS(BASE!$G:$G,BASE!$B:$B,$B917,BASE!$L:$L,$G917,BASE!$J:$J,$C917,BASE!$A:$A,T$2)</f>
        <v>0</v>
      </c>
      <c r="U917" s="12">
        <f>SUMIFS(BASE!$G:$G,BASE!$B:$B,$B917,BASE!$L:$L,$G917,BASE!$J:$J,$C917,BASE!$A:$A,U$2)</f>
        <v>0</v>
      </c>
      <c r="V917" s="12">
        <f>SUMIFS(BASE!$G:$G,BASE!$B:$B,$B917,BASE!$L:$L,$G917,BASE!$J:$J,$C917,BASE!$A:$A,V$2)</f>
        <v>0</v>
      </c>
      <c r="X917" t="str">
        <f t="shared" si="29"/>
        <v>COM TROCAS</v>
      </c>
    </row>
    <row r="918" spans="2:24">
      <c r="B918" s="8" t="s">
        <v>1895</v>
      </c>
      <c r="C918" s="9" t="s">
        <v>124</v>
      </c>
      <c r="D918" s="9" t="s">
        <v>1886</v>
      </c>
      <c r="E918" s="9" t="s">
        <v>1754</v>
      </c>
      <c r="F918" s="9" t="s">
        <v>1894</v>
      </c>
      <c r="G918" s="9" t="s">
        <v>58</v>
      </c>
      <c r="H918" s="7" t="str">
        <f>IFERROR(IF(_xlfn.XLOOKUP(B918,REPASSE!D:D,REPASSE!D:D)="","Não","Sim"),"Não")</f>
        <v>Não</v>
      </c>
      <c r="I918" s="7" t="str">
        <f>IF(_xlfn.XLOOKUP(B918,'BOOST LIBERADO'!B:B,'BOOST LIBERADO'!B:B,"Não")="Não","Não","Sim")</f>
        <v>Sim</v>
      </c>
      <c r="J918" s="83" t="str">
        <f t="shared" si="28"/>
        <v>Sim</v>
      </c>
      <c r="K918" s="12">
        <f>SUMIFS(BASE!$G:$G,BASE!$B:$B,$B918,BASE!$L:$L,$G918,BASE!$J:$J,$C918,BASE!$A:$A,K$2)</f>
        <v>1</v>
      </c>
      <c r="L918" s="12">
        <f>SUMIFS(BASE!$G:$G,BASE!$B:$B,$B918,BASE!$L:$L,$G918,BASE!$J:$J,$C918,BASE!$A:$A,L$2)</f>
        <v>0</v>
      </c>
      <c r="M918" s="12">
        <f>SUMIFS(BASE!$G:$G,BASE!$B:$B,$B918,BASE!$L:$L,$G918,BASE!$J:$J,$C918,BASE!$A:$A,M$2)</f>
        <v>0</v>
      </c>
      <c r="N918" s="12">
        <f>SUMIFS(BASE!$G:$G,BASE!$B:$B,$B918,BASE!$L:$L,$G918,BASE!$J:$J,$C918,BASE!$A:$A,N$2)</f>
        <v>0</v>
      </c>
      <c r="O918" s="12">
        <f>SUMIFS(BASE!$G:$G,BASE!$B:$B,$B918,BASE!$L:$L,$G918,BASE!$J:$J,$C918,BASE!$A:$A,O$2)</f>
        <v>0</v>
      </c>
      <c r="P918" s="12">
        <f>SUMIFS(BASE!$G:$G,BASE!$B:$B,$B918,BASE!$L:$L,$G918,BASE!$J:$J,$C918,BASE!$A:$A,P$2)</f>
        <v>0</v>
      </c>
      <c r="Q918" s="12">
        <f>SUMIFS(BASE!$G:$G,BASE!$B:$B,$B918,BASE!$L:$L,$G918,BASE!$J:$J,$C918,BASE!$A:$A,Q$2)</f>
        <v>0</v>
      </c>
      <c r="R918" s="12">
        <f>SUMIFS(BASE!$G:$G,BASE!$B:$B,$B918,BASE!$L:$L,$G918,BASE!$J:$J,$C918,BASE!$A:$A,R$2)</f>
        <v>0</v>
      </c>
      <c r="S918" s="12">
        <f>SUMIFS(BASE!$G:$G,BASE!$B:$B,$B918,BASE!$L:$L,$G918,BASE!$J:$J,$C918,BASE!$A:$A,S$2)</f>
        <v>0</v>
      </c>
      <c r="T918" s="12">
        <f>SUMIFS(BASE!$G:$G,BASE!$B:$B,$B918,BASE!$L:$L,$G918,BASE!$J:$J,$C918,BASE!$A:$A,T$2)</f>
        <v>0</v>
      </c>
      <c r="U918" s="12">
        <f>SUMIFS(BASE!$G:$G,BASE!$B:$B,$B918,BASE!$L:$L,$G918,BASE!$J:$J,$C918,BASE!$A:$A,U$2)</f>
        <v>0</v>
      </c>
      <c r="V918" s="12">
        <f>SUMIFS(BASE!$G:$G,BASE!$B:$B,$B918,BASE!$L:$L,$G918,BASE!$J:$J,$C918,BASE!$A:$A,V$2)</f>
        <v>0</v>
      </c>
      <c r="X918" t="str">
        <f t="shared" si="29"/>
        <v>ZERADO</v>
      </c>
    </row>
    <row r="919" spans="2:24">
      <c r="B919" s="8" t="s">
        <v>1896</v>
      </c>
      <c r="C919" s="9" t="s">
        <v>97</v>
      </c>
      <c r="D919" s="9" t="s">
        <v>1897</v>
      </c>
      <c r="E919" s="9" t="s">
        <v>1796</v>
      </c>
      <c r="F919" s="9" t="s">
        <v>1898</v>
      </c>
      <c r="G919" s="9" t="s">
        <v>57</v>
      </c>
      <c r="H919" s="7" t="str">
        <f>IFERROR(IF(_xlfn.XLOOKUP(B919,REPASSE!D:D,REPASSE!D:D)="","Não","Sim"),"Não")</f>
        <v>Não</v>
      </c>
      <c r="I919" s="7" t="str">
        <f>IF(_xlfn.XLOOKUP(B919,'BOOST LIBERADO'!B:B,'BOOST LIBERADO'!B:B,"Não")="Não","Não","Sim")</f>
        <v>Sim</v>
      </c>
      <c r="J919" s="83" t="str">
        <f t="shared" si="28"/>
        <v>Sim</v>
      </c>
      <c r="K919" s="12">
        <f>SUMIFS(BASE!$G:$G,BASE!$B:$B,$B919,BASE!$L:$L,$G919,BASE!$J:$J,$C919,BASE!$A:$A,K$2)</f>
        <v>0</v>
      </c>
      <c r="L919" s="12">
        <f>SUMIFS(BASE!$G:$G,BASE!$B:$B,$B919,BASE!$L:$L,$G919,BASE!$J:$J,$C919,BASE!$A:$A,L$2)</f>
        <v>0</v>
      </c>
      <c r="M919" s="12">
        <f>SUMIFS(BASE!$G:$G,BASE!$B:$B,$B919,BASE!$L:$L,$G919,BASE!$J:$J,$C919,BASE!$A:$A,M$2)</f>
        <v>0</v>
      </c>
      <c r="N919" s="12">
        <f>SUMIFS(BASE!$G:$G,BASE!$B:$B,$B919,BASE!$L:$L,$G919,BASE!$J:$J,$C919,BASE!$A:$A,N$2)</f>
        <v>0</v>
      </c>
      <c r="O919" s="12">
        <f>SUMIFS(BASE!$G:$G,BASE!$B:$B,$B919,BASE!$L:$L,$G919,BASE!$J:$J,$C919,BASE!$A:$A,O$2)</f>
        <v>0</v>
      </c>
      <c r="P919" s="12">
        <f>SUMIFS(BASE!$G:$G,BASE!$B:$B,$B919,BASE!$L:$L,$G919,BASE!$J:$J,$C919,BASE!$A:$A,P$2)</f>
        <v>0</v>
      </c>
      <c r="Q919" s="12">
        <f>SUMIFS(BASE!$G:$G,BASE!$B:$B,$B919,BASE!$L:$L,$G919,BASE!$J:$J,$C919,BASE!$A:$A,Q$2)</f>
        <v>0</v>
      </c>
      <c r="R919" s="12">
        <f>SUMIFS(BASE!$G:$G,BASE!$B:$B,$B919,BASE!$L:$L,$G919,BASE!$J:$J,$C919,BASE!$A:$A,R$2)</f>
        <v>0</v>
      </c>
      <c r="S919" s="12">
        <f>SUMIFS(BASE!$G:$G,BASE!$B:$B,$B919,BASE!$L:$L,$G919,BASE!$J:$J,$C919,BASE!$A:$A,S$2)</f>
        <v>0</v>
      </c>
      <c r="T919" s="12">
        <f>SUMIFS(BASE!$G:$G,BASE!$B:$B,$B919,BASE!$L:$L,$G919,BASE!$J:$J,$C919,BASE!$A:$A,T$2)</f>
        <v>0</v>
      </c>
      <c r="U919" s="12">
        <f>SUMIFS(BASE!$G:$G,BASE!$B:$B,$B919,BASE!$L:$L,$G919,BASE!$J:$J,$C919,BASE!$A:$A,U$2)</f>
        <v>0</v>
      </c>
      <c r="V919" s="12">
        <f>SUMIFS(BASE!$G:$G,BASE!$B:$B,$B919,BASE!$L:$L,$G919,BASE!$J:$J,$C919,BASE!$A:$A,V$2)</f>
        <v>0</v>
      </c>
      <c r="X919" t="str">
        <f t="shared" si="29"/>
        <v>ZERADO</v>
      </c>
    </row>
    <row r="920" spans="2:24">
      <c r="B920" s="8" t="s">
        <v>1899</v>
      </c>
      <c r="C920" s="9" t="s">
        <v>97</v>
      </c>
      <c r="D920" s="9" t="s">
        <v>1897</v>
      </c>
      <c r="E920" s="9" t="s">
        <v>1796</v>
      </c>
      <c r="F920" s="9" t="s">
        <v>1900</v>
      </c>
      <c r="G920" s="9" t="s">
        <v>57</v>
      </c>
      <c r="H920" s="7" t="str">
        <f>IFERROR(IF(_xlfn.XLOOKUP(B920,REPASSE!D:D,REPASSE!D:D)="","Não","Sim"),"Não")</f>
        <v>Não</v>
      </c>
      <c r="I920" s="7" t="str">
        <f>IF(_xlfn.XLOOKUP(B920,'BOOST LIBERADO'!B:B,'BOOST LIBERADO'!B:B,"Não")="Não","Não","Sim")</f>
        <v>Sim</v>
      </c>
      <c r="J920" s="83" t="str">
        <f t="shared" si="28"/>
        <v>Sim</v>
      </c>
      <c r="K920" s="12">
        <f>SUMIFS(BASE!$G:$G,BASE!$B:$B,$B920,BASE!$L:$L,$G920,BASE!$J:$J,$C920,BASE!$A:$A,K$2)</f>
        <v>0</v>
      </c>
      <c r="L920" s="12">
        <f>SUMIFS(BASE!$G:$G,BASE!$B:$B,$B920,BASE!$L:$L,$G920,BASE!$J:$J,$C920,BASE!$A:$A,L$2)</f>
        <v>0</v>
      </c>
      <c r="M920" s="12">
        <f>SUMIFS(BASE!$G:$G,BASE!$B:$B,$B920,BASE!$L:$L,$G920,BASE!$J:$J,$C920,BASE!$A:$A,M$2)</f>
        <v>1</v>
      </c>
      <c r="N920" s="12">
        <f>SUMIFS(BASE!$G:$G,BASE!$B:$B,$B920,BASE!$L:$L,$G920,BASE!$J:$J,$C920,BASE!$A:$A,N$2)</f>
        <v>0</v>
      </c>
      <c r="O920" s="12">
        <f>SUMIFS(BASE!$G:$G,BASE!$B:$B,$B920,BASE!$L:$L,$G920,BASE!$J:$J,$C920,BASE!$A:$A,O$2)</f>
        <v>2</v>
      </c>
      <c r="P920" s="12">
        <f>SUMIFS(BASE!$G:$G,BASE!$B:$B,$B920,BASE!$L:$L,$G920,BASE!$J:$J,$C920,BASE!$A:$A,P$2)</f>
        <v>2</v>
      </c>
      <c r="Q920" s="12">
        <f>SUMIFS(BASE!$G:$G,BASE!$B:$B,$B920,BASE!$L:$L,$G920,BASE!$J:$J,$C920,BASE!$A:$A,Q$2)</f>
        <v>4</v>
      </c>
      <c r="R920" s="12">
        <f>SUMIFS(BASE!$G:$G,BASE!$B:$B,$B920,BASE!$L:$L,$G920,BASE!$J:$J,$C920,BASE!$A:$A,R$2)</f>
        <v>1</v>
      </c>
      <c r="S920" s="12">
        <f>SUMIFS(BASE!$G:$G,BASE!$B:$B,$B920,BASE!$L:$L,$G920,BASE!$J:$J,$C920,BASE!$A:$A,S$2)</f>
        <v>0</v>
      </c>
      <c r="T920" s="12">
        <f>SUMIFS(BASE!$G:$G,BASE!$B:$B,$B920,BASE!$L:$L,$G920,BASE!$J:$J,$C920,BASE!$A:$A,T$2)</f>
        <v>0</v>
      </c>
      <c r="U920" s="12">
        <f>SUMIFS(BASE!$G:$G,BASE!$B:$B,$B920,BASE!$L:$L,$G920,BASE!$J:$J,$C920,BASE!$A:$A,U$2)</f>
        <v>0</v>
      </c>
      <c r="V920" s="12">
        <f>SUMIFS(BASE!$G:$G,BASE!$B:$B,$B920,BASE!$L:$L,$G920,BASE!$J:$J,$C920,BASE!$A:$A,V$2)</f>
        <v>0</v>
      </c>
      <c r="X920" t="str">
        <f t="shared" si="29"/>
        <v>COM TROCAS</v>
      </c>
    </row>
    <row r="921" spans="2:24">
      <c r="B921" s="8" t="s">
        <v>1901</v>
      </c>
      <c r="C921" s="9" t="s">
        <v>97</v>
      </c>
      <c r="D921" s="9" t="s">
        <v>1897</v>
      </c>
      <c r="E921" s="9" t="s">
        <v>1796</v>
      </c>
      <c r="F921" s="9" t="s">
        <v>1900</v>
      </c>
      <c r="G921" s="9" t="s">
        <v>57</v>
      </c>
      <c r="H921" s="7" t="str">
        <f>IFERROR(IF(_xlfn.XLOOKUP(B921,REPASSE!D:D,REPASSE!D:D)="","Não","Sim"),"Não")</f>
        <v>Não</v>
      </c>
      <c r="I921" s="7" t="str">
        <f>IF(_xlfn.XLOOKUP(B921,'BOOST LIBERADO'!B:B,'BOOST LIBERADO'!B:B,"Não")="Não","Não","Sim")</f>
        <v>Sim</v>
      </c>
      <c r="J921" s="83" t="str">
        <f t="shared" si="28"/>
        <v>Sim</v>
      </c>
      <c r="K921" s="12">
        <f>SUMIFS(BASE!$G:$G,BASE!$B:$B,$B921,BASE!$L:$L,$G921,BASE!$J:$J,$C921,BASE!$A:$A,K$2)</f>
        <v>0</v>
      </c>
      <c r="L921" s="12">
        <f>SUMIFS(BASE!$G:$G,BASE!$B:$B,$B921,BASE!$L:$L,$G921,BASE!$J:$J,$C921,BASE!$A:$A,L$2)</f>
        <v>0</v>
      </c>
      <c r="M921" s="12">
        <f>SUMIFS(BASE!$G:$G,BASE!$B:$B,$B921,BASE!$L:$L,$G921,BASE!$J:$J,$C921,BASE!$A:$A,M$2)</f>
        <v>0</v>
      </c>
      <c r="N921" s="12">
        <f>SUMIFS(BASE!$G:$G,BASE!$B:$B,$B921,BASE!$L:$L,$G921,BASE!$J:$J,$C921,BASE!$A:$A,N$2)</f>
        <v>0</v>
      </c>
      <c r="O921" s="12">
        <f>SUMIFS(BASE!$G:$G,BASE!$B:$B,$B921,BASE!$L:$L,$G921,BASE!$J:$J,$C921,BASE!$A:$A,O$2)</f>
        <v>0</v>
      </c>
      <c r="P921" s="12">
        <f>SUMIFS(BASE!$G:$G,BASE!$B:$B,$B921,BASE!$L:$L,$G921,BASE!$J:$J,$C921,BASE!$A:$A,P$2)</f>
        <v>0</v>
      </c>
      <c r="Q921" s="12">
        <f>SUMIFS(BASE!$G:$G,BASE!$B:$B,$B921,BASE!$L:$L,$G921,BASE!$J:$J,$C921,BASE!$A:$A,Q$2)</f>
        <v>1</v>
      </c>
      <c r="R921" s="12">
        <f>SUMIFS(BASE!$G:$G,BASE!$B:$B,$B921,BASE!$L:$L,$G921,BASE!$J:$J,$C921,BASE!$A:$A,R$2)</f>
        <v>4</v>
      </c>
      <c r="S921" s="12">
        <f>SUMIFS(BASE!$G:$G,BASE!$B:$B,$B921,BASE!$L:$L,$G921,BASE!$J:$J,$C921,BASE!$A:$A,S$2)</f>
        <v>0</v>
      </c>
      <c r="T921" s="12">
        <f>SUMIFS(BASE!$G:$G,BASE!$B:$B,$B921,BASE!$L:$L,$G921,BASE!$J:$J,$C921,BASE!$A:$A,T$2)</f>
        <v>0</v>
      </c>
      <c r="U921" s="12">
        <f>SUMIFS(BASE!$G:$G,BASE!$B:$B,$B921,BASE!$L:$L,$G921,BASE!$J:$J,$C921,BASE!$A:$A,U$2)</f>
        <v>0</v>
      </c>
      <c r="V921" s="12">
        <f>SUMIFS(BASE!$G:$G,BASE!$B:$B,$B921,BASE!$L:$L,$G921,BASE!$J:$J,$C921,BASE!$A:$A,V$2)</f>
        <v>0</v>
      </c>
      <c r="X921" t="str">
        <f t="shared" si="29"/>
        <v>COM TROCAS</v>
      </c>
    </row>
    <row r="922" spans="2:24">
      <c r="B922" s="8" t="s">
        <v>1902</v>
      </c>
      <c r="C922" s="9" t="s">
        <v>97</v>
      </c>
      <c r="D922" s="9" t="s">
        <v>1897</v>
      </c>
      <c r="E922" s="9" t="s">
        <v>1796</v>
      </c>
      <c r="F922" s="9" t="s">
        <v>1900</v>
      </c>
      <c r="G922" s="9" t="s">
        <v>57</v>
      </c>
      <c r="H922" s="7" t="str">
        <f>IFERROR(IF(_xlfn.XLOOKUP(B922,REPASSE!D:D,REPASSE!D:D)="","Não","Sim"),"Não")</f>
        <v>Não</v>
      </c>
      <c r="I922" s="7" t="str">
        <f>IF(_xlfn.XLOOKUP(B922,'BOOST LIBERADO'!B:B,'BOOST LIBERADO'!B:B,"Não")="Não","Não","Sim")</f>
        <v>Sim</v>
      </c>
      <c r="J922" s="83" t="str">
        <f t="shared" si="28"/>
        <v>Sim</v>
      </c>
      <c r="K922" s="12">
        <f>SUMIFS(BASE!$G:$G,BASE!$B:$B,$B922,BASE!$L:$L,$G922,BASE!$J:$J,$C922,BASE!$A:$A,K$2)</f>
        <v>0</v>
      </c>
      <c r="L922" s="12">
        <f>SUMIFS(BASE!$G:$G,BASE!$B:$B,$B922,BASE!$L:$L,$G922,BASE!$J:$J,$C922,BASE!$A:$A,L$2)</f>
        <v>0</v>
      </c>
      <c r="M922" s="12">
        <f>SUMIFS(BASE!$G:$G,BASE!$B:$B,$B922,BASE!$L:$L,$G922,BASE!$J:$J,$C922,BASE!$A:$A,M$2)</f>
        <v>0</v>
      </c>
      <c r="N922" s="12">
        <f>SUMIFS(BASE!$G:$G,BASE!$B:$B,$B922,BASE!$L:$L,$G922,BASE!$J:$J,$C922,BASE!$A:$A,N$2)</f>
        <v>0</v>
      </c>
      <c r="O922" s="12">
        <f>SUMIFS(BASE!$G:$G,BASE!$B:$B,$B922,BASE!$L:$L,$G922,BASE!$J:$J,$C922,BASE!$A:$A,O$2)</f>
        <v>0</v>
      </c>
      <c r="P922" s="12">
        <f>SUMIFS(BASE!$G:$G,BASE!$B:$B,$B922,BASE!$L:$L,$G922,BASE!$J:$J,$C922,BASE!$A:$A,P$2)</f>
        <v>0</v>
      </c>
      <c r="Q922" s="12">
        <f>SUMIFS(BASE!$G:$G,BASE!$B:$B,$B922,BASE!$L:$L,$G922,BASE!$J:$J,$C922,BASE!$A:$A,Q$2)</f>
        <v>14</v>
      </c>
      <c r="R922" s="12">
        <f>SUMIFS(BASE!$G:$G,BASE!$B:$B,$B922,BASE!$L:$L,$G922,BASE!$J:$J,$C922,BASE!$A:$A,R$2)</f>
        <v>12</v>
      </c>
      <c r="S922" s="12">
        <f>SUMIFS(BASE!$G:$G,BASE!$B:$B,$B922,BASE!$L:$L,$G922,BASE!$J:$J,$C922,BASE!$A:$A,S$2)</f>
        <v>0</v>
      </c>
      <c r="T922" s="12">
        <f>SUMIFS(BASE!$G:$G,BASE!$B:$B,$B922,BASE!$L:$L,$G922,BASE!$J:$J,$C922,BASE!$A:$A,T$2)</f>
        <v>0</v>
      </c>
      <c r="U922" s="12">
        <f>SUMIFS(BASE!$G:$G,BASE!$B:$B,$B922,BASE!$L:$L,$G922,BASE!$J:$J,$C922,BASE!$A:$A,U$2)</f>
        <v>0</v>
      </c>
      <c r="V922" s="12">
        <f>SUMIFS(BASE!$G:$G,BASE!$B:$B,$B922,BASE!$L:$L,$G922,BASE!$J:$J,$C922,BASE!$A:$A,V$2)</f>
        <v>0</v>
      </c>
      <c r="X922" t="str">
        <f t="shared" si="29"/>
        <v>COM TROCAS</v>
      </c>
    </row>
    <row r="923" spans="2:24">
      <c r="B923" s="8" t="s">
        <v>1903</v>
      </c>
      <c r="C923" s="9" t="s">
        <v>106</v>
      </c>
      <c r="D923" s="9" t="s">
        <v>1897</v>
      </c>
      <c r="E923" s="9" t="s">
        <v>1796</v>
      </c>
      <c r="F923" s="9" t="s">
        <v>1904</v>
      </c>
      <c r="G923" s="9" t="s">
        <v>57</v>
      </c>
      <c r="H923" s="7" t="str">
        <f>IFERROR(IF(_xlfn.XLOOKUP(B923,REPASSE!D:D,REPASSE!D:D)="","Não","Sim"),"Não")</f>
        <v>Não</v>
      </c>
      <c r="I923" s="7" t="str">
        <f>IF(_xlfn.XLOOKUP(B923,'BOOST LIBERADO'!B:B,'BOOST LIBERADO'!B:B,"Não")="Não","Não","Sim")</f>
        <v>Sim</v>
      </c>
      <c r="J923" s="83" t="str">
        <f t="shared" si="28"/>
        <v>Sim</v>
      </c>
      <c r="K923" s="12">
        <f>SUMIFS(BASE!$G:$G,BASE!$B:$B,$B923,BASE!$L:$L,$G923,BASE!$J:$J,$C923,BASE!$A:$A,K$2)</f>
        <v>0</v>
      </c>
      <c r="L923" s="12">
        <f>SUMIFS(BASE!$G:$G,BASE!$B:$B,$B923,BASE!$L:$L,$G923,BASE!$J:$J,$C923,BASE!$A:$A,L$2)</f>
        <v>0</v>
      </c>
      <c r="M923" s="12">
        <f>SUMIFS(BASE!$G:$G,BASE!$B:$B,$B923,BASE!$L:$L,$G923,BASE!$J:$J,$C923,BASE!$A:$A,M$2)</f>
        <v>0</v>
      </c>
      <c r="N923" s="12">
        <f>SUMIFS(BASE!$G:$G,BASE!$B:$B,$B923,BASE!$L:$L,$G923,BASE!$J:$J,$C923,BASE!$A:$A,N$2)</f>
        <v>0</v>
      </c>
      <c r="O923" s="12">
        <f>SUMIFS(BASE!$G:$G,BASE!$B:$B,$B923,BASE!$L:$L,$G923,BASE!$J:$J,$C923,BASE!$A:$A,O$2)</f>
        <v>0</v>
      </c>
      <c r="P923" s="12">
        <f>SUMIFS(BASE!$G:$G,BASE!$B:$B,$B923,BASE!$L:$L,$G923,BASE!$J:$J,$C923,BASE!$A:$A,P$2)</f>
        <v>0</v>
      </c>
      <c r="Q923" s="12">
        <f>SUMIFS(BASE!$G:$G,BASE!$B:$B,$B923,BASE!$L:$L,$G923,BASE!$J:$J,$C923,BASE!$A:$A,Q$2)</f>
        <v>1</v>
      </c>
      <c r="R923" s="12">
        <f>SUMIFS(BASE!$G:$G,BASE!$B:$B,$B923,BASE!$L:$L,$G923,BASE!$J:$J,$C923,BASE!$A:$A,R$2)</f>
        <v>1</v>
      </c>
      <c r="S923" s="12">
        <f>SUMIFS(BASE!$G:$G,BASE!$B:$B,$B923,BASE!$L:$L,$G923,BASE!$J:$J,$C923,BASE!$A:$A,S$2)</f>
        <v>0</v>
      </c>
      <c r="T923" s="12">
        <f>SUMIFS(BASE!$G:$G,BASE!$B:$B,$B923,BASE!$L:$L,$G923,BASE!$J:$J,$C923,BASE!$A:$A,T$2)</f>
        <v>0</v>
      </c>
      <c r="U923" s="12">
        <f>SUMIFS(BASE!$G:$G,BASE!$B:$B,$B923,BASE!$L:$L,$G923,BASE!$J:$J,$C923,BASE!$A:$A,U$2)</f>
        <v>0</v>
      </c>
      <c r="V923" s="12">
        <f>SUMIFS(BASE!$G:$G,BASE!$B:$B,$B923,BASE!$L:$L,$G923,BASE!$J:$J,$C923,BASE!$A:$A,V$2)</f>
        <v>0</v>
      </c>
      <c r="X923" t="str">
        <f t="shared" si="29"/>
        <v>COM TROCAS</v>
      </c>
    </row>
    <row r="924" spans="2:24">
      <c r="B924" s="8" t="s">
        <v>1905</v>
      </c>
      <c r="C924" s="9" t="s">
        <v>106</v>
      </c>
      <c r="D924" s="9" t="s">
        <v>1897</v>
      </c>
      <c r="E924" s="9" t="s">
        <v>1796</v>
      </c>
      <c r="F924" s="9" t="s">
        <v>1904</v>
      </c>
      <c r="G924" s="9" t="s">
        <v>57</v>
      </c>
      <c r="H924" s="7" t="str">
        <f>IFERROR(IF(_xlfn.XLOOKUP(B924,REPASSE!D:D,REPASSE!D:D)="","Não","Sim"),"Não")</f>
        <v>Não</v>
      </c>
      <c r="I924" s="7" t="str">
        <f>IF(_xlfn.XLOOKUP(B924,'BOOST LIBERADO'!B:B,'BOOST LIBERADO'!B:B,"Não")="Não","Não","Sim")</f>
        <v>Sim</v>
      </c>
      <c r="J924" s="83" t="str">
        <f t="shared" si="28"/>
        <v>Sim</v>
      </c>
      <c r="K924" s="12">
        <f>SUMIFS(BASE!$G:$G,BASE!$B:$B,$B924,BASE!$L:$L,$G924,BASE!$J:$J,$C924,BASE!$A:$A,K$2)</f>
        <v>2</v>
      </c>
      <c r="L924" s="12">
        <f>SUMIFS(BASE!$G:$G,BASE!$B:$B,$B924,BASE!$L:$L,$G924,BASE!$J:$J,$C924,BASE!$A:$A,L$2)</f>
        <v>1</v>
      </c>
      <c r="M924" s="12">
        <f>SUMIFS(BASE!$G:$G,BASE!$B:$B,$B924,BASE!$L:$L,$G924,BASE!$J:$J,$C924,BASE!$A:$A,M$2)</f>
        <v>3</v>
      </c>
      <c r="N924" s="12">
        <f>SUMIFS(BASE!$G:$G,BASE!$B:$B,$B924,BASE!$L:$L,$G924,BASE!$J:$J,$C924,BASE!$A:$A,N$2)</f>
        <v>3</v>
      </c>
      <c r="O924" s="12">
        <f>SUMIFS(BASE!$G:$G,BASE!$B:$B,$B924,BASE!$L:$L,$G924,BASE!$J:$J,$C924,BASE!$A:$A,O$2)</f>
        <v>2</v>
      </c>
      <c r="P924" s="12">
        <f>SUMIFS(BASE!$G:$G,BASE!$B:$B,$B924,BASE!$L:$L,$G924,BASE!$J:$J,$C924,BASE!$A:$A,P$2)</f>
        <v>1</v>
      </c>
      <c r="Q924" s="12">
        <f>SUMIFS(BASE!$G:$G,BASE!$B:$B,$B924,BASE!$L:$L,$G924,BASE!$J:$J,$C924,BASE!$A:$A,Q$2)</f>
        <v>2</v>
      </c>
      <c r="R924" s="12">
        <f>SUMIFS(BASE!$G:$G,BASE!$B:$B,$B924,BASE!$L:$L,$G924,BASE!$J:$J,$C924,BASE!$A:$A,R$2)</f>
        <v>6</v>
      </c>
      <c r="S924" s="12">
        <f>SUMIFS(BASE!$G:$G,BASE!$B:$B,$B924,BASE!$L:$L,$G924,BASE!$J:$J,$C924,BASE!$A:$A,S$2)</f>
        <v>0</v>
      </c>
      <c r="T924" s="12">
        <f>SUMIFS(BASE!$G:$G,BASE!$B:$B,$B924,BASE!$L:$L,$G924,BASE!$J:$J,$C924,BASE!$A:$A,T$2)</f>
        <v>0</v>
      </c>
      <c r="U924" s="12">
        <f>SUMIFS(BASE!$G:$G,BASE!$B:$B,$B924,BASE!$L:$L,$G924,BASE!$J:$J,$C924,BASE!$A:$A,U$2)</f>
        <v>0</v>
      </c>
      <c r="V924" s="12">
        <f>SUMIFS(BASE!$G:$G,BASE!$B:$B,$B924,BASE!$L:$L,$G924,BASE!$J:$J,$C924,BASE!$A:$A,V$2)</f>
        <v>0</v>
      </c>
      <c r="X924" t="str">
        <f t="shared" si="29"/>
        <v>COM TROCAS</v>
      </c>
    </row>
    <row r="925" spans="2:24">
      <c r="B925" s="8" t="s">
        <v>1906</v>
      </c>
      <c r="C925" s="9" t="s">
        <v>97</v>
      </c>
      <c r="D925" s="9" t="s">
        <v>1897</v>
      </c>
      <c r="E925" s="9" t="s">
        <v>1796</v>
      </c>
      <c r="F925" s="9" t="s">
        <v>1904</v>
      </c>
      <c r="G925" s="9" t="s">
        <v>57</v>
      </c>
      <c r="H925" s="7" t="str">
        <f>IFERROR(IF(_xlfn.XLOOKUP(B925,REPASSE!D:D,REPASSE!D:D)="","Não","Sim"),"Não")</f>
        <v>Não</v>
      </c>
      <c r="I925" s="7" t="str">
        <f>IF(_xlfn.XLOOKUP(B925,'BOOST LIBERADO'!B:B,'BOOST LIBERADO'!B:B,"Não")="Não","Não","Sim")</f>
        <v>Sim</v>
      </c>
      <c r="J925" s="83" t="str">
        <f t="shared" si="28"/>
        <v>Sim</v>
      </c>
      <c r="K925" s="12">
        <f>SUMIFS(BASE!$G:$G,BASE!$B:$B,$B925,BASE!$L:$L,$G925,BASE!$J:$J,$C925,BASE!$A:$A,K$2)</f>
        <v>1</v>
      </c>
      <c r="L925" s="12">
        <f>SUMIFS(BASE!$G:$G,BASE!$B:$B,$B925,BASE!$L:$L,$G925,BASE!$J:$J,$C925,BASE!$A:$A,L$2)</f>
        <v>1</v>
      </c>
      <c r="M925" s="12">
        <f>SUMIFS(BASE!$G:$G,BASE!$B:$B,$B925,BASE!$L:$L,$G925,BASE!$J:$J,$C925,BASE!$A:$A,M$2)</f>
        <v>3</v>
      </c>
      <c r="N925" s="12">
        <f>SUMIFS(BASE!$G:$G,BASE!$B:$B,$B925,BASE!$L:$L,$G925,BASE!$J:$J,$C925,BASE!$A:$A,N$2)</f>
        <v>4</v>
      </c>
      <c r="O925" s="12">
        <f>SUMIFS(BASE!$G:$G,BASE!$B:$B,$B925,BASE!$L:$L,$G925,BASE!$J:$J,$C925,BASE!$A:$A,O$2)</f>
        <v>4</v>
      </c>
      <c r="P925" s="12">
        <f>SUMIFS(BASE!$G:$G,BASE!$B:$B,$B925,BASE!$L:$L,$G925,BASE!$J:$J,$C925,BASE!$A:$A,P$2)</f>
        <v>4</v>
      </c>
      <c r="Q925" s="12">
        <f>SUMIFS(BASE!$G:$G,BASE!$B:$B,$B925,BASE!$L:$L,$G925,BASE!$J:$J,$C925,BASE!$A:$A,Q$2)</f>
        <v>5</v>
      </c>
      <c r="R925" s="12">
        <f>SUMIFS(BASE!$G:$G,BASE!$B:$B,$B925,BASE!$L:$L,$G925,BASE!$J:$J,$C925,BASE!$A:$A,R$2)</f>
        <v>19</v>
      </c>
      <c r="S925" s="12">
        <f>SUMIFS(BASE!$G:$G,BASE!$B:$B,$B925,BASE!$L:$L,$G925,BASE!$J:$J,$C925,BASE!$A:$A,S$2)</f>
        <v>0</v>
      </c>
      <c r="T925" s="12">
        <f>SUMIFS(BASE!$G:$G,BASE!$B:$B,$B925,BASE!$L:$L,$G925,BASE!$J:$J,$C925,BASE!$A:$A,T$2)</f>
        <v>0</v>
      </c>
      <c r="U925" s="12">
        <f>SUMIFS(BASE!$G:$G,BASE!$B:$B,$B925,BASE!$L:$L,$G925,BASE!$J:$J,$C925,BASE!$A:$A,U$2)</f>
        <v>0</v>
      </c>
      <c r="V925" s="12">
        <f>SUMIFS(BASE!$G:$G,BASE!$B:$B,$B925,BASE!$L:$L,$G925,BASE!$J:$J,$C925,BASE!$A:$A,V$2)</f>
        <v>0</v>
      </c>
      <c r="X925" t="str">
        <f t="shared" si="29"/>
        <v>COM TROCAS</v>
      </c>
    </row>
    <row r="926" spans="2:24">
      <c r="B926" s="8" t="s">
        <v>1907</v>
      </c>
      <c r="C926" s="9" t="s">
        <v>106</v>
      </c>
      <c r="D926" s="9" t="s">
        <v>1897</v>
      </c>
      <c r="E926" s="9" t="s">
        <v>1796</v>
      </c>
      <c r="F926" s="9" t="s">
        <v>1908</v>
      </c>
      <c r="G926" s="9" t="s">
        <v>57</v>
      </c>
      <c r="H926" s="7" t="str">
        <f>IFERROR(IF(_xlfn.XLOOKUP(B926,REPASSE!D:D,REPASSE!D:D)="","Não","Sim"),"Não")</f>
        <v>Não</v>
      </c>
      <c r="I926" s="7" t="str">
        <f>IF(_xlfn.XLOOKUP(B926,'BOOST LIBERADO'!B:B,'BOOST LIBERADO'!B:B,"Não")="Não","Não","Sim")</f>
        <v>Sim</v>
      </c>
      <c r="J926" s="83" t="str">
        <f t="shared" si="28"/>
        <v>Sim</v>
      </c>
      <c r="K926" s="12">
        <f>SUMIFS(BASE!$G:$G,BASE!$B:$B,$B926,BASE!$L:$L,$G926,BASE!$J:$J,$C926,BASE!$A:$A,K$2)</f>
        <v>0</v>
      </c>
      <c r="L926" s="12">
        <f>SUMIFS(BASE!$G:$G,BASE!$B:$B,$B926,BASE!$L:$L,$G926,BASE!$J:$J,$C926,BASE!$A:$A,L$2)</f>
        <v>0</v>
      </c>
      <c r="M926" s="12">
        <f>SUMIFS(BASE!$G:$G,BASE!$B:$B,$B926,BASE!$L:$L,$G926,BASE!$J:$J,$C926,BASE!$A:$A,M$2)</f>
        <v>0</v>
      </c>
      <c r="N926" s="12">
        <f>SUMIFS(BASE!$G:$G,BASE!$B:$B,$B926,BASE!$L:$L,$G926,BASE!$J:$J,$C926,BASE!$A:$A,N$2)</f>
        <v>0</v>
      </c>
      <c r="O926" s="12">
        <f>SUMIFS(BASE!$G:$G,BASE!$B:$B,$B926,BASE!$L:$L,$G926,BASE!$J:$J,$C926,BASE!$A:$A,O$2)</f>
        <v>0</v>
      </c>
      <c r="P926" s="12">
        <f>SUMIFS(BASE!$G:$G,BASE!$B:$B,$B926,BASE!$L:$L,$G926,BASE!$J:$J,$C926,BASE!$A:$A,P$2)</f>
        <v>0</v>
      </c>
      <c r="Q926" s="12">
        <f>SUMIFS(BASE!$G:$G,BASE!$B:$B,$B926,BASE!$L:$L,$G926,BASE!$J:$J,$C926,BASE!$A:$A,Q$2)</f>
        <v>0</v>
      </c>
      <c r="R926" s="12">
        <f>SUMIFS(BASE!$G:$G,BASE!$B:$B,$B926,BASE!$L:$L,$G926,BASE!$J:$J,$C926,BASE!$A:$A,R$2)</f>
        <v>0</v>
      </c>
      <c r="S926" s="12">
        <f>SUMIFS(BASE!$G:$G,BASE!$B:$B,$B926,BASE!$L:$L,$G926,BASE!$J:$J,$C926,BASE!$A:$A,S$2)</f>
        <v>0</v>
      </c>
      <c r="T926" s="12">
        <f>SUMIFS(BASE!$G:$G,BASE!$B:$B,$B926,BASE!$L:$L,$G926,BASE!$J:$J,$C926,BASE!$A:$A,T$2)</f>
        <v>0</v>
      </c>
      <c r="U926" s="12">
        <f>SUMIFS(BASE!$G:$G,BASE!$B:$B,$B926,BASE!$L:$L,$G926,BASE!$J:$J,$C926,BASE!$A:$A,U$2)</f>
        <v>0</v>
      </c>
      <c r="V926" s="12">
        <f>SUMIFS(BASE!$G:$G,BASE!$B:$B,$B926,BASE!$L:$L,$G926,BASE!$J:$J,$C926,BASE!$A:$A,V$2)</f>
        <v>0</v>
      </c>
      <c r="X926" t="str">
        <f t="shared" si="29"/>
        <v>ZERADO</v>
      </c>
    </row>
    <row r="927" spans="2:24">
      <c r="B927" s="8" t="s">
        <v>1909</v>
      </c>
      <c r="C927" s="9" t="s">
        <v>106</v>
      </c>
      <c r="D927" s="9" t="s">
        <v>1910</v>
      </c>
      <c r="E927" s="9" t="s">
        <v>1911</v>
      </c>
      <c r="F927" s="9" t="s">
        <v>1912</v>
      </c>
      <c r="G927" s="9" t="s">
        <v>57</v>
      </c>
      <c r="H927" s="7" t="str">
        <f>IFERROR(IF(_xlfn.XLOOKUP(B927,REPASSE!D:D,REPASSE!D:D)="","Não","Sim"),"Não")</f>
        <v>Não</v>
      </c>
      <c r="I927" s="7" t="str">
        <f>IF(_xlfn.XLOOKUP(B927,'BOOST LIBERADO'!B:B,'BOOST LIBERADO'!B:B,"Não")="Não","Não","Sim")</f>
        <v>Sim</v>
      </c>
      <c r="J927" s="83" t="str">
        <f t="shared" si="28"/>
        <v>Sim</v>
      </c>
      <c r="K927" s="12">
        <f>SUMIFS(BASE!$G:$G,BASE!$B:$B,$B927,BASE!$L:$L,$G927,BASE!$J:$J,$C927,BASE!$A:$A,K$2)</f>
        <v>0</v>
      </c>
      <c r="L927" s="12">
        <f>SUMIFS(BASE!$G:$G,BASE!$B:$B,$B927,BASE!$L:$L,$G927,BASE!$J:$J,$C927,BASE!$A:$A,L$2)</f>
        <v>0</v>
      </c>
      <c r="M927" s="12">
        <f>SUMIFS(BASE!$G:$G,BASE!$B:$B,$B927,BASE!$L:$L,$G927,BASE!$J:$J,$C927,BASE!$A:$A,M$2)</f>
        <v>0</v>
      </c>
      <c r="N927" s="12">
        <f>SUMIFS(BASE!$G:$G,BASE!$B:$B,$B927,BASE!$L:$L,$G927,BASE!$J:$J,$C927,BASE!$A:$A,N$2)</f>
        <v>0</v>
      </c>
      <c r="O927" s="12">
        <f>SUMIFS(BASE!$G:$G,BASE!$B:$B,$B927,BASE!$L:$L,$G927,BASE!$J:$J,$C927,BASE!$A:$A,O$2)</f>
        <v>0</v>
      </c>
      <c r="P927" s="12">
        <f>SUMIFS(BASE!$G:$G,BASE!$B:$B,$B927,BASE!$L:$L,$G927,BASE!$J:$J,$C927,BASE!$A:$A,P$2)</f>
        <v>0</v>
      </c>
      <c r="Q927" s="12">
        <f>SUMIFS(BASE!$G:$G,BASE!$B:$B,$B927,BASE!$L:$L,$G927,BASE!$J:$J,$C927,BASE!$A:$A,Q$2)</f>
        <v>0</v>
      </c>
      <c r="R927" s="12">
        <f>SUMIFS(BASE!$G:$G,BASE!$B:$B,$B927,BASE!$L:$L,$G927,BASE!$J:$J,$C927,BASE!$A:$A,R$2)</f>
        <v>0</v>
      </c>
      <c r="S927" s="12">
        <f>SUMIFS(BASE!$G:$G,BASE!$B:$B,$B927,BASE!$L:$L,$G927,BASE!$J:$J,$C927,BASE!$A:$A,S$2)</f>
        <v>0</v>
      </c>
      <c r="T927" s="12">
        <f>SUMIFS(BASE!$G:$G,BASE!$B:$B,$B927,BASE!$L:$L,$G927,BASE!$J:$J,$C927,BASE!$A:$A,T$2)</f>
        <v>0</v>
      </c>
      <c r="U927" s="12">
        <f>SUMIFS(BASE!$G:$G,BASE!$B:$B,$B927,BASE!$L:$L,$G927,BASE!$J:$J,$C927,BASE!$A:$A,U$2)</f>
        <v>0</v>
      </c>
      <c r="V927" s="12">
        <f>SUMIFS(BASE!$G:$G,BASE!$B:$B,$B927,BASE!$L:$L,$G927,BASE!$J:$J,$C927,BASE!$A:$A,V$2)</f>
        <v>0</v>
      </c>
      <c r="X927" t="str">
        <f t="shared" si="29"/>
        <v>ZERADO</v>
      </c>
    </row>
    <row r="928" spans="2:24">
      <c r="B928" s="8" t="s">
        <v>1913</v>
      </c>
      <c r="C928" s="9" t="s">
        <v>106</v>
      </c>
      <c r="D928" s="9" t="s">
        <v>1910</v>
      </c>
      <c r="E928" s="9" t="s">
        <v>1911</v>
      </c>
      <c r="F928" s="9" t="s">
        <v>1914</v>
      </c>
      <c r="G928" s="9" t="s">
        <v>57</v>
      </c>
      <c r="H928" s="7" t="str">
        <f>IFERROR(IF(_xlfn.XLOOKUP(B928,REPASSE!D:D,REPASSE!D:D)="","Não","Sim"),"Não")</f>
        <v>Não</v>
      </c>
      <c r="I928" s="7" t="str">
        <f>IF(_xlfn.XLOOKUP(B928,'BOOST LIBERADO'!B:B,'BOOST LIBERADO'!B:B,"Não")="Não","Não","Sim")</f>
        <v>Sim</v>
      </c>
      <c r="J928" s="83" t="str">
        <f t="shared" si="28"/>
        <v>Sim</v>
      </c>
      <c r="K928" s="12">
        <f>SUMIFS(BASE!$G:$G,BASE!$B:$B,$B928,BASE!$L:$L,$G928,BASE!$J:$J,$C928,BASE!$A:$A,K$2)</f>
        <v>0</v>
      </c>
      <c r="L928" s="12">
        <f>SUMIFS(BASE!$G:$G,BASE!$B:$B,$B928,BASE!$L:$L,$G928,BASE!$J:$J,$C928,BASE!$A:$A,L$2)</f>
        <v>0</v>
      </c>
      <c r="M928" s="12">
        <f>SUMIFS(BASE!$G:$G,BASE!$B:$B,$B928,BASE!$L:$L,$G928,BASE!$J:$J,$C928,BASE!$A:$A,M$2)</f>
        <v>0</v>
      </c>
      <c r="N928" s="12">
        <f>SUMIFS(BASE!$G:$G,BASE!$B:$B,$B928,BASE!$L:$L,$G928,BASE!$J:$J,$C928,BASE!$A:$A,N$2)</f>
        <v>0</v>
      </c>
      <c r="O928" s="12">
        <f>SUMIFS(BASE!$G:$G,BASE!$B:$B,$B928,BASE!$L:$L,$G928,BASE!$J:$J,$C928,BASE!$A:$A,O$2)</f>
        <v>0</v>
      </c>
      <c r="P928" s="12">
        <f>SUMIFS(BASE!$G:$G,BASE!$B:$B,$B928,BASE!$L:$L,$G928,BASE!$J:$J,$C928,BASE!$A:$A,P$2)</f>
        <v>0</v>
      </c>
      <c r="Q928" s="12">
        <f>SUMIFS(BASE!$G:$G,BASE!$B:$B,$B928,BASE!$L:$L,$G928,BASE!$J:$J,$C928,BASE!$A:$A,Q$2)</f>
        <v>0</v>
      </c>
      <c r="R928" s="12">
        <f>SUMIFS(BASE!$G:$G,BASE!$B:$B,$B928,BASE!$L:$L,$G928,BASE!$J:$J,$C928,BASE!$A:$A,R$2)</f>
        <v>0</v>
      </c>
      <c r="S928" s="12">
        <f>SUMIFS(BASE!$G:$G,BASE!$B:$B,$B928,BASE!$L:$L,$G928,BASE!$J:$J,$C928,BASE!$A:$A,S$2)</f>
        <v>0</v>
      </c>
      <c r="T928" s="12">
        <f>SUMIFS(BASE!$G:$G,BASE!$B:$B,$B928,BASE!$L:$L,$G928,BASE!$J:$J,$C928,BASE!$A:$A,T$2)</f>
        <v>0</v>
      </c>
      <c r="U928" s="12">
        <f>SUMIFS(BASE!$G:$G,BASE!$B:$B,$B928,BASE!$L:$L,$G928,BASE!$J:$J,$C928,BASE!$A:$A,U$2)</f>
        <v>0</v>
      </c>
      <c r="V928" s="12">
        <f>SUMIFS(BASE!$G:$G,BASE!$B:$B,$B928,BASE!$L:$L,$G928,BASE!$J:$J,$C928,BASE!$A:$A,V$2)</f>
        <v>0</v>
      </c>
      <c r="X928" t="str">
        <f t="shared" si="29"/>
        <v>ZERADO</v>
      </c>
    </row>
    <row r="929" spans="2:24">
      <c r="B929" s="8" t="s">
        <v>1915</v>
      </c>
      <c r="C929" s="9" t="s">
        <v>106</v>
      </c>
      <c r="D929" s="9" t="s">
        <v>1910</v>
      </c>
      <c r="E929" s="9" t="s">
        <v>1911</v>
      </c>
      <c r="F929" s="9" t="s">
        <v>1916</v>
      </c>
      <c r="G929" s="9" t="s">
        <v>57</v>
      </c>
      <c r="H929" s="7" t="str">
        <f>IFERROR(IF(_xlfn.XLOOKUP(B929,REPASSE!D:D,REPASSE!D:D)="","Não","Sim"),"Não")</f>
        <v>Não</v>
      </c>
      <c r="I929" s="7" t="str">
        <f>IF(_xlfn.XLOOKUP(B929,'BOOST LIBERADO'!B:B,'BOOST LIBERADO'!B:B,"Não")="Não","Não","Sim")</f>
        <v>Sim</v>
      </c>
      <c r="J929" s="83" t="str">
        <f t="shared" si="28"/>
        <v>Sim</v>
      </c>
      <c r="K929" s="12">
        <f>SUMIFS(BASE!$G:$G,BASE!$B:$B,$B929,BASE!$L:$L,$G929,BASE!$J:$J,$C929,BASE!$A:$A,K$2)</f>
        <v>0</v>
      </c>
      <c r="L929" s="12">
        <f>SUMIFS(BASE!$G:$G,BASE!$B:$B,$B929,BASE!$L:$L,$G929,BASE!$J:$J,$C929,BASE!$A:$A,L$2)</f>
        <v>0</v>
      </c>
      <c r="M929" s="12">
        <f>SUMIFS(BASE!$G:$G,BASE!$B:$B,$B929,BASE!$L:$L,$G929,BASE!$J:$J,$C929,BASE!$A:$A,M$2)</f>
        <v>0</v>
      </c>
      <c r="N929" s="12">
        <f>SUMIFS(BASE!$G:$G,BASE!$B:$B,$B929,BASE!$L:$L,$G929,BASE!$J:$J,$C929,BASE!$A:$A,N$2)</f>
        <v>0</v>
      </c>
      <c r="O929" s="12">
        <f>SUMIFS(BASE!$G:$G,BASE!$B:$B,$B929,BASE!$L:$L,$G929,BASE!$J:$J,$C929,BASE!$A:$A,O$2)</f>
        <v>0</v>
      </c>
      <c r="P929" s="12">
        <f>SUMIFS(BASE!$G:$G,BASE!$B:$B,$B929,BASE!$L:$L,$G929,BASE!$J:$J,$C929,BASE!$A:$A,P$2)</f>
        <v>0</v>
      </c>
      <c r="Q929" s="12">
        <f>SUMIFS(BASE!$G:$G,BASE!$B:$B,$B929,BASE!$L:$L,$G929,BASE!$J:$J,$C929,BASE!$A:$A,Q$2)</f>
        <v>0</v>
      </c>
      <c r="R929" s="12">
        <f>SUMIFS(BASE!$G:$G,BASE!$B:$B,$B929,BASE!$L:$L,$G929,BASE!$J:$J,$C929,BASE!$A:$A,R$2)</f>
        <v>0</v>
      </c>
      <c r="S929" s="12">
        <f>SUMIFS(BASE!$G:$G,BASE!$B:$B,$B929,BASE!$L:$L,$G929,BASE!$J:$J,$C929,BASE!$A:$A,S$2)</f>
        <v>0</v>
      </c>
      <c r="T929" s="12">
        <f>SUMIFS(BASE!$G:$G,BASE!$B:$B,$B929,BASE!$L:$L,$G929,BASE!$J:$J,$C929,BASE!$A:$A,T$2)</f>
        <v>0</v>
      </c>
      <c r="U929" s="12">
        <f>SUMIFS(BASE!$G:$G,BASE!$B:$B,$B929,BASE!$L:$L,$G929,BASE!$J:$J,$C929,BASE!$A:$A,U$2)</f>
        <v>0</v>
      </c>
      <c r="V929" s="12">
        <f>SUMIFS(BASE!$G:$G,BASE!$B:$B,$B929,BASE!$L:$L,$G929,BASE!$J:$J,$C929,BASE!$A:$A,V$2)</f>
        <v>0</v>
      </c>
      <c r="X929" t="str">
        <f t="shared" si="29"/>
        <v>ZERADO</v>
      </c>
    </row>
    <row r="930" spans="2:24">
      <c r="B930" s="8" t="s">
        <v>1917</v>
      </c>
      <c r="C930" s="9" t="s">
        <v>106</v>
      </c>
      <c r="D930" s="9" t="s">
        <v>1910</v>
      </c>
      <c r="E930" s="9" t="s">
        <v>1911</v>
      </c>
      <c r="F930" s="9" t="s">
        <v>1918</v>
      </c>
      <c r="G930" s="9" t="s">
        <v>57</v>
      </c>
      <c r="H930" s="7" t="str">
        <f>IFERROR(IF(_xlfn.XLOOKUP(B930,REPASSE!D:D,REPASSE!D:D)="","Não","Sim"),"Não")</f>
        <v>Não</v>
      </c>
      <c r="I930" s="7" t="str">
        <f>IF(_xlfn.XLOOKUP(B930,'BOOST LIBERADO'!B:B,'BOOST LIBERADO'!B:B,"Não")="Não","Não","Sim")</f>
        <v>Sim</v>
      </c>
      <c r="J930" s="83" t="str">
        <f t="shared" si="28"/>
        <v>Sim</v>
      </c>
      <c r="K930" s="12">
        <f>SUMIFS(BASE!$G:$G,BASE!$B:$B,$B930,BASE!$L:$L,$G930,BASE!$J:$J,$C930,BASE!$A:$A,K$2)</f>
        <v>0</v>
      </c>
      <c r="L930" s="12">
        <f>SUMIFS(BASE!$G:$G,BASE!$B:$B,$B930,BASE!$L:$L,$G930,BASE!$J:$J,$C930,BASE!$A:$A,L$2)</f>
        <v>0</v>
      </c>
      <c r="M930" s="12">
        <f>SUMIFS(BASE!$G:$G,BASE!$B:$B,$B930,BASE!$L:$L,$G930,BASE!$J:$J,$C930,BASE!$A:$A,M$2)</f>
        <v>0</v>
      </c>
      <c r="N930" s="12">
        <f>SUMIFS(BASE!$G:$G,BASE!$B:$B,$B930,BASE!$L:$L,$G930,BASE!$J:$J,$C930,BASE!$A:$A,N$2)</f>
        <v>0</v>
      </c>
      <c r="O930" s="12">
        <f>SUMIFS(BASE!$G:$G,BASE!$B:$B,$B930,BASE!$L:$L,$G930,BASE!$J:$J,$C930,BASE!$A:$A,O$2)</f>
        <v>0</v>
      </c>
      <c r="P930" s="12">
        <f>SUMIFS(BASE!$G:$G,BASE!$B:$B,$B930,BASE!$L:$L,$G930,BASE!$J:$J,$C930,BASE!$A:$A,P$2)</f>
        <v>0</v>
      </c>
      <c r="Q930" s="12">
        <f>SUMIFS(BASE!$G:$G,BASE!$B:$B,$B930,BASE!$L:$L,$G930,BASE!$J:$J,$C930,BASE!$A:$A,Q$2)</f>
        <v>0</v>
      </c>
      <c r="R930" s="12">
        <f>SUMIFS(BASE!$G:$G,BASE!$B:$B,$B930,BASE!$L:$L,$G930,BASE!$J:$J,$C930,BASE!$A:$A,R$2)</f>
        <v>2</v>
      </c>
      <c r="S930" s="12">
        <f>SUMIFS(BASE!$G:$G,BASE!$B:$B,$B930,BASE!$L:$L,$G930,BASE!$J:$J,$C930,BASE!$A:$A,S$2)</f>
        <v>0</v>
      </c>
      <c r="T930" s="12">
        <f>SUMIFS(BASE!$G:$G,BASE!$B:$B,$B930,BASE!$L:$L,$G930,BASE!$J:$J,$C930,BASE!$A:$A,T$2)</f>
        <v>0</v>
      </c>
      <c r="U930" s="12">
        <f>SUMIFS(BASE!$G:$G,BASE!$B:$B,$B930,BASE!$L:$L,$G930,BASE!$J:$J,$C930,BASE!$A:$A,U$2)</f>
        <v>0</v>
      </c>
      <c r="V930" s="12">
        <f>SUMIFS(BASE!$G:$G,BASE!$B:$B,$B930,BASE!$L:$L,$G930,BASE!$J:$J,$C930,BASE!$A:$A,V$2)</f>
        <v>0</v>
      </c>
      <c r="X930" t="str">
        <f t="shared" si="29"/>
        <v>COM TROCAS</v>
      </c>
    </row>
    <row r="931" spans="2:24">
      <c r="B931" s="8" t="s">
        <v>1919</v>
      </c>
      <c r="C931" s="9" t="s">
        <v>106</v>
      </c>
      <c r="D931" s="9" t="s">
        <v>1910</v>
      </c>
      <c r="E931" s="9" t="s">
        <v>1911</v>
      </c>
      <c r="F931" s="9" t="s">
        <v>1918</v>
      </c>
      <c r="G931" s="9" t="s">
        <v>57</v>
      </c>
      <c r="H931" s="7" t="str">
        <f>IFERROR(IF(_xlfn.XLOOKUP(B931,REPASSE!D:D,REPASSE!D:D)="","Não","Sim"),"Não")</f>
        <v>Não</v>
      </c>
      <c r="I931" s="7" t="str">
        <f>IF(_xlfn.XLOOKUP(B931,'BOOST LIBERADO'!B:B,'BOOST LIBERADO'!B:B,"Não")="Não","Não","Sim")</f>
        <v>Sim</v>
      </c>
      <c r="J931" s="83" t="str">
        <f t="shared" si="28"/>
        <v>Sim</v>
      </c>
      <c r="K931" s="12">
        <f>SUMIFS(BASE!$G:$G,BASE!$B:$B,$B931,BASE!$L:$L,$G931,BASE!$J:$J,$C931,BASE!$A:$A,K$2)</f>
        <v>0</v>
      </c>
      <c r="L931" s="12">
        <f>SUMIFS(BASE!$G:$G,BASE!$B:$B,$B931,BASE!$L:$L,$G931,BASE!$J:$J,$C931,BASE!$A:$A,L$2)</f>
        <v>0</v>
      </c>
      <c r="M931" s="12">
        <f>SUMIFS(BASE!$G:$G,BASE!$B:$B,$B931,BASE!$L:$L,$G931,BASE!$J:$J,$C931,BASE!$A:$A,M$2)</f>
        <v>0</v>
      </c>
      <c r="N931" s="12">
        <f>SUMIFS(BASE!$G:$G,BASE!$B:$B,$B931,BASE!$L:$L,$G931,BASE!$J:$J,$C931,BASE!$A:$A,N$2)</f>
        <v>0</v>
      </c>
      <c r="O931" s="12">
        <f>SUMIFS(BASE!$G:$G,BASE!$B:$B,$B931,BASE!$L:$L,$G931,BASE!$J:$J,$C931,BASE!$A:$A,O$2)</f>
        <v>0</v>
      </c>
      <c r="P931" s="12">
        <f>SUMIFS(BASE!$G:$G,BASE!$B:$B,$B931,BASE!$L:$L,$G931,BASE!$J:$J,$C931,BASE!$A:$A,P$2)</f>
        <v>0</v>
      </c>
      <c r="Q931" s="12">
        <f>SUMIFS(BASE!$G:$G,BASE!$B:$B,$B931,BASE!$L:$L,$G931,BASE!$J:$J,$C931,BASE!$A:$A,Q$2)</f>
        <v>0</v>
      </c>
      <c r="R931" s="12">
        <f>SUMIFS(BASE!$G:$G,BASE!$B:$B,$B931,BASE!$L:$L,$G931,BASE!$J:$J,$C931,BASE!$A:$A,R$2)</f>
        <v>0</v>
      </c>
      <c r="S931" s="12">
        <f>SUMIFS(BASE!$G:$G,BASE!$B:$B,$B931,BASE!$L:$L,$G931,BASE!$J:$J,$C931,BASE!$A:$A,S$2)</f>
        <v>0</v>
      </c>
      <c r="T931" s="12">
        <f>SUMIFS(BASE!$G:$G,BASE!$B:$B,$B931,BASE!$L:$L,$G931,BASE!$J:$J,$C931,BASE!$A:$A,T$2)</f>
        <v>0</v>
      </c>
      <c r="U931" s="12">
        <f>SUMIFS(BASE!$G:$G,BASE!$B:$B,$B931,BASE!$L:$L,$G931,BASE!$J:$J,$C931,BASE!$A:$A,U$2)</f>
        <v>0</v>
      </c>
      <c r="V931" s="12">
        <f>SUMIFS(BASE!$G:$G,BASE!$B:$B,$B931,BASE!$L:$L,$G931,BASE!$J:$J,$C931,BASE!$A:$A,V$2)</f>
        <v>0</v>
      </c>
      <c r="X931" t="str">
        <f t="shared" si="29"/>
        <v>ZERADO</v>
      </c>
    </row>
    <row r="932" spans="2:24">
      <c r="B932" s="8" t="s">
        <v>1920</v>
      </c>
      <c r="C932" s="9" t="s">
        <v>106</v>
      </c>
      <c r="D932" s="9" t="s">
        <v>1910</v>
      </c>
      <c r="E932" s="9" t="s">
        <v>1911</v>
      </c>
      <c r="F932" s="9" t="s">
        <v>1918</v>
      </c>
      <c r="G932" s="9" t="s">
        <v>57</v>
      </c>
      <c r="H932" s="7" t="str">
        <f>IFERROR(IF(_xlfn.XLOOKUP(B932,REPASSE!D:D,REPASSE!D:D)="","Não","Sim"),"Não")</f>
        <v>Não</v>
      </c>
      <c r="I932" s="7" t="str">
        <f>IF(_xlfn.XLOOKUP(B932,'BOOST LIBERADO'!B:B,'BOOST LIBERADO'!B:B,"Não")="Não","Não","Sim")</f>
        <v>Sim</v>
      </c>
      <c r="J932" s="83" t="str">
        <f t="shared" si="28"/>
        <v>Sim</v>
      </c>
      <c r="K932" s="12">
        <f>SUMIFS(BASE!$G:$G,BASE!$B:$B,$B932,BASE!$L:$L,$G932,BASE!$J:$J,$C932,BASE!$A:$A,K$2)</f>
        <v>0</v>
      </c>
      <c r="L932" s="12">
        <f>SUMIFS(BASE!$G:$G,BASE!$B:$B,$B932,BASE!$L:$L,$G932,BASE!$J:$J,$C932,BASE!$A:$A,L$2)</f>
        <v>0</v>
      </c>
      <c r="M932" s="12">
        <f>SUMIFS(BASE!$G:$G,BASE!$B:$B,$B932,BASE!$L:$L,$G932,BASE!$J:$J,$C932,BASE!$A:$A,M$2)</f>
        <v>2</v>
      </c>
      <c r="N932" s="12">
        <f>SUMIFS(BASE!$G:$G,BASE!$B:$B,$B932,BASE!$L:$L,$G932,BASE!$J:$J,$C932,BASE!$A:$A,N$2)</f>
        <v>4</v>
      </c>
      <c r="O932" s="12">
        <f>SUMIFS(BASE!$G:$G,BASE!$B:$B,$B932,BASE!$L:$L,$G932,BASE!$J:$J,$C932,BASE!$A:$A,O$2)</f>
        <v>1</v>
      </c>
      <c r="P932" s="12">
        <f>SUMIFS(BASE!$G:$G,BASE!$B:$B,$B932,BASE!$L:$L,$G932,BASE!$J:$J,$C932,BASE!$A:$A,P$2)</f>
        <v>4</v>
      </c>
      <c r="Q932" s="12">
        <f>SUMIFS(BASE!$G:$G,BASE!$B:$B,$B932,BASE!$L:$L,$G932,BASE!$J:$J,$C932,BASE!$A:$A,Q$2)</f>
        <v>2</v>
      </c>
      <c r="R932" s="12">
        <f>SUMIFS(BASE!$G:$G,BASE!$B:$B,$B932,BASE!$L:$L,$G932,BASE!$J:$J,$C932,BASE!$A:$A,R$2)</f>
        <v>4</v>
      </c>
      <c r="S932" s="12">
        <f>SUMIFS(BASE!$G:$G,BASE!$B:$B,$B932,BASE!$L:$L,$G932,BASE!$J:$J,$C932,BASE!$A:$A,S$2)</f>
        <v>0</v>
      </c>
      <c r="T932" s="12">
        <f>SUMIFS(BASE!$G:$G,BASE!$B:$B,$B932,BASE!$L:$L,$G932,BASE!$J:$J,$C932,BASE!$A:$A,T$2)</f>
        <v>0</v>
      </c>
      <c r="U932" s="12">
        <f>SUMIFS(BASE!$G:$G,BASE!$B:$B,$B932,BASE!$L:$L,$G932,BASE!$J:$J,$C932,BASE!$A:$A,U$2)</f>
        <v>0</v>
      </c>
      <c r="V932" s="12">
        <f>SUMIFS(BASE!$G:$G,BASE!$B:$B,$B932,BASE!$L:$L,$G932,BASE!$J:$J,$C932,BASE!$A:$A,V$2)</f>
        <v>0</v>
      </c>
      <c r="X932" t="str">
        <f t="shared" si="29"/>
        <v>COM TROCAS</v>
      </c>
    </row>
    <row r="933" spans="2:24">
      <c r="B933" s="8" t="s">
        <v>1921</v>
      </c>
      <c r="C933" s="9" t="s">
        <v>106</v>
      </c>
      <c r="D933" s="9" t="s">
        <v>1910</v>
      </c>
      <c r="E933" s="9" t="s">
        <v>1911</v>
      </c>
      <c r="F933" s="9" t="s">
        <v>1918</v>
      </c>
      <c r="G933" s="9" t="s">
        <v>57</v>
      </c>
      <c r="H933" s="7" t="str">
        <f>IFERROR(IF(_xlfn.XLOOKUP(B933,REPASSE!D:D,REPASSE!D:D)="","Não","Sim"),"Não")</f>
        <v>Não</v>
      </c>
      <c r="I933" s="7" t="str">
        <f>IF(_xlfn.XLOOKUP(B933,'BOOST LIBERADO'!B:B,'BOOST LIBERADO'!B:B,"Não")="Não","Não","Sim")</f>
        <v>Sim</v>
      </c>
      <c r="J933" s="83" t="str">
        <f t="shared" si="28"/>
        <v>Sim</v>
      </c>
      <c r="K933" s="12">
        <f>SUMIFS(BASE!$G:$G,BASE!$B:$B,$B933,BASE!$L:$L,$G933,BASE!$J:$J,$C933,BASE!$A:$A,K$2)</f>
        <v>0</v>
      </c>
      <c r="L933" s="12">
        <f>SUMIFS(BASE!$G:$G,BASE!$B:$B,$B933,BASE!$L:$L,$G933,BASE!$J:$J,$C933,BASE!$A:$A,L$2)</f>
        <v>0</v>
      </c>
      <c r="M933" s="12">
        <f>SUMIFS(BASE!$G:$G,BASE!$B:$B,$B933,BASE!$L:$L,$G933,BASE!$J:$J,$C933,BASE!$A:$A,M$2)</f>
        <v>0</v>
      </c>
      <c r="N933" s="12">
        <f>SUMIFS(BASE!$G:$G,BASE!$B:$B,$B933,BASE!$L:$L,$G933,BASE!$J:$J,$C933,BASE!$A:$A,N$2)</f>
        <v>0</v>
      </c>
      <c r="O933" s="12">
        <f>SUMIFS(BASE!$G:$G,BASE!$B:$B,$B933,BASE!$L:$L,$G933,BASE!$J:$J,$C933,BASE!$A:$A,O$2)</f>
        <v>0</v>
      </c>
      <c r="P933" s="12">
        <f>SUMIFS(BASE!$G:$G,BASE!$B:$B,$B933,BASE!$L:$L,$G933,BASE!$J:$J,$C933,BASE!$A:$A,P$2)</f>
        <v>0</v>
      </c>
      <c r="Q933" s="12">
        <f>SUMIFS(BASE!$G:$G,BASE!$B:$B,$B933,BASE!$L:$L,$G933,BASE!$J:$J,$C933,BASE!$A:$A,Q$2)</f>
        <v>0</v>
      </c>
      <c r="R933" s="12">
        <f>SUMIFS(BASE!$G:$G,BASE!$B:$B,$B933,BASE!$L:$L,$G933,BASE!$J:$J,$C933,BASE!$A:$A,R$2)</f>
        <v>0</v>
      </c>
      <c r="S933" s="12">
        <f>SUMIFS(BASE!$G:$G,BASE!$B:$B,$B933,BASE!$L:$L,$G933,BASE!$J:$J,$C933,BASE!$A:$A,S$2)</f>
        <v>0</v>
      </c>
      <c r="T933" s="12">
        <f>SUMIFS(BASE!$G:$G,BASE!$B:$B,$B933,BASE!$L:$L,$G933,BASE!$J:$J,$C933,BASE!$A:$A,T$2)</f>
        <v>0</v>
      </c>
      <c r="U933" s="12">
        <f>SUMIFS(BASE!$G:$G,BASE!$B:$B,$B933,BASE!$L:$L,$G933,BASE!$J:$J,$C933,BASE!$A:$A,U$2)</f>
        <v>0</v>
      </c>
      <c r="V933" s="12">
        <f>SUMIFS(BASE!$G:$G,BASE!$B:$B,$B933,BASE!$L:$L,$G933,BASE!$J:$J,$C933,BASE!$A:$A,V$2)</f>
        <v>0</v>
      </c>
      <c r="X933" t="str">
        <f t="shared" si="29"/>
        <v>ZERADO</v>
      </c>
    </row>
    <row r="934" spans="2:24">
      <c r="B934" s="8" t="s">
        <v>1922</v>
      </c>
      <c r="C934" s="9" t="s">
        <v>106</v>
      </c>
      <c r="D934" s="9" t="s">
        <v>1910</v>
      </c>
      <c r="E934" s="9" t="s">
        <v>1911</v>
      </c>
      <c r="F934" s="9" t="s">
        <v>1918</v>
      </c>
      <c r="G934" s="9" t="s">
        <v>57</v>
      </c>
      <c r="H934" s="7" t="str">
        <f>IFERROR(IF(_xlfn.XLOOKUP(B934,REPASSE!D:D,REPASSE!D:D)="","Não","Sim"),"Não")</f>
        <v>Não</v>
      </c>
      <c r="I934" s="7" t="str">
        <f>IF(_xlfn.XLOOKUP(B934,'BOOST LIBERADO'!B:B,'BOOST LIBERADO'!B:B,"Não")="Não","Não","Sim")</f>
        <v>Sim</v>
      </c>
      <c r="J934" s="83" t="str">
        <f t="shared" si="28"/>
        <v>Sim</v>
      </c>
      <c r="K934" s="12">
        <f>SUMIFS(BASE!$G:$G,BASE!$B:$B,$B934,BASE!$L:$L,$G934,BASE!$J:$J,$C934,BASE!$A:$A,K$2)</f>
        <v>0</v>
      </c>
      <c r="L934" s="12">
        <f>SUMIFS(BASE!$G:$G,BASE!$B:$B,$B934,BASE!$L:$L,$G934,BASE!$J:$J,$C934,BASE!$A:$A,L$2)</f>
        <v>0</v>
      </c>
      <c r="M934" s="12">
        <f>SUMIFS(BASE!$G:$G,BASE!$B:$B,$B934,BASE!$L:$L,$G934,BASE!$J:$J,$C934,BASE!$A:$A,M$2)</f>
        <v>0</v>
      </c>
      <c r="N934" s="12">
        <f>SUMIFS(BASE!$G:$G,BASE!$B:$B,$B934,BASE!$L:$L,$G934,BASE!$J:$J,$C934,BASE!$A:$A,N$2)</f>
        <v>0</v>
      </c>
      <c r="O934" s="12">
        <f>SUMIFS(BASE!$G:$G,BASE!$B:$B,$B934,BASE!$L:$L,$G934,BASE!$J:$J,$C934,BASE!$A:$A,O$2)</f>
        <v>0</v>
      </c>
      <c r="P934" s="12">
        <f>SUMIFS(BASE!$G:$G,BASE!$B:$B,$B934,BASE!$L:$L,$G934,BASE!$J:$J,$C934,BASE!$A:$A,P$2)</f>
        <v>0</v>
      </c>
      <c r="Q934" s="12">
        <f>SUMIFS(BASE!$G:$G,BASE!$B:$B,$B934,BASE!$L:$L,$G934,BASE!$J:$J,$C934,BASE!$A:$A,Q$2)</f>
        <v>0</v>
      </c>
      <c r="R934" s="12">
        <f>SUMIFS(BASE!$G:$G,BASE!$B:$B,$B934,BASE!$L:$L,$G934,BASE!$J:$J,$C934,BASE!$A:$A,R$2)</f>
        <v>1</v>
      </c>
      <c r="S934" s="12">
        <f>SUMIFS(BASE!$G:$G,BASE!$B:$B,$B934,BASE!$L:$L,$G934,BASE!$J:$J,$C934,BASE!$A:$A,S$2)</f>
        <v>0</v>
      </c>
      <c r="T934" s="12">
        <f>SUMIFS(BASE!$G:$G,BASE!$B:$B,$B934,BASE!$L:$L,$G934,BASE!$J:$J,$C934,BASE!$A:$A,T$2)</f>
        <v>0</v>
      </c>
      <c r="U934" s="12">
        <f>SUMIFS(BASE!$G:$G,BASE!$B:$B,$B934,BASE!$L:$L,$G934,BASE!$J:$J,$C934,BASE!$A:$A,U$2)</f>
        <v>0</v>
      </c>
      <c r="V934" s="12">
        <f>SUMIFS(BASE!$G:$G,BASE!$B:$B,$B934,BASE!$L:$L,$G934,BASE!$J:$J,$C934,BASE!$A:$A,V$2)</f>
        <v>0</v>
      </c>
      <c r="X934" t="str">
        <f t="shared" si="29"/>
        <v>COM TROCAS</v>
      </c>
    </row>
    <row r="935" spans="2:24">
      <c r="B935" s="8" t="s">
        <v>1923</v>
      </c>
      <c r="C935" s="9" t="s">
        <v>106</v>
      </c>
      <c r="D935" s="9" t="s">
        <v>1910</v>
      </c>
      <c r="E935" s="9" t="s">
        <v>1911</v>
      </c>
      <c r="F935" s="9" t="s">
        <v>1924</v>
      </c>
      <c r="G935" s="9" t="s">
        <v>57</v>
      </c>
      <c r="H935" s="7" t="str">
        <f>IFERROR(IF(_xlfn.XLOOKUP(B935,REPASSE!D:D,REPASSE!D:D)="","Não","Sim"),"Não")</f>
        <v>Não</v>
      </c>
      <c r="I935" s="7" t="str">
        <f>IF(_xlfn.XLOOKUP(B935,'BOOST LIBERADO'!B:B,'BOOST LIBERADO'!B:B,"Não")="Não","Não","Sim")</f>
        <v>Sim</v>
      </c>
      <c r="J935" s="83" t="str">
        <f t="shared" si="28"/>
        <v>Sim</v>
      </c>
      <c r="K935" s="12">
        <f>SUMIFS(BASE!$G:$G,BASE!$B:$B,$B935,BASE!$L:$L,$G935,BASE!$J:$J,$C935,BASE!$A:$A,K$2)</f>
        <v>0</v>
      </c>
      <c r="L935" s="12">
        <f>SUMIFS(BASE!$G:$G,BASE!$B:$B,$B935,BASE!$L:$L,$G935,BASE!$J:$J,$C935,BASE!$A:$A,L$2)</f>
        <v>0</v>
      </c>
      <c r="M935" s="12">
        <f>SUMIFS(BASE!$G:$G,BASE!$B:$B,$B935,BASE!$L:$L,$G935,BASE!$J:$J,$C935,BASE!$A:$A,M$2)</f>
        <v>0</v>
      </c>
      <c r="N935" s="12">
        <f>SUMIFS(BASE!$G:$G,BASE!$B:$B,$B935,BASE!$L:$L,$G935,BASE!$J:$J,$C935,BASE!$A:$A,N$2)</f>
        <v>0</v>
      </c>
      <c r="O935" s="12">
        <f>SUMIFS(BASE!$G:$G,BASE!$B:$B,$B935,BASE!$L:$L,$G935,BASE!$J:$J,$C935,BASE!$A:$A,O$2)</f>
        <v>0</v>
      </c>
      <c r="P935" s="12">
        <f>SUMIFS(BASE!$G:$G,BASE!$B:$B,$B935,BASE!$L:$L,$G935,BASE!$J:$J,$C935,BASE!$A:$A,P$2)</f>
        <v>0</v>
      </c>
      <c r="Q935" s="12">
        <f>SUMIFS(BASE!$G:$G,BASE!$B:$B,$B935,BASE!$L:$L,$G935,BASE!$J:$J,$C935,BASE!$A:$A,Q$2)</f>
        <v>0</v>
      </c>
      <c r="R935" s="12">
        <f>SUMIFS(BASE!$G:$G,BASE!$B:$B,$B935,BASE!$L:$L,$G935,BASE!$J:$J,$C935,BASE!$A:$A,R$2)</f>
        <v>0</v>
      </c>
      <c r="S935" s="12">
        <f>SUMIFS(BASE!$G:$G,BASE!$B:$B,$B935,BASE!$L:$L,$G935,BASE!$J:$J,$C935,BASE!$A:$A,S$2)</f>
        <v>0</v>
      </c>
      <c r="T935" s="12">
        <f>SUMIFS(BASE!$G:$G,BASE!$B:$B,$B935,BASE!$L:$L,$G935,BASE!$J:$J,$C935,BASE!$A:$A,T$2)</f>
        <v>0</v>
      </c>
      <c r="U935" s="12">
        <f>SUMIFS(BASE!$G:$G,BASE!$B:$B,$B935,BASE!$L:$L,$G935,BASE!$J:$J,$C935,BASE!$A:$A,U$2)</f>
        <v>0</v>
      </c>
      <c r="V935" s="12">
        <f>SUMIFS(BASE!$G:$G,BASE!$B:$B,$B935,BASE!$L:$L,$G935,BASE!$J:$J,$C935,BASE!$A:$A,V$2)</f>
        <v>0</v>
      </c>
      <c r="X935" t="str">
        <f t="shared" si="29"/>
        <v>ZERADO</v>
      </c>
    </row>
    <row r="936" spans="2:24">
      <c r="B936" s="8" t="s">
        <v>1925</v>
      </c>
      <c r="C936" s="9" t="s">
        <v>106</v>
      </c>
      <c r="D936" s="9" t="s">
        <v>1926</v>
      </c>
      <c r="E936" s="9" t="s">
        <v>1911</v>
      </c>
      <c r="F936" s="9" t="s">
        <v>1927</v>
      </c>
      <c r="G936" s="9" t="s">
        <v>57</v>
      </c>
      <c r="H936" s="7" t="str">
        <f>IFERROR(IF(_xlfn.XLOOKUP(B936,REPASSE!D:D,REPASSE!D:D)="","Não","Sim"),"Não")</f>
        <v>Não</v>
      </c>
      <c r="I936" s="7" t="str">
        <f>IF(_xlfn.XLOOKUP(B936,'BOOST LIBERADO'!B:B,'BOOST LIBERADO'!B:B,"Não")="Não","Não","Sim")</f>
        <v>Sim</v>
      </c>
      <c r="J936" s="83" t="str">
        <f t="shared" si="28"/>
        <v>Sim</v>
      </c>
      <c r="K936" s="12">
        <f>SUMIFS(BASE!$G:$G,BASE!$B:$B,$B936,BASE!$L:$L,$G936,BASE!$J:$J,$C936,BASE!$A:$A,K$2)</f>
        <v>0</v>
      </c>
      <c r="L936" s="12">
        <f>SUMIFS(BASE!$G:$G,BASE!$B:$B,$B936,BASE!$L:$L,$G936,BASE!$J:$J,$C936,BASE!$A:$A,L$2)</f>
        <v>0</v>
      </c>
      <c r="M936" s="12">
        <f>SUMIFS(BASE!$G:$G,BASE!$B:$B,$B936,BASE!$L:$L,$G936,BASE!$J:$J,$C936,BASE!$A:$A,M$2)</f>
        <v>0</v>
      </c>
      <c r="N936" s="12">
        <f>SUMIFS(BASE!$G:$G,BASE!$B:$B,$B936,BASE!$L:$L,$G936,BASE!$J:$J,$C936,BASE!$A:$A,N$2)</f>
        <v>0</v>
      </c>
      <c r="O936" s="12">
        <f>SUMIFS(BASE!$G:$G,BASE!$B:$B,$B936,BASE!$L:$L,$G936,BASE!$J:$J,$C936,BASE!$A:$A,O$2)</f>
        <v>0</v>
      </c>
      <c r="P936" s="12">
        <f>SUMIFS(BASE!$G:$G,BASE!$B:$B,$B936,BASE!$L:$L,$G936,BASE!$J:$J,$C936,BASE!$A:$A,P$2)</f>
        <v>0</v>
      </c>
      <c r="Q936" s="12">
        <f>SUMIFS(BASE!$G:$G,BASE!$B:$B,$B936,BASE!$L:$L,$G936,BASE!$J:$J,$C936,BASE!$A:$A,Q$2)</f>
        <v>0</v>
      </c>
      <c r="R936" s="12">
        <f>SUMIFS(BASE!$G:$G,BASE!$B:$B,$B936,BASE!$L:$L,$G936,BASE!$J:$J,$C936,BASE!$A:$A,R$2)</f>
        <v>0</v>
      </c>
      <c r="S936" s="12">
        <f>SUMIFS(BASE!$G:$G,BASE!$B:$B,$B936,BASE!$L:$L,$G936,BASE!$J:$J,$C936,BASE!$A:$A,S$2)</f>
        <v>0</v>
      </c>
      <c r="T936" s="12">
        <f>SUMIFS(BASE!$G:$G,BASE!$B:$B,$B936,BASE!$L:$L,$G936,BASE!$J:$J,$C936,BASE!$A:$A,T$2)</f>
        <v>0</v>
      </c>
      <c r="U936" s="12">
        <f>SUMIFS(BASE!$G:$G,BASE!$B:$B,$B936,BASE!$L:$L,$G936,BASE!$J:$J,$C936,BASE!$A:$A,U$2)</f>
        <v>0</v>
      </c>
      <c r="V936" s="12">
        <f>SUMIFS(BASE!$G:$G,BASE!$B:$B,$B936,BASE!$L:$L,$G936,BASE!$J:$J,$C936,BASE!$A:$A,V$2)</f>
        <v>0</v>
      </c>
      <c r="X936" t="str">
        <f t="shared" si="29"/>
        <v>ZERADO</v>
      </c>
    </row>
    <row r="937" spans="2:24">
      <c r="B937" s="8" t="s">
        <v>1928</v>
      </c>
      <c r="C937" s="9" t="s">
        <v>178</v>
      </c>
      <c r="D937" s="9" t="s">
        <v>1929</v>
      </c>
      <c r="E937" s="9" t="s">
        <v>1743</v>
      </c>
      <c r="F937" s="9" t="s">
        <v>775</v>
      </c>
      <c r="G937" s="9" t="s">
        <v>57</v>
      </c>
      <c r="H937" s="7" t="str">
        <f>IFERROR(IF(_xlfn.XLOOKUP(B937,REPASSE!D:D,REPASSE!D:D)="","Não","Sim"),"Não")</f>
        <v>Sim</v>
      </c>
      <c r="I937" s="7" t="str">
        <f>IF(_xlfn.XLOOKUP(B937,'BOOST LIBERADO'!B:B,'BOOST LIBERADO'!B:B,"Não")="Não","Não","Sim")</f>
        <v>Não</v>
      </c>
      <c r="J937" s="83" t="str">
        <f t="shared" si="28"/>
        <v>Não</v>
      </c>
      <c r="K937" s="12">
        <f>SUMIFS(BASE!$G:$G,BASE!$B:$B,$B937,BASE!$L:$L,$G937,BASE!$J:$J,$C937,BASE!$A:$A,K$2)</f>
        <v>0</v>
      </c>
      <c r="L937" s="12">
        <f>SUMIFS(BASE!$G:$G,BASE!$B:$B,$B937,BASE!$L:$L,$G937,BASE!$J:$J,$C937,BASE!$A:$A,L$2)</f>
        <v>0</v>
      </c>
      <c r="M937" s="12">
        <f>SUMIFS(BASE!$G:$G,BASE!$B:$B,$B937,BASE!$L:$L,$G937,BASE!$J:$J,$C937,BASE!$A:$A,M$2)</f>
        <v>0</v>
      </c>
      <c r="N937" s="12">
        <f>SUMIFS(BASE!$G:$G,BASE!$B:$B,$B937,BASE!$L:$L,$G937,BASE!$J:$J,$C937,BASE!$A:$A,N$2)</f>
        <v>0</v>
      </c>
      <c r="O937" s="12">
        <f>SUMIFS(BASE!$G:$G,BASE!$B:$B,$B937,BASE!$L:$L,$G937,BASE!$J:$J,$C937,BASE!$A:$A,O$2)</f>
        <v>0</v>
      </c>
      <c r="P937" s="12">
        <f>SUMIFS(BASE!$G:$G,BASE!$B:$B,$B937,BASE!$L:$L,$G937,BASE!$J:$J,$C937,BASE!$A:$A,P$2)</f>
        <v>0</v>
      </c>
      <c r="Q937" s="12">
        <f>SUMIFS(BASE!$G:$G,BASE!$B:$B,$B937,BASE!$L:$L,$G937,BASE!$J:$J,$C937,BASE!$A:$A,Q$2)</f>
        <v>0</v>
      </c>
      <c r="R937" s="12">
        <f>SUMIFS(BASE!$G:$G,BASE!$B:$B,$B937,BASE!$L:$L,$G937,BASE!$J:$J,$C937,BASE!$A:$A,R$2)</f>
        <v>0</v>
      </c>
      <c r="S937" s="12">
        <f>SUMIFS(BASE!$G:$G,BASE!$B:$B,$B937,BASE!$L:$L,$G937,BASE!$J:$J,$C937,BASE!$A:$A,S$2)</f>
        <v>0</v>
      </c>
      <c r="T937" s="12">
        <f>SUMIFS(BASE!$G:$G,BASE!$B:$B,$B937,BASE!$L:$L,$G937,BASE!$J:$J,$C937,BASE!$A:$A,T$2)</f>
        <v>0</v>
      </c>
      <c r="U937" s="12">
        <f>SUMIFS(BASE!$G:$G,BASE!$B:$B,$B937,BASE!$L:$L,$G937,BASE!$J:$J,$C937,BASE!$A:$A,U$2)</f>
        <v>0</v>
      </c>
      <c r="V937" s="12">
        <f>SUMIFS(BASE!$G:$G,BASE!$B:$B,$B937,BASE!$L:$L,$G937,BASE!$J:$J,$C937,BASE!$A:$A,V$2)</f>
        <v>0</v>
      </c>
      <c r="X937" t="str">
        <f t="shared" si="29"/>
        <v>ZERADO</v>
      </c>
    </row>
    <row r="938" spans="2:24">
      <c r="B938" s="8" t="s">
        <v>1930</v>
      </c>
      <c r="C938" s="9" t="s">
        <v>106</v>
      </c>
      <c r="D938" s="9" t="s">
        <v>1929</v>
      </c>
      <c r="E938" s="9" t="s">
        <v>1743</v>
      </c>
      <c r="F938" s="9" t="s">
        <v>1931</v>
      </c>
      <c r="G938" s="9" t="s">
        <v>57</v>
      </c>
      <c r="H938" s="7" t="str">
        <f>IFERROR(IF(_xlfn.XLOOKUP(B938,REPASSE!D:D,REPASSE!D:D)="","Não","Sim"),"Não")</f>
        <v>Não</v>
      </c>
      <c r="I938" s="7" t="str">
        <f>IF(_xlfn.XLOOKUP(B938,'BOOST LIBERADO'!B:B,'BOOST LIBERADO'!B:B,"Não")="Não","Não","Sim")</f>
        <v>Sim</v>
      </c>
      <c r="J938" s="83" t="str">
        <f t="shared" si="28"/>
        <v>Sim</v>
      </c>
      <c r="K938" s="12">
        <f>SUMIFS(BASE!$G:$G,BASE!$B:$B,$B938,BASE!$L:$L,$G938,BASE!$J:$J,$C938,BASE!$A:$A,K$2)</f>
        <v>0</v>
      </c>
      <c r="L938" s="12">
        <f>SUMIFS(BASE!$G:$G,BASE!$B:$B,$B938,BASE!$L:$L,$G938,BASE!$J:$J,$C938,BASE!$A:$A,L$2)</f>
        <v>0</v>
      </c>
      <c r="M938" s="12">
        <f>SUMIFS(BASE!$G:$G,BASE!$B:$B,$B938,BASE!$L:$L,$G938,BASE!$J:$J,$C938,BASE!$A:$A,M$2)</f>
        <v>1</v>
      </c>
      <c r="N938" s="12">
        <f>SUMIFS(BASE!$G:$G,BASE!$B:$B,$B938,BASE!$L:$L,$G938,BASE!$J:$J,$C938,BASE!$A:$A,N$2)</f>
        <v>1</v>
      </c>
      <c r="O938" s="12">
        <f>SUMIFS(BASE!$G:$G,BASE!$B:$B,$B938,BASE!$L:$L,$G938,BASE!$J:$J,$C938,BASE!$A:$A,O$2)</f>
        <v>3</v>
      </c>
      <c r="P938" s="12">
        <f>SUMIFS(BASE!$G:$G,BASE!$B:$B,$B938,BASE!$L:$L,$G938,BASE!$J:$J,$C938,BASE!$A:$A,P$2)</f>
        <v>1</v>
      </c>
      <c r="Q938" s="12">
        <f>SUMIFS(BASE!$G:$G,BASE!$B:$B,$B938,BASE!$L:$L,$G938,BASE!$J:$J,$C938,BASE!$A:$A,Q$2)</f>
        <v>0</v>
      </c>
      <c r="R938" s="12">
        <f>SUMIFS(BASE!$G:$G,BASE!$B:$B,$B938,BASE!$L:$L,$G938,BASE!$J:$J,$C938,BASE!$A:$A,R$2)</f>
        <v>1</v>
      </c>
      <c r="S938" s="12">
        <f>SUMIFS(BASE!$G:$G,BASE!$B:$B,$B938,BASE!$L:$L,$G938,BASE!$J:$J,$C938,BASE!$A:$A,S$2)</f>
        <v>0</v>
      </c>
      <c r="T938" s="12">
        <f>SUMIFS(BASE!$G:$G,BASE!$B:$B,$B938,BASE!$L:$L,$G938,BASE!$J:$J,$C938,BASE!$A:$A,T$2)</f>
        <v>0</v>
      </c>
      <c r="U938" s="12">
        <f>SUMIFS(BASE!$G:$G,BASE!$B:$B,$B938,BASE!$L:$L,$G938,BASE!$J:$J,$C938,BASE!$A:$A,U$2)</f>
        <v>0</v>
      </c>
      <c r="V938" s="12">
        <f>SUMIFS(BASE!$G:$G,BASE!$B:$B,$B938,BASE!$L:$L,$G938,BASE!$J:$J,$C938,BASE!$A:$A,V$2)</f>
        <v>0</v>
      </c>
      <c r="X938" t="str">
        <f t="shared" si="29"/>
        <v>COM TROCAS</v>
      </c>
    </row>
    <row r="939" spans="2:24">
      <c r="B939" s="8" t="s">
        <v>1932</v>
      </c>
      <c r="C939" s="9" t="s">
        <v>106</v>
      </c>
      <c r="D939" s="9" t="s">
        <v>1929</v>
      </c>
      <c r="E939" s="9" t="s">
        <v>1743</v>
      </c>
      <c r="F939" s="9" t="s">
        <v>1931</v>
      </c>
      <c r="G939" s="9" t="s">
        <v>57</v>
      </c>
      <c r="H939" s="7" t="str">
        <f>IFERROR(IF(_xlfn.XLOOKUP(B939,REPASSE!D:D,REPASSE!D:D)="","Não","Sim"),"Não")</f>
        <v>Não</v>
      </c>
      <c r="I939" s="7" t="str">
        <f>IF(_xlfn.XLOOKUP(B939,'BOOST LIBERADO'!B:B,'BOOST LIBERADO'!B:B,"Não")="Não","Não","Sim")</f>
        <v>Sim</v>
      </c>
      <c r="J939" s="83" t="str">
        <f t="shared" si="28"/>
        <v>Sim</v>
      </c>
      <c r="K939" s="12">
        <f>SUMIFS(BASE!$G:$G,BASE!$B:$B,$B939,BASE!$L:$L,$G939,BASE!$J:$J,$C939,BASE!$A:$A,K$2)</f>
        <v>0</v>
      </c>
      <c r="L939" s="12">
        <f>SUMIFS(BASE!$G:$G,BASE!$B:$B,$B939,BASE!$L:$L,$G939,BASE!$J:$J,$C939,BASE!$A:$A,L$2)</f>
        <v>0</v>
      </c>
      <c r="M939" s="12">
        <f>SUMIFS(BASE!$G:$G,BASE!$B:$B,$B939,BASE!$L:$L,$G939,BASE!$J:$J,$C939,BASE!$A:$A,M$2)</f>
        <v>2</v>
      </c>
      <c r="N939" s="12">
        <f>SUMIFS(BASE!$G:$G,BASE!$B:$B,$B939,BASE!$L:$L,$G939,BASE!$J:$J,$C939,BASE!$A:$A,N$2)</f>
        <v>4</v>
      </c>
      <c r="O939" s="12">
        <f>SUMIFS(BASE!$G:$G,BASE!$B:$B,$B939,BASE!$L:$L,$G939,BASE!$J:$J,$C939,BASE!$A:$A,O$2)</f>
        <v>3</v>
      </c>
      <c r="P939" s="12">
        <f>SUMIFS(BASE!$G:$G,BASE!$B:$B,$B939,BASE!$L:$L,$G939,BASE!$J:$J,$C939,BASE!$A:$A,P$2)</f>
        <v>8</v>
      </c>
      <c r="Q939" s="12">
        <f>SUMIFS(BASE!$G:$G,BASE!$B:$B,$B939,BASE!$L:$L,$G939,BASE!$J:$J,$C939,BASE!$A:$A,Q$2)</f>
        <v>8</v>
      </c>
      <c r="R939" s="12">
        <f>SUMIFS(BASE!$G:$G,BASE!$B:$B,$B939,BASE!$L:$L,$G939,BASE!$J:$J,$C939,BASE!$A:$A,R$2)</f>
        <v>8</v>
      </c>
      <c r="S939" s="12">
        <f>SUMIFS(BASE!$G:$G,BASE!$B:$B,$B939,BASE!$L:$L,$G939,BASE!$J:$J,$C939,BASE!$A:$A,S$2)</f>
        <v>0</v>
      </c>
      <c r="T939" s="12">
        <f>SUMIFS(BASE!$G:$G,BASE!$B:$B,$B939,BASE!$L:$L,$G939,BASE!$J:$J,$C939,BASE!$A:$A,T$2)</f>
        <v>0</v>
      </c>
      <c r="U939" s="12">
        <f>SUMIFS(BASE!$G:$G,BASE!$B:$B,$B939,BASE!$L:$L,$G939,BASE!$J:$J,$C939,BASE!$A:$A,U$2)</f>
        <v>0</v>
      </c>
      <c r="V939" s="12">
        <f>SUMIFS(BASE!$G:$G,BASE!$B:$B,$B939,BASE!$L:$L,$G939,BASE!$J:$J,$C939,BASE!$A:$A,V$2)</f>
        <v>0</v>
      </c>
      <c r="X939" t="str">
        <f t="shared" si="29"/>
        <v>COM TROCAS</v>
      </c>
    </row>
    <row r="940" spans="2:24">
      <c r="B940" s="8" t="s">
        <v>1933</v>
      </c>
      <c r="C940" s="9" t="s">
        <v>103</v>
      </c>
      <c r="D940" s="9" t="s">
        <v>1929</v>
      </c>
      <c r="E940" s="9" t="s">
        <v>1743</v>
      </c>
      <c r="F940" s="9" t="s">
        <v>1934</v>
      </c>
      <c r="G940" s="9" t="s">
        <v>57</v>
      </c>
      <c r="H940" s="7" t="str">
        <f>IFERROR(IF(_xlfn.XLOOKUP(B940,REPASSE!D:D,REPASSE!D:D)="","Não","Sim"),"Não")</f>
        <v>Não</v>
      </c>
      <c r="I940" s="7" t="str">
        <f>IF(_xlfn.XLOOKUP(B940,'BOOST LIBERADO'!B:B,'BOOST LIBERADO'!B:B,"Não")="Não","Não","Sim")</f>
        <v>Sim</v>
      </c>
      <c r="J940" s="83" t="str">
        <f t="shared" si="28"/>
        <v>Sim</v>
      </c>
      <c r="K940" s="12">
        <f>SUMIFS(BASE!$G:$G,BASE!$B:$B,$B940,BASE!$L:$L,$G940,BASE!$J:$J,$C940,BASE!$A:$A,K$2)</f>
        <v>0</v>
      </c>
      <c r="L940" s="12">
        <f>SUMIFS(BASE!$G:$G,BASE!$B:$B,$B940,BASE!$L:$L,$G940,BASE!$J:$J,$C940,BASE!$A:$A,L$2)</f>
        <v>0</v>
      </c>
      <c r="M940" s="12">
        <f>SUMIFS(BASE!$G:$G,BASE!$B:$B,$B940,BASE!$L:$L,$G940,BASE!$J:$J,$C940,BASE!$A:$A,M$2)</f>
        <v>1</v>
      </c>
      <c r="N940" s="12">
        <f>SUMIFS(BASE!$G:$G,BASE!$B:$B,$B940,BASE!$L:$L,$G940,BASE!$J:$J,$C940,BASE!$A:$A,N$2)</f>
        <v>0</v>
      </c>
      <c r="O940" s="12">
        <f>SUMIFS(BASE!$G:$G,BASE!$B:$B,$B940,BASE!$L:$L,$G940,BASE!$J:$J,$C940,BASE!$A:$A,O$2)</f>
        <v>0</v>
      </c>
      <c r="P940" s="12">
        <f>SUMIFS(BASE!$G:$G,BASE!$B:$B,$B940,BASE!$L:$L,$G940,BASE!$J:$J,$C940,BASE!$A:$A,P$2)</f>
        <v>0</v>
      </c>
      <c r="Q940" s="12">
        <f>SUMIFS(BASE!$G:$G,BASE!$B:$B,$B940,BASE!$L:$L,$G940,BASE!$J:$J,$C940,BASE!$A:$A,Q$2)</f>
        <v>4</v>
      </c>
      <c r="R940" s="12">
        <f>SUMIFS(BASE!$G:$G,BASE!$B:$B,$B940,BASE!$L:$L,$G940,BASE!$J:$J,$C940,BASE!$A:$A,R$2)</f>
        <v>4</v>
      </c>
      <c r="S940" s="12">
        <f>SUMIFS(BASE!$G:$G,BASE!$B:$B,$B940,BASE!$L:$L,$G940,BASE!$J:$J,$C940,BASE!$A:$A,S$2)</f>
        <v>0</v>
      </c>
      <c r="T940" s="12">
        <f>SUMIFS(BASE!$G:$G,BASE!$B:$B,$B940,BASE!$L:$L,$G940,BASE!$J:$J,$C940,BASE!$A:$A,T$2)</f>
        <v>0</v>
      </c>
      <c r="U940" s="12">
        <f>SUMIFS(BASE!$G:$G,BASE!$B:$B,$B940,BASE!$L:$L,$G940,BASE!$J:$J,$C940,BASE!$A:$A,U$2)</f>
        <v>0</v>
      </c>
      <c r="V940" s="12">
        <f>SUMIFS(BASE!$G:$G,BASE!$B:$B,$B940,BASE!$L:$L,$G940,BASE!$J:$J,$C940,BASE!$A:$A,V$2)</f>
        <v>0</v>
      </c>
      <c r="X940" t="str">
        <f t="shared" si="29"/>
        <v>COM TROCAS</v>
      </c>
    </row>
    <row r="941" spans="2:24">
      <c r="B941" s="8" t="s">
        <v>1935</v>
      </c>
      <c r="C941" s="9" t="s">
        <v>176</v>
      </c>
      <c r="D941" s="9" t="s">
        <v>1936</v>
      </c>
      <c r="E941" s="9" t="s">
        <v>1754</v>
      </c>
      <c r="F941" s="9" t="s">
        <v>1937</v>
      </c>
      <c r="G941" s="9" t="s">
        <v>58</v>
      </c>
      <c r="H941" s="7" t="str">
        <f>IFERROR(IF(_xlfn.XLOOKUP(B941,REPASSE!D:D,REPASSE!D:D)="","Não","Sim"),"Não")</f>
        <v>Não</v>
      </c>
      <c r="I941" s="7" t="str">
        <f>IF(_xlfn.XLOOKUP(B941,'BOOST LIBERADO'!B:B,'BOOST LIBERADO'!B:B,"Não")="Não","Não","Sim")</f>
        <v>Sim</v>
      </c>
      <c r="J941" s="83" t="str">
        <f t="shared" si="28"/>
        <v>Sim</v>
      </c>
      <c r="K941" s="12">
        <f>SUMIFS(BASE!$G:$G,BASE!$B:$B,$B941,BASE!$L:$L,$G941,BASE!$J:$J,$C941,BASE!$A:$A,K$2)</f>
        <v>0</v>
      </c>
      <c r="L941" s="12">
        <f>SUMIFS(BASE!$G:$G,BASE!$B:$B,$B941,BASE!$L:$L,$G941,BASE!$J:$J,$C941,BASE!$A:$A,L$2)</f>
        <v>0</v>
      </c>
      <c r="M941" s="12">
        <f>SUMIFS(BASE!$G:$G,BASE!$B:$B,$B941,BASE!$L:$L,$G941,BASE!$J:$J,$C941,BASE!$A:$A,M$2)</f>
        <v>0</v>
      </c>
      <c r="N941" s="12">
        <f>SUMIFS(BASE!$G:$G,BASE!$B:$B,$B941,BASE!$L:$L,$G941,BASE!$J:$J,$C941,BASE!$A:$A,N$2)</f>
        <v>0</v>
      </c>
      <c r="O941" s="12">
        <f>SUMIFS(BASE!$G:$G,BASE!$B:$B,$B941,BASE!$L:$L,$G941,BASE!$J:$J,$C941,BASE!$A:$A,O$2)</f>
        <v>1</v>
      </c>
      <c r="P941" s="12">
        <f>SUMIFS(BASE!$G:$G,BASE!$B:$B,$B941,BASE!$L:$L,$G941,BASE!$J:$J,$C941,BASE!$A:$A,P$2)</f>
        <v>1</v>
      </c>
      <c r="Q941" s="12">
        <f>SUMIFS(BASE!$G:$G,BASE!$B:$B,$B941,BASE!$L:$L,$G941,BASE!$J:$J,$C941,BASE!$A:$A,Q$2)</f>
        <v>1</v>
      </c>
      <c r="R941" s="12">
        <f>SUMIFS(BASE!$G:$G,BASE!$B:$B,$B941,BASE!$L:$L,$G941,BASE!$J:$J,$C941,BASE!$A:$A,R$2)</f>
        <v>0</v>
      </c>
      <c r="S941" s="12">
        <f>SUMIFS(BASE!$G:$G,BASE!$B:$B,$B941,BASE!$L:$L,$G941,BASE!$J:$J,$C941,BASE!$A:$A,S$2)</f>
        <v>0</v>
      </c>
      <c r="T941" s="12">
        <f>SUMIFS(BASE!$G:$G,BASE!$B:$B,$B941,BASE!$L:$L,$G941,BASE!$J:$J,$C941,BASE!$A:$A,T$2)</f>
        <v>0</v>
      </c>
      <c r="U941" s="12">
        <f>SUMIFS(BASE!$G:$G,BASE!$B:$B,$B941,BASE!$L:$L,$G941,BASE!$J:$J,$C941,BASE!$A:$A,U$2)</f>
        <v>0</v>
      </c>
      <c r="V941" s="12">
        <f>SUMIFS(BASE!$G:$G,BASE!$B:$B,$B941,BASE!$L:$L,$G941,BASE!$J:$J,$C941,BASE!$A:$A,V$2)</f>
        <v>0</v>
      </c>
      <c r="X941" t="str">
        <f t="shared" si="29"/>
        <v>ZERADO</v>
      </c>
    </row>
    <row r="942" spans="2:24">
      <c r="B942" s="8" t="s">
        <v>1938</v>
      </c>
      <c r="C942" s="9" t="s">
        <v>176</v>
      </c>
      <c r="D942" s="9" t="s">
        <v>1936</v>
      </c>
      <c r="E942" s="9" t="s">
        <v>1754</v>
      </c>
      <c r="F942" s="9" t="s">
        <v>1939</v>
      </c>
      <c r="G942" s="9" t="s">
        <v>58</v>
      </c>
      <c r="H942" s="7" t="str">
        <f>IFERROR(IF(_xlfn.XLOOKUP(B942,REPASSE!D:D,REPASSE!D:D)="","Não","Sim"),"Não")</f>
        <v>Não</v>
      </c>
      <c r="I942" s="7" t="str">
        <f>IF(_xlfn.XLOOKUP(B942,'BOOST LIBERADO'!B:B,'BOOST LIBERADO'!B:B,"Não")="Não","Não","Sim")</f>
        <v>Sim</v>
      </c>
      <c r="J942" s="83" t="str">
        <f t="shared" si="28"/>
        <v>Sim</v>
      </c>
      <c r="K942" s="12">
        <f>SUMIFS(BASE!$G:$G,BASE!$B:$B,$B942,BASE!$L:$L,$G942,BASE!$J:$J,$C942,BASE!$A:$A,K$2)</f>
        <v>0</v>
      </c>
      <c r="L942" s="12">
        <f>SUMIFS(BASE!$G:$G,BASE!$B:$B,$B942,BASE!$L:$L,$G942,BASE!$J:$J,$C942,BASE!$A:$A,L$2)</f>
        <v>0</v>
      </c>
      <c r="M942" s="12">
        <f>SUMIFS(BASE!$G:$G,BASE!$B:$B,$B942,BASE!$L:$L,$G942,BASE!$J:$J,$C942,BASE!$A:$A,M$2)</f>
        <v>1</v>
      </c>
      <c r="N942" s="12">
        <f>SUMIFS(BASE!$G:$G,BASE!$B:$B,$B942,BASE!$L:$L,$G942,BASE!$J:$J,$C942,BASE!$A:$A,N$2)</f>
        <v>0</v>
      </c>
      <c r="O942" s="12">
        <f>SUMIFS(BASE!$G:$G,BASE!$B:$B,$B942,BASE!$L:$L,$G942,BASE!$J:$J,$C942,BASE!$A:$A,O$2)</f>
        <v>0</v>
      </c>
      <c r="P942" s="12">
        <f>SUMIFS(BASE!$G:$G,BASE!$B:$B,$B942,BASE!$L:$L,$G942,BASE!$J:$J,$C942,BASE!$A:$A,P$2)</f>
        <v>0</v>
      </c>
      <c r="Q942" s="12">
        <f>SUMIFS(BASE!$G:$G,BASE!$B:$B,$B942,BASE!$L:$L,$G942,BASE!$J:$J,$C942,BASE!$A:$A,Q$2)</f>
        <v>0</v>
      </c>
      <c r="R942" s="12">
        <f>SUMIFS(BASE!$G:$G,BASE!$B:$B,$B942,BASE!$L:$L,$G942,BASE!$J:$J,$C942,BASE!$A:$A,R$2)</f>
        <v>0</v>
      </c>
      <c r="S942" s="12">
        <f>SUMIFS(BASE!$G:$G,BASE!$B:$B,$B942,BASE!$L:$L,$G942,BASE!$J:$J,$C942,BASE!$A:$A,S$2)</f>
        <v>0</v>
      </c>
      <c r="T942" s="12">
        <f>SUMIFS(BASE!$G:$G,BASE!$B:$B,$B942,BASE!$L:$L,$G942,BASE!$J:$J,$C942,BASE!$A:$A,T$2)</f>
        <v>0</v>
      </c>
      <c r="U942" s="12">
        <f>SUMIFS(BASE!$G:$G,BASE!$B:$B,$B942,BASE!$L:$L,$G942,BASE!$J:$J,$C942,BASE!$A:$A,U$2)</f>
        <v>0</v>
      </c>
      <c r="V942" s="12">
        <f>SUMIFS(BASE!$G:$G,BASE!$B:$B,$B942,BASE!$L:$L,$G942,BASE!$J:$J,$C942,BASE!$A:$A,V$2)</f>
        <v>0</v>
      </c>
      <c r="X942" t="str">
        <f t="shared" si="29"/>
        <v>ZERADO</v>
      </c>
    </row>
    <row r="943" spans="2:24">
      <c r="B943" s="8" t="s">
        <v>1940</v>
      </c>
      <c r="C943" s="9" t="s">
        <v>176</v>
      </c>
      <c r="D943" s="9" t="s">
        <v>1936</v>
      </c>
      <c r="E943" s="9" t="s">
        <v>1754</v>
      </c>
      <c r="F943" s="9" t="s">
        <v>1939</v>
      </c>
      <c r="G943" s="9" t="s">
        <v>58</v>
      </c>
      <c r="H943" s="7" t="str">
        <f>IFERROR(IF(_xlfn.XLOOKUP(B943,REPASSE!D:D,REPASSE!D:D)="","Não","Sim"),"Não")</f>
        <v>Não</v>
      </c>
      <c r="I943" s="7" t="str">
        <f>IF(_xlfn.XLOOKUP(B943,'BOOST LIBERADO'!B:B,'BOOST LIBERADO'!B:B,"Não")="Não","Não","Sim")</f>
        <v>Sim</v>
      </c>
      <c r="J943" s="83" t="str">
        <f t="shared" si="28"/>
        <v>Sim</v>
      </c>
      <c r="K943" s="12">
        <f>SUMIFS(BASE!$G:$G,BASE!$B:$B,$B943,BASE!$L:$L,$G943,BASE!$J:$J,$C943,BASE!$A:$A,K$2)</f>
        <v>2</v>
      </c>
      <c r="L943" s="12">
        <f>SUMIFS(BASE!$G:$G,BASE!$B:$B,$B943,BASE!$L:$L,$G943,BASE!$J:$J,$C943,BASE!$A:$A,L$2)</f>
        <v>0</v>
      </c>
      <c r="M943" s="12">
        <f>SUMIFS(BASE!$G:$G,BASE!$B:$B,$B943,BASE!$L:$L,$G943,BASE!$J:$J,$C943,BASE!$A:$A,M$2)</f>
        <v>0</v>
      </c>
      <c r="N943" s="12">
        <f>SUMIFS(BASE!$G:$G,BASE!$B:$B,$B943,BASE!$L:$L,$G943,BASE!$J:$J,$C943,BASE!$A:$A,N$2)</f>
        <v>0</v>
      </c>
      <c r="O943" s="12">
        <f>SUMIFS(BASE!$G:$G,BASE!$B:$B,$B943,BASE!$L:$L,$G943,BASE!$J:$J,$C943,BASE!$A:$A,O$2)</f>
        <v>0</v>
      </c>
      <c r="P943" s="12">
        <f>SUMIFS(BASE!$G:$G,BASE!$B:$B,$B943,BASE!$L:$L,$G943,BASE!$J:$J,$C943,BASE!$A:$A,P$2)</f>
        <v>1</v>
      </c>
      <c r="Q943" s="12">
        <f>SUMIFS(BASE!$G:$G,BASE!$B:$B,$B943,BASE!$L:$L,$G943,BASE!$J:$J,$C943,BASE!$A:$A,Q$2)</f>
        <v>0</v>
      </c>
      <c r="R943" s="12">
        <f>SUMIFS(BASE!$G:$G,BASE!$B:$B,$B943,BASE!$L:$L,$G943,BASE!$J:$J,$C943,BASE!$A:$A,R$2)</f>
        <v>2</v>
      </c>
      <c r="S943" s="12">
        <f>SUMIFS(BASE!$G:$G,BASE!$B:$B,$B943,BASE!$L:$L,$G943,BASE!$J:$J,$C943,BASE!$A:$A,S$2)</f>
        <v>0</v>
      </c>
      <c r="T943" s="12">
        <f>SUMIFS(BASE!$G:$G,BASE!$B:$B,$B943,BASE!$L:$L,$G943,BASE!$J:$J,$C943,BASE!$A:$A,T$2)</f>
        <v>0</v>
      </c>
      <c r="U943" s="12">
        <f>SUMIFS(BASE!$G:$G,BASE!$B:$B,$B943,BASE!$L:$L,$G943,BASE!$J:$J,$C943,BASE!$A:$A,U$2)</f>
        <v>0</v>
      </c>
      <c r="V943" s="12">
        <f>SUMIFS(BASE!$G:$G,BASE!$B:$B,$B943,BASE!$L:$L,$G943,BASE!$J:$J,$C943,BASE!$A:$A,V$2)</f>
        <v>0</v>
      </c>
      <c r="X943" t="str">
        <f t="shared" si="29"/>
        <v>COM TROCAS</v>
      </c>
    </row>
    <row r="944" spans="2:24">
      <c r="B944" s="8" t="s">
        <v>1941</v>
      </c>
      <c r="C944" s="9" t="s">
        <v>176</v>
      </c>
      <c r="D944" s="9" t="s">
        <v>1936</v>
      </c>
      <c r="E944" s="9" t="s">
        <v>1754</v>
      </c>
      <c r="F944" s="9" t="s">
        <v>1942</v>
      </c>
      <c r="G944" s="9" t="s">
        <v>58</v>
      </c>
      <c r="H944" s="7" t="str">
        <f>IFERROR(IF(_xlfn.XLOOKUP(B944,REPASSE!D:D,REPASSE!D:D)="","Não","Sim"),"Não")</f>
        <v>Não</v>
      </c>
      <c r="I944" s="7" t="str">
        <f>IF(_xlfn.XLOOKUP(B944,'BOOST LIBERADO'!B:B,'BOOST LIBERADO'!B:B,"Não")="Não","Não","Sim")</f>
        <v>Sim</v>
      </c>
      <c r="J944" s="83" t="str">
        <f t="shared" si="28"/>
        <v>Sim</v>
      </c>
      <c r="K944" s="12">
        <f>SUMIFS(BASE!$G:$G,BASE!$B:$B,$B944,BASE!$L:$L,$G944,BASE!$J:$J,$C944,BASE!$A:$A,K$2)</f>
        <v>0</v>
      </c>
      <c r="L944" s="12">
        <f>SUMIFS(BASE!$G:$G,BASE!$B:$B,$B944,BASE!$L:$L,$G944,BASE!$J:$J,$C944,BASE!$A:$A,L$2)</f>
        <v>0</v>
      </c>
      <c r="M944" s="12">
        <f>SUMIFS(BASE!$G:$G,BASE!$B:$B,$B944,BASE!$L:$L,$G944,BASE!$J:$J,$C944,BASE!$A:$A,M$2)</f>
        <v>0</v>
      </c>
      <c r="N944" s="12">
        <f>SUMIFS(BASE!$G:$G,BASE!$B:$B,$B944,BASE!$L:$L,$G944,BASE!$J:$J,$C944,BASE!$A:$A,N$2)</f>
        <v>0</v>
      </c>
      <c r="O944" s="12">
        <f>SUMIFS(BASE!$G:$G,BASE!$B:$B,$B944,BASE!$L:$L,$G944,BASE!$J:$J,$C944,BASE!$A:$A,O$2)</f>
        <v>0</v>
      </c>
      <c r="P944" s="12">
        <f>SUMIFS(BASE!$G:$G,BASE!$B:$B,$B944,BASE!$L:$L,$G944,BASE!$J:$J,$C944,BASE!$A:$A,P$2)</f>
        <v>0</v>
      </c>
      <c r="Q944" s="12">
        <f>SUMIFS(BASE!$G:$G,BASE!$B:$B,$B944,BASE!$L:$L,$G944,BASE!$J:$J,$C944,BASE!$A:$A,Q$2)</f>
        <v>0</v>
      </c>
      <c r="R944" s="12">
        <f>SUMIFS(BASE!$G:$G,BASE!$B:$B,$B944,BASE!$L:$L,$G944,BASE!$J:$J,$C944,BASE!$A:$A,R$2)</f>
        <v>0</v>
      </c>
      <c r="S944" s="12">
        <f>SUMIFS(BASE!$G:$G,BASE!$B:$B,$B944,BASE!$L:$L,$G944,BASE!$J:$J,$C944,BASE!$A:$A,S$2)</f>
        <v>0</v>
      </c>
      <c r="T944" s="12">
        <f>SUMIFS(BASE!$G:$G,BASE!$B:$B,$B944,BASE!$L:$L,$G944,BASE!$J:$J,$C944,BASE!$A:$A,T$2)</f>
        <v>0</v>
      </c>
      <c r="U944" s="12">
        <f>SUMIFS(BASE!$G:$G,BASE!$B:$B,$B944,BASE!$L:$L,$G944,BASE!$J:$J,$C944,BASE!$A:$A,U$2)</f>
        <v>0</v>
      </c>
      <c r="V944" s="12">
        <f>SUMIFS(BASE!$G:$G,BASE!$B:$B,$B944,BASE!$L:$L,$G944,BASE!$J:$J,$C944,BASE!$A:$A,V$2)</f>
        <v>0</v>
      </c>
      <c r="X944" t="str">
        <f t="shared" si="29"/>
        <v>ZERADO</v>
      </c>
    </row>
    <row r="945" spans="2:24">
      <c r="B945" s="8" t="s">
        <v>1943</v>
      </c>
      <c r="C945" s="9" t="s">
        <v>176</v>
      </c>
      <c r="D945" s="9" t="s">
        <v>1936</v>
      </c>
      <c r="E945" s="9" t="s">
        <v>1754</v>
      </c>
      <c r="F945" s="9" t="s">
        <v>1944</v>
      </c>
      <c r="G945" s="9" t="s">
        <v>58</v>
      </c>
      <c r="H945" s="7" t="str">
        <f>IFERROR(IF(_xlfn.XLOOKUP(B945,REPASSE!D:D,REPASSE!D:D)="","Não","Sim"),"Não")</f>
        <v>Não</v>
      </c>
      <c r="I945" s="7" t="str">
        <f>IF(_xlfn.XLOOKUP(B945,'BOOST LIBERADO'!B:B,'BOOST LIBERADO'!B:B,"Não")="Não","Não","Sim")</f>
        <v>Sim</v>
      </c>
      <c r="J945" s="83" t="str">
        <f t="shared" si="28"/>
        <v>Sim</v>
      </c>
      <c r="K945" s="12">
        <f>SUMIFS(BASE!$G:$G,BASE!$B:$B,$B945,BASE!$L:$L,$G945,BASE!$J:$J,$C945,BASE!$A:$A,K$2)</f>
        <v>0</v>
      </c>
      <c r="L945" s="12">
        <f>SUMIFS(BASE!$G:$G,BASE!$B:$B,$B945,BASE!$L:$L,$G945,BASE!$J:$J,$C945,BASE!$A:$A,L$2)</f>
        <v>0</v>
      </c>
      <c r="M945" s="12">
        <f>SUMIFS(BASE!$G:$G,BASE!$B:$B,$B945,BASE!$L:$L,$G945,BASE!$J:$J,$C945,BASE!$A:$A,M$2)</f>
        <v>0</v>
      </c>
      <c r="N945" s="12">
        <f>SUMIFS(BASE!$G:$G,BASE!$B:$B,$B945,BASE!$L:$L,$G945,BASE!$J:$J,$C945,BASE!$A:$A,N$2)</f>
        <v>1</v>
      </c>
      <c r="O945" s="12">
        <f>SUMIFS(BASE!$G:$G,BASE!$B:$B,$B945,BASE!$L:$L,$G945,BASE!$J:$J,$C945,BASE!$A:$A,O$2)</f>
        <v>0</v>
      </c>
      <c r="P945" s="12">
        <f>SUMIFS(BASE!$G:$G,BASE!$B:$B,$B945,BASE!$L:$L,$G945,BASE!$J:$J,$C945,BASE!$A:$A,P$2)</f>
        <v>0</v>
      </c>
      <c r="Q945" s="12">
        <f>SUMIFS(BASE!$G:$G,BASE!$B:$B,$B945,BASE!$L:$L,$G945,BASE!$J:$J,$C945,BASE!$A:$A,Q$2)</f>
        <v>0</v>
      </c>
      <c r="R945" s="12">
        <f>SUMIFS(BASE!$G:$G,BASE!$B:$B,$B945,BASE!$L:$L,$G945,BASE!$J:$J,$C945,BASE!$A:$A,R$2)</f>
        <v>0</v>
      </c>
      <c r="S945" s="12">
        <f>SUMIFS(BASE!$G:$G,BASE!$B:$B,$B945,BASE!$L:$L,$G945,BASE!$J:$J,$C945,BASE!$A:$A,S$2)</f>
        <v>0</v>
      </c>
      <c r="T945" s="12">
        <f>SUMIFS(BASE!$G:$G,BASE!$B:$B,$B945,BASE!$L:$L,$G945,BASE!$J:$J,$C945,BASE!$A:$A,T$2)</f>
        <v>0</v>
      </c>
      <c r="U945" s="12">
        <f>SUMIFS(BASE!$G:$G,BASE!$B:$B,$B945,BASE!$L:$L,$G945,BASE!$J:$J,$C945,BASE!$A:$A,U$2)</f>
        <v>0</v>
      </c>
      <c r="V945" s="12">
        <f>SUMIFS(BASE!$G:$G,BASE!$B:$B,$B945,BASE!$L:$L,$G945,BASE!$J:$J,$C945,BASE!$A:$A,V$2)</f>
        <v>0</v>
      </c>
      <c r="X945" t="str">
        <f t="shared" si="29"/>
        <v>ZERADO</v>
      </c>
    </row>
    <row r="946" spans="2:24">
      <c r="B946" s="8" t="s">
        <v>1945</v>
      </c>
      <c r="C946" s="9" t="s">
        <v>124</v>
      </c>
      <c r="D946" s="9" t="s">
        <v>1936</v>
      </c>
      <c r="E946" s="9" t="s">
        <v>1754</v>
      </c>
      <c r="F946" s="9" t="s">
        <v>1946</v>
      </c>
      <c r="G946" s="9" t="s">
        <v>58</v>
      </c>
      <c r="H946" s="7" t="str">
        <f>IFERROR(IF(_xlfn.XLOOKUP(B946,REPASSE!D:D,REPASSE!D:D)="","Não","Sim"),"Não")</f>
        <v>Não</v>
      </c>
      <c r="I946" s="7" t="str">
        <f>IF(_xlfn.XLOOKUP(B946,'BOOST LIBERADO'!B:B,'BOOST LIBERADO'!B:B,"Não")="Não","Não","Sim")</f>
        <v>Sim</v>
      </c>
      <c r="J946" s="83" t="str">
        <f t="shared" si="28"/>
        <v>Sim</v>
      </c>
      <c r="K946" s="12">
        <f>SUMIFS(BASE!$G:$G,BASE!$B:$B,$B946,BASE!$L:$L,$G946,BASE!$J:$J,$C946,BASE!$A:$A,K$2)</f>
        <v>2</v>
      </c>
      <c r="L946" s="12">
        <f>SUMIFS(BASE!$G:$G,BASE!$B:$B,$B946,BASE!$L:$L,$G946,BASE!$J:$J,$C946,BASE!$A:$A,L$2)</f>
        <v>0</v>
      </c>
      <c r="M946" s="12">
        <f>SUMIFS(BASE!$G:$G,BASE!$B:$B,$B946,BASE!$L:$L,$G946,BASE!$J:$J,$C946,BASE!$A:$A,M$2)</f>
        <v>4</v>
      </c>
      <c r="N946" s="12">
        <f>SUMIFS(BASE!$G:$G,BASE!$B:$B,$B946,BASE!$L:$L,$G946,BASE!$J:$J,$C946,BASE!$A:$A,N$2)</f>
        <v>4</v>
      </c>
      <c r="O946" s="12">
        <f>SUMIFS(BASE!$G:$G,BASE!$B:$B,$B946,BASE!$L:$L,$G946,BASE!$J:$J,$C946,BASE!$A:$A,O$2)</f>
        <v>0</v>
      </c>
      <c r="P946" s="12">
        <f>SUMIFS(BASE!$G:$G,BASE!$B:$B,$B946,BASE!$L:$L,$G946,BASE!$J:$J,$C946,BASE!$A:$A,P$2)</f>
        <v>1</v>
      </c>
      <c r="Q946" s="12">
        <f>SUMIFS(BASE!$G:$G,BASE!$B:$B,$B946,BASE!$L:$L,$G946,BASE!$J:$J,$C946,BASE!$A:$A,Q$2)</f>
        <v>1</v>
      </c>
      <c r="R946" s="12">
        <f>SUMIFS(BASE!$G:$G,BASE!$B:$B,$B946,BASE!$L:$L,$G946,BASE!$J:$J,$C946,BASE!$A:$A,R$2)</f>
        <v>0</v>
      </c>
      <c r="S946" s="12">
        <f>SUMIFS(BASE!$G:$G,BASE!$B:$B,$B946,BASE!$L:$L,$G946,BASE!$J:$J,$C946,BASE!$A:$A,S$2)</f>
        <v>0</v>
      </c>
      <c r="T946" s="12">
        <f>SUMIFS(BASE!$G:$G,BASE!$B:$B,$B946,BASE!$L:$L,$G946,BASE!$J:$J,$C946,BASE!$A:$A,T$2)</f>
        <v>0</v>
      </c>
      <c r="U946" s="12">
        <f>SUMIFS(BASE!$G:$G,BASE!$B:$B,$B946,BASE!$L:$L,$G946,BASE!$J:$J,$C946,BASE!$A:$A,U$2)</f>
        <v>0</v>
      </c>
      <c r="V946" s="12">
        <f>SUMIFS(BASE!$G:$G,BASE!$B:$B,$B946,BASE!$L:$L,$G946,BASE!$J:$J,$C946,BASE!$A:$A,V$2)</f>
        <v>0</v>
      </c>
      <c r="X946" t="str">
        <f t="shared" si="29"/>
        <v>ZERADO</v>
      </c>
    </row>
    <row r="947" spans="2:24">
      <c r="B947" s="8" t="s">
        <v>1947</v>
      </c>
      <c r="C947" s="9" t="s">
        <v>124</v>
      </c>
      <c r="D947" s="9" t="s">
        <v>1936</v>
      </c>
      <c r="E947" s="9" t="s">
        <v>1754</v>
      </c>
      <c r="F947" s="9" t="s">
        <v>1948</v>
      </c>
      <c r="G947" s="9" t="s">
        <v>58</v>
      </c>
      <c r="H947" s="7" t="str">
        <f>IFERROR(IF(_xlfn.XLOOKUP(B947,REPASSE!D:D,REPASSE!D:D)="","Não","Sim"),"Não")</f>
        <v>Não</v>
      </c>
      <c r="I947" s="7" t="str">
        <f>IF(_xlfn.XLOOKUP(B947,'BOOST LIBERADO'!B:B,'BOOST LIBERADO'!B:B,"Não")="Não","Não","Sim")</f>
        <v>Sim</v>
      </c>
      <c r="J947" s="83" t="str">
        <f t="shared" si="28"/>
        <v>Sim</v>
      </c>
      <c r="K947" s="12">
        <f>SUMIFS(BASE!$G:$G,BASE!$B:$B,$B947,BASE!$L:$L,$G947,BASE!$J:$J,$C947,BASE!$A:$A,K$2)</f>
        <v>0</v>
      </c>
      <c r="L947" s="12">
        <f>SUMIFS(BASE!$G:$G,BASE!$B:$B,$B947,BASE!$L:$L,$G947,BASE!$J:$J,$C947,BASE!$A:$A,L$2)</f>
        <v>0</v>
      </c>
      <c r="M947" s="12">
        <f>SUMIFS(BASE!$G:$G,BASE!$B:$B,$B947,BASE!$L:$L,$G947,BASE!$J:$J,$C947,BASE!$A:$A,M$2)</f>
        <v>0</v>
      </c>
      <c r="N947" s="12">
        <f>SUMIFS(BASE!$G:$G,BASE!$B:$B,$B947,BASE!$L:$L,$G947,BASE!$J:$J,$C947,BASE!$A:$A,N$2)</f>
        <v>0</v>
      </c>
      <c r="O947" s="12">
        <f>SUMIFS(BASE!$G:$G,BASE!$B:$B,$B947,BASE!$L:$L,$G947,BASE!$J:$J,$C947,BASE!$A:$A,O$2)</f>
        <v>1</v>
      </c>
      <c r="P947" s="12">
        <f>SUMIFS(BASE!$G:$G,BASE!$B:$B,$B947,BASE!$L:$L,$G947,BASE!$J:$J,$C947,BASE!$A:$A,P$2)</f>
        <v>0</v>
      </c>
      <c r="Q947" s="12">
        <f>SUMIFS(BASE!$G:$G,BASE!$B:$B,$B947,BASE!$L:$L,$G947,BASE!$J:$J,$C947,BASE!$A:$A,Q$2)</f>
        <v>0</v>
      </c>
      <c r="R947" s="12">
        <f>SUMIFS(BASE!$G:$G,BASE!$B:$B,$B947,BASE!$L:$L,$G947,BASE!$J:$J,$C947,BASE!$A:$A,R$2)</f>
        <v>0</v>
      </c>
      <c r="S947" s="12">
        <f>SUMIFS(BASE!$G:$G,BASE!$B:$B,$B947,BASE!$L:$L,$G947,BASE!$J:$J,$C947,BASE!$A:$A,S$2)</f>
        <v>0</v>
      </c>
      <c r="T947" s="12">
        <f>SUMIFS(BASE!$G:$G,BASE!$B:$B,$B947,BASE!$L:$L,$G947,BASE!$J:$J,$C947,BASE!$A:$A,T$2)</f>
        <v>0</v>
      </c>
      <c r="U947" s="12">
        <f>SUMIFS(BASE!$G:$G,BASE!$B:$B,$B947,BASE!$L:$L,$G947,BASE!$J:$J,$C947,BASE!$A:$A,U$2)</f>
        <v>0</v>
      </c>
      <c r="V947" s="12">
        <f>SUMIFS(BASE!$G:$G,BASE!$B:$B,$B947,BASE!$L:$L,$G947,BASE!$J:$J,$C947,BASE!$A:$A,V$2)</f>
        <v>0</v>
      </c>
      <c r="X947" t="str">
        <f t="shared" si="29"/>
        <v>ZERADO</v>
      </c>
    </row>
    <row r="948" spans="2:24">
      <c r="B948" s="8" t="s">
        <v>1949</v>
      </c>
      <c r="C948" s="8" t="s">
        <v>176</v>
      </c>
      <c r="D948" s="8" t="s">
        <v>1936</v>
      </c>
      <c r="E948" s="8" t="s">
        <v>1754</v>
      </c>
      <c r="F948" s="8" t="s">
        <v>1950</v>
      </c>
      <c r="G948" s="8" t="s">
        <v>58</v>
      </c>
      <c r="H948" s="7" t="str">
        <f>IFERROR(IF(_xlfn.XLOOKUP(B948,REPASSE!D:D,REPASSE!D:D)="","Não","Sim"),"Não")</f>
        <v>Não</v>
      </c>
      <c r="I948" s="7" t="str">
        <f>IF(_xlfn.XLOOKUP(B948,'BOOST LIBERADO'!B:B,'BOOST LIBERADO'!B:B,"Não")="Não","Não","Sim")</f>
        <v>Sim</v>
      </c>
      <c r="J948" s="83" t="str">
        <f t="shared" si="28"/>
        <v>Sim</v>
      </c>
      <c r="K948" s="12">
        <f>SUMIFS(BASE!$G:$G,BASE!$B:$B,$B948,BASE!$L:$L,$G948,BASE!$J:$J,$C948,BASE!$A:$A,K$2)</f>
        <v>1</v>
      </c>
      <c r="L948" s="12">
        <f>SUMIFS(BASE!$G:$G,BASE!$B:$B,$B948,BASE!$L:$L,$G948,BASE!$J:$J,$C948,BASE!$A:$A,L$2)</f>
        <v>0</v>
      </c>
      <c r="M948" s="12">
        <f>SUMIFS(BASE!$G:$G,BASE!$B:$B,$B948,BASE!$L:$L,$G948,BASE!$J:$J,$C948,BASE!$A:$A,M$2)</f>
        <v>0</v>
      </c>
      <c r="N948" s="12">
        <f>SUMIFS(BASE!$G:$G,BASE!$B:$B,$B948,BASE!$L:$L,$G948,BASE!$J:$J,$C948,BASE!$A:$A,N$2)</f>
        <v>2</v>
      </c>
      <c r="O948" s="12">
        <f>SUMIFS(BASE!$G:$G,BASE!$B:$B,$B948,BASE!$L:$L,$G948,BASE!$J:$J,$C948,BASE!$A:$A,O$2)</f>
        <v>0</v>
      </c>
      <c r="P948" s="12">
        <f>SUMIFS(BASE!$G:$G,BASE!$B:$B,$B948,BASE!$L:$L,$G948,BASE!$J:$J,$C948,BASE!$A:$A,P$2)</f>
        <v>1</v>
      </c>
      <c r="Q948" s="12">
        <f>SUMIFS(BASE!$G:$G,BASE!$B:$B,$B948,BASE!$L:$L,$G948,BASE!$J:$J,$C948,BASE!$A:$A,Q$2)</f>
        <v>1</v>
      </c>
      <c r="R948" s="12">
        <f>SUMIFS(BASE!$G:$G,BASE!$B:$B,$B948,BASE!$L:$L,$G948,BASE!$J:$J,$C948,BASE!$A:$A,R$2)</f>
        <v>0</v>
      </c>
      <c r="S948" s="12">
        <f>SUMIFS(BASE!$G:$G,BASE!$B:$B,$B948,BASE!$L:$L,$G948,BASE!$J:$J,$C948,BASE!$A:$A,S$2)</f>
        <v>0</v>
      </c>
      <c r="T948" s="12">
        <f>SUMIFS(BASE!$G:$G,BASE!$B:$B,$B948,BASE!$L:$L,$G948,BASE!$J:$J,$C948,BASE!$A:$A,T$2)</f>
        <v>0</v>
      </c>
      <c r="U948" s="12">
        <f>SUMIFS(BASE!$G:$G,BASE!$B:$B,$B948,BASE!$L:$L,$G948,BASE!$J:$J,$C948,BASE!$A:$A,U$2)</f>
        <v>0</v>
      </c>
      <c r="V948" s="12">
        <f>SUMIFS(BASE!$G:$G,BASE!$B:$B,$B948,BASE!$L:$L,$G948,BASE!$J:$J,$C948,BASE!$A:$A,V$2)</f>
        <v>0</v>
      </c>
      <c r="X948" t="str">
        <f t="shared" si="29"/>
        <v>ZERADO</v>
      </c>
    </row>
    <row r="949" spans="2:24">
      <c r="B949" s="8" t="s">
        <v>1951</v>
      </c>
      <c r="C949" s="9" t="s">
        <v>176</v>
      </c>
      <c r="D949" s="9" t="s">
        <v>1936</v>
      </c>
      <c r="E949" s="9" t="s">
        <v>1754</v>
      </c>
      <c r="F949" s="9" t="s">
        <v>1952</v>
      </c>
      <c r="G949" s="9" t="s">
        <v>58</v>
      </c>
      <c r="H949" s="7" t="str">
        <f>IFERROR(IF(_xlfn.XLOOKUP(B949,REPASSE!D:D,REPASSE!D:D)="","Não","Sim"),"Não")</f>
        <v>Não</v>
      </c>
      <c r="I949" s="7" t="str">
        <f>IF(_xlfn.XLOOKUP(B949,'BOOST LIBERADO'!B:B,'BOOST LIBERADO'!B:B,"Não")="Não","Não","Sim")</f>
        <v>Sim</v>
      </c>
      <c r="J949" s="83" t="str">
        <f t="shared" si="28"/>
        <v>Sim</v>
      </c>
      <c r="K949" s="12">
        <f>SUMIFS(BASE!$G:$G,BASE!$B:$B,$B949,BASE!$L:$L,$G949,BASE!$J:$J,$C949,BASE!$A:$A,K$2)</f>
        <v>1</v>
      </c>
      <c r="L949" s="12">
        <f>SUMIFS(BASE!$G:$G,BASE!$B:$B,$B949,BASE!$L:$L,$G949,BASE!$J:$J,$C949,BASE!$A:$A,L$2)</f>
        <v>0</v>
      </c>
      <c r="M949" s="12">
        <f>SUMIFS(BASE!$G:$G,BASE!$B:$B,$B949,BASE!$L:$L,$G949,BASE!$J:$J,$C949,BASE!$A:$A,M$2)</f>
        <v>1</v>
      </c>
      <c r="N949" s="12">
        <f>SUMIFS(BASE!$G:$G,BASE!$B:$B,$B949,BASE!$L:$L,$G949,BASE!$J:$J,$C949,BASE!$A:$A,N$2)</f>
        <v>0</v>
      </c>
      <c r="O949" s="12">
        <f>SUMIFS(BASE!$G:$G,BASE!$B:$B,$B949,BASE!$L:$L,$G949,BASE!$J:$J,$C949,BASE!$A:$A,O$2)</f>
        <v>0</v>
      </c>
      <c r="P949" s="12">
        <f>SUMIFS(BASE!$G:$G,BASE!$B:$B,$B949,BASE!$L:$L,$G949,BASE!$J:$J,$C949,BASE!$A:$A,P$2)</f>
        <v>4</v>
      </c>
      <c r="Q949" s="12">
        <f>SUMIFS(BASE!$G:$G,BASE!$B:$B,$B949,BASE!$L:$L,$G949,BASE!$J:$J,$C949,BASE!$A:$A,Q$2)</f>
        <v>1</v>
      </c>
      <c r="R949" s="12">
        <f>SUMIFS(BASE!$G:$G,BASE!$B:$B,$B949,BASE!$L:$L,$G949,BASE!$J:$J,$C949,BASE!$A:$A,R$2)</f>
        <v>0</v>
      </c>
      <c r="S949" s="12">
        <f>SUMIFS(BASE!$G:$G,BASE!$B:$B,$B949,BASE!$L:$L,$G949,BASE!$J:$J,$C949,BASE!$A:$A,S$2)</f>
        <v>0</v>
      </c>
      <c r="T949" s="12">
        <f>SUMIFS(BASE!$G:$G,BASE!$B:$B,$B949,BASE!$L:$L,$G949,BASE!$J:$J,$C949,BASE!$A:$A,T$2)</f>
        <v>0</v>
      </c>
      <c r="U949" s="12">
        <f>SUMIFS(BASE!$G:$G,BASE!$B:$B,$B949,BASE!$L:$L,$G949,BASE!$J:$J,$C949,BASE!$A:$A,U$2)</f>
        <v>0</v>
      </c>
      <c r="V949" s="12">
        <f>SUMIFS(BASE!$G:$G,BASE!$B:$B,$B949,BASE!$L:$L,$G949,BASE!$J:$J,$C949,BASE!$A:$A,V$2)</f>
        <v>0</v>
      </c>
      <c r="X949" t="str">
        <f t="shared" si="29"/>
        <v>ZERADO</v>
      </c>
    </row>
    <row r="950" spans="2:24">
      <c r="B950" s="8" t="s">
        <v>1953</v>
      </c>
      <c r="C950" s="9" t="s">
        <v>106</v>
      </c>
      <c r="D950" s="9" t="s">
        <v>1954</v>
      </c>
      <c r="E950" s="9" t="s">
        <v>1911</v>
      </c>
      <c r="F950" s="9" t="s">
        <v>1955</v>
      </c>
      <c r="G950" s="9" t="s">
        <v>57</v>
      </c>
      <c r="H950" s="7" t="str">
        <f>IFERROR(IF(_xlfn.XLOOKUP(B950,REPASSE!D:D,REPASSE!D:D)="","Não","Sim"),"Não")</f>
        <v>Não</v>
      </c>
      <c r="I950" s="7" t="str">
        <f>IF(_xlfn.XLOOKUP(B950,'BOOST LIBERADO'!B:B,'BOOST LIBERADO'!B:B,"Não")="Não","Não","Sim")</f>
        <v>Sim</v>
      </c>
      <c r="J950" s="83" t="str">
        <f t="shared" si="28"/>
        <v>Sim</v>
      </c>
      <c r="K950" s="12">
        <f>SUMIFS(BASE!$G:$G,BASE!$B:$B,$B950,BASE!$L:$L,$G950,BASE!$J:$J,$C950,BASE!$A:$A,K$2)</f>
        <v>0</v>
      </c>
      <c r="L950" s="12">
        <f>SUMIFS(BASE!$G:$G,BASE!$B:$B,$B950,BASE!$L:$L,$G950,BASE!$J:$J,$C950,BASE!$A:$A,L$2)</f>
        <v>0</v>
      </c>
      <c r="M950" s="12">
        <f>SUMIFS(BASE!$G:$G,BASE!$B:$B,$B950,BASE!$L:$L,$G950,BASE!$J:$J,$C950,BASE!$A:$A,M$2)</f>
        <v>0</v>
      </c>
      <c r="N950" s="12">
        <f>SUMIFS(BASE!$G:$G,BASE!$B:$B,$B950,BASE!$L:$L,$G950,BASE!$J:$J,$C950,BASE!$A:$A,N$2)</f>
        <v>0</v>
      </c>
      <c r="O950" s="12">
        <f>SUMIFS(BASE!$G:$G,BASE!$B:$B,$B950,BASE!$L:$L,$G950,BASE!$J:$J,$C950,BASE!$A:$A,O$2)</f>
        <v>0</v>
      </c>
      <c r="P950" s="12">
        <f>SUMIFS(BASE!$G:$G,BASE!$B:$B,$B950,BASE!$L:$L,$G950,BASE!$J:$J,$C950,BASE!$A:$A,P$2)</f>
        <v>0</v>
      </c>
      <c r="Q950" s="12">
        <f>SUMIFS(BASE!$G:$G,BASE!$B:$B,$B950,BASE!$L:$L,$G950,BASE!$J:$J,$C950,BASE!$A:$A,Q$2)</f>
        <v>0</v>
      </c>
      <c r="R950" s="12">
        <f>SUMIFS(BASE!$G:$G,BASE!$B:$B,$B950,BASE!$L:$L,$G950,BASE!$J:$J,$C950,BASE!$A:$A,R$2)</f>
        <v>0</v>
      </c>
      <c r="S950" s="12">
        <f>SUMIFS(BASE!$G:$G,BASE!$B:$B,$B950,BASE!$L:$L,$G950,BASE!$J:$J,$C950,BASE!$A:$A,S$2)</f>
        <v>0</v>
      </c>
      <c r="T950" s="12">
        <f>SUMIFS(BASE!$G:$G,BASE!$B:$B,$B950,BASE!$L:$L,$G950,BASE!$J:$J,$C950,BASE!$A:$A,T$2)</f>
        <v>0</v>
      </c>
      <c r="U950" s="12">
        <f>SUMIFS(BASE!$G:$G,BASE!$B:$B,$B950,BASE!$L:$L,$G950,BASE!$J:$J,$C950,BASE!$A:$A,U$2)</f>
        <v>0</v>
      </c>
      <c r="V950" s="12">
        <f>SUMIFS(BASE!$G:$G,BASE!$B:$B,$B950,BASE!$L:$L,$G950,BASE!$J:$J,$C950,BASE!$A:$A,V$2)</f>
        <v>0</v>
      </c>
      <c r="X950" t="str">
        <f t="shared" si="29"/>
        <v>ZERADO</v>
      </c>
    </row>
    <row r="951" spans="2:24">
      <c r="B951" s="8" t="s">
        <v>1956</v>
      </c>
      <c r="C951" s="9" t="s">
        <v>106</v>
      </c>
      <c r="D951" s="9" t="s">
        <v>1954</v>
      </c>
      <c r="E951" s="9" t="s">
        <v>1911</v>
      </c>
      <c r="F951" s="9" t="s">
        <v>1957</v>
      </c>
      <c r="G951" s="9" t="s">
        <v>57</v>
      </c>
      <c r="H951" s="7" t="str">
        <f>IFERROR(IF(_xlfn.XLOOKUP(B951,REPASSE!D:D,REPASSE!D:D)="","Não","Sim"),"Não")</f>
        <v>Não</v>
      </c>
      <c r="I951" s="7" t="str">
        <f>IF(_xlfn.XLOOKUP(B951,'BOOST LIBERADO'!B:B,'BOOST LIBERADO'!B:B,"Não")="Não","Não","Sim")</f>
        <v>Sim</v>
      </c>
      <c r="J951" s="83" t="str">
        <f t="shared" si="28"/>
        <v>Sim</v>
      </c>
      <c r="K951" s="12">
        <f>SUMIFS(BASE!$G:$G,BASE!$B:$B,$B951,BASE!$L:$L,$G951,BASE!$J:$J,$C951,BASE!$A:$A,K$2)</f>
        <v>0</v>
      </c>
      <c r="L951" s="12">
        <f>SUMIFS(BASE!$G:$G,BASE!$B:$B,$B951,BASE!$L:$L,$G951,BASE!$J:$J,$C951,BASE!$A:$A,L$2)</f>
        <v>0</v>
      </c>
      <c r="M951" s="12">
        <f>SUMIFS(BASE!$G:$G,BASE!$B:$B,$B951,BASE!$L:$L,$G951,BASE!$J:$J,$C951,BASE!$A:$A,M$2)</f>
        <v>0</v>
      </c>
      <c r="N951" s="12">
        <f>SUMIFS(BASE!$G:$G,BASE!$B:$B,$B951,BASE!$L:$L,$G951,BASE!$J:$J,$C951,BASE!$A:$A,N$2)</f>
        <v>0</v>
      </c>
      <c r="O951" s="12">
        <f>SUMIFS(BASE!$G:$G,BASE!$B:$B,$B951,BASE!$L:$L,$G951,BASE!$J:$J,$C951,BASE!$A:$A,O$2)</f>
        <v>0</v>
      </c>
      <c r="P951" s="12">
        <f>SUMIFS(BASE!$G:$G,BASE!$B:$B,$B951,BASE!$L:$L,$G951,BASE!$J:$J,$C951,BASE!$A:$A,P$2)</f>
        <v>0</v>
      </c>
      <c r="Q951" s="12">
        <f>SUMIFS(BASE!$G:$G,BASE!$B:$B,$B951,BASE!$L:$L,$G951,BASE!$J:$J,$C951,BASE!$A:$A,Q$2)</f>
        <v>2</v>
      </c>
      <c r="R951" s="12">
        <f>SUMIFS(BASE!$G:$G,BASE!$B:$B,$B951,BASE!$L:$L,$G951,BASE!$J:$J,$C951,BASE!$A:$A,R$2)</f>
        <v>0</v>
      </c>
      <c r="S951" s="12">
        <f>SUMIFS(BASE!$G:$G,BASE!$B:$B,$B951,BASE!$L:$L,$G951,BASE!$J:$J,$C951,BASE!$A:$A,S$2)</f>
        <v>0</v>
      </c>
      <c r="T951" s="12">
        <f>SUMIFS(BASE!$G:$G,BASE!$B:$B,$B951,BASE!$L:$L,$G951,BASE!$J:$J,$C951,BASE!$A:$A,T$2)</f>
        <v>0</v>
      </c>
      <c r="U951" s="12">
        <f>SUMIFS(BASE!$G:$G,BASE!$B:$B,$B951,BASE!$L:$L,$G951,BASE!$J:$J,$C951,BASE!$A:$A,U$2)</f>
        <v>0</v>
      </c>
      <c r="V951" s="12">
        <f>SUMIFS(BASE!$G:$G,BASE!$B:$B,$B951,BASE!$L:$L,$G951,BASE!$J:$J,$C951,BASE!$A:$A,V$2)</f>
        <v>0</v>
      </c>
      <c r="X951" t="str">
        <f t="shared" si="29"/>
        <v>ZERADO</v>
      </c>
    </row>
    <row r="952" spans="2:24">
      <c r="B952" s="8" t="s">
        <v>1958</v>
      </c>
      <c r="C952" s="9" t="s">
        <v>178</v>
      </c>
      <c r="D952" s="9" t="s">
        <v>1954</v>
      </c>
      <c r="E952" s="9" t="s">
        <v>1911</v>
      </c>
      <c r="F952" s="9" t="s">
        <v>1959</v>
      </c>
      <c r="G952" s="9" t="s">
        <v>57</v>
      </c>
      <c r="H952" s="7" t="str">
        <f>IFERROR(IF(_xlfn.XLOOKUP(B952,REPASSE!D:D,REPASSE!D:D)="","Não","Sim"),"Não")</f>
        <v>Sim</v>
      </c>
      <c r="I952" s="7" t="str">
        <f>IF(_xlfn.XLOOKUP(B952,'BOOST LIBERADO'!B:B,'BOOST LIBERADO'!B:B,"Não")="Não","Não","Sim")</f>
        <v>Não</v>
      </c>
      <c r="J952" s="83" t="str">
        <f t="shared" si="28"/>
        <v>Não</v>
      </c>
      <c r="K952" s="12">
        <f>SUMIFS(BASE!$G:$G,BASE!$B:$B,$B952,BASE!$L:$L,$G952,BASE!$J:$J,$C952,BASE!$A:$A,K$2)</f>
        <v>0</v>
      </c>
      <c r="L952" s="12">
        <f>SUMIFS(BASE!$G:$G,BASE!$B:$B,$B952,BASE!$L:$L,$G952,BASE!$J:$J,$C952,BASE!$A:$A,L$2)</f>
        <v>0</v>
      </c>
      <c r="M952" s="12">
        <f>SUMIFS(BASE!$G:$G,BASE!$B:$B,$B952,BASE!$L:$L,$G952,BASE!$J:$J,$C952,BASE!$A:$A,M$2)</f>
        <v>0</v>
      </c>
      <c r="N952" s="12">
        <f>SUMIFS(BASE!$G:$G,BASE!$B:$B,$B952,BASE!$L:$L,$G952,BASE!$J:$J,$C952,BASE!$A:$A,N$2)</f>
        <v>0</v>
      </c>
      <c r="O952" s="12">
        <f>SUMIFS(BASE!$G:$G,BASE!$B:$B,$B952,BASE!$L:$L,$G952,BASE!$J:$J,$C952,BASE!$A:$A,O$2)</f>
        <v>0</v>
      </c>
      <c r="P952" s="12">
        <f>SUMIFS(BASE!$G:$G,BASE!$B:$B,$B952,BASE!$L:$L,$G952,BASE!$J:$J,$C952,BASE!$A:$A,P$2)</f>
        <v>0</v>
      </c>
      <c r="Q952" s="12">
        <f>SUMIFS(BASE!$G:$G,BASE!$B:$B,$B952,BASE!$L:$L,$G952,BASE!$J:$J,$C952,BASE!$A:$A,Q$2)</f>
        <v>0</v>
      </c>
      <c r="R952" s="12">
        <f>SUMIFS(BASE!$G:$G,BASE!$B:$B,$B952,BASE!$L:$L,$G952,BASE!$J:$J,$C952,BASE!$A:$A,R$2)</f>
        <v>0</v>
      </c>
      <c r="S952" s="12">
        <f>SUMIFS(BASE!$G:$G,BASE!$B:$B,$B952,BASE!$L:$L,$G952,BASE!$J:$J,$C952,BASE!$A:$A,S$2)</f>
        <v>0</v>
      </c>
      <c r="T952" s="12">
        <f>SUMIFS(BASE!$G:$G,BASE!$B:$B,$B952,BASE!$L:$L,$G952,BASE!$J:$J,$C952,BASE!$A:$A,T$2)</f>
        <v>0</v>
      </c>
      <c r="U952" s="12">
        <f>SUMIFS(BASE!$G:$G,BASE!$B:$B,$B952,BASE!$L:$L,$G952,BASE!$J:$J,$C952,BASE!$A:$A,U$2)</f>
        <v>0</v>
      </c>
      <c r="V952" s="12">
        <f>SUMIFS(BASE!$G:$G,BASE!$B:$B,$B952,BASE!$L:$L,$G952,BASE!$J:$J,$C952,BASE!$A:$A,V$2)</f>
        <v>0</v>
      </c>
      <c r="X952" t="str">
        <f t="shared" si="29"/>
        <v>ZERADO</v>
      </c>
    </row>
    <row r="953" spans="2:24">
      <c r="B953" s="8" t="s">
        <v>1960</v>
      </c>
      <c r="C953" s="9" t="s">
        <v>106</v>
      </c>
      <c r="D953" s="9" t="s">
        <v>1954</v>
      </c>
      <c r="E953" s="9" t="s">
        <v>1911</v>
      </c>
      <c r="F953" s="9" t="s">
        <v>1961</v>
      </c>
      <c r="G953" s="9" t="s">
        <v>57</v>
      </c>
      <c r="H953" s="7" t="str">
        <f>IFERROR(IF(_xlfn.XLOOKUP(B953,REPASSE!D:D,REPASSE!D:D)="","Não","Sim"),"Não")</f>
        <v>Não</v>
      </c>
      <c r="I953" s="7" t="str">
        <f>IF(_xlfn.XLOOKUP(B953,'BOOST LIBERADO'!B:B,'BOOST LIBERADO'!B:B,"Não")="Não","Não","Sim")</f>
        <v>Sim</v>
      </c>
      <c r="J953" s="83" t="str">
        <f t="shared" si="28"/>
        <v>Sim</v>
      </c>
      <c r="K953" s="12">
        <f>SUMIFS(BASE!$G:$G,BASE!$B:$B,$B953,BASE!$L:$L,$G953,BASE!$J:$J,$C953,BASE!$A:$A,K$2)</f>
        <v>0</v>
      </c>
      <c r="L953" s="12">
        <f>SUMIFS(BASE!$G:$G,BASE!$B:$B,$B953,BASE!$L:$L,$G953,BASE!$J:$J,$C953,BASE!$A:$A,L$2)</f>
        <v>0</v>
      </c>
      <c r="M953" s="12">
        <f>SUMIFS(BASE!$G:$G,BASE!$B:$B,$B953,BASE!$L:$L,$G953,BASE!$J:$J,$C953,BASE!$A:$A,M$2)</f>
        <v>0</v>
      </c>
      <c r="N953" s="12">
        <f>SUMIFS(BASE!$G:$G,BASE!$B:$B,$B953,BASE!$L:$L,$G953,BASE!$J:$J,$C953,BASE!$A:$A,N$2)</f>
        <v>0</v>
      </c>
      <c r="O953" s="12">
        <f>SUMIFS(BASE!$G:$G,BASE!$B:$B,$B953,BASE!$L:$L,$G953,BASE!$J:$J,$C953,BASE!$A:$A,O$2)</f>
        <v>0</v>
      </c>
      <c r="P953" s="12">
        <f>SUMIFS(BASE!$G:$G,BASE!$B:$B,$B953,BASE!$L:$L,$G953,BASE!$J:$J,$C953,BASE!$A:$A,P$2)</f>
        <v>0</v>
      </c>
      <c r="Q953" s="12">
        <f>SUMIFS(BASE!$G:$G,BASE!$B:$B,$B953,BASE!$L:$L,$G953,BASE!$J:$J,$C953,BASE!$A:$A,Q$2)</f>
        <v>0</v>
      </c>
      <c r="R953" s="12">
        <f>SUMIFS(BASE!$G:$G,BASE!$B:$B,$B953,BASE!$L:$L,$G953,BASE!$J:$J,$C953,BASE!$A:$A,R$2)</f>
        <v>2</v>
      </c>
      <c r="S953" s="12">
        <f>SUMIFS(BASE!$G:$G,BASE!$B:$B,$B953,BASE!$L:$L,$G953,BASE!$J:$J,$C953,BASE!$A:$A,S$2)</f>
        <v>0</v>
      </c>
      <c r="T953" s="12">
        <f>SUMIFS(BASE!$G:$G,BASE!$B:$B,$B953,BASE!$L:$L,$G953,BASE!$J:$J,$C953,BASE!$A:$A,T$2)</f>
        <v>0</v>
      </c>
      <c r="U953" s="12">
        <f>SUMIFS(BASE!$G:$G,BASE!$B:$B,$B953,BASE!$L:$L,$G953,BASE!$J:$J,$C953,BASE!$A:$A,U$2)</f>
        <v>0</v>
      </c>
      <c r="V953" s="12">
        <f>SUMIFS(BASE!$G:$G,BASE!$B:$B,$B953,BASE!$L:$L,$G953,BASE!$J:$J,$C953,BASE!$A:$A,V$2)</f>
        <v>0</v>
      </c>
      <c r="X953" t="str">
        <f t="shared" si="29"/>
        <v>COM TROCAS</v>
      </c>
    </row>
    <row r="954" spans="2:24">
      <c r="B954" s="8" t="s">
        <v>1962</v>
      </c>
      <c r="C954" s="9" t="s">
        <v>106</v>
      </c>
      <c r="D954" s="9" t="s">
        <v>1954</v>
      </c>
      <c r="E954" s="9" t="s">
        <v>1911</v>
      </c>
      <c r="F954" s="9" t="s">
        <v>1961</v>
      </c>
      <c r="G954" s="9" t="s">
        <v>57</v>
      </c>
      <c r="H954" s="7" t="str">
        <f>IFERROR(IF(_xlfn.XLOOKUP(B954,REPASSE!D:D,REPASSE!D:D)="","Não","Sim"),"Não")</f>
        <v>Não</v>
      </c>
      <c r="I954" s="7" t="str">
        <f>IF(_xlfn.XLOOKUP(B954,'BOOST LIBERADO'!B:B,'BOOST LIBERADO'!B:B,"Não")="Não","Não","Sim")</f>
        <v>Sim</v>
      </c>
      <c r="J954" s="83" t="str">
        <f t="shared" si="28"/>
        <v>Sim</v>
      </c>
      <c r="K954" s="12">
        <f>SUMIFS(BASE!$G:$G,BASE!$B:$B,$B954,BASE!$L:$L,$G954,BASE!$J:$J,$C954,BASE!$A:$A,K$2)</f>
        <v>0</v>
      </c>
      <c r="L954" s="12">
        <f>SUMIFS(BASE!$G:$G,BASE!$B:$B,$B954,BASE!$L:$L,$G954,BASE!$J:$J,$C954,BASE!$A:$A,L$2)</f>
        <v>0</v>
      </c>
      <c r="M954" s="12">
        <f>SUMIFS(BASE!$G:$G,BASE!$B:$B,$B954,BASE!$L:$L,$G954,BASE!$J:$J,$C954,BASE!$A:$A,M$2)</f>
        <v>0</v>
      </c>
      <c r="N954" s="12">
        <f>SUMIFS(BASE!$G:$G,BASE!$B:$B,$B954,BASE!$L:$L,$G954,BASE!$J:$J,$C954,BASE!$A:$A,N$2)</f>
        <v>0</v>
      </c>
      <c r="O954" s="12">
        <f>SUMIFS(BASE!$G:$G,BASE!$B:$B,$B954,BASE!$L:$L,$G954,BASE!$J:$J,$C954,BASE!$A:$A,O$2)</f>
        <v>0</v>
      </c>
      <c r="P954" s="12">
        <f>SUMIFS(BASE!$G:$G,BASE!$B:$B,$B954,BASE!$L:$L,$G954,BASE!$J:$J,$C954,BASE!$A:$A,P$2)</f>
        <v>0</v>
      </c>
      <c r="Q954" s="12">
        <f>SUMIFS(BASE!$G:$G,BASE!$B:$B,$B954,BASE!$L:$L,$G954,BASE!$J:$J,$C954,BASE!$A:$A,Q$2)</f>
        <v>0</v>
      </c>
      <c r="R954" s="12">
        <f>SUMIFS(BASE!$G:$G,BASE!$B:$B,$B954,BASE!$L:$L,$G954,BASE!$J:$J,$C954,BASE!$A:$A,R$2)</f>
        <v>5</v>
      </c>
      <c r="S954" s="12">
        <f>SUMIFS(BASE!$G:$G,BASE!$B:$B,$B954,BASE!$L:$L,$G954,BASE!$J:$J,$C954,BASE!$A:$A,S$2)</f>
        <v>0</v>
      </c>
      <c r="T954" s="12">
        <f>SUMIFS(BASE!$G:$G,BASE!$B:$B,$B954,BASE!$L:$L,$G954,BASE!$J:$J,$C954,BASE!$A:$A,T$2)</f>
        <v>0</v>
      </c>
      <c r="U954" s="12">
        <f>SUMIFS(BASE!$G:$G,BASE!$B:$B,$B954,BASE!$L:$L,$G954,BASE!$J:$J,$C954,BASE!$A:$A,U$2)</f>
        <v>0</v>
      </c>
      <c r="V954" s="12">
        <f>SUMIFS(BASE!$G:$G,BASE!$B:$B,$B954,BASE!$L:$L,$G954,BASE!$J:$J,$C954,BASE!$A:$A,V$2)</f>
        <v>0</v>
      </c>
      <c r="X954" t="str">
        <f t="shared" si="29"/>
        <v>COM TROCAS</v>
      </c>
    </row>
    <row r="955" spans="2:24">
      <c r="B955" s="8" t="s">
        <v>1963</v>
      </c>
      <c r="C955" s="9" t="s">
        <v>106</v>
      </c>
      <c r="D955" s="9" t="s">
        <v>1954</v>
      </c>
      <c r="E955" s="9" t="s">
        <v>1911</v>
      </c>
      <c r="F955" s="9" t="s">
        <v>1961</v>
      </c>
      <c r="G955" s="9" t="s">
        <v>57</v>
      </c>
      <c r="H955" s="7" t="str">
        <f>IFERROR(IF(_xlfn.XLOOKUP(B955,REPASSE!D:D,REPASSE!D:D)="","Não","Sim"),"Não")</f>
        <v>Não</v>
      </c>
      <c r="I955" s="7" t="str">
        <f>IF(_xlfn.XLOOKUP(B955,'BOOST LIBERADO'!B:B,'BOOST LIBERADO'!B:B,"Não")="Não","Não","Sim")</f>
        <v>Sim</v>
      </c>
      <c r="J955" s="83" t="str">
        <f t="shared" si="28"/>
        <v>Sim</v>
      </c>
      <c r="K955" s="12">
        <f>SUMIFS(BASE!$G:$G,BASE!$B:$B,$B955,BASE!$L:$L,$G955,BASE!$J:$J,$C955,BASE!$A:$A,K$2)</f>
        <v>0</v>
      </c>
      <c r="L955" s="12">
        <f>SUMIFS(BASE!$G:$G,BASE!$B:$B,$B955,BASE!$L:$L,$G955,BASE!$J:$J,$C955,BASE!$A:$A,L$2)</f>
        <v>0</v>
      </c>
      <c r="M955" s="12">
        <f>SUMIFS(BASE!$G:$G,BASE!$B:$B,$B955,BASE!$L:$L,$G955,BASE!$J:$J,$C955,BASE!$A:$A,M$2)</f>
        <v>0</v>
      </c>
      <c r="N955" s="12">
        <f>SUMIFS(BASE!$G:$G,BASE!$B:$B,$B955,BASE!$L:$L,$G955,BASE!$J:$J,$C955,BASE!$A:$A,N$2)</f>
        <v>2</v>
      </c>
      <c r="O955" s="12">
        <f>SUMIFS(BASE!$G:$G,BASE!$B:$B,$B955,BASE!$L:$L,$G955,BASE!$J:$J,$C955,BASE!$A:$A,O$2)</f>
        <v>2</v>
      </c>
      <c r="P955" s="12">
        <f>SUMIFS(BASE!$G:$G,BASE!$B:$B,$B955,BASE!$L:$L,$G955,BASE!$J:$J,$C955,BASE!$A:$A,P$2)</f>
        <v>10</v>
      </c>
      <c r="Q955" s="12">
        <f>SUMIFS(BASE!$G:$G,BASE!$B:$B,$B955,BASE!$L:$L,$G955,BASE!$J:$J,$C955,BASE!$A:$A,Q$2)</f>
        <v>15</v>
      </c>
      <c r="R955" s="12">
        <f>SUMIFS(BASE!$G:$G,BASE!$B:$B,$B955,BASE!$L:$L,$G955,BASE!$J:$J,$C955,BASE!$A:$A,R$2)</f>
        <v>13</v>
      </c>
      <c r="S955" s="12">
        <f>SUMIFS(BASE!$G:$G,BASE!$B:$B,$B955,BASE!$L:$L,$G955,BASE!$J:$J,$C955,BASE!$A:$A,S$2)</f>
        <v>0</v>
      </c>
      <c r="T955" s="12">
        <f>SUMIFS(BASE!$G:$G,BASE!$B:$B,$B955,BASE!$L:$L,$G955,BASE!$J:$J,$C955,BASE!$A:$A,T$2)</f>
        <v>0</v>
      </c>
      <c r="U955" s="12">
        <f>SUMIFS(BASE!$G:$G,BASE!$B:$B,$B955,BASE!$L:$L,$G955,BASE!$J:$J,$C955,BASE!$A:$A,U$2)</f>
        <v>0</v>
      </c>
      <c r="V955" s="12">
        <f>SUMIFS(BASE!$G:$G,BASE!$B:$B,$B955,BASE!$L:$L,$G955,BASE!$J:$J,$C955,BASE!$A:$A,V$2)</f>
        <v>0</v>
      </c>
      <c r="X955" t="str">
        <f t="shared" si="29"/>
        <v>COM TROCAS</v>
      </c>
    </row>
    <row r="956" spans="2:24">
      <c r="B956" s="8" t="s">
        <v>1964</v>
      </c>
      <c r="C956" s="9" t="s">
        <v>178</v>
      </c>
      <c r="D956" s="9" t="s">
        <v>1954</v>
      </c>
      <c r="E956" s="9" t="s">
        <v>1911</v>
      </c>
      <c r="F956" s="9" t="s">
        <v>1965</v>
      </c>
      <c r="G956" s="9" t="s">
        <v>57</v>
      </c>
      <c r="H956" s="7" t="str">
        <f>IFERROR(IF(_xlfn.XLOOKUP(B956,REPASSE!D:D,REPASSE!D:D)="","Não","Sim"),"Não")</f>
        <v>Sim</v>
      </c>
      <c r="I956" s="7" t="str">
        <f>IF(_xlfn.XLOOKUP(B956,'BOOST LIBERADO'!B:B,'BOOST LIBERADO'!B:B,"Não")="Não","Não","Sim")</f>
        <v>Não</v>
      </c>
      <c r="J956" s="83" t="str">
        <f t="shared" si="28"/>
        <v>Não</v>
      </c>
      <c r="K956" s="12">
        <f>SUMIFS(BASE!$G:$G,BASE!$B:$B,$B956,BASE!$L:$L,$G956,BASE!$J:$J,$C956,BASE!$A:$A,K$2)</f>
        <v>0</v>
      </c>
      <c r="L956" s="12">
        <f>SUMIFS(BASE!$G:$G,BASE!$B:$B,$B956,BASE!$L:$L,$G956,BASE!$J:$J,$C956,BASE!$A:$A,L$2)</f>
        <v>0</v>
      </c>
      <c r="M956" s="12">
        <f>SUMIFS(BASE!$G:$G,BASE!$B:$B,$B956,BASE!$L:$L,$G956,BASE!$J:$J,$C956,BASE!$A:$A,M$2)</f>
        <v>0</v>
      </c>
      <c r="N956" s="12">
        <f>SUMIFS(BASE!$G:$G,BASE!$B:$B,$B956,BASE!$L:$L,$G956,BASE!$J:$J,$C956,BASE!$A:$A,N$2)</f>
        <v>0</v>
      </c>
      <c r="O956" s="12">
        <f>SUMIFS(BASE!$G:$G,BASE!$B:$B,$B956,BASE!$L:$L,$G956,BASE!$J:$J,$C956,BASE!$A:$A,O$2)</f>
        <v>0</v>
      </c>
      <c r="P956" s="12">
        <f>SUMIFS(BASE!$G:$G,BASE!$B:$B,$B956,BASE!$L:$L,$G956,BASE!$J:$J,$C956,BASE!$A:$A,P$2)</f>
        <v>0</v>
      </c>
      <c r="Q956" s="12">
        <f>SUMIFS(BASE!$G:$G,BASE!$B:$B,$B956,BASE!$L:$L,$G956,BASE!$J:$J,$C956,BASE!$A:$A,Q$2)</f>
        <v>0</v>
      </c>
      <c r="R956" s="12">
        <f>SUMIFS(BASE!$G:$G,BASE!$B:$B,$B956,BASE!$L:$L,$G956,BASE!$J:$J,$C956,BASE!$A:$A,R$2)</f>
        <v>0</v>
      </c>
      <c r="S956" s="12">
        <f>SUMIFS(BASE!$G:$G,BASE!$B:$B,$B956,BASE!$L:$L,$G956,BASE!$J:$J,$C956,BASE!$A:$A,S$2)</f>
        <v>0</v>
      </c>
      <c r="T956" s="12">
        <f>SUMIFS(BASE!$G:$G,BASE!$B:$B,$B956,BASE!$L:$L,$G956,BASE!$J:$J,$C956,BASE!$A:$A,T$2)</f>
        <v>0</v>
      </c>
      <c r="U956" s="12">
        <f>SUMIFS(BASE!$G:$G,BASE!$B:$B,$B956,BASE!$L:$L,$G956,BASE!$J:$J,$C956,BASE!$A:$A,U$2)</f>
        <v>0</v>
      </c>
      <c r="V956" s="12">
        <f>SUMIFS(BASE!$G:$G,BASE!$B:$B,$B956,BASE!$L:$L,$G956,BASE!$J:$J,$C956,BASE!$A:$A,V$2)</f>
        <v>0</v>
      </c>
      <c r="X956" t="str">
        <f t="shared" si="29"/>
        <v>ZERADO</v>
      </c>
    </row>
    <row r="957" spans="2:24">
      <c r="B957" s="8" t="s">
        <v>1966</v>
      </c>
      <c r="C957" s="9" t="s">
        <v>124</v>
      </c>
      <c r="D957" s="9" t="s">
        <v>1967</v>
      </c>
      <c r="E957" s="9" t="s">
        <v>1780</v>
      </c>
      <c r="F957" s="9" t="s">
        <v>1968</v>
      </c>
      <c r="G957" s="9" t="s">
        <v>57</v>
      </c>
      <c r="H957" s="7" t="str">
        <f>IFERROR(IF(_xlfn.XLOOKUP(B957,REPASSE!D:D,REPASSE!D:D)="","Não","Sim"),"Não")</f>
        <v>Não</v>
      </c>
      <c r="I957" s="7" t="str">
        <f>IF(_xlfn.XLOOKUP(B957,'BOOST LIBERADO'!B:B,'BOOST LIBERADO'!B:B,"Não")="Não","Não","Sim")</f>
        <v>Sim</v>
      </c>
      <c r="J957" s="83" t="str">
        <f t="shared" si="28"/>
        <v>Sim</v>
      </c>
      <c r="K957" s="12">
        <f>SUMIFS(BASE!$G:$G,BASE!$B:$B,$B957,BASE!$L:$L,$G957,BASE!$J:$J,$C957,BASE!$A:$A,K$2)</f>
        <v>0</v>
      </c>
      <c r="L957" s="12">
        <f>SUMIFS(BASE!$G:$G,BASE!$B:$B,$B957,BASE!$L:$L,$G957,BASE!$J:$J,$C957,BASE!$A:$A,L$2)</f>
        <v>0</v>
      </c>
      <c r="M957" s="12">
        <f>SUMIFS(BASE!$G:$G,BASE!$B:$B,$B957,BASE!$L:$L,$G957,BASE!$J:$J,$C957,BASE!$A:$A,M$2)</f>
        <v>0</v>
      </c>
      <c r="N957" s="12">
        <f>SUMIFS(BASE!$G:$G,BASE!$B:$B,$B957,BASE!$L:$L,$G957,BASE!$J:$J,$C957,BASE!$A:$A,N$2)</f>
        <v>0</v>
      </c>
      <c r="O957" s="12">
        <f>SUMIFS(BASE!$G:$G,BASE!$B:$B,$B957,BASE!$L:$L,$G957,BASE!$J:$J,$C957,BASE!$A:$A,O$2)</f>
        <v>0</v>
      </c>
      <c r="P957" s="12">
        <f>SUMIFS(BASE!$G:$G,BASE!$B:$B,$B957,BASE!$L:$L,$G957,BASE!$J:$J,$C957,BASE!$A:$A,P$2)</f>
        <v>0</v>
      </c>
      <c r="Q957" s="12">
        <f>SUMIFS(BASE!$G:$G,BASE!$B:$B,$B957,BASE!$L:$L,$G957,BASE!$J:$J,$C957,BASE!$A:$A,Q$2)</f>
        <v>0</v>
      </c>
      <c r="R957" s="12">
        <f>SUMIFS(BASE!$G:$G,BASE!$B:$B,$B957,BASE!$L:$L,$G957,BASE!$J:$J,$C957,BASE!$A:$A,R$2)</f>
        <v>0</v>
      </c>
      <c r="S957" s="12">
        <f>SUMIFS(BASE!$G:$G,BASE!$B:$B,$B957,BASE!$L:$L,$G957,BASE!$J:$J,$C957,BASE!$A:$A,S$2)</f>
        <v>0</v>
      </c>
      <c r="T957" s="12">
        <f>SUMIFS(BASE!$G:$G,BASE!$B:$B,$B957,BASE!$L:$L,$G957,BASE!$J:$J,$C957,BASE!$A:$A,T$2)</f>
        <v>0</v>
      </c>
      <c r="U957" s="12">
        <f>SUMIFS(BASE!$G:$G,BASE!$B:$B,$B957,BASE!$L:$L,$G957,BASE!$J:$J,$C957,BASE!$A:$A,U$2)</f>
        <v>0</v>
      </c>
      <c r="V957" s="12">
        <f>SUMIFS(BASE!$G:$G,BASE!$B:$B,$B957,BASE!$L:$L,$G957,BASE!$J:$J,$C957,BASE!$A:$A,V$2)</f>
        <v>0</v>
      </c>
      <c r="X957" t="str">
        <f t="shared" si="29"/>
        <v>ZERADO</v>
      </c>
    </row>
    <row r="958" spans="2:24">
      <c r="B958" s="8" t="s">
        <v>1969</v>
      </c>
      <c r="C958" s="9" t="s">
        <v>124</v>
      </c>
      <c r="D958" s="9" t="s">
        <v>1967</v>
      </c>
      <c r="E958" s="9" t="s">
        <v>1780</v>
      </c>
      <c r="F958" s="9" t="s">
        <v>1968</v>
      </c>
      <c r="G958" s="9" t="s">
        <v>57</v>
      </c>
      <c r="H958" s="7" t="str">
        <f>IFERROR(IF(_xlfn.XLOOKUP(B958,REPASSE!D:D,REPASSE!D:D)="","Não","Sim"),"Não")</f>
        <v>Não</v>
      </c>
      <c r="I958" s="7" t="str">
        <f>IF(_xlfn.XLOOKUP(B958,'BOOST LIBERADO'!B:B,'BOOST LIBERADO'!B:B,"Não")="Não","Não","Sim")</f>
        <v>Sim</v>
      </c>
      <c r="J958" s="83" t="str">
        <f t="shared" si="28"/>
        <v>Sim</v>
      </c>
      <c r="K958" s="12">
        <f>SUMIFS(BASE!$G:$G,BASE!$B:$B,$B958,BASE!$L:$L,$G958,BASE!$J:$J,$C958,BASE!$A:$A,K$2)</f>
        <v>0</v>
      </c>
      <c r="L958" s="12">
        <f>SUMIFS(BASE!$G:$G,BASE!$B:$B,$B958,BASE!$L:$L,$G958,BASE!$J:$J,$C958,BASE!$A:$A,L$2)</f>
        <v>0</v>
      </c>
      <c r="M958" s="12">
        <f>SUMIFS(BASE!$G:$G,BASE!$B:$B,$B958,BASE!$L:$L,$G958,BASE!$J:$J,$C958,BASE!$A:$A,M$2)</f>
        <v>0</v>
      </c>
      <c r="N958" s="12">
        <f>SUMIFS(BASE!$G:$G,BASE!$B:$B,$B958,BASE!$L:$L,$G958,BASE!$J:$J,$C958,BASE!$A:$A,N$2)</f>
        <v>0</v>
      </c>
      <c r="O958" s="12">
        <f>SUMIFS(BASE!$G:$G,BASE!$B:$B,$B958,BASE!$L:$L,$G958,BASE!$J:$J,$C958,BASE!$A:$A,O$2)</f>
        <v>0</v>
      </c>
      <c r="P958" s="12">
        <f>SUMIFS(BASE!$G:$G,BASE!$B:$B,$B958,BASE!$L:$L,$G958,BASE!$J:$J,$C958,BASE!$A:$A,P$2)</f>
        <v>0</v>
      </c>
      <c r="Q958" s="12">
        <f>SUMIFS(BASE!$G:$G,BASE!$B:$B,$B958,BASE!$L:$L,$G958,BASE!$J:$J,$C958,BASE!$A:$A,Q$2)</f>
        <v>0</v>
      </c>
      <c r="R958" s="12">
        <f>SUMIFS(BASE!$G:$G,BASE!$B:$B,$B958,BASE!$L:$L,$G958,BASE!$J:$J,$C958,BASE!$A:$A,R$2)</f>
        <v>0</v>
      </c>
      <c r="S958" s="12">
        <f>SUMIFS(BASE!$G:$G,BASE!$B:$B,$B958,BASE!$L:$L,$G958,BASE!$J:$J,$C958,BASE!$A:$A,S$2)</f>
        <v>0</v>
      </c>
      <c r="T958" s="12">
        <f>SUMIFS(BASE!$G:$G,BASE!$B:$B,$B958,BASE!$L:$L,$G958,BASE!$J:$J,$C958,BASE!$A:$A,T$2)</f>
        <v>0</v>
      </c>
      <c r="U958" s="12">
        <f>SUMIFS(BASE!$G:$G,BASE!$B:$B,$B958,BASE!$L:$L,$G958,BASE!$J:$J,$C958,BASE!$A:$A,U$2)</f>
        <v>0</v>
      </c>
      <c r="V958" s="12">
        <f>SUMIFS(BASE!$G:$G,BASE!$B:$B,$B958,BASE!$L:$L,$G958,BASE!$J:$J,$C958,BASE!$A:$A,V$2)</f>
        <v>0</v>
      </c>
      <c r="X958" t="str">
        <f t="shared" si="29"/>
        <v>ZERADO</v>
      </c>
    </row>
    <row r="959" spans="2:24">
      <c r="B959" s="8" t="s">
        <v>1970</v>
      </c>
      <c r="C959" s="9" t="s">
        <v>124</v>
      </c>
      <c r="D959" s="9" t="s">
        <v>1967</v>
      </c>
      <c r="E959" s="9" t="s">
        <v>1780</v>
      </c>
      <c r="F959" s="9" t="s">
        <v>1971</v>
      </c>
      <c r="G959" s="9" t="s">
        <v>57</v>
      </c>
      <c r="H959" s="7" t="str">
        <f>IFERROR(IF(_xlfn.XLOOKUP(B959,REPASSE!D:D,REPASSE!D:D)="","Não","Sim"),"Não")</f>
        <v>Não</v>
      </c>
      <c r="I959" s="7" t="str">
        <f>IF(_xlfn.XLOOKUP(B959,'BOOST LIBERADO'!B:B,'BOOST LIBERADO'!B:B,"Não")="Não","Não","Sim")</f>
        <v>Sim</v>
      </c>
      <c r="J959" s="83" t="str">
        <f t="shared" si="28"/>
        <v>Sim</v>
      </c>
      <c r="K959" s="12">
        <f>SUMIFS(BASE!$G:$G,BASE!$B:$B,$B959,BASE!$L:$L,$G959,BASE!$J:$J,$C959,BASE!$A:$A,K$2)</f>
        <v>0</v>
      </c>
      <c r="L959" s="12">
        <f>SUMIFS(BASE!$G:$G,BASE!$B:$B,$B959,BASE!$L:$L,$G959,BASE!$J:$J,$C959,BASE!$A:$A,L$2)</f>
        <v>0</v>
      </c>
      <c r="M959" s="12">
        <f>SUMIFS(BASE!$G:$G,BASE!$B:$B,$B959,BASE!$L:$L,$G959,BASE!$J:$J,$C959,BASE!$A:$A,M$2)</f>
        <v>0</v>
      </c>
      <c r="N959" s="12">
        <f>SUMIFS(BASE!$G:$G,BASE!$B:$B,$B959,BASE!$L:$L,$G959,BASE!$J:$J,$C959,BASE!$A:$A,N$2)</f>
        <v>0</v>
      </c>
      <c r="O959" s="12">
        <f>SUMIFS(BASE!$G:$G,BASE!$B:$B,$B959,BASE!$L:$L,$G959,BASE!$J:$J,$C959,BASE!$A:$A,O$2)</f>
        <v>0</v>
      </c>
      <c r="P959" s="12">
        <f>SUMIFS(BASE!$G:$G,BASE!$B:$B,$B959,BASE!$L:$L,$G959,BASE!$J:$J,$C959,BASE!$A:$A,P$2)</f>
        <v>2</v>
      </c>
      <c r="Q959" s="12">
        <f>SUMIFS(BASE!$G:$G,BASE!$B:$B,$B959,BASE!$L:$L,$G959,BASE!$J:$J,$C959,BASE!$A:$A,Q$2)</f>
        <v>1</v>
      </c>
      <c r="R959" s="12">
        <f>SUMIFS(BASE!$G:$G,BASE!$B:$B,$B959,BASE!$L:$L,$G959,BASE!$J:$J,$C959,BASE!$A:$A,R$2)</f>
        <v>2</v>
      </c>
      <c r="S959" s="12">
        <f>SUMIFS(BASE!$G:$G,BASE!$B:$B,$B959,BASE!$L:$L,$G959,BASE!$J:$J,$C959,BASE!$A:$A,S$2)</f>
        <v>0</v>
      </c>
      <c r="T959" s="12">
        <f>SUMIFS(BASE!$G:$G,BASE!$B:$B,$B959,BASE!$L:$L,$G959,BASE!$J:$J,$C959,BASE!$A:$A,T$2)</f>
        <v>0</v>
      </c>
      <c r="U959" s="12">
        <f>SUMIFS(BASE!$G:$G,BASE!$B:$B,$B959,BASE!$L:$L,$G959,BASE!$J:$J,$C959,BASE!$A:$A,U$2)</f>
        <v>0</v>
      </c>
      <c r="V959" s="12">
        <f>SUMIFS(BASE!$G:$G,BASE!$B:$B,$B959,BASE!$L:$L,$G959,BASE!$J:$J,$C959,BASE!$A:$A,V$2)</f>
        <v>0</v>
      </c>
      <c r="X959" t="str">
        <f t="shared" si="29"/>
        <v>COM TROCAS</v>
      </c>
    </row>
    <row r="960" spans="2:24">
      <c r="B960" s="8" t="s">
        <v>1972</v>
      </c>
      <c r="C960" s="9" t="s">
        <v>103</v>
      </c>
      <c r="D960" s="9" t="s">
        <v>1967</v>
      </c>
      <c r="E960" s="9" t="s">
        <v>1780</v>
      </c>
      <c r="F960" s="9" t="s">
        <v>1973</v>
      </c>
      <c r="G960" s="9" t="s">
        <v>57</v>
      </c>
      <c r="H960" s="7" t="str">
        <f>IFERROR(IF(_xlfn.XLOOKUP(B960,REPASSE!D:D,REPASSE!D:D)="","Não","Sim"),"Não")</f>
        <v>Não</v>
      </c>
      <c r="I960" s="7" t="str">
        <f>IF(_xlfn.XLOOKUP(B960,'BOOST LIBERADO'!B:B,'BOOST LIBERADO'!B:B,"Não")="Não","Não","Sim")</f>
        <v>Sim</v>
      </c>
      <c r="J960" s="83" t="str">
        <f t="shared" si="28"/>
        <v>Sim</v>
      </c>
      <c r="K960" s="12">
        <f>SUMIFS(BASE!$G:$G,BASE!$B:$B,$B960,BASE!$L:$L,$G960,BASE!$J:$J,$C960,BASE!$A:$A,K$2)</f>
        <v>0</v>
      </c>
      <c r="L960" s="12">
        <f>SUMIFS(BASE!$G:$G,BASE!$B:$B,$B960,BASE!$L:$L,$G960,BASE!$J:$J,$C960,BASE!$A:$A,L$2)</f>
        <v>0</v>
      </c>
      <c r="M960" s="12">
        <f>SUMIFS(BASE!$G:$G,BASE!$B:$B,$B960,BASE!$L:$L,$G960,BASE!$J:$J,$C960,BASE!$A:$A,M$2)</f>
        <v>0</v>
      </c>
      <c r="N960" s="12">
        <f>SUMIFS(BASE!$G:$G,BASE!$B:$B,$B960,BASE!$L:$L,$G960,BASE!$J:$J,$C960,BASE!$A:$A,N$2)</f>
        <v>0</v>
      </c>
      <c r="O960" s="12">
        <f>SUMIFS(BASE!$G:$G,BASE!$B:$B,$B960,BASE!$L:$L,$G960,BASE!$J:$J,$C960,BASE!$A:$A,O$2)</f>
        <v>0</v>
      </c>
      <c r="P960" s="12">
        <f>SUMIFS(BASE!$G:$G,BASE!$B:$B,$B960,BASE!$L:$L,$G960,BASE!$J:$J,$C960,BASE!$A:$A,P$2)</f>
        <v>0</v>
      </c>
      <c r="Q960" s="12">
        <f>SUMIFS(BASE!$G:$G,BASE!$B:$B,$B960,BASE!$L:$L,$G960,BASE!$J:$J,$C960,BASE!$A:$A,Q$2)</f>
        <v>0</v>
      </c>
      <c r="R960" s="12">
        <f>SUMIFS(BASE!$G:$G,BASE!$B:$B,$B960,BASE!$L:$L,$G960,BASE!$J:$J,$C960,BASE!$A:$A,R$2)</f>
        <v>0</v>
      </c>
      <c r="S960" s="12">
        <f>SUMIFS(BASE!$G:$G,BASE!$B:$B,$B960,BASE!$L:$L,$G960,BASE!$J:$J,$C960,BASE!$A:$A,S$2)</f>
        <v>0</v>
      </c>
      <c r="T960" s="12">
        <f>SUMIFS(BASE!$G:$G,BASE!$B:$B,$B960,BASE!$L:$L,$G960,BASE!$J:$J,$C960,BASE!$A:$A,T$2)</f>
        <v>0</v>
      </c>
      <c r="U960" s="12">
        <f>SUMIFS(BASE!$G:$G,BASE!$B:$B,$B960,BASE!$L:$L,$G960,BASE!$J:$J,$C960,BASE!$A:$A,U$2)</f>
        <v>0</v>
      </c>
      <c r="V960" s="12">
        <f>SUMIFS(BASE!$G:$G,BASE!$B:$B,$B960,BASE!$L:$L,$G960,BASE!$J:$J,$C960,BASE!$A:$A,V$2)</f>
        <v>0</v>
      </c>
      <c r="X960" t="str">
        <f t="shared" si="29"/>
        <v>ZERADO</v>
      </c>
    </row>
    <row r="961" spans="2:24">
      <c r="B961" s="8" t="s">
        <v>1974</v>
      </c>
      <c r="C961" s="9" t="s">
        <v>124</v>
      </c>
      <c r="D961" s="9" t="s">
        <v>1967</v>
      </c>
      <c r="E961" s="9" t="s">
        <v>1780</v>
      </c>
      <c r="F961" s="9" t="s">
        <v>1975</v>
      </c>
      <c r="G961" s="9" t="s">
        <v>57</v>
      </c>
      <c r="H961" s="7" t="str">
        <f>IFERROR(IF(_xlfn.XLOOKUP(B961,REPASSE!D:D,REPASSE!D:D)="","Não","Sim"),"Não")</f>
        <v>Não</v>
      </c>
      <c r="I961" s="7" t="str">
        <f>IF(_xlfn.XLOOKUP(B961,'BOOST LIBERADO'!B:B,'BOOST LIBERADO'!B:B,"Não")="Não","Não","Sim")</f>
        <v>Sim</v>
      </c>
      <c r="J961" s="83" t="str">
        <f t="shared" si="28"/>
        <v>Sim</v>
      </c>
      <c r="K961" s="12">
        <f>SUMIFS(BASE!$G:$G,BASE!$B:$B,$B961,BASE!$L:$L,$G961,BASE!$J:$J,$C961,BASE!$A:$A,K$2)</f>
        <v>0</v>
      </c>
      <c r="L961" s="12">
        <f>SUMIFS(BASE!$G:$G,BASE!$B:$B,$B961,BASE!$L:$L,$G961,BASE!$J:$J,$C961,BASE!$A:$A,L$2)</f>
        <v>0</v>
      </c>
      <c r="M961" s="12">
        <f>SUMIFS(BASE!$G:$G,BASE!$B:$B,$B961,BASE!$L:$L,$G961,BASE!$J:$J,$C961,BASE!$A:$A,M$2)</f>
        <v>0</v>
      </c>
      <c r="N961" s="12">
        <f>SUMIFS(BASE!$G:$G,BASE!$B:$B,$B961,BASE!$L:$L,$G961,BASE!$J:$J,$C961,BASE!$A:$A,N$2)</f>
        <v>0</v>
      </c>
      <c r="O961" s="12">
        <f>SUMIFS(BASE!$G:$G,BASE!$B:$B,$B961,BASE!$L:$L,$G961,BASE!$J:$J,$C961,BASE!$A:$A,O$2)</f>
        <v>0</v>
      </c>
      <c r="P961" s="12">
        <f>SUMIFS(BASE!$G:$G,BASE!$B:$B,$B961,BASE!$L:$L,$G961,BASE!$J:$J,$C961,BASE!$A:$A,P$2)</f>
        <v>0</v>
      </c>
      <c r="Q961" s="12">
        <f>SUMIFS(BASE!$G:$G,BASE!$B:$B,$B961,BASE!$L:$L,$G961,BASE!$J:$J,$C961,BASE!$A:$A,Q$2)</f>
        <v>0</v>
      </c>
      <c r="R961" s="12">
        <f>SUMIFS(BASE!$G:$G,BASE!$B:$B,$B961,BASE!$L:$L,$G961,BASE!$J:$J,$C961,BASE!$A:$A,R$2)</f>
        <v>0</v>
      </c>
      <c r="S961" s="12">
        <f>SUMIFS(BASE!$G:$G,BASE!$B:$B,$B961,BASE!$L:$L,$G961,BASE!$J:$J,$C961,BASE!$A:$A,S$2)</f>
        <v>0</v>
      </c>
      <c r="T961" s="12">
        <f>SUMIFS(BASE!$G:$G,BASE!$B:$B,$B961,BASE!$L:$L,$G961,BASE!$J:$J,$C961,BASE!$A:$A,T$2)</f>
        <v>0</v>
      </c>
      <c r="U961" s="12">
        <f>SUMIFS(BASE!$G:$G,BASE!$B:$B,$B961,BASE!$L:$L,$G961,BASE!$J:$J,$C961,BASE!$A:$A,U$2)</f>
        <v>0</v>
      </c>
      <c r="V961" s="12">
        <f>SUMIFS(BASE!$G:$G,BASE!$B:$B,$B961,BASE!$L:$L,$G961,BASE!$J:$J,$C961,BASE!$A:$A,V$2)</f>
        <v>0</v>
      </c>
      <c r="X961" t="str">
        <f t="shared" si="29"/>
        <v>ZERADO</v>
      </c>
    </row>
    <row r="962" spans="2:24">
      <c r="B962" s="8" t="s">
        <v>1976</v>
      </c>
      <c r="C962" s="9" t="s">
        <v>97</v>
      </c>
      <c r="D962" s="9" t="s">
        <v>1977</v>
      </c>
      <c r="E962" s="9" t="s">
        <v>1780</v>
      </c>
      <c r="F962" s="9" t="s">
        <v>1978</v>
      </c>
      <c r="G962" s="9" t="s">
        <v>57</v>
      </c>
      <c r="H962" s="7" t="str">
        <f>IFERROR(IF(_xlfn.XLOOKUP(B962,REPASSE!D:D,REPASSE!D:D)="","Não","Sim"),"Não")</f>
        <v>Não</v>
      </c>
      <c r="I962" s="7" t="str">
        <f>IF(_xlfn.XLOOKUP(B962,'BOOST LIBERADO'!B:B,'BOOST LIBERADO'!B:B,"Não")="Não","Não","Sim")</f>
        <v>Sim</v>
      </c>
      <c r="J962" s="83" t="str">
        <f t="shared" si="28"/>
        <v>Sim</v>
      </c>
      <c r="K962" s="12">
        <f>SUMIFS(BASE!$G:$G,BASE!$B:$B,$B962,BASE!$L:$L,$G962,BASE!$J:$J,$C962,BASE!$A:$A,K$2)</f>
        <v>4</v>
      </c>
      <c r="L962" s="12">
        <f>SUMIFS(BASE!$G:$G,BASE!$B:$B,$B962,BASE!$L:$L,$G962,BASE!$J:$J,$C962,BASE!$A:$A,L$2)</f>
        <v>2</v>
      </c>
      <c r="M962" s="12">
        <f>SUMIFS(BASE!$G:$G,BASE!$B:$B,$B962,BASE!$L:$L,$G962,BASE!$J:$J,$C962,BASE!$A:$A,M$2)</f>
        <v>6</v>
      </c>
      <c r="N962" s="12">
        <f>SUMIFS(BASE!$G:$G,BASE!$B:$B,$B962,BASE!$L:$L,$G962,BASE!$J:$J,$C962,BASE!$A:$A,N$2)</f>
        <v>4</v>
      </c>
      <c r="O962" s="12">
        <f>SUMIFS(BASE!$G:$G,BASE!$B:$B,$B962,BASE!$L:$L,$G962,BASE!$J:$J,$C962,BASE!$A:$A,O$2)</f>
        <v>6</v>
      </c>
      <c r="P962" s="12">
        <f>SUMIFS(BASE!$G:$G,BASE!$B:$B,$B962,BASE!$L:$L,$G962,BASE!$J:$J,$C962,BASE!$A:$A,P$2)</f>
        <v>9</v>
      </c>
      <c r="Q962" s="12">
        <f>SUMIFS(BASE!$G:$G,BASE!$B:$B,$B962,BASE!$L:$L,$G962,BASE!$J:$J,$C962,BASE!$A:$A,Q$2)</f>
        <v>13</v>
      </c>
      <c r="R962" s="12">
        <f>SUMIFS(BASE!$G:$G,BASE!$B:$B,$B962,BASE!$L:$L,$G962,BASE!$J:$J,$C962,BASE!$A:$A,R$2)</f>
        <v>12</v>
      </c>
      <c r="S962" s="12">
        <f>SUMIFS(BASE!$G:$G,BASE!$B:$B,$B962,BASE!$L:$L,$G962,BASE!$J:$J,$C962,BASE!$A:$A,S$2)</f>
        <v>0</v>
      </c>
      <c r="T962" s="12">
        <f>SUMIFS(BASE!$G:$G,BASE!$B:$B,$B962,BASE!$L:$L,$G962,BASE!$J:$J,$C962,BASE!$A:$A,T$2)</f>
        <v>0</v>
      </c>
      <c r="U962" s="12">
        <f>SUMIFS(BASE!$G:$G,BASE!$B:$B,$B962,BASE!$L:$L,$G962,BASE!$J:$J,$C962,BASE!$A:$A,U$2)</f>
        <v>0</v>
      </c>
      <c r="V962" s="12">
        <f>SUMIFS(BASE!$G:$G,BASE!$B:$B,$B962,BASE!$L:$L,$G962,BASE!$J:$J,$C962,BASE!$A:$A,V$2)</f>
        <v>0</v>
      </c>
      <c r="X962" t="str">
        <f t="shared" si="29"/>
        <v>COM TROCAS</v>
      </c>
    </row>
    <row r="963" spans="2:24">
      <c r="B963" s="8" t="s">
        <v>1979</v>
      </c>
      <c r="C963" s="9" t="s">
        <v>97</v>
      </c>
      <c r="D963" s="9" t="s">
        <v>1977</v>
      </c>
      <c r="E963" s="9" t="s">
        <v>1780</v>
      </c>
      <c r="F963" s="9" t="s">
        <v>1978</v>
      </c>
      <c r="G963" s="9" t="s">
        <v>57</v>
      </c>
      <c r="H963" s="7" t="str">
        <f>IFERROR(IF(_xlfn.XLOOKUP(B963,REPASSE!D:D,REPASSE!D:D)="","Não","Sim"),"Não")</f>
        <v>Não</v>
      </c>
      <c r="I963" s="7" t="str">
        <f>IF(_xlfn.XLOOKUP(B963,'BOOST LIBERADO'!B:B,'BOOST LIBERADO'!B:B,"Não")="Não","Não","Sim")</f>
        <v>Sim</v>
      </c>
      <c r="J963" s="83" t="str">
        <f t="shared" si="28"/>
        <v>Sim</v>
      </c>
      <c r="K963" s="12">
        <f>SUMIFS(BASE!$G:$G,BASE!$B:$B,$B963,BASE!$L:$L,$G963,BASE!$J:$J,$C963,BASE!$A:$A,K$2)</f>
        <v>0</v>
      </c>
      <c r="L963" s="12">
        <f>SUMIFS(BASE!$G:$G,BASE!$B:$B,$B963,BASE!$L:$L,$G963,BASE!$J:$J,$C963,BASE!$A:$A,L$2)</f>
        <v>0</v>
      </c>
      <c r="M963" s="12">
        <f>SUMIFS(BASE!$G:$G,BASE!$B:$B,$B963,BASE!$L:$L,$G963,BASE!$J:$J,$C963,BASE!$A:$A,M$2)</f>
        <v>0</v>
      </c>
      <c r="N963" s="12">
        <f>SUMIFS(BASE!$G:$G,BASE!$B:$B,$B963,BASE!$L:$L,$G963,BASE!$J:$J,$C963,BASE!$A:$A,N$2)</f>
        <v>0</v>
      </c>
      <c r="O963" s="12">
        <f>SUMIFS(BASE!$G:$G,BASE!$B:$B,$B963,BASE!$L:$L,$G963,BASE!$J:$J,$C963,BASE!$A:$A,O$2)</f>
        <v>0</v>
      </c>
      <c r="P963" s="12">
        <f>SUMIFS(BASE!$G:$G,BASE!$B:$B,$B963,BASE!$L:$L,$G963,BASE!$J:$J,$C963,BASE!$A:$A,P$2)</f>
        <v>0</v>
      </c>
      <c r="Q963" s="12">
        <f>SUMIFS(BASE!$G:$G,BASE!$B:$B,$B963,BASE!$L:$L,$G963,BASE!$J:$J,$C963,BASE!$A:$A,Q$2)</f>
        <v>1</v>
      </c>
      <c r="R963" s="12">
        <f>SUMIFS(BASE!$G:$G,BASE!$B:$B,$B963,BASE!$L:$L,$G963,BASE!$J:$J,$C963,BASE!$A:$A,R$2)</f>
        <v>3</v>
      </c>
      <c r="S963" s="12">
        <f>SUMIFS(BASE!$G:$G,BASE!$B:$B,$B963,BASE!$L:$L,$G963,BASE!$J:$J,$C963,BASE!$A:$A,S$2)</f>
        <v>0</v>
      </c>
      <c r="T963" s="12">
        <f>SUMIFS(BASE!$G:$G,BASE!$B:$B,$B963,BASE!$L:$L,$G963,BASE!$J:$J,$C963,BASE!$A:$A,T$2)</f>
        <v>0</v>
      </c>
      <c r="U963" s="12">
        <f>SUMIFS(BASE!$G:$G,BASE!$B:$B,$B963,BASE!$L:$L,$G963,BASE!$J:$J,$C963,BASE!$A:$A,U$2)</f>
        <v>0</v>
      </c>
      <c r="V963" s="12">
        <f>SUMIFS(BASE!$G:$G,BASE!$B:$B,$B963,BASE!$L:$L,$G963,BASE!$J:$J,$C963,BASE!$A:$A,V$2)</f>
        <v>0</v>
      </c>
      <c r="X963" t="str">
        <f t="shared" si="29"/>
        <v>COM TROCAS</v>
      </c>
    </row>
    <row r="964" spans="2:24">
      <c r="B964" s="8" t="s">
        <v>1980</v>
      </c>
      <c r="C964" s="9" t="s">
        <v>97</v>
      </c>
      <c r="D964" s="9" t="s">
        <v>1977</v>
      </c>
      <c r="E964" s="9" t="s">
        <v>1780</v>
      </c>
      <c r="F964" s="9" t="s">
        <v>1981</v>
      </c>
      <c r="G964" s="9" t="s">
        <v>57</v>
      </c>
      <c r="H964" s="7" t="str">
        <f>IFERROR(IF(_xlfn.XLOOKUP(B964,REPASSE!D:D,REPASSE!D:D)="","Não","Sim"),"Não")</f>
        <v>Não</v>
      </c>
      <c r="I964" s="7" t="str">
        <f>IF(_xlfn.XLOOKUP(B964,'BOOST LIBERADO'!B:B,'BOOST LIBERADO'!B:B,"Não")="Não","Não","Sim")</f>
        <v>Sim</v>
      </c>
      <c r="J964" s="83" t="str">
        <f t="shared" ref="J964:J1008" si="30">IF(AND(H964="Não",I964="Sim"),"Sim","Não")</f>
        <v>Sim</v>
      </c>
      <c r="K964" s="12">
        <f>SUMIFS(BASE!$G:$G,BASE!$B:$B,$B964,BASE!$L:$L,$G964,BASE!$J:$J,$C964,BASE!$A:$A,K$2)</f>
        <v>0</v>
      </c>
      <c r="L964" s="12">
        <f>SUMIFS(BASE!$G:$G,BASE!$B:$B,$B964,BASE!$L:$L,$G964,BASE!$J:$J,$C964,BASE!$A:$A,L$2)</f>
        <v>1</v>
      </c>
      <c r="M964" s="12">
        <f>SUMIFS(BASE!$G:$G,BASE!$B:$B,$B964,BASE!$L:$L,$G964,BASE!$J:$J,$C964,BASE!$A:$A,M$2)</f>
        <v>0</v>
      </c>
      <c r="N964" s="12">
        <f>SUMIFS(BASE!$G:$G,BASE!$B:$B,$B964,BASE!$L:$L,$G964,BASE!$J:$J,$C964,BASE!$A:$A,N$2)</f>
        <v>1</v>
      </c>
      <c r="O964" s="12">
        <f>SUMIFS(BASE!$G:$G,BASE!$B:$B,$B964,BASE!$L:$L,$G964,BASE!$J:$J,$C964,BASE!$A:$A,O$2)</f>
        <v>1</v>
      </c>
      <c r="P964" s="12">
        <f>SUMIFS(BASE!$G:$G,BASE!$B:$B,$B964,BASE!$L:$L,$G964,BASE!$J:$J,$C964,BASE!$A:$A,P$2)</f>
        <v>0</v>
      </c>
      <c r="Q964" s="12">
        <f>SUMIFS(BASE!$G:$G,BASE!$B:$B,$B964,BASE!$L:$L,$G964,BASE!$J:$J,$C964,BASE!$A:$A,Q$2)</f>
        <v>1</v>
      </c>
      <c r="R964" s="12">
        <f>SUMIFS(BASE!$G:$G,BASE!$B:$B,$B964,BASE!$L:$L,$G964,BASE!$J:$J,$C964,BASE!$A:$A,R$2)</f>
        <v>3</v>
      </c>
      <c r="S964" s="12">
        <f>SUMIFS(BASE!$G:$G,BASE!$B:$B,$B964,BASE!$L:$L,$G964,BASE!$J:$J,$C964,BASE!$A:$A,S$2)</f>
        <v>0</v>
      </c>
      <c r="T964" s="12">
        <f>SUMIFS(BASE!$G:$G,BASE!$B:$B,$B964,BASE!$L:$L,$G964,BASE!$J:$J,$C964,BASE!$A:$A,T$2)</f>
        <v>0</v>
      </c>
      <c r="U964" s="12">
        <f>SUMIFS(BASE!$G:$G,BASE!$B:$B,$B964,BASE!$L:$L,$G964,BASE!$J:$J,$C964,BASE!$A:$A,U$2)</f>
        <v>0</v>
      </c>
      <c r="V964" s="12">
        <f>SUMIFS(BASE!$G:$G,BASE!$B:$B,$B964,BASE!$L:$L,$G964,BASE!$J:$J,$C964,BASE!$A:$A,V$2)</f>
        <v>0</v>
      </c>
      <c r="X964" t="str">
        <f t="shared" ref="X964:X1008" si="31">IF(AND(R964=0),"ZERADO","COM TROCAS")</f>
        <v>COM TROCAS</v>
      </c>
    </row>
    <row r="965" spans="2:24">
      <c r="B965" s="8" t="s">
        <v>1982</v>
      </c>
      <c r="C965" s="9" t="s">
        <v>97</v>
      </c>
      <c r="D965" s="9" t="s">
        <v>1977</v>
      </c>
      <c r="E965" s="9" t="s">
        <v>1780</v>
      </c>
      <c r="F965" s="9" t="s">
        <v>1983</v>
      </c>
      <c r="G965" s="9" t="s">
        <v>57</v>
      </c>
      <c r="H965" s="7" t="str">
        <f>IFERROR(IF(_xlfn.XLOOKUP(B965,REPASSE!D:D,REPASSE!D:D)="","Não","Sim"),"Não")</f>
        <v>Não</v>
      </c>
      <c r="I965" s="7" t="str">
        <f>IF(_xlfn.XLOOKUP(B965,'BOOST LIBERADO'!B:B,'BOOST LIBERADO'!B:B,"Não")="Não","Não","Sim")</f>
        <v>Sim</v>
      </c>
      <c r="J965" s="83" t="str">
        <f t="shared" si="30"/>
        <v>Sim</v>
      </c>
      <c r="K965" s="12">
        <f>SUMIFS(BASE!$G:$G,BASE!$B:$B,$B965,BASE!$L:$L,$G965,BASE!$J:$J,$C965,BASE!$A:$A,K$2)</f>
        <v>0</v>
      </c>
      <c r="L965" s="12">
        <f>SUMIFS(BASE!$G:$G,BASE!$B:$B,$B965,BASE!$L:$L,$G965,BASE!$J:$J,$C965,BASE!$A:$A,L$2)</f>
        <v>0</v>
      </c>
      <c r="M965" s="12">
        <f>SUMIFS(BASE!$G:$G,BASE!$B:$B,$B965,BASE!$L:$L,$G965,BASE!$J:$J,$C965,BASE!$A:$A,M$2)</f>
        <v>0</v>
      </c>
      <c r="N965" s="12">
        <f>SUMIFS(BASE!$G:$G,BASE!$B:$B,$B965,BASE!$L:$L,$G965,BASE!$J:$J,$C965,BASE!$A:$A,N$2)</f>
        <v>1</v>
      </c>
      <c r="O965" s="12">
        <f>SUMIFS(BASE!$G:$G,BASE!$B:$B,$B965,BASE!$L:$L,$G965,BASE!$J:$J,$C965,BASE!$A:$A,O$2)</f>
        <v>1</v>
      </c>
      <c r="P965" s="12">
        <f>SUMIFS(BASE!$G:$G,BASE!$B:$B,$B965,BASE!$L:$L,$G965,BASE!$J:$J,$C965,BASE!$A:$A,P$2)</f>
        <v>0</v>
      </c>
      <c r="Q965" s="12">
        <f>SUMIFS(BASE!$G:$G,BASE!$B:$B,$B965,BASE!$L:$L,$G965,BASE!$J:$J,$C965,BASE!$A:$A,Q$2)</f>
        <v>1</v>
      </c>
      <c r="R965" s="12">
        <f>SUMIFS(BASE!$G:$G,BASE!$B:$B,$B965,BASE!$L:$L,$G965,BASE!$J:$J,$C965,BASE!$A:$A,R$2)</f>
        <v>4</v>
      </c>
      <c r="S965" s="12">
        <f>SUMIFS(BASE!$G:$G,BASE!$B:$B,$B965,BASE!$L:$L,$G965,BASE!$J:$J,$C965,BASE!$A:$A,S$2)</f>
        <v>0</v>
      </c>
      <c r="T965" s="12">
        <f>SUMIFS(BASE!$G:$G,BASE!$B:$B,$B965,BASE!$L:$L,$G965,BASE!$J:$J,$C965,BASE!$A:$A,T$2)</f>
        <v>0</v>
      </c>
      <c r="U965" s="12">
        <f>SUMIFS(BASE!$G:$G,BASE!$B:$B,$B965,BASE!$L:$L,$G965,BASE!$J:$J,$C965,BASE!$A:$A,U$2)</f>
        <v>0</v>
      </c>
      <c r="V965" s="12">
        <f>SUMIFS(BASE!$G:$G,BASE!$B:$B,$B965,BASE!$L:$L,$G965,BASE!$J:$J,$C965,BASE!$A:$A,V$2)</f>
        <v>0</v>
      </c>
      <c r="X965" t="str">
        <f t="shared" si="31"/>
        <v>COM TROCAS</v>
      </c>
    </row>
    <row r="966" spans="2:24">
      <c r="B966" s="8" t="s">
        <v>1984</v>
      </c>
      <c r="C966" s="9" t="s">
        <v>97</v>
      </c>
      <c r="D966" s="9" t="s">
        <v>1977</v>
      </c>
      <c r="E966" s="9" t="s">
        <v>1780</v>
      </c>
      <c r="F966" s="9" t="s">
        <v>1985</v>
      </c>
      <c r="G966" s="9" t="s">
        <v>57</v>
      </c>
      <c r="H966" s="7" t="str">
        <f>IFERROR(IF(_xlfn.XLOOKUP(B966,REPASSE!D:D,REPASSE!D:D)="","Não","Sim"),"Não")</f>
        <v>Não</v>
      </c>
      <c r="I966" s="7" t="str">
        <f>IF(_xlfn.XLOOKUP(B966,'BOOST LIBERADO'!B:B,'BOOST LIBERADO'!B:B,"Não")="Não","Não","Sim")</f>
        <v>Sim</v>
      </c>
      <c r="J966" s="83" t="str">
        <f t="shared" si="30"/>
        <v>Sim</v>
      </c>
      <c r="K966" s="12">
        <f>SUMIFS(BASE!$G:$G,BASE!$B:$B,$B966,BASE!$L:$L,$G966,BASE!$J:$J,$C966,BASE!$A:$A,K$2)</f>
        <v>0</v>
      </c>
      <c r="L966" s="12">
        <f>SUMIFS(BASE!$G:$G,BASE!$B:$B,$B966,BASE!$L:$L,$G966,BASE!$J:$J,$C966,BASE!$A:$A,L$2)</f>
        <v>0</v>
      </c>
      <c r="M966" s="12">
        <f>SUMIFS(BASE!$G:$G,BASE!$B:$B,$B966,BASE!$L:$L,$G966,BASE!$J:$J,$C966,BASE!$A:$A,M$2)</f>
        <v>0</v>
      </c>
      <c r="N966" s="12">
        <f>SUMIFS(BASE!$G:$G,BASE!$B:$B,$B966,BASE!$L:$L,$G966,BASE!$J:$J,$C966,BASE!$A:$A,N$2)</f>
        <v>0</v>
      </c>
      <c r="O966" s="12">
        <f>SUMIFS(BASE!$G:$G,BASE!$B:$B,$B966,BASE!$L:$L,$G966,BASE!$J:$J,$C966,BASE!$A:$A,O$2)</f>
        <v>0</v>
      </c>
      <c r="P966" s="12">
        <f>SUMIFS(BASE!$G:$G,BASE!$B:$B,$B966,BASE!$L:$L,$G966,BASE!$J:$J,$C966,BASE!$A:$A,P$2)</f>
        <v>3</v>
      </c>
      <c r="Q966" s="12">
        <f>SUMIFS(BASE!$G:$G,BASE!$B:$B,$B966,BASE!$L:$L,$G966,BASE!$J:$J,$C966,BASE!$A:$A,Q$2)</f>
        <v>3</v>
      </c>
      <c r="R966" s="12">
        <f>SUMIFS(BASE!$G:$G,BASE!$B:$B,$B966,BASE!$L:$L,$G966,BASE!$J:$J,$C966,BASE!$A:$A,R$2)</f>
        <v>1</v>
      </c>
      <c r="S966" s="12">
        <f>SUMIFS(BASE!$G:$G,BASE!$B:$B,$B966,BASE!$L:$L,$G966,BASE!$J:$J,$C966,BASE!$A:$A,S$2)</f>
        <v>0</v>
      </c>
      <c r="T966" s="12">
        <f>SUMIFS(BASE!$G:$G,BASE!$B:$B,$B966,BASE!$L:$L,$G966,BASE!$J:$J,$C966,BASE!$A:$A,T$2)</f>
        <v>0</v>
      </c>
      <c r="U966" s="12">
        <f>SUMIFS(BASE!$G:$G,BASE!$B:$B,$B966,BASE!$L:$L,$G966,BASE!$J:$J,$C966,BASE!$A:$A,U$2)</f>
        <v>0</v>
      </c>
      <c r="V966" s="12">
        <f>SUMIFS(BASE!$G:$G,BASE!$B:$B,$B966,BASE!$L:$L,$G966,BASE!$J:$J,$C966,BASE!$A:$A,V$2)</f>
        <v>0</v>
      </c>
      <c r="X966" t="str">
        <f t="shared" si="31"/>
        <v>COM TROCAS</v>
      </c>
    </row>
    <row r="967" spans="2:24">
      <c r="B967" s="8" t="s">
        <v>1986</v>
      </c>
      <c r="C967" s="9" t="s">
        <v>97</v>
      </c>
      <c r="D967" s="9" t="s">
        <v>1977</v>
      </c>
      <c r="E967" s="9" t="s">
        <v>1780</v>
      </c>
      <c r="F967" s="9" t="s">
        <v>1987</v>
      </c>
      <c r="G967" s="9" t="s">
        <v>57</v>
      </c>
      <c r="H967" s="7" t="str">
        <f>IFERROR(IF(_xlfn.XLOOKUP(B967,REPASSE!D:D,REPASSE!D:D)="","Não","Sim"),"Não")</f>
        <v>Não</v>
      </c>
      <c r="I967" s="7" t="str">
        <f>IF(_xlfn.XLOOKUP(B967,'BOOST LIBERADO'!B:B,'BOOST LIBERADO'!B:B,"Não")="Não","Não","Sim")</f>
        <v>Sim</v>
      </c>
      <c r="J967" s="83" t="str">
        <f t="shared" si="30"/>
        <v>Sim</v>
      </c>
      <c r="K967" s="12">
        <f>SUMIFS(BASE!$G:$G,BASE!$B:$B,$B967,BASE!$L:$L,$G967,BASE!$J:$J,$C967,BASE!$A:$A,K$2)</f>
        <v>0</v>
      </c>
      <c r="L967" s="12">
        <f>SUMIFS(BASE!$G:$G,BASE!$B:$B,$B967,BASE!$L:$L,$G967,BASE!$J:$J,$C967,BASE!$A:$A,L$2)</f>
        <v>0</v>
      </c>
      <c r="M967" s="12">
        <f>SUMIFS(BASE!$G:$G,BASE!$B:$B,$B967,BASE!$L:$L,$G967,BASE!$J:$J,$C967,BASE!$A:$A,M$2)</f>
        <v>0</v>
      </c>
      <c r="N967" s="12">
        <f>SUMIFS(BASE!$G:$G,BASE!$B:$B,$B967,BASE!$L:$L,$G967,BASE!$J:$J,$C967,BASE!$A:$A,N$2)</f>
        <v>0</v>
      </c>
      <c r="O967" s="12">
        <f>SUMIFS(BASE!$G:$G,BASE!$B:$B,$B967,BASE!$L:$L,$G967,BASE!$J:$J,$C967,BASE!$A:$A,O$2)</f>
        <v>0</v>
      </c>
      <c r="P967" s="12">
        <f>SUMIFS(BASE!$G:$G,BASE!$B:$B,$B967,BASE!$L:$L,$G967,BASE!$J:$J,$C967,BASE!$A:$A,P$2)</f>
        <v>0</v>
      </c>
      <c r="Q967" s="12">
        <f>SUMIFS(BASE!$G:$G,BASE!$B:$B,$B967,BASE!$L:$L,$G967,BASE!$J:$J,$C967,BASE!$A:$A,Q$2)</f>
        <v>0</v>
      </c>
      <c r="R967" s="12">
        <f>SUMIFS(BASE!$G:$G,BASE!$B:$B,$B967,BASE!$L:$L,$G967,BASE!$J:$J,$C967,BASE!$A:$A,R$2)</f>
        <v>0</v>
      </c>
      <c r="S967" s="12">
        <f>SUMIFS(BASE!$G:$G,BASE!$B:$B,$B967,BASE!$L:$L,$G967,BASE!$J:$J,$C967,BASE!$A:$A,S$2)</f>
        <v>0</v>
      </c>
      <c r="T967" s="12">
        <f>SUMIFS(BASE!$G:$G,BASE!$B:$B,$B967,BASE!$L:$L,$G967,BASE!$J:$J,$C967,BASE!$A:$A,T$2)</f>
        <v>0</v>
      </c>
      <c r="U967" s="12">
        <f>SUMIFS(BASE!$G:$G,BASE!$B:$B,$B967,BASE!$L:$L,$G967,BASE!$J:$J,$C967,BASE!$A:$A,U$2)</f>
        <v>0</v>
      </c>
      <c r="V967" s="12">
        <f>SUMIFS(BASE!$G:$G,BASE!$B:$B,$B967,BASE!$L:$L,$G967,BASE!$J:$J,$C967,BASE!$A:$A,V$2)</f>
        <v>0</v>
      </c>
      <c r="X967" t="str">
        <f t="shared" si="31"/>
        <v>ZERADO</v>
      </c>
    </row>
    <row r="968" spans="2:24">
      <c r="B968" s="8" t="s">
        <v>1988</v>
      </c>
      <c r="C968" s="9" t="s">
        <v>97</v>
      </c>
      <c r="D968" s="9" t="s">
        <v>1977</v>
      </c>
      <c r="E968" s="9" t="s">
        <v>1780</v>
      </c>
      <c r="F968" s="9" t="s">
        <v>1989</v>
      </c>
      <c r="G968" s="9" t="s">
        <v>57</v>
      </c>
      <c r="H968" s="7" t="str">
        <f>IFERROR(IF(_xlfn.XLOOKUP(B968,REPASSE!D:D,REPASSE!D:D)="","Não","Sim"),"Não")</f>
        <v>Não</v>
      </c>
      <c r="I968" s="7" t="str">
        <f>IF(_xlfn.XLOOKUP(B968,'BOOST LIBERADO'!B:B,'BOOST LIBERADO'!B:B,"Não")="Não","Não","Sim")</f>
        <v>Sim</v>
      </c>
      <c r="J968" s="83" t="str">
        <f t="shared" si="30"/>
        <v>Sim</v>
      </c>
      <c r="K968" s="12">
        <f>SUMIFS(BASE!$G:$G,BASE!$B:$B,$B968,BASE!$L:$L,$G968,BASE!$J:$J,$C968,BASE!$A:$A,K$2)</f>
        <v>0</v>
      </c>
      <c r="L968" s="12">
        <f>SUMIFS(BASE!$G:$G,BASE!$B:$B,$B968,BASE!$L:$L,$G968,BASE!$J:$J,$C968,BASE!$A:$A,L$2)</f>
        <v>0</v>
      </c>
      <c r="M968" s="12">
        <f>SUMIFS(BASE!$G:$G,BASE!$B:$B,$B968,BASE!$L:$L,$G968,BASE!$J:$J,$C968,BASE!$A:$A,M$2)</f>
        <v>0</v>
      </c>
      <c r="N968" s="12">
        <f>SUMIFS(BASE!$G:$G,BASE!$B:$B,$B968,BASE!$L:$L,$G968,BASE!$J:$J,$C968,BASE!$A:$A,N$2)</f>
        <v>0</v>
      </c>
      <c r="O968" s="12">
        <f>SUMIFS(BASE!$G:$G,BASE!$B:$B,$B968,BASE!$L:$L,$G968,BASE!$J:$J,$C968,BASE!$A:$A,O$2)</f>
        <v>0</v>
      </c>
      <c r="P968" s="12">
        <f>SUMIFS(BASE!$G:$G,BASE!$B:$B,$B968,BASE!$L:$L,$G968,BASE!$J:$J,$C968,BASE!$A:$A,P$2)</f>
        <v>4</v>
      </c>
      <c r="Q968" s="12">
        <f>SUMIFS(BASE!$G:$G,BASE!$B:$B,$B968,BASE!$L:$L,$G968,BASE!$J:$J,$C968,BASE!$A:$A,Q$2)</f>
        <v>2</v>
      </c>
      <c r="R968" s="12">
        <f>SUMIFS(BASE!$G:$G,BASE!$B:$B,$B968,BASE!$L:$L,$G968,BASE!$J:$J,$C968,BASE!$A:$A,R$2)</f>
        <v>8</v>
      </c>
      <c r="S968" s="12">
        <f>SUMIFS(BASE!$G:$G,BASE!$B:$B,$B968,BASE!$L:$L,$G968,BASE!$J:$J,$C968,BASE!$A:$A,S$2)</f>
        <v>0</v>
      </c>
      <c r="T968" s="12">
        <f>SUMIFS(BASE!$G:$G,BASE!$B:$B,$B968,BASE!$L:$L,$G968,BASE!$J:$J,$C968,BASE!$A:$A,T$2)</f>
        <v>0</v>
      </c>
      <c r="U968" s="12">
        <f>SUMIFS(BASE!$G:$G,BASE!$B:$B,$B968,BASE!$L:$L,$G968,BASE!$J:$J,$C968,BASE!$A:$A,U$2)</f>
        <v>0</v>
      </c>
      <c r="V968" s="12">
        <f>SUMIFS(BASE!$G:$G,BASE!$B:$B,$B968,BASE!$L:$L,$G968,BASE!$J:$J,$C968,BASE!$A:$A,V$2)</f>
        <v>0</v>
      </c>
      <c r="X968" t="str">
        <f t="shared" si="31"/>
        <v>COM TROCAS</v>
      </c>
    </row>
    <row r="969" spans="2:24">
      <c r="B969" s="8" t="s">
        <v>1990</v>
      </c>
      <c r="C969" s="9" t="s">
        <v>97</v>
      </c>
      <c r="D969" s="9" t="s">
        <v>1977</v>
      </c>
      <c r="E969" s="9" t="s">
        <v>1780</v>
      </c>
      <c r="F969" s="9" t="s">
        <v>1991</v>
      </c>
      <c r="G969" s="9" t="s">
        <v>57</v>
      </c>
      <c r="H969" s="7" t="str">
        <f>IFERROR(IF(_xlfn.XLOOKUP(B969,REPASSE!D:D,REPASSE!D:D)="","Não","Sim"),"Não")</f>
        <v>Não</v>
      </c>
      <c r="I969" s="7" t="str">
        <f>IF(_xlfn.XLOOKUP(B969,'BOOST LIBERADO'!B:B,'BOOST LIBERADO'!B:B,"Não")="Não","Não","Sim")</f>
        <v>Sim</v>
      </c>
      <c r="J969" s="83" t="str">
        <f t="shared" si="30"/>
        <v>Sim</v>
      </c>
      <c r="K969" s="12">
        <f>SUMIFS(BASE!$G:$G,BASE!$B:$B,$B969,BASE!$L:$L,$G969,BASE!$J:$J,$C969,BASE!$A:$A,K$2)</f>
        <v>0</v>
      </c>
      <c r="L969" s="12">
        <f>SUMIFS(BASE!$G:$G,BASE!$B:$B,$B969,BASE!$L:$L,$G969,BASE!$J:$J,$C969,BASE!$A:$A,L$2)</f>
        <v>0</v>
      </c>
      <c r="M969" s="12">
        <f>SUMIFS(BASE!$G:$G,BASE!$B:$B,$B969,BASE!$L:$L,$G969,BASE!$J:$J,$C969,BASE!$A:$A,M$2)</f>
        <v>0</v>
      </c>
      <c r="N969" s="12">
        <f>SUMIFS(BASE!$G:$G,BASE!$B:$B,$B969,BASE!$L:$L,$G969,BASE!$J:$J,$C969,BASE!$A:$A,N$2)</f>
        <v>0</v>
      </c>
      <c r="O969" s="12">
        <f>SUMIFS(BASE!$G:$G,BASE!$B:$B,$B969,BASE!$L:$L,$G969,BASE!$J:$J,$C969,BASE!$A:$A,O$2)</f>
        <v>0</v>
      </c>
      <c r="P969" s="12">
        <f>SUMIFS(BASE!$G:$G,BASE!$B:$B,$B969,BASE!$L:$L,$G969,BASE!$J:$J,$C969,BASE!$A:$A,P$2)</f>
        <v>0</v>
      </c>
      <c r="Q969" s="12">
        <f>SUMIFS(BASE!$G:$G,BASE!$B:$B,$B969,BASE!$L:$L,$G969,BASE!$J:$J,$C969,BASE!$A:$A,Q$2)</f>
        <v>0</v>
      </c>
      <c r="R969" s="12">
        <f>SUMIFS(BASE!$G:$G,BASE!$B:$B,$B969,BASE!$L:$L,$G969,BASE!$J:$J,$C969,BASE!$A:$A,R$2)</f>
        <v>1</v>
      </c>
      <c r="S969" s="12">
        <f>SUMIFS(BASE!$G:$G,BASE!$B:$B,$B969,BASE!$L:$L,$G969,BASE!$J:$J,$C969,BASE!$A:$A,S$2)</f>
        <v>0</v>
      </c>
      <c r="T969" s="12">
        <f>SUMIFS(BASE!$G:$G,BASE!$B:$B,$B969,BASE!$L:$L,$G969,BASE!$J:$J,$C969,BASE!$A:$A,T$2)</f>
        <v>0</v>
      </c>
      <c r="U969" s="12">
        <f>SUMIFS(BASE!$G:$G,BASE!$B:$B,$B969,BASE!$L:$L,$G969,BASE!$J:$J,$C969,BASE!$A:$A,U$2)</f>
        <v>0</v>
      </c>
      <c r="V969" s="12">
        <f>SUMIFS(BASE!$G:$G,BASE!$B:$B,$B969,BASE!$L:$L,$G969,BASE!$J:$J,$C969,BASE!$A:$A,V$2)</f>
        <v>0</v>
      </c>
      <c r="X969" t="str">
        <f t="shared" si="31"/>
        <v>COM TROCAS</v>
      </c>
    </row>
    <row r="970" spans="2:24">
      <c r="B970" s="8" t="s">
        <v>1992</v>
      </c>
      <c r="C970" s="9" t="s">
        <v>124</v>
      </c>
      <c r="D970" s="9" t="s">
        <v>1993</v>
      </c>
      <c r="E970" s="9" t="s">
        <v>1754</v>
      </c>
      <c r="F970" s="9" t="s">
        <v>1994</v>
      </c>
      <c r="G970" s="9" t="s">
        <v>58</v>
      </c>
      <c r="H970" s="7" t="str">
        <f>IFERROR(IF(_xlfn.XLOOKUP(B970,REPASSE!D:D,REPASSE!D:D)="","Não","Sim"),"Não")</f>
        <v>Não</v>
      </c>
      <c r="I970" s="7" t="str">
        <f>IF(_xlfn.XLOOKUP(B970,'BOOST LIBERADO'!B:B,'BOOST LIBERADO'!B:B,"Não")="Não","Não","Sim")</f>
        <v>Sim</v>
      </c>
      <c r="J970" s="83" t="str">
        <f t="shared" si="30"/>
        <v>Sim</v>
      </c>
      <c r="K970" s="12">
        <f>SUMIFS(BASE!$G:$G,BASE!$B:$B,$B970,BASE!$L:$L,$G970,BASE!$J:$J,$C970,BASE!$A:$A,K$2)</f>
        <v>0</v>
      </c>
      <c r="L970" s="12">
        <f>SUMIFS(BASE!$G:$G,BASE!$B:$B,$B970,BASE!$L:$L,$G970,BASE!$J:$J,$C970,BASE!$A:$A,L$2)</f>
        <v>0</v>
      </c>
      <c r="M970" s="12">
        <f>SUMIFS(BASE!$G:$G,BASE!$B:$B,$B970,BASE!$L:$L,$G970,BASE!$J:$J,$C970,BASE!$A:$A,M$2)</f>
        <v>0</v>
      </c>
      <c r="N970" s="12">
        <f>SUMIFS(BASE!$G:$G,BASE!$B:$B,$B970,BASE!$L:$L,$G970,BASE!$J:$J,$C970,BASE!$A:$A,N$2)</f>
        <v>0</v>
      </c>
      <c r="O970" s="12">
        <f>SUMIFS(BASE!$G:$G,BASE!$B:$B,$B970,BASE!$L:$L,$G970,BASE!$J:$J,$C970,BASE!$A:$A,O$2)</f>
        <v>0</v>
      </c>
      <c r="P970" s="12">
        <f>SUMIFS(BASE!$G:$G,BASE!$B:$B,$B970,BASE!$L:$L,$G970,BASE!$J:$J,$C970,BASE!$A:$A,P$2)</f>
        <v>0</v>
      </c>
      <c r="Q970" s="12">
        <f>SUMIFS(BASE!$G:$G,BASE!$B:$B,$B970,BASE!$L:$L,$G970,BASE!$J:$J,$C970,BASE!$A:$A,Q$2)</f>
        <v>0</v>
      </c>
      <c r="R970" s="12">
        <f>SUMIFS(BASE!$G:$G,BASE!$B:$B,$B970,BASE!$L:$L,$G970,BASE!$J:$J,$C970,BASE!$A:$A,R$2)</f>
        <v>1</v>
      </c>
      <c r="S970" s="12">
        <f>SUMIFS(BASE!$G:$G,BASE!$B:$B,$B970,BASE!$L:$L,$G970,BASE!$J:$J,$C970,BASE!$A:$A,S$2)</f>
        <v>0</v>
      </c>
      <c r="T970" s="12">
        <f>SUMIFS(BASE!$G:$G,BASE!$B:$B,$B970,BASE!$L:$L,$G970,BASE!$J:$J,$C970,BASE!$A:$A,T$2)</f>
        <v>0</v>
      </c>
      <c r="U970" s="12">
        <f>SUMIFS(BASE!$G:$G,BASE!$B:$B,$B970,BASE!$L:$L,$G970,BASE!$J:$J,$C970,BASE!$A:$A,U$2)</f>
        <v>0</v>
      </c>
      <c r="V970" s="12">
        <f>SUMIFS(BASE!$G:$G,BASE!$B:$B,$B970,BASE!$L:$L,$G970,BASE!$J:$J,$C970,BASE!$A:$A,V$2)</f>
        <v>0</v>
      </c>
      <c r="X970" t="str">
        <f t="shared" si="31"/>
        <v>COM TROCAS</v>
      </c>
    </row>
    <row r="971" spans="2:24">
      <c r="B971" s="8" t="s">
        <v>1995</v>
      </c>
      <c r="C971" s="9" t="s">
        <v>124</v>
      </c>
      <c r="D971" s="9" t="s">
        <v>1993</v>
      </c>
      <c r="E971" s="9" t="s">
        <v>1754</v>
      </c>
      <c r="F971" s="9" t="s">
        <v>1996</v>
      </c>
      <c r="G971" s="9" t="s">
        <v>58</v>
      </c>
      <c r="H971" s="7" t="str">
        <f>IFERROR(IF(_xlfn.XLOOKUP(B971,REPASSE!D:D,REPASSE!D:D)="","Não","Sim"),"Não")</f>
        <v>Não</v>
      </c>
      <c r="I971" s="7" t="str">
        <f>IF(_xlfn.XLOOKUP(B971,'BOOST LIBERADO'!B:B,'BOOST LIBERADO'!B:B,"Não")="Não","Não","Sim")</f>
        <v>Sim</v>
      </c>
      <c r="J971" s="83" t="str">
        <f t="shared" si="30"/>
        <v>Sim</v>
      </c>
      <c r="K971" s="12">
        <f>SUMIFS(BASE!$G:$G,BASE!$B:$B,$B971,BASE!$L:$L,$G971,BASE!$J:$J,$C971,BASE!$A:$A,K$2)</f>
        <v>0</v>
      </c>
      <c r="L971" s="12">
        <f>SUMIFS(BASE!$G:$G,BASE!$B:$B,$B971,BASE!$L:$L,$G971,BASE!$J:$J,$C971,BASE!$A:$A,L$2)</f>
        <v>0</v>
      </c>
      <c r="M971" s="12">
        <f>SUMIFS(BASE!$G:$G,BASE!$B:$B,$B971,BASE!$L:$L,$G971,BASE!$J:$J,$C971,BASE!$A:$A,M$2)</f>
        <v>0</v>
      </c>
      <c r="N971" s="12">
        <f>SUMIFS(BASE!$G:$G,BASE!$B:$B,$B971,BASE!$L:$L,$G971,BASE!$J:$J,$C971,BASE!$A:$A,N$2)</f>
        <v>0</v>
      </c>
      <c r="O971" s="12">
        <f>SUMIFS(BASE!$G:$G,BASE!$B:$B,$B971,BASE!$L:$L,$G971,BASE!$J:$J,$C971,BASE!$A:$A,O$2)</f>
        <v>0</v>
      </c>
      <c r="P971" s="12">
        <f>SUMIFS(BASE!$G:$G,BASE!$B:$B,$B971,BASE!$L:$L,$G971,BASE!$J:$J,$C971,BASE!$A:$A,P$2)</f>
        <v>0</v>
      </c>
      <c r="Q971" s="12">
        <f>SUMIFS(BASE!$G:$G,BASE!$B:$B,$B971,BASE!$L:$L,$G971,BASE!$J:$J,$C971,BASE!$A:$A,Q$2)</f>
        <v>0</v>
      </c>
      <c r="R971" s="12">
        <f>SUMIFS(BASE!$G:$G,BASE!$B:$B,$B971,BASE!$L:$L,$G971,BASE!$J:$J,$C971,BASE!$A:$A,R$2)</f>
        <v>0</v>
      </c>
      <c r="S971" s="12">
        <f>SUMIFS(BASE!$G:$G,BASE!$B:$B,$B971,BASE!$L:$L,$G971,BASE!$J:$J,$C971,BASE!$A:$A,S$2)</f>
        <v>0</v>
      </c>
      <c r="T971" s="12">
        <f>SUMIFS(BASE!$G:$G,BASE!$B:$B,$B971,BASE!$L:$L,$G971,BASE!$J:$J,$C971,BASE!$A:$A,T$2)</f>
        <v>0</v>
      </c>
      <c r="U971" s="12">
        <f>SUMIFS(BASE!$G:$G,BASE!$B:$B,$B971,BASE!$L:$L,$G971,BASE!$J:$J,$C971,BASE!$A:$A,U$2)</f>
        <v>0</v>
      </c>
      <c r="V971" s="12">
        <f>SUMIFS(BASE!$G:$G,BASE!$B:$B,$B971,BASE!$L:$L,$G971,BASE!$J:$J,$C971,BASE!$A:$A,V$2)</f>
        <v>0</v>
      </c>
      <c r="X971" t="str">
        <f t="shared" si="31"/>
        <v>ZERADO</v>
      </c>
    </row>
    <row r="972" spans="2:24">
      <c r="B972" s="8" t="s">
        <v>1997</v>
      </c>
      <c r="C972" s="9" t="s">
        <v>124</v>
      </c>
      <c r="D972" s="9" t="s">
        <v>1993</v>
      </c>
      <c r="E972" s="9" t="s">
        <v>1754</v>
      </c>
      <c r="F972" s="9" t="s">
        <v>1998</v>
      </c>
      <c r="G972" s="9" t="s">
        <v>58</v>
      </c>
      <c r="H972" s="7" t="str">
        <f>IFERROR(IF(_xlfn.XLOOKUP(B972,REPASSE!D:D,REPASSE!D:D)="","Não","Sim"),"Não")</f>
        <v>Não</v>
      </c>
      <c r="I972" s="7" t="str">
        <f>IF(_xlfn.XLOOKUP(B972,'BOOST LIBERADO'!B:B,'BOOST LIBERADO'!B:B,"Não")="Não","Não","Sim")</f>
        <v>Sim</v>
      </c>
      <c r="J972" s="83" t="str">
        <f t="shared" si="30"/>
        <v>Sim</v>
      </c>
      <c r="K972" s="12">
        <f>SUMIFS(BASE!$G:$G,BASE!$B:$B,$B972,BASE!$L:$L,$G972,BASE!$J:$J,$C972,BASE!$A:$A,K$2)</f>
        <v>0</v>
      </c>
      <c r="L972" s="12">
        <f>SUMIFS(BASE!$G:$G,BASE!$B:$B,$B972,BASE!$L:$L,$G972,BASE!$J:$J,$C972,BASE!$A:$A,L$2)</f>
        <v>0</v>
      </c>
      <c r="M972" s="12">
        <f>SUMIFS(BASE!$G:$G,BASE!$B:$B,$B972,BASE!$L:$L,$G972,BASE!$J:$J,$C972,BASE!$A:$A,M$2)</f>
        <v>0</v>
      </c>
      <c r="N972" s="12">
        <f>SUMIFS(BASE!$G:$G,BASE!$B:$B,$B972,BASE!$L:$L,$G972,BASE!$J:$J,$C972,BASE!$A:$A,N$2)</f>
        <v>0</v>
      </c>
      <c r="O972" s="12">
        <f>SUMIFS(BASE!$G:$G,BASE!$B:$B,$B972,BASE!$L:$L,$G972,BASE!$J:$J,$C972,BASE!$A:$A,O$2)</f>
        <v>0</v>
      </c>
      <c r="P972" s="12">
        <f>SUMIFS(BASE!$G:$G,BASE!$B:$B,$B972,BASE!$L:$L,$G972,BASE!$J:$J,$C972,BASE!$A:$A,P$2)</f>
        <v>0</v>
      </c>
      <c r="Q972" s="12">
        <f>SUMIFS(BASE!$G:$G,BASE!$B:$B,$B972,BASE!$L:$L,$G972,BASE!$J:$J,$C972,BASE!$A:$A,Q$2)</f>
        <v>0</v>
      </c>
      <c r="R972" s="12">
        <f>SUMIFS(BASE!$G:$G,BASE!$B:$B,$B972,BASE!$L:$L,$G972,BASE!$J:$J,$C972,BASE!$A:$A,R$2)</f>
        <v>0</v>
      </c>
      <c r="S972" s="12">
        <f>SUMIFS(BASE!$G:$G,BASE!$B:$B,$B972,BASE!$L:$L,$G972,BASE!$J:$J,$C972,BASE!$A:$A,S$2)</f>
        <v>0</v>
      </c>
      <c r="T972" s="12">
        <f>SUMIFS(BASE!$G:$G,BASE!$B:$B,$B972,BASE!$L:$L,$G972,BASE!$J:$J,$C972,BASE!$A:$A,T$2)</f>
        <v>0</v>
      </c>
      <c r="U972" s="12">
        <f>SUMIFS(BASE!$G:$G,BASE!$B:$B,$B972,BASE!$L:$L,$G972,BASE!$J:$J,$C972,BASE!$A:$A,U$2)</f>
        <v>0</v>
      </c>
      <c r="V972" s="12">
        <f>SUMIFS(BASE!$G:$G,BASE!$B:$B,$B972,BASE!$L:$L,$G972,BASE!$J:$J,$C972,BASE!$A:$A,V$2)</f>
        <v>0</v>
      </c>
      <c r="X972" t="str">
        <f t="shared" si="31"/>
        <v>ZERADO</v>
      </c>
    </row>
    <row r="973" spans="2:24">
      <c r="B973" s="8" t="s">
        <v>1999</v>
      </c>
      <c r="C973" s="9" t="s">
        <v>124</v>
      </c>
      <c r="D973" s="9" t="s">
        <v>1993</v>
      </c>
      <c r="E973" s="9" t="s">
        <v>1754</v>
      </c>
      <c r="F973" s="9" t="s">
        <v>2000</v>
      </c>
      <c r="G973" s="9" t="s">
        <v>58</v>
      </c>
      <c r="H973" s="7" t="str">
        <f>IFERROR(IF(_xlfn.XLOOKUP(B973,REPASSE!D:D,REPASSE!D:D)="","Não","Sim"),"Não")</f>
        <v>Não</v>
      </c>
      <c r="I973" s="7" t="str">
        <f>IF(_xlfn.XLOOKUP(B973,'BOOST LIBERADO'!B:B,'BOOST LIBERADO'!B:B,"Não")="Não","Não","Sim")</f>
        <v>Sim</v>
      </c>
      <c r="J973" s="83" t="str">
        <f t="shared" si="30"/>
        <v>Sim</v>
      </c>
      <c r="K973" s="12">
        <f>SUMIFS(BASE!$G:$G,BASE!$B:$B,$B973,BASE!$L:$L,$G973,BASE!$J:$J,$C973,BASE!$A:$A,K$2)</f>
        <v>0</v>
      </c>
      <c r="L973" s="12">
        <f>SUMIFS(BASE!$G:$G,BASE!$B:$B,$B973,BASE!$L:$L,$G973,BASE!$J:$J,$C973,BASE!$A:$A,L$2)</f>
        <v>0</v>
      </c>
      <c r="M973" s="12">
        <f>SUMIFS(BASE!$G:$G,BASE!$B:$B,$B973,BASE!$L:$L,$G973,BASE!$J:$J,$C973,BASE!$A:$A,M$2)</f>
        <v>0</v>
      </c>
      <c r="N973" s="12">
        <f>SUMIFS(BASE!$G:$G,BASE!$B:$B,$B973,BASE!$L:$L,$G973,BASE!$J:$J,$C973,BASE!$A:$A,N$2)</f>
        <v>0</v>
      </c>
      <c r="O973" s="12">
        <f>SUMIFS(BASE!$G:$G,BASE!$B:$B,$B973,BASE!$L:$L,$G973,BASE!$J:$J,$C973,BASE!$A:$A,O$2)</f>
        <v>0</v>
      </c>
      <c r="P973" s="12">
        <f>SUMIFS(BASE!$G:$G,BASE!$B:$B,$B973,BASE!$L:$L,$G973,BASE!$J:$J,$C973,BASE!$A:$A,P$2)</f>
        <v>0</v>
      </c>
      <c r="Q973" s="12">
        <f>SUMIFS(BASE!$G:$G,BASE!$B:$B,$B973,BASE!$L:$L,$G973,BASE!$J:$J,$C973,BASE!$A:$A,Q$2)</f>
        <v>2</v>
      </c>
      <c r="R973" s="12">
        <f>SUMIFS(BASE!$G:$G,BASE!$B:$B,$B973,BASE!$L:$L,$G973,BASE!$J:$J,$C973,BASE!$A:$A,R$2)</f>
        <v>2</v>
      </c>
      <c r="S973" s="12">
        <f>SUMIFS(BASE!$G:$G,BASE!$B:$B,$B973,BASE!$L:$L,$G973,BASE!$J:$J,$C973,BASE!$A:$A,S$2)</f>
        <v>0</v>
      </c>
      <c r="T973" s="12">
        <f>SUMIFS(BASE!$G:$G,BASE!$B:$B,$B973,BASE!$L:$L,$G973,BASE!$J:$J,$C973,BASE!$A:$A,T$2)</f>
        <v>0</v>
      </c>
      <c r="U973" s="12">
        <f>SUMIFS(BASE!$G:$G,BASE!$B:$B,$B973,BASE!$L:$L,$G973,BASE!$J:$J,$C973,BASE!$A:$A,U$2)</f>
        <v>0</v>
      </c>
      <c r="V973" s="12">
        <f>SUMIFS(BASE!$G:$G,BASE!$B:$B,$B973,BASE!$L:$L,$G973,BASE!$J:$J,$C973,BASE!$A:$A,V$2)</f>
        <v>0</v>
      </c>
      <c r="X973" t="str">
        <f t="shared" si="31"/>
        <v>COM TROCAS</v>
      </c>
    </row>
    <row r="974" spans="2:24">
      <c r="B974" s="8" t="s">
        <v>2001</v>
      </c>
      <c r="C974" s="9" t="s">
        <v>124</v>
      </c>
      <c r="D974" s="9" t="s">
        <v>1993</v>
      </c>
      <c r="E974" s="9" t="s">
        <v>1754</v>
      </c>
      <c r="F974" s="9" t="s">
        <v>2002</v>
      </c>
      <c r="G974" s="9" t="s">
        <v>58</v>
      </c>
      <c r="H974" s="7" t="str">
        <f>IFERROR(IF(_xlfn.XLOOKUP(B974,REPASSE!D:D,REPASSE!D:D)="","Não","Sim"),"Não")</f>
        <v>Não</v>
      </c>
      <c r="I974" s="7" t="str">
        <f>IF(_xlfn.XLOOKUP(B974,'BOOST LIBERADO'!B:B,'BOOST LIBERADO'!B:B,"Não")="Não","Não","Sim")</f>
        <v>Sim</v>
      </c>
      <c r="J974" s="83" t="str">
        <f t="shared" si="30"/>
        <v>Sim</v>
      </c>
      <c r="K974" s="12">
        <f>SUMIFS(BASE!$G:$G,BASE!$B:$B,$B974,BASE!$L:$L,$G974,BASE!$J:$J,$C974,BASE!$A:$A,K$2)</f>
        <v>0</v>
      </c>
      <c r="L974" s="12">
        <f>SUMIFS(BASE!$G:$G,BASE!$B:$B,$B974,BASE!$L:$L,$G974,BASE!$J:$J,$C974,BASE!$A:$A,L$2)</f>
        <v>0</v>
      </c>
      <c r="M974" s="12">
        <f>SUMIFS(BASE!$G:$G,BASE!$B:$B,$B974,BASE!$L:$L,$G974,BASE!$J:$J,$C974,BASE!$A:$A,M$2)</f>
        <v>0</v>
      </c>
      <c r="N974" s="12">
        <f>SUMIFS(BASE!$G:$G,BASE!$B:$B,$B974,BASE!$L:$L,$G974,BASE!$J:$J,$C974,BASE!$A:$A,N$2)</f>
        <v>0</v>
      </c>
      <c r="O974" s="12">
        <f>SUMIFS(BASE!$G:$G,BASE!$B:$B,$B974,BASE!$L:$L,$G974,BASE!$J:$J,$C974,BASE!$A:$A,O$2)</f>
        <v>0</v>
      </c>
      <c r="P974" s="12">
        <f>SUMIFS(BASE!$G:$G,BASE!$B:$B,$B974,BASE!$L:$L,$G974,BASE!$J:$J,$C974,BASE!$A:$A,P$2)</f>
        <v>0</v>
      </c>
      <c r="Q974" s="12">
        <f>SUMIFS(BASE!$G:$G,BASE!$B:$B,$B974,BASE!$L:$L,$G974,BASE!$J:$J,$C974,BASE!$A:$A,Q$2)</f>
        <v>0</v>
      </c>
      <c r="R974" s="12">
        <f>SUMIFS(BASE!$G:$G,BASE!$B:$B,$B974,BASE!$L:$L,$G974,BASE!$J:$J,$C974,BASE!$A:$A,R$2)</f>
        <v>0</v>
      </c>
      <c r="S974" s="12">
        <f>SUMIFS(BASE!$G:$G,BASE!$B:$B,$B974,BASE!$L:$L,$G974,BASE!$J:$J,$C974,BASE!$A:$A,S$2)</f>
        <v>0</v>
      </c>
      <c r="T974" s="12">
        <f>SUMIFS(BASE!$G:$G,BASE!$B:$B,$B974,BASE!$L:$L,$G974,BASE!$J:$J,$C974,BASE!$A:$A,T$2)</f>
        <v>0</v>
      </c>
      <c r="U974" s="12">
        <f>SUMIFS(BASE!$G:$G,BASE!$B:$B,$B974,BASE!$L:$L,$G974,BASE!$J:$J,$C974,BASE!$A:$A,U$2)</f>
        <v>0</v>
      </c>
      <c r="V974" s="12">
        <f>SUMIFS(BASE!$G:$G,BASE!$B:$B,$B974,BASE!$L:$L,$G974,BASE!$J:$J,$C974,BASE!$A:$A,V$2)</f>
        <v>0</v>
      </c>
      <c r="X974" t="str">
        <f t="shared" si="31"/>
        <v>ZERADO</v>
      </c>
    </row>
    <row r="975" spans="2:24">
      <c r="B975" s="8" t="s">
        <v>2003</v>
      </c>
      <c r="C975" s="9" t="s">
        <v>124</v>
      </c>
      <c r="D975" s="9" t="s">
        <v>1993</v>
      </c>
      <c r="E975" s="9" t="s">
        <v>1754</v>
      </c>
      <c r="F975" s="9" t="s">
        <v>2004</v>
      </c>
      <c r="G975" s="9" t="s">
        <v>58</v>
      </c>
      <c r="H975" s="7" t="str">
        <f>IFERROR(IF(_xlfn.XLOOKUP(B975,REPASSE!D:D,REPASSE!D:D)="","Não","Sim"),"Não")</f>
        <v>Não</v>
      </c>
      <c r="I975" s="7" t="str">
        <f>IF(_xlfn.XLOOKUP(B975,'BOOST LIBERADO'!B:B,'BOOST LIBERADO'!B:B,"Não")="Não","Não","Sim")</f>
        <v>Sim</v>
      </c>
      <c r="J975" s="83" t="str">
        <f t="shared" si="30"/>
        <v>Sim</v>
      </c>
      <c r="K975" s="12">
        <f>SUMIFS(BASE!$G:$G,BASE!$B:$B,$B975,BASE!$L:$L,$G975,BASE!$J:$J,$C975,BASE!$A:$A,K$2)</f>
        <v>0</v>
      </c>
      <c r="L975" s="12">
        <f>SUMIFS(BASE!$G:$G,BASE!$B:$B,$B975,BASE!$L:$L,$G975,BASE!$J:$J,$C975,BASE!$A:$A,L$2)</f>
        <v>0</v>
      </c>
      <c r="M975" s="12">
        <f>SUMIFS(BASE!$G:$G,BASE!$B:$B,$B975,BASE!$L:$L,$G975,BASE!$J:$J,$C975,BASE!$A:$A,M$2)</f>
        <v>0</v>
      </c>
      <c r="N975" s="12">
        <f>SUMIFS(BASE!$G:$G,BASE!$B:$B,$B975,BASE!$L:$L,$G975,BASE!$J:$J,$C975,BASE!$A:$A,N$2)</f>
        <v>0</v>
      </c>
      <c r="O975" s="12">
        <f>SUMIFS(BASE!$G:$G,BASE!$B:$B,$B975,BASE!$L:$L,$G975,BASE!$J:$J,$C975,BASE!$A:$A,O$2)</f>
        <v>0</v>
      </c>
      <c r="P975" s="12">
        <f>SUMIFS(BASE!$G:$G,BASE!$B:$B,$B975,BASE!$L:$L,$G975,BASE!$J:$J,$C975,BASE!$A:$A,P$2)</f>
        <v>0</v>
      </c>
      <c r="Q975" s="12">
        <f>SUMIFS(BASE!$G:$G,BASE!$B:$B,$B975,BASE!$L:$L,$G975,BASE!$J:$J,$C975,BASE!$A:$A,Q$2)</f>
        <v>0</v>
      </c>
      <c r="R975" s="12">
        <f>SUMIFS(BASE!$G:$G,BASE!$B:$B,$B975,BASE!$L:$L,$G975,BASE!$J:$J,$C975,BASE!$A:$A,R$2)</f>
        <v>1</v>
      </c>
      <c r="S975" s="12">
        <f>SUMIFS(BASE!$G:$G,BASE!$B:$B,$B975,BASE!$L:$L,$G975,BASE!$J:$J,$C975,BASE!$A:$A,S$2)</f>
        <v>0</v>
      </c>
      <c r="T975" s="12">
        <f>SUMIFS(BASE!$G:$G,BASE!$B:$B,$B975,BASE!$L:$L,$G975,BASE!$J:$J,$C975,BASE!$A:$A,T$2)</f>
        <v>0</v>
      </c>
      <c r="U975" s="12">
        <f>SUMIFS(BASE!$G:$G,BASE!$B:$B,$B975,BASE!$L:$L,$G975,BASE!$J:$J,$C975,BASE!$A:$A,U$2)</f>
        <v>0</v>
      </c>
      <c r="V975" s="12">
        <f>SUMIFS(BASE!$G:$G,BASE!$B:$B,$B975,BASE!$L:$L,$G975,BASE!$J:$J,$C975,BASE!$A:$A,V$2)</f>
        <v>0</v>
      </c>
      <c r="X975" t="str">
        <f t="shared" si="31"/>
        <v>COM TROCAS</v>
      </c>
    </row>
    <row r="976" spans="2:24">
      <c r="B976" s="8" t="s">
        <v>2005</v>
      </c>
      <c r="C976" s="9" t="s">
        <v>106</v>
      </c>
      <c r="D976" s="9" t="s">
        <v>2006</v>
      </c>
      <c r="E976" s="9" t="s">
        <v>1743</v>
      </c>
      <c r="F976" s="9" t="s">
        <v>1744</v>
      </c>
      <c r="G976" s="9" t="s">
        <v>57</v>
      </c>
      <c r="H976" s="7" t="str">
        <f>IFERROR(IF(_xlfn.XLOOKUP(B976,REPASSE!D:D,REPASSE!D:D)="","Não","Sim"),"Não")</f>
        <v>Não</v>
      </c>
      <c r="I976" s="7" t="str">
        <f>IF(_xlfn.XLOOKUP(B976,'BOOST LIBERADO'!B:B,'BOOST LIBERADO'!B:B,"Não")="Não","Não","Sim")</f>
        <v>Sim</v>
      </c>
      <c r="J976" s="83" t="str">
        <f t="shared" si="30"/>
        <v>Sim</v>
      </c>
      <c r="K976" s="12">
        <f>SUMIFS(BASE!$G:$G,BASE!$B:$B,$B976,BASE!$L:$L,$G976,BASE!$J:$J,$C976,BASE!$A:$A,K$2)</f>
        <v>0</v>
      </c>
      <c r="L976" s="12">
        <f>SUMIFS(BASE!$G:$G,BASE!$B:$B,$B976,BASE!$L:$L,$G976,BASE!$J:$J,$C976,BASE!$A:$A,L$2)</f>
        <v>0</v>
      </c>
      <c r="M976" s="12">
        <f>SUMIFS(BASE!$G:$G,BASE!$B:$B,$B976,BASE!$L:$L,$G976,BASE!$J:$J,$C976,BASE!$A:$A,M$2)</f>
        <v>0</v>
      </c>
      <c r="N976" s="12">
        <f>SUMIFS(BASE!$G:$G,BASE!$B:$B,$B976,BASE!$L:$L,$G976,BASE!$J:$J,$C976,BASE!$A:$A,N$2)</f>
        <v>0</v>
      </c>
      <c r="O976" s="12">
        <f>SUMIFS(BASE!$G:$G,BASE!$B:$B,$B976,BASE!$L:$L,$G976,BASE!$J:$J,$C976,BASE!$A:$A,O$2)</f>
        <v>0</v>
      </c>
      <c r="P976" s="12">
        <f>SUMIFS(BASE!$G:$G,BASE!$B:$B,$B976,BASE!$L:$L,$G976,BASE!$J:$J,$C976,BASE!$A:$A,P$2)</f>
        <v>0</v>
      </c>
      <c r="Q976" s="12">
        <f>SUMIFS(BASE!$G:$G,BASE!$B:$B,$B976,BASE!$L:$L,$G976,BASE!$J:$J,$C976,BASE!$A:$A,Q$2)</f>
        <v>6</v>
      </c>
      <c r="R976" s="12">
        <f>SUMIFS(BASE!$G:$G,BASE!$B:$B,$B976,BASE!$L:$L,$G976,BASE!$J:$J,$C976,BASE!$A:$A,R$2)</f>
        <v>13</v>
      </c>
      <c r="S976" s="12">
        <f>SUMIFS(BASE!$G:$G,BASE!$B:$B,$B976,BASE!$L:$L,$G976,BASE!$J:$J,$C976,BASE!$A:$A,S$2)</f>
        <v>0</v>
      </c>
      <c r="T976" s="12">
        <f>SUMIFS(BASE!$G:$G,BASE!$B:$B,$B976,BASE!$L:$L,$G976,BASE!$J:$J,$C976,BASE!$A:$A,T$2)</f>
        <v>0</v>
      </c>
      <c r="U976" s="12">
        <f>SUMIFS(BASE!$G:$G,BASE!$B:$B,$B976,BASE!$L:$L,$G976,BASE!$J:$J,$C976,BASE!$A:$A,U$2)</f>
        <v>0</v>
      </c>
      <c r="V976" s="12">
        <f>SUMIFS(BASE!$G:$G,BASE!$B:$B,$B976,BASE!$L:$L,$G976,BASE!$J:$J,$C976,BASE!$A:$A,V$2)</f>
        <v>0</v>
      </c>
      <c r="X976" t="str">
        <f t="shared" si="31"/>
        <v>COM TROCAS</v>
      </c>
    </row>
    <row r="977" spans="2:24">
      <c r="B977" s="8" t="s">
        <v>2007</v>
      </c>
      <c r="C977" s="9" t="s">
        <v>106</v>
      </c>
      <c r="D977" s="9" t="s">
        <v>2006</v>
      </c>
      <c r="E977" s="9" t="s">
        <v>1743</v>
      </c>
      <c r="F977" s="9" t="s">
        <v>2008</v>
      </c>
      <c r="G977" s="9" t="s">
        <v>57</v>
      </c>
      <c r="H977" s="7" t="str">
        <f>IFERROR(IF(_xlfn.XLOOKUP(B977,REPASSE!D:D,REPASSE!D:D)="","Não","Sim"),"Não")</f>
        <v>Não</v>
      </c>
      <c r="I977" s="7" t="str">
        <f>IF(_xlfn.XLOOKUP(B977,'BOOST LIBERADO'!B:B,'BOOST LIBERADO'!B:B,"Não")="Não","Não","Sim")</f>
        <v>Sim</v>
      </c>
      <c r="J977" s="83" t="str">
        <f t="shared" si="30"/>
        <v>Sim</v>
      </c>
      <c r="K977" s="12">
        <f>SUMIFS(BASE!$G:$G,BASE!$B:$B,$B977,BASE!$L:$L,$G977,BASE!$J:$J,$C977,BASE!$A:$A,K$2)</f>
        <v>0</v>
      </c>
      <c r="L977" s="12">
        <f>SUMIFS(BASE!$G:$G,BASE!$B:$B,$B977,BASE!$L:$L,$G977,BASE!$J:$J,$C977,BASE!$A:$A,L$2)</f>
        <v>0</v>
      </c>
      <c r="M977" s="12">
        <f>SUMIFS(BASE!$G:$G,BASE!$B:$B,$B977,BASE!$L:$L,$G977,BASE!$J:$J,$C977,BASE!$A:$A,M$2)</f>
        <v>0</v>
      </c>
      <c r="N977" s="12">
        <f>SUMIFS(BASE!$G:$G,BASE!$B:$B,$B977,BASE!$L:$L,$G977,BASE!$J:$J,$C977,BASE!$A:$A,N$2)</f>
        <v>0</v>
      </c>
      <c r="O977" s="12">
        <f>SUMIFS(BASE!$G:$G,BASE!$B:$B,$B977,BASE!$L:$L,$G977,BASE!$J:$J,$C977,BASE!$A:$A,O$2)</f>
        <v>0</v>
      </c>
      <c r="P977" s="12">
        <f>SUMIFS(BASE!$G:$G,BASE!$B:$B,$B977,BASE!$L:$L,$G977,BASE!$J:$J,$C977,BASE!$A:$A,P$2)</f>
        <v>0</v>
      </c>
      <c r="Q977" s="12">
        <f>SUMIFS(BASE!$G:$G,BASE!$B:$B,$B977,BASE!$L:$L,$G977,BASE!$J:$J,$C977,BASE!$A:$A,Q$2)</f>
        <v>0</v>
      </c>
      <c r="R977" s="12">
        <f>SUMIFS(BASE!$G:$G,BASE!$B:$B,$B977,BASE!$L:$L,$G977,BASE!$J:$J,$C977,BASE!$A:$A,R$2)</f>
        <v>3</v>
      </c>
      <c r="S977" s="12">
        <f>SUMIFS(BASE!$G:$G,BASE!$B:$B,$B977,BASE!$L:$L,$G977,BASE!$J:$J,$C977,BASE!$A:$A,S$2)</f>
        <v>0</v>
      </c>
      <c r="T977" s="12">
        <f>SUMIFS(BASE!$G:$G,BASE!$B:$B,$B977,BASE!$L:$L,$G977,BASE!$J:$J,$C977,BASE!$A:$A,T$2)</f>
        <v>0</v>
      </c>
      <c r="U977" s="12">
        <f>SUMIFS(BASE!$G:$G,BASE!$B:$B,$B977,BASE!$L:$L,$G977,BASE!$J:$J,$C977,BASE!$A:$A,U$2)</f>
        <v>0</v>
      </c>
      <c r="V977" s="12">
        <f>SUMIFS(BASE!$G:$G,BASE!$B:$B,$B977,BASE!$L:$L,$G977,BASE!$J:$J,$C977,BASE!$A:$A,V$2)</f>
        <v>0</v>
      </c>
      <c r="X977" t="str">
        <f t="shared" si="31"/>
        <v>COM TROCAS</v>
      </c>
    </row>
    <row r="978" spans="2:24">
      <c r="B978" s="8" t="s">
        <v>2009</v>
      </c>
      <c r="C978" s="9" t="s">
        <v>190</v>
      </c>
      <c r="D978" s="9" t="s">
        <v>2006</v>
      </c>
      <c r="E978" s="9" t="s">
        <v>1743</v>
      </c>
      <c r="F978" s="9" t="s">
        <v>2010</v>
      </c>
      <c r="G978" s="9" t="s">
        <v>57</v>
      </c>
      <c r="H978" s="7" t="str">
        <f>IFERROR(IF(_xlfn.XLOOKUP(B978,REPASSE!D:D,REPASSE!D:D)="","Não","Sim"),"Não")</f>
        <v>Não</v>
      </c>
      <c r="I978" s="7" t="str">
        <f>IF(_xlfn.XLOOKUP(B978,'BOOST LIBERADO'!B:B,'BOOST LIBERADO'!B:B,"Não")="Não","Não","Sim")</f>
        <v>Sim</v>
      </c>
      <c r="J978" s="83" t="str">
        <f t="shared" si="30"/>
        <v>Sim</v>
      </c>
      <c r="K978" s="12">
        <f>SUMIFS(BASE!$G:$G,BASE!$B:$B,$B978,BASE!$L:$L,$G978,BASE!$J:$J,$C978,BASE!$A:$A,K$2)</f>
        <v>0</v>
      </c>
      <c r="L978" s="12">
        <f>SUMIFS(BASE!$G:$G,BASE!$B:$B,$B978,BASE!$L:$L,$G978,BASE!$J:$J,$C978,BASE!$A:$A,L$2)</f>
        <v>0</v>
      </c>
      <c r="M978" s="12">
        <f>SUMIFS(BASE!$G:$G,BASE!$B:$B,$B978,BASE!$L:$L,$G978,BASE!$J:$J,$C978,BASE!$A:$A,M$2)</f>
        <v>0</v>
      </c>
      <c r="N978" s="12">
        <f>SUMIFS(BASE!$G:$G,BASE!$B:$B,$B978,BASE!$L:$L,$G978,BASE!$J:$J,$C978,BASE!$A:$A,N$2)</f>
        <v>0</v>
      </c>
      <c r="O978" s="12">
        <f>SUMIFS(BASE!$G:$G,BASE!$B:$B,$B978,BASE!$L:$L,$G978,BASE!$J:$J,$C978,BASE!$A:$A,O$2)</f>
        <v>0</v>
      </c>
      <c r="P978" s="12">
        <f>SUMIFS(BASE!$G:$G,BASE!$B:$B,$B978,BASE!$L:$L,$G978,BASE!$J:$J,$C978,BASE!$A:$A,P$2)</f>
        <v>0</v>
      </c>
      <c r="Q978" s="12">
        <f>SUMIFS(BASE!$G:$G,BASE!$B:$B,$B978,BASE!$L:$L,$G978,BASE!$J:$J,$C978,BASE!$A:$A,Q$2)</f>
        <v>2</v>
      </c>
      <c r="R978" s="12">
        <f>SUMIFS(BASE!$G:$G,BASE!$B:$B,$B978,BASE!$L:$L,$G978,BASE!$J:$J,$C978,BASE!$A:$A,R$2)</f>
        <v>4</v>
      </c>
      <c r="S978" s="12">
        <f>SUMIFS(BASE!$G:$G,BASE!$B:$B,$B978,BASE!$L:$L,$G978,BASE!$J:$J,$C978,BASE!$A:$A,S$2)</f>
        <v>0</v>
      </c>
      <c r="T978" s="12">
        <f>SUMIFS(BASE!$G:$G,BASE!$B:$B,$B978,BASE!$L:$L,$G978,BASE!$J:$J,$C978,BASE!$A:$A,T$2)</f>
        <v>0</v>
      </c>
      <c r="U978" s="12">
        <f>SUMIFS(BASE!$G:$G,BASE!$B:$B,$B978,BASE!$L:$L,$G978,BASE!$J:$J,$C978,BASE!$A:$A,U$2)</f>
        <v>0</v>
      </c>
      <c r="V978" s="12">
        <f>SUMIFS(BASE!$G:$G,BASE!$B:$B,$B978,BASE!$L:$L,$G978,BASE!$J:$J,$C978,BASE!$A:$A,V$2)</f>
        <v>0</v>
      </c>
      <c r="X978" t="str">
        <f t="shared" si="31"/>
        <v>COM TROCAS</v>
      </c>
    </row>
    <row r="979" spans="2:24">
      <c r="B979" s="8" t="s">
        <v>2011</v>
      </c>
      <c r="C979" s="8" t="s">
        <v>106</v>
      </c>
      <c r="D979" s="8" t="s">
        <v>2006</v>
      </c>
      <c r="E979" s="8" t="s">
        <v>1743</v>
      </c>
      <c r="F979" s="8" t="s">
        <v>1744</v>
      </c>
      <c r="G979" s="8" t="s">
        <v>57</v>
      </c>
      <c r="H979" s="7" t="str">
        <f>IFERROR(IF(_xlfn.XLOOKUP(B979,REPASSE!D:D,REPASSE!D:D)="","Não","Sim"),"Não")</f>
        <v>Não</v>
      </c>
      <c r="I979" s="7" t="str">
        <f>IF(_xlfn.XLOOKUP(B979,'BOOST LIBERADO'!B:B,'BOOST LIBERADO'!B:B,"Não")="Não","Não","Sim")</f>
        <v>Sim</v>
      </c>
      <c r="J979" s="83" t="str">
        <f t="shared" si="30"/>
        <v>Sim</v>
      </c>
      <c r="K979" s="12">
        <f>SUMIFS(BASE!$G:$G,BASE!$B:$B,$B979,BASE!$L:$L,$G979,BASE!$J:$J,$C979,BASE!$A:$A,K$2)</f>
        <v>0</v>
      </c>
      <c r="L979" s="12">
        <f>SUMIFS(BASE!$G:$G,BASE!$B:$B,$B979,BASE!$L:$L,$G979,BASE!$J:$J,$C979,BASE!$A:$A,L$2)</f>
        <v>0</v>
      </c>
      <c r="M979" s="12">
        <f>SUMIFS(BASE!$G:$G,BASE!$B:$B,$B979,BASE!$L:$L,$G979,BASE!$J:$J,$C979,BASE!$A:$A,M$2)</f>
        <v>0</v>
      </c>
      <c r="N979" s="12">
        <f>SUMIFS(BASE!$G:$G,BASE!$B:$B,$B979,BASE!$L:$L,$G979,BASE!$J:$J,$C979,BASE!$A:$A,N$2)</f>
        <v>0</v>
      </c>
      <c r="O979" s="12">
        <f>SUMIFS(BASE!$G:$G,BASE!$B:$B,$B979,BASE!$L:$L,$G979,BASE!$J:$J,$C979,BASE!$A:$A,O$2)</f>
        <v>0</v>
      </c>
      <c r="P979" s="12">
        <f>SUMIFS(BASE!$G:$G,BASE!$B:$B,$B979,BASE!$L:$L,$G979,BASE!$J:$J,$C979,BASE!$A:$A,P$2)</f>
        <v>0</v>
      </c>
      <c r="Q979" s="12">
        <f>SUMIFS(BASE!$G:$G,BASE!$B:$B,$B979,BASE!$L:$L,$G979,BASE!$J:$J,$C979,BASE!$A:$A,Q$2)</f>
        <v>0</v>
      </c>
      <c r="R979" s="12">
        <f>SUMIFS(BASE!$G:$G,BASE!$B:$B,$B979,BASE!$L:$L,$G979,BASE!$J:$J,$C979,BASE!$A:$A,R$2)</f>
        <v>2</v>
      </c>
      <c r="S979" s="12">
        <f>SUMIFS(BASE!$G:$G,BASE!$B:$B,$B979,BASE!$L:$L,$G979,BASE!$J:$J,$C979,BASE!$A:$A,S$2)</f>
        <v>0</v>
      </c>
      <c r="T979" s="12">
        <f>SUMIFS(BASE!$G:$G,BASE!$B:$B,$B979,BASE!$L:$L,$G979,BASE!$J:$J,$C979,BASE!$A:$A,T$2)</f>
        <v>0</v>
      </c>
      <c r="U979" s="12">
        <f>SUMIFS(BASE!$G:$G,BASE!$B:$B,$B979,BASE!$L:$L,$G979,BASE!$J:$J,$C979,BASE!$A:$A,U$2)</f>
        <v>0</v>
      </c>
      <c r="V979" s="12">
        <f>SUMIFS(BASE!$G:$G,BASE!$B:$B,$B979,BASE!$L:$L,$G979,BASE!$J:$J,$C979,BASE!$A:$A,V$2)</f>
        <v>0</v>
      </c>
      <c r="X979" t="str">
        <f t="shared" si="31"/>
        <v>COM TROCAS</v>
      </c>
    </row>
    <row r="980" spans="2:24">
      <c r="B980" s="8" t="s">
        <v>2012</v>
      </c>
      <c r="C980" s="9" t="s">
        <v>106</v>
      </c>
      <c r="D980" s="9" t="s">
        <v>2006</v>
      </c>
      <c r="E980" s="9" t="s">
        <v>1743</v>
      </c>
      <c r="F980" s="9" t="s">
        <v>1744</v>
      </c>
      <c r="G980" s="9" t="s">
        <v>57</v>
      </c>
      <c r="H980" s="7" t="str">
        <f>IFERROR(IF(_xlfn.XLOOKUP(B980,REPASSE!D:D,REPASSE!D:D)="","Não","Sim"),"Não")</f>
        <v>Não</v>
      </c>
      <c r="I980" s="7" t="str">
        <f>IF(_xlfn.XLOOKUP(B980,'BOOST LIBERADO'!B:B,'BOOST LIBERADO'!B:B,"Não")="Não","Não","Sim")</f>
        <v>Sim</v>
      </c>
      <c r="J980" s="83" t="str">
        <f t="shared" si="30"/>
        <v>Sim</v>
      </c>
      <c r="K980" s="12">
        <f>SUMIFS(BASE!$G:$G,BASE!$B:$B,$B980,BASE!$L:$L,$G980,BASE!$J:$J,$C980,BASE!$A:$A,K$2)</f>
        <v>0</v>
      </c>
      <c r="L980" s="12">
        <f>SUMIFS(BASE!$G:$G,BASE!$B:$B,$B980,BASE!$L:$L,$G980,BASE!$J:$J,$C980,BASE!$A:$A,L$2)</f>
        <v>0</v>
      </c>
      <c r="M980" s="12">
        <f>SUMIFS(BASE!$G:$G,BASE!$B:$B,$B980,BASE!$L:$L,$G980,BASE!$J:$J,$C980,BASE!$A:$A,M$2)</f>
        <v>0</v>
      </c>
      <c r="N980" s="12">
        <f>SUMIFS(BASE!$G:$G,BASE!$B:$B,$B980,BASE!$L:$L,$G980,BASE!$J:$J,$C980,BASE!$A:$A,N$2)</f>
        <v>0</v>
      </c>
      <c r="O980" s="12">
        <f>SUMIFS(BASE!$G:$G,BASE!$B:$B,$B980,BASE!$L:$L,$G980,BASE!$J:$J,$C980,BASE!$A:$A,O$2)</f>
        <v>0</v>
      </c>
      <c r="P980" s="12">
        <f>SUMIFS(BASE!$G:$G,BASE!$B:$B,$B980,BASE!$L:$L,$G980,BASE!$J:$J,$C980,BASE!$A:$A,P$2)</f>
        <v>0</v>
      </c>
      <c r="Q980" s="12">
        <f>SUMIFS(BASE!$G:$G,BASE!$B:$B,$B980,BASE!$L:$L,$G980,BASE!$J:$J,$C980,BASE!$A:$A,Q$2)</f>
        <v>0</v>
      </c>
      <c r="R980" s="12">
        <f>SUMIFS(BASE!$G:$G,BASE!$B:$B,$B980,BASE!$L:$L,$G980,BASE!$J:$J,$C980,BASE!$A:$A,R$2)</f>
        <v>3</v>
      </c>
      <c r="S980" s="12">
        <f>SUMIFS(BASE!$G:$G,BASE!$B:$B,$B980,BASE!$L:$L,$G980,BASE!$J:$J,$C980,BASE!$A:$A,S$2)</f>
        <v>0</v>
      </c>
      <c r="T980" s="12">
        <f>SUMIFS(BASE!$G:$G,BASE!$B:$B,$B980,BASE!$L:$L,$G980,BASE!$J:$J,$C980,BASE!$A:$A,T$2)</f>
        <v>0</v>
      </c>
      <c r="U980" s="12">
        <f>SUMIFS(BASE!$G:$G,BASE!$B:$B,$B980,BASE!$L:$L,$G980,BASE!$J:$J,$C980,BASE!$A:$A,U$2)</f>
        <v>0</v>
      </c>
      <c r="V980" s="12">
        <f>SUMIFS(BASE!$G:$G,BASE!$B:$B,$B980,BASE!$L:$L,$G980,BASE!$J:$J,$C980,BASE!$A:$A,V$2)</f>
        <v>0</v>
      </c>
      <c r="X980" t="str">
        <f t="shared" si="31"/>
        <v>COM TROCAS</v>
      </c>
    </row>
    <row r="981" spans="2:24">
      <c r="B981" s="8" t="s">
        <v>2013</v>
      </c>
      <c r="C981" s="9" t="s">
        <v>106</v>
      </c>
      <c r="D981" s="9" t="s">
        <v>2006</v>
      </c>
      <c r="E981" s="9" t="s">
        <v>1743</v>
      </c>
      <c r="F981" s="9" t="s">
        <v>1744</v>
      </c>
      <c r="G981" s="9" t="s">
        <v>57</v>
      </c>
      <c r="H981" s="7" t="str">
        <f>IFERROR(IF(_xlfn.XLOOKUP(B981,REPASSE!D:D,REPASSE!D:D)="","Não","Sim"),"Não")</f>
        <v>Não</v>
      </c>
      <c r="I981" s="7" t="str">
        <f>IF(_xlfn.XLOOKUP(B981,'BOOST LIBERADO'!B:B,'BOOST LIBERADO'!B:B,"Não")="Não","Não","Sim")</f>
        <v>Sim</v>
      </c>
      <c r="J981" s="83" t="str">
        <f t="shared" si="30"/>
        <v>Sim</v>
      </c>
      <c r="K981" s="12">
        <f>SUMIFS(BASE!$G:$G,BASE!$B:$B,$B981,BASE!$L:$L,$G981,BASE!$J:$J,$C981,BASE!$A:$A,K$2)</f>
        <v>0</v>
      </c>
      <c r="L981" s="12">
        <f>SUMIFS(BASE!$G:$G,BASE!$B:$B,$B981,BASE!$L:$L,$G981,BASE!$J:$J,$C981,BASE!$A:$A,L$2)</f>
        <v>0</v>
      </c>
      <c r="M981" s="12">
        <f>SUMIFS(BASE!$G:$G,BASE!$B:$B,$B981,BASE!$L:$L,$G981,BASE!$J:$J,$C981,BASE!$A:$A,M$2)</f>
        <v>2</v>
      </c>
      <c r="N981" s="12">
        <f>SUMIFS(BASE!$G:$G,BASE!$B:$B,$B981,BASE!$L:$L,$G981,BASE!$J:$J,$C981,BASE!$A:$A,N$2)</f>
        <v>2</v>
      </c>
      <c r="O981" s="12">
        <f>SUMIFS(BASE!$G:$G,BASE!$B:$B,$B981,BASE!$L:$L,$G981,BASE!$J:$J,$C981,BASE!$A:$A,O$2)</f>
        <v>3</v>
      </c>
      <c r="P981" s="12">
        <f>SUMIFS(BASE!$G:$G,BASE!$B:$B,$B981,BASE!$L:$L,$G981,BASE!$J:$J,$C981,BASE!$A:$A,P$2)</f>
        <v>1</v>
      </c>
      <c r="Q981" s="12">
        <f>SUMIFS(BASE!$G:$G,BASE!$B:$B,$B981,BASE!$L:$L,$G981,BASE!$J:$J,$C981,BASE!$A:$A,Q$2)</f>
        <v>10</v>
      </c>
      <c r="R981" s="12">
        <f>SUMIFS(BASE!$G:$G,BASE!$B:$B,$B981,BASE!$L:$L,$G981,BASE!$J:$J,$C981,BASE!$A:$A,R$2)</f>
        <v>11</v>
      </c>
      <c r="S981" s="12">
        <f>SUMIFS(BASE!$G:$G,BASE!$B:$B,$B981,BASE!$L:$L,$G981,BASE!$J:$J,$C981,BASE!$A:$A,S$2)</f>
        <v>0</v>
      </c>
      <c r="T981" s="12">
        <f>SUMIFS(BASE!$G:$G,BASE!$B:$B,$B981,BASE!$L:$L,$G981,BASE!$J:$J,$C981,BASE!$A:$A,T$2)</f>
        <v>0</v>
      </c>
      <c r="U981" s="12">
        <f>SUMIFS(BASE!$G:$G,BASE!$B:$B,$B981,BASE!$L:$L,$G981,BASE!$J:$J,$C981,BASE!$A:$A,U$2)</f>
        <v>0</v>
      </c>
      <c r="V981" s="12">
        <f>SUMIFS(BASE!$G:$G,BASE!$B:$B,$B981,BASE!$L:$L,$G981,BASE!$J:$J,$C981,BASE!$A:$A,V$2)</f>
        <v>0</v>
      </c>
      <c r="X981" t="str">
        <f t="shared" si="31"/>
        <v>COM TROCAS</v>
      </c>
    </row>
    <row r="982" spans="2:24">
      <c r="B982" s="8" t="s">
        <v>2014</v>
      </c>
      <c r="C982" s="9" t="s">
        <v>106</v>
      </c>
      <c r="D982" s="9" t="s">
        <v>2006</v>
      </c>
      <c r="E982" s="9" t="s">
        <v>1743</v>
      </c>
      <c r="F982" s="9" t="s">
        <v>1744</v>
      </c>
      <c r="G982" s="9" t="s">
        <v>57</v>
      </c>
      <c r="H982" s="7" t="str">
        <f>IFERROR(IF(_xlfn.XLOOKUP(B982,REPASSE!D:D,REPASSE!D:D)="","Não","Sim"),"Não")</f>
        <v>Não</v>
      </c>
      <c r="I982" s="7" t="str">
        <f>IF(_xlfn.XLOOKUP(B982,'BOOST LIBERADO'!B:B,'BOOST LIBERADO'!B:B,"Não")="Não","Não","Sim")</f>
        <v>Sim</v>
      </c>
      <c r="J982" s="83" t="str">
        <f t="shared" si="30"/>
        <v>Sim</v>
      </c>
      <c r="K982" s="12">
        <f>SUMIFS(BASE!$G:$G,BASE!$B:$B,$B982,BASE!$L:$L,$G982,BASE!$J:$J,$C982,BASE!$A:$A,K$2)</f>
        <v>0</v>
      </c>
      <c r="L982" s="12">
        <f>SUMIFS(BASE!$G:$G,BASE!$B:$B,$B982,BASE!$L:$L,$G982,BASE!$J:$J,$C982,BASE!$A:$A,L$2)</f>
        <v>0</v>
      </c>
      <c r="M982" s="12">
        <f>SUMIFS(BASE!$G:$G,BASE!$B:$B,$B982,BASE!$L:$L,$G982,BASE!$J:$J,$C982,BASE!$A:$A,M$2)</f>
        <v>0</v>
      </c>
      <c r="N982" s="12">
        <f>SUMIFS(BASE!$G:$G,BASE!$B:$B,$B982,BASE!$L:$L,$G982,BASE!$J:$J,$C982,BASE!$A:$A,N$2)</f>
        <v>2</v>
      </c>
      <c r="O982" s="12">
        <f>SUMIFS(BASE!$G:$G,BASE!$B:$B,$B982,BASE!$L:$L,$G982,BASE!$J:$J,$C982,BASE!$A:$A,O$2)</f>
        <v>2</v>
      </c>
      <c r="P982" s="12">
        <f>SUMIFS(BASE!$G:$G,BASE!$B:$B,$B982,BASE!$L:$L,$G982,BASE!$J:$J,$C982,BASE!$A:$A,P$2)</f>
        <v>1</v>
      </c>
      <c r="Q982" s="12">
        <f>SUMIFS(BASE!$G:$G,BASE!$B:$B,$B982,BASE!$L:$L,$G982,BASE!$J:$J,$C982,BASE!$A:$A,Q$2)</f>
        <v>3</v>
      </c>
      <c r="R982" s="12">
        <f>SUMIFS(BASE!$G:$G,BASE!$B:$B,$B982,BASE!$L:$L,$G982,BASE!$J:$J,$C982,BASE!$A:$A,R$2)</f>
        <v>6</v>
      </c>
      <c r="S982" s="12">
        <f>SUMIFS(BASE!$G:$G,BASE!$B:$B,$B982,BASE!$L:$L,$G982,BASE!$J:$J,$C982,BASE!$A:$A,S$2)</f>
        <v>0</v>
      </c>
      <c r="T982" s="12">
        <f>SUMIFS(BASE!$G:$G,BASE!$B:$B,$B982,BASE!$L:$L,$G982,BASE!$J:$J,$C982,BASE!$A:$A,T$2)</f>
        <v>0</v>
      </c>
      <c r="U982" s="12">
        <f>SUMIFS(BASE!$G:$G,BASE!$B:$B,$B982,BASE!$L:$L,$G982,BASE!$J:$J,$C982,BASE!$A:$A,U$2)</f>
        <v>0</v>
      </c>
      <c r="V982" s="12">
        <f>SUMIFS(BASE!$G:$G,BASE!$B:$B,$B982,BASE!$L:$L,$G982,BASE!$J:$J,$C982,BASE!$A:$A,V$2)</f>
        <v>0</v>
      </c>
      <c r="X982" t="str">
        <f t="shared" si="31"/>
        <v>COM TROCAS</v>
      </c>
    </row>
    <row r="983" spans="2:24">
      <c r="B983" s="8" t="s">
        <v>2015</v>
      </c>
      <c r="C983" s="9" t="s">
        <v>106</v>
      </c>
      <c r="D983" s="9" t="s">
        <v>2006</v>
      </c>
      <c r="E983" s="9" t="s">
        <v>1743</v>
      </c>
      <c r="F983" s="9" t="s">
        <v>1744</v>
      </c>
      <c r="G983" s="9" t="s">
        <v>57</v>
      </c>
      <c r="H983" s="7" t="str">
        <f>IFERROR(IF(_xlfn.XLOOKUP(B983,REPASSE!D:D,REPASSE!D:D)="","Não","Sim"),"Não")</f>
        <v>Não</v>
      </c>
      <c r="I983" s="7" t="str">
        <f>IF(_xlfn.XLOOKUP(B983,'BOOST LIBERADO'!B:B,'BOOST LIBERADO'!B:B,"Não")="Não","Não","Sim")</f>
        <v>Sim</v>
      </c>
      <c r="J983" s="83" t="str">
        <f t="shared" si="30"/>
        <v>Sim</v>
      </c>
      <c r="K983" s="12">
        <f>SUMIFS(BASE!$G:$G,BASE!$B:$B,$B983,BASE!$L:$L,$G983,BASE!$J:$J,$C983,BASE!$A:$A,K$2)</f>
        <v>0</v>
      </c>
      <c r="L983" s="12">
        <f>SUMIFS(BASE!$G:$G,BASE!$B:$B,$B983,BASE!$L:$L,$G983,BASE!$J:$J,$C983,BASE!$A:$A,L$2)</f>
        <v>0</v>
      </c>
      <c r="M983" s="12">
        <f>SUMIFS(BASE!$G:$G,BASE!$B:$B,$B983,BASE!$L:$L,$G983,BASE!$J:$J,$C983,BASE!$A:$A,M$2)</f>
        <v>0</v>
      </c>
      <c r="N983" s="12">
        <f>SUMIFS(BASE!$G:$G,BASE!$B:$B,$B983,BASE!$L:$L,$G983,BASE!$J:$J,$C983,BASE!$A:$A,N$2)</f>
        <v>0</v>
      </c>
      <c r="O983" s="12">
        <f>SUMIFS(BASE!$G:$G,BASE!$B:$B,$B983,BASE!$L:$L,$G983,BASE!$J:$J,$C983,BASE!$A:$A,O$2)</f>
        <v>0</v>
      </c>
      <c r="P983" s="12">
        <f>SUMIFS(BASE!$G:$G,BASE!$B:$B,$B983,BASE!$L:$L,$G983,BASE!$J:$J,$C983,BASE!$A:$A,P$2)</f>
        <v>0</v>
      </c>
      <c r="Q983" s="12">
        <f>SUMIFS(BASE!$G:$G,BASE!$B:$B,$B983,BASE!$L:$L,$G983,BASE!$J:$J,$C983,BASE!$A:$A,Q$2)</f>
        <v>0</v>
      </c>
      <c r="R983" s="12">
        <f>SUMIFS(BASE!$G:$G,BASE!$B:$B,$B983,BASE!$L:$L,$G983,BASE!$J:$J,$C983,BASE!$A:$A,R$2)</f>
        <v>1</v>
      </c>
      <c r="S983" s="12">
        <f>SUMIFS(BASE!$G:$G,BASE!$B:$B,$B983,BASE!$L:$L,$G983,BASE!$J:$J,$C983,BASE!$A:$A,S$2)</f>
        <v>0</v>
      </c>
      <c r="T983" s="12">
        <f>SUMIFS(BASE!$G:$G,BASE!$B:$B,$B983,BASE!$L:$L,$G983,BASE!$J:$J,$C983,BASE!$A:$A,T$2)</f>
        <v>0</v>
      </c>
      <c r="U983" s="12">
        <f>SUMIFS(BASE!$G:$G,BASE!$B:$B,$B983,BASE!$L:$L,$G983,BASE!$J:$J,$C983,BASE!$A:$A,U$2)</f>
        <v>0</v>
      </c>
      <c r="V983" s="12">
        <f>SUMIFS(BASE!$G:$G,BASE!$B:$B,$B983,BASE!$L:$L,$G983,BASE!$J:$J,$C983,BASE!$A:$A,V$2)</f>
        <v>0</v>
      </c>
      <c r="X983" t="str">
        <f t="shared" si="31"/>
        <v>COM TROCAS</v>
      </c>
    </row>
    <row r="984" spans="2:24">
      <c r="B984" s="8" t="s">
        <v>2016</v>
      </c>
      <c r="C984" s="9" t="s">
        <v>106</v>
      </c>
      <c r="D984" s="9" t="s">
        <v>2006</v>
      </c>
      <c r="E984" s="9" t="s">
        <v>1743</v>
      </c>
      <c r="F984" s="9" t="s">
        <v>2017</v>
      </c>
      <c r="G984" s="9" t="s">
        <v>57</v>
      </c>
      <c r="H984" s="7" t="str">
        <f>IFERROR(IF(_xlfn.XLOOKUP(B984,REPASSE!D:D,REPASSE!D:D)="","Não","Sim"),"Não")</f>
        <v>Não</v>
      </c>
      <c r="I984" s="7" t="str">
        <f>IF(_xlfn.XLOOKUP(B984,'BOOST LIBERADO'!B:B,'BOOST LIBERADO'!B:B,"Não")="Não","Não","Sim")</f>
        <v>Sim</v>
      </c>
      <c r="J984" s="83" t="str">
        <f t="shared" si="30"/>
        <v>Sim</v>
      </c>
      <c r="K984" s="12">
        <f>SUMIFS(BASE!$G:$G,BASE!$B:$B,$B984,BASE!$L:$L,$G984,BASE!$J:$J,$C984,BASE!$A:$A,K$2)</f>
        <v>0</v>
      </c>
      <c r="L984" s="12">
        <f>SUMIFS(BASE!$G:$G,BASE!$B:$B,$B984,BASE!$L:$L,$G984,BASE!$J:$J,$C984,BASE!$A:$A,L$2)</f>
        <v>0</v>
      </c>
      <c r="M984" s="12">
        <f>SUMIFS(BASE!$G:$G,BASE!$B:$B,$B984,BASE!$L:$L,$G984,BASE!$J:$J,$C984,BASE!$A:$A,M$2)</f>
        <v>0</v>
      </c>
      <c r="N984" s="12">
        <f>SUMIFS(BASE!$G:$G,BASE!$B:$B,$B984,BASE!$L:$L,$G984,BASE!$J:$J,$C984,BASE!$A:$A,N$2)</f>
        <v>0</v>
      </c>
      <c r="O984" s="12">
        <f>SUMIFS(BASE!$G:$G,BASE!$B:$B,$B984,BASE!$L:$L,$G984,BASE!$J:$J,$C984,BASE!$A:$A,O$2)</f>
        <v>0</v>
      </c>
      <c r="P984" s="12">
        <f>SUMIFS(BASE!$G:$G,BASE!$B:$B,$B984,BASE!$L:$L,$G984,BASE!$J:$J,$C984,BASE!$A:$A,P$2)</f>
        <v>0</v>
      </c>
      <c r="Q984" s="12">
        <f>SUMIFS(BASE!$G:$G,BASE!$B:$B,$B984,BASE!$L:$L,$G984,BASE!$J:$J,$C984,BASE!$A:$A,Q$2)</f>
        <v>0</v>
      </c>
      <c r="R984" s="12">
        <f>SUMIFS(BASE!$G:$G,BASE!$B:$B,$B984,BASE!$L:$L,$G984,BASE!$J:$J,$C984,BASE!$A:$A,R$2)</f>
        <v>1</v>
      </c>
      <c r="S984" s="12">
        <f>SUMIFS(BASE!$G:$G,BASE!$B:$B,$B984,BASE!$L:$L,$G984,BASE!$J:$J,$C984,BASE!$A:$A,S$2)</f>
        <v>0</v>
      </c>
      <c r="T984" s="12">
        <f>SUMIFS(BASE!$G:$G,BASE!$B:$B,$B984,BASE!$L:$L,$G984,BASE!$J:$J,$C984,BASE!$A:$A,T$2)</f>
        <v>0</v>
      </c>
      <c r="U984" s="12">
        <f>SUMIFS(BASE!$G:$G,BASE!$B:$B,$B984,BASE!$L:$L,$G984,BASE!$J:$J,$C984,BASE!$A:$A,U$2)</f>
        <v>0</v>
      </c>
      <c r="V984" s="12">
        <f>SUMIFS(BASE!$G:$G,BASE!$B:$B,$B984,BASE!$L:$L,$G984,BASE!$J:$J,$C984,BASE!$A:$A,V$2)</f>
        <v>0</v>
      </c>
      <c r="X984" t="str">
        <f t="shared" si="31"/>
        <v>COM TROCAS</v>
      </c>
    </row>
    <row r="985" spans="2:24">
      <c r="B985" s="8" t="s">
        <v>2018</v>
      </c>
      <c r="C985" s="9" t="s">
        <v>106</v>
      </c>
      <c r="D985" s="9" t="s">
        <v>2006</v>
      </c>
      <c r="E985" s="9" t="s">
        <v>1743</v>
      </c>
      <c r="F985" s="9" t="s">
        <v>2019</v>
      </c>
      <c r="G985" s="9" t="s">
        <v>57</v>
      </c>
      <c r="H985" s="7" t="str">
        <f>IFERROR(IF(_xlfn.XLOOKUP(B985,REPASSE!D:D,REPASSE!D:D)="","Não","Sim"),"Não")</f>
        <v>Não</v>
      </c>
      <c r="I985" s="7" t="str">
        <f>IF(_xlfn.XLOOKUP(B985,'BOOST LIBERADO'!B:B,'BOOST LIBERADO'!B:B,"Não")="Não","Não","Sim")</f>
        <v>Sim</v>
      </c>
      <c r="J985" s="83" t="str">
        <f t="shared" si="30"/>
        <v>Sim</v>
      </c>
      <c r="K985" s="12">
        <f>SUMIFS(BASE!$G:$G,BASE!$B:$B,$B985,BASE!$L:$L,$G985,BASE!$J:$J,$C985,BASE!$A:$A,K$2)</f>
        <v>0</v>
      </c>
      <c r="L985" s="12">
        <f>SUMIFS(BASE!$G:$G,BASE!$B:$B,$B985,BASE!$L:$L,$G985,BASE!$J:$J,$C985,BASE!$A:$A,L$2)</f>
        <v>0</v>
      </c>
      <c r="M985" s="12">
        <f>SUMIFS(BASE!$G:$G,BASE!$B:$B,$B985,BASE!$L:$L,$G985,BASE!$J:$J,$C985,BASE!$A:$A,M$2)</f>
        <v>3</v>
      </c>
      <c r="N985" s="12">
        <f>SUMIFS(BASE!$G:$G,BASE!$B:$B,$B985,BASE!$L:$L,$G985,BASE!$J:$J,$C985,BASE!$A:$A,N$2)</f>
        <v>1</v>
      </c>
      <c r="O985" s="12">
        <f>SUMIFS(BASE!$G:$G,BASE!$B:$B,$B985,BASE!$L:$L,$G985,BASE!$J:$J,$C985,BASE!$A:$A,O$2)</f>
        <v>1</v>
      </c>
      <c r="P985" s="12">
        <f>SUMIFS(BASE!$G:$G,BASE!$B:$B,$B985,BASE!$L:$L,$G985,BASE!$J:$J,$C985,BASE!$A:$A,P$2)</f>
        <v>3</v>
      </c>
      <c r="Q985" s="12">
        <f>SUMIFS(BASE!$G:$G,BASE!$B:$B,$B985,BASE!$L:$L,$G985,BASE!$J:$J,$C985,BASE!$A:$A,Q$2)</f>
        <v>4</v>
      </c>
      <c r="R985" s="12">
        <f>SUMIFS(BASE!$G:$G,BASE!$B:$B,$B985,BASE!$L:$L,$G985,BASE!$J:$J,$C985,BASE!$A:$A,R$2)</f>
        <v>4</v>
      </c>
      <c r="S985" s="12">
        <f>SUMIFS(BASE!$G:$G,BASE!$B:$B,$B985,BASE!$L:$L,$G985,BASE!$J:$J,$C985,BASE!$A:$A,S$2)</f>
        <v>0</v>
      </c>
      <c r="T985" s="12">
        <f>SUMIFS(BASE!$G:$G,BASE!$B:$B,$B985,BASE!$L:$L,$G985,BASE!$J:$J,$C985,BASE!$A:$A,T$2)</f>
        <v>0</v>
      </c>
      <c r="U985" s="12">
        <f>SUMIFS(BASE!$G:$G,BASE!$B:$B,$B985,BASE!$L:$L,$G985,BASE!$J:$J,$C985,BASE!$A:$A,U$2)</f>
        <v>0</v>
      </c>
      <c r="V985" s="12">
        <f>SUMIFS(BASE!$G:$G,BASE!$B:$B,$B985,BASE!$L:$L,$G985,BASE!$J:$J,$C985,BASE!$A:$A,V$2)</f>
        <v>0</v>
      </c>
      <c r="X985" t="str">
        <f t="shared" si="31"/>
        <v>COM TROCAS</v>
      </c>
    </row>
    <row r="986" spans="2:24">
      <c r="B986" s="8" t="s">
        <v>2020</v>
      </c>
      <c r="C986" s="9" t="s">
        <v>106</v>
      </c>
      <c r="D986" s="9" t="s">
        <v>2006</v>
      </c>
      <c r="E986" s="9" t="s">
        <v>1743</v>
      </c>
      <c r="F986" s="9" t="s">
        <v>2019</v>
      </c>
      <c r="G986" s="9" t="s">
        <v>57</v>
      </c>
      <c r="H986" s="7" t="str">
        <f>IFERROR(IF(_xlfn.XLOOKUP(B986,REPASSE!D:D,REPASSE!D:D)="","Não","Sim"),"Não")</f>
        <v>Não</v>
      </c>
      <c r="I986" s="7" t="str">
        <f>IF(_xlfn.XLOOKUP(B986,'BOOST LIBERADO'!B:B,'BOOST LIBERADO'!B:B,"Não")="Não","Não","Sim")</f>
        <v>Sim</v>
      </c>
      <c r="J986" s="83" t="str">
        <f t="shared" si="30"/>
        <v>Sim</v>
      </c>
      <c r="K986" s="12">
        <f>SUMIFS(BASE!$G:$G,BASE!$B:$B,$B986,BASE!$L:$L,$G986,BASE!$J:$J,$C986,BASE!$A:$A,K$2)</f>
        <v>0</v>
      </c>
      <c r="L986" s="12">
        <f>SUMIFS(BASE!$G:$G,BASE!$B:$B,$B986,BASE!$L:$L,$G986,BASE!$J:$J,$C986,BASE!$A:$A,L$2)</f>
        <v>0</v>
      </c>
      <c r="M986" s="12">
        <f>SUMIFS(BASE!$G:$G,BASE!$B:$B,$B986,BASE!$L:$L,$G986,BASE!$J:$J,$C986,BASE!$A:$A,M$2)</f>
        <v>1</v>
      </c>
      <c r="N986" s="12">
        <f>SUMIFS(BASE!$G:$G,BASE!$B:$B,$B986,BASE!$L:$L,$G986,BASE!$J:$J,$C986,BASE!$A:$A,N$2)</f>
        <v>1</v>
      </c>
      <c r="O986" s="12">
        <f>SUMIFS(BASE!$G:$G,BASE!$B:$B,$B986,BASE!$L:$L,$G986,BASE!$J:$J,$C986,BASE!$A:$A,O$2)</f>
        <v>4</v>
      </c>
      <c r="P986" s="12">
        <f>SUMIFS(BASE!$G:$G,BASE!$B:$B,$B986,BASE!$L:$L,$G986,BASE!$J:$J,$C986,BASE!$A:$A,P$2)</f>
        <v>12</v>
      </c>
      <c r="Q986" s="12">
        <f>SUMIFS(BASE!$G:$G,BASE!$B:$B,$B986,BASE!$L:$L,$G986,BASE!$J:$J,$C986,BASE!$A:$A,Q$2)</f>
        <v>21</v>
      </c>
      <c r="R986" s="12">
        <f>SUMIFS(BASE!$G:$G,BASE!$B:$B,$B986,BASE!$L:$L,$G986,BASE!$J:$J,$C986,BASE!$A:$A,R$2)</f>
        <v>16</v>
      </c>
      <c r="S986" s="12">
        <f>SUMIFS(BASE!$G:$G,BASE!$B:$B,$B986,BASE!$L:$L,$G986,BASE!$J:$J,$C986,BASE!$A:$A,S$2)</f>
        <v>0</v>
      </c>
      <c r="T986" s="12">
        <f>SUMIFS(BASE!$G:$G,BASE!$B:$B,$B986,BASE!$L:$L,$G986,BASE!$J:$J,$C986,BASE!$A:$A,T$2)</f>
        <v>0</v>
      </c>
      <c r="U986" s="12">
        <f>SUMIFS(BASE!$G:$G,BASE!$B:$B,$B986,BASE!$L:$L,$G986,BASE!$J:$J,$C986,BASE!$A:$A,U$2)</f>
        <v>0</v>
      </c>
      <c r="V986" s="12">
        <f>SUMIFS(BASE!$G:$G,BASE!$B:$B,$B986,BASE!$L:$L,$G986,BASE!$J:$J,$C986,BASE!$A:$A,V$2)</f>
        <v>0</v>
      </c>
      <c r="X986" t="str">
        <f t="shared" si="31"/>
        <v>COM TROCAS</v>
      </c>
    </row>
    <row r="987" spans="2:24">
      <c r="B987" s="8" t="s">
        <v>2021</v>
      </c>
      <c r="C987" s="9" t="s">
        <v>193</v>
      </c>
      <c r="D987" s="9" t="s">
        <v>2022</v>
      </c>
      <c r="E987" s="9" t="s">
        <v>2023</v>
      </c>
      <c r="F987" s="9" t="s">
        <v>2024</v>
      </c>
      <c r="G987" s="9" t="s">
        <v>58</v>
      </c>
      <c r="H987" s="7" t="str">
        <f>IFERROR(IF(_xlfn.XLOOKUP(B987,REPASSE!D:D,REPASSE!D:D)="","Não","Sim"),"Não")</f>
        <v>Não</v>
      </c>
      <c r="I987" s="7" t="str">
        <f>IF(_xlfn.XLOOKUP(B987,'BOOST LIBERADO'!B:B,'BOOST LIBERADO'!B:B,"Não")="Não","Não","Sim")</f>
        <v>Sim</v>
      </c>
      <c r="J987" s="83" t="str">
        <f t="shared" si="30"/>
        <v>Sim</v>
      </c>
      <c r="K987" s="12">
        <f>SUMIFS(BASE!$G:$G,BASE!$B:$B,$B987,BASE!$L:$L,$G987,BASE!$J:$J,$C987,BASE!$A:$A,K$2)</f>
        <v>7</v>
      </c>
      <c r="L987" s="12">
        <f>SUMIFS(BASE!$G:$G,BASE!$B:$B,$B987,BASE!$L:$L,$G987,BASE!$J:$J,$C987,BASE!$A:$A,L$2)</f>
        <v>2</v>
      </c>
      <c r="M987" s="12">
        <f>SUMIFS(BASE!$G:$G,BASE!$B:$B,$B987,BASE!$L:$L,$G987,BASE!$J:$J,$C987,BASE!$A:$A,M$2)</f>
        <v>1</v>
      </c>
      <c r="N987" s="12">
        <f>SUMIFS(BASE!$G:$G,BASE!$B:$B,$B987,BASE!$L:$L,$G987,BASE!$J:$J,$C987,BASE!$A:$A,N$2)</f>
        <v>1</v>
      </c>
      <c r="O987" s="12">
        <f>SUMIFS(BASE!$G:$G,BASE!$B:$B,$B987,BASE!$L:$L,$G987,BASE!$J:$J,$C987,BASE!$A:$A,O$2)</f>
        <v>3</v>
      </c>
      <c r="P987" s="12">
        <f>SUMIFS(BASE!$G:$G,BASE!$B:$B,$B987,BASE!$L:$L,$G987,BASE!$J:$J,$C987,BASE!$A:$A,P$2)</f>
        <v>9</v>
      </c>
      <c r="Q987" s="12">
        <f>SUMIFS(BASE!$G:$G,BASE!$B:$B,$B987,BASE!$L:$L,$G987,BASE!$J:$J,$C987,BASE!$A:$A,Q$2)</f>
        <v>9</v>
      </c>
      <c r="R987" s="12">
        <f>SUMIFS(BASE!$G:$G,BASE!$B:$B,$B987,BASE!$L:$L,$G987,BASE!$J:$J,$C987,BASE!$A:$A,R$2)</f>
        <v>3</v>
      </c>
      <c r="S987" s="12">
        <f>SUMIFS(BASE!$G:$G,BASE!$B:$B,$B987,BASE!$L:$L,$G987,BASE!$J:$J,$C987,BASE!$A:$A,S$2)</f>
        <v>0</v>
      </c>
      <c r="T987" s="12">
        <f>SUMIFS(BASE!$G:$G,BASE!$B:$B,$B987,BASE!$L:$L,$G987,BASE!$J:$J,$C987,BASE!$A:$A,T$2)</f>
        <v>0</v>
      </c>
      <c r="U987" s="12">
        <f>SUMIFS(BASE!$G:$G,BASE!$B:$B,$B987,BASE!$L:$L,$G987,BASE!$J:$J,$C987,BASE!$A:$A,U$2)</f>
        <v>0</v>
      </c>
      <c r="V987" s="12">
        <f>SUMIFS(BASE!$G:$G,BASE!$B:$B,$B987,BASE!$L:$L,$G987,BASE!$J:$J,$C987,BASE!$A:$A,V$2)</f>
        <v>0</v>
      </c>
      <c r="X987" t="str">
        <f t="shared" si="31"/>
        <v>COM TROCAS</v>
      </c>
    </row>
    <row r="988" spans="2:24">
      <c r="B988" s="8" t="s">
        <v>2025</v>
      </c>
      <c r="C988" s="9" t="s">
        <v>193</v>
      </c>
      <c r="D988" s="9" t="s">
        <v>2022</v>
      </c>
      <c r="E988" s="9" t="s">
        <v>2023</v>
      </c>
      <c r="F988" s="9" t="s">
        <v>2026</v>
      </c>
      <c r="G988" s="9" t="s">
        <v>58</v>
      </c>
      <c r="H988" s="7" t="str">
        <f>IFERROR(IF(_xlfn.XLOOKUP(B988,REPASSE!D:D,REPASSE!D:D)="","Não","Sim"),"Não")</f>
        <v>Não</v>
      </c>
      <c r="I988" s="7" t="str">
        <f>IF(_xlfn.XLOOKUP(B988,'BOOST LIBERADO'!B:B,'BOOST LIBERADO'!B:B,"Não")="Não","Não","Sim")</f>
        <v>Sim</v>
      </c>
      <c r="J988" s="83" t="str">
        <f t="shared" si="30"/>
        <v>Sim</v>
      </c>
      <c r="K988" s="12">
        <f>SUMIFS(BASE!$G:$G,BASE!$B:$B,$B988,BASE!$L:$L,$G988,BASE!$J:$J,$C988,BASE!$A:$A,K$2)</f>
        <v>3</v>
      </c>
      <c r="L988" s="12">
        <f>SUMIFS(BASE!$G:$G,BASE!$B:$B,$B988,BASE!$L:$L,$G988,BASE!$J:$J,$C988,BASE!$A:$A,L$2)</f>
        <v>1</v>
      </c>
      <c r="M988" s="12">
        <f>SUMIFS(BASE!$G:$G,BASE!$B:$B,$B988,BASE!$L:$L,$G988,BASE!$J:$J,$C988,BASE!$A:$A,M$2)</f>
        <v>6</v>
      </c>
      <c r="N988" s="12">
        <f>SUMIFS(BASE!$G:$G,BASE!$B:$B,$B988,BASE!$L:$L,$G988,BASE!$J:$J,$C988,BASE!$A:$A,N$2)</f>
        <v>10</v>
      </c>
      <c r="O988" s="12">
        <f>SUMIFS(BASE!$G:$G,BASE!$B:$B,$B988,BASE!$L:$L,$G988,BASE!$J:$J,$C988,BASE!$A:$A,O$2)</f>
        <v>8</v>
      </c>
      <c r="P988" s="12">
        <f>SUMIFS(BASE!$G:$G,BASE!$B:$B,$B988,BASE!$L:$L,$G988,BASE!$J:$J,$C988,BASE!$A:$A,P$2)</f>
        <v>0</v>
      </c>
      <c r="Q988" s="12">
        <f>SUMIFS(BASE!$G:$G,BASE!$B:$B,$B988,BASE!$L:$L,$G988,BASE!$J:$J,$C988,BASE!$A:$A,Q$2)</f>
        <v>5</v>
      </c>
      <c r="R988" s="12">
        <f>SUMIFS(BASE!$G:$G,BASE!$B:$B,$B988,BASE!$L:$L,$G988,BASE!$J:$J,$C988,BASE!$A:$A,R$2)</f>
        <v>2</v>
      </c>
      <c r="S988" s="12">
        <f>SUMIFS(BASE!$G:$G,BASE!$B:$B,$B988,BASE!$L:$L,$G988,BASE!$J:$J,$C988,BASE!$A:$A,S$2)</f>
        <v>0</v>
      </c>
      <c r="T988" s="12">
        <f>SUMIFS(BASE!$G:$G,BASE!$B:$B,$B988,BASE!$L:$L,$G988,BASE!$J:$J,$C988,BASE!$A:$A,T$2)</f>
        <v>0</v>
      </c>
      <c r="U988" s="12">
        <f>SUMIFS(BASE!$G:$G,BASE!$B:$B,$B988,BASE!$L:$L,$G988,BASE!$J:$J,$C988,BASE!$A:$A,U$2)</f>
        <v>0</v>
      </c>
      <c r="V988" s="12">
        <f>SUMIFS(BASE!$G:$G,BASE!$B:$B,$B988,BASE!$L:$L,$G988,BASE!$J:$J,$C988,BASE!$A:$A,V$2)</f>
        <v>0</v>
      </c>
      <c r="X988" t="str">
        <f t="shared" si="31"/>
        <v>COM TROCAS</v>
      </c>
    </row>
    <row r="989" spans="2:24">
      <c r="B989" s="8" t="s">
        <v>2027</v>
      </c>
      <c r="C989" s="9" t="s">
        <v>193</v>
      </c>
      <c r="D989" s="9" t="s">
        <v>2022</v>
      </c>
      <c r="E989" s="9" t="s">
        <v>2023</v>
      </c>
      <c r="F989" s="9" t="s">
        <v>2026</v>
      </c>
      <c r="G989" s="9" t="s">
        <v>58</v>
      </c>
      <c r="H989" s="7" t="str">
        <f>IFERROR(IF(_xlfn.XLOOKUP(B989,REPASSE!D:D,REPASSE!D:D)="","Não","Sim"),"Não")</f>
        <v>Não</v>
      </c>
      <c r="I989" s="7" t="str">
        <f>IF(_xlfn.XLOOKUP(B989,'BOOST LIBERADO'!B:B,'BOOST LIBERADO'!B:B,"Não")="Não","Não","Sim")</f>
        <v>Sim</v>
      </c>
      <c r="J989" s="83" t="str">
        <f t="shared" si="30"/>
        <v>Sim</v>
      </c>
      <c r="K989" s="12">
        <f>SUMIFS(BASE!$G:$G,BASE!$B:$B,$B989,BASE!$L:$L,$G989,BASE!$J:$J,$C989,BASE!$A:$A,K$2)</f>
        <v>6</v>
      </c>
      <c r="L989" s="12">
        <f>SUMIFS(BASE!$G:$G,BASE!$B:$B,$B989,BASE!$L:$L,$G989,BASE!$J:$J,$C989,BASE!$A:$A,L$2)</f>
        <v>4</v>
      </c>
      <c r="M989" s="12">
        <f>SUMIFS(BASE!$G:$G,BASE!$B:$B,$B989,BASE!$L:$L,$G989,BASE!$J:$J,$C989,BASE!$A:$A,M$2)</f>
        <v>11</v>
      </c>
      <c r="N989" s="12">
        <f>SUMIFS(BASE!$G:$G,BASE!$B:$B,$B989,BASE!$L:$L,$G989,BASE!$J:$J,$C989,BASE!$A:$A,N$2)</f>
        <v>5</v>
      </c>
      <c r="O989" s="12">
        <f>SUMIFS(BASE!$G:$G,BASE!$B:$B,$B989,BASE!$L:$L,$G989,BASE!$J:$J,$C989,BASE!$A:$A,O$2)</f>
        <v>4</v>
      </c>
      <c r="P989" s="12">
        <f>SUMIFS(BASE!$G:$G,BASE!$B:$B,$B989,BASE!$L:$L,$G989,BASE!$J:$J,$C989,BASE!$A:$A,P$2)</f>
        <v>4</v>
      </c>
      <c r="Q989" s="12">
        <f>SUMIFS(BASE!$G:$G,BASE!$B:$B,$B989,BASE!$L:$L,$G989,BASE!$J:$J,$C989,BASE!$A:$A,Q$2)</f>
        <v>8</v>
      </c>
      <c r="R989" s="12">
        <f>SUMIFS(BASE!$G:$G,BASE!$B:$B,$B989,BASE!$L:$L,$G989,BASE!$J:$J,$C989,BASE!$A:$A,R$2)</f>
        <v>0</v>
      </c>
      <c r="S989" s="12">
        <f>SUMIFS(BASE!$G:$G,BASE!$B:$B,$B989,BASE!$L:$L,$G989,BASE!$J:$J,$C989,BASE!$A:$A,S$2)</f>
        <v>0</v>
      </c>
      <c r="T989" s="12">
        <f>SUMIFS(BASE!$G:$G,BASE!$B:$B,$B989,BASE!$L:$L,$G989,BASE!$J:$J,$C989,BASE!$A:$A,T$2)</f>
        <v>0</v>
      </c>
      <c r="U989" s="12">
        <f>SUMIFS(BASE!$G:$G,BASE!$B:$B,$B989,BASE!$L:$L,$G989,BASE!$J:$J,$C989,BASE!$A:$A,U$2)</f>
        <v>0</v>
      </c>
      <c r="V989" s="12">
        <f>SUMIFS(BASE!$G:$G,BASE!$B:$B,$B989,BASE!$L:$L,$G989,BASE!$J:$J,$C989,BASE!$A:$A,V$2)</f>
        <v>0</v>
      </c>
      <c r="X989" t="str">
        <f t="shared" si="31"/>
        <v>ZERADO</v>
      </c>
    </row>
    <row r="990" spans="2:24">
      <c r="B990" s="8" t="s">
        <v>2028</v>
      </c>
      <c r="C990" s="9" t="s">
        <v>193</v>
      </c>
      <c r="D990" s="9" t="s">
        <v>2022</v>
      </c>
      <c r="E990" s="9" t="s">
        <v>2023</v>
      </c>
      <c r="F990" s="9" t="s">
        <v>2026</v>
      </c>
      <c r="G990" s="9" t="s">
        <v>58</v>
      </c>
      <c r="H990" s="7" t="str">
        <f>IFERROR(IF(_xlfn.XLOOKUP(B990,REPASSE!D:D,REPASSE!D:D)="","Não","Sim"),"Não")</f>
        <v>Não</v>
      </c>
      <c r="I990" s="7" t="str">
        <f>IF(_xlfn.XLOOKUP(B990,'BOOST LIBERADO'!B:B,'BOOST LIBERADO'!B:B,"Não")="Não","Não","Sim")</f>
        <v>Sim</v>
      </c>
      <c r="J990" s="83" t="str">
        <f t="shared" si="30"/>
        <v>Sim</v>
      </c>
      <c r="K990" s="12">
        <f>SUMIFS(BASE!$G:$G,BASE!$B:$B,$B990,BASE!$L:$L,$G990,BASE!$J:$J,$C990,BASE!$A:$A,K$2)</f>
        <v>0</v>
      </c>
      <c r="L990" s="12">
        <f>SUMIFS(BASE!$G:$G,BASE!$B:$B,$B990,BASE!$L:$L,$G990,BASE!$J:$J,$C990,BASE!$A:$A,L$2)</f>
        <v>0</v>
      </c>
      <c r="M990" s="12">
        <f>SUMIFS(BASE!$G:$G,BASE!$B:$B,$B990,BASE!$L:$L,$G990,BASE!$J:$J,$C990,BASE!$A:$A,M$2)</f>
        <v>2</v>
      </c>
      <c r="N990" s="12">
        <f>SUMIFS(BASE!$G:$G,BASE!$B:$B,$B990,BASE!$L:$L,$G990,BASE!$J:$J,$C990,BASE!$A:$A,N$2)</f>
        <v>0</v>
      </c>
      <c r="O990" s="12">
        <f>SUMIFS(BASE!$G:$G,BASE!$B:$B,$B990,BASE!$L:$L,$G990,BASE!$J:$J,$C990,BASE!$A:$A,O$2)</f>
        <v>4</v>
      </c>
      <c r="P990" s="12">
        <f>SUMIFS(BASE!$G:$G,BASE!$B:$B,$B990,BASE!$L:$L,$G990,BASE!$J:$J,$C990,BASE!$A:$A,P$2)</f>
        <v>19</v>
      </c>
      <c r="Q990" s="12">
        <f>SUMIFS(BASE!$G:$G,BASE!$B:$B,$B990,BASE!$L:$L,$G990,BASE!$J:$J,$C990,BASE!$A:$A,Q$2)</f>
        <v>25</v>
      </c>
      <c r="R990" s="12">
        <f>SUMIFS(BASE!$G:$G,BASE!$B:$B,$B990,BASE!$L:$L,$G990,BASE!$J:$J,$C990,BASE!$A:$A,R$2)</f>
        <v>13</v>
      </c>
      <c r="S990" s="12">
        <f>SUMIFS(BASE!$G:$G,BASE!$B:$B,$B990,BASE!$L:$L,$G990,BASE!$J:$J,$C990,BASE!$A:$A,S$2)</f>
        <v>0</v>
      </c>
      <c r="T990" s="12">
        <f>SUMIFS(BASE!$G:$G,BASE!$B:$B,$B990,BASE!$L:$L,$G990,BASE!$J:$J,$C990,BASE!$A:$A,T$2)</f>
        <v>0</v>
      </c>
      <c r="U990" s="12">
        <f>SUMIFS(BASE!$G:$G,BASE!$B:$B,$B990,BASE!$L:$L,$G990,BASE!$J:$J,$C990,BASE!$A:$A,U$2)</f>
        <v>0</v>
      </c>
      <c r="V990" s="12">
        <f>SUMIFS(BASE!$G:$G,BASE!$B:$B,$B990,BASE!$L:$L,$G990,BASE!$J:$J,$C990,BASE!$A:$A,V$2)</f>
        <v>0</v>
      </c>
      <c r="X990" t="str">
        <f t="shared" si="31"/>
        <v>COM TROCAS</v>
      </c>
    </row>
    <row r="991" spans="2:24">
      <c r="B991" s="8" t="s">
        <v>2029</v>
      </c>
      <c r="C991" s="9" t="s">
        <v>193</v>
      </c>
      <c r="D991" s="9" t="s">
        <v>2022</v>
      </c>
      <c r="E991" s="9" t="s">
        <v>2023</v>
      </c>
      <c r="F991" s="9" t="s">
        <v>2026</v>
      </c>
      <c r="G991" s="9" t="s">
        <v>58</v>
      </c>
      <c r="H991" s="7" t="str">
        <f>IFERROR(IF(_xlfn.XLOOKUP(B991,REPASSE!D:D,REPASSE!D:D)="","Não","Sim"),"Não")</f>
        <v>Não</v>
      </c>
      <c r="I991" s="7" t="str">
        <f>IF(_xlfn.XLOOKUP(B991,'BOOST LIBERADO'!B:B,'BOOST LIBERADO'!B:B,"Não")="Não","Não","Sim")</f>
        <v>Sim</v>
      </c>
      <c r="J991" s="83" t="str">
        <f t="shared" si="30"/>
        <v>Sim</v>
      </c>
      <c r="K991" s="12">
        <f>SUMIFS(BASE!$G:$G,BASE!$B:$B,$B991,BASE!$L:$L,$G991,BASE!$J:$J,$C991,BASE!$A:$A,K$2)</f>
        <v>2</v>
      </c>
      <c r="L991" s="12">
        <f>SUMIFS(BASE!$G:$G,BASE!$B:$B,$B991,BASE!$L:$L,$G991,BASE!$J:$J,$C991,BASE!$A:$A,L$2)</f>
        <v>2</v>
      </c>
      <c r="M991" s="12">
        <f>SUMIFS(BASE!$G:$G,BASE!$B:$B,$B991,BASE!$L:$L,$G991,BASE!$J:$J,$C991,BASE!$A:$A,M$2)</f>
        <v>5</v>
      </c>
      <c r="N991" s="12">
        <f>SUMIFS(BASE!$G:$G,BASE!$B:$B,$B991,BASE!$L:$L,$G991,BASE!$J:$J,$C991,BASE!$A:$A,N$2)</f>
        <v>1</v>
      </c>
      <c r="O991" s="12">
        <f>SUMIFS(BASE!$G:$G,BASE!$B:$B,$B991,BASE!$L:$L,$G991,BASE!$J:$J,$C991,BASE!$A:$A,O$2)</f>
        <v>5</v>
      </c>
      <c r="P991" s="12">
        <f>SUMIFS(BASE!$G:$G,BASE!$B:$B,$B991,BASE!$L:$L,$G991,BASE!$J:$J,$C991,BASE!$A:$A,P$2)</f>
        <v>18</v>
      </c>
      <c r="Q991" s="12">
        <f>SUMIFS(BASE!$G:$G,BASE!$B:$B,$B991,BASE!$L:$L,$G991,BASE!$J:$J,$C991,BASE!$A:$A,Q$2)</f>
        <v>15</v>
      </c>
      <c r="R991" s="12">
        <f>SUMIFS(BASE!$G:$G,BASE!$B:$B,$B991,BASE!$L:$L,$G991,BASE!$J:$J,$C991,BASE!$A:$A,R$2)</f>
        <v>6</v>
      </c>
      <c r="S991" s="12">
        <f>SUMIFS(BASE!$G:$G,BASE!$B:$B,$B991,BASE!$L:$L,$G991,BASE!$J:$J,$C991,BASE!$A:$A,S$2)</f>
        <v>0</v>
      </c>
      <c r="T991" s="12">
        <f>SUMIFS(BASE!$G:$G,BASE!$B:$B,$B991,BASE!$L:$L,$G991,BASE!$J:$J,$C991,BASE!$A:$A,T$2)</f>
        <v>0</v>
      </c>
      <c r="U991" s="12">
        <f>SUMIFS(BASE!$G:$G,BASE!$B:$B,$B991,BASE!$L:$L,$G991,BASE!$J:$J,$C991,BASE!$A:$A,U$2)</f>
        <v>0</v>
      </c>
      <c r="V991" s="12">
        <f>SUMIFS(BASE!$G:$G,BASE!$B:$B,$B991,BASE!$L:$L,$G991,BASE!$J:$J,$C991,BASE!$A:$A,V$2)</f>
        <v>0</v>
      </c>
      <c r="X991" t="str">
        <f t="shared" si="31"/>
        <v>COM TROCAS</v>
      </c>
    </row>
    <row r="992" spans="2:24">
      <c r="B992" s="8" t="s">
        <v>2030</v>
      </c>
      <c r="C992" s="9" t="s">
        <v>193</v>
      </c>
      <c r="D992" s="9" t="s">
        <v>2022</v>
      </c>
      <c r="E992" s="9" t="s">
        <v>2023</v>
      </c>
      <c r="F992" s="9" t="s">
        <v>2031</v>
      </c>
      <c r="G992" s="9" t="s">
        <v>58</v>
      </c>
      <c r="H992" s="7" t="str">
        <f>IFERROR(IF(_xlfn.XLOOKUP(B992,REPASSE!D:D,REPASSE!D:D)="","Não","Sim"),"Não")</f>
        <v>Não</v>
      </c>
      <c r="I992" s="7" t="str">
        <f>IF(_xlfn.XLOOKUP(B992,'BOOST LIBERADO'!B:B,'BOOST LIBERADO'!B:B,"Não")="Não","Não","Sim")</f>
        <v>Sim</v>
      </c>
      <c r="J992" s="83" t="str">
        <f t="shared" si="30"/>
        <v>Sim</v>
      </c>
      <c r="K992" s="12">
        <f>SUMIFS(BASE!$G:$G,BASE!$B:$B,$B992,BASE!$L:$L,$G992,BASE!$J:$J,$C992,BASE!$A:$A,K$2)</f>
        <v>0</v>
      </c>
      <c r="L992" s="12">
        <f>SUMIFS(BASE!$G:$G,BASE!$B:$B,$B992,BASE!$L:$L,$G992,BASE!$J:$J,$C992,BASE!$A:$A,L$2)</f>
        <v>0</v>
      </c>
      <c r="M992" s="12">
        <f>SUMIFS(BASE!$G:$G,BASE!$B:$B,$B992,BASE!$L:$L,$G992,BASE!$J:$J,$C992,BASE!$A:$A,M$2)</f>
        <v>0</v>
      </c>
      <c r="N992" s="12">
        <f>SUMIFS(BASE!$G:$G,BASE!$B:$B,$B992,BASE!$L:$L,$G992,BASE!$J:$J,$C992,BASE!$A:$A,N$2)</f>
        <v>1</v>
      </c>
      <c r="O992" s="12">
        <f>SUMIFS(BASE!$G:$G,BASE!$B:$B,$B992,BASE!$L:$L,$G992,BASE!$J:$J,$C992,BASE!$A:$A,O$2)</f>
        <v>0</v>
      </c>
      <c r="P992" s="12">
        <f>SUMIFS(BASE!$G:$G,BASE!$B:$B,$B992,BASE!$L:$L,$G992,BASE!$J:$J,$C992,BASE!$A:$A,P$2)</f>
        <v>0</v>
      </c>
      <c r="Q992" s="12">
        <f>SUMIFS(BASE!$G:$G,BASE!$B:$B,$B992,BASE!$L:$L,$G992,BASE!$J:$J,$C992,BASE!$A:$A,Q$2)</f>
        <v>4</v>
      </c>
      <c r="R992" s="12">
        <f>SUMIFS(BASE!$G:$G,BASE!$B:$B,$B992,BASE!$L:$L,$G992,BASE!$J:$J,$C992,BASE!$A:$A,R$2)</f>
        <v>0</v>
      </c>
      <c r="S992" s="12">
        <f>SUMIFS(BASE!$G:$G,BASE!$B:$B,$B992,BASE!$L:$L,$G992,BASE!$J:$J,$C992,BASE!$A:$A,S$2)</f>
        <v>0</v>
      </c>
      <c r="T992" s="12">
        <f>SUMIFS(BASE!$G:$G,BASE!$B:$B,$B992,BASE!$L:$L,$G992,BASE!$J:$J,$C992,BASE!$A:$A,T$2)</f>
        <v>0</v>
      </c>
      <c r="U992" s="12">
        <f>SUMIFS(BASE!$G:$G,BASE!$B:$B,$B992,BASE!$L:$L,$G992,BASE!$J:$J,$C992,BASE!$A:$A,U$2)</f>
        <v>0</v>
      </c>
      <c r="V992" s="12">
        <f>SUMIFS(BASE!$G:$G,BASE!$B:$B,$B992,BASE!$L:$L,$G992,BASE!$J:$J,$C992,BASE!$A:$A,V$2)</f>
        <v>0</v>
      </c>
      <c r="X992" t="str">
        <f t="shared" si="31"/>
        <v>ZERADO</v>
      </c>
    </row>
    <row r="993" spans="2:24">
      <c r="B993" s="8" t="s">
        <v>2032</v>
      </c>
      <c r="C993" s="9" t="s">
        <v>193</v>
      </c>
      <c r="D993" s="9" t="s">
        <v>2022</v>
      </c>
      <c r="E993" s="9" t="s">
        <v>2023</v>
      </c>
      <c r="F993" s="9" t="s">
        <v>2033</v>
      </c>
      <c r="G993" s="9" t="s">
        <v>58</v>
      </c>
      <c r="H993" s="7" t="str">
        <f>IFERROR(IF(_xlfn.XLOOKUP(B993,REPASSE!D:D,REPASSE!D:D)="","Não","Sim"),"Não")</f>
        <v>Não</v>
      </c>
      <c r="I993" s="7" t="str">
        <f>IF(_xlfn.XLOOKUP(B993,'BOOST LIBERADO'!B:B,'BOOST LIBERADO'!B:B,"Não")="Não","Não","Sim")</f>
        <v>Sim</v>
      </c>
      <c r="J993" s="83" t="str">
        <f t="shared" si="30"/>
        <v>Sim</v>
      </c>
      <c r="K993" s="12">
        <f>SUMIFS(BASE!$G:$G,BASE!$B:$B,$B993,BASE!$L:$L,$G993,BASE!$J:$J,$C993,BASE!$A:$A,K$2)</f>
        <v>0</v>
      </c>
      <c r="L993" s="12">
        <f>SUMIFS(BASE!$G:$G,BASE!$B:$B,$B993,BASE!$L:$L,$G993,BASE!$J:$J,$C993,BASE!$A:$A,L$2)</f>
        <v>0</v>
      </c>
      <c r="M993" s="12">
        <f>SUMIFS(BASE!$G:$G,BASE!$B:$B,$B993,BASE!$L:$L,$G993,BASE!$J:$J,$C993,BASE!$A:$A,M$2)</f>
        <v>2</v>
      </c>
      <c r="N993" s="12">
        <f>SUMIFS(BASE!$G:$G,BASE!$B:$B,$B993,BASE!$L:$L,$G993,BASE!$J:$J,$C993,BASE!$A:$A,N$2)</f>
        <v>6</v>
      </c>
      <c r="O993" s="12">
        <f>SUMIFS(BASE!$G:$G,BASE!$B:$B,$B993,BASE!$L:$L,$G993,BASE!$J:$J,$C993,BASE!$A:$A,O$2)</f>
        <v>6</v>
      </c>
      <c r="P993" s="12">
        <f>SUMIFS(BASE!$G:$G,BASE!$B:$B,$B993,BASE!$L:$L,$G993,BASE!$J:$J,$C993,BASE!$A:$A,P$2)</f>
        <v>2</v>
      </c>
      <c r="Q993" s="12">
        <f>SUMIFS(BASE!$G:$G,BASE!$B:$B,$B993,BASE!$L:$L,$G993,BASE!$J:$J,$C993,BASE!$A:$A,Q$2)</f>
        <v>1</v>
      </c>
      <c r="R993" s="12">
        <f>SUMIFS(BASE!$G:$G,BASE!$B:$B,$B993,BASE!$L:$L,$G993,BASE!$J:$J,$C993,BASE!$A:$A,R$2)</f>
        <v>2</v>
      </c>
      <c r="S993" s="12">
        <f>SUMIFS(BASE!$G:$G,BASE!$B:$B,$B993,BASE!$L:$L,$G993,BASE!$J:$J,$C993,BASE!$A:$A,S$2)</f>
        <v>0</v>
      </c>
      <c r="T993" s="12">
        <f>SUMIFS(BASE!$G:$G,BASE!$B:$B,$B993,BASE!$L:$L,$G993,BASE!$J:$J,$C993,BASE!$A:$A,T$2)</f>
        <v>0</v>
      </c>
      <c r="U993" s="12">
        <f>SUMIFS(BASE!$G:$G,BASE!$B:$B,$B993,BASE!$L:$L,$G993,BASE!$J:$J,$C993,BASE!$A:$A,U$2)</f>
        <v>0</v>
      </c>
      <c r="V993" s="12">
        <f>SUMIFS(BASE!$G:$G,BASE!$B:$B,$B993,BASE!$L:$L,$G993,BASE!$J:$J,$C993,BASE!$A:$A,V$2)</f>
        <v>0</v>
      </c>
      <c r="X993" t="str">
        <f t="shared" si="31"/>
        <v>COM TROCAS</v>
      </c>
    </row>
    <row r="994" spans="2:24">
      <c r="B994" s="8" t="s">
        <v>2034</v>
      </c>
      <c r="C994" s="9" t="s">
        <v>193</v>
      </c>
      <c r="D994" s="9" t="s">
        <v>2022</v>
      </c>
      <c r="E994" s="9" t="s">
        <v>2023</v>
      </c>
      <c r="F994" s="9" t="s">
        <v>2035</v>
      </c>
      <c r="G994" s="9" t="s">
        <v>58</v>
      </c>
      <c r="H994" s="7" t="str">
        <f>IFERROR(IF(_xlfn.XLOOKUP(B994,REPASSE!D:D,REPASSE!D:D)="","Não","Sim"),"Não")</f>
        <v>Não</v>
      </c>
      <c r="I994" s="7" t="str">
        <f>IF(_xlfn.XLOOKUP(B994,'BOOST LIBERADO'!B:B,'BOOST LIBERADO'!B:B,"Não")="Não","Não","Sim")</f>
        <v>Sim</v>
      </c>
      <c r="J994" s="83" t="str">
        <f t="shared" si="30"/>
        <v>Sim</v>
      </c>
      <c r="K994" s="12">
        <f>SUMIFS(BASE!$G:$G,BASE!$B:$B,$B994,BASE!$L:$L,$G994,BASE!$J:$J,$C994,BASE!$A:$A,K$2)</f>
        <v>0</v>
      </c>
      <c r="L994" s="12">
        <f>SUMIFS(BASE!$G:$G,BASE!$B:$B,$B994,BASE!$L:$L,$G994,BASE!$J:$J,$C994,BASE!$A:$A,L$2)</f>
        <v>0</v>
      </c>
      <c r="M994" s="12">
        <f>SUMIFS(BASE!$G:$G,BASE!$B:$B,$B994,BASE!$L:$L,$G994,BASE!$J:$J,$C994,BASE!$A:$A,M$2)</f>
        <v>0</v>
      </c>
      <c r="N994" s="12">
        <f>SUMIFS(BASE!$G:$G,BASE!$B:$B,$B994,BASE!$L:$L,$G994,BASE!$J:$J,$C994,BASE!$A:$A,N$2)</f>
        <v>1</v>
      </c>
      <c r="O994" s="12">
        <f>SUMIFS(BASE!$G:$G,BASE!$B:$B,$B994,BASE!$L:$L,$G994,BASE!$J:$J,$C994,BASE!$A:$A,O$2)</f>
        <v>0</v>
      </c>
      <c r="P994" s="12">
        <f>SUMIFS(BASE!$G:$G,BASE!$B:$B,$B994,BASE!$L:$L,$G994,BASE!$J:$J,$C994,BASE!$A:$A,P$2)</f>
        <v>1</v>
      </c>
      <c r="Q994" s="12">
        <f>SUMIFS(BASE!$G:$G,BASE!$B:$B,$B994,BASE!$L:$L,$G994,BASE!$J:$J,$C994,BASE!$A:$A,Q$2)</f>
        <v>1</v>
      </c>
      <c r="R994" s="12">
        <f>SUMIFS(BASE!$G:$G,BASE!$B:$B,$B994,BASE!$L:$L,$G994,BASE!$J:$J,$C994,BASE!$A:$A,R$2)</f>
        <v>1</v>
      </c>
      <c r="S994" s="12">
        <f>SUMIFS(BASE!$G:$G,BASE!$B:$B,$B994,BASE!$L:$L,$G994,BASE!$J:$J,$C994,BASE!$A:$A,S$2)</f>
        <v>0</v>
      </c>
      <c r="T994" s="12">
        <f>SUMIFS(BASE!$G:$G,BASE!$B:$B,$B994,BASE!$L:$L,$G994,BASE!$J:$J,$C994,BASE!$A:$A,T$2)</f>
        <v>0</v>
      </c>
      <c r="U994" s="12">
        <f>SUMIFS(BASE!$G:$G,BASE!$B:$B,$B994,BASE!$L:$L,$G994,BASE!$J:$J,$C994,BASE!$A:$A,U$2)</f>
        <v>0</v>
      </c>
      <c r="V994" s="12">
        <f>SUMIFS(BASE!$G:$G,BASE!$B:$B,$B994,BASE!$L:$L,$G994,BASE!$J:$J,$C994,BASE!$A:$A,V$2)</f>
        <v>0</v>
      </c>
      <c r="X994" t="str">
        <f t="shared" si="31"/>
        <v>COM TROCAS</v>
      </c>
    </row>
    <row r="995" spans="2:24">
      <c r="B995" s="8" t="s">
        <v>2036</v>
      </c>
      <c r="C995" s="9" t="s">
        <v>193</v>
      </c>
      <c r="D995" s="9" t="s">
        <v>2022</v>
      </c>
      <c r="E995" s="9" t="s">
        <v>2023</v>
      </c>
      <c r="F995" s="9" t="s">
        <v>2037</v>
      </c>
      <c r="G995" s="9" t="s">
        <v>58</v>
      </c>
      <c r="H995" s="7" t="str">
        <f>IFERROR(IF(_xlfn.XLOOKUP(B995,REPASSE!D:D,REPASSE!D:D)="","Não","Sim"),"Não")</f>
        <v>Não</v>
      </c>
      <c r="I995" s="7" t="str">
        <f>IF(_xlfn.XLOOKUP(B995,'BOOST LIBERADO'!B:B,'BOOST LIBERADO'!B:B,"Não")="Não","Não","Sim")</f>
        <v>Sim</v>
      </c>
      <c r="J995" s="83" t="str">
        <f t="shared" si="30"/>
        <v>Sim</v>
      </c>
      <c r="K995" s="12">
        <f>SUMIFS(BASE!$G:$G,BASE!$B:$B,$B995,BASE!$L:$L,$G995,BASE!$J:$J,$C995,BASE!$A:$A,K$2)</f>
        <v>1</v>
      </c>
      <c r="L995" s="12">
        <f>SUMIFS(BASE!$G:$G,BASE!$B:$B,$B995,BASE!$L:$L,$G995,BASE!$J:$J,$C995,BASE!$A:$A,L$2)</f>
        <v>2</v>
      </c>
      <c r="M995" s="12">
        <f>SUMIFS(BASE!$G:$G,BASE!$B:$B,$B995,BASE!$L:$L,$G995,BASE!$J:$J,$C995,BASE!$A:$A,M$2)</f>
        <v>1</v>
      </c>
      <c r="N995" s="12">
        <f>SUMIFS(BASE!$G:$G,BASE!$B:$B,$B995,BASE!$L:$L,$G995,BASE!$J:$J,$C995,BASE!$A:$A,N$2)</f>
        <v>1</v>
      </c>
      <c r="O995" s="12">
        <f>SUMIFS(BASE!$G:$G,BASE!$B:$B,$B995,BASE!$L:$L,$G995,BASE!$J:$J,$C995,BASE!$A:$A,O$2)</f>
        <v>2</v>
      </c>
      <c r="P995" s="12">
        <f>SUMIFS(BASE!$G:$G,BASE!$B:$B,$B995,BASE!$L:$L,$G995,BASE!$J:$J,$C995,BASE!$A:$A,P$2)</f>
        <v>1</v>
      </c>
      <c r="Q995" s="12">
        <f>SUMIFS(BASE!$G:$G,BASE!$B:$B,$B995,BASE!$L:$L,$G995,BASE!$J:$J,$C995,BASE!$A:$A,Q$2)</f>
        <v>5</v>
      </c>
      <c r="R995" s="12">
        <f>SUMIFS(BASE!$G:$G,BASE!$B:$B,$B995,BASE!$L:$L,$G995,BASE!$J:$J,$C995,BASE!$A:$A,R$2)</f>
        <v>1</v>
      </c>
      <c r="S995" s="12">
        <f>SUMIFS(BASE!$G:$G,BASE!$B:$B,$B995,BASE!$L:$L,$G995,BASE!$J:$J,$C995,BASE!$A:$A,S$2)</f>
        <v>0</v>
      </c>
      <c r="T995" s="12">
        <f>SUMIFS(BASE!$G:$G,BASE!$B:$B,$B995,BASE!$L:$L,$G995,BASE!$J:$J,$C995,BASE!$A:$A,T$2)</f>
        <v>0</v>
      </c>
      <c r="U995" s="12">
        <f>SUMIFS(BASE!$G:$G,BASE!$B:$B,$B995,BASE!$L:$L,$G995,BASE!$J:$J,$C995,BASE!$A:$A,U$2)</f>
        <v>0</v>
      </c>
      <c r="V995" s="12">
        <f>SUMIFS(BASE!$G:$G,BASE!$B:$B,$B995,BASE!$L:$L,$G995,BASE!$J:$J,$C995,BASE!$A:$A,V$2)</f>
        <v>0</v>
      </c>
      <c r="X995" t="str">
        <f t="shared" si="31"/>
        <v>COM TROCAS</v>
      </c>
    </row>
    <row r="996" spans="2:24">
      <c r="B996" s="8" t="s">
        <v>2038</v>
      </c>
      <c r="C996" s="9" t="s">
        <v>193</v>
      </c>
      <c r="D996" s="9" t="s">
        <v>2039</v>
      </c>
      <c r="E996" s="9" t="s">
        <v>2023</v>
      </c>
      <c r="F996" s="9" t="s">
        <v>2040</v>
      </c>
      <c r="G996" s="9" t="s">
        <v>58</v>
      </c>
      <c r="H996" s="7" t="str">
        <f>IFERROR(IF(_xlfn.XLOOKUP(B996,REPASSE!D:D,REPASSE!D:D)="","Não","Sim"),"Não")</f>
        <v>Não</v>
      </c>
      <c r="I996" s="7" t="str">
        <f>IF(_xlfn.XLOOKUP(B996,'BOOST LIBERADO'!B:B,'BOOST LIBERADO'!B:B,"Não")="Não","Não","Sim")</f>
        <v>Sim</v>
      </c>
      <c r="J996" s="83" t="str">
        <f t="shared" si="30"/>
        <v>Sim</v>
      </c>
      <c r="K996" s="12">
        <f>SUMIFS(BASE!$G:$G,BASE!$B:$B,$B996,BASE!$L:$L,$G996,BASE!$J:$J,$C996,BASE!$A:$A,K$2)</f>
        <v>0</v>
      </c>
      <c r="L996" s="12">
        <f>SUMIFS(BASE!$G:$G,BASE!$B:$B,$B996,BASE!$L:$L,$G996,BASE!$J:$J,$C996,BASE!$A:$A,L$2)</f>
        <v>1</v>
      </c>
      <c r="M996" s="12">
        <f>SUMIFS(BASE!$G:$G,BASE!$B:$B,$B996,BASE!$L:$L,$G996,BASE!$J:$J,$C996,BASE!$A:$A,M$2)</f>
        <v>6</v>
      </c>
      <c r="N996" s="12">
        <f>SUMIFS(BASE!$G:$G,BASE!$B:$B,$B996,BASE!$L:$L,$G996,BASE!$J:$J,$C996,BASE!$A:$A,N$2)</f>
        <v>4</v>
      </c>
      <c r="O996" s="12">
        <f>SUMIFS(BASE!$G:$G,BASE!$B:$B,$B996,BASE!$L:$L,$G996,BASE!$J:$J,$C996,BASE!$A:$A,O$2)</f>
        <v>7</v>
      </c>
      <c r="P996" s="12">
        <f>SUMIFS(BASE!$G:$G,BASE!$B:$B,$B996,BASE!$L:$L,$G996,BASE!$J:$J,$C996,BASE!$A:$A,P$2)</f>
        <v>5</v>
      </c>
      <c r="Q996" s="12">
        <f>SUMIFS(BASE!$G:$G,BASE!$B:$B,$B996,BASE!$L:$L,$G996,BASE!$J:$J,$C996,BASE!$A:$A,Q$2)</f>
        <v>5</v>
      </c>
      <c r="R996" s="12">
        <f>SUMIFS(BASE!$G:$G,BASE!$B:$B,$B996,BASE!$L:$L,$G996,BASE!$J:$J,$C996,BASE!$A:$A,R$2)</f>
        <v>1</v>
      </c>
      <c r="S996" s="12">
        <f>SUMIFS(BASE!$G:$G,BASE!$B:$B,$B996,BASE!$L:$L,$G996,BASE!$J:$J,$C996,BASE!$A:$A,S$2)</f>
        <v>0</v>
      </c>
      <c r="T996" s="12">
        <f>SUMIFS(BASE!$G:$G,BASE!$B:$B,$B996,BASE!$L:$L,$G996,BASE!$J:$J,$C996,BASE!$A:$A,T$2)</f>
        <v>0</v>
      </c>
      <c r="U996" s="12">
        <f>SUMIFS(BASE!$G:$G,BASE!$B:$B,$B996,BASE!$L:$L,$G996,BASE!$J:$J,$C996,BASE!$A:$A,U$2)</f>
        <v>0</v>
      </c>
      <c r="V996" s="12">
        <f>SUMIFS(BASE!$G:$G,BASE!$B:$B,$B996,BASE!$L:$L,$G996,BASE!$J:$J,$C996,BASE!$A:$A,V$2)</f>
        <v>0</v>
      </c>
      <c r="X996" t="str">
        <f t="shared" si="31"/>
        <v>COM TROCAS</v>
      </c>
    </row>
    <row r="997" spans="2:24">
      <c r="B997" s="8" t="s">
        <v>2041</v>
      </c>
      <c r="C997" s="9" t="s">
        <v>193</v>
      </c>
      <c r="D997" s="9" t="s">
        <v>2039</v>
      </c>
      <c r="E997" s="9" t="s">
        <v>2023</v>
      </c>
      <c r="F997" s="9" t="s">
        <v>2042</v>
      </c>
      <c r="G997" s="9" t="s">
        <v>58</v>
      </c>
      <c r="H997" s="7" t="str">
        <f>IFERROR(IF(_xlfn.XLOOKUP(B997,REPASSE!D:D,REPASSE!D:D)="","Não","Sim"),"Não")</f>
        <v>Não</v>
      </c>
      <c r="I997" s="7" t="str">
        <f>IF(_xlfn.XLOOKUP(B997,'BOOST LIBERADO'!B:B,'BOOST LIBERADO'!B:B,"Não")="Não","Não","Sim")</f>
        <v>Sim</v>
      </c>
      <c r="J997" s="83" t="str">
        <f t="shared" si="30"/>
        <v>Sim</v>
      </c>
      <c r="K997" s="12">
        <f>SUMIFS(BASE!$G:$G,BASE!$B:$B,$B997,BASE!$L:$L,$G997,BASE!$J:$J,$C997,BASE!$A:$A,K$2)</f>
        <v>6</v>
      </c>
      <c r="L997" s="12">
        <f>SUMIFS(BASE!$G:$G,BASE!$B:$B,$B997,BASE!$L:$L,$G997,BASE!$J:$J,$C997,BASE!$A:$A,L$2)</f>
        <v>4</v>
      </c>
      <c r="M997" s="12">
        <f>SUMIFS(BASE!$G:$G,BASE!$B:$B,$B997,BASE!$L:$L,$G997,BASE!$J:$J,$C997,BASE!$A:$A,M$2)</f>
        <v>9</v>
      </c>
      <c r="N997" s="12">
        <f>SUMIFS(BASE!$G:$G,BASE!$B:$B,$B997,BASE!$L:$L,$G997,BASE!$J:$J,$C997,BASE!$A:$A,N$2)</f>
        <v>8</v>
      </c>
      <c r="O997" s="12">
        <f>SUMIFS(BASE!$G:$G,BASE!$B:$B,$B997,BASE!$L:$L,$G997,BASE!$J:$J,$C997,BASE!$A:$A,O$2)</f>
        <v>20</v>
      </c>
      <c r="P997" s="12">
        <f>SUMIFS(BASE!$G:$G,BASE!$B:$B,$B997,BASE!$L:$L,$G997,BASE!$J:$J,$C997,BASE!$A:$A,P$2)</f>
        <v>23</v>
      </c>
      <c r="Q997" s="12">
        <f>SUMIFS(BASE!$G:$G,BASE!$B:$B,$B997,BASE!$L:$L,$G997,BASE!$J:$J,$C997,BASE!$A:$A,Q$2)</f>
        <v>47</v>
      </c>
      <c r="R997" s="12">
        <f>SUMIFS(BASE!$G:$G,BASE!$B:$B,$B997,BASE!$L:$L,$G997,BASE!$J:$J,$C997,BASE!$A:$A,R$2)</f>
        <v>14</v>
      </c>
      <c r="S997" s="12">
        <f>SUMIFS(BASE!$G:$G,BASE!$B:$B,$B997,BASE!$L:$L,$G997,BASE!$J:$J,$C997,BASE!$A:$A,S$2)</f>
        <v>0</v>
      </c>
      <c r="T997" s="12">
        <f>SUMIFS(BASE!$G:$G,BASE!$B:$B,$B997,BASE!$L:$L,$G997,BASE!$J:$J,$C997,BASE!$A:$A,T$2)</f>
        <v>0</v>
      </c>
      <c r="U997" s="12">
        <f>SUMIFS(BASE!$G:$G,BASE!$B:$B,$B997,BASE!$L:$L,$G997,BASE!$J:$J,$C997,BASE!$A:$A,U$2)</f>
        <v>0</v>
      </c>
      <c r="V997" s="12">
        <f>SUMIFS(BASE!$G:$G,BASE!$B:$B,$B997,BASE!$L:$L,$G997,BASE!$J:$J,$C997,BASE!$A:$A,V$2)</f>
        <v>0</v>
      </c>
      <c r="X997" t="str">
        <f t="shared" si="31"/>
        <v>COM TROCAS</v>
      </c>
    </row>
    <row r="998" spans="2:24">
      <c r="B998" s="8" t="s">
        <v>2043</v>
      </c>
      <c r="C998" s="9" t="s">
        <v>193</v>
      </c>
      <c r="D998" s="9" t="s">
        <v>2039</v>
      </c>
      <c r="E998" s="9" t="s">
        <v>2023</v>
      </c>
      <c r="F998" s="9" t="s">
        <v>2042</v>
      </c>
      <c r="G998" s="9" t="s">
        <v>58</v>
      </c>
      <c r="H998" s="7" t="str">
        <f>IFERROR(IF(_xlfn.XLOOKUP(B998,REPASSE!D:D,REPASSE!D:D)="","Não","Sim"),"Não")</f>
        <v>Não</v>
      </c>
      <c r="I998" s="7" t="str">
        <f>IF(_xlfn.XLOOKUP(B998,'BOOST LIBERADO'!B:B,'BOOST LIBERADO'!B:B,"Não")="Não","Não","Sim")</f>
        <v>Sim</v>
      </c>
      <c r="J998" s="83" t="str">
        <f t="shared" si="30"/>
        <v>Sim</v>
      </c>
      <c r="K998" s="12">
        <f>SUMIFS(BASE!$G:$G,BASE!$B:$B,$B998,BASE!$L:$L,$G998,BASE!$J:$J,$C998,BASE!$A:$A,K$2)</f>
        <v>2</v>
      </c>
      <c r="L998" s="12">
        <f>SUMIFS(BASE!$G:$G,BASE!$B:$B,$B998,BASE!$L:$L,$G998,BASE!$J:$J,$C998,BASE!$A:$A,L$2)</f>
        <v>2</v>
      </c>
      <c r="M998" s="12">
        <f>SUMIFS(BASE!$G:$G,BASE!$B:$B,$B998,BASE!$L:$L,$G998,BASE!$J:$J,$C998,BASE!$A:$A,M$2)</f>
        <v>3</v>
      </c>
      <c r="N998" s="12">
        <f>SUMIFS(BASE!$G:$G,BASE!$B:$B,$B998,BASE!$L:$L,$G998,BASE!$J:$J,$C998,BASE!$A:$A,N$2)</f>
        <v>6</v>
      </c>
      <c r="O998" s="12">
        <f>SUMIFS(BASE!$G:$G,BASE!$B:$B,$B998,BASE!$L:$L,$G998,BASE!$J:$J,$C998,BASE!$A:$A,O$2)</f>
        <v>3</v>
      </c>
      <c r="P998" s="12">
        <f>SUMIFS(BASE!$G:$G,BASE!$B:$B,$B998,BASE!$L:$L,$G998,BASE!$J:$J,$C998,BASE!$A:$A,P$2)</f>
        <v>3</v>
      </c>
      <c r="Q998" s="12">
        <f>SUMIFS(BASE!$G:$G,BASE!$B:$B,$B998,BASE!$L:$L,$G998,BASE!$J:$J,$C998,BASE!$A:$A,Q$2)</f>
        <v>7</v>
      </c>
      <c r="R998" s="12">
        <f>SUMIFS(BASE!$G:$G,BASE!$B:$B,$B998,BASE!$L:$L,$G998,BASE!$J:$J,$C998,BASE!$A:$A,R$2)</f>
        <v>4</v>
      </c>
      <c r="S998" s="12">
        <f>SUMIFS(BASE!$G:$G,BASE!$B:$B,$B998,BASE!$L:$L,$G998,BASE!$J:$J,$C998,BASE!$A:$A,S$2)</f>
        <v>0</v>
      </c>
      <c r="T998" s="12">
        <f>SUMIFS(BASE!$G:$G,BASE!$B:$B,$B998,BASE!$L:$L,$G998,BASE!$J:$J,$C998,BASE!$A:$A,T$2)</f>
        <v>0</v>
      </c>
      <c r="U998" s="12">
        <f>SUMIFS(BASE!$G:$G,BASE!$B:$B,$B998,BASE!$L:$L,$G998,BASE!$J:$J,$C998,BASE!$A:$A,U$2)</f>
        <v>0</v>
      </c>
      <c r="V998" s="12">
        <f>SUMIFS(BASE!$G:$G,BASE!$B:$B,$B998,BASE!$L:$L,$G998,BASE!$J:$J,$C998,BASE!$A:$A,V$2)</f>
        <v>0</v>
      </c>
      <c r="X998" t="str">
        <f t="shared" si="31"/>
        <v>COM TROCAS</v>
      </c>
    </row>
    <row r="999" spans="2:24">
      <c r="B999" s="8" t="s">
        <v>2044</v>
      </c>
      <c r="C999" s="9" t="s">
        <v>153</v>
      </c>
      <c r="D999" s="9" t="s">
        <v>2039</v>
      </c>
      <c r="E999" s="9" t="s">
        <v>2023</v>
      </c>
      <c r="F999" s="9" t="s">
        <v>2045</v>
      </c>
      <c r="G999" s="9" t="s">
        <v>58</v>
      </c>
      <c r="H999" s="7" t="str">
        <f>IFERROR(IF(_xlfn.XLOOKUP(B999,REPASSE!D:D,REPASSE!D:D)="","Não","Sim"),"Não")</f>
        <v>Não</v>
      </c>
      <c r="I999" s="7" t="str">
        <f>IF(_xlfn.XLOOKUP(B999,'BOOST LIBERADO'!B:B,'BOOST LIBERADO'!B:B,"Não")="Não","Não","Sim")</f>
        <v>Sim</v>
      </c>
      <c r="J999" s="83" t="str">
        <f t="shared" si="30"/>
        <v>Sim</v>
      </c>
      <c r="K999" s="12">
        <f>SUMIFS(BASE!$G:$G,BASE!$B:$B,$B999,BASE!$L:$L,$G999,BASE!$J:$J,$C999,BASE!$A:$A,K$2)</f>
        <v>0</v>
      </c>
      <c r="L999" s="12">
        <f>SUMIFS(BASE!$G:$G,BASE!$B:$B,$B999,BASE!$L:$L,$G999,BASE!$J:$J,$C999,BASE!$A:$A,L$2)</f>
        <v>0</v>
      </c>
      <c r="M999" s="12">
        <f>SUMIFS(BASE!$G:$G,BASE!$B:$B,$B999,BASE!$L:$L,$G999,BASE!$J:$J,$C999,BASE!$A:$A,M$2)</f>
        <v>1</v>
      </c>
      <c r="N999" s="12">
        <f>SUMIFS(BASE!$G:$G,BASE!$B:$B,$B999,BASE!$L:$L,$G999,BASE!$J:$J,$C999,BASE!$A:$A,N$2)</f>
        <v>0</v>
      </c>
      <c r="O999" s="12">
        <f>SUMIFS(BASE!$G:$G,BASE!$B:$B,$B999,BASE!$L:$L,$G999,BASE!$J:$J,$C999,BASE!$A:$A,O$2)</f>
        <v>0</v>
      </c>
      <c r="P999" s="12">
        <f>SUMIFS(BASE!$G:$G,BASE!$B:$B,$B999,BASE!$L:$L,$G999,BASE!$J:$J,$C999,BASE!$A:$A,P$2)</f>
        <v>0</v>
      </c>
      <c r="Q999" s="12">
        <f>SUMIFS(BASE!$G:$G,BASE!$B:$B,$B999,BASE!$L:$L,$G999,BASE!$J:$J,$C999,BASE!$A:$A,Q$2)</f>
        <v>0</v>
      </c>
      <c r="R999" s="12">
        <f>SUMIFS(BASE!$G:$G,BASE!$B:$B,$B999,BASE!$L:$L,$G999,BASE!$J:$J,$C999,BASE!$A:$A,R$2)</f>
        <v>0</v>
      </c>
      <c r="S999" s="12">
        <f>SUMIFS(BASE!$G:$G,BASE!$B:$B,$B999,BASE!$L:$L,$G999,BASE!$J:$J,$C999,BASE!$A:$A,S$2)</f>
        <v>0</v>
      </c>
      <c r="T999" s="12">
        <f>SUMIFS(BASE!$G:$G,BASE!$B:$B,$B999,BASE!$L:$L,$G999,BASE!$J:$J,$C999,BASE!$A:$A,T$2)</f>
        <v>0</v>
      </c>
      <c r="U999" s="12">
        <f>SUMIFS(BASE!$G:$G,BASE!$B:$B,$B999,BASE!$L:$L,$G999,BASE!$J:$J,$C999,BASE!$A:$A,U$2)</f>
        <v>0</v>
      </c>
      <c r="V999" s="12">
        <f>SUMIFS(BASE!$G:$G,BASE!$B:$B,$B999,BASE!$L:$L,$G999,BASE!$J:$J,$C999,BASE!$A:$A,V$2)</f>
        <v>0</v>
      </c>
      <c r="X999" t="str">
        <f t="shared" si="31"/>
        <v>ZERADO</v>
      </c>
    </row>
    <row r="1000" spans="2:24">
      <c r="B1000" s="8" t="s">
        <v>2046</v>
      </c>
      <c r="C1000" s="9" t="s">
        <v>193</v>
      </c>
      <c r="D1000" s="9" t="s">
        <v>2039</v>
      </c>
      <c r="E1000" s="9" t="s">
        <v>2023</v>
      </c>
      <c r="F1000" s="9" t="s">
        <v>2047</v>
      </c>
      <c r="G1000" s="9" t="s">
        <v>58</v>
      </c>
      <c r="H1000" s="7" t="str">
        <f>IFERROR(IF(_xlfn.XLOOKUP(B1000,REPASSE!D:D,REPASSE!D:D)="","Não","Sim"),"Não")</f>
        <v>Não</v>
      </c>
      <c r="I1000" s="7" t="str">
        <f>IF(_xlfn.XLOOKUP(B1000,'BOOST LIBERADO'!B:B,'BOOST LIBERADO'!B:B,"Não")="Não","Não","Sim")</f>
        <v>Sim</v>
      </c>
      <c r="J1000" s="83" t="str">
        <f t="shared" si="30"/>
        <v>Sim</v>
      </c>
      <c r="K1000" s="12">
        <f>SUMIFS(BASE!$G:$G,BASE!$B:$B,$B1000,BASE!$L:$L,$G1000,BASE!$J:$J,$C1000,BASE!$A:$A,K$2)</f>
        <v>1</v>
      </c>
      <c r="L1000" s="12">
        <f>SUMIFS(BASE!$G:$G,BASE!$B:$B,$B1000,BASE!$L:$L,$G1000,BASE!$J:$J,$C1000,BASE!$A:$A,L$2)</f>
        <v>0</v>
      </c>
      <c r="M1000" s="12">
        <f>SUMIFS(BASE!$G:$G,BASE!$B:$B,$B1000,BASE!$L:$L,$G1000,BASE!$J:$J,$C1000,BASE!$A:$A,M$2)</f>
        <v>0</v>
      </c>
      <c r="N1000" s="12">
        <f>SUMIFS(BASE!$G:$G,BASE!$B:$B,$B1000,BASE!$L:$L,$G1000,BASE!$J:$J,$C1000,BASE!$A:$A,N$2)</f>
        <v>0</v>
      </c>
      <c r="O1000" s="12">
        <f>SUMIFS(BASE!$G:$G,BASE!$B:$B,$B1000,BASE!$L:$L,$G1000,BASE!$J:$J,$C1000,BASE!$A:$A,O$2)</f>
        <v>0</v>
      </c>
      <c r="P1000" s="12">
        <f>SUMIFS(BASE!$G:$G,BASE!$B:$B,$B1000,BASE!$L:$L,$G1000,BASE!$J:$J,$C1000,BASE!$A:$A,P$2)</f>
        <v>0</v>
      </c>
      <c r="Q1000" s="12">
        <f>SUMIFS(BASE!$G:$G,BASE!$B:$B,$B1000,BASE!$L:$L,$G1000,BASE!$J:$J,$C1000,BASE!$A:$A,Q$2)</f>
        <v>4</v>
      </c>
      <c r="R1000" s="12">
        <f>SUMIFS(BASE!$G:$G,BASE!$B:$B,$B1000,BASE!$L:$L,$G1000,BASE!$J:$J,$C1000,BASE!$A:$A,R$2)</f>
        <v>0</v>
      </c>
      <c r="S1000" s="12">
        <f>SUMIFS(BASE!$G:$G,BASE!$B:$B,$B1000,BASE!$L:$L,$G1000,BASE!$J:$J,$C1000,BASE!$A:$A,S$2)</f>
        <v>0</v>
      </c>
      <c r="T1000" s="12">
        <f>SUMIFS(BASE!$G:$G,BASE!$B:$B,$B1000,BASE!$L:$L,$G1000,BASE!$J:$J,$C1000,BASE!$A:$A,T$2)</f>
        <v>0</v>
      </c>
      <c r="U1000" s="12">
        <f>SUMIFS(BASE!$G:$G,BASE!$B:$B,$B1000,BASE!$L:$L,$G1000,BASE!$J:$J,$C1000,BASE!$A:$A,U$2)</f>
        <v>0</v>
      </c>
      <c r="V1000" s="12">
        <f>SUMIFS(BASE!$G:$G,BASE!$B:$B,$B1000,BASE!$L:$L,$G1000,BASE!$J:$J,$C1000,BASE!$A:$A,V$2)</f>
        <v>0</v>
      </c>
      <c r="X1000" t="str">
        <f t="shared" si="31"/>
        <v>ZERADO</v>
      </c>
    </row>
    <row r="1001" spans="2:24">
      <c r="B1001" s="8" t="s">
        <v>2048</v>
      </c>
      <c r="C1001" s="9" t="s">
        <v>193</v>
      </c>
      <c r="D1001" s="9" t="s">
        <v>2039</v>
      </c>
      <c r="E1001" s="9" t="s">
        <v>2023</v>
      </c>
      <c r="F1001" s="9" t="s">
        <v>2049</v>
      </c>
      <c r="G1001" s="9" t="s">
        <v>58</v>
      </c>
      <c r="H1001" s="7" t="str">
        <f>IFERROR(IF(_xlfn.XLOOKUP(B1001,REPASSE!D:D,REPASSE!D:D)="","Não","Sim"),"Não")</f>
        <v>Não</v>
      </c>
      <c r="I1001" s="7" t="str">
        <f>IF(_xlfn.XLOOKUP(B1001,'BOOST LIBERADO'!B:B,'BOOST LIBERADO'!B:B,"Não")="Não","Não","Sim")</f>
        <v>Sim</v>
      </c>
      <c r="J1001" s="83" t="str">
        <f t="shared" si="30"/>
        <v>Sim</v>
      </c>
      <c r="K1001" s="12">
        <f>SUMIFS(BASE!$G:$G,BASE!$B:$B,$B1001,BASE!$L:$L,$G1001,BASE!$J:$J,$C1001,BASE!$A:$A,K$2)</f>
        <v>1</v>
      </c>
      <c r="L1001" s="12">
        <f>SUMIFS(BASE!$G:$G,BASE!$B:$B,$B1001,BASE!$L:$L,$G1001,BASE!$J:$J,$C1001,BASE!$A:$A,L$2)</f>
        <v>2</v>
      </c>
      <c r="M1001" s="12">
        <f>SUMIFS(BASE!$G:$G,BASE!$B:$B,$B1001,BASE!$L:$L,$G1001,BASE!$J:$J,$C1001,BASE!$A:$A,M$2)</f>
        <v>3</v>
      </c>
      <c r="N1001" s="12">
        <f>SUMIFS(BASE!$G:$G,BASE!$B:$B,$B1001,BASE!$L:$L,$G1001,BASE!$J:$J,$C1001,BASE!$A:$A,N$2)</f>
        <v>2</v>
      </c>
      <c r="O1001" s="12">
        <f>SUMIFS(BASE!$G:$G,BASE!$B:$B,$B1001,BASE!$L:$L,$G1001,BASE!$J:$J,$C1001,BASE!$A:$A,O$2)</f>
        <v>5</v>
      </c>
      <c r="P1001" s="12">
        <f>SUMIFS(BASE!$G:$G,BASE!$B:$B,$B1001,BASE!$L:$L,$G1001,BASE!$J:$J,$C1001,BASE!$A:$A,P$2)</f>
        <v>4</v>
      </c>
      <c r="Q1001" s="12">
        <f>SUMIFS(BASE!$G:$G,BASE!$B:$B,$B1001,BASE!$L:$L,$G1001,BASE!$J:$J,$C1001,BASE!$A:$A,Q$2)</f>
        <v>4</v>
      </c>
      <c r="R1001" s="12">
        <f>SUMIFS(BASE!$G:$G,BASE!$B:$B,$B1001,BASE!$L:$L,$G1001,BASE!$J:$J,$C1001,BASE!$A:$A,R$2)</f>
        <v>2</v>
      </c>
      <c r="S1001" s="12">
        <f>SUMIFS(BASE!$G:$G,BASE!$B:$B,$B1001,BASE!$L:$L,$G1001,BASE!$J:$J,$C1001,BASE!$A:$A,S$2)</f>
        <v>0</v>
      </c>
      <c r="T1001" s="12">
        <f>SUMIFS(BASE!$G:$G,BASE!$B:$B,$B1001,BASE!$L:$L,$G1001,BASE!$J:$J,$C1001,BASE!$A:$A,T$2)</f>
        <v>0</v>
      </c>
      <c r="U1001" s="12">
        <f>SUMIFS(BASE!$G:$G,BASE!$B:$B,$B1001,BASE!$L:$L,$G1001,BASE!$J:$J,$C1001,BASE!$A:$A,U$2)</f>
        <v>0</v>
      </c>
      <c r="V1001" s="12">
        <f>SUMIFS(BASE!$G:$G,BASE!$B:$B,$B1001,BASE!$L:$L,$G1001,BASE!$J:$J,$C1001,BASE!$A:$A,V$2)</f>
        <v>0</v>
      </c>
      <c r="X1001" t="str">
        <f t="shared" si="31"/>
        <v>COM TROCAS</v>
      </c>
    </row>
    <row r="1002" spans="2:24">
      <c r="B1002" s="8" t="s">
        <v>2050</v>
      </c>
      <c r="C1002" s="9" t="s">
        <v>193</v>
      </c>
      <c r="D1002" s="9" t="s">
        <v>2039</v>
      </c>
      <c r="E1002" s="9" t="s">
        <v>2023</v>
      </c>
      <c r="F1002" s="9" t="s">
        <v>2051</v>
      </c>
      <c r="G1002" s="9" t="s">
        <v>58</v>
      </c>
      <c r="H1002" s="7" t="str">
        <f>IFERROR(IF(_xlfn.XLOOKUP(B1002,REPASSE!D:D,REPASSE!D:D)="","Não","Sim"),"Não")</f>
        <v>Não</v>
      </c>
      <c r="I1002" s="7" t="str">
        <f>IF(_xlfn.XLOOKUP(B1002,'BOOST LIBERADO'!B:B,'BOOST LIBERADO'!B:B,"Não")="Não","Não","Sim")</f>
        <v>Sim</v>
      </c>
      <c r="J1002" s="83" t="str">
        <f t="shared" si="30"/>
        <v>Sim</v>
      </c>
      <c r="K1002" s="12">
        <f>SUMIFS(BASE!$G:$G,BASE!$B:$B,$B1002,BASE!$L:$L,$G1002,BASE!$J:$J,$C1002,BASE!$A:$A,K$2)</f>
        <v>2</v>
      </c>
      <c r="L1002" s="12">
        <f>SUMIFS(BASE!$G:$G,BASE!$B:$B,$B1002,BASE!$L:$L,$G1002,BASE!$J:$J,$C1002,BASE!$A:$A,L$2)</f>
        <v>1</v>
      </c>
      <c r="M1002" s="12">
        <f>SUMIFS(BASE!$G:$G,BASE!$B:$B,$B1002,BASE!$L:$L,$G1002,BASE!$J:$J,$C1002,BASE!$A:$A,M$2)</f>
        <v>1</v>
      </c>
      <c r="N1002" s="12">
        <f>SUMIFS(BASE!$G:$G,BASE!$B:$B,$B1002,BASE!$L:$L,$G1002,BASE!$J:$J,$C1002,BASE!$A:$A,N$2)</f>
        <v>1</v>
      </c>
      <c r="O1002" s="12">
        <f>SUMIFS(BASE!$G:$G,BASE!$B:$B,$B1002,BASE!$L:$L,$G1002,BASE!$J:$J,$C1002,BASE!$A:$A,O$2)</f>
        <v>0</v>
      </c>
      <c r="P1002" s="12">
        <f>SUMIFS(BASE!$G:$G,BASE!$B:$B,$B1002,BASE!$L:$L,$G1002,BASE!$J:$J,$C1002,BASE!$A:$A,P$2)</f>
        <v>2</v>
      </c>
      <c r="Q1002" s="12">
        <f>SUMIFS(BASE!$G:$G,BASE!$B:$B,$B1002,BASE!$L:$L,$G1002,BASE!$J:$J,$C1002,BASE!$A:$A,Q$2)</f>
        <v>2</v>
      </c>
      <c r="R1002" s="12">
        <f>SUMIFS(BASE!$G:$G,BASE!$B:$B,$B1002,BASE!$L:$L,$G1002,BASE!$J:$J,$C1002,BASE!$A:$A,R$2)</f>
        <v>1</v>
      </c>
      <c r="S1002" s="12">
        <f>SUMIFS(BASE!$G:$G,BASE!$B:$B,$B1002,BASE!$L:$L,$G1002,BASE!$J:$J,$C1002,BASE!$A:$A,S$2)</f>
        <v>0</v>
      </c>
      <c r="T1002" s="12">
        <f>SUMIFS(BASE!$G:$G,BASE!$B:$B,$B1002,BASE!$L:$L,$G1002,BASE!$J:$J,$C1002,BASE!$A:$A,T$2)</f>
        <v>0</v>
      </c>
      <c r="U1002" s="12">
        <f>SUMIFS(BASE!$G:$G,BASE!$B:$B,$B1002,BASE!$L:$L,$G1002,BASE!$J:$J,$C1002,BASE!$A:$A,U$2)</f>
        <v>0</v>
      </c>
      <c r="V1002" s="12">
        <f>SUMIFS(BASE!$G:$G,BASE!$B:$B,$B1002,BASE!$L:$L,$G1002,BASE!$J:$J,$C1002,BASE!$A:$A,V$2)</f>
        <v>0</v>
      </c>
      <c r="X1002" t="str">
        <f t="shared" si="31"/>
        <v>COM TROCAS</v>
      </c>
    </row>
    <row r="1003" spans="2:24">
      <c r="B1003" s="8" t="s">
        <v>2052</v>
      </c>
      <c r="C1003" s="9" t="s">
        <v>193</v>
      </c>
      <c r="D1003" s="9" t="s">
        <v>2039</v>
      </c>
      <c r="E1003" s="9" t="s">
        <v>2023</v>
      </c>
      <c r="F1003" s="9" t="s">
        <v>2053</v>
      </c>
      <c r="G1003" s="9" t="s">
        <v>58</v>
      </c>
      <c r="H1003" s="7" t="str">
        <f>IFERROR(IF(_xlfn.XLOOKUP(B1003,REPASSE!D:D,REPASSE!D:D)="","Não","Sim"),"Não")</f>
        <v>Não</v>
      </c>
      <c r="I1003" s="7" t="str">
        <f>IF(_xlfn.XLOOKUP(B1003,'BOOST LIBERADO'!B:B,'BOOST LIBERADO'!B:B,"Não")="Não","Não","Sim")</f>
        <v>Sim</v>
      </c>
      <c r="J1003" s="83" t="str">
        <f t="shared" si="30"/>
        <v>Sim</v>
      </c>
      <c r="K1003" s="12">
        <f>SUMIFS(BASE!$G:$G,BASE!$B:$B,$B1003,BASE!$L:$L,$G1003,BASE!$J:$J,$C1003,BASE!$A:$A,K$2)</f>
        <v>2</v>
      </c>
      <c r="L1003" s="12">
        <f>SUMIFS(BASE!$G:$G,BASE!$B:$B,$B1003,BASE!$L:$L,$G1003,BASE!$J:$J,$C1003,BASE!$A:$A,L$2)</f>
        <v>6</v>
      </c>
      <c r="M1003" s="12">
        <f>SUMIFS(BASE!$G:$G,BASE!$B:$B,$B1003,BASE!$L:$L,$G1003,BASE!$J:$J,$C1003,BASE!$A:$A,M$2)</f>
        <v>5</v>
      </c>
      <c r="N1003" s="12">
        <f>SUMIFS(BASE!$G:$G,BASE!$B:$B,$B1003,BASE!$L:$L,$G1003,BASE!$J:$J,$C1003,BASE!$A:$A,N$2)</f>
        <v>7</v>
      </c>
      <c r="O1003" s="12">
        <f>SUMIFS(BASE!$G:$G,BASE!$B:$B,$B1003,BASE!$L:$L,$G1003,BASE!$J:$J,$C1003,BASE!$A:$A,O$2)</f>
        <v>7</v>
      </c>
      <c r="P1003" s="12">
        <f>SUMIFS(BASE!$G:$G,BASE!$B:$B,$B1003,BASE!$L:$L,$G1003,BASE!$J:$J,$C1003,BASE!$A:$A,P$2)</f>
        <v>9</v>
      </c>
      <c r="Q1003" s="12">
        <f>SUMIFS(BASE!$G:$G,BASE!$B:$B,$B1003,BASE!$L:$L,$G1003,BASE!$J:$J,$C1003,BASE!$A:$A,Q$2)</f>
        <v>8</v>
      </c>
      <c r="R1003" s="12">
        <f>SUMIFS(BASE!$G:$G,BASE!$B:$B,$B1003,BASE!$L:$L,$G1003,BASE!$J:$J,$C1003,BASE!$A:$A,R$2)</f>
        <v>1</v>
      </c>
      <c r="S1003" s="12">
        <f>SUMIFS(BASE!$G:$G,BASE!$B:$B,$B1003,BASE!$L:$L,$G1003,BASE!$J:$J,$C1003,BASE!$A:$A,S$2)</f>
        <v>0</v>
      </c>
      <c r="T1003" s="12">
        <f>SUMIFS(BASE!$G:$G,BASE!$B:$B,$B1003,BASE!$L:$L,$G1003,BASE!$J:$J,$C1003,BASE!$A:$A,T$2)</f>
        <v>0</v>
      </c>
      <c r="U1003" s="12">
        <f>SUMIFS(BASE!$G:$G,BASE!$B:$B,$B1003,BASE!$L:$L,$G1003,BASE!$J:$J,$C1003,BASE!$A:$A,U$2)</f>
        <v>0</v>
      </c>
      <c r="V1003" s="12">
        <f>SUMIFS(BASE!$G:$G,BASE!$B:$B,$B1003,BASE!$L:$L,$G1003,BASE!$J:$J,$C1003,BASE!$A:$A,V$2)</f>
        <v>0</v>
      </c>
      <c r="X1003" t="str">
        <f t="shared" si="31"/>
        <v>COM TROCAS</v>
      </c>
    </row>
    <row r="1004" spans="2:24">
      <c r="B1004" s="8" t="s">
        <v>2054</v>
      </c>
      <c r="C1004" s="9" t="s">
        <v>193</v>
      </c>
      <c r="D1004" s="9" t="s">
        <v>2039</v>
      </c>
      <c r="E1004" s="9" t="s">
        <v>2023</v>
      </c>
      <c r="F1004" s="9" t="s">
        <v>2053</v>
      </c>
      <c r="G1004" s="9" t="s">
        <v>58</v>
      </c>
      <c r="H1004" s="7" t="str">
        <f>IFERROR(IF(_xlfn.XLOOKUP(B1004,REPASSE!D:D,REPASSE!D:D)="","Não","Sim"),"Não")</f>
        <v>Não</v>
      </c>
      <c r="I1004" s="7" t="str">
        <f>IF(_xlfn.XLOOKUP(B1004,'BOOST LIBERADO'!B:B,'BOOST LIBERADO'!B:B,"Não")="Não","Não","Sim")</f>
        <v>Sim</v>
      </c>
      <c r="J1004" s="83" t="str">
        <f t="shared" si="30"/>
        <v>Sim</v>
      </c>
      <c r="K1004" s="12">
        <f>SUMIFS(BASE!$G:$G,BASE!$B:$B,$B1004,BASE!$L:$L,$G1004,BASE!$J:$J,$C1004,BASE!$A:$A,K$2)</f>
        <v>4</v>
      </c>
      <c r="L1004" s="12">
        <f>SUMIFS(BASE!$G:$G,BASE!$B:$B,$B1004,BASE!$L:$L,$G1004,BASE!$J:$J,$C1004,BASE!$A:$A,L$2)</f>
        <v>4</v>
      </c>
      <c r="M1004" s="12">
        <f>SUMIFS(BASE!$G:$G,BASE!$B:$B,$B1004,BASE!$L:$L,$G1004,BASE!$J:$J,$C1004,BASE!$A:$A,M$2)</f>
        <v>2</v>
      </c>
      <c r="N1004" s="12">
        <f>SUMIFS(BASE!$G:$G,BASE!$B:$B,$B1004,BASE!$L:$L,$G1004,BASE!$J:$J,$C1004,BASE!$A:$A,N$2)</f>
        <v>4</v>
      </c>
      <c r="O1004" s="12">
        <f>SUMIFS(BASE!$G:$G,BASE!$B:$B,$B1004,BASE!$L:$L,$G1004,BASE!$J:$J,$C1004,BASE!$A:$A,O$2)</f>
        <v>5</v>
      </c>
      <c r="P1004" s="12">
        <f>SUMIFS(BASE!$G:$G,BASE!$B:$B,$B1004,BASE!$L:$L,$G1004,BASE!$J:$J,$C1004,BASE!$A:$A,P$2)</f>
        <v>12</v>
      </c>
      <c r="Q1004" s="12">
        <f>SUMIFS(BASE!$G:$G,BASE!$B:$B,$B1004,BASE!$L:$L,$G1004,BASE!$J:$J,$C1004,BASE!$A:$A,Q$2)</f>
        <v>11</v>
      </c>
      <c r="R1004" s="12">
        <f>SUMIFS(BASE!$G:$G,BASE!$B:$B,$B1004,BASE!$L:$L,$G1004,BASE!$J:$J,$C1004,BASE!$A:$A,R$2)</f>
        <v>4</v>
      </c>
      <c r="S1004" s="12">
        <f>SUMIFS(BASE!$G:$G,BASE!$B:$B,$B1004,BASE!$L:$L,$G1004,BASE!$J:$J,$C1004,BASE!$A:$A,S$2)</f>
        <v>0</v>
      </c>
      <c r="T1004" s="12">
        <f>SUMIFS(BASE!$G:$G,BASE!$B:$B,$B1004,BASE!$L:$L,$G1004,BASE!$J:$J,$C1004,BASE!$A:$A,T$2)</f>
        <v>0</v>
      </c>
      <c r="U1004" s="12">
        <f>SUMIFS(BASE!$G:$G,BASE!$B:$B,$B1004,BASE!$L:$L,$G1004,BASE!$J:$J,$C1004,BASE!$A:$A,U$2)</f>
        <v>0</v>
      </c>
      <c r="V1004" s="12">
        <f>SUMIFS(BASE!$G:$G,BASE!$B:$B,$B1004,BASE!$L:$L,$G1004,BASE!$J:$J,$C1004,BASE!$A:$A,V$2)</f>
        <v>0</v>
      </c>
      <c r="X1004" t="str">
        <f t="shared" si="31"/>
        <v>COM TROCAS</v>
      </c>
    </row>
    <row r="1005" spans="2:24">
      <c r="B1005" s="8" t="s">
        <v>2055</v>
      </c>
      <c r="C1005" s="9" t="s">
        <v>193</v>
      </c>
      <c r="D1005" s="9" t="s">
        <v>2056</v>
      </c>
      <c r="E1005" s="9" t="s">
        <v>2023</v>
      </c>
      <c r="F1005" s="9" t="s">
        <v>2057</v>
      </c>
      <c r="G1005" s="9" t="s">
        <v>58</v>
      </c>
      <c r="H1005" s="7" t="str">
        <f>IFERROR(IF(_xlfn.XLOOKUP(B1005,REPASSE!D:D,REPASSE!D:D)="","Não","Sim"),"Não")</f>
        <v>Não</v>
      </c>
      <c r="I1005" s="7" t="str">
        <f>IF(_xlfn.XLOOKUP(B1005,'BOOST LIBERADO'!B:B,'BOOST LIBERADO'!B:B,"Não")="Não","Não","Sim")</f>
        <v>Sim</v>
      </c>
      <c r="J1005" s="83" t="str">
        <f t="shared" si="30"/>
        <v>Sim</v>
      </c>
      <c r="K1005" s="12">
        <f>SUMIFS(BASE!$G:$G,BASE!$B:$B,$B1005,BASE!$L:$L,$G1005,BASE!$J:$J,$C1005,BASE!$A:$A,K$2)</f>
        <v>0</v>
      </c>
      <c r="L1005" s="12">
        <f>SUMIFS(BASE!$G:$G,BASE!$B:$B,$B1005,BASE!$L:$L,$G1005,BASE!$J:$J,$C1005,BASE!$A:$A,L$2)</f>
        <v>0</v>
      </c>
      <c r="M1005" s="12">
        <f>SUMIFS(BASE!$G:$G,BASE!$B:$B,$B1005,BASE!$L:$L,$G1005,BASE!$J:$J,$C1005,BASE!$A:$A,M$2)</f>
        <v>0</v>
      </c>
      <c r="N1005" s="12">
        <f>SUMIFS(BASE!$G:$G,BASE!$B:$B,$B1005,BASE!$L:$L,$G1005,BASE!$J:$J,$C1005,BASE!$A:$A,N$2)</f>
        <v>0</v>
      </c>
      <c r="O1005" s="12">
        <f>SUMIFS(BASE!$G:$G,BASE!$B:$B,$B1005,BASE!$L:$L,$G1005,BASE!$J:$J,$C1005,BASE!$A:$A,O$2)</f>
        <v>0</v>
      </c>
      <c r="P1005" s="12">
        <f>SUMIFS(BASE!$G:$G,BASE!$B:$B,$B1005,BASE!$L:$L,$G1005,BASE!$J:$J,$C1005,BASE!$A:$A,P$2)</f>
        <v>0</v>
      </c>
      <c r="Q1005" s="12">
        <f>SUMIFS(BASE!$G:$G,BASE!$B:$B,$B1005,BASE!$L:$L,$G1005,BASE!$J:$J,$C1005,BASE!$A:$A,Q$2)</f>
        <v>0</v>
      </c>
      <c r="R1005" s="12">
        <f>SUMIFS(BASE!$G:$G,BASE!$B:$B,$B1005,BASE!$L:$L,$G1005,BASE!$J:$J,$C1005,BASE!$A:$A,R$2)</f>
        <v>0</v>
      </c>
      <c r="S1005" s="12">
        <f>SUMIFS(BASE!$G:$G,BASE!$B:$B,$B1005,BASE!$L:$L,$G1005,BASE!$J:$J,$C1005,BASE!$A:$A,S$2)</f>
        <v>0</v>
      </c>
      <c r="T1005" s="12">
        <f>SUMIFS(BASE!$G:$G,BASE!$B:$B,$B1005,BASE!$L:$L,$G1005,BASE!$J:$J,$C1005,BASE!$A:$A,T$2)</f>
        <v>0</v>
      </c>
      <c r="U1005" s="12">
        <f>SUMIFS(BASE!$G:$G,BASE!$B:$B,$B1005,BASE!$L:$L,$G1005,BASE!$J:$J,$C1005,BASE!$A:$A,U$2)</f>
        <v>0</v>
      </c>
      <c r="V1005" s="12">
        <f>SUMIFS(BASE!$G:$G,BASE!$B:$B,$B1005,BASE!$L:$L,$G1005,BASE!$J:$J,$C1005,BASE!$A:$A,V$2)</f>
        <v>0</v>
      </c>
      <c r="X1005" t="str">
        <f t="shared" si="31"/>
        <v>ZERADO</v>
      </c>
    </row>
    <row r="1006" spans="2:24">
      <c r="B1006" s="8" t="s">
        <v>2058</v>
      </c>
      <c r="C1006" s="9" t="s">
        <v>193</v>
      </c>
      <c r="D1006" s="9" t="s">
        <v>2056</v>
      </c>
      <c r="E1006" s="9" t="s">
        <v>2023</v>
      </c>
      <c r="F1006" s="9" t="s">
        <v>2057</v>
      </c>
      <c r="G1006" s="9" t="s">
        <v>58</v>
      </c>
      <c r="H1006" s="7" t="str">
        <f>IFERROR(IF(_xlfn.XLOOKUP(B1006,REPASSE!D:D,REPASSE!D:D)="","Não","Sim"),"Não")</f>
        <v>Não</v>
      </c>
      <c r="I1006" s="7" t="str">
        <f>IF(_xlfn.XLOOKUP(B1006,'BOOST LIBERADO'!B:B,'BOOST LIBERADO'!B:B,"Não")="Não","Não","Sim")</f>
        <v>Sim</v>
      </c>
      <c r="J1006" s="83" t="str">
        <f t="shared" si="30"/>
        <v>Sim</v>
      </c>
      <c r="K1006" s="12">
        <f>SUMIFS(BASE!$G:$G,BASE!$B:$B,$B1006,BASE!$L:$L,$G1006,BASE!$J:$J,$C1006,BASE!$A:$A,K$2)</f>
        <v>0</v>
      </c>
      <c r="L1006" s="12">
        <f>SUMIFS(BASE!$G:$G,BASE!$B:$B,$B1006,BASE!$L:$L,$G1006,BASE!$J:$J,$C1006,BASE!$A:$A,L$2)</f>
        <v>0</v>
      </c>
      <c r="M1006" s="12">
        <f>SUMIFS(BASE!$G:$G,BASE!$B:$B,$B1006,BASE!$L:$L,$G1006,BASE!$J:$J,$C1006,BASE!$A:$A,M$2)</f>
        <v>0</v>
      </c>
      <c r="N1006" s="12">
        <f>SUMIFS(BASE!$G:$G,BASE!$B:$B,$B1006,BASE!$L:$L,$G1006,BASE!$J:$J,$C1006,BASE!$A:$A,N$2)</f>
        <v>0</v>
      </c>
      <c r="O1006" s="12">
        <f>SUMIFS(BASE!$G:$G,BASE!$B:$B,$B1006,BASE!$L:$L,$G1006,BASE!$J:$J,$C1006,BASE!$A:$A,O$2)</f>
        <v>0</v>
      </c>
      <c r="P1006" s="12">
        <f>SUMIFS(BASE!$G:$G,BASE!$B:$B,$B1006,BASE!$L:$L,$G1006,BASE!$J:$J,$C1006,BASE!$A:$A,P$2)</f>
        <v>0</v>
      </c>
      <c r="Q1006" s="12">
        <f>SUMIFS(BASE!$G:$G,BASE!$B:$B,$B1006,BASE!$L:$L,$G1006,BASE!$J:$J,$C1006,BASE!$A:$A,Q$2)</f>
        <v>0</v>
      </c>
      <c r="R1006" s="12">
        <f>SUMIFS(BASE!$G:$G,BASE!$B:$B,$B1006,BASE!$L:$L,$G1006,BASE!$J:$J,$C1006,BASE!$A:$A,R$2)</f>
        <v>0</v>
      </c>
      <c r="S1006" s="12">
        <f>SUMIFS(BASE!$G:$G,BASE!$B:$B,$B1006,BASE!$L:$L,$G1006,BASE!$J:$J,$C1006,BASE!$A:$A,S$2)</f>
        <v>0</v>
      </c>
      <c r="T1006" s="12">
        <f>SUMIFS(BASE!$G:$G,BASE!$B:$B,$B1006,BASE!$L:$L,$G1006,BASE!$J:$J,$C1006,BASE!$A:$A,T$2)</f>
        <v>0</v>
      </c>
      <c r="U1006" s="12">
        <f>SUMIFS(BASE!$G:$G,BASE!$B:$B,$B1006,BASE!$L:$L,$G1006,BASE!$J:$J,$C1006,BASE!$A:$A,U$2)</f>
        <v>0</v>
      </c>
      <c r="V1006" s="12">
        <f>SUMIFS(BASE!$G:$G,BASE!$B:$B,$B1006,BASE!$L:$L,$G1006,BASE!$J:$J,$C1006,BASE!$A:$A,V$2)</f>
        <v>0</v>
      </c>
      <c r="X1006" t="str">
        <f t="shared" si="31"/>
        <v>ZERADO</v>
      </c>
    </row>
    <row r="1007" spans="2:24">
      <c r="B1007" s="8" t="s">
        <v>2059</v>
      </c>
      <c r="C1007" s="9" t="s">
        <v>193</v>
      </c>
      <c r="D1007" s="9" t="s">
        <v>2056</v>
      </c>
      <c r="E1007" s="9" t="s">
        <v>2023</v>
      </c>
      <c r="F1007" s="9" t="s">
        <v>2060</v>
      </c>
      <c r="G1007" s="9" t="s">
        <v>58</v>
      </c>
      <c r="H1007" s="7" t="str">
        <f>IFERROR(IF(_xlfn.XLOOKUP(B1007,REPASSE!D:D,REPASSE!D:D)="","Não","Sim"),"Não")</f>
        <v>Não</v>
      </c>
      <c r="I1007" s="7" t="str">
        <f>IF(_xlfn.XLOOKUP(B1007,'BOOST LIBERADO'!B:B,'BOOST LIBERADO'!B:B,"Não")="Não","Não","Sim")</f>
        <v>Sim</v>
      </c>
      <c r="J1007" s="83" t="str">
        <f t="shared" si="30"/>
        <v>Sim</v>
      </c>
      <c r="K1007" s="12">
        <f>SUMIFS(BASE!$G:$G,BASE!$B:$B,$B1007,BASE!$L:$L,$G1007,BASE!$J:$J,$C1007,BASE!$A:$A,K$2)</f>
        <v>1</v>
      </c>
      <c r="L1007" s="12">
        <f>SUMIFS(BASE!$G:$G,BASE!$B:$B,$B1007,BASE!$L:$L,$G1007,BASE!$J:$J,$C1007,BASE!$A:$A,L$2)</f>
        <v>1</v>
      </c>
      <c r="M1007" s="12">
        <f>SUMIFS(BASE!$G:$G,BASE!$B:$B,$B1007,BASE!$L:$L,$G1007,BASE!$J:$J,$C1007,BASE!$A:$A,M$2)</f>
        <v>2</v>
      </c>
      <c r="N1007" s="12">
        <f>SUMIFS(BASE!$G:$G,BASE!$B:$B,$B1007,BASE!$L:$L,$G1007,BASE!$J:$J,$C1007,BASE!$A:$A,N$2)</f>
        <v>0</v>
      </c>
      <c r="O1007" s="12">
        <f>SUMIFS(BASE!$G:$G,BASE!$B:$B,$B1007,BASE!$L:$L,$G1007,BASE!$J:$J,$C1007,BASE!$A:$A,O$2)</f>
        <v>2</v>
      </c>
      <c r="P1007" s="12">
        <f>SUMIFS(BASE!$G:$G,BASE!$B:$B,$B1007,BASE!$L:$L,$G1007,BASE!$J:$J,$C1007,BASE!$A:$A,P$2)</f>
        <v>2</v>
      </c>
      <c r="Q1007" s="12">
        <f>SUMIFS(BASE!$G:$G,BASE!$B:$B,$B1007,BASE!$L:$L,$G1007,BASE!$J:$J,$C1007,BASE!$A:$A,Q$2)</f>
        <v>2</v>
      </c>
      <c r="R1007" s="12">
        <f>SUMIFS(BASE!$G:$G,BASE!$B:$B,$B1007,BASE!$L:$L,$G1007,BASE!$J:$J,$C1007,BASE!$A:$A,R$2)</f>
        <v>3</v>
      </c>
      <c r="S1007" s="12">
        <f>SUMIFS(BASE!$G:$G,BASE!$B:$B,$B1007,BASE!$L:$L,$G1007,BASE!$J:$J,$C1007,BASE!$A:$A,S$2)</f>
        <v>0</v>
      </c>
      <c r="T1007" s="12">
        <f>SUMIFS(BASE!$G:$G,BASE!$B:$B,$B1007,BASE!$L:$L,$G1007,BASE!$J:$J,$C1007,BASE!$A:$A,T$2)</f>
        <v>0</v>
      </c>
      <c r="U1007" s="12">
        <f>SUMIFS(BASE!$G:$G,BASE!$B:$B,$B1007,BASE!$L:$L,$G1007,BASE!$J:$J,$C1007,BASE!$A:$A,U$2)</f>
        <v>0</v>
      </c>
      <c r="V1007" s="12">
        <f>SUMIFS(BASE!$G:$G,BASE!$B:$B,$B1007,BASE!$L:$L,$G1007,BASE!$J:$J,$C1007,BASE!$A:$A,V$2)</f>
        <v>0</v>
      </c>
      <c r="X1007" t="str">
        <f t="shared" si="31"/>
        <v>COM TROCAS</v>
      </c>
    </row>
    <row r="1008" spans="2:24">
      <c r="B1008" s="8" t="s">
        <v>2061</v>
      </c>
      <c r="C1008" s="9" t="s">
        <v>193</v>
      </c>
      <c r="D1008" s="9" t="s">
        <v>2056</v>
      </c>
      <c r="E1008" s="9" t="s">
        <v>2023</v>
      </c>
      <c r="F1008" s="9" t="s">
        <v>2062</v>
      </c>
      <c r="G1008" s="9" t="s">
        <v>58</v>
      </c>
      <c r="H1008" s="7" t="str">
        <f>IFERROR(IF(_xlfn.XLOOKUP(B1008,REPASSE!D:D,REPASSE!D:D)="","Não","Sim"),"Não")</f>
        <v>Não</v>
      </c>
      <c r="I1008" s="7" t="str">
        <f>IF(_xlfn.XLOOKUP(B1008,'BOOST LIBERADO'!B:B,'BOOST LIBERADO'!B:B,"Não")="Não","Não","Sim")</f>
        <v>Sim</v>
      </c>
      <c r="J1008" s="83" t="str">
        <f t="shared" si="30"/>
        <v>Sim</v>
      </c>
      <c r="K1008" s="12">
        <f>SUMIFS(BASE!$G:$G,BASE!$B:$B,$B1008,BASE!$L:$L,$G1008,BASE!$J:$J,$C1008,BASE!$A:$A,K$2)</f>
        <v>0</v>
      </c>
      <c r="L1008" s="12">
        <f>SUMIFS(BASE!$G:$G,BASE!$B:$B,$B1008,BASE!$L:$L,$G1008,BASE!$J:$J,$C1008,BASE!$A:$A,L$2)</f>
        <v>3</v>
      </c>
      <c r="M1008" s="12">
        <f>SUMIFS(BASE!$G:$G,BASE!$B:$B,$B1008,BASE!$L:$L,$G1008,BASE!$J:$J,$C1008,BASE!$A:$A,M$2)</f>
        <v>2</v>
      </c>
      <c r="N1008" s="12">
        <f>SUMIFS(BASE!$G:$G,BASE!$B:$B,$B1008,BASE!$L:$L,$G1008,BASE!$J:$J,$C1008,BASE!$A:$A,N$2)</f>
        <v>3</v>
      </c>
      <c r="O1008" s="12">
        <f>SUMIFS(BASE!$G:$G,BASE!$B:$B,$B1008,BASE!$L:$L,$G1008,BASE!$J:$J,$C1008,BASE!$A:$A,O$2)</f>
        <v>3</v>
      </c>
      <c r="P1008" s="12">
        <f>SUMIFS(BASE!$G:$G,BASE!$B:$B,$B1008,BASE!$L:$L,$G1008,BASE!$J:$J,$C1008,BASE!$A:$A,P$2)</f>
        <v>0</v>
      </c>
      <c r="Q1008" s="12">
        <f>SUMIFS(BASE!$G:$G,BASE!$B:$B,$B1008,BASE!$L:$L,$G1008,BASE!$J:$J,$C1008,BASE!$A:$A,Q$2)</f>
        <v>3</v>
      </c>
      <c r="R1008" s="12">
        <f>SUMIFS(BASE!$G:$G,BASE!$B:$B,$B1008,BASE!$L:$L,$G1008,BASE!$J:$J,$C1008,BASE!$A:$A,R$2)</f>
        <v>1</v>
      </c>
      <c r="S1008" s="12">
        <f>SUMIFS(BASE!$G:$G,BASE!$B:$B,$B1008,BASE!$L:$L,$G1008,BASE!$J:$J,$C1008,BASE!$A:$A,S$2)</f>
        <v>0</v>
      </c>
      <c r="T1008" s="12">
        <f>SUMIFS(BASE!$G:$G,BASE!$B:$B,$B1008,BASE!$L:$L,$G1008,BASE!$J:$J,$C1008,BASE!$A:$A,T$2)</f>
        <v>0</v>
      </c>
      <c r="U1008" s="12">
        <f>SUMIFS(BASE!$G:$G,BASE!$B:$B,$B1008,BASE!$L:$L,$G1008,BASE!$J:$J,$C1008,BASE!$A:$A,U$2)</f>
        <v>0</v>
      </c>
      <c r="V1008" s="12">
        <f>SUMIFS(BASE!$G:$G,BASE!$B:$B,$B1008,BASE!$L:$L,$G1008,BASE!$J:$J,$C1008,BASE!$A:$A,V$2)</f>
        <v>0</v>
      </c>
      <c r="X1008" t="str">
        <f t="shared" si="31"/>
        <v>COM TROCAS</v>
      </c>
    </row>
    <row r="1009" spans="2:24" hidden="1">
      <c r="K1009" s="4">
        <f>SUMIFS(BASE!$G:$G,BASE!$B:$B,$B1009,BASE!$L:$L,$G1009,BASE!$J:$J,$C1009,BASE!$A:$A,K$2)</f>
        <v>0</v>
      </c>
      <c r="L1009" s="4">
        <f>SUMIFS(BASE!$G:$G,BASE!$B:$B,$B1009,BASE!$L:$L,$G1009,BASE!$J:$J,$C1009,BASE!$A:$A,L$2)</f>
        <v>0</v>
      </c>
      <c r="M1009" s="4">
        <f>SUMIFS(BASE!$G:$G,BASE!$B:$B,$B1009,BASE!$L:$L,$G1009,BASE!$J:$J,$C1009,BASE!$A:$A,M$2)</f>
        <v>0</v>
      </c>
      <c r="N1009" s="4">
        <f>SUMIFS(BASE!$G:$G,BASE!$B:$B,$B1009,BASE!$L:$L,$G1009,BASE!$J:$J,$C1009,BASE!$A:$A,N$2)</f>
        <v>0</v>
      </c>
      <c r="O1009" s="4">
        <f>SUMIFS(BASE!$G:$G,BASE!$B:$B,$B1009,BASE!$L:$L,$G1009,BASE!$J:$J,$C1009,BASE!$A:$A,O$2)</f>
        <v>0</v>
      </c>
      <c r="P1009" s="4">
        <f>SUMIFS(BASE!$G:$G,BASE!$B:$B,$B1009,BASE!$L:$L,$G1009,BASE!$J:$J,$C1009,BASE!$A:$A,P$2)</f>
        <v>0</v>
      </c>
      <c r="Q1009" s="4">
        <f>SUMIFS(BASE!$G:$G,BASE!$B:$B,$B1009,BASE!$L:$L,$G1009,BASE!$J:$J,$C1009,BASE!$A:$A,Q$2)</f>
        <v>0</v>
      </c>
      <c r="R1009" s="4">
        <f>SUMIFS(BASE!$G:$G,BASE!$B:$B,$B1009,BASE!$L:$L,$G1009,BASE!$J:$J,$C1009,BASE!$A:$A,R$2)</f>
        <v>0</v>
      </c>
      <c r="S1009" s="4">
        <f>SUMIFS(BASE!$G:$G,BASE!$B:$B,$B1009,BASE!$L:$L,$G1009,BASE!$J:$J,$C1009,BASE!$A:$A,S$2)</f>
        <v>0</v>
      </c>
      <c r="T1009" s="4">
        <f>SUMIFS(BASE!$G:$G,BASE!$B:$B,$B1009,BASE!$L:$L,$G1009,BASE!$J:$J,$C1009,BASE!$A:$A,T$2)</f>
        <v>0</v>
      </c>
      <c r="U1009" s="4">
        <f>SUMIFS(BASE!$G:$G,BASE!$B:$B,$B1009,BASE!$L:$L,$G1009,BASE!$J:$J,$C1009,BASE!$A:$A,U$2)</f>
        <v>0</v>
      </c>
      <c r="V1009" s="4">
        <f>SUMIFS(BASE!$G:$G,BASE!$B:$B,$B1009,BASE!$L:$L,$G1009,BASE!$J:$J,$C1009,BASE!$A:$A,V$2)</f>
        <v>0</v>
      </c>
    </row>
    <row r="1010" spans="2:24">
      <c r="B1010" s="109" t="s">
        <v>2063</v>
      </c>
      <c r="C1010" s="62" t="s">
        <v>240</v>
      </c>
      <c r="F1010" s="62" t="s">
        <v>2064</v>
      </c>
      <c r="G1010" s="62" t="s">
        <v>59</v>
      </c>
      <c r="H1010" t="str">
        <f>IFERROR(IF(_xlfn.XLOOKUP(B1010,REPASSE!D:D,REPASSE!D:D)="","Não","Sim"),"Não")</f>
        <v>Não</v>
      </c>
      <c r="I1010" t="str">
        <f>IF(_xlfn.XLOOKUP(B1010,'BOOST LIBERADO'!B:B,'BOOST LIBERADO'!B:B,"Não")="Não","Não","Sim")</f>
        <v>Sim</v>
      </c>
      <c r="J1010" s="110" t="str">
        <f>IF(AND(H1010="Não",I1010="Sim"),"Sim","Não")</f>
        <v>Sim</v>
      </c>
      <c r="K1010">
        <f>SUMIFS(BASE!$G:$G,BASE!$B:$B,$B1010,BASE!$L:$L,$G1010,BASE!$J:$J,$C1010,BASE!$A:$A,K$2)</f>
        <v>0</v>
      </c>
      <c r="L1010">
        <f>SUMIFS(BASE!$G:$G,BASE!$B:$B,$B1010,BASE!$L:$L,$G1010,BASE!$J:$J,$C1010,BASE!$A:$A,L$2)</f>
        <v>0</v>
      </c>
      <c r="M1010" s="4">
        <f>SUMIFS(BASE!$G:$G,BASE!$B:$B,$B1010,BASE!$L:$L,$G1010,BASE!$J:$J,$C1010,BASE!$A:$A,M$2)</f>
        <v>0</v>
      </c>
      <c r="N1010" s="4">
        <f>SUMIFS(BASE!$G:$G,BASE!$B:$B,$B1010,BASE!$L:$L,$G1010,BASE!$J:$J,$C1010,BASE!$A:$A,N$2)</f>
        <v>0</v>
      </c>
      <c r="O1010" s="4">
        <f>SUMIFS(BASE!$G:$G,BASE!$B:$B,$B1010,BASE!$L:$L,$G1010,BASE!$J:$J,$C1010,BASE!$A:$A,O$2)</f>
        <v>0</v>
      </c>
      <c r="P1010" s="4">
        <f>SUMIFS(BASE!$G:$G,BASE!$B:$B,$B1010,BASE!$L:$L,$G1010,BASE!$J:$J,$C1010,BASE!$A:$A,P$2)</f>
        <v>0</v>
      </c>
      <c r="Q1010" s="4">
        <f>SUMIFS(BASE!$G:$G,BASE!$B:$B,$B1010,BASE!$L:$L,$G1010,BASE!$J:$J,$C1010,BASE!$A:$A,Q$2)</f>
        <v>10</v>
      </c>
      <c r="R1010" s="4">
        <f>SUMIFS(BASE!$G:$G,BASE!$B:$B,$B1010,BASE!$L:$L,$G1010,BASE!$J:$J,$C1010,BASE!$A:$A,R$2)</f>
        <v>4</v>
      </c>
      <c r="S1010" s="4">
        <f>SUMIFS(BASE!$G:$G,BASE!$B:$B,$B1010,BASE!$L:$L,$G1010,BASE!$J:$J,$C1010,BASE!$A:$A,S$2)</f>
        <v>0</v>
      </c>
      <c r="T1010" s="4">
        <f>SUMIFS(BASE!$G:$G,BASE!$B:$B,$B1010,BASE!$L:$L,$G1010,BASE!$J:$J,$C1010,BASE!$A:$A,T$2)</f>
        <v>0</v>
      </c>
      <c r="U1010" s="4">
        <f>SUMIFS(BASE!$G:$G,BASE!$B:$B,$B1010,BASE!$L:$L,$G1010,BASE!$J:$J,$C1010,BASE!$A:$A,U$2)</f>
        <v>0</v>
      </c>
      <c r="V1010" s="4">
        <f>SUMIFS(BASE!$G:$G,BASE!$B:$B,$B1010,BASE!$L:$L,$G1010,BASE!$J:$J,$C1010,BASE!$A:$A,V$2)</f>
        <v>0</v>
      </c>
      <c r="X1010" t="str">
        <f>IF(AND(R1010=0),"ZERADO","COM TROCAS")</f>
        <v>COM TROCAS</v>
      </c>
    </row>
  </sheetData>
  <autoFilter ref="B2:X1010" xr:uid="{BE9193C1-8CA3-4491-9DC0-9AD8FDDC54FA}">
    <filterColumn colId="8">
      <customFilters>
        <customFilter operator="notEqual" val=" "/>
      </customFilters>
    </filterColumn>
  </autoFilter>
  <mergeCells count="5">
    <mergeCell ref="M1:N1"/>
    <mergeCell ref="O1:P1"/>
    <mergeCell ref="Q1:R1"/>
    <mergeCell ref="S1:T1"/>
    <mergeCell ref="U1:V1"/>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1931-B89A-4CD3-B622-BB753F2CA98D}">
  <sheetPr filterMode="1">
    <tabColor rgb="FFFFFF00"/>
  </sheetPr>
  <dimension ref="A1:M3532"/>
  <sheetViews>
    <sheetView workbookViewId="0">
      <selection activeCell="F2563" sqref="F2563"/>
    </sheetView>
  </sheetViews>
  <sheetFormatPr defaultRowHeight="14.45"/>
  <cols>
    <col min="3" max="3" width="29.7109375" bestFit="1" customWidth="1"/>
    <col min="4" max="4" width="56.5703125" bestFit="1" customWidth="1"/>
    <col min="11" max="13" width="8.85546875" style="14"/>
  </cols>
  <sheetData>
    <row r="1" spans="1:13">
      <c r="A1" t="s">
        <v>26</v>
      </c>
      <c r="B1" t="s">
        <v>2065</v>
      </c>
      <c r="C1" t="s">
        <v>246</v>
      </c>
      <c r="D1" t="s">
        <v>42</v>
      </c>
      <c r="E1" t="s">
        <v>76</v>
      </c>
      <c r="F1" t="s">
        <v>2066</v>
      </c>
      <c r="G1" t="s">
        <v>2067</v>
      </c>
      <c r="H1" t="s">
        <v>2068</v>
      </c>
      <c r="I1" t="s">
        <v>2069</v>
      </c>
      <c r="J1" s="46" t="s">
        <v>2070</v>
      </c>
      <c r="K1" s="46" t="s">
        <v>247</v>
      </c>
      <c r="L1" s="46" t="s">
        <v>9</v>
      </c>
      <c r="M1" s="46" t="s">
        <v>2071</v>
      </c>
    </row>
    <row r="2" spans="1:13" hidden="1">
      <c r="A2" s="1">
        <v>46023</v>
      </c>
      <c r="B2" t="s">
        <v>1496</v>
      </c>
      <c r="C2" t="s">
        <v>1464</v>
      </c>
      <c r="D2" t="s">
        <v>132</v>
      </c>
      <c r="E2" t="s">
        <v>54</v>
      </c>
      <c r="F2">
        <v>147</v>
      </c>
      <c r="G2">
        <v>60</v>
      </c>
      <c r="H2">
        <v>2.9985007496251902E-2</v>
      </c>
      <c r="I2">
        <v>0.40816326530612201</v>
      </c>
      <c r="J2" s="14" t="str">
        <f>_xlfn.XLOOKUP(B2,CAD_PDV!A:A,CAD_PDV!B:B)</f>
        <v>FLEX CELL</v>
      </c>
      <c r="K2" s="14">
        <f>IF(IFERROR(_xlfn.XLOOKUP(B2,Planilha2!D:D,Planilha2!H:H),0)="SIM",1,0)</f>
        <v>0</v>
      </c>
      <c r="L2" s="14" t="str">
        <f>_xlfn.XLOOKUP(B2,CAD_PDV!A:A,CAD_PDV!C:C)</f>
        <v>SP2</v>
      </c>
      <c r="M2" s="14" t="str">
        <f>IFERROR(_xlfn.XLOOKUP(B2,repete!A:A,repete!A:A),"-")</f>
        <v>-</v>
      </c>
    </row>
    <row r="3" spans="1:13" hidden="1">
      <c r="A3" s="1">
        <v>46023</v>
      </c>
      <c r="B3" t="s">
        <v>897</v>
      </c>
      <c r="C3" t="s">
        <v>873</v>
      </c>
      <c r="D3" t="s">
        <v>224</v>
      </c>
      <c r="E3" t="s">
        <v>59</v>
      </c>
      <c r="F3">
        <v>171</v>
      </c>
      <c r="G3">
        <v>56</v>
      </c>
      <c r="H3">
        <v>2.7986006996501701E-2</v>
      </c>
      <c r="I3">
        <v>0.32748538011695899</v>
      </c>
      <c r="J3" s="14" t="str">
        <f>_xlfn.XLOOKUP(B3,CAD_PDV!A:A,CAD_PDV!B:B)</f>
        <v>CELNET COMERCIO E SERVICOS DE TELEFONIA LTDA ME</v>
      </c>
      <c r="K3" s="14">
        <f>IF(IFERROR(_xlfn.XLOOKUP(B3,Planilha2!D:D,Planilha2!H:H),0)="SIM",1,0)</f>
        <v>0</v>
      </c>
      <c r="L3" s="14" t="str">
        <f>_xlfn.XLOOKUP(B3,CAD_PDV!A:A,CAD_PDV!C:C)</f>
        <v>CO</v>
      </c>
      <c r="M3" s="14" t="str">
        <f>IFERROR(_xlfn.XLOOKUP(B3,repete!A:A,repete!A:A),"-")</f>
        <v>-</v>
      </c>
    </row>
    <row r="4" spans="1:13" hidden="1">
      <c r="A4" s="1">
        <v>46023</v>
      </c>
      <c r="B4" t="s">
        <v>1675</v>
      </c>
      <c r="C4" t="s">
        <v>1676</v>
      </c>
      <c r="D4" t="s">
        <v>232</v>
      </c>
      <c r="E4" t="s">
        <v>54</v>
      </c>
      <c r="F4">
        <v>230</v>
      </c>
      <c r="G4">
        <v>43</v>
      </c>
      <c r="H4">
        <v>2.14892553723138E-2</v>
      </c>
      <c r="I4">
        <v>0.18695652173912999</v>
      </c>
      <c r="J4" s="14" t="str">
        <f>_xlfn.XLOOKUP(B4,CAD_PDV!A:A,CAD_PDV!B:B)</f>
        <v>HS TELECOM</v>
      </c>
      <c r="K4" s="14">
        <f>IF(IFERROR(_xlfn.XLOOKUP(B4,Planilha2!D:D,Planilha2!H:H),0)="SIM",1,0)</f>
        <v>0</v>
      </c>
      <c r="L4" s="14" t="str">
        <f>_xlfn.XLOOKUP(B4,CAD_PDV!A:A,CAD_PDV!C:C)</f>
        <v>SP2</v>
      </c>
      <c r="M4" s="14" t="str">
        <f>IFERROR(_xlfn.XLOOKUP(B4,repete!A:A,repete!A:A),"-")</f>
        <v>-</v>
      </c>
    </row>
    <row r="5" spans="1:13" hidden="1">
      <c r="A5" s="1">
        <v>46023</v>
      </c>
      <c r="B5" t="s">
        <v>1672</v>
      </c>
      <c r="C5" t="s">
        <v>1668</v>
      </c>
      <c r="D5" t="s">
        <v>232</v>
      </c>
      <c r="E5" t="s">
        <v>54</v>
      </c>
      <c r="F5">
        <v>220</v>
      </c>
      <c r="G5">
        <v>41</v>
      </c>
      <c r="H5">
        <v>2.0489755122438801E-2</v>
      </c>
      <c r="I5">
        <v>0.18636363636363601</v>
      </c>
      <c r="J5" s="14" t="str">
        <f>_xlfn.XLOOKUP(B5,CAD_PDV!A:A,CAD_PDV!B:B)</f>
        <v>HS TELECOM</v>
      </c>
      <c r="K5" s="14">
        <f>IF(IFERROR(_xlfn.XLOOKUP(B5,Planilha2!D:D,Planilha2!H:H),0)="SIM",1,0)</f>
        <v>0</v>
      </c>
      <c r="L5" s="14" t="str">
        <f>_xlfn.XLOOKUP(B5,CAD_PDV!A:A,CAD_PDV!C:C)</f>
        <v>SP2</v>
      </c>
      <c r="M5" s="14" t="str">
        <f>IFERROR(_xlfn.XLOOKUP(B5,repete!A:A,repete!A:A),"-")</f>
        <v>-</v>
      </c>
    </row>
    <row r="6" spans="1:13" hidden="1">
      <c r="A6" s="1">
        <v>46023</v>
      </c>
      <c r="B6" t="s">
        <v>886</v>
      </c>
      <c r="C6" t="s">
        <v>873</v>
      </c>
      <c r="D6" t="s">
        <v>224</v>
      </c>
      <c r="E6" t="s">
        <v>59</v>
      </c>
      <c r="F6">
        <v>241</v>
      </c>
      <c r="G6">
        <v>37</v>
      </c>
      <c r="H6">
        <v>1.8490754622688701E-2</v>
      </c>
      <c r="I6">
        <v>0.15352697095435699</v>
      </c>
      <c r="J6" s="14" t="str">
        <f>_xlfn.XLOOKUP(B6,CAD_PDV!A:A,CAD_PDV!B:B)</f>
        <v>CELNET COMERCIO E SERVICOS DE TELEFONIA LTDA ME</v>
      </c>
      <c r="K6" s="14">
        <f>IF(IFERROR(_xlfn.XLOOKUP(B6,Planilha2!D:D,Planilha2!H:H),0)="SIM",1,0)</f>
        <v>0</v>
      </c>
      <c r="L6" s="14" t="str">
        <f>_xlfn.XLOOKUP(B6,CAD_PDV!A:A,CAD_PDV!C:C)</f>
        <v>CO</v>
      </c>
      <c r="M6" s="14" t="str">
        <f>IFERROR(_xlfn.XLOOKUP(B6,repete!A:A,repete!A:A),"-")</f>
        <v>-</v>
      </c>
    </row>
    <row r="7" spans="1:13" hidden="1">
      <c r="A7" s="1">
        <v>46023</v>
      </c>
      <c r="B7" t="s">
        <v>1611</v>
      </c>
      <c r="C7" t="s">
        <v>1527</v>
      </c>
      <c r="D7" t="s">
        <v>232</v>
      </c>
      <c r="E7" t="s">
        <v>54</v>
      </c>
      <c r="F7">
        <v>266</v>
      </c>
      <c r="G7">
        <v>33</v>
      </c>
      <c r="H7">
        <v>1.64917541229385E-2</v>
      </c>
      <c r="I7">
        <v>0.12406015037594</v>
      </c>
      <c r="J7" s="14" t="str">
        <f>_xlfn.XLOOKUP(B7,CAD_PDV!A:A,CAD_PDV!B:B)</f>
        <v>HS TELECOM</v>
      </c>
      <c r="K7" s="14">
        <f>IF(IFERROR(_xlfn.XLOOKUP(B7,Planilha2!D:D,Planilha2!H:H),0)="SIM",1,0)</f>
        <v>0</v>
      </c>
      <c r="L7" s="14" t="str">
        <f>_xlfn.XLOOKUP(B7,CAD_PDV!A:A,CAD_PDV!C:C)</f>
        <v>SP2</v>
      </c>
      <c r="M7" s="14" t="str">
        <f>IFERROR(_xlfn.XLOOKUP(B7,repete!A:A,repete!A:A),"-")</f>
        <v>-</v>
      </c>
    </row>
    <row r="8" spans="1:13" hidden="1">
      <c r="A8" s="1">
        <v>46023</v>
      </c>
      <c r="B8" t="s">
        <v>1689</v>
      </c>
      <c r="C8" t="s">
        <v>1527</v>
      </c>
      <c r="D8" t="s">
        <v>232</v>
      </c>
      <c r="E8" t="s">
        <v>54</v>
      </c>
      <c r="F8">
        <v>139</v>
      </c>
      <c r="G8">
        <v>33</v>
      </c>
      <c r="H8">
        <v>1.64917541229385E-2</v>
      </c>
      <c r="I8">
        <v>0.23741007194244601</v>
      </c>
      <c r="J8" s="14" t="str">
        <f>_xlfn.XLOOKUP(B8,CAD_PDV!A:A,CAD_PDV!B:B)</f>
        <v>HS TELECOM</v>
      </c>
      <c r="K8" s="14">
        <f>IF(IFERROR(_xlfn.XLOOKUP(B8,Planilha2!D:D,Planilha2!H:H),0)="SIM",1,0)</f>
        <v>0</v>
      </c>
      <c r="L8" s="14" t="str">
        <f>_xlfn.XLOOKUP(B8,CAD_PDV!A:A,CAD_PDV!C:C)</f>
        <v>SP2</v>
      </c>
      <c r="M8" s="14" t="str">
        <f>IFERROR(_xlfn.XLOOKUP(B8,repete!A:A,repete!A:A),"-")</f>
        <v>-</v>
      </c>
    </row>
    <row r="9" spans="1:13" hidden="1">
      <c r="A9" s="1">
        <v>46023</v>
      </c>
      <c r="B9" t="s">
        <v>888</v>
      </c>
      <c r="C9" t="s">
        <v>873</v>
      </c>
      <c r="D9" t="s">
        <v>224</v>
      </c>
      <c r="E9" t="s">
        <v>59</v>
      </c>
      <c r="F9">
        <v>137</v>
      </c>
      <c r="G9">
        <v>32</v>
      </c>
      <c r="H9">
        <v>1.5992003998000999E-2</v>
      </c>
      <c r="I9">
        <v>0.233576642335766</v>
      </c>
      <c r="J9" s="14" t="str">
        <f>_xlfn.XLOOKUP(B9,CAD_PDV!A:A,CAD_PDV!B:B)</f>
        <v>CELNET COMERCIO E SERVICOS DE TELEFONIA LTDA ME</v>
      </c>
      <c r="K9" s="14">
        <f>IF(IFERROR(_xlfn.XLOOKUP(B9,Planilha2!D:D,Planilha2!H:H),0)="SIM",1,0)</f>
        <v>0</v>
      </c>
      <c r="L9" s="14" t="str">
        <f>_xlfn.XLOOKUP(B9,CAD_PDV!A:A,CAD_PDV!C:C)</f>
        <v>CO</v>
      </c>
      <c r="M9" s="14" t="str">
        <f>IFERROR(_xlfn.XLOOKUP(B9,repete!A:A,repete!A:A),"-")</f>
        <v>-</v>
      </c>
    </row>
    <row r="10" spans="1:13" hidden="1">
      <c r="A10" s="1">
        <v>46023</v>
      </c>
      <c r="B10" t="s">
        <v>1571</v>
      </c>
      <c r="C10" t="s">
        <v>1535</v>
      </c>
      <c r="D10" t="s">
        <v>232</v>
      </c>
      <c r="E10" t="s">
        <v>54</v>
      </c>
      <c r="F10">
        <v>149</v>
      </c>
      <c r="G10">
        <v>29</v>
      </c>
      <c r="H10">
        <v>1.4492753623188401E-2</v>
      </c>
      <c r="I10">
        <v>0.194630872483221</v>
      </c>
      <c r="J10" s="14" t="str">
        <f>_xlfn.XLOOKUP(B10,CAD_PDV!A:A,CAD_PDV!B:B)</f>
        <v>HS TELECOM</v>
      </c>
      <c r="K10" s="14">
        <f>IF(IFERROR(_xlfn.XLOOKUP(B10,Planilha2!D:D,Planilha2!H:H),0)="SIM",1,0)</f>
        <v>0</v>
      </c>
      <c r="L10" s="14" t="str">
        <f>_xlfn.XLOOKUP(B10,CAD_PDV!A:A,CAD_PDV!C:C)</f>
        <v>SP2</v>
      </c>
      <c r="M10" s="14" t="str">
        <f>IFERROR(_xlfn.XLOOKUP(B10,repete!A:A,repete!A:A),"-")</f>
        <v>-</v>
      </c>
    </row>
    <row r="11" spans="1:13" hidden="1">
      <c r="A11" s="1">
        <v>46023</v>
      </c>
      <c r="B11" t="s">
        <v>258</v>
      </c>
      <c r="C11" t="s">
        <v>261</v>
      </c>
      <c r="D11" t="s">
        <v>230</v>
      </c>
      <c r="E11" t="s">
        <v>61</v>
      </c>
      <c r="F11">
        <v>205</v>
      </c>
      <c r="G11">
        <v>28</v>
      </c>
      <c r="H11">
        <v>1.3993003498250899E-2</v>
      </c>
      <c r="I11">
        <v>0.13658536585365899</v>
      </c>
      <c r="J11" s="14" t="str">
        <f>_xlfn.XLOOKUP(B11,CAD_PDV!A:A,CAD_PDV!B:B)</f>
        <v>HARCOS COMERCIO E SERVICOS LTDA - EPP</v>
      </c>
      <c r="K11" s="14">
        <f>IF(IFERROR(_xlfn.XLOOKUP(B11,Planilha2!D:D,Planilha2!H:H),0)="SIM",1,0)</f>
        <v>0</v>
      </c>
      <c r="L11" s="14" t="str">
        <f>_xlfn.XLOOKUP(B11,CAD_PDV!A:A,CAD_PDV!C:C)</f>
        <v>NE</v>
      </c>
      <c r="M11" s="14" t="str">
        <f>IFERROR(_xlfn.XLOOKUP(B11,repete!A:A,repete!A:A),"-")</f>
        <v>-</v>
      </c>
    </row>
    <row r="12" spans="1:13" hidden="1">
      <c r="A12" s="1">
        <v>46023</v>
      </c>
      <c r="B12" t="s">
        <v>1682</v>
      </c>
      <c r="C12" t="s">
        <v>1566</v>
      </c>
      <c r="D12" t="s">
        <v>232</v>
      </c>
      <c r="E12" t="s">
        <v>54</v>
      </c>
      <c r="F12">
        <v>117</v>
      </c>
      <c r="G12">
        <v>27</v>
      </c>
      <c r="H12">
        <v>1.3493253373313301E-2</v>
      </c>
      <c r="I12">
        <v>0.230769230769231</v>
      </c>
      <c r="J12" s="14" t="str">
        <f>_xlfn.XLOOKUP(B12,CAD_PDV!A:A,CAD_PDV!B:B)</f>
        <v>HS TELECOM</v>
      </c>
      <c r="K12" s="14">
        <f>IF(IFERROR(_xlfn.XLOOKUP(B12,Planilha2!D:D,Planilha2!H:H),0)="SIM",1,0)</f>
        <v>0</v>
      </c>
      <c r="L12" s="14" t="str">
        <f>_xlfn.XLOOKUP(B12,CAD_PDV!A:A,CAD_PDV!C:C)</f>
        <v>SP2</v>
      </c>
      <c r="M12" s="14" t="str">
        <f>IFERROR(_xlfn.XLOOKUP(B12,repete!A:A,repete!A:A),"-")</f>
        <v>-</v>
      </c>
    </row>
    <row r="13" spans="1:13" hidden="1">
      <c r="A13" s="1">
        <v>46023</v>
      </c>
      <c r="B13" t="s">
        <v>984</v>
      </c>
      <c r="C13" t="s">
        <v>940</v>
      </c>
      <c r="D13" t="s">
        <v>232</v>
      </c>
      <c r="E13" t="s">
        <v>60</v>
      </c>
      <c r="F13">
        <v>65</v>
      </c>
      <c r="G13">
        <v>24</v>
      </c>
      <c r="H13">
        <v>1.1994002998500701E-2</v>
      </c>
      <c r="I13">
        <v>0.36923076923076897</v>
      </c>
      <c r="J13" s="14" t="str">
        <f>_xlfn.XLOOKUP(B13,CAD_PDV!A:A,CAD_PDV!B:B)</f>
        <v>HS TELECOM</v>
      </c>
      <c r="K13" s="14">
        <f>IF(IFERROR(_xlfn.XLOOKUP(B13,Planilha2!D:D,Planilha2!H:H),0)="SIM",1,0)</f>
        <v>0</v>
      </c>
      <c r="L13" s="14" t="str">
        <f>_xlfn.XLOOKUP(B13,CAD_PDV!A:A,CAD_PDV!C:C)</f>
        <v>BA/SE</v>
      </c>
      <c r="M13" s="14" t="str">
        <f>IFERROR(_xlfn.XLOOKUP(B13,repete!A:A,repete!A:A),"-")</f>
        <v>-</v>
      </c>
    </row>
    <row r="14" spans="1:13" hidden="1">
      <c r="A14" s="1">
        <v>46023</v>
      </c>
      <c r="B14" t="s">
        <v>1685</v>
      </c>
      <c r="C14" t="s">
        <v>1686</v>
      </c>
      <c r="D14" t="s">
        <v>232</v>
      </c>
      <c r="E14" t="s">
        <v>54</v>
      </c>
      <c r="F14">
        <v>171</v>
      </c>
      <c r="G14">
        <v>24</v>
      </c>
      <c r="H14">
        <v>1.1994002998500701E-2</v>
      </c>
      <c r="I14">
        <v>0.140350877192982</v>
      </c>
      <c r="J14" s="14" t="str">
        <f>_xlfn.XLOOKUP(B14,CAD_PDV!A:A,CAD_PDV!B:B)</f>
        <v>HS TELECOM</v>
      </c>
      <c r="K14" s="14">
        <f>IF(IFERROR(_xlfn.XLOOKUP(B14,Planilha2!D:D,Planilha2!H:H),0)="SIM",1,0)</f>
        <v>0</v>
      </c>
      <c r="L14" s="14" t="str">
        <f>_xlfn.XLOOKUP(B14,CAD_PDV!A:A,CAD_PDV!C:C)</f>
        <v>SP2</v>
      </c>
      <c r="M14" s="14" t="str">
        <f>IFERROR(_xlfn.XLOOKUP(B14,repete!A:A,repete!A:A),"-")</f>
        <v>-</v>
      </c>
    </row>
    <row r="15" spans="1:13" hidden="1">
      <c r="A15" s="1">
        <v>46023</v>
      </c>
      <c r="B15" t="s">
        <v>1487</v>
      </c>
      <c r="C15" t="s">
        <v>1489</v>
      </c>
      <c r="D15" t="s">
        <v>232</v>
      </c>
      <c r="E15" t="s">
        <v>54</v>
      </c>
      <c r="F15">
        <v>69</v>
      </c>
      <c r="G15">
        <v>23</v>
      </c>
      <c r="H15">
        <v>1.1494252873563199E-2</v>
      </c>
      <c r="I15">
        <v>0.33333333333333298</v>
      </c>
      <c r="J15" s="14" t="str">
        <f>_xlfn.XLOOKUP(B15,CAD_PDV!A:A,CAD_PDV!B:B)</f>
        <v>HS TELECOM</v>
      </c>
      <c r="K15" s="14">
        <f>IF(IFERROR(_xlfn.XLOOKUP(B15,Planilha2!D:D,Planilha2!H:H),0)="SIM",1,0)</f>
        <v>0</v>
      </c>
      <c r="L15" s="14" t="str">
        <f>_xlfn.XLOOKUP(B15,CAD_PDV!A:A,CAD_PDV!C:C)</f>
        <v>SP2</v>
      </c>
      <c r="M15" s="14" t="str">
        <f>IFERROR(_xlfn.XLOOKUP(B15,repete!A:A,repete!A:A),"-")</f>
        <v>-</v>
      </c>
    </row>
    <row r="16" spans="1:13" hidden="1">
      <c r="A16" s="1">
        <v>46023</v>
      </c>
      <c r="B16" t="s">
        <v>895</v>
      </c>
      <c r="C16" t="s">
        <v>873</v>
      </c>
      <c r="D16" t="s">
        <v>224</v>
      </c>
      <c r="E16" t="s">
        <v>59</v>
      </c>
      <c r="F16">
        <v>131</v>
      </c>
      <c r="G16">
        <v>23</v>
      </c>
      <c r="H16">
        <v>1.1494252873563199E-2</v>
      </c>
      <c r="I16">
        <v>0.17557251908396901</v>
      </c>
      <c r="J16" s="14" t="str">
        <f>_xlfn.XLOOKUP(B16,CAD_PDV!A:A,CAD_PDV!B:B)</f>
        <v>CELNET COMERCIO E SERVICOS DE TELEFONIA LTDA ME</v>
      </c>
      <c r="K16" s="14">
        <f>IF(IFERROR(_xlfn.XLOOKUP(B16,Planilha2!D:D,Planilha2!H:H),0)="SIM",1,0)</f>
        <v>0</v>
      </c>
      <c r="L16" s="14" t="str">
        <f>_xlfn.XLOOKUP(B16,CAD_PDV!A:A,CAD_PDV!C:C)</f>
        <v>CO</v>
      </c>
      <c r="M16" s="14" t="str">
        <f>IFERROR(_xlfn.XLOOKUP(B16,repete!A:A,repete!A:A),"-")</f>
        <v>-</v>
      </c>
    </row>
    <row r="17" spans="1:13" hidden="1">
      <c r="A17" s="1">
        <v>46023</v>
      </c>
      <c r="B17" t="s">
        <v>1662</v>
      </c>
      <c r="C17" t="s">
        <v>1663</v>
      </c>
      <c r="D17" t="s">
        <v>232</v>
      </c>
      <c r="E17" t="s">
        <v>54</v>
      </c>
      <c r="F17">
        <v>122</v>
      </c>
      <c r="G17">
        <v>23</v>
      </c>
      <c r="H17">
        <v>1.1494252873563199E-2</v>
      </c>
      <c r="I17">
        <v>0.188524590163934</v>
      </c>
      <c r="J17" s="14" t="str">
        <f>_xlfn.XLOOKUP(B17,CAD_PDV!A:A,CAD_PDV!B:B)</f>
        <v>HS TELECOM</v>
      </c>
      <c r="K17" s="14">
        <f>IF(IFERROR(_xlfn.XLOOKUP(B17,Planilha2!D:D,Planilha2!H:H),0)="SIM",1,0)</f>
        <v>0</v>
      </c>
      <c r="L17" s="14" t="str">
        <f>_xlfn.XLOOKUP(B17,CAD_PDV!A:A,CAD_PDV!C:C)</f>
        <v>SP2</v>
      </c>
      <c r="M17" s="14" t="str">
        <f>IFERROR(_xlfn.XLOOKUP(B17,repete!A:A,repete!A:A),"-")</f>
        <v>-</v>
      </c>
    </row>
    <row r="18" spans="1:13" hidden="1">
      <c r="A18" s="1">
        <v>46023</v>
      </c>
      <c r="B18" t="s">
        <v>1669</v>
      </c>
      <c r="C18" t="s">
        <v>1661</v>
      </c>
      <c r="D18" t="s">
        <v>232</v>
      </c>
      <c r="E18" t="s">
        <v>54</v>
      </c>
      <c r="F18">
        <v>119</v>
      </c>
      <c r="G18">
        <v>23</v>
      </c>
      <c r="H18">
        <v>1.1494252873563199E-2</v>
      </c>
      <c r="I18">
        <v>0.19327731092437</v>
      </c>
      <c r="J18" s="14" t="str">
        <f>_xlfn.XLOOKUP(B18,CAD_PDV!A:A,CAD_PDV!B:B)</f>
        <v>HS TELECOM</v>
      </c>
      <c r="K18" s="14">
        <f>IF(IFERROR(_xlfn.XLOOKUP(B18,Planilha2!D:D,Planilha2!H:H),0)="SIM",1,0)</f>
        <v>0</v>
      </c>
      <c r="L18" s="14" t="str">
        <f>_xlfn.XLOOKUP(B18,CAD_PDV!A:A,CAD_PDV!C:C)</f>
        <v>SP2</v>
      </c>
      <c r="M18" s="14" t="str">
        <f>IFERROR(_xlfn.XLOOKUP(B18,repete!A:A,repete!A:A),"-")</f>
        <v>-</v>
      </c>
    </row>
    <row r="19" spans="1:13" hidden="1">
      <c r="A19" s="1">
        <v>46023</v>
      </c>
      <c r="B19" t="s">
        <v>1548</v>
      </c>
      <c r="C19" t="s">
        <v>1545</v>
      </c>
      <c r="D19" t="s">
        <v>232</v>
      </c>
      <c r="E19" t="s">
        <v>54</v>
      </c>
      <c r="F19">
        <v>95</v>
      </c>
      <c r="G19">
        <v>22</v>
      </c>
      <c r="H19">
        <v>1.0994502748625699E-2</v>
      </c>
      <c r="I19">
        <v>0.231578947368421</v>
      </c>
      <c r="J19" s="14" t="str">
        <f>_xlfn.XLOOKUP(B19,CAD_PDV!A:A,CAD_PDV!B:B)</f>
        <v>HS TELECOM</v>
      </c>
      <c r="K19" s="14">
        <f>IF(IFERROR(_xlfn.XLOOKUP(B19,Planilha2!D:D,Planilha2!H:H),0)="SIM",1,0)</f>
        <v>0</v>
      </c>
      <c r="L19" s="14" t="str">
        <f>_xlfn.XLOOKUP(B19,CAD_PDV!A:A,CAD_PDV!C:C)</f>
        <v>SP2</v>
      </c>
      <c r="M19" s="14" t="str">
        <f>IFERROR(_xlfn.XLOOKUP(B19,repete!A:A,repete!A:A),"-")</f>
        <v>-</v>
      </c>
    </row>
    <row r="20" spans="1:13" hidden="1">
      <c r="A20" s="1">
        <v>46023</v>
      </c>
      <c r="B20" t="s">
        <v>1735</v>
      </c>
      <c r="C20" t="s">
        <v>1464</v>
      </c>
      <c r="D20" t="s">
        <v>132</v>
      </c>
      <c r="E20" t="s">
        <v>54</v>
      </c>
      <c r="F20">
        <v>47</v>
      </c>
      <c r="G20">
        <v>21</v>
      </c>
      <c r="H20">
        <v>1.04947526236882E-2</v>
      </c>
      <c r="I20">
        <v>0.44680851063829802</v>
      </c>
      <c r="J20" s="14" t="str">
        <f>_xlfn.XLOOKUP(B20,CAD_PDV!A:A,CAD_PDV!B:B)</f>
        <v>FLEX CELL</v>
      </c>
      <c r="K20" s="14">
        <f>IF(IFERROR(_xlfn.XLOOKUP(B20,Planilha2!D:D,Planilha2!H:H),0)="SIM",1,0)</f>
        <v>0</v>
      </c>
      <c r="L20" s="14" t="str">
        <f>_xlfn.XLOOKUP(B20,CAD_PDV!A:A,CAD_PDV!C:C)</f>
        <v>SP2</v>
      </c>
      <c r="M20" s="14" t="str">
        <f>IFERROR(_xlfn.XLOOKUP(B20,repete!A:A,repete!A:A),"-")</f>
        <v>-</v>
      </c>
    </row>
    <row r="21" spans="1:13" hidden="1">
      <c r="A21" s="1">
        <v>46023</v>
      </c>
      <c r="B21" t="s">
        <v>279</v>
      </c>
      <c r="C21" t="s">
        <v>265</v>
      </c>
      <c r="D21" t="s">
        <v>230</v>
      </c>
      <c r="E21" t="s">
        <v>61</v>
      </c>
      <c r="F21">
        <v>170</v>
      </c>
      <c r="G21">
        <v>20</v>
      </c>
      <c r="H21">
        <v>9.9950024987506304E-3</v>
      </c>
      <c r="I21">
        <v>0.11764705882352899</v>
      </c>
      <c r="J21" s="14" t="str">
        <f>_xlfn.XLOOKUP(B21,CAD_PDV!A:A,CAD_PDV!B:B)</f>
        <v>HARCOS COMERCIO E SERVICOS LTDA - EPP</v>
      </c>
      <c r="K21" s="14">
        <f>IF(IFERROR(_xlfn.XLOOKUP(B21,Planilha2!D:D,Planilha2!H:H),0)="SIM",1,0)</f>
        <v>0</v>
      </c>
      <c r="L21" s="14" t="str">
        <f>_xlfn.XLOOKUP(B21,CAD_PDV!A:A,CAD_PDV!C:C)</f>
        <v>NE</v>
      </c>
      <c r="M21" s="14" t="str">
        <f>IFERROR(_xlfn.XLOOKUP(B21,repete!A:A,repete!A:A),"-")</f>
        <v>-</v>
      </c>
    </row>
    <row r="22" spans="1:13" hidden="1">
      <c r="A22" s="1">
        <v>46023</v>
      </c>
      <c r="B22" t="s">
        <v>548</v>
      </c>
      <c r="C22" t="s">
        <v>475</v>
      </c>
      <c r="D22" t="s">
        <v>228</v>
      </c>
      <c r="E22" t="s">
        <v>56</v>
      </c>
      <c r="F22">
        <v>120</v>
      </c>
      <c r="G22">
        <v>19</v>
      </c>
      <c r="H22">
        <v>9.4952523738130908E-3</v>
      </c>
      <c r="I22">
        <v>0.15833333333333299</v>
      </c>
      <c r="J22" s="14" t="str">
        <f>_xlfn.XLOOKUP(B22,CAD_PDV!A:A,CAD_PDV!B:B)</f>
        <v>FAJULUTI</v>
      </c>
      <c r="K22" s="14">
        <f>IF(IFERROR(_xlfn.XLOOKUP(B22,Planilha2!D:D,Planilha2!H:H),0)="SIM",1,0)</f>
        <v>0</v>
      </c>
      <c r="L22" s="14" t="str">
        <f>_xlfn.XLOOKUP(B22,CAD_PDV!A:A,CAD_PDV!C:C)</f>
        <v>MG</v>
      </c>
      <c r="M22" s="14" t="str">
        <f>IFERROR(_xlfn.XLOOKUP(B22,repete!A:A,repete!A:A),"-")</f>
        <v>-</v>
      </c>
    </row>
    <row r="23" spans="1:13" hidden="1">
      <c r="A23" s="1">
        <v>46023</v>
      </c>
      <c r="B23" t="s">
        <v>1015</v>
      </c>
      <c r="C23" t="s">
        <v>1017</v>
      </c>
      <c r="D23" t="s">
        <v>232</v>
      </c>
      <c r="E23" t="s">
        <v>60</v>
      </c>
      <c r="F23">
        <v>79</v>
      </c>
      <c r="G23">
        <v>19</v>
      </c>
      <c r="H23">
        <v>9.4952523738130908E-3</v>
      </c>
      <c r="I23">
        <v>0.240506329113924</v>
      </c>
      <c r="J23" s="14" t="str">
        <f>_xlfn.XLOOKUP(B23,CAD_PDV!A:A,CAD_PDV!B:B)</f>
        <v>HS TELECOM</v>
      </c>
      <c r="K23" s="14">
        <f>IF(IFERROR(_xlfn.XLOOKUP(B23,Planilha2!D:D,Planilha2!H:H),0)="SIM",1,0)</f>
        <v>0</v>
      </c>
      <c r="L23" s="14" t="str">
        <f>_xlfn.XLOOKUP(B23,CAD_PDV!A:A,CAD_PDV!C:C)</f>
        <v>BA/SE</v>
      </c>
      <c r="M23" s="14" t="str">
        <f>IFERROR(_xlfn.XLOOKUP(B23,repete!A:A,repete!A:A),"-")</f>
        <v>-</v>
      </c>
    </row>
    <row r="24" spans="1:13" hidden="1">
      <c r="A24" s="1">
        <v>46023</v>
      </c>
      <c r="B24" t="s">
        <v>747</v>
      </c>
      <c r="C24" t="s">
        <v>610</v>
      </c>
      <c r="D24" t="s">
        <v>224</v>
      </c>
      <c r="E24" t="s">
        <v>59</v>
      </c>
      <c r="F24">
        <v>128</v>
      </c>
      <c r="G24">
        <v>19</v>
      </c>
      <c r="H24">
        <v>9.4952523738130908E-3</v>
      </c>
      <c r="I24">
        <v>0.1484375</v>
      </c>
      <c r="J24" s="14" t="str">
        <f>_xlfn.XLOOKUP(B24,CAD_PDV!A:A,CAD_PDV!B:B)</f>
        <v>CELNET COMERCIO E SERVICOS DE TELEFONIA LTDA ME</v>
      </c>
      <c r="K24" s="14">
        <f>IF(IFERROR(_xlfn.XLOOKUP(B24,Planilha2!D:D,Planilha2!H:H),0)="SIM",1,0)</f>
        <v>0</v>
      </c>
      <c r="L24" s="14" t="str">
        <f>_xlfn.XLOOKUP(B24,CAD_PDV!A:A,CAD_PDV!C:C)</f>
        <v>CO</v>
      </c>
      <c r="M24" s="14" t="str">
        <f>IFERROR(_xlfn.XLOOKUP(B24,repete!A:A,repete!A:A),"-")</f>
        <v>-</v>
      </c>
    </row>
    <row r="25" spans="1:13" hidden="1">
      <c r="A25" s="1">
        <v>46023</v>
      </c>
      <c r="B25" t="s">
        <v>1687</v>
      </c>
      <c r="C25" t="s">
        <v>1688</v>
      </c>
      <c r="D25" t="s">
        <v>232</v>
      </c>
      <c r="E25" t="s">
        <v>54</v>
      </c>
      <c r="F25">
        <v>118</v>
      </c>
      <c r="G25">
        <v>19</v>
      </c>
      <c r="H25">
        <v>9.4952523738130908E-3</v>
      </c>
      <c r="I25">
        <v>0.161016949152542</v>
      </c>
      <c r="J25" s="14" t="str">
        <f>_xlfn.XLOOKUP(B25,CAD_PDV!A:A,CAD_PDV!B:B)</f>
        <v>HS TELECOM</v>
      </c>
      <c r="K25" s="14">
        <f>IF(IFERROR(_xlfn.XLOOKUP(B25,Planilha2!D:D,Planilha2!H:H),0)="SIM",1,0)</f>
        <v>0</v>
      </c>
      <c r="L25" s="14" t="str">
        <f>_xlfn.XLOOKUP(B25,CAD_PDV!A:A,CAD_PDV!C:C)</f>
        <v>SP2</v>
      </c>
      <c r="M25" s="14" t="str">
        <f>IFERROR(_xlfn.XLOOKUP(B25,repete!A:A,repete!A:A),"-")</f>
        <v>-</v>
      </c>
    </row>
    <row r="26" spans="1:13" hidden="1">
      <c r="A26" s="1">
        <v>46023</v>
      </c>
      <c r="B26" t="s">
        <v>899</v>
      </c>
      <c r="C26" t="s">
        <v>873</v>
      </c>
      <c r="D26" t="s">
        <v>224</v>
      </c>
      <c r="E26" t="s">
        <v>59</v>
      </c>
      <c r="F26">
        <v>141</v>
      </c>
      <c r="G26">
        <v>19</v>
      </c>
      <c r="H26">
        <v>9.4952523738130908E-3</v>
      </c>
      <c r="I26">
        <v>0.134751773049645</v>
      </c>
      <c r="J26" s="14" t="str">
        <f>_xlfn.XLOOKUP(B26,CAD_PDV!A:A,CAD_PDV!B:B)</f>
        <v>CELNET COMERCIO E SERVICOS DE TELEFONIA LTDA ME</v>
      </c>
      <c r="K26" s="14">
        <f>IF(IFERROR(_xlfn.XLOOKUP(B26,Planilha2!D:D,Planilha2!H:H),0)="SIM",1,0)</f>
        <v>0</v>
      </c>
      <c r="L26" s="14" t="str">
        <f>_xlfn.XLOOKUP(B26,CAD_PDV!A:A,CAD_PDV!C:C)</f>
        <v>CO</v>
      </c>
      <c r="M26" s="14" t="str">
        <f>IFERROR(_xlfn.XLOOKUP(B26,repete!A:A,repete!A:A),"-")</f>
        <v>-</v>
      </c>
    </row>
    <row r="27" spans="1:13" hidden="1">
      <c r="A27" s="1">
        <v>46023</v>
      </c>
      <c r="B27" t="s">
        <v>1372</v>
      </c>
      <c r="C27" t="s">
        <v>1313</v>
      </c>
      <c r="D27" t="s">
        <v>132</v>
      </c>
      <c r="E27" t="s">
        <v>53</v>
      </c>
      <c r="F27">
        <v>130</v>
      </c>
      <c r="G27">
        <v>19</v>
      </c>
      <c r="H27">
        <v>9.4952523738130908E-3</v>
      </c>
      <c r="I27">
        <v>0.146153846153846</v>
      </c>
      <c r="J27" s="14" t="str">
        <f>_xlfn.XLOOKUP(B27,CAD_PDV!A:A,CAD_PDV!B:B)</f>
        <v>FLEX CELL</v>
      </c>
      <c r="K27" s="14">
        <f>IF(IFERROR(_xlfn.XLOOKUP(B27,Planilha2!D:D,Planilha2!H:H),0)="SIM",1,0)</f>
        <v>0</v>
      </c>
      <c r="L27" s="14" t="str">
        <f>_xlfn.XLOOKUP(B27,CAD_PDV!A:A,CAD_PDV!C:C)</f>
        <v>SP1</v>
      </c>
      <c r="M27" s="14" t="str">
        <f>IFERROR(_xlfn.XLOOKUP(B27,repete!A:A,repete!A:A),"-")</f>
        <v>-</v>
      </c>
    </row>
    <row r="28" spans="1:13" hidden="1">
      <c r="A28" s="1">
        <v>46023</v>
      </c>
      <c r="B28" t="s">
        <v>1504</v>
      </c>
      <c r="C28" t="s">
        <v>1505</v>
      </c>
      <c r="D28" t="s">
        <v>132</v>
      </c>
      <c r="E28" t="s">
        <v>54</v>
      </c>
      <c r="F28">
        <v>140</v>
      </c>
      <c r="G28">
        <v>17</v>
      </c>
      <c r="H28">
        <v>8.4957521239380305E-3</v>
      </c>
      <c r="I28">
        <v>0.121428571428571</v>
      </c>
      <c r="J28" s="14" t="str">
        <f>_xlfn.XLOOKUP(B28,CAD_PDV!A:A,CAD_PDV!B:B)</f>
        <v>FLEX CELL</v>
      </c>
      <c r="K28" s="14">
        <f>IF(IFERROR(_xlfn.XLOOKUP(B28,Planilha2!D:D,Planilha2!H:H),0)="SIM",1,0)</f>
        <v>0</v>
      </c>
      <c r="L28" s="14" t="str">
        <f>_xlfn.XLOOKUP(B28,CAD_PDV!A:A,CAD_PDV!C:C)</f>
        <v>SP2</v>
      </c>
      <c r="M28" s="14" t="str">
        <f>IFERROR(_xlfn.XLOOKUP(B28,repete!A:A,repete!A:A),"-")</f>
        <v>-</v>
      </c>
    </row>
    <row r="29" spans="1:13" hidden="1">
      <c r="A29" s="1">
        <v>46023</v>
      </c>
      <c r="B29" t="s">
        <v>1667</v>
      </c>
      <c r="C29" t="s">
        <v>1668</v>
      </c>
      <c r="D29" t="s">
        <v>232</v>
      </c>
      <c r="E29" t="s">
        <v>54</v>
      </c>
      <c r="F29">
        <v>111</v>
      </c>
      <c r="G29">
        <v>17</v>
      </c>
      <c r="H29">
        <v>8.4957521239380305E-3</v>
      </c>
      <c r="I29">
        <v>0.153153153153153</v>
      </c>
      <c r="J29" s="14" t="str">
        <f>_xlfn.XLOOKUP(B29,CAD_PDV!A:A,CAD_PDV!B:B)</f>
        <v>HS TELECOM</v>
      </c>
      <c r="K29" s="14">
        <f>IF(IFERROR(_xlfn.XLOOKUP(B29,Planilha2!D:D,Planilha2!H:H),0)="SIM",1,0)</f>
        <v>0</v>
      </c>
      <c r="L29" s="14" t="str">
        <f>_xlfn.XLOOKUP(B29,CAD_PDV!A:A,CAD_PDV!C:C)</f>
        <v>SP2</v>
      </c>
      <c r="M29" s="14" t="str">
        <f>IFERROR(_xlfn.XLOOKUP(B29,repete!A:A,repete!A:A),"-")</f>
        <v>-</v>
      </c>
    </row>
    <row r="30" spans="1:13" hidden="1">
      <c r="A30" s="1">
        <v>46023</v>
      </c>
      <c r="B30" t="s">
        <v>1680</v>
      </c>
      <c r="C30" t="s">
        <v>1676</v>
      </c>
      <c r="D30" t="s">
        <v>232</v>
      </c>
      <c r="E30" t="s">
        <v>54</v>
      </c>
      <c r="F30">
        <v>155</v>
      </c>
      <c r="G30">
        <v>17</v>
      </c>
      <c r="H30">
        <v>8.4957521239380305E-3</v>
      </c>
      <c r="I30">
        <v>0.109677419354839</v>
      </c>
      <c r="J30" s="14" t="str">
        <f>_xlfn.XLOOKUP(B30,CAD_PDV!A:A,CAD_PDV!B:B)</f>
        <v>HS TELECOM</v>
      </c>
      <c r="K30" s="14">
        <f>IF(IFERROR(_xlfn.XLOOKUP(B30,Planilha2!D:D,Planilha2!H:H),0)="SIM",1,0)</f>
        <v>0</v>
      </c>
      <c r="L30" s="14" t="str">
        <f>_xlfn.XLOOKUP(B30,CAD_PDV!A:A,CAD_PDV!C:C)</f>
        <v>SP2</v>
      </c>
      <c r="M30" s="14" t="str">
        <f>IFERROR(_xlfn.XLOOKUP(B30,repete!A:A,repete!A:A),"-")</f>
        <v>-</v>
      </c>
    </row>
    <row r="31" spans="1:13" hidden="1">
      <c r="A31" s="1">
        <v>46023</v>
      </c>
      <c r="B31" t="s">
        <v>640</v>
      </c>
      <c r="C31" t="s">
        <v>641</v>
      </c>
      <c r="D31" t="s">
        <v>221</v>
      </c>
      <c r="E31" t="s">
        <v>59</v>
      </c>
      <c r="F31">
        <v>75</v>
      </c>
      <c r="G31">
        <v>17</v>
      </c>
      <c r="H31">
        <v>8.4957521239380305E-3</v>
      </c>
      <c r="I31">
        <v>0.22666666666666699</v>
      </c>
      <c r="J31" s="14" t="str">
        <f>_xlfn.XLOOKUP(B31,CAD_PDV!A:A,CAD_PDV!B:B)</f>
        <v>AMERICOM COMERCIO DE APARELHOS ELETRONICOS LTDA - EPP</v>
      </c>
      <c r="K31" s="14">
        <f>IF(IFERROR(_xlfn.XLOOKUP(B31,Planilha2!D:D,Planilha2!H:H),0)="SIM",1,0)</f>
        <v>0</v>
      </c>
      <c r="L31" s="14" t="str">
        <f>_xlfn.XLOOKUP(B31,CAD_PDV!A:A,CAD_PDV!C:C)</f>
        <v>CO</v>
      </c>
      <c r="M31" s="14" t="str">
        <f>IFERROR(_xlfn.XLOOKUP(B31,repete!A:A,repete!A:A),"-")</f>
        <v>-</v>
      </c>
    </row>
    <row r="32" spans="1:13" hidden="1">
      <c r="A32" s="1">
        <v>46023</v>
      </c>
      <c r="B32" t="s">
        <v>831</v>
      </c>
      <c r="C32" t="s">
        <v>820</v>
      </c>
      <c r="D32" t="s">
        <v>239</v>
      </c>
      <c r="E32" t="s">
        <v>59</v>
      </c>
      <c r="F32">
        <v>127</v>
      </c>
      <c r="G32">
        <v>16</v>
      </c>
      <c r="H32">
        <v>7.9960019990004995E-3</v>
      </c>
      <c r="I32">
        <v>0.12598425196850399</v>
      </c>
      <c r="J32" s="14" t="str">
        <f>_xlfn.XLOOKUP(B32,CAD_PDV!A:A,CAD_PDV!B:B)</f>
        <v>TELECELL TELEFONIA LTDA - ME</v>
      </c>
      <c r="K32" s="14">
        <f>IF(IFERROR(_xlfn.XLOOKUP(B32,Planilha2!D:D,Planilha2!H:H),0)="SIM",1,0)</f>
        <v>0</v>
      </c>
      <c r="L32" s="14" t="str">
        <f>_xlfn.XLOOKUP(B32,CAD_PDV!A:A,CAD_PDV!C:C)</f>
        <v>CO</v>
      </c>
      <c r="M32" s="14" t="str">
        <f>IFERROR(_xlfn.XLOOKUP(B32,repete!A:A,repete!A:A),"-")</f>
        <v>-</v>
      </c>
    </row>
    <row r="33" spans="1:13" hidden="1">
      <c r="A33" s="1">
        <v>46023</v>
      </c>
      <c r="B33" t="s">
        <v>1174</v>
      </c>
      <c r="C33" t="s">
        <v>1142</v>
      </c>
      <c r="D33" t="s">
        <v>2072</v>
      </c>
      <c r="E33" t="s">
        <v>55</v>
      </c>
      <c r="F33">
        <v>228</v>
      </c>
      <c r="G33">
        <v>16</v>
      </c>
      <c r="H33">
        <v>7.9960019990004995E-3</v>
      </c>
      <c r="I33">
        <v>7.0175438596491196E-2</v>
      </c>
      <c r="J33" s="14" t="str">
        <f>_xlfn.XLOOKUP(B33,CAD_PDV!A:A,CAD_PDV!B:B)</f>
        <v>MEXCELL COMERCIO E SERVICOS DE TELECOMUNICACOES LTDA</v>
      </c>
      <c r="K33" s="14">
        <f>IF(IFERROR(_xlfn.XLOOKUP(B33,Planilha2!D:D,Planilha2!H:H),0)="SIM",1,0)</f>
        <v>0</v>
      </c>
      <c r="L33" s="14" t="str">
        <f>_xlfn.XLOOKUP(B33,CAD_PDV!A:A,CAD_PDV!C:C)</f>
        <v>RJ/ES</v>
      </c>
      <c r="M33" s="14" t="str">
        <f>IFERROR(_xlfn.XLOOKUP(B33,repete!A:A,repete!A:A),"-")</f>
        <v>-</v>
      </c>
    </row>
    <row r="34" spans="1:13" hidden="1">
      <c r="A34" s="1">
        <v>46023</v>
      </c>
      <c r="B34" t="s">
        <v>1139</v>
      </c>
      <c r="C34" t="s">
        <v>1142</v>
      </c>
      <c r="D34" t="s">
        <v>228</v>
      </c>
      <c r="E34" t="s">
        <v>55</v>
      </c>
      <c r="F34">
        <v>177</v>
      </c>
      <c r="G34">
        <v>15</v>
      </c>
      <c r="H34">
        <v>7.4962518740629702E-3</v>
      </c>
      <c r="I34">
        <v>8.4745762711864403E-2</v>
      </c>
      <c r="J34" s="14" t="str">
        <f>_xlfn.XLOOKUP(B34,CAD_PDV!A:A,CAD_PDV!B:B)</f>
        <v>FAJULUTI</v>
      </c>
      <c r="K34" s="14">
        <f>IF(IFERROR(_xlfn.XLOOKUP(B34,Planilha2!D:D,Planilha2!H:H),0)="SIM",1,0)</f>
        <v>0</v>
      </c>
      <c r="L34" s="14" t="str">
        <f>_xlfn.XLOOKUP(B34,CAD_PDV!A:A,CAD_PDV!C:C)</f>
        <v>RJ/ES</v>
      </c>
      <c r="M34" s="14" t="str">
        <f>IFERROR(_xlfn.XLOOKUP(B34,repete!A:A,repete!A:A),"-")</f>
        <v>-</v>
      </c>
    </row>
    <row r="35" spans="1:13" hidden="1">
      <c r="A35" s="1">
        <v>46023</v>
      </c>
      <c r="B35" t="s">
        <v>1656</v>
      </c>
      <c r="C35" t="s">
        <v>1657</v>
      </c>
      <c r="D35" t="s">
        <v>232</v>
      </c>
      <c r="E35" t="s">
        <v>54</v>
      </c>
      <c r="F35">
        <v>78</v>
      </c>
      <c r="G35">
        <v>15</v>
      </c>
      <c r="H35">
        <v>7.4962518740629702E-3</v>
      </c>
      <c r="I35">
        <v>0.19230769230769201</v>
      </c>
      <c r="J35" s="14" t="str">
        <f>_xlfn.XLOOKUP(B35,CAD_PDV!A:A,CAD_PDV!B:B)</f>
        <v>HS TELECOM</v>
      </c>
      <c r="K35" s="14">
        <f>IF(IFERROR(_xlfn.XLOOKUP(B35,Planilha2!D:D,Planilha2!H:H),0)="SIM",1,0)</f>
        <v>0</v>
      </c>
      <c r="L35" s="14" t="str">
        <f>_xlfn.XLOOKUP(B35,CAD_PDV!A:A,CAD_PDV!C:C)</f>
        <v>SP2</v>
      </c>
      <c r="M35" s="14" t="str">
        <f>IFERROR(_xlfn.XLOOKUP(B35,repete!A:A,repete!A:A),"-")</f>
        <v>-</v>
      </c>
    </row>
    <row r="36" spans="1:13" hidden="1">
      <c r="A36" s="1">
        <v>46023</v>
      </c>
      <c r="B36" t="s">
        <v>1660</v>
      </c>
      <c r="C36" t="s">
        <v>1661</v>
      </c>
      <c r="D36" t="s">
        <v>232</v>
      </c>
      <c r="E36" t="s">
        <v>54</v>
      </c>
      <c r="F36">
        <v>105</v>
      </c>
      <c r="G36">
        <v>15</v>
      </c>
      <c r="H36">
        <v>7.4962518740629702E-3</v>
      </c>
      <c r="I36">
        <v>0.14285714285714299</v>
      </c>
      <c r="J36" s="14" t="str">
        <f>_xlfn.XLOOKUP(B36,CAD_PDV!A:A,CAD_PDV!B:B)</f>
        <v>HS TELECOM</v>
      </c>
      <c r="K36" s="14">
        <f>IF(IFERROR(_xlfn.XLOOKUP(B36,Planilha2!D:D,Planilha2!H:H),0)="SIM",1,0)</f>
        <v>0</v>
      </c>
      <c r="L36" s="14" t="str">
        <f>_xlfn.XLOOKUP(B36,CAD_PDV!A:A,CAD_PDV!C:C)</f>
        <v>SP2</v>
      </c>
      <c r="M36" s="14" t="str">
        <f>IFERROR(_xlfn.XLOOKUP(B36,repete!A:A,repete!A:A),"-")</f>
        <v>-</v>
      </c>
    </row>
    <row r="37" spans="1:13" hidden="1">
      <c r="A37" s="1">
        <v>46023</v>
      </c>
      <c r="B37" t="s">
        <v>1697</v>
      </c>
      <c r="C37" t="s">
        <v>1698</v>
      </c>
      <c r="D37" t="s">
        <v>232</v>
      </c>
      <c r="E37" t="s">
        <v>54</v>
      </c>
      <c r="F37">
        <v>103</v>
      </c>
      <c r="G37">
        <v>15</v>
      </c>
      <c r="H37">
        <v>7.4962518740629702E-3</v>
      </c>
      <c r="I37">
        <v>0.14563106796116501</v>
      </c>
      <c r="J37" s="14" t="str">
        <f>_xlfn.XLOOKUP(B37,CAD_PDV!A:A,CAD_PDV!B:B)</f>
        <v>HS TELECOM</v>
      </c>
      <c r="K37" s="14">
        <f>IF(IFERROR(_xlfn.XLOOKUP(B37,Planilha2!D:D,Planilha2!H:H),0)="SIM",1,0)</f>
        <v>0</v>
      </c>
      <c r="L37" s="14" t="str">
        <f>_xlfn.XLOOKUP(B37,CAD_PDV!A:A,CAD_PDV!C:C)</f>
        <v>SP2</v>
      </c>
      <c r="M37" s="14" t="str">
        <f>IFERROR(_xlfn.XLOOKUP(B37,repete!A:A,repete!A:A),"-")</f>
        <v>-</v>
      </c>
    </row>
    <row r="38" spans="1:13" hidden="1">
      <c r="A38" s="1">
        <v>46023</v>
      </c>
      <c r="B38" t="s">
        <v>1716</v>
      </c>
      <c r="C38" t="s">
        <v>1663</v>
      </c>
      <c r="D38" t="s">
        <v>232</v>
      </c>
      <c r="E38" t="s">
        <v>54</v>
      </c>
      <c r="F38">
        <v>118</v>
      </c>
      <c r="G38">
        <v>15</v>
      </c>
      <c r="H38">
        <v>7.4962518740629702E-3</v>
      </c>
      <c r="I38">
        <v>0.12711864406779699</v>
      </c>
      <c r="J38" s="14" t="str">
        <f>_xlfn.XLOOKUP(B38,CAD_PDV!A:A,CAD_PDV!B:B)</f>
        <v>HS TELECOM</v>
      </c>
      <c r="K38" s="14">
        <f>IF(IFERROR(_xlfn.XLOOKUP(B38,Planilha2!D:D,Planilha2!H:H),0)="SIM",1,0)</f>
        <v>0</v>
      </c>
      <c r="L38" s="14" t="str">
        <f>_xlfn.XLOOKUP(B38,CAD_PDV!A:A,CAD_PDV!C:C)</f>
        <v>SP2</v>
      </c>
      <c r="M38" s="14" t="str">
        <f>IFERROR(_xlfn.XLOOKUP(B38,repete!A:A,repete!A:A),"-")</f>
        <v>-</v>
      </c>
    </row>
    <row r="39" spans="1:13" hidden="1">
      <c r="A39" s="1">
        <v>46023</v>
      </c>
      <c r="B39" t="s">
        <v>979</v>
      </c>
      <c r="C39" t="s">
        <v>944</v>
      </c>
      <c r="D39" t="s">
        <v>232</v>
      </c>
      <c r="E39" t="s">
        <v>60</v>
      </c>
      <c r="F39">
        <v>171</v>
      </c>
      <c r="G39">
        <v>13</v>
      </c>
      <c r="H39">
        <v>6.49675162418791E-3</v>
      </c>
      <c r="I39">
        <v>7.6023391812865507E-2</v>
      </c>
      <c r="J39" s="14" t="str">
        <f>_xlfn.XLOOKUP(B39,CAD_PDV!A:A,CAD_PDV!B:B)</f>
        <v>HS TELECOM</v>
      </c>
      <c r="K39" s="14">
        <f>IF(IFERROR(_xlfn.XLOOKUP(B39,Planilha2!D:D,Planilha2!H:H),0)="SIM",1,0)</f>
        <v>0</v>
      </c>
      <c r="L39" s="14" t="str">
        <f>_xlfn.XLOOKUP(B39,CAD_PDV!A:A,CAD_PDV!C:C)</f>
        <v>BA/SE</v>
      </c>
      <c r="M39" s="14" t="str">
        <f>IFERROR(_xlfn.XLOOKUP(B39,repete!A:A,repete!A:A),"-")</f>
        <v>-</v>
      </c>
    </row>
    <row r="40" spans="1:13" hidden="1">
      <c r="A40" s="1">
        <v>46023</v>
      </c>
      <c r="B40" t="s">
        <v>993</v>
      </c>
      <c r="C40" t="s">
        <v>992</v>
      </c>
      <c r="D40" t="s">
        <v>232</v>
      </c>
      <c r="E40" t="s">
        <v>60</v>
      </c>
      <c r="F40">
        <v>48</v>
      </c>
      <c r="G40">
        <v>13</v>
      </c>
      <c r="H40">
        <v>6.49675162418791E-3</v>
      </c>
      <c r="I40">
        <v>0.27083333333333298</v>
      </c>
      <c r="J40" s="14" t="str">
        <f>_xlfn.XLOOKUP(B40,CAD_PDV!A:A,CAD_PDV!B:B)</f>
        <v>HS TELECOM</v>
      </c>
      <c r="K40" s="14">
        <f>IF(IFERROR(_xlfn.XLOOKUP(B40,Planilha2!D:D,Planilha2!H:H),0)="SIM",1,0)</f>
        <v>0</v>
      </c>
      <c r="L40" s="14" t="str">
        <f>_xlfn.XLOOKUP(B40,CAD_PDV!A:A,CAD_PDV!C:C)</f>
        <v>BA/SE</v>
      </c>
      <c r="M40" s="14" t="str">
        <f>IFERROR(_xlfn.XLOOKUP(B40,repete!A:A,repete!A:A),"-")</f>
        <v>-</v>
      </c>
    </row>
    <row r="41" spans="1:13" hidden="1">
      <c r="A41" s="1">
        <v>46023</v>
      </c>
      <c r="B41" t="s">
        <v>1217</v>
      </c>
      <c r="C41" t="s">
        <v>1152</v>
      </c>
      <c r="D41" t="s">
        <v>228</v>
      </c>
      <c r="E41" t="s">
        <v>55</v>
      </c>
      <c r="F41">
        <v>96</v>
      </c>
      <c r="G41">
        <v>13</v>
      </c>
      <c r="H41">
        <v>6.49675162418791E-3</v>
      </c>
      <c r="I41">
        <v>0.13541666666666699</v>
      </c>
      <c r="J41" s="14" t="str">
        <f>_xlfn.XLOOKUP(B41,CAD_PDV!A:A,CAD_PDV!B:B)</f>
        <v>FAJULUTI</v>
      </c>
      <c r="K41" s="14">
        <f>IF(IFERROR(_xlfn.XLOOKUP(B41,Planilha2!D:D,Planilha2!H:H),0)="SIM",1,0)</f>
        <v>0</v>
      </c>
      <c r="L41" s="14" t="str">
        <f>_xlfn.XLOOKUP(B41,CAD_PDV!A:A,CAD_PDV!C:C)</f>
        <v>RJ/ES</v>
      </c>
      <c r="M41" s="14" t="str">
        <f>IFERROR(_xlfn.XLOOKUP(B41,repete!A:A,repete!A:A),"-")</f>
        <v>-</v>
      </c>
    </row>
    <row r="42" spans="1:13" hidden="1">
      <c r="A42" s="1">
        <v>46023</v>
      </c>
      <c r="B42" t="s">
        <v>1246</v>
      </c>
      <c r="C42" t="s">
        <v>1142</v>
      </c>
      <c r="D42" t="s">
        <v>228</v>
      </c>
      <c r="E42" t="s">
        <v>55</v>
      </c>
      <c r="F42">
        <v>185</v>
      </c>
      <c r="G42">
        <v>13</v>
      </c>
      <c r="H42">
        <v>6.49675162418791E-3</v>
      </c>
      <c r="I42">
        <v>7.0270270270270302E-2</v>
      </c>
      <c r="J42" s="14" t="str">
        <f>_xlfn.XLOOKUP(B42,CAD_PDV!A:A,CAD_PDV!B:B)</f>
        <v>FAJULUTI</v>
      </c>
      <c r="K42" s="14">
        <f>IF(IFERROR(_xlfn.XLOOKUP(B42,Planilha2!D:D,Planilha2!H:H),0)="SIM",1,0)</f>
        <v>0</v>
      </c>
      <c r="L42" s="14" t="str">
        <f>_xlfn.XLOOKUP(B42,CAD_PDV!A:A,CAD_PDV!C:C)</f>
        <v>RJ/ES</v>
      </c>
      <c r="M42" s="14" t="str">
        <f>IFERROR(_xlfn.XLOOKUP(B42,repete!A:A,repete!A:A),"-")</f>
        <v>-</v>
      </c>
    </row>
    <row r="43" spans="1:13" hidden="1">
      <c r="A43" s="1">
        <v>46023</v>
      </c>
      <c r="B43" t="s">
        <v>896</v>
      </c>
      <c r="C43" t="s">
        <v>873</v>
      </c>
      <c r="D43" t="s">
        <v>224</v>
      </c>
      <c r="E43" t="s">
        <v>59</v>
      </c>
      <c r="F43">
        <v>65</v>
      </c>
      <c r="G43">
        <v>13</v>
      </c>
      <c r="H43">
        <v>6.49675162418791E-3</v>
      </c>
      <c r="I43">
        <v>0.2</v>
      </c>
      <c r="J43" s="14" t="str">
        <f>_xlfn.XLOOKUP(B43,CAD_PDV!A:A,CAD_PDV!B:B)</f>
        <v>CELNET COMERCIO E SERVICOS DE TELEFONIA LTDA ME</v>
      </c>
      <c r="K43" s="14">
        <f>IF(IFERROR(_xlfn.XLOOKUP(B43,Planilha2!D:D,Planilha2!H:H),0)="SIM",1,0)</f>
        <v>0</v>
      </c>
      <c r="L43" s="14" t="str">
        <f>_xlfn.XLOOKUP(B43,CAD_PDV!A:A,CAD_PDV!C:C)</f>
        <v>CO</v>
      </c>
      <c r="M43" s="14" t="str">
        <f>IFERROR(_xlfn.XLOOKUP(B43,repete!A:A,repete!A:A),"-")</f>
        <v>-</v>
      </c>
    </row>
    <row r="44" spans="1:13" hidden="1">
      <c r="A44" s="1">
        <v>46023</v>
      </c>
      <c r="B44" t="s">
        <v>1690</v>
      </c>
      <c r="C44" t="s">
        <v>1503</v>
      </c>
      <c r="D44" t="s">
        <v>232</v>
      </c>
      <c r="E44" t="s">
        <v>54</v>
      </c>
      <c r="F44">
        <v>81</v>
      </c>
      <c r="G44">
        <v>13</v>
      </c>
      <c r="H44">
        <v>6.49675162418791E-3</v>
      </c>
      <c r="I44">
        <v>0.16049382716049401</v>
      </c>
      <c r="J44" s="14" t="str">
        <f>_xlfn.XLOOKUP(B44,CAD_PDV!A:A,CAD_PDV!B:B)</f>
        <v>HS TELECOM</v>
      </c>
      <c r="K44" s="14">
        <f>IF(IFERROR(_xlfn.XLOOKUP(B44,Planilha2!D:D,Planilha2!H:H),0)="SIM",1,0)</f>
        <v>0</v>
      </c>
      <c r="L44" s="14" t="str">
        <f>_xlfn.XLOOKUP(B44,CAD_PDV!A:A,CAD_PDV!C:C)</f>
        <v>SP2</v>
      </c>
      <c r="M44" s="14" t="str">
        <f>IFERROR(_xlfn.XLOOKUP(B44,repete!A:A,repete!A:A),"-")</f>
        <v>-</v>
      </c>
    </row>
    <row r="45" spans="1:13" hidden="1">
      <c r="A45" s="1">
        <v>46023</v>
      </c>
      <c r="B45" t="s">
        <v>1203</v>
      </c>
      <c r="C45" t="s">
        <v>1204</v>
      </c>
      <c r="D45" t="s">
        <v>2072</v>
      </c>
      <c r="E45" t="s">
        <v>55</v>
      </c>
      <c r="F45">
        <v>65</v>
      </c>
      <c r="G45">
        <v>12</v>
      </c>
      <c r="H45">
        <v>5.9970014992503703E-3</v>
      </c>
      <c r="I45">
        <v>0.18461538461538499</v>
      </c>
      <c r="J45" s="14" t="str">
        <f>_xlfn.XLOOKUP(B45,CAD_PDV!A:A,CAD_PDV!B:B)</f>
        <v>MEXCELL COMERCIO E SERVICOS DE TELECOMUNICACOES LTDA</v>
      </c>
      <c r="K45" s="14">
        <f>IF(IFERROR(_xlfn.XLOOKUP(B45,Planilha2!D:D,Planilha2!H:H),0)="SIM",1,0)</f>
        <v>0</v>
      </c>
      <c r="L45" s="14" t="str">
        <f>_xlfn.XLOOKUP(B45,CAD_PDV!A:A,CAD_PDV!C:C)</f>
        <v>RJ/ES</v>
      </c>
      <c r="M45" s="14" t="str">
        <f>IFERROR(_xlfn.XLOOKUP(B45,repete!A:A,repete!A:A),"-")</f>
        <v>-</v>
      </c>
    </row>
    <row r="46" spans="1:13" hidden="1">
      <c r="A46" s="1">
        <v>46023</v>
      </c>
      <c r="B46" t="s">
        <v>1481</v>
      </c>
      <c r="C46" t="s">
        <v>1482</v>
      </c>
      <c r="D46" t="s">
        <v>232</v>
      </c>
      <c r="E46" t="s">
        <v>54</v>
      </c>
      <c r="F46">
        <v>60</v>
      </c>
      <c r="G46">
        <v>12</v>
      </c>
      <c r="H46">
        <v>5.9970014992503703E-3</v>
      </c>
      <c r="I46">
        <v>0.2</v>
      </c>
      <c r="J46" s="14" t="str">
        <f>_xlfn.XLOOKUP(B46,CAD_PDV!A:A,CAD_PDV!B:B)</f>
        <v>HS TELECOM</v>
      </c>
      <c r="K46" s="14">
        <f>IF(IFERROR(_xlfn.XLOOKUP(B46,Planilha2!D:D,Planilha2!H:H),0)="SIM",1,0)</f>
        <v>0</v>
      </c>
      <c r="L46" s="14" t="str">
        <f>_xlfn.XLOOKUP(B46,CAD_PDV!A:A,CAD_PDV!C:C)</f>
        <v>SP2</v>
      </c>
      <c r="M46" s="14" t="str">
        <f>IFERROR(_xlfn.XLOOKUP(B46,repete!A:A,repete!A:A),"-")</f>
        <v>-</v>
      </c>
    </row>
    <row r="47" spans="1:13" hidden="1">
      <c r="A47" s="1">
        <v>46023</v>
      </c>
      <c r="B47" t="s">
        <v>1252</v>
      </c>
      <c r="C47" t="s">
        <v>1142</v>
      </c>
      <c r="D47" t="s">
        <v>228</v>
      </c>
      <c r="E47" t="s">
        <v>55</v>
      </c>
      <c r="F47">
        <v>57</v>
      </c>
      <c r="G47">
        <v>12</v>
      </c>
      <c r="H47">
        <v>5.9970014992503703E-3</v>
      </c>
      <c r="I47">
        <v>0.21052631578947401</v>
      </c>
      <c r="J47" s="14" t="str">
        <f>_xlfn.XLOOKUP(B47,CAD_PDV!A:A,CAD_PDV!B:B)</f>
        <v>FAJULUTI</v>
      </c>
      <c r="K47" s="14">
        <f>IF(IFERROR(_xlfn.XLOOKUP(B47,Planilha2!D:D,Planilha2!H:H),0)="SIM",1,0)</f>
        <v>0</v>
      </c>
      <c r="L47" s="14" t="str">
        <f>_xlfn.XLOOKUP(B47,CAD_PDV!A:A,CAD_PDV!C:C)</f>
        <v>RJ/ES</v>
      </c>
      <c r="M47" s="14" t="str">
        <f>IFERROR(_xlfn.XLOOKUP(B47,repete!A:A,repete!A:A),"-")</f>
        <v>-</v>
      </c>
    </row>
    <row r="48" spans="1:13" hidden="1">
      <c r="A48" s="1">
        <v>46023</v>
      </c>
      <c r="B48" t="s">
        <v>1636</v>
      </c>
      <c r="C48" t="s">
        <v>1484</v>
      </c>
      <c r="D48" t="s">
        <v>232</v>
      </c>
      <c r="E48" t="s">
        <v>54</v>
      </c>
      <c r="F48">
        <v>63</v>
      </c>
      <c r="G48">
        <v>12</v>
      </c>
      <c r="H48">
        <v>5.9970014992503703E-3</v>
      </c>
      <c r="I48">
        <v>0.19047619047618999</v>
      </c>
      <c r="J48" s="14" t="str">
        <f>_xlfn.XLOOKUP(B48,CAD_PDV!A:A,CAD_PDV!B:B)</f>
        <v>HS TELECOM</v>
      </c>
      <c r="K48" s="14">
        <f>IF(IFERROR(_xlfn.XLOOKUP(B48,Planilha2!D:D,Planilha2!H:H),0)="SIM",1,0)</f>
        <v>0</v>
      </c>
      <c r="L48" s="14" t="str">
        <f>_xlfn.XLOOKUP(B48,CAD_PDV!A:A,CAD_PDV!C:C)</f>
        <v>SP2</v>
      </c>
      <c r="M48" s="14" t="str">
        <f>IFERROR(_xlfn.XLOOKUP(B48,repete!A:A,repete!A:A),"-")</f>
        <v>-</v>
      </c>
    </row>
    <row r="49" spans="1:13" hidden="1">
      <c r="A49" s="1">
        <v>46023</v>
      </c>
      <c r="B49" t="s">
        <v>1674</v>
      </c>
      <c r="C49" t="s">
        <v>1489</v>
      </c>
      <c r="D49" t="s">
        <v>232</v>
      </c>
      <c r="E49" t="s">
        <v>54</v>
      </c>
      <c r="F49">
        <v>72</v>
      </c>
      <c r="G49">
        <v>12</v>
      </c>
      <c r="H49">
        <v>5.9970014992503703E-3</v>
      </c>
      <c r="I49">
        <v>0.16666666666666699</v>
      </c>
      <c r="J49" s="14" t="str">
        <f>_xlfn.XLOOKUP(B49,CAD_PDV!A:A,CAD_PDV!B:B)</f>
        <v>HS TELECOM</v>
      </c>
      <c r="K49" s="14">
        <f>IF(IFERROR(_xlfn.XLOOKUP(B49,Planilha2!D:D,Planilha2!H:H),0)="SIM",1,0)</f>
        <v>0</v>
      </c>
      <c r="L49" s="14" t="str">
        <f>_xlfn.XLOOKUP(B49,CAD_PDV!A:A,CAD_PDV!C:C)</f>
        <v>SP2</v>
      </c>
      <c r="M49" s="14" t="str">
        <f>IFERROR(_xlfn.XLOOKUP(B49,repete!A:A,repete!A:A),"-")</f>
        <v>-</v>
      </c>
    </row>
    <row r="50" spans="1:13" hidden="1">
      <c r="A50" s="1">
        <v>46023</v>
      </c>
      <c r="B50" t="s">
        <v>1564</v>
      </c>
      <c r="C50" t="s">
        <v>1566</v>
      </c>
      <c r="D50" t="s">
        <v>232</v>
      </c>
      <c r="E50" t="s">
        <v>54</v>
      </c>
      <c r="F50">
        <v>60</v>
      </c>
      <c r="G50">
        <v>11</v>
      </c>
      <c r="H50">
        <v>5.4972513743128401E-3</v>
      </c>
      <c r="I50">
        <v>0.18333333333333299</v>
      </c>
      <c r="J50" s="14" t="str">
        <f>_xlfn.XLOOKUP(B50,CAD_PDV!A:A,CAD_PDV!B:B)</f>
        <v>HS TELECOM</v>
      </c>
      <c r="K50" s="14">
        <f>IF(IFERROR(_xlfn.XLOOKUP(B50,Planilha2!D:D,Planilha2!H:H),0)="SIM",1,0)</f>
        <v>0</v>
      </c>
      <c r="L50" s="14" t="str">
        <f>_xlfn.XLOOKUP(B50,CAD_PDV!A:A,CAD_PDV!C:C)</f>
        <v>SP2</v>
      </c>
      <c r="M50" s="14" t="str">
        <f>IFERROR(_xlfn.XLOOKUP(B50,repete!A:A,repete!A:A),"-")</f>
        <v>-</v>
      </c>
    </row>
    <row r="51" spans="1:13" hidden="1">
      <c r="A51" s="1">
        <v>46023</v>
      </c>
      <c r="B51" t="s">
        <v>1222</v>
      </c>
      <c r="C51" t="s">
        <v>1223</v>
      </c>
      <c r="D51" t="s">
        <v>228</v>
      </c>
      <c r="E51" t="s">
        <v>55</v>
      </c>
      <c r="F51">
        <v>98</v>
      </c>
      <c r="G51">
        <v>11</v>
      </c>
      <c r="H51">
        <v>5.4972513743128401E-3</v>
      </c>
      <c r="I51">
        <v>0.11224489795918401</v>
      </c>
      <c r="J51" s="14" t="str">
        <f>_xlfn.XLOOKUP(B51,CAD_PDV!A:A,CAD_PDV!B:B)</f>
        <v>FAJULUTI</v>
      </c>
      <c r="K51" s="14">
        <f>IF(IFERROR(_xlfn.XLOOKUP(B51,Planilha2!D:D,Planilha2!H:H),0)="SIM",1,0)</f>
        <v>0</v>
      </c>
      <c r="L51" s="14" t="str">
        <f>_xlfn.XLOOKUP(B51,CAD_PDV!A:A,CAD_PDV!C:C)</f>
        <v>RJ/ES</v>
      </c>
      <c r="M51" s="14" t="str">
        <f>IFERROR(_xlfn.XLOOKUP(B51,repete!A:A,repete!A:A),"-")</f>
        <v>-</v>
      </c>
    </row>
    <row r="52" spans="1:13" hidden="1">
      <c r="A52" s="1">
        <v>46023</v>
      </c>
      <c r="B52" t="s">
        <v>552</v>
      </c>
      <c r="C52" t="s">
        <v>483</v>
      </c>
      <c r="D52" t="s">
        <v>228</v>
      </c>
      <c r="E52" t="s">
        <v>56</v>
      </c>
      <c r="F52">
        <v>96</v>
      </c>
      <c r="G52">
        <v>11</v>
      </c>
      <c r="H52">
        <v>5.4972513743128401E-3</v>
      </c>
      <c r="I52">
        <v>0.114583333333333</v>
      </c>
      <c r="J52" s="14" t="str">
        <f>_xlfn.XLOOKUP(B52,CAD_PDV!A:A,CAD_PDV!B:B)</f>
        <v>FAJULUTI</v>
      </c>
      <c r="K52" s="14">
        <f>IF(IFERROR(_xlfn.XLOOKUP(B52,Planilha2!D:D,Planilha2!H:H),0)="SIM",1,0)</f>
        <v>0</v>
      </c>
      <c r="L52" s="14" t="str">
        <f>_xlfn.XLOOKUP(B52,CAD_PDV!A:A,CAD_PDV!C:C)</f>
        <v>MG</v>
      </c>
      <c r="M52" s="14" t="str">
        <f>IFERROR(_xlfn.XLOOKUP(B52,repete!A:A,repete!A:A),"-")</f>
        <v>-</v>
      </c>
    </row>
    <row r="53" spans="1:13" hidden="1">
      <c r="A53" s="1">
        <v>46023</v>
      </c>
      <c r="B53" t="s">
        <v>1641</v>
      </c>
      <c r="C53" t="s">
        <v>1616</v>
      </c>
      <c r="D53" t="s">
        <v>132</v>
      </c>
      <c r="E53" t="s">
        <v>54</v>
      </c>
      <c r="F53">
        <v>46</v>
      </c>
      <c r="G53">
        <v>11</v>
      </c>
      <c r="H53">
        <v>5.4972513743128401E-3</v>
      </c>
      <c r="I53">
        <v>0.23913043478260901</v>
      </c>
      <c r="J53" s="14" t="str">
        <f>_xlfn.XLOOKUP(B53,CAD_PDV!A:A,CAD_PDV!B:B)</f>
        <v>FLEX CELL</v>
      </c>
      <c r="K53" s="14">
        <f>IF(IFERROR(_xlfn.XLOOKUP(B53,Planilha2!D:D,Planilha2!H:H),0)="SIM",1,0)</f>
        <v>0</v>
      </c>
      <c r="L53" s="14" t="str">
        <f>_xlfn.XLOOKUP(B53,CAD_PDV!A:A,CAD_PDV!C:C)</f>
        <v>SP2</v>
      </c>
      <c r="M53" s="14" t="str">
        <f>IFERROR(_xlfn.XLOOKUP(B53,repete!A:A,repete!A:A),"-")</f>
        <v>-</v>
      </c>
    </row>
    <row r="54" spans="1:13" hidden="1">
      <c r="A54" s="1">
        <v>46023</v>
      </c>
      <c r="B54" t="s">
        <v>1681</v>
      </c>
      <c r="C54" t="s">
        <v>1527</v>
      </c>
      <c r="D54" t="s">
        <v>232</v>
      </c>
      <c r="E54" t="s">
        <v>54</v>
      </c>
      <c r="F54">
        <v>108</v>
      </c>
      <c r="G54">
        <v>11</v>
      </c>
      <c r="H54">
        <v>5.4972513743128401E-3</v>
      </c>
      <c r="I54">
        <v>0.101851851851852</v>
      </c>
      <c r="J54" s="14" t="str">
        <f>_xlfn.XLOOKUP(B54,CAD_PDV!A:A,CAD_PDV!B:B)</f>
        <v>HS TELECOM</v>
      </c>
      <c r="K54" s="14">
        <f>IF(IFERROR(_xlfn.XLOOKUP(B54,Planilha2!D:D,Planilha2!H:H),0)="SIM",1,0)</f>
        <v>0</v>
      </c>
      <c r="L54" s="14" t="str">
        <f>_xlfn.XLOOKUP(B54,CAD_PDV!A:A,CAD_PDV!C:C)</f>
        <v>SP2</v>
      </c>
      <c r="M54" s="14" t="str">
        <f>IFERROR(_xlfn.XLOOKUP(B54,repete!A:A,repete!A:A),"-")</f>
        <v>-</v>
      </c>
    </row>
    <row r="55" spans="1:13" hidden="1">
      <c r="A55" s="1">
        <v>46023</v>
      </c>
      <c r="B55" t="s">
        <v>286</v>
      </c>
      <c r="C55" t="s">
        <v>288</v>
      </c>
      <c r="D55" t="s">
        <v>230</v>
      </c>
      <c r="E55" t="s">
        <v>61</v>
      </c>
      <c r="F55">
        <v>94</v>
      </c>
      <c r="G55">
        <v>11</v>
      </c>
      <c r="H55">
        <v>5.4972513743128401E-3</v>
      </c>
      <c r="I55">
        <v>0.117021276595745</v>
      </c>
      <c r="J55" s="14" t="str">
        <f>_xlfn.XLOOKUP(B55,CAD_PDV!A:A,CAD_PDV!B:B)</f>
        <v>HARCOS COMERCIO E SERVICOS LTDA - EPP</v>
      </c>
      <c r="K55" s="14">
        <f>IF(IFERROR(_xlfn.XLOOKUP(B55,Planilha2!D:D,Planilha2!H:H),0)="SIM",1,0)</f>
        <v>0</v>
      </c>
      <c r="L55" s="14" t="str">
        <f>_xlfn.XLOOKUP(B55,CAD_PDV!A:A,CAD_PDV!C:C)</f>
        <v>NE</v>
      </c>
      <c r="M55" s="14" t="str">
        <f>IFERROR(_xlfn.XLOOKUP(B55,repete!A:A,repete!A:A),"-")</f>
        <v>-</v>
      </c>
    </row>
    <row r="56" spans="1:13" hidden="1">
      <c r="A56" s="1">
        <v>46023</v>
      </c>
      <c r="B56" t="s">
        <v>963</v>
      </c>
      <c r="C56" t="s">
        <v>944</v>
      </c>
      <c r="D56" t="s">
        <v>232</v>
      </c>
      <c r="E56" t="s">
        <v>60</v>
      </c>
      <c r="F56">
        <v>105</v>
      </c>
      <c r="G56">
        <v>11</v>
      </c>
      <c r="H56">
        <v>5.4972513743128401E-3</v>
      </c>
      <c r="I56">
        <v>0.104761904761905</v>
      </c>
      <c r="J56" s="14" t="str">
        <f>_xlfn.XLOOKUP(B56,CAD_PDV!A:A,CAD_PDV!B:B)</f>
        <v>HS TELECOM</v>
      </c>
      <c r="K56" s="14">
        <f>IF(IFERROR(_xlfn.XLOOKUP(B56,Planilha2!D:D,Planilha2!H:H),0)="SIM",1,0)</f>
        <v>0</v>
      </c>
      <c r="L56" s="14" t="str">
        <f>_xlfn.XLOOKUP(B56,CAD_PDV!A:A,CAD_PDV!C:C)</f>
        <v>BA/SE</v>
      </c>
      <c r="M56" s="14" t="str">
        <f>IFERROR(_xlfn.XLOOKUP(B56,repete!A:A,repete!A:A),"-")</f>
        <v>-</v>
      </c>
    </row>
    <row r="57" spans="1:13" hidden="1">
      <c r="A57" s="1">
        <v>46023</v>
      </c>
      <c r="B57" t="s">
        <v>1710</v>
      </c>
      <c r="C57" t="s">
        <v>1568</v>
      </c>
      <c r="D57" t="s">
        <v>119</v>
      </c>
      <c r="E57" t="s">
        <v>54</v>
      </c>
      <c r="F57">
        <v>42</v>
      </c>
      <c r="G57">
        <v>11</v>
      </c>
      <c r="H57">
        <v>5.4972513743128401E-3</v>
      </c>
      <c r="I57">
        <v>0.26190476190476197</v>
      </c>
      <c r="J57" s="14" t="str">
        <f>_xlfn.XLOOKUP(B57,CAD_PDV!A:A,CAD_PDV!B:B)</f>
        <v>DOM BARRETO COMERCIAL LTDA - ME</v>
      </c>
      <c r="K57" s="14">
        <f>IF(IFERROR(_xlfn.XLOOKUP(B57,Planilha2!D:D,Planilha2!H:H),0)="SIM",1,0)</f>
        <v>0</v>
      </c>
      <c r="L57" s="14" t="str">
        <f>_xlfn.XLOOKUP(B57,CAD_PDV!A:A,CAD_PDV!C:C)</f>
        <v>SP2</v>
      </c>
      <c r="M57" s="14" t="str">
        <f>IFERROR(_xlfn.XLOOKUP(B57,repete!A:A,repete!A:A),"-")</f>
        <v>-</v>
      </c>
    </row>
    <row r="58" spans="1:13" hidden="1">
      <c r="A58" s="1">
        <v>46023</v>
      </c>
      <c r="B58" t="s">
        <v>872</v>
      </c>
      <c r="C58" t="s">
        <v>873</v>
      </c>
      <c r="D58" t="s">
        <v>239</v>
      </c>
      <c r="E58" t="s">
        <v>59</v>
      </c>
      <c r="F58">
        <v>127</v>
      </c>
      <c r="G58">
        <v>10</v>
      </c>
      <c r="H58">
        <v>4.99750124937531E-3</v>
      </c>
      <c r="I58">
        <v>7.8740157480315001E-2</v>
      </c>
      <c r="J58" s="14" t="str">
        <f>_xlfn.XLOOKUP(B58,CAD_PDV!A:A,CAD_PDV!B:B)</f>
        <v>TELECELL TELEFONIA LTDA - ME</v>
      </c>
      <c r="K58" s="14">
        <f>IF(IFERROR(_xlfn.XLOOKUP(B58,Planilha2!D:D,Planilha2!H:H),0)="SIM",1,0)</f>
        <v>0</v>
      </c>
      <c r="L58" s="14" t="str">
        <f>_xlfn.XLOOKUP(B58,CAD_PDV!A:A,CAD_PDV!C:C)</f>
        <v>CO</v>
      </c>
      <c r="M58" s="14" t="str">
        <f>IFERROR(_xlfn.XLOOKUP(B58,repete!A:A,repete!A:A),"-")</f>
        <v>-</v>
      </c>
    </row>
    <row r="59" spans="1:13" hidden="1">
      <c r="A59" s="1">
        <v>46023</v>
      </c>
      <c r="B59" t="s">
        <v>1167</v>
      </c>
      <c r="C59" t="s">
        <v>1152</v>
      </c>
      <c r="D59" t="s">
        <v>237</v>
      </c>
      <c r="E59" t="s">
        <v>55</v>
      </c>
      <c r="F59">
        <v>230</v>
      </c>
      <c r="G59">
        <v>10</v>
      </c>
      <c r="H59">
        <v>4.99750124937531E-3</v>
      </c>
      <c r="I59">
        <v>4.3478260869565202E-2</v>
      </c>
      <c r="J59" s="14" t="str">
        <f>_xlfn.XLOOKUP(B59,CAD_PDV!A:A,CAD_PDV!B:B)</f>
        <v>PONTO CERTO COMERCIO E COMUNICAÇÕES LTDA</v>
      </c>
      <c r="K59" s="14">
        <f>IF(IFERROR(_xlfn.XLOOKUP(B59,Planilha2!D:D,Planilha2!H:H),0)="SIM",1,0)</f>
        <v>0</v>
      </c>
      <c r="L59" s="14" t="str">
        <f>_xlfn.XLOOKUP(B59,CAD_PDV!A:A,CAD_PDV!C:C)</f>
        <v>RJ/ES</v>
      </c>
      <c r="M59" s="14" t="str">
        <f>IFERROR(_xlfn.XLOOKUP(B59,repete!A:A,repete!A:A),"-")</f>
        <v>-</v>
      </c>
    </row>
    <row r="60" spans="1:13" hidden="1">
      <c r="A60" s="1">
        <v>46023</v>
      </c>
      <c r="B60" t="s">
        <v>280</v>
      </c>
      <c r="C60" t="s">
        <v>265</v>
      </c>
      <c r="D60" t="s">
        <v>230</v>
      </c>
      <c r="E60" t="s">
        <v>61</v>
      </c>
      <c r="F60">
        <v>188</v>
      </c>
      <c r="G60">
        <v>10</v>
      </c>
      <c r="H60">
        <v>4.99750124937531E-3</v>
      </c>
      <c r="I60">
        <v>5.31914893617021E-2</v>
      </c>
      <c r="J60" s="14" t="str">
        <f>_xlfn.XLOOKUP(B60,CAD_PDV!A:A,CAD_PDV!B:B)</f>
        <v>HARCOS COMERCIO E SERVICOS LTDA - EPP</v>
      </c>
      <c r="K60" s="14">
        <f>IF(IFERROR(_xlfn.XLOOKUP(B60,Planilha2!D:D,Planilha2!H:H),0)="SIM",1,0)</f>
        <v>0</v>
      </c>
      <c r="L60" s="14" t="str">
        <f>_xlfn.XLOOKUP(B60,CAD_PDV!A:A,CAD_PDV!C:C)</f>
        <v>NE</v>
      </c>
      <c r="M60" s="14" t="str">
        <f>IFERROR(_xlfn.XLOOKUP(B60,repete!A:A,repete!A:A),"-")</f>
        <v>-</v>
      </c>
    </row>
    <row r="61" spans="1:13" hidden="1">
      <c r="A61" s="1">
        <v>46023</v>
      </c>
      <c r="B61" t="s">
        <v>1602</v>
      </c>
      <c r="C61" t="s">
        <v>1489</v>
      </c>
      <c r="D61" t="s">
        <v>232</v>
      </c>
      <c r="E61" t="s">
        <v>54</v>
      </c>
      <c r="F61">
        <v>95</v>
      </c>
      <c r="G61">
        <v>10</v>
      </c>
      <c r="H61">
        <v>4.99750124937531E-3</v>
      </c>
      <c r="I61">
        <v>0.105263157894737</v>
      </c>
      <c r="J61" s="14" t="str">
        <f>_xlfn.XLOOKUP(B61,CAD_PDV!A:A,CAD_PDV!B:B)</f>
        <v>HS TELECOM</v>
      </c>
      <c r="K61" s="14">
        <f>IF(IFERROR(_xlfn.XLOOKUP(B61,Planilha2!D:D,Planilha2!H:H),0)="SIM",1,0)</f>
        <v>0</v>
      </c>
      <c r="L61" s="14" t="str">
        <f>_xlfn.XLOOKUP(B61,CAD_PDV!A:A,CAD_PDV!C:C)</f>
        <v>SP2</v>
      </c>
      <c r="M61" s="14" t="str">
        <f>IFERROR(_xlfn.XLOOKUP(B61,repete!A:A,repete!A:A),"-")</f>
        <v>-</v>
      </c>
    </row>
    <row r="62" spans="1:13" hidden="1">
      <c r="A62" s="1">
        <v>46023</v>
      </c>
      <c r="B62" t="s">
        <v>371</v>
      </c>
      <c r="C62" t="s">
        <v>291</v>
      </c>
      <c r="D62" t="s">
        <v>230</v>
      </c>
      <c r="E62" t="s">
        <v>61</v>
      </c>
      <c r="F62">
        <v>108</v>
      </c>
      <c r="G62">
        <v>10</v>
      </c>
      <c r="H62">
        <v>4.99750124937531E-3</v>
      </c>
      <c r="I62">
        <v>9.2592592592592601E-2</v>
      </c>
      <c r="J62" s="14" t="str">
        <f>_xlfn.XLOOKUP(B62,CAD_PDV!A:A,CAD_PDV!B:B)</f>
        <v>HARCOS COMERCIO E SERVICOS LTDA - EPP</v>
      </c>
      <c r="K62" s="14">
        <f>IF(IFERROR(_xlfn.XLOOKUP(B62,Planilha2!D:D,Planilha2!H:H),0)="SIM",1,0)</f>
        <v>0</v>
      </c>
      <c r="L62" s="14" t="str">
        <f>_xlfn.XLOOKUP(B62,CAD_PDV!A:A,CAD_PDV!C:C)</f>
        <v>NE</v>
      </c>
      <c r="M62" s="14" t="str">
        <f>IFERROR(_xlfn.XLOOKUP(B62,repete!A:A,repete!A:A),"-")</f>
        <v>-</v>
      </c>
    </row>
    <row r="63" spans="1:13" hidden="1">
      <c r="A63" s="1">
        <v>46023</v>
      </c>
      <c r="B63" t="s">
        <v>962</v>
      </c>
      <c r="C63" t="s">
        <v>950</v>
      </c>
      <c r="D63" t="s">
        <v>232</v>
      </c>
      <c r="E63" t="s">
        <v>60</v>
      </c>
      <c r="F63">
        <v>67</v>
      </c>
      <c r="G63">
        <v>10</v>
      </c>
      <c r="H63">
        <v>4.99750124937531E-3</v>
      </c>
      <c r="I63">
        <v>0.14925373134328401</v>
      </c>
      <c r="J63" s="14" t="str">
        <f>_xlfn.XLOOKUP(B63,CAD_PDV!A:A,CAD_PDV!B:B)</f>
        <v>HS TELECOM</v>
      </c>
      <c r="K63" s="14">
        <f>IF(IFERROR(_xlfn.XLOOKUP(B63,Planilha2!D:D,Planilha2!H:H),0)="SIM",1,0)</f>
        <v>0</v>
      </c>
      <c r="L63" s="14" t="str">
        <f>_xlfn.XLOOKUP(B63,CAD_PDV!A:A,CAD_PDV!C:C)</f>
        <v>BA/SE</v>
      </c>
      <c r="M63" s="14" t="str">
        <f>IFERROR(_xlfn.XLOOKUP(B63,repete!A:A,repete!A:A),"-")</f>
        <v>-</v>
      </c>
    </row>
    <row r="64" spans="1:13" hidden="1">
      <c r="A64" s="1">
        <v>46023</v>
      </c>
      <c r="B64" t="s">
        <v>856</v>
      </c>
      <c r="C64" t="s">
        <v>855</v>
      </c>
      <c r="D64" t="s">
        <v>2073</v>
      </c>
      <c r="E64" t="s">
        <v>59</v>
      </c>
      <c r="F64">
        <v>51</v>
      </c>
      <c r="G64">
        <v>10</v>
      </c>
      <c r="H64">
        <v>4.99750124937531E-3</v>
      </c>
      <c r="I64">
        <v>0.19607843137254899</v>
      </c>
      <c r="J64" s="14" t="str">
        <f>_xlfn.XLOOKUP(B64,CAD_PDV!A:A,CAD_PDV!B:B)</f>
        <v xml:space="preserve">CONTACOM COMERCIO DE APARELHOS ELETRONICOS LTDA </v>
      </c>
      <c r="K64" s="14">
        <f>IF(IFERROR(_xlfn.XLOOKUP(B64,Planilha2!D:D,Planilha2!H:H),0)="SIM",1,0)</f>
        <v>0</v>
      </c>
      <c r="L64" s="14" t="str">
        <f>_xlfn.XLOOKUP(B64,CAD_PDV!A:A,CAD_PDV!C:C)</f>
        <v>CO</v>
      </c>
      <c r="M64" s="14" t="str">
        <f>IFERROR(_xlfn.XLOOKUP(B64,repete!A:A,repete!A:A),"-")</f>
        <v>-</v>
      </c>
    </row>
    <row r="65" spans="1:13" hidden="1">
      <c r="A65" s="1">
        <v>46023</v>
      </c>
      <c r="B65" t="s">
        <v>1284</v>
      </c>
      <c r="C65" t="s">
        <v>1283</v>
      </c>
      <c r="D65" t="s">
        <v>228</v>
      </c>
      <c r="E65" t="s">
        <v>55</v>
      </c>
      <c r="F65">
        <v>76</v>
      </c>
      <c r="G65">
        <v>9</v>
      </c>
      <c r="H65">
        <v>4.4977511244377799E-3</v>
      </c>
      <c r="I65">
        <v>0.118421052631579</v>
      </c>
      <c r="J65" s="14" t="str">
        <f>_xlfn.XLOOKUP(B65,CAD_PDV!A:A,CAD_PDV!B:B)</f>
        <v>FAJULUTI</v>
      </c>
      <c r="K65" s="14">
        <f>IF(IFERROR(_xlfn.XLOOKUP(B65,Planilha2!D:D,Planilha2!H:H),0)="SIM",1,0)</f>
        <v>0</v>
      </c>
      <c r="L65" s="14" t="str">
        <f>_xlfn.XLOOKUP(B65,CAD_PDV!A:A,CAD_PDV!C:C)</f>
        <v>RJ/ES</v>
      </c>
      <c r="M65" s="14" t="str">
        <f>IFERROR(_xlfn.XLOOKUP(B65,repete!A:A,repete!A:A),"-")</f>
        <v>-</v>
      </c>
    </row>
    <row r="66" spans="1:13" hidden="1">
      <c r="A66" s="1">
        <v>46023</v>
      </c>
      <c r="B66" t="s">
        <v>1153</v>
      </c>
      <c r="C66" t="s">
        <v>1155</v>
      </c>
      <c r="D66" t="s">
        <v>228</v>
      </c>
      <c r="E66" t="s">
        <v>55</v>
      </c>
      <c r="F66">
        <v>69</v>
      </c>
      <c r="G66">
        <v>9</v>
      </c>
      <c r="H66">
        <v>4.4977511244377799E-3</v>
      </c>
      <c r="I66">
        <v>0.13043478260869601</v>
      </c>
      <c r="J66" s="14" t="str">
        <f>_xlfn.XLOOKUP(B66,CAD_PDV!A:A,CAD_PDV!B:B)</f>
        <v>FAJULUTI</v>
      </c>
      <c r="K66" s="14">
        <f>IF(IFERROR(_xlfn.XLOOKUP(B66,Planilha2!D:D,Planilha2!H:H),0)="SIM",1,0)</f>
        <v>0</v>
      </c>
      <c r="L66" s="14" t="str">
        <f>_xlfn.XLOOKUP(B66,CAD_PDV!A:A,CAD_PDV!C:C)</f>
        <v>RJ/ES</v>
      </c>
      <c r="M66" s="14" t="str">
        <f>IFERROR(_xlfn.XLOOKUP(B66,repete!A:A,repete!A:A),"-")</f>
        <v>-</v>
      </c>
    </row>
    <row r="67" spans="1:13" hidden="1">
      <c r="A67" s="1">
        <v>46023</v>
      </c>
      <c r="B67" t="s">
        <v>1348</v>
      </c>
      <c r="C67" t="s">
        <v>1350</v>
      </c>
      <c r="D67" t="s">
        <v>132</v>
      </c>
      <c r="E67" t="s">
        <v>53</v>
      </c>
      <c r="F67">
        <v>119</v>
      </c>
      <c r="G67">
        <v>9</v>
      </c>
      <c r="H67">
        <v>4.4977511244377799E-3</v>
      </c>
      <c r="I67">
        <v>7.5630252100840303E-2</v>
      </c>
      <c r="J67" s="14" t="str">
        <f>_xlfn.XLOOKUP(B67,CAD_PDV!A:A,CAD_PDV!B:B)</f>
        <v>FLEX CELL</v>
      </c>
      <c r="K67" s="14">
        <f>IF(IFERROR(_xlfn.XLOOKUP(B67,Planilha2!D:D,Planilha2!H:H),0)="SIM",1,0)</f>
        <v>0</v>
      </c>
      <c r="L67" s="14" t="str">
        <f>_xlfn.XLOOKUP(B67,CAD_PDV!A:A,CAD_PDV!C:C)</f>
        <v>SP1</v>
      </c>
      <c r="M67" s="14" t="str">
        <f>IFERROR(_xlfn.XLOOKUP(B67,repete!A:A,repete!A:A),"-")</f>
        <v>-</v>
      </c>
    </row>
    <row r="68" spans="1:13" hidden="1">
      <c r="A68" s="1">
        <v>46023</v>
      </c>
      <c r="B68" t="s">
        <v>595</v>
      </c>
      <c r="C68" t="s">
        <v>596</v>
      </c>
      <c r="D68" t="s">
        <v>239</v>
      </c>
      <c r="E68" t="s">
        <v>56</v>
      </c>
      <c r="F68">
        <v>189</v>
      </c>
      <c r="G68">
        <v>9</v>
      </c>
      <c r="H68">
        <v>4.4977511244377799E-3</v>
      </c>
      <c r="I68">
        <v>4.7619047619047603E-2</v>
      </c>
      <c r="J68" s="14" t="str">
        <f>_xlfn.XLOOKUP(B68,CAD_PDV!A:A,CAD_PDV!B:B)</f>
        <v>TELECELL TELEFONIA LTDA - ME</v>
      </c>
      <c r="K68" s="14">
        <f>IF(IFERROR(_xlfn.XLOOKUP(B68,Planilha2!D:D,Planilha2!H:H),0)="SIM",1,0)</f>
        <v>0</v>
      </c>
      <c r="L68" s="14" t="str">
        <f>_xlfn.XLOOKUP(B68,CAD_PDV!A:A,CAD_PDV!C:C)</f>
        <v>MG</v>
      </c>
      <c r="M68" s="14" t="str">
        <f>IFERROR(_xlfn.XLOOKUP(B68,repete!A:A,repete!A:A),"-")</f>
        <v>-</v>
      </c>
    </row>
    <row r="69" spans="1:13" hidden="1">
      <c r="A69" s="1">
        <v>46023</v>
      </c>
      <c r="B69" t="s">
        <v>1673</v>
      </c>
      <c r="C69" t="s">
        <v>1545</v>
      </c>
      <c r="D69" t="s">
        <v>232</v>
      </c>
      <c r="E69" t="s">
        <v>54</v>
      </c>
      <c r="F69">
        <v>77</v>
      </c>
      <c r="G69">
        <v>9</v>
      </c>
      <c r="H69">
        <v>4.4977511244377799E-3</v>
      </c>
      <c r="I69">
        <v>0.11688311688311701</v>
      </c>
      <c r="J69" s="14" t="str">
        <f>_xlfn.XLOOKUP(B69,CAD_PDV!A:A,CAD_PDV!B:B)</f>
        <v>HS TELECOM</v>
      </c>
      <c r="K69" s="14">
        <f>IF(IFERROR(_xlfn.XLOOKUP(B69,Planilha2!D:D,Planilha2!H:H),0)="SIM",1,0)</f>
        <v>0</v>
      </c>
      <c r="L69" s="14" t="str">
        <f>_xlfn.XLOOKUP(B69,CAD_PDV!A:A,CAD_PDV!C:C)</f>
        <v>SP2</v>
      </c>
      <c r="M69" s="14" t="str">
        <f>IFERROR(_xlfn.XLOOKUP(B69,repete!A:A,repete!A:A),"-")</f>
        <v>-</v>
      </c>
    </row>
    <row r="70" spans="1:13" hidden="1">
      <c r="A70" s="1">
        <v>46023</v>
      </c>
      <c r="B70" t="s">
        <v>1691</v>
      </c>
      <c r="C70" t="s">
        <v>1503</v>
      </c>
      <c r="D70" t="s">
        <v>232</v>
      </c>
      <c r="E70" t="s">
        <v>54</v>
      </c>
      <c r="F70">
        <v>113</v>
      </c>
      <c r="G70">
        <v>9</v>
      </c>
      <c r="H70">
        <v>4.4977511244377799E-3</v>
      </c>
      <c r="I70">
        <v>7.9646017699115002E-2</v>
      </c>
      <c r="J70" s="14" t="str">
        <f>_xlfn.XLOOKUP(B70,CAD_PDV!A:A,CAD_PDV!B:B)</f>
        <v>HS TELECOM</v>
      </c>
      <c r="K70" s="14">
        <f>IF(IFERROR(_xlfn.XLOOKUP(B70,Planilha2!D:D,Planilha2!H:H),0)="SIM",1,0)</f>
        <v>0</v>
      </c>
      <c r="L70" s="14" t="str">
        <f>_xlfn.XLOOKUP(B70,CAD_PDV!A:A,CAD_PDV!C:C)</f>
        <v>SP2</v>
      </c>
      <c r="M70" s="14" t="str">
        <f>IFERROR(_xlfn.XLOOKUP(B70,repete!A:A,repete!A:A),"-")</f>
        <v>-</v>
      </c>
    </row>
    <row r="71" spans="1:13" hidden="1">
      <c r="A71" s="1">
        <v>46023</v>
      </c>
      <c r="B71" t="s">
        <v>1265</v>
      </c>
      <c r="C71" t="s">
        <v>1266</v>
      </c>
      <c r="D71" t="s">
        <v>228</v>
      </c>
      <c r="E71" t="s">
        <v>55</v>
      </c>
      <c r="F71">
        <v>87</v>
      </c>
      <c r="G71">
        <v>9</v>
      </c>
      <c r="H71">
        <v>4.4977511244377799E-3</v>
      </c>
      <c r="I71">
        <v>0.10344827586206901</v>
      </c>
      <c r="J71" s="14" t="str">
        <f>_xlfn.XLOOKUP(B71,CAD_PDV!A:A,CAD_PDV!B:B)</f>
        <v>FAJULUTI</v>
      </c>
      <c r="K71" s="14">
        <f>IF(IFERROR(_xlfn.XLOOKUP(B71,Planilha2!D:D,Planilha2!H:H),0)="SIM",1,0)</f>
        <v>0</v>
      </c>
      <c r="L71" s="14" t="str">
        <f>_xlfn.XLOOKUP(B71,CAD_PDV!A:A,CAD_PDV!C:C)</f>
        <v>RJ/ES</v>
      </c>
      <c r="M71" s="14" t="str">
        <f>IFERROR(_xlfn.XLOOKUP(B71,repete!A:A,repete!A:A),"-")</f>
        <v>-</v>
      </c>
    </row>
    <row r="72" spans="1:13" hidden="1">
      <c r="A72" s="1">
        <v>46023</v>
      </c>
      <c r="B72" t="s">
        <v>974</v>
      </c>
      <c r="C72" t="s">
        <v>944</v>
      </c>
      <c r="D72" t="s">
        <v>232</v>
      </c>
      <c r="E72" t="s">
        <v>60</v>
      </c>
      <c r="F72">
        <v>61</v>
      </c>
      <c r="G72">
        <v>8</v>
      </c>
      <c r="H72">
        <v>3.9980009995002497E-3</v>
      </c>
      <c r="I72">
        <v>0.13114754098360701</v>
      </c>
      <c r="J72" s="14" t="str">
        <f>_xlfn.XLOOKUP(B72,CAD_PDV!A:A,CAD_PDV!B:B)</f>
        <v>HS TELECOM</v>
      </c>
      <c r="K72" s="14">
        <f>IF(IFERROR(_xlfn.XLOOKUP(B72,Planilha2!D:D,Planilha2!H:H),0)="SIM",1,0)</f>
        <v>0</v>
      </c>
      <c r="L72" s="14" t="str">
        <f>_xlfn.XLOOKUP(B72,CAD_PDV!A:A,CAD_PDV!C:C)</f>
        <v>BA/SE</v>
      </c>
      <c r="M72" s="14" t="str">
        <f>IFERROR(_xlfn.XLOOKUP(B72,repete!A:A,repete!A:A),"-")</f>
        <v>-</v>
      </c>
    </row>
    <row r="73" spans="1:13" hidden="1">
      <c r="A73" s="1">
        <v>46023</v>
      </c>
      <c r="B73" t="s">
        <v>262</v>
      </c>
      <c r="C73" t="s">
        <v>265</v>
      </c>
      <c r="D73" t="s">
        <v>230</v>
      </c>
      <c r="E73" t="s">
        <v>61</v>
      </c>
      <c r="F73">
        <v>82</v>
      </c>
      <c r="G73">
        <v>8</v>
      </c>
      <c r="H73">
        <v>3.9980009995002497E-3</v>
      </c>
      <c r="I73">
        <v>9.7560975609756101E-2</v>
      </c>
      <c r="J73" s="14" t="str">
        <f>_xlfn.XLOOKUP(B73,CAD_PDV!A:A,CAD_PDV!B:B)</f>
        <v>HARCOS COMERCIO E SERVICOS LTDA - EPP</v>
      </c>
      <c r="K73" s="14">
        <f>IF(IFERROR(_xlfn.XLOOKUP(B73,Planilha2!D:D,Planilha2!H:H),0)="SIM",1,0)</f>
        <v>0</v>
      </c>
      <c r="L73" s="14" t="str">
        <f>_xlfn.XLOOKUP(B73,CAD_PDV!A:A,CAD_PDV!C:C)</f>
        <v>NE</v>
      </c>
      <c r="M73" s="14" t="str">
        <f>IFERROR(_xlfn.XLOOKUP(B73,repete!A:A,repete!A:A),"-")</f>
        <v>-</v>
      </c>
    </row>
    <row r="74" spans="1:13" hidden="1">
      <c r="A74" s="1">
        <v>46023</v>
      </c>
      <c r="B74" t="s">
        <v>1528</v>
      </c>
      <c r="C74" t="s">
        <v>1454</v>
      </c>
      <c r="D74" t="s">
        <v>132</v>
      </c>
      <c r="E74" t="s">
        <v>54</v>
      </c>
      <c r="F74">
        <v>42</v>
      </c>
      <c r="G74">
        <v>8</v>
      </c>
      <c r="H74">
        <v>3.9980009995002497E-3</v>
      </c>
      <c r="I74">
        <v>0.19047619047618999</v>
      </c>
      <c r="J74" s="14" t="str">
        <f>_xlfn.XLOOKUP(B74,CAD_PDV!A:A,CAD_PDV!B:B)</f>
        <v>FLEX CELL</v>
      </c>
      <c r="K74" s="14">
        <f>IF(IFERROR(_xlfn.XLOOKUP(B74,Planilha2!D:D,Planilha2!H:H),0)="SIM",1,0)</f>
        <v>0</v>
      </c>
      <c r="L74" s="14" t="str">
        <f>_xlfn.XLOOKUP(B74,CAD_PDV!A:A,CAD_PDV!C:C)</f>
        <v>SP2</v>
      </c>
      <c r="M74" s="14" t="str">
        <f>IFERROR(_xlfn.XLOOKUP(B74,repete!A:A,repete!A:A),"-")</f>
        <v>-</v>
      </c>
    </row>
    <row r="75" spans="1:13" hidden="1">
      <c r="A75" s="1">
        <v>46023</v>
      </c>
      <c r="B75" t="s">
        <v>1181</v>
      </c>
      <c r="C75" t="s">
        <v>1182</v>
      </c>
      <c r="D75" t="s">
        <v>228</v>
      </c>
      <c r="E75" t="s">
        <v>55</v>
      </c>
      <c r="F75">
        <v>245</v>
      </c>
      <c r="G75">
        <v>8</v>
      </c>
      <c r="H75">
        <v>3.9980009995002497E-3</v>
      </c>
      <c r="I75">
        <v>3.2653061224489799E-2</v>
      </c>
      <c r="J75" s="14" t="str">
        <f>_xlfn.XLOOKUP(B75,CAD_PDV!A:A,CAD_PDV!B:B)</f>
        <v>FAJULUTI</v>
      </c>
      <c r="K75" s="14">
        <f>IF(IFERROR(_xlfn.XLOOKUP(B75,Planilha2!D:D,Planilha2!H:H),0)="SIM",1,0)</f>
        <v>0</v>
      </c>
      <c r="L75" s="14" t="str">
        <f>_xlfn.XLOOKUP(B75,CAD_PDV!A:A,CAD_PDV!C:C)</f>
        <v>RJ/ES</v>
      </c>
      <c r="M75" s="14" t="str">
        <f>IFERROR(_xlfn.XLOOKUP(B75,repete!A:A,repete!A:A),"-")</f>
        <v>-</v>
      </c>
    </row>
    <row r="76" spans="1:13" hidden="1">
      <c r="A76" s="1">
        <v>46023</v>
      </c>
      <c r="B76" t="s">
        <v>1149</v>
      </c>
      <c r="C76" t="s">
        <v>1152</v>
      </c>
      <c r="D76" t="s">
        <v>228</v>
      </c>
      <c r="E76" t="s">
        <v>55</v>
      </c>
      <c r="F76">
        <v>95</v>
      </c>
      <c r="G76">
        <v>8</v>
      </c>
      <c r="H76">
        <v>3.9980009995002497E-3</v>
      </c>
      <c r="I76">
        <v>8.42105263157895E-2</v>
      </c>
      <c r="J76" s="14" t="str">
        <f>_xlfn.XLOOKUP(B76,CAD_PDV!A:A,CAD_PDV!B:B)</f>
        <v>FAJULUTI</v>
      </c>
      <c r="K76" s="14">
        <f>IF(IFERROR(_xlfn.XLOOKUP(B76,Planilha2!D:D,Planilha2!H:H),0)="SIM",1,0)</f>
        <v>0</v>
      </c>
      <c r="L76" s="14" t="str">
        <f>_xlfn.XLOOKUP(B76,CAD_PDV!A:A,CAD_PDV!C:C)</f>
        <v>RJ/ES</v>
      </c>
      <c r="M76" s="14" t="str">
        <f>IFERROR(_xlfn.XLOOKUP(B76,repete!A:A,repete!A:A),"-")</f>
        <v>-</v>
      </c>
    </row>
    <row r="77" spans="1:13" hidden="1">
      <c r="A77" s="1">
        <v>46023</v>
      </c>
      <c r="B77" t="s">
        <v>655</v>
      </c>
      <c r="C77" t="s">
        <v>649</v>
      </c>
      <c r="D77" t="s">
        <v>239</v>
      </c>
      <c r="E77" t="s">
        <v>59</v>
      </c>
      <c r="F77">
        <v>62</v>
      </c>
      <c r="G77">
        <v>8</v>
      </c>
      <c r="H77">
        <v>3.9980009995002497E-3</v>
      </c>
      <c r="I77">
        <v>0.12903225806451599</v>
      </c>
      <c r="J77" s="14" t="str">
        <f>_xlfn.XLOOKUP(B77,CAD_PDV!A:A,CAD_PDV!B:B)</f>
        <v>TELECELL TELEFONIA LTDA - ME</v>
      </c>
      <c r="K77" s="14">
        <f>IF(IFERROR(_xlfn.XLOOKUP(B77,Planilha2!D:D,Planilha2!H:H),0)="SIM",1,0)</f>
        <v>0</v>
      </c>
      <c r="L77" s="14" t="str">
        <f>_xlfn.XLOOKUP(B77,CAD_PDV!A:A,CAD_PDV!C:C)</f>
        <v>CO</v>
      </c>
      <c r="M77" s="14" t="str">
        <f>IFERROR(_xlfn.XLOOKUP(B77,repete!A:A,repete!A:A),"-")</f>
        <v>-</v>
      </c>
    </row>
    <row r="78" spans="1:13" hidden="1">
      <c r="A78" s="1">
        <v>46023</v>
      </c>
      <c r="B78" t="s">
        <v>758</v>
      </c>
      <c r="C78" t="s">
        <v>616</v>
      </c>
      <c r="D78" t="s">
        <v>239</v>
      </c>
      <c r="E78" t="s">
        <v>59</v>
      </c>
      <c r="F78">
        <v>84</v>
      </c>
      <c r="G78">
        <v>8</v>
      </c>
      <c r="H78">
        <v>3.9980009995002497E-3</v>
      </c>
      <c r="I78">
        <v>9.5238095238095205E-2</v>
      </c>
      <c r="J78" s="14" t="str">
        <f>_xlfn.XLOOKUP(B78,CAD_PDV!A:A,CAD_PDV!B:B)</f>
        <v>TELECELL TELEFONIA LTDA - ME</v>
      </c>
      <c r="K78" s="14">
        <f>IF(IFERROR(_xlfn.XLOOKUP(B78,Planilha2!D:D,Planilha2!H:H),0)="SIM",1,0)</f>
        <v>0</v>
      </c>
      <c r="L78" s="14" t="str">
        <f>_xlfn.XLOOKUP(B78,CAD_PDV!A:A,CAD_PDV!C:C)</f>
        <v>CO</v>
      </c>
      <c r="M78" s="14" t="str">
        <f>IFERROR(_xlfn.XLOOKUP(B78,repete!A:A,repete!A:A),"-")</f>
        <v>-</v>
      </c>
    </row>
    <row r="79" spans="1:13" hidden="1">
      <c r="A79" s="1">
        <v>46023</v>
      </c>
      <c r="B79" t="s">
        <v>777</v>
      </c>
      <c r="C79" t="s">
        <v>775</v>
      </c>
      <c r="D79" t="s">
        <v>221</v>
      </c>
      <c r="E79" t="s">
        <v>59</v>
      </c>
      <c r="F79">
        <v>53</v>
      </c>
      <c r="G79">
        <v>8</v>
      </c>
      <c r="H79">
        <v>3.9980009995002497E-3</v>
      </c>
      <c r="I79">
        <v>0.15094339622641501</v>
      </c>
      <c r="J79" s="14" t="str">
        <f>_xlfn.XLOOKUP(B79,CAD_PDV!A:A,CAD_PDV!B:B)</f>
        <v>AMERICOM COMERCIO DE APARELHOS ELETRONICOS LTDA - EPP</v>
      </c>
      <c r="K79" s="14">
        <f>IF(IFERROR(_xlfn.XLOOKUP(B79,Planilha2!D:D,Planilha2!H:H),0)="SIM",1,0)</f>
        <v>0</v>
      </c>
      <c r="L79" s="14" t="str">
        <f>_xlfn.XLOOKUP(B79,CAD_PDV!A:A,CAD_PDV!C:C)</f>
        <v>CO</v>
      </c>
      <c r="M79" s="14" t="str">
        <f>IFERROR(_xlfn.XLOOKUP(B79,repete!A:A,repete!A:A),"-")</f>
        <v>-</v>
      </c>
    </row>
    <row r="80" spans="1:13" hidden="1">
      <c r="A80" s="1">
        <v>46023</v>
      </c>
      <c r="B80" t="s">
        <v>1630</v>
      </c>
      <c r="C80" t="s">
        <v>1632</v>
      </c>
      <c r="D80" t="s">
        <v>232</v>
      </c>
      <c r="E80" t="s">
        <v>54</v>
      </c>
      <c r="F80">
        <v>54</v>
      </c>
      <c r="G80">
        <v>8</v>
      </c>
      <c r="H80">
        <v>3.9980009995002497E-3</v>
      </c>
      <c r="I80">
        <v>0.148148148148148</v>
      </c>
      <c r="J80" s="14" t="str">
        <f>_xlfn.XLOOKUP(B80,CAD_PDV!A:A,CAD_PDV!B:B)</f>
        <v>HS TELECOM</v>
      </c>
      <c r="K80" s="14">
        <f>IF(IFERROR(_xlfn.XLOOKUP(B80,Planilha2!D:D,Planilha2!H:H),0)="SIM",1,0)</f>
        <v>0</v>
      </c>
      <c r="L80" s="14" t="str">
        <f>_xlfn.XLOOKUP(B80,CAD_PDV!A:A,CAD_PDV!C:C)</f>
        <v>SP2</v>
      </c>
      <c r="M80" s="14" t="str">
        <f>IFERROR(_xlfn.XLOOKUP(B80,repete!A:A,repete!A:A),"-")</f>
        <v>-</v>
      </c>
    </row>
    <row r="81" spans="1:13" hidden="1">
      <c r="A81" s="1">
        <v>46023</v>
      </c>
      <c r="B81" t="s">
        <v>1670</v>
      </c>
      <c r="C81" t="s">
        <v>1671</v>
      </c>
      <c r="D81" t="s">
        <v>232</v>
      </c>
      <c r="E81" t="s">
        <v>54</v>
      </c>
      <c r="F81">
        <v>78</v>
      </c>
      <c r="G81">
        <v>8</v>
      </c>
      <c r="H81">
        <v>3.9980009995002497E-3</v>
      </c>
      <c r="I81">
        <v>0.102564102564103</v>
      </c>
      <c r="J81" s="14" t="str">
        <f>_xlfn.XLOOKUP(B81,CAD_PDV!A:A,CAD_PDV!B:B)</f>
        <v>HS TELECOM</v>
      </c>
      <c r="K81" s="14">
        <f>IF(IFERROR(_xlfn.XLOOKUP(B81,Planilha2!D:D,Planilha2!H:H),0)="SIM",1,0)</f>
        <v>0</v>
      </c>
      <c r="L81" s="14" t="str">
        <f>_xlfn.XLOOKUP(B81,CAD_PDV!A:A,CAD_PDV!C:C)</f>
        <v>SP2</v>
      </c>
      <c r="M81" s="14" t="str">
        <f>IFERROR(_xlfn.XLOOKUP(B81,repete!A:A,repete!A:A),"-")</f>
        <v>-</v>
      </c>
    </row>
    <row r="82" spans="1:13" hidden="1">
      <c r="A82" s="1">
        <v>46023</v>
      </c>
      <c r="B82" t="s">
        <v>1679</v>
      </c>
      <c r="C82" t="s">
        <v>1451</v>
      </c>
      <c r="D82" t="s">
        <v>232</v>
      </c>
      <c r="E82" t="s">
        <v>54</v>
      </c>
      <c r="F82">
        <v>59</v>
      </c>
      <c r="G82">
        <v>8</v>
      </c>
      <c r="H82">
        <v>3.9980009995002497E-3</v>
      </c>
      <c r="I82">
        <v>0.13559322033898299</v>
      </c>
      <c r="J82" s="14" t="str">
        <f>_xlfn.XLOOKUP(B82,CAD_PDV!A:A,CAD_PDV!B:B)</f>
        <v>HS TELECOM</v>
      </c>
      <c r="K82" s="14">
        <f>IF(IFERROR(_xlfn.XLOOKUP(B82,Planilha2!D:D,Planilha2!H:H),0)="SIM",1,0)</f>
        <v>0</v>
      </c>
      <c r="L82" s="14" t="str">
        <f>_xlfn.XLOOKUP(B82,CAD_PDV!A:A,CAD_PDV!C:C)</f>
        <v>SP2</v>
      </c>
      <c r="M82" s="14" t="str">
        <f>IFERROR(_xlfn.XLOOKUP(B82,repete!A:A,repete!A:A),"-")</f>
        <v>-</v>
      </c>
    </row>
    <row r="83" spans="1:13" hidden="1">
      <c r="A83" s="1">
        <v>46023</v>
      </c>
      <c r="B83" t="s">
        <v>1706</v>
      </c>
      <c r="C83" t="s">
        <v>1693</v>
      </c>
      <c r="D83" t="s">
        <v>232</v>
      </c>
      <c r="E83" t="s">
        <v>54</v>
      </c>
      <c r="F83">
        <v>51</v>
      </c>
      <c r="G83">
        <v>8</v>
      </c>
      <c r="H83">
        <v>3.9980009995002497E-3</v>
      </c>
      <c r="I83">
        <v>0.15686274509803899</v>
      </c>
      <c r="J83" s="14" t="str">
        <f>_xlfn.XLOOKUP(B83,CAD_PDV!A:A,CAD_PDV!B:B)</f>
        <v>HS TELECOM</v>
      </c>
      <c r="K83" s="14">
        <f>IF(IFERROR(_xlfn.XLOOKUP(B83,Planilha2!D:D,Planilha2!H:H),0)="SIM",1,0)</f>
        <v>0</v>
      </c>
      <c r="L83" s="14" t="str">
        <f>_xlfn.XLOOKUP(B83,CAD_PDV!A:A,CAD_PDV!C:C)</f>
        <v>SP2</v>
      </c>
      <c r="M83" s="14" t="str">
        <f>IFERROR(_xlfn.XLOOKUP(B83,repete!A:A,repete!A:A),"-")</f>
        <v>-</v>
      </c>
    </row>
    <row r="84" spans="1:13" hidden="1">
      <c r="A84" s="1">
        <v>46023</v>
      </c>
      <c r="B84" t="s">
        <v>293</v>
      </c>
      <c r="C84" t="s">
        <v>265</v>
      </c>
      <c r="D84" t="s">
        <v>230</v>
      </c>
      <c r="E84" t="s">
        <v>61</v>
      </c>
      <c r="F84">
        <v>76</v>
      </c>
      <c r="G84">
        <v>8</v>
      </c>
      <c r="H84">
        <v>3.9980009995002497E-3</v>
      </c>
      <c r="I84">
        <v>0.105263157894737</v>
      </c>
      <c r="J84" s="14" t="str">
        <f>_xlfn.XLOOKUP(B84,CAD_PDV!A:A,CAD_PDV!B:B)</f>
        <v>HARCOS COMERCIO E SERVICOS LTDA - EPP</v>
      </c>
      <c r="K84" s="14">
        <f>IF(IFERROR(_xlfn.XLOOKUP(B84,Planilha2!D:D,Planilha2!H:H),0)="SIM",1,0)</f>
        <v>0</v>
      </c>
      <c r="L84" s="14" t="str">
        <f>_xlfn.XLOOKUP(B84,CAD_PDV!A:A,CAD_PDV!C:C)</f>
        <v>NE</v>
      </c>
      <c r="M84" s="14" t="str">
        <f>IFERROR(_xlfn.XLOOKUP(B84,repete!A:A,repete!A:A),"-")</f>
        <v>-</v>
      </c>
    </row>
    <row r="85" spans="1:13" hidden="1">
      <c r="A85" s="1">
        <v>46023</v>
      </c>
      <c r="B85" t="s">
        <v>1271</v>
      </c>
      <c r="C85" t="s">
        <v>1142</v>
      </c>
      <c r="D85" t="s">
        <v>233</v>
      </c>
      <c r="E85" t="s">
        <v>55</v>
      </c>
      <c r="F85">
        <v>69</v>
      </c>
      <c r="G85">
        <v>8</v>
      </c>
      <c r="H85">
        <v>3.9980009995002497E-3</v>
      </c>
      <c r="I85">
        <v>0.115942028985507</v>
      </c>
      <c r="J85" s="14" t="str">
        <f>_xlfn.XLOOKUP(B85,CAD_PDV!A:A,CAD_PDV!B:B)</f>
        <v>LEINAD COMERCIO E SERVICO EIRELI</v>
      </c>
      <c r="K85" s="14">
        <f>IF(IFERROR(_xlfn.XLOOKUP(B85,Planilha2!D:D,Planilha2!H:H),0)="SIM",1,0)</f>
        <v>0</v>
      </c>
      <c r="L85" s="14" t="str">
        <f>_xlfn.XLOOKUP(B85,CAD_PDV!A:A,CAD_PDV!C:C)</f>
        <v>RJ/ES</v>
      </c>
      <c r="M85" s="14" t="str">
        <f>IFERROR(_xlfn.XLOOKUP(B85,repete!A:A,repete!A:A),"-")</f>
        <v>-</v>
      </c>
    </row>
    <row r="86" spans="1:13" hidden="1">
      <c r="A86" s="1">
        <v>46023</v>
      </c>
      <c r="B86" t="s">
        <v>1342</v>
      </c>
      <c r="C86" t="s">
        <v>1313</v>
      </c>
      <c r="D86" t="s">
        <v>225</v>
      </c>
      <c r="E86" t="s">
        <v>53</v>
      </c>
      <c r="F86">
        <v>129</v>
      </c>
      <c r="G86">
        <v>8</v>
      </c>
      <c r="H86">
        <v>3.9980009995002497E-3</v>
      </c>
      <c r="I86">
        <v>6.2015503875968998E-2</v>
      </c>
      <c r="J86" s="14" t="str">
        <f>_xlfn.XLOOKUP(B86,CAD_PDV!A:A,CAD_PDV!B:B)</f>
        <v>CLARICELL SP1</v>
      </c>
      <c r="K86" s="14">
        <f>IF(IFERROR(_xlfn.XLOOKUP(B86,Planilha2!D:D,Planilha2!H:H),0)="SIM",1,0)</f>
        <v>0</v>
      </c>
      <c r="L86" s="14" t="str">
        <f>_xlfn.XLOOKUP(B86,CAD_PDV!A:A,CAD_PDV!C:C)</f>
        <v>SP1</v>
      </c>
      <c r="M86" s="14" t="str">
        <f>IFERROR(_xlfn.XLOOKUP(B86,repete!A:A,repete!A:A),"-")</f>
        <v>-</v>
      </c>
    </row>
    <row r="87" spans="1:13" hidden="1">
      <c r="A87" s="1">
        <v>46023</v>
      </c>
      <c r="B87" t="s">
        <v>693</v>
      </c>
      <c r="C87" t="s">
        <v>694</v>
      </c>
      <c r="D87" t="s">
        <v>239</v>
      </c>
      <c r="E87" t="s">
        <v>59</v>
      </c>
      <c r="F87">
        <v>54</v>
      </c>
      <c r="G87">
        <v>7</v>
      </c>
      <c r="H87">
        <v>3.49825087456272E-3</v>
      </c>
      <c r="I87">
        <v>0.12962962962963001</v>
      </c>
      <c r="J87" s="14" t="str">
        <f>_xlfn.XLOOKUP(B87,CAD_PDV!A:A,CAD_PDV!B:B)</f>
        <v>TELECELL TELEFONIA LTDA - ME</v>
      </c>
      <c r="K87" s="14">
        <f>IF(IFERROR(_xlfn.XLOOKUP(B87,Planilha2!D:D,Planilha2!H:H),0)="SIM",1,0)</f>
        <v>0</v>
      </c>
      <c r="L87" s="14" t="str">
        <f>_xlfn.XLOOKUP(B87,CAD_PDV!A:A,CAD_PDV!C:C)</f>
        <v>CO</v>
      </c>
      <c r="M87" s="14" t="str">
        <f>IFERROR(_xlfn.XLOOKUP(B87,repete!A:A,repete!A:A),"-")</f>
        <v>-</v>
      </c>
    </row>
    <row r="88" spans="1:13" hidden="1">
      <c r="A88" s="1">
        <v>46023</v>
      </c>
      <c r="B88" t="s">
        <v>880</v>
      </c>
      <c r="C88" t="s">
        <v>875</v>
      </c>
      <c r="D88" t="s">
        <v>239</v>
      </c>
      <c r="E88" t="s">
        <v>59</v>
      </c>
      <c r="F88">
        <v>153</v>
      </c>
      <c r="G88">
        <v>7</v>
      </c>
      <c r="H88">
        <v>3.49825087456272E-3</v>
      </c>
      <c r="I88">
        <v>4.5751633986928102E-2</v>
      </c>
      <c r="J88" s="14" t="str">
        <f>_xlfn.XLOOKUP(B88,CAD_PDV!A:A,CAD_PDV!B:B)</f>
        <v>TELECELL TELEFONIA LTDA - ME</v>
      </c>
      <c r="K88" s="14">
        <f>IF(IFERROR(_xlfn.XLOOKUP(B88,Planilha2!D:D,Planilha2!H:H),0)="SIM",1,0)</f>
        <v>0</v>
      </c>
      <c r="L88" s="14" t="str">
        <f>_xlfn.XLOOKUP(B88,CAD_PDV!A:A,CAD_PDV!C:C)</f>
        <v>CO</v>
      </c>
      <c r="M88" s="14" t="str">
        <f>IFERROR(_xlfn.XLOOKUP(B88,repete!A:A,repete!A:A),"-")</f>
        <v>-</v>
      </c>
    </row>
    <row r="89" spans="1:13" hidden="1">
      <c r="A89" s="1">
        <v>46023</v>
      </c>
      <c r="B89" t="s">
        <v>2021</v>
      </c>
      <c r="C89" t="s">
        <v>2024</v>
      </c>
      <c r="D89" t="s">
        <v>193</v>
      </c>
      <c r="E89" t="s">
        <v>2074</v>
      </c>
      <c r="F89">
        <v>45</v>
      </c>
      <c r="G89">
        <v>7</v>
      </c>
      <c r="H89">
        <v>3.49825087456272E-3</v>
      </c>
      <c r="I89">
        <v>0.155555555555556</v>
      </c>
      <c r="J89" s="14" t="str">
        <f>_xlfn.XLOOKUP(B89,CAD_PDV!A:A,CAD_PDV!B:B)</f>
        <v>S D COMERCIO DE CELULARES LTDA - ME</v>
      </c>
      <c r="K89" s="14">
        <f>IF(IFERROR(_xlfn.XLOOKUP(B89,Planilha2!D:D,Planilha2!H:H),0)="SIM",1,0)</f>
        <v>0</v>
      </c>
      <c r="L89" s="14" t="str">
        <f>_xlfn.XLOOKUP(B89,CAD_PDV!A:A,CAD_PDV!C:C)</f>
        <v>RS</v>
      </c>
      <c r="M89" s="14" t="str">
        <f>IFERROR(_xlfn.XLOOKUP(B89,repete!A:A,repete!A:A),"-")</f>
        <v>-</v>
      </c>
    </row>
    <row r="90" spans="1:13" hidden="1">
      <c r="A90" s="1">
        <v>46023</v>
      </c>
      <c r="B90" t="s">
        <v>657</v>
      </c>
      <c r="C90" t="s">
        <v>651</v>
      </c>
      <c r="D90" t="s">
        <v>239</v>
      </c>
      <c r="E90" t="s">
        <v>59</v>
      </c>
      <c r="F90">
        <v>71</v>
      </c>
      <c r="G90">
        <v>7</v>
      </c>
      <c r="H90">
        <v>3.49825087456272E-3</v>
      </c>
      <c r="I90">
        <v>9.85915492957746E-2</v>
      </c>
      <c r="J90" s="14" t="str">
        <f>_xlfn.XLOOKUP(B90,CAD_PDV!A:A,CAD_PDV!B:B)</f>
        <v>TELECELL TELEFONIA LTDA - ME</v>
      </c>
      <c r="K90" s="14">
        <f>IF(IFERROR(_xlfn.XLOOKUP(B90,Planilha2!D:D,Planilha2!H:H),0)="SIM",1,0)</f>
        <v>0</v>
      </c>
      <c r="L90" s="14" t="str">
        <f>_xlfn.XLOOKUP(B90,CAD_PDV!A:A,CAD_PDV!C:C)</f>
        <v>CO</v>
      </c>
      <c r="M90" s="14" t="str">
        <f>IFERROR(_xlfn.XLOOKUP(B90,repete!A:A,repete!A:A),"-")</f>
        <v>-</v>
      </c>
    </row>
    <row r="91" spans="1:13" hidden="1">
      <c r="A91" s="1">
        <v>46023</v>
      </c>
      <c r="B91" t="s">
        <v>1319</v>
      </c>
      <c r="C91" t="s">
        <v>1313</v>
      </c>
      <c r="D91" t="s">
        <v>225</v>
      </c>
      <c r="E91" t="s">
        <v>53</v>
      </c>
      <c r="F91">
        <v>74</v>
      </c>
      <c r="G91">
        <v>7</v>
      </c>
      <c r="H91">
        <v>3.49825087456272E-3</v>
      </c>
      <c r="I91">
        <v>9.45945945945946E-2</v>
      </c>
      <c r="J91" s="14" t="str">
        <f>_xlfn.XLOOKUP(B91,CAD_PDV!A:A,CAD_PDV!B:B)</f>
        <v>CLARICELL SP1</v>
      </c>
      <c r="K91" s="14">
        <f>IF(IFERROR(_xlfn.XLOOKUP(B91,Planilha2!D:D,Planilha2!H:H),0)="SIM",1,0)</f>
        <v>0</v>
      </c>
      <c r="L91" s="14" t="str">
        <f>_xlfn.XLOOKUP(B91,CAD_PDV!A:A,CAD_PDV!C:C)</f>
        <v>SP1</v>
      </c>
      <c r="M91" s="14" t="str">
        <f>IFERROR(_xlfn.XLOOKUP(B91,repete!A:A,repete!A:A),"-")</f>
        <v>-</v>
      </c>
    </row>
    <row r="92" spans="1:13" hidden="1">
      <c r="A92" s="1">
        <v>46023</v>
      </c>
      <c r="B92" t="s">
        <v>1171</v>
      </c>
      <c r="C92" t="s">
        <v>1142</v>
      </c>
      <c r="D92" t="s">
        <v>228</v>
      </c>
      <c r="E92" t="s">
        <v>55</v>
      </c>
      <c r="F92">
        <v>85</v>
      </c>
      <c r="G92">
        <v>7</v>
      </c>
      <c r="H92">
        <v>3.49825087456272E-3</v>
      </c>
      <c r="I92">
        <v>8.2352941176470601E-2</v>
      </c>
      <c r="J92" s="14" t="str">
        <f>_xlfn.XLOOKUP(B92,CAD_PDV!A:A,CAD_PDV!B:B)</f>
        <v>FAJULUTI</v>
      </c>
      <c r="K92" s="14">
        <f>IF(IFERROR(_xlfn.XLOOKUP(B92,Planilha2!D:D,Planilha2!H:H),0)="SIM",1,0)</f>
        <v>0</v>
      </c>
      <c r="L92" s="14" t="str">
        <f>_xlfn.XLOOKUP(B92,CAD_PDV!A:A,CAD_PDV!C:C)</f>
        <v>RJ/ES</v>
      </c>
      <c r="M92" s="14" t="str">
        <f>IFERROR(_xlfn.XLOOKUP(B92,repete!A:A,repete!A:A),"-")</f>
        <v>-</v>
      </c>
    </row>
    <row r="93" spans="1:13" hidden="1">
      <c r="A93" s="1">
        <v>46023</v>
      </c>
      <c r="B93" t="s">
        <v>1749</v>
      </c>
      <c r="C93" t="s">
        <v>1748</v>
      </c>
      <c r="D93" t="s">
        <v>190</v>
      </c>
      <c r="E93" t="s">
        <v>2074</v>
      </c>
      <c r="F93">
        <v>49</v>
      </c>
      <c r="G93">
        <v>7</v>
      </c>
      <c r="H93">
        <v>3.49825087456272E-3</v>
      </c>
      <c r="I93">
        <v>0.14285714285714299</v>
      </c>
      <c r="J93" s="14" t="str">
        <f>_xlfn.XLOOKUP(B93,CAD_PDV!A:A,CAD_PDV!B:B)</f>
        <v>RDJ TELECOMUNICACOES LTDA</v>
      </c>
      <c r="K93" s="14">
        <f>IF(IFERROR(_xlfn.XLOOKUP(B93,Planilha2!D:D,Planilha2!H:H),0)="SIM",1,0)</f>
        <v>0</v>
      </c>
      <c r="L93" s="14" t="str">
        <f>_xlfn.XLOOKUP(B93,CAD_PDV!A:A,CAD_PDV!C:C)</f>
        <v>PR/SC</v>
      </c>
      <c r="M93" s="14" t="str">
        <f>IFERROR(_xlfn.XLOOKUP(B93,repete!A:A,repete!A:A),"-")</f>
        <v>-</v>
      </c>
    </row>
    <row r="94" spans="1:13" hidden="1">
      <c r="A94" s="1">
        <v>46023</v>
      </c>
      <c r="B94" t="s">
        <v>1711</v>
      </c>
      <c r="C94" t="s">
        <v>1712</v>
      </c>
      <c r="D94" t="s">
        <v>220</v>
      </c>
      <c r="E94" t="s">
        <v>54</v>
      </c>
      <c r="F94">
        <v>46</v>
      </c>
      <c r="G94">
        <v>7</v>
      </c>
      <c r="H94">
        <v>3.49825087456272E-3</v>
      </c>
      <c r="I94">
        <v>0.15217391304347799</v>
      </c>
      <c r="J94" s="14" t="str">
        <f>_xlfn.XLOOKUP(B94,CAD_PDV!A:A,CAD_PDV!B:B)</f>
        <v>ADESIENE NUNES MACHADO - ME</v>
      </c>
      <c r="K94" s="14">
        <f>IF(IFERROR(_xlfn.XLOOKUP(B94,Planilha2!D:D,Planilha2!H:H),0)="SIM",1,0)</f>
        <v>0</v>
      </c>
      <c r="L94" s="14" t="str">
        <f>_xlfn.XLOOKUP(B94,CAD_PDV!A:A,CAD_PDV!C:C)</f>
        <v>SP2</v>
      </c>
      <c r="M94" s="14" t="str">
        <f>IFERROR(_xlfn.XLOOKUP(B94,repete!A:A,repete!A:A),"-")</f>
        <v>-</v>
      </c>
    </row>
    <row r="95" spans="1:13" hidden="1">
      <c r="A95" s="1">
        <v>46023</v>
      </c>
      <c r="B95" t="s">
        <v>1723</v>
      </c>
      <c r="C95" t="s">
        <v>1451</v>
      </c>
      <c r="D95" t="s">
        <v>232</v>
      </c>
      <c r="E95" t="s">
        <v>54</v>
      </c>
      <c r="F95">
        <v>157</v>
      </c>
      <c r="G95">
        <v>7</v>
      </c>
      <c r="H95">
        <v>3.49825087456272E-3</v>
      </c>
      <c r="I95">
        <v>4.4585987261146501E-2</v>
      </c>
      <c r="J95" s="14" t="str">
        <f>_xlfn.XLOOKUP(B95,CAD_PDV!A:A,CAD_PDV!B:B)</f>
        <v>HS TELECOM</v>
      </c>
      <c r="K95" s="14">
        <f>IF(IFERROR(_xlfn.XLOOKUP(B95,Planilha2!D:D,Planilha2!H:H),0)="SIM",1,0)</f>
        <v>0</v>
      </c>
      <c r="L95" s="14" t="str">
        <f>_xlfn.XLOOKUP(B95,CAD_PDV!A:A,CAD_PDV!C:C)</f>
        <v>SP2</v>
      </c>
      <c r="M95" s="14" t="str">
        <f>IFERROR(_xlfn.XLOOKUP(B95,repete!A:A,repete!A:A),"-")</f>
        <v>-</v>
      </c>
    </row>
    <row r="96" spans="1:13" hidden="1">
      <c r="A96" s="1">
        <v>46023</v>
      </c>
      <c r="B96" t="s">
        <v>1353</v>
      </c>
      <c r="C96" t="s">
        <v>1313</v>
      </c>
      <c r="D96" t="s">
        <v>132</v>
      </c>
      <c r="E96" t="s">
        <v>53</v>
      </c>
      <c r="F96">
        <v>141</v>
      </c>
      <c r="G96">
        <v>6</v>
      </c>
      <c r="H96">
        <v>2.9985007496251899E-3</v>
      </c>
      <c r="I96">
        <v>4.2553191489361701E-2</v>
      </c>
      <c r="J96" s="14" t="str">
        <f>_xlfn.XLOOKUP(B96,CAD_PDV!A:A,CAD_PDV!B:B)</f>
        <v>FLEX CELL</v>
      </c>
      <c r="K96" s="14">
        <f>IF(IFERROR(_xlfn.XLOOKUP(B96,Planilha2!D:D,Planilha2!H:H),0)="SIM",1,0)</f>
        <v>0</v>
      </c>
      <c r="L96" s="14" t="str">
        <f>_xlfn.XLOOKUP(B96,CAD_PDV!A:A,CAD_PDV!C:C)</f>
        <v>SP1</v>
      </c>
      <c r="M96" s="14" t="str">
        <f>IFERROR(_xlfn.XLOOKUP(B96,repete!A:A,repete!A:A),"-")</f>
        <v>-</v>
      </c>
    </row>
    <row r="97" spans="1:13" hidden="1">
      <c r="A97" s="1">
        <v>46023</v>
      </c>
      <c r="B97" t="s">
        <v>1501</v>
      </c>
      <c r="C97" t="s">
        <v>1503</v>
      </c>
      <c r="D97" t="s">
        <v>232</v>
      </c>
      <c r="E97" t="s">
        <v>54</v>
      </c>
      <c r="F97">
        <v>124</v>
      </c>
      <c r="G97">
        <v>6</v>
      </c>
      <c r="H97">
        <v>2.9985007496251899E-3</v>
      </c>
      <c r="I97">
        <v>4.8387096774193498E-2</v>
      </c>
      <c r="J97" s="14" t="str">
        <f>_xlfn.XLOOKUP(B97,CAD_PDV!A:A,CAD_PDV!B:B)</f>
        <v>HS TELECOM</v>
      </c>
      <c r="K97" s="14">
        <f>IF(IFERROR(_xlfn.XLOOKUP(B97,Planilha2!D:D,Planilha2!H:H),0)="SIM",1,0)</f>
        <v>0</v>
      </c>
      <c r="L97" s="14" t="str">
        <f>_xlfn.XLOOKUP(B97,CAD_PDV!A:A,CAD_PDV!C:C)</f>
        <v>SP2</v>
      </c>
      <c r="M97" s="14" t="str">
        <f>IFERROR(_xlfn.XLOOKUP(B97,repete!A:A,repete!A:A),"-")</f>
        <v>-</v>
      </c>
    </row>
    <row r="98" spans="1:13" hidden="1">
      <c r="A98" s="1">
        <v>46023</v>
      </c>
      <c r="B98" t="s">
        <v>746</v>
      </c>
      <c r="C98" t="s">
        <v>610</v>
      </c>
      <c r="D98" t="s">
        <v>224</v>
      </c>
      <c r="E98" t="s">
        <v>59</v>
      </c>
      <c r="F98">
        <v>45</v>
      </c>
      <c r="G98">
        <v>6</v>
      </c>
      <c r="H98">
        <v>2.9985007496251899E-3</v>
      </c>
      <c r="I98">
        <v>0.133333333333333</v>
      </c>
      <c r="J98" s="14" t="str">
        <f>_xlfn.XLOOKUP(B98,CAD_PDV!A:A,CAD_PDV!B:B)</f>
        <v>CELNET COMERCIO E SERVICOS DE TELEFONIA LTDA ME</v>
      </c>
      <c r="K98" s="14">
        <f>IF(IFERROR(_xlfn.XLOOKUP(B98,Planilha2!D:D,Planilha2!H:H),0)="SIM",1,0)</f>
        <v>0</v>
      </c>
      <c r="L98" s="14" t="str">
        <f>_xlfn.XLOOKUP(B98,CAD_PDV!A:A,CAD_PDV!C:C)</f>
        <v>CO</v>
      </c>
      <c r="M98" s="14" t="str">
        <f>IFERROR(_xlfn.XLOOKUP(B98,repete!A:A,repete!A:A),"-")</f>
        <v>-</v>
      </c>
    </row>
    <row r="99" spans="1:13" hidden="1">
      <c r="A99" s="1">
        <v>46023</v>
      </c>
      <c r="B99" t="s">
        <v>1538</v>
      </c>
      <c r="C99" t="s">
        <v>1489</v>
      </c>
      <c r="D99" t="s">
        <v>232</v>
      </c>
      <c r="E99" t="s">
        <v>54</v>
      </c>
      <c r="F99">
        <v>118</v>
      </c>
      <c r="G99">
        <v>6</v>
      </c>
      <c r="H99">
        <v>2.9985007496251899E-3</v>
      </c>
      <c r="I99">
        <v>5.0847457627118599E-2</v>
      </c>
      <c r="J99" s="14" t="str">
        <f>_xlfn.XLOOKUP(B99,CAD_PDV!A:A,CAD_PDV!B:B)</f>
        <v>HS TELECOM</v>
      </c>
      <c r="K99" s="14">
        <f>IF(IFERROR(_xlfn.XLOOKUP(B99,Planilha2!D:D,Planilha2!H:H),0)="SIM",1,0)</f>
        <v>0</v>
      </c>
      <c r="L99" s="14" t="str">
        <f>_xlfn.XLOOKUP(B99,CAD_PDV!A:A,CAD_PDV!C:C)</f>
        <v>SP2</v>
      </c>
      <c r="M99" s="14" t="str">
        <f>IFERROR(_xlfn.XLOOKUP(B99,repete!A:A,repete!A:A),"-")</f>
        <v>-</v>
      </c>
    </row>
    <row r="100" spans="1:13" hidden="1">
      <c r="A100" s="1">
        <v>46023</v>
      </c>
      <c r="B100" t="s">
        <v>635</v>
      </c>
      <c r="C100" t="s">
        <v>637</v>
      </c>
      <c r="D100" t="s">
        <v>221</v>
      </c>
      <c r="E100" t="s">
        <v>59</v>
      </c>
      <c r="F100">
        <v>84</v>
      </c>
      <c r="G100">
        <v>6</v>
      </c>
      <c r="H100">
        <v>2.9985007496251899E-3</v>
      </c>
      <c r="I100">
        <v>7.1428571428571397E-2</v>
      </c>
      <c r="J100" s="14" t="str">
        <f>_xlfn.XLOOKUP(B100,CAD_PDV!A:A,CAD_PDV!B:B)</f>
        <v>AMERICOM COMERCIO DE APARELHOS ELETRONICOS LTDA - EPP</v>
      </c>
      <c r="K100" s="14">
        <f>IF(IFERROR(_xlfn.XLOOKUP(B100,Planilha2!D:D,Planilha2!H:H),0)="SIM",1,0)</f>
        <v>0</v>
      </c>
      <c r="L100" s="14" t="str">
        <f>_xlfn.XLOOKUP(B100,CAD_PDV!A:A,CAD_PDV!C:C)</f>
        <v>CO</v>
      </c>
      <c r="M100" s="14" t="str">
        <f>IFERROR(_xlfn.XLOOKUP(B100,repete!A:A,repete!A:A),"-")</f>
        <v>-</v>
      </c>
    </row>
    <row r="101" spans="1:13" hidden="1">
      <c r="A101" s="1">
        <v>46023</v>
      </c>
      <c r="B101" t="s">
        <v>883</v>
      </c>
      <c r="C101" t="s">
        <v>873</v>
      </c>
      <c r="D101" t="s">
        <v>224</v>
      </c>
      <c r="E101" t="s">
        <v>59</v>
      </c>
      <c r="F101">
        <v>107</v>
      </c>
      <c r="G101">
        <v>6</v>
      </c>
      <c r="H101">
        <v>2.9985007496251899E-3</v>
      </c>
      <c r="I101">
        <v>5.60747663551402E-2</v>
      </c>
      <c r="J101" s="14" t="str">
        <f>_xlfn.XLOOKUP(B101,CAD_PDV!A:A,CAD_PDV!B:B)</f>
        <v>CELNET COMERCIO E SERVICOS DE TELEFONIA LTDA ME</v>
      </c>
      <c r="K101" s="14">
        <f>IF(IFERROR(_xlfn.XLOOKUP(B101,Planilha2!D:D,Planilha2!H:H),0)="SIM",1,0)</f>
        <v>0</v>
      </c>
      <c r="L101" s="14" t="str">
        <f>_xlfn.XLOOKUP(B101,CAD_PDV!A:A,CAD_PDV!C:C)</f>
        <v>CO</v>
      </c>
      <c r="M101" s="14" t="str">
        <f>IFERROR(_xlfn.XLOOKUP(B101,repete!A:A,repete!A:A),"-")</f>
        <v>-</v>
      </c>
    </row>
    <row r="102" spans="1:13" hidden="1">
      <c r="A102" s="1">
        <v>46023</v>
      </c>
      <c r="B102" t="s">
        <v>848</v>
      </c>
      <c r="C102" t="s">
        <v>732</v>
      </c>
      <c r="D102" t="s">
        <v>221</v>
      </c>
      <c r="E102" t="s">
        <v>59</v>
      </c>
      <c r="F102">
        <v>44</v>
      </c>
      <c r="G102">
        <v>6</v>
      </c>
      <c r="H102">
        <v>2.9985007496251899E-3</v>
      </c>
      <c r="I102">
        <v>0.13636363636363599</v>
      </c>
      <c r="J102" s="14" t="str">
        <f>_xlfn.XLOOKUP(B102,CAD_PDV!A:A,CAD_PDV!B:B)</f>
        <v>AMERICOM COMERCIO DE APARELHOS ELETRONICOS LTDA - EPP</v>
      </c>
      <c r="K102" s="14">
        <f>IF(IFERROR(_xlfn.XLOOKUP(B102,Planilha2!D:D,Planilha2!H:H),0)="SIM",1,0)</f>
        <v>0</v>
      </c>
      <c r="L102" s="14" t="str">
        <f>_xlfn.XLOOKUP(B102,CAD_PDV!A:A,CAD_PDV!C:C)</f>
        <v>CO</v>
      </c>
      <c r="M102" s="14" t="str">
        <f>IFERROR(_xlfn.XLOOKUP(B102,repete!A:A,repete!A:A),"-")</f>
        <v>-</v>
      </c>
    </row>
    <row r="103" spans="1:13" hidden="1">
      <c r="A103" s="1">
        <v>46023</v>
      </c>
      <c r="B103" t="s">
        <v>2027</v>
      </c>
      <c r="C103" t="s">
        <v>2026</v>
      </c>
      <c r="D103" t="s">
        <v>193</v>
      </c>
      <c r="E103" t="s">
        <v>2074</v>
      </c>
      <c r="F103">
        <v>54</v>
      </c>
      <c r="G103">
        <v>6</v>
      </c>
      <c r="H103">
        <v>2.9985007496251899E-3</v>
      </c>
      <c r="I103">
        <v>0.11111111111111099</v>
      </c>
      <c r="J103" s="14" t="str">
        <f>_xlfn.XLOOKUP(B103,CAD_PDV!A:A,CAD_PDV!B:B)</f>
        <v>S D COMERCIO DE CELULARES LTDA - ME</v>
      </c>
      <c r="K103" s="14">
        <f>IF(IFERROR(_xlfn.XLOOKUP(B103,Planilha2!D:D,Planilha2!H:H),0)="SIM",1,0)</f>
        <v>0</v>
      </c>
      <c r="L103" s="14" t="str">
        <f>_xlfn.XLOOKUP(B103,CAD_PDV!A:A,CAD_PDV!C:C)</f>
        <v>RS</v>
      </c>
      <c r="M103" s="14" t="str">
        <f>IFERROR(_xlfn.XLOOKUP(B103,repete!A:A,repete!A:A),"-")</f>
        <v>-</v>
      </c>
    </row>
    <row r="104" spans="1:13" hidden="1">
      <c r="A104" s="1">
        <v>46023</v>
      </c>
      <c r="B104" t="s">
        <v>1275</v>
      </c>
      <c r="C104" t="s">
        <v>1188</v>
      </c>
      <c r="D104" t="s">
        <v>228</v>
      </c>
      <c r="E104" t="s">
        <v>55</v>
      </c>
      <c r="F104">
        <v>60</v>
      </c>
      <c r="G104">
        <v>6</v>
      </c>
      <c r="H104">
        <v>2.9985007496251899E-3</v>
      </c>
      <c r="I104">
        <v>0.1</v>
      </c>
      <c r="J104" s="14" t="str">
        <f>_xlfn.XLOOKUP(B104,CAD_PDV!A:A,CAD_PDV!B:B)</f>
        <v>FAJULUTI</v>
      </c>
      <c r="K104" s="14">
        <f>IF(IFERROR(_xlfn.XLOOKUP(B104,Planilha2!D:D,Planilha2!H:H),0)="SIM",1,0)</f>
        <v>0</v>
      </c>
      <c r="L104" s="14" t="str">
        <f>_xlfn.XLOOKUP(B104,CAD_PDV!A:A,CAD_PDV!C:C)</f>
        <v>RJ/ES</v>
      </c>
      <c r="M104" s="14" t="str">
        <f>IFERROR(_xlfn.XLOOKUP(B104,repete!A:A,repete!A:A),"-")</f>
        <v>-</v>
      </c>
    </row>
    <row r="105" spans="1:13" hidden="1">
      <c r="A105" s="1">
        <v>46023</v>
      </c>
      <c r="B105" t="s">
        <v>1364</v>
      </c>
      <c r="C105" t="s">
        <v>1313</v>
      </c>
      <c r="D105" t="s">
        <v>132</v>
      </c>
      <c r="E105" t="s">
        <v>53</v>
      </c>
      <c r="F105">
        <v>173</v>
      </c>
      <c r="G105">
        <v>6</v>
      </c>
      <c r="H105">
        <v>2.9985007496251899E-3</v>
      </c>
      <c r="I105">
        <v>3.4682080924855502E-2</v>
      </c>
      <c r="J105" s="14" t="str">
        <f>_xlfn.XLOOKUP(B105,CAD_PDV!A:A,CAD_PDV!B:B)</f>
        <v>FLEX CELL</v>
      </c>
      <c r="K105" s="14">
        <f>IF(IFERROR(_xlfn.XLOOKUP(B105,Planilha2!D:D,Planilha2!H:H),0)="SIM",1,0)</f>
        <v>0</v>
      </c>
      <c r="L105" s="14" t="str">
        <f>_xlfn.XLOOKUP(B105,CAD_PDV!A:A,CAD_PDV!C:C)</f>
        <v>SP1</v>
      </c>
      <c r="M105" s="14" t="str">
        <f>IFERROR(_xlfn.XLOOKUP(B105,repete!A:A,repete!A:A),"-")</f>
        <v>-</v>
      </c>
    </row>
    <row r="106" spans="1:13" hidden="1">
      <c r="A106" s="1">
        <v>46023</v>
      </c>
      <c r="B106" t="s">
        <v>2041</v>
      </c>
      <c r="C106" t="s">
        <v>2042</v>
      </c>
      <c r="D106" t="s">
        <v>193</v>
      </c>
      <c r="E106" t="s">
        <v>2074</v>
      </c>
      <c r="F106">
        <v>57</v>
      </c>
      <c r="G106">
        <v>6</v>
      </c>
      <c r="H106">
        <v>2.9985007496251899E-3</v>
      </c>
      <c r="I106">
        <v>0.105263157894737</v>
      </c>
      <c r="J106" s="14" t="str">
        <f>_xlfn.XLOOKUP(B106,CAD_PDV!A:A,CAD_PDV!B:B)</f>
        <v>S D COMERCIO DE CELULARES LTDA - ME</v>
      </c>
      <c r="K106" s="14">
        <f>IF(IFERROR(_xlfn.XLOOKUP(B106,Planilha2!D:D,Planilha2!H:H),0)="SIM",1,0)</f>
        <v>0</v>
      </c>
      <c r="L106" s="14" t="str">
        <f>_xlfn.XLOOKUP(B106,CAD_PDV!A:A,CAD_PDV!C:C)</f>
        <v>RS</v>
      </c>
      <c r="M106" s="14" t="str">
        <f>IFERROR(_xlfn.XLOOKUP(B106,repete!A:A,repete!A:A),"-")</f>
        <v>-</v>
      </c>
    </row>
    <row r="107" spans="1:13" hidden="1">
      <c r="A107" s="1">
        <v>46023</v>
      </c>
      <c r="B107" t="s">
        <v>1253</v>
      </c>
      <c r="C107" t="s">
        <v>1142</v>
      </c>
      <c r="D107" t="s">
        <v>228</v>
      </c>
      <c r="E107" t="s">
        <v>55</v>
      </c>
      <c r="F107">
        <v>71</v>
      </c>
      <c r="G107">
        <v>6</v>
      </c>
      <c r="H107">
        <v>2.9985007496251899E-3</v>
      </c>
      <c r="I107">
        <v>8.4507042253521097E-2</v>
      </c>
      <c r="J107" s="14" t="str">
        <f>_xlfn.XLOOKUP(B107,CAD_PDV!A:A,CAD_PDV!B:B)</f>
        <v>FAJULUTI</v>
      </c>
      <c r="K107" s="14">
        <f>IF(IFERROR(_xlfn.XLOOKUP(B107,Planilha2!D:D,Planilha2!H:H),0)="SIM",1,0)</f>
        <v>0</v>
      </c>
      <c r="L107" s="14" t="str">
        <f>_xlfn.XLOOKUP(B107,CAD_PDV!A:A,CAD_PDV!C:C)</f>
        <v>RJ/ES</v>
      </c>
      <c r="M107" s="14" t="str">
        <f>IFERROR(_xlfn.XLOOKUP(B107,repete!A:A,repete!A:A),"-")</f>
        <v>NDTZ</v>
      </c>
    </row>
    <row r="108" spans="1:13" hidden="1">
      <c r="A108" s="1">
        <v>46023</v>
      </c>
      <c r="B108" t="s">
        <v>375</v>
      </c>
      <c r="C108" t="s">
        <v>376</v>
      </c>
      <c r="D108" t="s">
        <v>230</v>
      </c>
      <c r="E108" t="s">
        <v>61</v>
      </c>
      <c r="F108">
        <v>55</v>
      </c>
      <c r="G108">
        <v>6</v>
      </c>
      <c r="H108">
        <v>2.9985007496251899E-3</v>
      </c>
      <c r="I108">
        <v>0.109090909090909</v>
      </c>
      <c r="J108" s="14" t="str">
        <f>_xlfn.XLOOKUP(B108,CAD_PDV!A:A,CAD_PDV!B:B)</f>
        <v>HARCOS COMERCIO E SERVICOS LTDA - EPP</v>
      </c>
      <c r="K108" s="14">
        <f>IF(IFERROR(_xlfn.XLOOKUP(B108,Planilha2!D:D,Planilha2!H:H),0)="SIM",1,0)</f>
        <v>0</v>
      </c>
      <c r="L108" s="14" t="str">
        <f>_xlfn.XLOOKUP(B108,CAD_PDV!A:A,CAD_PDV!C:C)</f>
        <v>NE</v>
      </c>
      <c r="M108" s="14" t="str">
        <f>IFERROR(_xlfn.XLOOKUP(B108,repete!A:A,repete!A:A),"-")</f>
        <v>-</v>
      </c>
    </row>
    <row r="109" spans="1:13" hidden="1">
      <c r="A109" s="1">
        <v>46023</v>
      </c>
      <c r="B109" t="s">
        <v>377</v>
      </c>
      <c r="C109" t="s">
        <v>261</v>
      </c>
      <c r="D109" t="s">
        <v>230</v>
      </c>
      <c r="E109" t="s">
        <v>61</v>
      </c>
      <c r="F109">
        <v>109</v>
      </c>
      <c r="G109">
        <v>6</v>
      </c>
      <c r="H109">
        <v>2.9985007496251899E-3</v>
      </c>
      <c r="I109">
        <v>5.5045871559633003E-2</v>
      </c>
      <c r="J109" s="14" t="str">
        <f>_xlfn.XLOOKUP(B109,CAD_PDV!A:A,CAD_PDV!B:B)</f>
        <v>HARCOS COMERCIO E SERVICOS LTDA - EPP</v>
      </c>
      <c r="K109" s="14">
        <f>IF(IFERROR(_xlfn.XLOOKUP(B109,Planilha2!D:D,Planilha2!H:H),0)="SIM",1,0)</f>
        <v>0</v>
      </c>
      <c r="L109" s="14" t="str">
        <f>_xlfn.XLOOKUP(B109,CAD_PDV!A:A,CAD_PDV!C:C)</f>
        <v>NE</v>
      </c>
      <c r="M109" s="14" t="str">
        <f>IFERROR(_xlfn.XLOOKUP(B109,repete!A:A,repete!A:A),"-")</f>
        <v>-</v>
      </c>
    </row>
    <row r="110" spans="1:13" hidden="1">
      <c r="A110" s="1">
        <v>46023</v>
      </c>
      <c r="B110" t="s">
        <v>1378</v>
      </c>
      <c r="C110" t="s">
        <v>1308</v>
      </c>
      <c r="D110" t="s">
        <v>229</v>
      </c>
      <c r="E110" t="s">
        <v>53</v>
      </c>
      <c r="F110">
        <v>59</v>
      </c>
      <c r="G110">
        <v>6</v>
      </c>
      <c r="H110">
        <v>2.9985007496251899E-3</v>
      </c>
      <c r="I110">
        <v>0.101694915254237</v>
      </c>
      <c r="J110" s="14" t="str">
        <f>_xlfn.XLOOKUP(B110,CAD_PDV!A:A,CAD_PDV!B:B)</f>
        <v>FW TELEFONIA LTDA - EPP</v>
      </c>
      <c r="K110" s="14">
        <f>IF(IFERROR(_xlfn.XLOOKUP(B110,Planilha2!D:D,Planilha2!H:H),0)="SIM",1,0)</f>
        <v>0</v>
      </c>
      <c r="L110" s="14" t="str">
        <f>_xlfn.XLOOKUP(B110,CAD_PDV!A:A,CAD_PDV!C:C)</f>
        <v>SP1</v>
      </c>
      <c r="M110" s="14" t="str">
        <f>IFERROR(_xlfn.XLOOKUP(B110,repete!A:A,repete!A:A),"-")</f>
        <v>-</v>
      </c>
    </row>
    <row r="111" spans="1:13" hidden="1">
      <c r="A111" s="1">
        <v>46023</v>
      </c>
      <c r="B111" t="s">
        <v>1177</v>
      </c>
      <c r="C111" t="s">
        <v>1142</v>
      </c>
      <c r="D111" t="s">
        <v>228</v>
      </c>
      <c r="E111" t="s">
        <v>55</v>
      </c>
      <c r="F111">
        <v>92</v>
      </c>
      <c r="G111">
        <v>6</v>
      </c>
      <c r="H111">
        <v>2.9985007496251899E-3</v>
      </c>
      <c r="I111">
        <v>6.5217391304347797E-2</v>
      </c>
      <c r="J111" s="14" t="str">
        <f>_xlfn.XLOOKUP(B111,CAD_PDV!A:A,CAD_PDV!B:B)</f>
        <v>FAJULUTI</v>
      </c>
      <c r="K111" s="14">
        <f>IF(IFERROR(_xlfn.XLOOKUP(B111,Planilha2!D:D,Planilha2!H:H),0)="SIM",1,0)</f>
        <v>0</v>
      </c>
      <c r="L111" s="14" t="str">
        <f>_xlfn.XLOOKUP(B111,CAD_PDV!A:A,CAD_PDV!C:C)</f>
        <v>RJ/ES</v>
      </c>
      <c r="M111" s="14" t="str">
        <f>IFERROR(_xlfn.XLOOKUP(B111,repete!A:A,repete!A:A),"-")</f>
        <v>-</v>
      </c>
    </row>
    <row r="112" spans="1:13" hidden="1">
      <c r="A112" s="1">
        <v>46023</v>
      </c>
      <c r="B112" t="s">
        <v>1273</v>
      </c>
      <c r="C112" t="s">
        <v>1204</v>
      </c>
      <c r="D112" t="s">
        <v>2072</v>
      </c>
      <c r="E112" t="s">
        <v>55</v>
      </c>
      <c r="F112">
        <v>99</v>
      </c>
      <c r="G112">
        <v>5</v>
      </c>
      <c r="H112">
        <v>2.4987506246876602E-3</v>
      </c>
      <c r="I112">
        <v>5.0505050505050497E-2</v>
      </c>
      <c r="J112" s="14" t="str">
        <f>_xlfn.XLOOKUP(B112,CAD_PDV!A:A,CAD_PDV!B:B)</f>
        <v>MEXCELL COMERCIO E SERVICOS DE TELECOMUNICACOES LTDA</v>
      </c>
      <c r="K112" s="14">
        <f>IF(IFERROR(_xlfn.XLOOKUP(B112,Planilha2!D:D,Planilha2!H:H),0)="SIM",1,0)</f>
        <v>0</v>
      </c>
      <c r="L112" s="14" t="str">
        <f>_xlfn.XLOOKUP(B112,CAD_PDV!A:A,CAD_PDV!C:C)</f>
        <v>RJ/ES</v>
      </c>
      <c r="M112" s="14" t="str">
        <f>IFERROR(_xlfn.XLOOKUP(B112,repete!A:A,repete!A:A),"-")</f>
        <v>-</v>
      </c>
    </row>
    <row r="113" spans="1:13" hidden="1">
      <c r="A113" s="1">
        <v>46023</v>
      </c>
      <c r="B113" t="s">
        <v>1427</v>
      </c>
      <c r="C113" t="s">
        <v>1429</v>
      </c>
      <c r="D113" t="s">
        <v>232</v>
      </c>
      <c r="E113" t="s">
        <v>54</v>
      </c>
      <c r="F113">
        <v>41</v>
      </c>
      <c r="G113">
        <v>5</v>
      </c>
      <c r="H113">
        <v>2.4987506246876602E-3</v>
      </c>
      <c r="I113">
        <v>0.12195121951219499</v>
      </c>
      <c r="J113" s="14" t="str">
        <f>_xlfn.XLOOKUP(B113,CAD_PDV!A:A,CAD_PDV!B:B)</f>
        <v>HS TELECOM</v>
      </c>
      <c r="K113" s="14">
        <f>IF(IFERROR(_xlfn.XLOOKUP(B113,Planilha2!D:D,Planilha2!H:H),0)="SIM",1,0)</f>
        <v>0</v>
      </c>
      <c r="L113" s="14" t="str">
        <f>_xlfn.XLOOKUP(B113,CAD_PDV!A:A,CAD_PDV!C:C)</f>
        <v>SP2</v>
      </c>
      <c r="M113" s="14" t="str">
        <f>IFERROR(_xlfn.XLOOKUP(B113,repete!A:A,repete!A:A),"-")</f>
        <v>-</v>
      </c>
    </row>
    <row r="114" spans="1:13" hidden="1">
      <c r="A114" s="1">
        <v>46023</v>
      </c>
      <c r="B114" t="s">
        <v>1827</v>
      </c>
      <c r="C114" t="s">
        <v>1828</v>
      </c>
      <c r="D114" t="s">
        <v>95</v>
      </c>
      <c r="E114" t="s">
        <v>2074</v>
      </c>
      <c r="F114">
        <v>15</v>
      </c>
      <c r="G114">
        <v>5</v>
      </c>
      <c r="H114">
        <v>2.4987506246876602E-3</v>
      </c>
      <c r="I114">
        <v>0.33333333333333298</v>
      </c>
      <c r="J114" s="14" t="str">
        <f>_xlfn.XLOOKUP(B114,CAD_PDV!A:A,CAD_PDV!B:B)</f>
        <v>AYRES E DEBONI LTDA - ME</v>
      </c>
      <c r="K114" s="14">
        <f>IF(IFERROR(_xlfn.XLOOKUP(B114,Planilha2!D:D,Planilha2!H:H),0)="SIM",1,0)</f>
        <v>0</v>
      </c>
      <c r="L114" s="14" t="str">
        <f>_xlfn.XLOOKUP(B114,CAD_PDV!A:A,CAD_PDV!C:C)</f>
        <v>RS</v>
      </c>
      <c r="M114" s="14" t="str">
        <f>IFERROR(_xlfn.XLOOKUP(B114,repete!A:A,repete!A:A),"-")</f>
        <v>-</v>
      </c>
    </row>
    <row r="115" spans="1:13" hidden="1">
      <c r="A115" s="1">
        <v>46023</v>
      </c>
      <c r="B115" t="s">
        <v>1875</v>
      </c>
      <c r="C115" t="s">
        <v>1876</v>
      </c>
      <c r="D115" t="s">
        <v>124</v>
      </c>
      <c r="E115" t="s">
        <v>2074</v>
      </c>
      <c r="F115">
        <v>70</v>
      </c>
      <c r="G115">
        <v>5</v>
      </c>
      <c r="H115">
        <v>2.4987506246876602E-3</v>
      </c>
      <c r="I115">
        <v>7.1428571428571397E-2</v>
      </c>
      <c r="J115" s="14" t="str">
        <f>_xlfn.XLOOKUP(B115,CAD_PDV!A:A,CAD_PDV!B:B)</f>
        <v>EDUARDO JUNQUEIRA DA SILVEIRA ADMIN</v>
      </c>
      <c r="K115" s="14">
        <f>IF(IFERROR(_xlfn.XLOOKUP(B115,Planilha2!D:D,Planilha2!H:H),0)="SIM",1,0)</f>
        <v>0</v>
      </c>
      <c r="L115" s="14" t="str">
        <f>_xlfn.XLOOKUP(B115,CAD_PDV!A:A,CAD_PDV!C:C)</f>
        <v>RS</v>
      </c>
      <c r="M115" s="14" t="str">
        <f>IFERROR(_xlfn.XLOOKUP(B115,repete!A:A,repete!A:A),"-")</f>
        <v>-</v>
      </c>
    </row>
    <row r="116" spans="1:13" hidden="1">
      <c r="A116" s="1">
        <v>46023</v>
      </c>
      <c r="B116" t="s">
        <v>1497</v>
      </c>
      <c r="C116" t="s">
        <v>1499</v>
      </c>
      <c r="D116" t="s">
        <v>132</v>
      </c>
      <c r="E116" t="s">
        <v>54</v>
      </c>
      <c r="F116">
        <v>93</v>
      </c>
      <c r="G116">
        <v>5</v>
      </c>
      <c r="H116">
        <v>2.4987506246876602E-3</v>
      </c>
      <c r="I116">
        <v>5.3763440860215103E-2</v>
      </c>
      <c r="J116" s="14" t="str">
        <f>_xlfn.XLOOKUP(B116,CAD_PDV!A:A,CAD_PDV!B:B)</f>
        <v>FLEX CELL</v>
      </c>
      <c r="K116" s="14">
        <f>IF(IFERROR(_xlfn.XLOOKUP(B116,Planilha2!D:D,Planilha2!H:H),0)="SIM",1,0)</f>
        <v>0</v>
      </c>
      <c r="L116" s="14" t="str">
        <f>_xlfn.XLOOKUP(B116,CAD_PDV!A:A,CAD_PDV!C:C)</f>
        <v>SP2</v>
      </c>
      <c r="M116" s="14" t="str">
        <f>IFERROR(_xlfn.XLOOKUP(B116,repete!A:A,repete!A:A),"-")</f>
        <v>-</v>
      </c>
    </row>
    <row r="117" spans="1:13" hidden="1">
      <c r="A117" s="1">
        <v>46023</v>
      </c>
      <c r="B117" t="s">
        <v>1522</v>
      </c>
      <c r="C117" t="s">
        <v>1523</v>
      </c>
      <c r="D117" t="s">
        <v>232</v>
      </c>
      <c r="E117" t="s">
        <v>54</v>
      </c>
      <c r="F117">
        <v>93</v>
      </c>
      <c r="G117">
        <v>5</v>
      </c>
      <c r="H117">
        <v>2.4987506246876602E-3</v>
      </c>
      <c r="I117">
        <v>5.3763440860215103E-2</v>
      </c>
      <c r="J117" s="14" t="str">
        <f>_xlfn.XLOOKUP(B117,CAD_PDV!A:A,CAD_PDV!B:B)</f>
        <v>HS TELECOM</v>
      </c>
      <c r="K117" s="14">
        <f>IF(IFERROR(_xlfn.XLOOKUP(B117,Planilha2!D:D,Planilha2!H:H),0)="SIM",1,0)</f>
        <v>0</v>
      </c>
      <c r="L117" s="14" t="str">
        <f>_xlfn.XLOOKUP(B117,CAD_PDV!A:A,CAD_PDV!C:C)</f>
        <v>SP2</v>
      </c>
      <c r="M117" s="14" t="str">
        <f>IFERROR(_xlfn.XLOOKUP(B117,repete!A:A,repete!A:A),"-")</f>
        <v>-</v>
      </c>
    </row>
    <row r="118" spans="1:13" hidden="1">
      <c r="A118" s="1">
        <v>46023</v>
      </c>
      <c r="B118" t="s">
        <v>613</v>
      </c>
      <c r="C118" t="s">
        <v>610</v>
      </c>
      <c r="D118" t="s">
        <v>239</v>
      </c>
      <c r="E118" t="s">
        <v>59</v>
      </c>
      <c r="F118">
        <v>118</v>
      </c>
      <c r="G118">
        <v>5</v>
      </c>
      <c r="H118">
        <v>2.4987506246876602E-3</v>
      </c>
      <c r="I118">
        <v>4.2372881355932202E-2</v>
      </c>
      <c r="J118" s="14" t="str">
        <f>_xlfn.XLOOKUP(B118,CAD_PDV!A:A,CAD_PDV!B:B)</f>
        <v>TELECELL TELEFONIA LTDA - ME</v>
      </c>
      <c r="K118" s="14">
        <f>IF(IFERROR(_xlfn.XLOOKUP(B118,Planilha2!D:D,Planilha2!H:H),0)="SIM",1,0)</f>
        <v>0</v>
      </c>
      <c r="L118" s="14" t="str">
        <f>_xlfn.XLOOKUP(B118,CAD_PDV!A:A,CAD_PDV!C:C)</f>
        <v>CO</v>
      </c>
      <c r="M118" s="14" t="str">
        <f>IFERROR(_xlfn.XLOOKUP(B118,repete!A:A,repete!A:A),"-")</f>
        <v>-</v>
      </c>
    </row>
    <row r="119" spans="1:13" hidden="1">
      <c r="A119" s="1">
        <v>46023</v>
      </c>
      <c r="B119" t="s">
        <v>951</v>
      </c>
      <c r="C119" t="s">
        <v>953</v>
      </c>
      <c r="D119" t="s">
        <v>222</v>
      </c>
      <c r="E119" t="s">
        <v>60</v>
      </c>
      <c r="F119">
        <v>257</v>
      </c>
      <c r="G119">
        <v>5</v>
      </c>
      <c r="H119">
        <v>2.4987506246876602E-3</v>
      </c>
      <c r="I119">
        <v>1.94552529182879E-2</v>
      </c>
      <c r="J119" s="14" t="str">
        <f>_xlfn.XLOOKUP(B119,CAD_PDV!A:A,CAD_PDV!B:B)</f>
        <v>ANCLA COMERCIO</v>
      </c>
      <c r="K119" s="14">
        <f>IF(IFERROR(_xlfn.XLOOKUP(B119,Planilha2!D:D,Planilha2!H:H),0)="SIM",1,0)</f>
        <v>0</v>
      </c>
      <c r="L119" s="14" t="str">
        <f>_xlfn.XLOOKUP(B119,CAD_PDV!A:A,CAD_PDV!C:C)</f>
        <v>BA/SE</v>
      </c>
      <c r="M119" s="14" t="str">
        <f>IFERROR(_xlfn.XLOOKUP(B119,repete!A:A,repete!A:A),"-")</f>
        <v>-</v>
      </c>
    </row>
    <row r="120" spans="1:13" hidden="1">
      <c r="A120" s="1">
        <v>46023</v>
      </c>
      <c r="B120" t="s">
        <v>1574</v>
      </c>
      <c r="C120" t="s">
        <v>1575</v>
      </c>
      <c r="D120" t="s">
        <v>132</v>
      </c>
      <c r="E120" t="s">
        <v>54</v>
      </c>
      <c r="F120">
        <v>50</v>
      </c>
      <c r="G120">
        <v>5</v>
      </c>
      <c r="H120">
        <v>2.4987506246876602E-3</v>
      </c>
      <c r="I120">
        <v>0.1</v>
      </c>
      <c r="J120" s="14" t="str">
        <f>_xlfn.XLOOKUP(B120,CAD_PDV!A:A,CAD_PDV!B:B)</f>
        <v>FLEX CELL</v>
      </c>
      <c r="K120" s="14">
        <f>IF(IFERROR(_xlfn.XLOOKUP(B120,Planilha2!D:D,Planilha2!H:H),0)="SIM",1,0)</f>
        <v>0</v>
      </c>
      <c r="L120" s="14" t="str">
        <f>_xlfn.XLOOKUP(B120,CAD_PDV!A:A,CAD_PDV!C:C)</f>
        <v>SP2</v>
      </c>
      <c r="M120" s="14" t="str">
        <f>IFERROR(_xlfn.XLOOKUP(B120,repete!A:A,repete!A:A),"-")</f>
        <v>-</v>
      </c>
    </row>
    <row r="121" spans="1:13" hidden="1">
      <c r="A121" s="1">
        <v>46023</v>
      </c>
      <c r="B121" t="s">
        <v>778</v>
      </c>
      <c r="C121" t="s">
        <v>775</v>
      </c>
      <c r="D121" t="s">
        <v>221</v>
      </c>
      <c r="E121" t="s">
        <v>59</v>
      </c>
      <c r="F121">
        <v>44</v>
      </c>
      <c r="G121">
        <v>5</v>
      </c>
      <c r="H121">
        <v>2.4987506246876602E-3</v>
      </c>
      <c r="I121">
        <v>0.11363636363636399</v>
      </c>
      <c r="J121" s="14" t="str">
        <f>_xlfn.XLOOKUP(B121,CAD_PDV!A:A,CAD_PDV!B:B)</f>
        <v>AMERICOM COMERCIO DE APARELHOS ELETRONICOS LTDA - EPP</v>
      </c>
      <c r="K121" s="14">
        <f>IF(IFERROR(_xlfn.XLOOKUP(B121,Planilha2!D:D,Planilha2!H:H),0)="SIM",1,0)</f>
        <v>0</v>
      </c>
      <c r="L121" s="14" t="str">
        <f>_xlfn.XLOOKUP(B121,CAD_PDV!A:A,CAD_PDV!C:C)</f>
        <v>CO</v>
      </c>
      <c r="M121" s="14" t="str">
        <f>IFERROR(_xlfn.XLOOKUP(B121,repete!A:A,repete!A:A),"-")</f>
        <v>-</v>
      </c>
    </row>
    <row r="122" spans="1:13" hidden="1">
      <c r="A122" s="1">
        <v>46023</v>
      </c>
      <c r="B122" t="s">
        <v>1337</v>
      </c>
      <c r="C122" t="s">
        <v>1313</v>
      </c>
      <c r="D122" t="s">
        <v>225</v>
      </c>
      <c r="E122" t="s">
        <v>53</v>
      </c>
      <c r="F122">
        <v>43</v>
      </c>
      <c r="G122">
        <v>5</v>
      </c>
      <c r="H122">
        <v>2.4987506246876602E-3</v>
      </c>
      <c r="I122">
        <v>0.116279069767442</v>
      </c>
      <c r="J122" s="14" t="str">
        <f>_xlfn.XLOOKUP(B122,CAD_PDV!A:A,CAD_PDV!B:B)</f>
        <v>CLARICELL SP1</v>
      </c>
      <c r="K122" s="14">
        <f>IF(IFERROR(_xlfn.XLOOKUP(B122,Planilha2!D:D,Planilha2!H:H),0)="SIM",1,0)</f>
        <v>0</v>
      </c>
      <c r="L122" s="14" t="str">
        <f>_xlfn.XLOOKUP(B122,CAD_PDV!A:A,CAD_PDV!C:C)</f>
        <v>SP1</v>
      </c>
      <c r="M122" s="14" t="str">
        <f>IFERROR(_xlfn.XLOOKUP(B122,repete!A:A,repete!A:A),"-")</f>
        <v>-</v>
      </c>
    </row>
    <row r="123" spans="1:13" hidden="1">
      <c r="A123" s="1">
        <v>46023</v>
      </c>
      <c r="B123" t="s">
        <v>1362</v>
      </c>
      <c r="C123" t="s">
        <v>1313</v>
      </c>
      <c r="D123" t="s">
        <v>132</v>
      </c>
      <c r="E123" t="s">
        <v>53</v>
      </c>
      <c r="F123">
        <v>87</v>
      </c>
      <c r="G123">
        <v>5</v>
      </c>
      <c r="H123">
        <v>2.4987506246876602E-3</v>
      </c>
      <c r="I123">
        <v>5.7471264367816098E-2</v>
      </c>
      <c r="J123" s="14" t="str">
        <f>_xlfn.XLOOKUP(B123,CAD_PDV!A:A,CAD_PDV!B:B)</f>
        <v>FLEX CELL</v>
      </c>
      <c r="K123" s="14">
        <f>IF(IFERROR(_xlfn.XLOOKUP(B123,Planilha2!D:D,Planilha2!H:H),0)="SIM",1,0)</f>
        <v>0</v>
      </c>
      <c r="L123" s="14" t="str">
        <f>_xlfn.XLOOKUP(B123,CAD_PDV!A:A,CAD_PDV!C:C)</f>
        <v>SP1</v>
      </c>
      <c r="M123" s="14" t="str">
        <f>IFERROR(_xlfn.XLOOKUP(B123,repete!A:A,repete!A:A),"-")</f>
        <v>-</v>
      </c>
    </row>
    <row r="124" spans="1:13" hidden="1">
      <c r="A124" s="1">
        <v>46023</v>
      </c>
      <c r="B124" t="s">
        <v>1363</v>
      </c>
      <c r="C124" t="s">
        <v>1313</v>
      </c>
      <c r="D124" t="s">
        <v>132</v>
      </c>
      <c r="E124" t="s">
        <v>53</v>
      </c>
      <c r="F124">
        <v>102</v>
      </c>
      <c r="G124">
        <v>5</v>
      </c>
      <c r="H124">
        <v>2.4987506246876602E-3</v>
      </c>
      <c r="I124">
        <v>4.9019607843137303E-2</v>
      </c>
      <c r="J124" s="14" t="str">
        <f>_xlfn.XLOOKUP(B124,CAD_PDV!A:A,CAD_PDV!B:B)</f>
        <v>FLEX CELL</v>
      </c>
      <c r="K124" s="14">
        <f>IF(IFERROR(_xlfn.XLOOKUP(B124,Planilha2!D:D,Planilha2!H:H),0)="SIM",1,0)</f>
        <v>0</v>
      </c>
      <c r="L124" s="14" t="str">
        <f>_xlfn.XLOOKUP(B124,CAD_PDV!A:A,CAD_PDV!C:C)</f>
        <v>SP1</v>
      </c>
      <c r="M124" s="14" t="str">
        <f>IFERROR(_xlfn.XLOOKUP(B124,repete!A:A,repete!A:A),"-")</f>
        <v>-</v>
      </c>
    </row>
    <row r="125" spans="1:13" hidden="1">
      <c r="A125" s="1">
        <v>46023</v>
      </c>
      <c r="B125" t="s">
        <v>1626</v>
      </c>
      <c r="C125" t="s">
        <v>1616</v>
      </c>
      <c r="D125" t="s">
        <v>220</v>
      </c>
      <c r="E125" t="s">
        <v>54</v>
      </c>
      <c r="F125">
        <v>48</v>
      </c>
      <c r="G125">
        <v>5</v>
      </c>
      <c r="H125">
        <v>2.4987506246876602E-3</v>
      </c>
      <c r="I125">
        <v>0.104166666666667</v>
      </c>
      <c r="J125" s="14" t="str">
        <f>_xlfn.XLOOKUP(B125,CAD_PDV!A:A,CAD_PDV!B:B)</f>
        <v>ADESIENE NUNES MACHADO - ME</v>
      </c>
      <c r="K125" s="14">
        <f>IF(IFERROR(_xlfn.XLOOKUP(B125,Planilha2!D:D,Planilha2!H:H),0)="SIM",1,0)</f>
        <v>0</v>
      </c>
      <c r="L125" s="14" t="str">
        <f>_xlfn.XLOOKUP(B125,CAD_PDV!A:A,CAD_PDV!C:C)</f>
        <v>SP2</v>
      </c>
      <c r="M125" s="14" t="str">
        <f>IFERROR(_xlfn.XLOOKUP(B125,repete!A:A,repete!A:A),"-")</f>
        <v>-</v>
      </c>
    </row>
    <row r="126" spans="1:13" hidden="1">
      <c r="A126" s="1">
        <v>46023</v>
      </c>
      <c r="B126" t="s">
        <v>851</v>
      </c>
      <c r="C126" t="s">
        <v>732</v>
      </c>
      <c r="D126" t="s">
        <v>221</v>
      </c>
      <c r="E126" t="s">
        <v>59</v>
      </c>
      <c r="F126">
        <v>62</v>
      </c>
      <c r="G126">
        <v>5</v>
      </c>
      <c r="H126">
        <v>2.4987506246876602E-3</v>
      </c>
      <c r="I126">
        <v>8.0645161290322606E-2</v>
      </c>
      <c r="J126" s="14" t="str">
        <f>_xlfn.XLOOKUP(B126,CAD_PDV!A:A,CAD_PDV!B:B)</f>
        <v>AMERICOM COMERCIO DE APARELHOS ELETRONICOS LTDA - EPP</v>
      </c>
      <c r="K126" s="14">
        <f>IF(IFERROR(_xlfn.XLOOKUP(B126,Planilha2!D:D,Planilha2!H:H),0)="SIM",1,0)</f>
        <v>0</v>
      </c>
      <c r="L126" s="14" t="str">
        <f>_xlfn.XLOOKUP(B126,CAD_PDV!A:A,CAD_PDV!C:C)</f>
        <v>CO</v>
      </c>
      <c r="M126" s="14" t="str">
        <f>IFERROR(_xlfn.XLOOKUP(B126,repete!A:A,repete!A:A),"-")</f>
        <v>-</v>
      </c>
    </row>
    <row r="127" spans="1:13" hidden="1">
      <c r="A127" s="1">
        <v>46023</v>
      </c>
      <c r="B127" t="s">
        <v>1032</v>
      </c>
      <c r="C127" t="s">
        <v>944</v>
      </c>
      <c r="D127" t="s">
        <v>222</v>
      </c>
      <c r="E127" t="s">
        <v>60</v>
      </c>
      <c r="F127">
        <v>88</v>
      </c>
      <c r="G127">
        <v>5</v>
      </c>
      <c r="H127">
        <v>2.4987506246876602E-3</v>
      </c>
      <c r="I127">
        <v>5.6818181818181802E-2</v>
      </c>
      <c r="J127" s="14" t="str">
        <f>_xlfn.XLOOKUP(B127,CAD_PDV!A:A,CAD_PDV!B:B)</f>
        <v>ANCLA COMERCIO</v>
      </c>
      <c r="K127" s="14">
        <f>IF(IFERROR(_xlfn.XLOOKUP(B127,Planilha2!D:D,Planilha2!H:H),0)="SIM",1,0)</f>
        <v>0</v>
      </c>
      <c r="L127" s="14" t="str">
        <f>_xlfn.XLOOKUP(B127,CAD_PDV!A:A,CAD_PDV!C:C)</f>
        <v>BA/SE</v>
      </c>
      <c r="M127" s="14" t="str">
        <f>IFERROR(_xlfn.XLOOKUP(B127,repete!A:A,repete!A:A),"-")</f>
        <v>-</v>
      </c>
    </row>
    <row r="128" spans="1:13" hidden="1">
      <c r="A128" s="1">
        <v>46023</v>
      </c>
      <c r="B128" t="s">
        <v>857</v>
      </c>
      <c r="C128" t="s">
        <v>855</v>
      </c>
      <c r="D128" t="s">
        <v>2073</v>
      </c>
      <c r="E128" t="s">
        <v>59</v>
      </c>
      <c r="F128">
        <v>27</v>
      </c>
      <c r="G128">
        <v>5</v>
      </c>
      <c r="H128">
        <v>2.4987506246876602E-3</v>
      </c>
      <c r="I128">
        <v>0.18518518518518501</v>
      </c>
      <c r="J128" s="14" t="str">
        <f>_xlfn.XLOOKUP(B128,CAD_PDV!A:A,CAD_PDV!B:B)</f>
        <v xml:space="preserve">CONTACOM COMERCIO DE APARELHOS ELETRONICOS LTDA </v>
      </c>
      <c r="K128" s="14">
        <f>IF(IFERROR(_xlfn.XLOOKUP(B128,Planilha2!D:D,Planilha2!H:H),0)="SIM",1,0)</f>
        <v>0</v>
      </c>
      <c r="L128" s="14" t="str">
        <f>_xlfn.XLOOKUP(B128,CAD_PDV!A:A,CAD_PDV!C:C)</f>
        <v>CO</v>
      </c>
      <c r="M128" s="14" t="str">
        <f>IFERROR(_xlfn.XLOOKUP(B128,repete!A:A,repete!A:A),"-")</f>
        <v>-</v>
      </c>
    </row>
    <row r="129" spans="1:13" hidden="1">
      <c r="A129" s="1">
        <v>46023</v>
      </c>
      <c r="B129" t="s">
        <v>658</v>
      </c>
      <c r="C129" t="s">
        <v>659</v>
      </c>
      <c r="D129" t="s">
        <v>239</v>
      </c>
      <c r="E129" t="s">
        <v>59</v>
      </c>
      <c r="F129">
        <v>35</v>
      </c>
      <c r="G129">
        <v>5</v>
      </c>
      <c r="H129">
        <v>2.4987506246876602E-3</v>
      </c>
      <c r="I129">
        <v>0.14285714285714299</v>
      </c>
      <c r="J129" s="14" t="str">
        <f>_xlfn.XLOOKUP(B129,CAD_PDV!A:A,CAD_PDV!B:B)</f>
        <v>TELECELL TELEFONIA LTDA - ME</v>
      </c>
      <c r="K129" s="14">
        <f>IF(IFERROR(_xlfn.XLOOKUP(B129,Planilha2!D:D,Planilha2!H:H),0)="SIM",1,0)</f>
        <v>0</v>
      </c>
      <c r="L129" s="14" t="str">
        <f>_xlfn.XLOOKUP(B129,CAD_PDV!A:A,CAD_PDV!C:C)</f>
        <v>CO</v>
      </c>
      <c r="M129" s="14" t="str">
        <f>IFERROR(_xlfn.XLOOKUP(B129,repete!A:A,repete!A:A),"-")</f>
        <v>-</v>
      </c>
    </row>
    <row r="130" spans="1:13" hidden="1">
      <c r="A130" s="1">
        <v>46023</v>
      </c>
      <c r="B130" t="s">
        <v>1976</v>
      </c>
      <c r="C130" t="s">
        <v>1978</v>
      </c>
      <c r="D130" t="s">
        <v>97</v>
      </c>
      <c r="E130" t="s">
        <v>2074</v>
      </c>
      <c r="F130">
        <v>33</v>
      </c>
      <c r="G130">
        <v>4</v>
      </c>
      <c r="H130">
        <v>1.9990004997501201E-3</v>
      </c>
      <c r="I130">
        <v>0.12121212121212099</v>
      </c>
      <c r="J130" s="14" t="str">
        <f>_xlfn.XLOOKUP(B130,CAD_PDV!A:A,CAD_PDV!B:B)</f>
        <v>BANDEIRA</v>
      </c>
      <c r="K130" s="14">
        <f>IF(IFERROR(_xlfn.XLOOKUP(B130,Planilha2!D:D,Planilha2!H:H),0)="SIM",1,0)</f>
        <v>0</v>
      </c>
      <c r="L130" s="14" t="str">
        <f>_xlfn.XLOOKUP(B130,CAD_PDV!A:A,CAD_PDV!C:C)</f>
        <v>PR/SC</v>
      </c>
      <c r="M130" s="14" t="str">
        <f>IFERROR(_xlfn.XLOOKUP(B130,repete!A:A,repete!A:A),"-")</f>
        <v>-</v>
      </c>
    </row>
    <row r="131" spans="1:13" hidden="1">
      <c r="A131" s="1">
        <v>46023</v>
      </c>
      <c r="B131" t="s">
        <v>309</v>
      </c>
      <c r="C131" t="s">
        <v>265</v>
      </c>
      <c r="D131" t="s">
        <v>230</v>
      </c>
      <c r="E131" t="s">
        <v>61</v>
      </c>
      <c r="F131">
        <v>196</v>
      </c>
      <c r="G131">
        <v>4</v>
      </c>
      <c r="H131">
        <v>1.9990004997501201E-3</v>
      </c>
      <c r="I131">
        <v>2.04081632653061E-2</v>
      </c>
      <c r="J131" s="14" t="str">
        <f>_xlfn.XLOOKUP(B131,CAD_PDV!A:A,CAD_PDV!B:B)</f>
        <v>HARCOS COMERCIO E SERVICOS LTDA - EPP</v>
      </c>
      <c r="K131" s="14">
        <f>IF(IFERROR(_xlfn.XLOOKUP(B131,Planilha2!D:D,Planilha2!H:H),0)="SIM",1,0)</f>
        <v>0</v>
      </c>
      <c r="L131" s="14" t="str">
        <f>_xlfn.XLOOKUP(B131,CAD_PDV!A:A,CAD_PDV!C:C)</f>
        <v>NE</v>
      </c>
      <c r="M131" s="14" t="str">
        <f>IFERROR(_xlfn.XLOOKUP(B131,repete!A:A,repete!A:A),"-")</f>
        <v>-</v>
      </c>
    </row>
    <row r="132" spans="1:13" hidden="1">
      <c r="A132" s="1">
        <v>46023</v>
      </c>
      <c r="B132" t="s">
        <v>985</v>
      </c>
      <c r="C132" t="s">
        <v>944</v>
      </c>
      <c r="D132" t="s">
        <v>232</v>
      </c>
      <c r="E132" t="s">
        <v>60</v>
      </c>
      <c r="F132">
        <v>59</v>
      </c>
      <c r="G132">
        <v>4</v>
      </c>
      <c r="H132">
        <v>1.9990004997501201E-3</v>
      </c>
      <c r="I132">
        <v>6.7796610169491497E-2</v>
      </c>
      <c r="J132" s="14" t="str">
        <f>_xlfn.XLOOKUP(B132,CAD_PDV!A:A,CAD_PDV!B:B)</f>
        <v>HS TELECOM</v>
      </c>
      <c r="K132" s="14">
        <f>IF(IFERROR(_xlfn.XLOOKUP(B132,Planilha2!D:D,Planilha2!H:H),0)="SIM",1,0)</f>
        <v>0</v>
      </c>
      <c r="L132" s="14" t="str">
        <f>_xlfn.XLOOKUP(B132,CAD_PDV!A:A,CAD_PDV!C:C)</f>
        <v>BA/SE</v>
      </c>
      <c r="M132" s="14" t="str">
        <f>IFERROR(_xlfn.XLOOKUP(B132,repete!A:A,repete!A:A),"-")</f>
        <v>-</v>
      </c>
    </row>
    <row r="133" spans="1:13" hidden="1">
      <c r="A133" s="1">
        <v>46023</v>
      </c>
      <c r="B133" t="s">
        <v>512</v>
      </c>
      <c r="C133" t="s">
        <v>513</v>
      </c>
      <c r="D133" t="s">
        <v>228</v>
      </c>
      <c r="E133" t="s">
        <v>56</v>
      </c>
      <c r="F133">
        <v>37</v>
      </c>
      <c r="G133">
        <v>4</v>
      </c>
      <c r="H133">
        <v>1.9990004997501201E-3</v>
      </c>
      <c r="I133">
        <v>0.108108108108108</v>
      </c>
      <c r="J133" s="14" t="str">
        <f>_xlfn.XLOOKUP(B133,CAD_PDV!A:A,CAD_PDV!B:B)</f>
        <v>FAJULUTI</v>
      </c>
      <c r="K133" s="14">
        <f>IF(IFERROR(_xlfn.XLOOKUP(B133,Planilha2!D:D,Planilha2!H:H),0)="SIM",1,0)</f>
        <v>0</v>
      </c>
      <c r="L133" s="14" t="str">
        <f>_xlfn.XLOOKUP(B133,CAD_PDV!A:A,CAD_PDV!C:C)</f>
        <v>MG</v>
      </c>
      <c r="M133" s="14" t="str">
        <f>IFERROR(_xlfn.XLOOKUP(B133,repete!A:A,repete!A:A),"-")</f>
        <v>-</v>
      </c>
    </row>
    <row r="134" spans="1:13" hidden="1">
      <c r="A134" s="1">
        <v>46023</v>
      </c>
      <c r="B134" t="s">
        <v>1347</v>
      </c>
      <c r="C134" t="s">
        <v>1346</v>
      </c>
      <c r="D134" t="s">
        <v>229</v>
      </c>
      <c r="E134" t="s">
        <v>53</v>
      </c>
      <c r="F134">
        <v>85</v>
      </c>
      <c r="G134">
        <v>4</v>
      </c>
      <c r="H134">
        <v>1.9990004997501201E-3</v>
      </c>
      <c r="I134">
        <v>4.7058823529411799E-2</v>
      </c>
      <c r="J134" s="14" t="str">
        <f>_xlfn.XLOOKUP(B134,CAD_PDV!A:A,CAD_PDV!B:B)</f>
        <v>FW TELEFONIA LTDA - EPP</v>
      </c>
      <c r="K134" s="14">
        <f>IF(IFERROR(_xlfn.XLOOKUP(B134,Planilha2!D:D,Planilha2!H:H),0)="SIM",1,0)</f>
        <v>0</v>
      </c>
      <c r="L134" s="14" t="str">
        <f>_xlfn.XLOOKUP(B134,CAD_PDV!A:A,CAD_PDV!C:C)</f>
        <v>SP1</v>
      </c>
      <c r="M134" s="14" t="str">
        <f>IFERROR(_xlfn.XLOOKUP(B134,repete!A:A,repete!A:A),"-")</f>
        <v>-</v>
      </c>
    </row>
    <row r="135" spans="1:13" hidden="1">
      <c r="A135" s="1">
        <v>46023</v>
      </c>
      <c r="B135" t="s">
        <v>1210</v>
      </c>
      <c r="C135" t="s">
        <v>1211</v>
      </c>
      <c r="D135" t="s">
        <v>228</v>
      </c>
      <c r="E135" t="s">
        <v>55</v>
      </c>
      <c r="F135">
        <v>89</v>
      </c>
      <c r="G135">
        <v>4</v>
      </c>
      <c r="H135">
        <v>1.9990004997501201E-3</v>
      </c>
      <c r="I135">
        <v>4.49438202247191E-2</v>
      </c>
      <c r="J135" s="14" t="str">
        <f>_xlfn.XLOOKUP(B135,CAD_PDV!A:A,CAD_PDV!B:B)</f>
        <v>FAJULUTI</v>
      </c>
      <c r="K135" s="14">
        <f>IF(IFERROR(_xlfn.XLOOKUP(B135,Planilha2!D:D,Planilha2!H:H),0)="SIM",1,0)</f>
        <v>0</v>
      </c>
      <c r="L135" s="14" t="str">
        <f>_xlfn.XLOOKUP(B135,CAD_PDV!A:A,CAD_PDV!C:C)</f>
        <v>RJ/ES</v>
      </c>
      <c r="M135" s="14" t="str">
        <f>IFERROR(_xlfn.XLOOKUP(B135,repete!A:A,repete!A:A),"-")</f>
        <v>-</v>
      </c>
    </row>
    <row r="136" spans="1:13" hidden="1">
      <c r="A136" s="1">
        <v>46023</v>
      </c>
      <c r="B136" t="s">
        <v>525</v>
      </c>
      <c r="C136" t="s">
        <v>526</v>
      </c>
      <c r="D136" t="s">
        <v>228</v>
      </c>
      <c r="E136" t="s">
        <v>56</v>
      </c>
      <c r="F136">
        <v>27</v>
      </c>
      <c r="G136">
        <v>4</v>
      </c>
      <c r="H136">
        <v>1.9990004997501201E-3</v>
      </c>
      <c r="I136">
        <v>0.148148148148148</v>
      </c>
      <c r="J136" s="14" t="str">
        <f>_xlfn.XLOOKUP(B136,CAD_PDV!A:A,CAD_PDV!B:B)</f>
        <v>FAJULUTI</v>
      </c>
      <c r="K136" s="14">
        <f>IF(IFERROR(_xlfn.XLOOKUP(B136,Planilha2!D:D,Planilha2!H:H),0)="SIM",1,0)</f>
        <v>0</v>
      </c>
      <c r="L136" s="14" t="str">
        <f>_xlfn.XLOOKUP(B136,CAD_PDV!A:A,CAD_PDV!C:C)</f>
        <v>MG</v>
      </c>
      <c r="M136" s="14" t="str">
        <f>IFERROR(_xlfn.XLOOKUP(B136,repete!A:A,repete!A:A),"-")</f>
        <v>-</v>
      </c>
    </row>
    <row r="137" spans="1:13" hidden="1">
      <c r="A137" s="1">
        <v>46023</v>
      </c>
      <c r="B137" t="s">
        <v>879</v>
      </c>
      <c r="C137" t="s">
        <v>873</v>
      </c>
      <c r="D137" t="s">
        <v>239</v>
      </c>
      <c r="E137" t="s">
        <v>59</v>
      </c>
      <c r="F137">
        <v>63</v>
      </c>
      <c r="G137">
        <v>4</v>
      </c>
      <c r="H137">
        <v>1.9990004997501201E-3</v>
      </c>
      <c r="I137">
        <v>6.3492063492063502E-2</v>
      </c>
      <c r="J137" s="14" t="str">
        <f>_xlfn.XLOOKUP(B137,CAD_PDV!A:A,CAD_PDV!B:B)</f>
        <v>TELECELL TELEFONIA LTDA - ME</v>
      </c>
      <c r="K137" s="14">
        <f>IF(IFERROR(_xlfn.XLOOKUP(B137,Planilha2!D:D,Planilha2!H:H),0)="SIM",1,0)</f>
        <v>0</v>
      </c>
      <c r="L137" s="14" t="str">
        <f>_xlfn.XLOOKUP(B137,CAD_PDV!A:A,CAD_PDV!C:C)</f>
        <v>CO</v>
      </c>
      <c r="M137" s="14" t="str">
        <f>IFERROR(_xlfn.XLOOKUP(B137,repete!A:A,repete!A:A),"-")</f>
        <v>-</v>
      </c>
    </row>
    <row r="138" spans="1:13" hidden="1">
      <c r="A138" s="1">
        <v>46023</v>
      </c>
      <c r="B138" t="s">
        <v>846</v>
      </c>
      <c r="C138" t="s">
        <v>732</v>
      </c>
      <c r="D138" t="s">
        <v>221</v>
      </c>
      <c r="E138" t="s">
        <v>59</v>
      </c>
      <c r="F138">
        <v>113</v>
      </c>
      <c r="G138">
        <v>4</v>
      </c>
      <c r="H138">
        <v>1.9990004997501201E-3</v>
      </c>
      <c r="I138">
        <v>3.5398230088495602E-2</v>
      </c>
      <c r="J138" s="14" t="str">
        <f>_xlfn.XLOOKUP(B138,CAD_PDV!A:A,CAD_PDV!B:B)</f>
        <v>AMERICOM COMERCIO DE APARELHOS ELETRONICOS LTDA - EPP</v>
      </c>
      <c r="K138" s="14">
        <f>IF(IFERROR(_xlfn.XLOOKUP(B138,Planilha2!D:D,Planilha2!H:H),0)="SIM",1,0)</f>
        <v>0</v>
      </c>
      <c r="L138" s="14" t="str">
        <f>_xlfn.XLOOKUP(B138,CAD_PDV!A:A,CAD_PDV!C:C)</f>
        <v>CO</v>
      </c>
      <c r="M138" s="14" t="str">
        <f>IFERROR(_xlfn.XLOOKUP(B138,repete!A:A,repete!A:A),"-")</f>
        <v>-</v>
      </c>
    </row>
    <row r="139" spans="1:13" hidden="1">
      <c r="A139" s="1">
        <v>46023</v>
      </c>
      <c r="B139" t="s">
        <v>1358</v>
      </c>
      <c r="C139" t="s">
        <v>1357</v>
      </c>
      <c r="D139" t="s">
        <v>132</v>
      </c>
      <c r="E139" t="s">
        <v>53</v>
      </c>
      <c r="F139">
        <v>87</v>
      </c>
      <c r="G139">
        <v>4</v>
      </c>
      <c r="H139">
        <v>1.9990004997501201E-3</v>
      </c>
      <c r="I139">
        <v>4.5977011494252901E-2</v>
      </c>
      <c r="J139" s="14" t="str">
        <f>_xlfn.XLOOKUP(B139,CAD_PDV!A:A,CAD_PDV!B:B)</f>
        <v>FLEX CELL</v>
      </c>
      <c r="K139" s="14">
        <f>IF(IFERROR(_xlfn.XLOOKUP(B139,Planilha2!D:D,Planilha2!H:H),0)="SIM",1,0)</f>
        <v>0</v>
      </c>
      <c r="L139" s="14" t="str">
        <f>_xlfn.XLOOKUP(B139,CAD_PDV!A:A,CAD_PDV!C:C)</f>
        <v>SP1</v>
      </c>
      <c r="M139" s="14" t="str">
        <f>IFERROR(_xlfn.XLOOKUP(B139,repete!A:A,repete!A:A),"-")</f>
        <v>-</v>
      </c>
    </row>
    <row r="140" spans="1:13" hidden="1">
      <c r="A140" s="1">
        <v>46023</v>
      </c>
      <c r="B140" t="s">
        <v>1560</v>
      </c>
      <c r="C140" t="s">
        <v>1561</v>
      </c>
      <c r="D140" t="s">
        <v>232</v>
      </c>
      <c r="E140" t="s">
        <v>54</v>
      </c>
      <c r="F140">
        <v>55</v>
      </c>
      <c r="G140">
        <v>4</v>
      </c>
      <c r="H140">
        <v>1.9990004997501201E-3</v>
      </c>
      <c r="I140">
        <v>7.2727272727272696E-2</v>
      </c>
      <c r="J140" s="14" t="str">
        <f>_xlfn.XLOOKUP(B140,CAD_PDV!A:A,CAD_PDV!B:B)</f>
        <v>HS TELECOM</v>
      </c>
      <c r="K140" s="14">
        <f>IF(IFERROR(_xlfn.XLOOKUP(B140,Planilha2!D:D,Planilha2!H:H),0)="SIM",1,0)</f>
        <v>0</v>
      </c>
      <c r="L140" s="14" t="str">
        <f>_xlfn.XLOOKUP(B140,CAD_PDV!A:A,CAD_PDV!C:C)</f>
        <v>SP2</v>
      </c>
      <c r="M140" s="14" t="str">
        <f>IFERROR(_xlfn.XLOOKUP(B140,repete!A:A,repete!A:A),"-")</f>
        <v>-</v>
      </c>
    </row>
    <row r="141" spans="1:13" hidden="1">
      <c r="A141" s="1">
        <v>46023</v>
      </c>
      <c r="B141" t="s">
        <v>1233</v>
      </c>
      <c r="C141" t="s">
        <v>1142</v>
      </c>
      <c r="D141" t="s">
        <v>237</v>
      </c>
      <c r="E141" t="s">
        <v>55</v>
      </c>
      <c r="F141">
        <v>138</v>
      </c>
      <c r="G141">
        <v>4</v>
      </c>
      <c r="H141">
        <v>1.9990004997501201E-3</v>
      </c>
      <c r="I141">
        <v>2.8985507246376802E-2</v>
      </c>
      <c r="J141" s="14" t="str">
        <f>_xlfn.XLOOKUP(B141,CAD_PDV!A:A,CAD_PDV!B:B)</f>
        <v>PONTO CERTO COMERCIO E COMUNICAÇÕES LTDA</v>
      </c>
      <c r="K141" s="14">
        <f>IF(IFERROR(_xlfn.XLOOKUP(B141,Planilha2!D:D,Planilha2!H:H),0)="SIM",1,0)</f>
        <v>0</v>
      </c>
      <c r="L141" s="14" t="str">
        <f>_xlfn.XLOOKUP(B141,CAD_PDV!A:A,CAD_PDV!C:C)</f>
        <v>RJ/ES</v>
      </c>
      <c r="M141" s="14" t="str">
        <f>IFERROR(_xlfn.XLOOKUP(B141,repete!A:A,repete!A:A),"-")</f>
        <v>-</v>
      </c>
    </row>
    <row r="142" spans="1:13" hidden="1">
      <c r="A142" s="1">
        <v>46023</v>
      </c>
      <c r="B142" t="s">
        <v>759</v>
      </c>
      <c r="C142" t="s">
        <v>619</v>
      </c>
      <c r="D142" t="s">
        <v>239</v>
      </c>
      <c r="E142" t="s">
        <v>59</v>
      </c>
      <c r="F142">
        <v>78</v>
      </c>
      <c r="G142">
        <v>4</v>
      </c>
      <c r="H142">
        <v>1.9990004997501201E-3</v>
      </c>
      <c r="I142">
        <v>5.1282051282051301E-2</v>
      </c>
      <c r="J142" s="14" t="str">
        <f>_xlfn.XLOOKUP(B142,CAD_PDV!A:A,CAD_PDV!B:B)</f>
        <v>TELECELL TELEFONIA LTDA - ME</v>
      </c>
      <c r="K142" s="14">
        <f>IF(IFERROR(_xlfn.XLOOKUP(B142,Planilha2!D:D,Planilha2!H:H),0)="SIM",1,0)</f>
        <v>0</v>
      </c>
      <c r="L142" s="14" t="str">
        <f>_xlfn.XLOOKUP(B142,CAD_PDV!A:A,CAD_PDV!C:C)</f>
        <v>CO</v>
      </c>
      <c r="M142" s="14" t="str">
        <f>IFERROR(_xlfn.XLOOKUP(B142,repete!A:A,repete!A:A),"-")</f>
        <v>-</v>
      </c>
    </row>
    <row r="143" spans="1:13" hidden="1">
      <c r="A143" s="1">
        <v>46023</v>
      </c>
      <c r="B143" t="s">
        <v>2054</v>
      </c>
      <c r="C143" t="s">
        <v>2053</v>
      </c>
      <c r="D143" t="s">
        <v>193</v>
      </c>
      <c r="E143" t="s">
        <v>2074</v>
      </c>
      <c r="F143">
        <v>41</v>
      </c>
      <c r="G143">
        <v>4</v>
      </c>
      <c r="H143">
        <v>1.9990004997501201E-3</v>
      </c>
      <c r="I143">
        <v>9.7560975609756101E-2</v>
      </c>
      <c r="J143" s="14" t="str">
        <f>_xlfn.XLOOKUP(B143,CAD_PDV!A:A,CAD_PDV!B:B)</f>
        <v>S D COMERCIO DE CELULARES LTDA - ME</v>
      </c>
      <c r="K143" s="14">
        <f>IF(IFERROR(_xlfn.XLOOKUP(B143,Planilha2!D:D,Planilha2!H:H),0)="SIM",1,0)</f>
        <v>0</v>
      </c>
      <c r="L143" s="14" t="str">
        <f>_xlfn.XLOOKUP(B143,CAD_PDV!A:A,CAD_PDV!C:C)</f>
        <v>RS</v>
      </c>
      <c r="M143" s="14" t="str">
        <f>IFERROR(_xlfn.XLOOKUP(B143,repete!A:A,repete!A:A),"-")</f>
        <v>-</v>
      </c>
    </row>
    <row r="144" spans="1:13" hidden="1">
      <c r="A144" s="1">
        <v>46023</v>
      </c>
      <c r="B144" t="s">
        <v>447</v>
      </c>
      <c r="C144" t="s">
        <v>449</v>
      </c>
      <c r="D144" t="s">
        <v>228</v>
      </c>
      <c r="E144" t="s">
        <v>56</v>
      </c>
      <c r="F144">
        <v>41</v>
      </c>
      <c r="G144">
        <v>4</v>
      </c>
      <c r="H144">
        <v>1.9990004997501201E-3</v>
      </c>
      <c r="I144">
        <v>9.7560975609756101E-2</v>
      </c>
      <c r="J144" s="14" t="str">
        <f>_xlfn.XLOOKUP(B144,CAD_PDV!A:A,CAD_PDV!B:B)</f>
        <v>FAJULUTI</v>
      </c>
      <c r="K144" s="14">
        <f>IF(IFERROR(_xlfn.XLOOKUP(B144,Planilha2!D:D,Planilha2!H:H),0)="SIM",1,0)</f>
        <v>0</v>
      </c>
      <c r="L144" s="14" t="str">
        <f>_xlfn.XLOOKUP(B144,CAD_PDV!A:A,CAD_PDV!C:C)</f>
        <v>MG</v>
      </c>
      <c r="M144" s="14" t="str">
        <f>IFERROR(_xlfn.XLOOKUP(B144,repete!A:A,repete!A:A),"-")</f>
        <v>-</v>
      </c>
    </row>
    <row r="145" spans="1:13" hidden="1">
      <c r="A145" s="1">
        <v>46023</v>
      </c>
      <c r="B145" t="s">
        <v>404</v>
      </c>
      <c r="C145" t="s">
        <v>288</v>
      </c>
      <c r="D145" t="s">
        <v>230</v>
      </c>
      <c r="E145" t="s">
        <v>61</v>
      </c>
      <c r="F145">
        <v>158</v>
      </c>
      <c r="G145">
        <v>4</v>
      </c>
      <c r="H145">
        <v>1.9990004997501201E-3</v>
      </c>
      <c r="I145">
        <v>2.53164556962025E-2</v>
      </c>
      <c r="J145" s="14" t="str">
        <f>_xlfn.XLOOKUP(B145,CAD_PDV!A:A,CAD_PDV!B:B)</f>
        <v>HARCOS COMERCIO E SERVICOS LTDA - EPP</v>
      </c>
      <c r="K145" s="14">
        <f>IF(IFERROR(_xlfn.XLOOKUP(B145,Planilha2!D:D,Planilha2!H:H),0)="SIM",1,0)</f>
        <v>0</v>
      </c>
      <c r="L145" s="14" t="str">
        <f>_xlfn.XLOOKUP(B145,CAD_PDV!A:A,CAD_PDV!C:C)</f>
        <v>NE</v>
      </c>
      <c r="M145" s="14" t="str">
        <f>IFERROR(_xlfn.XLOOKUP(B145,repete!A:A,repete!A:A),"-")</f>
        <v>-</v>
      </c>
    </row>
    <row r="146" spans="1:13" hidden="1">
      <c r="A146" s="1">
        <v>46023</v>
      </c>
      <c r="B146" t="s">
        <v>1624</v>
      </c>
      <c r="C146" t="s">
        <v>1625</v>
      </c>
      <c r="D146" t="s">
        <v>232</v>
      </c>
      <c r="E146" t="s">
        <v>54</v>
      </c>
      <c r="F146">
        <v>37</v>
      </c>
      <c r="G146">
        <v>4</v>
      </c>
      <c r="H146">
        <v>1.9990004997501201E-3</v>
      </c>
      <c r="I146">
        <v>0.108108108108108</v>
      </c>
      <c r="J146" s="14" t="str">
        <f>_xlfn.XLOOKUP(B146,CAD_PDV!A:A,CAD_PDV!B:B)</f>
        <v>HS TELECOM</v>
      </c>
      <c r="K146" s="14">
        <f>IF(IFERROR(_xlfn.XLOOKUP(B146,Planilha2!D:D,Planilha2!H:H),0)="SIM",1,0)</f>
        <v>0</v>
      </c>
      <c r="L146" s="14" t="str">
        <f>_xlfn.XLOOKUP(B146,CAD_PDV!A:A,CAD_PDV!C:C)</f>
        <v>SP2</v>
      </c>
      <c r="M146" s="14" t="str">
        <f>IFERROR(_xlfn.XLOOKUP(B146,repete!A:A,repete!A:A),"-")</f>
        <v>-</v>
      </c>
    </row>
    <row r="147" spans="1:13" hidden="1">
      <c r="A147" s="1">
        <v>46023</v>
      </c>
      <c r="B147" t="s">
        <v>703</v>
      </c>
      <c r="C147" t="s">
        <v>694</v>
      </c>
      <c r="D147" t="s">
        <v>239</v>
      </c>
      <c r="E147" t="s">
        <v>59</v>
      </c>
      <c r="F147">
        <v>54</v>
      </c>
      <c r="G147">
        <v>4</v>
      </c>
      <c r="H147">
        <v>1.9990004997501201E-3</v>
      </c>
      <c r="I147">
        <v>7.4074074074074098E-2</v>
      </c>
      <c r="J147" s="14" t="str">
        <f>_xlfn.XLOOKUP(B147,CAD_PDV!A:A,CAD_PDV!B:B)</f>
        <v>TELECELL TELEFONIA LTDA - ME</v>
      </c>
      <c r="K147" s="14">
        <f>IF(IFERROR(_xlfn.XLOOKUP(B147,Planilha2!D:D,Planilha2!H:H),0)="SIM",1,0)</f>
        <v>0</v>
      </c>
      <c r="L147" s="14" t="str">
        <f>_xlfn.XLOOKUP(B147,CAD_PDV!A:A,CAD_PDV!C:C)</f>
        <v>CO</v>
      </c>
      <c r="M147" s="14" t="str">
        <f>IFERROR(_xlfn.XLOOKUP(B147,repete!A:A,repete!A:A),"-")</f>
        <v>-</v>
      </c>
    </row>
    <row r="148" spans="1:13" hidden="1">
      <c r="A148" s="1">
        <v>46023</v>
      </c>
      <c r="B148" t="s">
        <v>1652</v>
      </c>
      <c r="C148" t="s">
        <v>1653</v>
      </c>
      <c r="D148" t="s">
        <v>223</v>
      </c>
      <c r="E148" t="s">
        <v>54</v>
      </c>
      <c r="F148">
        <v>62</v>
      </c>
      <c r="G148">
        <v>4</v>
      </c>
      <c r="H148">
        <v>1.9990004997501201E-3</v>
      </c>
      <c r="I148">
        <v>6.4516129032258104E-2</v>
      </c>
      <c r="J148" s="14" t="str">
        <f>_xlfn.XLOOKUP(B148,CAD_PDV!A:A,CAD_PDV!B:B)</f>
        <v>BONELI BIAZI CELULARES EIRELI - ME</v>
      </c>
      <c r="K148" s="14">
        <f>IF(IFERROR(_xlfn.XLOOKUP(B148,Planilha2!D:D,Planilha2!H:H),0)="SIM",1,0)</f>
        <v>0</v>
      </c>
      <c r="L148" s="14" t="str">
        <f>_xlfn.XLOOKUP(B148,CAD_PDV!A:A,CAD_PDV!C:C)</f>
        <v>SP2</v>
      </c>
      <c r="M148" s="14" t="str">
        <f>IFERROR(_xlfn.XLOOKUP(B148,repete!A:A,repete!A:A),"-")</f>
        <v>-</v>
      </c>
    </row>
    <row r="149" spans="1:13" hidden="1">
      <c r="A149" s="1">
        <v>46023</v>
      </c>
      <c r="B149" t="s">
        <v>1664</v>
      </c>
      <c r="C149" t="s">
        <v>1659</v>
      </c>
      <c r="D149" t="s">
        <v>232</v>
      </c>
      <c r="E149" t="s">
        <v>54</v>
      </c>
      <c r="F149">
        <v>74</v>
      </c>
      <c r="G149">
        <v>4</v>
      </c>
      <c r="H149">
        <v>1.9990004997501201E-3</v>
      </c>
      <c r="I149">
        <v>5.4054054054054099E-2</v>
      </c>
      <c r="J149" s="14" t="str">
        <f>_xlfn.XLOOKUP(B149,CAD_PDV!A:A,CAD_PDV!B:B)</f>
        <v>HS TELECOM</v>
      </c>
      <c r="K149" s="14">
        <f>IF(IFERROR(_xlfn.XLOOKUP(B149,Planilha2!D:D,Planilha2!H:H),0)="SIM",1,0)</f>
        <v>0</v>
      </c>
      <c r="L149" s="14" t="str">
        <f>_xlfn.XLOOKUP(B149,CAD_PDV!A:A,CAD_PDV!C:C)</f>
        <v>SP2</v>
      </c>
      <c r="M149" s="14" t="str">
        <f>IFERROR(_xlfn.XLOOKUP(B149,repete!A:A,repete!A:A),"-")</f>
        <v>-</v>
      </c>
    </row>
    <row r="150" spans="1:13" hidden="1">
      <c r="A150" s="1">
        <v>46023</v>
      </c>
      <c r="B150" t="s">
        <v>1708</v>
      </c>
      <c r="C150" t="s">
        <v>1505</v>
      </c>
      <c r="D150" t="s">
        <v>132</v>
      </c>
      <c r="E150" t="s">
        <v>54</v>
      </c>
      <c r="F150">
        <v>52</v>
      </c>
      <c r="G150">
        <v>4</v>
      </c>
      <c r="H150">
        <v>1.9990004997501201E-3</v>
      </c>
      <c r="I150">
        <v>7.69230769230769E-2</v>
      </c>
      <c r="J150" s="14" t="str">
        <f>_xlfn.XLOOKUP(B150,CAD_PDV!A:A,CAD_PDV!B:B)</f>
        <v>FLEX CELL</v>
      </c>
      <c r="K150" s="14">
        <f>IF(IFERROR(_xlfn.XLOOKUP(B150,Planilha2!D:D,Planilha2!H:H),0)="SIM",1,0)</f>
        <v>0</v>
      </c>
      <c r="L150" s="14" t="str">
        <f>_xlfn.XLOOKUP(B150,CAD_PDV!A:A,CAD_PDV!C:C)</f>
        <v>SP2</v>
      </c>
      <c r="M150" s="14" t="str">
        <f>IFERROR(_xlfn.XLOOKUP(B150,repete!A:A,repete!A:A),"-")</f>
        <v>-</v>
      </c>
    </row>
    <row r="151" spans="1:13" hidden="1">
      <c r="A151" s="1">
        <v>46023</v>
      </c>
      <c r="B151" t="s">
        <v>1262</v>
      </c>
      <c r="C151" t="s">
        <v>1142</v>
      </c>
      <c r="D151" t="s">
        <v>237</v>
      </c>
      <c r="E151" t="s">
        <v>55</v>
      </c>
      <c r="F151">
        <v>50</v>
      </c>
      <c r="G151">
        <v>4</v>
      </c>
      <c r="H151">
        <v>1.9990004997501201E-3</v>
      </c>
      <c r="I151">
        <v>0.08</v>
      </c>
      <c r="J151" s="14" t="str">
        <f>_xlfn.XLOOKUP(B151,CAD_PDV!A:A,CAD_PDV!B:B)</f>
        <v>PONTO CERTO COMERCIO E COMUNICAÇÕES LTDA</v>
      </c>
      <c r="K151" s="14">
        <f>IF(IFERROR(_xlfn.XLOOKUP(B151,Planilha2!D:D,Planilha2!H:H),0)="SIM",1,0)</f>
        <v>0</v>
      </c>
      <c r="L151" s="14" t="str">
        <f>_xlfn.XLOOKUP(B151,CAD_PDV!A:A,CAD_PDV!C:C)</f>
        <v>RJ/ES</v>
      </c>
      <c r="M151" s="14" t="str">
        <f>IFERROR(_xlfn.XLOOKUP(B151,repete!A:A,repete!A:A),"-")</f>
        <v>-</v>
      </c>
    </row>
    <row r="152" spans="1:13" hidden="1">
      <c r="A152" s="1">
        <v>46023</v>
      </c>
      <c r="B152" t="s">
        <v>1339</v>
      </c>
      <c r="C152" t="s">
        <v>1313</v>
      </c>
      <c r="D152" t="s">
        <v>225</v>
      </c>
      <c r="E152" t="s">
        <v>53</v>
      </c>
      <c r="F152">
        <v>171</v>
      </c>
      <c r="G152">
        <v>4</v>
      </c>
      <c r="H152">
        <v>1.9990004997501201E-3</v>
      </c>
      <c r="I152">
        <v>2.3391812865497099E-2</v>
      </c>
      <c r="J152" s="14" t="str">
        <f>_xlfn.XLOOKUP(B152,CAD_PDV!A:A,CAD_PDV!B:B)</f>
        <v>CLARICELL SP1</v>
      </c>
      <c r="K152" s="14">
        <f>IF(IFERROR(_xlfn.XLOOKUP(B152,Planilha2!D:D,Planilha2!H:H),0)="SIM",1,0)</f>
        <v>0</v>
      </c>
      <c r="L152" s="14" t="str">
        <f>_xlfn.XLOOKUP(B152,CAD_PDV!A:A,CAD_PDV!C:C)</f>
        <v>SP1</v>
      </c>
      <c r="M152" s="14" t="str">
        <f>IFERROR(_xlfn.XLOOKUP(B152,repete!A:A,repete!A:A),"-")</f>
        <v>-</v>
      </c>
    </row>
    <row r="153" spans="1:13" hidden="1">
      <c r="A153" s="1">
        <v>46023</v>
      </c>
      <c r="B153" t="s">
        <v>1717</v>
      </c>
      <c r="C153" t="s">
        <v>1718</v>
      </c>
      <c r="D153" t="s">
        <v>232</v>
      </c>
      <c r="E153" t="s">
        <v>54</v>
      </c>
      <c r="F153">
        <v>46</v>
      </c>
      <c r="G153">
        <v>4</v>
      </c>
      <c r="H153">
        <v>1.9990004997501201E-3</v>
      </c>
      <c r="I153">
        <v>8.6956521739130405E-2</v>
      </c>
      <c r="J153" s="14" t="str">
        <f>_xlfn.XLOOKUP(B153,CAD_PDV!A:A,CAD_PDV!B:B)</f>
        <v>HS TELECOM</v>
      </c>
      <c r="K153" s="14">
        <f>IF(IFERROR(_xlfn.XLOOKUP(B153,Planilha2!D:D,Planilha2!H:H),0)="SIM",1,0)</f>
        <v>0</v>
      </c>
      <c r="L153" s="14" t="str">
        <f>_xlfn.XLOOKUP(B153,CAD_PDV!A:A,CAD_PDV!C:C)</f>
        <v>SP2</v>
      </c>
      <c r="M153" s="14" t="str">
        <f>IFERROR(_xlfn.XLOOKUP(B153,repete!A:A,repete!A:A),"-")</f>
        <v>WD3T</v>
      </c>
    </row>
    <row r="154" spans="1:13" hidden="1">
      <c r="A154" s="1">
        <v>46023</v>
      </c>
      <c r="B154" t="s">
        <v>653</v>
      </c>
      <c r="C154" t="s">
        <v>649</v>
      </c>
      <c r="D154" t="s">
        <v>239</v>
      </c>
      <c r="E154" t="s">
        <v>59</v>
      </c>
      <c r="F154">
        <v>61</v>
      </c>
      <c r="G154">
        <v>3</v>
      </c>
      <c r="H154">
        <v>1.49925037481259E-3</v>
      </c>
      <c r="I154">
        <v>4.91803278688525E-2</v>
      </c>
      <c r="J154" s="14" t="str">
        <f>_xlfn.XLOOKUP(B154,CAD_PDV!A:A,CAD_PDV!B:B)</f>
        <v>TELECELL TELEFONIA LTDA - ME</v>
      </c>
      <c r="K154" s="14">
        <f>IF(IFERROR(_xlfn.XLOOKUP(B154,Planilha2!D:D,Planilha2!H:H),0)="SIM",1,0)</f>
        <v>0</v>
      </c>
      <c r="L154" s="14" t="str">
        <f>_xlfn.XLOOKUP(B154,CAD_PDV!A:A,CAD_PDV!C:C)</f>
        <v>CO</v>
      </c>
      <c r="M154" s="14" t="str">
        <f>IFERROR(_xlfn.XLOOKUP(B154,repete!A:A,repete!A:A),"-")</f>
        <v>-</v>
      </c>
    </row>
    <row r="155" spans="1:13" hidden="1">
      <c r="A155" s="1">
        <v>46023</v>
      </c>
      <c r="B155" t="s">
        <v>306</v>
      </c>
      <c r="C155" t="s">
        <v>308</v>
      </c>
      <c r="D155" t="s">
        <v>230</v>
      </c>
      <c r="E155" t="s">
        <v>61</v>
      </c>
      <c r="F155">
        <v>53</v>
      </c>
      <c r="G155">
        <v>3</v>
      </c>
      <c r="H155">
        <v>1.49925037481259E-3</v>
      </c>
      <c r="I155">
        <v>5.6603773584905703E-2</v>
      </c>
      <c r="J155" s="14" t="str">
        <f>_xlfn.XLOOKUP(B155,CAD_PDV!A:A,CAD_PDV!B:B)</f>
        <v>HARCOS COMERCIO E SERVICOS LTDA - EPP</v>
      </c>
      <c r="K155" s="14">
        <f>IF(IFERROR(_xlfn.XLOOKUP(B155,Planilha2!D:D,Planilha2!H:H),0)="SIM",1,0)</f>
        <v>0</v>
      </c>
      <c r="L155" s="14" t="str">
        <f>_xlfn.XLOOKUP(B155,CAD_PDV!A:A,CAD_PDV!C:C)</f>
        <v>NE</v>
      </c>
      <c r="M155" s="14" t="str">
        <f>IFERROR(_xlfn.XLOOKUP(B155,repete!A:A,repete!A:A),"-")</f>
        <v>-</v>
      </c>
    </row>
    <row r="156" spans="1:13" hidden="1">
      <c r="A156" s="1">
        <v>46023</v>
      </c>
      <c r="B156" t="s">
        <v>975</v>
      </c>
      <c r="C156" t="s">
        <v>976</v>
      </c>
      <c r="D156" t="s">
        <v>232</v>
      </c>
      <c r="E156" t="s">
        <v>60</v>
      </c>
      <c r="F156">
        <v>71</v>
      </c>
      <c r="G156">
        <v>3</v>
      </c>
      <c r="H156">
        <v>1.49925037481259E-3</v>
      </c>
      <c r="I156">
        <v>4.2253521126760597E-2</v>
      </c>
      <c r="J156" s="14" t="str">
        <f>_xlfn.XLOOKUP(B156,CAD_PDV!A:A,CAD_PDV!B:B)</f>
        <v>HS TELECOM</v>
      </c>
      <c r="K156" s="14">
        <f>IF(IFERROR(_xlfn.XLOOKUP(B156,Planilha2!D:D,Planilha2!H:H),0)="SIM",1,0)</f>
        <v>0</v>
      </c>
      <c r="L156" s="14" t="str">
        <f>_xlfn.XLOOKUP(B156,CAD_PDV!A:A,CAD_PDV!C:C)</f>
        <v>BA/SE</v>
      </c>
      <c r="M156" s="14" t="str">
        <f>IFERROR(_xlfn.XLOOKUP(B156,repete!A:A,repete!A:A),"-")</f>
        <v>-</v>
      </c>
    </row>
    <row r="157" spans="1:13" hidden="1">
      <c r="A157" s="1">
        <v>46023</v>
      </c>
      <c r="B157" t="s">
        <v>1463</v>
      </c>
      <c r="C157" t="s">
        <v>1464</v>
      </c>
      <c r="D157" t="s">
        <v>219</v>
      </c>
      <c r="E157" t="s">
        <v>54</v>
      </c>
      <c r="F157">
        <v>99</v>
      </c>
      <c r="G157">
        <v>3</v>
      </c>
      <c r="H157">
        <v>1.49925037481259E-3</v>
      </c>
      <c r="I157">
        <v>3.03030303030303E-2</v>
      </c>
      <c r="J157" s="14" t="str">
        <f>_xlfn.XLOOKUP(B157,CAD_PDV!A:A,CAD_PDV!B:B)</f>
        <v>WCI CELULARES SERVICOS E TELECOMUNICACOES LTDA - EPP</v>
      </c>
      <c r="K157" s="14">
        <f>IF(IFERROR(_xlfn.XLOOKUP(B157,Planilha2!D:D,Planilha2!H:H),0)="SIM",1,0)</f>
        <v>0</v>
      </c>
      <c r="L157" s="14" t="str">
        <f>_xlfn.XLOOKUP(B157,CAD_PDV!A:A,CAD_PDV!C:C)</f>
        <v>SP2</v>
      </c>
      <c r="M157" s="14" t="str">
        <f>IFERROR(_xlfn.XLOOKUP(B157,repete!A:A,repete!A:A),"-")</f>
        <v>-</v>
      </c>
    </row>
    <row r="158" spans="1:13" hidden="1">
      <c r="A158" s="1">
        <v>46023</v>
      </c>
      <c r="B158" t="s">
        <v>1377</v>
      </c>
      <c r="C158" t="s">
        <v>1375</v>
      </c>
      <c r="D158" t="s">
        <v>229</v>
      </c>
      <c r="E158" t="s">
        <v>53</v>
      </c>
      <c r="F158">
        <v>130</v>
      </c>
      <c r="G158">
        <v>3</v>
      </c>
      <c r="H158">
        <v>1.49925037481259E-3</v>
      </c>
      <c r="I158">
        <v>2.3076923076923099E-2</v>
      </c>
      <c r="J158" s="14" t="str">
        <f>_xlfn.XLOOKUP(B158,CAD_PDV!A:A,CAD_PDV!B:B)</f>
        <v>FW TELEFONIA LTDA - EPP</v>
      </c>
      <c r="K158" s="14">
        <f>IF(IFERROR(_xlfn.XLOOKUP(B158,Planilha2!D:D,Planilha2!H:H),0)="SIM",1,0)</f>
        <v>0</v>
      </c>
      <c r="L158" s="14" t="str">
        <f>_xlfn.XLOOKUP(B158,CAD_PDV!A:A,CAD_PDV!C:C)</f>
        <v>SP1</v>
      </c>
      <c r="M158" s="14" t="str">
        <f>IFERROR(_xlfn.XLOOKUP(B158,repete!A:A,repete!A:A),"-")</f>
        <v>6J3J</v>
      </c>
    </row>
    <row r="159" spans="1:13" hidden="1">
      <c r="A159" s="1">
        <v>46023</v>
      </c>
      <c r="B159" t="s">
        <v>1531</v>
      </c>
      <c r="C159" t="s">
        <v>1441</v>
      </c>
      <c r="D159" t="s">
        <v>132</v>
      </c>
      <c r="E159" t="s">
        <v>54</v>
      </c>
      <c r="F159">
        <v>70</v>
      </c>
      <c r="G159">
        <v>3</v>
      </c>
      <c r="H159">
        <v>1.49925037481259E-3</v>
      </c>
      <c r="I159">
        <v>4.2857142857142899E-2</v>
      </c>
      <c r="J159" s="14" t="str">
        <f>_xlfn.XLOOKUP(B159,CAD_PDV!A:A,CAD_PDV!B:B)</f>
        <v>FLEX CELL</v>
      </c>
      <c r="K159" s="14">
        <f>IF(IFERROR(_xlfn.XLOOKUP(B159,Planilha2!D:D,Planilha2!H:H),0)="SIM",1,0)</f>
        <v>0</v>
      </c>
      <c r="L159" s="14" t="str">
        <f>_xlfn.XLOOKUP(B159,CAD_PDV!A:A,CAD_PDV!C:C)</f>
        <v>SP2</v>
      </c>
      <c r="M159" s="14" t="str">
        <f>IFERROR(_xlfn.XLOOKUP(B159,repete!A:A,repete!A:A),"-")</f>
        <v>-</v>
      </c>
    </row>
    <row r="160" spans="1:13" hidden="1">
      <c r="A160" s="1">
        <v>46023</v>
      </c>
      <c r="B160" t="s">
        <v>854</v>
      </c>
      <c r="C160" t="s">
        <v>855</v>
      </c>
      <c r="D160" t="s">
        <v>2073</v>
      </c>
      <c r="E160" t="s">
        <v>59</v>
      </c>
      <c r="F160">
        <v>12</v>
      </c>
      <c r="G160">
        <v>3</v>
      </c>
      <c r="H160">
        <v>1.49925037481259E-3</v>
      </c>
      <c r="I160">
        <v>0.25</v>
      </c>
      <c r="J160" s="14" t="str">
        <f>_xlfn.XLOOKUP(B160,CAD_PDV!A:A,CAD_PDV!B:B)</f>
        <v xml:space="preserve">CONTACOM COMERCIO DE APARELHOS ELETRONICOS LTDA </v>
      </c>
      <c r="K160" s="14">
        <f>IF(IFERROR(_xlfn.XLOOKUP(B160,Planilha2!D:D,Planilha2!H:H),0)="SIM",1,0)</f>
        <v>0</v>
      </c>
      <c r="L160" s="14" t="str">
        <f>_xlfn.XLOOKUP(B160,CAD_PDV!A:A,CAD_PDV!C:C)</f>
        <v>CO</v>
      </c>
      <c r="M160" s="14" t="str">
        <f>IFERROR(_xlfn.XLOOKUP(B160,repete!A:A,repete!A:A),"-")</f>
        <v>-</v>
      </c>
    </row>
    <row r="161" spans="1:13" hidden="1">
      <c r="A161" s="1">
        <v>46023</v>
      </c>
      <c r="B161" t="s">
        <v>827</v>
      </c>
      <c r="C161" t="s">
        <v>820</v>
      </c>
      <c r="D161" t="s">
        <v>239</v>
      </c>
      <c r="E161" t="s">
        <v>59</v>
      </c>
      <c r="F161">
        <v>71</v>
      </c>
      <c r="G161">
        <v>3</v>
      </c>
      <c r="H161">
        <v>1.49925037481259E-3</v>
      </c>
      <c r="I161">
        <v>4.2253521126760597E-2</v>
      </c>
      <c r="J161" s="14" t="str">
        <f>_xlfn.XLOOKUP(B161,CAD_PDV!A:A,CAD_PDV!B:B)</f>
        <v>TELECELL TELEFONIA LTDA - ME</v>
      </c>
      <c r="K161" s="14">
        <f>IF(IFERROR(_xlfn.XLOOKUP(B161,Planilha2!D:D,Planilha2!H:H),0)="SIM",1,0)</f>
        <v>0</v>
      </c>
      <c r="L161" s="14" t="str">
        <f>_xlfn.XLOOKUP(B161,CAD_PDV!A:A,CAD_PDV!C:C)</f>
        <v>CO</v>
      </c>
      <c r="M161" s="14" t="str">
        <f>IFERROR(_xlfn.XLOOKUP(B161,repete!A:A,repete!A:A),"-")</f>
        <v>-</v>
      </c>
    </row>
    <row r="162" spans="1:13" hidden="1">
      <c r="A162" s="1">
        <v>46023</v>
      </c>
      <c r="B162" t="s">
        <v>881</v>
      </c>
      <c r="C162" t="s">
        <v>873</v>
      </c>
      <c r="D162" t="s">
        <v>239</v>
      </c>
      <c r="E162" t="s">
        <v>59</v>
      </c>
      <c r="F162">
        <v>110</v>
      </c>
      <c r="G162">
        <v>3</v>
      </c>
      <c r="H162">
        <v>1.49925037481259E-3</v>
      </c>
      <c r="I162">
        <v>2.7272727272727299E-2</v>
      </c>
      <c r="J162" s="14" t="str">
        <f>_xlfn.XLOOKUP(B162,CAD_PDV!A:A,CAD_PDV!B:B)</f>
        <v>TELECELL TELEFONIA LTDA - ME</v>
      </c>
      <c r="K162" s="14">
        <f>IF(IFERROR(_xlfn.XLOOKUP(B162,Planilha2!D:D,Planilha2!H:H),0)="SIM",1,0)</f>
        <v>0</v>
      </c>
      <c r="L162" s="14" t="str">
        <f>_xlfn.XLOOKUP(B162,CAD_PDV!A:A,CAD_PDV!C:C)</f>
        <v>CO</v>
      </c>
      <c r="M162" s="14" t="str">
        <f>IFERROR(_xlfn.XLOOKUP(B162,repete!A:A,repete!A:A),"-")</f>
        <v>-</v>
      </c>
    </row>
    <row r="163" spans="1:13" hidden="1">
      <c r="A163" s="1">
        <v>46023</v>
      </c>
      <c r="B163" t="s">
        <v>1376</v>
      </c>
      <c r="C163" t="s">
        <v>1346</v>
      </c>
      <c r="D163" t="s">
        <v>229</v>
      </c>
      <c r="E163" t="s">
        <v>53</v>
      </c>
      <c r="F163">
        <v>102</v>
      </c>
      <c r="G163">
        <v>3</v>
      </c>
      <c r="H163">
        <v>1.49925037481259E-3</v>
      </c>
      <c r="I163">
        <v>2.9411764705882401E-2</v>
      </c>
      <c r="J163" s="14" t="str">
        <f>_xlfn.XLOOKUP(B163,CAD_PDV!A:A,CAD_PDV!B:B)</f>
        <v>FW TELEFONIA LTDA - EPP</v>
      </c>
      <c r="K163" s="14">
        <f>IF(IFERROR(_xlfn.XLOOKUP(B163,Planilha2!D:D,Planilha2!H:H),0)="SIM",1,0)</f>
        <v>0</v>
      </c>
      <c r="L163" s="14" t="str">
        <f>_xlfn.XLOOKUP(B163,CAD_PDV!A:A,CAD_PDV!C:C)</f>
        <v>SP1</v>
      </c>
      <c r="M163" s="14" t="str">
        <f>IFERROR(_xlfn.XLOOKUP(B163,repete!A:A,repete!A:A),"-")</f>
        <v>-</v>
      </c>
    </row>
    <row r="164" spans="1:13" hidden="1">
      <c r="A164" s="1">
        <v>46023</v>
      </c>
      <c r="B164" t="s">
        <v>1332</v>
      </c>
      <c r="C164" t="s">
        <v>1313</v>
      </c>
      <c r="D164" t="s">
        <v>225</v>
      </c>
      <c r="E164" t="s">
        <v>53</v>
      </c>
      <c r="F164">
        <v>69</v>
      </c>
      <c r="G164">
        <v>3</v>
      </c>
      <c r="H164">
        <v>1.49925037481259E-3</v>
      </c>
      <c r="I164">
        <v>4.3478260869565202E-2</v>
      </c>
      <c r="J164" s="14" t="str">
        <f>_xlfn.XLOOKUP(B164,CAD_PDV!A:A,CAD_PDV!B:B)</f>
        <v>CLARICELL SP1</v>
      </c>
      <c r="K164" s="14">
        <f>IF(IFERROR(_xlfn.XLOOKUP(B164,Planilha2!D:D,Planilha2!H:H),0)="SIM",1,0)</f>
        <v>0</v>
      </c>
      <c r="L164" s="14" t="str">
        <f>_xlfn.XLOOKUP(B164,CAD_PDV!A:A,CAD_PDV!C:C)</f>
        <v>SP1</v>
      </c>
      <c r="M164" s="14" t="str">
        <f>IFERROR(_xlfn.XLOOKUP(B164,repete!A:A,repete!A:A),"-")</f>
        <v>-</v>
      </c>
    </row>
    <row r="165" spans="1:13" hidden="1">
      <c r="A165" s="1">
        <v>46023</v>
      </c>
      <c r="B165" t="s">
        <v>672</v>
      </c>
      <c r="C165" t="s">
        <v>673</v>
      </c>
      <c r="D165" t="s">
        <v>239</v>
      </c>
      <c r="E165" t="s">
        <v>59</v>
      </c>
      <c r="F165">
        <v>51</v>
      </c>
      <c r="G165">
        <v>3</v>
      </c>
      <c r="H165">
        <v>1.49925037481259E-3</v>
      </c>
      <c r="I165">
        <v>5.8823529411764698E-2</v>
      </c>
      <c r="J165" s="14" t="str">
        <f>_xlfn.XLOOKUP(B165,CAD_PDV!A:A,CAD_PDV!B:B)</f>
        <v>TELECELL TELEFONIA LTDA - ME</v>
      </c>
      <c r="K165" s="14">
        <f>IF(IFERROR(_xlfn.XLOOKUP(B165,Planilha2!D:D,Planilha2!H:H),0)="SIM",1,0)</f>
        <v>0</v>
      </c>
      <c r="L165" s="14" t="str">
        <f>_xlfn.XLOOKUP(B165,CAD_PDV!A:A,CAD_PDV!C:C)</f>
        <v>CO</v>
      </c>
      <c r="M165" s="14" t="str">
        <f>IFERROR(_xlfn.XLOOKUP(B165,repete!A:A,repete!A:A),"-")</f>
        <v>-</v>
      </c>
    </row>
    <row r="166" spans="1:13" hidden="1">
      <c r="A166" s="1">
        <v>46023</v>
      </c>
      <c r="B166" t="s">
        <v>656</v>
      </c>
      <c r="C166" t="s">
        <v>649</v>
      </c>
      <c r="D166" t="s">
        <v>239</v>
      </c>
      <c r="E166" t="s">
        <v>59</v>
      </c>
      <c r="F166">
        <v>75</v>
      </c>
      <c r="G166">
        <v>3</v>
      </c>
      <c r="H166">
        <v>1.49925037481259E-3</v>
      </c>
      <c r="I166">
        <v>0.04</v>
      </c>
      <c r="J166" s="14" t="str">
        <f>_xlfn.XLOOKUP(B166,CAD_PDV!A:A,CAD_PDV!B:B)</f>
        <v>TELECELL TELEFONIA LTDA - ME</v>
      </c>
      <c r="K166" s="14">
        <f>IF(IFERROR(_xlfn.XLOOKUP(B166,Planilha2!D:D,Planilha2!H:H),0)="SIM",1,0)</f>
        <v>0</v>
      </c>
      <c r="L166" s="14" t="str">
        <f>_xlfn.XLOOKUP(B166,CAD_PDV!A:A,CAD_PDV!C:C)</f>
        <v>CO</v>
      </c>
      <c r="M166" s="14" t="str">
        <f>IFERROR(_xlfn.XLOOKUP(B166,repete!A:A,repete!A:A),"-")</f>
        <v>-</v>
      </c>
    </row>
    <row r="167" spans="1:13" hidden="1">
      <c r="A167" s="1">
        <v>46023</v>
      </c>
      <c r="B167" t="s">
        <v>2025</v>
      </c>
      <c r="C167" t="s">
        <v>2026</v>
      </c>
      <c r="D167" t="s">
        <v>193</v>
      </c>
      <c r="E167" t="s">
        <v>2074</v>
      </c>
      <c r="F167">
        <v>31</v>
      </c>
      <c r="G167">
        <v>3</v>
      </c>
      <c r="H167">
        <v>1.49925037481259E-3</v>
      </c>
      <c r="I167">
        <v>9.6774193548387094E-2</v>
      </c>
      <c r="J167" s="14" t="str">
        <f>_xlfn.XLOOKUP(B167,CAD_PDV!A:A,CAD_PDV!B:B)</f>
        <v>S D COMERCIO DE CELULARES LTDA - ME</v>
      </c>
      <c r="K167" s="14">
        <f>IF(IFERROR(_xlfn.XLOOKUP(B167,Planilha2!D:D,Planilha2!H:H),0)="SIM",1,0)</f>
        <v>0</v>
      </c>
      <c r="L167" s="14" t="str">
        <f>_xlfn.XLOOKUP(B167,CAD_PDV!A:A,CAD_PDV!C:C)</f>
        <v>RS</v>
      </c>
      <c r="M167" s="14" t="str">
        <f>IFERROR(_xlfn.XLOOKUP(B167,repete!A:A,repete!A:A),"-")</f>
        <v>-</v>
      </c>
    </row>
    <row r="168" spans="1:13" hidden="1">
      <c r="A168" s="1">
        <v>46023</v>
      </c>
      <c r="B168" t="s">
        <v>1012</v>
      </c>
      <c r="C168" t="s">
        <v>1005</v>
      </c>
      <c r="D168" t="s">
        <v>232</v>
      </c>
      <c r="E168" t="s">
        <v>60</v>
      </c>
      <c r="F168">
        <v>64</v>
      </c>
      <c r="G168">
        <v>3</v>
      </c>
      <c r="H168">
        <v>1.49925037481259E-3</v>
      </c>
      <c r="I168">
        <v>4.6875E-2</v>
      </c>
      <c r="J168" s="14" t="str">
        <f>_xlfn.XLOOKUP(B168,CAD_PDV!A:A,CAD_PDV!B:B)</f>
        <v>HS TELECOM</v>
      </c>
      <c r="K168" s="14">
        <f>IF(IFERROR(_xlfn.XLOOKUP(B168,Planilha2!D:D,Planilha2!H:H),0)="SIM",1,0)</f>
        <v>0</v>
      </c>
      <c r="L168" s="14" t="str">
        <f>_xlfn.XLOOKUP(B168,CAD_PDV!A:A,CAD_PDV!C:C)</f>
        <v>BA/SE</v>
      </c>
      <c r="M168" s="14" t="str">
        <f>IFERROR(_xlfn.XLOOKUP(B168,repete!A:A,repete!A:A),"-")</f>
        <v>FMBI</v>
      </c>
    </row>
    <row r="169" spans="1:13" hidden="1">
      <c r="A169" s="1">
        <v>46023</v>
      </c>
      <c r="B169" t="s">
        <v>1334</v>
      </c>
      <c r="C169" t="s">
        <v>1313</v>
      </c>
      <c r="D169" t="s">
        <v>225</v>
      </c>
      <c r="E169" t="s">
        <v>53</v>
      </c>
      <c r="F169">
        <v>64</v>
      </c>
      <c r="G169">
        <v>3</v>
      </c>
      <c r="H169">
        <v>1.49925037481259E-3</v>
      </c>
      <c r="I169">
        <v>4.6875E-2</v>
      </c>
      <c r="J169" s="14" t="str">
        <f>_xlfn.XLOOKUP(B169,CAD_PDV!A:A,CAD_PDV!B:B)</f>
        <v>CLARICELL SP1</v>
      </c>
      <c r="K169" s="14">
        <f>IF(IFERROR(_xlfn.XLOOKUP(B169,Planilha2!D:D,Planilha2!H:H),0)="SIM",1,0)</f>
        <v>0</v>
      </c>
      <c r="L169" s="14" t="str">
        <f>_xlfn.XLOOKUP(B169,CAD_PDV!A:A,CAD_PDV!C:C)</f>
        <v>SP1</v>
      </c>
      <c r="M169" s="14" t="str">
        <f>IFERROR(_xlfn.XLOOKUP(B169,repete!A:A,repete!A:A),"-")</f>
        <v>-</v>
      </c>
    </row>
    <row r="170" spans="1:13" hidden="1">
      <c r="A170" s="1">
        <v>46023</v>
      </c>
      <c r="B170" t="s">
        <v>1164</v>
      </c>
      <c r="C170" t="s">
        <v>1142</v>
      </c>
      <c r="D170" t="s">
        <v>237</v>
      </c>
      <c r="E170" t="s">
        <v>55</v>
      </c>
      <c r="F170">
        <v>167</v>
      </c>
      <c r="G170">
        <v>3</v>
      </c>
      <c r="H170">
        <v>1.49925037481259E-3</v>
      </c>
      <c r="I170">
        <v>1.79640718562874E-2</v>
      </c>
      <c r="J170" s="14" t="str">
        <f>_xlfn.XLOOKUP(B170,CAD_PDV!A:A,CAD_PDV!B:B)</f>
        <v>PONTO CERTO COMERCIO E COMUNICAÇÕES LTDA</v>
      </c>
      <c r="K170" s="14">
        <f>IF(IFERROR(_xlfn.XLOOKUP(B170,Planilha2!D:D,Planilha2!H:H),0)="SIM",1,0)</f>
        <v>0</v>
      </c>
      <c r="L170" s="14" t="str">
        <f>_xlfn.XLOOKUP(B170,CAD_PDV!A:A,CAD_PDV!C:C)</f>
        <v>RJ/ES</v>
      </c>
      <c r="M170" s="14" t="str">
        <f>IFERROR(_xlfn.XLOOKUP(B170,repete!A:A,repete!A:A),"-")</f>
        <v>-</v>
      </c>
    </row>
    <row r="171" spans="1:13" hidden="1">
      <c r="A171" s="1">
        <v>46023</v>
      </c>
      <c r="B171" t="s">
        <v>277</v>
      </c>
      <c r="C171" t="s">
        <v>261</v>
      </c>
      <c r="D171" t="s">
        <v>238</v>
      </c>
      <c r="E171" t="s">
        <v>61</v>
      </c>
      <c r="F171">
        <v>135</v>
      </c>
      <c r="G171">
        <v>3</v>
      </c>
      <c r="H171">
        <v>1.49925037481259E-3</v>
      </c>
      <c r="I171">
        <v>2.2222222222222199E-2</v>
      </c>
      <c r="J171" s="14" t="str">
        <f>_xlfn.XLOOKUP(B171,CAD_PDV!A:A,CAD_PDV!B:B)</f>
        <v>R &amp; R HIPER COMERCIO LTDA</v>
      </c>
      <c r="K171" s="14">
        <f>IF(IFERROR(_xlfn.XLOOKUP(B171,Planilha2!D:D,Planilha2!H:H),0)="SIM",1,0)</f>
        <v>0</v>
      </c>
      <c r="L171" s="14" t="str">
        <f>_xlfn.XLOOKUP(B171,CAD_PDV!A:A,CAD_PDV!C:C)</f>
        <v>NE</v>
      </c>
      <c r="M171" s="14" t="str">
        <f>IFERROR(_xlfn.XLOOKUP(B171,repete!A:A,repete!A:A),"-")</f>
        <v>-</v>
      </c>
    </row>
    <row r="172" spans="1:13" hidden="1">
      <c r="A172" s="1">
        <v>46023</v>
      </c>
      <c r="B172" t="s">
        <v>1282</v>
      </c>
      <c r="C172" t="s">
        <v>1283</v>
      </c>
      <c r="D172" t="s">
        <v>228</v>
      </c>
      <c r="E172" t="s">
        <v>55</v>
      </c>
      <c r="F172">
        <v>66</v>
      </c>
      <c r="G172">
        <v>3</v>
      </c>
      <c r="H172">
        <v>1.49925037481259E-3</v>
      </c>
      <c r="I172">
        <v>4.5454545454545497E-2</v>
      </c>
      <c r="J172" s="14" t="str">
        <f>_xlfn.XLOOKUP(B172,CAD_PDV!A:A,CAD_PDV!B:B)</f>
        <v>FAJULUTI</v>
      </c>
      <c r="K172" s="14">
        <f>IF(IFERROR(_xlfn.XLOOKUP(B172,Planilha2!D:D,Planilha2!H:H),0)="SIM",1,0)</f>
        <v>0</v>
      </c>
      <c r="L172" s="14" t="str">
        <f>_xlfn.XLOOKUP(B172,CAD_PDV!A:A,CAD_PDV!C:C)</f>
        <v>RJ/ES</v>
      </c>
      <c r="M172" s="14" t="str">
        <f>IFERROR(_xlfn.XLOOKUP(B172,repete!A:A,repete!A:A),"-")</f>
        <v>-</v>
      </c>
    </row>
    <row r="173" spans="1:13" hidden="1">
      <c r="A173" s="1">
        <v>46023</v>
      </c>
      <c r="B173" t="s">
        <v>369</v>
      </c>
      <c r="C173" t="s">
        <v>370</v>
      </c>
      <c r="D173" t="s">
        <v>230</v>
      </c>
      <c r="E173" t="s">
        <v>61</v>
      </c>
      <c r="F173">
        <v>57</v>
      </c>
      <c r="G173">
        <v>3</v>
      </c>
      <c r="H173">
        <v>1.49925037481259E-3</v>
      </c>
      <c r="I173">
        <v>5.2631578947368397E-2</v>
      </c>
      <c r="J173" s="14" t="str">
        <f>_xlfn.XLOOKUP(B173,CAD_PDV!A:A,CAD_PDV!B:B)</f>
        <v>HARCOS COMERCIO E SERVICOS LTDA - EPP</v>
      </c>
      <c r="K173" s="14">
        <f>IF(IFERROR(_xlfn.XLOOKUP(B173,Planilha2!D:D,Planilha2!H:H),0)="SIM",1,0)</f>
        <v>0</v>
      </c>
      <c r="L173" s="14" t="str">
        <f>_xlfn.XLOOKUP(B173,CAD_PDV!A:A,CAD_PDV!C:C)</f>
        <v>NE</v>
      </c>
      <c r="M173" s="14" t="str">
        <f>IFERROR(_xlfn.XLOOKUP(B173,repete!A:A,repete!A:A),"-")</f>
        <v>-</v>
      </c>
    </row>
    <row r="174" spans="1:13" hidden="1">
      <c r="A174" s="1">
        <v>46023</v>
      </c>
      <c r="B174" t="s">
        <v>781</v>
      </c>
      <c r="C174" t="s">
        <v>637</v>
      </c>
      <c r="D174" t="s">
        <v>221</v>
      </c>
      <c r="E174" t="s">
        <v>59</v>
      </c>
      <c r="F174">
        <v>59</v>
      </c>
      <c r="G174">
        <v>3</v>
      </c>
      <c r="H174">
        <v>1.49925037481259E-3</v>
      </c>
      <c r="I174">
        <v>5.0847457627118599E-2</v>
      </c>
      <c r="J174" s="14" t="str">
        <f>_xlfn.XLOOKUP(B174,CAD_PDV!A:A,CAD_PDV!B:B)</f>
        <v>AMERICOM COMERCIO DE APARELHOS ELETRONICOS LTDA - EPP</v>
      </c>
      <c r="K174" s="14">
        <f>IF(IFERROR(_xlfn.XLOOKUP(B174,Planilha2!D:D,Planilha2!H:H),0)="SIM",1,0)</f>
        <v>0</v>
      </c>
      <c r="L174" s="14" t="str">
        <f>_xlfn.XLOOKUP(B174,CAD_PDV!A:A,CAD_PDV!C:C)</f>
        <v>CO</v>
      </c>
      <c r="M174" s="14" t="str">
        <f>IFERROR(_xlfn.XLOOKUP(B174,repete!A:A,repete!A:A),"-")</f>
        <v>-</v>
      </c>
    </row>
    <row r="175" spans="1:13" hidden="1">
      <c r="A175" s="1">
        <v>46023</v>
      </c>
      <c r="B175" t="s">
        <v>1646</v>
      </c>
      <c r="C175" t="s">
        <v>1535</v>
      </c>
      <c r="D175" t="s">
        <v>232</v>
      </c>
      <c r="E175" t="s">
        <v>54</v>
      </c>
      <c r="F175">
        <v>80</v>
      </c>
      <c r="G175">
        <v>3</v>
      </c>
      <c r="H175">
        <v>1.49925037481259E-3</v>
      </c>
      <c r="I175">
        <v>3.7499999999999999E-2</v>
      </c>
      <c r="J175" s="14" t="str">
        <f>_xlfn.XLOOKUP(B175,CAD_PDV!A:A,CAD_PDV!B:B)</f>
        <v>HS TELECOM</v>
      </c>
      <c r="K175" s="14">
        <f>IF(IFERROR(_xlfn.XLOOKUP(B175,Planilha2!D:D,Planilha2!H:H),0)="SIM",1,0)</f>
        <v>0</v>
      </c>
      <c r="L175" s="14" t="str">
        <f>_xlfn.XLOOKUP(B175,CAD_PDV!A:A,CAD_PDV!C:C)</f>
        <v>SP2</v>
      </c>
      <c r="M175" s="14" t="str">
        <f>IFERROR(_xlfn.XLOOKUP(B175,repete!A:A,repete!A:A),"-")</f>
        <v>-</v>
      </c>
    </row>
    <row r="176" spans="1:13" hidden="1">
      <c r="A176" s="1">
        <v>46023</v>
      </c>
      <c r="B176" t="s">
        <v>568</v>
      </c>
      <c r="C176" t="s">
        <v>441</v>
      </c>
      <c r="D176" t="s">
        <v>228</v>
      </c>
      <c r="E176" t="s">
        <v>56</v>
      </c>
      <c r="F176">
        <v>57</v>
      </c>
      <c r="G176">
        <v>3</v>
      </c>
      <c r="H176">
        <v>1.49925037481259E-3</v>
      </c>
      <c r="I176">
        <v>5.2631578947368397E-2</v>
      </c>
      <c r="J176" s="14" t="str">
        <f>_xlfn.XLOOKUP(B176,CAD_PDV!A:A,CAD_PDV!B:B)</f>
        <v>FAJULUTI</v>
      </c>
      <c r="K176" s="14">
        <f>IF(IFERROR(_xlfn.XLOOKUP(B176,Planilha2!D:D,Planilha2!H:H),0)="SIM",1,0)</f>
        <v>0</v>
      </c>
      <c r="L176" s="14" t="str">
        <f>_xlfn.XLOOKUP(B176,CAD_PDV!A:A,CAD_PDV!C:C)</f>
        <v>MG</v>
      </c>
      <c r="M176" s="14" t="str">
        <f>IFERROR(_xlfn.XLOOKUP(B176,repete!A:A,repete!A:A),"-")</f>
        <v>-</v>
      </c>
    </row>
    <row r="177" spans="1:13" hidden="1">
      <c r="A177" s="1">
        <v>46023</v>
      </c>
      <c r="B177" t="s">
        <v>1665</v>
      </c>
      <c r="C177" t="s">
        <v>1666</v>
      </c>
      <c r="D177" t="s">
        <v>232</v>
      </c>
      <c r="E177" t="s">
        <v>54</v>
      </c>
      <c r="F177">
        <v>82</v>
      </c>
      <c r="G177">
        <v>3</v>
      </c>
      <c r="H177">
        <v>1.49925037481259E-3</v>
      </c>
      <c r="I177">
        <v>3.65853658536585E-2</v>
      </c>
      <c r="J177" s="14" t="str">
        <f>_xlfn.XLOOKUP(B177,CAD_PDV!A:A,CAD_PDV!B:B)</f>
        <v>HS TELECOM</v>
      </c>
      <c r="K177" s="14">
        <f>IF(IFERROR(_xlfn.XLOOKUP(B177,Planilha2!D:D,Planilha2!H:H),0)="SIM",1,0)</f>
        <v>0</v>
      </c>
      <c r="L177" s="14" t="str">
        <f>_xlfn.XLOOKUP(B177,CAD_PDV!A:A,CAD_PDV!C:C)</f>
        <v>SP2</v>
      </c>
      <c r="M177" s="14" t="str">
        <f>IFERROR(_xlfn.XLOOKUP(B177,repete!A:A,repete!A:A),"-")</f>
        <v>-</v>
      </c>
    </row>
    <row r="178" spans="1:13" hidden="1">
      <c r="A178" s="1">
        <v>46023</v>
      </c>
      <c r="B178" t="s">
        <v>1683</v>
      </c>
      <c r="C178" t="s">
        <v>1684</v>
      </c>
      <c r="D178" t="s">
        <v>232</v>
      </c>
      <c r="E178" t="s">
        <v>54</v>
      </c>
      <c r="F178">
        <v>62</v>
      </c>
      <c r="G178">
        <v>3</v>
      </c>
      <c r="H178">
        <v>1.49925037481259E-3</v>
      </c>
      <c r="I178">
        <v>4.8387096774193498E-2</v>
      </c>
      <c r="J178" s="14" t="str">
        <f>_xlfn.XLOOKUP(B178,CAD_PDV!A:A,CAD_PDV!B:B)</f>
        <v>HS TELECOM</v>
      </c>
      <c r="K178" s="14">
        <f>IF(IFERROR(_xlfn.XLOOKUP(B178,Planilha2!D:D,Planilha2!H:H),0)="SIM",1,0)</f>
        <v>0</v>
      </c>
      <c r="L178" s="14" t="str">
        <f>_xlfn.XLOOKUP(B178,CAD_PDV!A:A,CAD_PDV!C:C)</f>
        <v>SP2</v>
      </c>
      <c r="M178" s="14" t="str">
        <f>IFERROR(_xlfn.XLOOKUP(B178,repete!A:A,repete!A:A),"-")</f>
        <v>-</v>
      </c>
    </row>
    <row r="179" spans="1:13" hidden="1">
      <c r="A179" s="1">
        <v>46023</v>
      </c>
      <c r="B179" t="s">
        <v>1172</v>
      </c>
      <c r="C179" t="s">
        <v>1142</v>
      </c>
      <c r="D179" t="s">
        <v>2072</v>
      </c>
      <c r="E179" t="s">
        <v>55</v>
      </c>
      <c r="F179">
        <v>48</v>
      </c>
      <c r="G179">
        <v>3</v>
      </c>
      <c r="H179">
        <v>1.49925037481259E-3</v>
      </c>
      <c r="I179">
        <v>6.25E-2</v>
      </c>
      <c r="J179" s="14" t="str">
        <f>_xlfn.XLOOKUP(B179,CAD_PDV!A:A,CAD_PDV!B:B)</f>
        <v>MEXCELL COMERCIO E SERVICOS DE TELECOMUNICACOES LTDA</v>
      </c>
      <c r="K179" s="14">
        <f>IF(IFERROR(_xlfn.XLOOKUP(B179,Planilha2!D:D,Planilha2!H:H),0)="SIM",1,0)</f>
        <v>0</v>
      </c>
      <c r="L179" s="14" t="str">
        <f>_xlfn.XLOOKUP(B179,CAD_PDV!A:A,CAD_PDV!C:C)</f>
        <v>RJ/ES</v>
      </c>
      <c r="M179" s="14" t="str">
        <f>IFERROR(_xlfn.XLOOKUP(B179,repete!A:A,repete!A:A),"-")</f>
        <v>-</v>
      </c>
    </row>
    <row r="180" spans="1:13" hidden="1">
      <c r="A180" s="1">
        <v>46023</v>
      </c>
      <c r="B180" t="s">
        <v>852</v>
      </c>
      <c r="C180" t="s">
        <v>732</v>
      </c>
      <c r="D180" t="s">
        <v>221</v>
      </c>
      <c r="E180" t="s">
        <v>59</v>
      </c>
      <c r="F180">
        <v>48</v>
      </c>
      <c r="G180">
        <v>3</v>
      </c>
      <c r="H180">
        <v>1.49925037481259E-3</v>
      </c>
      <c r="I180">
        <v>6.25E-2</v>
      </c>
      <c r="J180" s="14" t="str">
        <f>_xlfn.XLOOKUP(B180,CAD_PDV!A:A,CAD_PDV!B:B)</f>
        <v>AMERICOM COMERCIO DE APARELHOS ELETRONICOS LTDA - EPP</v>
      </c>
      <c r="K180" s="14">
        <f>IF(IFERROR(_xlfn.XLOOKUP(B180,Planilha2!D:D,Planilha2!H:H),0)="SIM",1,0)</f>
        <v>0</v>
      </c>
      <c r="L180" s="14" t="str">
        <f>_xlfn.XLOOKUP(B180,CAD_PDV!A:A,CAD_PDV!C:C)</f>
        <v>CO</v>
      </c>
      <c r="M180" s="14" t="str">
        <f>IFERROR(_xlfn.XLOOKUP(B180,repete!A:A,repete!A:A),"-")</f>
        <v>-</v>
      </c>
    </row>
    <row r="181" spans="1:13" hidden="1">
      <c r="A181" s="1">
        <v>46023</v>
      </c>
      <c r="B181" t="s">
        <v>1877</v>
      </c>
      <c r="C181" t="s">
        <v>1876</v>
      </c>
      <c r="D181" t="s">
        <v>124</v>
      </c>
      <c r="E181" t="s">
        <v>2074</v>
      </c>
      <c r="F181">
        <v>44</v>
      </c>
      <c r="G181">
        <v>3</v>
      </c>
      <c r="H181">
        <v>1.49925037481259E-3</v>
      </c>
      <c r="I181">
        <v>6.8181818181818205E-2</v>
      </c>
      <c r="J181" s="14" t="str">
        <f>_xlfn.XLOOKUP(B181,CAD_PDV!A:A,CAD_PDV!B:B)</f>
        <v>EDUARDO JUNQUEIRA DA SILVEIRA ADMIN</v>
      </c>
      <c r="K181" s="14">
        <f>IF(IFERROR(_xlfn.XLOOKUP(B181,Planilha2!D:D,Planilha2!H:H),0)="SIM",1,0)</f>
        <v>0</v>
      </c>
      <c r="L181" s="14" t="str">
        <f>_xlfn.XLOOKUP(B181,CAD_PDV!A:A,CAD_PDV!C:C)</f>
        <v>RS</v>
      </c>
      <c r="M181" s="14" t="str">
        <f>IFERROR(_xlfn.XLOOKUP(B181,repete!A:A,repete!A:A),"-")</f>
        <v>-</v>
      </c>
    </row>
    <row r="182" spans="1:13" hidden="1">
      <c r="A182" s="1">
        <v>46023</v>
      </c>
      <c r="B182" t="s">
        <v>1374</v>
      </c>
      <c r="C182" t="s">
        <v>1375</v>
      </c>
      <c r="D182" t="s">
        <v>229</v>
      </c>
      <c r="E182" t="s">
        <v>53</v>
      </c>
      <c r="F182">
        <v>72</v>
      </c>
      <c r="G182">
        <v>3</v>
      </c>
      <c r="H182">
        <v>1.49925037481259E-3</v>
      </c>
      <c r="I182">
        <v>4.1666666666666699E-2</v>
      </c>
      <c r="J182" s="14" t="str">
        <f>_xlfn.XLOOKUP(B182,CAD_PDV!A:A,CAD_PDV!B:B)</f>
        <v>FW TELEFONIA LTDA - EPP</v>
      </c>
      <c r="K182" s="14">
        <f>IF(IFERROR(_xlfn.XLOOKUP(B182,Planilha2!D:D,Planilha2!H:H),0)="SIM",1,0)</f>
        <v>0</v>
      </c>
      <c r="L182" s="14" t="str">
        <f>_xlfn.XLOOKUP(B182,CAD_PDV!A:A,CAD_PDV!C:C)</f>
        <v>SP1</v>
      </c>
      <c r="M182" s="14" t="str">
        <f>IFERROR(_xlfn.XLOOKUP(B182,repete!A:A,repete!A:A),"-")</f>
        <v>-</v>
      </c>
    </row>
    <row r="183" spans="1:13" hidden="1">
      <c r="A183" s="1">
        <v>46023</v>
      </c>
      <c r="B183" t="s">
        <v>1281</v>
      </c>
      <c r="C183" t="s">
        <v>1185</v>
      </c>
      <c r="D183" t="s">
        <v>228</v>
      </c>
      <c r="E183" t="s">
        <v>55</v>
      </c>
      <c r="F183">
        <v>66</v>
      </c>
      <c r="G183">
        <v>3</v>
      </c>
      <c r="H183">
        <v>1.49925037481259E-3</v>
      </c>
      <c r="I183">
        <v>4.5454545454545497E-2</v>
      </c>
      <c r="J183" s="14" t="str">
        <f>_xlfn.XLOOKUP(B183,CAD_PDV!A:A,CAD_PDV!B:B)</f>
        <v>FAJULUTI</v>
      </c>
      <c r="K183" s="14">
        <f>IF(IFERROR(_xlfn.XLOOKUP(B183,Planilha2!D:D,Planilha2!H:H),0)="SIM",1,0)</f>
        <v>0</v>
      </c>
      <c r="L183" s="14" t="str">
        <f>_xlfn.XLOOKUP(B183,CAD_PDV!A:A,CAD_PDV!C:C)</f>
        <v>RJ/ES</v>
      </c>
      <c r="M183" s="14" t="str">
        <f>IFERROR(_xlfn.XLOOKUP(B183,repete!A:A,repete!A:A),"-")</f>
        <v>-</v>
      </c>
    </row>
    <row r="184" spans="1:13" hidden="1">
      <c r="A184" s="1">
        <v>46023</v>
      </c>
      <c r="B184" t="s">
        <v>1838</v>
      </c>
      <c r="C184" t="s">
        <v>1839</v>
      </c>
      <c r="D184" t="s">
        <v>124</v>
      </c>
      <c r="E184" t="s">
        <v>2074</v>
      </c>
      <c r="F184">
        <v>53</v>
      </c>
      <c r="G184">
        <v>3</v>
      </c>
      <c r="H184">
        <v>1.49925037481259E-3</v>
      </c>
      <c r="I184">
        <v>5.6603773584905703E-2</v>
      </c>
      <c r="J184" s="14" t="str">
        <f>_xlfn.XLOOKUP(B184,CAD_PDV!A:A,CAD_PDV!B:B)</f>
        <v>EDUARDO JUNQUEIRA DA SILVEIRA ADMIN</v>
      </c>
      <c r="K184" s="14">
        <f>IF(IFERROR(_xlfn.XLOOKUP(B184,Planilha2!D:D,Planilha2!H:H),0)="SIM",1,0)</f>
        <v>0</v>
      </c>
      <c r="L184" s="14" t="str">
        <f>_xlfn.XLOOKUP(B184,CAD_PDV!A:A,CAD_PDV!C:C)</f>
        <v>RS</v>
      </c>
      <c r="M184" s="14" t="str">
        <f>IFERROR(_xlfn.XLOOKUP(B184,repete!A:A,repete!A:A),"-")</f>
        <v>-</v>
      </c>
    </row>
    <row r="185" spans="1:13" hidden="1">
      <c r="A185" s="1">
        <v>46023</v>
      </c>
      <c r="B185" t="s">
        <v>577</v>
      </c>
      <c r="C185" t="s">
        <v>578</v>
      </c>
      <c r="D185" t="s">
        <v>228</v>
      </c>
      <c r="E185" t="s">
        <v>56</v>
      </c>
      <c r="F185">
        <v>19</v>
      </c>
      <c r="G185">
        <v>3</v>
      </c>
      <c r="H185">
        <v>1.49925037481259E-3</v>
      </c>
      <c r="I185">
        <v>0.157894736842105</v>
      </c>
      <c r="J185" s="14" t="str">
        <f>_xlfn.XLOOKUP(B185,CAD_PDV!A:A,CAD_PDV!B:B)</f>
        <v>FAJULUTI</v>
      </c>
      <c r="K185" s="14">
        <f>IF(IFERROR(_xlfn.XLOOKUP(B185,Planilha2!D:D,Planilha2!H:H),0)="SIM",1,0)</f>
        <v>0</v>
      </c>
      <c r="L185" s="14" t="str">
        <f>_xlfn.XLOOKUP(B185,CAD_PDV!A:A,CAD_PDV!C:C)</f>
        <v>MG</v>
      </c>
      <c r="M185" s="14" t="str">
        <f>IFERROR(_xlfn.XLOOKUP(B185,repete!A:A,repete!A:A),"-")</f>
        <v>-</v>
      </c>
    </row>
    <row r="186" spans="1:13" hidden="1">
      <c r="A186" s="1">
        <v>46023</v>
      </c>
      <c r="B186" t="s">
        <v>1042</v>
      </c>
      <c r="C186" t="s">
        <v>1017</v>
      </c>
      <c r="D186" t="s">
        <v>232</v>
      </c>
      <c r="E186" t="s">
        <v>60</v>
      </c>
      <c r="F186">
        <v>88</v>
      </c>
      <c r="G186">
        <v>3</v>
      </c>
      <c r="H186">
        <v>1.49925037481259E-3</v>
      </c>
      <c r="I186">
        <v>3.4090909090909102E-2</v>
      </c>
      <c r="J186" s="14" t="str">
        <f>_xlfn.XLOOKUP(B186,CAD_PDV!A:A,CAD_PDV!B:B)</f>
        <v>HS TELECOM</v>
      </c>
      <c r="K186" s="14">
        <f>IF(IFERROR(_xlfn.XLOOKUP(B186,Planilha2!D:D,Planilha2!H:H),0)="SIM",1,0)</f>
        <v>0</v>
      </c>
      <c r="L186" s="14" t="str">
        <f>_xlfn.XLOOKUP(B186,CAD_PDV!A:A,CAD_PDV!C:C)</f>
        <v>BA/SE</v>
      </c>
      <c r="M186" s="14" t="str">
        <f>IFERROR(_xlfn.XLOOKUP(B186,repete!A:A,repete!A:A),"-")</f>
        <v>-</v>
      </c>
    </row>
    <row r="187" spans="1:13" hidden="1">
      <c r="A187" s="1">
        <v>46023</v>
      </c>
      <c r="B187" t="s">
        <v>1945</v>
      </c>
      <c r="C187" t="s">
        <v>1946</v>
      </c>
      <c r="D187" t="s">
        <v>124</v>
      </c>
      <c r="E187" t="s">
        <v>2074</v>
      </c>
      <c r="F187">
        <v>23</v>
      </c>
      <c r="G187">
        <v>2</v>
      </c>
      <c r="H187">
        <v>9.99500249875062E-4</v>
      </c>
      <c r="I187">
        <v>8.6956521739130405E-2</v>
      </c>
      <c r="J187" s="14" t="str">
        <f>_xlfn.XLOOKUP(B187,CAD_PDV!A:A,CAD_PDV!B:B)</f>
        <v>EDUARDO JUNQUEIRA DA SILVEIRA ADMIN</v>
      </c>
      <c r="K187" s="14">
        <f>IF(IFERROR(_xlfn.XLOOKUP(B187,Planilha2!D:D,Planilha2!H:H),0)="SIM",1,0)</f>
        <v>0</v>
      </c>
      <c r="L187" s="14" t="str">
        <f>_xlfn.XLOOKUP(B187,CAD_PDV!A:A,CAD_PDV!C:C)</f>
        <v>RS</v>
      </c>
      <c r="M187" s="14" t="str">
        <f>IFERROR(_xlfn.XLOOKUP(B187,repete!A:A,repete!A:A),"-")</f>
        <v>-</v>
      </c>
    </row>
    <row r="188" spans="1:13" hidden="1">
      <c r="A188" s="1">
        <v>46023</v>
      </c>
      <c r="B188" t="s">
        <v>941</v>
      </c>
      <c r="C188" t="s">
        <v>944</v>
      </c>
      <c r="D188" t="s">
        <v>232</v>
      </c>
      <c r="E188" t="s">
        <v>60</v>
      </c>
      <c r="F188">
        <v>95</v>
      </c>
      <c r="G188">
        <v>2</v>
      </c>
      <c r="H188">
        <v>9.99500249875062E-4</v>
      </c>
      <c r="I188">
        <v>2.1052631578947399E-2</v>
      </c>
      <c r="J188" s="14" t="str">
        <f>_xlfn.XLOOKUP(B188,CAD_PDV!A:A,CAD_PDV!B:B)</f>
        <v>HS TELECOM</v>
      </c>
      <c r="K188" s="14">
        <f>IF(IFERROR(_xlfn.XLOOKUP(B188,Planilha2!D:D,Planilha2!H:H),0)="SIM",1,0)</f>
        <v>0</v>
      </c>
      <c r="L188" s="14" t="str">
        <f>_xlfn.XLOOKUP(B188,CAD_PDV!A:A,CAD_PDV!C:C)</f>
        <v>BA/SE</v>
      </c>
      <c r="M188" s="14" t="str">
        <f>IFERROR(_xlfn.XLOOKUP(B188,repete!A:A,repete!A:A),"-")</f>
        <v>-</v>
      </c>
    </row>
    <row r="189" spans="1:13" hidden="1">
      <c r="A189" s="1">
        <v>46023</v>
      </c>
      <c r="B189" t="s">
        <v>1351</v>
      </c>
      <c r="C189" t="s">
        <v>1313</v>
      </c>
      <c r="D189" t="s">
        <v>132</v>
      </c>
      <c r="E189" t="s">
        <v>53</v>
      </c>
      <c r="F189">
        <v>104</v>
      </c>
      <c r="G189">
        <v>2</v>
      </c>
      <c r="H189">
        <v>9.99500249875062E-4</v>
      </c>
      <c r="I189">
        <v>1.9230769230769201E-2</v>
      </c>
      <c r="J189" s="14" t="str">
        <f>_xlfn.XLOOKUP(B189,CAD_PDV!A:A,CAD_PDV!B:B)</f>
        <v>FLEX CELL</v>
      </c>
      <c r="K189" s="14">
        <f>IF(IFERROR(_xlfn.XLOOKUP(B189,Planilha2!D:D,Planilha2!H:H),0)="SIM",1,0)</f>
        <v>0</v>
      </c>
      <c r="L189" s="14" t="str">
        <f>_xlfn.XLOOKUP(B189,CAD_PDV!A:A,CAD_PDV!C:C)</f>
        <v>SP1</v>
      </c>
      <c r="M189" s="14" t="str">
        <f>IFERROR(_xlfn.XLOOKUP(B189,repete!A:A,repete!A:A),"-")</f>
        <v>-</v>
      </c>
    </row>
    <row r="190" spans="1:13" hidden="1">
      <c r="A190" s="1">
        <v>46023</v>
      </c>
      <c r="B190" t="s">
        <v>1191</v>
      </c>
      <c r="C190" t="s">
        <v>1194</v>
      </c>
      <c r="D190" t="s">
        <v>2072</v>
      </c>
      <c r="E190" t="s">
        <v>55</v>
      </c>
      <c r="F190">
        <v>11</v>
      </c>
      <c r="G190">
        <v>2</v>
      </c>
      <c r="H190">
        <v>9.99500249875062E-4</v>
      </c>
      <c r="I190">
        <v>0.18181818181818199</v>
      </c>
      <c r="J190" s="14" t="str">
        <f>_xlfn.XLOOKUP(B190,CAD_PDV!A:A,CAD_PDV!B:B)</f>
        <v>MEXCELL COMERCIO E SERVICOS DE TELECOMUNICACOES LTDA</v>
      </c>
      <c r="K190" s="14">
        <f>IF(IFERROR(_xlfn.XLOOKUP(B190,Planilha2!D:D,Planilha2!H:H),0)="SIM",1,0)</f>
        <v>0</v>
      </c>
      <c r="L190" s="14" t="str">
        <f>_xlfn.XLOOKUP(B190,CAD_PDV!A:A,CAD_PDV!C:C)</f>
        <v>RJ/ES</v>
      </c>
      <c r="M190" s="14" t="str">
        <f>IFERROR(_xlfn.XLOOKUP(B190,repete!A:A,repete!A:A),"-")</f>
        <v>-</v>
      </c>
    </row>
    <row r="191" spans="1:13" hidden="1">
      <c r="A191" s="1">
        <v>46023</v>
      </c>
      <c r="B191" t="s">
        <v>870</v>
      </c>
      <c r="C191" t="s">
        <v>871</v>
      </c>
      <c r="D191" t="s">
        <v>224</v>
      </c>
      <c r="E191" t="s">
        <v>59</v>
      </c>
      <c r="F191">
        <v>79</v>
      </c>
      <c r="G191">
        <v>2</v>
      </c>
      <c r="H191">
        <v>9.99500249875062E-4</v>
      </c>
      <c r="I191">
        <v>2.53164556962025E-2</v>
      </c>
      <c r="J191" s="14" t="str">
        <f>_xlfn.XLOOKUP(B191,CAD_PDV!A:A,CAD_PDV!B:B)</f>
        <v>CELNET COMERCIO E SERVICOS DE TELEFONIA LTDA ME</v>
      </c>
      <c r="K191" s="14">
        <f>IF(IFERROR(_xlfn.XLOOKUP(B191,Planilha2!D:D,Planilha2!H:H),0)="SIM",1,0)</f>
        <v>0</v>
      </c>
      <c r="L191" s="14" t="str">
        <f>_xlfn.XLOOKUP(B191,CAD_PDV!A:A,CAD_PDV!C:C)</f>
        <v>CO</v>
      </c>
      <c r="M191" s="14" t="str">
        <f>IFERROR(_xlfn.XLOOKUP(B191,repete!A:A,repete!A:A),"-")</f>
        <v>-</v>
      </c>
    </row>
    <row r="192" spans="1:13" hidden="1">
      <c r="A192" s="1">
        <v>46023</v>
      </c>
      <c r="B192" t="s">
        <v>495</v>
      </c>
      <c r="C192" t="s">
        <v>496</v>
      </c>
      <c r="D192" t="s">
        <v>239</v>
      </c>
      <c r="E192" t="s">
        <v>56</v>
      </c>
      <c r="F192">
        <v>28</v>
      </c>
      <c r="G192">
        <v>2</v>
      </c>
      <c r="H192">
        <v>9.99500249875062E-4</v>
      </c>
      <c r="I192">
        <v>7.1428571428571397E-2</v>
      </c>
      <c r="J192" s="14" t="str">
        <f>_xlfn.XLOOKUP(B192,CAD_PDV!A:A,CAD_PDV!B:B)</f>
        <v>TELECELL TELEFONIA LTDA - ME</v>
      </c>
      <c r="K192" s="14">
        <f>IF(IFERROR(_xlfn.XLOOKUP(B192,Planilha2!D:D,Planilha2!H:H),0)="SIM",1,0)</f>
        <v>0</v>
      </c>
      <c r="L192" s="14" t="str">
        <f>_xlfn.XLOOKUP(B192,CAD_PDV!A:A,CAD_PDV!C:C)</f>
        <v>MG</v>
      </c>
      <c r="M192" s="14" t="str">
        <f>IFERROR(_xlfn.XLOOKUP(B192,repete!A:A,repete!A:A),"-")</f>
        <v>-</v>
      </c>
    </row>
    <row r="193" spans="1:13" hidden="1">
      <c r="A193" s="1">
        <v>46023</v>
      </c>
      <c r="B193" t="s">
        <v>824</v>
      </c>
      <c r="C193" t="s">
        <v>673</v>
      </c>
      <c r="D193" t="s">
        <v>231</v>
      </c>
      <c r="E193" t="s">
        <v>59</v>
      </c>
      <c r="F193">
        <v>9</v>
      </c>
      <c r="G193">
        <v>2</v>
      </c>
      <c r="H193">
        <v>9.99500249875062E-4</v>
      </c>
      <c r="I193">
        <v>0.22222222222222199</v>
      </c>
      <c r="J193" s="14" t="str">
        <f>_xlfn.XLOOKUP(B193,CAD_PDV!A:A,CAD_PDV!B:B)</f>
        <v>HIROTA &amp; HIROTA LTDA - ME</v>
      </c>
      <c r="K193" s="14">
        <f>IF(IFERROR(_xlfn.XLOOKUP(B193,Planilha2!D:D,Planilha2!H:H),0)="SIM",1,0)</f>
        <v>0</v>
      </c>
      <c r="L193" s="14" t="str">
        <f>_xlfn.XLOOKUP(B193,CAD_PDV!A:A,CAD_PDV!C:C)</f>
        <v>CO</v>
      </c>
      <c r="M193" s="14" t="str">
        <f>IFERROR(_xlfn.XLOOKUP(B193,repete!A:A,repete!A:A),"-")</f>
        <v>-</v>
      </c>
    </row>
    <row r="194" spans="1:13" hidden="1">
      <c r="A194" s="1">
        <v>46023</v>
      </c>
      <c r="B194" t="s">
        <v>1479</v>
      </c>
      <c r="C194" t="s">
        <v>1480</v>
      </c>
      <c r="D194" t="s">
        <v>232</v>
      </c>
      <c r="E194" t="s">
        <v>54</v>
      </c>
      <c r="F194">
        <v>32</v>
      </c>
      <c r="G194">
        <v>2</v>
      </c>
      <c r="H194">
        <v>9.99500249875062E-4</v>
      </c>
      <c r="I194">
        <v>6.25E-2</v>
      </c>
      <c r="J194" s="14" t="str">
        <f>_xlfn.XLOOKUP(B194,CAD_PDV!A:A,CAD_PDV!B:B)</f>
        <v>HS TELECOM</v>
      </c>
      <c r="K194" s="14">
        <f>IF(IFERROR(_xlfn.XLOOKUP(B194,Planilha2!D:D,Planilha2!H:H),0)="SIM",1,0)</f>
        <v>0</v>
      </c>
      <c r="L194" s="14" t="str">
        <f>_xlfn.XLOOKUP(B194,CAD_PDV!A:A,CAD_PDV!C:C)</f>
        <v>SP2</v>
      </c>
      <c r="M194" s="14" t="str">
        <f>IFERROR(_xlfn.XLOOKUP(B194,repete!A:A,repete!A:A),"-")</f>
        <v>-</v>
      </c>
    </row>
    <row r="195" spans="1:13" hidden="1">
      <c r="A195" s="1">
        <v>46023</v>
      </c>
      <c r="B195" t="s">
        <v>611</v>
      </c>
      <c r="C195" t="s">
        <v>610</v>
      </c>
      <c r="D195" t="s">
        <v>239</v>
      </c>
      <c r="E195" t="s">
        <v>59</v>
      </c>
      <c r="F195">
        <v>56</v>
      </c>
      <c r="G195">
        <v>2</v>
      </c>
      <c r="H195">
        <v>9.99500249875062E-4</v>
      </c>
      <c r="I195">
        <v>3.5714285714285698E-2</v>
      </c>
      <c r="J195" s="14" t="str">
        <f>_xlfn.XLOOKUP(B195,CAD_PDV!A:A,CAD_PDV!B:B)</f>
        <v>TELECELL TELEFONIA LTDA - ME</v>
      </c>
      <c r="K195" s="14">
        <f>IF(IFERROR(_xlfn.XLOOKUP(B195,Planilha2!D:D,Planilha2!H:H),0)="SIM",1,0)</f>
        <v>0</v>
      </c>
      <c r="L195" s="14" t="str">
        <f>_xlfn.XLOOKUP(B195,CAD_PDV!A:A,CAD_PDV!C:C)</f>
        <v>CO</v>
      </c>
      <c r="M195" s="14" t="str">
        <f>IFERROR(_xlfn.XLOOKUP(B195,repete!A:A,repete!A:A),"-")</f>
        <v>-</v>
      </c>
    </row>
    <row r="196" spans="1:13" hidden="1">
      <c r="A196" s="1">
        <v>46023</v>
      </c>
      <c r="B196" t="s">
        <v>1205</v>
      </c>
      <c r="C196" t="s">
        <v>1207</v>
      </c>
      <c r="D196" t="s">
        <v>228</v>
      </c>
      <c r="E196" t="s">
        <v>55</v>
      </c>
      <c r="F196">
        <v>68</v>
      </c>
      <c r="G196">
        <v>2</v>
      </c>
      <c r="H196">
        <v>9.99500249875062E-4</v>
      </c>
      <c r="I196">
        <v>2.9411764705882401E-2</v>
      </c>
      <c r="J196" s="14" t="str">
        <f>_xlfn.XLOOKUP(B196,CAD_PDV!A:A,CAD_PDV!B:B)</f>
        <v>FAJULUTI</v>
      </c>
      <c r="K196" s="14">
        <f>IF(IFERROR(_xlfn.XLOOKUP(B196,Planilha2!D:D,Planilha2!H:H),0)="SIM",1,0)</f>
        <v>0</v>
      </c>
      <c r="L196" s="14" t="str">
        <f>_xlfn.XLOOKUP(B196,CAD_PDV!A:A,CAD_PDV!C:C)</f>
        <v>RJ/ES</v>
      </c>
      <c r="M196" s="14" t="str">
        <f>IFERROR(_xlfn.XLOOKUP(B196,repete!A:A,repete!A:A),"-")</f>
        <v>-</v>
      </c>
    </row>
    <row r="197" spans="1:13" hidden="1">
      <c r="A197" s="1">
        <v>46023</v>
      </c>
      <c r="B197" t="s">
        <v>1506</v>
      </c>
      <c r="C197" t="s">
        <v>1507</v>
      </c>
      <c r="D197" t="s">
        <v>132</v>
      </c>
      <c r="E197" t="s">
        <v>54</v>
      </c>
      <c r="F197">
        <v>37</v>
      </c>
      <c r="G197">
        <v>2</v>
      </c>
      <c r="H197">
        <v>9.99500249875062E-4</v>
      </c>
      <c r="I197">
        <v>5.4054054054054099E-2</v>
      </c>
      <c r="J197" s="14" t="str">
        <f>_xlfn.XLOOKUP(B197,CAD_PDV!A:A,CAD_PDV!B:B)</f>
        <v>FLEX CELL</v>
      </c>
      <c r="K197" s="14">
        <f>IF(IFERROR(_xlfn.XLOOKUP(B197,Planilha2!D:D,Planilha2!H:H),0)="SIM",1,0)</f>
        <v>0</v>
      </c>
      <c r="L197" s="14" t="str">
        <f>_xlfn.XLOOKUP(B197,CAD_PDV!A:A,CAD_PDV!C:C)</f>
        <v>SP2</v>
      </c>
      <c r="M197" s="14" t="str">
        <f>IFERROR(_xlfn.XLOOKUP(B197,repete!A:A,repete!A:A),"-")</f>
        <v>-</v>
      </c>
    </row>
    <row r="198" spans="1:13" hidden="1">
      <c r="A198" s="1">
        <v>46023</v>
      </c>
      <c r="B198" t="s">
        <v>1511</v>
      </c>
      <c r="C198" t="s">
        <v>1512</v>
      </c>
      <c r="D198" t="s">
        <v>120</v>
      </c>
      <c r="E198" t="s">
        <v>54</v>
      </c>
      <c r="F198">
        <v>105</v>
      </c>
      <c r="G198">
        <v>2</v>
      </c>
      <c r="H198">
        <v>9.99500249875062E-4</v>
      </c>
      <c r="I198">
        <v>1.9047619047619001E-2</v>
      </c>
      <c r="J198" s="14" t="str">
        <f>_xlfn.XLOOKUP(B198,CAD_PDV!A:A,CAD_PDV!B:B)</f>
        <v>DOUGLAS LUIZ ELETRONICOS - ME</v>
      </c>
      <c r="K198" s="14">
        <f>IF(IFERROR(_xlfn.XLOOKUP(B198,Planilha2!D:D,Planilha2!H:H),0)="SIM",1,0)</f>
        <v>0</v>
      </c>
      <c r="L198" s="14" t="str">
        <f>_xlfn.XLOOKUP(B198,CAD_PDV!A:A,CAD_PDV!C:C)</f>
        <v>SP2</v>
      </c>
      <c r="M198" s="14" t="str">
        <f>IFERROR(_xlfn.XLOOKUP(B198,repete!A:A,repete!A:A),"-")</f>
        <v>-</v>
      </c>
    </row>
    <row r="199" spans="1:13" hidden="1">
      <c r="A199" s="1">
        <v>46023</v>
      </c>
      <c r="B199" t="s">
        <v>2075</v>
      </c>
      <c r="C199" t="s">
        <v>2076</v>
      </c>
      <c r="D199" t="s">
        <v>2077</v>
      </c>
      <c r="E199" t="s">
        <v>2074</v>
      </c>
      <c r="F199">
        <v>29</v>
      </c>
      <c r="G199">
        <v>2</v>
      </c>
      <c r="H199">
        <v>9.99500249875062E-4</v>
      </c>
      <c r="I199">
        <v>6.8965517241379296E-2</v>
      </c>
      <c r="J199" s="14" t="e">
        <f>_xlfn.XLOOKUP(B199,CAD_PDV!A:A,CAD_PDV!B:B)</f>
        <v>#N/A</v>
      </c>
      <c r="K199" s="14">
        <f>IF(IFERROR(_xlfn.XLOOKUP(B199,Planilha2!D:D,Planilha2!H:H),0)="SIM",1,0)</f>
        <v>1</v>
      </c>
      <c r="L199" s="14" t="e">
        <f>_xlfn.XLOOKUP(B199,CAD_PDV!A:A,CAD_PDV!C:C)</f>
        <v>#N/A</v>
      </c>
      <c r="M199" s="14" t="str">
        <f>IFERROR(_xlfn.XLOOKUP(B199,repete!A:A,repete!A:A),"-")</f>
        <v>-</v>
      </c>
    </row>
    <row r="200" spans="1:13" hidden="1">
      <c r="A200" s="1">
        <v>46023</v>
      </c>
      <c r="B200" t="s">
        <v>755</v>
      </c>
      <c r="C200" t="s">
        <v>616</v>
      </c>
      <c r="D200" t="s">
        <v>239</v>
      </c>
      <c r="E200" t="s">
        <v>59</v>
      </c>
      <c r="F200">
        <v>43</v>
      </c>
      <c r="G200">
        <v>2</v>
      </c>
      <c r="H200">
        <v>9.99500249875062E-4</v>
      </c>
      <c r="I200">
        <v>4.6511627906976702E-2</v>
      </c>
      <c r="J200" s="14" t="str">
        <f>_xlfn.XLOOKUP(B200,CAD_PDV!A:A,CAD_PDV!B:B)</f>
        <v>TELECELL TELEFONIA LTDA - ME</v>
      </c>
      <c r="K200" s="14">
        <f>IF(IFERROR(_xlfn.XLOOKUP(B200,Planilha2!D:D,Planilha2!H:H),0)="SIM",1,0)</f>
        <v>0</v>
      </c>
      <c r="L200" s="14" t="str">
        <f>_xlfn.XLOOKUP(B200,CAD_PDV!A:A,CAD_PDV!C:C)</f>
        <v>CO</v>
      </c>
      <c r="M200" s="14" t="str">
        <f>IFERROR(_xlfn.XLOOKUP(B200,repete!A:A,repete!A:A),"-")</f>
        <v>-</v>
      </c>
    </row>
    <row r="201" spans="1:13" hidden="1">
      <c r="A201" s="1">
        <v>46023</v>
      </c>
      <c r="B201" t="s">
        <v>876</v>
      </c>
      <c r="C201" t="s">
        <v>873</v>
      </c>
      <c r="D201" t="s">
        <v>224</v>
      </c>
      <c r="E201" t="s">
        <v>59</v>
      </c>
      <c r="F201">
        <v>55</v>
      </c>
      <c r="G201">
        <v>2</v>
      </c>
      <c r="H201">
        <v>9.99500249875062E-4</v>
      </c>
      <c r="I201">
        <v>3.6363636363636397E-2</v>
      </c>
      <c r="J201" s="14" t="str">
        <f>_xlfn.XLOOKUP(B201,CAD_PDV!A:A,CAD_PDV!B:B)</f>
        <v>CELNET COMERCIO E SERVICOS DE TELEFONIA LTDA ME</v>
      </c>
      <c r="K201" s="14">
        <f>IF(IFERROR(_xlfn.XLOOKUP(B201,Planilha2!D:D,Planilha2!H:H),0)="SIM",1,0)</f>
        <v>0</v>
      </c>
      <c r="L201" s="14" t="str">
        <f>_xlfn.XLOOKUP(B201,CAD_PDV!A:A,CAD_PDV!C:C)</f>
        <v>CO</v>
      </c>
      <c r="M201" s="14" t="str">
        <f>IFERROR(_xlfn.XLOOKUP(B201,repete!A:A,repete!A:A),"-")</f>
        <v>-</v>
      </c>
    </row>
    <row r="202" spans="1:13" hidden="1">
      <c r="A202" s="1">
        <v>46023</v>
      </c>
      <c r="B202" t="s">
        <v>1905</v>
      </c>
      <c r="C202" t="s">
        <v>1904</v>
      </c>
      <c r="D202" t="s">
        <v>106</v>
      </c>
      <c r="E202" t="s">
        <v>2074</v>
      </c>
      <c r="F202">
        <v>61</v>
      </c>
      <c r="G202">
        <v>2</v>
      </c>
      <c r="H202">
        <v>9.99500249875062E-4</v>
      </c>
      <c r="I202">
        <v>3.2786885245901599E-2</v>
      </c>
      <c r="J202" s="14" t="str">
        <f>_xlfn.XLOOKUP(B202,CAD_PDV!A:A,CAD_PDV!B:B)</f>
        <v>CELLULAR.COM</v>
      </c>
      <c r="K202" s="14">
        <f>IF(IFERROR(_xlfn.XLOOKUP(B202,Planilha2!D:D,Planilha2!H:H),0)="SIM",1,0)</f>
        <v>0</v>
      </c>
      <c r="L202" s="14" t="str">
        <f>_xlfn.XLOOKUP(B202,CAD_PDV!A:A,CAD_PDV!C:C)</f>
        <v>PR/SC</v>
      </c>
      <c r="M202" s="14" t="str">
        <f>IFERROR(_xlfn.XLOOKUP(B202,repete!A:A,repete!A:A),"-")</f>
        <v>-</v>
      </c>
    </row>
    <row r="203" spans="1:13" hidden="1">
      <c r="A203" s="1">
        <v>46023</v>
      </c>
      <c r="B203" t="s">
        <v>878</v>
      </c>
      <c r="C203" t="s">
        <v>873</v>
      </c>
      <c r="D203" t="s">
        <v>224</v>
      </c>
      <c r="E203" t="s">
        <v>59</v>
      </c>
      <c r="F203">
        <v>189</v>
      </c>
      <c r="G203">
        <v>2</v>
      </c>
      <c r="H203">
        <v>9.99500249875062E-4</v>
      </c>
      <c r="I203">
        <v>1.0582010582010601E-2</v>
      </c>
      <c r="J203" s="14" t="str">
        <f>_xlfn.XLOOKUP(B203,CAD_PDV!A:A,CAD_PDV!B:B)</f>
        <v>CELNET COMERCIO E SERVICOS DE TELEFONIA LTDA ME</v>
      </c>
      <c r="K203" s="14">
        <f>IF(IFERROR(_xlfn.XLOOKUP(B203,Planilha2!D:D,Planilha2!H:H),0)="SIM",1,0)</f>
        <v>0</v>
      </c>
      <c r="L203" s="14" t="str">
        <f>_xlfn.XLOOKUP(B203,CAD_PDV!A:A,CAD_PDV!C:C)</f>
        <v>CO</v>
      </c>
      <c r="M203" s="14" t="str">
        <f>IFERROR(_xlfn.XLOOKUP(B203,repete!A:A,repete!A:A),"-")</f>
        <v>-</v>
      </c>
    </row>
    <row r="204" spans="1:13" hidden="1">
      <c r="A204" s="1">
        <v>46023</v>
      </c>
      <c r="B204" t="s">
        <v>2050</v>
      </c>
      <c r="C204" t="s">
        <v>2051</v>
      </c>
      <c r="D204" t="s">
        <v>193</v>
      </c>
      <c r="E204" t="s">
        <v>2074</v>
      </c>
      <c r="F204">
        <v>26</v>
      </c>
      <c r="G204">
        <v>2</v>
      </c>
      <c r="H204">
        <v>9.99500249875062E-4</v>
      </c>
      <c r="I204">
        <v>7.69230769230769E-2</v>
      </c>
      <c r="J204" s="14" t="str">
        <f>_xlfn.XLOOKUP(B204,CAD_PDV!A:A,CAD_PDV!B:B)</f>
        <v>S D COMERCIO DE CELULARES LTDA - ME</v>
      </c>
      <c r="K204" s="14">
        <f>IF(IFERROR(_xlfn.XLOOKUP(B204,Planilha2!D:D,Planilha2!H:H),0)="SIM",1,0)</f>
        <v>0</v>
      </c>
      <c r="L204" s="14" t="str">
        <f>_xlfn.XLOOKUP(B204,CAD_PDV!A:A,CAD_PDV!C:C)</f>
        <v>RS</v>
      </c>
      <c r="M204" s="14" t="str">
        <f>IFERROR(_xlfn.XLOOKUP(B204,repete!A:A,repete!A:A),"-")</f>
        <v>-</v>
      </c>
    </row>
    <row r="205" spans="1:13" hidden="1">
      <c r="A205" s="1">
        <v>46023</v>
      </c>
      <c r="B205" t="s">
        <v>796</v>
      </c>
      <c r="C205" t="s">
        <v>649</v>
      </c>
      <c r="D205" t="s">
        <v>239</v>
      </c>
      <c r="E205" t="s">
        <v>59</v>
      </c>
      <c r="F205">
        <v>89</v>
      </c>
      <c r="G205">
        <v>2</v>
      </c>
      <c r="H205">
        <v>9.99500249875062E-4</v>
      </c>
      <c r="I205">
        <v>2.2471910112359501E-2</v>
      </c>
      <c r="J205" s="14" t="str">
        <f>_xlfn.XLOOKUP(B205,CAD_PDV!A:A,CAD_PDV!B:B)</f>
        <v>TELECELL TELEFONIA LTDA - ME</v>
      </c>
      <c r="K205" s="14">
        <f>IF(IFERROR(_xlfn.XLOOKUP(B205,Planilha2!D:D,Planilha2!H:H),0)="SIM",1,0)</f>
        <v>0</v>
      </c>
      <c r="L205" s="14" t="str">
        <f>_xlfn.XLOOKUP(B205,CAD_PDV!A:A,CAD_PDV!C:C)</f>
        <v>CO</v>
      </c>
      <c r="M205" s="14" t="str">
        <f>IFERROR(_xlfn.XLOOKUP(B205,repete!A:A,repete!A:A),"-")</f>
        <v>-</v>
      </c>
    </row>
    <row r="206" spans="1:13" hidden="1">
      <c r="A206" s="1">
        <v>46023</v>
      </c>
      <c r="B206" t="s">
        <v>2078</v>
      </c>
      <c r="C206" t="s">
        <v>2079</v>
      </c>
      <c r="D206" t="s">
        <v>2080</v>
      </c>
      <c r="E206" t="s">
        <v>2074</v>
      </c>
      <c r="F206">
        <v>12</v>
      </c>
      <c r="G206">
        <v>2</v>
      </c>
      <c r="H206">
        <v>9.99500249875062E-4</v>
      </c>
      <c r="I206">
        <v>0.16666666666666699</v>
      </c>
      <c r="J206" s="14" t="e">
        <f>_xlfn.XLOOKUP(B206,CAD_PDV!A:A,CAD_PDV!B:B)</f>
        <v>#N/A</v>
      </c>
      <c r="K206" s="14">
        <f>IF(IFERROR(_xlfn.XLOOKUP(B206,Planilha2!D:D,Planilha2!H:H),0)="SIM",1,0)</f>
        <v>0</v>
      </c>
      <c r="L206" s="14" t="e">
        <f>_xlfn.XLOOKUP(B206,CAD_PDV!A:A,CAD_PDV!C:C)</f>
        <v>#N/A</v>
      </c>
      <c r="M206" s="14" t="str">
        <f>IFERROR(_xlfn.XLOOKUP(B206,repete!A:A,repete!A:A),"-")</f>
        <v>-</v>
      </c>
    </row>
    <row r="207" spans="1:13" hidden="1">
      <c r="A207" s="1">
        <v>46023</v>
      </c>
      <c r="B207" t="s">
        <v>1940</v>
      </c>
      <c r="C207" t="s">
        <v>1939</v>
      </c>
      <c r="D207" t="s">
        <v>176</v>
      </c>
      <c r="E207" t="s">
        <v>2074</v>
      </c>
      <c r="F207">
        <v>126</v>
      </c>
      <c r="G207">
        <v>2</v>
      </c>
      <c r="H207">
        <v>9.99500249875062E-4</v>
      </c>
      <c r="I207">
        <v>1.58730158730159E-2</v>
      </c>
      <c r="J207" s="14" t="str">
        <f>_xlfn.XLOOKUP(B207,CAD_PDV!A:A,CAD_PDV!B:B)</f>
        <v>NEW POINT CELULAR LTDA - ME</v>
      </c>
      <c r="K207" s="14">
        <f>IF(IFERROR(_xlfn.XLOOKUP(B207,Planilha2!D:D,Planilha2!H:H),0)="SIM",1,0)</f>
        <v>0</v>
      </c>
      <c r="L207" s="14" t="str">
        <f>_xlfn.XLOOKUP(B207,CAD_PDV!A:A,CAD_PDV!C:C)</f>
        <v>RS</v>
      </c>
      <c r="M207" s="14" t="str">
        <f>IFERROR(_xlfn.XLOOKUP(B207,repete!A:A,repete!A:A),"-")</f>
        <v>-</v>
      </c>
    </row>
    <row r="208" spans="1:13" hidden="1">
      <c r="A208" s="1">
        <v>46023</v>
      </c>
      <c r="B208" t="s">
        <v>1183</v>
      </c>
      <c r="C208" t="s">
        <v>1185</v>
      </c>
      <c r="D208" t="s">
        <v>228</v>
      </c>
      <c r="E208" t="s">
        <v>55</v>
      </c>
      <c r="F208">
        <v>35</v>
      </c>
      <c r="G208">
        <v>2</v>
      </c>
      <c r="H208">
        <v>9.99500249875062E-4</v>
      </c>
      <c r="I208">
        <v>5.7142857142857099E-2</v>
      </c>
      <c r="J208" s="14" t="str">
        <f>_xlfn.XLOOKUP(B208,CAD_PDV!A:A,CAD_PDV!B:B)</f>
        <v>FAJULUTI</v>
      </c>
      <c r="K208" s="14">
        <f>IF(IFERROR(_xlfn.XLOOKUP(B208,Planilha2!D:D,Planilha2!H:H),0)="SIM",1,0)</f>
        <v>0</v>
      </c>
      <c r="L208" s="14" t="str">
        <f>_xlfn.XLOOKUP(B208,CAD_PDV!A:A,CAD_PDV!C:C)</f>
        <v>RJ/ES</v>
      </c>
      <c r="M208" s="14" t="str">
        <f>IFERROR(_xlfn.XLOOKUP(B208,repete!A:A,repete!A:A),"-")</f>
        <v>-</v>
      </c>
    </row>
    <row r="209" spans="1:13" hidden="1">
      <c r="A209" s="1">
        <v>46023</v>
      </c>
      <c r="B209" t="s">
        <v>1232</v>
      </c>
      <c r="C209" t="s">
        <v>1142</v>
      </c>
      <c r="D209" t="s">
        <v>237</v>
      </c>
      <c r="E209" t="s">
        <v>55</v>
      </c>
      <c r="F209">
        <v>91</v>
      </c>
      <c r="G209">
        <v>2</v>
      </c>
      <c r="H209">
        <v>9.99500249875062E-4</v>
      </c>
      <c r="I209">
        <v>2.1978021978022001E-2</v>
      </c>
      <c r="J209" s="14" t="str">
        <f>_xlfn.XLOOKUP(B209,CAD_PDV!A:A,CAD_PDV!B:B)</f>
        <v>PONTO CERTO COMERCIO E COMUNICAÇÕES LTDA</v>
      </c>
      <c r="K209" s="14">
        <f>IF(IFERROR(_xlfn.XLOOKUP(B209,Planilha2!D:D,Planilha2!H:H),0)="SIM",1,0)</f>
        <v>0</v>
      </c>
      <c r="L209" s="14" t="str">
        <f>_xlfn.XLOOKUP(B209,CAD_PDV!A:A,CAD_PDV!C:C)</f>
        <v>RJ/ES</v>
      </c>
      <c r="M209" s="14" t="str">
        <f>IFERROR(_xlfn.XLOOKUP(B209,repete!A:A,repete!A:A),"-")</f>
        <v>-</v>
      </c>
    </row>
    <row r="210" spans="1:13" hidden="1">
      <c r="A210" s="1">
        <v>46023</v>
      </c>
      <c r="B210" t="s">
        <v>1168</v>
      </c>
      <c r="C210" t="s">
        <v>1142</v>
      </c>
      <c r="D210" t="s">
        <v>237</v>
      </c>
      <c r="E210" t="s">
        <v>55</v>
      </c>
      <c r="F210">
        <v>141</v>
      </c>
      <c r="G210">
        <v>2</v>
      </c>
      <c r="H210">
        <v>9.99500249875062E-4</v>
      </c>
      <c r="I210">
        <v>1.41843971631206E-2</v>
      </c>
      <c r="J210" s="14" t="str">
        <f>_xlfn.XLOOKUP(B210,CAD_PDV!A:A,CAD_PDV!B:B)</f>
        <v>PONTO CERTO COMERCIO E COMUNICAÇÕES LTDA</v>
      </c>
      <c r="K210" s="14">
        <f>IF(IFERROR(_xlfn.XLOOKUP(B210,Planilha2!D:D,Planilha2!H:H),0)="SIM",1,0)</f>
        <v>0</v>
      </c>
      <c r="L210" s="14" t="str">
        <f>_xlfn.XLOOKUP(B210,CAD_PDV!A:A,CAD_PDV!C:C)</f>
        <v>RJ/ES</v>
      </c>
      <c r="M210" s="14" t="str">
        <f>IFERROR(_xlfn.XLOOKUP(B210,repete!A:A,repete!A:A),"-")</f>
        <v>-</v>
      </c>
    </row>
    <row r="211" spans="1:13" hidden="1">
      <c r="A211" s="1">
        <v>46023</v>
      </c>
      <c r="B211" t="s">
        <v>1335</v>
      </c>
      <c r="C211" t="s">
        <v>1313</v>
      </c>
      <c r="D211" t="s">
        <v>225</v>
      </c>
      <c r="E211" t="s">
        <v>53</v>
      </c>
      <c r="F211">
        <v>76</v>
      </c>
      <c r="G211">
        <v>2</v>
      </c>
      <c r="H211">
        <v>9.99500249875062E-4</v>
      </c>
      <c r="I211">
        <v>2.6315789473684199E-2</v>
      </c>
      <c r="J211" s="14" t="str">
        <f>_xlfn.XLOOKUP(B211,CAD_PDV!A:A,CAD_PDV!B:B)</f>
        <v>CLARICELL SP1</v>
      </c>
      <c r="K211" s="14">
        <f>IF(IFERROR(_xlfn.XLOOKUP(B211,Planilha2!D:D,Planilha2!H:H),0)="SIM",1,0)</f>
        <v>0</v>
      </c>
      <c r="L211" s="14" t="str">
        <f>_xlfn.XLOOKUP(B211,CAD_PDV!A:A,CAD_PDV!C:C)</f>
        <v>SP1</v>
      </c>
      <c r="M211" s="14" t="str">
        <f>IFERROR(_xlfn.XLOOKUP(B211,repete!A:A,repete!A:A),"-")</f>
        <v>-</v>
      </c>
    </row>
    <row r="212" spans="1:13" hidden="1">
      <c r="A212" s="1">
        <v>46023</v>
      </c>
      <c r="B212" t="s">
        <v>906</v>
      </c>
      <c r="C212" t="s">
        <v>902</v>
      </c>
      <c r="D212" t="s">
        <v>215</v>
      </c>
      <c r="E212" t="s">
        <v>59</v>
      </c>
      <c r="F212">
        <v>87</v>
      </c>
      <c r="G212">
        <v>2</v>
      </c>
      <c r="H212">
        <v>9.99500249875062E-4</v>
      </c>
      <c r="I212">
        <v>2.2988505747126398E-2</v>
      </c>
      <c r="J212" s="14" t="str">
        <f>_xlfn.XLOOKUP(B212,CAD_PDV!A:A,CAD_PDV!B:B)</f>
        <v>VIA SALLUS</v>
      </c>
      <c r="K212" s="14">
        <f>IF(IFERROR(_xlfn.XLOOKUP(B212,Planilha2!D:D,Planilha2!H:H),0)="SIM",1,0)</f>
        <v>0</v>
      </c>
      <c r="L212" s="14" t="str">
        <f>_xlfn.XLOOKUP(B212,CAD_PDV!A:A,CAD_PDV!C:C)</f>
        <v>CO</v>
      </c>
      <c r="M212" s="14" t="str">
        <f>IFERROR(_xlfn.XLOOKUP(B212,repete!A:A,repete!A:A),"-")</f>
        <v>-</v>
      </c>
    </row>
    <row r="213" spans="1:13" hidden="1">
      <c r="A213" s="1">
        <v>46023</v>
      </c>
      <c r="B213" t="s">
        <v>352</v>
      </c>
      <c r="C213" t="s">
        <v>261</v>
      </c>
      <c r="D213" t="s">
        <v>238</v>
      </c>
      <c r="E213" t="s">
        <v>61</v>
      </c>
      <c r="F213">
        <v>117</v>
      </c>
      <c r="G213">
        <v>2</v>
      </c>
      <c r="H213">
        <v>9.99500249875062E-4</v>
      </c>
      <c r="I213">
        <v>1.7094017094017099E-2</v>
      </c>
      <c r="J213" s="14" t="str">
        <f>_xlfn.XLOOKUP(B213,CAD_PDV!A:A,CAD_PDV!B:B)</f>
        <v>R &amp; R HIPER COMERCIO LTDA</v>
      </c>
      <c r="K213" s="14">
        <f>IF(IFERROR(_xlfn.XLOOKUP(B213,Planilha2!D:D,Planilha2!H:H),0)="SIM",1,0)</f>
        <v>0</v>
      </c>
      <c r="L213" s="14" t="str">
        <f>_xlfn.XLOOKUP(B213,CAD_PDV!A:A,CAD_PDV!C:C)</f>
        <v>NE</v>
      </c>
      <c r="M213" s="14" t="str">
        <f>IFERROR(_xlfn.XLOOKUP(B213,repete!A:A,repete!A:A),"-")</f>
        <v>-</v>
      </c>
    </row>
    <row r="214" spans="1:13" hidden="1">
      <c r="A214" s="1">
        <v>46023</v>
      </c>
      <c r="B214" t="s">
        <v>1245</v>
      </c>
      <c r="C214" t="s">
        <v>1152</v>
      </c>
      <c r="D214" t="s">
        <v>2072</v>
      </c>
      <c r="E214" t="s">
        <v>55</v>
      </c>
      <c r="F214">
        <v>115</v>
      </c>
      <c r="G214">
        <v>2</v>
      </c>
      <c r="H214">
        <v>9.99500249875062E-4</v>
      </c>
      <c r="I214">
        <v>1.7391304347826101E-2</v>
      </c>
      <c r="J214" s="14" t="str">
        <f>_xlfn.XLOOKUP(B214,CAD_PDV!A:A,CAD_PDV!B:B)</f>
        <v>MEXCELL COMERCIO E SERVICOS DE TELECOMUNICACOES LTDA</v>
      </c>
      <c r="K214" s="14">
        <f>IF(IFERROR(_xlfn.XLOOKUP(B214,Planilha2!D:D,Planilha2!H:H),0)="SIM",1,0)</f>
        <v>0</v>
      </c>
      <c r="L214" s="14" t="str">
        <f>_xlfn.XLOOKUP(B214,CAD_PDV!A:A,CAD_PDV!C:C)</f>
        <v>RJ/ES</v>
      </c>
      <c r="M214" s="14" t="str">
        <f>IFERROR(_xlfn.XLOOKUP(B214,repete!A:A,repete!A:A),"-")</f>
        <v>-</v>
      </c>
    </row>
    <row r="215" spans="1:13" hidden="1">
      <c r="A215" s="1">
        <v>46023</v>
      </c>
      <c r="B215" t="s">
        <v>1629</v>
      </c>
      <c r="C215" t="s">
        <v>1464</v>
      </c>
      <c r="D215" t="s">
        <v>132</v>
      </c>
      <c r="E215" t="s">
        <v>54</v>
      </c>
      <c r="F215">
        <v>38</v>
      </c>
      <c r="G215">
        <v>2</v>
      </c>
      <c r="H215">
        <v>9.99500249875062E-4</v>
      </c>
      <c r="I215">
        <v>5.2631578947368397E-2</v>
      </c>
      <c r="J215" s="14" t="str">
        <f>_xlfn.XLOOKUP(B215,CAD_PDV!A:A,CAD_PDV!B:B)</f>
        <v>FLEX CELL</v>
      </c>
      <c r="K215" s="14">
        <f>IF(IFERROR(_xlfn.XLOOKUP(B215,Planilha2!D:D,Planilha2!H:H),0)="SIM",1,0)</f>
        <v>0</v>
      </c>
      <c r="L215" s="14" t="str">
        <f>_xlfn.XLOOKUP(B215,CAD_PDV!A:A,CAD_PDV!C:C)</f>
        <v>SP2</v>
      </c>
      <c r="M215" s="14" t="str">
        <f>IFERROR(_xlfn.XLOOKUP(B215,repete!A:A,repete!A:A),"-")</f>
        <v>-</v>
      </c>
    </row>
    <row r="216" spans="1:13" hidden="1">
      <c r="A216" s="1">
        <v>46023</v>
      </c>
      <c r="B216" t="s">
        <v>894</v>
      </c>
      <c r="C216" t="s">
        <v>873</v>
      </c>
      <c r="D216" t="s">
        <v>224</v>
      </c>
      <c r="E216" t="s">
        <v>59</v>
      </c>
      <c r="F216">
        <v>41</v>
      </c>
      <c r="G216">
        <v>2</v>
      </c>
      <c r="H216">
        <v>9.99500249875062E-4</v>
      </c>
      <c r="I216">
        <v>4.8780487804878099E-2</v>
      </c>
      <c r="J216" s="14" t="str">
        <f>_xlfn.XLOOKUP(B216,CAD_PDV!A:A,CAD_PDV!B:B)</f>
        <v>CELNET COMERCIO E SERVICOS DE TELEFONIA LTDA ME</v>
      </c>
      <c r="K216" s="14">
        <f>IF(IFERROR(_xlfn.XLOOKUP(B216,Planilha2!D:D,Planilha2!H:H),0)="SIM",1,0)</f>
        <v>0</v>
      </c>
      <c r="L216" s="14" t="str">
        <f>_xlfn.XLOOKUP(B216,CAD_PDV!A:A,CAD_PDV!C:C)</f>
        <v>CO</v>
      </c>
      <c r="M216" s="14" t="str">
        <f>IFERROR(_xlfn.XLOOKUP(B216,repete!A:A,repete!A:A),"-")</f>
        <v>-</v>
      </c>
    </row>
    <row r="217" spans="1:13" hidden="1">
      <c r="A217" s="1">
        <v>46023</v>
      </c>
      <c r="B217" t="s">
        <v>1878</v>
      </c>
      <c r="C217" t="s">
        <v>1876</v>
      </c>
      <c r="D217" t="s">
        <v>124</v>
      </c>
      <c r="E217" t="s">
        <v>2074</v>
      </c>
      <c r="F217">
        <v>37</v>
      </c>
      <c r="G217">
        <v>2</v>
      </c>
      <c r="H217">
        <v>9.99500249875062E-4</v>
      </c>
      <c r="I217">
        <v>5.4054054054054099E-2</v>
      </c>
      <c r="J217" s="14" t="str">
        <f>_xlfn.XLOOKUP(B217,CAD_PDV!A:A,CAD_PDV!B:B)</f>
        <v>EDUARDO JUNQUEIRA DA SILVEIRA ADMIN</v>
      </c>
      <c r="K217" s="14">
        <f>IF(IFERROR(_xlfn.XLOOKUP(B217,Planilha2!D:D,Planilha2!H:H),0)="SIM",1,0)</f>
        <v>0</v>
      </c>
      <c r="L217" s="14" t="str">
        <f>_xlfn.XLOOKUP(B217,CAD_PDV!A:A,CAD_PDV!C:C)</f>
        <v>RS</v>
      </c>
      <c r="M217" s="14" t="str">
        <f>IFERROR(_xlfn.XLOOKUP(B217,repete!A:A,repete!A:A),"-")</f>
        <v>-</v>
      </c>
    </row>
    <row r="218" spans="1:13" hidden="1">
      <c r="A218" s="1">
        <v>46023</v>
      </c>
      <c r="B218" t="s">
        <v>2043</v>
      </c>
      <c r="C218" t="s">
        <v>2042</v>
      </c>
      <c r="D218" t="s">
        <v>193</v>
      </c>
      <c r="E218" t="s">
        <v>2074</v>
      </c>
      <c r="F218">
        <v>27</v>
      </c>
      <c r="G218">
        <v>2</v>
      </c>
      <c r="H218">
        <v>9.99500249875062E-4</v>
      </c>
      <c r="I218">
        <v>7.4074074074074098E-2</v>
      </c>
      <c r="J218" s="14" t="str">
        <f>_xlfn.XLOOKUP(B218,CAD_PDV!A:A,CAD_PDV!B:B)</f>
        <v>S D COMERCIO DE CELULARES LTDA - ME</v>
      </c>
      <c r="K218" s="14">
        <f>IF(IFERROR(_xlfn.XLOOKUP(B218,Planilha2!D:D,Planilha2!H:H),0)="SIM",1,0)</f>
        <v>0</v>
      </c>
      <c r="L218" s="14" t="str">
        <f>_xlfn.XLOOKUP(B218,CAD_PDV!A:A,CAD_PDV!C:C)</f>
        <v>RS</v>
      </c>
      <c r="M218" s="14" t="str">
        <f>IFERROR(_xlfn.XLOOKUP(B218,repete!A:A,repete!A:A),"-")</f>
        <v>-</v>
      </c>
    </row>
    <row r="219" spans="1:13" hidden="1">
      <c r="A219" s="1">
        <v>46023</v>
      </c>
      <c r="B219" t="s">
        <v>2081</v>
      </c>
      <c r="C219" t="s">
        <v>619</v>
      </c>
      <c r="D219" t="s">
        <v>224</v>
      </c>
      <c r="E219" t="s">
        <v>59</v>
      </c>
      <c r="F219">
        <v>54</v>
      </c>
      <c r="G219">
        <v>2</v>
      </c>
      <c r="H219">
        <v>9.99500249875062E-4</v>
      </c>
      <c r="I219">
        <v>3.7037037037037E-2</v>
      </c>
      <c r="J219" s="14" t="str">
        <f>_xlfn.XLOOKUP(B219,CAD_PDV!A:A,CAD_PDV!B:B)</f>
        <v>CELNET COMERCIO E SERVICOS DE TELEFONIA LTDA ME</v>
      </c>
      <c r="K219" s="14">
        <f>IF(IFERROR(_xlfn.XLOOKUP(B219,Planilha2!D:D,Planilha2!H:H),0)="SIM",1,0)</f>
        <v>0</v>
      </c>
      <c r="L219" s="14" t="str">
        <f>_xlfn.XLOOKUP(B219,CAD_PDV!A:A,CAD_PDV!C:C)</f>
        <v>CO</v>
      </c>
      <c r="M219" s="14" t="str">
        <f>IFERROR(_xlfn.XLOOKUP(B219,repete!A:A,repete!A:A),"-")</f>
        <v>-</v>
      </c>
    </row>
    <row r="220" spans="1:13" hidden="1">
      <c r="A220" s="1">
        <v>46023</v>
      </c>
      <c r="B220" t="s">
        <v>829</v>
      </c>
      <c r="C220" t="s">
        <v>820</v>
      </c>
      <c r="D220" t="s">
        <v>239</v>
      </c>
      <c r="E220" t="s">
        <v>59</v>
      </c>
      <c r="F220">
        <v>78</v>
      </c>
      <c r="G220">
        <v>2</v>
      </c>
      <c r="H220">
        <v>9.99500249875062E-4</v>
      </c>
      <c r="I220">
        <v>2.5641025641025599E-2</v>
      </c>
      <c r="J220" s="14" t="str">
        <f>_xlfn.XLOOKUP(B220,CAD_PDV!A:A,CAD_PDV!B:B)</f>
        <v>TELECELL TELEFONIA LTDA - ME</v>
      </c>
      <c r="K220" s="14">
        <f>IF(IFERROR(_xlfn.XLOOKUP(B220,Planilha2!D:D,Planilha2!H:H),0)="SIM",1,0)</f>
        <v>0</v>
      </c>
      <c r="L220" s="14" t="str">
        <f>_xlfn.XLOOKUP(B220,CAD_PDV!A:A,CAD_PDV!C:C)</f>
        <v>CO</v>
      </c>
      <c r="M220" s="14" t="str">
        <f>IFERROR(_xlfn.XLOOKUP(B220,repete!A:A,repete!A:A),"-")</f>
        <v>-</v>
      </c>
    </row>
    <row r="221" spans="1:13" hidden="1">
      <c r="A221" s="1">
        <v>46023</v>
      </c>
      <c r="B221" t="s">
        <v>1654</v>
      </c>
      <c r="C221" t="s">
        <v>1655</v>
      </c>
      <c r="D221" t="s">
        <v>241</v>
      </c>
      <c r="E221" t="s">
        <v>54</v>
      </c>
      <c r="F221">
        <v>34</v>
      </c>
      <c r="G221">
        <v>2</v>
      </c>
      <c r="H221">
        <v>9.99500249875062E-4</v>
      </c>
      <c r="I221">
        <v>5.8823529411764698E-2</v>
      </c>
      <c r="J221" s="14" t="str">
        <f>_xlfn.XLOOKUP(B221,CAD_PDV!A:A,CAD_PDV!B:B)</f>
        <v>VIRACLARO</v>
      </c>
      <c r="K221" s="14">
        <f>IF(IFERROR(_xlfn.XLOOKUP(B221,Planilha2!D:D,Planilha2!H:H),0)="SIM",1,0)</f>
        <v>0</v>
      </c>
      <c r="L221" s="14" t="str">
        <f>_xlfn.XLOOKUP(B221,CAD_PDV!A:A,CAD_PDV!C:C)</f>
        <v>SP2</v>
      </c>
      <c r="M221" s="14" t="str">
        <f>IFERROR(_xlfn.XLOOKUP(B221,repete!A:A,repete!A:A),"-")</f>
        <v>-</v>
      </c>
    </row>
    <row r="222" spans="1:13" hidden="1">
      <c r="A222" s="1">
        <v>46023</v>
      </c>
      <c r="B222" t="s">
        <v>832</v>
      </c>
      <c r="C222" t="s">
        <v>833</v>
      </c>
      <c r="D222" t="s">
        <v>239</v>
      </c>
      <c r="E222" t="s">
        <v>59</v>
      </c>
      <c r="F222">
        <v>34</v>
      </c>
      <c r="G222">
        <v>2</v>
      </c>
      <c r="H222">
        <v>9.99500249875062E-4</v>
      </c>
      <c r="I222">
        <v>5.8823529411764698E-2</v>
      </c>
      <c r="J222" s="14" t="str">
        <f>_xlfn.XLOOKUP(B222,CAD_PDV!A:A,CAD_PDV!B:B)</f>
        <v>TELECELL TELEFONIA LTDA - ME</v>
      </c>
      <c r="K222" s="14">
        <f>IF(IFERROR(_xlfn.XLOOKUP(B222,Planilha2!D:D,Planilha2!H:H),0)="SIM",1,0)</f>
        <v>0</v>
      </c>
      <c r="L222" s="14" t="str">
        <f>_xlfn.XLOOKUP(B222,CAD_PDV!A:A,CAD_PDV!C:C)</f>
        <v>CO</v>
      </c>
      <c r="M222" s="14" t="str">
        <f>IFERROR(_xlfn.XLOOKUP(B222,repete!A:A,repete!A:A),"-")</f>
        <v>-</v>
      </c>
    </row>
    <row r="223" spans="1:13" hidden="1">
      <c r="A223" s="1">
        <v>46023</v>
      </c>
      <c r="B223" t="s">
        <v>1279</v>
      </c>
      <c r="C223" t="s">
        <v>1280</v>
      </c>
      <c r="D223" t="s">
        <v>228</v>
      </c>
      <c r="E223" t="s">
        <v>55</v>
      </c>
      <c r="F223">
        <v>23</v>
      </c>
      <c r="G223">
        <v>2</v>
      </c>
      <c r="H223">
        <v>9.99500249875062E-4</v>
      </c>
      <c r="I223">
        <v>8.6956521739130405E-2</v>
      </c>
      <c r="J223" s="14" t="str">
        <f>_xlfn.XLOOKUP(B223,CAD_PDV!A:A,CAD_PDV!B:B)</f>
        <v>FAJULUTI</v>
      </c>
      <c r="K223" s="14">
        <f>IF(IFERROR(_xlfn.XLOOKUP(B223,Planilha2!D:D,Planilha2!H:H),0)="SIM",1,0)</f>
        <v>0</v>
      </c>
      <c r="L223" s="14" t="str">
        <f>_xlfn.XLOOKUP(B223,CAD_PDV!A:A,CAD_PDV!C:C)</f>
        <v>RJ/ES</v>
      </c>
      <c r="M223" s="14" t="str">
        <f>IFERROR(_xlfn.XLOOKUP(B223,repete!A:A,repete!A:A),"-")</f>
        <v>-</v>
      </c>
    </row>
    <row r="224" spans="1:13" hidden="1">
      <c r="A224" s="1">
        <v>46023</v>
      </c>
      <c r="B224" t="s">
        <v>1692</v>
      </c>
      <c r="C224" t="s">
        <v>1693</v>
      </c>
      <c r="D224" t="s">
        <v>232</v>
      </c>
      <c r="E224" t="s">
        <v>54</v>
      </c>
      <c r="F224">
        <v>79</v>
      </c>
      <c r="G224">
        <v>2</v>
      </c>
      <c r="H224">
        <v>9.99500249875062E-4</v>
      </c>
      <c r="I224">
        <v>2.53164556962025E-2</v>
      </c>
      <c r="J224" s="14" t="str">
        <f>_xlfn.XLOOKUP(B224,CAD_PDV!A:A,CAD_PDV!B:B)</f>
        <v>HS TELECOM</v>
      </c>
      <c r="K224" s="14">
        <f>IF(IFERROR(_xlfn.XLOOKUP(B224,Planilha2!D:D,Planilha2!H:H),0)="SIM",1,0)</f>
        <v>0</v>
      </c>
      <c r="L224" s="14" t="str">
        <f>_xlfn.XLOOKUP(B224,CAD_PDV!A:A,CAD_PDV!C:C)</f>
        <v>SP2</v>
      </c>
      <c r="M224" s="14" t="str">
        <f>IFERROR(_xlfn.XLOOKUP(B224,repete!A:A,repete!A:A),"-")</f>
        <v>-</v>
      </c>
    </row>
    <row r="225" spans="1:13" hidden="1">
      <c r="A225" s="1">
        <v>46023</v>
      </c>
      <c r="B225" t="s">
        <v>850</v>
      </c>
      <c r="C225" t="s">
        <v>732</v>
      </c>
      <c r="D225" t="s">
        <v>221</v>
      </c>
      <c r="E225" t="s">
        <v>59</v>
      </c>
      <c r="F225">
        <v>32</v>
      </c>
      <c r="G225">
        <v>2</v>
      </c>
      <c r="H225">
        <v>9.99500249875062E-4</v>
      </c>
      <c r="I225">
        <v>6.25E-2</v>
      </c>
      <c r="J225" s="14" t="str">
        <f>_xlfn.XLOOKUP(B225,CAD_PDV!A:A,CAD_PDV!B:B)</f>
        <v>AMERICOM COMERCIO DE APARELHOS ELETRONICOS LTDA - EPP</v>
      </c>
      <c r="K225" s="14">
        <f>IF(IFERROR(_xlfn.XLOOKUP(B225,Planilha2!D:D,Planilha2!H:H),0)="SIM",1,0)</f>
        <v>0</v>
      </c>
      <c r="L225" s="14" t="str">
        <f>_xlfn.XLOOKUP(B225,CAD_PDV!A:A,CAD_PDV!C:C)</f>
        <v>CO</v>
      </c>
      <c r="M225" s="14" t="str">
        <f>IFERROR(_xlfn.XLOOKUP(B225,repete!A:A,repete!A:A),"-")</f>
        <v>-</v>
      </c>
    </row>
    <row r="226" spans="1:13" hidden="1">
      <c r="A226" s="1">
        <v>46023</v>
      </c>
      <c r="B226" t="s">
        <v>1264</v>
      </c>
      <c r="C226" t="s">
        <v>1142</v>
      </c>
      <c r="D226" t="s">
        <v>233</v>
      </c>
      <c r="E226" t="s">
        <v>55</v>
      </c>
      <c r="F226">
        <v>104</v>
      </c>
      <c r="G226">
        <v>2</v>
      </c>
      <c r="H226">
        <v>9.99500249875062E-4</v>
      </c>
      <c r="I226">
        <v>1.9230769230769201E-2</v>
      </c>
      <c r="J226" s="14" t="str">
        <f>_xlfn.XLOOKUP(B226,CAD_PDV!A:A,CAD_PDV!B:B)</f>
        <v>LEINAD COMERCIO E SERVICO EIRELI</v>
      </c>
      <c r="K226" s="14">
        <f>IF(IFERROR(_xlfn.XLOOKUP(B226,Planilha2!D:D,Planilha2!H:H),0)="SIM",1,0)</f>
        <v>0</v>
      </c>
      <c r="L226" s="14" t="str">
        <f>_xlfn.XLOOKUP(B226,CAD_PDV!A:A,CAD_PDV!C:C)</f>
        <v>RJ/ES</v>
      </c>
      <c r="M226" s="14" t="str">
        <f>IFERROR(_xlfn.XLOOKUP(B226,repete!A:A,repete!A:A),"-")</f>
        <v>-</v>
      </c>
    </row>
    <row r="227" spans="1:13" hidden="1">
      <c r="A227" s="1">
        <v>46023</v>
      </c>
      <c r="B227" t="s">
        <v>1370</v>
      </c>
      <c r="C227" t="s">
        <v>1371</v>
      </c>
      <c r="D227" t="s">
        <v>132</v>
      </c>
      <c r="E227" t="s">
        <v>53</v>
      </c>
      <c r="F227">
        <v>42</v>
      </c>
      <c r="G227">
        <v>2</v>
      </c>
      <c r="H227">
        <v>9.99500249875062E-4</v>
      </c>
      <c r="I227">
        <v>4.7619047619047603E-2</v>
      </c>
      <c r="J227" s="14" t="str">
        <f>_xlfn.XLOOKUP(B227,CAD_PDV!A:A,CAD_PDV!B:B)</f>
        <v>FLEX CELL</v>
      </c>
      <c r="K227" s="14">
        <f>IF(IFERROR(_xlfn.XLOOKUP(B227,Planilha2!D:D,Planilha2!H:H),0)="SIM",1,0)</f>
        <v>0</v>
      </c>
      <c r="L227" s="14" t="str">
        <f>_xlfn.XLOOKUP(B227,CAD_PDV!A:A,CAD_PDV!C:C)</f>
        <v>SP1</v>
      </c>
      <c r="M227" s="14" t="str">
        <f>IFERROR(_xlfn.XLOOKUP(B227,repete!A:A,repete!A:A),"-")</f>
        <v>-</v>
      </c>
    </row>
    <row r="228" spans="1:13" hidden="1">
      <c r="A228" s="1">
        <v>46023</v>
      </c>
      <c r="B228" t="s">
        <v>760</v>
      </c>
      <c r="C228" t="s">
        <v>616</v>
      </c>
      <c r="D228" t="s">
        <v>239</v>
      </c>
      <c r="E228" t="s">
        <v>59</v>
      </c>
      <c r="F228">
        <v>38</v>
      </c>
      <c r="G228">
        <v>2</v>
      </c>
      <c r="H228">
        <v>9.99500249875062E-4</v>
      </c>
      <c r="I228">
        <v>5.2631578947368397E-2</v>
      </c>
      <c r="J228" s="14" t="str">
        <f>_xlfn.XLOOKUP(B228,CAD_PDV!A:A,CAD_PDV!B:B)</f>
        <v>TELECELL TELEFONIA LTDA - ME</v>
      </c>
      <c r="K228" s="14">
        <f>IF(IFERROR(_xlfn.XLOOKUP(B228,Planilha2!D:D,Planilha2!H:H),0)="SIM",1,0)</f>
        <v>0</v>
      </c>
      <c r="L228" s="14" t="str">
        <f>_xlfn.XLOOKUP(B228,CAD_PDV!A:A,CAD_PDV!C:C)</f>
        <v>CO</v>
      </c>
      <c r="M228" s="14" t="str">
        <f>IFERROR(_xlfn.XLOOKUP(B228,repete!A:A,repete!A:A),"-")</f>
        <v>-</v>
      </c>
    </row>
    <row r="229" spans="1:13" hidden="1">
      <c r="A229" s="1">
        <v>46023</v>
      </c>
      <c r="B229" t="s">
        <v>2052</v>
      </c>
      <c r="C229" t="s">
        <v>2053</v>
      </c>
      <c r="D229" t="s">
        <v>193</v>
      </c>
      <c r="E229" t="s">
        <v>2074</v>
      </c>
      <c r="F229">
        <v>37</v>
      </c>
      <c r="G229">
        <v>2</v>
      </c>
      <c r="H229">
        <v>9.99500249875062E-4</v>
      </c>
      <c r="I229">
        <v>5.4054054054054099E-2</v>
      </c>
      <c r="J229" s="14" t="str">
        <f>_xlfn.XLOOKUP(B229,CAD_PDV!A:A,CAD_PDV!B:B)</f>
        <v>S D COMERCIO DE CELULARES LTDA - ME</v>
      </c>
      <c r="K229" s="14">
        <f>IF(IFERROR(_xlfn.XLOOKUP(B229,Planilha2!D:D,Planilha2!H:H),0)="SIM",1,0)</f>
        <v>0</v>
      </c>
      <c r="L229" s="14" t="str">
        <f>_xlfn.XLOOKUP(B229,CAD_PDV!A:A,CAD_PDV!C:C)</f>
        <v>RS</v>
      </c>
      <c r="M229" s="14" t="str">
        <f>IFERROR(_xlfn.XLOOKUP(B229,repete!A:A,repete!A:A),"-")</f>
        <v>-</v>
      </c>
    </row>
    <row r="230" spans="1:13" hidden="1">
      <c r="A230" s="1">
        <v>46023</v>
      </c>
      <c r="B230" t="s">
        <v>1741</v>
      </c>
      <c r="C230" t="s">
        <v>1744</v>
      </c>
      <c r="D230" t="s">
        <v>190</v>
      </c>
      <c r="E230" t="s">
        <v>2074</v>
      </c>
      <c r="F230">
        <v>150</v>
      </c>
      <c r="G230">
        <v>2</v>
      </c>
      <c r="H230">
        <v>9.99500249875062E-4</v>
      </c>
      <c r="I230">
        <v>1.3333333333333299E-2</v>
      </c>
      <c r="J230" s="14" t="str">
        <f>_xlfn.XLOOKUP(B230,CAD_PDV!A:A,CAD_PDV!B:B)</f>
        <v>RDJ TELECOMUNICACOES LTDA</v>
      </c>
      <c r="K230" s="14">
        <f>IF(IFERROR(_xlfn.XLOOKUP(B230,Planilha2!D:D,Planilha2!H:H),0)="SIM",1,0)</f>
        <v>0</v>
      </c>
      <c r="L230" s="14" t="str">
        <f>_xlfn.XLOOKUP(B230,CAD_PDV!A:A,CAD_PDV!C:C)</f>
        <v>PR/SC</v>
      </c>
      <c r="M230" s="14" t="str">
        <f>IFERROR(_xlfn.XLOOKUP(B230,repete!A:A,repete!A:A),"-")</f>
        <v>-</v>
      </c>
    </row>
    <row r="231" spans="1:13" hidden="1">
      <c r="A231" s="1">
        <v>46023</v>
      </c>
      <c r="B231" t="s">
        <v>470</v>
      </c>
      <c r="C231" t="s">
        <v>471</v>
      </c>
      <c r="D231" t="s">
        <v>235</v>
      </c>
      <c r="E231" t="s">
        <v>56</v>
      </c>
      <c r="F231">
        <v>31</v>
      </c>
      <c r="G231">
        <v>2</v>
      </c>
      <c r="H231">
        <v>9.99500249875062E-4</v>
      </c>
      <c r="I231">
        <v>6.4516129032258104E-2</v>
      </c>
      <c r="J231" s="14" t="str">
        <f>_xlfn.XLOOKUP(B231,CAD_PDV!A:A,CAD_PDV!B:B)</f>
        <v>P.G.L CELULARES LTDA</v>
      </c>
      <c r="K231" s="14">
        <f>IF(IFERROR(_xlfn.XLOOKUP(B231,Planilha2!D:D,Planilha2!H:H),0)="SIM",1,0)</f>
        <v>0</v>
      </c>
      <c r="L231" s="14" t="str">
        <f>_xlfn.XLOOKUP(B231,CAD_PDV!A:A,CAD_PDV!C:C)</f>
        <v>MG</v>
      </c>
      <c r="M231" s="14" t="str">
        <f>IFERROR(_xlfn.XLOOKUP(B231,repete!A:A,repete!A:A),"-")</f>
        <v>-</v>
      </c>
    </row>
    <row r="232" spans="1:13" hidden="1">
      <c r="A232" s="1">
        <v>46023</v>
      </c>
      <c r="B232" t="s">
        <v>2029</v>
      </c>
      <c r="C232" t="s">
        <v>2026</v>
      </c>
      <c r="D232" t="s">
        <v>193</v>
      </c>
      <c r="E232" t="s">
        <v>2074</v>
      </c>
      <c r="F232">
        <v>47</v>
      </c>
      <c r="G232">
        <v>2</v>
      </c>
      <c r="H232">
        <v>9.99500249875062E-4</v>
      </c>
      <c r="I232">
        <v>4.2553191489361701E-2</v>
      </c>
      <c r="J232" s="14" t="str">
        <f>_xlfn.XLOOKUP(B232,CAD_PDV!A:A,CAD_PDV!B:B)</f>
        <v>S D COMERCIO DE CELULARES LTDA - ME</v>
      </c>
      <c r="K232" s="14">
        <f>IF(IFERROR(_xlfn.XLOOKUP(B232,Planilha2!D:D,Planilha2!H:H),0)="SIM",1,0)</f>
        <v>0</v>
      </c>
      <c r="L232" s="14" t="str">
        <f>_xlfn.XLOOKUP(B232,CAD_PDV!A:A,CAD_PDV!C:C)</f>
        <v>RS</v>
      </c>
      <c r="M232" s="14" t="str">
        <f>IFERROR(_xlfn.XLOOKUP(B232,repete!A:A,repete!A:A),"-")</f>
        <v>-</v>
      </c>
    </row>
    <row r="233" spans="1:13" hidden="1">
      <c r="A233" s="1">
        <v>46023</v>
      </c>
      <c r="B233" t="s">
        <v>1373</v>
      </c>
      <c r="C233" t="s">
        <v>1313</v>
      </c>
      <c r="D233" t="s">
        <v>132</v>
      </c>
      <c r="E233" t="s">
        <v>53</v>
      </c>
      <c r="F233">
        <v>84</v>
      </c>
      <c r="G233">
        <v>2</v>
      </c>
      <c r="H233">
        <v>9.99500249875062E-4</v>
      </c>
      <c r="I233">
        <v>2.3809523809523801E-2</v>
      </c>
      <c r="J233" s="14" t="str">
        <f>_xlfn.XLOOKUP(B233,CAD_PDV!A:A,CAD_PDV!B:B)</f>
        <v>FLEX CELL</v>
      </c>
      <c r="K233" s="14">
        <f>IF(IFERROR(_xlfn.XLOOKUP(B233,Planilha2!D:D,Planilha2!H:H),0)="SIM",1,0)</f>
        <v>0</v>
      </c>
      <c r="L233" s="14" t="str">
        <f>_xlfn.XLOOKUP(B233,CAD_PDV!A:A,CAD_PDV!C:C)</f>
        <v>SP1</v>
      </c>
      <c r="M233" s="14" t="str">
        <f>IFERROR(_xlfn.XLOOKUP(B233,repete!A:A,repete!A:A),"-")</f>
        <v>-</v>
      </c>
    </row>
    <row r="234" spans="1:13" hidden="1">
      <c r="A234" s="1">
        <v>46023</v>
      </c>
      <c r="B234" t="s">
        <v>481</v>
      </c>
      <c r="C234" t="s">
        <v>483</v>
      </c>
      <c r="D234" t="s">
        <v>228</v>
      </c>
      <c r="E234" t="s">
        <v>56</v>
      </c>
      <c r="F234">
        <v>32</v>
      </c>
      <c r="G234">
        <v>2</v>
      </c>
      <c r="H234">
        <v>9.99500249875062E-4</v>
      </c>
      <c r="I234">
        <v>6.25E-2</v>
      </c>
      <c r="J234" s="14" t="str">
        <f>_xlfn.XLOOKUP(B234,CAD_PDV!A:A,CAD_PDV!B:B)</f>
        <v>FAJULUTI</v>
      </c>
      <c r="K234" s="14">
        <f>IF(IFERROR(_xlfn.XLOOKUP(B234,Planilha2!D:D,Planilha2!H:H),0)="SIM",1,0)</f>
        <v>0</v>
      </c>
      <c r="L234" s="14" t="str">
        <f>_xlfn.XLOOKUP(B234,CAD_PDV!A:A,CAD_PDV!C:C)</f>
        <v>MG</v>
      </c>
      <c r="M234" s="14" t="str">
        <f>IFERROR(_xlfn.XLOOKUP(B234,repete!A:A,repete!A:A),"-")</f>
        <v>-</v>
      </c>
    </row>
    <row r="235" spans="1:13" hidden="1">
      <c r="A235" s="1">
        <v>46023</v>
      </c>
      <c r="B235" t="s">
        <v>762</v>
      </c>
      <c r="C235" t="s">
        <v>763</v>
      </c>
      <c r="D235" t="s">
        <v>239</v>
      </c>
      <c r="E235" t="s">
        <v>59</v>
      </c>
      <c r="F235">
        <v>29</v>
      </c>
      <c r="G235">
        <v>2</v>
      </c>
      <c r="H235">
        <v>9.99500249875062E-4</v>
      </c>
      <c r="I235">
        <v>6.8965517241379296E-2</v>
      </c>
      <c r="J235" s="14" t="str">
        <f>_xlfn.XLOOKUP(B235,CAD_PDV!A:A,CAD_PDV!B:B)</f>
        <v>TELECELL TELEFONIA LTDA - ME</v>
      </c>
      <c r="K235" s="14">
        <f>IF(IFERROR(_xlfn.XLOOKUP(B235,Planilha2!D:D,Planilha2!H:H),0)="SIM",1,0)</f>
        <v>0</v>
      </c>
      <c r="L235" s="14" t="str">
        <f>_xlfn.XLOOKUP(B235,CAD_PDV!A:A,CAD_PDV!C:C)</f>
        <v>CO</v>
      </c>
      <c r="M235" s="14" t="str">
        <f>IFERROR(_xlfn.XLOOKUP(B235,repete!A:A,repete!A:A),"-")</f>
        <v>-</v>
      </c>
    </row>
    <row r="236" spans="1:13" hidden="1">
      <c r="A236" s="1">
        <v>46023</v>
      </c>
      <c r="B236" t="s">
        <v>1410</v>
      </c>
      <c r="C236" t="s">
        <v>1413</v>
      </c>
      <c r="D236" t="s">
        <v>220</v>
      </c>
      <c r="E236" t="s">
        <v>54</v>
      </c>
      <c r="F236">
        <v>49</v>
      </c>
      <c r="G236">
        <v>1</v>
      </c>
      <c r="H236">
        <v>4.99750124937531E-4</v>
      </c>
      <c r="I236">
        <v>2.04081632653061E-2</v>
      </c>
      <c r="J236" s="14" t="str">
        <f>_xlfn.XLOOKUP(B236,CAD_PDV!A:A,CAD_PDV!B:B)</f>
        <v>ADESIENE NUNES MACHADO - ME</v>
      </c>
      <c r="K236" s="14">
        <f>IF(IFERROR(_xlfn.XLOOKUP(B236,Planilha2!D:D,Planilha2!H:H),0)="SIM",1,0)</f>
        <v>0</v>
      </c>
      <c r="L236" s="14" t="str">
        <f>_xlfn.XLOOKUP(B236,CAD_PDV!A:A,CAD_PDV!C:C)</f>
        <v>SP2</v>
      </c>
      <c r="M236" s="14" t="str">
        <f>IFERROR(_xlfn.XLOOKUP(B236,repete!A:A,repete!A:A),"-")</f>
        <v>-</v>
      </c>
    </row>
    <row r="237" spans="1:13" hidden="1">
      <c r="A237" s="1">
        <v>46023</v>
      </c>
      <c r="B237" t="s">
        <v>710</v>
      </c>
      <c r="C237" t="s">
        <v>711</v>
      </c>
      <c r="D237" t="s">
        <v>239</v>
      </c>
      <c r="E237" t="s">
        <v>59</v>
      </c>
      <c r="F237">
        <v>32</v>
      </c>
      <c r="G237">
        <v>1</v>
      </c>
      <c r="H237">
        <v>4.99750124937531E-4</v>
      </c>
      <c r="I237">
        <v>3.125E-2</v>
      </c>
      <c r="J237" s="14" t="str">
        <f>_xlfn.XLOOKUP(B237,CAD_PDV!A:A,CAD_PDV!B:B)</f>
        <v>TELECELL TELEFONIA LTDA - ME</v>
      </c>
      <c r="K237" s="14">
        <f>IF(IFERROR(_xlfn.XLOOKUP(B237,Planilha2!D:D,Planilha2!H:H),0)="SIM",1,0)</f>
        <v>0</v>
      </c>
      <c r="L237" s="14" t="str">
        <f>_xlfn.XLOOKUP(B237,CAD_PDV!A:A,CAD_PDV!C:C)</f>
        <v>CO</v>
      </c>
      <c r="M237" s="14" t="str">
        <f>IFERROR(_xlfn.XLOOKUP(B237,repete!A:A,repete!A:A),"-")</f>
        <v>-</v>
      </c>
    </row>
    <row r="238" spans="1:13" hidden="1">
      <c r="A238" s="1">
        <v>46023</v>
      </c>
      <c r="B238" t="s">
        <v>1788</v>
      </c>
      <c r="C238" t="s">
        <v>1789</v>
      </c>
      <c r="D238" t="s">
        <v>103</v>
      </c>
      <c r="E238" t="s">
        <v>2074</v>
      </c>
      <c r="F238">
        <v>22</v>
      </c>
      <c r="G238">
        <v>1</v>
      </c>
      <c r="H238">
        <v>4.99750124937531E-4</v>
      </c>
      <c r="I238">
        <v>4.5454545454545497E-2</v>
      </c>
      <c r="J238" s="14" t="str">
        <f>_xlfn.XLOOKUP(B238,CAD_PDV!A:A,CAD_PDV!B:B)</f>
        <v>CARLOS EDUARDO SAVIAN - EPP</v>
      </c>
      <c r="K238" s="14">
        <f>IF(IFERROR(_xlfn.XLOOKUP(B238,Planilha2!D:D,Planilha2!H:H),0)="SIM",1,0)</f>
        <v>0</v>
      </c>
      <c r="L238" s="14" t="str">
        <f>_xlfn.XLOOKUP(B238,CAD_PDV!A:A,CAD_PDV!C:C)</f>
        <v>PR/SC</v>
      </c>
      <c r="M238" s="14" t="str">
        <f>IFERROR(_xlfn.XLOOKUP(B238,repete!A:A,repete!A:A),"-")</f>
        <v>-</v>
      </c>
    </row>
    <row r="239" spans="1:13" hidden="1">
      <c r="A239" s="1">
        <v>46023</v>
      </c>
      <c r="B239" t="s">
        <v>1436</v>
      </c>
      <c r="C239" t="s">
        <v>1439</v>
      </c>
      <c r="D239" t="s">
        <v>120</v>
      </c>
      <c r="E239" t="s">
        <v>54</v>
      </c>
      <c r="F239">
        <v>57</v>
      </c>
      <c r="G239">
        <v>1</v>
      </c>
      <c r="H239">
        <v>4.99750124937531E-4</v>
      </c>
      <c r="I239">
        <v>1.7543859649122799E-2</v>
      </c>
      <c r="J239" s="14" t="str">
        <f>_xlfn.XLOOKUP(B239,CAD_PDV!A:A,CAD_PDV!B:B)</f>
        <v>DOUGLAS LUIZ ELETRONICOS - ME</v>
      </c>
      <c r="K239" s="14">
        <f>IF(IFERROR(_xlfn.XLOOKUP(B239,Planilha2!D:D,Planilha2!H:H),0)="SIM",1,0)</f>
        <v>0</v>
      </c>
      <c r="L239" s="14" t="str">
        <f>_xlfn.XLOOKUP(B239,CAD_PDV!A:A,CAD_PDV!C:C)</f>
        <v>SP2</v>
      </c>
      <c r="M239" s="14" t="str">
        <f>IFERROR(_xlfn.XLOOKUP(B239,repete!A:A,repete!A:A),"-")</f>
        <v>-</v>
      </c>
    </row>
    <row r="240" spans="1:13" hidden="1">
      <c r="A240" s="1">
        <v>46023</v>
      </c>
      <c r="B240" t="s">
        <v>1355</v>
      </c>
      <c r="C240" t="s">
        <v>1313</v>
      </c>
      <c r="D240" t="s">
        <v>132</v>
      </c>
      <c r="E240" t="s">
        <v>53</v>
      </c>
      <c r="F240">
        <v>77</v>
      </c>
      <c r="G240">
        <v>1</v>
      </c>
      <c r="H240">
        <v>4.99750124937531E-4</v>
      </c>
      <c r="I240">
        <v>1.2987012987013E-2</v>
      </c>
      <c r="J240" s="14" t="str">
        <f>_xlfn.XLOOKUP(B240,CAD_PDV!A:A,CAD_PDV!B:B)</f>
        <v>FLEX CELL</v>
      </c>
      <c r="K240" s="14">
        <f>IF(IFERROR(_xlfn.XLOOKUP(B240,Planilha2!D:D,Planilha2!H:H),0)="SIM",1,0)</f>
        <v>0</v>
      </c>
      <c r="L240" s="14" t="str">
        <f>_xlfn.XLOOKUP(B240,CAD_PDV!A:A,CAD_PDV!C:C)</f>
        <v>SP1</v>
      </c>
      <c r="M240" s="14" t="str">
        <f>IFERROR(_xlfn.XLOOKUP(B240,repete!A:A,repete!A:A),"-")</f>
        <v>-</v>
      </c>
    </row>
    <row r="241" spans="1:13" hidden="1">
      <c r="A241" s="1">
        <v>46023</v>
      </c>
      <c r="B241" t="s">
        <v>1445</v>
      </c>
      <c r="C241" t="s">
        <v>1446</v>
      </c>
      <c r="D241" t="s">
        <v>132</v>
      </c>
      <c r="E241" t="s">
        <v>54</v>
      </c>
      <c r="F241">
        <v>17</v>
      </c>
      <c r="G241">
        <v>1</v>
      </c>
      <c r="H241">
        <v>4.99750124937531E-4</v>
      </c>
      <c r="I241">
        <v>5.8823529411764698E-2</v>
      </c>
      <c r="J241" s="14" t="str">
        <f>_xlfn.XLOOKUP(B241,CAD_PDV!A:A,CAD_PDV!B:B)</f>
        <v>FLEX CELL</v>
      </c>
      <c r="K241" s="14">
        <f>IF(IFERROR(_xlfn.XLOOKUP(B241,Planilha2!D:D,Planilha2!H:H),0)="SIM",1,0)</f>
        <v>0</v>
      </c>
      <c r="L241" s="14" t="str">
        <f>_xlfn.XLOOKUP(B241,CAD_PDV!A:A,CAD_PDV!C:C)</f>
        <v>SP2</v>
      </c>
      <c r="M241" s="14" t="str">
        <f>IFERROR(_xlfn.XLOOKUP(B241,repete!A:A,repete!A:A),"-")</f>
        <v>-</v>
      </c>
    </row>
    <row r="242" spans="1:13" hidden="1">
      <c r="A242" s="1">
        <v>46023</v>
      </c>
      <c r="B242" t="s">
        <v>1449</v>
      </c>
      <c r="C242" t="s">
        <v>1451</v>
      </c>
      <c r="D242" t="s">
        <v>132</v>
      </c>
      <c r="E242" t="s">
        <v>54</v>
      </c>
      <c r="F242">
        <v>54</v>
      </c>
      <c r="G242">
        <v>1</v>
      </c>
      <c r="H242">
        <v>4.99750124937531E-4</v>
      </c>
      <c r="I242">
        <v>1.85185185185185E-2</v>
      </c>
      <c r="J242" s="14" t="str">
        <f>_xlfn.XLOOKUP(B242,CAD_PDV!A:A,CAD_PDV!B:B)</f>
        <v>FLEX CELL</v>
      </c>
      <c r="K242" s="14">
        <f>IF(IFERROR(_xlfn.XLOOKUP(B242,Planilha2!D:D,Planilha2!H:H),0)="SIM",1,0)</f>
        <v>0</v>
      </c>
      <c r="L242" s="14" t="str">
        <f>_xlfn.XLOOKUP(B242,CAD_PDV!A:A,CAD_PDV!C:C)</f>
        <v>SP2</v>
      </c>
      <c r="M242" s="14" t="str">
        <f>IFERROR(_xlfn.XLOOKUP(B242,repete!A:A,repete!A:A),"-")</f>
        <v>-</v>
      </c>
    </row>
    <row r="243" spans="1:13" hidden="1">
      <c r="A243" s="1">
        <v>46023</v>
      </c>
      <c r="B243" t="s">
        <v>1467</v>
      </c>
      <c r="C243" t="s">
        <v>1469</v>
      </c>
      <c r="D243" t="s">
        <v>232</v>
      </c>
      <c r="E243" t="s">
        <v>54</v>
      </c>
      <c r="F243">
        <v>39</v>
      </c>
      <c r="G243">
        <v>1</v>
      </c>
      <c r="H243">
        <v>4.99750124937531E-4</v>
      </c>
      <c r="I243">
        <v>2.5641025641025599E-2</v>
      </c>
      <c r="J243" s="14" t="str">
        <f>_xlfn.XLOOKUP(B243,CAD_PDV!A:A,CAD_PDV!B:B)</f>
        <v>HS TELECOM</v>
      </c>
      <c r="K243" s="14">
        <f>IF(IFERROR(_xlfn.XLOOKUP(B243,Planilha2!D:D,Planilha2!H:H),0)="SIM",1,0)</f>
        <v>0</v>
      </c>
      <c r="L243" s="14" t="str">
        <f>_xlfn.XLOOKUP(B243,CAD_PDV!A:A,CAD_PDV!C:C)</f>
        <v>SP2</v>
      </c>
      <c r="M243" s="14" t="str">
        <f>IFERROR(_xlfn.XLOOKUP(B243,repete!A:A,repete!A:A),"-")</f>
        <v>-</v>
      </c>
    </row>
    <row r="244" spans="1:13" hidden="1">
      <c r="A244" s="1">
        <v>46023</v>
      </c>
      <c r="B244" t="s">
        <v>982</v>
      </c>
      <c r="C244" t="s">
        <v>983</v>
      </c>
      <c r="D244" t="s">
        <v>232</v>
      </c>
      <c r="E244" t="s">
        <v>60</v>
      </c>
      <c r="F244">
        <v>25</v>
      </c>
      <c r="G244">
        <v>1</v>
      </c>
      <c r="H244">
        <v>4.99750124937531E-4</v>
      </c>
      <c r="I244">
        <v>0.04</v>
      </c>
      <c r="J244" s="14" t="str">
        <f>_xlfn.XLOOKUP(B244,CAD_PDV!A:A,CAD_PDV!B:B)</f>
        <v>HS TELECOM</v>
      </c>
      <c r="K244" s="14">
        <f>IF(IFERROR(_xlfn.XLOOKUP(B244,Planilha2!D:D,Planilha2!H:H),0)="SIM",1,0)</f>
        <v>0</v>
      </c>
      <c r="L244" s="14" t="str">
        <f>_xlfn.XLOOKUP(B244,CAD_PDV!A:A,CAD_PDV!C:C)</f>
        <v>BA/SE</v>
      </c>
      <c r="M244" s="14" t="str">
        <f>IFERROR(_xlfn.XLOOKUP(B244,repete!A:A,repete!A:A),"-")</f>
        <v>-</v>
      </c>
    </row>
    <row r="245" spans="1:13" hidden="1">
      <c r="A245" s="1">
        <v>46023</v>
      </c>
      <c r="B245" t="s">
        <v>2082</v>
      </c>
      <c r="C245" t="s">
        <v>2083</v>
      </c>
      <c r="D245" t="s">
        <v>2080</v>
      </c>
      <c r="E245" t="s">
        <v>2074</v>
      </c>
      <c r="F245">
        <v>18</v>
      </c>
      <c r="G245">
        <v>1</v>
      </c>
      <c r="H245">
        <v>4.99750124937531E-4</v>
      </c>
      <c r="I245">
        <v>5.5555555555555601E-2</v>
      </c>
      <c r="J245" s="14" t="e">
        <f>_xlfn.XLOOKUP(B245,CAD_PDV!A:A,CAD_PDV!B:B)</f>
        <v>#N/A</v>
      </c>
      <c r="K245" s="14">
        <f>IF(IFERROR(_xlfn.XLOOKUP(B245,Planilha2!D:D,Planilha2!H:H),0)="SIM",1,0)</f>
        <v>0</v>
      </c>
      <c r="L245" s="14" t="e">
        <f>_xlfn.XLOOKUP(B245,CAD_PDV!A:A,CAD_PDV!C:C)</f>
        <v>#N/A</v>
      </c>
      <c r="M245" s="14" t="str">
        <f>IFERROR(_xlfn.XLOOKUP(B245,repete!A:A,repete!A:A),"-")</f>
        <v>-</v>
      </c>
    </row>
    <row r="246" spans="1:13" hidden="1">
      <c r="A246" s="1">
        <v>46023</v>
      </c>
      <c r="B246" t="s">
        <v>874</v>
      </c>
      <c r="C246" t="s">
        <v>875</v>
      </c>
      <c r="D246" t="s">
        <v>239</v>
      </c>
      <c r="E246" t="s">
        <v>59</v>
      </c>
      <c r="F246">
        <v>65</v>
      </c>
      <c r="G246">
        <v>1</v>
      </c>
      <c r="H246">
        <v>4.99750124937531E-4</v>
      </c>
      <c r="I246">
        <v>1.5384615384615399E-2</v>
      </c>
      <c r="J246" s="14" t="str">
        <f>_xlfn.XLOOKUP(B246,CAD_PDV!A:A,CAD_PDV!B:B)</f>
        <v>TELECELL TELEFONIA LTDA - ME</v>
      </c>
      <c r="K246" s="14">
        <f>IF(IFERROR(_xlfn.XLOOKUP(B246,Planilha2!D:D,Planilha2!H:H),0)="SIM",1,0)</f>
        <v>0</v>
      </c>
      <c r="L246" s="14" t="str">
        <f>_xlfn.XLOOKUP(B246,CAD_PDV!A:A,CAD_PDV!C:C)</f>
        <v>CO</v>
      </c>
      <c r="M246" s="14" t="str">
        <f>IFERROR(_xlfn.XLOOKUP(B246,repete!A:A,repete!A:A),"-")</f>
        <v>-</v>
      </c>
    </row>
    <row r="247" spans="1:13" hidden="1">
      <c r="A247" s="1">
        <v>46023</v>
      </c>
      <c r="B247" t="s">
        <v>1478</v>
      </c>
      <c r="C247" t="s">
        <v>1464</v>
      </c>
      <c r="D247" t="s">
        <v>106</v>
      </c>
      <c r="E247" t="s">
        <v>54</v>
      </c>
      <c r="F247">
        <v>39</v>
      </c>
      <c r="G247">
        <v>1</v>
      </c>
      <c r="H247">
        <v>4.99750124937531E-4</v>
      </c>
      <c r="I247">
        <v>2.5641025641025599E-2</v>
      </c>
      <c r="J247" s="14" t="str">
        <f>_xlfn.XLOOKUP(B247,CAD_PDV!A:A,CAD_PDV!B:B)</f>
        <v>CELLULAR.COM</v>
      </c>
      <c r="K247" s="14">
        <f>IF(IFERROR(_xlfn.XLOOKUP(B247,Planilha2!D:D,Planilha2!H:H),0)="SIM",1,0)</f>
        <v>0</v>
      </c>
      <c r="L247" s="14" t="str">
        <f>_xlfn.XLOOKUP(B247,CAD_PDV!A:A,CAD_PDV!C:C)</f>
        <v>SP2</v>
      </c>
      <c r="M247" s="14" t="str">
        <f>IFERROR(_xlfn.XLOOKUP(B247,repete!A:A,repete!A:A),"-")</f>
        <v>-</v>
      </c>
    </row>
    <row r="248" spans="1:13" hidden="1">
      <c r="A248" s="1">
        <v>46023</v>
      </c>
      <c r="B248" t="s">
        <v>1208</v>
      </c>
      <c r="C248" t="s">
        <v>1142</v>
      </c>
      <c r="D248" t="s">
        <v>237</v>
      </c>
      <c r="E248" t="s">
        <v>55</v>
      </c>
      <c r="F248">
        <v>117</v>
      </c>
      <c r="G248">
        <v>1</v>
      </c>
      <c r="H248">
        <v>4.99750124937531E-4</v>
      </c>
      <c r="I248">
        <v>8.5470085470085496E-3</v>
      </c>
      <c r="J248" s="14" t="str">
        <f>_xlfn.XLOOKUP(B248,CAD_PDV!A:A,CAD_PDV!B:B)</f>
        <v>PONTO CERTO COMERCIO E COMUNICAÇÕES LTDA</v>
      </c>
      <c r="K248" s="14">
        <f>IF(IFERROR(_xlfn.XLOOKUP(B248,Planilha2!D:D,Planilha2!H:H),0)="SIM",1,0)</f>
        <v>0</v>
      </c>
      <c r="L248" s="14" t="str">
        <f>_xlfn.XLOOKUP(B248,CAD_PDV!A:A,CAD_PDV!C:C)</f>
        <v>RJ/ES</v>
      </c>
      <c r="M248" s="14" t="str">
        <f>IFERROR(_xlfn.XLOOKUP(B248,repete!A:A,repete!A:A),"-")</f>
        <v>-</v>
      </c>
    </row>
    <row r="249" spans="1:13" hidden="1">
      <c r="A249" s="1">
        <v>46023</v>
      </c>
      <c r="B249" t="s">
        <v>1784</v>
      </c>
      <c r="C249" t="s">
        <v>1785</v>
      </c>
      <c r="D249" t="s">
        <v>103</v>
      </c>
      <c r="E249" t="s">
        <v>2074</v>
      </c>
      <c r="F249">
        <v>27</v>
      </c>
      <c r="G249">
        <v>1</v>
      </c>
      <c r="H249">
        <v>4.99750124937531E-4</v>
      </c>
      <c r="I249">
        <v>3.7037037037037E-2</v>
      </c>
      <c r="J249" s="14" t="str">
        <f>_xlfn.XLOOKUP(B249,CAD_PDV!A:A,CAD_PDV!B:B)</f>
        <v>CARLOS EDUARDO SAVIAN - EPP</v>
      </c>
      <c r="K249" s="14">
        <f>IF(IFERROR(_xlfn.XLOOKUP(B249,Planilha2!D:D,Planilha2!H:H),0)="SIM",1,0)</f>
        <v>0</v>
      </c>
      <c r="L249" s="14" t="str">
        <f>_xlfn.XLOOKUP(B249,CAD_PDV!A:A,CAD_PDV!C:C)</f>
        <v>PR/SC</v>
      </c>
      <c r="M249" s="14" t="str">
        <f>IFERROR(_xlfn.XLOOKUP(B249,repete!A:A,repete!A:A),"-")</f>
        <v>-</v>
      </c>
    </row>
    <row r="250" spans="1:13" hidden="1">
      <c r="A250" s="1">
        <v>46023</v>
      </c>
      <c r="B250" t="s">
        <v>2084</v>
      </c>
      <c r="C250" t="s">
        <v>2085</v>
      </c>
      <c r="D250" t="s">
        <v>2077</v>
      </c>
      <c r="E250" t="s">
        <v>2074</v>
      </c>
      <c r="F250">
        <v>52</v>
      </c>
      <c r="G250">
        <v>1</v>
      </c>
      <c r="H250">
        <v>4.99750124937531E-4</v>
      </c>
      <c r="I250">
        <v>1.9230769230769201E-2</v>
      </c>
      <c r="J250" s="14" t="e">
        <f>_xlfn.XLOOKUP(B250,CAD_PDV!A:A,CAD_PDV!B:B)</f>
        <v>#N/A</v>
      </c>
      <c r="K250" s="14">
        <f>IF(IFERROR(_xlfn.XLOOKUP(B250,Planilha2!D:D,Planilha2!H:H),0)="SIM",1,0)</f>
        <v>1</v>
      </c>
      <c r="L250" s="14" t="e">
        <f>_xlfn.XLOOKUP(B250,CAD_PDV!A:A,CAD_PDV!C:C)</f>
        <v>#N/A</v>
      </c>
      <c r="M250" s="14" t="str">
        <f>IFERROR(_xlfn.XLOOKUP(B250,repete!A:A,repete!A:A),"-")</f>
        <v>-</v>
      </c>
    </row>
    <row r="251" spans="1:13" hidden="1">
      <c r="A251" s="1">
        <v>46023</v>
      </c>
      <c r="B251" t="s">
        <v>1356</v>
      </c>
      <c r="C251" t="s">
        <v>1357</v>
      </c>
      <c r="D251" t="s">
        <v>132</v>
      </c>
      <c r="E251" t="s">
        <v>53</v>
      </c>
      <c r="F251">
        <v>45</v>
      </c>
      <c r="G251">
        <v>1</v>
      </c>
      <c r="H251">
        <v>4.99750124937531E-4</v>
      </c>
      <c r="I251">
        <v>2.2222222222222199E-2</v>
      </c>
      <c r="J251" s="14" t="str">
        <f>_xlfn.XLOOKUP(B251,CAD_PDV!A:A,CAD_PDV!B:B)</f>
        <v>FLEX CELL</v>
      </c>
      <c r="K251" s="14">
        <f>IF(IFERROR(_xlfn.XLOOKUP(B251,Planilha2!D:D,Planilha2!H:H),0)="SIM",1,0)</f>
        <v>0</v>
      </c>
      <c r="L251" s="14" t="str">
        <f>_xlfn.XLOOKUP(B251,CAD_PDV!A:A,CAD_PDV!C:C)</f>
        <v>SP1</v>
      </c>
      <c r="M251" s="14" t="str">
        <f>IFERROR(_xlfn.XLOOKUP(B251,repete!A:A,repete!A:A),"-")</f>
        <v>-</v>
      </c>
    </row>
    <row r="252" spans="1:13" hidden="1">
      <c r="A252" s="1">
        <v>46023</v>
      </c>
      <c r="B252" t="s">
        <v>1216</v>
      </c>
      <c r="C252" t="s">
        <v>1182</v>
      </c>
      <c r="D252" t="s">
        <v>228</v>
      </c>
      <c r="E252" t="s">
        <v>55</v>
      </c>
      <c r="F252">
        <v>121</v>
      </c>
      <c r="G252">
        <v>1</v>
      </c>
      <c r="H252">
        <v>4.99750124937531E-4</v>
      </c>
      <c r="I252">
        <v>8.2644628099173608E-3</v>
      </c>
      <c r="J252" s="14" t="str">
        <f>_xlfn.XLOOKUP(B252,CAD_PDV!A:A,CAD_PDV!B:B)</f>
        <v>FAJULUTI</v>
      </c>
      <c r="K252" s="14">
        <f>IF(IFERROR(_xlfn.XLOOKUP(B252,Planilha2!D:D,Planilha2!H:H),0)="SIM",1,0)</f>
        <v>0</v>
      </c>
      <c r="L252" s="14" t="str">
        <f>_xlfn.XLOOKUP(B252,CAD_PDV!A:A,CAD_PDV!C:C)</f>
        <v>RJ/ES</v>
      </c>
      <c r="M252" s="14" t="str">
        <f>IFERROR(_xlfn.XLOOKUP(B252,repete!A:A,repete!A:A),"-")</f>
        <v>-</v>
      </c>
    </row>
    <row r="253" spans="1:13" hidden="1">
      <c r="A253" s="1">
        <v>46023</v>
      </c>
      <c r="B253" t="s">
        <v>2048</v>
      </c>
      <c r="C253" t="s">
        <v>2049</v>
      </c>
      <c r="D253" t="s">
        <v>193</v>
      </c>
      <c r="E253" t="s">
        <v>2074</v>
      </c>
      <c r="F253">
        <v>16</v>
      </c>
      <c r="G253">
        <v>1</v>
      </c>
      <c r="H253">
        <v>4.99750124937531E-4</v>
      </c>
      <c r="I253">
        <v>6.25E-2</v>
      </c>
      <c r="J253" s="14" t="str">
        <f>_xlfn.XLOOKUP(B253,CAD_PDV!A:A,CAD_PDV!B:B)</f>
        <v>S D COMERCIO DE CELULARES LTDA - ME</v>
      </c>
      <c r="K253" s="14">
        <f>IF(IFERROR(_xlfn.XLOOKUP(B253,Planilha2!D:D,Planilha2!H:H),0)="SIM",1,0)</f>
        <v>0</v>
      </c>
      <c r="L253" s="14" t="str">
        <f>_xlfn.XLOOKUP(B253,CAD_PDV!A:A,CAD_PDV!C:C)</f>
        <v>RS</v>
      </c>
      <c r="M253" s="14" t="str">
        <f>IFERROR(_xlfn.XLOOKUP(B253,repete!A:A,repete!A:A),"-")</f>
        <v>-</v>
      </c>
    </row>
    <row r="254" spans="1:13" hidden="1">
      <c r="A254" s="1">
        <v>46023</v>
      </c>
      <c r="B254" t="s">
        <v>858</v>
      </c>
      <c r="C254" t="s">
        <v>716</v>
      </c>
      <c r="D254" t="s">
        <v>2073</v>
      </c>
      <c r="E254" t="s">
        <v>59</v>
      </c>
      <c r="F254">
        <v>8</v>
      </c>
      <c r="G254">
        <v>1</v>
      </c>
      <c r="H254">
        <v>4.99750124937531E-4</v>
      </c>
      <c r="I254">
        <v>0.125</v>
      </c>
      <c r="J254" s="14" t="str">
        <f>_xlfn.XLOOKUP(B254,CAD_PDV!A:A,CAD_PDV!B:B)</f>
        <v xml:space="preserve">CONTACOM COMERCIO DE APARELHOS ELETRONICOS LTDA </v>
      </c>
      <c r="K254" s="14">
        <f>IF(IFERROR(_xlfn.XLOOKUP(B254,Planilha2!D:D,Planilha2!H:H),0)="SIM",1,0)</f>
        <v>0</v>
      </c>
      <c r="L254" s="14" t="str">
        <f>_xlfn.XLOOKUP(B254,CAD_PDV!A:A,CAD_PDV!C:C)</f>
        <v>CO</v>
      </c>
      <c r="M254" s="14" t="str">
        <f>IFERROR(_xlfn.XLOOKUP(B254,repete!A:A,repete!A:A),"-")</f>
        <v>-</v>
      </c>
    </row>
    <row r="255" spans="1:13" hidden="1">
      <c r="A255" s="1">
        <v>46023</v>
      </c>
      <c r="B255" t="s">
        <v>1906</v>
      </c>
      <c r="C255" t="s">
        <v>1904</v>
      </c>
      <c r="D255" t="s">
        <v>97</v>
      </c>
      <c r="E255" t="s">
        <v>2074</v>
      </c>
      <c r="F255">
        <v>30</v>
      </c>
      <c r="G255">
        <v>1</v>
      </c>
      <c r="H255">
        <v>4.99750124937531E-4</v>
      </c>
      <c r="I255">
        <v>3.3333333333333298E-2</v>
      </c>
      <c r="J255" s="14" t="str">
        <f>_xlfn.XLOOKUP(B255,CAD_PDV!A:A,CAD_PDV!B:B)</f>
        <v>BANDEIRA</v>
      </c>
      <c r="K255" s="14">
        <f>IF(IFERROR(_xlfn.XLOOKUP(B255,Planilha2!D:D,Planilha2!H:H),0)="SIM",1,0)</f>
        <v>0</v>
      </c>
      <c r="L255" s="14" t="str">
        <f>_xlfn.XLOOKUP(B255,CAD_PDV!A:A,CAD_PDV!C:C)</f>
        <v>PR/SC</v>
      </c>
      <c r="M255" s="14" t="str">
        <f>IFERROR(_xlfn.XLOOKUP(B255,repete!A:A,repete!A:A),"-")</f>
        <v>-</v>
      </c>
    </row>
    <row r="256" spans="1:13" hidden="1">
      <c r="A256" s="1">
        <v>46023</v>
      </c>
      <c r="B256" t="s">
        <v>2086</v>
      </c>
      <c r="C256" t="s">
        <v>902</v>
      </c>
      <c r="D256" t="s">
        <v>215</v>
      </c>
      <c r="E256" t="s">
        <v>59</v>
      </c>
      <c r="F256">
        <v>51</v>
      </c>
      <c r="G256">
        <v>1</v>
      </c>
      <c r="H256">
        <v>4.99750124937531E-4</v>
      </c>
      <c r="I256">
        <v>1.9607843137254902E-2</v>
      </c>
      <c r="J256" s="14" t="str">
        <f>_xlfn.XLOOKUP(B256,CAD_PDV!A:A,CAD_PDV!B:B)</f>
        <v>VIA SALLUS</v>
      </c>
      <c r="K256" s="14">
        <f>IF(IFERROR(_xlfn.XLOOKUP(B256,Planilha2!D:D,Planilha2!H:H),0)="SIM",1,0)</f>
        <v>0</v>
      </c>
      <c r="L256" s="14" t="str">
        <f>_xlfn.XLOOKUP(B256,CAD_PDV!A:A,CAD_PDV!C:C)</f>
        <v>CO</v>
      </c>
      <c r="M256" s="14" t="str">
        <f>IFERROR(_xlfn.XLOOKUP(B256,repete!A:A,repete!A:A),"-")</f>
        <v>-</v>
      </c>
    </row>
    <row r="257" spans="1:13" hidden="1">
      <c r="A257" s="1">
        <v>46023</v>
      </c>
      <c r="B257" t="s">
        <v>1895</v>
      </c>
      <c r="C257" t="s">
        <v>1894</v>
      </c>
      <c r="D257" t="s">
        <v>124</v>
      </c>
      <c r="E257" t="s">
        <v>2074</v>
      </c>
      <c r="F257">
        <v>93</v>
      </c>
      <c r="G257">
        <v>1</v>
      </c>
      <c r="H257">
        <v>4.99750124937531E-4</v>
      </c>
      <c r="I257">
        <v>1.0752688172042999E-2</v>
      </c>
      <c r="J257" s="14" t="str">
        <f>_xlfn.XLOOKUP(B257,CAD_PDV!A:A,CAD_PDV!B:B)</f>
        <v>EDUARDO JUNQUEIRA DA SILVEIRA ADMIN</v>
      </c>
      <c r="K257" s="14">
        <f>IF(IFERROR(_xlfn.XLOOKUP(B257,Planilha2!D:D,Planilha2!H:H),0)="SIM",1,0)</f>
        <v>0</v>
      </c>
      <c r="L257" s="14" t="str">
        <f>_xlfn.XLOOKUP(B257,CAD_PDV!A:A,CAD_PDV!C:C)</f>
        <v>RS</v>
      </c>
      <c r="M257" s="14" t="str">
        <f>IFERROR(_xlfn.XLOOKUP(B257,repete!A:A,repete!A:A),"-")</f>
        <v>-</v>
      </c>
    </row>
    <row r="258" spans="1:13" hidden="1">
      <c r="A258" s="1">
        <v>46023</v>
      </c>
      <c r="B258" t="s">
        <v>2036</v>
      </c>
      <c r="C258" t="s">
        <v>2037</v>
      </c>
      <c r="D258" t="s">
        <v>193</v>
      </c>
      <c r="E258" t="s">
        <v>2074</v>
      </c>
      <c r="F258">
        <v>30</v>
      </c>
      <c r="G258">
        <v>1</v>
      </c>
      <c r="H258">
        <v>4.99750124937531E-4</v>
      </c>
      <c r="I258">
        <v>3.3333333333333298E-2</v>
      </c>
      <c r="J258" s="14" t="str">
        <f>_xlfn.XLOOKUP(B258,CAD_PDV!A:A,CAD_PDV!B:B)</f>
        <v>S D COMERCIO DE CELULARES LTDA - ME</v>
      </c>
      <c r="K258" s="14">
        <f>IF(IFERROR(_xlfn.XLOOKUP(B258,Planilha2!D:D,Planilha2!H:H),0)="SIM",1,0)</f>
        <v>0</v>
      </c>
      <c r="L258" s="14" t="str">
        <f>_xlfn.XLOOKUP(B258,CAD_PDV!A:A,CAD_PDV!C:C)</f>
        <v>RS</v>
      </c>
      <c r="M258" s="14" t="str">
        <f>IFERROR(_xlfn.XLOOKUP(B258,repete!A:A,repete!A:A),"-")</f>
        <v>-</v>
      </c>
    </row>
    <row r="259" spans="1:13" hidden="1">
      <c r="A259" s="1">
        <v>46023</v>
      </c>
      <c r="B259" t="s">
        <v>1558</v>
      </c>
      <c r="C259" t="s">
        <v>1559</v>
      </c>
      <c r="D259" t="s">
        <v>219</v>
      </c>
      <c r="E259" t="s">
        <v>54</v>
      </c>
      <c r="F259">
        <v>36</v>
      </c>
      <c r="G259">
        <v>1</v>
      </c>
      <c r="H259">
        <v>4.99750124937531E-4</v>
      </c>
      <c r="I259">
        <v>2.7777777777777801E-2</v>
      </c>
      <c r="J259" s="14" t="str">
        <f>_xlfn.XLOOKUP(B259,CAD_PDV!A:A,CAD_PDV!B:B)</f>
        <v>WCI CELULARES SERVICOS E TELECOMUNICACOES LTDA - EPP</v>
      </c>
      <c r="K259" s="14">
        <f>IF(IFERROR(_xlfn.XLOOKUP(B259,Planilha2!D:D,Planilha2!H:H),0)="SIM",1,0)</f>
        <v>0</v>
      </c>
      <c r="L259" s="14" t="str">
        <f>_xlfn.XLOOKUP(B259,CAD_PDV!A:A,CAD_PDV!C:C)</f>
        <v>SP2</v>
      </c>
      <c r="M259" s="14" t="str">
        <f>IFERROR(_xlfn.XLOOKUP(B259,repete!A:A,repete!A:A),"-")</f>
        <v>-</v>
      </c>
    </row>
    <row r="260" spans="1:13" hidden="1">
      <c r="A260" s="1">
        <v>46023</v>
      </c>
      <c r="B260" t="s">
        <v>776</v>
      </c>
      <c r="C260" t="s">
        <v>637</v>
      </c>
      <c r="D260" t="s">
        <v>221</v>
      </c>
      <c r="E260" t="s">
        <v>59</v>
      </c>
      <c r="F260">
        <v>50</v>
      </c>
      <c r="G260">
        <v>1</v>
      </c>
      <c r="H260">
        <v>4.99750124937531E-4</v>
      </c>
      <c r="I260">
        <v>0.02</v>
      </c>
      <c r="J260" s="14" t="str">
        <f>_xlfn.XLOOKUP(B260,CAD_PDV!A:A,CAD_PDV!B:B)</f>
        <v>AMERICOM COMERCIO DE APARELHOS ELETRONICOS LTDA - EPP</v>
      </c>
      <c r="K260" s="14">
        <f>IF(IFERROR(_xlfn.XLOOKUP(B260,Planilha2!D:D,Planilha2!H:H),0)="SIM",1,0)</f>
        <v>0</v>
      </c>
      <c r="L260" s="14" t="str">
        <f>_xlfn.XLOOKUP(B260,CAD_PDV!A:A,CAD_PDV!C:C)</f>
        <v>CO</v>
      </c>
      <c r="M260" s="14" t="str">
        <f>IFERROR(_xlfn.XLOOKUP(B260,repete!A:A,repete!A:A),"-")</f>
        <v>-</v>
      </c>
    </row>
    <row r="261" spans="1:13" hidden="1">
      <c r="A261" s="1">
        <v>46023</v>
      </c>
      <c r="B261" t="s">
        <v>1234</v>
      </c>
      <c r="C261" t="s">
        <v>1142</v>
      </c>
      <c r="D261" t="s">
        <v>237</v>
      </c>
      <c r="E261" t="s">
        <v>55</v>
      </c>
      <c r="F261">
        <v>142</v>
      </c>
      <c r="G261">
        <v>1</v>
      </c>
      <c r="H261">
        <v>4.99750124937531E-4</v>
      </c>
      <c r="I261">
        <v>7.0422535211267599E-3</v>
      </c>
      <c r="J261" s="14" t="str">
        <f>_xlfn.XLOOKUP(B261,CAD_PDV!A:A,CAD_PDV!B:B)</f>
        <v>PONTO CERTO COMERCIO E COMUNICAÇÕES LTDA</v>
      </c>
      <c r="K261" s="14">
        <f>IF(IFERROR(_xlfn.XLOOKUP(B261,Planilha2!D:D,Planilha2!H:H),0)="SIM",1,0)</f>
        <v>0</v>
      </c>
      <c r="L261" s="14" t="str">
        <f>_xlfn.XLOOKUP(B261,CAD_PDV!A:A,CAD_PDV!C:C)</f>
        <v>RJ/ES</v>
      </c>
      <c r="M261" s="14" t="str">
        <f>IFERROR(_xlfn.XLOOKUP(B261,repete!A:A,repete!A:A),"-")</f>
        <v>-</v>
      </c>
    </row>
    <row r="262" spans="1:13" hidden="1">
      <c r="A262" s="1">
        <v>46023</v>
      </c>
      <c r="B262" t="s">
        <v>1237</v>
      </c>
      <c r="C262" t="s">
        <v>1142</v>
      </c>
      <c r="D262" t="s">
        <v>237</v>
      </c>
      <c r="E262" t="s">
        <v>55</v>
      </c>
      <c r="F262">
        <v>133</v>
      </c>
      <c r="G262">
        <v>1</v>
      </c>
      <c r="H262">
        <v>4.99750124937531E-4</v>
      </c>
      <c r="I262">
        <v>7.5187969924812E-3</v>
      </c>
      <c r="J262" s="14" t="str">
        <f>_xlfn.XLOOKUP(B262,CAD_PDV!A:A,CAD_PDV!B:B)</f>
        <v>PONTO CERTO COMERCIO E COMUNICAÇÕES LTDA</v>
      </c>
      <c r="K262" s="14">
        <f>IF(IFERROR(_xlfn.XLOOKUP(B262,Planilha2!D:D,Planilha2!H:H),0)="SIM",1,0)</f>
        <v>0</v>
      </c>
      <c r="L262" s="14" t="str">
        <f>_xlfn.XLOOKUP(B262,CAD_PDV!A:A,CAD_PDV!C:C)</f>
        <v>RJ/ES</v>
      </c>
      <c r="M262" s="14" t="str">
        <f>IFERROR(_xlfn.XLOOKUP(B262,repete!A:A,repete!A:A),"-")</f>
        <v>-</v>
      </c>
    </row>
    <row r="263" spans="1:13" hidden="1">
      <c r="A263" s="1">
        <v>46023</v>
      </c>
      <c r="B263" t="s">
        <v>737</v>
      </c>
      <c r="C263" t="s">
        <v>738</v>
      </c>
      <c r="D263" t="s">
        <v>231</v>
      </c>
      <c r="E263" t="s">
        <v>59</v>
      </c>
      <c r="F263">
        <v>47</v>
      </c>
      <c r="G263">
        <v>1</v>
      </c>
      <c r="H263">
        <v>4.99750124937531E-4</v>
      </c>
      <c r="I263">
        <v>2.1276595744680899E-2</v>
      </c>
      <c r="J263" s="14" t="str">
        <f>_xlfn.XLOOKUP(B263,CAD_PDV!A:A,CAD_PDV!B:B)</f>
        <v>HIROTA &amp; HIROTA LTDA - ME</v>
      </c>
      <c r="K263" s="14">
        <f>IF(IFERROR(_xlfn.XLOOKUP(B263,Planilha2!D:D,Planilha2!H:H),0)="SIM",1,0)</f>
        <v>0</v>
      </c>
      <c r="L263" s="14" t="str">
        <f>_xlfn.XLOOKUP(B263,CAD_PDV!A:A,CAD_PDV!C:C)</f>
        <v>CO</v>
      </c>
      <c r="M263" s="14" t="str">
        <f>IFERROR(_xlfn.XLOOKUP(B263,repete!A:A,repete!A:A),"-")</f>
        <v>-</v>
      </c>
    </row>
    <row r="264" spans="1:13" hidden="1">
      <c r="A264" s="1">
        <v>46023</v>
      </c>
      <c r="B264" t="s">
        <v>1586</v>
      </c>
      <c r="C264" t="s">
        <v>1587</v>
      </c>
      <c r="D264" t="s">
        <v>132</v>
      </c>
      <c r="E264" t="s">
        <v>54</v>
      </c>
      <c r="F264">
        <v>38</v>
      </c>
      <c r="G264">
        <v>1</v>
      </c>
      <c r="H264">
        <v>4.99750124937531E-4</v>
      </c>
      <c r="I264">
        <v>2.6315789473684199E-2</v>
      </c>
      <c r="J264" s="14" t="str">
        <f>_xlfn.XLOOKUP(B264,CAD_PDV!A:A,CAD_PDV!B:B)</f>
        <v>FLEX CELL</v>
      </c>
      <c r="K264" s="14">
        <f>IF(IFERROR(_xlfn.XLOOKUP(B264,Planilha2!D:D,Planilha2!H:H),0)="SIM",1,0)</f>
        <v>0</v>
      </c>
      <c r="L264" s="14" t="str">
        <f>_xlfn.XLOOKUP(B264,CAD_PDV!A:A,CAD_PDV!C:C)</f>
        <v>SP2</v>
      </c>
      <c r="M264" s="14" t="str">
        <f>IFERROR(_xlfn.XLOOKUP(B264,repete!A:A,repete!A:A),"-")</f>
        <v>-</v>
      </c>
    </row>
    <row r="265" spans="1:13" hidden="1">
      <c r="A265" s="1">
        <v>46023</v>
      </c>
      <c r="B265" t="s">
        <v>1949</v>
      </c>
      <c r="C265" t="s">
        <v>1950</v>
      </c>
      <c r="D265" t="s">
        <v>176</v>
      </c>
      <c r="E265" t="s">
        <v>2074</v>
      </c>
      <c r="F265">
        <v>71</v>
      </c>
      <c r="G265">
        <v>1</v>
      </c>
      <c r="H265">
        <v>4.99750124937531E-4</v>
      </c>
      <c r="I265">
        <v>1.4084507042253501E-2</v>
      </c>
      <c r="J265" s="14" t="str">
        <f>_xlfn.XLOOKUP(B265,CAD_PDV!A:A,CAD_PDV!B:B)</f>
        <v>NEW POINT CELULAR LTDA - ME</v>
      </c>
      <c r="K265" s="14">
        <f>IF(IFERROR(_xlfn.XLOOKUP(B265,Planilha2!D:D,Planilha2!H:H),0)="SIM",1,0)</f>
        <v>0</v>
      </c>
      <c r="L265" s="14" t="str">
        <f>_xlfn.XLOOKUP(B265,CAD_PDV!A:A,CAD_PDV!C:C)</f>
        <v>RS</v>
      </c>
      <c r="M265" s="14" t="str">
        <f>IFERROR(_xlfn.XLOOKUP(B265,repete!A:A,repete!A:A),"-")</f>
        <v>-</v>
      </c>
    </row>
    <row r="266" spans="1:13" hidden="1">
      <c r="A266" s="1">
        <v>46023</v>
      </c>
      <c r="B266" t="s">
        <v>887</v>
      </c>
      <c r="C266" t="s">
        <v>873</v>
      </c>
      <c r="D266" t="s">
        <v>224</v>
      </c>
      <c r="E266" t="s">
        <v>59</v>
      </c>
      <c r="F266">
        <v>63</v>
      </c>
      <c r="G266">
        <v>1</v>
      </c>
      <c r="H266">
        <v>4.99750124937531E-4</v>
      </c>
      <c r="I266">
        <v>1.58730158730159E-2</v>
      </c>
      <c r="J266" s="14" t="str">
        <f>_xlfn.XLOOKUP(B266,CAD_PDV!A:A,CAD_PDV!B:B)</f>
        <v>CELNET COMERCIO E SERVICOS DE TELEFONIA LTDA ME</v>
      </c>
      <c r="K266" s="14">
        <f>IF(IFERROR(_xlfn.XLOOKUP(B266,Planilha2!D:D,Planilha2!H:H),0)="SIM",1,0)</f>
        <v>0</v>
      </c>
      <c r="L266" s="14" t="str">
        <f>_xlfn.XLOOKUP(B266,CAD_PDV!A:A,CAD_PDV!C:C)</f>
        <v>CO</v>
      </c>
      <c r="M266" s="14" t="str">
        <f>IFERROR(_xlfn.XLOOKUP(B266,repete!A:A,repete!A:A),"-")</f>
        <v>-</v>
      </c>
    </row>
    <row r="267" spans="1:13" hidden="1">
      <c r="A267" s="1">
        <v>46023</v>
      </c>
      <c r="B267" t="s">
        <v>1821</v>
      </c>
      <c r="C267" t="s">
        <v>1822</v>
      </c>
      <c r="D267" t="s">
        <v>95</v>
      </c>
      <c r="E267" t="s">
        <v>2074</v>
      </c>
      <c r="F267">
        <v>11</v>
      </c>
      <c r="G267">
        <v>1</v>
      </c>
      <c r="H267">
        <v>4.99750124937531E-4</v>
      </c>
      <c r="I267">
        <v>9.0909090909090898E-2</v>
      </c>
      <c r="J267" s="14" t="str">
        <f>_xlfn.XLOOKUP(B267,CAD_PDV!A:A,CAD_PDV!B:B)</f>
        <v>AYRES E DEBONI LTDA - ME</v>
      </c>
      <c r="K267" s="14">
        <f>IF(IFERROR(_xlfn.XLOOKUP(B267,Planilha2!D:D,Planilha2!H:H),0)="SIM",1,0)</f>
        <v>0</v>
      </c>
      <c r="L267" s="14" t="str">
        <f>_xlfn.XLOOKUP(B267,CAD_PDV!A:A,CAD_PDV!C:C)</f>
        <v>RS</v>
      </c>
      <c r="M267" s="14" t="str">
        <f>IFERROR(_xlfn.XLOOKUP(B267,repete!A:A,repete!A:A),"-")</f>
        <v>-</v>
      </c>
    </row>
    <row r="268" spans="1:13" hidden="1">
      <c r="A268" s="1">
        <v>46023</v>
      </c>
      <c r="B268" t="s">
        <v>889</v>
      </c>
      <c r="C268" t="s">
        <v>873</v>
      </c>
      <c r="D268" t="s">
        <v>239</v>
      </c>
      <c r="E268" t="s">
        <v>59</v>
      </c>
      <c r="F268">
        <v>62</v>
      </c>
      <c r="G268">
        <v>1</v>
      </c>
      <c r="H268">
        <v>4.99750124937531E-4</v>
      </c>
      <c r="I268">
        <v>1.6129032258064498E-2</v>
      </c>
      <c r="J268" s="14" t="str">
        <f>_xlfn.XLOOKUP(B268,CAD_PDV!A:A,CAD_PDV!B:B)</f>
        <v>TELECELL TELEFONIA LTDA - ME</v>
      </c>
      <c r="K268" s="14">
        <f>IF(IFERROR(_xlfn.XLOOKUP(B268,Planilha2!D:D,Planilha2!H:H),0)="SIM",1,0)</f>
        <v>0</v>
      </c>
      <c r="L268" s="14" t="str">
        <f>_xlfn.XLOOKUP(B268,CAD_PDV!A:A,CAD_PDV!C:C)</f>
        <v>CO</v>
      </c>
      <c r="M268" s="14" t="str">
        <f>IFERROR(_xlfn.XLOOKUP(B268,repete!A:A,repete!A:A),"-")</f>
        <v>-</v>
      </c>
    </row>
    <row r="269" spans="1:13" hidden="1">
      <c r="A269" s="1">
        <v>46023</v>
      </c>
      <c r="B269" t="s">
        <v>1603</v>
      </c>
      <c r="C269" t="s">
        <v>1557</v>
      </c>
      <c r="D269" t="s">
        <v>119</v>
      </c>
      <c r="E269" t="s">
        <v>54</v>
      </c>
      <c r="F269">
        <v>28</v>
      </c>
      <c r="G269">
        <v>1</v>
      </c>
      <c r="H269">
        <v>4.99750124937531E-4</v>
      </c>
      <c r="I269">
        <v>3.5714285714285698E-2</v>
      </c>
      <c r="J269" s="14" t="str">
        <f>_xlfn.XLOOKUP(B269,CAD_PDV!A:A,CAD_PDV!B:B)</f>
        <v>DOM BARRETO COMERCIAL LTDA - ME</v>
      </c>
      <c r="K269" s="14">
        <f>IF(IFERROR(_xlfn.XLOOKUP(B269,Planilha2!D:D,Planilha2!H:H),0)="SIM",1,0)</f>
        <v>0</v>
      </c>
      <c r="L269" s="14" t="str">
        <f>_xlfn.XLOOKUP(B269,CAD_PDV!A:A,CAD_PDV!C:C)</f>
        <v>SP2</v>
      </c>
      <c r="M269" s="14" t="str">
        <f>IFERROR(_xlfn.XLOOKUP(B269,repete!A:A,repete!A:A),"-")</f>
        <v>-</v>
      </c>
    </row>
    <row r="270" spans="1:13" hidden="1">
      <c r="A270" s="1">
        <v>46023</v>
      </c>
      <c r="B270" t="s">
        <v>890</v>
      </c>
      <c r="C270" t="s">
        <v>891</v>
      </c>
      <c r="D270" t="s">
        <v>239</v>
      </c>
      <c r="E270" t="s">
        <v>59</v>
      </c>
      <c r="F270">
        <v>87</v>
      </c>
      <c r="G270">
        <v>1</v>
      </c>
      <c r="H270">
        <v>4.99750124937531E-4</v>
      </c>
      <c r="I270">
        <v>1.1494252873563199E-2</v>
      </c>
      <c r="J270" s="14" t="str">
        <f>_xlfn.XLOOKUP(B270,CAD_PDV!A:A,CAD_PDV!B:B)</f>
        <v>TELECELL TELEFONIA LTDA - ME</v>
      </c>
      <c r="K270" s="14">
        <f>IF(IFERROR(_xlfn.XLOOKUP(B270,Planilha2!D:D,Planilha2!H:H),0)="SIM",1,0)</f>
        <v>0</v>
      </c>
      <c r="L270" s="14" t="str">
        <f>_xlfn.XLOOKUP(B270,CAD_PDV!A:A,CAD_PDV!C:C)</f>
        <v>CO</v>
      </c>
      <c r="M270" s="14" t="str">
        <f>IFERROR(_xlfn.XLOOKUP(B270,repete!A:A,repete!A:A),"-")</f>
        <v>-</v>
      </c>
    </row>
    <row r="271" spans="1:13" hidden="1">
      <c r="A271" s="1">
        <v>46023</v>
      </c>
      <c r="B271" t="s">
        <v>2087</v>
      </c>
      <c r="C271" t="s">
        <v>2053</v>
      </c>
      <c r="D271" t="s">
        <v>2080</v>
      </c>
      <c r="E271" t="s">
        <v>2074</v>
      </c>
      <c r="F271">
        <v>45</v>
      </c>
      <c r="G271">
        <v>1</v>
      </c>
      <c r="H271">
        <v>4.99750124937531E-4</v>
      </c>
      <c r="I271">
        <v>2.2222222222222199E-2</v>
      </c>
      <c r="J271" s="14" t="e">
        <f>_xlfn.XLOOKUP(B271,CAD_PDV!A:A,CAD_PDV!B:B)</f>
        <v>#N/A</v>
      </c>
      <c r="K271" s="14">
        <f>IF(IFERROR(_xlfn.XLOOKUP(B271,Planilha2!D:D,Planilha2!H:H),0)="SIM",1,0)</f>
        <v>0</v>
      </c>
      <c r="L271" s="14" t="e">
        <f>_xlfn.XLOOKUP(B271,CAD_PDV!A:A,CAD_PDV!C:C)</f>
        <v>#N/A</v>
      </c>
      <c r="M271" s="14" t="str">
        <f>IFERROR(_xlfn.XLOOKUP(B271,repete!A:A,repete!A:A),"-")</f>
        <v>-</v>
      </c>
    </row>
    <row r="272" spans="1:13" hidden="1">
      <c r="A272" s="1">
        <v>46023</v>
      </c>
      <c r="B272" t="s">
        <v>1612</v>
      </c>
      <c r="C272" t="s">
        <v>1547</v>
      </c>
      <c r="D272" t="s">
        <v>132</v>
      </c>
      <c r="E272" t="s">
        <v>54</v>
      </c>
      <c r="F272">
        <v>82</v>
      </c>
      <c r="G272">
        <v>1</v>
      </c>
      <c r="H272">
        <v>4.99750124937531E-4</v>
      </c>
      <c r="I272">
        <v>1.21951219512195E-2</v>
      </c>
      <c r="J272" s="14" t="str">
        <f>_xlfn.XLOOKUP(B272,CAD_PDV!A:A,CAD_PDV!B:B)</f>
        <v>FLEX CELL</v>
      </c>
      <c r="K272" s="14">
        <f>IF(IFERROR(_xlfn.XLOOKUP(B272,Planilha2!D:D,Planilha2!H:H),0)="SIM",1,0)</f>
        <v>0</v>
      </c>
      <c r="L272" s="14" t="str">
        <f>_xlfn.XLOOKUP(B272,CAD_PDV!A:A,CAD_PDV!C:C)</f>
        <v>SP2</v>
      </c>
      <c r="M272" s="14" t="str">
        <f>IFERROR(_xlfn.XLOOKUP(B272,repete!A:A,repete!A:A),"-")</f>
        <v>-</v>
      </c>
    </row>
    <row r="273" spans="1:13" hidden="1">
      <c r="A273" s="1">
        <v>46023</v>
      </c>
      <c r="B273" t="s">
        <v>1615</v>
      </c>
      <c r="C273" t="s">
        <v>1616</v>
      </c>
      <c r="D273" t="s">
        <v>132</v>
      </c>
      <c r="E273" t="s">
        <v>54</v>
      </c>
      <c r="F273">
        <v>24</v>
      </c>
      <c r="G273">
        <v>1</v>
      </c>
      <c r="H273">
        <v>4.99750124937531E-4</v>
      </c>
      <c r="I273">
        <v>4.1666666666666699E-2</v>
      </c>
      <c r="J273" s="14" t="str">
        <f>_xlfn.XLOOKUP(B273,CAD_PDV!A:A,CAD_PDV!B:B)</f>
        <v>FLEX CELL</v>
      </c>
      <c r="K273" s="14">
        <f>IF(IFERROR(_xlfn.XLOOKUP(B273,Planilha2!D:D,Planilha2!H:H),0)="SIM",1,0)</f>
        <v>0</v>
      </c>
      <c r="L273" s="14" t="str">
        <f>_xlfn.XLOOKUP(B273,CAD_PDV!A:A,CAD_PDV!C:C)</f>
        <v>SP2</v>
      </c>
      <c r="M273" s="14" t="str">
        <f>IFERROR(_xlfn.XLOOKUP(B273,repete!A:A,repete!A:A),"-")</f>
        <v>-</v>
      </c>
    </row>
    <row r="274" spans="1:13" hidden="1">
      <c r="A274" s="1">
        <v>46023</v>
      </c>
      <c r="B274" t="s">
        <v>1951</v>
      </c>
      <c r="C274" t="s">
        <v>1952</v>
      </c>
      <c r="D274" t="s">
        <v>176</v>
      </c>
      <c r="E274" t="s">
        <v>2074</v>
      </c>
      <c r="F274">
        <v>154</v>
      </c>
      <c r="G274">
        <v>1</v>
      </c>
      <c r="H274">
        <v>4.99750124937531E-4</v>
      </c>
      <c r="I274">
        <v>6.4935064935064896E-3</v>
      </c>
      <c r="J274" s="14" t="str">
        <f>_xlfn.XLOOKUP(B274,CAD_PDV!A:A,CAD_PDV!B:B)</f>
        <v>NEW POINT CELULAR LTDA - ME</v>
      </c>
      <c r="K274" s="14">
        <f>IF(IFERROR(_xlfn.XLOOKUP(B274,Planilha2!D:D,Planilha2!H:H),0)="SIM",1,0)</f>
        <v>0</v>
      </c>
      <c r="L274" s="14" t="str">
        <f>_xlfn.XLOOKUP(B274,CAD_PDV!A:A,CAD_PDV!C:C)</f>
        <v>RS</v>
      </c>
      <c r="M274" s="14" t="str">
        <f>IFERROR(_xlfn.XLOOKUP(B274,repete!A:A,repete!A:A),"-")</f>
        <v>-</v>
      </c>
    </row>
    <row r="275" spans="1:13" hidden="1">
      <c r="A275" s="1">
        <v>46023</v>
      </c>
      <c r="B275" t="s">
        <v>357</v>
      </c>
      <c r="C275" t="s">
        <v>358</v>
      </c>
      <c r="D275" t="s">
        <v>230</v>
      </c>
      <c r="E275" t="s">
        <v>61</v>
      </c>
      <c r="F275">
        <v>52</v>
      </c>
      <c r="G275">
        <v>1</v>
      </c>
      <c r="H275">
        <v>4.99750124937531E-4</v>
      </c>
      <c r="I275">
        <v>1.9230769230769201E-2</v>
      </c>
      <c r="J275" s="14" t="str">
        <f>_xlfn.XLOOKUP(B275,CAD_PDV!A:A,CAD_PDV!B:B)</f>
        <v>HARCOS COMERCIO E SERVICOS LTDA - EPP</v>
      </c>
      <c r="K275" s="14">
        <f>IF(IFERROR(_xlfn.XLOOKUP(B275,Planilha2!D:D,Planilha2!H:H),0)="SIM",1,0)</f>
        <v>0</v>
      </c>
      <c r="L275" s="14" t="str">
        <f>_xlfn.XLOOKUP(B275,CAD_PDV!A:A,CAD_PDV!C:C)</f>
        <v>NE</v>
      </c>
      <c r="M275" s="14" t="str">
        <f>IFERROR(_xlfn.XLOOKUP(B275,repete!A:A,repete!A:A),"-")</f>
        <v>-</v>
      </c>
    </row>
    <row r="276" spans="1:13" hidden="1">
      <c r="A276" s="1">
        <v>46023</v>
      </c>
      <c r="B276" t="s">
        <v>1868</v>
      </c>
      <c r="C276" t="s">
        <v>1870</v>
      </c>
      <c r="D276" t="s">
        <v>124</v>
      </c>
      <c r="E276" t="s">
        <v>2074</v>
      </c>
      <c r="F276">
        <v>29</v>
      </c>
      <c r="G276">
        <v>1</v>
      </c>
      <c r="H276">
        <v>4.99750124937531E-4</v>
      </c>
      <c r="I276">
        <v>3.4482758620689703E-2</v>
      </c>
      <c r="J276" s="14" t="str">
        <f>_xlfn.XLOOKUP(B276,CAD_PDV!A:A,CAD_PDV!B:B)</f>
        <v>EDUARDO JUNQUEIRA DA SILVEIRA ADMIN</v>
      </c>
      <c r="K276" s="14">
        <f>IF(IFERROR(_xlfn.XLOOKUP(B276,Planilha2!D:D,Planilha2!H:H),0)="SIM",1,0)</f>
        <v>0</v>
      </c>
      <c r="L276" s="14" t="str">
        <f>_xlfn.XLOOKUP(B276,CAD_PDV!A:A,CAD_PDV!C:C)</f>
        <v>RS</v>
      </c>
      <c r="M276" s="14" t="str">
        <f>IFERROR(_xlfn.XLOOKUP(B276,repete!A:A,repete!A:A),"-")</f>
        <v>-</v>
      </c>
    </row>
    <row r="277" spans="1:13" hidden="1">
      <c r="A277" s="1">
        <v>46023</v>
      </c>
      <c r="B277" t="s">
        <v>958</v>
      </c>
      <c r="C277" t="s">
        <v>944</v>
      </c>
      <c r="D277" t="s">
        <v>232</v>
      </c>
      <c r="E277" t="s">
        <v>60</v>
      </c>
      <c r="F277">
        <v>106</v>
      </c>
      <c r="G277">
        <v>1</v>
      </c>
      <c r="H277">
        <v>4.99750124937531E-4</v>
      </c>
      <c r="I277">
        <v>9.4339622641509396E-3</v>
      </c>
      <c r="J277" s="14" t="str">
        <f>_xlfn.XLOOKUP(B277,CAD_PDV!A:A,CAD_PDV!B:B)</f>
        <v>HS TELECOM</v>
      </c>
      <c r="K277" s="14">
        <f>IF(IFERROR(_xlfn.XLOOKUP(B277,Planilha2!D:D,Planilha2!H:H),0)="SIM",1,0)</f>
        <v>0</v>
      </c>
      <c r="L277" s="14" t="str">
        <f>_xlfn.XLOOKUP(B277,CAD_PDV!A:A,CAD_PDV!C:C)</f>
        <v>BA/SE</v>
      </c>
      <c r="M277" s="14" t="str">
        <f>IFERROR(_xlfn.XLOOKUP(B277,repete!A:A,repete!A:A),"-")</f>
        <v>-</v>
      </c>
    </row>
    <row r="278" spans="1:13" hidden="1">
      <c r="A278" s="1">
        <v>46023</v>
      </c>
      <c r="B278" t="s">
        <v>799</v>
      </c>
      <c r="C278" t="s">
        <v>651</v>
      </c>
      <c r="D278" t="s">
        <v>239</v>
      </c>
      <c r="E278" t="s">
        <v>59</v>
      </c>
      <c r="F278">
        <v>68</v>
      </c>
      <c r="G278">
        <v>1</v>
      </c>
      <c r="H278">
        <v>4.99750124937531E-4</v>
      </c>
      <c r="I278">
        <v>1.4705882352941201E-2</v>
      </c>
      <c r="J278" s="14" t="str">
        <f>_xlfn.XLOOKUP(B278,CAD_PDV!A:A,CAD_PDV!B:B)</f>
        <v>TELECELL TELEFONIA LTDA - ME</v>
      </c>
      <c r="K278" s="14">
        <f>IF(IFERROR(_xlfn.XLOOKUP(B278,Planilha2!D:D,Planilha2!H:H),0)="SIM",1,0)</f>
        <v>0</v>
      </c>
      <c r="L278" s="14" t="str">
        <f>_xlfn.XLOOKUP(B278,CAD_PDV!A:A,CAD_PDV!C:C)</f>
        <v>CO</v>
      </c>
      <c r="M278" s="14" t="str">
        <f>IFERROR(_xlfn.XLOOKUP(B278,repete!A:A,repete!A:A),"-")</f>
        <v>-</v>
      </c>
    </row>
    <row r="279" spans="1:13" hidden="1">
      <c r="A279" s="1">
        <v>46023</v>
      </c>
      <c r="B279" t="s">
        <v>2088</v>
      </c>
      <c r="C279" t="s">
        <v>1757</v>
      </c>
      <c r="D279" t="s">
        <v>2080</v>
      </c>
      <c r="E279" t="s">
        <v>2074</v>
      </c>
      <c r="F279">
        <v>146</v>
      </c>
      <c r="G279">
        <v>1</v>
      </c>
      <c r="H279">
        <v>4.99750124937531E-4</v>
      </c>
      <c r="I279">
        <v>6.8493150684931503E-3</v>
      </c>
      <c r="J279" s="14" t="e">
        <f>_xlfn.XLOOKUP(B279,CAD_PDV!A:A,CAD_PDV!B:B)</f>
        <v>#N/A</v>
      </c>
      <c r="K279" s="14">
        <f>IF(IFERROR(_xlfn.XLOOKUP(B279,Planilha2!D:D,Planilha2!H:H),0)="SIM",1,0)</f>
        <v>0</v>
      </c>
      <c r="L279" s="14" t="e">
        <f>_xlfn.XLOOKUP(B279,CAD_PDV!A:A,CAD_PDV!C:C)</f>
        <v>#N/A</v>
      </c>
      <c r="M279" s="14" t="str">
        <f>IFERROR(_xlfn.XLOOKUP(B279,repete!A:A,repete!A:A),"-")</f>
        <v>-</v>
      </c>
    </row>
    <row r="280" spans="1:13" hidden="1">
      <c r="A280" s="1">
        <v>46023</v>
      </c>
      <c r="B280" t="s">
        <v>565</v>
      </c>
      <c r="C280" t="s">
        <v>478</v>
      </c>
      <c r="D280" t="s">
        <v>228</v>
      </c>
      <c r="E280" t="s">
        <v>56</v>
      </c>
      <c r="F280">
        <v>16</v>
      </c>
      <c r="G280">
        <v>1</v>
      </c>
      <c r="H280">
        <v>4.99750124937531E-4</v>
      </c>
      <c r="I280">
        <v>6.25E-2</v>
      </c>
      <c r="J280" s="14" t="str">
        <f>_xlfn.XLOOKUP(B280,CAD_PDV!A:A,CAD_PDV!B:B)</f>
        <v>FAJULUTI</v>
      </c>
      <c r="K280" s="14">
        <f>IF(IFERROR(_xlfn.XLOOKUP(B280,Planilha2!D:D,Planilha2!H:H),0)="SIM",1,0)</f>
        <v>0</v>
      </c>
      <c r="L280" s="14" t="str">
        <f>_xlfn.XLOOKUP(B280,CAD_PDV!A:A,CAD_PDV!C:C)</f>
        <v>MG</v>
      </c>
      <c r="M280" s="14" t="str">
        <f>IFERROR(_xlfn.XLOOKUP(B280,repete!A:A,repete!A:A),"-")</f>
        <v>-</v>
      </c>
    </row>
    <row r="281" spans="1:13" hidden="1">
      <c r="A281" s="1">
        <v>46023</v>
      </c>
      <c r="B281" t="s">
        <v>800</v>
      </c>
      <c r="C281" t="s">
        <v>651</v>
      </c>
      <c r="D281" t="s">
        <v>239</v>
      </c>
      <c r="E281" t="s">
        <v>59</v>
      </c>
      <c r="F281">
        <v>82</v>
      </c>
      <c r="G281">
        <v>1</v>
      </c>
      <c r="H281">
        <v>4.99750124937531E-4</v>
      </c>
      <c r="I281">
        <v>1.21951219512195E-2</v>
      </c>
      <c r="J281" s="14" t="str">
        <f>_xlfn.XLOOKUP(B281,CAD_PDV!A:A,CAD_PDV!B:B)</f>
        <v>TELECELL TELEFONIA LTDA - ME</v>
      </c>
      <c r="K281" s="14">
        <f>IF(IFERROR(_xlfn.XLOOKUP(B281,Planilha2!D:D,Planilha2!H:H),0)="SIM",1,0)</f>
        <v>0</v>
      </c>
      <c r="L281" s="14" t="str">
        <f>_xlfn.XLOOKUP(B281,CAD_PDV!A:A,CAD_PDV!C:C)</f>
        <v>CO</v>
      </c>
      <c r="M281" s="14" t="str">
        <f>IFERROR(_xlfn.XLOOKUP(B281,repete!A:A,repete!A:A),"-")</f>
        <v>-</v>
      </c>
    </row>
    <row r="282" spans="1:13" hidden="1">
      <c r="A282" s="1">
        <v>46023</v>
      </c>
      <c r="B282" t="s">
        <v>1831</v>
      </c>
      <c r="C282" t="s">
        <v>1832</v>
      </c>
      <c r="D282" t="s">
        <v>95</v>
      </c>
      <c r="E282" t="s">
        <v>2074</v>
      </c>
      <c r="F282">
        <v>28</v>
      </c>
      <c r="G282">
        <v>1</v>
      </c>
      <c r="H282">
        <v>4.99750124937531E-4</v>
      </c>
      <c r="I282">
        <v>3.5714285714285698E-2</v>
      </c>
      <c r="J282" s="14" t="str">
        <f>_xlfn.XLOOKUP(B282,CAD_PDV!A:A,CAD_PDV!B:B)</f>
        <v>AYRES E DEBONI LTDA - ME</v>
      </c>
      <c r="K282" s="14">
        <f>IF(IFERROR(_xlfn.XLOOKUP(B282,Planilha2!D:D,Planilha2!H:H),0)="SIM",1,0)</f>
        <v>0</v>
      </c>
      <c r="L282" s="14" t="str">
        <f>_xlfn.XLOOKUP(B282,CAD_PDV!A:A,CAD_PDV!C:C)</f>
        <v>RS</v>
      </c>
      <c r="M282" s="14" t="str">
        <f>IFERROR(_xlfn.XLOOKUP(B282,repete!A:A,repete!A:A),"-")</f>
        <v>-</v>
      </c>
    </row>
    <row r="283" spans="1:13" hidden="1">
      <c r="A283" s="1">
        <v>46023</v>
      </c>
      <c r="B283" t="s">
        <v>614</v>
      </c>
      <c r="C283" t="s">
        <v>616</v>
      </c>
      <c r="D283" t="s">
        <v>239</v>
      </c>
      <c r="E283" t="s">
        <v>59</v>
      </c>
      <c r="F283">
        <v>33</v>
      </c>
      <c r="G283">
        <v>1</v>
      </c>
      <c r="H283">
        <v>4.99750124937531E-4</v>
      </c>
      <c r="I283">
        <v>3.03030303030303E-2</v>
      </c>
      <c r="J283" s="14" t="str">
        <f>_xlfn.XLOOKUP(B283,CAD_PDV!A:A,CAD_PDV!B:B)</f>
        <v>TELECELL TELEFONIA LTDA - ME</v>
      </c>
      <c r="K283" s="14">
        <f>IF(IFERROR(_xlfn.XLOOKUP(B283,Planilha2!D:D,Planilha2!H:H),0)="SIM",1,0)</f>
        <v>0</v>
      </c>
      <c r="L283" s="14" t="str">
        <f>_xlfn.XLOOKUP(B283,CAD_PDV!A:A,CAD_PDV!C:C)</f>
        <v>CO</v>
      </c>
      <c r="M283" s="14" t="str">
        <f>IFERROR(_xlfn.XLOOKUP(B283,repete!A:A,repete!A:A),"-")</f>
        <v>-</v>
      </c>
    </row>
    <row r="284" spans="1:13" hidden="1">
      <c r="A284" s="1">
        <v>46023</v>
      </c>
      <c r="B284" t="s">
        <v>843</v>
      </c>
      <c r="C284" t="s">
        <v>677</v>
      </c>
      <c r="D284" t="s">
        <v>239</v>
      </c>
      <c r="E284" t="s">
        <v>59</v>
      </c>
      <c r="F284">
        <v>74</v>
      </c>
      <c r="G284">
        <v>1</v>
      </c>
      <c r="H284">
        <v>4.99750124937531E-4</v>
      </c>
      <c r="I284">
        <v>1.35135135135135E-2</v>
      </c>
      <c r="J284" s="14" t="str">
        <f>_xlfn.XLOOKUP(B284,CAD_PDV!A:A,CAD_PDV!B:B)</f>
        <v>TELECELL TELEFONIA LTDA - ME</v>
      </c>
      <c r="K284" s="14">
        <f>IF(IFERROR(_xlfn.XLOOKUP(B284,Planilha2!D:D,Planilha2!H:H),0)="SIM",1,0)</f>
        <v>0</v>
      </c>
      <c r="L284" s="14" t="str">
        <f>_xlfn.XLOOKUP(B284,CAD_PDV!A:A,CAD_PDV!C:C)</f>
        <v>CO</v>
      </c>
      <c r="M284" s="14" t="str">
        <f>IFERROR(_xlfn.XLOOKUP(B284,repete!A:A,repete!A:A),"-")</f>
        <v>-</v>
      </c>
    </row>
    <row r="285" spans="1:13" hidden="1">
      <c r="A285" s="1">
        <v>46023</v>
      </c>
      <c r="B285" t="s">
        <v>1256</v>
      </c>
      <c r="C285" t="s">
        <v>1204</v>
      </c>
      <c r="D285" t="s">
        <v>2072</v>
      </c>
      <c r="E285" t="s">
        <v>55</v>
      </c>
      <c r="F285">
        <v>9</v>
      </c>
      <c r="G285">
        <v>1</v>
      </c>
      <c r="H285">
        <v>4.99750124937531E-4</v>
      </c>
      <c r="I285">
        <v>0.11111111111111099</v>
      </c>
      <c r="J285" s="14" t="str">
        <f>_xlfn.XLOOKUP(B285,CAD_PDV!A:A,CAD_PDV!B:B)</f>
        <v>MEXCELL COMERCIO E SERVICOS DE TELECOMUNICACOES LTDA</v>
      </c>
      <c r="K285" s="14">
        <f>IF(IFERROR(_xlfn.XLOOKUP(B285,Planilha2!D:D,Planilha2!H:H),0)="SIM",1,0)</f>
        <v>0</v>
      </c>
      <c r="L285" s="14" t="str">
        <f>_xlfn.XLOOKUP(B285,CAD_PDV!A:A,CAD_PDV!C:C)</f>
        <v>RJ/ES</v>
      </c>
      <c r="M285" s="14" t="str">
        <f>IFERROR(_xlfn.XLOOKUP(B285,repete!A:A,repete!A:A),"-")</f>
        <v>-</v>
      </c>
    </row>
    <row r="286" spans="1:13" hidden="1">
      <c r="A286" s="1">
        <v>46023</v>
      </c>
      <c r="B286" t="s">
        <v>1658</v>
      </c>
      <c r="C286" t="s">
        <v>1659</v>
      </c>
      <c r="D286" t="s">
        <v>232</v>
      </c>
      <c r="E286" t="s">
        <v>54</v>
      </c>
      <c r="F286">
        <v>99</v>
      </c>
      <c r="G286">
        <v>1</v>
      </c>
      <c r="H286">
        <v>4.99750124937531E-4</v>
      </c>
      <c r="I286">
        <v>1.01010101010101E-2</v>
      </c>
      <c r="J286" s="14" t="str">
        <f>_xlfn.XLOOKUP(B286,CAD_PDV!A:A,CAD_PDV!B:B)</f>
        <v>HS TELECOM</v>
      </c>
      <c r="K286" s="14">
        <f>IF(IFERROR(_xlfn.XLOOKUP(B286,Planilha2!D:D,Planilha2!H:H),0)="SIM",1,0)</f>
        <v>0</v>
      </c>
      <c r="L286" s="14" t="str">
        <f>_xlfn.XLOOKUP(B286,CAD_PDV!A:A,CAD_PDV!C:C)</f>
        <v>SP2</v>
      </c>
      <c r="M286" s="14" t="str">
        <f>IFERROR(_xlfn.XLOOKUP(B286,repete!A:A,repete!A:A),"-")</f>
        <v>-</v>
      </c>
    </row>
    <row r="287" spans="1:13" hidden="1">
      <c r="A287" s="1">
        <v>46023</v>
      </c>
      <c r="B287" t="s">
        <v>2089</v>
      </c>
      <c r="C287" t="s">
        <v>1757</v>
      </c>
      <c r="D287" t="s">
        <v>2080</v>
      </c>
      <c r="E287" t="s">
        <v>2074</v>
      </c>
      <c r="F287">
        <v>56</v>
      </c>
      <c r="G287">
        <v>1</v>
      </c>
      <c r="H287">
        <v>4.99750124937531E-4</v>
      </c>
      <c r="I287">
        <v>1.7857142857142901E-2</v>
      </c>
      <c r="J287" s="14" t="e">
        <f>_xlfn.XLOOKUP(B287,CAD_PDV!A:A,CAD_PDV!B:B)</f>
        <v>#N/A</v>
      </c>
      <c r="K287" s="14">
        <f>IF(IFERROR(_xlfn.XLOOKUP(B287,Planilha2!D:D,Planilha2!H:H),0)="SIM",1,0)</f>
        <v>0</v>
      </c>
      <c r="L287" s="14" t="e">
        <f>_xlfn.XLOOKUP(B287,CAD_PDV!A:A,CAD_PDV!C:C)</f>
        <v>#N/A</v>
      </c>
      <c r="M287" s="14" t="str">
        <f>IFERROR(_xlfn.XLOOKUP(B287,repete!A:A,repete!A:A),"-")</f>
        <v>-</v>
      </c>
    </row>
    <row r="288" spans="1:13" hidden="1">
      <c r="A288" s="1">
        <v>46023</v>
      </c>
      <c r="B288" t="s">
        <v>1694</v>
      </c>
      <c r="C288" t="s">
        <v>1695</v>
      </c>
      <c r="D288" t="s">
        <v>232</v>
      </c>
      <c r="E288" t="s">
        <v>54</v>
      </c>
      <c r="F288">
        <v>56</v>
      </c>
      <c r="G288">
        <v>1</v>
      </c>
      <c r="H288">
        <v>4.99750124937531E-4</v>
      </c>
      <c r="I288">
        <v>1.7857142857142901E-2</v>
      </c>
      <c r="J288" s="14" t="str">
        <f>_xlfn.XLOOKUP(B288,CAD_PDV!A:A,CAD_PDV!B:B)</f>
        <v>HS TELECOM</v>
      </c>
      <c r="K288" s="14">
        <f>IF(IFERROR(_xlfn.XLOOKUP(B288,Planilha2!D:D,Planilha2!H:H),0)="SIM",1,0)</f>
        <v>0</v>
      </c>
      <c r="L288" s="14" t="str">
        <f>_xlfn.XLOOKUP(B288,CAD_PDV!A:A,CAD_PDV!C:C)</f>
        <v>SP2</v>
      </c>
      <c r="M288" s="14" t="str">
        <f>IFERROR(_xlfn.XLOOKUP(B288,repete!A:A,repete!A:A),"-")</f>
        <v>-</v>
      </c>
    </row>
    <row r="289" spans="1:13" hidden="1">
      <c r="A289" s="1">
        <v>46023</v>
      </c>
      <c r="B289" t="s">
        <v>648</v>
      </c>
      <c r="C289" t="s">
        <v>649</v>
      </c>
      <c r="D289" t="s">
        <v>240</v>
      </c>
      <c r="E289" t="s">
        <v>59</v>
      </c>
      <c r="F289">
        <v>29</v>
      </c>
      <c r="G289">
        <v>1</v>
      </c>
      <c r="H289">
        <v>4.99750124937531E-4</v>
      </c>
      <c r="I289">
        <v>3.4482758620689703E-2</v>
      </c>
      <c r="J289" s="14" t="str">
        <f>_xlfn.XLOOKUP(B289,CAD_PDV!A:A,CAD_PDV!B:B)</f>
        <v>TELEMAIS TELEFONIA LTDA - ME</v>
      </c>
      <c r="K289" s="14">
        <f>IF(IFERROR(_xlfn.XLOOKUP(B289,Planilha2!D:D,Planilha2!H:H),0)="SIM",1,0)</f>
        <v>0</v>
      </c>
      <c r="L289" s="14" t="str">
        <f>_xlfn.XLOOKUP(B289,CAD_PDV!A:A,CAD_PDV!C:C)</f>
        <v>CO</v>
      </c>
      <c r="M289" s="14" t="str">
        <f>IFERROR(_xlfn.XLOOKUP(B289,repete!A:A,repete!A:A),"-")</f>
        <v>-</v>
      </c>
    </row>
    <row r="290" spans="1:13" hidden="1">
      <c r="A290" s="1">
        <v>46023</v>
      </c>
      <c r="B290" t="s">
        <v>1696</v>
      </c>
      <c r="C290" t="s">
        <v>1499</v>
      </c>
      <c r="D290" t="s">
        <v>132</v>
      </c>
      <c r="E290" t="s">
        <v>54</v>
      </c>
      <c r="F290">
        <v>28</v>
      </c>
      <c r="G290">
        <v>1</v>
      </c>
      <c r="H290">
        <v>4.99750124937531E-4</v>
      </c>
      <c r="I290">
        <v>3.5714285714285698E-2</v>
      </c>
      <c r="J290" s="14" t="str">
        <f>_xlfn.XLOOKUP(B290,CAD_PDV!A:A,CAD_PDV!B:B)</f>
        <v>FLEX CELL</v>
      </c>
      <c r="K290" s="14">
        <f>IF(IFERROR(_xlfn.XLOOKUP(B290,Planilha2!D:D,Planilha2!H:H),0)="SIM",1,0)</f>
        <v>0</v>
      </c>
      <c r="L290" s="14" t="str">
        <f>_xlfn.XLOOKUP(B290,CAD_PDV!A:A,CAD_PDV!C:C)</f>
        <v>SP2</v>
      </c>
      <c r="M290" s="14" t="str">
        <f>IFERROR(_xlfn.XLOOKUP(B290,repete!A:A,repete!A:A),"-")</f>
        <v>-</v>
      </c>
    </row>
    <row r="291" spans="1:13" hidden="1">
      <c r="A291" s="1">
        <v>46023</v>
      </c>
      <c r="B291" t="s">
        <v>1703</v>
      </c>
      <c r="C291" t="s">
        <v>1519</v>
      </c>
      <c r="D291" t="s">
        <v>132</v>
      </c>
      <c r="E291" t="s">
        <v>54</v>
      </c>
      <c r="F291">
        <v>38</v>
      </c>
      <c r="G291">
        <v>1</v>
      </c>
      <c r="H291">
        <v>4.99750124937531E-4</v>
      </c>
      <c r="I291">
        <v>2.6315789473684199E-2</v>
      </c>
      <c r="J291" s="14" t="str">
        <f>_xlfn.XLOOKUP(B291,CAD_PDV!A:A,CAD_PDV!B:B)</f>
        <v>FLEX CELL</v>
      </c>
      <c r="K291" s="14">
        <f>IF(IFERROR(_xlfn.XLOOKUP(B291,Planilha2!D:D,Planilha2!H:H),0)="SIM",1,0)</f>
        <v>0</v>
      </c>
      <c r="L291" s="14" t="str">
        <f>_xlfn.XLOOKUP(B291,CAD_PDV!A:A,CAD_PDV!C:C)</f>
        <v>SP2</v>
      </c>
      <c r="M291" s="14" t="str">
        <f>IFERROR(_xlfn.XLOOKUP(B291,repete!A:A,repete!A:A),"-")</f>
        <v>QLEQ</v>
      </c>
    </row>
    <row r="292" spans="1:13" hidden="1">
      <c r="A292" s="1">
        <v>46023</v>
      </c>
      <c r="B292" t="s">
        <v>714</v>
      </c>
      <c r="C292" t="s">
        <v>713</v>
      </c>
      <c r="D292" t="s">
        <v>239</v>
      </c>
      <c r="E292" t="s">
        <v>59</v>
      </c>
      <c r="F292">
        <v>36</v>
      </c>
      <c r="G292">
        <v>1</v>
      </c>
      <c r="H292">
        <v>4.99750124937531E-4</v>
      </c>
      <c r="I292">
        <v>2.7777777777777801E-2</v>
      </c>
      <c r="J292" s="14" t="str">
        <f>_xlfn.XLOOKUP(B292,CAD_PDV!A:A,CAD_PDV!B:B)</f>
        <v>TELECELL TELEFONIA LTDA - ME</v>
      </c>
      <c r="K292" s="14">
        <f>IF(IFERROR(_xlfn.XLOOKUP(B292,Planilha2!D:D,Planilha2!H:H),0)="SIM",1,0)</f>
        <v>0</v>
      </c>
      <c r="L292" s="14" t="str">
        <f>_xlfn.XLOOKUP(B292,CAD_PDV!A:A,CAD_PDV!C:C)</f>
        <v>CO</v>
      </c>
      <c r="M292" s="14" t="str">
        <f>IFERROR(_xlfn.XLOOKUP(B292,repete!A:A,repete!A:A),"-")</f>
        <v>-</v>
      </c>
    </row>
    <row r="293" spans="1:13" hidden="1">
      <c r="A293" s="1">
        <v>46023</v>
      </c>
      <c r="B293" t="s">
        <v>1707</v>
      </c>
      <c r="C293" t="s">
        <v>1521</v>
      </c>
      <c r="D293" t="s">
        <v>132</v>
      </c>
      <c r="E293" t="s">
        <v>54</v>
      </c>
      <c r="F293">
        <v>53</v>
      </c>
      <c r="G293">
        <v>1</v>
      </c>
      <c r="H293">
        <v>4.99750124937531E-4</v>
      </c>
      <c r="I293">
        <v>1.88679245283019E-2</v>
      </c>
      <c r="J293" s="14" t="str">
        <f>_xlfn.XLOOKUP(B293,CAD_PDV!A:A,CAD_PDV!B:B)</f>
        <v>FLEX CELL</v>
      </c>
      <c r="K293" s="14">
        <f>IF(IFERROR(_xlfn.XLOOKUP(B293,Planilha2!D:D,Planilha2!H:H),0)="SIM",1,0)</f>
        <v>0</v>
      </c>
      <c r="L293" s="14" t="str">
        <f>_xlfn.XLOOKUP(B293,CAD_PDV!A:A,CAD_PDV!C:C)</f>
        <v>SP2</v>
      </c>
      <c r="M293" s="14" t="str">
        <f>IFERROR(_xlfn.XLOOKUP(B293,repete!A:A,repete!A:A),"-")</f>
        <v>-</v>
      </c>
    </row>
    <row r="294" spans="1:13" hidden="1">
      <c r="A294" s="1">
        <v>46023</v>
      </c>
      <c r="B294" t="s">
        <v>853</v>
      </c>
      <c r="C294" t="s">
        <v>732</v>
      </c>
      <c r="D294" t="s">
        <v>221</v>
      </c>
      <c r="E294" t="s">
        <v>59</v>
      </c>
      <c r="F294">
        <v>37</v>
      </c>
      <c r="G294">
        <v>1</v>
      </c>
      <c r="H294">
        <v>4.99750124937531E-4</v>
      </c>
      <c r="I294">
        <v>2.7027027027027001E-2</v>
      </c>
      <c r="J294" s="14" t="str">
        <f>_xlfn.XLOOKUP(B294,CAD_PDV!A:A,CAD_PDV!B:B)</f>
        <v>AMERICOM COMERCIO DE APARELHOS ELETRONICOS LTDA - EPP</v>
      </c>
      <c r="K294" s="14">
        <f>IF(IFERROR(_xlfn.XLOOKUP(B294,Planilha2!D:D,Planilha2!H:H),0)="SIM",1,0)</f>
        <v>0</v>
      </c>
      <c r="L294" s="14" t="str">
        <f>_xlfn.XLOOKUP(B294,CAD_PDV!A:A,CAD_PDV!C:C)</f>
        <v>CO</v>
      </c>
      <c r="M294" s="14" t="str">
        <f>IFERROR(_xlfn.XLOOKUP(B294,repete!A:A,repete!A:A),"-")</f>
        <v>-</v>
      </c>
    </row>
    <row r="295" spans="1:13" hidden="1">
      <c r="A295" s="1">
        <v>46023</v>
      </c>
      <c r="B295" t="s">
        <v>1825</v>
      </c>
      <c r="C295" t="s">
        <v>1826</v>
      </c>
      <c r="D295" t="s">
        <v>95</v>
      </c>
      <c r="E295" t="s">
        <v>2074</v>
      </c>
      <c r="F295">
        <v>24</v>
      </c>
      <c r="G295">
        <v>1</v>
      </c>
      <c r="H295">
        <v>4.99750124937531E-4</v>
      </c>
      <c r="I295">
        <v>4.1666666666666699E-2</v>
      </c>
      <c r="J295" s="14" t="str">
        <f>_xlfn.XLOOKUP(B295,CAD_PDV!A:A,CAD_PDV!B:B)</f>
        <v>AYRES E DEBONI LTDA - ME</v>
      </c>
      <c r="K295" s="14">
        <f>IF(IFERROR(_xlfn.XLOOKUP(B295,Planilha2!D:D,Planilha2!H:H),0)="SIM",1,0)</f>
        <v>0</v>
      </c>
      <c r="L295" s="14" t="str">
        <f>_xlfn.XLOOKUP(B295,CAD_PDV!A:A,CAD_PDV!C:C)</f>
        <v>RS</v>
      </c>
      <c r="M295" s="14" t="str">
        <f>IFERROR(_xlfn.XLOOKUP(B295,repete!A:A,repete!A:A),"-")</f>
        <v>-</v>
      </c>
    </row>
    <row r="296" spans="1:13" hidden="1">
      <c r="A296" s="1">
        <v>46023</v>
      </c>
      <c r="B296" t="s">
        <v>840</v>
      </c>
      <c r="C296" t="s">
        <v>837</v>
      </c>
      <c r="D296" t="s">
        <v>239</v>
      </c>
      <c r="E296" t="s">
        <v>59</v>
      </c>
      <c r="F296">
        <v>65</v>
      </c>
      <c r="G296">
        <v>1</v>
      </c>
      <c r="H296">
        <v>4.99750124937531E-4</v>
      </c>
      <c r="I296">
        <v>1.5384615384615399E-2</v>
      </c>
      <c r="J296" s="14" t="str">
        <f>_xlfn.XLOOKUP(B296,CAD_PDV!A:A,CAD_PDV!B:B)</f>
        <v>TELECELL TELEFONIA LTDA - ME</v>
      </c>
      <c r="K296" s="14">
        <f>IF(IFERROR(_xlfn.XLOOKUP(B296,Planilha2!D:D,Planilha2!H:H),0)="SIM",1,0)</f>
        <v>0</v>
      </c>
      <c r="L296" s="14" t="str">
        <f>_xlfn.XLOOKUP(B296,CAD_PDV!A:A,CAD_PDV!C:C)</f>
        <v>CO</v>
      </c>
      <c r="M296" s="14" t="str">
        <f>IFERROR(_xlfn.XLOOKUP(B296,repete!A:A,repete!A:A),"-")</f>
        <v>-</v>
      </c>
    </row>
    <row r="297" spans="1:13" hidden="1">
      <c r="A297" s="1">
        <v>46023</v>
      </c>
      <c r="B297" t="s">
        <v>2059</v>
      </c>
      <c r="C297" t="s">
        <v>2060</v>
      </c>
      <c r="D297" t="s">
        <v>193</v>
      </c>
      <c r="E297" t="s">
        <v>2074</v>
      </c>
      <c r="F297">
        <v>27</v>
      </c>
      <c r="G297">
        <v>1</v>
      </c>
      <c r="H297">
        <v>4.99750124937531E-4</v>
      </c>
      <c r="I297">
        <v>3.7037037037037E-2</v>
      </c>
      <c r="J297" s="14" t="str">
        <f>_xlfn.XLOOKUP(B297,CAD_PDV!A:A,CAD_PDV!B:B)</f>
        <v>S D COMERCIO DE CELULARES LTDA - ME</v>
      </c>
      <c r="K297" s="14">
        <f>IF(IFERROR(_xlfn.XLOOKUP(B297,Planilha2!D:D,Planilha2!H:H),0)="SIM",1,0)</f>
        <v>0</v>
      </c>
      <c r="L297" s="14" t="str">
        <f>_xlfn.XLOOKUP(B297,CAD_PDV!A:A,CAD_PDV!C:C)</f>
        <v>RS</v>
      </c>
      <c r="M297" s="14" t="str">
        <f>IFERROR(_xlfn.XLOOKUP(B297,repete!A:A,repete!A:A),"-")</f>
        <v>-</v>
      </c>
    </row>
    <row r="298" spans="1:13" hidden="1">
      <c r="A298" s="1">
        <v>46023</v>
      </c>
      <c r="B298" t="s">
        <v>1713</v>
      </c>
      <c r="C298" t="s">
        <v>1540</v>
      </c>
      <c r="D298" t="s">
        <v>232</v>
      </c>
      <c r="E298" t="s">
        <v>54</v>
      </c>
      <c r="F298">
        <v>61</v>
      </c>
      <c r="G298">
        <v>1</v>
      </c>
      <c r="H298">
        <v>4.99750124937531E-4</v>
      </c>
      <c r="I298">
        <v>1.63934426229508E-2</v>
      </c>
      <c r="J298" s="14" t="str">
        <f>_xlfn.XLOOKUP(B298,CAD_PDV!A:A,CAD_PDV!B:B)</f>
        <v>HS TELECOM</v>
      </c>
      <c r="K298" s="14">
        <f>IF(IFERROR(_xlfn.XLOOKUP(B298,Planilha2!D:D,Planilha2!H:H),0)="SIM",1,0)</f>
        <v>0</v>
      </c>
      <c r="L298" s="14" t="str">
        <f>_xlfn.XLOOKUP(B298,CAD_PDV!A:A,CAD_PDV!C:C)</f>
        <v>SP2</v>
      </c>
      <c r="M298" s="14" t="str">
        <f>IFERROR(_xlfn.XLOOKUP(B298,repete!A:A,repete!A:A),"-")</f>
        <v>-</v>
      </c>
    </row>
    <row r="299" spans="1:13" hidden="1">
      <c r="A299" s="1">
        <v>46023</v>
      </c>
      <c r="B299" t="s">
        <v>617</v>
      </c>
      <c r="C299" t="s">
        <v>616</v>
      </c>
      <c r="D299" t="s">
        <v>239</v>
      </c>
      <c r="E299" t="s">
        <v>59</v>
      </c>
      <c r="F299">
        <v>58</v>
      </c>
      <c r="G299">
        <v>1</v>
      </c>
      <c r="H299">
        <v>4.99750124937531E-4</v>
      </c>
      <c r="I299">
        <v>1.72413793103448E-2</v>
      </c>
      <c r="J299" s="14" t="str">
        <f>_xlfn.XLOOKUP(B299,CAD_PDV!A:A,CAD_PDV!B:B)</f>
        <v>TELECELL TELEFONIA LTDA - ME</v>
      </c>
      <c r="K299" s="14">
        <f>IF(IFERROR(_xlfn.XLOOKUP(B299,Planilha2!D:D,Planilha2!H:H),0)="SIM",1,0)</f>
        <v>0</v>
      </c>
      <c r="L299" s="14" t="str">
        <f>_xlfn.XLOOKUP(B299,CAD_PDV!A:A,CAD_PDV!C:C)</f>
        <v>CO</v>
      </c>
      <c r="M299" s="14" t="str">
        <f>IFERROR(_xlfn.XLOOKUP(B299,repete!A:A,repete!A:A),"-")</f>
        <v>-</v>
      </c>
    </row>
    <row r="300" spans="1:13" hidden="1">
      <c r="A300" s="1">
        <v>46023</v>
      </c>
      <c r="B300" t="s">
        <v>965</v>
      </c>
      <c r="C300" t="s">
        <v>944</v>
      </c>
      <c r="D300" t="s">
        <v>232</v>
      </c>
      <c r="E300" t="s">
        <v>60</v>
      </c>
      <c r="F300">
        <v>21</v>
      </c>
      <c r="G300">
        <v>1</v>
      </c>
      <c r="H300">
        <v>4.99750124937531E-4</v>
      </c>
      <c r="I300">
        <v>4.7619047619047603E-2</v>
      </c>
      <c r="J300" s="14" t="str">
        <f>_xlfn.XLOOKUP(B300,CAD_PDV!A:A,CAD_PDV!B:B)</f>
        <v>HS TELECOM</v>
      </c>
      <c r="K300" s="14">
        <f>IF(IFERROR(_xlfn.XLOOKUP(B300,Planilha2!D:D,Planilha2!H:H),0)="SIM",1,0)</f>
        <v>0</v>
      </c>
      <c r="L300" s="14" t="str">
        <f>_xlfn.XLOOKUP(B300,CAD_PDV!A:A,CAD_PDV!C:C)</f>
        <v>BA/SE</v>
      </c>
      <c r="M300" s="14" t="str">
        <f>IFERROR(_xlfn.XLOOKUP(B300,repete!A:A,repete!A:A),"-")</f>
        <v>-</v>
      </c>
    </row>
    <row r="301" spans="1:13" hidden="1">
      <c r="A301" s="1">
        <v>46023</v>
      </c>
      <c r="B301" t="s">
        <v>472</v>
      </c>
      <c r="C301" t="s">
        <v>475</v>
      </c>
      <c r="D301" t="s">
        <v>228</v>
      </c>
      <c r="E301" t="s">
        <v>56</v>
      </c>
      <c r="F301">
        <v>48</v>
      </c>
      <c r="G301">
        <v>1</v>
      </c>
      <c r="H301">
        <v>4.99750124937531E-4</v>
      </c>
      <c r="I301">
        <v>2.0833333333333301E-2</v>
      </c>
      <c r="J301" s="14" t="str">
        <f>_xlfn.XLOOKUP(B301,CAD_PDV!A:A,CAD_PDV!B:B)</f>
        <v>FAJULUTI</v>
      </c>
      <c r="K301" s="14">
        <f>IF(IFERROR(_xlfn.XLOOKUP(B301,Planilha2!D:D,Planilha2!H:H),0)="SIM",1,0)</f>
        <v>0</v>
      </c>
      <c r="L301" s="14" t="str">
        <f>_xlfn.XLOOKUP(B301,CAD_PDV!A:A,CAD_PDV!C:C)</f>
        <v>MG</v>
      </c>
      <c r="M301" s="14" t="str">
        <f>IFERROR(_xlfn.XLOOKUP(B301,repete!A:A,repete!A:A),"-")</f>
        <v>-</v>
      </c>
    </row>
    <row r="302" spans="1:13" hidden="1">
      <c r="A302" s="1">
        <v>46023</v>
      </c>
      <c r="B302" t="s">
        <v>1178</v>
      </c>
      <c r="C302" t="s">
        <v>1180</v>
      </c>
      <c r="D302" t="s">
        <v>228</v>
      </c>
      <c r="E302" t="s">
        <v>55</v>
      </c>
      <c r="F302">
        <v>76</v>
      </c>
      <c r="G302">
        <v>1</v>
      </c>
      <c r="H302">
        <v>4.99750124937531E-4</v>
      </c>
      <c r="I302">
        <v>1.3157894736842099E-2</v>
      </c>
      <c r="J302" s="14" t="str">
        <f>_xlfn.XLOOKUP(B302,CAD_PDV!A:A,CAD_PDV!B:B)</f>
        <v>FAJULUTI</v>
      </c>
      <c r="K302" s="14">
        <f>IF(IFERROR(_xlfn.XLOOKUP(B302,Planilha2!D:D,Planilha2!H:H),0)="SIM",1,0)</f>
        <v>0</v>
      </c>
      <c r="L302" s="14" t="str">
        <f>_xlfn.XLOOKUP(B302,CAD_PDV!A:A,CAD_PDV!C:C)</f>
        <v>RJ/ES</v>
      </c>
      <c r="M302" s="14" t="str">
        <f>IFERROR(_xlfn.XLOOKUP(B302,repete!A:A,repete!A:A),"-")</f>
        <v>-</v>
      </c>
    </row>
    <row r="303" spans="1:13" hidden="1">
      <c r="A303" s="1">
        <v>46023</v>
      </c>
      <c r="B303" t="s">
        <v>2046</v>
      </c>
      <c r="C303" t="s">
        <v>2047</v>
      </c>
      <c r="D303" t="s">
        <v>193</v>
      </c>
      <c r="E303" t="s">
        <v>2074</v>
      </c>
      <c r="F303">
        <v>24</v>
      </c>
      <c r="G303">
        <v>1</v>
      </c>
      <c r="H303">
        <v>4.99750124937531E-4</v>
      </c>
      <c r="I303">
        <v>4.1666666666666699E-2</v>
      </c>
      <c r="J303" s="14" t="str">
        <f>_xlfn.XLOOKUP(B303,CAD_PDV!A:A,CAD_PDV!B:B)</f>
        <v>S D COMERCIO DE CELULARES LTDA - ME</v>
      </c>
      <c r="K303" s="14">
        <f>IF(IFERROR(_xlfn.XLOOKUP(B303,Planilha2!D:D,Planilha2!H:H),0)="SIM",1,0)</f>
        <v>0</v>
      </c>
      <c r="L303" s="14" t="str">
        <f>_xlfn.XLOOKUP(B303,CAD_PDV!A:A,CAD_PDV!C:C)</f>
        <v>RS</v>
      </c>
      <c r="M303" s="14" t="str">
        <f>IFERROR(_xlfn.XLOOKUP(B303,repete!A:A,repete!A:A),"-")</f>
        <v>-</v>
      </c>
    </row>
    <row r="304" spans="1:13" hidden="1">
      <c r="A304" s="1">
        <v>46023</v>
      </c>
      <c r="B304" t="s">
        <v>1736</v>
      </c>
      <c r="C304" t="s">
        <v>1523</v>
      </c>
      <c r="D304" t="s">
        <v>232</v>
      </c>
      <c r="E304" t="s">
        <v>54</v>
      </c>
      <c r="F304">
        <v>61</v>
      </c>
      <c r="G304">
        <v>1</v>
      </c>
      <c r="H304">
        <v>4.99750124937531E-4</v>
      </c>
      <c r="I304">
        <v>1.63934426229508E-2</v>
      </c>
      <c r="J304" s="14" t="str">
        <f>_xlfn.XLOOKUP(B304,CAD_PDV!A:A,CAD_PDV!B:B)</f>
        <v>HS TELECOM</v>
      </c>
      <c r="K304" s="14">
        <f>IF(IFERROR(_xlfn.XLOOKUP(B304,Planilha2!D:D,Planilha2!H:H),0)="SIM",1,0)</f>
        <v>0</v>
      </c>
      <c r="L304" s="14" t="str">
        <f>_xlfn.XLOOKUP(B304,CAD_PDV!A:A,CAD_PDV!C:C)</f>
        <v>SP2</v>
      </c>
      <c r="M304" s="14" t="str">
        <f>IFERROR(_xlfn.XLOOKUP(B304,repete!A:A,repete!A:A),"-")</f>
        <v>-</v>
      </c>
    </row>
    <row r="305" spans="1:13" hidden="1">
      <c r="A305" s="1">
        <v>46054</v>
      </c>
      <c r="B305" t="s">
        <v>1675</v>
      </c>
      <c r="C305" t="s">
        <v>1676</v>
      </c>
      <c r="D305" t="s">
        <v>232</v>
      </c>
      <c r="E305" t="s">
        <v>54</v>
      </c>
      <c r="F305">
        <v>186</v>
      </c>
      <c r="G305">
        <v>46</v>
      </c>
      <c r="H305">
        <v>2.7761013880506901E-2</v>
      </c>
      <c r="I305">
        <v>0.247311827956989</v>
      </c>
      <c r="J305" s="14" t="str">
        <f>_xlfn.XLOOKUP(B305,CAD_PDV!A:A,CAD_PDV!B:B)</f>
        <v>HS TELECOM</v>
      </c>
      <c r="K305" s="14">
        <f>IF(IFERROR(_xlfn.XLOOKUP(B305,Planilha2!D:D,Planilha2!H:H),0)="SIM",1,0)</f>
        <v>0</v>
      </c>
      <c r="L305" s="14" t="str">
        <f>_xlfn.XLOOKUP(B305,CAD_PDV!A:A,CAD_PDV!C:C)</f>
        <v>SP2</v>
      </c>
      <c r="M305" s="14" t="str">
        <f>IFERROR(_xlfn.XLOOKUP(B305,repete!A:A,repete!A:A),"-")</f>
        <v>-</v>
      </c>
    </row>
    <row r="306" spans="1:13" hidden="1">
      <c r="A306" s="1">
        <v>46054</v>
      </c>
      <c r="B306" t="s">
        <v>897</v>
      </c>
      <c r="C306" t="s">
        <v>873</v>
      </c>
      <c r="D306" t="s">
        <v>224</v>
      </c>
      <c r="E306" t="s">
        <v>59</v>
      </c>
      <c r="F306">
        <v>140</v>
      </c>
      <c r="G306">
        <v>46</v>
      </c>
      <c r="H306">
        <v>2.7761013880506901E-2</v>
      </c>
      <c r="I306">
        <v>0.32857142857142901</v>
      </c>
      <c r="J306" s="14" t="str">
        <f>_xlfn.XLOOKUP(B306,CAD_PDV!A:A,CAD_PDV!B:B)</f>
        <v>CELNET COMERCIO E SERVICOS DE TELEFONIA LTDA ME</v>
      </c>
      <c r="K306" s="14">
        <f>IF(IFERROR(_xlfn.XLOOKUP(B306,Planilha2!D:D,Planilha2!H:H),0)="SIM",1,0)</f>
        <v>0</v>
      </c>
      <c r="L306" s="14" t="str">
        <f>_xlfn.XLOOKUP(B306,CAD_PDV!A:A,CAD_PDV!C:C)</f>
        <v>CO</v>
      </c>
      <c r="M306" s="14" t="str">
        <f>IFERROR(_xlfn.XLOOKUP(B306,repete!A:A,repete!A:A),"-")</f>
        <v>-</v>
      </c>
    </row>
    <row r="307" spans="1:13" hidden="1">
      <c r="A307" s="1">
        <v>46054</v>
      </c>
      <c r="B307" t="s">
        <v>1496</v>
      </c>
      <c r="C307" t="s">
        <v>1464</v>
      </c>
      <c r="D307" t="s">
        <v>132</v>
      </c>
      <c r="E307" t="s">
        <v>54</v>
      </c>
      <c r="F307">
        <v>113</v>
      </c>
      <c r="G307">
        <v>41</v>
      </c>
      <c r="H307">
        <v>2.4743512371756201E-2</v>
      </c>
      <c r="I307">
        <v>0.36283185840707999</v>
      </c>
      <c r="J307" s="14" t="str">
        <f>_xlfn.XLOOKUP(B307,CAD_PDV!A:A,CAD_PDV!B:B)</f>
        <v>FLEX CELL</v>
      </c>
      <c r="K307" s="14">
        <f>IF(IFERROR(_xlfn.XLOOKUP(B307,Planilha2!D:D,Planilha2!H:H),0)="SIM",1,0)</f>
        <v>0</v>
      </c>
      <c r="L307" s="14" t="str">
        <f>_xlfn.XLOOKUP(B307,CAD_PDV!A:A,CAD_PDV!C:C)</f>
        <v>SP2</v>
      </c>
      <c r="M307" s="14" t="str">
        <f>IFERROR(_xlfn.XLOOKUP(B307,repete!A:A,repete!A:A),"-")</f>
        <v>-</v>
      </c>
    </row>
    <row r="308" spans="1:13" hidden="1">
      <c r="A308" s="1">
        <v>46054</v>
      </c>
      <c r="B308" t="s">
        <v>1548</v>
      </c>
      <c r="C308" t="s">
        <v>1545</v>
      </c>
      <c r="D308" t="s">
        <v>232</v>
      </c>
      <c r="E308" t="s">
        <v>54</v>
      </c>
      <c r="F308">
        <v>102</v>
      </c>
      <c r="G308">
        <v>33</v>
      </c>
      <c r="H308">
        <v>1.9915509957755002E-2</v>
      </c>
      <c r="I308">
        <v>0.32352941176470601</v>
      </c>
      <c r="J308" s="14" t="str">
        <f>_xlfn.XLOOKUP(B308,CAD_PDV!A:A,CAD_PDV!B:B)</f>
        <v>HS TELECOM</v>
      </c>
      <c r="K308" s="14">
        <f>IF(IFERROR(_xlfn.XLOOKUP(B308,Planilha2!D:D,Planilha2!H:H),0)="SIM",1,0)</f>
        <v>0</v>
      </c>
      <c r="L308" s="14" t="str">
        <f>_xlfn.XLOOKUP(B308,CAD_PDV!A:A,CAD_PDV!C:C)</f>
        <v>SP2</v>
      </c>
      <c r="M308" s="14" t="str">
        <f>IFERROR(_xlfn.XLOOKUP(B308,repete!A:A,repete!A:A),"-")</f>
        <v>-</v>
      </c>
    </row>
    <row r="309" spans="1:13" hidden="1">
      <c r="A309" s="1">
        <v>46054</v>
      </c>
      <c r="B309" t="s">
        <v>1672</v>
      </c>
      <c r="C309" t="s">
        <v>1668</v>
      </c>
      <c r="D309" t="s">
        <v>232</v>
      </c>
      <c r="E309" t="s">
        <v>54</v>
      </c>
      <c r="F309">
        <v>184</v>
      </c>
      <c r="G309">
        <v>31</v>
      </c>
      <c r="H309">
        <v>1.87085093542547E-2</v>
      </c>
      <c r="I309">
        <v>0.16847826086956499</v>
      </c>
      <c r="J309" s="14" t="str">
        <f>_xlfn.XLOOKUP(B309,CAD_PDV!A:A,CAD_PDV!B:B)</f>
        <v>HS TELECOM</v>
      </c>
      <c r="K309" s="14">
        <f>IF(IFERROR(_xlfn.XLOOKUP(B309,Planilha2!D:D,Planilha2!H:H),0)="SIM",1,0)</f>
        <v>0</v>
      </c>
      <c r="L309" s="14" t="str">
        <f>_xlfn.XLOOKUP(B309,CAD_PDV!A:A,CAD_PDV!C:C)</f>
        <v>SP2</v>
      </c>
      <c r="M309" s="14" t="str">
        <f>IFERROR(_xlfn.XLOOKUP(B309,repete!A:A,repete!A:A),"-")</f>
        <v>-</v>
      </c>
    </row>
    <row r="310" spans="1:13" hidden="1">
      <c r="A310" s="1">
        <v>46054</v>
      </c>
      <c r="B310" t="s">
        <v>1689</v>
      </c>
      <c r="C310" t="s">
        <v>1527</v>
      </c>
      <c r="D310" t="s">
        <v>232</v>
      </c>
      <c r="E310" t="s">
        <v>54</v>
      </c>
      <c r="F310">
        <v>127</v>
      </c>
      <c r="G310">
        <v>31</v>
      </c>
      <c r="H310">
        <v>1.87085093542547E-2</v>
      </c>
      <c r="I310">
        <v>0.244094488188976</v>
      </c>
      <c r="J310" s="14" t="str">
        <f>_xlfn.XLOOKUP(B310,CAD_PDV!A:A,CAD_PDV!B:B)</f>
        <v>HS TELECOM</v>
      </c>
      <c r="K310" s="14">
        <f>IF(IFERROR(_xlfn.XLOOKUP(B310,Planilha2!D:D,Planilha2!H:H),0)="SIM",1,0)</f>
        <v>0</v>
      </c>
      <c r="L310" s="14" t="str">
        <f>_xlfn.XLOOKUP(B310,CAD_PDV!A:A,CAD_PDV!C:C)</f>
        <v>SP2</v>
      </c>
      <c r="M310" s="14" t="str">
        <f>IFERROR(_xlfn.XLOOKUP(B310,repete!A:A,repete!A:A),"-")</f>
        <v>-</v>
      </c>
    </row>
    <row r="311" spans="1:13" hidden="1">
      <c r="A311" s="1">
        <v>46054</v>
      </c>
      <c r="B311" t="s">
        <v>888</v>
      </c>
      <c r="C311" t="s">
        <v>873</v>
      </c>
      <c r="D311" t="s">
        <v>224</v>
      </c>
      <c r="E311" t="s">
        <v>59</v>
      </c>
      <c r="F311">
        <v>120</v>
      </c>
      <c r="G311">
        <v>27</v>
      </c>
      <c r="H311">
        <v>1.62945081472541E-2</v>
      </c>
      <c r="I311">
        <v>0.22500000000000001</v>
      </c>
      <c r="J311" s="14" t="str">
        <f>_xlfn.XLOOKUP(B311,CAD_PDV!A:A,CAD_PDV!B:B)</f>
        <v>CELNET COMERCIO E SERVICOS DE TELEFONIA LTDA ME</v>
      </c>
      <c r="K311" s="14">
        <f>IF(IFERROR(_xlfn.XLOOKUP(B311,Planilha2!D:D,Planilha2!H:H),0)="SIM",1,0)</f>
        <v>0</v>
      </c>
      <c r="L311" s="14" t="str">
        <f>_xlfn.XLOOKUP(B311,CAD_PDV!A:A,CAD_PDV!C:C)</f>
        <v>CO</v>
      </c>
      <c r="M311" s="14" t="str">
        <f>IFERROR(_xlfn.XLOOKUP(B311,repete!A:A,repete!A:A),"-")</f>
        <v>-</v>
      </c>
    </row>
    <row r="312" spans="1:13" hidden="1">
      <c r="A312" s="1">
        <v>46054</v>
      </c>
      <c r="B312" t="s">
        <v>1682</v>
      </c>
      <c r="C312" t="s">
        <v>1566</v>
      </c>
      <c r="D312" t="s">
        <v>232</v>
      </c>
      <c r="E312" t="s">
        <v>54</v>
      </c>
      <c r="F312">
        <v>117</v>
      </c>
      <c r="G312">
        <v>26</v>
      </c>
      <c r="H312">
        <v>1.5691007845503899E-2</v>
      </c>
      <c r="I312">
        <v>0.22222222222222199</v>
      </c>
      <c r="J312" s="14" t="str">
        <f>_xlfn.XLOOKUP(B312,CAD_PDV!A:A,CAD_PDV!B:B)</f>
        <v>HS TELECOM</v>
      </c>
      <c r="K312" s="14">
        <f>IF(IFERROR(_xlfn.XLOOKUP(B312,Planilha2!D:D,Planilha2!H:H),0)="SIM",1,0)</f>
        <v>0</v>
      </c>
      <c r="L312" s="14" t="str">
        <f>_xlfn.XLOOKUP(B312,CAD_PDV!A:A,CAD_PDV!C:C)</f>
        <v>SP2</v>
      </c>
      <c r="M312" s="14" t="str">
        <f>IFERROR(_xlfn.XLOOKUP(B312,repete!A:A,repete!A:A),"-")</f>
        <v>-</v>
      </c>
    </row>
    <row r="313" spans="1:13" hidden="1">
      <c r="A313" s="1">
        <v>46054</v>
      </c>
      <c r="B313" t="s">
        <v>548</v>
      </c>
      <c r="C313" t="s">
        <v>475</v>
      </c>
      <c r="D313" t="s">
        <v>228</v>
      </c>
      <c r="E313" t="s">
        <v>56</v>
      </c>
      <c r="F313">
        <v>105</v>
      </c>
      <c r="G313">
        <v>25</v>
      </c>
      <c r="H313">
        <v>1.5087507543753801E-2</v>
      </c>
      <c r="I313">
        <v>0.238095238095238</v>
      </c>
      <c r="J313" s="14" t="str">
        <f>_xlfn.XLOOKUP(B313,CAD_PDV!A:A,CAD_PDV!B:B)</f>
        <v>FAJULUTI</v>
      </c>
      <c r="K313" s="14">
        <f>IF(IFERROR(_xlfn.XLOOKUP(B313,Planilha2!D:D,Planilha2!H:H),0)="SIM",1,0)</f>
        <v>0</v>
      </c>
      <c r="L313" s="14" t="str">
        <f>_xlfn.XLOOKUP(B313,CAD_PDV!A:A,CAD_PDV!C:C)</f>
        <v>MG</v>
      </c>
      <c r="M313" s="14" t="str">
        <f>IFERROR(_xlfn.XLOOKUP(B313,repete!A:A,repete!A:A),"-")</f>
        <v>-</v>
      </c>
    </row>
    <row r="314" spans="1:13" hidden="1">
      <c r="A314" s="1">
        <v>46054</v>
      </c>
      <c r="B314" t="s">
        <v>886</v>
      </c>
      <c r="C314" t="s">
        <v>873</v>
      </c>
      <c r="D314" t="s">
        <v>224</v>
      </c>
      <c r="E314" t="s">
        <v>59</v>
      </c>
      <c r="F314">
        <v>213</v>
      </c>
      <c r="G314">
        <v>24</v>
      </c>
      <c r="H314">
        <v>1.44840072420036E-2</v>
      </c>
      <c r="I314">
        <v>0.11267605633802801</v>
      </c>
      <c r="J314" s="14" t="str">
        <f>_xlfn.XLOOKUP(B314,CAD_PDV!A:A,CAD_PDV!B:B)</f>
        <v>CELNET COMERCIO E SERVICOS DE TELEFONIA LTDA ME</v>
      </c>
      <c r="K314" s="14">
        <f>IF(IFERROR(_xlfn.XLOOKUP(B314,Planilha2!D:D,Planilha2!H:H),0)="SIM",1,0)</f>
        <v>0</v>
      </c>
      <c r="L314" s="14" t="str">
        <f>_xlfn.XLOOKUP(B314,CAD_PDV!A:A,CAD_PDV!C:C)</f>
        <v>CO</v>
      </c>
      <c r="M314" s="14" t="str">
        <f>IFERROR(_xlfn.XLOOKUP(B314,repete!A:A,repete!A:A),"-")</f>
        <v>-</v>
      </c>
    </row>
    <row r="315" spans="1:13" hidden="1">
      <c r="A315" s="1">
        <v>46054</v>
      </c>
      <c r="B315" t="s">
        <v>899</v>
      </c>
      <c r="C315" t="s">
        <v>873</v>
      </c>
      <c r="D315" t="s">
        <v>224</v>
      </c>
      <c r="E315" t="s">
        <v>59</v>
      </c>
      <c r="F315">
        <v>138</v>
      </c>
      <c r="G315">
        <v>22</v>
      </c>
      <c r="H315">
        <v>1.32770066385033E-2</v>
      </c>
      <c r="I315">
        <v>0.15942028985507201</v>
      </c>
      <c r="J315" s="14" t="str">
        <f>_xlfn.XLOOKUP(B315,CAD_PDV!A:A,CAD_PDV!B:B)</f>
        <v>CELNET COMERCIO E SERVICOS DE TELEFONIA LTDA ME</v>
      </c>
      <c r="K315" s="14">
        <f>IF(IFERROR(_xlfn.XLOOKUP(B315,Planilha2!D:D,Planilha2!H:H),0)="SIM",1,0)</f>
        <v>0</v>
      </c>
      <c r="L315" s="14" t="str">
        <f>_xlfn.XLOOKUP(B315,CAD_PDV!A:A,CAD_PDV!C:C)</f>
        <v>CO</v>
      </c>
      <c r="M315" s="14" t="str">
        <f>IFERROR(_xlfn.XLOOKUP(B315,repete!A:A,repete!A:A),"-")</f>
        <v>-</v>
      </c>
    </row>
    <row r="316" spans="1:13" hidden="1">
      <c r="A316" s="1">
        <v>46054</v>
      </c>
      <c r="B316" t="s">
        <v>258</v>
      </c>
      <c r="C316" t="s">
        <v>261</v>
      </c>
      <c r="D316" t="s">
        <v>230</v>
      </c>
      <c r="E316" t="s">
        <v>61</v>
      </c>
      <c r="F316">
        <v>158</v>
      </c>
      <c r="G316">
        <v>20</v>
      </c>
      <c r="H316">
        <v>1.2070006035003E-2</v>
      </c>
      <c r="I316">
        <v>0.126582278481013</v>
      </c>
      <c r="J316" s="14" t="str">
        <f>_xlfn.XLOOKUP(B316,CAD_PDV!A:A,CAD_PDV!B:B)</f>
        <v>HARCOS COMERCIO E SERVICOS LTDA - EPP</v>
      </c>
      <c r="K316" s="14">
        <f>IF(IFERROR(_xlfn.XLOOKUP(B316,Planilha2!D:D,Planilha2!H:H),0)="SIM",1,0)</f>
        <v>0</v>
      </c>
      <c r="L316" s="14" t="str">
        <f>_xlfn.XLOOKUP(B316,CAD_PDV!A:A,CAD_PDV!C:C)</f>
        <v>NE</v>
      </c>
      <c r="M316" s="14" t="str">
        <f>IFERROR(_xlfn.XLOOKUP(B316,repete!A:A,repete!A:A),"-")</f>
        <v>-</v>
      </c>
    </row>
    <row r="317" spans="1:13" hidden="1">
      <c r="A317" s="1">
        <v>46054</v>
      </c>
      <c r="B317" t="s">
        <v>1611</v>
      </c>
      <c r="C317" t="s">
        <v>1527</v>
      </c>
      <c r="D317" t="s">
        <v>232</v>
      </c>
      <c r="E317" t="s">
        <v>54</v>
      </c>
      <c r="F317">
        <v>230</v>
      </c>
      <c r="G317">
        <v>20</v>
      </c>
      <c r="H317">
        <v>1.2070006035003E-2</v>
      </c>
      <c r="I317">
        <v>8.6956521739130405E-2</v>
      </c>
      <c r="J317" s="14" t="str">
        <f>_xlfn.XLOOKUP(B317,CAD_PDV!A:A,CAD_PDV!B:B)</f>
        <v>HS TELECOM</v>
      </c>
      <c r="K317" s="14">
        <f>IF(IFERROR(_xlfn.XLOOKUP(B317,Planilha2!D:D,Planilha2!H:H),0)="SIM",1,0)</f>
        <v>0</v>
      </c>
      <c r="L317" s="14" t="str">
        <f>_xlfn.XLOOKUP(B317,CAD_PDV!A:A,CAD_PDV!C:C)</f>
        <v>SP2</v>
      </c>
      <c r="M317" s="14" t="str">
        <f>IFERROR(_xlfn.XLOOKUP(B317,repete!A:A,repete!A:A),"-")</f>
        <v>-</v>
      </c>
    </row>
    <row r="318" spans="1:13" hidden="1">
      <c r="A318" s="1">
        <v>46054</v>
      </c>
      <c r="B318" t="s">
        <v>1680</v>
      </c>
      <c r="C318" t="s">
        <v>1676</v>
      </c>
      <c r="D318" t="s">
        <v>232</v>
      </c>
      <c r="E318" t="s">
        <v>54</v>
      </c>
      <c r="F318">
        <v>130</v>
      </c>
      <c r="G318">
        <v>20</v>
      </c>
      <c r="H318">
        <v>1.2070006035003E-2</v>
      </c>
      <c r="I318">
        <v>0.15384615384615399</v>
      </c>
      <c r="J318" s="14" t="str">
        <f>_xlfn.XLOOKUP(B318,CAD_PDV!A:A,CAD_PDV!B:B)</f>
        <v>HS TELECOM</v>
      </c>
      <c r="K318" s="14">
        <f>IF(IFERROR(_xlfn.XLOOKUP(B318,Planilha2!D:D,Planilha2!H:H),0)="SIM",1,0)</f>
        <v>0</v>
      </c>
      <c r="L318" s="14" t="str">
        <f>_xlfn.XLOOKUP(B318,CAD_PDV!A:A,CAD_PDV!C:C)</f>
        <v>SP2</v>
      </c>
      <c r="M318" s="14" t="str">
        <f>IFERROR(_xlfn.XLOOKUP(B318,repete!A:A,repete!A:A),"-")</f>
        <v>-</v>
      </c>
    </row>
    <row r="319" spans="1:13" hidden="1">
      <c r="A319" s="1">
        <v>46054</v>
      </c>
      <c r="B319" t="s">
        <v>1571</v>
      </c>
      <c r="C319" t="s">
        <v>1535</v>
      </c>
      <c r="D319" t="s">
        <v>232</v>
      </c>
      <c r="E319" t="s">
        <v>54</v>
      </c>
      <c r="F319">
        <v>118</v>
      </c>
      <c r="G319">
        <v>19</v>
      </c>
      <c r="H319">
        <v>1.1466505733252899E-2</v>
      </c>
      <c r="I319">
        <v>0.161016949152542</v>
      </c>
      <c r="J319" s="14" t="str">
        <f>_xlfn.XLOOKUP(B319,CAD_PDV!A:A,CAD_PDV!B:B)</f>
        <v>HS TELECOM</v>
      </c>
      <c r="K319" s="14">
        <f>IF(IFERROR(_xlfn.XLOOKUP(B319,Planilha2!D:D,Planilha2!H:H),0)="SIM",1,0)</f>
        <v>0</v>
      </c>
      <c r="L319" s="14" t="str">
        <f>_xlfn.XLOOKUP(B319,CAD_PDV!A:A,CAD_PDV!C:C)</f>
        <v>SP2</v>
      </c>
      <c r="M319" s="14" t="str">
        <f>IFERROR(_xlfn.XLOOKUP(B319,repete!A:A,repete!A:A),"-")</f>
        <v>-</v>
      </c>
    </row>
    <row r="320" spans="1:13" hidden="1">
      <c r="A320" s="1">
        <v>46054</v>
      </c>
      <c r="B320" t="s">
        <v>1636</v>
      </c>
      <c r="C320" t="s">
        <v>1484</v>
      </c>
      <c r="D320" t="s">
        <v>232</v>
      </c>
      <c r="E320" t="s">
        <v>54</v>
      </c>
      <c r="F320">
        <v>56</v>
      </c>
      <c r="G320">
        <v>19</v>
      </c>
      <c r="H320">
        <v>1.1466505733252899E-2</v>
      </c>
      <c r="I320">
        <v>0.33928571428571402</v>
      </c>
      <c r="J320" s="14" t="str">
        <f>_xlfn.XLOOKUP(B320,CAD_PDV!A:A,CAD_PDV!B:B)</f>
        <v>HS TELECOM</v>
      </c>
      <c r="K320" s="14">
        <f>IF(IFERROR(_xlfn.XLOOKUP(B320,Planilha2!D:D,Planilha2!H:H),0)="SIM",1,0)</f>
        <v>0</v>
      </c>
      <c r="L320" s="14" t="str">
        <f>_xlfn.XLOOKUP(B320,CAD_PDV!A:A,CAD_PDV!C:C)</f>
        <v>SP2</v>
      </c>
      <c r="M320" s="14" t="str">
        <f>IFERROR(_xlfn.XLOOKUP(B320,repete!A:A,repete!A:A),"-")</f>
        <v>-</v>
      </c>
    </row>
    <row r="321" spans="1:13" hidden="1">
      <c r="A321" s="1">
        <v>46054</v>
      </c>
      <c r="B321" t="s">
        <v>984</v>
      </c>
      <c r="C321" t="s">
        <v>940</v>
      </c>
      <c r="D321" t="s">
        <v>232</v>
      </c>
      <c r="E321" t="s">
        <v>60</v>
      </c>
      <c r="F321">
        <v>52</v>
      </c>
      <c r="G321">
        <v>18</v>
      </c>
      <c r="H321">
        <v>1.08630054315027E-2</v>
      </c>
      <c r="I321">
        <v>0.34615384615384598</v>
      </c>
      <c r="J321" s="14" t="str">
        <f>_xlfn.XLOOKUP(B321,CAD_PDV!A:A,CAD_PDV!B:B)</f>
        <v>HS TELECOM</v>
      </c>
      <c r="K321" s="14">
        <f>IF(IFERROR(_xlfn.XLOOKUP(B321,Planilha2!D:D,Planilha2!H:H),0)="SIM",1,0)</f>
        <v>0</v>
      </c>
      <c r="L321" s="14" t="str">
        <f>_xlfn.XLOOKUP(B321,CAD_PDV!A:A,CAD_PDV!C:C)</f>
        <v>BA/SE</v>
      </c>
      <c r="M321" s="14" t="str">
        <f>IFERROR(_xlfn.XLOOKUP(B321,repete!A:A,repete!A:A),"-")</f>
        <v>-</v>
      </c>
    </row>
    <row r="322" spans="1:13" hidden="1">
      <c r="A322" s="1">
        <v>46054</v>
      </c>
      <c r="B322" t="s">
        <v>1735</v>
      </c>
      <c r="C322" t="s">
        <v>1464</v>
      </c>
      <c r="D322" t="s">
        <v>132</v>
      </c>
      <c r="E322" t="s">
        <v>54</v>
      </c>
      <c r="F322">
        <v>44</v>
      </c>
      <c r="G322">
        <v>18</v>
      </c>
      <c r="H322">
        <v>1.08630054315027E-2</v>
      </c>
      <c r="I322">
        <v>0.40909090909090901</v>
      </c>
      <c r="J322" s="14" t="str">
        <f>_xlfn.XLOOKUP(B322,CAD_PDV!A:A,CAD_PDV!B:B)</f>
        <v>FLEX CELL</v>
      </c>
      <c r="K322" s="14">
        <f>IF(IFERROR(_xlfn.XLOOKUP(B322,Planilha2!D:D,Planilha2!H:H),0)="SIM",1,0)</f>
        <v>0</v>
      </c>
      <c r="L322" s="14" t="str">
        <f>_xlfn.XLOOKUP(B322,CAD_PDV!A:A,CAD_PDV!C:C)</f>
        <v>SP2</v>
      </c>
      <c r="M322" s="14" t="str">
        <f>IFERROR(_xlfn.XLOOKUP(B322,repete!A:A,repete!A:A),"-")</f>
        <v>-</v>
      </c>
    </row>
    <row r="323" spans="1:13" hidden="1">
      <c r="A323" s="1">
        <v>46054</v>
      </c>
      <c r="B323" t="s">
        <v>1217</v>
      </c>
      <c r="C323" t="s">
        <v>1152</v>
      </c>
      <c r="D323" t="s">
        <v>228</v>
      </c>
      <c r="E323" t="s">
        <v>55</v>
      </c>
      <c r="F323">
        <v>92</v>
      </c>
      <c r="G323">
        <v>17</v>
      </c>
      <c r="H323">
        <v>1.02595051297526E-2</v>
      </c>
      <c r="I323">
        <v>0.184782608695652</v>
      </c>
      <c r="J323" s="14" t="str">
        <f>_xlfn.XLOOKUP(B323,CAD_PDV!A:A,CAD_PDV!B:B)</f>
        <v>FAJULUTI</v>
      </c>
      <c r="K323" s="14">
        <f>IF(IFERROR(_xlfn.XLOOKUP(B323,Planilha2!D:D,Planilha2!H:H),0)="SIM",1,0)</f>
        <v>0</v>
      </c>
      <c r="L323" s="14" t="str">
        <f>_xlfn.XLOOKUP(B323,CAD_PDV!A:A,CAD_PDV!C:C)</f>
        <v>RJ/ES</v>
      </c>
      <c r="M323" s="14" t="str">
        <f>IFERROR(_xlfn.XLOOKUP(B323,repete!A:A,repete!A:A),"-")</f>
        <v>-</v>
      </c>
    </row>
    <row r="324" spans="1:13" hidden="1">
      <c r="A324" s="1">
        <v>46054</v>
      </c>
      <c r="B324" t="s">
        <v>1602</v>
      </c>
      <c r="C324" t="s">
        <v>1489</v>
      </c>
      <c r="D324" t="s">
        <v>232</v>
      </c>
      <c r="E324" t="s">
        <v>54</v>
      </c>
      <c r="F324">
        <v>85</v>
      </c>
      <c r="G324">
        <v>17</v>
      </c>
      <c r="H324">
        <v>1.02595051297526E-2</v>
      </c>
      <c r="I324">
        <v>0.2</v>
      </c>
      <c r="J324" s="14" t="str">
        <f>_xlfn.XLOOKUP(B324,CAD_PDV!A:A,CAD_PDV!B:B)</f>
        <v>HS TELECOM</v>
      </c>
      <c r="K324" s="14">
        <f>IF(IFERROR(_xlfn.XLOOKUP(B324,Planilha2!D:D,Planilha2!H:H),0)="SIM",1,0)</f>
        <v>0</v>
      </c>
      <c r="L324" s="14" t="str">
        <f>_xlfn.XLOOKUP(B324,CAD_PDV!A:A,CAD_PDV!C:C)</f>
        <v>SP2</v>
      </c>
      <c r="M324" s="14" t="str">
        <f>IFERROR(_xlfn.XLOOKUP(B324,repete!A:A,repete!A:A),"-")</f>
        <v>-</v>
      </c>
    </row>
    <row r="325" spans="1:13" hidden="1">
      <c r="A325" s="1">
        <v>46054</v>
      </c>
      <c r="B325" t="s">
        <v>1687</v>
      </c>
      <c r="C325" t="s">
        <v>1688</v>
      </c>
      <c r="D325" t="s">
        <v>232</v>
      </c>
      <c r="E325" t="s">
        <v>54</v>
      </c>
      <c r="F325">
        <v>95</v>
      </c>
      <c r="G325">
        <v>17</v>
      </c>
      <c r="H325">
        <v>1.02595051297526E-2</v>
      </c>
      <c r="I325">
        <v>0.17894736842105299</v>
      </c>
      <c r="J325" s="14" t="str">
        <f>_xlfn.XLOOKUP(B325,CAD_PDV!A:A,CAD_PDV!B:B)</f>
        <v>HS TELECOM</v>
      </c>
      <c r="K325" s="14">
        <f>IF(IFERROR(_xlfn.XLOOKUP(B325,Planilha2!D:D,Planilha2!H:H),0)="SIM",1,0)</f>
        <v>0</v>
      </c>
      <c r="L325" s="14" t="str">
        <f>_xlfn.XLOOKUP(B325,CAD_PDV!A:A,CAD_PDV!C:C)</f>
        <v>SP2</v>
      </c>
      <c r="M325" s="14" t="str">
        <f>IFERROR(_xlfn.XLOOKUP(B325,repete!A:A,repete!A:A),"-")</f>
        <v>-</v>
      </c>
    </row>
    <row r="326" spans="1:13" hidden="1">
      <c r="A326" s="1">
        <v>46054</v>
      </c>
      <c r="B326" t="s">
        <v>1501</v>
      </c>
      <c r="C326" t="s">
        <v>1503</v>
      </c>
      <c r="D326" t="s">
        <v>232</v>
      </c>
      <c r="E326" t="s">
        <v>54</v>
      </c>
      <c r="F326">
        <v>116</v>
      </c>
      <c r="G326">
        <v>16</v>
      </c>
      <c r="H326">
        <v>9.6560048280024107E-3</v>
      </c>
      <c r="I326">
        <v>0.13793103448275901</v>
      </c>
      <c r="J326" s="14" t="str">
        <f>_xlfn.XLOOKUP(B326,CAD_PDV!A:A,CAD_PDV!B:B)</f>
        <v>HS TELECOM</v>
      </c>
      <c r="K326" s="14">
        <f>IF(IFERROR(_xlfn.XLOOKUP(B326,Planilha2!D:D,Planilha2!H:H),0)="SIM",1,0)</f>
        <v>0</v>
      </c>
      <c r="L326" s="14" t="str">
        <f>_xlfn.XLOOKUP(B326,CAD_PDV!A:A,CAD_PDV!C:C)</f>
        <v>SP2</v>
      </c>
      <c r="M326" s="14" t="str">
        <f>IFERROR(_xlfn.XLOOKUP(B326,repete!A:A,repete!A:A),"-")</f>
        <v>-</v>
      </c>
    </row>
    <row r="327" spans="1:13" hidden="1">
      <c r="A327" s="1">
        <v>46054</v>
      </c>
      <c r="B327" t="s">
        <v>1139</v>
      </c>
      <c r="C327" t="s">
        <v>1142</v>
      </c>
      <c r="D327" t="s">
        <v>228</v>
      </c>
      <c r="E327" t="s">
        <v>55</v>
      </c>
      <c r="F327">
        <v>168</v>
      </c>
      <c r="G327">
        <v>16</v>
      </c>
      <c r="H327">
        <v>9.6560048280024107E-3</v>
      </c>
      <c r="I327">
        <v>9.5238095238095205E-2</v>
      </c>
      <c r="J327" s="14" t="str">
        <f>_xlfn.XLOOKUP(B327,CAD_PDV!A:A,CAD_PDV!B:B)</f>
        <v>FAJULUTI</v>
      </c>
      <c r="K327" s="14">
        <f>IF(IFERROR(_xlfn.XLOOKUP(B327,Planilha2!D:D,Planilha2!H:H),0)="SIM",1,0)</f>
        <v>0</v>
      </c>
      <c r="L327" s="14" t="str">
        <f>_xlfn.XLOOKUP(B327,CAD_PDV!A:A,CAD_PDV!C:C)</f>
        <v>RJ/ES</v>
      </c>
      <c r="M327" s="14" t="str">
        <f>IFERROR(_xlfn.XLOOKUP(B327,repete!A:A,repete!A:A),"-")</f>
        <v>-</v>
      </c>
    </row>
    <row r="328" spans="1:13" hidden="1">
      <c r="A328" s="1">
        <v>46054</v>
      </c>
      <c r="B328" t="s">
        <v>1660</v>
      </c>
      <c r="C328" t="s">
        <v>1661</v>
      </c>
      <c r="D328" t="s">
        <v>232</v>
      </c>
      <c r="E328" t="s">
        <v>54</v>
      </c>
      <c r="F328">
        <v>77</v>
      </c>
      <c r="G328">
        <v>16</v>
      </c>
      <c r="H328">
        <v>9.6560048280024107E-3</v>
      </c>
      <c r="I328">
        <v>0.207792207792208</v>
      </c>
      <c r="J328" s="14" t="str">
        <f>_xlfn.XLOOKUP(B328,CAD_PDV!A:A,CAD_PDV!B:B)</f>
        <v>HS TELECOM</v>
      </c>
      <c r="K328" s="14">
        <f>IF(IFERROR(_xlfn.XLOOKUP(B328,Planilha2!D:D,Planilha2!H:H),0)="SIM",1,0)</f>
        <v>0</v>
      </c>
      <c r="L328" s="14" t="str">
        <f>_xlfn.XLOOKUP(B328,CAD_PDV!A:A,CAD_PDV!C:C)</f>
        <v>SP2</v>
      </c>
      <c r="M328" s="14" t="str">
        <f>IFERROR(_xlfn.XLOOKUP(B328,repete!A:A,repete!A:A),"-")</f>
        <v>-</v>
      </c>
    </row>
    <row r="329" spans="1:13" hidden="1">
      <c r="A329" s="1">
        <v>46054</v>
      </c>
      <c r="B329" t="s">
        <v>1372</v>
      </c>
      <c r="C329" t="s">
        <v>1313</v>
      </c>
      <c r="D329" t="s">
        <v>132</v>
      </c>
      <c r="E329" t="s">
        <v>53</v>
      </c>
      <c r="F329">
        <v>114</v>
      </c>
      <c r="G329">
        <v>16</v>
      </c>
      <c r="H329">
        <v>9.6560048280024107E-3</v>
      </c>
      <c r="I329">
        <v>0.140350877192982</v>
      </c>
      <c r="J329" s="14" t="str">
        <f>_xlfn.XLOOKUP(B329,CAD_PDV!A:A,CAD_PDV!B:B)</f>
        <v>FLEX CELL</v>
      </c>
      <c r="K329" s="14">
        <f>IF(IFERROR(_xlfn.XLOOKUP(B329,Planilha2!D:D,Planilha2!H:H),0)="SIM",1,0)</f>
        <v>0</v>
      </c>
      <c r="L329" s="14" t="str">
        <f>_xlfn.XLOOKUP(B329,CAD_PDV!A:A,CAD_PDV!C:C)</f>
        <v>SP1</v>
      </c>
      <c r="M329" s="14" t="str">
        <f>IFERROR(_xlfn.XLOOKUP(B329,repete!A:A,repete!A:A),"-")</f>
        <v>-</v>
      </c>
    </row>
    <row r="330" spans="1:13" hidden="1">
      <c r="A330" s="1">
        <v>46054</v>
      </c>
      <c r="B330" t="s">
        <v>1481</v>
      </c>
      <c r="C330" t="s">
        <v>1482</v>
      </c>
      <c r="D330" t="s">
        <v>232</v>
      </c>
      <c r="E330" t="s">
        <v>54</v>
      </c>
      <c r="F330">
        <v>68</v>
      </c>
      <c r="G330">
        <v>15</v>
      </c>
      <c r="H330">
        <v>9.0525045262522599E-3</v>
      </c>
      <c r="I330">
        <v>0.220588235294118</v>
      </c>
      <c r="J330" s="14" t="str">
        <f>_xlfn.XLOOKUP(B330,CAD_PDV!A:A,CAD_PDV!B:B)</f>
        <v>HS TELECOM</v>
      </c>
      <c r="K330" s="14">
        <f>IF(IFERROR(_xlfn.XLOOKUP(B330,Planilha2!D:D,Planilha2!H:H),0)="SIM",1,0)</f>
        <v>0</v>
      </c>
      <c r="L330" s="14" t="str">
        <f>_xlfn.XLOOKUP(B330,CAD_PDV!A:A,CAD_PDV!C:C)</f>
        <v>SP2</v>
      </c>
      <c r="M330" s="14" t="str">
        <f>IFERROR(_xlfn.XLOOKUP(B330,repete!A:A,repete!A:A),"-")</f>
        <v>-</v>
      </c>
    </row>
    <row r="331" spans="1:13" hidden="1">
      <c r="A331" s="1">
        <v>46054</v>
      </c>
      <c r="B331" t="s">
        <v>1710</v>
      </c>
      <c r="C331" t="s">
        <v>1568</v>
      </c>
      <c r="D331" t="s">
        <v>119</v>
      </c>
      <c r="E331" t="s">
        <v>54</v>
      </c>
      <c r="F331">
        <v>48</v>
      </c>
      <c r="G331">
        <v>15</v>
      </c>
      <c r="H331">
        <v>9.0525045262522599E-3</v>
      </c>
      <c r="I331">
        <v>0.3125</v>
      </c>
      <c r="J331" s="14" t="str">
        <f>_xlfn.XLOOKUP(B331,CAD_PDV!A:A,CAD_PDV!B:B)</f>
        <v>DOM BARRETO COMERCIAL LTDA - ME</v>
      </c>
      <c r="K331" s="14">
        <f>IF(IFERROR(_xlfn.XLOOKUP(B331,Planilha2!D:D,Planilha2!H:H),0)="SIM",1,0)</f>
        <v>0</v>
      </c>
      <c r="L331" s="14" t="str">
        <f>_xlfn.XLOOKUP(B331,CAD_PDV!A:A,CAD_PDV!C:C)</f>
        <v>SP2</v>
      </c>
      <c r="M331" s="14" t="str">
        <f>IFERROR(_xlfn.XLOOKUP(B331,repete!A:A,repete!A:A),"-")</f>
        <v>-</v>
      </c>
    </row>
    <row r="332" spans="1:13" hidden="1">
      <c r="A332" s="1">
        <v>46054</v>
      </c>
      <c r="B332" t="s">
        <v>1284</v>
      </c>
      <c r="C332" t="s">
        <v>1283</v>
      </c>
      <c r="D332" t="s">
        <v>228</v>
      </c>
      <c r="E332" t="s">
        <v>55</v>
      </c>
      <c r="F332">
        <v>84</v>
      </c>
      <c r="G332">
        <v>14</v>
      </c>
      <c r="H332">
        <v>8.4490042245021092E-3</v>
      </c>
      <c r="I332">
        <v>0.16666666666666699</v>
      </c>
      <c r="J332" s="14" t="str">
        <f>_xlfn.XLOOKUP(B332,CAD_PDV!A:A,CAD_PDV!B:B)</f>
        <v>FAJULUTI</v>
      </c>
      <c r="K332" s="14">
        <f>IF(IFERROR(_xlfn.XLOOKUP(B332,Planilha2!D:D,Planilha2!H:H),0)="SIM",1,0)</f>
        <v>0</v>
      </c>
      <c r="L332" s="14" t="str">
        <f>_xlfn.XLOOKUP(B332,CAD_PDV!A:A,CAD_PDV!C:C)</f>
        <v>RJ/ES</v>
      </c>
      <c r="M332" s="14" t="str">
        <f>IFERROR(_xlfn.XLOOKUP(B332,repete!A:A,repete!A:A),"-")</f>
        <v>-</v>
      </c>
    </row>
    <row r="333" spans="1:13" hidden="1">
      <c r="A333" s="1">
        <v>46054</v>
      </c>
      <c r="B333" t="s">
        <v>1210</v>
      </c>
      <c r="C333" t="s">
        <v>1211</v>
      </c>
      <c r="D333" t="s">
        <v>228</v>
      </c>
      <c r="E333" t="s">
        <v>55</v>
      </c>
      <c r="F333">
        <v>97</v>
      </c>
      <c r="G333">
        <v>14</v>
      </c>
      <c r="H333">
        <v>8.4490042245021092E-3</v>
      </c>
      <c r="I333">
        <v>0.14432989690721601</v>
      </c>
      <c r="J333" s="14" t="str">
        <f>_xlfn.XLOOKUP(B333,CAD_PDV!A:A,CAD_PDV!B:B)</f>
        <v>FAJULUTI</v>
      </c>
      <c r="K333" s="14">
        <f>IF(IFERROR(_xlfn.XLOOKUP(B333,Planilha2!D:D,Planilha2!H:H),0)="SIM",1,0)</f>
        <v>0</v>
      </c>
      <c r="L333" s="14" t="str">
        <f>_xlfn.XLOOKUP(B333,CAD_PDV!A:A,CAD_PDV!C:C)</f>
        <v>RJ/ES</v>
      </c>
      <c r="M333" s="14" t="str">
        <f>IFERROR(_xlfn.XLOOKUP(B333,repete!A:A,repete!A:A),"-")</f>
        <v>-</v>
      </c>
    </row>
    <row r="334" spans="1:13" hidden="1">
      <c r="A334" s="1">
        <v>46054</v>
      </c>
      <c r="B334" t="s">
        <v>1656</v>
      </c>
      <c r="C334" t="s">
        <v>1657</v>
      </c>
      <c r="D334" t="s">
        <v>232</v>
      </c>
      <c r="E334" t="s">
        <v>54</v>
      </c>
      <c r="F334">
        <v>72</v>
      </c>
      <c r="G334">
        <v>14</v>
      </c>
      <c r="H334">
        <v>8.4490042245021092E-3</v>
      </c>
      <c r="I334">
        <v>0.194444444444444</v>
      </c>
      <c r="J334" s="14" t="str">
        <f>_xlfn.XLOOKUP(B334,CAD_PDV!A:A,CAD_PDV!B:B)</f>
        <v>HS TELECOM</v>
      </c>
      <c r="K334" s="14">
        <f>IF(IFERROR(_xlfn.XLOOKUP(B334,Planilha2!D:D,Planilha2!H:H),0)="SIM",1,0)</f>
        <v>0</v>
      </c>
      <c r="L334" s="14" t="str">
        <f>_xlfn.XLOOKUP(B334,CAD_PDV!A:A,CAD_PDV!C:C)</f>
        <v>SP2</v>
      </c>
      <c r="M334" s="14" t="str">
        <f>IFERROR(_xlfn.XLOOKUP(B334,repete!A:A,repete!A:A),"-")</f>
        <v>-</v>
      </c>
    </row>
    <row r="335" spans="1:13" hidden="1">
      <c r="A335" s="1">
        <v>46054</v>
      </c>
      <c r="B335" t="s">
        <v>1662</v>
      </c>
      <c r="C335" t="s">
        <v>1663</v>
      </c>
      <c r="D335" t="s">
        <v>232</v>
      </c>
      <c r="E335" t="s">
        <v>54</v>
      </c>
      <c r="F335">
        <v>89</v>
      </c>
      <c r="G335">
        <v>14</v>
      </c>
      <c r="H335">
        <v>8.4490042245021092E-3</v>
      </c>
      <c r="I335">
        <v>0.15730337078651699</v>
      </c>
      <c r="J335" s="14" t="str">
        <f>_xlfn.XLOOKUP(B335,CAD_PDV!A:A,CAD_PDV!B:B)</f>
        <v>HS TELECOM</v>
      </c>
      <c r="K335" s="14">
        <f>IF(IFERROR(_xlfn.XLOOKUP(B335,Planilha2!D:D,Planilha2!H:H),0)="SIM",1,0)</f>
        <v>0</v>
      </c>
      <c r="L335" s="14" t="str">
        <f>_xlfn.XLOOKUP(B335,CAD_PDV!A:A,CAD_PDV!C:C)</f>
        <v>SP2</v>
      </c>
      <c r="M335" s="14" t="str">
        <f>IFERROR(_xlfn.XLOOKUP(B335,repete!A:A,repete!A:A),"-")</f>
        <v>-</v>
      </c>
    </row>
    <row r="336" spans="1:13" hidden="1">
      <c r="A336" s="1">
        <v>46054</v>
      </c>
      <c r="B336" t="s">
        <v>1487</v>
      </c>
      <c r="C336" t="s">
        <v>1489</v>
      </c>
      <c r="D336" t="s">
        <v>232</v>
      </c>
      <c r="E336" t="s">
        <v>54</v>
      </c>
      <c r="F336">
        <v>55</v>
      </c>
      <c r="G336">
        <v>13</v>
      </c>
      <c r="H336">
        <v>7.8455039227519601E-3</v>
      </c>
      <c r="I336">
        <v>0.236363636363636</v>
      </c>
      <c r="J336" s="14" t="str">
        <f>_xlfn.XLOOKUP(B336,CAD_PDV!A:A,CAD_PDV!B:B)</f>
        <v>HS TELECOM</v>
      </c>
      <c r="K336" s="14">
        <f>IF(IFERROR(_xlfn.XLOOKUP(B336,Planilha2!D:D,Planilha2!H:H),0)="SIM",1,0)</f>
        <v>0</v>
      </c>
      <c r="L336" s="14" t="str">
        <f>_xlfn.XLOOKUP(B336,CAD_PDV!A:A,CAD_PDV!C:C)</f>
        <v>SP2</v>
      </c>
      <c r="M336" s="14" t="str">
        <f>IFERROR(_xlfn.XLOOKUP(B336,repete!A:A,repete!A:A),"-")</f>
        <v>-</v>
      </c>
    </row>
    <row r="337" spans="1:13" hidden="1">
      <c r="A337" s="1">
        <v>46054</v>
      </c>
      <c r="B337" t="s">
        <v>777</v>
      </c>
      <c r="C337" t="s">
        <v>775</v>
      </c>
      <c r="D337" t="s">
        <v>221</v>
      </c>
      <c r="E337" t="s">
        <v>59</v>
      </c>
      <c r="F337">
        <v>55</v>
      </c>
      <c r="G337">
        <v>12</v>
      </c>
      <c r="H337">
        <v>7.2420036210018102E-3</v>
      </c>
      <c r="I337">
        <v>0.218181818181818</v>
      </c>
      <c r="J337" s="14" t="str">
        <f>_xlfn.XLOOKUP(B337,CAD_PDV!A:A,CAD_PDV!B:B)</f>
        <v>AMERICOM COMERCIO DE APARELHOS ELETRONICOS LTDA - EPP</v>
      </c>
      <c r="K337" s="14">
        <f>IF(IFERROR(_xlfn.XLOOKUP(B337,Planilha2!D:D,Planilha2!H:H),0)="SIM",1,0)</f>
        <v>0</v>
      </c>
      <c r="L337" s="14" t="str">
        <f>_xlfn.XLOOKUP(B337,CAD_PDV!A:A,CAD_PDV!C:C)</f>
        <v>CO</v>
      </c>
      <c r="M337" s="14" t="str">
        <f>IFERROR(_xlfn.XLOOKUP(B337,repete!A:A,repete!A:A),"-")</f>
        <v>-</v>
      </c>
    </row>
    <row r="338" spans="1:13" hidden="1">
      <c r="A338" s="1">
        <v>46054</v>
      </c>
      <c r="B338" t="s">
        <v>831</v>
      </c>
      <c r="C338" t="s">
        <v>820</v>
      </c>
      <c r="D338" t="s">
        <v>239</v>
      </c>
      <c r="E338" t="s">
        <v>59</v>
      </c>
      <c r="F338">
        <v>86</v>
      </c>
      <c r="G338">
        <v>12</v>
      </c>
      <c r="H338">
        <v>7.2420036210018102E-3</v>
      </c>
      <c r="I338">
        <v>0.13953488372093001</v>
      </c>
      <c r="J338" s="14" t="str">
        <f>_xlfn.XLOOKUP(B338,CAD_PDV!A:A,CAD_PDV!B:B)</f>
        <v>TELECELL TELEFONIA LTDA - ME</v>
      </c>
      <c r="K338" s="14">
        <f>IF(IFERROR(_xlfn.XLOOKUP(B338,Planilha2!D:D,Planilha2!H:H),0)="SIM",1,0)</f>
        <v>0</v>
      </c>
      <c r="L338" s="14" t="str">
        <f>_xlfn.XLOOKUP(B338,CAD_PDV!A:A,CAD_PDV!C:C)</f>
        <v>CO</v>
      </c>
      <c r="M338" s="14" t="str">
        <f>IFERROR(_xlfn.XLOOKUP(B338,repete!A:A,repete!A:A),"-")</f>
        <v>-</v>
      </c>
    </row>
    <row r="339" spans="1:13" hidden="1">
      <c r="A339" s="1">
        <v>46054</v>
      </c>
      <c r="B339" t="s">
        <v>1246</v>
      </c>
      <c r="C339" t="s">
        <v>1142</v>
      </c>
      <c r="D339" t="s">
        <v>228</v>
      </c>
      <c r="E339" t="s">
        <v>55</v>
      </c>
      <c r="F339">
        <v>173</v>
      </c>
      <c r="G339">
        <v>12</v>
      </c>
      <c r="H339">
        <v>7.2420036210018102E-3</v>
      </c>
      <c r="I339">
        <v>6.9364161849711004E-2</v>
      </c>
      <c r="J339" s="14" t="str">
        <f>_xlfn.XLOOKUP(B339,CAD_PDV!A:A,CAD_PDV!B:B)</f>
        <v>FAJULUTI</v>
      </c>
      <c r="K339" s="14">
        <f>IF(IFERROR(_xlfn.XLOOKUP(B339,Planilha2!D:D,Planilha2!H:H),0)="SIM",1,0)</f>
        <v>0</v>
      </c>
      <c r="L339" s="14" t="str">
        <f>_xlfn.XLOOKUP(B339,CAD_PDV!A:A,CAD_PDV!C:C)</f>
        <v>RJ/ES</v>
      </c>
      <c r="M339" s="14" t="str">
        <f>IFERROR(_xlfn.XLOOKUP(B339,repete!A:A,repete!A:A),"-")</f>
        <v>-</v>
      </c>
    </row>
    <row r="340" spans="1:13" hidden="1">
      <c r="A340" s="1">
        <v>46054</v>
      </c>
      <c r="B340" t="s">
        <v>896</v>
      </c>
      <c r="C340" t="s">
        <v>873</v>
      </c>
      <c r="D340" t="s">
        <v>224</v>
      </c>
      <c r="E340" t="s">
        <v>59</v>
      </c>
      <c r="F340">
        <v>85</v>
      </c>
      <c r="G340">
        <v>12</v>
      </c>
      <c r="H340">
        <v>7.2420036210018102E-3</v>
      </c>
      <c r="I340">
        <v>0.14117647058823499</v>
      </c>
      <c r="J340" s="14" t="str">
        <f>_xlfn.XLOOKUP(B340,CAD_PDV!A:A,CAD_PDV!B:B)</f>
        <v>CELNET COMERCIO E SERVICOS DE TELEFONIA LTDA ME</v>
      </c>
      <c r="K340" s="14">
        <f>IF(IFERROR(_xlfn.XLOOKUP(B340,Planilha2!D:D,Planilha2!H:H),0)="SIM",1,0)</f>
        <v>0</v>
      </c>
      <c r="L340" s="14" t="str">
        <f>_xlfn.XLOOKUP(B340,CAD_PDV!A:A,CAD_PDV!C:C)</f>
        <v>CO</v>
      </c>
      <c r="M340" s="14" t="str">
        <f>IFERROR(_xlfn.XLOOKUP(B340,repete!A:A,repete!A:A),"-")</f>
        <v>-</v>
      </c>
    </row>
    <row r="341" spans="1:13" hidden="1">
      <c r="A341" s="1">
        <v>46054</v>
      </c>
      <c r="B341" t="s">
        <v>1667</v>
      </c>
      <c r="C341" t="s">
        <v>1668</v>
      </c>
      <c r="D341" t="s">
        <v>232</v>
      </c>
      <c r="E341" t="s">
        <v>54</v>
      </c>
      <c r="F341">
        <v>102</v>
      </c>
      <c r="G341">
        <v>12</v>
      </c>
      <c r="H341">
        <v>7.2420036210018102E-3</v>
      </c>
      <c r="I341">
        <v>0.11764705882352899</v>
      </c>
      <c r="J341" s="14" t="str">
        <f>_xlfn.XLOOKUP(B341,CAD_PDV!A:A,CAD_PDV!B:B)</f>
        <v>HS TELECOM</v>
      </c>
      <c r="K341" s="14">
        <f>IF(IFERROR(_xlfn.XLOOKUP(B341,Planilha2!D:D,Planilha2!H:H),0)="SIM",1,0)</f>
        <v>0</v>
      </c>
      <c r="L341" s="14" t="str">
        <f>_xlfn.XLOOKUP(B341,CAD_PDV!A:A,CAD_PDV!C:C)</f>
        <v>SP2</v>
      </c>
      <c r="M341" s="14" t="str">
        <f>IFERROR(_xlfn.XLOOKUP(B341,repete!A:A,repete!A:A),"-")</f>
        <v>-</v>
      </c>
    </row>
    <row r="342" spans="1:13" hidden="1">
      <c r="A342" s="1">
        <v>46054</v>
      </c>
      <c r="B342" t="s">
        <v>262</v>
      </c>
      <c r="C342" t="s">
        <v>265</v>
      </c>
      <c r="D342" t="s">
        <v>230</v>
      </c>
      <c r="E342" t="s">
        <v>61</v>
      </c>
      <c r="F342">
        <v>75</v>
      </c>
      <c r="G342">
        <v>11</v>
      </c>
      <c r="H342">
        <v>6.6385033192516603E-3</v>
      </c>
      <c r="I342">
        <v>0.146666666666667</v>
      </c>
      <c r="J342" s="14" t="str">
        <f>_xlfn.XLOOKUP(B342,CAD_PDV!A:A,CAD_PDV!B:B)</f>
        <v>HARCOS COMERCIO E SERVICOS LTDA - EPP</v>
      </c>
      <c r="K342" s="14">
        <f>IF(IFERROR(_xlfn.XLOOKUP(B342,Planilha2!D:D,Planilha2!H:H),0)="SIM",1,0)</f>
        <v>0</v>
      </c>
      <c r="L342" s="14" t="str">
        <f>_xlfn.XLOOKUP(B342,CAD_PDV!A:A,CAD_PDV!C:C)</f>
        <v>NE</v>
      </c>
      <c r="M342" s="14" t="str">
        <f>IFERROR(_xlfn.XLOOKUP(B342,repete!A:A,repete!A:A),"-")</f>
        <v>-</v>
      </c>
    </row>
    <row r="343" spans="1:13" hidden="1">
      <c r="A343" s="1">
        <v>46054</v>
      </c>
      <c r="B343" t="s">
        <v>1149</v>
      </c>
      <c r="C343" t="s">
        <v>1152</v>
      </c>
      <c r="D343" t="s">
        <v>228</v>
      </c>
      <c r="E343" t="s">
        <v>55</v>
      </c>
      <c r="F343">
        <v>79</v>
      </c>
      <c r="G343">
        <v>11</v>
      </c>
      <c r="H343">
        <v>6.6385033192516603E-3</v>
      </c>
      <c r="I343">
        <v>0.139240506329114</v>
      </c>
      <c r="J343" s="14" t="str">
        <f>_xlfn.XLOOKUP(B343,CAD_PDV!A:A,CAD_PDV!B:B)</f>
        <v>FAJULUTI</v>
      </c>
      <c r="K343" s="14">
        <f>IF(IFERROR(_xlfn.XLOOKUP(B343,Planilha2!D:D,Planilha2!H:H),0)="SIM",1,0)</f>
        <v>0</v>
      </c>
      <c r="L343" s="14" t="str">
        <f>_xlfn.XLOOKUP(B343,CAD_PDV!A:A,CAD_PDV!C:C)</f>
        <v>RJ/ES</v>
      </c>
      <c r="M343" s="14" t="str">
        <f>IFERROR(_xlfn.XLOOKUP(B343,repete!A:A,repete!A:A),"-")</f>
        <v>-</v>
      </c>
    </row>
    <row r="344" spans="1:13" hidden="1">
      <c r="A344" s="1">
        <v>46054</v>
      </c>
      <c r="B344" t="s">
        <v>1364</v>
      </c>
      <c r="C344" t="s">
        <v>1313</v>
      </c>
      <c r="D344" t="s">
        <v>132</v>
      </c>
      <c r="E344" t="s">
        <v>53</v>
      </c>
      <c r="F344">
        <v>135</v>
      </c>
      <c r="G344">
        <v>11</v>
      </c>
      <c r="H344">
        <v>6.6385033192516603E-3</v>
      </c>
      <c r="I344">
        <v>8.1481481481481502E-2</v>
      </c>
      <c r="J344" s="14" t="str">
        <f>_xlfn.XLOOKUP(B344,CAD_PDV!A:A,CAD_PDV!B:B)</f>
        <v>FLEX CELL</v>
      </c>
      <c r="K344" s="14">
        <f>IF(IFERROR(_xlfn.XLOOKUP(B344,Planilha2!D:D,Planilha2!H:H),0)="SIM",1,0)</f>
        <v>0</v>
      </c>
      <c r="L344" s="14" t="str">
        <f>_xlfn.XLOOKUP(B344,CAD_PDV!A:A,CAD_PDV!C:C)</f>
        <v>SP1</v>
      </c>
      <c r="M344" s="14" t="str">
        <f>IFERROR(_xlfn.XLOOKUP(B344,repete!A:A,repete!A:A),"-")</f>
        <v>-</v>
      </c>
    </row>
    <row r="345" spans="1:13" hidden="1">
      <c r="A345" s="1">
        <v>46054</v>
      </c>
      <c r="B345" t="s">
        <v>747</v>
      </c>
      <c r="C345" t="s">
        <v>610</v>
      </c>
      <c r="D345" t="s">
        <v>224</v>
      </c>
      <c r="E345" t="s">
        <v>59</v>
      </c>
      <c r="F345">
        <v>133</v>
      </c>
      <c r="G345">
        <v>11</v>
      </c>
      <c r="H345">
        <v>6.6385033192516603E-3</v>
      </c>
      <c r="I345">
        <v>8.2706766917293201E-2</v>
      </c>
      <c r="J345" s="14" t="str">
        <f>_xlfn.XLOOKUP(B345,CAD_PDV!A:A,CAD_PDV!B:B)</f>
        <v>CELNET COMERCIO E SERVICOS DE TELEFONIA LTDA ME</v>
      </c>
      <c r="K345" s="14">
        <f>IF(IFERROR(_xlfn.XLOOKUP(B345,Planilha2!D:D,Planilha2!H:H),0)="SIM",1,0)</f>
        <v>0</v>
      </c>
      <c r="L345" s="14" t="str">
        <f>_xlfn.XLOOKUP(B345,CAD_PDV!A:A,CAD_PDV!C:C)</f>
        <v>CO</v>
      </c>
      <c r="M345" s="14" t="str">
        <f>IFERROR(_xlfn.XLOOKUP(B345,repete!A:A,repete!A:A),"-")</f>
        <v>-</v>
      </c>
    </row>
    <row r="346" spans="1:13" hidden="1">
      <c r="A346" s="1">
        <v>46054</v>
      </c>
      <c r="B346" t="s">
        <v>1646</v>
      </c>
      <c r="C346" t="s">
        <v>1535</v>
      </c>
      <c r="D346" t="s">
        <v>232</v>
      </c>
      <c r="E346" t="s">
        <v>54</v>
      </c>
      <c r="F346">
        <v>80</v>
      </c>
      <c r="G346">
        <v>11</v>
      </c>
      <c r="H346">
        <v>6.6385033192516603E-3</v>
      </c>
      <c r="I346">
        <v>0.13750000000000001</v>
      </c>
      <c r="J346" s="14" t="str">
        <f>_xlfn.XLOOKUP(B346,CAD_PDV!A:A,CAD_PDV!B:B)</f>
        <v>HS TELECOM</v>
      </c>
      <c r="K346" s="14">
        <f>IF(IFERROR(_xlfn.XLOOKUP(B346,Planilha2!D:D,Planilha2!H:H),0)="SIM",1,0)</f>
        <v>0</v>
      </c>
      <c r="L346" s="14" t="str">
        <f>_xlfn.XLOOKUP(B346,CAD_PDV!A:A,CAD_PDV!C:C)</f>
        <v>SP2</v>
      </c>
      <c r="M346" s="14" t="str">
        <f>IFERROR(_xlfn.XLOOKUP(B346,repete!A:A,repete!A:A),"-")</f>
        <v>-</v>
      </c>
    </row>
    <row r="347" spans="1:13" hidden="1">
      <c r="A347" s="1">
        <v>46054</v>
      </c>
      <c r="B347" t="s">
        <v>1273</v>
      </c>
      <c r="C347" t="s">
        <v>1204</v>
      </c>
      <c r="D347" t="s">
        <v>2072</v>
      </c>
      <c r="E347" t="s">
        <v>55</v>
      </c>
      <c r="F347">
        <v>86</v>
      </c>
      <c r="G347">
        <v>10</v>
      </c>
      <c r="H347">
        <v>6.0350030175015104E-3</v>
      </c>
      <c r="I347">
        <v>0.116279069767442</v>
      </c>
      <c r="J347" s="14" t="str">
        <f>_xlfn.XLOOKUP(B347,CAD_PDV!A:A,CAD_PDV!B:B)</f>
        <v>MEXCELL COMERCIO E SERVICOS DE TELECOMUNICACOES LTDA</v>
      </c>
      <c r="K347" s="14">
        <f>IF(IFERROR(_xlfn.XLOOKUP(B347,Planilha2!D:D,Planilha2!H:H),0)="SIM",1,0)</f>
        <v>0</v>
      </c>
      <c r="L347" s="14" t="str">
        <f>_xlfn.XLOOKUP(B347,CAD_PDV!A:A,CAD_PDV!C:C)</f>
        <v>RJ/ES</v>
      </c>
      <c r="M347" s="14" t="str">
        <f>IFERROR(_xlfn.XLOOKUP(B347,repete!A:A,repete!A:A),"-")</f>
        <v>-</v>
      </c>
    </row>
    <row r="348" spans="1:13" hidden="1">
      <c r="A348" s="1">
        <v>46054</v>
      </c>
      <c r="B348" t="s">
        <v>1252</v>
      </c>
      <c r="C348" t="s">
        <v>1142</v>
      </c>
      <c r="D348" t="s">
        <v>228</v>
      </c>
      <c r="E348" t="s">
        <v>55</v>
      </c>
      <c r="F348">
        <v>65</v>
      </c>
      <c r="G348">
        <v>10</v>
      </c>
      <c r="H348">
        <v>6.0350030175015104E-3</v>
      </c>
      <c r="I348">
        <v>0.15384615384615399</v>
      </c>
      <c r="J348" s="14" t="str">
        <f>_xlfn.XLOOKUP(B348,CAD_PDV!A:A,CAD_PDV!B:B)</f>
        <v>FAJULUTI</v>
      </c>
      <c r="K348" s="14">
        <f>IF(IFERROR(_xlfn.XLOOKUP(B348,Planilha2!D:D,Planilha2!H:H),0)="SIM",1,0)</f>
        <v>0</v>
      </c>
      <c r="L348" s="14" t="str">
        <f>_xlfn.XLOOKUP(B348,CAD_PDV!A:A,CAD_PDV!C:C)</f>
        <v>RJ/ES</v>
      </c>
      <c r="M348" s="14" t="str">
        <f>IFERROR(_xlfn.XLOOKUP(B348,repete!A:A,repete!A:A),"-")</f>
        <v>-</v>
      </c>
    </row>
    <row r="349" spans="1:13" hidden="1">
      <c r="A349" s="1">
        <v>46054</v>
      </c>
      <c r="B349" t="s">
        <v>1669</v>
      </c>
      <c r="C349" t="s">
        <v>1661</v>
      </c>
      <c r="D349" t="s">
        <v>232</v>
      </c>
      <c r="E349" t="s">
        <v>54</v>
      </c>
      <c r="F349">
        <v>113</v>
      </c>
      <c r="G349">
        <v>10</v>
      </c>
      <c r="H349">
        <v>6.0350030175015104E-3</v>
      </c>
      <c r="I349">
        <v>8.8495575221238895E-2</v>
      </c>
      <c r="J349" s="14" t="str">
        <f>_xlfn.XLOOKUP(B349,CAD_PDV!A:A,CAD_PDV!B:B)</f>
        <v>HS TELECOM</v>
      </c>
      <c r="K349" s="14">
        <f>IF(IFERROR(_xlfn.XLOOKUP(B349,Planilha2!D:D,Planilha2!H:H),0)="SIM",1,0)</f>
        <v>0</v>
      </c>
      <c r="L349" s="14" t="str">
        <f>_xlfn.XLOOKUP(B349,CAD_PDV!A:A,CAD_PDV!C:C)</f>
        <v>SP2</v>
      </c>
      <c r="M349" s="14" t="str">
        <f>IFERROR(_xlfn.XLOOKUP(B349,repete!A:A,repete!A:A),"-")</f>
        <v>-</v>
      </c>
    </row>
    <row r="350" spans="1:13" hidden="1">
      <c r="A350" s="1">
        <v>46054</v>
      </c>
      <c r="B350" t="s">
        <v>286</v>
      </c>
      <c r="C350" t="s">
        <v>288</v>
      </c>
      <c r="D350" t="s">
        <v>230</v>
      </c>
      <c r="E350" t="s">
        <v>61</v>
      </c>
      <c r="F350">
        <v>89</v>
      </c>
      <c r="G350">
        <v>10</v>
      </c>
      <c r="H350">
        <v>6.0350030175015104E-3</v>
      </c>
      <c r="I350">
        <v>0.112359550561798</v>
      </c>
      <c r="J350" s="14" t="str">
        <f>_xlfn.XLOOKUP(B350,CAD_PDV!A:A,CAD_PDV!B:B)</f>
        <v>HARCOS COMERCIO E SERVICOS LTDA - EPP</v>
      </c>
      <c r="K350" s="14">
        <f>IF(IFERROR(_xlfn.XLOOKUP(B350,Planilha2!D:D,Planilha2!H:H),0)="SIM",1,0)</f>
        <v>0</v>
      </c>
      <c r="L350" s="14" t="str">
        <f>_xlfn.XLOOKUP(B350,CAD_PDV!A:A,CAD_PDV!C:C)</f>
        <v>NE</v>
      </c>
      <c r="M350" s="14" t="str">
        <f>IFERROR(_xlfn.XLOOKUP(B350,repete!A:A,repete!A:A),"-")</f>
        <v>-</v>
      </c>
    </row>
    <row r="351" spans="1:13" hidden="1">
      <c r="A351" s="1">
        <v>46054</v>
      </c>
      <c r="B351" t="s">
        <v>1716</v>
      </c>
      <c r="C351" t="s">
        <v>1663</v>
      </c>
      <c r="D351" t="s">
        <v>232</v>
      </c>
      <c r="E351" t="s">
        <v>54</v>
      </c>
      <c r="F351">
        <v>122</v>
      </c>
      <c r="G351">
        <v>10</v>
      </c>
      <c r="H351">
        <v>6.0350030175015104E-3</v>
      </c>
      <c r="I351">
        <v>8.1967213114754106E-2</v>
      </c>
      <c r="J351" s="14" t="str">
        <f>_xlfn.XLOOKUP(B351,CAD_PDV!A:A,CAD_PDV!B:B)</f>
        <v>HS TELECOM</v>
      </c>
      <c r="K351" s="14">
        <f>IF(IFERROR(_xlfn.XLOOKUP(B351,Planilha2!D:D,Planilha2!H:H),0)="SIM",1,0)</f>
        <v>0</v>
      </c>
      <c r="L351" s="14" t="str">
        <f>_xlfn.XLOOKUP(B351,CAD_PDV!A:A,CAD_PDV!C:C)</f>
        <v>SP2</v>
      </c>
      <c r="M351" s="14" t="str">
        <f>IFERROR(_xlfn.XLOOKUP(B351,repete!A:A,repete!A:A),"-")</f>
        <v>-</v>
      </c>
    </row>
    <row r="352" spans="1:13" hidden="1">
      <c r="A352" s="1">
        <v>46054</v>
      </c>
      <c r="B352" t="s">
        <v>872</v>
      </c>
      <c r="C352" t="s">
        <v>873</v>
      </c>
      <c r="D352" t="s">
        <v>239</v>
      </c>
      <c r="E352" t="s">
        <v>59</v>
      </c>
      <c r="F352">
        <v>77</v>
      </c>
      <c r="G352">
        <v>9</v>
      </c>
      <c r="H352">
        <v>5.4315027157513596E-3</v>
      </c>
      <c r="I352">
        <v>0.11688311688311701</v>
      </c>
      <c r="J352" s="14" t="str">
        <f>_xlfn.XLOOKUP(B352,CAD_PDV!A:A,CAD_PDV!B:B)</f>
        <v>TELECELL TELEFONIA LTDA - ME</v>
      </c>
      <c r="K352" s="14">
        <f>IF(IFERROR(_xlfn.XLOOKUP(B352,Planilha2!D:D,Planilha2!H:H),0)="SIM",1,0)</f>
        <v>0</v>
      </c>
      <c r="L352" s="14" t="str">
        <f>_xlfn.XLOOKUP(B352,CAD_PDV!A:A,CAD_PDV!C:C)</f>
        <v>CO</v>
      </c>
      <c r="M352" s="14" t="str">
        <f>IFERROR(_xlfn.XLOOKUP(B352,repete!A:A,repete!A:A),"-")</f>
        <v>-</v>
      </c>
    </row>
    <row r="353" spans="1:13" hidden="1">
      <c r="A353" s="1">
        <v>46054</v>
      </c>
      <c r="B353" t="s">
        <v>1522</v>
      </c>
      <c r="C353" t="s">
        <v>1523</v>
      </c>
      <c r="D353" t="s">
        <v>232</v>
      </c>
      <c r="E353" t="s">
        <v>54</v>
      </c>
      <c r="F353">
        <v>98</v>
      </c>
      <c r="G353">
        <v>9</v>
      </c>
      <c r="H353">
        <v>5.4315027157513596E-3</v>
      </c>
      <c r="I353">
        <v>9.1836734693877597E-2</v>
      </c>
      <c r="J353" s="14" t="str">
        <f>_xlfn.XLOOKUP(B353,CAD_PDV!A:A,CAD_PDV!B:B)</f>
        <v>HS TELECOM</v>
      </c>
      <c r="K353" s="14">
        <f>IF(IFERROR(_xlfn.XLOOKUP(B353,Planilha2!D:D,Planilha2!H:H),0)="SIM",1,0)</f>
        <v>0</v>
      </c>
      <c r="L353" s="14" t="str">
        <f>_xlfn.XLOOKUP(B353,CAD_PDV!A:A,CAD_PDV!C:C)</f>
        <v>SP2</v>
      </c>
      <c r="M353" s="14" t="str">
        <f>IFERROR(_xlfn.XLOOKUP(B353,repete!A:A,repete!A:A),"-")</f>
        <v>-</v>
      </c>
    </row>
    <row r="354" spans="1:13" hidden="1">
      <c r="A354" s="1">
        <v>46054</v>
      </c>
      <c r="B354" t="s">
        <v>993</v>
      </c>
      <c r="C354" t="s">
        <v>992</v>
      </c>
      <c r="D354" t="s">
        <v>232</v>
      </c>
      <c r="E354" t="s">
        <v>60</v>
      </c>
      <c r="F354">
        <v>47</v>
      </c>
      <c r="G354">
        <v>9</v>
      </c>
      <c r="H354">
        <v>5.4315027157513596E-3</v>
      </c>
      <c r="I354">
        <v>0.19148936170212799</v>
      </c>
      <c r="J354" s="14" t="str">
        <f>_xlfn.XLOOKUP(B354,CAD_PDV!A:A,CAD_PDV!B:B)</f>
        <v>HS TELECOM</v>
      </c>
      <c r="K354" s="14">
        <f>IF(IFERROR(_xlfn.XLOOKUP(B354,Planilha2!D:D,Planilha2!H:H),0)="SIM",1,0)</f>
        <v>0</v>
      </c>
      <c r="L354" s="14" t="str">
        <f>_xlfn.XLOOKUP(B354,CAD_PDV!A:A,CAD_PDV!C:C)</f>
        <v>BA/SE</v>
      </c>
      <c r="M354" s="14" t="str">
        <f>IFERROR(_xlfn.XLOOKUP(B354,repete!A:A,repete!A:A),"-")</f>
        <v>-</v>
      </c>
    </row>
    <row r="355" spans="1:13" hidden="1">
      <c r="A355" s="1">
        <v>46054</v>
      </c>
      <c r="B355" t="s">
        <v>1167</v>
      </c>
      <c r="C355" t="s">
        <v>1152</v>
      </c>
      <c r="D355" t="s">
        <v>237</v>
      </c>
      <c r="E355" t="s">
        <v>55</v>
      </c>
      <c r="F355">
        <v>178</v>
      </c>
      <c r="G355">
        <v>9</v>
      </c>
      <c r="H355">
        <v>5.4315027157513596E-3</v>
      </c>
      <c r="I355">
        <v>5.0561797752809001E-2</v>
      </c>
      <c r="J355" s="14" t="str">
        <f>_xlfn.XLOOKUP(B355,CAD_PDV!A:A,CAD_PDV!B:B)</f>
        <v>PONTO CERTO COMERCIO E COMUNICAÇÕES LTDA</v>
      </c>
      <c r="K355" s="14">
        <f>IF(IFERROR(_xlfn.XLOOKUP(B355,Planilha2!D:D,Planilha2!H:H),0)="SIM",1,0)</f>
        <v>0</v>
      </c>
      <c r="L355" s="14" t="str">
        <f>_xlfn.XLOOKUP(B355,CAD_PDV!A:A,CAD_PDV!C:C)</f>
        <v>RJ/ES</v>
      </c>
      <c r="M355" s="14" t="str">
        <f>IFERROR(_xlfn.XLOOKUP(B355,repete!A:A,repete!A:A),"-")</f>
        <v>-</v>
      </c>
    </row>
    <row r="356" spans="1:13" hidden="1">
      <c r="A356" s="1">
        <v>46054</v>
      </c>
      <c r="B356" t="s">
        <v>1015</v>
      </c>
      <c r="C356" t="s">
        <v>1017</v>
      </c>
      <c r="D356" t="s">
        <v>232</v>
      </c>
      <c r="E356" t="s">
        <v>60</v>
      </c>
      <c r="F356">
        <v>39</v>
      </c>
      <c r="G356">
        <v>9</v>
      </c>
      <c r="H356">
        <v>5.4315027157513596E-3</v>
      </c>
      <c r="I356">
        <v>0.230769230769231</v>
      </c>
      <c r="J356" s="14" t="str">
        <f>_xlfn.XLOOKUP(B356,CAD_PDV!A:A,CAD_PDV!B:B)</f>
        <v>HS TELECOM</v>
      </c>
      <c r="K356" s="14">
        <f>IF(IFERROR(_xlfn.XLOOKUP(B356,Planilha2!D:D,Planilha2!H:H),0)="SIM",1,0)</f>
        <v>0</v>
      </c>
      <c r="L356" s="14" t="str">
        <f>_xlfn.XLOOKUP(B356,CAD_PDV!A:A,CAD_PDV!C:C)</f>
        <v>BA/SE</v>
      </c>
      <c r="M356" s="14" t="str">
        <f>IFERROR(_xlfn.XLOOKUP(B356,repete!A:A,repete!A:A),"-")</f>
        <v>-</v>
      </c>
    </row>
    <row r="357" spans="1:13" hidden="1">
      <c r="A357" s="1">
        <v>46054</v>
      </c>
      <c r="B357" t="s">
        <v>895</v>
      </c>
      <c r="C357" t="s">
        <v>873</v>
      </c>
      <c r="D357" t="s">
        <v>224</v>
      </c>
      <c r="E357" t="s">
        <v>59</v>
      </c>
      <c r="F357">
        <v>125</v>
      </c>
      <c r="G357">
        <v>9</v>
      </c>
      <c r="H357">
        <v>5.4315027157513596E-3</v>
      </c>
      <c r="I357">
        <v>7.1999999999999995E-2</v>
      </c>
      <c r="J357" s="14" t="str">
        <f>_xlfn.XLOOKUP(B357,CAD_PDV!A:A,CAD_PDV!B:B)</f>
        <v>CELNET COMERCIO E SERVICOS DE TELEFONIA LTDA ME</v>
      </c>
      <c r="K357" s="14">
        <f>IF(IFERROR(_xlfn.XLOOKUP(B357,Planilha2!D:D,Planilha2!H:H),0)="SIM",1,0)</f>
        <v>0</v>
      </c>
      <c r="L357" s="14" t="str">
        <f>_xlfn.XLOOKUP(B357,CAD_PDV!A:A,CAD_PDV!C:C)</f>
        <v>CO</v>
      </c>
      <c r="M357" s="14" t="str">
        <f>IFERROR(_xlfn.XLOOKUP(B357,repete!A:A,repete!A:A),"-")</f>
        <v>-</v>
      </c>
    </row>
    <row r="358" spans="1:13" hidden="1">
      <c r="A358" s="1">
        <v>46054</v>
      </c>
      <c r="B358" t="s">
        <v>1641</v>
      </c>
      <c r="C358" t="s">
        <v>1616</v>
      </c>
      <c r="D358" t="s">
        <v>132</v>
      </c>
      <c r="E358" t="s">
        <v>54</v>
      </c>
      <c r="F358">
        <v>37</v>
      </c>
      <c r="G358">
        <v>9</v>
      </c>
      <c r="H358">
        <v>5.4315027157513596E-3</v>
      </c>
      <c r="I358">
        <v>0.24324324324324301</v>
      </c>
      <c r="J358" s="14" t="str">
        <f>_xlfn.XLOOKUP(B358,CAD_PDV!A:A,CAD_PDV!B:B)</f>
        <v>FLEX CELL</v>
      </c>
      <c r="K358" s="14">
        <f>IF(IFERROR(_xlfn.XLOOKUP(B358,Planilha2!D:D,Planilha2!H:H),0)="SIM",1,0)</f>
        <v>0</v>
      </c>
      <c r="L358" s="14" t="str">
        <f>_xlfn.XLOOKUP(B358,CAD_PDV!A:A,CAD_PDV!C:C)</f>
        <v>SP2</v>
      </c>
      <c r="M358" s="14" t="str">
        <f>IFERROR(_xlfn.XLOOKUP(B358,repete!A:A,repete!A:A),"-")</f>
        <v>-</v>
      </c>
    </row>
    <row r="359" spans="1:13" hidden="1">
      <c r="A359" s="1">
        <v>46054</v>
      </c>
      <c r="B359" t="s">
        <v>856</v>
      </c>
      <c r="C359" t="s">
        <v>855</v>
      </c>
      <c r="D359" t="s">
        <v>2073</v>
      </c>
      <c r="E359" t="s">
        <v>59</v>
      </c>
      <c r="F359">
        <v>45</v>
      </c>
      <c r="G359">
        <v>9</v>
      </c>
      <c r="H359">
        <v>5.4315027157513596E-3</v>
      </c>
      <c r="I359">
        <v>0.2</v>
      </c>
      <c r="J359" s="14" t="str">
        <f>_xlfn.XLOOKUP(B359,CAD_PDV!A:A,CAD_PDV!B:B)</f>
        <v xml:space="preserve">CONTACOM COMERCIO DE APARELHOS ELETRONICOS LTDA </v>
      </c>
      <c r="K359" s="14">
        <f>IF(IFERROR(_xlfn.XLOOKUP(B359,Planilha2!D:D,Planilha2!H:H),0)="SIM",1,0)</f>
        <v>0</v>
      </c>
      <c r="L359" s="14" t="str">
        <f>_xlfn.XLOOKUP(B359,CAD_PDV!A:A,CAD_PDV!C:C)</f>
        <v>CO</v>
      </c>
      <c r="M359" s="14" t="str">
        <f>IFERROR(_xlfn.XLOOKUP(B359,repete!A:A,repete!A:A),"-")</f>
        <v>-</v>
      </c>
    </row>
    <row r="360" spans="1:13" hidden="1">
      <c r="A360" s="1">
        <v>46054</v>
      </c>
      <c r="B360" t="s">
        <v>963</v>
      </c>
      <c r="C360" t="s">
        <v>944</v>
      </c>
      <c r="D360" t="s">
        <v>232</v>
      </c>
      <c r="E360" t="s">
        <v>60</v>
      </c>
      <c r="F360">
        <v>137</v>
      </c>
      <c r="G360">
        <v>9</v>
      </c>
      <c r="H360">
        <v>5.4315027157513596E-3</v>
      </c>
      <c r="I360">
        <v>6.5693430656934296E-2</v>
      </c>
      <c r="J360" s="14" t="str">
        <f>_xlfn.XLOOKUP(B360,CAD_PDV!A:A,CAD_PDV!B:B)</f>
        <v>HS TELECOM</v>
      </c>
      <c r="K360" s="14">
        <f>IF(IFERROR(_xlfn.XLOOKUP(B360,Planilha2!D:D,Planilha2!H:H),0)="SIM",1,0)</f>
        <v>0</v>
      </c>
      <c r="L360" s="14" t="str">
        <f>_xlfn.XLOOKUP(B360,CAD_PDV!A:A,CAD_PDV!C:C)</f>
        <v>BA/SE</v>
      </c>
      <c r="M360" s="14" t="str">
        <f>IFERROR(_xlfn.XLOOKUP(B360,repete!A:A,repete!A:A),"-")</f>
        <v>-</v>
      </c>
    </row>
    <row r="361" spans="1:13" hidden="1">
      <c r="A361" s="1">
        <v>46054</v>
      </c>
      <c r="B361" t="s">
        <v>1174</v>
      </c>
      <c r="C361" t="s">
        <v>1142</v>
      </c>
      <c r="D361" t="s">
        <v>2072</v>
      </c>
      <c r="E361" t="s">
        <v>55</v>
      </c>
      <c r="F361">
        <v>174</v>
      </c>
      <c r="G361">
        <v>9</v>
      </c>
      <c r="H361">
        <v>5.4315027157513596E-3</v>
      </c>
      <c r="I361">
        <v>5.1724137931034503E-2</v>
      </c>
      <c r="J361" s="14" t="str">
        <f>_xlfn.XLOOKUP(B361,CAD_PDV!A:A,CAD_PDV!B:B)</f>
        <v>MEXCELL COMERCIO E SERVICOS DE TELECOMUNICACOES LTDA</v>
      </c>
      <c r="K361" s="14">
        <f>IF(IFERROR(_xlfn.XLOOKUP(B361,Planilha2!D:D,Planilha2!H:H),0)="SIM",1,0)</f>
        <v>0</v>
      </c>
      <c r="L361" s="14" t="str">
        <f>_xlfn.XLOOKUP(B361,CAD_PDV!A:A,CAD_PDV!C:C)</f>
        <v>RJ/ES</v>
      </c>
      <c r="M361" s="14" t="str">
        <f>IFERROR(_xlfn.XLOOKUP(B361,repete!A:A,repete!A:A),"-")</f>
        <v>-</v>
      </c>
    </row>
    <row r="362" spans="1:13" hidden="1">
      <c r="A362" s="1">
        <v>46054</v>
      </c>
      <c r="B362" t="s">
        <v>1342</v>
      </c>
      <c r="C362" t="s">
        <v>1313</v>
      </c>
      <c r="D362" t="s">
        <v>225</v>
      </c>
      <c r="E362" t="s">
        <v>53</v>
      </c>
      <c r="F362">
        <v>128</v>
      </c>
      <c r="G362">
        <v>9</v>
      </c>
      <c r="H362">
        <v>5.4315027157513596E-3</v>
      </c>
      <c r="I362">
        <v>7.03125E-2</v>
      </c>
      <c r="J362" s="14" t="str">
        <f>_xlfn.XLOOKUP(B362,CAD_PDV!A:A,CAD_PDV!B:B)</f>
        <v>CLARICELL SP1</v>
      </c>
      <c r="K362" s="14">
        <f>IF(IFERROR(_xlfn.XLOOKUP(B362,Planilha2!D:D,Planilha2!H:H),0)="SIM",1,0)</f>
        <v>0</v>
      </c>
      <c r="L362" s="14" t="str">
        <f>_xlfn.XLOOKUP(B362,CAD_PDV!A:A,CAD_PDV!C:C)</f>
        <v>SP1</v>
      </c>
      <c r="M362" s="14" t="str">
        <f>IFERROR(_xlfn.XLOOKUP(B362,repete!A:A,repete!A:A),"-")</f>
        <v>-</v>
      </c>
    </row>
    <row r="363" spans="1:13" hidden="1">
      <c r="A363" s="1">
        <v>46054</v>
      </c>
      <c r="B363" t="s">
        <v>974</v>
      </c>
      <c r="C363" t="s">
        <v>944</v>
      </c>
      <c r="D363" t="s">
        <v>232</v>
      </c>
      <c r="E363" t="s">
        <v>60</v>
      </c>
      <c r="F363">
        <v>56</v>
      </c>
      <c r="G363">
        <v>8</v>
      </c>
      <c r="H363">
        <v>4.8280024140012097E-3</v>
      </c>
      <c r="I363">
        <v>0.14285714285714299</v>
      </c>
      <c r="J363" s="14" t="str">
        <f>_xlfn.XLOOKUP(B363,CAD_PDV!A:A,CAD_PDV!B:B)</f>
        <v>HS TELECOM</v>
      </c>
      <c r="K363" s="14">
        <f>IF(IFERROR(_xlfn.XLOOKUP(B363,Planilha2!D:D,Planilha2!H:H),0)="SIM",1,0)</f>
        <v>0</v>
      </c>
      <c r="L363" s="14" t="str">
        <f>_xlfn.XLOOKUP(B363,CAD_PDV!A:A,CAD_PDV!C:C)</f>
        <v>BA/SE</v>
      </c>
      <c r="M363" s="14" t="str">
        <f>IFERROR(_xlfn.XLOOKUP(B363,repete!A:A,repete!A:A),"-")</f>
        <v>-</v>
      </c>
    </row>
    <row r="364" spans="1:13" hidden="1">
      <c r="A364" s="1">
        <v>46054</v>
      </c>
      <c r="B364" t="s">
        <v>1560</v>
      </c>
      <c r="C364" t="s">
        <v>1561</v>
      </c>
      <c r="D364" t="s">
        <v>232</v>
      </c>
      <c r="E364" t="s">
        <v>54</v>
      </c>
      <c r="F364">
        <v>51</v>
      </c>
      <c r="G364">
        <v>8</v>
      </c>
      <c r="H364">
        <v>4.8280024140012097E-3</v>
      </c>
      <c r="I364">
        <v>0.15686274509803899</v>
      </c>
      <c r="J364" s="14" t="str">
        <f>_xlfn.XLOOKUP(B364,CAD_PDV!A:A,CAD_PDV!B:B)</f>
        <v>HS TELECOM</v>
      </c>
      <c r="K364" s="14">
        <f>IF(IFERROR(_xlfn.XLOOKUP(B364,Planilha2!D:D,Planilha2!H:H),0)="SIM",1,0)</f>
        <v>0</v>
      </c>
      <c r="L364" s="14" t="str">
        <f>_xlfn.XLOOKUP(B364,CAD_PDV!A:A,CAD_PDV!C:C)</f>
        <v>SP2</v>
      </c>
      <c r="M364" s="14" t="str">
        <f>IFERROR(_xlfn.XLOOKUP(B364,repete!A:A,repete!A:A),"-")</f>
        <v>-</v>
      </c>
    </row>
    <row r="365" spans="1:13" hidden="1">
      <c r="A365" s="1">
        <v>46054</v>
      </c>
      <c r="B365" t="s">
        <v>1153</v>
      </c>
      <c r="C365" t="s">
        <v>1155</v>
      </c>
      <c r="D365" t="s">
        <v>228</v>
      </c>
      <c r="E365" t="s">
        <v>55</v>
      </c>
      <c r="F365">
        <v>45</v>
      </c>
      <c r="G365">
        <v>8</v>
      </c>
      <c r="H365">
        <v>4.8280024140012097E-3</v>
      </c>
      <c r="I365">
        <v>0.17777777777777801</v>
      </c>
      <c r="J365" s="14" t="str">
        <f>_xlfn.XLOOKUP(B365,CAD_PDV!A:A,CAD_PDV!B:B)</f>
        <v>FAJULUTI</v>
      </c>
      <c r="K365" s="14">
        <f>IF(IFERROR(_xlfn.XLOOKUP(B365,Planilha2!D:D,Planilha2!H:H),0)="SIM",1,0)</f>
        <v>0</v>
      </c>
      <c r="L365" s="14" t="str">
        <f>_xlfn.XLOOKUP(B365,CAD_PDV!A:A,CAD_PDV!C:C)</f>
        <v>RJ/ES</v>
      </c>
      <c r="M365" s="14" t="str">
        <f>IFERROR(_xlfn.XLOOKUP(B365,repete!A:A,repete!A:A),"-")</f>
        <v>-</v>
      </c>
    </row>
    <row r="366" spans="1:13" hidden="1">
      <c r="A366" s="1">
        <v>46054</v>
      </c>
      <c r="B366" t="s">
        <v>655</v>
      </c>
      <c r="C366" t="s">
        <v>649</v>
      </c>
      <c r="D366" t="s">
        <v>239</v>
      </c>
      <c r="E366" t="s">
        <v>59</v>
      </c>
      <c r="F366">
        <v>67</v>
      </c>
      <c r="G366">
        <v>8</v>
      </c>
      <c r="H366">
        <v>4.8280024140012097E-3</v>
      </c>
      <c r="I366">
        <v>0.119402985074627</v>
      </c>
      <c r="J366" s="14" t="str">
        <f>_xlfn.XLOOKUP(B366,CAD_PDV!A:A,CAD_PDV!B:B)</f>
        <v>TELECELL TELEFONIA LTDA - ME</v>
      </c>
      <c r="K366" s="14">
        <f>IF(IFERROR(_xlfn.XLOOKUP(B366,Planilha2!D:D,Planilha2!H:H),0)="SIM",1,0)</f>
        <v>0</v>
      </c>
      <c r="L366" s="14" t="str">
        <f>_xlfn.XLOOKUP(B366,CAD_PDV!A:A,CAD_PDV!C:C)</f>
        <v>CO</v>
      </c>
      <c r="M366" s="14" t="str">
        <f>IFERROR(_xlfn.XLOOKUP(B366,repete!A:A,repete!A:A),"-")</f>
        <v>-</v>
      </c>
    </row>
    <row r="367" spans="1:13" hidden="1">
      <c r="A367" s="1">
        <v>46054</v>
      </c>
      <c r="B367" t="s">
        <v>1362</v>
      </c>
      <c r="C367" t="s">
        <v>1313</v>
      </c>
      <c r="D367" t="s">
        <v>132</v>
      </c>
      <c r="E367" t="s">
        <v>53</v>
      </c>
      <c r="F367">
        <v>67</v>
      </c>
      <c r="G367">
        <v>8</v>
      </c>
      <c r="H367">
        <v>4.8280024140012097E-3</v>
      </c>
      <c r="I367">
        <v>0.119402985074627</v>
      </c>
      <c r="J367" s="14" t="str">
        <f>_xlfn.XLOOKUP(B367,CAD_PDV!A:A,CAD_PDV!B:B)</f>
        <v>FLEX CELL</v>
      </c>
      <c r="K367" s="14">
        <f>IF(IFERROR(_xlfn.XLOOKUP(B367,Planilha2!D:D,Planilha2!H:H),0)="SIM",1,0)</f>
        <v>0</v>
      </c>
      <c r="L367" s="14" t="str">
        <f>_xlfn.XLOOKUP(B367,CAD_PDV!A:A,CAD_PDV!C:C)</f>
        <v>SP1</v>
      </c>
      <c r="M367" s="14" t="str">
        <f>IFERROR(_xlfn.XLOOKUP(B367,repete!A:A,repete!A:A),"-")</f>
        <v>-</v>
      </c>
    </row>
    <row r="368" spans="1:13" hidden="1">
      <c r="A368" s="1">
        <v>46054</v>
      </c>
      <c r="B368" t="s">
        <v>1253</v>
      </c>
      <c r="C368" t="s">
        <v>1142</v>
      </c>
      <c r="D368" t="s">
        <v>228</v>
      </c>
      <c r="E368" t="s">
        <v>55</v>
      </c>
      <c r="F368">
        <v>73</v>
      </c>
      <c r="G368">
        <v>8</v>
      </c>
      <c r="H368">
        <v>4.8280024140012097E-3</v>
      </c>
      <c r="I368">
        <v>0.10958904109589</v>
      </c>
      <c r="J368" s="14" t="str">
        <f>_xlfn.XLOOKUP(B368,CAD_PDV!A:A,CAD_PDV!B:B)</f>
        <v>FAJULUTI</v>
      </c>
      <c r="K368" s="14">
        <f>IF(IFERROR(_xlfn.XLOOKUP(B368,Planilha2!D:D,Planilha2!H:H),0)="SIM",1,0)</f>
        <v>0</v>
      </c>
      <c r="L368" s="14" t="str">
        <f>_xlfn.XLOOKUP(B368,CAD_PDV!A:A,CAD_PDV!C:C)</f>
        <v>RJ/ES</v>
      </c>
      <c r="M368" s="14" t="str">
        <f>IFERROR(_xlfn.XLOOKUP(B368,repete!A:A,repete!A:A),"-")</f>
        <v>NDTZ</v>
      </c>
    </row>
    <row r="369" spans="1:13" hidden="1">
      <c r="A369" s="1">
        <v>46054</v>
      </c>
      <c r="B369" t="s">
        <v>1674</v>
      </c>
      <c r="C369" t="s">
        <v>1489</v>
      </c>
      <c r="D369" t="s">
        <v>232</v>
      </c>
      <c r="E369" t="s">
        <v>54</v>
      </c>
      <c r="F369">
        <v>72</v>
      </c>
      <c r="G369">
        <v>8</v>
      </c>
      <c r="H369">
        <v>4.8280024140012097E-3</v>
      </c>
      <c r="I369">
        <v>0.11111111111111099</v>
      </c>
      <c r="J369" s="14" t="str">
        <f>_xlfn.XLOOKUP(B369,CAD_PDV!A:A,CAD_PDV!B:B)</f>
        <v>HS TELECOM</v>
      </c>
      <c r="K369" s="14">
        <f>IF(IFERROR(_xlfn.XLOOKUP(B369,Planilha2!D:D,Planilha2!H:H),0)="SIM",1,0)</f>
        <v>0</v>
      </c>
      <c r="L369" s="14" t="str">
        <f>_xlfn.XLOOKUP(B369,CAD_PDV!A:A,CAD_PDV!C:C)</f>
        <v>SP2</v>
      </c>
      <c r="M369" s="14" t="str">
        <f>IFERROR(_xlfn.XLOOKUP(B369,repete!A:A,repete!A:A),"-")</f>
        <v>-</v>
      </c>
    </row>
    <row r="370" spans="1:13" hidden="1">
      <c r="A370" s="1">
        <v>46054</v>
      </c>
      <c r="B370" t="s">
        <v>1690</v>
      </c>
      <c r="C370" t="s">
        <v>1503</v>
      </c>
      <c r="D370" t="s">
        <v>232</v>
      </c>
      <c r="E370" t="s">
        <v>54</v>
      </c>
      <c r="F370">
        <v>83</v>
      </c>
      <c r="G370">
        <v>8</v>
      </c>
      <c r="H370">
        <v>4.8280024140012097E-3</v>
      </c>
      <c r="I370">
        <v>9.6385542168674704E-2</v>
      </c>
      <c r="J370" s="14" t="str">
        <f>_xlfn.XLOOKUP(B370,CAD_PDV!A:A,CAD_PDV!B:B)</f>
        <v>HS TELECOM</v>
      </c>
      <c r="K370" s="14">
        <f>IF(IFERROR(_xlfn.XLOOKUP(B370,Planilha2!D:D,Planilha2!H:H),0)="SIM",1,0)</f>
        <v>0</v>
      </c>
      <c r="L370" s="14" t="str">
        <f>_xlfn.XLOOKUP(B370,CAD_PDV!A:A,CAD_PDV!C:C)</f>
        <v>SP2</v>
      </c>
      <c r="M370" s="14" t="str">
        <f>IFERROR(_xlfn.XLOOKUP(B370,repete!A:A,repete!A:A),"-")</f>
        <v>-</v>
      </c>
    </row>
    <row r="371" spans="1:13" hidden="1">
      <c r="A371" s="1">
        <v>46054</v>
      </c>
      <c r="B371" t="s">
        <v>293</v>
      </c>
      <c r="C371" t="s">
        <v>265</v>
      </c>
      <c r="D371" t="s">
        <v>230</v>
      </c>
      <c r="E371" t="s">
        <v>61</v>
      </c>
      <c r="F371">
        <v>74</v>
      </c>
      <c r="G371">
        <v>8</v>
      </c>
      <c r="H371">
        <v>4.8280024140012097E-3</v>
      </c>
      <c r="I371">
        <v>0.108108108108108</v>
      </c>
      <c r="J371" s="14" t="str">
        <f>_xlfn.XLOOKUP(B371,CAD_PDV!A:A,CAD_PDV!B:B)</f>
        <v>HARCOS COMERCIO E SERVICOS LTDA - EPP</v>
      </c>
      <c r="K371" s="14">
        <f>IF(IFERROR(_xlfn.XLOOKUP(B371,Planilha2!D:D,Planilha2!H:H),0)="SIM",1,0)</f>
        <v>0</v>
      </c>
      <c r="L371" s="14" t="str">
        <f>_xlfn.XLOOKUP(B371,CAD_PDV!A:A,CAD_PDV!C:C)</f>
        <v>NE</v>
      </c>
      <c r="M371" s="14" t="str">
        <f>IFERROR(_xlfn.XLOOKUP(B371,repete!A:A,repete!A:A),"-")</f>
        <v>-</v>
      </c>
    </row>
    <row r="372" spans="1:13" hidden="1">
      <c r="A372" s="1">
        <v>46054</v>
      </c>
      <c r="B372" t="s">
        <v>640</v>
      </c>
      <c r="C372" t="s">
        <v>641</v>
      </c>
      <c r="D372" t="s">
        <v>221</v>
      </c>
      <c r="E372" t="s">
        <v>59</v>
      </c>
      <c r="F372">
        <v>64</v>
      </c>
      <c r="G372">
        <v>8</v>
      </c>
      <c r="H372">
        <v>4.8280024140012097E-3</v>
      </c>
      <c r="I372">
        <v>0.125</v>
      </c>
      <c r="J372" s="14" t="str">
        <f>_xlfn.XLOOKUP(B372,CAD_PDV!A:A,CAD_PDV!B:B)</f>
        <v>AMERICOM COMERCIO DE APARELHOS ELETRONICOS LTDA - EPP</v>
      </c>
      <c r="K372" s="14">
        <f>IF(IFERROR(_xlfn.XLOOKUP(B372,Planilha2!D:D,Planilha2!H:H),0)="SIM",1,0)</f>
        <v>0</v>
      </c>
      <c r="L372" s="14" t="str">
        <f>_xlfn.XLOOKUP(B372,CAD_PDV!A:A,CAD_PDV!C:C)</f>
        <v>CO</v>
      </c>
      <c r="M372" s="14" t="str">
        <f>IFERROR(_xlfn.XLOOKUP(B372,repete!A:A,repete!A:A),"-")</f>
        <v>-</v>
      </c>
    </row>
    <row r="373" spans="1:13" hidden="1">
      <c r="A373" s="1">
        <v>46054</v>
      </c>
      <c r="B373" t="s">
        <v>306</v>
      </c>
      <c r="C373" t="s">
        <v>308</v>
      </c>
      <c r="D373" t="s">
        <v>230</v>
      </c>
      <c r="E373" t="s">
        <v>61</v>
      </c>
      <c r="F373">
        <v>36</v>
      </c>
      <c r="G373">
        <v>7</v>
      </c>
      <c r="H373">
        <v>4.2245021122510598E-3</v>
      </c>
      <c r="I373">
        <v>0.194444444444444</v>
      </c>
      <c r="J373" s="14" t="str">
        <f>_xlfn.XLOOKUP(B373,CAD_PDV!A:A,CAD_PDV!B:B)</f>
        <v>HARCOS COMERCIO E SERVICOS LTDA - EPP</v>
      </c>
      <c r="K373" s="14">
        <f>IF(IFERROR(_xlfn.XLOOKUP(B373,Planilha2!D:D,Planilha2!H:H),0)="SIM",1,0)</f>
        <v>0</v>
      </c>
      <c r="L373" s="14" t="str">
        <f>_xlfn.XLOOKUP(B373,CAD_PDV!A:A,CAD_PDV!C:C)</f>
        <v>NE</v>
      </c>
      <c r="M373" s="14" t="str">
        <f>IFERROR(_xlfn.XLOOKUP(B373,repete!A:A,repete!A:A),"-")</f>
        <v>-</v>
      </c>
    </row>
    <row r="374" spans="1:13" hidden="1">
      <c r="A374" s="1">
        <v>46054</v>
      </c>
      <c r="B374" t="s">
        <v>979</v>
      </c>
      <c r="C374" t="s">
        <v>944</v>
      </c>
      <c r="D374" t="s">
        <v>232</v>
      </c>
      <c r="E374" t="s">
        <v>60</v>
      </c>
      <c r="F374">
        <v>157</v>
      </c>
      <c r="G374">
        <v>7</v>
      </c>
      <c r="H374">
        <v>4.2245021122510598E-3</v>
      </c>
      <c r="I374">
        <v>4.4585987261146501E-2</v>
      </c>
      <c r="J374" s="14" t="str">
        <f>_xlfn.XLOOKUP(B374,CAD_PDV!A:A,CAD_PDV!B:B)</f>
        <v>HS TELECOM</v>
      </c>
      <c r="K374" s="14">
        <f>IF(IFERROR(_xlfn.XLOOKUP(B374,Planilha2!D:D,Planilha2!H:H),0)="SIM",1,0)</f>
        <v>0</v>
      </c>
      <c r="L374" s="14" t="str">
        <f>_xlfn.XLOOKUP(B374,CAD_PDV!A:A,CAD_PDV!C:C)</f>
        <v>BA/SE</v>
      </c>
      <c r="M374" s="14" t="str">
        <f>IFERROR(_xlfn.XLOOKUP(B374,repete!A:A,repete!A:A),"-")</f>
        <v>-</v>
      </c>
    </row>
    <row r="375" spans="1:13" hidden="1">
      <c r="A375" s="1">
        <v>46054</v>
      </c>
      <c r="B375" t="s">
        <v>879</v>
      </c>
      <c r="C375" t="s">
        <v>873</v>
      </c>
      <c r="D375" t="s">
        <v>239</v>
      </c>
      <c r="E375" t="s">
        <v>59</v>
      </c>
      <c r="F375">
        <v>80</v>
      </c>
      <c r="G375">
        <v>7</v>
      </c>
      <c r="H375">
        <v>4.2245021122510598E-3</v>
      </c>
      <c r="I375">
        <v>8.7499999999999994E-2</v>
      </c>
      <c r="J375" s="14" t="str">
        <f>_xlfn.XLOOKUP(B375,CAD_PDV!A:A,CAD_PDV!B:B)</f>
        <v>TELECELL TELEFONIA LTDA - ME</v>
      </c>
      <c r="K375" s="14">
        <f>IF(IFERROR(_xlfn.XLOOKUP(B375,Planilha2!D:D,Planilha2!H:H),0)="SIM",1,0)</f>
        <v>0</v>
      </c>
      <c r="L375" s="14" t="str">
        <f>_xlfn.XLOOKUP(B375,CAD_PDV!A:A,CAD_PDV!C:C)</f>
        <v>CO</v>
      </c>
      <c r="M375" s="14" t="str">
        <f>IFERROR(_xlfn.XLOOKUP(B375,repete!A:A,repete!A:A),"-")</f>
        <v>-</v>
      </c>
    </row>
    <row r="376" spans="1:13" hidden="1">
      <c r="A376" s="1">
        <v>46054</v>
      </c>
      <c r="B376" t="s">
        <v>1564</v>
      </c>
      <c r="C376" t="s">
        <v>1566</v>
      </c>
      <c r="D376" t="s">
        <v>232</v>
      </c>
      <c r="E376" t="s">
        <v>54</v>
      </c>
      <c r="F376">
        <v>62</v>
      </c>
      <c r="G376">
        <v>7</v>
      </c>
      <c r="H376">
        <v>4.2245021122510598E-3</v>
      </c>
      <c r="I376">
        <v>0.112903225806452</v>
      </c>
      <c r="J376" s="14" t="str">
        <f>_xlfn.XLOOKUP(B376,CAD_PDV!A:A,CAD_PDV!B:B)</f>
        <v>HS TELECOM</v>
      </c>
      <c r="K376" s="14">
        <f>IF(IFERROR(_xlfn.XLOOKUP(B376,Planilha2!D:D,Planilha2!H:H),0)="SIM",1,0)</f>
        <v>0</v>
      </c>
      <c r="L376" s="14" t="str">
        <f>_xlfn.XLOOKUP(B376,CAD_PDV!A:A,CAD_PDV!C:C)</f>
        <v>SP2</v>
      </c>
      <c r="M376" s="14" t="str">
        <f>IFERROR(_xlfn.XLOOKUP(B376,repete!A:A,repete!A:A),"-")</f>
        <v>-</v>
      </c>
    </row>
    <row r="377" spans="1:13" hidden="1">
      <c r="A377" s="1">
        <v>46054</v>
      </c>
      <c r="B377" t="s">
        <v>900</v>
      </c>
      <c r="C377" t="s">
        <v>873</v>
      </c>
      <c r="D377" t="s">
        <v>224</v>
      </c>
      <c r="E377" t="s">
        <v>59</v>
      </c>
      <c r="F377">
        <v>45</v>
      </c>
      <c r="G377">
        <v>7</v>
      </c>
      <c r="H377">
        <v>4.2245021122510598E-3</v>
      </c>
      <c r="I377">
        <v>0.155555555555556</v>
      </c>
      <c r="J377" s="14" t="str">
        <f>_xlfn.XLOOKUP(B377,CAD_PDV!A:A,CAD_PDV!B:B)</f>
        <v>CELNET COMERCIO E SERVICOS DE TELEFONIA LTDA ME</v>
      </c>
      <c r="K377" s="14">
        <f>IF(IFERROR(_xlfn.XLOOKUP(B377,Planilha2!D:D,Planilha2!H:H),0)="SIM",1,0)</f>
        <v>0</v>
      </c>
      <c r="L377" s="14" t="str">
        <f>_xlfn.XLOOKUP(B377,CAD_PDV!A:A,CAD_PDV!C:C)</f>
        <v>CO</v>
      </c>
      <c r="M377" s="14" t="str">
        <f>IFERROR(_xlfn.XLOOKUP(B377,repete!A:A,repete!A:A),"-")</f>
        <v>-</v>
      </c>
    </row>
    <row r="378" spans="1:13" hidden="1">
      <c r="A378" s="1">
        <v>46054</v>
      </c>
      <c r="B378" t="s">
        <v>1164</v>
      </c>
      <c r="C378" t="s">
        <v>1142</v>
      </c>
      <c r="D378" t="s">
        <v>237</v>
      </c>
      <c r="E378" t="s">
        <v>55</v>
      </c>
      <c r="F378">
        <v>154</v>
      </c>
      <c r="G378">
        <v>7</v>
      </c>
      <c r="H378">
        <v>4.2245021122510598E-3</v>
      </c>
      <c r="I378">
        <v>4.5454545454545497E-2</v>
      </c>
      <c r="J378" s="14" t="str">
        <f>_xlfn.XLOOKUP(B378,CAD_PDV!A:A,CAD_PDV!B:B)</f>
        <v>PONTO CERTO COMERCIO E COMUNICAÇÕES LTDA</v>
      </c>
      <c r="K378" s="14">
        <f>IF(IFERROR(_xlfn.XLOOKUP(B378,Planilha2!D:D,Planilha2!H:H),0)="SIM",1,0)</f>
        <v>0</v>
      </c>
      <c r="L378" s="14" t="str">
        <f>_xlfn.XLOOKUP(B378,CAD_PDV!A:A,CAD_PDV!C:C)</f>
        <v>RJ/ES</v>
      </c>
      <c r="M378" s="14" t="str">
        <f>IFERROR(_xlfn.XLOOKUP(B378,repete!A:A,repete!A:A),"-")</f>
        <v>-</v>
      </c>
    </row>
    <row r="379" spans="1:13" hidden="1">
      <c r="A379" s="1">
        <v>46054</v>
      </c>
      <c r="B379" t="s">
        <v>552</v>
      </c>
      <c r="C379" t="s">
        <v>483</v>
      </c>
      <c r="D379" t="s">
        <v>228</v>
      </c>
      <c r="E379" t="s">
        <v>56</v>
      </c>
      <c r="F379">
        <v>79</v>
      </c>
      <c r="G379">
        <v>7</v>
      </c>
      <c r="H379">
        <v>4.2245021122510598E-3</v>
      </c>
      <c r="I379">
        <v>8.8607594936708903E-2</v>
      </c>
      <c r="J379" s="14" t="str">
        <f>_xlfn.XLOOKUP(B379,CAD_PDV!A:A,CAD_PDV!B:B)</f>
        <v>FAJULUTI</v>
      </c>
      <c r="K379" s="14">
        <f>IF(IFERROR(_xlfn.XLOOKUP(B379,Planilha2!D:D,Planilha2!H:H),0)="SIM",1,0)</f>
        <v>0</v>
      </c>
      <c r="L379" s="14" t="str">
        <f>_xlfn.XLOOKUP(B379,CAD_PDV!A:A,CAD_PDV!C:C)</f>
        <v>MG</v>
      </c>
      <c r="M379" s="14" t="str">
        <f>IFERROR(_xlfn.XLOOKUP(B379,repete!A:A,repete!A:A),"-")</f>
        <v>-</v>
      </c>
    </row>
    <row r="380" spans="1:13" hidden="1">
      <c r="A380" s="1">
        <v>46054</v>
      </c>
      <c r="B380" t="s">
        <v>595</v>
      </c>
      <c r="C380" t="s">
        <v>596</v>
      </c>
      <c r="D380" t="s">
        <v>239</v>
      </c>
      <c r="E380" t="s">
        <v>56</v>
      </c>
      <c r="F380">
        <v>154</v>
      </c>
      <c r="G380">
        <v>7</v>
      </c>
      <c r="H380">
        <v>4.2245021122510598E-3</v>
      </c>
      <c r="I380">
        <v>4.5454545454545497E-2</v>
      </c>
      <c r="J380" s="14" t="str">
        <f>_xlfn.XLOOKUP(B380,CAD_PDV!A:A,CAD_PDV!B:B)</f>
        <v>TELECELL TELEFONIA LTDA - ME</v>
      </c>
      <c r="K380" s="14">
        <f>IF(IFERROR(_xlfn.XLOOKUP(B380,Planilha2!D:D,Planilha2!H:H),0)="SIM",1,0)</f>
        <v>0</v>
      </c>
      <c r="L380" s="14" t="str">
        <f>_xlfn.XLOOKUP(B380,CAD_PDV!A:A,CAD_PDV!C:C)</f>
        <v>MG</v>
      </c>
      <c r="M380" s="14" t="str">
        <f>IFERROR(_xlfn.XLOOKUP(B380,repete!A:A,repete!A:A),"-")</f>
        <v>-</v>
      </c>
    </row>
    <row r="381" spans="1:13" hidden="1">
      <c r="A381" s="1">
        <v>46054</v>
      </c>
      <c r="B381" t="s">
        <v>369</v>
      </c>
      <c r="C381" t="s">
        <v>370</v>
      </c>
      <c r="D381" t="s">
        <v>230</v>
      </c>
      <c r="E381" t="s">
        <v>61</v>
      </c>
      <c r="F381">
        <v>58</v>
      </c>
      <c r="G381">
        <v>7</v>
      </c>
      <c r="H381">
        <v>4.2245021122510598E-3</v>
      </c>
      <c r="I381">
        <v>0.12068965517241401</v>
      </c>
      <c r="J381" s="14" t="str">
        <f>_xlfn.XLOOKUP(B381,CAD_PDV!A:A,CAD_PDV!B:B)</f>
        <v>HARCOS COMERCIO E SERVICOS LTDA - EPP</v>
      </c>
      <c r="K381" s="14">
        <f>IF(IFERROR(_xlfn.XLOOKUP(B381,Planilha2!D:D,Planilha2!H:H),0)="SIM",1,0)</f>
        <v>0</v>
      </c>
      <c r="L381" s="14" t="str">
        <f>_xlfn.XLOOKUP(B381,CAD_PDV!A:A,CAD_PDV!C:C)</f>
        <v>NE</v>
      </c>
      <c r="M381" s="14" t="str">
        <f>IFERROR(_xlfn.XLOOKUP(B381,repete!A:A,repete!A:A),"-")</f>
        <v>-</v>
      </c>
    </row>
    <row r="382" spans="1:13" hidden="1">
      <c r="A382" s="1">
        <v>46054</v>
      </c>
      <c r="B382" t="s">
        <v>371</v>
      </c>
      <c r="C382" t="s">
        <v>291</v>
      </c>
      <c r="D382" t="s">
        <v>230</v>
      </c>
      <c r="E382" t="s">
        <v>61</v>
      </c>
      <c r="F382">
        <v>117</v>
      </c>
      <c r="G382">
        <v>7</v>
      </c>
      <c r="H382">
        <v>4.2245021122510598E-3</v>
      </c>
      <c r="I382">
        <v>5.9829059829059797E-2</v>
      </c>
      <c r="J382" s="14" t="str">
        <f>_xlfn.XLOOKUP(B382,CAD_PDV!A:A,CAD_PDV!B:B)</f>
        <v>HARCOS COMERCIO E SERVICOS LTDA - EPP</v>
      </c>
      <c r="K382" s="14">
        <f>IF(IFERROR(_xlfn.XLOOKUP(B382,Planilha2!D:D,Planilha2!H:H),0)="SIM",1,0)</f>
        <v>0</v>
      </c>
      <c r="L382" s="14" t="str">
        <f>_xlfn.XLOOKUP(B382,CAD_PDV!A:A,CAD_PDV!C:C)</f>
        <v>NE</v>
      </c>
      <c r="M382" s="14" t="str">
        <f>IFERROR(_xlfn.XLOOKUP(B382,repete!A:A,repete!A:A),"-")</f>
        <v>-</v>
      </c>
    </row>
    <row r="383" spans="1:13" hidden="1">
      <c r="A383" s="1">
        <v>46054</v>
      </c>
      <c r="B383" t="s">
        <v>1681</v>
      </c>
      <c r="C383" t="s">
        <v>1527</v>
      </c>
      <c r="D383" t="s">
        <v>232</v>
      </c>
      <c r="E383" t="s">
        <v>54</v>
      </c>
      <c r="F383">
        <v>121</v>
      </c>
      <c r="G383">
        <v>7</v>
      </c>
      <c r="H383">
        <v>4.2245021122510598E-3</v>
      </c>
      <c r="I383">
        <v>5.7851239669421503E-2</v>
      </c>
      <c r="J383" s="14" t="str">
        <f>_xlfn.XLOOKUP(B383,CAD_PDV!A:A,CAD_PDV!B:B)</f>
        <v>HS TELECOM</v>
      </c>
      <c r="K383" s="14">
        <f>IF(IFERROR(_xlfn.XLOOKUP(B383,Planilha2!D:D,Planilha2!H:H),0)="SIM",1,0)</f>
        <v>0</v>
      </c>
      <c r="L383" s="14" t="str">
        <f>_xlfn.XLOOKUP(B383,CAD_PDV!A:A,CAD_PDV!C:C)</f>
        <v>SP2</v>
      </c>
      <c r="M383" s="14" t="str">
        <f>IFERROR(_xlfn.XLOOKUP(B383,repete!A:A,repete!A:A),"-")</f>
        <v>-</v>
      </c>
    </row>
    <row r="384" spans="1:13" hidden="1">
      <c r="A384" s="1">
        <v>46054</v>
      </c>
      <c r="B384" t="s">
        <v>1685</v>
      </c>
      <c r="C384" t="s">
        <v>1686</v>
      </c>
      <c r="D384" t="s">
        <v>232</v>
      </c>
      <c r="E384" t="s">
        <v>54</v>
      </c>
      <c r="F384">
        <v>104</v>
      </c>
      <c r="G384">
        <v>7</v>
      </c>
      <c r="H384">
        <v>4.2245021122510598E-3</v>
      </c>
      <c r="I384">
        <v>6.7307692307692304E-2</v>
      </c>
      <c r="J384" s="14" t="str">
        <f>_xlfn.XLOOKUP(B384,CAD_PDV!A:A,CAD_PDV!B:B)</f>
        <v>HS TELECOM</v>
      </c>
      <c r="K384" s="14">
        <f>IF(IFERROR(_xlfn.XLOOKUP(B384,Planilha2!D:D,Planilha2!H:H),0)="SIM",1,0)</f>
        <v>0</v>
      </c>
      <c r="L384" s="14" t="str">
        <f>_xlfn.XLOOKUP(B384,CAD_PDV!A:A,CAD_PDV!C:C)</f>
        <v>SP2</v>
      </c>
      <c r="M384" s="14" t="str">
        <f>IFERROR(_xlfn.XLOOKUP(B384,repete!A:A,repete!A:A),"-")</f>
        <v>-</v>
      </c>
    </row>
    <row r="385" spans="1:13" hidden="1">
      <c r="A385" s="1">
        <v>46054</v>
      </c>
      <c r="B385" t="s">
        <v>1692</v>
      </c>
      <c r="C385" t="s">
        <v>1693</v>
      </c>
      <c r="D385" t="s">
        <v>232</v>
      </c>
      <c r="E385" t="s">
        <v>54</v>
      </c>
      <c r="F385">
        <v>76</v>
      </c>
      <c r="G385">
        <v>7</v>
      </c>
      <c r="H385">
        <v>4.2245021122510598E-3</v>
      </c>
      <c r="I385">
        <v>9.2105263157894704E-2</v>
      </c>
      <c r="J385" s="14" t="str">
        <f>_xlfn.XLOOKUP(B385,CAD_PDV!A:A,CAD_PDV!B:B)</f>
        <v>HS TELECOM</v>
      </c>
      <c r="K385" s="14">
        <f>IF(IFERROR(_xlfn.XLOOKUP(B385,Planilha2!D:D,Planilha2!H:H),0)="SIM",1,0)</f>
        <v>0</v>
      </c>
      <c r="L385" s="14" t="str">
        <f>_xlfn.XLOOKUP(B385,CAD_PDV!A:A,CAD_PDV!C:C)</f>
        <v>SP2</v>
      </c>
      <c r="M385" s="14" t="str">
        <f>IFERROR(_xlfn.XLOOKUP(B385,repete!A:A,repete!A:A),"-")</f>
        <v>-</v>
      </c>
    </row>
    <row r="386" spans="1:13" hidden="1">
      <c r="A386" s="1">
        <v>46054</v>
      </c>
      <c r="B386" t="s">
        <v>1717</v>
      </c>
      <c r="C386" t="s">
        <v>1718</v>
      </c>
      <c r="D386" t="s">
        <v>232</v>
      </c>
      <c r="E386" t="s">
        <v>54</v>
      </c>
      <c r="F386">
        <v>47</v>
      </c>
      <c r="G386">
        <v>7</v>
      </c>
      <c r="H386">
        <v>4.2245021122510598E-3</v>
      </c>
      <c r="I386">
        <v>0.14893617021276601</v>
      </c>
      <c r="J386" s="14" t="str">
        <f>_xlfn.XLOOKUP(B386,CAD_PDV!A:A,CAD_PDV!B:B)</f>
        <v>HS TELECOM</v>
      </c>
      <c r="K386" s="14">
        <f>IF(IFERROR(_xlfn.XLOOKUP(B386,Planilha2!D:D,Planilha2!H:H),0)="SIM",1,0)</f>
        <v>0</v>
      </c>
      <c r="L386" s="14" t="str">
        <f>_xlfn.XLOOKUP(B386,CAD_PDV!A:A,CAD_PDV!C:C)</f>
        <v>SP2</v>
      </c>
      <c r="M386" s="14" t="str">
        <f>IFERROR(_xlfn.XLOOKUP(B386,repete!A:A,repete!A:A),"-")</f>
        <v>WD3T</v>
      </c>
    </row>
    <row r="387" spans="1:13" hidden="1">
      <c r="A387" s="1">
        <v>46054</v>
      </c>
      <c r="B387" t="s">
        <v>1723</v>
      </c>
      <c r="C387" t="s">
        <v>1451</v>
      </c>
      <c r="D387" t="s">
        <v>232</v>
      </c>
      <c r="E387" t="s">
        <v>54</v>
      </c>
      <c r="F387">
        <v>126</v>
      </c>
      <c r="G387">
        <v>7</v>
      </c>
      <c r="H387">
        <v>4.2245021122510598E-3</v>
      </c>
      <c r="I387">
        <v>5.5555555555555601E-2</v>
      </c>
      <c r="J387" s="14" t="str">
        <f>_xlfn.XLOOKUP(B387,CAD_PDV!A:A,CAD_PDV!B:B)</f>
        <v>HS TELECOM</v>
      </c>
      <c r="K387" s="14">
        <f>IF(IFERROR(_xlfn.XLOOKUP(B387,Planilha2!D:D,Planilha2!H:H),0)="SIM",1,0)</f>
        <v>0</v>
      </c>
      <c r="L387" s="14" t="str">
        <f>_xlfn.XLOOKUP(B387,CAD_PDV!A:A,CAD_PDV!C:C)</f>
        <v>SP2</v>
      </c>
      <c r="M387" s="14" t="str">
        <f>IFERROR(_xlfn.XLOOKUP(B387,repete!A:A,repete!A:A),"-")</f>
        <v>-</v>
      </c>
    </row>
    <row r="388" spans="1:13" hidden="1">
      <c r="A388" s="1">
        <v>46054</v>
      </c>
      <c r="B388" t="s">
        <v>1875</v>
      </c>
      <c r="C388" t="s">
        <v>1876</v>
      </c>
      <c r="D388" t="s">
        <v>124</v>
      </c>
      <c r="E388" t="s">
        <v>2074</v>
      </c>
      <c r="F388">
        <v>54</v>
      </c>
      <c r="G388">
        <v>6</v>
      </c>
      <c r="H388">
        <v>3.6210018105009099E-3</v>
      </c>
      <c r="I388">
        <v>0.11111111111111099</v>
      </c>
      <c r="J388" s="14" t="str">
        <f>_xlfn.XLOOKUP(B388,CAD_PDV!A:A,CAD_PDV!B:B)</f>
        <v>EDUARDO JUNQUEIRA DA SILVEIRA ADMIN</v>
      </c>
      <c r="K388" s="14">
        <f>IF(IFERROR(_xlfn.XLOOKUP(B388,Planilha2!D:D,Planilha2!H:H),0)="SIM",1,0)</f>
        <v>0</v>
      </c>
      <c r="L388" s="14" t="str">
        <f>_xlfn.XLOOKUP(B388,CAD_PDV!A:A,CAD_PDV!C:C)</f>
        <v>RS</v>
      </c>
      <c r="M388" s="14" t="str">
        <f>IFERROR(_xlfn.XLOOKUP(B388,repete!A:A,repete!A:A),"-")</f>
        <v>-</v>
      </c>
    </row>
    <row r="389" spans="1:13" hidden="1">
      <c r="A389" s="1">
        <v>46054</v>
      </c>
      <c r="B389" t="s">
        <v>1504</v>
      </c>
      <c r="C389" t="s">
        <v>1505</v>
      </c>
      <c r="D389" t="s">
        <v>132</v>
      </c>
      <c r="E389" t="s">
        <v>54</v>
      </c>
      <c r="F389">
        <v>124</v>
      </c>
      <c r="G389">
        <v>6</v>
      </c>
      <c r="H389">
        <v>3.6210018105009099E-3</v>
      </c>
      <c r="I389">
        <v>4.8387096774193498E-2</v>
      </c>
      <c r="J389" s="14" t="str">
        <f>_xlfn.XLOOKUP(B389,CAD_PDV!A:A,CAD_PDV!B:B)</f>
        <v>FLEX CELL</v>
      </c>
      <c r="K389" s="14">
        <f>IF(IFERROR(_xlfn.XLOOKUP(B389,Planilha2!D:D,Planilha2!H:H),0)="SIM",1,0)</f>
        <v>0</v>
      </c>
      <c r="L389" s="14" t="str">
        <f>_xlfn.XLOOKUP(B389,CAD_PDV!A:A,CAD_PDV!C:C)</f>
        <v>SP2</v>
      </c>
      <c r="M389" s="14" t="str">
        <f>IFERROR(_xlfn.XLOOKUP(B389,repete!A:A,repete!A:A),"-")</f>
        <v>-</v>
      </c>
    </row>
    <row r="390" spans="1:13" hidden="1">
      <c r="A390" s="1">
        <v>46054</v>
      </c>
      <c r="B390" t="s">
        <v>1216</v>
      </c>
      <c r="C390" t="s">
        <v>1182</v>
      </c>
      <c r="D390" t="s">
        <v>228</v>
      </c>
      <c r="E390" t="s">
        <v>55</v>
      </c>
      <c r="F390">
        <v>125</v>
      </c>
      <c r="G390">
        <v>6</v>
      </c>
      <c r="H390">
        <v>3.6210018105009099E-3</v>
      </c>
      <c r="I390">
        <v>4.8000000000000001E-2</v>
      </c>
      <c r="J390" s="14" t="str">
        <f>_xlfn.XLOOKUP(B390,CAD_PDV!A:A,CAD_PDV!B:B)</f>
        <v>FAJULUTI</v>
      </c>
      <c r="K390" s="14">
        <f>IF(IFERROR(_xlfn.XLOOKUP(B390,Planilha2!D:D,Planilha2!H:H),0)="SIM",1,0)</f>
        <v>0</v>
      </c>
      <c r="L390" s="14" t="str">
        <f>_xlfn.XLOOKUP(B390,CAD_PDV!A:A,CAD_PDV!C:C)</f>
        <v>RJ/ES</v>
      </c>
      <c r="M390" s="14" t="str">
        <f>IFERROR(_xlfn.XLOOKUP(B390,repete!A:A,repete!A:A),"-")</f>
        <v>-</v>
      </c>
    </row>
    <row r="391" spans="1:13" hidden="1">
      <c r="A391" s="1">
        <v>46054</v>
      </c>
      <c r="B391" t="s">
        <v>1275</v>
      </c>
      <c r="C391" t="s">
        <v>1188</v>
      </c>
      <c r="D391" t="s">
        <v>228</v>
      </c>
      <c r="E391" t="s">
        <v>55</v>
      </c>
      <c r="F391">
        <v>49</v>
      </c>
      <c r="G391">
        <v>6</v>
      </c>
      <c r="H391">
        <v>3.6210018105009099E-3</v>
      </c>
      <c r="I391">
        <v>0.122448979591837</v>
      </c>
      <c r="J391" s="14" t="str">
        <f>_xlfn.XLOOKUP(B391,CAD_PDV!A:A,CAD_PDV!B:B)</f>
        <v>FAJULUTI</v>
      </c>
      <c r="K391" s="14">
        <f>IF(IFERROR(_xlfn.XLOOKUP(B391,Planilha2!D:D,Planilha2!H:H),0)="SIM",1,0)</f>
        <v>0</v>
      </c>
      <c r="L391" s="14" t="str">
        <f>_xlfn.XLOOKUP(B391,CAD_PDV!A:A,CAD_PDV!C:C)</f>
        <v>RJ/ES</v>
      </c>
      <c r="M391" s="14" t="str">
        <f>IFERROR(_xlfn.XLOOKUP(B391,repete!A:A,repete!A:A),"-")</f>
        <v>-</v>
      </c>
    </row>
    <row r="392" spans="1:13" hidden="1">
      <c r="A392" s="1">
        <v>46054</v>
      </c>
      <c r="B392" t="s">
        <v>280</v>
      </c>
      <c r="C392" t="s">
        <v>265</v>
      </c>
      <c r="D392" t="s">
        <v>230</v>
      </c>
      <c r="E392" t="s">
        <v>61</v>
      </c>
      <c r="F392">
        <v>166</v>
      </c>
      <c r="G392">
        <v>6</v>
      </c>
      <c r="H392">
        <v>3.6210018105009099E-3</v>
      </c>
      <c r="I392">
        <v>3.6144578313252997E-2</v>
      </c>
      <c r="J392" s="14" t="str">
        <f>_xlfn.XLOOKUP(B392,CAD_PDV!A:A,CAD_PDV!B:B)</f>
        <v>HARCOS COMERCIO E SERVICOS LTDA - EPP</v>
      </c>
      <c r="K392" s="14">
        <f>IF(IFERROR(_xlfn.XLOOKUP(B392,Planilha2!D:D,Planilha2!H:H),0)="SIM",1,0)</f>
        <v>0</v>
      </c>
      <c r="L392" s="14" t="str">
        <f>_xlfn.XLOOKUP(B392,CAD_PDV!A:A,CAD_PDV!C:C)</f>
        <v>NE</v>
      </c>
      <c r="M392" s="14" t="str">
        <f>IFERROR(_xlfn.XLOOKUP(B392,repete!A:A,repete!A:A),"-")</f>
        <v>-</v>
      </c>
    </row>
    <row r="393" spans="1:13" hidden="1">
      <c r="A393" s="1">
        <v>46054</v>
      </c>
      <c r="B393" t="s">
        <v>1337</v>
      </c>
      <c r="C393" t="s">
        <v>1313</v>
      </c>
      <c r="D393" t="s">
        <v>225</v>
      </c>
      <c r="E393" t="s">
        <v>53</v>
      </c>
      <c r="F393">
        <v>64</v>
      </c>
      <c r="G393">
        <v>6</v>
      </c>
      <c r="H393">
        <v>3.6210018105009099E-3</v>
      </c>
      <c r="I393">
        <v>9.375E-2</v>
      </c>
      <c r="J393" s="14" t="str">
        <f>_xlfn.XLOOKUP(B393,CAD_PDV!A:A,CAD_PDV!B:B)</f>
        <v>CLARICELL SP1</v>
      </c>
      <c r="K393" s="14">
        <f>IF(IFERROR(_xlfn.XLOOKUP(B393,Planilha2!D:D,Planilha2!H:H),0)="SIM",1,0)</f>
        <v>0</v>
      </c>
      <c r="L393" s="14" t="str">
        <f>_xlfn.XLOOKUP(B393,CAD_PDV!A:A,CAD_PDV!C:C)</f>
        <v>SP1</v>
      </c>
      <c r="M393" s="14" t="str">
        <f>IFERROR(_xlfn.XLOOKUP(B393,repete!A:A,repete!A:A),"-")</f>
        <v>-</v>
      </c>
    </row>
    <row r="394" spans="1:13" hidden="1">
      <c r="A394" s="1">
        <v>46054</v>
      </c>
      <c r="B394" t="s">
        <v>568</v>
      </c>
      <c r="C394" t="s">
        <v>441</v>
      </c>
      <c r="D394" t="s">
        <v>228</v>
      </c>
      <c r="E394" t="s">
        <v>56</v>
      </c>
      <c r="F394">
        <v>57</v>
      </c>
      <c r="G394">
        <v>6</v>
      </c>
      <c r="H394">
        <v>3.6210018105009099E-3</v>
      </c>
      <c r="I394">
        <v>0.105263157894737</v>
      </c>
      <c r="J394" s="14" t="str">
        <f>_xlfn.XLOOKUP(B394,CAD_PDV!A:A,CAD_PDV!B:B)</f>
        <v>FAJULUTI</v>
      </c>
      <c r="K394" s="14">
        <f>IF(IFERROR(_xlfn.XLOOKUP(B394,Planilha2!D:D,Planilha2!H:H),0)="SIM",1,0)</f>
        <v>0</v>
      </c>
      <c r="L394" s="14" t="str">
        <f>_xlfn.XLOOKUP(B394,CAD_PDV!A:A,CAD_PDV!C:C)</f>
        <v>MG</v>
      </c>
      <c r="M394" s="14" t="str">
        <f>IFERROR(_xlfn.XLOOKUP(B394,repete!A:A,repete!A:A),"-")</f>
        <v>-</v>
      </c>
    </row>
    <row r="395" spans="1:13" hidden="1">
      <c r="A395" s="1">
        <v>46054</v>
      </c>
      <c r="B395" t="s">
        <v>1339</v>
      </c>
      <c r="C395" t="s">
        <v>1313</v>
      </c>
      <c r="D395" t="s">
        <v>225</v>
      </c>
      <c r="E395" t="s">
        <v>53</v>
      </c>
      <c r="F395">
        <v>171</v>
      </c>
      <c r="G395">
        <v>6</v>
      </c>
      <c r="H395">
        <v>3.6210018105009099E-3</v>
      </c>
      <c r="I395">
        <v>3.5087719298245598E-2</v>
      </c>
      <c r="J395" s="14" t="str">
        <f>_xlfn.XLOOKUP(B395,CAD_PDV!A:A,CAD_PDV!B:B)</f>
        <v>CLARICELL SP1</v>
      </c>
      <c r="K395" s="14">
        <f>IF(IFERROR(_xlfn.XLOOKUP(B395,Planilha2!D:D,Planilha2!H:H),0)="SIM",1,0)</f>
        <v>0</v>
      </c>
      <c r="L395" s="14" t="str">
        <f>_xlfn.XLOOKUP(B395,CAD_PDV!A:A,CAD_PDV!C:C)</f>
        <v>SP1</v>
      </c>
      <c r="M395" s="14" t="str">
        <f>IFERROR(_xlfn.XLOOKUP(B395,repete!A:A,repete!A:A),"-")</f>
        <v>-</v>
      </c>
    </row>
    <row r="396" spans="1:13" hidden="1">
      <c r="A396" s="1">
        <v>46054</v>
      </c>
      <c r="B396" t="s">
        <v>2052</v>
      </c>
      <c r="C396" t="s">
        <v>2053</v>
      </c>
      <c r="D396" t="s">
        <v>193</v>
      </c>
      <c r="E396" t="s">
        <v>2074</v>
      </c>
      <c r="F396">
        <v>56</v>
      </c>
      <c r="G396">
        <v>6</v>
      </c>
      <c r="H396">
        <v>3.6210018105009099E-3</v>
      </c>
      <c r="I396">
        <v>0.107142857142857</v>
      </c>
      <c r="J396" s="14" t="str">
        <f>_xlfn.XLOOKUP(B396,CAD_PDV!A:A,CAD_PDV!B:B)</f>
        <v>S D COMERCIO DE CELULARES LTDA - ME</v>
      </c>
      <c r="K396" s="14">
        <f>IF(IFERROR(_xlfn.XLOOKUP(B396,Planilha2!D:D,Planilha2!H:H),0)="SIM",1,0)</f>
        <v>0</v>
      </c>
      <c r="L396" s="14" t="str">
        <f>_xlfn.XLOOKUP(B396,CAD_PDV!A:A,CAD_PDV!C:C)</f>
        <v>RS</v>
      </c>
      <c r="M396" s="14" t="str">
        <f>IFERROR(_xlfn.XLOOKUP(B396,repete!A:A,repete!A:A),"-")</f>
        <v>-</v>
      </c>
    </row>
    <row r="397" spans="1:13" hidden="1">
      <c r="A397" s="1">
        <v>46054</v>
      </c>
      <c r="B397" t="s">
        <v>1265</v>
      </c>
      <c r="C397" t="s">
        <v>1266</v>
      </c>
      <c r="D397" t="s">
        <v>228</v>
      </c>
      <c r="E397" t="s">
        <v>55</v>
      </c>
      <c r="F397">
        <v>93</v>
      </c>
      <c r="G397">
        <v>6</v>
      </c>
      <c r="H397">
        <v>3.6210018105009099E-3</v>
      </c>
      <c r="I397">
        <v>6.4516129032258104E-2</v>
      </c>
      <c r="J397" s="14" t="str">
        <f>_xlfn.XLOOKUP(B397,CAD_PDV!A:A,CAD_PDV!B:B)</f>
        <v>FAJULUTI</v>
      </c>
      <c r="K397" s="14">
        <f>IF(IFERROR(_xlfn.XLOOKUP(B397,Planilha2!D:D,Planilha2!H:H),0)="SIM",1,0)</f>
        <v>0</v>
      </c>
      <c r="L397" s="14" t="str">
        <f>_xlfn.XLOOKUP(B397,CAD_PDV!A:A,CAD_PDV!C:C)</f>
        <v>RJ/ES</v>
      </c>
      <c r="M397" s="14" t="str">
        <f>IFERROR(_xlfn.XLOOKUP(B397,repete!A:A,repete!A:A),"-")</f>
        <v>-</v>
      </c>
    </row>
    <row r="398" spans="1:13" hidden="1">
      <c r="A398" s="1">
        <v>46054</v>
      </c>
      <c r="B398" t="s">
        <v>1353</v>
      </c>
      <c r="C398" t="s">
        <v>1313</v>
      </c>
      <c r="D398" t="s">
        <v>132</v>
      </c>
      <c r="E398" t="s">
        <v>53</v>
      </c>
      <c r="F398">
        <v>110</v>
      </c>
      <c r="G398">
        <v>5</v>
      </c>
      <c r="H398">
        <v>3.01750150875075E-3</v>
      </c>
      <c r="I398">
        <v>4.5454545454545497E-2</v>
      </c>
      <c r="J398" s="14" t="str">
        <f>_xlfn.XLOOKUP(B398,CAD_PDV!A:A,CAD_PDV!B:B)</f>
        <v>FLEX CELL</v>
      </c>
      <c r="K398" s="14">
        <f>IF(IFERROR(_xlfn.XLOOKUP(B398,Planilha2!D:D,Planilha2!H:H),0)="SIM",1,0)</f>
        <v>0</v>
      </c>
      <c r="L398" s="14" t="str">
        <f>_xlfn.XLOOKUP(B398,CAD_PDV!A:A,CAD_PDV!C:C)</f>
        <v>SP1</v>
      </c>
      <c r="M398" s="14" t="str">
        <f>IFERROR(_xlfn.XLOOKUP(B398,repete!A:A,repete!A:A),"-")</f>
        <v>-</v>
      </c>
    </row>
    <row r="399" spans="1:13" hidden="1">
      <c r="A399" s="1">
        <v>46054</v>
      </c>
      <c r="B399" t="s">
        <v>613</v>
      </c>
      <c r="C399" t="s">
        <v>610</v>
      </c>
      <c r="D399" t="s">
        <v>239</v>
      </c>
      <c r="E399" t="s">
        <v>59</v>
      </c>
      <c r="F399">
        <v>89</v>
      </c>
      <c r="G399">
        <v>5</v>
      </c>
      <c r="H399">
        <v>3.01750150875075E-3</v>
      </c>
      <c r="I399">
        <v>5.6179775280898903E-2</v>
      </c>
      <c r="J399" s="14" t="str">
        <f>_xlfn.XLOOKUP(B399,CAD_PDV!A:A,CAD_PDV!B:B)</f>
        <v>TELECELL TELEFONIA LTDA - ME</v>
      </c>
      <c r="K399" s="14">
        <f>IF(IFERROR(_xlfn.XLOOKUP(B399,Planilha2!D:D,Planilha2!H:H),0)="SIM",1,0)</f>
        <v>0</v>
      </c>
      <c r="L399" s="14" t="str">
        <f>_xlfn.XLOOKUP(B399,CAD_PDV!A:A,CAD_PDV!C:C)</f>
        <v>CO</v>
      </c>
      <c r="M399" s="14" t="str">
        <f>IFERROR(_xlfn.XLOOKUP(B399,repete!A:A,repete!A:A),"-")</f>
        <v>-</v>
      </c>
    </row>
    <row r="400" spans="1:13" hidden="1">
      <c r="A400" s="1">
        <v>46054</v>
      </c>
      <c r="B400" t="s">
        <v>827</v>
      </c>
      <c r="C400" t="s">
        <v>820</v>
      </c>
      <c r="D400" t="s">
        <v>239</v>
      </c>
      <c r="E400" t="s">
        <v>59</v>
      </c>
      <c r="F400">
        <v>57</v>
      </c>
      <c r="G400">
        <v>5</v>
      </c>
      <c r="H400">
        <v>3.01750150875075E-3</v>
      </c>
      <c r="I400">
        <v>8.7719298245614002E-2</v>
      </c>
      <c r="J400" s="14" t="str">
        <f>_xlfn.XLOOKUP(B400,CAD_PDV!A:A,CAD_PDV!B:B)</f>
        <v>TELECELL TELEFONIA LTDA - ME</v>
      </c>
      <c r="K400" s="14">
        <f>IF(IFERROR(_xlfn.XLOOKUP(B400,Planilha2!D:D,Planilha2!H:H),0)="SIM",1,0)</f>
        <v>0</v>
      </c>
      <c r="L400" s="14" t="str">
        <f>_xlfn.XLOOKUP(B400,CAD_PDV!A:A,CAD_PDV!C:C)</f>
        <v>CO</v>
      </c>
      <c r="M400" s="14" t="str">
        <f>IFERROR(_xlfn.XLOOKUP(B400,repete!A:A,repete!A:A),"-")</f>
        <v>-</v>
      </c>
    </row>
    <row r="401" spans="1:13" hidden="1">
      <c r="A401" s="1">
        <v>46054</v>
      </c>
      <c r="B401" t="s">
        <v>2086</v>
      </c>
      <c r="C401" t="s">
        <v>902</v>
      </c>
      <c r="D401" t="s">
        <v>215</v>
      </c>
      <c r="E401" t="s">
        <v>59</v>
      </c>
      <c r="F401">
        <v>41</v>
      </c>
      <c r="G401">
        <v>5</v>
      </c>
      <c r="H401">
        <v>3.01750150875075E-3</v>
      </c>
      <c r="I401">
        <v>0.12195121951219499</v>
      </c>
      <c r="J401" s="14" t="str">
        <f>_xlfn.XLOOKUP(B401,CAD_PDV!A:A,CAD_PDV!B:B)</f>
        <v>VIA SALLUS</v>
      </c>
      <c r="K401" s="14">
        <f>IF(IFERROR(_xlfn.XLOOKUP(B401,Planilha2!D:D,Planilha2!H:H),0)="SIM",1,0)</f>
        <v>0</v>
      </c>
      <c r="L401" s="14" t="str">
        <f>_xlfn.XLOOKUP(B401,CAD_PDV!A:A,CAD_PDV!C:C)</f>
        <v>CO</v>
      </c>
      <c r="M401" s="14" t="str">
        <f>IFERROR(_xlfn.XLOOKUP(B401,repete!A:A,repete!A:A),"-")</f>
        <v>-</v>
      </c>
    </row>
    <row r="402" spans="1:13" hidden="1">
      <c r="A402" s="1">
        <v>46054</v>
      </c>
      <c r="B402" t="s">
        <v>1181</v>
      </c>
      <c r="C402" t="s">
        <v>1182</v>
      </c>
      <c r="D402" t="s">
        <v>228</v>
      </c>
      <c r="E402" t="s">
        <v>55</v>
      </c>
      <c r="F402">
        <v>184</v>
      </c>
      <c r="G402">
        <v>5</v>
      </c>
      <c r="H402">
        <v>3.01750150875075E-3</v>
      </c>
      <c r="I402">
        <v>2.7173913043478298E-2</v>
      </c>
      <c r="J402" s="14" t="str">
        <f>_xlfn.XLOOKUP(B402,CAD_PDV!A:A,CAD_PDV!B:B)</f>
        <v>FAJULUTI</v>
      </c>
      <c r="K402" s="14">
        <f>IF(IFERROR(_xlfn.XLOOKUP(B402,Planilha2!D:D,Planilha2!H:H),0)="SIM",1,0)</f>
        <v>0</v>
      </c>
      <c r="L402" s="14" t="str">
        <f>_xlfn.XLOOKUP(B402,CAD_PDV!A:A,CAD_PDV!C:C)</f>
        <v>RJ/ES</v>
      </c>
      <c r="M402" s="14" t="str">
        <f>IFERROR(_xlfn.XLOOKUP(B402,repete!A:A,repete!A:A),"-")</f>
        <v>-</v>
      </c>
    </row>
    <row r="403" spans="1:13" hidden="1">
      <c r="A403" s="1">
        <v>46054</v>
      </c>
      <c r="B403" t="s">
        <v>1222</v>
      </c>
      <c r="C403" t="s">
        <v>1223</v>
      </c>
      <c r="D403" t="s">
        <v>228</v>
      </c>
      <c r="E403" t="s">
        <v>55</v>
      </c>
      <c r="F403">
        <v>83</v>
      </c>
      <c r="G403">
        <v>5</v>
      </c>
      <c r="H403">
        <v>3.01750150875075E-3</v>
      </c>
      <c r="I403">
        <v>6.02409638554217E-2</v>
      </c>
      <c r="J403" s="14" t="str">
        <f>_xlfn.XLOOKUP(B403,CAD_PDV!A:A,CAD_PDV!B:B)</f>
        <v>FAJULUTI</v>
      </c>
      <c r="K403" s="14">
        <f>IF(IFERROR(_xlfn.XLOOKUP(B403,Planilha2!D:D,Planilha2!H:H),0)="SIM",1,0)</f>
        <v>0</v>
      </c>
      <c r="L403" s="14" t="str">
        <f>_xlfn.XLOOKUP(B403,CAD_PDV!A:A,CAD_PDV!C:C)</f>
        <v>RJ/ES</v>
      </c>
      <c r="M403" s="14" t="str">
        <f>IFERROR(_xlfn.XLOOKUP(B403,repete!A:A,repete!A:A),"-")</f>
        <v>-</v>
      </c>
    </row>
    <row r="404" spans="1:13" hidden="1">
      <c r="A404" s="1">
        <v>46054</v>
      </c>
      <c r="B404" t="s">
        <v>951</v>
      </c>
      <c r="C404" t="s">
        <v>953</v>
      </c>
      <c r="D404" t="s">
        <v>222</v>
      </c>
      <c r="E404" t="s">
        <v>60</v>
      </c>
      <c r="F404">
        <v>198</v>
      </c>
      <c r="G404">
        <v>5</v>
      </c>
      <c r="H404">
        <v>3.01750150875075E-3</v>
      </c>
      <c r="I404">
        <v>2.5252525252525301E-2</v>
      </c>
      <c r="J404" s="14" t="str">
        <f>_xlfn.XLOOKUP(B404,CAD_PDV!A:A,CAD_PDV!B:B)</f>
        <v>ANCLA COMERCIO</v>
      </c>
      <c r="K404" s="14">
        <f>IF(IFERROR(_xlfn.XLOOKUP(B404,Planilha2!D:D,Planilha2!H:H),0)="SIM",1,0)</f>
        <v>0</v>
      </c>
      <c r="L404" s="14" t="str">
        <f>_xlfn.XLOOKUP(B404,CAD_PDV!A:A,CAD_PDV!C:C)</f>
        <v>BA/SE</v>
      </c>
      <c r="M404" s="14" t="str">
        <f>IFERROR(_xlfn.XLOOKUP(B404,repete!A:A,repete!A:A),"-")</f>
        <v>-</v>
      </c>
    </row>
    <row r="405" spans="1:13" hidden="1">
      <c r="A405" s="1">
        <v>46054</v>
      </c>
      <c r="B405" t="s">
        <v>1348</v>
      </c>
      <c r="C405" t="s">
        <v>1350</v>
      </c>
      <c r="D405" t="s">
        <v>132</v>
      </c>
      <c r="E405" t="s">
        <v>53</v>
      </c>
      <c r="F405">
        <v>120</v>
      </c>
      <c r="G405">
        <v>5</v>
      </c>
      <c r="H405">
        <v>3.01750150875075E-3</v>
      </c>
      <c r="I405">
        <v>4.1666666666666699E-2</v>
      </c>
      <c r="J405" s="14" t="str">
        <f>_xlfn.XLOOKUP(B405,CAD_PDV!A:A,CAD_PDV!B:B)</f>
        <v>FLEX CELL</v>
      </c>
      <c r="K405" s="14">
        <f>IF(IFERROR(_xlfn.XLOOKUP(B405,Planilha2!D:D,Planilha2!H:H),0)="SIM",1,0)</f>
        <v>0</v>
      </c>
      <c r="L405" s="14" t="str">
        <f>_xlfn.XLOOKUP(B405,CAD_PDV!A:A,CAD_PDV!C:C)</f>
        <v>SP1</v>
      </c>
      <c r="M405" s="14" t="str">
        <f>IFERROR(_xlfn.XLOOKUP(B405,repete!A:A,repete!A:A),"-")</f>
        <v>-</v>
      </c>
    </row>
    <row r="406" spans="1:13" hidden="1">
      <c r="A406" s="1">
        <v>46054</v>
      </c>
      <c r="B406" t="s">
        <v>279</v>
      </c>
      <c r="C406" t="s">
        <v>265</v>
      </c>
      <c r="D406" t="s">
        <v>230</v>
      </c>
      <c r="E406" t="s">
        <v>61</v>
      </c>
      <c r="F406">
        <v>88</v>
      </c>
      <c r="G406">
        <v>5</v>
      </c>
      <c r="H406">
        <v>3.01750150875075E-3</v>
      </c>
      <c r="I406">
        <v>5.6818181818181802E-2</v>
      </c>
      <c r="J406" s="14" t="str">
        <f>_xlfn.XLOOKUP(B406,CAD_PDV!A:A,CAD_PDV!B:B)</f>
        <v>HARCOS COMERCIO E SERVICOS LTDA - EPP</v>
      </c>
      <c r="K406" s="14">
        <f>IF(IFERROR(_xlfn.XLOOKUP(B406,Planilha2!D:D,Planilha2!H:H),0)="SIM",1,0)</f>
        <v>0</v>
      </c>
      <c r="L406" s="14" t="str">
        <f>_xlfn.XLOOKUP(B406,CAD_PDV!A:A,CAD_PDV!C:C)</f>
        <v>NE</v>
      </c>
      <c r="M406" s="14" t="str">
        <f>IFERROR(_xlfn.XLOOKUP(B406,repete!A:A,repete!A:A),"-")</f>
        <v>-</v>
      </c>
    </row>
    <row r="407" spans="1:13" hidden="1">
      <c r="A407" s="1">
        <v>46054</v>
      </c>
      <c r="B407" t="s">
        <v>1624</v>
      </c>
      <c r="C407" t="s">
        <v>1625</v>
      </c>
      <c r="D407" t="s">
        <v>232</v>
      </c>
      <c r="E407" t="s">
        <v>54</v>
      </c>
      <c r="F407">
        <v>73</v>
      </c>
      <c r="G407">
        <v>5</v>
      </c>
      <c r="H407">
        <v>3.01750150875075E-3</v>
      </c>
      <c r="I407">
        <v>6.8493150684931503E-2</v>
      </c>
      <c r="J407" s="14" t="str">
        <f>_xlfn.XLOOKUP(B407,CAD_PDV!A:A,CAD_PDV!B:B)</f>
        <v>HS TELECOM</v>
      </c>
      <c r="K407" s="14">
        <f>IF(IFERROR(_xlfn.XLOOKUP(B407,Planilha2!D:D,Planilha2!H:H),0)="SIM",1,0)</f>
        <v>0</v>
      </c>
      <c r="L407" s="14" t="str">
        <f>_xlfn.XLOOKUP(B407,CAD_PDV!A:A,CAD_PDV!C:C)</f>
        <v>SP2</v>
      </c>
      <c r="M407" s="14" t="str">
        <f>IFERROR(_xlfn.XLOOKUP(B407,repete!A:A,repete!A:A),"-")</f>
        <v>-</v>
      </c>
    </row>
    <row r="408" spans="1:13" hidden="1">
      <c r="A408" s="1">
        <v>46054</v>
      </c>
      <c r="B408" t="s">
        <v>1319</v>
      </c>
      <c r="C408" t="s">
        <v>1313</v>
      </c>
      <c r="D408" t="s">
        <v>225</v>
      </c>
      <c r="E408" t="s">
        <v>53</v>
      </c>
      <c r="F408">
        <v>87</v>
      </c>
      <c r="G408">
        <v>5</v>
      </c>
      <c r="H408">
        <v>3.01750150875075E-3</v>
      </c>
      <c r="I408">
        <v>5.7471264367816098E-2</v>
      </c>
      <c r="J408" s="14" t="str">
        <f>_xlfn.XLOOKUP(B408,CAD_PDV!A:A,CAD_PDV!B:B)</f>
        <v>CLARICELL SP1</v>
      </c>
      <c r="K408" s="14">
        <f>IF(IFERROR(_xlfn.XLOOKUP(B408,Planilha2!D:D,Planilha2!H:H),0)="SIM",1,0)</f>
        <v>0</v>
      </c>
      <c r="L408" s="14" t="str">
        <f>_xlfn.XLOOKUP(B408,CAD_PDV!A:A,CAD_PDV!C:C)</f>
        <v>SP1</v>
      </c>
      <c r="M408" s="14" t="str">
        <f>IFERROR(_xlfn.XLOOKUP(B408,repete!A:A,repete!A:A),"-")</f>
        <v>-</v>
      </c>
    </row>
    <row r="409" spans="1:13" hidden="1">
      <c r="A409" s="1">
        <v>46054</v>
      </c>
      <c r="B409" t="s">
        <v>1630</v>
      </c>
      <c r="C409" t="s">
        <v>1632</v>
      </c>
      <c r="D409" t="s">
        <v>232</v>
      </c>
      <c r="E409" t="s">
        <v>54</v>
      </c>
      <c r="F409">
        <v>42</v>
      </c>
      <c r="G409">
        <v>5</v>
      </c>
      <c r="H409">
        <v>3.01750150875075E-3</v>
      </c>
      <c r="I409">
        <v>0.119047619047619</v>
      </c>
      <c r="J409" s="14" t="str">
        <f>_xlfn.XLOOKUP(B409,CAD_PDV!A:A,CAD_PDV!B:B)</f>
        <v>HS TELECOM</v>
      </c>
      <c r="K409" s="14">
        <f>IF(IFERROR(_xlfn.XLOOKUP(B409,Planilha2!D:D,Planilha2!H:H),0)="SIM",1,0)</f>
        <v>0</v>
      </c>
      <c r="L409" s="14" t="str">
        <f>_xlfn.XLOOKUP(B409,CAD_PDV!A:A,CAD_PDV!C:C)</f>
        <v>SP2</v>
      </c>
      <c r="M409" s="14" t="str">
        <f>IFERROR(_xlfn.XLOOKUP(B409,repete!A:A,repete!A:A),"-")</f>
        <v>-</v>
      </c>
    </row>
    <row r="410" spans="1:13" hidden="1">
      <c r="A410" s="1">
        <v>46054</v>
      </c>
      <c r="B410" t="s">
        <v>1756</v>
      </c>
      <c r="C410" t="s">
        <v>1757</v>
      </c>
      <c r="D410" t="s">
        <v>124</v>
      </c>
      <c r="E410" t="s">
        <v>2074</v>
      </c>
      <c r="F410">
        <v>133</v>
      </c>
      <c r="G410">
        <v>5</v>
      </c>
      <c r="H410">
        <v>3.01750150875075E-3</v>
      </c>
      <c r="I410">
        <v>3.7593984962405999E-2</v>
      </c>
      <c r="J410" s="14" t="str">
        <f>_xlfn.XLOOKUP(B410,CAD_PDV!A:A,CAD_PDV!B:B)</f>
        <v>EDUARDO JUNQUEIRA DA SILVEIRA ADMIN</v>
      </c>
      <c r="K410" s="14">
        <f>IF(IFERROR(_xlfn.XLOOKUP(B410,Planilha2!D:D,Planilha2!H:H),0)="SIM",1,0)</f>
        <v>0</v>
      </c>
      <c r="L410" s="14" t="str">
        <f>_xlfn.XLOOKUP(B410,CAD_PDV!A:A,CAD_PDV!C:C)</f>
        <v>RS</v>
      </c>
      <c r="M410" s="14" t="str">
        <f>IFERROR(_xlfn.XLOOKUP(B410,repete!A:A,repete!A:A),"-")</f>
        <v>-</v>
      </c>
    </row>
    <row r="411" spans="1:13" hidden="1">
      <c r="A411" s="1">
        <v>46054</v>
      </c>
      <c r="B411" t="s">
        <v>1670</v>
      </c>
      <c r="C411" t="s">
        <v>1671</v>
      </c>
      <c r="D411" t="s">
        <v>232</v>
      </c>
      <c r="E411" t="s">
        <v>54</v>
      </c>
      <c r="F411">
        <v>71</v>
      </c>
      <c r="G411">
        <v>5</v>
      </c>
      <c r="H411">
        <v>3.01750150875075E-3</v>
      </c>
      <c r="I411">
        <v>7.0422535211267595E-2</v>
      </c>
      <c r="J411" s="14" t="str">
        <f>_xlfn.XLOOKUP(B411,CAD_PDV!A:A,CAD_PDV!B:B)</f>
        <v>HS TELECOM</v>
      </c>
      <c r="K411" s="14">
        <f>IF(IFERROR(_xlfn.XLOOKUP(B411,Planilha2!D:D,Planilha2!H:H),0)="SIM",1,0)</f>
        <v>0</v>
      </c>
      <c r="L411" s="14" t="str">
        <f>_xlfn.XLOOKUP(B411,CAD_PDV!A:A,CAD_PDV!C:C)</f>
        <v>SP2</v>
      </c>
      <c r="M411" s="14" t="str">
        <f>IFERROR(_xlfn.XLOOKUP(B411,repete!A:A,repete!A:A),"-")</f>
        <v>-</v>
      </c>
    </row>
    <row r="412" spans="1:13" hidden="1">
      <c r="A412" s="1">
        <v>46054</v>
      </c>
      <c r="B412" t="s">
        <v>1171</v>
      </c>
      <c r="C412" t="s">
        <v>1142</v>
      </c>
      <c r="D412" t="s">
        <v>228</v>
      </c>
      <c r="E412" t="s">
        <v>55</v>
      </c>
      <c r="F412">
        <v>71</v>
      </c>
      <c r="G412">
        <v>5</v>
      </c>
      <c r="H412">
        <v>3.01750150875075E-3</v>
      </c>
      <c r="I412">
        <v>7.0422535211267595E-2</v>
      </c>
      <c r="J412" s="14" t="str">
        <f>_xlfn.XLOOKUP(B412,CAD_PDV!A:A,CAD_PDV!B:B)</f>
        <v>FAJULUTI</v>
      </c>
      <c r="K412" s="14">
        <f>IF(IFERROR(_xlfn.XLOOKUP(B412,Planilha2!D:D,Planilha2!H:H),0)="SIM",1,0)</f>
        <v>0</v>
      </c>
      <c r="L412" s="14" t="str">
        <f>_xlfn.XLOOKUP(B412,CAD_PDV!A:A,CAD_PDV!C:C)</f>
        <v>RJ/ES</v>
      </c>
      <c r="M412" s="14" t="str">
        <f>IFERROR(_xlfn.XLOOKUP(B412,repete!A:A,repete!A:A),"-")</f>
        <v>-</v>
      </c>
    </row>
    <row r="413" spans="1:13" hidden="1">
      <c r="A413" s="1">
        <v>46054</v>
      </c>
      <c r="B413" t="s">
        <v>1691</v>
      </c>
      <c r="C413" t="s">
        <v>1503</v>
      </c>
      <c r="D413" t="s">
        <v>232</v>
      </c>
      <c r="E413" t="s">
        <v>54</v>
      </c>
      <c r="F413">
        <v>69</v>
      </c>
      <c r="G413">
        <v>5</v>
      </c>
      <c r="H413">
        <v>3.01750150875075E-3</v>
      </c>
      <c r="I413">
        <v>7.2463768115942004E-2</v>
      </c>
      <c r="J413" s="14" t="str">
        <f>_xlfn.XLOOKUP(B413,CAD_PDV!A:A,CAD_PDV!B:B)</f>
        <v>HS TELECOM</v>
      </c>
      <c r="K413" s="14">
        <f>IF(IFERROR(_xlfn.XLOOKUP(B413,Planilha2!D:D,Planilha2!H:H),0)="SIM",1,0)</f>
        <v>0</v>
      </c>
      <c r="L413" s="14" t="str">
        <f>_xlfn.XLOOKUP(B413,CAD_PDV!A:A,CAD_PDV!C:C)</f>
        <v>SP2</v>
      </c>
      <c r="M413" s="14" t="str">
        <f>IFERROR(_xlfn.XLOOKUP(B413,repete!A:A,repete!A:A),"-")</f>
        <v>-</v>
      </c>
    </row>
    <row r="414" spans="1:13" hidden="1">
      <c r="A414" s="1">
        <v>46054</v>
      </c>
      <c r="B414" t="s">
        <v>1697</v>
      </c>
      <c r="C414" t="s">
        <v>1698</v>
      </c>
      <c r="D414" t="s">
        <v>232</v>
      </c>
      <c r="E414" t="s">
        <v>54</v>
      </c>
      <c r="F414">
        <v>63</v>
      </c>
      <c r="G414">
        <v>5</v>
      </c>
      <c r="H414">
        <v>3.01750150875075E-3</v>
      </c>
      <c r="I414">
        <v>7.9365079365079402E-2</v>
      </c>
      <c r="J414" s="14" t="str">
        <f>_xlfn.XLOOKUP(B414,CAD_PDV!A:A,CAD_PDV!B:B)</f>
        <v>HS TELECOM</v>
      </c>
      <c r="K414" s="14">
        <f>IF(IFERROR(_xlfn.XLOOKUP(B414,Planilha2!D:D,Planilha2!H:H),0)="SIM",1,0)</f>
        <v>0</v>
      </c>
      <c r="L414" s="14" t="str">
        <f>_xlfn.XLOOKUP(B414,CAD_PDV!A:A,CAD_PDV!C:C)</f>
        <v>SP2</v>
      </c>
      <c r="M414" s="14" t="str">
        <f>IFERROR(_xlfn.XLOOKUP(B414,repete!A:A,repete!A:A),"-")</f>
        <v>-</v>
      </c>
    </row>
    <row r="415" spans="1:13" hidden="1">
      <c r="A415" s="1">
        <v>46054</v>
      </c>
      <c r="B415" t="s">
        <v>1706</v>
      </c>
      <c r="C415" t="s">
        <v>1693</v>
      </c>
      <c r="D415" t="s">
        <v>232</v>
      </c>
      <c r="E415" t="s">
        <v>54</v>
      </c>
      <c r="F415">
        <v>42</v>
      </c>
      <c r="G415">
        <v>5</v>
      </c>
      <c r="H415">
        <v>3.01750150875075E-3</v>
      </c>
      <c r="I415">
        <v>0.119047619047619</v>
      </c>
      <c r="J415" s="14" t="str">
        <f>_xlfn.XLOOKUP(B415,CAD_PDV!A:A,CAD_PDV!B:B)</f>
        <v>HS TELECOM</v>
      </c>
      <c r="K415" s="14">
        <f>IF(IFERROR(_xlfn.XLOOKUP(B415,Planilha2!D:D,Planilha2!H:H),0)="SIM",1,0)</f>
        <v>0</v>
      </c>
      <c r="L415" s="14" t="str">
        <f>_xlfn.XLOOKUP(B415,CAD_PDV!A:A,CAD_PDV!C:C)</f>
        <v>SP2</v>
      </c>
      <c r="M415" s="14" t="str">
        <f>IFERROR(_xlfn.XLOOKUP(B415,repete!A:A,repete!A:A),"-")</f>
        <v>-</v>
      </c>
    </row>
    <row r="416" spans="1:13" hidden="1">
      <c r="A416" s="1">
        <v>46054</v>
      </c>
      <c r="B416" t="s">
        <v>1281</v>
      </c>
      <c r="C416" t="s">
        <v>1185</v>
      </c>
      <c r="D416" t="s">
        <v>228</v>
      </c>
      <c r="E416" t="s">
        <v>55</v>
      </c>
      <c r="F416">
        <v>41</v>
      </c>
      <c r="G416">
        <v>5</v>
      </c>
      <c r="H416">
        <v>3.01750150875075E-3</v>
      </c>
      <c r="I416">
        <v>0.12195121951219499</v>
      </c>
      <c r="J416" s="14" t="str">
        <f>_xlfn.XLOOKUP(B416,CAD_PDV!A:A,CAD_PDV!B:B)</f>
        <v>FAJULUTI</v>
      </c>
      <c r="K416" s="14">
        <f>IF(IFERROR(_xlfn.XLOOKUP(B416,Planilha2!D:D,Planilha2!H:H),0)="SIM",1,0)</f>
        <v>0</v>
      </c>
      <c r="L416" s="14" t="str">
        <f>_xlfn.XLOOKUP(B416,CAD_PDV!A:A,CAD_PDV!C:C)</f>
        <v>RJ/ES</v>
      </c>
      <c r="M416" s="14" t="str">
        <f>IFERROR(_xlfn.XLOOKUP(B416,repete!A:A,repete!A:A),"-")</f>
        <v>-</v>
      </c>
    </row>
    <row r="417" spans="1:13" hidden="1">
      <c r="A417" s="1">
        <v>46054</v>
      </c>
      <c r="B417" t="s">
        <v>495</v>
      </c>
      <c r="C417" t="s">
        <v>496</v>
      </c>
      <c r="D417" t="s">
        <v>239</v>
      </c>
      <c r="E417" t="s">
        <v>56</v>
      </c>
      <c r="F417">
        <v>36</v>
      </c>
      <c r="G417">
        <v>4</v>
      </c>
      <c r="H417">
        <v>2.4140012070006001E-3</v>
      </c>
      <c r="I417">
        <v>0.11111111111111099</v>
      </c>
      <c r="J417" s="14" t="str">
        <f>_xlfn.XLOOKUP(B417,CAD_PDV!A:A,CAD_PDV!B:B)</f>
        <v>TELECELL TELEFONIA LTDA - ME</v>
      </c>
      <c r="K417" s="14">
        <f>IF(IFERROR(_xlfn.XLOOKUP(B417,Planilha2!D:D,Planilha2!H:H),0)="SIM",1,0)</f>
        <v>0</v>
      </c>
      <c r="L417" s="14" t="str">
        <f>_xlfn.XLOOKUP(B417,CAD_PDV!A:A,CAD_PDV!C:C)</f>
        <v>MG</v>
      </c>
      <c r="M417" s="14" t="str">
        <f>IFERROR(_xlfn.XLOOKUP(B417,repete!A:A,repete!A:A),"-")</f>
        <v>-</v>
      </c>
    </row>
    <row r="418" spans="1:13" hidden="1">
      <c r="A418" s="1">
        <v>46054</v>
      </c>
      <c r="B418" t="s">
        <v>512</v>
      </c>
      <c r="C418" t="s">
        <v>513</v>
      </c>
      <c r="D418" t="s">
        <v>228</v>
      </c>
      <c r="E418" t="s">
        <v>56</v>
      </c>
      <c r="F418">
        <v>29</v>
      </c>
      <c r="G418">
        <v>4</v>
      </c>
      <c r="H418">
        <v>2.4140012070006001E-3</v>
      </c>
      <c r="I418">
        <v>0.13793103448275901</v>
      </c>
      <c r="J418" s="14" t="str">
        <f>_xlfn.XLOOKUP(B418,CAD_PDV!A:A,CAD_PDV!B:B)</f>
        <v>FAJULUTI</v>
      </c>
      <c r="K418" s="14">
        <f>IF(IFERROR(_xlfn.XLOOKUP(B418,Planilha2!D:D,Planilha2!H:H),0)="SIM",1,0)</f>
        <v>0</v>
      </c>
      <c r="L418" s="14" t="str">
        <f>_xlfn.XLOOKUP(B418,CAD_PDV!A:A,CAD_PDV!C:C)</f>
        <v>MG</v>
      </c>
      <c r="M418" s="14" t="str">
        <f>IFERROR(_xlfn.XLOOKUP(B418,repete!A:A,repete!A:A),"-")</f>
        <v>-</v>
      </c>
    </row>
    <row r="419" spans="1:13" hidden="1">
      <c r="A419" s="1">
        <v>46054</v>
      </c>
      <c r="B419" t="s">
        <v>1497</v>
      </c>
      <c r="C419" t="s">
        <v>1499</v>
      </c>
      <c r="D419" t="s">
        <v>132</v>
      </c>
      <c r="E419" t="s">
        <v>54</v>
      </c>
      <c r="F419">
        <v>78</v>
      </c>
      <c r="G419">
        <v>4</v>
      </c>
      <c r="H419">
        <v>2.4140012070006001E-3</v>
      </c>
      <c r="I419">
        <v>5.1282051282051301E-2</v>
      </c>
      <c r="J419" s="14" t="str">
        <f>_xlfn.XLOOKUP(B419,CAD_PDV!A:A,CAD_PDV!B:B)</f>
        <v>FLEX CELL</v>
      </c>
      <c r="K419" s="14">
        <f>IF(IFERROR(_xlfn.XLOOKUP(B419,Planilha2!D:D,Planilha2!H:H),0)="SIM",1,0)</f>
        <v>0</v>
      </c>
      <c r="L419" s="14" t="str">
        <f>_xlfn.XLOOKUP(B419,CAD_PDV!A:A,CAD_PDV!C:C)</f>
        <v>SP2</v>
      </c>
      <c r="M419" s="14" t="str">
        <f>IFERROR(_xlfn.XLOOKUP(B419,repete!A:A,repete!A:A),"-")</f>
        <v>-</v>
      </c>
    </row>
    <row r="420" spans="1:13" hidden="1">
      <c r="A420" s="1">
        <v>46054</v>
      </c>
      <c r="B420" t="s">
        <v>1528</v>
      </c>
      <c r="C420" t="s">
        <v>1454</v>
      </c>
      <c r="D420" t="s">
        <v>132</v>
      </c>
      <c r="E420" t="s">
        <v>54</v>
      </c>
      <c r="F420">
        <v>43</v>
      </c>
      <c r="G420">
        <v>4</v>
      </c>
      <c r="H420">
        <v>2.4140012070006001E-3</v>
      </c>
      <c r="I420">
        <v>9.3023255813953501E-2</v>
      </c>
      <c r="J420" s="14" t="str">
        <f>_xlfn.XLOOKUP(B420,CAD_PDV!A:A,CAD_PDV!B:B)</f>
        <v>FLEX CELL</v>
      </c>
      <c r="K420" s="14">
        <f>IF(IFERROR(_xlfn.XLOOKUP(B420,Planilha2!D:D,Planilha2!H:H),0)="SIM",1,0)</f>
        <v>0</v>
      </c>
      <c r="L420" s="14" t="str">
        <f>_xlfn.XLOOKUP(B420,CAD_PDV!A:A,CAD_PDV!C:C)</f>
        <v>SP2</v>
      </c>
      <c r="M420" s="14" t="str">
        <f>IFERROR(_xlfn.XLOOKUP(B420,repete!A:A,repete!A:A),"-")</f>
        <v>-</v>
      </c>
    </row>
    <row r="421" spans="1:13" hidden="1">
      <c r="A421" s="1">
        <v>46054</v>
      </c>
      <c r="B421" t="s">
        <v>525</v>
      </c>
      <c r="C421" t="s">
        <v>526</v>
      </c>
      <c r="D421" t="s">
        <v>228</v>
      </c>
      <c r="E421" t="s">
        <v>56</v>
      </c>
      <c r="F421">
        <v>29</v>
      </c>
      <c r="G421">
        <v>4</v>
      </c>
      <c r="H421">
        <v>2.4140012070006001E-3</v>
      </c>
      <c r="I421">
        <v>0.13793103448275901</v>
      </c>
      <c r="J421" s="14" t="str">
        <f>_xlfn.XLOOKUP(B421,CAD_PDV!A:A,CAD_PDV!B:B)</f>
        <v>FAJULUTI</v>
      </c>
      <c r="K421" s="14">
        <f>IF(IFERROR(_xlfn.XLOOKUP(B421,Planilha2!D:D,Planilha2!H:H),0)="SIM",1,0)</f>
        <v>0</v>
      </c>
      <c r="L421" s="14" t="str">
        <f>_xlfn.XLOOKUP(B421,CAD_PDV!A:A,CAD_PDV!C:C)</f>
        <v>MG</v>
      </c>
      <c r="M421" s="14" t="str">
        <f>IFERROR(_xlfn.XLOOKUP(B421,repete!A:A,repete!A:A),"-")</f>
        <v>-</v>
      </c>
    </row>
    <row r="422" spans="1:13" hidden="1">
      <c r="A422" s="1">
        <v>46054</v>
      </c>
      <c r="B422" t="s">
        <v>645</v>
      </c>
      <c r="C422" t="s">
        <v>644</v>
      </c>
      <c r="D422" t="s">
        <v>240</v>
      </c>
      <c r="E422" t="s">
        <v>59</v>
      </c>
      <c r="F422">
        <v>34</v>
      </c>
      <c r="G422">
        <v>4</v>
      </c>
      <c r="H422">
        <v>2.4140012070006001E-3</v>
      </c>
      <c r="I422">
        <v>0.11764705882352899</v>
      </c>
      <c r="J422" s="14" t="str">
        <f>_xlfn.XLOOKUP(B422,CAD_PDV!A:A,CAD_PDV!B:B)</f>
        <v>TELEMAIS TELEFONIA LTDA - ME</v>
      </c>
      <c r="K422" s="14">
        <f>IF(IFERROR(_xlfn.XLOOKUP(B422,Planilha2!D:D,Planilha2!H:H),0)="SIM",1,0)</f>
        <v>0</v>
      </c>
      <c r="L422" s="14" t="str">
        <f>_xlfn.XLOOKUP(B422,CAD_PDV!A:A,CAD_PDV!C:C)</f>
        <v>CO</v>
      </c>
      <c r="M422" s="14" t="str">
        <f>IFERROR(_xlfn.XLOOKUP(B422,repete!A:A,repete!A:A),"-")</f>
        <v>-</v>
      </c>
    </row>
    <row r="423" spans="1:13" hidden="1">
      <c r="A423" s="1">
        <v>46054</v>
      </c>
      <c r="B423" t="s">
        <v>1358</v>
      </c>
      <c r="C423" t="s">
        <v>1357</v>
      </c>
      <c r="D423" t="s">
        <v>132</v>
      </c>
      <c r="E423" t="s">
        <v>53</v>
      </c>
      <c r="F423">
        <v>93</v>
      </c>
      <c r="G423">
        <v>4</v>
      </c>
      <c r="H423">
        <v>2.4140012070006001E-3</v>
      </c>
      <c r="I423">
        <v>4.3010752688171998E-2</v>
      </c>
      <c r="J423" s="14" t="str">
        <f>_xlfn.XLOOKUP(B423,CAD_PDV!A:A,CAD_PDV!B:B)</f>
        <v>FLEX CELL</v>
      </c>
      <c r="K423" s="14">
        <f>IF(IFERROR(_xlfn.XLOOKUP(B423,Planilha2!D:D,Planilha2!H:H),0)="SIM",1,0)</f>
        <v>0</v>
      </c>
      <c r="L423" s="14" t="str">
        <f>_xlfn.XLOOKUP(B423,CAD_PDV!A:A,CAD_PDV!C:C)</f>
        <v>SP1</v>
      </c>
      <c r="M423" s="14" t="str">
        <f>IFERROR(_xlfn.XLOOKUP(B423,repete!A:A,repete!A:A),"-")</f>
        <v>-</v>
      </c>
    </row>
    <row r="424" spans="1:13" hidden="1">
      <c r="A424" s="1">
        <v>46054</v>
      </c>
      <c r="B424" t="s">
        <v>848</v>
      </c>
      <c r="C424" t="s">
        <v>732</v>
      </c>
      <c r="D424" t="s">
        <v>221</v>
      </c>
      <c r="E424" t="s">
        <v>59</v>
      </c>
      <c r="F424">
        <v>28</v>
      </c>
      <c r="G424">
        <v>4</v>
      </c>
      <c r="H424">
        <v>2.4140012070006001E-3</v>
      </c>
      <c r="I424">
        <v>0.14285714285714299</v>
      </c>
      <c r="J424" s="14" t="str">
        <f>_xlfn.XLOOKUP(B424,CAD_PDV!A:A,CAD_PDV!B:B)</f>
        <v>AMERICOM COMERCIO DE APARELHOS ELETRONICOS LTDA - EPP</v>
      </c>
      <c r="K424" s="14">
        <f>IF(IFERROR(_xlfn.XLOOKUP(B424,Planilha2!D:D,Planilha2!H:H),0)="SIM",1,0)</f>
        <v>0</v>
      </c>
      <c r="L424" s="14" t="str">
        <f>_xlfn.XLOOKUP(B424,CAD_PDV!A:A,CAD_PDV!C:C)</f>
        <v>CO</v>
      </c>
      <c r="M424" s="14" t="str">
        <f>IFERROR(_xlfn.XLOOKUP(B424,repete!A:A,repete!A:A),"-")</f>
        <v>-</v>
      </c>
    </row>
    <row r="425" spans="1:13" hidden="1">
      <c r="A425" s="1">
        <v>46054</v>
      </c>
      <c r="B425" t="s">
        <v>797</v>
      </c>
      <c r="C425" t="s">
        <v>798</v>
      </c>
      <c r="D425" t="s">
        <v>239</v>
      </c>
      <c r="E425" t="s">
        <v>59</v>
      </c>
      <c r="F425">
        <v>50</v>
      </c>
      <c r="G425">
        <v>4</v>
      </c>
      <c r="H425">
        <v>2.4140012070006001E-3</v>
      </c>
      <c r="I425">
        <v>0.08</v>
      </c>
      <c r="J425" s="14" t="str">
        <f>_xlfn.XLOOKUP(B425,CAD_PDV!A:A,CAD_PDV!B:B)</f>
        <v>TELECELL TELEFONIA LTDA - ME</v>
      </c>
      <c r="K425" s="14">
        <f>IF(IFERROR(_xlfn.XLOOKUP(B425,Planilha2!D:D,Planilha2!H:H),0)="SIM",1,0)</f>
        <v>0</v>
      </c>
      <c r="L425" s="14" t="str">
        <f>_xlfn.XLOOKUP(B425,CAD_PDV!A:A,CAD_PDV!C:C)</f>
        <v>CO</v>
      </c>
      <c r="M425" s="14" t="str">
        <f>IFERROR(_xlfn.XLOOKUP(B425,repete!A:A,repete!A:A),"-")</f>
        <v>-</v>
      </c>
    </row>
    <row r="426" spans="1:13" hidden="1">
      <c r="A426" s="1">
        <v>46054</v>
      </c>
      <c r="B426" t="s">
        <v>1574</v>
      </c>
      <c r="C426" t="s">
        <v>1575</v>
      </c>
      <c r="D426" t="s">
        <v>132</v>
      </c>
      <c r="E426" t="s">
        <v>54</v>
      </c>
      <c r="F426">
        <v>50</v>
      </c>
      <c r="G426">
        <v>4</v>
      </c>
      <c r="H426">
        <v>2.4140012070006001E-3</v>
      </c>
      <c r="I426">
        <v>0.08</v>
      </c>
      <c r="J426" s="14" t="str">
        <f>_xlfn.XLOOKUP(B426,CAD_PDV!A:A,CAD_PDV!B:B)</f>
        <v>FLEX CELL</v>
      </c>
      <c r="K426" s="14">
        <f>IF(IFERROR(_xlfn.XLOOKUP(B426,Planilha2!D:D,Planilha2!H:H),0)="SIM",1,0)</f>
        <v>0</v>
      </c>
      <c r="L426" s="14" t="str">
        <f>_xlfn.XLOOKUP(B426,CAD_PDV!A:A,CAD_PDV!C:C)</f>
        <v>SP2</v>
      </c>
      <c r="M426" s="14" t="str">
        <f>IFERROR(_xlfn.XLOOKUP(B426,repete!A:A,repete!A:A),"-")</f>
        <v>-</v>
      </c>
    </row>
    <row r="427" spans="1:13" hidden="1">
      <c r="A427" s="1">
        <v>46054</v>
      </c>
      <c r="B427" t="s">
        <v>2027</v>
      </c>
      <c r="C427" t="s">
        <v>2026</v>
      </c>
      <c r="D427" t="s">
        <v>193</v>
      </c>
      <c r="E427" t="s">
        <v>2074</v>
      </c>
      <c r="F427">
        <v>57</v>
      </c>
      <c r="G427">
        <v>4</v>
      </c>
      <c r="H427">
        <v>2.4140012070006001E-3</v>
      </c>
      <c r="I427">
        <v>7.0175438596491196E-2</v>
      </c>
      <c r="J427" s="14" t="str">
        <f>_xlfn.XLOOKUP(B427,CAD_PDV!A:A,CAD_PDV!B:B)</f>
        <v>S D COMERCIO DE CELULARES LTDA - ME</v>
      </c>
      <c r="K427" s="14">
        <f>IF(IFERROR(_xlfn.XLOOKUP(B427,Planilha2!D:D,Planilha2!H:H),0)="SIM",1,0)</f>
        <v>0</v>
      </c>
      <c r="L427" s="14" t="str">
        <f>_xlfn.XLOOKUP(B427,CAD_PDV!A:A,CAD_PDV!C:C)</f>
        <v>RS</v>
      </c>
      <c r="M427" s="14" t="str">
        <f>IFERROR(_xlfn.XLOOKUP(B427,repete!A:A,repete!A:A),"-")</f>
        <v>-</v>
      </c>
    </row>
    <row r="428" spans="1:13" hidden="1">
      <c r="A428" s="1">
        <v>46054</v>
      </c>
      <c r="B428" t="s">
        <v>759</v>
      </c>
      <c r="C428" t="s">
        <v>619</v>
      </c>
      <c r="D428" t="s">
        <v>239</v>
      </c>
      <c r="E428" t="s">
        <v>59</v>
      </c>
      <c r="F428">
        <v>76</v>
      </c>
      <c r="G428">
        <v>4</v>
      </c>
      <c r="H428">
        <v>2.4140012070006001E-3</v>
      </c>
      <c r="I428">
        <v>5.2631578947368397E-2</v>
      </c>
      <c r="J428" s="14" t="str">
        <f>_xlfn.XLOOKUP(B428,CAD_PDV!A:A,CAD_PDV!B:B)</f>
        <v>TELECELL TELEFONIA LTDA - ME</v>
      </c>
      <c r="K428" s="14">
        <f>IF(IFERROR(_xlfn.XLOOKUP(B428,Planilha2!D:D,Planilha2!H:H),0)="SIM",1,0)</f>
        <v>0</v>
      </c>
      <c r="L428" s="14" t="str">
        <f>_xlfn.XLOOKUP(B428,CAD_PDV!A:A,CAD_PDV!C:C)</f>
        <v>CO</v>
      </c>
      <c r="M428" s="14" t="str">
        <f>IFERROR(_xlfn.XLOOKUP(B428,repete!A:A,repete!A:A),"-")</f>
        <v>-</v>
      </c>
    </row>
    <row r="429" spans="1:13" hidden="1">
      <c r="A429" s="1">
        <v>46054</v>
      </c>
      <c r="B429" t="s">
        <v>778</v>
      </c>
      <c r="C429" t="s">
        <v>775</v>
      </c>
      <c r="D429" t="s">
        <v>221</v>
      </c>
      <c r="E429" t="s">
        <v>59</v>
      </c>
      <c r="F429">
        <v>41</v>
      </c>
      <c r="G429">
        <v>4</v>
      </c>
      <c r="H429">
        <v>2.4140012070006001E-3</v>
      </c>
      <c r="I429">
        <v>9.7560975609756101E-2</v>
      </c>
      <c r="J429" s="14" t="str">
        <f>_xlfn.XLOOKUP(B429,CAD_PDV!A:A,CAD_PDV!B:B)</f>
        <v>AMERICOM COMERCIO DE APARELHOS ELETRONICOS LTDA - EPP</v>
      </c>
      <c r="K429" s="14">
        <f>IF(IFERROR(_xlfn.XLOOKUP(B429,Planilha2!D:D,Planilha2!H:H),0)="SIM",1,0)</f>
        <v>0</v>
      </c>
      <c r="L429" s="14" t="str">
        <f>_xlfn.XLOOKUP(B429,CAD_PDV!A:A,CAD_PDV!C:C)</f>
        <v>CO</v>
      </c>
      <c r="M429" s="14" t="str">
        <f>IFERROR(_xlfn.XLOOKUP(B429,repete!A:A,repete!A:A),"-")</f>
        <v>-</v>
      </c>
    </row>
    <row r="430" spans="1:13" hidden="1">
      <c r="A430" s="1">
        <v>46054</v>
      </c>
      <c r="B430" t="s">
        <v>2054</v>
      </c>
      <c r="C430" t="s">
        <v>2053</v>
      </c>
      <c r="D430" t="s">
        <v>193</v>
      </c>
      <c r="E430" t="s">
        <v>2074</v>
      </c>
      <c r="F430">
        <v>48</v>
      </c>
      <c r="G430">
        <v>4</v>
      </c>
      <c r="H430">
        <v>2.4140012070006001E-3</v>
      </c>
      <c r="I430">
        <v>8.3333333333333301E-2</v>
      </c>
      <c r="J430" s="14" t="str">
        <f>_xlfn.XLOOKUP(B430,CAD_PDV!A:A,CAD_PDV!B:B)</f>
        <v>S D COMERCIO DE CELULARES LTDA - ME</v>
      </c>
      <c r="K430" s="14">
        <f>IF(IFERROR(_xlfn.XLOOKUP(B430,Planilha2!D:D,Planilha2!H:H),0)="SIM",1,0)</f>
        <v>0</v>
      </c>
      <c r="L430" s="14" t="str">
        <f>_xlfn.XLOOKUP(B430,CAD_PDV!A:A,CAD_PDV!C:C)</f>
        <v>RS</v>
      </c>
      <c r="M430" s="14" t="str">
        <f>IFERROR(_xlfn.XLOOKUP(B430,repete!A:A,repete!A:A),"-")</f>
        <v>-</v>
      </c>
    </row>
    <row r="431" spans="1:13" hidden="1">
      <c r="A431" s="1">
        <v>46054</v>
      </c>
      <c r="B431" t="s">
        <v>1868</v>
      </c>
      <c r="C431" t="s">
        <v>1870</v>
      </c>
      <c r="D431" t="s">
        <v>124</v>
      </c>
      <c r="E431" t="s">
        <v>2074</v>
      </c>
      <c r="F431">
        <v>25</v>
      </c>
      <c r="G431">
        <v>4</v>
      </c>
      <c r="H431">
        <v>2.4140012070006001E-3</v>
      </c>
      <c r="I431">
        <v>0.16</v>
      </c>
      <c r="J431" s="14" t="str">
        <f>_xlfn.XLOOKUP(B431,CAD_PDV!A:A,CAD_PDV!B:B)</f>
        <v>EDUARDO JUNQUEIRA DA SILVEIRA ADMIN</v>
      </c>
      <c r="K431" s="14">
        <f>IF(IFERROR(_xlfn.XLOOKUP(B431,Planilha2!D:D,Planilha2!H:H),0)="SIM",1,0)</f>
        <v>0</v>
      </c>
      <c r="L431" s="14" t="str">
        <f>_xlfn.XLOOKUP(B431,CAD_PDV!A:A,CAD_PDV!C:C)</f>
        <v>RS</v>
      </c>
      <c r="M431" s="14" t="str">
        <f>IFERROR(_xlfn.XLOOKUP(B431,repete!A:A,repete!A:A),"-")</f>
        <v>-</v>
      </c>
    </row>
    <row r="432" spans="1:13" hidden="1">
      <c r="A432" s="1">
        <v>46054</v>
      </c>
      <c r="B432" t="s">
        <v>2041</v>
      </c>
      <c r="C432" t="s">
        <v>2042</v>
      </c>
      <c r="D432" t="s">
        <v>193</v>
      </c>
      <c r="E432" t="s">
        <v>2074</v>
      </c>
      <c r="F432">
        <v>58</v>
      </c>
      <c r="G432">
        <v>4</v>
      </c>
      <c r="H432">
        <v>2.4140012070006001E-3</v>
      </c>
      <c r="I432">
        <v>6.8965517241379296E-2</v>
      </c>
      <c r="J432" s="14" t="str">
        <f>_xlfn.XLOOKUP(B432,CAD_PDV!A:A,CAD_PDV!B:B)</f>
        <v>S D COMERCIO DE CELULARES LTDA - ME</v>
      </c>
      <c r="K432" s="14">
        <f>IF(IFERROR(_xlfn.XLOOKUP(B432,Planilha2!D:D,Planilha2!H:H),0)="SIM",1,0)</f>
        <v>0</v>
      </c>
      <c r="L432" s="14" t="str">
        <f>_xlfn.XLOOKUP(B432,CAD_PDV!A:A,CAD_PDV!C:C)</f>
        <v>RS</v>
      </c>
      <c r="M432" s="14" t="str">
        <f>IFERROR(_xlfn.XLOOKUP(B432,repete!A:A,repete!A:A),"-")</f>
        <v>-</v>
      </c>
    </row>
    <row r="433" spans="1:13" hidden="1">
      <c r="A433" s="1">
        <v>46054</v>
      </c>
      <c r="B433" t="s">
        <v>800</v>
      </c>
      <c r="C433" t="s">
        <v>651</v>
      </c>
      <c r="D433" t="s">
        <v>239</v>
      </c>
      <c r="E433" t="s">
        <v>59</v>
      </c>
      <c r="F433">
        <v>66</v>
      </c>
      <c r="G433">
        <v>4</v>
      </c>
      <c r="H433">
        <v>2.4140012070006001E-3</v>
      </c>
      <c r="I433">
        <v>6.0606060606060601E-2</v>
      </c>
      <c r="J433" s="14" t="str">
        <f>_xlfn.XLOOKUP(B433,CAD_PDV!A:A,CAD_PDV!B:B)</f>
        <v>TELECELL TELEFONIA LTDA - ME</v>
      </c>
      <c r="K433" s="14">
        <f>IF(IFERROR(_xlfn.XLOOKUP(B433,Planilha2!D:D,Planilha2!H:H),0)="SIM",1,0)</f>
        <v>0</v>
      </c>
      <c r="L433" s="14" t="str">
        <f>_xlfn.XLOOKUP(B433,CAD_PDV!A:A,CAD_PDV!C:C)</f>
        <v>CO</v>
      </c>
      <c r="M433" s="14" t="str">
        <f>IFERROR(_xlfn.XLOOKUP(B433,repete!A:A,repete!A:A),"-")</f>
        <v>-</v>
      </c>
    </row>
    <row r="434" spans="1:13" hidden="1">
      <c r="A434" s="1">
        <v>46054</v>
      </c>
      <c r="B434" t="s">
        <v>962</v>
      </c>
      <c r="C434" t="s">
        <v>950</v>
      </c>
      <c r="D434" t="s">
        <v>232</v>
      </c>
      <c r="E434" t="s">
        <v>60</v>
      </c>
      <c r="F434">
        <v>69</v>
      </c>
      <c r="G434">
        <v>4</v>
      </c>
      <c r="H434">
        <v>2.4140012070006001E-3</v>
      </c>
      <c r="I434">
        <v>5.7971014492753603E-2</v>
      </c>
      <c r="J434" s="14" t="str">
        <f>_xlfn.XLOOKUP(B434,CAD_PDV!A:A,CAD_PDV!B:B)</f>
        <v>HS TELECOM</v>
      </c>
      <c r="K434" s="14">
        <f>IF(IFERROR(_xlfn.XLOOKUP(B434,Planilha2!D:D,Planilha2!H:H),0)="SIM",1,0)</f>
        <v>0</v>
      </c>
      <c r="L434" s="14" t="str">
        <f>_xlfn.XLOOKUP(B434,CAD_PDV!A:A,CAD_PDV!C:C)</f>
        <v>BA/SE</v>
      </c>
      <c r="M434" s="14" t="str">
        <f>IFERROR(_xlfn.XLOOKUP(B434,repete!A:A,repete!A:A),"-")</f>
        <v>-</v>
      </c>
    </row>
    <row r="435" spans="1:13" hidden="1">
      <c r="A435" s="1">
        <v>46054</v>
      </c>
      <c r="B435" t="s">
        <v>1683</v>
      </c>
      <c r="C435" t="s">
        <v>1684</v>
      </c>
      <c r="D435" t="s">
        <v>232</v>
      </c>
      <c r="E435" t="s">
        <v>54</v>
      </c>
      <c r="F435">
        <v>55</v>
      </c>
      <c r="G435">
        <v>4</v>
      </c>
      <c r="H435">
        <v>2.4140012070006001E-3</v>
      </c>
      <c r="I435">
        <v>7.2727272727272696E-2</v>
      </c>
      <c r="J435" s="14" t="str">
        <f>_xlfn.XLOOKUP(B435,CAD_PDV!A:A,CAD_PDV!B:B)</f>
        <v>HS TELECOM</v>
      </c>
      <c r="K435" s="14">
        <f>IF(IFERROR(_xlfn.XLOOKUP(B435,Planilha2!D:D,Planilha2!H:H),0)="SIM",1,0)</f>
        <v>0</v>
      </c>
      <c r="L435" s="14" t="str">
        <f>_xlfn.XLOOKUP(B435,CAD_PDV!A:A,CAD_PDV!C:C)</f>
        <v>SP2</v>
      </c>
      <c r="M435" s="14" t="str">
        <f>IFERROR(_xlfn.XLOOKUP(B435,repete!A:A,repete!A:A),"-")</f>
        <v>-</v>
      </c>
    </row>
    <row r="436" spans="1:13" hidden="1">
      <c r="A436" s="1">
        <v>46054</v>
      </c>
      <c r="B436" t="s">
        <v>375</v>
      </c>
      <c r="C436" t="s">
        <v>376</v>
      </c>
      <c r="D436" t="s">
        <v>230</v>
      </c>
      <c r="E436" t="s">
        <v>61</v>
      </c>
      <c r="F436">
        <v>64</v>
      </c>
      <c r="G436">
        <v>4</v>
      </c>
      <c r="H436">
        <v>2.4140012070006001E-3</v>
      </c>
      <c r="I436">
        <v>6.25E-2</v>
      </c>
      <c r="J436" s="14" t="str">
        <f>_xlfn.XLOOKUP(B436,CAD_PDV!A:A,CAD_PDV!B:B)</f>
        <v>HARCOS COMERCIO E SERVICOS LTDA - EPP</v>
      </c>
      <c r="K436" s="14">
        <f>IF(IFERROR(_xlfn.XLOOKUP(B436,Planilha2!D:D,Planilha2!H:H),0)="SIM",1,0)</f>
        <v>0</v>
      </c>
      <c r="L436" s="14" t="str">
        <f>_xlfn.XLOOKUP(B436,CAD_PDV!A:A,CAD_PDV!C:C)</f>
        <v>NE</v>
      </c>
      <c r="M436" s="14" t="str">
        <f>IFERROR(_xlfn.XLOOKUP(B436,repete!A:A,repete!A:A),"-")</f>
        <v>-</v>
      </c>
    </row>
    <row r="437" spans="1:13" hidden="1">
      <c r="A437" s="1">
        <v>46054</v>
      </c>
      <c r="B437" t="s">
        <v>377</v>
      </c>
      <c r="C437" t="s">
        <v>261</v>
      </c>
      <c r="D437" t="s">
        <v>230</v>
      </c>
      <c r="E437" t="s">
        <v>61</v>
      </c>
      <c r="F437">
        <v>69</v>
      </c>
      <c r="G437">
        <v>4</v>
      </c>
      <c r="H437">
        <v>2.4140012070006001E-3</v>
      </c>
      <c r="I437">
        <v>5.7971014492753603E-2</v>
      </c>
      <c r="J437" s="14" t="str">
        <f>_xlfn.XLOOKUP(B437,CAD_PDV!A:A,CAD_PDV!B:B)</f>
        <v>HARCOS COMERCIO E SERVICOS LTDA - EPP</v>
      </c>
      <c r="K437" s="14">
        <f>IF(IFERROR(_xlfn.XLOOKUP(B437,Planilha2!D:D,Planilha2!H:H),0)="SIM",1,0)</f>
        <v>0</v>
      </c>
      <c r="L437" s="14" t="str">
        <f>_xlfn.XLOOKUP(B437,CAD_PDV!A:A,CAD_PDV!C:C)</f>
        <v>NE</v>
      </c>
      <c r="M437" s="14" t="str">
        <f>IFERROR(_xlfn.XLOOKUP(B437,repete!A:A,repete!A:A),"-")</f>
        <v>-</v>
      </c>
    </row>
    <row r="438" spans="1:13" hidden="1">
      <c r="A438" s="1">
        <v>46054</v>
      </c>
      <c r="B438" t="s">
        <v>1877</v>
      </c>
      <c r="C438" t="s">
        <v>1876</v>
      </c>
      <c r="D438" t="s">
        <v>124</v>
      </c>
      <c r="E438" t="s">
        <v>2074</v>
      </c>
      <c r="F438">
        <v>55</v>
      </c>
      <c r="G438">
        <v>4</v>
      </c>
      <c r="H438">
        <v>2.4140012070006001E-3</v>
      </c>
      <c r="I438">
        <v>7.2727272727272696E-2</v>
      </c>
      <c r="J438" s="14" t="str">
        <f>_xlfn.XLOOKUP(B438,CAD_PDV!A:A,CAD_PDV!B:B)</f>
        <v>EDUARDO JUNQUEIRA DA SILVEIRA ADMIN</v>
      </c>
      <c r="K438" s="14">
        <f>IF(IFERROR(_xlfn.XLOOKUP(B438,Planilha2!D:D,Planilha2!H:H),0)="SIM",1,0)</f>
        <v>0</v>
      </c>
      <c r="L438" s="14" t="str">
        <f>_xlfn.XLOOKUP(B438,CAD_PDV!A:A,CAD_PDV!C:C)</f>
        <v>RS</v>
      </c>
      <c r="M438" s="14" t="str">
        <f>IFERROR(_xlfn.XLOOKUP(B438,repete!A:A,repete!A:A),"-")</f>
        <v>-</v>
      </c>
    </row>
    <row r="439" spans="1:13" hidden="1">
      <c r="A439" s="1">
        <v>46054</v>
      </c>
      <c r="B439" t="s">
        <v>658</v>
      </c>
      <c r="C439" t="s">
        <v>659</v>
      </c>
      <c r="D439" t="s">
        <v>239</v>
      </c>
      <c r="E439" t="s">
        <v>59</v>
      </c>
      <c r="F439">
        <v>43</v>
      </c>
      <c r="G439">
        <v>4</v>
      </c>
      <c r="H439">
        <v>2.4140012070006001E-3</v>
      </c>
      <c r="I439">
        <v>9.3023255813953501E-2</v>
      </c>
      <c r="J439" s="14" t="str">
        <f>_xlfn.XLOOKUP(B439,CAD_PDV!A:A,CAD_PDV!B:B)</f>
        <v>TELECELL TELEFONIA LTDA - ME</v>
      </c>
      <c r="K439" s="14">
        <f>IF(IFERROR(_xlfn.XLOOKUP(B439,Planilha2!D:D,Planilha2!H:H),0)="SIM",1,0)</f>
        <v>0</v>
      </c>
      <c r="L439" s="14" t="str">
        <f>_xlfn.XLOOKUP(B439,CAD_PDV!A:A,CAD_PDV!C:C)</f>
        <v>CO</v>
      </c>
      <c r="M439" s="14" t="str">
        <f>IFERROR(_xlfn.XLOOKUP(B439,repete!A:A,repete!A:A),"-")</f>
        <v>-</v>
      </c>
    </row>
    <row r="440" spans="1:13" hidden="1">
      <c r="A440" s="1">
        <v>46054</v>
      </c>
      <c r="B440" t="s">
        <v>1177</v>
      </c>
      <c r="C440" t="s">
        <v>1142</v>
      </c>
      <c r="D440" t="s">
        <v>228</v>
      </c>
      <c r="E440" t="s">
        <v>55</v>
      </c>
      <c r="F440">
        <v>67</v>
      </c>
      <c r="G440">
        <v>4</v>
      </c>
      <c r="H440">
        <v>2.4140012070006001E-3</v>
      </c>
      <c r="I440">
        <v>5.9701492537313397E-2</v>
      </c>
      <c r="J440" s="14" t="str">
        <f>_xlfn.XLOOKUP(B440,CAD_PDV!A:A,CAD_PDV!B:B)</f>
        <v>FAJULUTI</v>
      </c>
      <c r="K440" s="14">
        <f>IF(IFERROR(_xlfn.XLOOKUP(B440,Planilha2!D:D,Planilha2!H:H),0)="SIM",1,0)</f>
        <v>0</v>
      </c>
      <c r="L440" s="14" t="str">
        <f>_xlfn.XLOOKUP(B440,CAD_PDV!A:A,CAD_PDV!C:C)</f>
        <v>RJ/ES</v>
      </c>
      <c r="M440" s="14" t="str">
        <f>IFERROR(_xlfn.XLOOKUP(B440,repete!A:A,repete!A:A),"-")</f>
        <v>-</v>
      </c>
    </row>
    <row r="441" spans="1:13" hidden="1">
      <c r="A441" s="1">
        <v>46054</v>
      </c>
      <c r="B441" t="s">
        <v>653</v>
      </c>
      <c r="C441" t="s">
        <v>649</v>
      </c>
      <c r="D441" t="s">
        <v>239</v>
      </c>
      <c r="E441" t="s">
        <v>59</v>
      </c>
      <c r="F441">
        <v>65</v>
      </c>
      <c r="G441">
        <v>3</v>
      </c>
      <c r="H441">
        <v>1.8105009052504499E-3</v>
      </c>
      <c r="I441">
        <v>4.6153846153846198E-2</v>
      </c>
      <c r="J441" s="14" t="str">
        <f>_xlfn.XLOOKUP(B441,CAD_PDV!A:A,CAD_PDV!B:B)</f>
        <v>TELECELL TELEFONIA LTDA - ME</v>
      </c>
      <c r="K441" s="14">
        <f>IF(IFERROR(_xlfn.XLOOKUP(B441,Planilha2!D:D,Planilha2!H:H),0)="SIM",1,0)</f>
        <v>0</v>
      </c>
      <c r="L441" s="14" t="str">
        <f>_xlfn.XLOOKUP(B441,CAD_PDV!A:A,CAD_PDV!C:C)</f>
        <v>CO</v>
      </c>
      <c r="M441" s="14" t="str">
        <f>IFERROR(_xlfn.XLOOKUP(B441,repete!A:A,repete!A:A),"-")</f>
        <v>-</v>
      </c>
    </row>
    <row r="442" spans="1:13" hidden="1">
      <c r="A442" s="1">
        <v>46054</v>
      </c>
      <c r="B442" t="s">
        <v>1191</v>
      </c>
      <c r="C442" t="s">
        <v>1194</v>
      </c>
      <c r="D442" t="s">
        <v>2072</v>
      </c>
      <c r="E442" t="s">
        <v>55</v>
      </c>
      <c r="F442">
        <v>27</v>
      </c>
      <c r="G442">
        <v>3</v>
      </c>
      <c r="H442">
        <v>1.8105009052504499E-3</v>
      </c>
      <c r="I442">
        <v>0.11111111111111099</v>
      </c>
      <c r="J442" s="14" t="str">
        <f>_xlfn.XLOOKUP(B442,CAD_PDV!A:A,CAD_PDV!B:B)</f>
        <v>MEXCELL COMERCIO E SERVICOS DE TELECOMUNICACOES LTDA</v>
      </c>
      <c r="K442" s="14">
        <f>IF(IFERROR(_xlfn.XLOOKUP(B442,Planilha2!D:D,Planilha2!H:H),0)="SIM",1,0)</f>
        <v>0</v>
      </c>
      <c r="L442" s="14" t="str">
        <f>_xlfn.XLOOKUP(B442,CAD_PDV!A:A,CAD_PDV!C:C)</f>
        <v>RJ/ES</v>
      </c>
      <c r="M442" s="14" t="str">
        <f>IFERROR(_xlfn.XLOOKUP(B442,repete!A:A,repete!A:A),"-")</f>
        <v>-</v>
      </c>
    </row>
    <row r="443" spans="1:13" hidden="1">
      <c r="A443" s="1">
        <v>46054</v>
      </c>
      <c r="B443" t="s">
        <v>1427</v>
      </c>
      <c r="C443" t="s">
        <v>1429</v>
      </c>
      <c r="D443" t="s">
        <v>232</v>
      </c>
      <c r="E443" t="s">
        <v>54</v>
      </c>
      <c r="F443">
        <v>32</v>
      </c>
      <c r="G443">
        <v>3</v>
      </c>
      <c r="H443">
        <v>1.8105009052504499E-3</v>
      </c>
      <c r="I443">
        <v>9.375E-2</v>
      </c>
      <c r="J443" s="14" t="str">
        <f>_xlfn.XLOOKUP(B443,CAD_PDV!A:A,CAD_PDV!B:B)</f>
        <v>HS TELECOM</v>
      </c>
      <c r="K443" s="14">
        <f>IF(IFERROR(_xlfn.XLOOKUP(B443,Planilha2!D:D,Planilha2!H:H),0)="SIM",1,0)</f>
        <v>0</v>
      </c>
      <c r="L443" s="14" t="str">
        <f>_xlfn.XLOOKUP(B443,CAD_PDV!A:A,CAD_PDV!C:C)</f>
        <v>SP2</v>
      </c>
      <c r="M443" s="14" t="str">
        <f>IFERROR(_xlfn.XLOOKUP(B443,repete!A:A,repete!A:A),"-")</f>
        <v>-</v>
      </c>
    </row>
    <row r="444" spans="1:13" hidden="1">
      <c r="A444" s="1">
        <v>46054</v>
      </c>
      <c r="B444" t="s">
        <v>1827</v>
      </c>
      <c r="C444" t="s">
        <v>1828</v>
      </c>
      <c r="D444" t="s">
        <v>95</v>
      </c>
      <c r="E444" t="s">
        <v>2074</v>
      </c>
      <c r="F444">
        <v>17</v>
      </c>
      <c r="G444">
        <v>3</v>
      </c>
      <c r="H444">
        <v>1.8105009052504499E-3</v>
      </c>
      <c r="I444">
        <v>0.17647058823529399</v>
      </c>
      <c r="J444" s="14" t="str">
        <f>_xlfn.XLOOKUP(B444,CAD_PDV!A:A,CAD_PDV!B:B)</f>
        <v>AYRES E DEBONI LTDA - ME</v>
      </c>
      <c r="K444" s="14">
        <f>IF(IFERROR(_xlfn.XLOOKUP(B444,Planilha2!D:D,Planilha2!H:H),0)="SIM",1,0)</f>
        <v>0</v>
      </c>
      <c r="L444" s="14" t="str">
        <f>_xlfn.XLOOKUP(B444,CAD_PDV!A:A,CAD_PDV!C:C)</f>
        <v>RS</v>
      </c>
      <c r="M444" s="14" t="str">
        <f>IFERROR(_xlfn.XLOOKUP(B444,repete!A:A,repete!A:A),"-")</f>
        <v>-</v>
      </c>
    </row>
    <row r="445" spans="1:13" hidden="1">
      <c r="A445" s="1">
        <v>46054</v>
      </c>
      <c r="B445" t="s">
        <v>1463</v>
      </c>
      <c r="C445" t="s">
        <v>1464</v>
      </c>
      <c r="D445" t="s">
        <v>219</v>
      </c>
      <c r="E445" t="s">
        <v>54</v>
      </c>
      <c r="F445">
        <v>103</v>
      </c>
      <c r="G445">
        <v>3</v>
      </c>
      <c r="H445">
        <v>1.8105009052504499E-3</v>
      </c>
      <c r="I445">
        <v>2.9126213592233E-2</v>
      </c>
      <c r="J445" s="14" t="str">
        <f>_xlfn.XLOOKUP(B445,CAD_PDV!A:A,CAD_PDV!B:B)</f>
        <v>WCI CELULARES SERVICOS E TELECOMUNICACOES LTDA - EPP</v>
      </c>
      <c r="K445" s="14">
        <f>IF(IFERROR(_xlfn.XLOOKUP(B445,Planilha2!D:D,Planilha2!H:H),0)="SIM",1,0)</f>
        <v>0</v>
      </c>
      <c r="L445" s="14" t="str">
        <f>_xlfn.XLOOKUP(B445,CAD_PDV!A:A,CAD_PDV!C:C)</f>
        <v>SP2</v>
      </c>
      <c r="M445" s="14" t="str">
        <f>IFERROR(_xlfn.XLOOKUP(B445,repete!A:A,repete!A:A),"-")</f>
        <v>-</v>
      </c>
    </row>
    <row r="446" spans="1:13" hidden="1">
      <c r="A446" s="1">
        <v>46054</v>
      </c>
      <c r="B446" t="s">
        <v>1465</v>
      </c>
      <c r="C446" t="s">
        <v>1466</v>
      </c>
      <c r="D446" t="s">
        <v>119</v>
      </c>
      <c r="E446" t="s">
        <v>54</v>
      </c>
      <c r="F446">
        <v>30</v>
      </c>
      <c r="G446">
        <v>3</v>
      </c>
      <c r="H446">
        <v>1.8105009052504499E-3</v>
      </c>
      <c r="I446">
        <v>0.1</v>
      </c>
      <c r="J446" s="14" t="str">
        <f>_xlfn.XLOOKUP(B446,CAD_PDV!A:A,CAD_PDV!B:B)</f>
        <v>DOM BARRETO COMERCIAL LTDA - ME</v>
      </c>
      <c r="K446" s="14">
        <f>IF(IFERROR(_xlfn.XLOOKUP(B446,Planilha2!D:D,Planilha2!H:H),0)="SIM",1,0)</f>
        <v>0</v>
      </c>
      <c r="L446" s="14" t="str">
        <f>_xlfn.XLOOKUP(B446,CAD_PDV!A:A,CAD_PDV!C:C)</f>
        <v>SP2</v>
      </c>
      <c r="M446" s="14" t="str">
        <f>IFERROR(_xlfn.XLOOKUP(B446,repete!A:A,repete!A:A),"-")</f>
        <v>-</v>
      </c>
    </row>
    <row r="447" spans="1:13" hidden="1">
      <c r="A447" s="1">
        <v>46054</v>
      </c>
      <c r="B447" t="s">
        <v>1467</v>
      </c>
      <c r="C447" t="s">
        <v>1469</v>
      </c>
      <c r="D447" t="s">
        <v>232</v>
      </c>
      <c r="E447" t="s">
        <v>54</v>
      </c>
      <c r="F447">
        <v>31</v>
      </c>
      <c r="G447">
        <v>3</v>
      </c>
      <c r="H447">
        <v>1.8105009052504499E-3</v>
      </c>
      <c r="I447">
        <v>9.6774193548387094E-2</v>
      </c>
      <c r="J447" s="14" t="str">
        <f>_xlfn.XLOOKUP(B447,CAD_PDV!A:A,CAD_PDV!B:B)</f>
        <v>HS TELECOM</v>
      </c>
      <c r="K447" s="14">
        <f>IF(IFERROR(_xlfn.XLOOKUP(B447,Planilha2!D:D,Planilha2!H:H),0)="SIM",1,0)</f>
        <v>0</v>
      </c>
      <c r="L447" s="14" t="str">
        <f>_xlfn.XLOOKUP(B447,CAD_PDV!A:A,CAD_PDV!C:C)</f>
        <v>SP2</v>
      </c>
      <c r="M447" s="14" t="str">
        <f>IFERROR(_xlfn.XLOOKUP(B447,repete!A:A,repete!A:A),"-")</f>
        <v>-</v>
      </c>
    </row>
    <row r="448" spans="1:13" hidden="1">
      <c r="A448" s="1">
        <v>46054</v>
      </c>
      <c r="B448" t="s">
        <v>1203</v>
      </c>
      <c r="C448" t="s">
        <v>1204</v>
      </c>
      <c r="D448" t="s">
        <v>2072</v>
      </c>
      <c r="E448" t="s">
        <v>55</v>
      </c>
      <c r="F448">
        <v>34</v>
      </c>
      <c r="G448">
        <v>3</v>
      </c>
      <c r="H448">
        <v>1.8105009052504499E-3</v>
      </c>
      <c r="I448">
        <v>8.8235294117647106E-2</v>
      </c>
      <c r="J448" s="14" t="str">
        <f>_xlfn.XLOOKUP(B448,CAD_PDV!A:A,CAD_PDV!B:B)</f>
        <v>MEXCELL COMERCIO E SERVICOS DE TELECOMUNICACOES LTDA</v>
      </c>
      <c r="K448" s="14">
        <f>IF(IFERROR(_xlfn.XLOOKUP(B448,Planilha2!D:D,Planilha2!H:H),0)="SIM",1,0)</f>
        <v>0</v>
      </c>
      <c r="L448" s="14" t="str">
        <f>_xlfn.XLOOKUP(B448,CAD_PDV!A:A,CAD_PDV!C:C)</f>
        <v>RJ/ES</v>
      </c>
      <c r="M448" s="14" t="str">
        <f>IFERROR(_xlfn.XLOOKUP(B448,repete!A:A,repete!A:A),"-")</f>
        <v>-</v>
      </c>
    </row>
    <row r="449" spans="1:13" hidden="1">
      <c r="A449" s="1">
        <v>46054</v>
      </c>
      <c r="B449" t="s">
        <v>1506</v>
      </c>
      <c r="C449" t="s">
        <v>1507</v>
      </c>
      <c r="D449" t="s">
        <v>132</v>
      </c>
      <c r="E449" t="s">
        <v>54</v>
      </c>
      <c r="F449">
        <v>42</v>
      </c>
      <c r="G449">
        <v>3</v>
      </c>
      <c r="H449">
        <v>1.8105009052504499E-3</v>
      </c>
      <c r="I449">
        <v>7.1428571428571397E-2</v>
      </c>
      <c r="J449" s="14" t="str">
        <f>_xlfn.XLOOKUP(B449,CAD_PDV!A:A,CAD_PDV!B:B)</f>
        <v>FLEX CELL</v>
      </c>
      <c r="K449" s="14">
        <f>IF(IFERROR(_xlfn.XLOOKUP(B449,Planilha2!D:D,Planilha2!H:H),0)="SIM",1,0)</f>
        <v>0</v>
      </c>
      <c r="L449" s="14" t="str">
        <f>_xlfn.XLOOKUP(B449,CAD_PDV!A:A,CAD_PDV!C:C)</f>
        <v>SP2</v>
      </c>
      <c r="M449" s="14" t="str">
        <f>IFERROR(_xlfn.XLOOKUP(B449,repete!A:A,repete!A:A),"-")</f>
        <v>-</v>
      </c>
    </row>
    <row r="450" spans="1:13" hidden="1">
      <c r="A450" s="1">
        <v>46054</v>
      </c>
      <c r="B450" t="s">
        <v>746</v>
      </c>
      <c r="C450" t="s">
        <v>610</v>
      </c>
      <c r="D450" t="s">
        <v>224</v>
      </c>
      <c r="E450" t="s">
        <v>59</v>
      </c>
      <c r="F450">
        <v>44</v>
      </c>
      <c r="G450">
        <v>3</v>
      </c>
      <c r="H450">
        <v>1.8105009052504499E-3</v>
      </c>
      <c r="I450">
        <v>6.8181818181818205E-2</v>
      </c>
      <c r="J450" s="14" t="str">
        <f>_xlfn.XLOOKUP(B450,CAD_PDV!A:A,CAD_PDV!B:B)</f>
        <v>CELNET COMERCIO E SERVICOS DE TELEFONIA LTDA ME</v>
      </c>
      <c r="K450" s="14">
        <f>IF(IFERROR(_xlfn.XLOOKUP(B450,Planilha2!D:D,Planilha2!H:H),0)="SIM",1,0)</f>
        <v>0</v>
      </c>
      <c r="L450" s="14" t="str">
        <f>_xlfn.XLOOKUP(B450,CAD_PDV!A:A,CAD_PDV!C:C)</f>
        <v>CO</v>
      </c>
      <c r="M450" s="14" t="str">
        <f>IFERROR(_xlfn.XLOOKUP(B450,repete!A:A,repete!A:A),"-")</f>
        <v>-</v>
      </c>
    </row>
    <row r="451" spans="1:13" hidden="1">
      <c r="A451" s="1">
        <v>46054</v>
      </c>
      <c r="B451" t="s">
        <v>1377</v>
      </c>
      <c r="C451" t="s">
        <v>1375</v>
      </c>
      <c r="D451" t="s">
        <v>229</v>
      </c>
      <c r="E451" t="s">
        <v>53</v>
      </c>
      <c r="F451">
        <v>109</v>
      </c>
      <c r="G451">
        <v>3</v>
      </c>
      <c r="H451">
        <v>1.8105009052504499E-3</v>
      </c>
      <c r="I451">
        <v>2.7522935779816501E-2</v>
      </c>
      <c r="J451" s="14" t="str">
        <f>_xlfn.XLOOKUP(B451,CAD_PDV!A:A,CAD_PDV!B:B)</f>
        <v>FW TELEFONIA LTDA - EPP</v>
      </c>
      <c r="K451" s="14">
        <f>IF(IFERROR(_xlfn.XLOOKUP(B451,Planilha2!D:D,Planilha2!H:H),0)="SIM",1,0)</f>
        <v>0</v>
      </c>
      <c r="L451" s="14" t="str">
        <f>_xlfn.XLOOKUP(B451,CAD_PDV!A:A,CAD_PDV!C:C)</f>
        <v>SP1</v>
      </c>
      <c r="M451" s="14" t="str">
        <f>IFERROR(_xlfn.XLOOKUP(B451,repete!A:A,repete!A:A),"-")</f>
        <v>6J3J</v>
      </c>
    </row>
    <row r="452" spans="1:13" hidden="1">
      <c r="A452" s="1">
        <v>46054</v>
      </c>
      <c r="B452" t="s">
        <v>2061</v>
      </c>
      <c r="C452" t="s">
        <v>2062</v>
      </c>
      <c r="D452" t="s">
        <v>193</v>
      </c>
      <c r="E452" t="s">
        <v>2074</v>
      </c>
      <c r="F452">
        <v>5</v>
      </c>
      <c r="G452">
        <v>3</v>
      </c>
      <c r="H452">
        <v>1.8105009052504499E-3</v>
      </c>
      <c r="I452">
        <v>0.6</v>
      </c>
      <c r="J452" s="14" t="str">
        <f>_xlfn.XLOOKUP(B452,CAD_PDV!A:A,CAD_PDV!B:B)</f>
        <v>S D COMERCIO DE CELULARES LTDA - ME</v>
      </c>
      <c r="K452" s="14">
        <f>IF(IFERROR(_xlfn.XLOOKUP(B452,Planilha2!D:D,Planilha2!H:H),0)="SIM",1,0)</f>
        <v>0</v>
      </c>
      <c r="L452" s="14" t="str">
        <f>_xlfn.XLOOKUP(B452,CAD_PDV!A:A,CAD_PDV!C:C)</f>
        <v>RS</v>
      </c>
      <c r="M452" s="14" t="str">
        <f>IFERROR(_xlfn.XLOOKUP(B452,repete!A:A,repete!A:A),"-")</f>
        <v>-</v>
      </c>
    </row>
    <row r="453" spans="1:13" hidden="1">
      <c r="A453" s="1">
        <v>46054</v>
      </c>
      <c r="B453" t="s">
        <v>1531</v>
      </c>
      <c r="C453" t="s">
        <v>1441</v>
      </c>
      <c r="D453" t="s">
        <v>132</v>
      </c>
      <c r="E453" t="s">
        <v>54</v>
      </c>
      <c r="F453">
        <v>61</v>
      </c>
      <c r="G453">
        <v>3</v>
      </c>
      <c r="H453">
        <v>1.8105009052504499E-3</v>
      </c>
      <c r="I453">
        <v>4.91803278688525E-2</v>
      </c>
      <c r="J453" s="14" t="str">
        <f>_xlfn.XLOOKUP(B453,CAD_PDV!A:A,CAD_PDV!B:B)</f>
        <v>FLEX CELL</v>
      </c>
      <c r="K453" s="14">
        <f>IF(IFERROR(_xlfn.XLOOKUP(B453,Planilha2!D:D,Planilha2!H:H),0)="SIM",1,0)</f>
        <v>0</v>
      </c>
      <c r="L453" s="14" t="str">
        <f>_xlfn.XLOOKUP(B453,CAD_PDV!A:A,CAD_PDV!C:C)</f>
        <v>SP2</v>
      </c>
      <c r="M453" s="14" t="str">
        <f>IFERROR(_xlfn.XLOOKUP(B453,repete!A:A,repete!A:A),"-")</f>
        <v>-</v>
      </c>
    </row>
    <row r="454" spans="1:13" hidden="1">
      <c r="A454" s="1">
        <v>46054</v>
      </c>
      <c r="B454" t="s">
        <v>854</v>
      </c>
      <c r="C454" t="s">
        <v>855</v>
      </c>
      <c r="D454" t="s">
        <v>2073</v>
      </c>
      <c r="E454" t="s">
        <v>59</v>
      </c>
      <c r="F454">
        <v>8</v>
      </c>
      <c r="G454">
        <v>3</v>
      </c>
      <c r="H454">
        <v>1.8105009052504499E-3</v>
      </c>
      <c r="I454">
        <v>0.375</v>
      </c>
      <c r="J454" s="14" t="str">
        <f>_xlfn.XLOOKUP(B454,CAD_PDV!A:A,CAD_PDV!B:B)</f>
        <v xml:space="preserve">CONTACOM COMERCIO DE APARELHOS ELETRONICOS LTDA </v>
      </c>
      <c r="K454" s="14">
        <f>IF(IFERROR(_xlfn.XLOOKUP(B454,Planilha2!D:D,Planilha2!H:H),0)="SIM",1,0)</f>
        <v>0</v>
      </c>
      <c r="L454" s="14" t="str">
        <f>_xlfn.XLOOKUP(B454,CAD_PDV!A:A,CAD_PDV!C:C)</f>
        <v>CO</v>
      </c>
      <c r="M454" s="14" t="str">
        <f>IFERROR(_xlfn.XLOOKUP(B454,repete!A:A,repete!A:A),"-")</f>
        <v>-</v>
      </c>
    </row>
    <row r="455" spans="1:13" hidden="1">
      <c r="A455" s="1">
        <v>46054</v>
      </c>
      <c r="B455" t="s">
        <v>1212</v>
      </c>
      <c r="C455" t="s">
        <v>1142</v>
      </c>
      <c r="D455" t="s">
        <v>237</v>
      </c>
      <c r="E455" t="s">
        <v>55</v>
      </c>
      <c r="F455">
        <v>37</v>
      </c>
      <c r="G455">
        <v>3</v>
      </c>
      <c r="H455">
        <v>1.8105009052504499E-3</v>
      </c>
      <c r="I455">
        <v>8.1081081081081099E-2</v>
      </c>
      <c r="J455" s="14" t="str">
        <f>_xlfn.XLOOKUP(B455,CAD_PDV!A:A,CAD_PDV!B:B)</f>
        <v>PONTO CERTO COMERCIO E COMUNICAÇÕES LTDA</v>
      </c>
      <c r="K455" s="14">
        <f>IF(IFERROR(_xlfn.XLOOKUP(B455,Planilha2!D:D,Planilha2!H:H),0)="SIM",1,0)</f>
        <v>0</v>
      </c>
      <c r="L455" s="14" t="str">
        <f>_xlfn.XLOOKUP(B455,CAD_PDV!A:A,CAD_PDV!C:C)</f>
        <v>RJ/ES</v>
      </c>
      <c r="M455" s="14" t="str">
        <f>IFERROR(_xlfn.XLOOKUP(B455,repete!A:A,repete!A:A),"-")</f>
        <v>-</v>
      </c>
    </row>
    <row r="456" spans="1:13" hidden="1">
      <c r="A456" s="1">
        <v>46054</v>
      </c>
      <c r="B456" t="s">
        <v>846</v>
      </c>
      <c r="C456" t="s">
        <v>732</v>
      </c>
      <c r="D456" t="s">
        <v>221</v>
      </c>
      <c r="E456" t="s">
        <v>59</v>
      </c>
      <c r="F456">
        <v>100</v>
      </c>
      <c r="G456">
        <v>3</v>
      </c>
      <c r="H456">
        <v>1.8105009052504499E-3</v>
      </c>
      <c r="I456">
        <v>0.03</v>
      </c>
      <c r="J456" s="14" t="str">
        <f>_xlfn.XLOOKUP(B456,CAD_PDV!A:A,CAD_PDV!B:B)</f>
        <v>AMERICOM COMERCIO DE APARELHOS ELETRONICOS LTDA - EPP</v>
      </c>
      <c r="K456" s="14">
        <f>IF(IFERROR(_xlfn.XLOOKUP(B456,Planilha2!D:D,Planilha2!H:H),0)="SIM",1,0)</f>
        <v>0</v>
      </c>
      <c r="L456" s="14" t="str">
        <f>_xlfn.XLOOKUP(B456,CAD_PDV!A:A,CAD_PDV!C:C)</f>
        <v>CO</v>
      </c>
      <c r="M456" s="14" t="str">
        <f>IFERROR(_xlfn.XLOOKUP(B456,repete!A:A,repete!A:A),"-")</f>
        <v>-</v>
      </c>
    </row>
    <row r="457" spans="1:13" hidden="1">
      <c r="A457" s="1">
        <v>46054</v>
      </c>
      <c r="B457" t="s">
        <v>880</v>
      </c>
      <c r="C457" t="s">
        <v>875</v>
      </c>
      <c r="D457" t="s">
        <v>239</v>
      </c>
      <c r="E457" t="s">
        <v>59</v>
      </c>
      <c r="F457">
        <v>133</v>
      </c>
      <c r="G457">
        <v>3</v>
      </c>
      <c r="H457">
        <v>1.8105009052504499E-3</v>
      </c>
      <c r="I457">
        <v>2.2556390977443601E-2</v>
      </c>
      <c r="J457" s="14" t="str">
        <f>_xlfn.XLOOKUP(B457,CAD_PDV!A:A,CAD_PDV!B:B)</f>
        <v>TELECELL TELEFONIA LTDA - ME</v>
      </c>
      <c r="K457" s="14">
        <f>IF(IFERROR(_xlfn.XLOOKUP(B457,Planilha2!D:D,Planilha2!H:H),0)="SIM",1,0)</f>
        <v>0</v>
      </c>
      <c r="L457" s="14" t="str">
        <f>_xlfn.XLOOKUP(B457,CAD_PDV!A:A,CAD_PDV!C:C)</f>
        <v>CO</v>
      </c>
      <c r="M457" s="14" t="str">
        <f>IFERROR(_xlfn.XLOOKUP(B457,repete!A:A,repete!A:A),"-")</f>
        <v>-</v>
      </c>
    </row>
    <row r="458" spans="1:13" hidden="1">
      <c r="A458" s="1">
        <v>46054</v>
      </c>
      <c r="B458" t="s">
        <v>881</v>
      </c>
      <c r="C458" t="s">
        <v>873</v>
      </c>
      <c r="D458" t="s">
        <v>239</v>
      </c>
      <c r="E458" t="s">
        <v>59</v>
      </c>
      <c r="F458">
        <v>81</v>
      </c>
      <c r="G458">
        <v>3</v>
      </c>
      <c r="H458">
        <v>1.8105009052504499E-3</v>
      </c>
      <c r="I458">
        <v>3.7037037037037E-2</v>
      </c>
      <c r="J458" s="14" t="str">
        <f>_xlfn.XLOOKUP(B458,CAD_PDV!A:A,CAD_PDV!B:B)</f>
        <v>TELECELL TELEFONIA LTDA - ME</v>
      </c>
      <c r="K458" s="14">
        <f>IF(IFERROR(_xlfn.XLOOKUP(B458,Planilha2!D:D,Planilha2!H:H),0)="SIM",1,0)</f>
        <v>0</v>
      </c>
      <c r="L458" s="14" t="str">
        <f>_xlfn.XLOOKUP(B458,CAD_PDV!A:A,CAD_PDV!C:C)</f>
        <v>CO</v>
      </c>
      <c r="M458" s="14" t="str">
        <f>IFERROR(_xlfn.XLOOKUP(B458,repete!A:A,repete!A:A),"-")</f>
        <v>-</v>
      </c>
    </row>
    <row r="459" spans="1:13" hidden="1">
      <c r="A459" s="1">
        <v>46054</v>
      </c>
      <c r="B459" t="s">
        <v>1361</v>
      </c>
      <c r="C459" t="s">
        <v>1350</v>
      </c>
      <c r="D459" t="s">
        <v>132</v>
      </c>
      <c r="E459" t="s">
        <v>53</v>
      </c>
      <c r="F459">
        <v>22</v>
      </c>
      <c r="G459">
        <v>3</v>
      </c>
      <c r="H459">
        <v>1.8105009052504499E-3</v>
      </c>
      <c r="I459">
        <v>0.13636363636363599</v>
      </c>
      <c r="J459" s="14" t="str">
        <f>_xlfn.XLOOKUP(B459,CAD_PDV!A:A,CAD_PDV!B:B)</f>
        <v>FLEX CELL</v>
      </c>
      <c r="K459" s="14">
        <f>IF(IFERROR(_xlfn.XLOOKUP(B459,Planilha2!D:D,Planilha2!H:H),0)="SIM",1,0)</f>
        <v>0</v>
      </c>
      <c r="L459" s="14" t="str">
        <f>_xlfn.XLOOKUP(B459,CAD_PDV!A:A,CAD_PDV!C:C)</f>
        <v>SP1</v>
      </c>
      <c r="M459" s="14" t="str">
        <f>IFERROR(_xlfn.XLOOKUP(B459,repete!A:A,repete!A:A),"-")</f>
        <v>-</v>
      </c>
    </row>
    <row r="460" spans="1:13" hidden="1">
      <c r="A460" s="1">
        <v>46054</v>
      </c>
      <c r="B460" t="s">
        <v>656</v>
      </c>
      <c r="C460" t="s">
        <v>649</v>
      </c>
      <c r="D460" t="s">
        <v>239</v>
      </c>
      <c r="E460" t="s">
        <v>59</v>
      </c>
      <c r="F460">
        <v>62</v>
      </c>
      <c r="G460">
        <v>3</v>
      </c>
      <c r="H460">
        <v>1.8105009052504499E-3</v>
      </c>
      <c r="I460">
        <v>4.8387096774193498E-2</v>
      </c>
      <c r="J460" s="14" t="str">
        <f>_xlfn.XLOOKUP(B460,CAD_PDV!A:A,CAD_PDV!B:B)</f>
        <v>TELECELL TELEFONIA LTDA - ME</v>
      </c>
      <c r="K460" s="14">
        <f>IF(IFERROR(_xlfn.XLOOKUP(B460,Planilha2!D:D,Planilha2!H:H),0)="SIM",1,0)</f>
        <v>0</v>
      </c>
      <c r="L460" s="14" t="str">
        <f>_xlfn.XLOOKUP(B460,CAD_PDV!A:A,CAD_PDV!C:C)</f>
        <v>CO</v>
      </c>
      <c r="M460" s="14" t="str">
        <f>IFERROR(_xlfn.XLOOKUP(B460,repete!A:A,repete!A:A),"-")</f>
        <v>-</v>
      </c>
    </row>
    <row r="461" spans="1:13" hidden="1">
      <c r="A461" s="1">
        <v>46054</v>
      </c>
      <c r="B461" t="s">
        <v>1012</v>
      </c>
      <c r="C461" t="s">
        <v>1005</v>
      </c>
      <c r="D461" t="s">
        <v>232</v>
      </c>
      <c r="E461" t="s">
        <v>60</v>
      </c>
      <c r="F461">
        <v>55</v>
      </c>
      <c r="G461">
        <v>3</v>
      </c>
      <c r="H461">
        <v>1.8105009052504499E-3</v>
      </c>
      <c r="I461">
        <v>5.4545454545454501E-2</v>
      </c>
      <c r="J461" s="14" t="str">
        <f>_xlfn.XLOOKUP(B461,CAD_PDV!A:A,CAD_PDV!B:B)</f>
        <v>HS TELECOM</v>
      </c>
      <c r="K461" s="14">
        <f>IF(IFERROR(_xlfn.XLOOKUP(B461,Planilha2!D:D,Planilha2!H:H),0)="SIM",1,0)</f>
        <v>0</v>
      </c>
      <c r="L461" s="14" t="str">
        <f>_xlfn.XLOOKUP(B461,CAD_PDV!A:A,CAD_PDV!C:C)</f>
        <v>BA/SE</v>
      </c>
      <c r="M461" s="14" t="str">
        <f>IFERROR(_xlfn.XLOOKUP(B461,repete!A:A,repete!A:A),"-")</f>
        <v>FMBI</v>
      </c>
    </row>
    <row r="462" spans="1:13" hidden="1">
      <c r="A462" s="1">
        <v>46054</v>
      </c>
      <c r="B462" t="s">
        <v>657</v>
      </c>
      <c r="C462" t="s">
        <v>651</v>
      </c>
      <c r="D462" t="s">
        <v>239</v>
      </c>
      <c r="E462" t="s">
        <v>59</v>
      </c>
      <c r="F462">
        <v>56</v>
      </c>
      <c r="G462">
        <v>3</v>
      </c>
      <c r="H462">
        <v>1.8105009052504499E-3</v>
      </c>
      <c r="I462">
        <v>5.3571428571428603E-2</v>
      </c>
      <c r="J462" s="14" t="str">
        <f>_xlfn.XLOOKUP(B462,CAD_PDV!A:A,CAD_PDV!B:B)</f>
        <v>TELECELL TELEFONIA LTDA - ME</v>
      </c>
      <c r="K462" s="14">
        <f>IF(IFERROR(_xlfn.XLOOKUP(B462,Planilha2!D:D,Planilha2!H:H),0)="SIM",1,0)</f>
        <v>0</v>
      </c>
      <c r="L462" s="14" t="str">
        <f>_xlfn.XLOOKUP(B462,CAD_PDV!A:A,CAD_PDV!C:C)</f>
        <v>CO</v>
      </c>
      <c r="M462" s="14" t="str">
        <f>IFERROR(_xlfn.XLOOKUP(B462,repete!A:A,repete!A:A),"-")</f>
        <v>-</v>
      </c>
    </row>
    <row r="463" spans="1:13" hidden="1">
      <c r="A463" s="1">
        <v>46054</v>
      </c>
      <c r="B463" t="s">
        <v>352</v>
      </c>
      <c r="C463" t="s">
        <v>261</v>
      </c>
      <c r="D463" t="s">
        <v>238</v>
      </c>
      <c r="E463" t="s">
        <v>61</v>
      </c>
      <c r="F463">
        <v>82</v>
      </c>
      <c r="G463">
        <v>3</v>
      </c>
      <c r="H463">
        <v>1.8105009052504499E-3</v>
      </c>
      <c r="I463">
        <v>3.65853658536585E-2</v>
      </c>
      <c r="J463" s="14" t="str">
        <f>_xlfn.XLOOKUP(B463,CAD_PDV!A:A,CAD_PDV!B:B)</f>
        <v>R &amp; R HIPER COMERCIO LTDA</v>
      </c>
      <c r="K463" s="14">
        <f>IF(IFERROR(_xlfn.XLOOKUP(B463,Planilha2!D:D,Planilha2!H:H),0)="SIM",1,0)</f>
        <v>0</v>
      </c>
      <c r="L463" s="14" t="str">
        <f>_xlfn.XLOOKUP(B463,CAD_PDV!A:A,CAD_PDV!C:C)</f>
        <v>NE</v>
      </c>
      <c r="M463" s="14" t="str">
        <f>IFERROR(_xlfn.XLOOKUP(B463,repete!A:A,repete!A:A),"-")</f>
        <v>-</v>
      </c>
    </row>
    <row r="464" spans="1:13" hidden="1">
      <c r="A464" s="1">
        <v>46054</v>
      </c>
      <c r="B464" t="s">
        <v>1612</v>
      </c>
      <c r="C464" t="s">
        <v>1547</v>
      </c>
      <c r="D464" t="s">
        <v>132</v>
      </c>
      <c r="E464" t="s">
        <v>54</v>
      </c>
      <c r="F464">
        <v>80</v>
      </c>
      <c r="G464">
        <v>3</v>
      </c>
      <c r="H464">
        <v>1.8105009052504499E-3</v>
      </c>
      <c r="I464">
        <v>3.7499999999999999E-2</v>
      </c>
      <c r="J464" s="14" t="str">
        <f>_xlfn.XLOOKUP(B464,CAD_PDV!A:A,CAD_PDV!B:B)</f>
        <v>FLEX CELL</v>
      </c>
      <c r="K464" s="14">
        <f>IF(IFERROR(_xlfn.XLOOKUP(B464,Planilha2!D:D,Planilha2!H:H),0)="SIM",1,0)</f>
        <v>0</v>
      </c>
      <c r="L464" s="14" t="str">
        <f>_xlfn.XLOOKUP(B464,CAD_PDV!A:A,CAD_PDV!C:C)</f>
        <v>SP2</v>
      </c>
      <c r="M464" s="14" t="str">
        <f>IFERROR(_xlfn.XLOOKUP(B464,repete!A:A,repete!A:A),"-")</f>
        <v>-</v>
      </c>
    </row>
    <row r="465" spans="1:13" hidden="1">
      <c r="A465" s="1">
        <v>46054</v>
      </c>
      <c r="B465" t="s">
        <v>1282</v>
      </c>
      <c r="C465" t="s">
        <v>1283</v>
      </c>
      <c r="D465" t="s">
        <v>228</v>
      </c>
      <c r="E465" t="s">
        <v>55</v>
      </c>
      <c r="F465">
        <v>45</v>
      </c>
      <c r="G465">
        <v>3</v>
      </c>
      <c r="H465">
        <v>1.8105009052504499E-3</v>
      </c>
      <c r="I465">
        <v>6.6666666666666693E-2</v>
      </c>
      <c r="J465" s="14" t="str">
        <f>_xlfn.XLOOKUP(B465,CAD_PDV!A:A,CAD_PDV!B:B)</f>
        <v>FAJULUTI</v>
      </c>
      <c r="K465" s="14">
        <f>IF(IFERROR(_xlfn.XLOOKUP(B465,Planilha2!D:D,Planilha2!H:H),0)="SIM",1,0)</f>
        <v>0</v>
      </c>
      <c r="L465" s="14" t="str">
        <f>_xlfn.XLOOKUP(B465,CAD_PDV!A:A,CAD_PDV!C:C)</f>
        <v>RJ/ES</v>
      </c>
      <c r="M465" s="14" t="str">
        <f>IFERROR(_xlfn.XLOOKUP(B465,repete!A:A,repete!A:A),"-")</f>
        <v>-</v>
      </c>
    </row>
    <row r="466" spans="1:13" hidden="1">
      <c r="A466" s="1">
        <v>46054</v>
      </c>
      <c r="B466" t="s">
        <v>1378</v>
      </c>
      <c r="C466" t="s">
        <v>1308</v>
      </c>
      <c r="D466" t="s">
        <v>229</v>
      </c>
      <c r="E466" t="s">
        <v>53</v>
      </c>
      <c r="F466">
        <v>37</v>
      </c>
      <c r="G466">
        <v>3</v>
      </c>
      <c r="H466">
        <v>1.8105009052504499E-3</v>
      </c>
      <c r="I466">
        <v>8.1081081081081099E-2</v>
      </c>
      <c r="J466" s="14" t="str">
        <f>_xlfn.XLOOKUP(B466,CAD_PDV!A:A,CAD_PDV!B:B)</f>
        <v>FW TELEFONIA LTDA - EPP</v>
      </c>
      <c r="K466" s="14">
        <f>IF(IFERROR(_xlfn.XLOOKUP(B466,Planilha2!D:D,Planilha2!H:H),0)="SIM",1,0)</f>
        <v>0</v>
      </c>
      <c r="L466" s="14" t="str">
        <f>_xlfn.XLOOKUP(B466,CAD_PDV!A:A,CAD_PDV!C:C)</f>
        <v>SP1</v>
      </c>
      <c r="M466" s="14" t="str">
        <f>IFERROR(_xlfn.XLOOKUP(B466,repete!A:A,repete!A:A),"-")</f>
        <v>-</v>
      </c>
    </row>
    <row r="467" spans="1:13" hidden="1">
      <c r="A467" s="1">
        <v>46054</v>
      </c>
      <c r="B467" t="s">
        <v>1749</v>
      </c>
      <c r="C467" t="s">
        <v>1748</v>
      </c>
      <c r="D467" t="s">
        <v>190</v>
      </c>
      <c r="E467" t="s">
        <v>2074</v>
      </c>
      <c r="F467">
        <v>43</v>
      </c>
      <c r="G467">
        <v>3</v>
      </c>
      <c r="H467">
        <v>1.8105009052504499E-3</v>
      </c>
      <c r="I467">
        <v>6.9767441860465101E-2</v>
      </c>
      <c r="J467" s="14" t="str">
        <f>_xlfn.XLOOKUP(B467,CAD_PDV!A:A,CAD_PDV!B:B)</f>
        <v>RDJ TELECOMUNICACOES LTDA</v>
      </c>
      <c r="K467" s="14">
        <f>IF(IFERROR(_xlfn.XLOOKUP(B467,Planilha2!D:D,Planilha2!H:H),0)="SIM",1,0)</f>
        <v>0</v>
      </c>
      <c r="L467" s="14" t="str">
        <f>_xlfn.XLOOKUP(B467,CAD_PDV!A:A,CAD_PDV!C:C)</f>
        <v>PR/SC</v>
      </c>
      <c r="M467" s="14" t="str">
        <f>IFERROR(_xlfn.XLOOKUP(B467,repete!A:A,repete!A:A),"-")</f>
        <v>-</v>
      </c>
    </row>
    <row r="468" spans="1:13" hidden="1">
      <c r="A468" s="1">
        <v>46054</v>
      </c>
      <c r="B468" t="s">
        <v>1713</v>
      </c>
      <c r="C468" t="s">
        <v>1540</v>
      </c>
      <c r="D468" t="s">
        <v>232</v>
      </c>
      <c r="E468" t="s">
        <v>54</v>
      </c>
      <c r="F468">
        <v>69</v>
      </c>
      <c r="G468">
        <v>3</v>
      </c>
      <c r="H468">
        <v>1.8105009052504499E-3</v>
      </c>
      <c r="I468">
        <v>4.3478260869565202E-2</v>
      </c>
      <c r="J468" s="14" t="str">
        <f>_xlfn.XLOOKUP(B468,CAD_PDV!A:A,CAD_PDV!B:B)</f>
        <v>HS TELECOM</v>
      </c>
      <c r="K468" s="14">
        <f>IF(IFERROR(_xlfn.XLOOKUP(B468,Planilha2!D:D,Planilha2!H:H),0)="SIM",1,0)</f>
        <v>0</v>
      </c>
      <c r="L468" s="14" t="str">
        <f>_xlfn.XLOOKUP(B468,CAD_PDV!A:A,CAD_PDV!C:C)</f>
        <v>SP2</v>
      </c>
      <c r="M468" s="14" t="str">
        <f>IFERROR(_xlfn.XLOOKUP(B468,repete!A:A,repete!A:A),"-")</f>
        <v>-</v>
      </c>
    </row>
    <row r="469" spans="1:13" hidden="1">
      <c r="A469" s="1">
        <v>46054</v>
      </c>
      <c r="B469" t="s">
        <v>1838</v>
      </c>
      <c r="C469" t="s">
        <v>1839</v>
      </c>
      <c r="D469" t="s">
        <v>124</v>
      </c>
      <c r="E469" t="s">
        <v>2074</v>
      </c>
      <c r="F469">
        <v>26</v>
      </c>
      <c r="G469">
        <v>3</v>
      </c>
      <c r="H469">
        <v>1.8105009052504499E-3</v>
      </c>
      <c r="I469">
        <v>0.115384615384615</v>
      </c>
      <c r="J469" s="14" t="str">
        <f>_xlfn.XLOOKUP(B469,CAD_PDV!A:A,CAD_PDV!B:B)</f>
        <v>EDUARDO JUNQUEIRA DA SILVEIRA ADMIN</v>
      </c>
      <c r="K469" s="14">
        <f>IF(IFERROR(_xlfn.XLOOKUP(B469,Planilha2!D:D,Planilha2!H:H),0)="SIM",1,0)</f>
        <v>0</v>
      </c>
      <c r="L469" s="14" t="str">
        <f>_xlfn.XLOOKUP(B469,CAD_PDV!A:A,CAD_PDV!C:C)</f>
        <v>RS</v>
      </c>
      <c r="M469" s="14" t="str">
        <f>IFERROR(_xlfn.XLOOKUP(B469,repete!A:A,repete!A:A),"-")</f>
        <v>-</v>
      </c>
    </row>
    <row r="470" spans="1:13" hidden="1">
      <c r="A470" s="1">
        <v>46054</v>
      </c>
      <c r="B470" t="s">
        <v>721</v>
      </c>
      <c r="C470" t="s">
        <v>723</v>
      </c>
      <c r="D470" t="s">
        <v>239</v>
      </c>
      <c r="E470" t="s">
        <v>59</v>
      </c>
      <c r="F470">
        <v>147</v>
      </c>
      <c r="G470">
        <v>3</v>
      </c>
      <c r="H470">
        <v>1.8105009052504499E-3</v>
      </c>
      <c r="I470">
        <v>2.04081632653061E-2</v>
      </c>
      <c r="J470" s="14" t="str">
        <f>_xlfn.XLOOKUP(B470,CAD_PDV!A:A,CAD_PDV!B:B)</f>
        <v>TELECELL TELEFONIA LTDA - ME</v>
      </c>
      <c r="K470" s="14">
        <f>IF(IFERROR(_xlfn.XLOOKUP(B470,Planilha2!D:D,Planilha2!H:H),0)="SIM",1,0)</f>
        <v>0</v>
      </c>
      <c r="L470" s="14" t="str">
        <f>_xlfn.XLOOKUP(B470,CAD_PDV!A:A,CAD_PDV!C:C)</f>
        <v>CO</v>
      </c>
      <c r="M470" s="14" t="str">
        <f>IFERROR(_xlfn.XLOOKUP(B470,repete!A:A,repete!A:A),"-")</f>
        <v>-</v>
      </c>
    </row>
    <row r="471" spans="1:13" hidden="1">
      <c r="A471" s="1">
        <v>46054</v>
      </c>
      <c r="B471" t="s">
        <v>1736</v>
      </c>
      <c r="C471" t="s">
        <v>1523</v>
      </c>
      <c r="D471" t="s">
        <v>232</v>
      </c>
      <c r="E471" t="s">
        <v>54</v>
      </c>
      <c r="F471">
        <v>68</v>
      </c>
      <c r="G471">
        <v>3</v>
      </c>
      <c r="H471">
        <v>1.8105009052504499E-3</v>
      </c>
      <c r="I471">
        <v>4.4117647058823498E-2</v>
      </c>
      <c r="J471" s="14" t="str">
        <f>_xlfn.XLOOKUP(B471,CAD_PDV!A:A,CAD_PDV!B:B)</f>
        <v>HS TELECOM</v>
      </c>
      <c r="K471" s="14">
        <f>IF(IFERROR(_xlfn.XLOOKUP(B471,Planilha2!D:D,Planilha2!H:H),0)="SIM",1,0)</f>
        <v>0</v>
      </c>
      <c r="L471" s="14" t="str">
        <f>_xlfn.XLOOKUP(B471,CAD_PDV!A:A,CAD_PDV!C:C)</f>
        <v>SP2</v>
      </c>
      <c r="M471" s="14" t="str">
        <f>IFERROR(_xlfn.XLOOKUP(B471,repete!A:A,repete!A:A),"-")</f>
        <v>-</v>
      </c>
    </row>
    <row r="472" spans="1:13" hidden="1">
      <c r="A472" s="1">
        <v>46054</v>
      </c>
      <c r="B472" t="s">
        <v>1410</v>
      </c>
      <c r="C472" t="s">
        <v>1413</v>
      </c>
      <c r="D472" t="s">
        <v>220</v>
      </c>
      <c r="E472" t="s">
        <v>54</v>
      </c>
      <c r="F472">
        <v>41</v>
      </c>
      <c r="G472">
        <v>2</v>
      </c>
      <c r="H472">
        <v>1.2070006035003E-3</v>
      </c>
      <c r="I472">
        <v>4.8780487804878099E-2</v>
      </c>
      <c r="J472" s="14" t="str">
        <f>_xlfn.XLOOKUP(B472,CAD_PDV!A:A,CAD_PDV!B:B)</f>
        <v>ADESIENE NUNES MACHADO - ME</v>
      </c>
      <c r="K472" s="14">
        <f>IF(IFERROR(_xlfn.XLOOKUP(B472,Planilha2!D:D,Planilha2!H:H),0)="SIM",1,0)</f>
        <v>0</v>
      </c>
      <c r="L472" s="14" t="str">
        <f>_xlfn.XLOOKUP(B472,CAD_PDV!A:A,CAD_PDV!C:C)</f>
        <v>SP2</v>
      </c>
      <c r="M472" s="14" t="str">
        <f>IFERROR(_xlfn.XLOOKUP(B472,repete!A:A,repete!A:A),"-")</f>
        <v>-</v>
      </c>
    </row>
    <row r="473" spans="1:13" hidden="1">
      <c r="A473" s="1">
        <v>46054</v>
      </c>
      <c r="B473" t="s">
        <v>710</v>
      </c>
      <c r="C473" t="s">
        <v>711</v>
      </c>
      <c r="D473" t="s">
        <v>239</v>
      </c>
      <c r="E473" t="s">
        <v>59</v>
      </c>
      <c r="F473">
        <v>33</v>
      </c>
      <c r="G473">
        <v>2</v>
      </c>
      <c r="H473">
        <v>1.2070006035003E-3</v>
      </c>
      <c r="I473">
        <v>6.0606060606060601E-2</v>
      </c>
      <c r="J473" s="14" t="str">
        <f>_xlfn.XLOOKUP(B473,CAD_PDV!A:A,CAD_PDV!B:B)</f>
        <v>TELECELL TELEFONIA LTDA - ME</v>
      </c>
      <c r="K473" s="14">
        <f>IF(IFERROR(_xlfn.XLOOKUP(B473,Planilha2!D:D,Planilha2!H:H),0)="SIM",1,0)</f>
        <v>0</v>
      </c>
      <c r="L473" s="14" t="str">
        <f>_xlfn.XLOOKUP(B473,CAD_PDV!A:A,CAD_PDV!C:C)</f>
        <v>CO</v>
      </c>
      <c r="M473" s="14" t="str">
        <f>IFERROR(_xlfn.XLOOKUP(B473,repete!A:A,repete!A:A),"-")</f>
        <v>-</v>
      </c>
    </row>
    <row r="474" spans="1:13" hidden="1">
      <c r="A474" s="1">
        <v>46054</v>
      </c>
      <c r="B474" t="s">
        <v>1094</v>
      </c>
      <c r="C474" t="s">
        <v>1075</v>
      </c>
      <c r="D474" t="s">
        <v>160</v>
      </c>
      <c r="E474" t="s">
        <v>62</v>
      </c>
      <c r="F474">
        <v>57</v>
      </c>
      <c r="G474">
        <v>2</v>
      </c>
      <c r="H474">
        <v>1.2070006035003E-3</v>
      </c>
      <c r="I474">
        <v>3.5087719298245598E-2</v>
      </c>
      <c r="J474" s="14" t="str">
        <f>_xlfn.XLOOKUP(B474,CAD_PDV!A:A,CAD_PDV!B:B)</f>
        <v>M R BARROSO PEREIRA EIRELI</v>
      </c>
      <c r="K474" s="14">
        <f>IF(IFERROR(_xlfn.XLOOKUP(B474,Planilha2!D:D,Planilha2!H:H),0)="SIM",1,0)</f>
        <v>0</v>
      </c>
      <c r="L474" s="14" t="str">
        <f>_xlfn.XLOOKUP(B474,CAD_PDV!A:A,CAD_PDV!C:C)</f>
        <v>NO</v>
      </c>
      <c r="M474" s="14" t="str">
        <f>IFERROR(_xlfn.XLOOKUP(B474,repete!A:A,repete!A:A),"-")</f>
        <v>-</v>
      </c>
    </row>
    <row r="475" spans="1:13" hidden="1">
      <c r="A475" s="1">
        <v>46054</v>
      </c>
      <c r="B475" t="s">
        <v>1976</v>
      </c>
      <c r="C475" t="s">
        <v>1978</v>
      </c>
      <c r="D475" t="s">
        <v>97</v>
      </c>
      <c r="E475" t="s">
        <v>2074</v>
      </c>
      <c r="F475">
        <v>28</v>
      </c>
      <c r="G475">
        <v>2</v>
      </c>
      <c r="H475">
        <v>1.2070006035003E-3</v>
      </c>
      <c r="I475">
        <v>7.1428571428571397E-2</v>
      </c>
      <c r="J475" s="14" t="str">
        <f>_xlfn.XLOOKUP(B475,CAD_PDV!A:A,CAD_PDV!B:B)</f>
        <v>BANDEIRA</v>
      </c>
      <c r="K475" s="14">
        <f>IF(IFERROR(_xlfn.XLOOKUP(B475,Planilha2!D:D,Planilha2!H:H),0)="SIM",1,0)</f>
        <v>0</v>
      </c>
      <c r="L475" s="14" t="str">
        <f>_xlfn.XLOOKUP(B475,CAD_PDV!A:A,CAD_PDV!C:C)</f>
        <v>PR/SC</v>
      </c>
      <c r="M475" s="14" t="str">
        <f>IFERROR(_xlfn.XLOOKUP(B475,repete!A:A,repete!A:A),"-")</f>
        <v>-</v>
      </c>
    </row>
    <row r="476" spans="1:13" hidden="1">
      <c r="A476" s="1">
        <v>46054</v>
      </c>
      <c r="B476" t="s">
        <v>1343</v>
      </c>
      <c r="C476" t="s">
        <v>1344</v>
      </c>
      <c r="D476" t="s">
        <v>229</v>
      </c>
      <c r="E476" t="s">
        <v>53</v>
      </c>
      <c r="F476">
        <v>20</v>
      </c>
      <c r="G476">
        <v>2</v>
      </c>
      <c r="H476">
        <v>1.2070006035003E-3</v>
      </c>
      <c r="I476">
        <v>0.1</v>
      </c>
      <c r="J476" s="14" t="str">
        <f>_xlfn.XLOOKUP(B476,CAD_PDV!A:A,CAD_PDV!B:B)</f>
        <v>FW TELEFONIA LTDA - EPP</v>
      </c>
      <c r="K476" s="14">
        <f>IF(IFERROR(_xlfn.XLOOKUP(B476,Planilha2!D:D,Planilha2!H:H),0)="SIM",1,0)</f>
        <v>0</v>
      </c>
      <c r="L476" s="14" t="str">
        <f>_xlfn.XLOOKUP(B476,CAD_PDV!A:A,CAD_PDV!C:C)</f>
        <v>SP1</v>
      </c>
      <c r="M476" s="14" t="str">
        <f>IFERROR(_xlfn.XLOOKUP(B476,repete!A:A,repete!A:A),"-")</f>
        <v>-</v>
      </c>
    </row>
    <row r="477" spans="1:13" hidden="1">
      <c r="A477" s="1">
        <v>46054</v>
      </c>
      <c r="B477" t="s">
        <v>975</v>
      </c>
      <c r="C477" t="s">
        <v>976</v>
      </c>
      <c r="D477" t="s">
        <v>232</v>
      </c>
      <c r="E477" t="s">
        <v>60</v>
      </c>
      <c r="F477">
        <v>68</v>
      </c>
      <c r="G477">
        <v>2</v>
      </c>
      <c r="H477">
        <v>1.2070006035003E-3</v>
      </c>
      <c r="I477">
        <v>2.9411764705882401E-2</v>
      </c>
      <c r="J477" s="14" t="str">
        <f>_xlfn.XLOOKUP(B477,CAD_PDV!A:A,CAD_PDV!B:B)</f>
        <v>HS TELECOM</v>
      </c>
      <c r="K477" s="14">
        <f>IF(IFERROR(_xlfn.XLOOKUP(B477,Planilha2!D:D,Planilha2!H:H),0)="SIM",1,0)</f>
        <v>0</v>
      </c>
      <c r="L477" s="14" t="str">
        <f>_xlfn.XLOOKUP(B477,CAD_PDV!A:A,CAD_PDV!C:C)</f>
        <v>BA/SE</v>
      </c>
      <c r="M477" s="14" t="str">
        <f>IFERROR(_xlfn.XLOOKUP(B477,repete!A:A,repete!A:A),"-")</f>
        <v>-</v>
      </c>
    </row>
    <row r="478" spans="1:13" hidden="1">
      <c r="A478" s="1">
        <v>46054</v>
      </c>
      <c r="B478" t="s">
        <v>870</v>
      </c>
      <c r="C478" t="s">
        <v>871</v>
      </c>
      <c r="D478" t="s">
        <v>224</v>
      </c>
      <c r="E478" t="s">
        <v>59</v>
      </c>
      <c r="F478">
        <v>109</v>
      </c>
      <c r="G478">
        <v>2</v>
      </c>
      <c r="H478">
        <v>1.2070006035003E-3</v>
      </c>
      <c r="I478">
        <v>1.8348623853211E-2</v>
      </c>
      <c r="J478" s="14" t="str">
        <f>_xlfn.XLOOKUP(B478,CAD_PDV!A:A,CAD_PDV!B:B)</f>
        <v>CELNET COMERCIO E SERVICOS DE TELEFONIA LTDA ME</v>
      </c>
      <c r="K478" s="14">
        <f>IF(IFERROR(_xlfn.XLOOKUP(B478,Planilha2!D:D,Planilha2!H:H),0)="SIM",1,0)</f>
        <v>0</v>
      </c>
      <c r="L478" s="14" t="str">
        <f>_xlfn.XLOOKUP(B478,CAD_PDV!A:A,CAD_PDV!C:C)</f>
        <v>CO</v>
      </c>
      <c r="M478" s="14" t="str">
        <f>IFERROR(_xlfn.XLOOKUP(B478,repete!A:A,repete!A:A),"-")</f>
        <v>-</v>
      </c>
    </row>
    <row r="479" spans="1:13" hidden="1">
      <c r="A479" s="1">
        <v>46054</v>
      </c>
      <c r="B479" t="s">
        <v>874</v>
      </c>
      <c r="C479" t="s">
        <v>875</v>
      </c>
      <c r="D479" t="s">
        <v>239</v>
      </c>
      <c r="E479" t="s">
        <v>59</v>
      </c>
      <c r="F479">
        <v>66</v>
      </c>
      <c r="G479">
        <v>2</v>
      </c>
      <c r="H479">
        <v>1.2070006035003E-3</v>
      </c>
      <c r="I479">
        <v>3.03030303030303E-2</v>
      </c>
      <c r="J479" s="14" t="str">
        <f>_xlfn.XLOOKUP(B479,CAD_PDV!A:A,CAD_PDV!B:B)</f>
        <v>TELECELL TELEFONIA LTDA - ME</v>
      </c>
      <c r="K479" s="14">
        <f>IF(IFERROR(_xlfn.XLOOKUP(B479,Planilha2!D:D,Planilha2!H:H),0)="SIM",1,0)</f>
        <v>0</v>
      </c>
      <c r="L479" s="14" t="str">
        <f>_xlfn.XLOOKUP(B479,CAD_PDV!A:A,CAD_PDV!C:C)</f>
        <v>CO</v>
      </c>
      <c r="M479" s="14" t="str">
        <f>IFERROR(_xlfn.XLOOKUP(B479,repete!A:A,repete!A:A),"-")</f>
        <v>-</v>
      </c>
    </row>
    <row r="480" spans="1:13" hidden="1">
      <c r="A480" s="1">
        <v>46054</v>
      </c>
      <c r="B480" t="s">
        <v>985</v>
      </c>
      <c r="C480" t="s">
        <v>944</v>
      </c>
      <c r="D480" t="s">
        <v>232</v>
      </c>
      <c r="E480" t="s">
        <v>60</v>
      </c>
      <c r="F480">
        <v>63</v>
      </c>
      <c r="G480">
        <v>2</v>
      </c>
      <c r="H480">
        <v>1.2070006035003E-3</v>
      </c>
      <c r="I480">
        <v>3.1746031746031703E-2</v>
      </c>
      <c r="J480" s="14" t="str">
        <f>_xlfn.XLOOKUP(B480,CAD_PDV!A:A,CAD_PDV!B:B)</f>
        <v>HS TELECOM</v>
      </c>
      <c r="K480" s="14">
        <f>IF(IFERROR(_xlfn.XLOOKUP(B480,Planilha2!D:D,Planilha2!H:H),0)="SIM",1,0)</f>
        <v>0</v>
      </c>
      <c r="L480" s="14" t="str">
        <f>_xlfn.XLOOKUP(B480,CAD_PDV!A:A,CAD_PDV!C:C)</f>
        <v>BA/SE</v>
      </c>
      <c r="M480" s="14" t="str">
        <f>IFERROR(_xlfn.XLOOKUP(B480,repete!A:A,repete!A:A),"-")</f>
        <v>-</v>
      </c>
    </row>
    <row r="481" spans="1:13" hidden="1">
      <c r="A481" s="1">
        <v>46054</v>
      </c>
      <c r="B481" t="s">
        <v>1479</v>
      </c>
      <c r="C481" t="s">
        <v>1480</v>
      </c>
      <c r="D481" t="s">
        <v>232</v>
      </c>
      <c r="E481" t="s">
        <v>54</v>
      </c>
      <c r="F481">
        <v>21</v>
      </c>
      <c r="G481">
        <v>2</v>
      </c>
      <c r="H481">
        <v>1.2070006035003E-3</v>
      </c>
      <c r="I481">
        <v>9.5238095238095205E-2</v>
      </c>
      <c r="J481" s="14" t="str">
        <f>_xlfn.XLOOKUP(B481,CAD_PDV!A:A,CAD_PDV!B:B)</f>
        <v>HS TELECOM</v>
      </c>
      <c r="K481" s="14">
        <f>IF(IFERROR(_xlfn.XLOOKUP(B481,Planilha2!D:D,Planilha2!H:H),0)="SIM",1,0)</f>
        <v>0</v>
      </c>
      <c r="L481" s="14" t="str">
        <f>_xlfn.XLOOKUP(B481,CAD_PDV!A:A,CAD_PDV!C:C)</f>
        <v>SP2</v>
      </c>
      <c r="M481" s="14" t="str">
        <f>IFERROR(_xlfn.XLOOKUP(B481,repete!A:A,repete!A:A),"-")</f>
        <v>-</v>
      </c>
    </row>
    <row r="482" spans="1:13" hidden="1">
      <c r="A482" s="1">
        <v>46054</v>
      </c>
      <c r="B482" t="s">
        <v>1208</v>
      </c>
      <c r="C482" t="s">
        <v>1142</v>
      </c>
      <c r="D482" t="s">
        <v>237</v>
      </c>
      <c r="E482" t="s">
        <v>55</v>
      </c>
      <c r="F482">
        <v>116</v>
      </c>
      <c r="G482">
        <v>2</v>
      </c>
      <c r="H482">
        <v>1.2070006035003E-3</v>
      </c>
      <c r="I482">
        <v>1.72413793103448E-2</v>
      </c>
      <c r="J482" s="14" t="str">
        <f>_xlfn.XLOOKUP(B482,CAD_PDV!A:A,CAD_PDV!B:B)</f>
        <v>PONTO CERTO COMERCIO E COMUNICAÇÕES LTDA</v>
      </c>
      <c r="K482" s="14">
        <f>IF(IFERROR(_xlfn.XLOOKUP(B482,Planilha2!D:D,Planilha2!H:H),0)="SIM",1,0)</f>
        <v>0</v>
      </c>
      <c r="L482" s="14" t="str">
        <f>_xlfn.XLOOKUP(B482,CAD_PDV!A:A,CAD_PDV!C:C)</f>
        <v>RJ/ES</v>
      </c>
      <c r="M482" s="14" t="str">
        <f>IFERROR(_xlfn.XLOOKUP(B482,repete!A:A,repete!A:A),"-")</f>
        <v>-</v>
      </c>
    </row>
    <row r="483" spans="1:13" hidden="1">
      <c r="A483" s="1">
        <v>46054</v>
      </c>
      <c r="B483" t="s">
        <v>1511</v>
      </c>
      <c r="C483" t="s">
        <v>1512</v>
      </c>
      <c r="D483" t="s">
        <v>120</v>
      </c>
      <c r="E483" t="s">
        <v>54</v>
      </c>
      <c r="F483">
        <v>113</v>
      </c>
      <c r="G483">
        <v>2</v>
      </c>
      <c r="H483">
        <v>1.2070006035003E-3</v>
      </c>
      <c r="I483">
        <v>1.7699115044247801E-2</v>
      </c>
      <c r="J483" s="14" t="str">
        <f>_xlfn.XLOOKUP(B483,CAD_PDV!A:A,CAD_PDV!B:B)</f>
        <v>DOUGLAS LUIZ ELETRONICOS - ME</v>
      </c>
      <c r="K483" s="14">
        <f>IF(IFERROR(_xlfn.XLOOKUP(B483,Planilha2!D:D,Planilha2!H:H),0)="SIM",1,0)</f>
        <v>0</v>
      </c>
      <c r="L483" s="14" t="str">
        <f>_xlfn.XLOOKUP(B483,CAD_PDV!A:A,CAD_PDV!C:C)</f>
        <v>SP2</v>
      </c>
      <c r="M483" s="14" t="str">
        <f>IFERROR(_xlfn.XLOOKUP(B483,repete!A:A,repete!A:A),"-")</f>
        <v>-</v>
      </c>
    </row>
    <row r="484" spans="1:13" hidden="1">
      <c r="A484" s="1">
        <v>46054</v>
      </c>
      <c r="B484" t="s">
        <v>878</v>
      </c>
      <c r="C484" t="s">
        <v>873</v>
      </c>
      <c r="D484" t="s">
        <v>224</v>
      </c>
      <c r="E484" t="s">
        <v>59</v>
      </c>
      <c r="F484">
        <v>188</v>
      </c>
      <c r="G484">
        <v>2</v>
      </c>
      <c r="H484">
        <v>1.2070006035003E-3</v>
      </c>
      <c r="I484">
        <v>1.0638297872340399E-2</v>
      </c>
      <c r="J484" s="14" t="str">
        <f>_xlfn.XLOOKUP(B484,CAD_PDV!A:A,CAD_PDV!B:B)</f>
        <v>CELNET COMERCIO E SERVICOS DE TELEFONIA LTDA ME</v>
      </c>
      <c r="K484" s="14">
        <f>IF(IFERROR(_xlfn.XLOOKUP(B484,Planilha2!D:D,Planilha2!H:H),0)="SIM",1,0)</f>
        <v>0</v>
      </c>
      <c r="L484" s="14" t="str">
        <f>_xlfn.XLOOKUP(B484,CAD_PDV!A:A,CAD_PDV!C:C)</f>
        <v>CO</v>
      </c>
      <c r="M484" s="14" t="str">
        <f>IFERROR(_xlfn.XLOOKUP(B484,repete!A:A,repete!A:A),"-")</f>
        <v>-</v>
      </c>
    </row>
    <row r="485" spans="1:13" hidden="1">
      <c r="A485" s="1">
        <v>46054</v>
      </c>
      <c r="B485" t="s">
        <v>2048</v>
      </c>
      <c r="C485" t="s">
        <v>2049</v>
      </c>
      <c r="D485" t="s">
        <v>193</v>
      </c>
      <c r="E485" t="s">
        <v>2074</v>
      </c>
      <c r="F485">
        <v>15</v>
      </c>
      <c r="G485">
        <v>2</v>
      </c>
      <c r="H485">
        <v>1.2070006035003E-3</v>
      </c>
      <c r="I485">
        <v>0.133333333333333</v>
      </c>
      <c r="J485" s="14" t="str">
        <f>_xlfn.XLOOKUP(B485,CAD_PDV!A:A,CAD_PDV!B:B)</f>
        <v>S D COMERCIO DE CELULARES LTDA - ME</v>
      </c>
      <c r="K485" s="14">
        <f>IF(IFERROR(_xlfn.XLOOKUP(B485,Planilha2!D:D,Planilha2!H:H),0)="SIM",1,0)</f>
        <v>0</v>
      </c>
      <c r="L485" s="14" t="str">
        <f>_xlfn.XLOOKUP(B485,CAD_PDV!A:A,CAD_PDV!C:C)</f>
        <v>RS</v>
      </c>
      <c r="M485" s="14" t="str">
        <f>IFERROR(_xlfn.XLOOKUP(B485,repete!A:A,repete!A:A),"-")</f>
        <v>-</v>
      </c>
    </row>
    <row r="486" spans="1:13" hidden="1">
      <c r="A486" s="1">
        <v>46054</v>
      </c>
      <c r="B486" t="s">
        <v>883</v>
      </c>
      <c r="C486" t="s">
        <v>873</v>
      </c>
      <c r="D486" t="s">
        <v>224</v>
      </c>
      <c r="E486" t="s">
        <v>59</v>
      </c>
      <c r="F486">
        <v>112</v>
      </c>
      <c r="G486">
        <v>2</v>
      </c>
      <c r="H486">
        <v>1.2070006035003E-3</v>
      </c>
      <c r="I486">
        <v>1.7857142857142901E-2</v>
      </c>
      <c r="J486" s="14" t="str">
        <f>_xlfn.XLOOKUP(B486,CAD_PDV!A:A,CAD_PDV!B:B)</f>
        <v>CELNET COMERCIO E SERVICOS DE TELEFONIA LTDA ME</v>
      </c>
      <c r="K486" s="14">
        <f>IF(IFERROR(_xlfn.XLOOKUP(B486,Planilha2!D:D,Planilha2!H:H),0)="SIM",1,0)</f>
        <v>0</v>
      </c>
      <c r="L486" s="14" t="str">
        <f>_xlfn.XLOOKUP(B486,CAD_PDV!A:A,CAD_PDV!C:C)</f>
        <v>CO</v>
      </c>
      <c r="M486" s="14" t="str">
        <f>IFERROR(_xlfn.XLOOKUP(B486,repete!A:A,repete!A:A),"-")</f>
        <v>-</v>
      </c>
    </row>
    <row r="487" spans="1:13" hidden="1">
      <c r="A487" s="1">
        <v>46054</v>
      </c>
      <c r="B487" t="s">
        <v>2036</v>
      </c>
      <c r="C487" t="s">
        <v>2037</v>
      </c>
      <c r="D487" t="s">
        <v>193</v>
      </c>
      <c r="E487" t="s">
        <v>2074</v>
      </c>
      <c r="F487">
        <v>28</v>
      </c>
      <c r="G487">
        <v>2</v>
      </c>
      <c r="H487">
        <v>1.2070006035003E-3</v>
      </c>
      <c r="I487">
        <v>7.1428571428571397E-2</v>
      </c>
      <c r="J487" s="14" t="str">
        <f>_xlfn.XLOOKUP(B487,CAD_PDV!A:A,CAD_PDV!B:B)</f>
        <v>S D COMERCIO DE CELULARES LTDA - ME</v>
      </c>
      <c r="K487" s="14">
        <f>IF(IFERROR(_xlfn.XLOOKUP(B487,Planilha2!D:D,Planilha2!H:H),0)="SIM",1,0)</f>
        <v>0</v>
      </c>
      <c r="L487" s="14" t="str">
        <f>_xlfn.XLOOKUP(B487,CAD_PDV!A:A,CAD_PDV!C:C)</f>
        <v>RS</v>
      </c>
      <c r="M487" s="14" t="str">
        <f>IFERROR(_xlfn.XLOOKUP(B487,repete!A:A,repete!A:A),"-")</f>
        <v>-</v>
      </c>
    </row>
    <row r="488" spans="1:13" hidden="1">
      <c r="A488" s="1">
        <v>46054</v>
      </c>
      <c r="B488" t="s">
        <v>925</v>
      </c>
      <c r="C488" t="s">
        <v>738</v>
      </c>
      <c r="D488" t="s">
        <v>231</v>
      </c>
      <c r="E488" t="s">
        <v>59</v>
      </c>
      <c r="F488">
        <v>32</v>
      </c>
      <c r="G488">
        <v>2</v>
      </c>
      <c r="H488">
        <v>1.2070006035003E-3</v>
      </c>
      <c r="I488">
        <v>6.25E-2</v>
      </c>
      <c r="J488" s="14" t="str">
        <f>_xlfn.XLOOKUP(B488,CAD_PDV!A:A,CAD_PDV!B:B)</f>
        <v>HIROTA &amp; HIROTA LTDA - ME</v>
      </c>
      <c r="K488" s="14">
        <f>IF(IFERROR(_xlfn.XLOOKUP(B488,Planilha2!D:D,Planilha2!H:H),0)="SIM",1,0)</f>
        <v>0</v>
      </c>
      <c r="L488" s="14" t="str">
        <f>_xlfn.XLOOKUP(B488,CAD_PDV!A:A,CAD_PDV!C:C)</f>
        <v>CO</v>
      </c>
      <c r="M488" s="14" t="str">
        <f>IFERROR(_xlfn.XLOOKUP(B488,repete!A:A,repete!A:A),"-")</f>
        <v>-</v>
      </c>
    </row>
    <row r="489" spans="1:13" hidden="1">
      <c r="A489" s="1">
        <v>46054</v>
      </c>
      <c r="B489" t="s">
        <v>776</v>
      </c>
      <c r="C489" t="s">
        <v>637</v>
      </c>
      <c r="D489" t="s">
        <v>221</v>
      </c>
      <c r="E489" t="s">
        <v>59</v>
      </c>
      <c r="F489">
        <v>50</v>
      </c>
      <c r="G489">
        <v>2</v>
      </c>
      <c r="H489">
        <v>1.2070006035003E-3</v>
      </c>
      <c r="I489">
        <v>0.04</v>
      </c>
      <c r="J489" s="14" t="str">
        <f>_xlfn.XLOOKUP(B489,CAD_PDV!A:A,CAD_PDV!B:B)</f>
        <v>AMERICOM COMERCIO DE APARELHOS ELETRONICOS LTDA - EPP</v>
      </c>
      <c r="K489" s="14">
        <f>IF(IFERROR(_xlfn.XLOOKUP(B489,Planilha2!D:D,Planilha2!H:H),0)="SIM",1,0)</f>
        <v>0</v>
      </c>
      <c r="L489" s="14" t="str">
        <f>_xlfn.XLOOKUP(B489,CAD_PDV!A:A,CAD_PDV!C:C)</f>
        <v>CO</v>
      </c>
      <c r="M489" s="14" t="str">
        <f>IFERROR(_xlfn.XLOOKUP(B489,repete!A:A,repete!A:A),"-")</f>
        <v>-</v>
      </c>
    </row>
    <row r="490" spans="1:13" hidden="1">
      <c r="A490" s="1">
        <v>46054</v>
      </c>
      <c r="B490" t="s">
        <v>1573</v>
      </c>
      <c r="C490" t="s">
        <v>1464</v>
      </c>
      <c r="D490" t="s">
        <v>132</v>
      </c>
      <c r="E490" t="s">
        <v>54</v>
      </c>
      <c r="F490">
        <v>33</v>
      </c>
      <c r="G490">
        <v>2</v>
      </c>
      <c r="H490">
        <v>1.2070006035003E-3</v>
      </c>
      <c r="I490">
        <v>6.0606060606060601E-2</v>
      </c>
      <c r="J490" s="14" t="str">
        <f>_xlfn.XLOOKUP(B490,CAD_PDV!A:A,CAD_PDV!B:B)</f>
        <v>FLEX CELL</v>
      </c>
      <c r="K490" s="14">
        <f>IF(IFERROR(_xlfn.XLOOKUP(B490,Planilha2!D:D,Planilha2!H:H),0)="SIM",1,0)</f>
        <v>0</v>
      </c>
      <c r="L490" s="14" t="str">
        <f>_xlfn.XLOOKUP(B490,CAD_PDV!A:A,CAD_PDV!C:C)</f>
        <v>SP2</v>
      </c>
      <c r="M490" s="14" t="str">
        <f>IFERROR(_xlfn.XLOOKUP(B490,repete!A:A,repete!A:A),"-")</f>
        <v>-</v>
      </c>
    </row>
    <row r="491" spans="1:13" hidden="1">
      <c r="A491" s="1">
        <v>46054</v>
      </c>
      <c r="B491" t="s">
        <v>1183</v>
      </c>
      <c r="C491" t="s">
        <v>1185</v>
      </c>
      <c r="D491" t="s">
        <v>228</v>
      </c>
      <c r="E491" t="s">
        <v>55</v>
      </c>
      <c r="F491">
        <v>45</v>
      </c>
      <c r="G491">
        <v>2</v>
      </c>
      <c r="H491">
        <v>1.2070006035003E-3</v>
      </c>
      <c r="I491">
        <v>4.4444444444444398E-2</v>
      </c>
      <c r="J491" s="14" t="str">
        <f>_xlfn.XLOOKUP(B491,CAD_PDV!A:A,CAD_PDV!B:B)</f>
        <v>FAJULUTI</v>
      </c>
      <c r="K491" s="14">
        <f>IF(IFERROR(_xlfn.XLOOKUP(B491,Planilha2!D:D,Planilha2!H:H),0)="SIM",1,0)</f>
        <v>0</v>
      </c>
      <c r="L491" s="14" t="str">
        <f>_xlfn.XLOOKUP(B491,CAD_PDV!A:A,CAD_PDV!C:C)</f>
        <v>RJ/ES</v>
      </c>
      <c r="M491" s="14" t="str">
        <f>IFERROR(_xlfn.XLOOKUP(B491,repete!A:A,repete!A:A),"-")</f>
        <v>-</v>
      </c>
    </row>
    <row r="492" spans="1:13" hidden="1">
      <c r="A492" s="1">
        <v>46054</v>
      </c>
      <c r="B492" t="s">
        <v>912</v>
      </c>
      <c r="C492" t="s">
        <v>820</v>
      </c>
      <c r="D492" t="s">
        <v>239</v>
      </c>
      <c r="E492" t="s">
        <v>59</v>
      </c>
      <c r="F492">
        <v>57</v>
      </c>
      <c r="G492">
        <v>2</v>
      </c>
      <c r="H492">
        <v>1.2070006035003E-3</v>
      </c>
      <c r="I492">
        <v>3.5087719298245598E-2</v>
      </c>
      <c r="J492" s="14" t="str">
        <f>_xlfn.XLOOKUP(B492,CAD_PDV!A:A,CAD_PDV!B:B)</f>
        <v>TELECELL TELEFONIA LTDA - ME</v>
      </c>
      <c r="K492" s="14">
        <f>IF(IFERROR(_xlfn.XLOOKUP(B492,Planilha2!D:D,Planilha2!H:H),0)="SIM",1,0)</f>
        <v>0</v>
      </c>
      <c r="L492" s="14" t="str">
        <f>_xlfn.XLOOKUP(B492,CAD_PDV!A:A,CAD_PDV!C:C)</f>
        <v>CO</v>
      </c>
      <c r="M492" s="14" t="str">
        <f>IFERROR(_xlfn.XLOOKUP(B492,repete!A:A,repete!A:A),"-")</f>
        <v>-</v>
      </c>
    </row>
    <row r="493" spans="1:13" hidden="1">
      <c r="A493" s="1">
        <v>46054</v>
      </c>
      <c r="B493" t="s">
        <v>2021</v>
      </c>
      <c r="C493" t="s">
        <v>2024</v>
      </c>
      <c r="D493" t="s">
        <v>193</v>
      </c>
      <c r="E493" t="s">
        <v>2074</v>
      </c>
      <c r="F493">
        <v>37</v>
      </c>
      <c r="G493">
        <v>2</v>
      </c>
      <c r="H493">
        <v>1.2070006035003E-3</v>
      </c>
      <c r="I493">
        <v>5.4054054054054099E-2</v>
      </c>
      <c r="J493" s="14" t="str">
        <f>_xlfn.XLOOKUP(B493,CAD_PDV!A:A,CAD_PDV!B:B)</f>
        <v>S D COMERCIO DE CELULARES LTDA - ME</v>
      </c>
      <c r="K493" s="14">
        <f>IF(IFERROR(_xlfn.XLOOKUP(B493,Planilha2!D:D,Planilha2!H:H),0)="SIM",1,0)</f>
        <v>0</v>
      </c>
      <c r="L493" s="14" t="str">
        <f>_xlfn.XLOOKUP(B493,CAD_PDV!A:A,CAD_PDV!C:C)</f>
        <v>RS</v>
      </c>
      <c r="M493" s="14" t="str">
        <f>IFERROR(_xlfn.XLOOKUP(B493,repete!A:A,repete!A:A),"-")</f>
        <v>-</v>
      </c>
    </row>
    <row r="494" spans="1:13" hidden="1">
      <c r="A494" s="1">
        <v>46054</v>
      </c>
      <c r="B494" t="s">
        <v>277</v>
      </c>
      <c r="C494" t="s">
        <v>261</v>
      </c>
      <c r="D494" t="s">
        <v>238</v>
      </c>
      <c r="E494" t="s">
        <v>61</v>
      </c>
      <c r="F494">
        <v>94</v>
      </c>
      <c r="G494">
        <v>2</v>
      </c>
      <c r="H494">
        <v>1.2070006035003E-3</v>
      </c>
      <c r="I494">
        <v>2.1276595744680899E-2</v>
      </c>
      <c r="J494" s="14" t="str">
        <f>_xlfn.XLOOKUP(B494,CAD_PDV!A:A,CAD_PDV!B:B)</f>
        <v>R &amp; R HIPER COMERCIO LTDA</v>
      </c>
      <c r="K494" s="14">
        <f>IF(IFERROR(_xlfn.XLOOKUP(B494,Planilha2!D:D,Planilha2!H:H),0)="SIM",1,0)</f>
        <v>0</v>
      </c>
      <c r="L494" s="14" t="str">
        <f>_xlfn.XLOOKUP(B494,CAD_PDV!A:A,CAD_PDV!C:C)</f>
        <v>NE</v>
      </c>
      <c r="M494" s="14" t="str">
        <f>IFERROR(_xlfn.XLOOKUP(B494,repete!A:A,repete!A:A),"-")</f>
        <v>-</v>
      </c>
    </row>
    <row r="495" spans="1:13" hidden="1">
      <c r="A495" s="1">
        <v>46054</v>
      </c>
      <c r="B495" t="s">
        <v>758</v>
      </c>
      <c r="C495" t="s">
        <v>616</v>
      </c>
      <c r="D495" t="s">
        <v>239</v>
      </c>
      <c r="E495" t="s">
        <v>59</v>
      </c>
      <c r="F495">
        <v>98</v>
      </c>
      <c r="G495">
        <v>2</v>
      </c>
      <c r="H495">
        <v>1.2070006035003E-3</v>
      </c>
      <c r="I495">
        <v>2.04081632653061E-2</v>
      </c>
      <c r="J495" s="14" t="str">
        <f>_xlfn.XLOOKUP(B495,CAD_PDV!A:A,CAD_PDV!B:B)</f>
        <v>TELECELL TELEFONIA LTDA - ME</v>
      </c>
      <c r="K495" s="14">
        <f>IF(IFERROR(_xlfn.XLOOKUP(B495,Planilha2!D:D,Planilha2!H:H),0)="SIM",1,0)</f>
        <v>0</v>
      </c>
      <c r="L495" s="14" t="str">
        <f>_xlfn.XLOOKUP(B495,CAD_PDV!A:A,CAD_PDV!C:C)</f>
        <v>CO</v>
      </c>
      <c r="M495" s="14" t="str">
        <f>IFERROR(_xlfn.XLOOKUP(B495,repete!A:A,repete!A:A),"-")</f>
        <v>-</v>
      </c>
    </row>
    <row r="496" spans="1:13" hidden="1">
      <c r="A496" s="1">
        <v>46054</v>
      </c>
      <c r="B496" t="s">
        <v>447</v>
      </c>
      <c r="C496" t="s">
        <v>449</v>
      </c>
      <c r="D496" t="s">
        <v>228</v>
      </c>
      <c r="E496" t="s">
        <v>56</v>
      </c>
      <c r="F496">
        <v>25</v>
      </c>
      <c r="G496">
        <v>2</v>
      </c>
      <c r="H496">
        <v>1.2070006035003E-3</v>
      </c>
      <c r="I496">
        <v>0.08</v>
      </c>
      <c r="J496" s="14" t="str">
        <f>_xlfn.XLOOKUP(B496,CAD_PDV!A:A,CAD_PDV!B:B)</f>
        <v>FAJULUTI</v>
      </c>
      <c r="K496" s="14">
        <f>IF(IFERROR(_xlfn.XLOOKUP(B496,Planilha2!D:D,Planilha2!H:H),0)="SIM",1,0)</f>
        <v>0</v>
      </c>
      <c r="L496" s="14" t="str">
        <f>_xlfn.XLOOKUP(B496,CAD_PDV!A:A,CAD_PDV!C:C)</f>
        <v>MG</v>
      </c>
      <c r="M496" s="14" t="str">
        <f>IFERROR(_xlfn.XLOOKUP(B496,repete!A:A,repete!A:A),"-")</f>
        <v>-</v>
      </c>
    </row>
    <row r="497" spans="1:13" hidden="1">
      <c r="A497" s="1">
        <v>46054</v>
      </c>
      <c r="B497" t="s">
        <v>1363</v>
      </c>
      <c r="C497" t="s">
        <v>1313</v>
      </c>
      <c r="D497" t="s">
        <v>132</v>
      </c>
      <c r="E497" t="s">
        <v>53</v>
      </c>
      <c r="F497">
        <v>94</v>
      </c>
      <c r="G497">
        <v>2</v>
      </c>
      <c r="H497">
        <v>1.2070006035003E-3</v>
      </c>
      <c r="I497">
        <v>2.1276595744680899E-2</v>
      </c>
      <c r="J497" s="14" t="str">
        <f>_xlfn.XLOOKUP(B497,CAD_PDV!A:A,CAD_PDV!B:B)</f>
        <v>FLEX CELL</v>
      </c>
      <c r="K497" s="14">
        <f>IF(IFERROR(_xlfn.XLOOKUP(B497,Planilha2!D:D,Planilha2!H:H),0)="SIM",1,0)</f>
        <v>0</v>
      </c>
      <c r="L497" s="14" t="str">
        <f>_xlfn.XLOOKUP(B497,CAD_PDV!A:A,CAD_PDV!C:C)</f>
        <v>SP1</v>
      </c>
      <c r="M497" s="14" t="str">
        <f>IFERROR(_xlfn.XLOOKUP(B497,repete!A:A,repete!A:A),"-")</f>
        <v>-</v>
      </c>
    </row>
    <row r="498" spans="1:13" hidden="1">
      <c r="A498" s="1">
        <v>46054</v>
      </c>
      <c r="B498" t="s">
        <v>957</v>
      </c>
      <c r="C498" t="s">
        <v>944</v>
      </c>
      <c r="D498" t="s">
        <v>232</v>
      </c>
      <c r="E498" t="s">
        <v>60</v>
      </c>
      <c r="F498">
        <v>21</v>
      </c>
      <c r="G498">
        <v>2</v>
      </c>
      <c r="H498">
        <v>1.2070006035003E-3</v>
      </c>
      <c r="I498">
        <v>9.5238095238095205E-2</v>
      </c>
      <c r="J498" s="14" t="str">
        <f>_xlfn.XLOOKUP(B498,CAD_PDV!A:A,CAD_PDV!B:B)</f>
        <v>HS TELECOM</v>
      </c>
      <c r="K498" s="14">
        <f>IF(IFERROR(_xlfn.XLOOKUP(B498,Planilha2!D:D,Planilha2!H:H),0)="SIM",1,0)</f>
        <v>0</v>
      </c>
      <c r="L498" s="14" t="str">
        <f>_xlfn.XLOOKUP(B498,CAD_PDV!A:A,CAD_PDV!C:C)</f>
        <v>BA/SE</v>
      </c>
      <c r="M498" s="14" t="str">
        <f>IFERROR(_xlfn.XLOOKUP(B498,repete!A:A,repete!A:A),"-")</f>
        <v>-</v>
      </c>
    </row>
    <row r="499" spans="1:13" hidden="1">
      <c r="A499" s="1">
        <v>46054</v>
      </c>
      <c r="B499" t="s">
        <v>1626</v>
      </c>
      <c r="C499" t="s">
        <v>1616</v>
      </c>
      <c r="D499" t="s">
        <v>220</v>
      </c>
      <c r="E499" t="s">
        <v>54</v>
      </c>
      <c r="F499">
        <v>50</v>
      </c>
      <c r="G499">
        <v>2</v>
      </c>
      <c r="H499">
        <v>1.2070006035003E-3</v>
      </c>
      <c r="I499">
        <v>0.04</v>
      </c>
      <c r="J499" s="14" t="str">
        <f>_xlfn.XLOOKUP(B499,CAD_PDV!A:A,CAD_PDV!B:B)</f>
        <v>ADESIENE NUNES MACHADO - ME</v>
      </c>
      <c r="K499" s="14">
        <f>IF(IFERROR(_xlfn.XLOOKUP(B499,Planilha2!D:D,Planilha2!H:H),0)="SIM",1,0)</f>
        <v>0</v>
      </c>
      <c r="L499" s="14" t="str">
        <f>_xlfn.XLOOKUP(B499,CAD_PDV!A:A,CAD_PDV!C:C)</f>
        <v>SP2</v>
      </c>
      <c r="M499" s="14" t="str">
        <f>IFERROR(_xlfn.XLOOKUP(B499,repete!A:A,repete!A:A),"-")</f>
        <v>-</v>
      </c>
    </row>
    <row r="500" spans="1:13" hidden="1">
      <c r="A500" s="1">
        <v>46054</v>
      </c>
      <c r="B500" t="s">
        <v>958</v>
      </c>
      <c r="C500" t="s">
        <v>944</v>
      </c>
      <c r="D500" t="s">
        <v>232</v>
      </c>
      <c r="E500" t="s">
        <v>60</v>
      </c>
      <c r="F500">
        <v>87</v>
      </c>
      <c r="G500">
        <v>2</v>
      </c>
      <c r="H500">
        <v>1.2070006035003E-3</v>
      </c>
      <c r="I500">
        <v>2.2988505747126398E-2</v>
      </c>
      <c r="J500" s="14" t="str">
        <f>_xlfn.XLOOKUP(B500,CAD_PDV!A:A,CAD_PDV!B:B)</f>
        <v>HS TELECOM</v>
      </c>
      <c r="K500" s="14">
        <f>IF(IFERROR(_xlfn.XLOOKUP(B500,Planilha2!D:D,Planilha2!H:H),0)="SIM",1,0)</f>
        <v>0</v>
      </c>
      <c r="L500" s="14" t="str">
        <f>_xlfn.XLOOKUP(B500,CAD_PDV!A:A,CAD_PDV!C:C)</f>
        <v>BA/SE</v>
      </c>
      <c r="M500" s="14" t="str">
        <f>IFERROR(_xlfn.XLOOKUP(B500,repete!A:A,repete!A:A),"-")</f>
        <v>-</v>
      </c>
    </row>
    <row r="501" spans="1:13" hidden="1">
      <c r="A501" s="1">
        <v>46054</v>
      </c>
      <c r="B501" t="s">
        <v>1878</v>
      </c>
      <c r="C501" t="s">
        <v>1876</v>
      </c>
      <c r="D501" t="s">
        <v>124</v>
      </c>
      <c r="E501" t="s">
        <v>2074</v>
      </c>
      <c r="F501">
        <v>22</v>
      </c>
      <c r="G501">
        <v>2</v>
      </c>
      <c r="H501">
        <v>1.2070006035003E-3</v>
      </c>
      <c r="I501">
        <v>9.0909090909090898E-2</v>
      </c>
      <c r="J501" s="14" t="str">
        <f>_xlfn.XLOOKUP(B501,CAD_PDV!A:A,CAD_PDV!B:B)</f>
        <v>EDUARDO JUNQUEIRA DA SILVEIRA ADMIN</v>
      </c>
      <c r="K501" s="14">
        <f>IF(IFERROR(_xlfn.XLOOKUP(B501,Planilha2!D:D,Planilha2!H:H),0)="SIM",1,0)</f>
        <v>0</v>
      </c>
      <c r="L501" s="14" t="str">
        <f>_xlfn.XLOOKUP(B501,CAD_PDV!A:A,CAD_PDV!C:C)</f>
        <v>RS</v>
      </c>
      <c r="M501" s="14" t="str">
        <f>IFERROR(_xlfn.XLOOKUP(B501,repete!A:A,repete!A:A),"-")</f>
        <v>-</v>
      </c>
    </row>
    <row r="502" spans="1:13" hidden="1">
      <c r="A502" s="1">
        <v>46054</v>
      </c>
      <c r="B502" t="s">
        <v>2043</v>
      </c>
      <c r="C502" t="s">
        <v>2042</v>
      </c>
      <c r="D502" t="s">
        <v>193</v>
      </c>
      <c r="E502" t="s">
        <v>2074</v>
      </c>
      <c r="F502">
        <v>37</v>
      </c>
      <c r="G502">
        <v>2</v>
      </c>
      <c r="H502">
        <v>1.2070006035003E-3</v>
      </c>
      <c r="I502">
        <v>5.4054054054054099E-2</v>
      </c>
      <c r="J502" s="14" t="str">
        <f>_xlfn.XLOOKUP(B502,CAD_PDV!A:A,CAD_PDV!B:B)</f>
        <v>S D COMERCIO DE CELULARES LTDA - ME</v>
      </c>
      <c r="K502" s="14">
        <f>IF(IFERROR(_xlfn.XLOOKUP(B502,Planilha2!D:D,Planilha2!H:H),0)="SIM",1,0)</f>
        <v>0</v>
      </c>
      <c r="L502" s="14" t="str">
        <f>_xlfn.XLOOKUP(B502,CAD_PDV!A:A,CAD_PDV!C:C)</f>
        <v>RS</v>
      </c>
      <c r="M502" s="14" t="str">
        <f>IFERROR(_xlfn.XLOOKUP(B502,repete!A:A,repete!A:A),"-")</f>
        <v>-</v>
      </c>
    </row>
    <row r="503" spans="1:13" hidden="1">
      <c r="A503" s="1">
        <v>46054</v>
      </c>
      <c r="B503" t="s">
        <v>781</v>
      </c>
      <c r="C503" t="s">
        <v>637</v>
      </c>
      <c r="D503" t="s">
        <v>221</v>
      </c>
      <c r="E503" t="s">
        <v>59</v>
      </c>
      <c r="F503">
        <v>46</v>
      </c>
      <c r="G503">
        <v>2</v>
      </c>
      <c r="H503">
        <v>1.2070006035003E-3</v>
      </c>
      <c r="I503">
        <v>4.3478260869565202E-2</v>
      </c>
      <c r="J503" s="14" t="str">
        <f>_xlfn.XLOOKUP(B503,CAD_PDV!A:A,CAD_PDV!B:B)</f>
        <v>AMERICOM COMERCIO DE APARELHOS ELETRONICOS LTDA - EPP</v>
      </c>
      <c r="K503" s="14">
        <f>IF(IFERROR(_xlfn.XLOOKUP(B503,Planilha2!D:D,Planilha2!H:H),0)="SIM",1,0)</f>
        <v>0</v>
      </c>
      <c r="L503" s="14" t="str">
        <f>_xlfn.XLOOKUP(B503,CAD_PDV!A:A,CAD_PDV!C:C)</f>
        <v>CO</v>
      </c>
      <c r="M503" s="14" t="str">
        <f>IFERROR(_xlfn.XLOOKUP(B503,repete!A:A,repete!A:A),"-")</f>
        <v>-</v>
      </c>
    </row>
    <row r="504" spans="1:13" hidden="1">
      <c r="A504" s="1">
        <v>46054</v>
      </c>
      <c r="B504" t="s">
        <v>2081</v>
      </c>
      <c r="C504" t="s">
        <v>619</v>
      </c>
      <c r="D504" t="s">
        <v>224</v>
      </c>
      <c r="E504" t="s">
        <v>59</v>
      </c>
      <c r="F504">
        <v>74</v>
      </c>
      <c r="G504">
        <v>2</v>
      </c>
      <c r="H504">
        <v>1.2070006035003E-3</v>
      </c>
      <c r="I504">
        <v>2.7027027027027001E-2</v>
      </c>
      <c r="J504" s="14" t="str">
        <f>_xlfn.XLOOKUP(B504,CAD_PDV!A:A,CAD_PDV!B:B)</f>
        <v>CELNET COMERCIO E SERVICOS DE TELEFONIA LTDA ME</v>
      </c>
      <c r="K504" s="14">
        <f>IF(IFERROR(_xlfn.XLOOKUP(B504,Planilha2!D:D,Planilha2!H:H),0)="SIM",1,0)</f>
        <v>0</v>
      </c>
      <c r="L504" s="14" t="str">
        <f>_xlfn.XLOOKUP(B504,CAD_PDV!A:A,CAD_PDV!C:C)</f>
        <v>CO</v>
      </c>
      <c r="M504" s="14" t="str">
        <f>IFERROR(_xlfn.XLOOKUP(B504,repete!A:A,repete!A:A),"-")</f>
        <v>-</v>
      </c>
    </row>
    <row r="505" spans="1:13" hidden="1">
      <c r="A505" s="1">
        <v>46054</v>
      </c>
      <c r="B505" t="s">
        <v>843</v>
      </c>
      <c r="C505" t="s">
        <v>677</v>
      </c>
      <c r="D505" t="s">
        <v>239</v>
      </c>
      <c r="E505" t="s">
        <v>59</v>
      </c>
      <c r="F505">
        <v>40</v>
      </c>
      <c r="G505">
        <v>2</v>
      </c>
      <c r="H505">
        <v>1.2070006035003E-3</v>
      </c>
      <c r="I505">
        <v>0.05</v>
      </c>
      <c r="J505" s="14" t="str">
        <f>_xlfn.XLOOKUP(B505,CAD_PDV!A:A,CAD_PDV!B:B)</f>
        <v>TELECELL TELEFONIA LTDA - ME</v>
      </c>
      <c r="K505" s="14">
        <f>IF(IFERROR(_xlfn.XLOOKUP(B505,Planilha2!D:D,Planilha2!H:H),0)="SIM",1,0)</f>
        <v>0</v>
      </c>
      <c r="L505" s="14" t="str">
        <f>_xlfn.XLOOKUP(B505,CAD_PDV!A:A,CAD_PDV!C:C)</f>
        <v>CO</v>
      </c>
      <c r="M505" s="14" t="str">
        <f>IFERROR(_xlfn.XLOOKUP(B505,repete!A:A,repete!A:A),"-")</f>
        <v>-</v>
      </c>
    </row>
    <row r="506" spans="1:13" hidden="1">
      <c r="A506" s="1">
        <v>46054</v>
      </c>
      <c r="B506" t="s">
        <v>1652</v>
      </c>
      <c r="C506" t="s">
        <v>1653</v>
      </c>
      <c r="D506" t="s">
        <v>223</v>
      </c>
      <c r="E506" t="s">
        <v>54</v>
      </c>
      <c r="F506">
        <v>61</v>
      </c>
      <c r="G506">
        <v>2</v>
      </c>
      <c r="H506">
        <v>1.2070006035003E-3</v>
      </c>
      <c r="I506">
        <v>3.2786885245901599E-2</v>
      </c>
      <c r="J506" s="14" t="str">
        <f>_xlfn.XLOOKUP(B506,CAD_PDV!A:A,CAD_PDV!B:B)</f>
        <v>BONELI BIAZI CELULARES EIRELI - ME</v>
      </c>
      <c r="K506" s="14">
        <f>IF(IFERROR(_xlfn.XLOOKUP(B506,Planilha2!D:D,Planilha2!H:H),0)="SIM",1,0)</f>
        <v>0</v>
      </c>
      <c r="L506" s="14" t="str">
        <f>_xlfn.XLOOKUP(B506,CAD_PDV!A:A,CAD_PDV!C:C)</f>
        <v>SP2</v>
      </c>
      <c r="M506" s="14" t="str">
        <f>IFERROR(_xlfn.XLOOKUP(B506,repete!A:A,repete!A:A),"-")</f>
        <v>-</v>
      </c>
    </row>
    <row r="507" spans="1:13" hidden="1">
      <c r="A507" s="1">
        <v>46054</v>
      </c>
      <c r="B507" t="s">
        <v>1664</v>
      </c>
      <c r="C507" t="s">
        <v>1659</v>
      </c>
      <c r="D507" t="s">
        <v>232</v>
      </c>
      <c r="E507" t="s">
        <v>54</v>
      </c>
      <c r="F507">
        <v>50</v>
      </c>
      <c r="G507">
        <v>2</v>
      </c>
      <c r="H507">
        <v>1.2070006035003E-3</v>
      </c>
      <c r="I507">
        <v>0.04</v>
      </c>
      <c r="J507" s="14" t="str">
        <f>_xlfn.XLOOKUP(B507,CAD_PDV!A:A,CAD_PDV!B:B)</f>
        <v>HS TELECOM</v>
      </c>
      <c r="K507" s="14">
        <f>IF(IFERROR(_xlfn.XLOOKUP(B507,Planilha2!D:D,Planilha2!H:H),0)="SIM",1,0)</f>
        <v>0</v>
      </c>
      <c r="L507" s="14" t="str">
        <f>_xlfn.XLOOKUP(B507,CAD_PDV!A:A,CAD_PDV!C:C)</f>
        <v>SP2</v>
      </c>
      <c r="M507" s="14" t="str">
        <f>IFERROR(_xlfn.XLOOKUP(B507,repete!A:A,repete!A:A),"-")</f>
        <v>-</v>
      </c>
    </row>
    <row r="508" spans="1:13" hidden="1">
      <c r="A508" s="1">
        <v>46054</v>
      </c>
      <c r="B508" t="s">
        <v>1673</v>
      </c>
      <c r="C508" t="s">
        <v>1545</v>
      </c>
      <c r="D508" t="s">
        <v>232</v>
      </c>
      <c r="E508" t="s">
        <v>54</v>
      </c>
      <c r="F508">
        <v>67</v>
      </c>
      <c r="G508">
        <v>2</v>
      </c>
      <c r="H508">
        <v>1.2070006035003E-3</v>
      </c>
      <c r="I508">
        <v>2.9850746268656699E-2</v>
      </c>
      <c r="J508" s="14" t="str">
        <f>_xlfn.XLOOKUP(B508,CAD_PDV!A:A,CAD_PDV!B:B)</f>
        <v>HS TELECOM</v>
      </c>
      <c r="K508" s="14">
        <f>IF(IFERROR(_xlfn.XLOOKUP(B508,Planilha2!D:D,Planilha2!H:H),0)="SIM",1,0)</f>
        <v>0</v>
      </c>
      <c r="L508" s="14" t="str">
        <f>_xlfn.XLOOKUP(B508,CAD_PDV!A:A,CAD_PDV!C:C)</f>
        <v>SP2</v>
      </c>
      <c r="M508" s="14" t="str">
        <f>IFERROR(_xlfn.XLOOKUP(B508,repete!A:A,repete!A:A),"-")</f>
        <v>-</v>
      </c>
    </row>
    <row r="509" spans="1:13" hidden="1">
      <c r="A509" s="1">
        <v>46054</v>
      </c>
      <c r="B509" t="s">
        <v>1279</v>
      </c>
      <c r="C509" t="s">
        <v>1280</v>
      </c>
      <c r="D509" t="s">
        <v>228</v>
      </c>
      <c r="E509" t="s">
        <v>55</v>
      </c>
      <c r="F509">
        <v>13</v>
      </c>
      <c r="G509">
        <v>2</v>
      </c>
      <c r="H509">
        <v>1.2070006035003E-3</v>
      </c>
      <c r="I509">
        <v>0.15384615384615399</v>
      </c>
      <c r="J509" s="14" t="str">
        <f>_xlfn.XLOOKUP(B509,CAD_PDV!A:A,CAD_PDV!B:B)</f>
        <v>FAJULUTI</v>
      </c>
      <c r="K509" s="14">
        <f>IF(IFERROR(_xlfn.XLOOKUP(B509,Planilha2!D:D,Planilha2!H:H),0)="SIM",1,0)</f>
        <v>0</v>
      </c>
      <c r="L509" s="14" t="str">
        <f>_xlfn.XLOOKUP(B509,CAD_PDV!A:A,CAD_PDV!C:C)</f>
        <v>RJ/ES</v>
      </c>
      <c r="M509" s="14" t="str">
        <f>IFERROR(_xlfn.XLOOKUP(B509,repete!A:A,repete!A:A),"-")</f>
        <v>-</v>
      </c>
    </row>
    <row r="510" spans="1:13" hidden="1">
      <c r="A510" s="1">
        <v>46054</v>
      </c>
      <c r="B510" t="s">
        <v>1679</v>
      </c>
      <c r="C510" t="s">
        <v>1451</v>
      </c>
      <c r="D510" t="s">
        <v>232</v>
      </c>
      <c r="E510" t="s">
        <v>54</v>
      </c>
      <c r="F510">
        <v>44</v>
      </c>
      <c r="G510">
        <v>2</v>
      </c>
      <c r="H510">
        <v>1.2070006035003E-3</v>
      </c>
      <c r="I510">
        <v>4.5454545454545497E-2</v>
      </c>
      <c r="J510" s="14" t="str">
        <f>_xlfn.XLOOKUP(B510,CAD_PDV!A:A,CAD_PDV!B:B)</f>
        <v>HS TELECOM</v>
      </c>
      <c r="K510" s="14">
        <f>IF(IFERROR(_xlfn.XLOOKUP(B510,Planilha2!D:D,Planilha2!H:H),0)="SIM",1,0)</f>
        <v>0</v>
      </c>
      <c r="L510" s="14" t="str">
        <f>_xlfn.XLOOKUP(B510,CAD_PDV!A:A,CAD_PDV!C:C)</f>
        <v>SP2</v>
      </c>
      <c r="M510" s="14" t="str">
        <f>IFERROR(_xlfn.XLOOKUP(B510,repete!A:A,repete!A:A),"-")</f>
        <v>-</v>
      </c>
    </row>
    <row r="511" spans="1:13" hidden="1">
      <c r="A511" s="1">
        <v>46054</v>
      </c>
      <c r="B511" t="s">
        <v>1172</v>
      </c>
      <c r="C511" t="s">
        <v>1142</v>
      </c>
      <c r="D511" t="s">
        <v>2072</v>
      </c>
      <c r="E511" t="s">
        <v>55</v>
      </c>
      <c r="F511">
        <v>37</v>
      </c>
      <c r="G511">
        <v>2</v>
      </c>
      <c r="H511">
        <v>1.2070006035003E-3</v>
      </c>
      <c r="I511">
        <v>5.4054054054054099E-2</v>
      </c>
      <c r="J511" s="14" t="str">
        <f>_xlfn.XLOOKUP(B511,CAD_PDV!A:A,CAD_PDV!B:B)</f>
        <v>MEXCELL COMERCIO E SERVICOS DE TELECOMUNICACOES LTDA</v>
      </c>
      <c r="K511" s="14">
        <f>IF(IFERROR(_xlfn.XLOOKUP(B511,Planilha2!D:D,Planilha2!H:H),0)="SIM",1,0)</f>
        <v>0</v>
      </c>
      <c r="L511" s="14" t="str">
        <f>_xlfn.XLOOKUP(B511,CAD_PDV!A:A,CAD_PDV!C:C)</f>
        <v>RJ/ES</v>
      </c>
      <c r="M511" s="14" t="str">
        <f>IFERROR(_xlfn.XLOOKUP(B511,repete!A:A,repete!A:A),"-")</f>
        <v>-</v>
      </c>
    </row>
    <row r="512" spans="1:13" hidden="1">
      <c r="A512" s="1">
        <v>46054</v>
      </c>
      <c r="B512" t="s">
        <v>1707</v>
      </c>
      <c r="C512" t="s">
        <v>1521</v>
      </c>
      <c r="D512" t="s">
        <v>132</v>
      </c>
      <c r="E512" t="s">
        <v>54</v>
      </c>
      <c r="F512">
        <v>34</v>
      </c>
      <c r="G512">
        <v>2</v>
      </c>
      <c r="H512">
        <v>1.2070006035003E-3</v>
      </c>
      <c r="I512">
        <v>5.8823529411764698E-2</v>
      </c>
      <c r="J512" s="14" t="str">
        <f>_xlfn.XLOOKUP(B512,CAD_PDV!A:A,CAD_PDV!B:B)</f>
        <v>FLEX CELL</v>
      </c>
      <c r="K512" s="14">
        <f>IF(IFERROR(_xlfn.XLOOKUP(B512,Planilha2!D:D,Planilha2!H:H),0)="SIM",1,0)</f>
        <v>0</v>
      </c>
      <c r="L512" s="14" t="str">
        <f>_xlfn.XLOOKUP(B512,CAD_PDV!A:A,CAD_PDV!C:C)</f>
        <v>SP2</v>
      </c>
      <c r="M512" s="14" t="str">
        <f>IFERROR(_xlfn.XLOOKUP(B512,repete!A:A,repete!A:A),"-")</f>
        <v>-</v>
      </c>
    </row>
    <row r="513" spans="1:13" hidden="1">
      <c r="A513" s="1">
        <v>46054</v>
      </c>
      <c r="B513" t="s">
        <v>1032</v>
      </c>
      <c r="C513" t="s">
        <v>944</v>
      </c>
      <c r="D513" t="s">
        <v>222</v>
      </c>
      <c r="E513" t="s">
        <v>60</v>
      </c>
      <c r="F513">
        <v>51</v>
      </c>
      <c r="G513">
        <v>2</v>
      </c>
      <c r="H513">
        <v>1.2070006035003E-3</v>
      </c>
      <c r="I513">
        <v>3.9215686274509803E-2</v>
      </c>
      <c r="J513" s="14" t="str">
        <f>_xlfn.XLOOKUP(B513,CAD_PDV!A:A,CAD_PDV!B:B)</f>
        <v>ANCLA COMERCIO</v>
      </c>
      <c r="K513" s="14">
        <f>IF(IFERROR(_xlfn.XLOOKUP(B513,Planilha2!D:D,Planilha2!H:H),0)="SIM",1,0)</f>
        <v>0</v>
      </c>
      <c r="L513" s="14" t="str">
        <f>_xlfn.XLOOKUP(B513,CAD_PDV!A:A,CAD_PDV!C:C)</f>
        <v>BA/SE</v>
      </c>
      <c r="M513" s="14" t="str">
        <f>IFERROR(_xlfn.XLOOKUP(B513,repete!A:A,repete!A:A),"-")</f>
        <v>-</v>
      </c>
    </row>
    <row r="514" spans="1:13" hidden="1">
      <c r="A514" s="1">
        <v>46054</v>
      </c>
      <c r="B514" t="s">
        <v>1374</v>
      </c>
      <c r="C514" t="s">
        <v>1375</v>
      </c>
      <c r="D514" t="s">
        <v>229</v>
      </c>
      <c r="E514" t="s">
        <v>53</v>
      </c>
      <c r="F514">
        <v>56</v>
      </c>
      <c r="G514">
        <v>2</v>
      </c>
      <c r="H514">
        <v>1.2070006035003E-3</v>
      </c>
      <c r="I514">
        <v>3.5714285714285698E-2</v>
      </c>
      <c r="J514" s="14" t="str">
        <f>_xlfn.XLOOKUP(B514,CAD_PDV!A:A,CAD_PDV!B:B)</f>
        <v>FW TELEFONIA LTDA - EPP</v>
      </c>
      <c r="K514" s="14">
        <f>IF(IFERROR(_xlfn.XLOOKUP(B514,Planilha2!D:D,Planilha2!H:H),0)="SIM",1,0)</f>
        <v>0</v>
      </c>
      <c r="L514" s="14" t="str">
        <f>_xlfn.XLOOKUP(B514,CAD_PDV!A:A,CAD_PDV!C:C)</f>
        <v>SP1</v>
      </c>
      <c r="M514" s="14" t="str">
        <f>IFERROR(_xlfn.XLOOKUP(B514,repete!A:A,repete!A:A),"-")</f>
        <v>-</v>
      </c>
    </row>
    <row r="515" spans="1:13" hidden="1">
      <c r="A515" s="1">
        <v>46054</v>
      </c>
      <c r="B515" t="s">
        <v>470</v>
      </c>
      <c r="C515" t="s">
        <v>471</v>
      </c>
      <c r="D515" t="s">
        <v>235</v>
      </c>
      <c r="E515" t="s">
        <v>56</v>
      </c>
      <c r="F515">
        <v>22</v>
      </c>
      <c r="G515">
        <v>2</v>
      </c>
      <c r="H515">
        <v>1.2070006035003E-3</v>
      </c>
      <c r="I515">
        <v>9.0909090909090898E-2</v>
      </c>
      <c r="J515" s="14" t="str">
        <f>_xlfn.XLOOKUP(B515,CAD_PDV!A:A,CAD_PDV!B:B)</f>
        <v>P.G.L CELULARES LTDA</v>
      </c>
      <c r="K515" s="14">
        <f>IF(IFERROR(_xlfn.XLOOKUP(B515,Planilha2!D:D,Planilha2!H:H),0)="SIM",1,0)</f>
        <v>0</v>
      </c>
      <c r="L515" s="14" t="str">
        <f>_xlfn.XLOOKUP(B515,CAD_PDV!A:A,CAD_PDV!C:C)</f>
        <v>MG</v>
      </c>
      <c r="M515" s="14" t="str">
        <f>IFERROR(_xlfn.XLOOKUP(B515,repete!A:A,repete!A:A),"-")</f>
        <v>-</v>
      </c>
    </row>
    <row r="516" spans="1:13" hidden="1">
      <c r="A516" s="1">
        <v>46054</v>
      </c>
      <c r="B516" t="s">
        <v>2029</v>
      </c>
      <c r="C516" t="s">
        <v>2026</v>
      </c>
      <c r="D516" t="s">
        <v>193</v>
      </c>
      <c r="E516" t="s">
        <v>2074</v>
      </c>
      <c r="F516">
        <v>43</v>
      </c>
      <c r="G516">
        <v>2</v>
      </c>
      <c r="H516">
        <v>1.2070006035003E-3</v>
      </c>
      <c r="I516">
        <v>4.6511627906976702E-2</v>
      </c>
      <c r="J516" s="14" t="str">
        <f>_xlfn.XLOOKUP(B516,CAD_PDV!A:A,CAD_PDV!B:B)</f>
        <v>S D COMERCIO DE CELULARES LTDA - ME</v>
      </c>
      <c r="K516" s="14">
        <f>IF(IFERROR(_xlfn.XLOOKUP(B516,Planilha2!D:D,Planilha2!H:H),0)="SIM",1,0)</f>
        <v>0</v>
      </c>
      <c r="L516" s="14" t="str">
        <f>_xlfn.XLOOKUP(B516,CAD_PDV!A:A,CAD_PDV!C:C)</f>
        <v>RS</v>
      </c>
      <c r="M516" s="14" t="str">
        <f>IFERROR(_xlfn.XLOOKUP(B516,repete!A:A,repete!A:A),"-")</f>
        <v>-</v>
      </c>
    </row>
    <row r="517" spans="1:13" hidden="1">
      <c r="A517" s="1">
        <v>46054</v>
      </c>
      <c r="B517" t="s">
        <v>1271</v>
      </c>
      <c r="C517" t="s">
        <v>1142</v>
      </c>
      <c r="D517" t="s">
        <v>233</v>
      </c>
      <c r="E517" t="s">
        <v>55</v>
      </c>
      <c r="F517">
        <v>24</v>
      </c>
      <c r="G517">
        <v>2</v>
      </c>
      <c r="H517">
        <v>1.2070006035003E-3</v>
      </c>
      <c r="I517">
        <v>8.3333333333333301E-2</v>
      </c>
      <c r="J517" s="14" t="str">
        <f>_xlfn.XLOOKUP(B517,CAD_PDV!A:A,CAD_PDV!B:B)</f>
        <v>LEINAD COMERCIO E SERVICO EIRELI</v>
      </c>
      <c r="K517" s="14">
        <f>IF(IFERROR(_xlfn.XLOOKUP(B517,Planilha2!D:D,Planilha2!H:H),0)="SIM",1,0)</f>
        <v>0</v>
      </c>
      <c r="L517" s="14" t="str">
        <f>_xlfn.XLOOKUP(B517,CAD_PDV!A:A,CAD_PDV!C:C)</f>
        <v>RJ/ES</v>
      </c>
      <c r="M517" s="14" t="str">
        <f>IFERROR(_xlfn.XLOOKUP(B517,repete!A:A,repete!A:A),"-")</f>
        <v>-</v>
      </c>
    </row>
    <row r="518" spans="1:13" hidden="1">
      <c r="A518" s="1">
        <v>46054</v>
      </c>
      <c r="B518" t="s">
        <v>937</v>
      </c>
      <c r="C518" t="s">
        <v>940</v>
      </c>
      <c r="D518" t="s">
        <v>236</v>
      </c>
      <c r="E518" t="s">
        <v>60</v>
      </c>
      <c r="F518">
        <v>27</v>
      </c>
      <c r="G518">
        <v>1</v>
      </c>
      <c r="H518">
        <v>6.0350030175015099E-4</v>
      </c>
      <c r="I518">
        <v>3.7037037037037E-2</v>
      </c>
      <c r="J518" s="14" t="str">
        <f>_xlfn.XLOOKUP(B518,CAD_PDV!A:A,CAD_PDV!B:B)</f>
        <v>PAULA C L NIELLA EIRELI</v>
      </c>
      <c r="K518" s="14">
        <f>IF(IFERROR(_xlfn.XLOOKUP(B518,Planilha2!D:D,Planilha2!H:H),0)="SIM",1,0)</f>
        <v>0</v>
      </c>
      <c r="L518" s="14" t="str">
        <f>_xlfn.XLOOKUP(B518,CAD_PDV!A:A,CAD_PDV!C:C)</f>
        <v>BA/SE</v>
      </c>
      <c r="M518" s="14" t="str">
        <f>IFERROR(_xlfn.XLOOKUP(B518,repete!A:A,repete!A:A),"-")</f>
        <v>-</v>
      </c>
    </row>
    <row r="519" spans="1:13" hidden="1">
      <c r="A519" s="1">
        <v>46054</v>
      </c>
      <c r="B519" t="s">
        <v>941</v>
      </c>
      <c r="C519" t="s">
        <v>944</v>
      </c>
      <c r="D519" t="s">
        <v>232</v>
      </c>
      <c r="E519" t="s">
        <v>60</v>
      </c>
      <c r="F519">
        <v>90</v>
      </c>
      <c r="G519">
        <v>1</v>
      </c>
      <c r="H519">
        <v>6.0350030175015099E-4</v>
      </c>
      <c r="I519">
        <v>1.1111111111111099E-2</v>
      </c>
      <c r="J519" s="14" t="str">
        <f>_xlfn.XLOOKUP(B519,CAD_PDV!A:A,CAD_PDV!B:B)</f>
        <v>HS TELECOM</v>
      </c>
      <c r="K519" s="14">
        <f>IF(IFERROR(_xlfn.XLOOKUP(B519,Planilha2!D:D,Planilha2!H:H),0)="SIM",1,0)</f>
        <v>0</v>
      </c>
      <c r="L519" s="14" t="str">
        <f>_xlfn.XLOOKUP(B519,CAD_PDV!A:A,CAD_PDV!C:C)</f>
        <v>BA/SE</v>
      </c>
      <c r="M519" s="14" t="str">
        <f>IFERROR(_xlfn.XLOOKUP(B519,repete!A:A,repete!A:A),"-")</f>
        <v>-</v>
      </c>
    </row>
    <row r="520" spans="1:13" hidden="1">
      <c r="A520" s="1">
        <v>46054</v>
      </c>
      <c r="B520" t="s">
        <v>1326</v>
      </c>
      <c r="C520" t="s">
        <v>1313</v>
      </c>
      <c r="D520" t="s">
        <v>225</v>
      </c>
      <c r="E520" t="s">
        <v>53</v>
      </c>
      <c r="F520">
        <v>117</v>
      </c>
      <c r="G520">
        <v>1</v>
      </c>
      <c r="H520">
        <v>6.0350030175015099E-4</v>
      </c>
      <c r="I520">
        <v>8.5470085470085496E-3</v>
      </c>
      <c r="J520" s="14" t="str">
        <f>_xlfn.XLOOKUP(B520,CAD_PDV!A:A,CAD_PDV!B:B)</f>
        <v>CLARICELL SP1</v>
      </c>
      <c r="K520" s="14">
        <f>IF(IFERROR(_xlfn.XLOOKUP(B520,Planilha2!D:D,Planilha2!H:H),0)="SIM",1,0)</f>
        <v>0</v>
      </c>
      <c r="L520" s="14" t="str">
        <f>_xlfn.XLOOKUP(B520,CAD_PDV!A:A,CAD_PDV!C:C)</f>
        <v>SP1</v>
      </c>
      <c r="M520" s="14" t="str">
        <f>IFERROR(_xlfn.XLOOKUP(B520,repete!A:A,repete!A:A),"-")</f>
        <v>-</v>
      </c>
    </row>
    <row r="521" spans="1:13" hidden="1">
      <c r="A521" s="1">
        <v>46054</v>
      </c>
      <c r="B521" t="s">
        <v>1351</v>
      </c>
      <c r="C521" t="s">
        <v>1313</v>
      </c>
      <c r="D521" t="s">
        <v>132</v>
      </c>
      <c r="E521" t="s">
        <v>53</v>
      </c>
      <c r="F521">
        <v>104</v>
      </c>
      <c r="G521">
        <v>1</v>
      </c>
      <c r="H521">
        <v>6.0350030175015099E-4</v>
      </c>
      <c r="I521">
        <v>9.6153846153846194E-3</v>
      </c>
      <c r="J521" s="14" t="str">
        <f>_xlfn.XLOOKUP(B521,CAD_PDV!A:A,CAD_PDV!B:B)</f>
        <v>FLEX CELL</v>
      </c>
      <c r="K521" s="14">
        <f>IF(IFERROR(_xlfn.XLOOKUP(B521,Planilha2!D:D,Planilha2!H:H),0)="SIM",1,0)</f>
        <v>0</v>
      </c>
      <c r="L521" s="14" t="str">
        <f>_xlfn.XLOOKUP(B521,CAD_PDV!A:A,CAD_PDV!C:C)</f>
        <v>SP1</v>
      </c>
      <c r="M521" s="14" t="str">
        <f>IFERROR(_xlfn.XLOOKUP(B521,repete!A:A,repete!A:A),"-")</f>
        <v>-</v>
      </c>
    </row>
    <row r="522" spans="1:13" hidden="1">
      <c r="A522" s="1">
        <v>46054</v>
      </c>
      <c r="B522" t="s">
        <v>2090</v>
      </c>
      <c r="C522" t="s">
        <v>1757</v>
      </c>
      <c r="D522" t="s">
        <v>2080</v>
      </c>
      <c r="E522" t="s">
        <v>2074</v>
      </c>
      <c r="F522">
        <v>42</v>
      </c>
      <c r="G522">
        <v>1</v>
      </c>
      <c r="H522">
        <v>6.0350030175015099E-4</v>
      </c>
      <c r="I522">
        <v>2.3809523809523801E-2</v>
      </c>
      <c r="J522" s="14" t="e">
        <f>_xlfn.XLOOKUP(B522,CAD_PDV!A:A,CAD_PDV!B:B)</f>
        <v>#N/A</v>
      </c>
      <c r="K522" s="14">
        <f>IF(IFERROR(_xlfn.XLOOKUP(B522,Planilha2!D:D,Planilha2!H:H),0)="SIM",1,0)</f>
        <v>0</v>
      </c>
      <c r="L522" s="14" t="e">
        <f>_xlfn.XLOOKUP(B522,CAD_PDV!A:A,CAD_PDV!C:C)</f>
        <v>#N/A</v>
      </c>
      <c r="M522" s="14" t="str">
        <f>IFERROR(_xlfn.XLOOKUP(B522,repete!A:A,repete!A:A),"-")</f>
        <v>-</v>
      </c>
    </row>
    <row r="523" spans="1:13" hidden="1">
      <c r="A523" s="1">
        <v>46054</v>
      </c>
      <c r="B523" t="s">
        <v>1195</v>
      </c>
      <c r="C523" t="s">
        <v>1196</v>
      </c>
      <c r="D523" t="s">
        <v>228</v>
      </c>
      <c r="E523" t="s">
        <v>55</v>
      </c>
      <c r="F523">
        <v>36</v>
      </c>
      <c r="G523">
        <v>1</v>
      </c>
      <c r="H523">
        <v>6.0350030175015099E-4</v>
      </c>
      <c r="I523">
        <v>2.7777777777777801E-2</v>
      </c>
      <c r="J523" s="14" t="str">
        <f>_xlfn.XLOOKUP(B523,CAD_PDV!A:A,CAD_PDV!B:B)</f>
        <v>FAJULUTI</v>
      </c>
      <c r="K523" s="14">
        <f>IF(IFERROR(_xlfn.XLOOKUP(B523,Planilha2!D:D,Planilha2!H:H),0)="SIM",1,0)</f>
        <v>0</v>
      </c>
      <c r="L523" s="14" t="str">
        <f>_xlfn.XLOOKUP(B523,CAD_PDV!A:A,CAD_PDV!C:C)</f>
        <v>RJ/ES</v>
      </c>
      <c r="M523" s="14" t="str">
        <f>IFERROR(_xlfn.XLOOKUP(B523,repete!A:A,repete!A:A),"-")</f>
        <v>-</v>
      </c>
    </row>
    <row r="524" spans="1:13" hidden="1">
      <c r="A524" s="1">
        <v>46054</v>
      </c>
      <c r="B524" t="s">
        <v>1436</v>
      </c>
      <c r="C524" t="s">
        <v>1439</v>
      </c>
      <c r="D524" t="s">
        <v>120</v>
      </c>
      <c r="E524" t="s">
        <v>54</v>
      </c>
      <c r="F524">
        <v>69</v>
      </c>
      <c r="G524">
        <v>1</v>
      </c>
      <c r="H524">
        <v>6.0350030175015099E-4</v>
      </c>
      <c r="I524">
        <v>1.4492753623188401E-2</v>
      </c>
      <c r="J524" s="14" t="str">
        <f>_xlfn.XLOOKUP(B524,CAD_PDV!A:A,CAD_PDV!B:B)</f>
        <v>DOUGLAS LUIZ ELETRONICOS - ME</v>
      </c>
      <c r="K524" s="14">
        <f>IF(IFERROR(_xlfn.XLOOKUP(B524,Planilha2!D:D,Planilha2!H:H),0)="SIM",1,0)</f>
        <v>0</v>
      </c>
      <c r="L524" s="14" t="str">
        <f>_xlfn.XLOOKUP(B524,CAD_PDV!A:A,CAD_PDV!C:C)</f>
        <v>SP2</v>
      </c>
      <c r="M524" s="14" t="str">
        <f>IFERROR(_xlfn.XLOOKUP(B524,repete!A:A,repete!A:A),"-")</f>
        <v>-</v>
      </c>
    </row>
    <row r="525" spans="1:13" hidden="1">
      <c r="A525" s="1">
        <v>46054</v>
      </c>
      <c r="B525" t="s">
        <v>642</v>
      </c>
      <c r="C525" t="s">
        <v>644</v>
      </c>
      <c r="D525" t="s">
        <v>240</v>
      </c>
      <c r="E525" t="s">
        <v>59</v>
      </c>
      <c r="F525">
        <v>41</v>
      </c>
      <c r="G525">
        <v>1</v>
      </c>
      <c r="H525">
        <v>6.0350030175015099E-4</v>
      </c>
      <c r="I525">
        <v>2.4390243902439001E-2</v>
      </c>
      <c r="J525" s="14" t="str">
        <f>_xlfn.XLOOKUP(B525,CAD_PDV!A:A,CAD_PDV!B:B)</f>
        <v>TELEMAIS TELEFONIA LTDA - ME</v>
      </c>
      <c r="K525" s="14">
        <f>IF(IFERROR(_xlfn.XLOOKUP(B525,Planilha2!D:D,Planilha2!H:H),0)="SIM",1,0)</f>
        <v>0</v>
      </c>
      <c r="L525" s="14" t="str">
        <f>_xlfn.XLOOKUP(B525,CAD_PDV!A:A,CAD_PDV!C:C)</f>
        <v>CO</v>
      </c>
      <c r="M525" s="14" t="str">
        <f>IFERROR(_xlfn.XLOOKUP(B525,repete!A:A,repete!A:A),"-")</f>
        <v>-</v>
      </c>
    </row>
    <row r="526" spans="1:13" hidden="1">
      <c r="A526" s="1">
        <v>46054</v>
      </c>
      <c r="B526" t="s">
        <v>1449</v>
      </c>
      <c r="C526" t="s">
        <v>1451</v>
      </c>
      <c r="D526" t="s">
        <v>132</v>
      </c>
      <c r="E526" t="s">
        <v>54</v>
      </c>
      <c r="F526">
        <v>37</v>
      </c>
      <c r="G526">
        <v>1</v>
      </c>
      <c r="H526">
        <v>6.0350030175015099E-4</v>
      </c>
      <c r="I526">
        <v>2.7027027027027001E-2</v>
      </c>
      <c r="J526" s="14" t="str">
        <f>_xlfn.XLOOKUP(B526,CAD_PDV!A:A,CAD_PDV!B:B)</f>
        <v>FLEX CELL</v>
      </c>
      <c r="K526" s="14">
        <f>IF(IFERROR(_xlfn.XLOOKUP(B526,Planilha2!D:D,Planilha2!H:H),0)="SIM",1,0)</f>
        <v>0</v>
      </c>
      <c r="L526" s="14" t="str">
        <f>_xlfn.XLOOKUP(B526,CAD_PDV!A:A,CAD_PDV!C:C)</f>
        <v>SP2</v>
      </c>
      <c r="M526" s="14" t="str">
        <f>IFERROR(_xlfn.XLOOKUP(B526,repete!A:A,repete!A:A),"-")</f>
        <v>-</v>
      </c>
    </row>
    <row r="527" spans="1:13" hidden="1">
      <c r="A527" s="1">
        <v>46054</v>
      </c>
      <c r="B527" t="s">
        <v>310</v>
      </c>
      <c r="C527" t="s">
        <v>311</v>
      </c>
      <c r="D527" t="s">
        <v>230</v>
      </c>
      <c r="E527" t="s">
        <v>61</v>
      </c>
      <c r="F527">
        <v>44</v>
      </c>
      <c r="G527">
        <v>1</v>
      </c>
      <c r="H527">
        <v>6.0350030175015099E-4</v>
      </c>
      <c r="I527">
        <v>2.27272727272727E-2</v>
      </c>
      <c r="J527" s="14" t="str">
        <f>_xlfn.XLOOKUP(B527,CAD_PDV!A:A,CAD_PDV!B:B)</f>
        <v>HARCOS COMERCIO E SERVICOS LTDA - EPP</v>
      </c>
      <c r="K527" s="14">
        <f>IF(IFERROR(_xlfn.XLOOKUP(B527,Planilha2!D:D,Planilha2!H:H),0)="SIM",1,0)</f>
        <v>0</v>
      </c>
      <c r="L527" s="14" t="str">
        <f>_xlfn.XLOOKUP(B527,CAD_PDV!A:A,CAD_PDV!C:C)</f>
        <v>NE</v>
      </c>
      <c r="M527" s="14" t="str">
        <f>IFERROR(_xlfn.XLOOKUP(B527,repete!A:A,repete!A:A),"-")</f>
        <v>-</v>
      </c>
    </row>
    <row r="528" spans="1:13" hidden="1">
      <c r="A528" s="1">
        <v>46054</v>
      </c>
      <c r="B528" t="s">
        <v>1483</v>
      </c>
      <c r="C528" t="s">
        <v>1484</v>
      </c>
      <c r="D528" t="s">
        <v>232</v>
      </c>
      <c r="E528" t="s">
        <v>54</v>
      </c>
      <c r="F528">
        <v>45</v>
      </c>
      <c r="G528">
        <v>1</v>
      </c>
      <c r="H528">
        <v>6.0350030175015099E-4</v>
      </c>
      <c r="I528">
        <v>2.2222222222222199E-2</v>
      </c>
      <c r="J528" s="14" t="str">
        <f>_xlfn.XLOOKUP(B528,CAD_PDV!A:A,CAD_PDV!B:B)</f>
        <v>HS TELECOM</v>
      </c>
      <c r="K528" s="14">
        <f>IF(IFERROR(_xlfn.XLOOKUP(B528,Planilha2!D:D,Planilha2!H:H),0)="SIM",1,0)</f>
        <v>0</v>
      </c>
      <c r="L528" s="14" t="str">
        <f>_xlfn.XLOOKUP(B528,CAD_PDV!A:A,CAD_PDV!C:C)</f>
        <v>SP2</v>
      </c>
      <c r="M528" s="14" t="str">
        <f>IFERROR(_xlfn.XLOOKUP(B528,repete!A:A,repete!A:A),"-")</f>
        <v>-</v>
      </c>
    </row>
    <row r="529" spans="1:13" hidden="1">
      <c r="A529" s="1">
        <v>46054</v>
      </c>
      <c r="B529" t="s">
        <v>1205</v>
      </c>
      <c r="C529" t="s">
        <v>1207</v>
      </c>
      <c r="D529" t="s">
        <v>228</v>
      </c>
      <c r="E529" t="s">
        <v>55</v>
      </c>
      <c r="F529">
        <v>54</v>
      </c>
      <c r="G529">
        <v>1</v>
      </c>
      <c r="H529">
        <v>6.0350030175015099E-4</v>
      </c>
      <c r="I529">
        <v>1.85185185185185E-2</v>
      </c>
      <c r="J529" s="14" t="str">
        <f>_xlfn.XLOOKUP(B529,CAD_PDV!A:A,CAD_PDV!B:B)</f>
        <v>FAJULUTI</v>
      </c>
      <c r="K529" s="14">
        <f>IF(IFERROR(_xlfn.XLOOKUP(B529,Planilha2!D:D,Planilha2!H:H),0)="SIM",1,0)</f>
        <v>0</v>
      </c>
      <c r="L529" s="14" t="str">
        <f>_xlfn.XLOOKUP(B529,CAD_PDV!A:A,CAD_PDV!C:C)</f>
        <v>RJ/ES</v>
      </c>
      <c r="M529" s="14" t="str">
        <f>IFERROR(_xlfn.XLOOKUP(B529,repete!A:A,repete!A:A),"-")</f>
        <v>-</v>
      </c>
    </row>
    <row r="530" spans="1:13" hidden="1">
      <c r="A530" s="1">
        <v>46054</v>
      </c>
      <c r="B530" t="s">
        <v>1758</v>
      </c>
      <c r="C530" t="s">
        <v>1757</v>
      </c>
      <c r="D530" t="s">
        <v>124</v>
      </c>
      <c r="E530" t="s">
        <v>2074</v>
      </c>
      <c r="F530">
        <v>76</v>
      </c>
      <c r="G530">
        <v>1</v>
      </c>
      <c r="H530">
        <v>6.0350030175015099E-4</v>
      </c>
      <c r="I530">
        <v>1.3157894736842099E-2</v>
      </c>
      <c r="J530" s="14" t="str">
        <f>_xlfn.XLOOKUP(B530,CAD_PDV!A:A,CAD_PDV!B:B)</f>
        <v>EDUARDO JUNQUEIRA DA SILVEIRA ADMIN</v>
      </c>
      <c r="K530" s="14">
        <f>IF(IFERROR(_xlfn.XLOOKUP(B530,Planilha2!D:D,Planilha2!H:H),0)="SIM",1,0)</f>
        <v>0</v>
      </c>
      <c r="L530" s="14" t="str">
        <f>_xlfn.XLOOKUP(B530,CAD_PDV!A:A,CAD_PDV!C:C)</f>
        <v>RS</v>
      </c>
      <c r="M530" s="14" t="str">
        <f>IFERROR(_xlfn.XLOOKUP(B530,repete!A:A,repete!A:A),"-")</f>
        <v>5D78</v>
      </c>
    </row>
    <row r="531" spans="1:13" hidden="1">
      <c r="A531" s="1">
        <v>46054</v>
      </c>
      <c r="B531" t="s">
        <v>693</v>
      </c>
      <c r="C531" t="s">
        <v>694</v>
      </c>
      <c r="D531" t="s">
        <v>239</v>
      </c>
      <c r="E531" t="s">
        <v>59</v>
      </c>
      <c r="F531">
        <v>33</v>
      </c>
      <c r="G531">
        <v>1</v>
      </c>
      <c r="H531">
        <v>6.0350030175015099E-4</v>
      </c>
      <c r="I531">
        <v>3.03030303030303E-2</v>
      </c>
      <c r="J531" s="14" t="str">
        <f>_xlfn.XLOOKUP(B531,CAD_PDV!A:A,CAD_PDV!B:B)</f>
        <v>TELECELL TELEFONIA LTDA - ME</v>
      </c>
      <c r="K531" s="14">
        <f>IF(IFERROR(_xlfn.XLOOKUP(B531,Planilha2!D:D,Planilha2!H:H),0)="SIM",1,0)</f>
        <v>0</v>
      </c>
      <c r="L531" s="14" t="str">
        <f>_xlfn.XLOOKUP(B531,CAD_PDV!A:A,CAD_PDV!C:C)</f>
        <v>CO</v>
      </c>
      <c r="M531" s="14" t="str">
        <f>IFERROR(_xlfn.XLOOKUP(B531,repete!A:A,repete!A:A),"-")</f>
        <v>-</v>
      </c>
    </row>
    <row r="532" spans="1:13" hidden="1">
      <c r="A532" s="1">
        <v>46054</v>
      </c>
      <c r="B532" t="s">
        <v>1784</v>
      </c>
      <c r="C532" t="s">
        <v>1785</v>
      </c>
      <c r="D532" t="s">
        <v>103</v>
      </c>
      <c r="E532" t="s">
        <v>2074</v>
      </c>
      <c r="F532">
        <v>19</v>
      </c>
      <c r="G532">
        <v>1</v>
      </c>
      <c r="H532">
        <v>6.0350030175015099E-4</v>
      </c>
      <c r="I532">
        <v>5.2631578947368397E-2</v>
      </c>
      <c r="J532" s="14" t="str">
        <f>_xlfn.XLOOKUP(B532,CAD_PDV!A:A,CAD_PDV!B:B)</f>
        <v>CARLOS EDUARDO SAVIAN - EPP</v>
      </c>
      <c r="K532" s="14">
        <f>IF(IFERROR(_xlfn.XLOOKUP(B532,Planilha2!D:D,Planilha2!H:H),0)="SIM",1,0)</f>
        <v>0</v>
      </c>
      <c r="L532" s="14" t="str">
        <f>_xlfn.XLOOKUP(B532,CAD_PDV!A:A,CAD_PDV!C:C)</f>
        <v>PR/SC</v>
      </c>
      <c r="M532" s="14" t="str">
        <f>IFERROR(_xlfn.XLOOKUP(B532,repete!A:A,repete!A:A),"-")</f>
        <v>-</v>
      </c>
    </row>
    <row r="533" spans="1:13" hidden="1">
      <c r="A533" s="1">
        <v>46054</v>
      </c>
      <c r="B533" t="s">
        <v>2038</v>
      </c>
      <c r="C533" t="s">
        <v>2040</v>
      </c>
      <c r="D533" t="s">
        <v>193</v>
      </c>
      <c r="E533" t="s">
        <v>2074</v>
      </c>
      <c r="F533">
        <v>13</v>
      </c>
      <c r="G533">
        <v>1</v>
      </c>
      <c r="H533">
        <v>6.0350030175015099E-4</v>
      </c>
      <c r="I533">
        <v>7.69230769230769E-2</v>
      </c>
      <c r="J533" s="14" t="str">
        <f>_xlfn.XLOOKUP(B533,CAD_PDV!A:A,CAD_PDV!B:B)</f>
        <v>S D COMERCIO DE CELULARES LTDA - ME</v>
      </c>
      <c r="K533" s="14">
        <f>IF(IFERROR(_xlfn.XLOOKUP(B533,Planilha2!D:D,Planilha2!H:H),0)="SIM",1,0)</f>
        <v>0</v>
      </c>
      <c r="L533" s="14" t="str">
        <f>_xlfn.XLOOKUP(B533,CAD_PDV!A:A,CAD_PDV!C:C)</f>
        <v>RS</v>
      </c>
      <c r="M533" s="14" t="str">
        <f>IFERROR(_xlfn.XLOOKUP(B533,repete!A:A,repete!A:A),"-")</f>
        <v>-</v>
      </c>
    </row>
    <row r="534" spans="1:13" hidden="1">
      <c r="A534" s="1">
        <v>46054</v>
      </c>
      <c r="B534" t="s">
        <v>1905</v>
      </c>
      <c r="C534" t="s">
        <v>1904</v>
      </c>
      <c r="D534" t="s">
        <v>106</v>
      </c>
      <c r="E534" t="s">
        <v>2074</v>
      </c>
      <c r="F534">
        <v>45</v>
      </c>
      <c r="G534">
        <v>1</v>
      </c>
      <c r="H534">
        <v>6.0350030175015099E-4</v>
      </c>
      <c r="I534">
        <v>2.2222222222222199E-2</v>
      </c>
      <c r="J534" s="14" t="str">
        <f>_xlfn.XLOOKUP(B534,CAD_PDV!A:A,CAD_PDV!B:B)</f>
        <v>CELLULAR.COM</v>
      </c>
      <c r="K534" s="14">
        <f>IF(IFERROR(_xlfn.XLOOKUP(B534,Planilha2!D:D,Planilha2!H:H),0)="SIM",1,0)</f>
        <v>0</v>
      </c>
      <c r="L534" s="14" t="str">
        <f>_xlfn.XLOOKUP(B534,CAD_PDV!A:A,CAD_PDV!C:C)</f>
        <v>PR/SC</v>
      </c>
      <c r="M534" s="14" t="str">
        <f>IFERROR(_xlfn.XLOOKUP(B534,repete!A:A,repete!A:A),"-")</f>
        <v>-</v>
      </c>
    </row>
    <row r="535" spans="1:13" hidden="1">
      <c r="A535" s="1">
        <v>46054</v>
      </c>
      <c r="B535" t="s">
        <v>2050</v>
      </c>
      <c r="C535" t="s">
        <v>2051</v>
      </c>
      <c r="D535" t="s">
        <v>193</v>
      </c>
      <c r="E535" t="s">
        <v>2074</v>
      </c>
      <c r="F535">
        <v>13</v>
      </c>
      <c r="G535">
        <v>1</v>
      </c>
      <c r="H535">
        <v>6.0350030175015099E-4</v>
      </c>
      <c r="I535">
        <v>7.69230769230769E-2</v>
      </c>
      <c r="J535" s="14" t="str">
        <f>_xlfn.XLOOKUP(B535,CAD_PDV!A:A,CAD_PDV!B:B)</f>
        <v>S D COMERCIO DE CELULARES LTDA - ME</v>
      </c>
      <c r="K535" s="14">
        <f>IF(IFERROR(_xlfn.XLOOKUP(B535,Planilha2!D:D,Planilha2!H:H),0)="SIM",1,0)</f>
        <v>0</v>
      </c>
      <c r="L535" s="14" t="str">
        <f>_xlfn.XLOOKUP(B535,CAD_PDV!A:A,CAD_PDV!C:C)</f>
        <v>RS</v>
      </c>
      <c r="M535" s="14" t="str">
        <f>IFERROR(_xlfn.XLOOKUP(B535,repete!A:A,repete!A:A),"-")</f>
        <v>-</v>
      </c>
    </row>
    <row r="536" spans="1:13" hidden="1">
      <c r="A536" s="1">
        <v>46054</v>
      </c>
      <c r="B536" t="s">
        <v>1143</v>
      </c>
      <c r="C536" t="s">
        <v>1142</v>
      </c>
      <c r="D536" t="s">
        <v>237</v>
      </c>
      <c r="E536" t="s">
        <v>55</v>
      </c>
      <c r="F536">
        <v>166</v>
      </c>
      <c r="G536">
        <v>1</v>
      </c>
      <c r="H536">
        <v>6.0350030175015099E-4</v>
      </c>
      <c r="I536">
        <v>6.0240963855421699E-3</v>
      </c>
      <c r="J536" s="14" t="str">
        <f>_xlfn.XLOOKUP(B536,CAD_PDV!A:A,CAD_PDV!B:B)</f>
        <v>PONTO CERTO COMERCIO E COMUNICAÇÕES LTDA</v>
      </c>
      <c r="K536" s="14">
        <f>IF(IFERROR(_xlfn.XLOOKUP(B536,Planilha2!D:D,Planilha2!H:H),0)="SIM",1,0)</f>
        <v>0</v>
      </c>
      <c r="L536" s="14" t="str">
        <f>_xlfn.XLOOKUP(B536,CAD_PDV!A:A,CAD_PDV!C:C)</f>
        <v>RJ/ES</v>
      </c>
      <c r="M536" s="14" t="str">
        <f>IFERROR(_xlfn.XLOOKUP(B536,repete!A:A,repete!A:A),"-")</f>
        <v>-</v>
      </c>
    </row>
    <row r="537" spans="1:13" hidden="1">
      <c r="A537" s="1">
        <v>46054</v>
      </c>
      <c r="B537" t="s">
        <v>1538</v>
      </c>
      <c r="C537" t="s">
        <v>1489</v>
      </c>
      <c r="D537" t="s">
        <v>232</v>
      </c>
      <c r="E537" t="s">
        <v>54</v>
      </c>
      <c r="F537">
        <v>72</v>
      </c>
      <c r="G537">
        <v>1</v>
      </c>
      <c r="H537">
        <v>6.0350030175015099E-4</v>
      </c>
      <c r="I537">
        <v>1.38888888888889E-2</v>
      </c>
      <c r="J537" s="14" t="str">
        <f>_xlfn.XLOOKUP(B537,CAD_PDV!A:A,CAD_PDV!B:B)</f>
        <v>HS TELECOM</v>
      </c>
      <c r="K537" s="14">
        <f>IF(IFERROR(_xlfn.XLOOKUP(B537,Planilha2!D:D,Planilha2!H:H),0)="SIM",1,0)</f>
        <v>0</v>
      </c>
      <c r="L537" s="14" t="str">
        <f>_xlfn.XLOOKUP(B537,CAD_PDV!A:A,CAD_PDV!C:C)</f>
        <v>SP2</v>
      </c>
      <c r="M537" s="14" t="str">
        <f>IFERROR(_xlfn.XLOOKUP(B537,repete!A:A,repete!A:A),"-")</f>
        <v>-</v>
      </c>
    </row>
    <row r="538" spans="1:13" hidden="1">
      <c r="A538" s="1">
        <v>46054</v>
      </c>
      <c r="B538" t="s">
        <v>529</v>
      </c>
      <c r="C538" t="s">
        <v>530</v>
      </c>
      <c r="D538" t="s">
        <v>228</v>
      </c>
      <c r="E538" t="s">
        <v>56</v>
      </c>
      <c r="F538">
        <v>25</v>
      </c>
      <c r="G538">
        <v>1</v>
      </c>
      <c r="H538">
        <v>6.0350030175015099E-4</v>
      </c>
      <c r="I538">
        <v>0.04</v>
      </c>
      <c r="J538" s="14" t="str">
        <f>_xlfn.XLOOKUP(B538,CAD_PDV!A:A,CAD_PDV!B:B)</f>
        <v>FAJULUTI</v>
      </c>
      <c r="K538" s="14">
        <f>IF(IFERROR(_xlfn.XLOOKUP(B538,Planilha2!D:D,Planilha2!H:H),0)="SIM",1,0)</f>
        <v>0</v>
      </c>
      <c r="L538" s="14" t="str">
        <f>_xlfn.XLOOKUP(B538,CAD_PDV!A:A,CAD_PDV!C:C)</f>
        <v>MG</v>
      </c>
      <c r="M538" s="14" t="str">
        <f>IFERROR(_xlfn.XLOOKUP(B538,repete!A:A,repete!A:A),"-")</f>
        <v>-</v>
      </c>
    </row>
    <row r="539" spans="1:13" hidden="1">
      <c r="A539" s="1">
        <v>46054</v>
      </c>
      <c r="B539" t="s">
        <v>1906</v>
      </c>
      <c r="C539" t="s">
        <v>1904</v>
      </c>
      <c r="D539" t="s">
        <v>97</v>
      </c>
      <c r="E539" t="s">
        <v>2074</v>
      </c>
      <c r="F539">
        <v>29</v>
      </c>
      <c r="G539">
        <v>1</v>
      </c>
      <c r="H539">
        <v>6.0350030175015099E-4</v>
      </c>
      <c r="I539">
        <v>3.4482758620689703E-2</v>
      </c>
      <c r="J539" s="14" t="str">
        <f>_xlfn.XLOOKUP(B539,CAD_PDV!A:A,CAD_PDV!B:B)</f>
        <v>BANDEIRA</v>
      </c>
      <c r="K539" s="14">
        <f>IF(IFERROR(_xlfn.XLOOKUP(B539,Planilha2!D:D,Planilha2!H:H),0)="SIM",1,0)</f>
        <v>0</v>
      </c>
      <c r="L539" s="14" t="str">
        <f>_xlfn.XLOOKUP(B539,CAD_PDV!A:A,CAD_PDV!C:C)</f>
        <v>PR/SC</v>
      </c>
      <c r="M539" s="14" t="str">
        <f>IFERROR(_xlfn.XLOOKUP(B539,repete!A:A,repete!A:A),"-")</f>
        <v>-</v>
      </c>
    </row>
    <row r="540" spans="1:13" hidden="1">
      <c r="A540" s="1">
        <v>46054</v>
      </c>
      <c r="B540" t="s">
        <v>1376</v>
      </c>
      <c r="C540" t="s">
        <v>1346</v>
      </c>
      <c r="D540" t="s">
        <v>229</v>
      </c>
      <c r="E540" t="s">
        <v>53</v>
      </c>
      <c r="F540">
        <v>100</v>
      </c>
      <c r="G540">
        <v>1</v>
      </c>
      <c r="H540">
        <v>6.0350030175015099E-4</v>
      </c>
      <c r="I540">
        <v>0.01</v>
      </c>
      <c r="J540" s="14" t="str">
        <f>_xlfn.XLOOKUP(B540,CAD_PDV!A:A,CAD_PDV!B:B)</f>
        <v>FW TELEFONIA LTDA - EPP</v>
      </c>
      <c r="K540" s="14">
        <f>IF(IFERROR(_xlfn.XLOOKUP(B540,Planilha2!D:D,Planilha2!H:H),0)="SIM",1,0)</f>
        <v>0</v>
      </c>
      <c r="L540" s="14" t="str">
        <f>_xlfn.XLOOKUP(B540,CAD_PDV!A:A,CAD_PDV!C:C)</f>
        <v>SP1</v>
      </c>
      <c r="M540" s="14" t="str">
        <f>IFERROR(_xlfn.XLOOKUP(B540,repete!A:A,repete!A:A),"-")</f>
        <v>-</v>
      </c>
    </row>
    <row r="541" spans="1:13" hidden="1">
      <c r="A541" s="1">
        <v>46054</v>
      </c>
      <c r="B541" t="s">
        <v>1359</v>
      </c>
      <c r="C541" t="s">
        <v>1360</v>
      </c>
      <c r="D541" t="s">
        <v>132</v>
      </c>
      <c r="E541" t="s">
        <v>53</v>
      </c>
      <c r="F541">
        <v>72</v>
      </c>
      <c r="G541">
        <v>1</v>
      </c>
      <c r="H541">
        <v>6.0350030175015099E-4</v>
      </c>
      <c r="I541">
        <v>1.38888888888889E-2</v>
      </c>
      <c r="J541" s="14" t="str">
        <f>_xlfn.XLOOKUP(B541,CAD_PDV!A:A,CAD_PDV!B:B)</f>
        <v>FLEX CELL</v>
      </c>
      <c r="K541" s="14">
        <f>IF(IFERROR(_xlfn.XLOOKUP(B541,Planilha2!D:D,Planilha2!H:H),0)="SIM",1,0)</f>
        <v>0</v>
      </c>
      <c r="L541" s="14" t="str">
        <f>_xlfn.XLOOKUP(B541,CAD_PDV!A:A,CAD_PDV!C:C)</f>
        <v>SP1</v>
      </c>
      <c r="M541" s="14" t="str">
        <f>IFERROR(_xlfn.XLOOKUP(B541,repete!A:A,repete!A:A),"-")</f>
        <v>-</v>
      </c>
    </row>
    <row r="542" spans="1:13" hidden="1">
      <c r="A542" s="1">
        <v>46054</v>
      </c>
      <c r="B542" t="s">
        <v>796</v>
      </c>
      <c r="C542" t="s">
        <v>649</v>
      </c>
      <c r="D542" t="s">
        <v>239</v>
      </c>
      <c r="E542" t="s">
        <v>59</v>
      </c>
      <c r="F542">
        <v>81</v>
      </c>
      <c r="G542">
        <v>1</v>
      </c>
      <c r="H542">
        <v>6.0350030175015099E-4</v>
      </c>
      <c r="I542">
        <v>1.2345679012345699E-2</v>
      </c>
      <c r="J542" s="14" t="str">
        <f>_xlfn.XLOOKUP(B542,CAD_PDV!A:A,CAD_PDV!B:B)</f>
        <v>TELECELL TELEFONIA LTDA - ME</v>
      </c>
      <c r="K542" s="14">
        <f>IF(IFERROR(_xlfn.XLOOKUP(B542,Planilha2!D:D,Planilha2!H:H),0)="SIM",1,0)</f>
        <v>0</v>
      </c>
      <c r="L542" s="14" t="str">
        <f>_xlfn.XLOOKUP(B542,CAD_PDV!A:A,CAD_PDV!C:C)</f>
        <v>CO</v>
      </c>
      <c r="M542" s="14" t="str">
        <f>IFERROR(_xlfn.XLOOKUP(B542,repete!A:A,repete!A:A),"-")</f>
        <v>-</v>
      </c>
    </row>
    <row r="543" spans="1:13" hidden="1">
      <c r="A543" s="1">
        <v>46054</v>
      </c>
      <c r="B543" t="s">
        <v>2078</v>
      </c>
      <c r="C543" t="s">
        <v>2079</v>
      </c>
      <c r="D543" t="s">
        <v>2080</v>
      </c>
      <c r="E543" t="s">
        <v>2074</v>
      </c>
      <c r="F543">
        <v>13</v>
      </c>
      <c r="G543">
        <v>1</v>
      </c>
      <c r="H543">
        <v>6.0350030175015099E-4</v>
      </c>
      <c r="I543">
        <v>7.69230769230769E-2</v>
      </c>
      <c r="J543" s="14" t="e">
        <f>_xlfn.XLOOKUP(B543,CAD_PDV!A:A,CAD_PDV!B:B)</f>
        <v>#N/A</v>
      </c>
      <c r="K543" s="14">
        <f>IF(IFERROR(_xlfn.XLOOKUP(B543,Planilha2!D:D,Planilha2!H:H),0)="SIM",1,0)</f>
        <v>0</v>
      </c>
      <c r="L543" s="14" t="e">
        <f>_xlfn.XLOOKUP(B543,CAD_PDV!A:A,CAD_PDV!C:C)</f>
        <v>#N/A</v>
      </c>
      <c r="M543" s="14" t="str">
        <f>IFERROR(_xlfn.XLOOKUP(B543,repete!A:A,repete!A:A),"-")</f>
        <v>-</v>
      </c>
    </row>
    <row r="544" spans="1:13" hidden="1">
      <c r="A544" s="1">
        <v>46054</v>
      </c>
      <c r="B544" t="s">
        <v>868</v>
      </c>
      <c r="C544" t="s">
        <v>869</v>
      </c>
      <c r="D544" t="s">
        <v>239</v>
      </c>
      <c r="E544" t="s">
        <v>59</v>
      </c>
      <c r="F544">
        <v>45</v>
      </c>
      <c r="G544">
        <v>1</v>
      </c>
      <c r="H544">
        <v>6.0350030175015099E-4</v>
      </c>
      <c r="I544">
        <v>2.2222222222222199E-2</v>
      </c>
      <c r="J544" s="14" t="str">
        <f>_xlfn.XLOOKUP(B544,CAD_PDV!A:A,CAD_PDV!B:B)</f>
        <v>TELECELL TELEFONIA LTDA - ME</v>
      </c>
      <c r="K544" s="14">
        <f>IF(IFERROR(_xlfn.XLOOKUP(B544,Planilha2!D:D,Planilha2!H:H),0)="SIM",1,0)</f>
        <v>0</v>
      </c>
      <c r="L544" s="14" t="str">
        <f>_xlfn.XLOOKUP(B544,CAD_PDV!A:A,CAD_PDV!C:C)</f>
        <v>CO</v>
      </c>
      <c r="M544" s="14" t="str">
        <f>IFERROR(_xlfn.XLOOKUP(B544,repete!A:A,repete!A:A),"-")</f>
        <v>-</v>
      </c>
    </row>
    <row r="545" spans="1:13" hidden="1">
      <c r="A545" s="1">
        <v>46054</v>
      </c>
      <c r="B545" t="s">
        <v>2025</v>
      </c>
      <c r="C545" t="s">
        <v>2026</v>
      </c>
      <c r="D545" t="s">
        <v>193</v>
      </c>
      <c r="E545" t="s">
        <v>2074</v>
      </c>
      <c r="F545">
        <v>25</v>
      </c>
      <c r="G545">
        <v>1</v>
      </c>
      <c r="H545">
        <v>6.0350030175015099E-4</v>
      </c>
      <c r="I545">
        <v>0.04</v>
      </c>
      <c r="J545" s="14" t="str">
        <f>_xlfn.XLOOKUP(B545,CAD_PDV!A:A,CAD_PDV!B:B)</f>
        <v>S D COMERCIO DE CELULARES LTDA - ME</v>
      </c>
      <c r="K545" s="14">
        <f>IF(IFERROR(_xlfn.XLOOKUP(B545,Planilha2!D:D,Planilha2!H:H),0)="SIM",1,0)</f>
        <v>0</v>
      </c>
      <c r="L545" s="14" t="str">
        <f>_xlfn.XLOOKUP(B545,CAD_PDV!A:A,CAD_PDV!C:C)</f>
        <v>RS</v>
      </c>
      <c r="M545" s="14" t="str">
        <f>IFERROR(_xlfn.XLOOKUP(B545,repete!A:A,repete!A:A),"-")</f>
        <v>-</v>
      </c>
    </row>
    <row r="546" spans="1:13" hidden="1">
      <c r="A546" s="1">
        <v>46054</v>
      </c>
      <c r="B546" t="s">
        <v>1233</v>
      </c>
      <c r="C546" t="s">
        <v>1142</v>
      </c>
      <c r="D546" t="s">
        <v>237</v>
      </c>
      <c r="E546" t="s">
        <v>55</v>
      </c>
      <c r="F546">
        <v>108</v>
      </c>
      <c r="G546">
        <v>1</v>
      </c>
      <c r="H546">
        <v>6.0350030175015099E-4</v>
      </c>
      <c r="I546">
        <v>9.2592592592592605E-3</v>
      </c>
      <c r="J546" s="14" t="str">
        <f>_xlfn.XLOOKUP(B546,CAD_PDV!A:A,CAD_PDV!B:B)</f>
        <v>PONTO CERTO COMERCIO E COMUNICAÇÕES LTDA</v>
      </c>
      <c r="K546" s="14">
        <f>IF(IFERROR(_xlfn.XLOOKUP(B546,Planilha2!D:D,Planilha2!H:H),0)="SIM",1,0)</f>
        <v>0</v>
      </c>
      <c r="L546" s="14" t="str">
        <f>_xlfn.XLOOKUP(B546,CAD_PDV!A:A,CAD_PDV!C:C)</f>
        <v>RJ/ES</v>
      </c>
      <c r="M546" s="14" t="str">
        <f>IFERROR(_xlfn.XLOOKUP(B546,repete!A:A,repete!A:A),"-")</f>
        <v>-</v>
      </c>
    </row>
    <row r="547" spans="1:13" hidden="1">
      <c r="A547" s="1">
        <v>46054</v>
      </c>
      <c r="B547" t="s">
        <v>1334</v>
      </c>
      <c r="C547" t="s">
        <v>1313</v>
      </c>
      <c r="D547" t="s">
        <v>225</v>
      </c>
      <c r="E547" t="s">
        <v>53</v>
      </c>
      <c r="F547">
        <v>57</v>
      </c>
      <c r="G547">
        <v>1</v>
      </c>
      <c r="H547">
        <v>6.0350030175015099E-4</v>
      </c>
      <c r="I547">
        <v>1.7543859649122799E-2</v>
      </c>
      <c r="J547" s="14" t="str">
        <f>_xlfn.XLOOKUP(B547,CAD_PDV!A:A,CAD_PDV!B:B)</f>
        <v>CLARICELL SP1</v>
      </c>
      <c r="K547" s="14">
        <f>IF(IFERROR(_xlfn.XLOOKUP(B547,Planilha2!D:D,Planilha2!H:H),0)="SIM",1,0)</f>
        <v>0</v>
      </c>
      <c r="L547" s="14" t="str">
        <f>_xlfn.XLOOKUP(B547,CAD_PDV!A:A,CAD_PDV!C:C)</f>
        <v>SP1</v>
      </c>
      <c r="M547" s="14" t="str">
        <f>IFERROR(_xlfn.XLOOKUP(B547,repete!A:A,repete!A:A),"-")</f>
        <v>-</v>
      </c>
    </row>
    <row r="548" spans="1:13" hidden="1">
      <c r="A548" s="1">
        <v>46054</v>
      </c>
      <c r="B548" t="s">
        <v>1237</v>
      </c>
      <c r="C548" t="s">
        <v>1142</v>
      </c>
      <c r="D548" t="s">
        <v>237</v>
      </c>
      <c r="E548" t="s">
        <v>55</v>
      </c>
      <c r="F548">
        <v>102</v>
      </c>
      <c r="G548">
        <v>1</v>
      </c>
      <c r="H548">
        <v>6.0350030175015099E-4</v>
      </c>
      <c r="I548">
        <v>9.8039215686274508E-3</v>
      </c>
      <c r="J548" s="14" t="str">
        <f>_xlfn.XLOOKUP(B548,CAD_PDV!A:A,CAD_PDV!B:B)</f>
        <v>PONTO CERTO COMERCIO E COMUNICAÇÕES LTDA</v>
      </c>
      <c r="K548" s="14">
        <f>IF(IFERROR(_xlfn.XLOOKUP(B548,Planilha2!D:D,Planilha2!H:H),0)="SIM",1,0)</f>
        <v>0</v>
      </c>
      <c r="L548" s="14" t="str">
        <f>_xlfn.XLOOKUP(B548,CAD_PDV!A:A,CAD_PDV!C:C)</f>
        <v>RJ/ES</v>
      </c>
      <c r="M548" s="14" t="str">
        <f>IFERROR(_xlfn.XLOOKUP(B548,repete!A:A,repete!A:A),"-")</f>
        <v>-</v>
      </c>
    </row>
    <row r="549" spans="1:13" hidden="1">
      <c r="A549" s="1">
        <v>46054</v>
      </c>
      <c r="B549" t="s">
        <v>1238</v>
      </c>
      <c r="C549" t="s">
        <v>1142</v>
      </c>
      <c r="D549" t="s">
        <v>237</v>
      </c>
      <c r="E549" t="s">
        <v>55</v>
      </c>
      <c r="F549">
        <v>179</v>
      </c>
      <c r="G549">
        <v>1</v>
      </c>
      <c r="H549">
        <v>6.0350030175015099E-4</v>
      </c>
      <c r="I549">
        <v>5.5865921787709499E-3</v>
      </c>
      <c r="J549" s="14" t="str">
        <f>_xlfn.XLOOKUP(B549,CAD_PDV!A:A,CAD_PDV!B:B)</f>
        <v>PONTO CERTO COMERCIO E COMUNICAÇÕES LTDA</v>
      </c>
      <c r="K549" s="14">
        <f>IF(IFERROR(_xlfn.XLOOKUP(B549,Planilha2!D:D,Planilha2!H:H),0)="SIM",1,0)</f>
        <v>0</v>
      </c>
      <c r="L549" s="14" t="str">
        <f>_xlfn.XLOOKUP(B549,CAD_PDV!A:A,CAD_PDV!C:C)</f>
        <v>RJ/ES</v>
      </c>
      <c r="M549" s="14" t="str">
        <f>IFERROR(_xlfn.XLOOKUP(B549,repete!A:A,repete!A:A),"-")</f>
        <v>-</v>
      </c>
    </row>
    <row r="550" spans="1:13" hidden="1">
      <c r="A550" s="1">
        <v>46054</v>
      </c>
      <c r="B550" t="s">
        <v>849</v>
      </c>
      <c r="C550" t="s">
        <v>732</v>
      </c>
      <c r="D550" t="s">
        <v>221</v>
      </c>
      <c r="E550" t="s">
        <v>59</v>
      </c>
      <c r="F550">
        <v>15</v>
      </c>
      <c r="G550">
        <v>1</v>
      </c>
      <c r="H550">
        <v>6.0350030175015099E-4</v>
      </c>
      <c r="I550">
        <v>6.6666666666666693E-2</v>
      </c>
      <c r="J550" s="14" t="str">
        <f>_xlfn.XLOOKUP(B550,CAD_PDV!A:A,CAD_PDV!B:B)</f>
        <v>AMERICOM COMERCIO DE APARELHOS ELETRONICOS LTDA - EPP</v>
      </c>
      <c r="K550" s="14">
        <f>IF(IFERROR(_xlfn.XLOOKUP(B550,Planilha2!D:D,Planilha2!H:H),0)="SIM",1,0)</f>
        <v>0</v>
      </c>
      <c r="L550" s="14" t="str">
        <f>_xlfn.XLOOKUP(B550,CAD_PDV!A:A,CAD_PDV!C:C)</f>
        <v>CO</v>
      </c>
      <c r="M550" s="14" t="str">
        <f>IFERROR(_xlfn.XLOOKUP(B550,repete!A:A,repete!A:A),"-")</f>
        <v>-</v>
      </c>
    </row>
    <row r="551" spans="1:13" hidden="1">
      <c r="A551" s="1">
        <v>46054</v>
      </c>
      <c r="B551" t="s">
        <v>1586</v>
      </c>
      <c r="C551" t="s">
        <v>1587</v>
      </c>
      <c r="D551" t="s">
        <v>132</v>
      </c>
      <c r="E551" t="s">
        <v>54</v>
      </c>
      <c r="F551">
        <v>35</v>
      </c>
      <c r="G551">
        <v>1</v>
      </c>
      <c r="H551">
        <v>6.0350030175015099E-4</v>
      </c>
      <c r="I551">
        <v>2.8571428571428598E-2</v>
      </c>
      <c r="J551" s="14" t="str">
        <f>_xlfn.XLOOKUP(B551,CAD_PDV!A:A,CAD_PDV!B:B)</f>
        <v>FLEX CELL</v>
      </c>
      <c r="K551" s="14">
        <f>IF(IFERROR(_xlfn.XLOOKUP(B551,Planilha2!D:D,Planilha2!H:H),0)="SIM",1,0)</f>
        <v>0</v>
      </c>
      <c r="L551" s="14" t="str">
        <f>_xlfn.XLOOKUP(B551,CAD_PDV!A:A,CAD_PDV!C:C)</f>
        <v>SP2</v>
      </c>
      <c r="M551" s="14" t="str">
        <f>IFERROR(_xlfn.XLOOKUP(B551,repete!A:A,repete!A:A),"-")</f>
        <v>-</v>
      </c>
    </row>
    <row r="552" spans="1:13" hidden="1">
      <c r="A552" s="1">
        <v>46054</v>
      </c>
      <c r="B552" t="s">
        <v>1335</v>
      </c>
      <c r="C552" t="s">
        <v>1313</v>
      </c>
      <c r="D552" t="s">
        <v>225</v>
      </c>
      <c r="E552" t="s">
        <v>53</v>
      </c>
      <c r="F552">
        <v>56</v>
      </c>
      <c r="G552">
        <v>1</v>
      </c>
      <c r="H552">
        <v>6.0350030175015099E-4</v>
      </c>
      <c r="I552">
        <v>1.7857142857142901E-2</v>
      </c>
      <c r="J552" s="14" t="str">
        <f>_xlfn.XLOOKUP(B552,CAD_PDV!A:A,CAD_PDV!B:B)</f>
        <v>CLARICELL SP1</v>
      </c>
      <c r="K552" s="14">
        <f>IF(IFERROR(_xlfn.XLOOKUP(B552,Planilha2!D:D,Planilha2!H:H),0)="SIM",1,0)</f>
        <v>0</v>
      </c>
      <c r="L552" s="14" t="str">
        <f>_xlfn.XLOOKUP(B552,CAD_PDV!A:A,CAD_PDV!C:C)</f>
        <v>SP1</v>
      </c>
      <c r="M552" s="14" t="str">
        <f>IFERROR(_xlfn.XLOOKUP(B552,repete!A:A,repete!A:A),"-")</f>
        <v>-</v>
      </c>
    </row>
    <row r="553" spans="1:13" hidden="1">
      <c r="A553" s="1">
        <v>46054</v>
      </c>
      <c r="B553" t="s">
        <v>1821</v>
      </c>
      <c r="C553" t="s">
        <v>1822</v>
      </c>
      <c r="D553" t="s">
        <v>95</v>
      </c>
      <c r="E553" t="s">
        <v>2074</v>
      </c>
      <c r="F553">
        <v>13</v>
      </c>
      <c r="G553">
        <v>1</v>
      </c>
      <c r="H553">
        <v>6.0350030175015099E-4</v>
      </c>
      <c r="I553">
        <v>7.69230769230769E-2</v>
      </c>
      <c r="J553" s="14" t="str">
        <f>_xlfn.XLOOKUP(B553,CAD_PDV!A:A,CAD_PDV!B:B)</f>
        <v>AYRES E DEBONI LTDA - ME</v>
      </c>
      <c r="K553" s="14">
        <f>IF(IFERROR(_xlfn.XLOOKUP(B553,Planilha2!D:D,Planilha2!H:H),0)="SIM",1,0)</f>
        <v>0</v>
      </c>
      <c r="L553" s="14" t="str">
        <f>_xlfn.XLOOKUP(B553,CAD_PDV!A:A,CAD_PDV!C:C)</f>
        <v>RS</v>
      </c>
      <c r="M553" s="14" t="str">
        <f>IFERROR(_xlfn.XLOOKUP(B553,repete!A:A,repete!A:A),"-")</f>
        <v>-</v>
      </c>
    </row>
    <row r="554" spans="1:13" hidden="1">
      <c r="A554" s="1">
        <v>46054</v>
      </c>
      <c r="B554" t="s">
        <v>2091</v>
      </c>
      <c r="C554" t="s">
        <v>2092</v>
      </c>
      <c r="D554" t="s">
        <v>2093</v>
      </c>
      <c r="E554" t="s">
        <v>2074</v>
      </c>
      <c r="F554">
        <v>26</v>
      </c>
      <c r="G554">
        <v>1</v>
      </c>
      <c r="H554">
        <v>6.0350030175015099E-4</v>
      </c>
      <c r="I554">
        <v>3.8461538461538498E-2</v>
      </c>
      <c r="J554" s="14" t="e">
        <f>_xlfn.XLOOKUP(B554,CAD_PDV!A:A,CAD_PDV!B:B)</f>
        <v>#N/A</v>
      </c>
      <c r="K554" s="14">
        <f>IF(IFERROR(_xlfn.XLOOKUP(B554,Planilha2!D:D,Planilha2!H:H),0)="SIM",1,0)</f>
        <v>1</v>
      </c>
      <c r="L554" s="14" t="e">
        <f>_xlfn.XLOOKUP(B554,CAD_PDV!A:A,CAD_PDV!C:C)</f>
        <v>#N/A</v>
      </c>
      <c r="M554" s="14" t="str">
        <f>IFERROR(_xlfn.XLOOKUP(B554,repete!A:A,repete!A:A),"-")</f>
        <v>-</v>
      </c>
    </row>
    <row r="555" spans="1:13" hidden="1">
      <c r="A555" s="1">
        <v>46054</v>
      </c>
      <c r="B555" t="s">
        <v>553</v>
      </c>
      <c r="C555" t="s">
        <v>554</v>
      </c>
      <c r="D555" t="s">
        <v>235</v>
      </c>
      <c r="E555" t="s">
        <v>56</v>
      </c>
      <c r="F555">
        <v>23</v>
      </c>
      <c r="G555">
        <v>1</v>
      </c>
      <c r="H555">
        <v>6.0350030175015099E-4</v>
      </c>
      <c r="I555">
        <v>4.3478260869565202E-2</v>
      </c>
      <c r="J555" s="14" t="str">
        <f>_xlfn.XLOOKUP(B555,CAD_PDV!A:A,CAD_PDV!B:B)</f>
        <v>P.G.L CELULARES LTDA</v>
      </c>
      <c r="K555" s="14">
        <f>IF(IFERROR(_xlfn.XLOOKUP(B555,Planilha2!D:D,Planilha2!H:H),0)="SIM",1,0)</f>
        <v>0</v>
      </c>
      <c r="L555" s="14" t="str">
        <f>_xlfn.XLOOKUP(B555,CAD_PDV!A:A,CAD_PDV!C:C)</f>
        <v>MG</v>
      </c>
      <c r="M555" s="14" t="str">
        <f>IFERROR(_xlfn.XLOOKUP(B555,repete!A:A,repete!A:A),"-")</f>
        <v>-</v>
      </c>
    </row>
    <row r="556" spans="1:13" hidden="1">
      <c r="A556" s="1">
        <v>46054</v>
      </c>
      <c r="B556" t="s">
        <v>2087</v>
      </c>
      <c r="C556" t="s">
        <v>2053</v>
      </c>
      <c r="D556" t="s">
        <v>2080</v>
      </c>
      <c r="E556" t="s">
        <v>2074</v>
      </c>
      <c r="F556">
        <v>34</v>
      </c>
      <c r="G556">
        <v>1</v>
      </c>
      <c r="H556">
        <v>6.0350030175015099E-4</v>
      </c>
      <c r="I556">
        <v>2.9411764705882401E-2</v>
      </c>
      <c r="J556" s="14" t="e">
        <f>_xlfn.XLOOKUP(B556,CAD_PDV!A:A,CAD_PDV!B:B)</f>
        <v>#N/A</v>
      </c>
      <c r="K556" s="14">
        <f>IF(IFERROR(_xlfn.XLOOKUP(B556,Planilha2!D:D,Planilha2!H:H),0)="SIM",1,0)</f>
        <v>0</v>
      </c>
      <c r="L556" s="14" t="e">
        <f>_xlfn.XLOOKUP(B556,CAD_PDV!A:A,CAD_PDV!C:C)</f>
        <v>#N/A</v>
      </c>
      <c r="M556" s="14" t="str">
        <f>IFERROR(_xlfn.XLOOKUP(B556,repete!A:A,repete!A:A),"-")</f>
        <v>-</v>
      </c>
    </row>
    <row r="557" spans="1:13" hidden="1">
      <c r="A557" s="1">
        <v>46054</v>
      </c>
      <c r="B557" t="s">
        <v>892</v>
      </c>
      <c r="C557" t="s">
        <v>893</v>
      </c>
      <c r="D557" t="s">
        <v>224</v>
      </c>
      <c r="E557" t="s">
        <v>59</v>
      </c>
      <c r="F557">
        <v>112</v>
      </c>
      <c r="G557">
        <v>1</v>
      </c>
      <c r="H557">
        <v>6.0350030175015099E-4</v>
      </c>
      <c r="I557">
        <v>8.9285714285714298E-3</v>
      </c>
      <c r="J557" s="14" t="str">
        <f>_xlfn.XLOOKUP(B557,CAD_PDV!A:A,CAD_PDV!B:B)</f>
        <v>CELNET COMERCIO E SERVICOS DE TELEFONIA LTDA ME</v>
      </c>
      <c r="K557" s="14">
        <f>IF(IFERROR(_xlfn.XLOOKUP(B557,Planilha2!D:D,Planilha2!H:H),0)="SIM",1,0)</f>
        <v>0</v>
      </c>
      <c r="L557" s="14" t="str">
        <f>_xlfn.XLOOKUP(B557,CAD_PDV!A:A,CAD_PDV!C:C)</f>
        <v>CO</v>
      </c>
      <c r="M557" s="14" t="str">
        <f>IFERROR(_xlfn.XLOOKUP(B557,repete!A:A,repete!A:A),"-")</f>
        <v>-</v>
      </c>
    </row>
    <row r="558" spans="1:13" hidden="1">
      <c r="A558" s="1">
        <v>46054</v>
      </c>
      <c r="B558" t="s">
        <v>1629</v>
      </c>
      <c r="C558" t="s">
        <v>1464</v>
      </c>
      <c r="D558" t="s">
        <v>132</v>
      </c>
      <c r="E558" t="s">
        <v>54</v>
      </c>
      <c r="F558">
        <v>32</v>
      </c>
      <c r="G558">
        <v>1</v>
      </c>
      <c r="H558">
        <v>6.0350030175015099E-4</v>
      </c>
      <c r="I558">
        <v>3.125E-2</v>
      </c>
      <c r="J558" s="14" t="str">
        <f>_xlfn.XLOOKUP(B558,CAD_PDV!A:A,CAD_PDV!B:B)</f>
        <v>FLEX CELL</v>
      </c>
      <c r="K558" s="14">
        <f>IF(IFERROR(_xlfn.XLOOKUP(B558,Planilha2!D:D,Planilha2!H:H),0)="SIM",1,0)</f>
        <v>0</v>
      </c>
      <c r="L558" s="14" t="str">
        <f>_xlfn.XLOOKUP(B558,CAD_PDV!A:A,CAD_PDV!C:C)</f>
        <v>SP2</v>
      </c>
      <c r="M558" s="14" t="str">
        <f>IFERROR(_xlfn.XLOOKUP(B558,repete!A:A,repete!A:A),"-")</f>
        <v>-</v>
      </c>
    </row>
    <row r="559" spans="1:13" hidden="1">
      <c r="A559" s="1">
        <v>46054</v>
      </c>
      <c r="B559" t="s">
        <v>894</v>
      </c>
      <c r="C559" t="s">
        <v>873</v>
      </c>
      <c r="D559" t="s">
        <v>224</v>
      </c>
      <c r="E559" t="s">
        <v>59</v>
      </c>
      <c r="F559">
        <v>56</v>
      </c>
      <c r="G559">
        <v>1</v>
      </c>
      <c r="H559">
        <v>6.0350030175015099E-4</v>
      </c>
      <c r="I559">
        <v>1.7857142857142901E-2</v>
      </c>
      <c r="J559" s="14" t="str">
        <f>_xlfn.XLOOKUP(B559,CAD_PDV!A:A,CAD_PDV!B:B)</f>
        <v>CELNET COMERCIO E SERVICOS DE TELEFONIA LTDA ME</v>
      </c>
      <c r="K559" s="14">
        <f>IF(IFERROR(_xlfn.XLOOKUP(B559,Planilha2!D:D,Planilha2!H:H),0)="SIM",1,0)</f>
        <v>0</v>
      </c>
      <c r="L559" s="14" t="str">
        <f>_xlfn.XLOOKUP(B559,CAD_PDV!A:A,CAD_PDV!C:C)</f>
        <v>CO</v>
      </c>
      <c r="M559" s="14" t="str">
        <f>IFERROR(_xlfn.XLOOKUP(B559,repete!A:A,repete!A:A),"-")</f>
        <v>-</v>
      </c>
    </row>
    <row r="560" spans="1:13" hidden="1">
      <c r="A560" s="1">
        <v>46054</v>
      </c>
      <c r="B560" t="s">
        <v>2094</v>
      </c>
      <c r="C560" t="s">
        <v>944</v>
      </c>
      <c r="D560" t="s">
        <v>222</v>
      </c>
      <c r="E560" t="s">
        <v>60</v>
      </c>
      <c r="F560">
        <v>40</v>
      </c>
      <c r="G560">
        <v>1</v>
      </c>
      <c r="H560">
        <v>6.0350030175015099E-4</v>
      </c>
      <c r="I560">
        <v>2.5000000000000001E-2</v>
      </c>
      <c r="J560" s="14" t="e">
        <f>_xlfn.XLOOKUP(B560,CAD_PDV!A:A,CAD_PDV!B:B)</f>
        <v>#N/A</v>
      </c>
      <c r="K560" s="14">
        <f>IF(IFERROR(_xlfn.XLOOKUP(B560,Planilha2!D:D,Planilha2!H:H),0)="SIM",1,0)</f>
        <v>0</v>
      </c>
      <c r="L560" s="14" t="e">
        <f>_xlfn.XLOOKUP(B560,CAD_PDV!A:A,CAD_PDV!C:C)</f>
        <v>#N/A</v>
      </c>
      <c r="M560" s="14" t="str">
        <f>IFERROR(_xlfn.XLOOKUP(B560,repete!A:A,repete!A:A),"-")</f>
        <v>-</v>
      </c>
    </row>
    <row r="561" spans="1:13" hidden="1">
      <c r="A561" s="1">
        <v>46054</v>
      </c>
      <c r="B561" t="s">
        <v>365</v>
      </c>
      <c r="C561" t="s">
        <v>261</v>
      </c>
      <c r="D561" t="s">
        <v>230</v>
      </c>
      <c r="E561" t="s">
        <v>61</v>
      </c>
      <c r="F561">
        <v>96</v>
      </c>
      <c r="G561">
        <v>1</v>
      </c>
      <c r="H561">
        <v>6.0350030175015099E-4</v>
      </c>
      <c r="I561">
        <v>1.0416666666666701E-2</v>
      </c>
      <c r="J561" s="14" t="str">
        <f>_xlfn.XLOOKUP(B561,CAD_PDV!A:A,CAD_PDV!B:B)</f>
        <v>HARCOS COMERCIO E SERVICOS LTDA - EPP</v>
      </c>
      <c r="K561" s="14">
        <f>IF(IFERROR(_xlfn.XLOOKUP(B561,Planilha2!D:D,Planilha2!H:H),0)="SIM",1,0)</f>
        <v>0</v>
      </c>
      <c r="L561" s="14" t="str">
        <f>_xlfn.XLOOKUP(B561,CAD_PDV!A:A,CAD_PDV!C:C)</f>
        <v>NE</v>
      </c>
      <c r="M561" s="14" t="str">
        <f>IFERROR(_xlfn.XLOOKUP(B561,repete!A:A,repete!A:A),"-")</f>
        <v>-</v>
      </c>
    </row>
    <row r="562" spans="1:13" hidden="1">
      <c r="A562" s="1">
        <v>46054</v>
      </c>
      <c r="B562" t="s">
        <v>1810</v>
      </c>
      <c r="C562" t="s">
        <v>1813</v>
      </c>
      <c r="D562" t="s">
        <v>95</v>
      </c>
      <c r="E562" t="s">
        <v>2074</v>
      </c>
      <c r="F562">
        <v>35</v>
      </c>
      <c r="G562">
        <v>1</v>
      </c>
      <c r="H562">
        <v>6.0350030175015099E-4</v>
      </c>
      <c r="I562">
        <v>2.8571428571428598E-2</v>
      </c>
      <c r="J562" s="14" t="str">
        <f>_xlfn.XLOOKUP(B562,CAD_PDV!A:A,CAD_PDV!B:B)</f>
        <v>AYRES E DEBONI LTDA - ME</v>
      </c>
      <c r="K562" s="14">
        <f>IF(IFERROR(_xlfn.XLOOKUP(B562,Planilha2!D:D,Planilha2!H:H),0)="SIM",1,0)</f>
        <v>0</v>
      </c>
      <c r="L562" s="14" t="str">
        <f>_xlfn.XLOOKUP(B562,CAD_PDV!A:A,CAD_PDV!C:C)</f>
        <v>RS</v>
      </c>
      <c r="M562" s="14" t="str">
        <f>IFERROR(_xlfn.XLOOKUP(B562,repete!A:A,repete!A:A),"-")</f>
        <v>-</v>
      </c>
    </row>
    <row r="563" spans="1:13" hidden="1">
      <c r="A563" s="1">
        <v>46054</v>
      </c>
      <c r="B563" t="s">
        <v>565</v>
      </c>
      <c r="C563" t="s">
        <v>478</v>
      </c>
      <c r="D563" t="s">
        <v>228</v>
      </c>
      <c r="E563" t="s">
        <v>56</v>
      </c>
      <c r="F563">
        <v>18</v>
      </c>
      <c r="G563">
        <v>1</v>
      </c>
      <c r="H563">
        <v>6.0350030175015099E-4</v>
      </c>
      <c r="I563">
        <v>5.5555555555555601E-2</v>
      </c>
      <c r="J563" s="14" t="str">
        <f>_xlfn.XLOOKUP(B563,CAD_PDV!A:A,CAD_PDV!B:B)</f>
        <v>FAJULUTI</v>
      </c>
      <c r="K563" s="14">
        <f>IF(IFERROR(_xlfn.XLOOKUP(B563,Planilha2!D:D,Planilha2!H:H),0)="SIM",1,0)</f>
        <v>0</v>
      </c>
      <c r="L563" s="14" t="str">
        <f>_xlfn.XLOOKUP(B563,CAD_PDV!A:A,CAD_PDV!C:C)</f>
        <v>MG</v>
      </c>
      <c r="M563" s="14" t="str">
        <f>IFERROR(_xlfn.XLOOKUP(B563,repete!A:A,repete!A:A),"-")</f>
        <v>-</v>
      </c>
    </row>
    <row r="564" spans="1:13" hidden="1">
      <c r="A564" s="1">
        <v>46054</v>
      </c>
      <c r="B564" t="s">
        <v>1338</v>
      </c>
      <c r="C564" t="s">
        <v>1313</v>
      </c>
      <c r="D564" t="s">
        <v>225</v>
      </c>
      <c r="E564" t="s">
        <v>53</v>
      </c>
      <c r="F564">
        <v>95</v>
      </c>
      <c r="G564">
        <v>1</v>
      </c>
      <c r="H564">
        <v>6.0350030175015099E-4</v>
      </c>
      <c r="I564">
        <v>1.05263157894737E-2</v>
      </c>
      <c r="J564" s="14" t="str">
        <f>_xlfn.XLOOKUP(B564,CAD_PDV!A:A,CAD_PDV!B:B)</f>
        <v>CLARICELL SP1</v>
      </c>
      <c r="K564" s="14">
        <f>IF(IFERROR(_xlfn.XLOOKUP(B564,Planilha2!D:D,Planilha2!H:H),0)="SIM",1,0)</f>
        <v>0</v>
      </c>
      <c r="L564" s="14" t="str">
        <f>_xlfn.XLOOKUP(B564,CAD_PDV!A:A,CAD_PDV!C:C)</f>
        <v>SP1</v>
      </c>
      <c r="M564" s="14" t="str">
        <f>IFERROR(_xlfn.XLOOKUP(B564,repete!A:A,repete!A:A),"-")</f>
        <v>-</v>
      </c>
    </row>
    <row r="565" spans="1:13" hidden="1">
      <c r="A565" s="1">
        <v>46054</v>
      </c>
      <c r="B565" t="s">
        <v>614</v>
      </c>
      <c r="C565" t="s">
        <v>616</v>
      </c>
      <c r="D565" t="s">
        <v>239</v>
      </c>
      <c r="E565" t="s">
        <v>59</v>
      </c>
      <c r="F565">
        <v>32</v>
      </c>
      <c r="G565">
        <v>1</v>
      </c>
      <c r="H565">
        <v>6.0350030175015099E-4</v>
      </c>
      <c r="I565">
        <v>3.125E-2</v>
      </c>
      <c r="J565" s="14" t="str">
        <f>_xlfn.XLOOKUP(B565,CAD_PDV!A:A,CAD_PDV!B:B)</f>
        <v>TELECELL TELEFONIA LTDA - ME</v>
      </c>
      <c r="K565" s="14">
        <f>IF(IFERROR(_xlfn.XLOOKUP(B565,Planilha2!D:D,Planilha2!H:H),0)="SIM",1,0)</f>
        <v>0</v>
      </c>
      <c r="L565" s="14" t="str">
        <f>_xlfn.XLOOKUP(B565,CAD_PDV!A:A,CAD_PDV!C:C)</f>
        <v>CO</v>
      </c>
      <c r="M565" s="14" t="str">
        <f>IFERROR(_xlfn.XLOOKUP(B565,repete!A:A,repete!A:A),"-")</f>
        <v>-</v>
      </c>
    </row>
    <row r="566" spans="1:13" hidden="1">
      <c r="A566" s="1">
        <v>46054</v>
      </c>
      <c r="B566" t="s">
        <v>1658</v>
      </c>
      <c r="C566" t="s">
        <v>1659</v>
      </c>
      <c r="D566" t="s">
        <v>232</v>
      </c>
      <c r="E566" t="s">
        <v>54</v>
      </c>
      <c r="F566">
        <v>119</v>
      </c>
      <c r="G566">
        <v>1</v>
      </c>
      <c r="H566">
        <v>6.0350030175015099E-4</v>
      </c>
      <c r="I566">
        <v>8.4033613445378096E-3</v>
      </c>
      <c r="J566" s="14" t="str">
        <f>_xlfn.XLOOKUP(B566,CAD_PDV!A:A,CAD_PDV!B:B)</f>
        <v>HS TELECOM</v>
      </c>
      <c r="K566" s="14">
        <f>IF(IFERROR(_xlfn.XLOOKUP(B566,Planilha2!D:D,Planilha2!H:H),0)="SIM",1,0)</f>
        <v>0</v>
      </c>
      <c r="L566" s="14" t="str">
        <f>_xlfn.XLOOKUP(B566,CAD_PDV!A:A,CAD_PDV!C:C)</f>
        <v>SP2</v>
      </c>
      <c r="M566" s="14" t="str">
        <f>IFERROR(_xlfn.XLOOKUP(B566,repete!A:A,repete!A:A),"-")</f>
        <v>-</v>
      </c>
    </row>
    <row r="567" spans="1:13" hidden="1">
      <c r="A567" s="1">
        <v>46054</v>
      </c>
      <c r="B567" t="s">
        <v>1665</v>
      </c>
      <c r="C567" t="s">
        <v>1666</v>
      </c>
      <c r="D567" t="s">
        <v>232</v>
      </c>
      <c r="E567" t="s">
        <v>54</v>
      </c>
      <c r="F567">
        <v>72</v>
      </c>
      <c r="G567">
        <v>1</v>
      </c>
      <c r="H567">
        <v>6.0350030175015099E-4</v>
      </c>
      <c r="I567">
        <v>1.38888888888889E-2</v>
      </c>
      <c r="J567" s="14" t="str">
        <f>_xlfn.XLOOKUP(B567,CAD_PDV!A:A,CAD_PDV!B:B)</f>
        <v>HS TELECOM</v>
      </c>
      <c r="K567" s="14">
        <f>IF(IFERROR(_xlfn.XLOOKUP(B567,Planilha2!D:D,Planilha2!H:H),0)="SIM",1,0)</f>
        <v>0</v>
      </c>
      <c r="L567" s="14" t="str">
        <f>_xlfn.XLOOKUP(B567,CAD_PDV!A:A,CAD_PDV!C:C)</f>
        <v>SP2</v>
      </c>
      <c r="M567" s="14" t="str">
        <f>IFERROR(_xlfn.XLOOKUP(B567,repete!A:A,repete!A:A),"-")</f>
        <v>-</v>
      </c>
    </row>
    <row r="568" spans="1:13" hidden="1">
      <c r="A568" s="1">
        <v>46054</v>
      </c>
      <c r="B568" t="s">
        <v>660</v>
      </c>
      <c r="C568" t="s">
        <v>661</v>
      </c>
      <c r="D568" t="s">
        <v>239</v>
      </c>
      <c r="E568" t="s">
        <v>59</v>
      </c>
      <c r="F568">
        <v>32</v>
      </c>
      <c r="G568">
        <v>1</v>
      </c>
      <c r="H568">
        <v>6.0350030175015099E-4</v>
      </c>
      <c r="I568">
        <v>3.125E-2</v>
      </c>
      <c r="J568" s="14" t="str">
        <f>_xlfn.XLOOKUP(B568,CAD_PDV!A:A,CAD_PDV!B:B)</f>
        <v>TELECELL TELEFONIA LTDA - ME</v>
      </c>
      <c r="K568" s="14">
        <f>IF(IFERROR(_xlfn.XLOOKUP(B568,Planilha2!D:D,Planilha2!H:H),0)="SIM",1,0)</f>
        <v>0</v>
      </c>
      <c r="L568" s="14" t="str">
        <f>_xlfn.XLOOKUP(B568,CAD_PDV!A:A,CAD_PDV!C:C)</f>
        <v>CO</v>
      </c>
      <c r="M568" s="14" t="str">
        <f>IFERROR(_xlfn.XLOOKUP(B568,repete!A:A,repete!A:A),"-")</f>
        <v>-</v>
      </c>
    </row>
    <row r="569" spans="1:13" hidden="1">
      <c r="A569" s="1">
        <v>46054</v>
      </c>
      <c r="B569" t="s">
        <v>2089</v>
      </c>
      <c r="C569" t="s">
        <v>1757</v>
      </c>
      <c r="D569" t="s">
        <v>2080</v>
      </c>
      <c r="E569" t="s">
        <v>2074</v>
      </c>
      <c r="F569">
        <v>43</v>
      </c>
      <c r="G569">
        <v>1</v>
      </c>
      <c r="H569">
        <v>6.0350030175015099E-4</v>
      </c>
      <c r="I569">
        <v>2.32558139534884E-2</v>
      </c>
      <c r="J569" s="14" t="e">
        <f>_xlfn.XLOOKUP(B569,CAD_PDV!A:A,CAD_PDV!B:B)</f>
        <v>#N/A</v>
      </c>
      <c r="K569" s="14">
        <f>IF(IFERROR(_xlfn.XLOOKUP(B569,Planilha2!D:D,Planilha2!H:H),0)="SIM",1,0)</f>
        <v>0</v>
      </c>
      <c r="L569" s="14" t="e">
        <f>_xlfn.XLOOKUP(B569,CAD_PDV!A:A,CAD_PDV!C:C)</f>
        <v>#N/A</v>
      </c>
      <c r="M569" s="14" t="str">
        <f>IFERROR(_xlfn.XLOOKUP(B569,repete!A:A,repete!A:A),"-")</f>
        <v>-</v>
      </c>
    </row>
    <row r="570" spans="1:13" hidden="1">
      <c r="A570" s="1">
        <v>46054</v>
      </c>
      <c r="B570" t="s">
        <v>1694</v>
      </c>
      <c r="C570" t="s">
        <v>1695</v>
      </c>
      <c r="D570" t="s">
        <v>232</v>
      </c>
      <c r="E570" t="s">
        <v>54</v>
      </c>
      <c r="F570">
        <v>39</v>
      </c>
      <c r="G570">
        <v>1</v>
      </c>
      <c r="H570">
        <v>6.0350030175015099E-4</v>
      </c>
      <c r="I570">
        <v>2.5641025641025599E-2</v>
      </c>
      <c r="J570" s="14" t="str">
        <f>_xlfn.XLOOKUP(B570,CAD_PDV!A:A,CAD_PDV!B:B)</f>
        <v>HS TELECOM</v>
      </c>
      <c r="K570" s="14">
        <f>IF(IFERROR(_xlfn.XLOOKUP(B570,Planilha2!D:D,Planilha2!H:H),0)="SIM",1,0)</f>
        <v>0</v>
      </c>
      <c r="L570" s="14" t="str">
        <f>_xlfn.XLOOKUP(B570,CAD_PDV!A:A,CAD_PDV!C:C)</f>
        <v>SP2</v>
      </c>
      <c r="M570" s="14" t="str">
        <f>IFERROR(_xlfn.XLOOKUP(B570,repete!A:A,repete!A:A),"-")</f>
        <v>-</v>
      </c>
    </row>
    <row r="571" spans="1:13" hidden="1">
      <c r="A571" s="1">
        <v>46054</v>
      </c>
      <c r="B571" t="s">
        <v>851</v>
      </c>
      <c r="C571" t="s">
        <v>732</v>
      </c>
      <c r="D571" t="s">
        <v>221</v>
      </c>
      <c r="E571" t="s">
        <v>59</v>
      </c>
      <c r="F571">
        <v>49</v>
      </c>
      <c r="G571">
        <v>1</v>
      </c>
      <c r="H571">
        <v>6.0350030175015099E-4</v>
      </c>
      <c r="I571">
        <v>2.04081632653061E-2</v>
      </c>
      <c r="J571" s="14" t="str">
        <f>_xlfn.XLOOKUP(B571,CAD_PDV!A:A,CAD_PDV!B:B)</f>
        <v>AMERICOM COMERCIO DE APARELHOS ELETRONICOS LTDA - EPP</v>
      </c>
      <c r="K571" s="14">
        <f>IF(IFERROR(_xlfn.XLOOKUP(B571,Planilha2!D:D,Planilha2!H:H),0)="SIM",1,0)</f>
        <v>0</v>
      </c>
      <c r="L571" s="14" t="str">
        <f>_xlfn.XLOOKUP(B571,CAD_PDV!A:A,CAD_PDV!C:C)</f>
        <v>CO</v>
      </c>
      <c r="M571" s="14" t="str">
        <f>IFERROR(_xlfn.XLOOKUP(B571,repete!A:A,repete!A:A),"-")</f>
        <v>-</v>
      </c>
    </row>
    <row r="572" spans="1:13" hidden="1">
      <c r="A572" s="1">
        <v>46054</v>
      </c>
      <c r="B572" t="s">
        <v>1703</v>
      </c>
      <c r="C572" t="s">
        <v>1519</v>
      </c>
      <c r="D572" t="s">
        <v>132</v>
      </c>
      <c r="E572" t="s">
        <v>54</v>
      </c>
      <c r="F572">
        <v>32</v>
      </c>
      <c r="G572">
        <v>1</v>
      </c>
      <c r="H572">
        <v>6.0350030175015099E-4</v>
      </c>
      <c r="I572">
        <v>3.125E-2</v>
      </c>
      <c r="J572" s="14" t="str">
        <f>_xlfn.XLOOKUP(B572,CAD_PDV!A:A,CAD_PDV!B:B)</f>
        <v>FLEX CELL</v>
      </c>
      <c r="K572" s="14">
        <f>IF(IFERROR(_xlfn.XLOOKUP(B572,Planilha2!D:D,Planilha2!H:H),0)="SIM",1,0)</f>
        <v>0</v>
      </c>
      <c r="L572" s="14" t="str">
        <f>_xlfn.XLOOKUP(B572,CAD_PDV!A:A,CAD_PDV!C:C)</f>
        <v>SP2</v>
      </c>
      <c r="M572" s="14" t="str">
        <f>IFERROR(_xlfn.XLOOKUP(B572,repete!A:A,repete!A:A),"-")</f>
        <v>QLEQ</v>
      </c>
    </row>
    <row r="573" spans="1:13" hidden="1">
      <c r="A573" s="1">
        <v>46054</v>
      </c>
      <c r="B573" t="s">
        <v>1708</v>
      </c>
      <c r="C573" t="s">
        <v>1505</v>
      </c>
      <c r="D573" t="s">
        <v>132</v>
      </c>
      <c r="E573" t="s">
        <v>54</v>
      </c>
      <c r="F573">
        <v>38</v>
      </c>
      <c r="G573">
        <v>1</v>
      </c>
      <c r="H573">
        <v>6.0350030175015099E-4</v>
      </c>
      <c r="I573">
        <v>2.6315789473684199E-2</v>
      </c>
      <c r="J573" s="14" t="str">
        <f>_xlfn.XLOOKUP(B573,CAD_PDV!A:A,CAD_PDV!B:B)</f>
        <v>FLEX CELL</v>
      </c>
      <c r="K573" s="14">
        <f>IF(IFERROR(_xlfn.XLOOKUP(B573,Planilha2!D:D,Planilha2!H:H),0)="SIM",1,0)</f>
        <v>0</v>
      </c>
      <c r="L573" s="14" t="str">
        <f>_xlfn.XLOOKUP(B573,CAD_PDV!A:A,CAD_PDV!C:C)</f>
        <v>SP2</v>
      </c>
      <c r="M573" s="14" t="str">
        <f>IFERROR(_xlfn.XLOOKUP(B573,repete!A:A,repete!A:A),"-")</f>
        <v>-</v>
      </c>
    </row>
    <row r="574" spans="1:13" hidden="1">
      <c r="A574" s="1">
        <v>46054</v>
      </c>
      <c r="B574" t="s">
        <v>852</v>
      </c>
      <c r="C574" t="s">
        <v>732</v>
      </c>
      <c r="D574" t="s">
        <v>221</v>
      </c>
      <c r="E574" t="s">
        <v>59</v>
      </c>
      <c r="F574">
        <v>39</v>
      </c>
      <c r="G574">
        <v>1</v>
      </c>
      <c r="H574">
        <v>6.0350030175015099E-4</v>
      </c>
      <c r="I574">
        <v>2.5641025641025599E-2</v>
      </c>
      <c r="J574" s="14" t="str">
        <f>_xlfn.XLOOKUP(B574,CAD_PDV!A:A,CAD_PDV!B:B)</f>
        <v>AMERICOM COMERCIO DE APARELHOS ELETRONICOS LTDA - EPP</v>
      </c>
      <c r="K574" s="14">
        <f>IF(IFERROR(_xlfn.XLOOKUP(B574,Planilha2!D:D,Planilha2!H:H),0)="SIM",1,0)</f>
        <v>0</v>
      </c>
      <c r="L574" s="14" t="str">
        <f>_xlfn.XLOOKUP(B574,CAD_PDV!A:A,CAD_PDV!C:C)</f>
        <v>CO</v>
      </c>
      <c r="M574" s="14" t="str">
        <f>IFERROR(_xlfn.XLOOKUP(B574,repete!A:A,repete!A:A),"-")</f>
        <v>-</v>
      </c>
    </row>
    <row r="575" spans="1:13" hidden="1">
      <c r="A575" s="1">
        <v>46054</v>
      </c>
      <c r="B575" t="s">
        <v>1980</v>
      </c>
      <c r="C575" t="s">
        <v>1981</v>
      </c>
      <c r="D575" t="s">
        <v>97</v>
      </c>
      <c r="E575" t="s">
        <v>2074</v>
      </c>
      <c r="F575">
        <v>21</v>
      </c>
      <c r="G575">
        <v>1</v>
      </c>
      <c r="H575">
        <v>6.0350030175015099E-4</v>
      </c>
      <c r="I575">
        <v>4.7619047619047603E-2</v>
      </c>
      <c r="J575" s="14" t="str">
        <f>_xlfn.XLOOKUP(B575,CAD_PDV!A:A,CAD_PDV!B:B)</f>
        <v>BANDEIRA</v>
      </c>
      <c r="K575" s="14">
        <f>IF(IFERROR(_xlfn.XLOOKUP(B575,Planilha2!D:D,Planilha2!H:H),0)="SIM",1,0)</f>
        <v>0</v>
      </c>
      <c r="L575" s="14" t="str">
        <f>_xlfn.XLOOKUP(B575,CAD_PDV!A:A,CAD_PDV!C:C)</f>
        <v>PR/SC</v>
      </c>
      <c r="M575" s="14" t="str">
        <f>IFERROR(_xlfn.XLOOKUP(B575,repete!A:A,repete!A:A),"-")</f>
        <v>-</v>
      </c>
    </row>
    <row r="576" spans="1:13" hidden="1">
      <c r="A576" s="1">
        <v>46054</v>
      </c>
      <c r="B576" t="s">
        <v>1369</v>
      </c>
      <c r="C576" t="s">
        <v>1313</v>
      </c>
      <c r="D576" t="s">
        <v>132</v>
      </c>
      <c r="E576" t="s">
        <v>53</v>
      </c>
      <c r="F576">
        <v>19</v>
      </c>
      <c r="G576">
        <v>1</v>
      </c>
      <c r="H576">
        <v>6.0350030175015099E-4</v>
      </c>
      <c r="I576">
        <v>5.2631578947368397E-2</v>
      </c>
      <c r="J576" s="14" t="str">
        <f>_xlfn.XLOOKUP(B576,CAD_PDV!A:A,CAD_PDV!B:B)</f>
        <v>FLEX CELL</v>
      </c>
      <c r="K576" s="14">
        <f>IF(IFERROR(_xlfn.XLOOKUP(B576,Planilha2!D:D,Planilha2!H:H),0)="SIM",1,0)</f>
        <v>0</v>
      </c>
      <c r="L576" s="14" t="str">
        <f>_xlfn.XLOOKUP(B576,CAD_PDV!A:A,CAD_PDV!C:C)</f>
        <v>SP1</v>
      </c>
      <c r="M576" s="14" t="str">
        <f>IFERROR(_xlfn.XLOOKUP(B576,repete!A:A,repete!A:A),"-")</f>
        <v>-</v>
      </c>
    </row>
    <row r="577" spans="1:13" hidden="1">
      <c r="A577" s="1">
        <v>46054</v>
      </c>
      <c r="B577" t="s">
        <v>1264</v>
      </c>
      <c r="C577" t="s">
        <v>1142</v>
      </c>
      <c r="D577" t="s">
        <v>233</v>
      </c>
      <c r="E577" t="s">
        <v>55</v>
      </c>
      <c r="F577">
        <v>63</v>
      </c>
      <c r="G577">
        <v>1</v>
      </c>
      <c r="H577">
        <v>6.0350030175015099E-4</v>
      </c>
      <c r="I577">
        <v>1.58730158730159E-2</v>
      </c>
      <c r="J577" s="14" t="str">
        <f>_xlfn.XLOOKUP(B577,CAD_PDV!A:A,CAD_PDV!B:B)</f>
        <v>LEINAD COMERCIO E SERVICO EIRELI</v>
      </c>
      <c r="K577" s="14">
        <f>IF(IFERROR(_xlfn.XLOOKUP(B577,Planilha2!D:D,Planilha2!H:H),0)="SIM",1,0)</f>
        <v>0</v>
      </c>
      <c r="L577" s="14" t="str">
        <f>_xlfn.XLOOKUP(B577,CAD_PDV!A:A,CAD_PDV!C:C)</f>
        <v>RJ/ES</v>
      </c>
      <c r="M577" s="14" t="str">
        <f>IFERROR(_xlfn.XLOOKUP(B577,repete!A:A,repete!A:A),"-")</f>
        <v>-</v>
      </c>
    </row>
    <row r="578" spans="1:13" hidden="1">
      <c r="A578" s="1">
        <v>46054</v>
      </c>
      <c r="B578" t="s">
        <v>2059</v>
      </c>
      <c r="C578" t="s">
        <v>2060</v>
      </c>
      <c r="D578" t="s">
        <v>193</v>
      </c>
      <c r="E578" t="s">
        <v>2074</v>
      </c>
      <c r="F578">
        <v>23</v>
      </c>
      <c r="G578">
        <v>1</v>
      </c>
      <c r="H578">
        <v>6.0350030175015099E-4</v>
      </c>
      <c r="I578">
        <v>4.3478260869565202E-2</v>
      </c>
      <c r="J578" s="14" t="str">
        <f>_xlfn.XLOOKUP(B578,CAD_PDV!A:A,CAD_PDV!B:B)</f>
        <v>S D COMERCIO DE CELULARES LTDA - ME</v>
      </c>
      <c r="K578" s="14">
        <f>IF(IFERROR(_xlfn.XLOOKUP(B578,Planilha2!D:D,Planilha2!H:H),0)="SIM",1,0)</f>
        <v>0</v>
      </c>
      <c r="L578" s="14" t="str">
        <f>_xlfn.XLOOKUP(B578,CAD_PDV!A:A,CAD_PDV!C:C)</f>
        <v>RS</v>
      </c>
      <c r="M578" s="14" t="str">
        <f>IFERROR(_xlfn.XLOOKUP(B578,repete!A:A,repete!A:A),"-")</f>
        <v>-</v>
      </c>
    </row>
    <row r="579" spans="1:13" hidden="1">
      <c r="A579" s="1">
        <v>46054</v>
      </c>
      <c r="B579" t="s">
        <v>407</v>
      </c>
      <c r="C579" t="s">
        <v>288</v>
      </c>
      <c r="D579" t="s">
        <v>230</v>
      </c>
      <c r="E579" t="s">
        <v>61</v>
      </c>
      <c r="F579">
        <v>44</v>
      </c>
      <c r="G579">
        <v>1</v>
      </c>
      <c r="H579">
        <v>6.0350030175015099E-4</v>
      </c>
      <c r="I579">
        <v>2.27272727272727E-2</v>
      </c>
      <c r="J579" s="14" t="str">
        <f>_xlfn.XLOOKUP(B579,CAD_PDV!A:A,CAD_PDV!B:B)</f>
        <v>HARCOS COMERCIO E SERVICOS LTDA - EPP</v>
      </c>
      <c r="K579" s="14">
        <f>IF(IFERROR(_xlfn.XLOOKUP(B579,Planilha2!D:D,Planilha2!H:H),0)="SIM",1,0)</f>
        <v>0</v>
      </c>
      <c r="L579" s="14" t="str">
        <f>_xlfn.XLOOKUP(B579,CAD_PDV!A:A,CAD_PDV!C:C)</f>
        <v>NE</v>
      </c>
      <c r="M579" s="14" t="str">
        <f>IFERROR(_xlfn.XLOOKUP(B579,repete!A:A,repete!A:A),"-")</f>
        <v>-</v>
      </c>
    </row>
    <row r="580" spans="1:13" hidden="1">
      <c r="A580" s="1">
        <v>46054</v>
      </c>
      <c r="B580" t="s">
        <v>1711</v>
      </c>
      <c r="C580" t="s">
        <v>1712</v>
      </c>
      <c r="D580" t="s">
        <v>220</v>
      </c>
      <c r="E580" t="s">
        <v>54</v>
      </c>
      <c r="F580">
        <v>34</v>
      </c>
      <c r="G580">
        <v>1</v>
      </c>
      <c r="H580">
        <v>6.0350030175015099E-4</v>
      </c>
      <c r="I580">
        <v>2.9411764705882401E-2</v>
      </c>
      <c r="J580" s="14" t="str">
        <f>_xlfn.XLOOKUP(B580,CAD_PDV!A:A,CAD_PDV!B:B)</f>
        <v>ADESIENE NUNES MACHADO - ME</v>
      </c>
      <c r="K580" s="14">
        <f>IF(IFERROR(_xlfn.XLOOKUP(B580,Planilha2!D:D,Planilha2!H:H),0)="SIM",1,0)</f>
        <v>0</v>
      </c>
      <c r="L580" s="14" t="str">
        <f>_xlfn.XLOOKUP(B580,CAD_PDV!A:A,CAD_PDV!C:C)</f>
        <v>SP2</v>
      </c>
      <c r="M580" s="14" t="str">
        <f>IFERROR(_xlfn.XLOOKUP(B580,repete!A:A,repete!A:A),"-")</f>
        <v>-</v>
      </c>
    </row>
    <row r="581" spans="1:13" hidden="1">
      <c r="A581" s="1">
        <v>46054</v>
      </c>
      <c r="B581" t="s">
        <v>857</v>
      </c>
      <c r="C581" t="s">
        <v>855</v>
      </c>
      <c r="D581" t="s">
        <v>2073</v>
      </c>
      <c r="E581" t="s">
        <v>59</v>
      </c>
      <c r="F581">
        <v>13</v>
      </c>
      <c r="G581">
        <v>1</v>
      </c>
      <c r="H581">
        <v>6.0350030175015099E-4</v>
      </c>
      <c r="I581">
        <v>7.69230769230769E-2</v>
      </c>
      <c r="J581" s="14" t="str">
        <f>_xlfn.XLOOKUP(B581,CAD_PDV!A:A,CAD_PDV!B:B)</f>
        <v xml:space="preserve">CONTACOM COMERCIO DE APARELHOS ELETRONICOS LTDA </v>
      </c>
      <c r="K581" s="14">
        <f>IF(IFERROR(_xlfn.XLOOKUP(B581,Planilha2!D:D,Planilha2!H:H),0)="SIM",1,0)</f>
        <v>0</v>
      </c>
      <c r="L581" s="14" t="str">
        <f>_xlfn.XLOOKUP(B581,CAD_PDV!A:A,CAD_PDV!C:C)</f>
        <v>CO</v>
      </c>
      <c r="M581" s="14" t="str">
        <f>IFERROR(_xlfn.XLOOKUP(B581,repete!A:A,repete!A:A),"-")</f>
        <v>-</v>
      </c>
    </row>
    <row r="582" spans="1:13" hidden="1">
      <c r="A582" s="1">
        <v>46054</v>
      </c>
      <c r="B582" t="s">
        <v>965</v>
      </c>
      <c r="C582" t="s">
        <v>944</v>
      </c>
      <c r="D582" t="s">
        <v>232</v>
      </c>
      <c r="E582" t="s">
        <v>60</v>
      </c>
      <c r="F582">
        <v>45</v>
      </c>
      <c r="G582">
        <v>1</v>
      </c>
      <c r="H582">
        <v>6.0350030175015099E-4</v>
      </c>
      <c r="I582">
        <v>2.2222222222222199E-2</v>
      </c>
      <c r="J582" s="14" t="str">
        <f>_xlfn.XLOOKUP(B582,CAD_PDV!A:A,CAD_PDV!B:B)</f>
        <v>HS TELECOM</v>
      </c>
      <c r="K582" s="14">
        <f>IF(IFERROR(_xlfn.XLOOKUP(B582,Planilha2!D:D,Planilha2!H:H),0)="SIM",1,0)</f>
        <v>0</v>
      </c>
      <c r="L582" s="14" t="str">
        <f>_xlfn.XLOOKUP(B582,CAD_PDV!A:A,CAD_PDV!C:C)</f>
        <v>BA/SE</v>
      </c>
      <c r="M582" s="14" t="str">
        <f>IFERROR(_xlfn.XLOOKUP(B582,repete!A:A,repete!A:A),"-")</f>
        <v>-</v>
      </c>
    </row>
    <row r="583" spans="1:13" hidden="1">
      <c r="A583" s="1">
        <v>46054</v>
      </c>
      <c r="B583" t="s">
        <v>577</v>
      </c>
      <c r="C583" t="s">
        <v>578</v>
      </c>
      <c r="D583" t="s">
        <v>228</v>
      </c>
      <c r="E583" t="s">
        <v>56</v>
      </c>
      <c r="F583">
        <v>10</v>
      </c>
      <c r="G583">
        <v>1</v>
      </c>
      <c r="H583">
        <v>6.0350030175015099E-4</v>
      </c>
      <c r="I583">
        <v>0.1</v>
      </c>
      <c r="J583" s="14" t="str">
        <f>_xlfn.XLOOKUP(B583,CAD_PDV!A:A,CAD_PDV!B:B)</f>
        <v>FAJULUTI</v>
      </c>
      <c r="K583" s="14">
        <f>IF(IFERROR(_xlfn.XLOOKUP(B583,Planilha2!D:D,Planilha2!H:H),0)="SIM",1,0)</f>
        <v>0</v>
      </c>
      <c r="L583" s="14" t="str">
        <f>_xlfn.XLOOKUP(B583,CAD_PDV!A:A,CAD_PDV!C:C)</f>
        <v>MG</v>
      </c>
      <c r="M583" s="14" t="str">
        <f>IFERROR(_xlfn.XLOOKUP(B583,repete!A:A,repete!A:A),"-")</f>
        <v>-</v>
      </c>
    </row>
    <row r="584" spans="1:13" hidden="1">
      <c r="A584" s="1">
        <v>46054</v>
      </c>
      <c r="B584" t="s">
        <v>581</v>
      </c>
      <c r="C584" t="s">
        <v>582</v>
      </c>
      <c r="D584" t="s">
        <v>214</v>
      </c>
      <c r="E584" t="s">
        <v>56</v>
      </c>
      <c r="F584">
        <v>21</v>
      </c>
      <c r="G584">
        <v>1</v>
      </c>
      <c r="H584">
        <v>6.0350030175015099E-4</v>
      </c>
      <c r="I584">
        <v>4.7619047619047603E-2</v>
      </c>
      <c r="J584" s="14" t="str">
        <f>_xlfn.XLOOKUP(B584,CAD_PDV!A:A,CAD_PDV!B:B)</f>
        <v>VALQUIRIA GOMES ROCHA</v>
      </c>
      <c r="K584" s="14">
        <f>IF(IFERROR(_xlfn.XLOOKUP(B584,Planilha2!D:D,Planilha2!H:H),0)="SIM",1,0)</f>
        <v>0</v>
      </c>
      <c r="L584" s="14" t="str">
        <f>_xlfn.XLOOKUP(B584,CAD_PDV!A:A,CAD_PDV!C:C)</f>
        <v>MG</v>
      </c>
      <c r="M584" s="14" t="str">
        <f>IFERROR(_xlfn.XLOOKUP(B584,repete!A:A,repete!A:A),"-")</f>
        <v>-</v>
      </c>
    </row>
    <row r="585" spans="1:13" hidden="1">
      <c r="A585" s="1">
        <v>46054</v>
      </c>
      <c r="B585" t="s">
        <v>1406</v>
      </c>
      <c r="C585" t="s">
        <v>1366</v>
      </c>
      <c r="D585" t="s">
        <v>106</v>
      </c>
      <c r="E585" t="s">
        <v>53</v>
      </c>
      <c r="F585">
        <v>59</v>
      </c>
      <c r="G585">
        <v>1</v>
      </c>
      <c r="H585">
        <v>6.0350030175015099E-4</v>
      </c>
      <c r="I585">
        <v>1.6949152542372899E-2</v>
      </c>
      <c r="J585" s="14" t="str">
        <f>_xlfn.XLOOKUP(B585,CAD_PDV!A:A,CAD_PDV!B:B)</f>
        <v>CELLULAR.COM</v>
      </c>
      <c r="K585" s="14">
        <f>IF(IFERROR(_xlfn.XLOOKUP(B585,Planilha2!D:D,Planilha2!H:H),0)="SIM",1,0)</f>
        <v>0</v>
      </c>
      <c r="L585" s="14" t="str">
        <f>_xlfn.XLOOKUP(B585,CAD_PDV!A:A,CAD_PDV!C:C)</f>
        <v>SP1</v>
      </c>
      <c r="M585" s="14" t="str">
        <f>IFERROR(_xlfn.XLOOKUP(B585,repete!A:A,repete!A:A),"-")</f>
        <v>-</v>
      </c>
    </row>
    <row r="586" spans="1:13" hidden="1">
      <c r="A586" s="1">
        <v>46054</v>
      </c>
      <c r="B586" t="s">
        <v>1733</v>
      </c>
      <c r="C586" t="s">
        <v>1734</v>
      </c>
      <c r="D586" t="s">
        <v>220</v>
      </c>
      <c r="E586" t="s">
        <v>54</v>
      </c>
      <c r="F586">
        <v>21</v>
      </c>
      <c r="G586">
        <v>1</v>
      </c>
      <c r="H586">
        <v>6.0350030175015099E-4</v>
      </c>
      <c r="I586">
        <v>4.7619047619047603E-2</v>
      </c>
      <c r="J586" s="14" t="str">
        <f>_xlfn.XLOOKUP(B586,CAD_PDV!A:A,CAD_PDV!B:B)</f>
        <v>ADESIENE NUNES MACHADO - ME</v>
      </c>
      <c r="K586" s="14">
        <f>IF(IFERROR(_xlfn.XLOOKUP(B586,Planilha2!D:D,Planilha2!H:H),0)="SIM",1,0)</f>
        <v>0</v>
      </c>
      <c r="L586" s="14" t="str">
        <f>_xlfn.XLOOKUP(B586,CAD_PDV!A:A,CAD_PDV!C:C)</f>
        <v>SP2</v>
      </c>
      <c r="M586" s="14" t="str">
        <f>IFERROR(_xlfn.XLOOKUP(B586,repete!A:A,repete!A:A),"-")</f>
        <v>YEZ1</v>
      </c>
    </row>
    <row r="587" spans="1:13" hidden="1">
      <c r="A587" s="1">
        <v>46054</v>
      </c>
      <c r="B587" t="s">
        <v>1042</v>
      </c>
      <c r="C587" t="s">
        <v>1017</v>
      </c>
      <c r="D587" t="s">
        <v>232</v>
      </c>
      <c r="E587" t="s">
        <v>60</v>
      </c>
      <c r="F587">
        <v>63</v>
      </c>
      <c r="G587">
        <v>1</v>
      </c>
      <c r="H587">
        <v>6.0350030175015099E-4</v>
      </c>
      <c r="I587">
        <v>1.58730158730159E-2</v>
      </c>
      <c r="J587" s="14" t="str">
        <f>_xlfn.XLOOKUP(B587,CAD_PDV!A:A,CAD_PDV!B:B)</f>
        <v>HS TELECOM</v>
      </c>
      <c r="K587" s="14">
        <f>IF(IFERROR(_xlfn.XLOOKUP(B587,Planilha2!D:D,Planilha2!H:H),0)="SIM",1,0)</f>
        <v>0</v>
      </c>
      <c r="L587" s="14" t="str">
        <f>_xlfn.XLOOKUP(B587,CAD_PDV!A:A,CAD_PDV!C:C)</f>
        <v>BA/SE</v>
      </c>
      <c r="M587" s="14" t="str">
        <f>IFERROR(_xlfn.XLOOKUP(B587,repete!A:A,repete!A:A),"-")</f>
        <v>-</v>
      </c>
    </row>
    <row r="588" spans="1:13" hidden="1">
      <c r="A588" s="1">
        <v>46054</v>
      </c>
      <c r="B588" t="s">
        <v>481</v>
      </c>
      <c r="C588" t="s">
        <v>483</v>
      </c>
      <c r="D588" t="s">
        <v>228</v>
      </c>
      <c r="E588" t="s">
        <v>56</v>
      </c>
      <c r="F588">
        <v>27</v>
      </c>
      <c r="G588">
        <v>1</v>
      </c>
      <c r="H588">
        <v>6.0350030175015099E-4</v>
      </c>
      <c r="I588">
        <v>3.7037037037037E-2</v>
      </c>
      <c r="J588" s="14" t="str">
        <f>_xlfn.XLOOKUP(B588,CAD_PDV!A:A,CAD_PDV!B:B)</f>
        <v>FAJULUTI</v>
      </c>
      <c r="K588" s="14">
        <f>IF(IFERROR(_xlfn.XLOOKUP(B588,Planilha2!D:D,Planilha2!H:H),0)="SIM",1,0)</f>
        <v>0</v>
      </c>
      <c r="L588" s="14" t="str">
        <f>_xlfn.XLOOKUP(B588,CAD_PDV!A:A,CAD_PDV!C:C)</f>
        <v>MG</v>
      </c>
      <c r="M588" s="14" t="str">
        <f>IFERROR(_xlfn.XLOOKUP(B588,repete!A:A,repete!A:A),"-")</f>
        <v>-</v>
      </c>
    </row>
    <row r="589" spans="1:13" hidden="1">
      <c r="A589" s="1">
        <v>46054</v>
      </c>
      <c r="B589" t="s">
        <v>762</v>
      </c>
      <c r="C589" t="s">
        <v>763</v>
      </c>
      <c r="D589" t="s">
        <v>239</v>
      </c>
      <c r="E589" t="s">
        <v>59</v>
      </c>
      <c r="F589">
        <v>30</v>
      </c>
      <c r="G589">
        <v>1</v>
      </c>
      <c r="H589">
        <v>6.0350030175015099E-4</v>
      </c>
      <c r="I589">
        <v>3.3333333333333298E-2</v>
      </c>
      <c r="J589" s="14" t="str">
        <f>_xlfn.XLOOKUP(B589,CAD_PDV!A:A,CAD_PDV!B:B)</f>
        <v>TELECELL TELEFONIA LTDA - ME</v>
      </c>
      <c r="K589" s="14">
        <f>IF(IFERROR(_xlfn.XLOOKUP(B589,Planilha2!D:D,Planilha2!H:H),0)="SIM",1,0)</f>
        <v>0</v>
      </c>
      <c r="L589" s="14" t="str">
        <f>_xlfn.XLOOKUP(B589,CAD_PDV!A:A,CAD_PDV!C:C)</f>
        <v>CO</v>
      </c>
      <c r="M589" s="14" t="str">
        <f>IFERROR(_xlfn.XLOOKUP(B589,repete!A:A,repete!A:A),"-")</f>
        <v>-</v>
      </c>
    </row>
    <row r="590" spans="1:13" hidden="1">
      <c r="A590" s="1">
        <v>46082</v>
      </c>
      <c r="B590" t="s">
        <v>1496</v>
      </c>
      <c r="C590" t="s">
        <v>1464</v>
      </c>
      <c r="D590" t="s">
        <v>132</v>
      </c>
      <c r="E590" t="s">
        <v>54</v>
      </c>
      <c r="F590">
        <v>217</v>
      </c>
      <c r="G590">
        <v>91</v>
      </c>
      <c r="H590">
        <v>3.0691399662731898E-2</v>
      </c>
      <c r="I590">
        <v>0.41935483870967699</v>
      </c>
      <c r="J590" s="14" t="str">
        <f>_xlfn.XLOOKUP(B590,CAD_PDV!A:A,CAD_PDV!B:B)</f>
        <v>FLEX CELL</v>
      </c>
      <c r="K590" s="14">
        <f>IF(IFERROR(_xlfn.XLOOKUP(B590,Planilha2!D:D,Planilha2!H:H),0)="SIM",1,0)</f>
        <v>0</v>
      </c>
      <c r="L590" s="14" t="str">
        <f>_xlfn.XLOOKUP(B590,CAD_PDV!A:A,CAD_PDV!C:C)</f>
        <v>SP2</v>
      </c>
      <c r="M590" s="14" t="str">
        <f>IFERROR(_xlfn.XLOOKUP(B590,repete!A:A,repete!A:A),"-")</f>
        <v>-</v>
      </c>
    </row>
    <row r="591" spans="1:13" hidden="1">
      <c r="A591" s="1">
        <v>46082</v>
      </c>
      <c r="B591" t="s">
        <v>1675</v>
      </c>
      <c r="C591" t="s">
        <v>1676</v>
      </c>
      <c r="D591" t="s">
        <v>232</v>
      </c>
      <c r="E591" t="s">
        <v>54</v>
      </c>
      <c r="F591">
        <v>197</v>
      </c>
      <c r="G591">
        <v>64</v>
      </c>
      <c r="H591">
        <v>2.1585160202360901E-2</v>
      </c>
      <c r="I591">
        <v>0.32487309644669998</v>
      </c>
      <c r="J591" s="14" t="str">
        <f>_xlfn.XLOOKUP(B591,CAD_PDV!A:A,CAD_PDV!B:B)</f>
        <v>HS TELECOM</v>
      </c>
      <c r="K591" s="14">
        <f>IF(IFERROR(_xlfn.XLOOKUP(B591,Planilha2!D:D,Planilha2!H:H),0)="SIM",1,0)</f>
        <v>0</v>
      </c>
      <c r="L591" s="14" t="str">
        <f>_xlfn.XLOOKUP(B591,CAD_PDV!A:A,CAD_PDV!C:C)</f>
        <v>SP2</v>
      </c>
      <c r="M591" s="14" t="str">
        <f>IFERROR(_xlfn.XLOOKUP(B591,repete!A:A,repete!A:A),"-")</f>
        <v>-</v>
      </c>
    </row>
    <row r="592" spans="1:13" hidden="1">
      <c r="A592" s="1">
        <v>46082</v>
      </c>
      <c r="B592" t="s">
        <v>831</v>
      </c>
      <c r="C592" t="s">
        <v>820</v>
      </c>
      <c r="D592" t="s">
        <v>239</v>
      </c>
      <c r="E592" t="s">
        <v>59</v>
      </c>
      <c r="F592">
        <v>146</v>
      </c>
      <c r="G592">
        <v>55</v>
      </c>
      <c r="H592">
        <v>1.85497470489039E-2</v>
      </c>
      <c r="I592">
        <v>0.37671232876712302</v>
      </c>
      <c r="J592" s="14" t="str">
        <f>_xlfn.XLOOKUP(B592,CAD_PDV!A:A,CAD_PDV!B:B)</f>
        <v>TELECELL TELEFONIA LTDA - ME</v>
      </c>
      <c r="K592" s="14">
        <f>IF(IFERROR(_xlfn.XLOOKUP(B592,Planilha2!D:D,Planilha2!H:H),0)="SIM",1,0)</f>
        <v>0</v>
      </c>
      <c r="L592" s="14" t="str">
        <f>_xlfn.XLOOKUP(B592,CAD_PDV!A:A,CAD_PDV!C:C)</f>
        <v>CO</v>
      </c>
      <c r="M592" s="14" t="str">
        <f>IFERROR(_xlfn.XLOOKUP(B592,repete!A:A,repete!A:A),"-")</f>
        <v>-</v>
      </c>
    </row>
    <row r="593" spans="1:13" hidden="1">
      <c r="A593" s="1">
        <v>46082</v>
      </c>
      <c r="B593" t="s">
        <v>1672</v>
      </c>
      <c r="C593" t="s">
        <v>1668</v>
      </c>
      <c r="D593" t="s">
        <v>232</v>
      </c>
      <c r="E593" t="s">
        <v>54</v>
      </c>
      <c r="F593">
        <v>252</v>
      </c>
      <c r="G593">
        <v>53</v>
      </c>
      <c r="H593">
        <v>1.7875210792580101E-2</v>
      </c>
      <c r="I593">
        <v>0.21031746031745999</v>
      </c>
      <c r="J593" s="14" t="str">
        <f>_xlfn.XLOOKUP(B593,CAD_PDV!A:A,CAD_PDV!B:B)</f>
        <v>HS TELECOM</v>
      </c>
      <c r="K593" s="14">
        <f>IF(IFERROR(_xlfn.XLOOKUP(B593,Planilha2!D:D,Planilha2!H:H),0)="SIM",1,0)</f>
        <v>0</v>
      </c>
      <c r="L593" s="14" t="str">
        <f>_xlfn.XLOOKUP(B593,CAD_PDV!A:A,CAD_PDV!C:C)</f>
        <v>SP2</v>
      </c>
      <c r="M593" s="14" t="str">
        <f>IFERROR(_xlfn.XLOOKUP(B593,repete!A:A,repete!A:A),"-")</f>
        <v>-</v>
      </c>
    </row>
    <row r="594" spans="1:13" hidden="1">
      <c r="A594" s="1">
        <v>46082</v>
      </c>
      <c r="B594" t="s">
        <v>897</v>
      </c>
      <c r="C594" t="s">
        <v>873</v>
      </c>
      <c r="D594" t="s">
        <v>224</v>
      </c>
      <c r="E594" t="s">
        <v>59</v>
      </c>
      <c r="F594">
        <v>163</v>
      </c>
      <c r="G594">
        <v>51</v>
      </c>
      <c r="H594">
        <v>1.7200674536256299E-2</v>
      </c>
      <c r="I594">
        <v>0.312883435582822</v>
      </c>
      <c r="J594" s="14" t="str">
        <f>_xlfn.XLOOKUP(B594,CAD_PDV!A:A,CAD_PDV!B:B)</f>
        <v>CELNET COMERCIO E SERVICOS DE TELEFONIA LTDA ME</v>
      </c>
      <c r="K594" s="14">
        <f>IF(IFERROR(_xlfn.XLOOKUP(B594,Planilha2!D:D,Planilha2!H:H),0)="SIM",1,0)</f>
        <v>0</v>
      </c>
      <c r="L594" s="14" t="str">
        <f>_xlfn.XLOOKUP(B594,CAD_PDV!A:A,CAD_PDV!C:C)</f>
        <v>CO</v>
      </c>
      <c r="M594" s="14" t="str">
        <f>IFERROR(_xlfn.XLOOKUP(B594,repete!A:A,repete!A:A),"-")</f>
        <v>-</v>
      </c>
    </row>
    <row r="595" spans="1:13" hidden="1">
      <c r="A595" s="1">
        <v>46082</v>
      </c>
      <c r="B595" t="s">
        <v>888</v>
      </c>
      <c r="C595" t="s">
        <v>873</v>
      </c>
      <c r="D595" t="s">
        <v>224</v>
      </c>
      <c r="E595" t="s">
        <v>59</v>
      </c>
      <c r="F595">
        <v>170</v>
      </c>
      <c r="G595">
        <v>49</v>
      </c>
      <c r="H595">
        <v>1.65261382799325E-2</v>
      </c>
      <c r="I595">
        <v>0.28823529411764698</v>
      </c>
      <c r="J595" s="14" t="str">
        <f>_xlfn.XLOOKUP(B595,CAD_PDV!A:A,CAD_PDV!B:B)</f>
        <v>CELNET COMERCIO E SERVICOS DE TELEFONIA LTDA ME</v>
      </c>
      <c r="K595" s="14">
        <f>IF(IFERROR(_xlfn.XLOOKUP(B595,Planilha2!D:D,Planilha2!H:H),0)="SIM",1,0)</f>
        <v>0</v>
      </c>
      <c r="L595" s="14" t="str">
        <f>_xlfn.XLOOKUP(B595,CAD_PDV!A:A,CAD_PDV!C:C)</f>
        <v>CO</v>
      </c>
      <c r="M595" s="14" t="str">
        <f>IFERROR(_xlfn.XLOOKUP(B595,repete!A:A,repete!A:A),"-")</f>
        <v>-</v>
      </c>
    </row>
    <row r="596" spans="1:13" hidden="1">
      <c r="A596" s="1">
        <v>46082</v>
      </c>
      <c r="B596" t="s">
        <v>899</v>
      </c>
      <c r="C596" t="s">
        <v>873</v>
      </c>
      <c r="D596" t="s">
        <v>224</v>
      </c>
      <c r="E596" t="s">
        <v>59</v>
      </c>
      <c r="F596">
        <v>287</v>
      </c>
      <c r="G596">
        <v>49</v>
      </c>
      <c r="H596">
        <v>1.65261382799325E-2</v>
      </c>
      <c r="I596">
        <v>0.17073170731707299</v>
      </c>
      <c r="J596" s="14" t="str">
        <f>_xlfn.XLOOKUP(B596,CAD_PDV!A:A,CAD_PDV!B:B)</f>
        <v>CELNET COMERCIO E SERVICOS DE TELEFONIA LTDA ME</v>
      </c>
      <c r="K596" s="14">
        <f>IF(IFERROR(_xlfn.XLOOKUP(B596,Planilha2!D:D,Planilha2!H:H),0)="SIM",1,0)</f>
        <v>0</v>
      </c>
      <c r="L596" s="14" t="str">
        <f>_xlfn.XLOOKUP(B596,CAD_PDV!A:A,CAD_PDV!C:C)</f>
        <v>CO</v>
      </c>
      <c r="M596" s="14" t="str">
        <f>IFERROR(_xlfn.XLOOKUP(B596,repete!A:A,repete!A:A),"-")</f>
        <v>-</v>
      </c>
    </row>
    <row r="597" spans="1:13" hidden="1">
      <c r="A597" s="1">
        <v>46082</v>
      </c>
      <c r="B597" t="s">
        <v>1689</v>
      </c>
      <c r="C597" t="s">
        <v>1527</v>
      </c>
      <c r="D597" t="s">
        <v>232</v>
      </c>
      <c r="E597" t="s">
        <v>54</v>
      </c>
      <c r="F597">
        <v>125</v>
      </c>
      <c r="G597">
        <v>44</v>
      </c>
      <c r="H597">
        <v>1.48397976391231E-2</v>
      </c>
      <c r="I597">
        <v>0.35199999999999998</v>
      </c>
      <c r="J597" s="14" t="str">
        <f>_xlfn.XLOOKUP(B597,CAD_PDV!A:A,CAD_PDV!B:B)</f>
        <v>HS TELECOM</v>
      </c>
      <c r="K597" s="14">
        <f>IF(IFERROR(_xlfn.XLOOKUP(B597,Planilha2!D:D,Planilha2!H:H),0)="SIM",1,0)</f>
        <v>0</v>
      </c>
      <c r="L597" s="14" t="str">
        <f>_xlfn.XLOOKUP(B597,CAD_PDV!A:A,CAD_PDV!C:C)</f>
        <v>SP2</v>
      </c>
      <c r="M597" s="14" t="str">
        <f>IFERROR(_xlfn.XLOOKUP(B597,repete!A:A,repete!A:A),"-")</f>
        <v>-</v>
      </c>
    </row>
    <row r="598" spans="1:13" hidden="1">
      <c r="A598" s="1">
        <v>46082</v>
      </c>
      <c r="B598" t="s">
        <v>1548</v>
      </c>
      <c r="C598" t="s">
        <v>1545</v>
      </c>
      <c r="D598" t="s">
        <v>232</v>
      </c>
      <c r="E598" t="s">
        <v>54</v>
      </c>
      <c r="F598">
        <v>108</v>
      </c>
      <c r="G598">
        <v>42</v>
      </c>
      <c r="H598">
        <v>1.4165261382799299E-2</v>
      </c>
      <c r="I598">
        <v>0.38888888888888901</v>
      </c>
      <c r="J598" s="14" t="str">
        <f>_xlfn.XLOOKUP(B598,CAD_PDV!A:A,CAD_PDV!B:B)</f>
        <v>HS TELECOM</v>
      </c>
      <c r="K598" s="14">
        <f>IF(IFERROR(_xlfn.XLOOKUP(B598,Planilha2!D:D,Planilha2!H:H),0)="SIM",1,0)</f>
        <v>0</v>
      </c>
      <c r="L598" s="14" t="str">
        <f>_xlfn.XLOOKUP(B598,CAD_PDV!A:A,CAD_PDV!C:C)</f>
        <v>SP2</v>
      </c>
      <c r="M598" s="14" t="str">
        <f>IFERROR(_xlfn.XLOOKUP(B598,repete!A:A,repete!A:A),"-")</f>
        <v>-</v>
      </c>
    </row>
    <row r="599" spans="1:13" hidden="1">
      <c r="A599" s="1">
        <v>46082</v>
      </c>
      <c r="B599" t="s">
        <v>1571</v>
      </c>
      <c r="C599" t="s">
        <v>1535</v>
      </c>
      <c r="D599" t="s">
        <v>232</v>
      </c>
      <c r="E599" t="s">
        <v>54</v>
      </c>
      <c r="F599">
        <v>128</v>
      </c>
      <c r="G599">
        <v>41</v>
      </c>
      <c r="H599">
        <v>1.38279932546374E-2</v>
      </c>
      <c r="I599">
        <v>0.3203125</v>
      </c>
      <c r="J599" s="14" t="str">
        <f>_xlfn.XLOOKUP(B599,CAD_PDV!A:A,CAD_PDV!B:B)</f>
        <v>HS TELECOM</v>
      </c>
      <c r="K599" s="14">
        <f>IF(IFERROR(_xlfn.XLOOKUP(B599,Planilha2!D:D,Planilha2!H:H),0)="SIM",1,0)</f>
        <v>0</v>
      </c>
      <c r="L599" s="14" t="str">
        <f>_xlfn.XLOOKUP(B599,CAD_PDV!A:A,CAD_PDV!C:C)</f>
        <v>SP2</v>
      </c>
      <c r="M599" s="14" t="str">
        <f>IFERROR(_xlfn.XLOOKUP(B599,repete!A:A,repete!A:A),"-")</f>
        <v>-</v>
      </c>
    </row>
    <row r="600" spans="1:13" hidden="1">
      <c r="A600" s="1">
        <v>46082</v>
      </c>
      <c r="B600" t="s">
        <v>1611</v>
      </c>
      <c r="C600" t="s">
        <v>1527</v>
      </c>
      <c r="D600" t="s">
        <v>232</v>
      </c>
      <c r="E600" t="s">
        <v>54</v>
      </c>
      <c r="F600">
        <v>285</v>
      </c>
      <c r="G600">
        <v>39</v>
      </c>
      <c r="H600">
        <v>1.31534569983137E-2</v>
      </c>
      <c r="I600">
        <v>0.13684210526315799</v>
      </c>
      <c r="J600" s="14" t="str">
        <f>_xlfn.XLOOKUP(B600,CAD_PDV!A:A,CAD_PDV!B:B)</f>
        <v>HS TELECOM</v>
      </c>
      <c r="K600" s="14">
        <f>IF(IFERROR(_xlfn.XLOOKUP(B600,Planilha2!D:D,Planilha2!H:H),0)="SIM",1,0)</f>
        <v>0</v>
      </c>
      <c r="L600" s="14" t="str">
        <f>_xlfn.XLOOKUP(B600,CAD_PDV!A:A,CAD_PDV!C:C)</f>
        <v>SP2</v>
      </c>
      <c r="M600" s="14" t="str">
        <f>IFERROR(_xlfn.XLOOKUP(B600,repete!A:A,repete!A:A),"-")</f>
        <v>-</v>
      </c>
    </row>
    <row r="601" spans="1:13" hidden="1">
      <c r="A601" s="1">
        <v>46082</v>
      </c>
      <c r="B601" t="s">
        <v>1372</v>
      </c>
      <c r="C601" t="s">
        <v>1313</v>
      </c>
      <c r="D601" t="s">
        <v>132</v>
      </c>
      <c r="E601" t="s">
        <v>53</v>
      </c>
      <c r="F601">
        <v>170</v>
      </c>
      <c r="G601">
        <v>38</v>
      </c>
      <c r="H601">
        <v>1.28161888701518E-2</v>
      </c>
      <c r="I601">
        <v>0.223529411764706</v>
      </c>
      <c r="J601" s="14" t="str">
        <f>_xlfn.XLOOKUP(B601,CAD_PDV!A:A,CAD_PDV!B:B)</f>
        <v>FLEX CELL</v>
      </c>
      <c r="K601" s="14">
        <f>IF(IFERROR(_xlfn.XLOOKUP(B601,Planilha2!D:D,Planilha2!H:H),0)="SIM",1,0)</f>
        <v>0</v>
      </c>
      <c r="L601" s="14" t="str">
        <f>_xlfn.XLOOKUP(B601,CAD_PDV!A:A,CAD_PDV!C:C)</f>
        <v>SP1</v>
      </c>
      <c r="M601" s="14" t="str">
        <f>IFERROR(_xlfn.XLOOKUP(B601,repete!A:A,repete!A:A),"-")</f>
        <v>-</v>
      </c>
    </row>
    <row r="602" spans="1:13" hidden="1">
      <c r="A602" s="1">
        <v>46082</v>
      </c>
      <c r="B602" t="s">
        <v>1662</v>
      </c>
      <c r="C602" t="s">
        <v>1663</v>
      </c>
      <c r="D602" t="s">
        <v>232</v>
      </c>
      <c r="E602" t="s">
        <v>54</v>
      </c>
      <c r="F602">
        <v>142</v>
      </c>
      <c r="G602">
        <v>37</v>
      </c>
      <c r="H602">
        <v>1.2478920741989899E-2</v>
      </c>
      <c r="I602">
        <v>0.26056338028169002</v>
      </c>
      <c r="J602" s="14" t="str">
        <f>_xlfn.XLOOKUP(B602,CAD_PDV!A:A,CAD_PDV!B:B)</f>
        <v>HS TELECOM</v>
      </c>
      <c r="K602" s="14">
        <f>IF(IFERROR(_xlfn.XLOOKUP(B602,Planilha2!D:D,Planilha2!H:H),0)="SIM",1,0)</f>
        <v>0</v>
      </c>
      <c r="L602" s="14" t="str">
        <f>_xlfn.XLOOKUP(B602,CAD_PDV!A:A,CAD_PDV!C:C)</f>
        <v>SP2</v>
      </c>
      <c r="M602" s="14" t="str">
        <f>IFERROR(_xlfn.XLOOKUP(B602,repete!A:A,repete!A:A),"-")</f>
        <v>-</v>
      </c>
    </row>
    <row r="603" spans="1:13" hidden="1">
      <c r="A603" s="1">
        <v>46082</v>
      </c>
      <c r="B603" t="s">
        <v>747</v>
      </c>
      <c r="C603" t="s">
        <v>610</v>
      </c>
      <c r="D603" t="s">
        <v>224</v>
      </c>
      <c r="E603" t="s">
        <v>59</v>
      </c>
      <c r="F603">
        <v>116</v>
      </c>
      <c r="G603">
        <v>36</v>
      </c>
      <c r="H603">
        <v>1.2141652613828E-2</v>
      </c>
      <c r="I603">
        <v>0.31034482758620702</v>
      </c>
      <c r="J603" s="14" t="str">
        <f>_xlfn.XLOOKUP(B603,CAD_PDV!A:A,CAD_PDV!B:B)</f>
        <v>CELNET COMERCIO E SERVICOS DE TELEFONIA LTDA ME</v>
      </c>
      <c r="K603" s="14">
        <f>IF(IFERROR(_xlfn.XLOOKUP(B603,Planilha2!D:D,Planilha2!H:H),0)="SIM",1,0)</f>
        <v>0</v>
      </c>
      <c r="L603" s="14" t="str">
        <f>_xlfn.XLOOKUP(B603,CAD_PDV!A:A,CAD_PDV!C:C)</f>
        <v>CO</v>
      </c>
      <c r="M603" s="14" t="str">
        <f>IFERROR(_xlfn.XLOOKUP(B603,repete!A:A,repete!A:A),"-")</f>
        <v>-</v>
      </c>
    </row>
    <row r="604" spans="1:13" hidden="1">
      <c r="A604" s="1">
        <v>46082</v>
      </c>
      <c r="B604" t="s">
        <v>872</v>
      </c>
      <c r="C604" t="s">
        <v>873</v>
      </c>
      <c r="D604" t="s">
        <v>239</v>
      </c>
      <c r="E604" t="s">
        <v>59</v>
      </c>
      <c r="F604">
        <v>113</v>
      </c>
      <c r="G604">
        <v>33</v>
      </c>
      <c r="H604">
        <v>1.11298482293423E-2</v>
      </c>
      <c r="I604">
        <v>0.29203539823008901</v>
      </c>
      <c r="J604" s="14" t="str">
        <f>_xlfn.XLOOKUP(B604,CAD_PDV!A:A,CAD_PDV!B:B)</f>
        <v>TELECELL TELEFONIA LTDA - ME</v>
      </c>
      <c r="K604" s="14">
        <f>IF(IFERROR(_xlfn.XLOOKUP(B604,Planilha2!D:D,Planilha2!H:H),0)="SIM",1,0)</f>
        <v>0</v>
      </c>
      <c r="L604" s="14" t="str">
        <f>_xlfn.XLOOKUP(B604,CAD_PDV!A:A,CAD_PDV!C:C)</f>
        <v>CO</v>
      </c>
      <c r="M604" s="14" t="str">
        <f>IFERROR(_xlfn.XLOOKUP(B604,repete!A:A,repete!A:A),"-")</f>
        <v>-</v>
      </c>
    </row>
    <row r="605" spans="1:13" hidden="1">
      <c r="A605" s="1">
        <v>46082</v>
      </c>
      <c r="B605" t="s">
        <v>1139</v>
      </c>
      <c r="C605" t="s">
        <v>1142</v>
      </c>
      <c r="D605" t="s">
        <v>228</v>
      </c>
      <c r="E605" t="s">
        <v>55</v>
      </c>
      <c r="F605">
        <v>186</v>
      </c>
      <c r="G605">
        <v>29</v>
      </c>
      <c r="H605">
        <v>9.7807757166947697E-3</v>
      </c>
      <c r="I605">
        <v>0.15591397849462399</v>
      </c>
      <c r="J605" s="14" t="str">
        <f>_xlfn.XLOOKUP(B605,CAD_PDV!A:A,CAD_PDV!B:B)</f>
        <v>FAJULUTI</v>
      </c>
      <c r="K605" s="14">
        <f>IF(IFERROR(_xlfn.XLOOKUP(B605,Planilha2!D:D,Planilha2!H:H),0)="SIM",1,0)</f>
        <v>0</v>
      </c>
      <c r="L605" s="14" t="str">
        <f>_xlfn.XLOOKUP(B605,CAD_PDV!A:A,CAD_PDV!C:C)</f>
        <v>RJ/ES</v>
      </c>
      <c r="M605" s="14" t="str">
        <f>IFERROR(_xlfn.XLOOKUP(B605,repete!A:A,repete!A:A),"-")</f>
        <v>-</v>
      </c>
    </row>
    <row r="606" spans="1:13" hidden="1">
      <c r="A606" s="1">
        <v>46082</v>
      </c>
      <c r="B606" t="s">
        <v>1690</v>
      </c>
      <c r="C606" t="s">
        <v>1503</v>
      </c>
      <c r="D606" t="s">
        <v>232</v>
      </c>
      <c r="E606" t="s">
        <v>54</v>
      </c>
      <c r="F606">
        <v>122</v>
      </c>
      <c r="G606">
        <v>28</v>
      </c>
      <c r="H606">
        <v>9.4435075885328807E-3</v>
      </c>
      <c r="I606">
        <v>0.22950819672131101</v>
      </c>
      <c r="J606" s="14" t="str">
        <f>_xlfn.XLOOKUP(B606,CAD_PDV!A:A,CAD_PDV!B:B)</f>
        <v>HS TELECOM</v>
      </c>
      <c r="K606" s="14">
        <f>IF(IFERROR(_xlfn.XLOOKUP(B606,Planilha2!D:D,Planilha2!H:H),0)="SIM",1,0)</f>
        <v>0</v>
      </c>
      <c r="L606" s="14" t="str">
        <f>_xlfn.XLOOKUP(B606,CAD_PDV!A:A,CAD_PDV!C:C)</f>
        <v>SP2</v>
      </c>
      <c r="M606" s="14" t="str">
        <f>IFERROR(_xlfn.XLOOKUP(B606,repete!A:A,repete!A:A),"-")</f>
        <v>-</v>
      </c>
    </row>
    <row r="607" spans="1:13" hidden="1">
      <c r="A607" s="1">
        <v>46082</v>
      </c>
      <c r="B607" t="s">
        <v>984</v>
      </c>
      <c r="C607" t="s">
        <v>940</v>
      </c>
      <c r="D607" t="s">
        <v>232</v>
      </c>
      <c r="E607" t="s">
        <v>60</v>
      </c>
      <c r="F607">
        <v>77</v>
      </c>
      <c r="G607">
        <v>27</v>
      </c>
      <c r="H607">
        <v>9.1062394603710003E-3</v>
      </c>
      <c r="I607">
        <v>0.35064935064935099</v>
      </c>
      <c r="J607" s="14" t="str">
        <f>_xlfn.XLOOKUP(B607,CAD_PDV!A:A,CAD_PDV!B:B)</f>
        <v>HS TELECOM</v>
      </c>
      <c r="K607" s="14">
        <f>IF(IFERROR(_xlfn.XLOOKUP(B607,Planilha2!D:D,Planilha2!H:H),0)="SIM",1,0)</f>
        <v>0</v>
      </c>
      <c r="L607" s="14" t="str">
        <f>_xlfn.XLOOKUP(B607,CAD_PDV!A:A,CAD_PDV!C:C)</f>
        <v>BA/SE</v>
      </c>
      <c r="M607" s="14" t="str">
        <f>IFERROR(_xlfn.XLOOKUP(B607,repete!A:A,repete!A:A),"-")</f>
        <v>-</v>
      </c>
    </row>
    <row r="608" spans="1:13" hidden="1">
      <c r="A608" s="1">
        <v>46082</v>
      </c>
      <c r="B608" t="s">
        <v>886</v>
      </c>
      <c r="C608" t="s">
        <v>873</v>
      </c>
      <c r="D608" t="s">
        <v>224</v>
      </c>
      <c r="E608" t="s">
        <v>59</v>
      </c>
      <c r="F608">
        <v>167</v>
      </c>
      <c r="G608">
        <v>27</v>
      </c>
      <c r="H608">
        <v>9.1062394603710003E-3</v>
      </c>
      <c r="I608">
        <v>0.16167664670658699</v>
      </c>
      <c r="J608" s="14" t="str">
        <f>_xlfn.XLOOKUP(B608,CAD_PDV!A:A,CAD_PDV!B:B)</f>
        <v>CELNET COMERCIO E SERVICOS DE TELEFONIA LTDA ME</v>
      </c>
      <c r="K608" s="14">
        <f>IF(IFERROR(_xlfn.XLOOKUP(B608,Planilha2!D:D,Planilha2!H:H),0)="SIM",1,0)</f>
        <v>0</v>
      </c>
      <c r="L608" s="14" t="str">
        <f>_xlfn.XLOOKUP(B608,CAD_PDV!A:A,CAD_PDV!C:C)</f>
        <v>CO</v>
      </c>
      <c r="M608" s="14" t="str">
        <f>IFERROR(_xlfn.XLOOKUP(B608,repete!A:A,repete!A:A),"-")</f>
        <v>-</v>
      </c>
    </row>
    <row r="609" spans="1:13" hidden="1">
      <c r="A609" s="1">
        <v>46082</v>
      </c>
      <c r="B609" t="s">
        <v>1217</v>
      </c>
      <c r="C609" t="s">
        <v>1152</v>
      </c>
      <c r="D609" t="s">
        <v>228</v>
      </c>
      <c r="E609" t="s">
        <v>55</v>
      </c>
      <c r="F609">
        <v>123</v>
      </c>
      <c r="G609">
        <v>26</v>
      </c>
      <c r="H609">
        <v>8.7689713322091096E-3</v>
      </c>
      <c r="I609">
        <v>0.211382113821138</v>
      </c>
      <c r="J609" s="14" t="str">
        <f>_xlfn.XLOOKUP(B609,CAD_PDV!A:A,CAD_PDV!B:B)</f>
        <v>FAJULUTI</v>
      </c>
      <c r="K609" s="14">
        <f>IF(IFERROR(_xlfn.XLOOKUP(B609,Planilha2!D:D,Planilha2!H:H),0)="SIM",1,0)</f>
        <v>0</v>
      </c>
      <c r="L609" s="14" t="str">
        <f>_xlfn.XLOOKUP(B609,CAD_PDV!A:A,CAD_PDV!C:C)</f>
        <v>RJ/ES</v>
      </c>
      <c r="M609" s="14" t="str">
        <f>IFERROR(_xlfn.XLOOKUP(B609,repete!A:A,repete!A:A),"-")</f>
        <v>-</v>
      </c>
    </row>
    <row r="610" spans="1:13" hidden="1">
      <c r="A610" s="1">
        <v>46082</v>
      </c>
      <c r="B610" t="s">
        <v>1660</v>
      </c>
      <c r="C610" t="s">
        <v>1661</v>
      </c>
      <c r="D610" t="s">
        <v>232</v>
      </c>
      <c r="E610" t="s">
        <v>54</v>
      </c>
      <c r="F610">
        <v>103</v>
      </c>
      <c r="G610">
        <v>26</v>
      </c>
      <c r="H610">
        <v>8.7689713322091096E-3</v>
      </c>
      <c r="I610">
        <v>0.25242718446601897</v>
      </c>
      <c r="J610" s="14" t="str">
        <f>_xlfn.XLOOKUP(B610,CAD_PDV!A:A,CAD_PDV!B:B)</f>
        <v>HS TELECOM</v>
      </c>
      <c r="K610" s="14">
        <f>IF(IFERROR(_xlfn.XLOOKUP(B610,Planilha2!D:D,Planilha2!H:H),0)="SIM",1,0)</f>
        <v>0</v>
      </c>
      <c r="L610" s="14" t="str">
        <f>_xlfn.XLOOKUP(B610,CAD_PDV!A:A,CAD_PDV!C:C)</f>
        <v>SP2</v>
      </c>
      <c r="M610" s="14" t="str">
        <f>IFERROR(_xlfn.XLOOKUP(B610,repete!A:A,repete!A:A),"-")</f>
        <v>-</v>
      </c>
    </row>
    <row r="611" spans="1:13" hidden="1">
      <c r="A611" s="1">
        <v>46082</v>
      </c>
      <c r="B611" t="s">
        <v>1501</v>
      </c>
      <c r="C611" t="s">
        <v>1503</v>
      </c>
      <c r="D611" t="s">
        <v>232</v>
      </c>
      <c r="E611" t="s">
        <v>54</v>
      </c>
      <c r="F611">
        <v>142</v>
      </c>
      <c r="G611">
        <v>25</v>
      </c>
      <c r="H611">
        <v>8.4317032040472206E-3</v>
      </c>
      <c r="I611">
        <v>0.176056338028169</v>
      </c>
      <c r="J611" s="14" t="str">
        <f>_xlfn.XLOOKUP(B611,CAD_PDV!A:A,CAD_PDV!B:B)</f>
        <v>HS TELECOM</v>
      </c>
      <c r="K611" s="14">
        <f>IF(IFERROR(_xlfn.XLOOKUP(B611,Planilha2!D:D,Planilha2!H:H),0)="SIM",1,0)</f>
        <v>0</v>
      </c>
      <c r="L611" s="14" t="str">
        <f>_xlfn.XLOOKUP(B611,CAD_PDV!A:A,CAD_PDV!C:C)</f>
        <v>SP2</v>
      </c>
      <c r="M611" s="14" t="str">
        <f>IFERROR(_xlfn.XLOOKUP(B611,repete!A:A,repete!A:A),"-")</f>
        <v>-</v>
      </c>
    </row>
    <row r="612" spans="1:13" hidden="1">
      <c r="A612" s="1">
        <v>46082</v>
      </c>
      <c r="B612" t="s">
        <v>1602</v>
      </c>
      <c r="C612" t="s">
        <v>1489</v>
      </c>
      <c r="D612" t="s">
        <v>232</v>
      </c>
      <c r="E612" t="s">
        <v>54</v>
      </c>
      <c r="F612">
        <v>87</v>
      </c>
      <c r="G612">
        <v>24</v>
      </c>
      <c r="H612">
        <v>8.0944350758853298E-3</v>
      </c>
      <c r="I612">
        <v>0.27586206896551702</v>
      </c>
      <c r="J612" s="14" t="str">
        <f>_xlfn.XLOOKUP(B612,CAD_PDV!A:A,CAD_PDV!B:B)</f>
        <v>HS TELECOM</v>
      </c>
      <c r="K612" s="14">
        <f>IF(IFERROR(_xlfn.XLOOKUP(B612,Planilha2!D:D,Planilha2!H:H),0)="SIM",1,0)</f>
        <v>0</v>
      </c>
      <c r="L612" s="14" t="str">
        <f>_xlfn.XLOOKUP(B612,CAD_PDV!A:A,CAD_PDV!C:C)</f>
        <v>SP2</v>
      </c>
      <c r="M612" s="14" t="str">
        <f>IFERROR(_xlfn.XLOOKUP(B612,repete!A:A,repete!A:A),"-")</f>
        <v>-</v>
      </c>
    </row>
    <row r="613" spans="1:13" hidden="1">
      <c r="A613" s="1">
        <v>46082</v>
      </c>
      <c r="B613" t="s">
        <v>1682</v>
      </c>
      <c r="C613" t="s">
        <v>1566</v>
      </c>
      <c r="D613" t="s">
        <v>232</v>
      </c>
      <c r="E613" t="s">
        <v>54</v>
      </c>
      <c r="F613">
        <v>129</v>
      </c>
      <c r="G613">
        <v>24</v>
      </c>
      <c r="H613">
        <v>8.0944350758853298E-3</v>
      </c>
      <c r="I613">
        <v>0.186046511627907</v>
      </c>
      <c r="J613" s="14" t="str">
        <f>_xlfn.XLOOKUP(B613,CAD_PDV!A:A,CAD_PDV!B:B)</f>
        <v>HS TELECOM</v>
      </c>
      <c r="K613" s="14">
        <f>IF(IFERROR(_xlfn.XLOOKUP(B613,Planilha2!D:D,Planilha2!H:H),0)="SIM",1,0)</f>
        <v>0</v>
      </c>
      <c r="L613" s="14" t="str">
        <f>_xlfn.XLOOKUP(B613,CAD_PDV!A:A,CAD_PDV!C:C)</f>
        <v>SP2</v>
      </c>
      <c r="M613" s="14" t="str">
        <f>IFERROR(_xlfn.XLOOKUP(B613,repete!A:A,repete!A:A),"-")</f>
        <v>-</v>
      </c>
    </row>
    <row r="614" spans="1:13" hidden="1">
      <c r="A614" s="1">
        <v>46082</v>
      </c>
      <c r="B614" t="s">
        <v>1487</v>
      </c>
      <c r="C614" t="s">
        <v>1489</v>
      </c>
      <c r="D614" t="s">
        <v>232</v>
      </c>
      <c r="E614" t="s">
        <v>54</v>
      </c>
      <c r="F614">
        <v>67</v>
      </c>
      <c r="G614">
        <v>23</v>
      </c>
      <c r="H614">
        <v>7.7571669477234399E-3</v>
      </c>
      <c r="I614">
        <v>0.34328358208955201</v>
      </c>
      <c r="J614" s="14" t="str">
        <f>_xlfn.XLOOKUP(B614,CAD_PDV!A:A,CAD_PDV!B:B)</f>
        <v>HS TELECOM</v>
      </c>
      <c r="K614" s="14">
        <f>IF(IFERROR(_xlfn.XLOOKUP(B614,Planilha2!D:D,Planilha2!H:H),0)="SIM",1,0)</f>
        <v>0</v>
      </c>
      <c r="L614" s="14" t="str">
        <f>_xlfn.XLOOKUP(B614,CAD_PDV!A:A,CAD_PDV!C:C)</f>
        <v>SP2</v>
      </c>
      <c r="M614" s="14" t="str">
        <f>IFERROR(_xlfn.XLOOKUP(B614,repete!A:A,repete!A:A),"-")</f>
        <v>-</v>
      </c>
    </row>
    <row r="615" spans="1:13" hidden="1">
      <c r="A615" s="1">
        <v>46082</v>
      </c>
      <c r="B615" t="s">
        <v>1685</v>
      </c>
      <c r="C615" t="s">
        <v>1686</v>
      </c>
      <c r="D615" t="s">
        <v>232</v>
      </c>
      <c r="E615" t="s">
        <v>54</v>
      </c>
      <c r="F615">
        <v>153</v>
      </c>
      <c r="G615">
        <v>23</v>
      </c>
      <c r="H615">
        <v>7.7571669477234399E-3</v>
      </c>
      <c r="I615">
        <v>0.15032679738562099</v>
      </c>
      <c r="J615" s="14" t="str">
        <f>_xlfn.XLOOKUP(B615,CAD_PDV!A:A,CAD_PDV!B:B)</f>
        <v>HS TELECOM</v>
      </c>
      <c r="K615" s="14">
        <f>IF(IFERROR(_xlfn.XLOOKUP(B615,Planilha2!D:D,Planilha2!H:H),0)="SIM",1,0)</f>
        <v>0</v>
      </c>
      <c r="L615" s="14" t="str">
        <f>_xlfn.XLOOKUP(B615,CAD_PDV!A:A,CAD_PDV!C:C)</f>
        <v>SP2</v>
      </c>
      <c r="M615" s="14" t="str">
        <f>IFERROR(_xlfn.XLOOKUP(B615,repete!A:A,repete!A:A),"-")</f>
        <v>-</v>
      </c>
    </row>
    <row r="616" spans="1:13" hidden="1">
      <c r="A616" s="1">
        <v>46082</v>
      </c>
      <c r="B616" t="s">
        <v>279</v>
      </c>
      <c r="C616" t="s">
        <v>265</v>
      </c>
      <c r="D616" t="s">
        <v>230</v>
      </c>
      <c r="E616" t="s">
        <v>61</v>
      </c>
      <c r="F616">
        <v>146</v>
      </c>
      <c r="G616">
        <v>22</v>
      </c>
      <c r="H616">
        <v>7.41989881956155E-3</v>
      </c>
      <c r="I616">
        <v>0.150684931506849</v>
      </c>
      <c r="J616" s="14" t="str">
        <f>_xlfn.XLOOKUP(B616,CAD_PDV!A:A,CAD_PDV!B:B)</f>
        <v>HARCOS COMERCIO E SERVICOS LTDA - EPP</v>
      </c>
      <c r="K616" s="14">
        <f>IF(IFERROR(_xlfn.XLOOKUP(B616,Planilha2!D:D,Planilha2!H:H),0)="SIM",1,0)</f>
        <v>0</v>
      </c>
      <c r="L616" s="14" t="str">
        <f>_xlfn.XLOOKUP(B616,CAD_PDV!A:A,CAD_PDV!C:C)</f>
        <v>NE</v>
      </c>
      <c r="M616" s="14" t="str">
        <f>IFERROR(_xlfn.XLOOKUP(B616,repete!A:A,repete!A:A),"-")</f>
        <v>-</v>
      </c>
    </row>
    <row r="617" spans="1:13" hidden="1">
      <c r="A617" s="1">
        <v>46082</v>
      </c>
      <c r="B617" t="s">
        <v>896</v>
      </c>
      <c r="C617" t="s">
        <v>873</v>
      </c>
      <c r="D617" t="s">
        <v>224</v>
      </c>
      <c r="E617" t="s">
        <v>59</v>
      </c>
      <c r="F617">
        <v>128</v>
      </c>
      <c r="G617">
        <v>22</v>
      </c>
      <c r="H617">
        <v>7.41989881956155E-3</v>
      </c>
      <c r="I617">
        <v>0.171875</v>
      </c>
      <c r="J617" s="14" t="str">
        <f>_xlfn.XLOOKUP(B617,CAD_PDV!A:A,CAD_PDV!B:B)</f>
        <v>CELNET COMERCIO E SERVICOS DE TELEFONIA LTDA ME</v>
      </c>
      <c r="K617" s="14">
        <f>IF(IFERROR(_xlfn.XLOOKUP(B617,Planilha2!D:D,Planilha2!H:H),0)="SIM",1,0)</f>
        <v>0</v>
      </c>
      <c r="L617" s="14" t="str">
        <f>_xlfn.XLOOKUP(B617,CAD_PDV!A:A,CAD_PDV!C:C)</f>
        <v>CO</v>
      </c>
      <c r="M617" s="14" t="str">
        <f>IFERROR(_xlfn.XLOOKUP(B617,repete!A:A,repete!A:A),"-")</f>
        <v>-</v>
      </c>
    </row>
    <row r="618" spans="1:13" hidden="1">
      <c r="A618" s="1">
        <v>46082</v>
      </c>
      <c r="B618" t="s">
        <v>1687</v>
      </c>
      <c r="C618" t="s">
        <v>1688</v>
      </c>
      <c r="D618" t="s">
        <v>232</v>
      </c>
      <c r="E618" t="s">
        <v>54</v>
      </c>
      <c r="F618">
        <v>93</v>
      </c>
      <c r="G618">
        <v>22</v>
      </c>
      <c r="H618">
        <v>7.41989881956155E-3</v>
      </c>
      <c r="I618">
        <v>0.236559139784946</v>
      </c>
      <c r="J618" s="14" t="str">
        <f>_xlfn.XLOOKUP(B618,CAD_PDV!A:A,CAD_PDV!B:B)</f>
        <v>HS TELECOM</v>
      </c>
      <c r="K618" s="14">
        <f>IF(IFERROR(_xlfn.XLOOKUP(B618,Planilha2!D:D,Planilha2!H:H),0)="SIM",1,0)</f>
        <v>0</v>
      </c>
      <c r="L618" s="14" t="str">
        <f>_xlfn.XLOOKUP(B618,CAD_PDV!A:A,CAD_PDV!C:C)</f>
        <v>SP2</v>
      </c>
      <c r="M618" s="14" t="str">
        <f>IFERROR(_xlfn.XLOOKUP(B618,repete!A:A,repete!A:A),"-")</f>
        <v>-</v>
      </c>
    </row>
    <row r="619" spans="1:13" hidden="1">
      <c r="A619" s="1">
        <v>46082</v>
      </c>
      <c r="B619" t="s">
        <v>1564</v>
      </c>
      <c r="C619" t="s">
        <v>1566</v>
      </c>
      <c r="D619" t="s">
        <v>232</v>
      </c>
      <c r="E619" t="s">
        <v>54</v>
      </c>
      <c r="F619">
        <v>65</v>
      </c>
      <c r="G619">
        <v>21</v>
      </c>
      <c r="H619">
        <v>7.0826306913996601E-3</v>
      </c>
      <c r="I619">
        <v>0.32307692307692298</v>
      </c>
      <c r="J619" s="14" t="str">
        <f>_xlfn.XLOOKUP(B619,CAD_PDV!A:A,CAD_PDV!B:B)</f>
        <v>HS TELECOM</v>
      </c>
      <c r="K619" s="14">
        <f>IF(IFERROR(_xlfn.XLOOKUP(B619,Planilha2!D:D,Planilha2!H:H),0)="SIM",1,0)</f>
        <v>0</v>
      </c>
      <c r="L619" s="14" t="str">
        <f>_xlfn.XLOOKUP(B619,CAD_PDV!A:A,CAD_PDV!C:C)</f>
        <v>SP2</v>
      </c>
      <c r="M619" s="14" t="str">
        <f>IFERROR(_xlfn.XLOOKUP(B619,repete!A:A,repete!A:A),"-")</f>
        <v>-</v>
      </c>
    </row>
    <row r="620" spans="1:13" hidden="1">
      <c r="A620" s="1">
        <v>46082</v>
      </c>
      <c r="B620" t="s">
        <v>1735</v>
      </c>
      <c r="C620" t="s">
        <v>1464</v>
      </c>
      <c r="D620" t="s">
        <v>132</v>
      </c>
      <c r="E620" t="s">
        <v>54</v>
      </c>
      <c r="F620">
        <v>44</v>
      </c>
      <c r="G620">
        <v>21</v>
      </c>
      <c r="H620">
        <v>7.0826306913996601E-3</v>
      </c>
      <c r="I620">
        <v>0.47727272727272702</v>
      </c>
      <c r="J620" s="14" t="str">
        <f>_xlfn.XLOOKUP(B620,CAD_PDV!A:A,CAD_PDV!B:B)</f>
        <v>FLEX CELL</v>
      </c>
      <c r="K620" s="14">
        <f>IF(IFERROR(_xlfn.XLOOKUP(B620,Planilha2!D:D,Planilha2!H:H),0)="SIM",1,0)</f>
        <v>0</v>
      </c>
      <c r="L620" s="14" t="str">
        <f>_xlfn.XLOOKUP(B620,CAD_PDV!A:A,CAD_PDV!C:C)</f>
        <v>SP2</v>
      </c>
      <c r="M620" s="14" t="str">
        <f>IFERROR(_xlfn.XLOOKUP(B620,repete!A:A,repete!A:A),"-")</f>
        <v>-</v>
      </c>
    </row>
    <row r="621" spans="1:13" hidden="1">
      <c r="A621" s="1">
        <v>46082</v>
      </c>
      <c r="B621" t="s">
        <v>1284</v>
      </c>
      <c r="C621" t="s">
        <v>1283</v>
      </c>
      <c r="D621" t="s">
        <v>228</v>
      </c>
      <c r="E621" t="s">
        <v>55</v>
      </c>
      <c r="F621">
        <v>92</v>
      </c>
      <c r="G621">
        <v>20</v>
      </c>
      <c r="H621">
        <v>6.7453625632377702E-3</v>
      </c>
      <c r="I621">
        <v>0.217391304347826</v>
      </c>
      <c r="J621" s="14" t="str">
        <f>_xlfn.XLOOKUP(B621,CAD_PDV!A:A,CAD_PDV!B:B)</f>
        <v>FAJULUTI</v>
      </c>
      <c r="K621" s="14">
        <f>IF(IFERROR(_xlfn.XLOOKUP(B621,Planilha2!D:D,Planilha2!H:H),0)="SIM",1,0)</f>
        <v>0</v>
      </c>
      <c r="L621" s="14" t="str">
        <f>_xlfn.XLOOKUP(B621,CAD_PDV!A:A,CAD_PDV!C:C)</f>
        <v>RJ/ES</v>
      </c>
      <c r="M621" s="14" t="str">
        <f>IFERROR(_xlfn.XLOOKUP(B621,repete!A:A,repete!A:A),"-")</f>
        <v>-</v>
      </c>
    </row>
    <row r="622" spans="1:13" hidden="1">
      <c r="A622" s="1">
        <v>46082</v>
      </c>
      <c r="B622" t="s">
        <v>1167</v>
      </c>
      <c r="C622" t="s">
        <v>1152</v>
      </c>
      <c r="D622" t="s">
        <v>237</v>
      </c>
      <c r="E622" t="s">
        <v>55</v>
      </c>
      <c r="F622">
        <v>183</v>
      </c>
      <c r="G622">
        <v>20</v>
      </c>
      <c r="H622">
        <v>6.7453625632377702E-3</v>
      </c>
      <c r="I622">
        <v>0.109289617486339</v>
      </c>
      <c r="J622" s="14" t="str">
        <f>_xlfn.XLOOKUP(B622,CAD_PDV!A:A,CAD_PDV!B:B)</f>
        <v>PONTO CERTO COMERCIO E COMUNICAÇÕES LTDA</v>
      </c>
      <c r="K622" s="14">
        <f>IF(IFERROR(_xlfn.XLOOKUP(B622,Planilha2!D:D,Planilha2!H:H),0)="SIM",1,0)</f>
        <v>0</v>
      </c>
      <c r="L622" s="14" t="str">
        <f>_xlfn.XLOOKUP(B622,CAD_PDV!A:A,CAD_PDV!C:C)</f>
        <v>RJ/ES</v>
      </c>
      <c r="M622" s="14" t="str">
        <f>IFERROR(_xlfn.XLOOKUP(B622,repete!A:A,repete!A:A),"-")</f>
        <v>-</v>
      </c>
    </row>
    <row r="623" spans="1:13" hidden="1">
      <c r="A623" s="1">
        <v>46082</v>
      </c>
      <c r="B623" t="s">
        <v>548</v>
      </c>
      <c r="C623" t="s">
        <v>475</v>
      </c>
      <c r="D623" t="s">
        <v>228</v>
      </c>
      <c r="E623" t="s">
        <v>56</v>
      </c>
      <c r="F623">
        <v>134</v>
      </c>
      <c r="G623">
        <v>20</v>
      </c>
      <c r="H623">
        <v>6.7453625632377702E-3</v>
      </c>
      <c r="I623">
        <v>0.14925373134328401</v>
      </c>
      <c r="J623" s="14" t="str">
        <f>_xlfn.XLOOKUP(B623,CAD_PDV!A:A,CAD_PDV!B:B)</f>
        <v>FAJULUTI</v>
      </c>
      <c r="K623" s="14">
        <f>IF(IFERROR(_xlfn.XLOOKUP(B623,Planilha2!D:D,Planilha2!H:H),0)="SIM",1,0)</f>
        <v>0</v>
      </c>
      <c r="L623" s="14" t="str">
        <f>_xlfn.XLOOKUP(B623,CAD_PDV!A:A,CAD_PDV!C:C)</f>
        <v>MG</v>
      </c>
      <c r="M623" s="14" t="str">
        <f>IFERROR(_xlfn.XLOOKUP(B623,repete!A:A,repete!A:A),"-")</f>
        <v>-</v>
      </c>
    </row>
    <row r="624" spans="1:13" hidden="1">
      <c r="A624" s="1">
        <v>46082</v>
      </c>
      <c r="B624" t="s">
        <v>552</v>
      </c>
      <c r="C624" t="s">
        <v>483</v>
      </c>
      <c r="D624" t="s">
        <v>228</v>
      </c>
      <c r="E624" t="s">
        <v>56</v>
      </c>
      <c r="F624">
        <v>100</v>
      </c>
      <c r="G624">
        <v>20</v>
      </c>
      <c r="H624">
        <v>6.7453625632377702E-3</v>
      </c>
      <c r="I624">
        <v>0.2</v>
      </c>
      <c r="J624" s="14" t="str">
        <f>_xlfn.XLOOKUP(B624,CAD_PDV!A:A,CAD_PDV!B:B)</f>
        <v>FAJULUTI</v>
      </c>
      <c r="K624" s="14">
        <f>IF(IFERROR(_xlfn.XLOOKUP(B624,Planilha2!D:D,Planilha2!H:H),0)="SIM",1,0)</f>
        <v>0</v>
      </c>
      <c r="L624" s="14" t="str">
        <f>_xlfn.XLOOKUP(B624,CAD_PDV!A:A,CAD_PDV!C:C)</f>
        <v>MG</v>
      </c>
      <c r="M624" s="14" t="str">
        <f>IFERROR(_xlfn.XLOOKUP(B624,repete!A:A,repete!A:A),"-")</f>
        <v>-</v>
      </c>
    </row>
    <row r="625" spans="1:13" hidden="1">
      <c r="A625" s="1">
        <v>46082</v>
      </c>
      <c r="B625" t="s">
        <v>377</v>
      </c>
      <c r="C625" t="s">
        <v>261</v>
      </c>
      <c r="D625" t="s">
        <v>230</v>
      </c>
      <c r="E625" t="s">
        <v>61</v>
      </c>
      <c r="F625">
        <v>89</v>
      </c>
      <c r="G625">
        <v>20</v>
      </c>
      <c r="H625">
        <v>6.7453625632377702E-3</v>
      </c>
      <c r="I625">
        <v>0.224719101123595</v>
      </c>
      <c r="J625" s="14" t="str">
        <f>_xlfn.XLOOKUP(B625,CAD_PDV!A:A,CAD_PDV!B:B)</f>
        <v>HARCOS COMERCIO E SERVICOS LTDA - EPP</v>
      </c>
      <c r="K625" s="14">
        <f>IF(IFERROR(_xlfn.XLOOKUP(B625,Planilha2!D:D,Planilha2!H:H),0)="SIM",1,0)</f>
        <v>0</v>
      </c>
      <c r="L625" s="14" t="str">
        <f>_xlfn.XLOOKUP(B625,CAD_PDV!A:A,CAD_PDV!C:C)</f>
        <v>NE</v>
      </c>
      <c r="M625" s="14" t="str">
        <f>IFERROR(_xlfn.XLOOKUP(B625,repete!A:A,repete!A:A),"-")</f>
        <v>-</v>
      </c>
    </row>
    <row r="626" spans="1:13" hidden="1">
      <c r="A626" s="1">
        <v>46082</v>
      </c>
      <c r="B626" t="s">
        <v>1149</v>
      </c>
      <c r="C626" t="s">
        <v>1152</v>
      </c>
      <c r="D626" t="s">
        <v>228</v>
      </c>
      <c r="E626" t="s">
        <v>55</v>
      </c>
      <c r="F626">
        <v>85</v>
      </c>
      <c r="G626">
        <v>19</v>
      </c>
      <c r="H626">
        <v>6.4080944350758898E-3</v>
      </c>
      <c r="I626">
        <v>0.223529411764706</v>
      </c>
      <c r="J626" s="14" t="str">
        <f>_xlfn.XLOOKUP(B626,CAD_PDV!A:A,CAD_PDV!B:B)</f>
        <v>FAJULUTI</v>
      </c>
      <c r="K626" s="14">
        <f>IF(IFERROR(_xlfn.XLOOKUP(B626,Planilha2!D:D,Planilha2!H:H),0)="SIM",1,0)</f>
        <v>0</v>
      </c>
      <c r="L626" s="14" t="str">
        <f>_xlfn.XLOOKUP(B626,CAD_PDV!A:A,CAD_PDV!C:C)</f>
        <v>RJ/ES</v>
      </c>
      <c r="M626" s="14" t="str">
        <f>IFERROR(_xlfn.XLOOKUP(B626,repete!A:A,repete!A:A),"-")</f>
        <v>-</v>
      </c>
    </row>
    <row r="627" spans="1:13" hidden="1">
      <c r="A627" s="1">
        <v>46082</v>
      </c>
      <c r="B627" t="s">
        <v>1756</v>
      </c>
      <c r="C627" t="s">
        <v>1757</v>
      </c>
      <c r="D627" t="s">
        <v>124</v>
      </c>
      <c r="E627" t="s">
        <v>2074</v>
      </c>
      <c r="F627">
        <v>214</v>
      </c>
      <c r="G627">
        <v>19</v>
      </c>
      <c r="H627">
        <v>6.4080944350758898E-3</v>
      </c>
      <c r="I627">
        <v>8.8785046728972E-2</v>
      </c>
      <c r="J627" s="14" t="str">
        <f>_xlfn.XLOOKUP(B627,CAD_PDV!A:A,CAD_PDV!B:B)</f>
        <v>EDUARDO JUNQUEIRA DA SILVEIRA ADMIN</v>
      </c>
      <c r="K627" s="14">
        <f>IF(IFERROR(_xlfn.XLOOKUP(B627,Planilha2!D:D,Planilha2!H:H),0)="SIM",1,0)</f>
        <v>0</v>
      </c>
      <c r="L627" s="14" t="str">
        <f>_xlfn.XLOOKUP(B627,CAD_PDV!A:A,CAD_PDV!C:C)</f>
        <v>RS</v>
      </c>
      <c r="M627" s="14" t="str">
        <f>IFERROR(_xlfn.XLOOKUP(B627,repete!A:A,repete!A:A),"-")</f>
        <v>-</v>
      </c>
    </row>
    <row r="628" spans="1:13" hidden="1">
      <c r="A628" s="1">
        <v>46082</v>
      </c>
      <c r="B628" t="s">
        <v>595</v>
      </c>
      <c r="C628" t="s">
        <v>596</v>
      </c>
      <c r="D628" t="s">
        <v>239</v>
      </c>
      <c r="E628" t="s">
        <v>56</v>
      </c>
      <c r="F628">
        <v>236</v>
      </c>
      <c r="G628">
        <v>19</v>
      </c>
      <c r="H628">
        <v>6.4080944350758898E-3</v>
      </c>
      <c r="I628">
        <v>8.0508474576271194E-2</v>
      </c>
      <c r="J628" s="14" t="str">
        <f>_xlfn.XLOOKUP(B628,CAD_PDV!A:A,CAD_PDV!B:B)</f>
        <v>TELECELL TELEFONIA LTDA - ME</v>
      </c>
      <c r="K628" s="14">
        <f>IF(IFERROR(_xlfn.XLOOKUP(B628,Planilha2!D:D,Planilha2!H:H),0)="SIM",1,0)</f>
        <v>0</v>
      </c>
      <c r="L628" s="14" t="str">
        <f>_xlfn.XLOOKUP(B628,CAD_PDV!A:A,CAD_PDV!C:C)</f>
        <v>MG</v>
      </c>
      <c r="M628" s="14" t="str">
        <f>IFERROR(_xlfn.XLOOKUP(B628,repete!A:A,repete!A:A),"-")</f>
        <v>-</v>
      </c>
    </row>
    <row r="629" spans="1:13" hidden="1">
      <c r="A629" s="1">
        <v>46082</v>
      </c>
      <c r="B629" t="s">
        <v>1674</v>
      </c>
      <c r="C629" t="s">
        <v>1489</v>
      </c>
      <c r="D629" t="s">
        <v>232</v>
      </c>
      <c r="E629" t="s">
        <v>54</v>
      </c>
      <c r="F629">
        <v>93</v>
      </c>
      <c r="G629">
        <v>19</v>
      </c>
      <c r="H629">
        <v>6.4080944350758898E-3</v>
      </c>
      <c r="I629">
        <v>0.204301075268817</v>
      </c>
      <c r="J629" s="14" t="str">
        <f>_xlfn.XLOOKUP(B629,CAD_PDV!A:A,CAD_PDV!B:B)</f>
        <v>HS TELECOM</v>
      </c>
      <c r="K629" s="14">
        <f>IF(IFERROR(_xlfn.XLOOKUP(B629,Planilha2!D:D,Planilha2!H:H),0)="SIM",1,0)</f>
        <v>0</v>
      </c>
      <c r="L629" s="14" t="str">
        <f>_xlfn.XLOOKUP(B629,CAD_PDV!A:A,CAD_PDV!C:C)</f>
        <v>SP2</v>
      </c>
      <c r="M629" s="14" t="str">
        <f>IFERROR(_xlfn.XLOOKUP(B629,repete!A:A,repete!A:A),"-")</f>
        <v>-</v>
      </c>
    </row>
    <row r="630" spans="1:13" hidden="1">
      <c r="A630" s="1">
        <v>46082</v>
      </c>
      <c r="B630" t="s">
        <v>1174</v>
      </c>
      <c r="C630" t="s">
        <v>1142</v>
      </c>
      <c r="D630" t="s">
        <v>2072</v>
      </c>
      <c r="E630" t="s">
        <v>55</v>
      </c>
      <c r="F630">
        <v>188</v>
      </c>
      <c r="G630">
        <v>19</v>
      </c>
      <c r="H630">
        <v>6.4080944350758898E-3</v>
      </c>
      <c r="I630">
        <v>0.10106382978723399</v>
      </c>
      <c r="J630" s="14" t="str">
        <f>_xlfn.XLOOKUP(B630,CAD_PDV!A:A,CAD_PDV!B:B)</f>
        <v>MEXCELL COMERCIO E SERVICOS DE TELECOMUNICACOES LTDA</v>
      </c>
      <c r="K630" s="14">
        <f>IF(IFERROR(_xlfn.XLOOKUP(B630,Planilha2!D:D,Planilha2!H:H),0)="SIM",1,0)</f>
        <v>0</v>
      </c>
      <c r="L630" s="14" t="str">
        <f>_xlfn.XLOOKUP(B630,CAD_PDV!A:A,CAD_PDV!C:C)</f>
        <v>RJ/ES</v>
      </c>
      <c r="M630" s="14" t="str">
        <f>IFERROR(_xlfn.XLOOKUP(B630,repete!A:A,repete!A:A),"-")</f>
        <v>-</v>
      </c>
    </row>
    <row r="631" spans="1:13" hidden="1">
      <c r="A631" s="1">
        <v>46082</v>
      </c>
      <c r="B631" t="s">
        <v>1716</v>
      </c>
      <c r="C631" t="s">
        <v>1663</v>
      </c>
      <c r="D631" t="s">
        <v>232</v>
      </c>
      <c r="E631" t="s">
        <v>54</v>
      </c>
      <c r="F631">
        <v>142</v>
      </c>
      <c r="G631">
        <v>19</v>
      </c>
      <c r="H631">
        <v>6.4080944350758898E-3</v>
      </c>
      <c r="I631">
        <v>0.13380281690140799</v>
      </c>
      <c r="J631" s="14" t="str">
        <f>_xlfn.XLOOKUP(B631,CAD_PDV!A:A,CAD_PDV!B:B)</f>
        <v>HS TELECOM</v>
      </c>
      <c r="K631" s="14">
        <f>IF(IFERROR(_xlfn.XLOOKUP(B631,Planilha2!D:D,Planilha2!H:H),0)="SIM",1,0)</f>
        <v>0</v>
      </c>
      <c r="L631" s="14" t="str">
        <f>_xlfn.XLOOKUP(B631,CAD_PDV!A:A,CAD_PDV!C:C)</f>
        <v>SP2</v>
      </c>
      <c r="M631" s="14" t="str">
        <f>IFERROR(_xlfn.XLOOKUP(B631,repete!A:A,repete!A:A),"-")</f>
        <v>-</v>
      </c>
    </row>
    <row r="632" spans="1:13" hidden="1">
      <c r="A632" s="1">
        <v>46082</v>
      </c>
      <c r="B632" t="s">
        <v>1353</v>
      </c>
      <c r="C632" t="s">
        <v>1313</v>
      </c>
      <c r="D632" t="s">
        <v>132</v>
      </c>
      <c r="E632" t="s">
        <v>53</v>
      </c>
      <c r="F632">
        <v>145</v>
      </c>
      <c r="G632">
        <v>18</v>
      </c>
      <c r="H632">
        <v>6.0708263069139999E-3</v>
      </c>
      <c r="I632">
        <v>0.12413793103448301</v>
      </c>
      <c r="J632" s="14" t="str">
        <f>_xlfn.XLOOKUP(B632,CAD_PDV!A:A,CAD_PDV!B:B)</f>
        <v>FLEX CELL</v>
      </c>
      <c r="K632" s="14">
        <f>IF(IFERROR(_xlfn.XLOOKUP(B632,Planilha2!D:D,Planilha2!H:H),0)="SIM",1,0)</f>
        <v>0</v>
      </c>
      <c r="L632" s="14" t="str">
        <f>_xlfn.XLOOKUP(B632,CAD_PDV!A:A,CAD_PDV!C:C)</f>
        <v>SP1</v>
      </c>
      <c r="M632" s="14" t="str">
        <f>IFERROR(_xlfn.XLOOKUP(B632,repete!A:A,repete!A:A),"-")</f>
        <v>-</v>
      </c>
    </row>
    <row r="633" spans="1:13" hidden="1">
      <c r="A633" s="1">
        <v>46082</v>
      </c>
      <c r="B633" t="s">
        <v>979</v>
      </c>
      <c r="C633" t="s">
        <v>944</v>
      </c>
      <c r="D633" t="s">
        <v>232</v>
      </c>
      <c r="E633" t="s">
        <v>60</v>
      </c>
      <c r="F633">
        <v>218</v>
      </c>
      <c r="G633">
        <v>18</v>
      </c>
      <c r="H633">
        <v>6.0708263069139999E-3</v>
      </c>
      <c r="I633">
        <v>8.2568807339449504E-2</v>
      </c>
      <c r="J633" s="14" t="str">
        <f>_xlfn.XLOOKUP(B633,CAD_PDV!A:A,CAD_PDV!B:B)</f>
        <v>HS TELECOM</v>
      </c>
      <c r="K633" s="14">
        <f>IF(IFERROR(_xlfn.XLOOKUP(B633,Planilha2!D:D,Planilha2!H:H),0)="SIM",1,0)</f>
        <v>0</v>
      </c>
      <c r="L633" s="14" t="str">
        <f>_xlfn.XLOOKUP(B633,CAD_PDV!A:A,CAD_PDV!C:C)</f>
        <v>BA/SE</v>
      </c>
      <c r="M633" s="14" t="str">
        <f>IFERROR(_xlfn.XLOOKUP(B633,repete!A:A,repete!A:A),"-")</f>
        <v>-</v>
      </c>
    </row>
    <row r="634" spans="1:13" hidden="1">
      <c r="A634" s="1">
        <v>46082</v>
      </c>
      <c r="B634" t="s">
        <v>1504</v>
      </c>
      <c r="C634" t="s">
        <v>1505</v>
      </c>
      <c r="D634" t="s">
        <v>132</v>
      </c>
      <c r="E634" t="s">
        <v>54</v>
      </c>
      <c r="F634">
        <v>151</v>
      </c>
      <c r="G634">
        <v>18</v>
      </c>
      <c r="H634">
        <v>6.0708263069139999E-3</v>
      </c>
      <c r="I634">
        <v>0.119205298013245</v>
      </c>
      <c r="J634" s="14" t="str">
        <f>_xlfn.XLOOKUP(B634,CAD_PDV!A:A,CAD_PDV!B:B)</f>
        <v>FLEX CELL</v>
      </c>
      <c r="K634" s="14">
        <f>IF(IFERROR(_xlfn.XLOOKUP(B634,Planilha2!D:D,Planilha2!H:H),0)="SIM",1,0)</f>
        <v>0</v>
      </c>
      <c r="L634" s="14" t="str">
        <f>_xlfn.XLOOKUP(B634,CAD_PDV!A:A,CAD_PDV!C:C)</f>
        <v>SP2</v>
      </c>
      <c r="M634" s="14" t="str">
        <f>IFERROR(_xlfn.XLOOKUP(B634,repete!A:A,repete!A:A),"-")</f>
        <v>-</v>
      </c>
    </row>
    <row r="635" spans="1:13" hidden="1">
      <c r="A635" s="1">
        <v>46082</v>
      </c>
      <c r="B635" t="s">
        <v>1015</v>
      </c>
      <c r="C635" t="s">
        <v>1017</v>
      </c>
      <c r="D635" t="s">
        <v>232</v>
      </c>
      <c r="E635" t="s">
        <v>60</v>
      </c>
      <c r="F635">
        <v>57</v>
      </c>
      <c r="G635">
        <v>18</v>
      </c>
      <c r="H635">
        <v>6.0708263069139999E-3</v>
      </c>
      <c r="I635">
        <v>0.31578947368421101</v>
      </c>
      <c r="J635" s="14" t="str">
        <f>_xlfn.XLOOKUP(B635,CAD_PDV!A:A,CAD_PDV!B:B)</f>
        <v>HS TELECOM</v>
      </c>
      <c r="K635" s="14">
        <f>IF(IFERROR(_xlfn.XLOOKUP(B635,Planilha2!D:D,Planilha2!H:H),0)="SIM",1,0)</f>
        <v>0</v>
      </c>
      <c r="L635" s="14" t="str">
        <f>_xlfn.XLOOKUP(B635,CAD_PDV!A:A,CAD_PDV!C:C)</f>
        <v>BA/SE</v>
      </c>
      <c r="M635" s="14" t="str">
        <f>IFERROR(_xlfn.XLOOKUP(B635,repete!A:A,repete!A:A),"-")</f>
        <v>-</v>
      </c>
    </row>
    <row r="636" spans="1:13" hidden="1">
      <c r="A636" s="1">
        <v>46082</v>
      </c>
      <c r="B636" t="s">
        <v>1656</v>
      </c>
      <c r="C636" t="s">
        <v>1657</v>
      </c>
      <c r="D636" t="s">
        <v>232</v>
      </c>
      <c r="E636" t="s">
        <v>54</v>
      </c>
      <c r="F636">
        <v>75</v>
      </c>
      <c r="G636">
        <v>18</v>
      </c>
      <c r="H636">
        <v>6.0708263069139999E-3</v>
      </c>
      <c r="I636">
        <v>0.24</v>
      </c>
      <c r="J636" s="14" t="str">
        <f>_xlfn.XLOOKUP(B636,CAD_PDV!A:A,CAD_PDV!B:B)</f>
        <v>HS TELECOM</v>
      </c>
      <c r="K636" s="14">
        <f>IF(IFERROR(_xlfn.XLOOKUP(B636,Planilha2!D:D,Planilha2!H:H),0)="SIM",1,0)</f>
        <v>0</v>
      </c>
      <c r="L636" s="14" t="str">
        <f>_xlfn.XLOOKUP(B636,CAD_PDV!A:A,CAD_PDV!C:C)</f>
        <v>SP2</v>
      </c>
      <c r="M636" s="14" t="str">
        <f>IFERROR(_xlfn.XLOOKUP(B636,repete!A:A,repete!A:A),"-")</f>
        <v>-</v>
      </c>
    </row>
    <row r="637" spans="1:13" hidden="1">
      <c r="A637" s="1">
        <v>46082</v>
      </c>
      <c r="B637" t="s">
        <v>856</v>
      </c>
      <c r="C637" t="s">
        <v>855</v>
      </c>
      <c r="D637" t="s">
        <v>2073</v>
      </c>
      <c r="E637" t="s">
        <v>59</v>
      </c>
      <c r="F637">
        <v>53</v>
      </c>
      <c r="G637">
        <v>18</v>
      </c>
      <c r="H637">
        <v>6.0708263069139999E-3</v>
      </c>
      <c r="I637">
        <v>0.339622641509434</v>
      </c>
      <c r="J637" s="14" t="str">
        <f>_xlfn.XLOOKUP(B637,CAD_PDV!A:A,CAD_PDV!B:B)</f>
        <v xml:space="preserve">CONTACOM COMERCIO DE APARELHOS ELETRONICOS LTDA </v>
      </c>
      <c r="K637" s="14">
        <f>IF(IFERROR(_xlfn.XLOOKUP(B637,Planilha2!D:D,Planilha2!H:H),0)="SIM",1,0)</f>
        <v>0</v>
      </c>
      <c r="L637" s="14" t="str">
        <f>_xlfn.XLOOKUP(B637,CAD_PDV!A:A,CAD_PDV!C:C)</f>
        <v>CO</v>
      </c>
      <c r="M637" s="14" t="str">
        <f>IFERROR(_xlfn.XLOOKUP(B637,repete!A:A,repete!A:A),"-")</f>
        <v>-</v>
      </c>
    </row>
    <row r="638" spans="1:13" hidden="1">
      <c r="A638" s="1">
        <v>46082</v>
      </c>
      <c r="B638" t="s">
        <v>1281</v>
      </c>
      <c r="C638" t="s">
        <v>1185</v>
      </c>
      <c r="D638" t="s">
        <v>228</v>
      </c>
      <c r="E638" t="s">
        <v>55</v>
      </c>
      <c r="F638">
        <v>68</v>
      </c>
      <c r="G638">
        <v>18</v>
      </c>
      <c r="H638">
        <v>6.0708263069139999E-3</v>
      </c>
      <c r="I638">
        <v>0.26470588235294101</v>
      </c>
      <c r="J638" s="14" t="str">
        <f>_xlfn.XLOOKUP(B638,CAD_PDV!A:A,CAD_PDV!B:B)</f>
        <v>FAJULUTI</v>
      </c>
      <c r="K638" s="14">
        <f>IF(IFERROR(_xlfn.XLOOKUP(B638,Planilha2!D:D,Planilha2!H:H),0)="SIM",1,0)</f>
        <v>0</v>
      </c>
      <c r="L638" s="14" t="str">
        <f>_xlfn.XLOOKUP(B638,CAD_PDV!A:A,CAD_PDV!C:C)</f>
        <v>RJ/ES</v>
      </c>
      <c r="M638" s="14" t="str">
        <f>IFERROR(_xlfn.XLOOKUP(B638,repete!A:A,repete!A:A),"-")</f>
        <v>-</v>
      </c>
    </row>
    <row r="639" spans="1:13" hidden="1">
      <c r="A639" s="1">
        <v>46082</v>
      </c>
      <c r="B639" t="s">
        <v>1342</v>
      </c>
      <c r="C639" t="s">
        <v>1313</v>
      </c>
      <c r="D639" t="s">
        <v>225</v>
      </c>
      <c r="E639" t="s">
        <v>53</v>
      </c>
      <c r="F639">
        <v>160</v>
      </c>
      <c r="G639">
        <v>18</v>
      </c>
      <c r="H639">
        <v>6.0708263069139999E-3</v>
      </c>
      <c r="I639">
        <v>0.1125</v>
      </c>
      <c r="J639" s="14" t="str">
        <f>_xlfn.XLOOKUP(B639,CAD_PDV!A:A,CAD_PDV!B:B)</f>
        <v>CLARICELL SP1</v>
      </c>
      <c r="K639" s="14">
        <f>IF(IFERROR(_xlfn.XLOOKUP(B639,Planilha2!D:D,Planilha2!H:H),0)="SIM",1,0)</f>
        <v>0</v>
      </c>
      <c r="L639" s="14" t="str">
        <f>_xlfn.XLOOKUP(B639,CAD_PDV!A:A,CAD_PDV!C:C)</f>
        <v>SP1</v>
      </c>
      <c r="M639" s="14" t="str">
        <f>IFERROR(_xlfn.XLOOKUP(B639,repete!A:A,repete!A:A),"-")</f>
        <v>-</v>
      </c>
    </row>
    <row r="640" spans="1:13" hidden="1">
      <c r="A640" s="1">
        <v>46082</v>
      </c>
      <c r="B640" t="s">
        <v>262</v>
      </c>
      <c r="C640" t="s">
        <v>265</v>
      </c>
      <c r="D640" t="s">
        <v>230</v>
      </c>
      <c r="E640" t="s">
        <v>61</v>
      </c>
      <c r="F640">
        <v>80</v>
      </c>
      <c r="G640">
        <v>17</v>
      </c>
      <c r="H640">
        <v>5.73355817875211E-3</v>
      </c>
      <c r="I640">
        <v>0.21249999999999999</v>
      </c>
      <c r="J640" s="14" t="str">
        <f>_xlfn.XLOOKUP(B640,CAD_PDV!A:A,CAD_PDV!B:B)</f>
        <v>HARCOS COMERCIO E SERVICOS LTDA - EPP</v>
      </c>
      <c r="K640" s="14">
        <f>IF(IFERROR(_xlfn.XLOOKUP(B640,Planilha2!D:D,Planilha2!H:H),0)="SIM",1,0)</f>
        <v>0</v>
      </c>
      <c r="L640" s="14" t="str">
        <f>_xlfn.XLOOKUP(B640,CAD_PDV!A:A,CAD_PDV!C:C)</f>
        <v>NE</v>
      </c>
      <c r="M640" s="14" t="str">
        <f>IFERROR(_xlfn.XLOOKUP(B640,repete!A:A,repete!A:A),"-")</f>
        <v>-</v>
      </c>
    </row>
    <row r="641" spans="1:13" hidden="1">
      <c r="A641" s="1">
        <v>46082</v>
      </c>
      <c r="B641" t="s">
        <v>1560</v>
      </c>
      <c r="C641" t="s">
        <v>1561</v>
      </c>
      <c r="D641" t="s">
        <v>232</v>
      </c>
      <c r="E641" t="s">
        <v>54</v>
      </c>
      <c r="F641">
        <v>76</v>
      </c>
      <c r="G641">
        <v>17</v>
      </c>
      <c r="H641">
        <v>5.73355817875211E-3</v>
      </c>
      <c r="I641">
        <v>0.22368421052631601</v>
      </c>
      <c r="J641" s="14" t="str">
        <f>_xlfn.XLOOKUP(B641,CAD_PDV!A:A,CAD_PDV!B:B)</f>
        <v>HS TELECOM</v>
      </c>
      <c r="K641" s="14">
        <f>IF(IFERROR(_xlfn.XLOOKUP(B641,Planilha2!D:D,Planilha2!H:H),0)="SIM",1,0)</f>
        <v>0</v>
      </c>
      <c r="L641" s="14" t="str">
        <f>_xlfn.XLOOKUP(B641,CAD_PDV!A:A,CAD_PDV!C:C)</f>
        <v>SP2</v>
      </c>
      <c r="M641" s="14" t="str">
        <f>IFERROR(_xlfn.XLOOKUP(B641,repete!A:A,repete!A:A),"-")</f>
        <v>-</v>
      </c>
    </row>
    <row r="642" spans="1:13" hidden="1">
      <c r="A642" s="1">
        <v>46082</v>
      </c>
      <c r="B642" t="s">
        <v>848</v>
      </c>
      <c r="C642" t="s">
        <v>732</v>
      </c>
      <c r="D642" t="s">
        <v>221</v>
      </c>
      <c r="E642" t="s">
        <v>59</v>
      </c>
      <c r="F642">
        <v>58</v>
      </c>
      <c r="G642">
        <v>17</v>
      </c>
      <c r="H642">
        <v>5.73355817875211E-3</v>
      </c>
      <c r="I642">
        <v>0.29310344827586199</v>
      </c>
      <c r="J642" s="14" t="str">
        <f>_xlfn.XLOOKUP(B642,CAD_PDV!A:A,CAD_PDV!B:B)</f>
        <v>AMERICOM COMERCIO DE APARELHOS ELETRONICOS LTDA - EPP</v>
      </c>
      <c r="K642" s="14">
        <f>IF(IFERROR(_xlfn.XLOOKUP(B642,Planilha2!D:D,Planilha2!H:H),0)="SIM",1,0)</f>
        <v>0</v>
      </c>
      <c r="L642" s="14" t="str">
        <f>_xlfn.XLOOKUP(B642,CAD_PDV!A:A,CAD_PDV!C:C)</f>
        <v>CO</v>
      </c>
      <c r="M642" s="14" t="str">
        <f>IFERROR(_xlfn.XLOOKUP(B642,repete!A:A,repete!A:A),"-")</f>
        <v>-</v>
      </c>
    </row>
    <row r="643" spans="1:13" hidden="1">
      <c r="A643" s="1">
        <v>46082</v>
      </c>
      <c r="B643" t="s">
        <v>1246</v>
      </c>
      <c r="C643" t="s">
        <v>1142</v>
      </c>
      <c r="D643" t="s">
        <v>228</v>
      </c>
      <c r="E643" t="s">
        <v>55</v>
      </c>
      <c r="F643">
        <v>188</v>
      </c>
      <c r="G643">
        <v>17</v>
      </c>
      <c r="H643">
        <v>5.73355817875211E-3</v>
      </c>
      <c r="I643">
        <v>9.0425531914893595E-2</v>
      </c>
      <c r="J643" s="14" t="str">
        <f>_xlfn.XLOOKUP(B643,CAD_PDV!A:A,CAD_PDV!B:B)</f>
        <v>FAJULUTI</v>
      </c>
      <c r="K643" s="14">
        <f>IF(IFERROR(_xlfn.XLOOKUP(B643,Planilha2!D:D,Planilha2!H:H),0)="SIM",1,0)</f>
        <v>0</v>
      </c>
      <c r="L643" s="14" t="str">
        <f>_xlfn.XLOOKUP(B643,CAD_PDV!A:A,CAD_PDV!C:C)</f>
        <v>RJ/ES</v>
      </c>
      <c r="M643" s="14" t="str">
        <f>IFERROR(_xlfn.XLOOKUP(B643,repete!A:A,repete!A:A),"-")</f>
        <v>-</v>
      </c>
    </row>
    <row r="644" spans="1:13" hidden="1">
      <c r="A644" s="1">
        <v>46082</v>
      </c>
      <c r="B644" t="s">
        <v>1641</v>
      </c>
      <c r="C644" t="s">
        <v>1616</v>
      </c>
      <c r="D644" t="s">
        <v>132</v>
      </c>
      <c r="E644" t="s">
        <v>54</v>
      </c>
      <c r="F644">
        <v>44</v>
      </c>
      <c r="G644">
        <v>17</v>
      </c>
      <c r="H644">
        <v>5.73355817875211E-3</v>
      </c>
      <c r="I644">
        <v>0.38636363636363602</v>
      </c>
      <c r="J644" s="14" t="str">
        <f>_xlfn.XLOOKUP(B644,CAD_PDV!A:A,CAD_PDV!B:B)</f>
        <v>FLEX CELL</v>
      </c>
      <c r="K644" s="14">
        <f>IF(IFERROR(_xlfn.XLOOKUP(B644,Planilha2!D:D,Planilha2!H:H),0)="SIM",1,0)</f>
        <v>0</v>
      </c>
      <c r="L644" s="14" t="str">
        <f>_xlfn.XLOOKUP(B644,CAD_PDV!A:A,CAD_PDV!C:C)</f>
        <v>SP2</v>
      </c>
      <c r="M644" s="14" t="str">
        <f>IFERROR(_xlfn.XLOOKUP(B644,repete!A:A,repete!A:A),"-")</f>
        <v>-</v>
      </c>
    </row>
    <row r="645" spans="1:13" hidden="1">
      <c r="A645" s="1">
        <v>46082</v>
      </c>
      <c r="B645" t="s">
        <v>1680</v>
      </c>
      <c r="C645" t="s">
        <v>1676</v>
      </c>
      <c r="D645" t="s">
        <v>232</v>
      </c>
      <c r="E645" t="s">
        <v>54</v>
      </c>
      <c r="F645">
        <v>175</v>
      </c>
      <c r="G645">
        <v>17</v>
      </c>
      <c r="H645">
        <v>5.73355817875211E-3</v>
      </c>
      <c r="I645">
        <v>9.71428571428571E-2</v>
      </c>
      <c r="J645" s="14" t="str">
        <f>_xlfn.XLOOKUP(B645,CAD_PDV!A:A,CAD_PDV!B:B)</f>
        <v>HS TELECOM</v>
      </c>
      <c r="K645" s="14">
        <f>IF(IFERROR(_xlfn.XLOOKUP(B645,Planilha2!D:D,Planilha2!H:H),0)="SIM",1,0)</f>
        <v>0</v>
      </c>
      <c r="L645" s="14" t="str">
        <f>_xlfn.XLOOKUP(B645,CAD_PDV!A:A,CAD_PDV!C:C)</f>
        <v>SP2</v>
      </c>
      <c r="M645" s="14" t="str">
        <f>IFERROR(_xlfn.XLOOKUP(B645,repete!A:A,repete!A:A),"-")</f>
        <v>-</v>
      </c>
    </row>
    <row r="646" spans="1:13" hidden="1">
      <c r="A646" s="1">
        <v>46082</v>
      </c>
      <c r="B646" t="s">
        <v>1538</v>
      </c>
      <c r="C646" t="s">
        <v>1489</v>
      </c>
      <c r="D646" t="s">
        <v>232</v>
      </c>
      <c r="E646" t="s">
        <v>54</v>
      </c>
      <c r="F646">
        <v>140</v>
      </c>
      <c r="G646">
        <v>16</v>
      </c>
      <c r="H646">
        <v>5.3962900505902201E-3</v>
      </c>
      <c r="I646">
        <v>0.114285714285714</v>
      </c>
      <c r="J646" s="14" t="str">
        <f>_xlfn.XLOOKUP(B646,CAD_PDV!A:A,CAD_PDV!B:B)</f>
        <v>HS TELECOM</v>
      </c>
      <c r="K646" s="14">
        <f>IF(IFERROR(_xlfn.XLOOKUP(B646,Planilha2!D:D,Planilha2!H:H),0)="SIM",1,0)</f>
        <v>0</v>
      </c>
      <c r="L646" s="14" t="str">
        <f>_xlfn.XLOOKUP(B646,CAD_PDV!A:A,CAD_PDV!C:C)</f>
        <v>SP2</v>
      </c>
      <c r="M646" s="14" t="str">
        <f>IFERROR(_xlfn.XLOOKUP(B646,repete!A:A,repete!A:A),"-")</f>
        <v>-</v>
      </c>
    </row>
    <row r="647" spans="1:13" hidden="1">
      <c r="A647" s="1">
        <v>46082</v>
      </c>
      <c r="B647" t="s">
        <v>1669</v>
      </c>
      <c r="C647" t="s">
        <v>1661</v>
      </c>
      <c r="D647" t="s">
        <v>232</v>
      </c>
      <c r="E647" t="s">
        <v>54</v>
      </c>
      <c r="F647">
        <v>126</v>
      </c>
      <c r="G647">
        <v>16</v>
      </c>
      <c r="H647">
        <v>5.3962900505902201E-3</v>
      </c>
      <c r="I647">
        <v>0.126984126984127</v>
      </c>
      <c r="J647" s="14" t="str">
        <f>_xlfn.XLOOKUP(B647,CAD_PDV!A:A,CAD_PDV!B:B)</f>
        <v>HS TELECOM</v>
      </c>
      <c r="K647" s="14">
        <f>IF(IFERROR(_xlfn.XLOOKUP(B647,Planilha2!D:D,Planilha2!H:H),0)="SIM",1,0)</f>
        <v>0</v>
      </c>
      <c r="L647" s="14" t="str">
        <f>_xlfn.XLOOKUP(B647,CAD_PDV!A:A,CAD_PDV!C:C)</f>
        <v>SP2</v>
      </c>
      <c r="M647" s="14" t="str">
        <f>IFERROR(_xlfn.XLOOKUP(B647,repete!A:A,repete!A:A),"-")</f>
        <v>-</v>
      </c>
    </row>
    <row r="648" spans="1:13" hidden="1">
      <c r="A648" s="1">
        <v>46082</v>
      </c>
      <c r="B648" t="s">
        <v>746</v>
      </c>
      <c r="C648" t="s">
        <v>610</v>
      </c>
      <c r="D648" t="s">
        <v>224</v>
      </c>
      <c r="E648" t="s">
        <v>59</v>
      </c>
      <c r="F648">
        <v>111</v>
      </c>
      <c r="G648">
        <v>15</v>
      </c>
      <c r="H648">
        <v>5.0590219224283303E-3</v>
      </c>
      <c r="I648">
        <v>0.135135135135135</v>
      </c>
      <c r="J648" s="14" t="str">
        <f>_xlfn.XLOOKUP(B648,CAD_PDV!A:A,CAD_PDV!B:B)</f>
        <v>CELNET COMERCIO E SERVICOS DE TELEFONIA LTDA ME</v>
      </c>
      <c r="K648" s="14">
        <f>IF(IFERROR(_xlfn.XLOOKUP(B648,Planilha2!D:D,Planilha2!H:H),0)="SIM",1,0)</f>
        <v>0</v>
      </c>
      <c r="L648" s="14" t="str">
        <f>_xlfn.XLOOKUP(B648,CAD_PDV!A:A,CAD_PDV!C:C)</f>
        <v>CO</v>
      </c>
      <c r="M648" s="14" t="str">
        <f>IFERROR(_xlfn.XLOOKUP(B648,repete!A:A,repete!A:A),"-")</f>
        <v>-</v>
      </c>
    </row>
    <row r="649" spans="1:13" hidden="1">
      <c r="A649" s="1">
        <v>46082</v>
      </c>
      <c r="B649" t="s">
        <v>777</v>
      </c>
      <c r="C649" t="s">
        <v>775</v>
      </c>
      <c r="D649" t="s">
        <v>221</v>
      </c>
      <c r="E649" t="s">
        <v>59</v>
      </c>
      <c r="F649">
        <v>61</v>
      </c>
      <c r="G649">
        <v>15</v>
      </c>
      <c r="H649">
        <v>5.0590219224283303E-3</v>
      </c>
      <c r="I649">
        <v>0.24590163934426201</v>
      </c>
      <c r="J649" s="14" t="str">
        <f>_xlfn.XLOOKUP(B649,CAD_PDV!A:A,CAD_PDV!B:B)</f>
        <v>AMERICOM COMERCIO DE APARELHOS ELETRONICOS LTDA - EPP</v>
      </c>
      <c r="K649" s="14">
        <f>IF(IFERROR(_xlfn.XLOOKUP(B649,Planilha2!D:D,Planilha2!H:H),0)="SIM",1,0)</f>
        <v>0</v>
      </c>
      <c r="L649" s="14" t="str">
        <f>_xlfn.XLOOKUP(B649,CAD_PDV!A:A,CAD_PDV!C:C)</f>
        <v>CO</v>
      </c>
      <c r="M649" s="14" t="str">
        <f>IFERROR(_xlfn.XLOOKUP(B649,repete!A:A,repete!A:A),"-")</f>
        <v>-</v>
      </c>
    </row>
    <row r="650" spans="1:13" hidden="1">
      <c r="A650" s="1">
        <v>46082</v>
      </c>
      <c r="B650" t="s">
        <v>963</v>
      </c>
      <c r="C650" t="s">
        <v>944</v>
      </c>
      <c r="D650" t="s">
        <v>232</v>
      </c>
      <c r="E650" t="s">
        <v>60</v>
      </c>
      <c r="F650">
        <v>124</v>
      </c>
      <c r="G650">
        <v>15</v>
      </c>
      <c r="H650">
        <v>5.0590219224283303E-3</v>
      </c>
      <c r="I650">
        <v>0.120967741935484</v>
      </c>
      <c r="J650" s="14" t="str">
        <f>_xlfn.XLOOKUP(B650,CAD_PDV!A:A,CAD_PDV!B:B)</f>
        <v>HS TELECOM</v>
      </c>
      <c r="K650" s="14">
        <f>IF(IFERROR(_xlfn.XLOOKUP(B650,Planilha2!D:D,Planilha2!H:H),0)="SIM",1,0)</f>
        <v>0</v>
      </c>
      <c r="L650" s="14" t="str">
        <f>_xlfn.XLOOKUP(B650,CAD_PDV!A:A,CAD_PDV!C:C)</f>
        <v>BA/SE</v>
      </c>
      <c r="M650" s="14" t="str">
        <f>IFERROR(_xlfn.XLOOKUP(B650,repete!A:A,repete!A:A),"-")</f>
        <v>-</v>
      </c>
    </row>
    <row r="651" spans="1:13" hidden="1">
      <c r="A651" s="1">
        <v>46082</v>
      </c>
      <c r="B651" t="s">
        <v>993</v>
      </c>
      <c r="C651" t="s">
        <v>992</v>
      </c>
      <c r="D651" t="s">
        <v>232</v>
      </c>
      <c r="E651" t="s">
        <v>60</v>
      </c>
      <c r="F651">
        <v>36</v>
      </c>
      <c r="G651">
        <v>14</v>
      </c>
      <c r="H651">
        <v>4.7217537942664404E-3</v>
      </c>
      <c r="I651">
        <v>0.38888888888888901</v>
      </c>
      <c r="J651" s="14" t="str">
        <f>_xlfn.XLOOKUP(B651,CAD_PDV!A:A,CAD_PDV!B:B)</f>
        <v>HS TELECOM</v>
      </c>
      <c r="K651" s="14">
        <f>IF(IFERROR(_xlfn.XLOOKUP(B651,Planilha2!D:D,Planilha2!H:H),0)="SIM",1,0)</f>
        <v>0</v>
      </c>
      <c r="L651" s="14" t="str">
        <f>_xlfn.XLOOKUP(B651,CAD_PDV!A:A,CAD_PDV!C:C)</f>
        <v>BA/SE</v>
      </c>
      <c r="M651" s="14" t="str">
        <f>IFERROR(_xlfn.XLOOKUP(B651,repete!A:A,repete!A:A),"-")</f>
        <v>-</v>
      </c>
    </row>
    <row r="652" spans="1:13" hidden="1">
      <c r="A652" s="1">
        <v>46082</v>
      </c>
      <c r="B652" t="s">
        <v>1364</v>
      </c>
      <c r="C652" t="s">
        <v>1313</v>
      </c>
      <c r="D652" t="s">
        <v>132</v>
      </c>
      <c r="E652" t="s">
        <v>53</v>
      </c>
      <c r="F652">
        <v>171</v>
      </c>
      <c r="G652">
        <v>14</v>
      </c>
      <c r="H652">
        <v>4.7217537942664404E-3</v>
      </c>
      <c r="I652">
        <v>8.1871345029239803E-2</v>
      </c>
      <c r="J652" s="14" t="str">
        <f>_xlfn.XLOOKUP(B652,CAD_PDV!A:A,CAD_PDV!B:B)</f>
        <v>FLEX CELL</v>
      </c>
      <c r="K652" s="14">
        <f>IF(IFERROR(_xlfn.XLOOKUP(B652,Planilha2!D:D,Planilha2!H:H),0)="SIM",1,0)</f>
        <v>0</v>
      </c>
      <c r="L652" s="14" t="str">
        <f>_xlfn.XLOOKUP(B652,CAD_PDV!A:A,CAD_PDV!C:C)</f>
        <v>SP1</v>
      </c>
      <c r="M652" s="14" t="str">
        <f>IFERROR(_xlfn.XLOOKUP(B652,repete!A:A,repete!A:A),"-")</f>
        <v>-</v>
      </c>
    </row>
    <row r="653" spans="1:13" hidden="1">
      <c r="A653" s="1">
        <v>46082</v>
      </c>
      <c r="B653" t="s">
        <v>286</v>
      </c>
      <c r="C653" t="s">
        <v>288</v>
      </c>
      <c r="D653" t="s">
        <v>230</v>
      </c>
      <c r="E653" t="s">
        <v>61</v>
      </c>
      <c r="F653">
        <v>129</v>
      </c>
      <c r="G653">
        <v>14</v>
      </c>
      <c r="H653">
        <v>4.7217537942664404E-3</v>
      </c>
      <c r="I653">
        <v>0.108527131782946</v>
      </c>
      <c r="J653" s="14" t="str">
        <f>_xlfn.XLOOKUP(B653,CAD_PDV!A:A,CAD_PDV!B:B)</f>
        <v>HARCOS COMERCIO E SERVICOS LTDA - EPP</v>
      </c>
      <c r="K653" s="14">
        <f>IF(IFERROR(_xlfn.XLOOKUP(B653,Planilha2!D:D,Planilha2!H:H),0)="SIM",1,0)</f>
        <v>0</v>
      </c>
      <c r="L653" s="14" t="str">
        <f>_xlfn.XLOOKUP(B653,CAD_PDV!A:A,CAD_PDV!C:C)</f>
        <v>NE</v>
      </c>
      <c r="M653" s="14" t="str">
        <f>IFERROR(_xlfn.XLOOKUP(B653,repete!A:A,repete!A:A),"-")</f>
        <v>-</v>
      </c>
    </row>
    <row r="654" spans="1:13" hidden="1">
      <c r="A654" s="1">
        <v>46082</v>
      </c>
      <c r="B654" t="s">
        <v>1273</v>
      </c>
      <c r="C654" t="s">
        <v>1204</v>
      </c>
      <c r="D654" t="s">
        <v>2072</v>
      </c>
      <c r="E654" t="s">
        <v>55</v>
      </c>
      <c r="F654">
        <v>86</v>
      </c>
      <c r="G654">
        <v>13</v>
      </c>
      <c r="H654">
        <v>4.3844856661045496E-3</v>
      </c>
      <c r="I654">
        <v>0.15116279069767399</v>
      </c>
      <c r="J654" s="14" t="str">
        <f>_xlfn.XLOOKUP(B654,CAD_PDV!A:A,CAD_PDV!B:B)</f>
        <v>MEXCELL COMERCIO E SERVICOS DE TELECOMUNICACOES LTDA</v>
      </c>
      <c r="K654" s="14">
        <f>IF(IFERROR(_xlfn.XLOOKUP(B654,Planilha2!D:D,Planilha2!H:H),0)="SIM",1,0)</f>
        <v>0</v>
      </c>
      <c r="L654" s="14" t="str">
        <f>_xlfn.XLOOKUP(B654,CAD_PDV!A:A,CAD_PDV!C:C)</f>
        <v>RJ/ES</v>
      </c>
      <c r="M654" s="14" t="str">
        <f>IFERROR(_xlfn.XLOOKUP(B654,repete!A:A,repete!A:A),"-")</f>
        <v>-</v>
      </c>
    </row>
    <row r="655" spans="1:13" hidden="1">
      <c r="A655" s="1">
        <v>46082</v>
      </c>
      <c r="B655" t="s">
        <v>1222</v>
      </c>
      <c r="C655" t="s">
        <v>1223</v>
      </c>
      <c r="D655" t="s">
        <v>228</v>
      </c>
      <c r="E655" t="s">
        <v>55</v>
      </c>
      <c r="F655">
        <v>84</v>
      </c>
      <c r="G655">
        <v>13</v>
      </c>
      <c r="H655">
        <v>4.3844856661045496E-3</v>
      </c>
      <c r="I655">
        <v>0.15476190476190499</v>
      </c>
      <c r="J655" s="14" t="str">
        <f>_xlfn.XLOOKUP(B655,CAD_PDV!A:A,CAD_PDV!B:B)</f>
        <v>FAJULUTI</v>
      </c>
      <c r="K655" s="14">
        <f>IF(IFERROR(_xlfn.XLOOKUP(B655,Planilha2!D:D,Planilha2!H:H),0)="SIM",1,0)</f>
        <v>0</v>
      </c>
      <c r="L655" s="14" t="str">
        <f>_xlfn.XLOOKUP(B655,CAD_PDV!A:A,CAD_PDV!C:C)</f>
        <v>RJ/ES</v>
      </c>
      <c r="M655" s="14" t="str">
        <f>IFERROR(_xlfn.XLOOKUP(B655,repete!A:A,repete!A:A),"-")</f>
        <v>-</v>
      </c>
    </row>
    <row r="656" spans="1:13" hidden="1">
      <c r="A656" s="1">
        <v>46082</v>
      </c>
      <c r="B656" t="s">
        <v>1348</v>
      </c>
      <c r="C656" t="s">
        <v>1350</v>
      </c>
      <c r="D656" t="s">
        <v>132</v>
      </c>
      <c r="E656" t="s">
        <v>53</v>
      </c>
      <c r="F656">
        <v>124</v>
      </c>
      <c r="G656">
        <v>13</v>
      </c>
      <c r="H656">
        <v>4.3844856661045496E-3</v>
      </c>
      <c r="I656">
        <v>0.104838709677419</v>
      </c>
      <c r="J656" s="14" t="str">
        <f>_xlfn.XLOOKUP(B656,CAD_PDV!A:A,CAD_PDV!B:B)</f>
        <v>FLEX CELL</v>
      </c>
      <c r="K656" s="14">
        <f>IF(IFERROR(_xlfn.XLOOKUP(B656,Planilha2!D:D,Planilha2!H:H),0)="SIM",1,0)</f>
        <v>0</v>
      </c>
      <c r="L656" s="14" t="str">
        <f>_xlfn.XLOOKUP(B656,CAD_PDV!A:A,CAD_PDV!C:C)</f>
        <v>SP1</v>
      </c>
      <c r="M656" s="14" t="str">
        <f>IFERROR(_xlfn.XLOOKUP(B656,repete!A:A,repete!A:A),"-")</f>
        <v>-</v>
      </c>
    </row>
    <row r="657" spans="1:13" hidden="1">
      <c r="A657" s="1">
        <v>46082</v>
      </c>
      <c r="B657" t="s">
        <v>1630</v>
      </c>
      <c r="C657" t="s">
        <v>1632</v>
      </c>
      <c r="D657" t="s">
        <v>232</v>
      </c>
      <c r="E657" t="s">
        <v>54</v>
      </c>
      <c r="F657">
        <v>51</v>
      </c>
      <c r="G657">
        <v>13</v>
      </c>
      <c r="H657">
        <v>4.3844856661045496E-3</v>
      </c>
      <c r="I657">
        <v>0.25490196078431399</v>
      </c>
      <c r="J657" s="14" t="str">
        <f>_xlfn.XLOOKUP(B657,CAD_PDV!A:A,CAD_PDV!B:B)</f>
        <v>HS TELECOM</v>
      </c>
      <c r="K657" s="14">
        <f>IF(IFERROR(_xlfn.XLOOKUP(B657,Planilha2!D:D,Planilha2!H:H),0)="SIM",1,0)</f>
        <v>0</v>
      </c>
      <c r="L657" s="14" t="str">
        <f>_xlfn.XLOOKUP(B657,CAD_PDV!A:A,CAD_PDV!C:C)</f>
        <v>SP2</v>
      </c>
      <c r="M657" s="14" t="str">
        <f>IFERROR(_xlfn.XLOOKUP(B657,repete!A:A,repete!A:A),"-")</f>
        <v>-</v>
      </c>
    </row>
    <row r="658" spans="1:13" hidden="1">
      <c r="A658" s="1">
        <v>46082</v>
      </c>
      <c r="B658" t="s">
        <v>1691</v>
      </c>
      <c r="C658" t="s">
        <v>1503</v>
      </c>
      <c r="D658" t="s">
        <v>232</v>
      </c>
      <c r="E658" t="s">
        <v>54</v>
      </c>
      <c r="F658">
        <v>91</v>
      </c>
      <c r="G658">
        <v>13</v>
      </c>
      <c r="H658">
        <v>4.3844856661045496E-3</v>
      </c>
      <c r="I658">
        <v>0.14285714285714299</v>
      </c>
      <c r="J658" s="14" t="str">
        <f>_xlfn.XLOOKUP(B658,CAD_PDV!A:A,CAD_PDV!B:B)</f>
        <v>HS TELECOM</v>
      </c>
      <c r="K658" s="14">
        <f>IF(IFERROR(_xlfn.XLOOKUP(B658,Planilha2!D:D,Planilha2!H:H),0)="SIM",1,0)</f>
        <v>0</v>
      </c>
      <c r="L658" s="14" t="str">
        <f>_xlfn.XLOOKUP(B658,CAD_PDV!A:A,CAD_PDV!C:C)</f>
        <v>SP2</v>
      </c>
      <c r="M658" s="14" t="str">
        <f>IFERROR(_xlfn.XLOOKUP(B658,repete!A:A,repete!A:A),"-")</f>
        <v>-</v>
      </c>
    </row>
    <row r="659" spans="1:13" hidden="1">
      <c r="A659" s="1">
        <v>46082</v>
      </c>
      <c r="B659" t="s">
        <v>1723</v>
      </c>
      <c r="C659" t="s">
        <v>1451</v>
      </c>
      <c r="D659" t="s">
        <v>232</v>
      </c>
      <c r="E659" t="s">
        <v>54</v>
      </c>
      <c r="F659">
        <v>146</v>
      </c>
      <c r="G659">
        <v>13</v>
      </c>
      <c r="H659">
        <v>4.3844856661045496E-3</v>
      </c>
      <c r="I659">
        <v>8.9041095890410996E-2</v>
      </c>
      <c r="J659" s="14" t="str">
        <f>_xlfn.XLOOKUP(B659,CAD_PDV!A:A,CAD_PDV!B:B)</f>
        <v>HS TELECOM</v>
      </c>
      <c r="K659" s="14">
        <f>IF(IFERROR(_xlfn.XLOOKUP(B659,Planilha2!D:D,Planilha2!H:H),0)="SIM",1,0)</f>
        <v>0</v>
      </c>
      <c r="L659" s="14" t="str">
        <f>_xlfn.XLOOKUP(B659,CAD_PDV!A:A,CAD_PDV!C:C)</f>
        <v>SP2</v>
      </c>
      <c r="M659" s="14" t="str">
        <f>IFERROR(_xlfn.XLOOKUP(B659,repete!A:A,repete!A:A),"-")</f>
        <v>-</v>
      </c>
    </row>
    <row r="660" spans="1:13" hidden="1">
      <c r="A660" s="1">
        <v>46082</v>
      </c>
      <c r="B660" t="s">
        <v>1319</v>
      </c>
      <c r="C660" t="s">
        <v>1313</v>
      </c>
      <c r="D660" t="s">
        <v>225</v>
      </c>
      <c r="E660" t="s">
        <v>53</v>
      </c>
      <c r="F660">
        <v>88</v>
      </c>
      <c r="G660">
        <v>12</v>
      </c>
      <c r="H660">
        <v>4.0472175379426597E-3</v>
      </c>
      <c r="I660">
        <v>0.13636363636363599</v>
      </c>
      <c r="J660" s="14" t="str">
        <f>_xlfn.XLOOKUP(B660,CAD_PDV!A:A,CAD_PDV!B:B)</f>
        <v>CLARICELL SP1</v>
      </c>
      <c r="K660" s="14">
        <f>IF(IFERROR(_xlfn.XLOOKUP(B660,Planilha2!D:D,Planilha2!H:H),0)="SIM",1,0)</f>
        <v>0</v>
      </c>
      <c r="L660" s="14" t="str">
        <f>_xlfn.XLOOKUP(B660,CAD_PDV!A:A,CAD_PDV!C:C)</f>
        <v>SP1</v>
      </c>
      <c r="M660" s="14" t="str">
        <f>IFERROR(_xlfn.XLOOKUP(B660,repete!A:A,repete!A:A),"-")</f>
        <v>-</v>
      </c>
    </row>
    <row r="661" spans="1:13" hidden="1">
      <c r="A661" s="1">
        <v>46082</v>
      </c>
      <c r="B661" t="s">
        <v>962</v>
      </c>
      <c r="C661" t="s">
        <v>950</v>
      </c>
      <c r="D661" t="s">
        <v>232</v>
      </c>
      <c r="E661" t="s">
        <v>60</v>
      </c>
      <c r="F661">
        <v>85</v>
      </c>
      <c r="G661">
        <v>12</v>
      </c>
      <c r="H661">
        <v>4.0472175379426597E-3</v>
      </c>
      <c r="I661">
        <v>0.14117647058823499</v>
      </c>
      <c r="J661" s="14" t="str">
        <f>_xlfn.XLOOKUP(B661,CAD_PDV!A:A,CAD_PDV!B:B)</f>
        <v>HS TELECOM</v>
      </c>
      <c r="K661" s="14">
        <f>IF(IFERROR(_xlfn.XLOOKUP(B661,Planilha2!D:D,Planilha2!H:H),0)="SIM",1,0)</f>
        <v>0</v>
      </c>
      <c r="L661" s="14" t="str">
        <f>_xlfn.XLOOKUP(B661,CAD_PDV!A:A,CAD_PDV!C:C)</f>
        <v>BA/SE</v>
      </c>
      <c r="M661" s="14" t="str">
        <f>IFERROR(_xlfn.XLOOKUP(B661,repete!A:A,repete!A:A),"-")</f>
        <v>-</v>
      </c>
    </row>
    <row r="662" spans="1:13" hidden="1">
      <c r="A662" s="1">
        <v>46082</v>
      </c>
      <c r="B662" t="s">
        <v>653</v>
      </c>
      <c r="C662" t="s">
        <v>649</v>
      </c>
      <c r="D662" t="s">
        <v>239</v>
      </c>
      <c r="E662" t="s">
        <v>59</v>
      </c>
      <c r="F662">
        <v>76</v>
      </c>
      <c r="G662">
        <v>11</v>
      </c>
      <c r="H662">
        <v>3.7099494097807802E-3</v>
      </c>
      <c r="I662">
        <v>0.144736842105263</v>
      </c>
      <c r="J662" s="14" t="str">
        <f>_xlfn.XLOOKUP(B662,CAD_PDV!A:A,CAD_PDV!B:B)</f>
        <v>TELECELL TELEFONIA LTDA - ME</v>
      </c>
      <c r="K662" s="14">
        <f>IF(IFERROR(_xlfn.XLOOKUP(B662,Planilha2!D:D,Planilha2!H:H),0)="SIM",1,0)</f>
        <v>0</v>
      </c>
      <c r="L662" s="14" t="str">
        <f>_xlfn.XLOOKUP(B662,CAD_PDV!A:A,CAD_PDV!C:C)</f>
        <v>CO</v>
      </c>
      <c r="M662" s="14" t="str">
        <f>IFERROR(_xlfn.XLOOKUP(B662,repete!A:A,repete!A:A),"-")</f>
        <v>-</v>
      </c>
    </row>
    <row r="663" spans="1:13" hidden="1">
      <c r="A663" s="1">
        <v>46082</v>
      </c>
      <c r="B663" t="s">
        <v>1427</v>
      </c>
      <c r="C663" t="s">
        <v>1429</v>
      </c>
      <c r="D663" t="s">
        <v>232</v>
      </c>
      <c r="E663" t="s">
        <v>54</v>
      </c>
      <c r="F663">
        <v>68</v>
      </c>
      <c r="G663">
        <v>11</v>
      </c>
      <c r="H663">
        <v>3.7099494097807802E-3</v>
      </c>
      <c r="I663">
        <v>0.161764705882353</v>
      </c>
      <c r="J663" s="14" t="str">
        <f>_xlfn.XLOOKUP(B663,CAD_PDV!A:A,CAD_PDV!B:B)</f>
        <v>HS TELECOM</v>
      </c>
      <c r="K663" s="14">
        <f>IF(IFERROR(_xlfn.XLOOKUP(B663,Planilha2!D:D,Planilha2!H:H),0)="SIM",1,0)</f>
        <v>0</v>
      </c>
      <c r="L663" s="14" t="str">
        <f>_xlfn.XLOOKUP(B663,CAD_PDV!A:A,CAD_PDV!C:C)</f>
        <v>SP2</v>
      </c>
      <c r="M663" s="14" t="str">
        <f>IFERROR(_xlfn.XLOOKUP(B663,repete!A:A,repete!A:A),"-")</f>
        <v>-</v>
      </c>
    </row>
    <row r="664" spans="1:13" hidden="1">
      <c r="A664" s="1">
        <v>46082</v>
      </c>
      <c r="B664" t="s">
        <v>1286</v>
      </c>
      <c r="C664" t="s">
        <v>1287</v>
      </c>
      <c r="D664" t="s">
        <v>232</v>
      </c>
      <c r="E664" t="s">
        <v>55</v>
      </c>
      <c r="F664">
        <v>388</v>
      </c>
      <c r="G664">
        <v>11</v>
      </c>
      <c r="H664">
        <v>3.7099494097807802E-3</v>
      </c>
      <c r="I664">
        <v>2.8350515463917501E-2</v>
      </c>
      <c r="J664" s="14" t="str">
        <f>_xlfn.XLOOKUP(B664,CAD_PDV!A:A,CAD_PDV!B:B)</f>
        <v>HS TELECOM</v>
      </c>
      <c r="K664" s="14">
        <f>IF(IFERROR(_xlfn.XLOOKUP(B664,Planilha2!D:D,Planilha2!H:H),0)="SIM",1,0)</f>
        <v>0</v>
      </c>
      <c r="L664" s="14" t="str">
        <f>_xlfn.XLOOKUP(B664,CAD_PDV!A:A,CAD_PDV!C:C)</f>
        <v>RJ/ES</v>
      </c>
      <c r="M664" s="14" t="str">
        <f>IFERROR(_xlfn.XLOOKUP(B664,repete!A:A,repete!A:A),"-")</f>
        <v>-</v>
      </c>
    </row>
    <row r="665" spans="1:13" hidden="1">
      <c r="A665" s="1">
        <v>46082</v>
      </c>
      <c r="B665" t="s">
        <v>900</v>
      </c>
      <c r="C665" t="s">
        <v>873</v>
      </c>
      <c r="D665" t="s">
        <v>224</v>
      </c>
      <c r="E665" t="s">
        <v>59</v>
      </c>
      <c r="F665">
        <v>47</v>
      </c>
      <c r="G665">
        <v>11</v>
      </c>
      <c r="H665">
        <v>3.7099494097807802E-3</v>
      </c>
      <c r="I665">
        <v>0.23404255319148901</v>
      </c>
      <c r="J665" s="14" t="str">
        <f>_xlfn.XLOOKUP(B665,CAD_PDV!A:A,CAD_PDV!B:B)</f>
        <v>CELNET COMERCIO E SERVICOS DE TELEFONIA LTDA ME</v>
      </c>
      <c r="K665" s="14">
        <f>IF(IFERROR(_xlfn.XLOOKUP(B665,Planilha2!D:D,Planilha2!H:H),0)="SIM",1,0)</f>
        <v>0</v>
      </c>
      <c r="L665" s="14" t="str">
        <f>_xlfn.XLOOKUP(B665,CAD_PDV!A:A,CAD_PDV!C:C)</f>
        <v>CO</v>
      </c>
      <c r="M665" s="14" t="str">
        <f>IFERROR(_xlfn.XLOOKUP(B665,repete!A:A,repete!A:A),"-")</f>
        <v>-</v>
      </c>
    </row>
    <row r="666" spans="1:13" hidden="1">
      <c r="A666" s="1">
        <v>46082</v>
      </c>
      <c r="B666" t="s">
        <v>1574</v>
      </c>
      <c r="C666" t="s">
        <v>1575</v>
      </c>
      <c r="D666" t="s">
        <v>132</v>
      </c>
      <c r="E666" t="s">
        <v>54</v>
      </c>
      <c r="F666">
        <v>48</v>
      </c>
      <c r="G666">
        <v>11</v>
      </c>
      <c r="H666">
        <v>3.7099494097807802E-3</v>
      </c>
      <c r="I666">
        <v>0.22916666666666699</v>
      </c>
      <c r="J666" s="14" t="str">
        <f>_xlfn.XLOOKUP(B666,CAD_PDV!A:A,CAD_PDV!B:B)</f>
        <v>FLEX CELL</v>
      </c>
      <c r="K666" s="14">
        <f>IF(IFERROR(_xlfn.XLOOKUP(B666,Planilha2!D:D,Planilha2!H:H),0)="SIM",1,0)</f>
        <v>0</v>
      </c>
      <c r="L666" s="14" t="str">
        <f>_xlfn.XLOOKUP(B666,CAD_PDV!A:A,CAD_PDV!C:C)</f>
        <v>SP2</v>
      </c>
      <c r="M666" s="14" t="str">
        <f>IFERROR(_xlfn.XLOOKUP(B666,repete!A:A,repete!A:A),"-")</f>
        <v>-</v>
      </c>
    </row>
    <row r="667" spans="1:13" hidden="1">
      <c r="A667" s="1">
        <v>46082</v>
      </c>
      <c r="B667" t="s">
        <v>2027</v>
      </c>
      <c r="C667" t="s">
        <v>2026</v>
      </c>
      <c r="D667" t="s">
        <v>193</v>
      </c>
      <c r="E667" t="s">
        <v>2074</v>
      </c>
      <c r="F667">
        <v>77</v>
      </c>
      <c r="G667">
        <v>11</v>
      </c>
      <c r="H667">
        <v>3.7099494097807802E-3</v>
      </c>
      <c r="I667">
        <v>0.14285714285714299</v>
      </c>
      <c r="J667" s="14" t="str">
        <f>_xlfn.XLOOKUP(B667,CAD_PDV!A:A,CAD_PDV!B:B)</f>
        <v>S D COMERCIO DE CELULARES LTDA - ME</v>
      </c>
      <c r="K667" s="14">
        <f>IF(IFERROR(_xlfn.XLOOKUP(B667,Planilha2!D:D,Planilha2!H:H),0)="SIM",1,0)</f>
        <v>0</v>
      </c>
      <c r="L667" s="14" t="str">
        <f>_xlfn.XLOOKUP(B667,CAD_PDV!A:A,CAD_PDV!C:C)</f>
        <v>RS</v>
      </c>
      <c r="M667" s="14" t="str">
        <f>IFERROR(_xlfn.XLOOKUP(B667,repete!A:A,repete!A:A),"-")</f>
        <v>-</v>
      </c>
    </row>
    <row r="668" spans="1:13" hidden="1">
      <c r="A668" s="1">
        <v>46082</v>
      </c>
      <c r="B668" t="s">
        <v>895</v>
      </c>
      <c r="C668" t="s">
        <v>873</v>
      </c>
      <c r="D668" t="s">
        <v>224</v>
      </c>
      <c r="E668" t="s">
        <v>59</v>
      </c>
      <c r="F668">
        <v>115</v>
      </c>
      <c r="G668">
        <v>11</v>
      </c>
      <c r="H668">
        <v>3.7099494097807802E-3</v>
      </c>
      <c r="I668">
        <v>9.5652173913043495E-2</v>
      </c>
      <c r="J668" s="14" t="str">
        <f>_xlfn.XLOOKUP(B668,CAD_PDV!A:A,CAD_PDV!B:B)</f>
        <v>CELNET COMERCIO E SERVICOS DE TELEFONIA LTDA ME</v>
      </c>
      <c r="K668" s="14">
        <f>IF(IFERROR(_xlfn.XLOOKUP(B668,Planilha2!D:D,Planilha2!H:H),0)="SIM",1,0)</f>
        <v>0</v>
      </c>
      <c r="L668" s="14" t="str">
        <f>_xlfn.XLOOKUP(B668,CAD_PDV!A:A,CAD_PDV!C:C)</f>
        <v>CO</v>
      </c>
      <c r="M668" s="14" t="str">
        <f>IFERROR(_xlfn.XLOOKUP(B668,repete!A:A,repete!A:A),"-")</f>
        <v>-</v>
      </c>
    </row>
    <row r="669" spans="1:13" hidden="1">
      <c r="A669" s="1">
        <v>46082</v>
      </c>
      <c r="B669" t="s">
        <v>1252</v>
      </c>
      <c r="C669" t="s">
        <v>1142</v>
      </c>
      <c r="D669" t="s">
        <v>228</v>
      </c>
      <c r="E669" t="s">
        <v>55</v>
      </c>
      <c r="F669">
        <v>50</v>
      </c>
      <c r="G669">
        <v>11</v>
      </c>
      <c r="H669">
        <v>3.7099494097807802E-3</v>
      </c>
      <c r="I669">
        <v>0.22</v>
      </c>
      <c r="J669" s="14" t="str">
        <f>_xlfn.XLOOKUP(B669,CAD_PDV!A:A,CAD_PDV!B:B)</f>
        <v>FAJULUTI</v>
      </c>
      <c r="K669" s="14">
        <f>IF(IFERROR(_xlfn.XLOOKUP(B669,Planilha2!D:D,Planilha2!H:H),0)="SIM",1,0)</f>
        <v>0</v>
      </c>
      <c r="L669" s="14" t="str">
        <f>_xlfn.XLOOKUP(B669,CAD_PDV!A:A,CAD_PDV!C:C)</f>
        <v>RJ/ES</v>
      </c>
      <c r="M669" s="14" t="str">
        <f>IFERROR(_xlfn.XLOOKUP(B669,repete!A:A,repete!A:A),"-")</f>
        <v>-</v>
      </c>
    </row>
    <row r="670" spans="1:13" hidden="1">
      <c r="A670" s="1">
        <v>46082</v>
      </c>
      <c r="B670" t="s">
        <v>1646</v>
      </c>
      <c r="C670" t="s">
        <v>1535</v>
      </c>
      <c r="D670" t="s">
        <v>232</v>
      </c>
      <c r="E670" t="s">
        <v>54</v>
      </c>
      <c r="F670">
        <v>115</v>
      </c>
      <c r="G670">
        <v>11</v>
      </c>
      <c r="H670">
        <v>3.7099494097807802E-3</v>
      </c>
      <c r="I670">
        <v>9.5652173913043495E-2</v>
      </c>
      <c r="J670" s="14" t="str">
        <f>_xlfn.XLOOKUP(B670,CAD_PDV!A:A,CAD_PDV!B:B)</f>
        <v>HS TELECOM</v>
      </c>
      <c r="K670" s="14">
        <f>IF(IFERROR(_xlfn.XLOOKUP(B670,Planilha2!D:D,Planilha2!H:H),0)="SIM",1,0)</f>
        <v>0</v>
      </c>
      <c r="L670" s="14" t="str">
        <f>_xlfn.XLOOKUP(B670,CAD_PDV!A:A,CAD_PDV!C:C)</f>
        <v>SP2</v>
      </c>
      <c r="M670" s="14" t="str">
        <f>IFERROR(_xlfn.XLOOKUP(B670,repete!A:A,repete!A:A),"-")</f>
        <v>-</v>
      </c>
    </row>
    <row r="671" spans="1:13" hidden="1">
      <c r="A671" s="1">
        <v>46082</v>
      </c>
      <c r="B671" t="s">
        <v>1481</v>
      </c>
      <c r="C671" t="s">
        <v>1482</v>
      </c>
      <c r="D671" t="s">
        <v>232</v>
      </c>
      <c r="E671" t="s">
        <v>54</v>
      </c>
      <c r="F671">
        <v>76</v>
      </c>
      <c r="G671">
        <v>10</v>
      </c>
      <c r="H671">
        <v>3.3726812816188899E-3</v>
      </c>
      <c r="I671">
        <v>0.13157894736842099</v>
      </c>
      <c r="J671" s="14" t="str">
        <f>_xlfn.XLOOKUP(B671,CAD_PDV!A:A,CAD_PDV!B:B)</f>
        <v>HS TELECOM</v>
      </c>
      <c r="K671" s="14">
        <f>IF(IFERROR(_xlfn.XLOOKUP(B671,Planilha2!D:D,Planilha2!H:H),0)="SIM",1,0)</f>
        <v>0</v>
      </c>
      <c r="L671" s="14" t="str">
        <f>_xlfn.XLOOKUP(B671,CAD_PDV!A:A,CAD_PDV!C:C)</f>
        <v>SP2</v>
      </c>
      <c r="M671" s="14" t="str">
        <f>IFERROR(_xlfn.XLOOKUP(B671,repete!A:A,repete!A:A),"-")</f>
        <v>-</v>
      </c>
    </row>
    <row r="672" spans="1:13" hidden="1">
      <c r="A672" s="1">
        <v>46082</v>
      </c>
      <c r="B672" t="s">
        <v>512</v>
      </c>
      <c r="C672" t="s">
        <v>513</v>
      </c>
      <c r="D672" t="s">
        <v>228</v>
      </c>
      <c r="E672" t="s">
        <v>56</v>
      </c>
      <c r="F672">
        <v>41</v>
      </c>
      <c r="G672">
        <v>10</v>
      </c>
      <c r="H672">
        <v>3.3726812816188899E-3</v>
      </c>
      <c r="I672">
        <v>0.24390243902438999</v>
      </c>
      <c r="J672" s="14" t="str">
        <f>_xlfn.XLOOKUP(B672,CAD_PDV!A:A,CAD_PDV!B:B)</f>
        <v>FAJULUTI</v>
      </c>
      <c r="K672" s="14">
        <f>IF(IFERROR(_xlfn.XLOOKUP(B672,Planilha2!D:D,Planilha2!H:H),0)="SIM",1,0)</f>
        <v>0</v>
      </c>
      <c r="L672" s="14" t="str">
        <f>_xlfn.XLOOKUP(B672,CAD_PDV!A:A,CAD_PDV!C:C)</f>
        <v>MG</v>
      </c>
      <c r="M672" s="14" t="str">
        <f>IFERROR(_xlfn.XLOOKUP(B672,repete!A:A,repete!A:A),"-")</f>
        <v>-</v>
      </c>
    </row>
    <row r="673" spans="1:13" hidden="1">
      <c r="A673" s="1">
        <v>46082</v>
      </c>
      <c r="B673" t="s">
        <v>1497</v>
      </c>
      <c r="C673" t="s">
        <v>1499</v>
      </c>
      <c r="D673" t="s">
        <v>132</v>
      </c>
      <c r="E673" t="s">
        <v>54</v>
      </c>
      <c r="F673">
        <v>81</v>
      </c>
      <c r="G673">
        <v>10</v>
      </c>
      <c r="H673">
        <v>3.3726812816188899E-3</v>
      </c>
      <c r="I673">
        <v>0.12345679012345701</v>
      </c>
      <c r="J673" s="14" t="str">
        <f>_xlfn.XLOOKUP(B673,CAD_PDV!A:A,CAD_PDV!B:B)</f>
        <v>FLEX CELL</v>
      </c>
      <c r="K673" s="14">
        <f>IF(IFERROR(_xlfn.XLOOKUP(B673,Planilha2!D:D,Planilha2!H:H),0)="SIM",1,0)</f>
        <v>0</v>
      </c>
      <c r="L673" s="14" t="str">
        <f>_xlfn.XLOOKUP(B673,CAD_PDV!A:A,CAD_PDV!C:C)</f>
        <v>SP2</v>
      </c>
      <c r="M673" s="14" t="str">
        <f>IFERROR(_xlfn.XLOOKUP(B673,repete!A:A,repete!A:A),"-")</f>
        <v>-</v>
      </c>
    </row>
    <row r="674" spans="1:13" hidden="1">
      <c r="A674" s="1">
        <v>46082</v>
      </c>
      <c r="B674" t="s">
        <v>878</v>
      </c>
      <c r="C674" t="s">
        <v>873</v>
      </c>
      <c r="D674" t="s">
        <v>224</v>
      </c>
      <c r="E674" t="s">
        <v>59</v>
      </c>
      <c r="F674">
        <v>275</v>
      </c>
      <c r="G674">
        <v>10</v>
      </c>
      <c r="H674">
        <v>3.3726812816188899E-3</v>
      </c>
      <c r="I674">
        <v>3.6363636363636397E-2</v>
      </c>
      <c r="J674" s="14" t="str">
        <f>_xlfn.XLOOKUP(B674,CAD_PDV!A:A,CAD_PDV!B:B)</f>
        <v>CELNET COMERCIO E SERVICOS DE TELEFONIA LTDA ME</v>
      </c>
      <c r="K674" s="14">
        <f>IF(IFERROR(_xlfn.XLOOKUP(B674,Planilha2!D:D,Planilha2!H:H),0)="SIM",1,0)</f>
        <v>0</v>
      </c>
      <c r="L674" s="14" t="str">
        <f>_xlfn.XLOOKUP(B674,CAD_PDV!A:A,CAD_PDV!C:C)</f>
        <v>CO</v>
      </c>
      <c r="M674" s="14" t="str">
        <f>IFERROR(_xlfn.XLOOKUP(B674,repete!A:A,repete!A:A),"-")</f>
        <v>-</v>
      </c>
    </row>
    <row r="675" spans="1:13" hidden="1">
      <c r="A675" s="1">
        <v>46082</v>
      </c>
      <c r="B675" t="s">
        <v>1334</v>
      </c>
      <c r="C675" t="s">
        <v>1313</v>
      </c>
      <c r="D675" t="s">
        <v>225</v>
      </c>
      <c r="E675" t="s">
        <v>53</v>
      </c>
      <c r="F675">
        <v>71</v>
      </c>
      <c r="G675">
        <v>10</v>
      </c>
      <c r="H675">
        <v>3.3726812816188899E-3</v>
      </c>
      <c r="I675">
        <v>0.140845070422535</v>
      </c>
      <c r="J675" s="14" t="str">
        <f>_xlfn.XLOOKUP(B675,CAD_PDV!A:A,CAD_PDV!B:B)</f>
        <v>CLARICELL SP1</v>
      </c>
      <c r="K675" s="14">
        <f>IF(IFERROR(_xlfn.XLOOKUP(B675,Planilha2!D:D,Planilha2!H:H),0)="SIM",1,0)</f>
        <v>0</v>
      </c>
      <c r="L675" s="14" t="str">
        <f>_xlfn.XLOOKUP(B675,CAD_PDV!A:A,CAD_PDV!C:C)</f>
        <v>SP1</v>
      </c>
      <c r="M675" s="14" t="str">
        <f>IFERROR(_xlfn.XLOOKUP(B675,repete!A:A,repete!A:A),"-")</f>
        <v>-</v>
      </c>
    </row>
    <row r="676" spans="1:13" hidden="1">
      <c r="A676" s="1">
        <v>46082</v>
      </c>
      <c r="B676" t="s">
        <v>280</v>
      </c>
      <c r="C676" t="s">
        <v>265</v>
      </c>
      <c r="D676" t="s">
        <v>230</v>
      </c>
      <c r="E676" t="s">
        <v>61</v>
      </c>
      <c r="F676">
        <v>196</v>
      </c>
      <c r="G676">
        <v>10</v>
      </c>
      <c r="H676">
        <v>3.3726812816188899E-3</v>
      </c>
      <c r="I676">
        <v>5.10204081632653E-2</v>
      </c>
      <c r="J676" s="14" t="str">
        <f>_xlfn.XLOOKUP(B676,CAD_PDV!A:A,CAD_PDV!B:B)</f>
        <v>HARCOS COMERCIO E SERVICOS LTDA - EPP</v>
      </c>
      <c r="K676" s="14">
        <f>IF(IFERROR(_xlfn.XLOOKUP(B676,Planilha2!D:D,Planilha2!H:H),0)="SIM",1,0)</f>
        <v>0</v>
      </c>
      <c r="L676" s="14" t="str">
        <f>_xlfn.XLOOKUP(B676,CAD_PDV!A:A,CAD_PDV!C:C)</f>
        <v>NE</v>
      </c>
      <c r="M676" s="14" t="str">
        <f>IFERROR(_xlfn.XLOOKUP(B676,repete!A:A,repete!A:A),"-")</f>
        <v>-</v>
      </c>
    </row>
    <row r="677" spans="1:13" hidden="1">
      <c r="A677" s="1">
        <v>46082</v>
      </c>
      <c r="B677" t="s">
        <v>1665</v>
      </c>
      <c r="C677" t="s">
        <v>1666</v>
      </c>
      <c r="D677" t="s">
        <v>232</v>
      </c>
      <c r="E677" t="s">
        <v>54</v>
      </c>
      <c r="F677">
        <v>66</v>
      </c>
      <c r="G677">
        <v>10</v>
      </c>
      <c r="H677">
        <v>3.3726812816188899E-3</v>
      </c>
      <c r="I677">
        <v>0.15151515151515199</v>
      </c>
      <c r="J677" s="14" t="str">
        <f>_xlfn.XLOOKUP(B677,CAD_PDV!A:A,CAD_PDV!B:B)</f>
        <v>HS TELECOM</v>
      </c>
      <c r="K677" s="14">
        <f>IF(IFERROR(_xlfn.XLOOKUP(B677,Planilha2!D:D,Planilha2!H:H),0)="SIM",1,0)</f>
        <v>0</v>
      </c>
      <c r="L677" s="14" t="str">
        <f>_xlfn.XLOOKUP(B677,CAD_PDV!A:A,CAD_PDV!C:C)</f>
        <v>SP2</v>
      </c>
      <c r="M677" s="14" t="str">
        <f>IFERROR(_xlfn.XLOOKUP(B677,repete!A:A,repete!A:A),"-")</f>
        <v>-</v>
      </c>
    </row>
    <row r="678" spans="1:13" hidden="1">
      <c r="A678" s="1">
        <v>46082</v>
      </c>
      <c r="B678" t="s">
        <v>1710</v>
      </c>
      <c r="C678" t="s">
        <v>1568</v>
      </c>
      <c r="D678" t="s">
        <v>119</v>
      </c>
      <c r="E678" t="s">
        <v>54</v>
      </c>
      <c r="F678">
        <v>47</v>
      </c>
      <c r="G678">
        <v>10</v>
      </c>
      <c r="H678">
        <v>3.3726812816188899E-3</v>
      </c>
      <c r="I678">
        <v>0.21276595744680901</v>
      </c>
      <c r="J678" s="14" t="str">
        <f>_xlfn.XLOOKUP(B678,CAD_PDV!A:A,CAD_PDV!B:B)</f>
        <v>DOM BARRETO COMERCIAL LTDA - ME</v>
      </c>
      <c r="K678" s="14">
        <f>IF(IFERROR(_xlfn.XLOOKUP(B678,Planilha2!D:D,Planilha2!H:H),0)="SIM",1,0)</f>
        <v>0</v>
      </c>
      <c r="L678" s="14" t="str">
        <f>_xlfn.XLOOKUP(B678,CAD_PDV!A:A,CAD_PDV!C:C)</f>
        <v>SP2</v>
      </c>
      <c r="M678" s="14" t="str">
        <f>IFERROR(_xlfn.XLOOKUP(B678,repete!A:A,repete!A:A),"-")</f>
        <v>-</v>
      </c>
    </row>
    <row r="679" spans="1:13" hidden="1">
      <c r="A679" s="1">
        <v>46082</v>
      </c>
      <c r="B679" t="s">
        <v>1840</v>
      </c>
      <c r="C679" t="s">
        <v>1839</v>
      </c>
      <c r="D679" t="s">
        <v>124</v>
      </c>
      <c r="E679" t="s">
        <v>2074</v>
      </c>
      <c r="F679">
        <v>52</v>
      </c>
      <c r="G679">
        <v>9</v>
      </c>
      <c r="H679">
        <v>3.035413153457E-3</v>
      </c>
      <c r="I679">
        <v>0.17307692307692299</v>
      </c>
      <c r="J679" s="14" t="str">
        <f>_xlfn.XLOOKUP(B679,CAD_PDV!A:A,CAD_PDV!B:B)</f>
        <v>EDUARDO JUNQUEIRA DA SILVEIRA ADMIN</v>
      </c>
      <c r="K679" s="14">
        <f>IF(IFERROR(_xlfn.XLOOKUP(B679,Planilha2!D:D,Planilha2!H:H),0)="SIM",1,0)</f>
        <v>0</v>
      </c>
      <c r="L679" s="14" t="str">
        <f>_xlfn.XLOOKUP(B679,CAD_PDV!A:A,CAD_PDV!C:C)</f>
        <v>RS</v>
      </c>
      <c r="M679" s="14" t="str">
        <f>IFERROR(_xlfn.XLOOKUP(B679,repete!A:A,repete!A:A),"-")</f>
        <v>-</v>
      </c>
    </row>
    <row r="680" spans="1:13" hidden="1">
      <c r="A680" s="1">
        <v>46082</v>
      </c>
      <c r="B680" t="s">
        <v>495</v>
      </c>
      <c r="C680" t="s">
        <v>496</v>
      </c>
      <c r="D680" t="s">
        <v>239</v>
      </c>
      <c r="E680" t="s">
        <v>56</v>
      </c>
      <c r="F680">
        <v>46</v>
      </c>
      <c r="G680">
        <v>9</v>
      </c>
      <c r="H680">
        <v>3.035413153457E-3</v>
      </c>
      <c r="I680">
        <v>0.19565217391304299</v>
      </c>
      <c r="J680" s="14" t="str">
        <f>_xlfn.XLOOKUP(B680,CAD_PDV!A:A,CAD_PDV!B:B)</f>
        <v>TELECELL TELEFONIA LTDA - ME</v>
      </c>
      <c r="K680" s="14">
        <f>IF(IFERROR(_xlfn.XLOOKUP(B680,Planilha2!D:D,Planilha2!H:H),0)="SIM",1,0)</f>
        <v>0</v>
      </c>
      <c r="L680" s="14" t="str">
        <f>_xlfn.XLOOKUP(B680,CAD_PDV!A:A,CAD_PDV!C:C)</f>
        <v>MG</v>
      </c>
      <c r="M680" s="14" t="str">
        <f>IFERROR(_xlfn.XLOOKUP(B680,repete!A:A,repete!A:A),"-")</f>
        <v>-</v>
      </c>
    </row>
    <row r="681" spans="1:13" hidden="1">
      <c r="A681" s="1">
        <v>46082</v>
      </c>
      <c r="B681" t="s">
        <v>258</v>
      </c>
      <c r="C681" t="s">
        <v>261</v>
      </c>
      <c r="D681" t="s">
        <v>230</v>
      </c>
      <c r="E681" t="s">
        <v>61</v>
      </c>
      <c r="F681">
        <v>126</v>
      </c>
      <c r="G681">
        <v>9</v>
      </c>
      <c r="H681">
        <v>3.035413153457E-3</v>
      </c>
      <c r="I681">
        <v>7.1428571428571397E-2</v>
      </c>
      <c r="J681" s="14" t="str">
        <f>_xlfn.XLOOKUP(B681,CAD_PDV!A:A,CAD_PDV!B:B)</f>
        <v>HARCOS COMERCIO E SERVICOS LTDA - EPP</v>
      </c>
      <c r="K681" s="14">
        <f>IF(IFERROR(_xlfn.XLOOKUP(B681,Planilha2!D:D,Planilha2!H:H),0)="SIM",1,0)</f>
        <v>0</v>
      </c>
      <c r="L681" s="14" t="str">
        <f>_xlfn.XLOOKUP(B681,CAD_PDV!A:A,CAD_PDV!C:C)</f>
        <v>NE</v>
      </c>
      <c r="M681" s="14" t="str">
        <f>IFERROR(_xlfn.XLOOKUP(B681,repete!A:A,repete!A:A),"-")</f>
        <v>-</v>
      </c>
    </row>
    <row r="682" spans="1:13" hidden="1">
      <c r="A682" s="1">
        <v>46082</v>
      </c>
      <c r="B682" t="s">
        <v>1506</v>
      </c>
      <c r="C682" t="s">
        <v>1507</v>
      </c>
      <c r="D682" t="s">
        <v>132</v>
      </c>
      <c r="E682" t="s">
        <v>54</v>
      </c>
      <c r="F682">
        <v>45</v>
      </c>
      <c r="G682">
        <v>9</v>
      </c>
      <c r="H682">
        <v>3.035413153457E-3</v>
      </c>
      <c r="I682">
        <v>0.2</v>
      </c>
      <c r="J682" s="14" t="str">
        <f>_xlfn.XLOOKUP(B682,CAD_PDV!A:A,CAD_PDV!B:B)</f>
        <v>FLEX CELL</v>
      </c>
      <c r="K682" s="14">
        <f>IF(IFERROR(_xlfn.XLOOKUP(B682,Planilha2!D:D,Planilha2!H:H),0)="SIM",1,0)</f>
        <v>0</v>
      </c>
      <c r="L682" s="14" t="str">
        <f>_xlfn.XLOOKUP(B682,CAD_PDV!A:A,CAD_PDV!C:C)</f>
        <v>SP2</v>
      </c>
      <c r="M682" s="14" t="str">
        <f>IFERROR(_xlfn.XLOOKUP(B682,repete!A:A,repete!A:A),"-")</f>
        <v>-</v>
      </c>
    </row>
    <row r="683" spans="1:13" hidden="1">
      <c r="A683" s="1">
        <v>46082</v>
      </c>
      <c r="B683" t="s">
        <v>1210</v>
      </c>
      <c r="C683" t="s">
        <v>1211</v>
      </c>
      <c r="D683" t="s">
        <v>228</v>
      </c>
      <c r="E683" t="s">
        <v>55</v>
      </c>
      <c r="F683">
        <v>87</v>
      </c>
      <c r="G683">
        <v>9</v>
      </c>
      <c r="H683">
        <v>3.035413153457E-3</v>
      </c>
      <c r="I683">
        <v>0.10344827586206901</v>
      </c>
      <c r="J683" s="14" t="str">
        <f>_xlfn.XLOOKUP(B683,CAD_PDV!A:A,CAD_PDV!B:B)</f>
        <v>FAJULUTI</v>
      </c>
      <c r="K683" s="14">
        <f>IF(IFERROR(_xlfn.XLOOKUP(B683,Planilha2!D:D,Planilha2!H:H),0)="SIM",1,0)</f>
        <v>0</v>
      </c>
      <c r="L683" s="14" t="str">
        <f>_xlfn.XLOOKUP(B683,CAD_PDV!A:A,CAD_PDV!C:C)</f>
        <v>RJ/ES</v>
      </c>
      <c r="M683" s="14" t="str">
        <f>IFERROR(_xlfn.XLOOKUP(B683,repete!A:A,repete!A:A),"-")</f>
        <v>-</v>
      </c>
    </row>
    <row r="684" spans="1:13" hidden="1">
      <c r="A684" s="1">
        <v>46082</v>
      </c>
      <c r="B684" t="s">
        <v>1522</v>
      </c>
      <c r="C684" t="s">
        <v>1523</v>
      </c>
      <c r="D684" t="s">
        <v>232</v>
      </c>
      <c r="E684" t="s">
        <v>54</v>
      </c>
      <c r="F684">
        <v>78</v>
      </c>
      <c r="G684">
        <v>9</v>
      </c>
      <c r="H684">
        <v>3.035413153457E-3</v>
      </c>
      <c r="I684">
        <v>0.115384615384615</v>
      </c>
      <c r="J684" s="14" t="str">
        <f>_xlfn.XLOOKUP(B684,CAD_PDV!A:A,CAD_PDV!B:B)</f>
        <v>HS TELECOM</v>
      </c>
      <c r="K684" s="14">
        <f>IF(IFERROR(_xlfn.XLOOKUP(B684,Planilha2!D:D,Planilha2!H:H),0)="SIM",1,0)</f>
        <v>0</v>
      </c>
      <c r="L684" s="14" t="str">
        <f>_xlfn.XLOOKUP(B684,CAD_PDV!A:A,CAD_PDV!C:C)</f>
        <v>SP2</v>
      </c>
      <c r="M684" s="14" t="str">
        <f>IFERROR(_xlfn.XLOOKUP(B684,repete!A:A,repete!A:A),"-")</f>
        <v>-</v>
      </c>
    </row>
    <row r="685" spans="1:13" hidden="1">
      <c r="A685" s="1">
        <v>46082</v>
      </c>
      <c r="B685" t="s">
        <v>846</v>
      </c>
      <c r="C685" t="s">
        <v>732</v>
      </c>
      <c r="D685" t="s">
        <v>221</v>
      </c>
      <c r="E685" t="s">
        <v>59</v>
      </c>
      <c r="F685">
        <v>118</v>
      </c>
      <c r="G685">
        <v>9</v>
      </c>
      <c r="H685">
        <v>3.035413153457E-3</v>
      </c>
      <c r="I685">
        <v>7.6271186440677999E-2</v>
      </c>
      <c r="J685" s="14" t="str">
        <f>_xlfn.XLOOKUP(B685,CAD_PDV!A:A,CAD_PDV!B:B)</f>
        <v>AMERICOM COMERCIO DE APARELHOS ELETRONICOS LTDA - EPP</v>
      </c>
      <c r="K685" s="14">
        <f>IF(IFERROR(_xlfn.XLOOKUP(B685,Planilha2!D:D,Planilha2!H:H),0)="SIM",1,0)</f>
        <v>0</v>
      </c>
      <c r="L685" s="14" t="str">
        <f>_xlfn.XLOOKUP(B685,CAD_PDV!A:A,CAD_PDV!C:C)</f>
        <v>CO</v>
      </c>
      <c r="M685" s="14" t="str">
        <f>IFERROR(_xlfn.XLOOKUP(B685,repete!A:A,repete!A:A),"-")</f>
        <v>-</v>
      </c>
    </row>
    <row r="686" spans="1:13" hidden="1">
      <c r="A686" s="1">
        <v>46082</v>
      </c>
      <c r="B686" t="s">
        <v>1153</v>
      </c>
      <c r="C686" t="s">
        <v>1155</v>
      </c>
      <c r="D686" t="s">
        <v>228</v>
      </c>
      <c r="E686" t="s">
        <v>55</v>
      </c>
      <c r="F686">
        <v>75</v>
      </c>
      <c r="G686">
        <v>9</v>
      </c>
      <c r="H686">
        <v>3.035413153457E-3</v>
      </c>
      <c r="I686">
        <v>0.12</v>
      </c>
      <c r="J686" s="14" t="str">
        <f>_xlfn.XLOOKUP(B686,CAD_PDV!A:A,CAD_PDV!B:B)</f>
        <v>FAJULUTI</v>
      </c>
      <c r="K686" s="14">
        <f>IF(IFERROR(_xlfn.XLOOKUP(B686,Planilha2!D:D,Planilha2!H:H),0)="SIM",1,0)</f>
        <v>0</v>
      </c>
      <c r="L686" s="14" t="str">
        <f>_xlfn.XLOOKUP(B686,CAD_PDV!A:A,CAD_PDV!C:C)</f>
        <v>RJ/ES</v>
      </c>
      <c r="M686" s="14" t="str">
        <f>IFERROR(_xlfn.XLOOKUP(B686,repete!A:A,repete!A:A),"-")</f>
        <v>-</v>
      </c>
    </row>
    <row r="687" spans="1:13" hidden="1">
      <c r="A687" s="1">
        <v>46082</v>
      </c>
      <c r="B687" t="s">
        <v>1164</v>
      </c>
      <c r="C687" t="s">
        <v>1142</v>
      </c>
      <c r="D687" t="s">
        <v>237</v>
      </c>
      <c r="E687" t="s">
        <v>55</v>
      </c>
      <c r="F687">
        <v>196</v>
      </c>
      <c r="G687">
        <v>9</v>
      </c>
      <c r="H687">
        <v>3.035413153457E-3</v>
      </c>
      <c r="I687">
        <v>4.5918367346938799E-2</v>
      </c>
      <c r="J687" s="14" t="str">
        <f>_xlfn.XLOOKUP(B687,CAD_PDV!A:A,CAD_PDV!B:B)</f>
        <v>PONTO CERTO COMERCIO E COMUNICAÇÕES LTDA</v>
      </c>
      <c r="K687" s="14">
        <f>IF(IFERROR(_xlfn.XLOOKUP(B687,Planilha2!D:D,Planilha2!H:H),0)="SIM",1,0)</f>
        <v>0</v>
      </c>
      <c r="L687" s="14" t="str">
        <f>_xlfn.XLOOKUP(B687,CAD_PDV!A:A,CAD_PDV!C:C)</f>
        <v>RJ/ES</v>
      </c>
      <c r="M687" s="14" t="str">
        <f>IFERROR(_xlfn.XLOOKUP(B687,repete!A:A,repete!A:A),"-")</f>
        <v>-</v>
      </c>
    </row>
    <row r="688" spans="1:13" hidden="1">
      <c r="A688" s="1">
        <v>46082</v>
      </c>
      <c r="B688" t="s">
        <v>1362</v>
      </c>
      <c r="C688" t="s">
        <v>1313</v>
      </c>
      <c r="D688" t="s">
        <v>132</v>
      </c>
      <c r="E688" t="s">
        <v>53</v>
      </c>
      <c r="F688">
        <v>87</v>
      </c>
      <c r="G688">
        <v>9</v>
      </c>
      <c r="H688">
        <v>3.035413153457E-3</v>
      </c>
      <c r="I688">
        <v>0.10344827586206901</v>
      </c>
      <c r="J688" s="14" t="str">
        <f>_xlfn.XLOOKUP(B688,CAD_PDV!A:A,CAD_PDV!B:B)</f>
        <v>FLEX CELL</v>
      </c>
      <c r="K688" s="14">
        <f>IF(IFERROR(_xlfn.XLOOKUP(B688,Planilha2!D:D,Planilha2!H:H),0)="SIM",1,0)</f>
        <v>0</v>
      </c>
      <c r="L688" s="14" t="str">
        <f>_xlfn.XLOOKUP(B688,CAD_PDV!A:A,CAD_PDV!C:C)</f>
        <v>SP1</v>
      </c>
      <c r="M688" s="14" t="str">
        <f>IFERROR(_xlfn.XLOOKUP(B688,repete!A:A,repete!A:A),"-")</f>
        <v>-</v>
      </c>
    </row>
    <row r="689" spans="1:13" hidden="1">
      <c r="A689" s="1">
        <v>46082</v>
      </c>
      <c r="B689" t="s">
        <v>1363</v>
      </c>
      <c r="C689" t="s">
        <v>1313</v>
      </c>
      <c r="D689" t="s">
        <v>132</v>
      </c>
      <c r="E689" t="s">
        <v>53</v>
      </c>
      <c r="F689">
        <v>126</v>
      </c>
      <c r="G689">
        <v>9</v>
      </c>
      <c r="H689">
        <v>3.035413153457E-3</v>
      </c>
      <c r="I689">
        <v>7.1428571428571397E-2</v>
      </c>
      <c r="J689" s="14" t="str">
        <f>_xlfn.XLOOKUP(B689,CAD_PDV!A:A,CAD_PDV!B:B)</f>
        <v>FLEX CELL</v>
      </c>
      <c r="K689" s="14">
        <f>IF(IFERROR(_xlfn.XLOOKUP(B689,Planilha2!D:D,Planilha2!H:H),0)="SIM",1,0)</f>
        <v>0</v>
      </c>
      <c r="L689" s="14" t="str">
        <f>_xlfn.XLOOKUP(B689,CAD_PDV!A:A,CAD_PDV!C:C)</f>
        <v>SP1</v>
      </c>
      <c r="M689" s="14" t="str">
        <f>IFERROR(_xlfn.XLOOKUP(B689,repete!A:A,repete!A:A),"-")</f>
        <v>-</v>
      </c>
    </row>
    <row r="690" spans="1:13" hidden="1">
      <c r="A690" s="1">
        <v>46082</v>
      </c>
      <c r="B690" t="s">
        <v>2041</v>
      </c>
      <c r="C690" t="s">
        <v>2042</v>
      </c>
      <c r="D690" t="s">
        <v>193</v>
      </c>
      <c r="E690" t="s">
        <v>2074</v>
      </c>
      <c r="F690">
        <v>74</v>
      </c>
      <c r="G690">
        <v>9</v>
      </c>
      <c r="H690">
        <v>3.035413153457E-3</v>
      </c>
      <c r="I690">
        <v>0.121621621621622</v>
      </c>
      <c r="J690" s="14" t="str">
        <f>_xlfn.XLOOKUP(B690,CAD_PDV!A:A,CAD_PDV!B:B)</f>
        <v>S D COMERCIO DE CELULARES LTDA - ME</v>
      </c>
      <c r="K690" s="14">
        <f>IF(IFERROR(_xlfn.XLOOKUP(B690,Planilha2!D:D,Planilha2!H:H),0)="SIM",1,0)</f>
        <v>0</v>
      </c>
      <c r="L690" s="14" t="str">
        <f>_xlfn.XLOOKUP(B690,CAD_PDV!A:A,CAD_PDV!C:C)</f>
        <v>RS</v>
      </c>
      <c r="M690" s="14" t="str">
        <f>IFERROR(_xlfn.XLOOKUP(B690,repete!A:A,repete!A:A),"-")</f>
        <v>-</v>
      </c>
    </row>
    <row r="691" spans="1:13" hidden="1">
      <c r="A691" s="1">
        <v>46082</v>
      </c>
      <c r="B691" t="s">
        <v>371</v>
      </c>
      <c r="C691" t="s">
        <v>291</v>
      </c>
      <c r="D691" t="s">
        <v>230</v>
      </c>
      <c r="E691" t="s">
        <v>61</v>
      </c>
      <c r="F691">
        <v>145</v>
      </c>
      <c r="G691">
        <v>9</v>
      </c>
      <c r="H691">
        <v>3.035413153457E-3</v>
      </c>
      <c r="I691">
        <v>6.2068965517241399E-2</v>
      </c>
      <c r="J691" s="14" t="str">
        <f>_xlfn.XLOOKUP(B691,CAD_PDV!A:A,CAD_PDV!B:B)</f>
        <v>HARCOS COMERCIO E SERVICOS LTDA - EPP</v>
      </c>
      <c r="K691" s="14">
        <f>IF(IFERROR(_xlfn.XLOOKUP(B691,Planilha2!D:D,Planilha2!H:H),0)="SIM",1,0)</f>
        <v>0</v>
      </c>
      <c r="L691" s="14" t="str">
        <f>_xlfn.XLOOKUP(B691,CAD_PDV!A:A,CAD_PDV!C:C)</f>
        <v>NE</v>
      </c>
      <c r="M691" s="14" t="str">
        <f>IFERROR(_xlfn.XLOOKUP(B691,repete!A:A,repete!A:A),"-")</f>
        <v>-</v>
      </c>
    </row>
    <row r="692" spans="1:13" hidden="1">
      <c r="A692" s="1">
        <v>46082</v>
      </c>
      <c r="B692" t="s">
        <v>1670</v>
      </c>
      <c r="C692" t="s">
        <v>1671</v>
      </c>
      <c r="D692" t="s">
        <v>232</v>
      </c>
      <c r="E692" t="s">
        <v>54</v>
      </c>
      <c r="F692">
        <v>76</v>
      </c>
      <c r="G692">
        <v>9</v>
      </c>
      <c r="H692">
        <v>3.035413153457E-3</v>
      </c>
      <c r="I692">
        <v>0.118421052631579</v>
      </c>
      <c r="J692" s="14" t="str">
        <f>_xlfn.XLOOKUP(B692,CAD_PDV!A:A,CAD_PDV!B:B)</f>
        <v>HS TELECOM</v>
      </c>
      <c r="K692" s="14">
        <f>IF(IFERROR(_xlfn.XLOOKUP(B692,Planilha2!D:D,Planilha2!H:H),0)="SIM",1,0)</f>
        <v>0</v>
      </c>
      <c r="L692" s="14" t="str">
        <f>_xlfn.XLOOKUP(B692,CAD_PDV!A:A,CAD_PDV!C:C)</f>
        <v>SP2</v>
      </c>
      <c r="M692" s="14" t="str">
        <f>IFERROR(_xlfn.XLOOKUP(B692,repete!A:A,repete!A:A),"-")</f>
        <v>-</v>
      </c>
    </row>
    <row r="693" spans="1:13" hidden="1">
      <c r="A693" s="1">
        <v>46082</v>
      </c>
      <c r="B693" t="s">
        <v>1171</v>
      </c>
      <c r="C693" t="s">
        <v>1142</v>
      </c>
      <c r="D693" t="s">
        <v>228</v>
      </c>
      <c r="E693" t="s">
        <v>55</v>
      </c>
      <c r="F693">
        <v>75</v>
      </c>
      <c r="G693">
        <v>9</v>
      </c>
      <c r="H693">
        <v>3.035413153457E-3</v>
      </c>
      <c r="I693">
        <v>0.12</v>
      </c>
      <c r="J693" s="14" t="str">
        <f>_xlfn.XLOOKUP(B693,CAD_PDV!A:A,CAD_PDV!B:B)</f>
        <v>FAJULUTI</v>
      </c>
      <c r="K693" s="14">
        <f>IF(IFERROR(_xlfn.XLOOKUP(B693,Planilha2!D:D,Planilha2!H:H),0)="SIM",1,0)</f>
        <v>0</v>
      </c>
      <c r="L693" s="14" t="str">
        <f>_xlfn.XLOOKUP(B693,CAD_PDV!A:A,CAD_PDV!C:C)</f>
        <v>RJ/ES</v>
      </c>
      <c r="M693" s="14" t="str">
        <f>IFERROR(_xlfn.XLOOKUP(B693,repete!A:A,repete!A:A),"-")</f>
        <v>-</v>
      </c>
    </row>
    <row r="694" spans="1:13" hidden="1">
      <c r="A694" s="1">
        <v>46082</v>
      </c>
      <c r="B694" t="s">
        <v>1683</v>
      </c>
      <c r="C694" t="s">
        <v>1684</v>
      </c>
      <c r="D694" t="s">
        <v>232</v>
      </c>
      <c r="E694" t="s">
        <v>54</v>
      </c>
      <c r="F694">
        <v>92</v>
      </c>
      <c r="G694">
        <v>9</v>
      </c>
      <c r="H694">
        <v>3.035413153457E-3</v>
      </c>
      <c r="I694">
        <v>9.7826086956521702E-2</v>
      </c>
      <c r="J694" s="14" t="str">
        <f>_xlfn.XLOOKUP(B694,CAD_PDV!A:A,CAD_PDV!B:B)</f>
        <v>HS TELECOM</v>
      </c>
      <c r="K694" s="14">
        <f>IF(IFERROR(_xlfn.XLOOKUP(B694,Planilha2!D:D,Planilha2!H:H),0)="SIM",1,0)</f>
        <v>0</v>
      </c>
      <c r="L694" s="14" t="str">
        <f>_xlfn.XLOOKUP(B694,CAD_PDV!A:A,CAD_PDV!C:C)</f>
        <v>SP2</v>
      </c>
      <c r="M694" s="14" t="str">
        <f>IFERROR(_xlfn.XLOOKUP(B694,repete!A:A,repete!A:A),"-")</f>
        <v>-</v>
      </c>
    </row>
    <row r="695" spans="1:13" hidden="1">
      <c r="A695" s="1">
        <v>46082</v>
      </c>
      <c r="B695" t="s">
        <v>975</v>
      </c>
      <c r="C695" t="s">
        <v>976</v>
      </c>
      <c r="D695" t="s">
        <v>232</v>
      </c>
      <c r="E695" t="s">
        <v>60</v>
      </c>
      <c r="F695">
        <v>90</v>
      </c>
      <c r="G695">
        <v>8</v>
      </c>
      <c r="H695">
        <v>2.6981450252951101E-3</v>
      </c>
      <c r="I695">
        <v>8.8888888888888906E-2</v>
      </c>
      <c r="J695" s="14" t="str">
        <f>_xlfn.XLOOKUP(B695,CAD_PDV!A:A,CAD_PDV!B:B)</f>
        <v>HS TELECOM</v>
      </c>
      <c r="K695" s="14">
        <f>IF(IFERROR(_xlfn.XLOOKUP(B695,Planilha2!D:D,Planilha2!H:H),0)="SIM",1,0)</f>
        <v>0</v>
      </c>
      <c r="L695" s="14" t="str">
        <f>_xlfn.XLOOKUP(B695,CAD_PDV!A:A,CAD_PDV!C:C)</f>
        <v>BA/SE</v>
      </c>
      <c r="M695" s="14" t="str">
        <f>IFERROR(_xlfn.XLOOKUP(B695,repete!A:A,repete!A:A),"-")</f>
        <v>-</v>
      </c>
    </row>
    <row r="696" spans="1:13" hidden="1">
      <c r="A696" s="1">
        <v>46082</v>
      </c>
      <c r="B696" t="s">
        <v>1479</v>
      </c>
      <c r="C696" t="s">
        <v>1480</v>
      </c>
      <c r="D696" t="s">
        <v>232</v>
      </c>
      <c r="E696" t="s">
        <v>54</v>
      </c>
      <c r="F696">
        <v>44</v>
      </c>
      <c r="G696">
        <v>8</v>
      </c>
      <c r="H696">
        <v>2.6981450252951101E-3</v>
      </c>
      <c r="I696">
        <v>0.18181818181818199</v>
      </c>
      <c r="J696" s="14" t="str">
        <f>_xlfn.XLOOKUP(B696,CAD_PDV!A:A,CAD_PDV!B:B)</f>
        <v>HS TELECOM</v>
      </c>
      <c r="K696" s="14">
        <f>IF(IFERROR(_xlfn.XLOOKUP(B696,Planilha2!D:D,Planilha2!H:H),0)="SIM",1,0)</f>
        <v>0</v>
      </c>
      <c r="L696" s="14" t="str">
        <f>_xlfn.XLOOKUP(B696,CAD_PDV!A:A,CAD_PDV!C:C)</f>
        <v>SP2</v>
      </c>
      <c r="M696" s="14" t="str">
        <f>IFERROR(_xlfn.XLOOKUP(B696,repete!A:A,repete!A:A),"-")</f>
        <v>-</v>
      </c>
    </row>
    <row r="697" spans="1:13" hidden="1">
      <c r="A697" s="1">
        <v>46082</v>
      </c>
      <c r="B697" t="s">
        <v>879</v>
      </c>
      <c r="C697" t="s">
        <v>873</v>
      </c>
      <c r="D697" t="s">
        <v>239</v>
      </c>
      <c r="E697" t="s">
        <v>59</v>
      </c>
      <c r="F697">
        <v>75</v>
      </c>
      <c r="G697">
        <v>8</v>
      </c>
      <c r="H697">
        <v>2.6981450252951101E-3</v>
      </c>
      <c r="I697">
        <v>0.10666666666666701</v>
      </c>
      <c r="J697" s="14" t="str">
        <f>_xlfn.XLOOKUP(B697,CAD_PDV!A:A,CAD_PDV!B:B)</f>
        <v>TELECELL TELEFONIA LTDA - ME</v>
      </c>
      <c r="K697" s="14">
        <f>IF(IFERROR(_xlfn.XLOOKUP(B697,Planilha2!D:D,Planilha2!H:H),0)="SIM",1,0)</f>
        <v>0</v>
      </c>
      <c r="L697" s="14" t="str">
        <f>_xlfn.XLOOKUP(B697,CAD_PDV!A:A,CAD_PDV!C:C)</f>
        <v>CO</v>
      </c>
      <c r="M697" s="14" t="str">
        <f>IFERROR(_xlfn.XLOOKUP(B697,repete!A:A,repete!A:A),"-")</f>
        <v>-</v>
      </c>
    </row>
    <row r="698" spans="1:13" hidden="1">
      <c r="A698" s="1">
        <v>46082</v>
      </c>
      <c r="B698" t="s">
        <v>1376</v>
      </c>
      <c r="C698" t="s">
        <v>1346</v>
      </c>
      <c r="D698" t="s">
        <v>229</v>
      </c>
      <c r="E698" t="s">
        <v>53</v>
      </c>
      <c r="F698">
        <v>109</v>
      </c>
      <c r="G698">
        <v>8</v>
      </c>
      <c r="H698">
        <v>2.6981450252951101E-3</v>
      </c>
      <c r="I698">
        <v>7.3394495412843999E-2</v>
      </c>
      <c r="J698" s="14" t="str">
        <f>_xlfn.XLOOKUP(B698,CAD_PDV!A:A,CAD_PDV!B:B)</f>
        <v>FW TELEFONIA LTDA - EPP</v>
      </c>
      <c r="K698" s="14">
        <f>IF(IFERROR(_xlfn.XLOOKUP(B698,Planilha2!D:D,Planilha2!H:H),0)="SIM",1,0)</f>
        <v>0</v>
      </c>
      <c r="L698" s="14" t="str">
        <f>_xlfn.XLOOKUP(B698,CAD_PDV!A:A,CAD_PDV!C:C)</f>
        <v>SP1</v>
      </c>
      <c r="M698" s="14" t="str">
        <f>IFERROR(_xlfn.XLOOKUP(B698,repete!A:A,repete!A:A),"-")</f>
        <v>-</v>
      </c>
    </row>
    <row r="699" spans="1:13" hidden="1">
      <c r="A699" s="1">
        <v>46082</v>
      </c>
      <c r="B699" t="s">
        <v>796</v>
      </c>
      <c r="C699" t="s">
        <v>649</v>
      </c>
      <c r="D699" t="s">
        <v>239</v>
      </c>
      <c r="E699" t="s">
        <v>59</v>
      </c>
      <c r="F699">
        <v>92</v>
      </c>
      <c r="G699">
        <v>8</v>
      </c>
      <c r="H699">
        <v>2.6981450252951101E-3</v>
      </c>
      <c r="I699">
        <v>8.6956521739130405E-2</v>
      </c>
      <c r="J699" s="14" t="str">
        <f>_xlfn.XLOOKUP(B699,CAD_PDV!A:A,CAD_PDV!B:B)</f>
        <v>TELECELL TELEFONIA LTDA - ME</v>
      </c>
      <c r="K699" s="14">
        <f>IF(IFERROR(_xlfn.XLOOKUP(B699,Planilha2!D:D,Planilha2!H:H),0)="SIM",1,0)</f>
        <v>0</v>
      </c>
      <c r="L699" s="14" t="str">
        <f>_xlfn.XLOOKUP(B699,CAD_PDV!A:A,CAD_PDV!C:C)</f>
        <v>CO</v>
      </c>
      <c r="M699" s="14" t="str">
        <f>IFERROR(_xlfn.XLOOKUP(B699,repete!A:A,repete!A:A),"-")</f>
        <v>-</v>
      </c>
    </row>
    <row r="700" spans="1:13" hidden="1">
      <c r="A700" s="1">
        <v>46082</v>
      </c>
      <c r="B700" t="s">
        <v>1232</v>
      </c>
      <c r="C700" t="s">
        <v>1142</v>
      </c>
      <c r="D700" t="s">
        <v>237</v>
      </c>
      <c r="E700" t="s">
        <v>55</v>
      </c>
      <c r="F700">
        <v>98</v>
      </c>
      <c r="G700">
        <v>8</v>
      </c>
      <c r="H700">
        <v>2.6981450252951101E-3</v>
      </c>
      <c r="I700">
        <v>8.1632653061224497E-2</v>
      </c>
      <c r="J700" s="14" t="str">
        <f>_xlfn.XLOOKUP(B700,CAD_PDV!A:A,CAD_PDV!B:B)</f>
        <v>PONTO CERTO COMERCIO E COMUNICAÇÕES LTDA</v>
      </c>
      <c r="K700" s="14">
        <f>IF(IFERROR(_xlfn.XLOOKUP(B700,Planilha2!D:D,Planilha2!H:H),0)="SIM",1,0)</f>
        <v>0</v>
      </c>
      <c r="L700" s="14" t="str">
        <f>_xlfn.XLOOKUP(B700,CAD_PDV!A:A,CAD_PDV!C:C)</f>
        <v>RJ/ES</v>
      </c>
      <c r="M700" s="14" t="str">
        <f>IFERROR(_xlfn.XLOOKUP(B700,repete!A:A,repete!A:A),"-")</f>
        <v>-</v>
      </c>
    </row>
    <row r="701" spans="1:13" hidden="1">
      <c r="A701" s="1">
        <v>46082</v>
      </c>
      <c r="B701" t="s">
        <v>657</v>
      </c>
      <c r="C701" t="s">
        <v>651</v>
      </c>
      <c r="D701" t="s">
        <v>239</v>
      </c>
      <c r="E701" t="s">
        <v>59</v>
      </c>
      <c r="F701">
        <v>82</v>
      </c>
      <c r="G701">
        <v>8</v>
      </c>
      <c r="H701">
        <v>2.6981450252951101E-3</v>
      </c>
      <c r="I701">
        <v>9.7560975609756101E-2</v>
      </c>
      <c r="J701" s="14" t="str">
        <f>_xlfn.XLOOKUP(B701,CAD_PDV!A:A,CAD_PDV!B:B)</f>
        <v>TELECELL TELEFONIA LTDA - ME</v>
      </c>
      <c r="K701" s="14">
        <f>IF(IFERROR(_xlfn.XLOOKUP(B701,Planilha2!D:D,Planilha2!H:H),0)="SIM",1,0)</f>
        <v>0</v>
      </c>
      <c r="L701" s="14" t="str">
        <f>_xlfn.XLOOKUP(B701,CAD_PDV!A:A,CAD_PDV!C:C)</f>
        <v>CO</v>
      </c>
      <c r="M701" s="14" t="str">
        <f>IFERROR(_xlfn.XLOOKUP(B701,repete!A:A,repete!A:A),"-")</f>
        <v>-</v>
      </c>
    </row>
    <row r="702" spans="1:13" hidden="1">
      <c r="A702" s="1">
        <v>46082</v>
      </c>
      <c r="B702" t="s">
        <v>759</v>
      </c>
      <c r="C702" t="s">
        <v>619</v>
      </c>
      <c r="D702" t="s">
        <v>239</v>
      </c>
      <c r="E702" t="s">
        <v>59</v>
      </c>
      <c r="F702">
        <v>82</v>
      </c>
      <c r="G702">
        <v>8</v>
      </c>
      <c r="H702">
        <v>2.6981450252951101E-3</v>
      </c>
      <c r="I702">
        <v>9.7560975609756101E-2</v>
      </c>
      <c r="J702" s="14" t="str">
        <f>_xlfn.XLOOKUP(B702,CAD_PDV!A:A,CAD_PDV!B:B)</f>
        <v>TELECELL TELEFONIA LTDA - ME</v>
      </c>
      <c r="K702" s="14">
        <f>IF(IFERROR(_xlfn.XLOOKUP(B702,Planilha2!D:D,Planilha2!H:H),0)="SIM",1,0)</f>
        <v>0</v>
      </c>
      <c r="L702" s="14" t="str">
        <f>_xlfn.XLOOKUP(B702,CAD_PDV!A:A,CAD_PDV!C:C)</f>
        <v>CO</v>
      </c>
      <c r="M702" s="14" t="str">
        <f>IFERROR(_xlfn.XLOOKUP(B702,repete!A:A,repete!A:A),"-")</f>
        <v>-</v>
      </c>
    </row>
    <row r="703" spans="1:13" hidden="1">
      <c r="A703" s="1">
        <v>46082</v>
      </c>
      <c r="B703" t="s">
        <v>1624</v>
      </c>
      <c r="C703" t="s">
        <v>1625</v>
      </c>
      <c r="D703" t="s">
        <v>232</v>
      </c>
      <c r="E703" t="s">
        <v>54</v>
      </c>
      <c r="F703">
        <v>46</v>
      </c>
      <c r="G703">
        <v>8</v>
      </c>
      <c r="H703">
        <v>2.6981450252951101E-3</v>
      </c>
      <c r="I703">
        <v>0.173913043478261</v>
      </c>
      <c r="J703" s="14" t="str">
        <f>_xlfn.XLOOKUP(B703,CAD_PDV!A:A,CAD_PDV!B:B)</f>
        <v>HS TELECOM</v>
      </c>
      <c r="K703" s="14">
        <f>IF(IFERROR(_xlfn.XLOOKUP(B703,Planilha2!D:D,Planilha2!H:H),0)="SIM",1,0)</f>
        <v>0</v>
      </c>
      <c r="L703" s="14" t="str">
        <f>_xlfn.XLOOKUP(B703,CAD_PDV!A:A,CAD_PDV!C:C)</f>
        <v>SP2</v>
      </c>
      <c r="M703" s="14" t="str">
        <f>IFERROR(_xlfn.XLOOKUP(B703,repete!A:A,repete!A:A),"-")</f>
        <v>-</v>
      </c>
    </row>
    <row r="704" spans="1:13" hidden="1">
      <c r="A704" s="1">
        <v>46082</v>
      </c>
      <c r="B704" t="s">
        <v>1652</v>
      </c>
      <c r="C704" t="s">
        <v>1653</v>
      </c>
      <c r="D704" t="s">
        <v>223</v>
      </c>
      <c r="E704" t="s">
        <v>54</v>
      </c>
      <c r="F704">
        <v>76</v>
      </c>
      <c r="G704">
        <v>8</v>
      </c>
      <c r="H704">
        <v>2.6981450252951101E-3</v>
      </c>
      <c r="I704">
        <v>0.105263157894737</v>
      </c>
      <c r="J704" s="14" t="str">
        <f>_xlfn.XLOOKUP(B704,CAD_PDV!A:A,CAD_PDV!B:B)</f>
        <v>BONELI BIAZI CELULARES EIRELI - ME</v>
      </c>
      <c r="K704" s="14">
        <f>IF(IFERROR(_xlfn.XLOOKUP(B704,Planilha2!D:D,Planilha2!H:H),0)="SIM",1,0)</f>
        <v>0</v>
      </c>
      <c r="L704" s="14" t="str">
        <f>_xlfn.XLOOKUP(B704,CAD_PDV!A:A,CAD_PDV!C:C)</f>
        <v>SP2</v>
      </c>
      <c r="M704" s="14" t="str">
        <f>IFERROR(_xlfn.XLOOKUP(B704,repete!A:A,repete!A:A),"-")</f>
        <v>-</v>
      </c>
    </row>
    <row r="705" spans="1:13" hidden="1">
      <c r="A705" s="1">
        <v>46082</v>
      </c>
      <c r="B705" t="s">
        <v>1658</v>
      </c>
      <c r="C705" t="s">
        <v>1659</v>
      </c>
      <c r="D705" t="s">
        <v>232</v>
      </c>
      <c r="E705" t="s">
        <v>54</v>
      </c>
      <c r="F705">
        <v>112</v>
      </c>
      <c r="G705">
        <v>8</v>
      </c>
      <c r="H705">
        <v>2.6981450252951101E-3</v>
      </c>
      <c r="I705">
        <v>7.1428571428571397E-2</v>
      </c>
      <c r="J705" s="14" t="str">
        <f>_xlfn.XLOOKUP(B705,CAD_PDV!A:A,CAD_PDV!B:B)</f>
        <v>HS TELECOM</v>
      </c>
      <c r="K705" s="14">
        <f>IF(IFERROR(_xlfn.XLOOKUP(B705,Planilha2!D:D,Planilha2!H:H),0)="SIM",1,0)</f>
        <v>0</v>
      </c>
      <c r="L705" s="14" t="str">
        <f>_xlfn.XLOOKUP(B705,CAD_PDV!A:A,CAD_PDV!C:C)</f>
        <v>SP2</v>
      </c>
      <c r="M705" s="14" t="str">
        <f>IFERROR(_xlfn.XLOOKUP(B705,repete!A:A,repete!A:A),"-")</f>
        <v>-</v>
      </c>
    </row>
    <row r="706" spans="1:13" hidden="1">
      <c r="A706" s="1">
        <v>46082</v>
      </c>
      <c r="B706" t="s">
        <v>1667</v>
      </c>
      <c r="C706" t="s">
        <v>1668</v>
      </c>
      <c r="D706" t="s">
        <v>232</v>
      </c>
      <c r="E706" t="s">
        <v>54</v>
      </c>
      <c r="F706">
        <v>106</v>
      </c>
      <c r="G706">
        <v>8</v>
      </c>
      <c r="H706">
        <v>2.6981450252951101E-3</v>
      </c>
      <c r="I706">
        <v>7.5471698113207503E-2</v>
      </c>
      <c r="J706" s="14" t="str">
        <f>_xlfn.XLOOKUP(B706,CAD_PDV!A:A,CAD_PDV!B:B)</f>
        <v>HS TELECOM</v>
      </c>
      <c r="K706" s="14">
        <f>IF(IFERROR(_xlfn.XLOOKUP(B706,Planilha2!D:D,Planilha2!H:H),0)="SIM",1,0)</f>
        <v>0</v>
      </c>
      <c r="L706" s="14" t="str">
        <f>_xlfn.XLOOKUP(B706,CAD_PDV!A:A,CAD_PDV!C:C)</f>
        <v>SP2</v>
      </c>
      <c r="M706" s="14" t="str">
        <f>IFERROR(_xlfn.XLOOKUP(B706,repete!A:A,repete!A:A),"-")</f>
        <v>-</v>
      </c>
    </row>
    <row r="707" spans="1:13" hidden="1">
      <c r="A707" s="1">
        <v>46082</v>
      </c>
      <c r="B707" t="s">
        <v>1673</v>
      </c>
      <c r="C707" t="s">
        <v>1545</v>
      </c>
      <c r="D707" t="s">
        <v>232</v>
      </c>
      <c r="E707" t="s">
        <v>54</v>
      </c>
      <c r="F707">
        <v>72</v>
      </c>
      <c r="G707">
        <v>8</v>
      </c>
      <c r="H707">
        <v>2.6981450252951101E-3</v>
      </c>
      <c r="I707">
        <v>0.11111111111111099</v>
      </c>
      <c r="J707" s="14" t="str">
        <f>_xlfn.XLOOKUP(B707,CAD_PDV!A:A,CAD_PDV!B:B)</f>
        <v>HS TELECOM</v>
      </c>
      <c r="K707" s="14">
        <f>IF(IFERROR(_xlfn.XLOOKUP(B707,Planilha2!D:D,Planilha2!H:H),0)="SIM",1,0)</f>
        <v>0</v>
      </c>
      <c r="L707" s="14" t="str">
        <f>_xlfn.XLOOKUP(B707,CAD_PDV!A:A,CAD_PDV!C:C)</f>
        <v>SP2</v>
      </c>
      <c r="M707" s="14" t="str">
        <f>IFERROR(_xlfn.XLOOKUP(B707,repete!A:A,repete!A:A),"-")</f>
        <v>-</v>
      </c>
    </row>
    <row r="708" spans="1:13" hidden="1">
      <c r="A708" s="1">
        <v>46082</v>
      </c>
      <c r="B708" t="s">
        <v>1681</v>
      </c>
      <c r="C708" t="s">
        <v>1527</v>
      </c>
      <c r="D708" t="s">
        <v>232</v>
      </c>
      <c r="E708" t="s">
        <v>54</v>
      </c>
      <c r="F708">
        <v>128</v>
      </c>
      <c r="G708">
        <v>8</v>
      </c>
      <c r="H708">
        <v>2.6981450252951101E-3</v>
      </c>
      <c r="I708">
        <v>6.25E-2</v>
      </c>
      <c r="J708" s="14" t="str">
        <f>_xlfn.XLOOKUP(B708,CAD_PDV!A:A,CAD_PDV!B:B)</f>
        <v>HS TELECOM</v>
      </c>
      <c r="K708" s="14">
        <f>IF(IFERROR(_xlfn.XLOOKUP(B708,Planilha2!D:D,Planilha2!H:H),0)="SIM",1,0)</f>
        <v>0</v>
      </c>
      <c r="L708" s="14" t="str">
        <f>_xlfn.XLOOKUP(B708,CAD_PDV!A:A,CAD_PDV!C:C)</f>
        <v>SP2</v>
      </c>
      <c r="M708" s="14" t="str">
        <f>IFERROR(_xlfn.XLOOKUP(B708,repete!A:A,repete!A:A),"-")</f>
        <v>-</v>
      </c>
    </row>
    <row r="709" spans="1:13" hidden="1">
      <c r="A709" s="1">
        <v>46082</v>
      </c>
      <c r="B709" t="s">
        <v>1697</v>
      </c>
      <c r="C709" t="s">
        <v>1698</v>
      </c>
      <c r="D709" t="s">
        <v>232</v>
      </c>
      <c r="E709" t="s">
        <v>54</v>
      </c>
      <c r="F709">
        <v>50</v>
      </c>
      <c r="G709">
        <v>8</v>
      </c>
      <c r="H709">
        <v>2.6981450252951101E-3</v>
      </c>
      <c r="I709">
        <v>0.16</v>
      </c>
      <c r="J709" s="14" t="str">
        <f>_xlfn.XLOOKUP(B709,CAD_PDV!A:A,CAD_PDV!B:B)</f>
        <v>HS TELECOM</v>
      </c>
      <c r="K709" s="14">
        <f>IF(IFERROR(_xlfn.XLOOKUP(B709,Planilha2!D:D,Planilha2!H:H),0)="SIM",1,0)</f>
        <v>0</v>
      </c>
      <c r="L709" s="14" t="str">
        <f>_xlfn.XLOOKUP(B709,CAD_PDV!A:A,CAD_PDV!C:C)</f>
        <v>SP2</v>
      </c>
      <c r="M709" s="14" t="str">
        <f>IFERROR(_xlfn.XLOOKUP(B709,repete!A:A,repete!A:A),"-")</f>
        <v>-</v>
      </c>
    </row>
    <row r="710" spans="1:13" hidden="1">
      <c r="A710" s="1">
        <v>46082</v>
      </c>
      <c r="B710" t="s">
        <v>1706</v>
      </c>
      <c r="C710" t="s">
        <v>1693</v>
      </c>
      <c r="D710" t="s">
        <v>232</v>
      </c>
      <c r="E710" t="s">
        <v>54</v>
      </c>
      <c r="F710">
        <v>59</v>
      </c>
      <c r="G710">
        <v>8</v>
      </c>
      <c r="H710">
        <v>2.6981450252951101E-3</v>
      </c>
      <c r="I710">
        <v>0.13559322033898299</v>
      </c>
      <c r="J710" s="14" t="str">
        <f>_xlfn.XLOOKUP(B710,CAD_PDV!A:A,CAD_PDV!B:B)</f>
        <v>HS TELECOM</v>
      </c>
      <c r="K710" s="14">
        <f>IF(IFERROR(_xlfn.XLOOKUP(B710,Planilha2!D:D,Planilha2!H:H),0)="SIM",1,0)</f>
        <v>0</v>
      </c>
      <c r="L710" s="14" t="str">
        <f>_xlfn.XLOOKUP(B710,CAD_PDV!A:A,CAD_PDV!C:C)</f>
        <v>SP2</v>
      </c>
      <c r="M710" s="14" t="str">
        <f>IFERROR(_xlfn.XLOOKUP(B710,repete!A:A,repete!A:A),"-")</f>
        <v>-</v>
      </c>
    </row>
    <row r="711" spans="1:13" hidden="1">
      <c r="A711" s="1">
        <v>46082</v>
      </c>
      <c r="B711" t="s">
        <v>1265</v>
      </c>
      <c r="C711" t="s">
        <v>1266</v>
      </c>
      <c r="D711" t="s">
        <v>228</v>
      </c>
      <c r="E711" t="s">
        <v>55</v>
      </c>
      <c r="F711">
        <v>82</v>
      </c>
      <c r="G711">
        <v>8</v>
      </c>
      <c r="H711">
        <v>2.6981450252951101E-3</v>
      </c>
      <c r="I711">
        <v>9.7560975609756101E-2</v>
      </c>
      <c r="J711" s="14" t="str">
        <f>_xlfn.XLOOKUP(B711,CAD_PDV!A:A,CAD_PDV!B:B)</f>
        <v>FAJULUTI</v>
      </c>
      <c r="K711" s="14">
        <f>IF(IFERROR(_xlfn.XLOOKUP(B711,Planilha2!D:D,Planilha2!H:H),0)="SIM",1,0)</f>
        <v>0</v>
      </c>
      <c r="L711" s="14" t="str">
        <f>_xlfn.XLOOKUP(B711,CAD_PDV!A:A,CAD_PDV!C:C)</f>
        <v>RJ/ES</v>
      </c>
      <c r="M711" s="14" t="str">
        <f>IFERROR(_xlfn.XLOOKUP(B711,repete!A:A,repete!A:A),"-")</f>
        <v>-</v>
      </c>
    </row>
    <row r="712" spans="1:13" hidden="1">
      <c r="A712" s="1">
        <v>46082</v>
      </c>
      <c r="B712" t="s">
        <v>974</v>
      </c>
      <c r="C712" t="s">
        <v>944</v>
      </c>
      <c r="D712" t="s">
        <v>232</v>
      </c>
      <c r="E712" t="s">
        <v>60</v>
      </c>
      <c r="F712">
        <v>47</v>
      </c>
      <c r="G712">
        <v>7</v>
      </c>
      <c r="H712">
        <v>2.3608768971332202E-3</v>
      </c>
      <c r="I712">
        <v>0.14893617021276601</v>
      </c>
      <c r="J712" s="14" t="str">
        <f>_xlfn.XLOOKUP(B712,CAD_PDV!A:A,CAD_PDV!B:B)</f>
        <v>HS TELECOM</v>
      </c>
      <c r="K712" s="14">
        <f>IF(IFERROR(_xlfn.XLOOKUP(B712,Planilha2!D:D,Planilha2!H:H),0)="SIM",1,0)</f>
        <v>0</v>
      </c>
      <c r="L712" s="14" t="str">
        <f>_xlfn.XLOOKUP(B712,CAD_PDV!A:A,CAD_PDV!C:C)</f>
        <v>BA/SE</v>
      </c>
      <c r="M712" s="14" t="str">
        <f>IFERROR(_xlfn.XLOOKUP(B712,repete!A:A,repete!A:A),"-")</f>
        <v>-</v>
      </c>
    </row>
    <row r="713" spans="1:13" hidden="1">
      <c r="A713" s="1">
        <v>46082</v>
      </c>
      <c r="B713" t="s">
        <v>1203</v>
      </c>
      <c r="C713" t="s">
        <v>1204</v>
      </c>
      <c r="D713" t="s">
        <v>2072</v>
      </c>
      <c r="E713" t="s">
        <v>55</v>
      </c>
      <c r="F713">
        <v>50</v>
      </c>
      <c r="G713">
        <v>7</v>
      </c>
      <c r="H713">
        <v>2.3608768971332202E-3</v>
      </c>
      <c r="I713">
        <v>0.14000000000000001</v>
      </c>
      <c r="J713" s="14" t="str">
        <f>_xlfn.XLOOKUP(B713,CAD_PDV!A:A,CAD_PDV!B:B)</f>
        <v>MEXCELL COMERCIO E SERVICOS DE TELECOMUNICACOES LTDA</v>
      </c>
      <c r="K713" s="14">
        <f>IF(IFERROR(_xlfn.XLOOKUP(B713,Planilha2!D:D,Planilha2!H:H),0)="SIM",1,0)</f>
        <v>0</v>
      </c>
      <c r="L713" s="14" t="str">
        <f>_xlfn.XLOOKUP(B713,CAD_PDV!A:A,CAD_PDV!C:C)</f>
        <v>RJ/ES</v>
      </c>
      <c r="M713" s="14" t="str">
        <f>IFERROR(_xlfn.XLOOKUP(B713,repete!A:A,repete!A:A),"-")</f>
        <v>-</v>
      </c>
    </row>
    <row r="714" spans="1:13" hidden="1">
      <c r="A714" s="1">
        <v>46082</v>
      </c>
      <c r="B714" t="s">
        <v>985</v>
      </c>
      <c r="C714" t="s">
        <v>944</v>
      </c>
      <c r="D714" t="s">
        <v>232</v>
      </c>
      <c r="E714" t="s">
        <v>60</v>
      </c>
      <c r="F714">
        <v>106</v>
      </c>
      <c r="G714">
        <v>7</v>
      </c>
      <c r="H714">
        <v>2.3608768971332202E-3</v>
      </c>
      <c r="I714">
        <v>6.6037735849056603E-2</v>
      </c>
      <c r="J714" s="14" t="str">
        <f>_xlfn.XLOOKUP(B714,CAD_PDV!A:A,CAD_PDV!B:B)</f>
        <v>HS TELECOM</v>
      </c>
      <c r="K714" s="14">
        <f>IF(IFERROR(_xlfn.XLOOKUP(B714,Planilha2!D:D,Planilha2!H:H),0)="SIM",1,0)</f>
        <v>0</v>
      </c>
      <c r="L714" s="14" t="str">
        <f>_xlfn.XLOOKUP(B714,CAD_PDV!A:A,CAD_PDV!C:C)</f>
        <v>BA/SE</v>
      </c>
      <c r="M714" s="14" t="str">
        <f>IFERROR(_xlfn.XLOOKUP(B714,repete!A:A,repete!A:A),"-")</f>
        <v>-</v>
      </c>
    </row>
    <row r="715" spans="1:13" hidden="1">
      <c r="A715" s="1">
        <v>46082</v>
      </c>
      <c r="B715" t="s">
        <v>613</v>
      </c>
      <c r="C715" t="s">
        <v>610</v>
      </c>
      <c r="D715" t="s">
        <v>239</v>
      </c>
      <c r="E715" t="s">
        <v>59</v>
      </c>
      <c r="F715">
        <v>104</v>
      </c>
      <c r="G715">
        <v>7</v>
      </c>
      <c r="H715">
        <v>2.3608768971332202E-3</v>
      </c>
      <c r="I715">
        <v>6.7307692307692304E-2</v>
      </c>
      <c r="J715" s="14" t="str">
        <f>_xlfn.XLOOKUP(B715,CAD_PDV!A:A,CAD_PDV!B:B)</f>
        <v>TELECELL TELEFONIA LTDA - ME</v>
      </c>
      <c r="K715" s="14">
        <f>IF(IFERROR(_xlfn.XLOOKUP(B715,Planilha2!D:D,Planilha2!H:H),0)="SIM",1,0)</f>
        <v>0</v>
      </c>
      <c r="L715" s="14" t="str">
        <f>_xlfn.XLOOKUP(B715,CAD_PDV!A:A,CAD_PDV!C:C)</f>
        <v>CO</v>
      </c>
      <c r="M715" s="14" t="str">
        <f>IFERROR(_xlfn.XLOOKUP(B715,repete!A:A,repete!A:A),"-")</f>
        <v>-</v>
      </c>
    </row>
    <row r="716" spans="1:13" hidden="1">
      <c r="A716" s="1">
        <v>46082</v>
      </c>
      <c r="B716" t="s">
        <v>525</v>
      </c>
      <c r="C716" t="s">
        <v>526</v>
      </c>
      <c r="D716" t="s">
        <v>228</v>
      </c>
      <c r="E716" t="s">
        <v>56</v>
      </c>
      <c r="F716">
        <v>31</v>
      </c>
      <c r="G716">
        <v>7</v>
      </c>
      <c r="H716">
        <v>2.3608768971332202E-3</v>
      </c>
      <c r="I716">
        <v>0.225806451612903</v>
      </c>
      <c r="J716" s="14" t="str">
        <f>_xlfn.XLOOKUP(B716,CAD_PDV!A:A,CAD_PDV!B:B)</f>
        <v>FAJULUTI</v>
      </c>
      <c r="K716" s="14">
        <f>IF(IFERROR(_xlfn.XLOOKUP(B716,Planilha2!D:D,Planilha2!H:H),0)="SIM",1,0)</f>
        <v>0</v>
      </c>
      <c r="L716" s="14" t="str">
        <f>_xlfn.XLOOKUP(B716,CAD_PDV!A:A,CAD_PDV!C:C)</f>
        <v>MG</v>
      </c>
      <c r="M716" s="14" t="str">
        <f>IFERROR(_xlfn.XLOOKUP(B716,repete!A:A,repete!A:A),"-")</f>
        <v>-</v>
      </c>
    </row>
    <row r="717" spans="1:13" hidden="1">
      <c r="A717" s="1">
        <v>46082</v>
      </c>
      <c r="B717" t="s">
        <v>880</v>
      </c>
      <c r="C717" t="s">
        <v>875</v>
      </c>
      <c r="D717" t="s">
        <v>239</v>
      </c>
      <c r="E717" t="s">
        <v>59</v>
      </c>
      <c r="F717">
        <v>169</v>
      </c>
      <c r="G717">
        <v>7</v>
      </c>
      <c r="H717">
        <v>2.3608768971332202E-3</v>
      </c>
      <c r="I717">
        <v>4.1420118343195297E-2</v>
      </c>
      <c r="J717" s="14" t="str">
        <f>_xlfn.XLOOKUP(B717,CAD_PDV!A:A,CAD_PDV!B:B)</f>
        <v>TELECELL TELEFONIA LTDA - ME</v>
      </c>
      <c r="K717" s="14">
        <f>IF(IFERROR(_xlfn.XLOOKUP(B717,Planilha2!D:D,Planilha2!H:H),0)="SIM",1,0)</f>
        <v>0</v>
      </c>
      <c r="L717" s="14" t="str">
        <f>_xlfn.XLOOKUP(B717,CAD_PDV!A:A,CAD_PDV!C:C)</f>
        <v>CO</v>
      </c>
      <c r="M717" s="14" t="str">
        <f>IFERROR(_xlfn.XLOOKUP(B717,repete!A:A,repete!A:A),"-")</f>
        <v>-</v>
      </c>
    </row>
    <row r="718" spans="1:13" hidden="1">
      <c r="A718" s="1">
        <v>46082</v>
      </c>
      <c r="B718" t="s">
        <v>1181</v>
      </c>
      <c r="C718" t="s">
        <v>1182</v>
      </c>
      <c r="D718" t="s">
        <v>228</v>
      </c>
      <c r="E718" t="s">
        <v>55</v>
      </c>
      <c r="F718">
        <v>172</v>
      </c>
      <c r="G718">
        <v>7</v>
      </c>
      <c r="H718">
        <v>2.3608768971332202E-3</v>
      </c>
      <c r="I718">
        <v>4.0697674418604703E-2</v>
      </c>
      <c r="J718" s="14" t="str">
        <f>_xlfn.XLOOKUP(B718,CAD_PDV!A:A,CAD_PDV!B:B)</f>
        <v>FAJULUTI</v>
      </c>
      <c r="K718" s="14">
        <f>IF(IFERROR(_xlfn.XLOOKUP(B718,Planilha2!D:D,Planilha2!H:H),0)="SIM",1,0)</f>
        <v>0</v>
      </c>
      <c r="L718" s="14" t="str">
        <f>_xlfn.XLOOKUP(B718,CAD_PDV!A:A,CAD_PDV!C:C)</f>
        <v>RJ/ES</v>
      </c>
      <c r="M718" s="14" t="str">
        <f>IFERROR(_xlfn.XLOOKUP(B718,repete!A:A,repete!A:A),"-")</f>
        <v>-</v>
      </c>
    </row>
    <row r="719" spans="1:13" hidden="1">
      <c r="A719" s="1">
        <v>46082</v>
      </c>
      <c r="B719" t="s">
        <v>655</v>
      </c>
      <c r="C719" t="s">
        <v>649</v>
      </c>
      <c r="D719" t="s">
        <v>239</v>
      </c>
      <c r="E719" t="s">
        <v>59</v>
      </c>
      <c r="F719">
        <v>68</v>
      </c>
      <c r="G719">
        <v>7</v>
      </c>
      <c r="H719">
        <v>2.3608768971332202E-3</v>
      </c>
      <c r="I719">
        <v>0.10294117647058799</v>
      </c>
      <c r="J719" s="14" t="str">
        <f>_xlfn.XLOOKUP(B719,CAD_PDV!A:A,CAD_PDV!B:B)</f>
        <v>TELECELL TELEFONIA LTDA - ME</v>
      </c>
      <c r="K719" s="14">
        <f>IF(IFERROR(_xlfn.XLOOKUP(B719,Planilha2!D:D,Planilha2!H:H),0)="SIM",1,0)</f>
        <v>0</v>
      </c>
      <c r="L719" s="14" t="str">
        <f>_xlfn.XLOOKUP(B719,CAD_PDV!A:A,CAD_PDV!C:C)</f>
        <v>CO</v>
      </c>
      <c r="M719" s="14" t="str">
        <f>IFERROR(_xlfn.XLOOKUP(B719,repete!A:A,repete!A:A),"-")</f>
        <v>-</v>
      </c>
    </row>
    <row r="720" spans="1:13" hidden="1">
      <c r="A720" s="1">
        <v>46082</v>
      </c>
      <c r="B720" t="s">
        <v>797</v>
      </c>
      <c r="C720" t="s">
        <v>798</v>
      </c>
      <c r="D720" t="s">
        <v>239</v>
      </c>
      <c r="E720" t="s">
        <v>59</v>
      </c>
      <c r="F720">
        <v>79</v>
      </c>
      <c r="G720">
        <v>7</v>
      </c>
      <c r="H720">
        <v>2.3608768971332202E-3</v>
      </c>
      <c r="I720">
        <v>8.8607594936708903E-2</v>
      </c>
      <c r="J720" s="14" t="str">
        <f>_xlfn.XLOOKUP(B720,CAD_PDV!A:A,CAD_PDV!B:B)</f>
        <v>TELECELL TELEFONIA LTDA - ME</v>
      </c>
      <c r="K720" s="14">
        <f>IF(IFERROR(_xlfn.XLOOKUP(B720,Planilha2!D:D,Planilha2!H:H),0)="SIM",1,0)</f>
        <v>0</v>
      </c>
      <c r="L720" s="14" t="str">
        <f>_xlfn.XLOOKUP(B720,CAD_PDV!A:A,CAD_PDV!C:C)</f>
        <v>CO</v>
      </c>
      <c r="M720" s="14" t="str">
        <f>IFERROR(_xlfn.XLOOKUP(B720,repete!A:A,repete!A:A),"-")</f>
        <v>-</v>
      </c>
    </row>
    <row r="721" spans="1:13" hidden="1">
      <c r="A721" s="1">
        <v>46082</v>
      </c>
      <c r="B721" t="s">
        <v>1183</v>
      </c>
      <c r="C721" t="s">
        <v>1185</v>
      </c>
      <c r="D721" t="s">
        <v>228</v>
      </c>
      <c r="E721" t="s">
        <v>55</v>
      </c>
      <c r="F721">
        <v>49</v>
      </c>
      <c r="G721">
        <v>7</v>
      </c>
      <c r="H721">
        <v>2.3608768971332202E-3</v>
      </c>
      <c r="I721">
        <v>0.14285714285714299</v>
      </c>
      <c r="J721" s="14" t="str">
        <f>_xlfn.XLOOKUP(B721,CAD_PDV!A:A,CAD_PDV!B:B)</f>
        <v>FAJULUTI</v>
      </c>
      <c r="K721" s="14">
        <f>IF(IFERROR(_xlfn.XLOOKUP(B721,Planilha2!D:D,Planilha2!H:H),0)="SIM",1,0)</f>
        <v>0</v>
      </c>
      <c r="L721" s="14" t="str">
        <f>_xlfn.XLOOKUP(B721,CAD_PDV!A:A,CAD_PDV!C:C)</f>
        <v>RJ/ES</v>
      </c>
      <c r="M721" s="14" t="str">
        <f>IFERROR(_xlfn.XLOOKUP(B721,repete!A:A,repete!A:A),"-")</f>
        <v>-</v>
      </c>
    </row>
    <row r="722" spans="1:13" hidden="1">
      <c r="A722" s="1">
        <v>46082</v>
      </c>
      <c r="B722" t="s">
        <v>1012</v>
      </c>
      <c r="C722" t="s">
        <v>1005</v>
      </c>
      <c r="D722" t="s">
        <v>232</v>
      </c>
      <c r="E722" t="s">
        <v>60</v>
      </c>
      <c r="F722">
        <v>52</v>
      </c>
      <c r="G722">
        <v>7</v>
      </c>
      <c r="H722">
        <v>2.3608768971332202E-3</v>
      </c>
      <c r="I722">
        <v>0.134615384615385</v>
      </c>
      <c r="J722" s="14" t="str">
        <f>_xlfn.XLOOKUP(B722,CAD_PDV!A:A,CAD_PDV!B:B)</f>
        <v>HS TELECOM</v>
      </c>
      <c r="K722" s="14">
        <f>IF(IFERROR(_xlfn.XLOOKUP(B722,Planilha2!D:D,Planilha2!H:H),0)="SIM",1,0)</f>
        <v>0</v>
      </c>
      <c r="L722" s="14" t="str">
        <f>_xlfn.XLOOKUP(B722,CAD_PDV!A:A,CAD_PDV!C:C)</f>
        <v>BA/SE</v>
      </c>
      <c r="M722" s="14" t="str">
        <f>IFERROR(_xlfn.XLOOKUP(B722,repete!A:A,repete!A:A),"-")</f>
        <v>FMBI</v>
      </c>
    </row>
    <row r="723" spans="1:13" hidden="1">
      <c r="A723" s="1">
        <v>46082</v>
      </c>
      <c r="B723" t="s">
        <v>758</v>
      </c>
      <c r="C723" t="s">
        <v>616</v>
      </c>
      <c r="D723" t="s">
        <v>239</v>
      </c>
      <c r="E723" t="s">
        <v>59</v>
      </c>
      <c r="F723">
        <v>89</v>
      </c>
      <c r="G723">
        <v>7</v>
      </c>
      <c r="H723">
        <v>2.3608768971332202E-3</v>
      </c>
      <c r="I723">
        <v>7.8651685393258397E-2</v>
      </c>
      <c r="J723" s="14" t="str">
        <f>_xlfn.XLOOKUP(B723,CAD_PDV!A:A,CAD_PDV!B:B)</f>
        <v>TELECELL TELEFONIA LTDA - ME</v>
      </c>
      <c r="K723" s="14">
        <f>IF(IFERROR(_xlfn.XLOOKUP(B723,Planilha2!D:D,Planilha2!H:H),0)="SIM",1,0)</f>
        <v>0</v>
      </c>
      <c r="L723" s="14" t="str">
        <f>_xlfn.XLOOKUP(B723,CAD_PDV!A:A,CAD_PDV!C:C)</f>
        <v>CO</v>
      </c>
      <c r="M723" s="14" t="str">
        <f>IFERROR(_xlfn.XLOOKUP(B723,repete!A:A,repete!A:A),"-")</f>
        <v>-</v>
      </c>
    </row>
    <row r="724" spans="1:13" hidden="1">
      <c r="A724" s="1">
        <v>46082</v>
      </c>
      <c r="B724" t="s">
        <v>352</v>
      </c>
      <c r="C724" t="s">
        <v>261</v>
      </c>
      <c r="D724" t="s">
        <v>238</v>
      </c>
      <c r="E724" t="s">
        <v>61</v>
      </c>
      <c r="F724">
        <v>105</v>
      </c>
      <c r="G724">
        <v>7</v>
      </c>
      <c r="H724">
        <v>2.3608768971332202E-3</v>
      </c>
      <c r="I724">
        <v>6.6666666666666693E-2</v>
      </c>
      <c r="J724" s="14" t="str">
        <f>_xlfn.XLOOKUP(B724,CAD_PDV!A:A,CAD_PDV!B:B)</f>
        <v>R &amp; R HIPER COMERCIO LTDA</v>
      </c>
      <c r="K724" s="14">
        <f>IF(IFERROR(_xlfn.XLOOKUP(B724,Planilha2!D:D,Planilha2!H:H),0)="SIM",1,0)</f>
        <v>0</v>
      </c>
      <c r="L724" s="14" t="str">
        <f>_xlfn.XLOOKUP(B724,CAD_PDV!A:A,CAD_PDV!C:C)</f>
        <v>NE</v>
      </c>
      <c r="M724" s="14" t="str">
        <f>IFERROR(_xlfn.XLOOKUP(B724,repete!A:A,repete!A:A),"-")</f>
        <v>-</v>
      </c>
    </row>
    <row r="725" spans="1:13" hidden="1">
      <c r="A725" s="1">
        <v>46082</v>
      </c>
      <c r="B725" t="s">
        <v>781</v>
      </c>
      <c r="C725" t="s">
        <v>637</v>
      </c>
      <c r="D725" t="s">
        <v>221</v>
      </c>
      <c r="E725" t="s">
        <v>59</v>
      </c>
      <c r="F725">
        <v>58</v>
      </c>
      <c r="G725">
        <v>7</v>
      </c>
      <c r="H725">
        <v>2.3608768971332202E-3</v>
      </c>
      <c r="I725">
        <v>0.12068965517241401</v>
      </c>
      <c r="J725" s="14" t="str">
        <f>_xlfn.XLOOKUP(B725,CAD_PDV!A:A,CAD_PDV!B:B)</f>
        <v>AMERICOM COMERCIO DE APARELHOS ELETRONICOS LTDA - EPP</v>
      </c>
      <c r="K725" s="14">
        <f>IF(IFERROR(_xlfn.XLOOKUP(B725,Planilha2!D:D,Planilha2!H:H),0)="SIM",1,0)</f>
        <v>0</v>
      </c>
      <c r="L725" s="14" t="str">
        <f>_xlfn.XLOOKUP(B725,CAD_PDV!A:A,CAD_PDV!C:C)</f>
        <v>CO</v>
      </c>
      <c r="M725" s="14" t="str">
        <f>IFERROR(_xlfn.XLOOKUP(B725,repete!A:A,repete!A:A),"-")</f>
        <v>-</v>
      </c>
    </row>
    <row r="726" spans="1:13" hidden="1">
      <c r="A726" s="1">
        <v>46082</v>
      </c>
      <c r="B726" t="s">
        <v>640</v>
      </c>
      <c r="C726" t="s">
        <v>641</v>
      </c>
      <c r="D726" t="s">
        <v>221</v>
      </c>
      <c r="E726" t="s">
        <v>59</v>
      </c>
      <c r="F726">
        <v>76</v>
      </c>
      <c r="G726">
        <v>7</v>
      </c>
      <c r="H726">
        <v>2.3608768971332202E-3</v>
      </c>
      <c r="I726">
        <v>9.2105263157894704E-2</v>
      </c>
      <c r="J726" s="14" t="str">
        <f>_xlfn.XLOOKUP(B726,CAD_PDV!A:A,CAD_PDV!B:B)</f>
        <v>AMERICOM COMERCIO DE APARELHOS ELETRONICOS LTDA - EPP</v>
      </c>
      <c r="K726" s="14">
        <f>IF(IFERROR(_xlfn.XLOOKUP(B726,Planilha2!D:D,Planilha2!H:H),0)="SIM",1,0)</f>
        <v>0</v>
      </c>
      <c r="L726" s="14" t="str">
        <f>_xlfn.XLOOKUP(B726,CAD_PDV!A:A,CAD_PDV!C:C)</f>
        <v>CO</v>
      </c>
      <c r="M726" s="14" t="str">
        <f>IFERROR(_xlfn.XLOOKUP(B726,repete!A:A,repete!A:A),"-")</f>
        <v>-</v>
      </c>
    </row>
    <row r="727" spans="1:13" hidden="1">
      <c r="A727" s="1">
        <v>46082</v>
      </c>
      <c r="B727" t="s">
        <v>1749</v>
      </c>
      <c r="C727" t="s">
        <v>1748</v>
      </c>
      <c r="D727" t="s">
        <v>190</v>
      </c>
      <c r="E727" t="s">
        <v>2074</v>
      </c>
      <c r="F727">
        <v>53</v>
      </c>
      <c r="G727">
        <v>7</v>
      </c>
      <c r="H727">
        <v>2.3608768971332202E-3</v>
      </c>
      <c r="I727">
        <v>0.13207547169811301</v>
      </c>
      <c r="J727" s="14" t="str">
        <f>_xlfn.XLOOKUP(B727,CAD_PDV!A:A,CAD_PDV!B:B)</f>
        <v>RDJ TELECOMUNICACOES LTDA</v>
      </c>
      <c r="K727" s="14">
        <f>IF(IFERROR(_xlfn.XLOOKUP(B727,Planilha2!D:D,Planilha2!H:H),0)="SIM",1,0)</f>
        <v>0</v>
      </c>
      <c r="L727" s="14" t="str">
        <f>_xlfn.XLOOKUP(B727,CAD_PDV!A:A,CAD_PDV!C:C)</f>
        <v>PR/SC</v>
      </c>
      <c r="M727" s="14" t="str">
        <f>IFERROR(_xlfn.XLOOKUP(B727,repete!A:A,repete!A:A),"-")</f>
        <v>-</v>
      </c>
    </row>
    <row r="728" spans="1:13" hidden="1">
      <c r="A728" s="1">
        <v>46082</v>
      </c>
      <c r="B728" t="s">
        <v>1711</v>
      </c>
      <c r="C728" t="s">
        <v>1712</v>
      </c>
      <c r="D728" t="s">
        <v>220</v>
      </c>
      <c r="E728" t="s">
        <v>54</v>
      </c>
      <c r="F728">
        <v>46</v>
      </c>
      <c r="G728">
        <v>7</v>
      </c>
      <c r="H728">
        <v>2.3608768971332202E-3</v>
      </c>
      <c r="I728">
        <v>0.15217391304347799</v>
      </c>
      <c r="J728" s="14" t="str">
        <f>_xlfn.XLOOKUP(B728,CAD_PDV!A:A,CAD_PDV!B:B)</f>
        <v>ADESIENE NUNES MACHADO - ME</v>
      </c>
      <c r="K728" s="14">
        <f>IF(IFERROR(_xlfn.XLOOKUP(B728,Planilha2!D:D,Planilha2!H:H),0)="SIM",1,0)</f>
        <v>0</v>
      </c>
      <c r="L728" s="14" t="str">
        <f>_xlfn.XLOOKUP(B728,CAD_PDV!A:A,CAD_PDV!C:C)</f>
        <v>SP2</v>
      </c>
      <c r="M728" s="14" t="str">
        <f>IFERROR(_xlfn.XLOOKUP(B728,repete!A:A,repete!A:A),"-")</f>
        <v>-</v>
      </c>
    </row>
    <row r="729" spans="1:13" hidden="1">
      <c r="A729" s="1">
        <v>46082</v>
      </c>
      <c r="B729" t="s">
        <v>1713</v>
      </c>
      <c r="C729" t="s">
        <v>1540</v>
      </c>
      <c r="D729" t="s">
        <v>232</v>
      </c>
      <c r="E729" t="s">
        <v>54</v>
      </c>
      <c r="F729">
        <v>63</v>
      </c>
      <c r="G729">
        <v>7</v>
      </c>
      <c r="H729">
        <v>2.3608768971332202E-3</v>
      </c>
      <c r="I729">
        <v>0.11111111111111099</v>
      </c>
      <c r="J729" s="14" t="str">
        <f>_xlfn.XLOOKUP(B729,CAD_PDV!A:A,CAD_PDV!B:B)</f>
        <v>HS TELECOM</v>
      </c>
      <c r="K729" s="14">
        <f>IF(IFERROR(_xlfn.XLOOKUP(B729,Planilha2!D:D,Planilha2!H:H),0)="SIM",1,0)</f>
        <v>0</v>
      </c>
      <c r="L729" s="14" t="str">
        <f>_xlfn.XLOOKUP(B729,CAD_PDV!A:A,CAD_PDV!C:C)</f>
        <v>SP2</v>
      </c>
      <c r="M729" s="14" t="str">
        <f>IFERROR(_xlfn.XLOOKUP(B729,repete!A:A,repete!A:A),"-")</f>
        <v>-</v>
      </c>
    </row>
    <row r="730" spans="1:13" hidden="1">
      <c r="A730" s="1">
        <v>46082</v>
      </c>
      <c r="B730" t="s">
        <v>1406</v>
      </c>
      <c r="C730" t="s">
        <v>1366</v>
      </c>
      <c r="D730" t="s">
        <v>106</v>
      </c>
      <c r="E730" t="s">
        <v>53</v>
      </c>
      <c r="F730">
        <v>48</v>
      </c>
      <c r="G730">
        <v>7</v>
      </c>
      <c r="H730">
        <v>2.3608768971332202E-3</v>
      </c>
      <c r="I730">
        <v>0.14583333333333301</v>
      </c>
      <c r="J730" s="14" t="str">
        <f>_xlfn.XLOOKUP(B730,CAD_PDV!A:A,CAD_PDV!B:B)</f>
        <v>CELLULAR.COM</v>
      </c>
      <c r="K730" s="14">
        <f>IF(IFERROR(_xlfn.XLOOKUP(B730,Planilha2!D:D,Planilha2!H:H),0)="SIM",1,0)</f>
        <v>0</v>
      </c>
      <c r="L730" s="14" t="str">
        <f>_xlfn.XLOOKUP(B730,CAD_PDV!A:A,CAD_PDV!C:C)</f>
        <v>SP1</v>
      </c>
      <c r="M730" s="14" t="str">
        <f>IFERROR(_xlfn.XLOOKUP(B730,repete!A:A,repete!A:A),"-")</f>
        <v>-</v>
      </c>
    </row>
    <row r="731" spans="1:13" hidden="1">
      <c r="A731" s="1">
        <v>46082</v>
      </c>
      <c r="B731" t="s">
        <v>1976</v>
      </c>
      <c r="C731" t="s">
        <v>1978</v>
      </c>
      <c r="D731" t="s">
        <v>97</v>
      </c>
      <c r="E731" t="s">
        <v>2074</v>
      </c>
      <c r="F731">
        <v>41</v>
      </c>
      <c r="G731">
        <v>6</v>
      </c>
      <c r="H731">
        <v>2.0236087689713298E-3</v>
      </c>
      <c r="I731">
        <v>0.146341463414634</v>
      </c>
      <c r="J731" s="14" t="str">
        <f>_xlfn.XLOOKUP(B731,CAD_PDV!A:A,CAD_PDV!B:B)</f>
        <v>BANDEIRA</v>
      </c>
      <c r="K731" s="14">
        <f>IF(IFERROR(_xlfn.XLOOKUP(B731,Planilha2!D:D,Planilha2!H:H),0)="SIM",1,0)</f>
        <v>0</v>
      </c>
      <c r="L731" s="14" t="str">
        <f>_xlfn.XLOOKUP(B731,CAD_PDV!A:A,CAD_PDV!C:C)</f>
        <v>PR/SC</v>
      </c>
      <c r="M731" s="14" t="str">
        <f>IFERROR(_xlfn.XLOOKUP(B731,repete!A:A,repete!A:A),"-")</f>
        <v>-</v>
      </c>
    </row>
    <row r="732" spans="1:13" hidden="1">
      <c r="A732" s="1">
        <v>46082</v>
      </c>
      <c r="B732" t="s">
        <v>642</v>
      </c>
      <c r="C732" t="s">
        <v>644</v>
      </c>
      <c r="D732" t="s">
        <v>240</v>
      </c>
      <c r="E732" t="s">
        <v>59</v>
      </c>
      <c r="F732">
        <v>72</v>
      </c>
      <c r="G732">
        <v>6</v>
      </c>
      <c r="H732">
        <v>2.0236087689713298E-3</v>
      </c>
      <c r="I732">
        <v>8.3333333333333301E-2</v>
      </c>
      <c r="J732" s="14" t="str">
        <f>_xlfn.XLOOKUP(B732,CAD_PDV!A:A,CAD_PDV!B:B)</f>
        <v>TELEMAIS TELEFONIA LTDA - ME</v>
      </c>
      <c r="K732" s="14">
        <f>IF(IFERROR(_xlfn.XLOOKUP(B732,Planilha2!D:D,Planilha2!H:H),0)="SIM",1,0)</f>
        <v>0</v>
      </c>
      <c r="L732" s="14" t="str">
        <f>_xlfn.XLOOKUP(B732,CAD_PDV!A:A,CAD_PDV!C:C)</f>
        <v>CO</v>
      </c>
      <c r="M732" s="14" t="str">
        <f>IFERROR(_xlfn.XLOOKUP(B732,repete!A:A,repete!A:A),"-")</f>
        <v>-</v>
      </c>
    </row>
    <row r="733" spans="1:13" hidden="1">
      <c r="A733" s="1">
        <v>46082</v>
      </c>
      <c r="B733" t="s">
        <v>309</v>
      </c>
      <c r="C733" t="s">
        <v>265</v>
      </c>
      <c r="D733" t="s">
        <v>230</v>
      </c>
      <c r="E733" t="s">
        <v>61</v>
      </c>
      <c r="F733">
        <v>211</v>
      </c>
      <c r="G733">
        <v>6</v>
      </c>
      <c r="H733">
        <v>2.0236087689713298E-3</v>
      </c>
      <c r="I733">
        <v>2.8436018957346001E-2</v>
      </c>
      <c r="J733" s="14" t="str">
        <f>_xlfn.XLOOKUP(B733,CAD_PDV!A:A,CAD_PDV!B:B)</f>
        <v>HARCOS COMERCIO E SERVICOS LTDA - EPP</v>
      </c>
      <c r="K733" s="14">
        <f>IF(IFERROR(_xlfn.XLOOKUP(B733,Planilha2!D:D,Planilha2!H:H),0)="SIM",1,0)</f>
        <v>0</v>
      </c>
      <c r="L733" s="14" t="str">
        <f>_xlfn.XLOOKUP(B733,CAD_PDV!A:A,CAD_PDV!C:C)</f>
        <v>NE</v>
      </c>
      <c r="M733" s="14" t="str">
        <f>IFERROR(_xlfn.XLOOKUP(B733,repete!A:A,repete!A:A),"-")</f>
        <v>-</v>
      </c>
    </row>
    <row r="734" spans="1:13" hidden="1">
      <c r="A734" s="1">
        <v>46082</v>
      </c>
      <c r="B734" t="s">
        <v>1463</v>
      </c>
      <c r="C734" t="s">
        <v>1464</v>
      </c>
      <c r="D734" t="s">
        <v>219</v>
      </c>
      <c r="E734" t="s">
        <v>54</v>
      </c>
      <c r="F734">
        <v>109</v>
      </c>
      <c r="G734">
        <v>6</v>
      </c>
      <c r="H734">
        <v>2.0236087689713298E-3</v>
      </c>
      <c r="I734">
        <v>5.5045871559633003E-2</v>
      </c>
      <c r="J734" s="14" t="str">
        <f>_xlfn.XLOOKUP(B734,CAD_PDV!A:A,CAD_PDV!B:B)</f>
        <v>WCI CELULARES SERVICOS E TELECOMUNICACOES LTDA - EPP</v>
      </c>
      <c r="K734" s="14">
        <f>IF(IFERROR(_xlfn.XLOOKUP(B734,Planilha2!D:D,Planilha2!H:H),0)="SIM",1,0)</f>
        <v>0</v>
      </c>
      <c r="L734" s="14" t="str">
        <f>_xlfn.XLOOKUP(B734,CAD_PDV!A:A,CAD_PDV!C:C)</f>
        <v>SP2</v>
      </c>
      <c r="M734" s="14" t="str">
        <f>IFERROR(_xlfn.XLOOKUP(B734,repete!A:A,repete!A:A),"-")</f>
        <v>-</v>
      </c>
    </row>
    <row r="735" spans="1:13" hidden="1">
      <c r="A735" s="1">
        <v>46082</v>
      </c>
      <c r="B735" t="s">
        <v>1208</v>
      </c>
      <c r="C735" t="s">
        <v>1142</v>
      </c>
      <c r="D735" t="s">
        <v>237</v>
      </c>
      <c r="E735" t="s">
        <v>55</v>
      </c>
      <c r="F735">
        <v>112</v>
      </c>
      <c r="G735">
        <v>6</v>
      </c>
      <c r="H735">
        <v>2.0236087689713298E-3</v>
      </c>
      <c r="I735">
        <v>5.3571428571428603E-2</v>
      </c>
      <c r="J735" s="14" t="str">
        <f>_xlfn.XLOOKUP(B735,CAD_PDV!A:A,CAD_PDV!B:B)</f>
        <v>PONTO CERTO COMERCIO E COMUNICAÇÕES LTDA</v>
      </c>
      <c r="K735" s="14">
        <f>IF(IFERROR(_xlfn.XLOOKUP(B735,Planilha2!D:D,Planilha2!H:H),0)="SIM",1,0)</f>
        <v>0</v>
      </c>
      <c r="L735" s="14" t="str">
        <f>_xlfn.XLOOKUP(B735,CAD_PDV!A:A,CAD_PDV!C:C)</f>
        <v>RJ/ES</v>
      </c>
      <c r="M735" s="14" t="str">
        <f>IFERROR(_xlfn.XLOOKUP(B735,repete!A:A,repete!A:A),"-")</f>
        <v>-</v>
      </c>
    </row>
    <row r="736" spans="1:13" hidden="1">
      <c r="A736" s="1">
        <v>46082</v>
      </c>
      <c r="B736" t="s">
        <v>2038</v>
      </c>
      <c r="C736" t="s">
        <v>2040</v>
      </c>
      <c r="D736" t="s">
        <v>193</v>
      </c>
      <c r="E736" t="s">
        <v>2074</v>
      </c>
      <c r="F736">
        <v>43</v>
      </c>
      <c r="G736">
        <v>6</v>
      </c>
      <c r="H736">
        <v>2.0236087689713298E-3</v>
      </c>
      <c r="I736">
        <v>0.13953488372093001</v>
      </c>
      <c r="J736" s="14" t="str">
        <f>_xlfn.XLOOKUP(B736,CAD_PDV!A:A,CAD_PDV!B:B)</f>
        <v>S D COMERCIO DE CELULARES LTDA - ME</v>
      </c>
      <c r="K736" s="14">
        <f>IF(IFERROR(_xlfn.XLOOKUP(B736,Planilha2!D:D,Planilha2!H:H),0)="SIM",1,0)</f>
        <v>0</v>
      </c>
      <c r="L736" s="14" t="str">
        <f>_xlfn.XLOOKUP(B736,CAD_PDV!A:A,CAD_PDV!C:C)</f>
        <v>RS</v>
      </c>
      <c r="M736" s="14" t="str">
        <f>IFERROR(_xlfn.XLOOKUP(B736,repete!A:A,repete!A:A),"-")</f>
        <v>-</v>
      </c>
    </row>
    <row r="737" spans="1:13" hidden="1">
      <c r="A737" s="1">
        <v>46082</v>
      </c>
      <c r="B737" t="s">
        <v>1358</v>
      </c>
      <c r="C737" t="s">
        <v>1357</v>
      </c>
      <c r="D737" t="s">
        <v>132</v>
      </c>
      <c r="E737" t="s">
        <v>53</v>
      </c>
      <c r="F737">
        <v>101</v>
      </c>
      <c r="G737">
        <v>6</v>
      </c>
      <c r="H737">
        <v>2.0236087689713298E-3</v>
      </c>
      <c r="I737">
        <v>5.9405940594059403E-2</v>
      </c>
      <c r="J737" s="14" t="str">
        <f>_xlfn.XLOOKUP(B737,CAD_PDV!A:A,CAD_PDV!B:B)</f>
        <v>FLEX CELL</v>
      </c>
      <c r="K737" s="14">
        <f>IF(IFERROR(_xlfn.XLOOKUP(B737,Planilha2!D:D,Planilha2!H:H),0)="SIM",1,0)</f>
        <v>0</v>
      </c>
      <c r="L737" s="14" t="str">
        <f>_xlfn.XLOOKUP(B737,CAD_PDV!A:A,CAD_PDV!C:C)</f>
        <v>SP1</v>
      </c>
      <c r="M737" s="14" t="str">
        <f>IFERROR(_xlfn.XLOOKUP(B737,repete!A:A,repete!A:A),"-")</f>
        <v>-</v>
      </c>
    </row>
    <row r="738" spans="1:13" hidden="1">
      <c r="A738" s="1">
        <v>46082</v>
      </c>
      <c r="B738" t="s">
        <v>2025</v>
      </c>
      <c r="C738" t="s">
        <v>2026</v>
      </c>
      <c r="D738" t="s">
        <v>193</v>
      </c>
      <c r="E738" t="s">
        <v>2074</v>
      </c>
      <c r="F738">
        <v>37</v>
      </c>
      <c r="G738">
        <v>6</v>
      </c>
      <c r="H738">
        <v>2.0236087689713298E-3</v>
      </c>
      <c r="I738">
        <v>0.162162162162162</v>
      </c>
      <c r="J738" s="14" t="str">
        <f>_xlfn.XLOOKUP(B738,CAD_PDV!A:A,CAD_PDV!B:B)</f>
        <v>S D COMERCIO DE CELULARES LTDA - ME</v>
      </c>
      <c r="K738" s="14">
        <f>IF(IFERROR(_xlfn.XLOOKUP(B738,Planilha2!D:D,Planilha2!H:H),0)="SIM",1,0)</f>
        <v>0</v>
      </c>
      <c r="L738" s="14" t="str">
        <f>_xlfn.XLOOKUP(B738,CAD_PDV!A:A,CAD_PDV!C:C)</f>
        <v>RS</v>
      </c>
      <c r="M738" s="14" t="str">
        <f>IFERROR(_xlfn.XLOOKUP(B738,repete!A:A,repete!A:A),"-")</f>
        <v>-</v>
      </c>
    </row>
    <row r="739" spans="1:13" hidden="1">
      <c r="A739" s="1">
        <v>46082</v>
      </c>
      <c r="B739" t="s">
        <v>1336</v>
      </c>
      <c r="C739" t="s">
        <v>1313</v>
      </c>
      <c r="D739" t="s">
        <v>225</v>
      </c>
      <c r="E739" t="s">
        <v>53</v>
      </c>
      <c r="F739">
        <v>151</v>
      </c>
      <c r="G739">
        <v>6</v>
      </c>
      <c r="H739">
        <v>2.0236087689713298E-3</v>
      </c>
      <c r="I739">
        <v>3.9735099337748297E-2</v>
      </c>
      <c r="J739" s="14" t="str">
        <f>_xlfn.XLOOKUP(B739,CAD_PDV!A:A,CAD_PDV!B:B)</f>
        <v>CLARICELL SP1</v>
      </c>
      <c r="K739" s="14">
        <f>IF(IFERROR(_xlfn.XLOOKUP(B739,Planilha2!D:D,Planilha2!H:H),0)="SIM",1,0)</f>
        <v>0</v>
      </c>
      <c r="L739" s="14" t="str">
        <f>_xlfn.XLOOKUP(B739,CAD_PDV!A:A,CAD_PDV!C:C)</f>
        <v>SP1</v>
      </c>
      <c r="M739" s="14" t="str">
        <f>IFERROR(_xlfn.XLOOKUP(B739,repete!A:A,repete!A:A),"-")</f>
        <v>-</v>
      </c>
    </row>
    <row r="740" spans="1:13" hidden="1">
      <c r="A740" s="1">
        <v>46082</v>
      </c>
      <c r="B740" t="s">
        <v>1282</v>
      </c>
      <c r="C740" t="s">
        <v>1283</v>
      </c>
      <c r="D740" t="s">
        <v>228</v>
      </c>
      <c r="E740" t="s">
        <v>55</v>
      </c>
      <c r="F740">
        <v>47</v>
      </c>
      <c r="G740">
        <v>6</v>
      </c>
      <c r="H740">
        <v>2.0236087689713298E-3</v>
      </c>
      <c r="I740">
        <v>0.12765957446808501</v>
      </c>
      <c r="J740" s="14" t="str">
        <f>_xlfn.XLOOKUP(B740,CAD_PDV!A:A,CAD_PDV!B:B)</f>
        <v>FAJULUTI</v>
      </c>
      <c r="K740" s="14">
        <f>IF(IFERROR(_xlfn.XLOOKUP(B740,Planilha2!D:D,Planilha2!H:H),0)="SIM",1,0)</f>
        <v>0</v>
      </c>
      <c r="L740" s="14" t="str">
        <f>_xlfn.XLOOKUP(B740,CAD_PDV!A:A,CAD_PDV!C:C)</f>
        <v>RJ/ES</v>
      </c>
      <c r="M740" s="14" t="str">
        <f>IFERROR(_xlfn.XLOOKUP(B740,repete!A:A,repete!A:A),"-")</f>
        <v>-</v>
      </c>
    </row>
    <row r="741" spans="1:13" hidden="1">
      <c r="A741" s="1">
        <v>46082</v>
      </c>
      <c r="B741" t="s">
        <v>1253</v>
      </c>
      <c r="C741" t="s">
        <v>1142</v>
      </c>
      <c r="D741" t="s">
        <v>228</v>
      </c>
      <c r="E741" t="s">
        <v>55</v>
      </c>
      <c r="F741">
        <v>82</v>
      </c>
      <c r="G741">
        <v>6</v>
      </c>
      <c r="H741">
        <v>2.0236087689713298E-3</v>
      </c>
      <c r="I741">
        <v>7.3170731707317097E-2</v>
      </c>
      <c r="J741" s="14" t="str">
        <f>_xlfn.XLOOKUP(B741,CAD_PDV!A:A,CAD_PDV!B:B)</f>
        <v>FAJULUTI</v>
      </c>
      <c r="K741" s="14">
        <f>IF(IFERROR(_xlfn.XLOOKUP(B741,Planilha2!D:D,Planilha2!H:H),0)="SIM",1,0)</f>
        <v>0</v>
      </c>
      <c r="L741" s="14" t="str">
        <f>_xlfn.XLOOKUP(B741,CAD_PDV!A:A,CAD_PDV!C:C)</f>
        <v>RJ/ES</v>
      </c>
      <c r="M741" s="14" t="str">
        <f>IFERROR(_xlfn.XLOOKUP(B741,repete!A:A,repete!A:A),"-")</f>
        <v>NDTZ</v>
      </c>
    </row>
    <row r="742" spans="1:13" hidden="1">
      <c r="A742" s="1">
        <v>46082</v>
      </c>
      <c r="B742" t="s">
        <v>1878</v>
      </c>
      <c r="C742" t="s">
        <v>1876</v>
      </c>
      <c r="D742" t="s">
        <v>124</v>
      </c>
      <c r="E742" t="s">
        <v>2074</v>
      </c>
      <c r="F742">
        <v>40</v>
      </c>
      <c r="G742">
        <v>6</v>
      </c>
      <c r="H742">
        <v>2.0236087689713298E-3</v>
      </c>
      <c r="I742">
        <v>0.15</v>
      </c>
      <c r="J742" s="14" t="str">
        <f>_xlfn.XLOOKUP(B742,CAD_PDV!A:A,CAD_PDV!B:B)</f>
        <v>EDUARDO JUNQUEIRA DA SILVEIRA ADMIN</v>
      </c>
      <c r="K742" s="14">
        <f>IF(IFERROR(_xlfn.XLOOKUP(B742,Planilha2!D:D,Planilha2!H:H),0)="SIM",1,0)</f>
        <v>0</v>
      </c>
      <c r="L742" s="14" t="str">
        <f>_xlfn.XLOOKUP(B742,CAD_PDV!A:A,CAD_PDV!C:C)</f>
        <v>RS</v>
      </c>
      <c r="M742" s="14" t="str">
        <f>IFERROR(_xlfn.XLOOKUP(B742,repete!A:A,repete!A:A),"-")</f>
        <v>-</v>
      </c>
    </row>
    <row r="743" spans="1:13" hidden="1">
      <c r="A743" s="1">
        <v>46082</v>
      </c>
      <c r="B743" t="s">
        <v>369</v>
      </c>
      <c r="C743" t="s">
        <v>370</v>
      </c>
      <c r="D743" t="s">
        <v>230</v>
      </c>
      <c r="E743" t="s">
        <v>61</v>
      </c>
      <c r="F743">
        <v>38</v>
      </c>
      <c r="G743">
        <v>6</v>
      </c>
      <c r="H743">
        <v>2.0236087689713298E-3</v>
      </c>
      <c r="I743">
        <v>0.157894736842105</v>
      </c>
      <c r="J743" s="14" t="str">
        <f>_xlfn.XLOOKUP(B743,CAD_PDV!A:A,CAD_PDV!B:B)</f>
        <v>HARCOS COMERCIO E SERVICOS LTDA - EPP</v>
      </c>
      <c r="K743" s="14">
        <f>IF(IFERROR(_xlfn.XLOOKUP(B743,Planilha2!D:D,Planilha2!H:H),0)="SIM",1,0)</f>
        <v>0</v>
      </c>
      <c r="L743" s="14" t="str">
        <f>_xlfn.XLOOKUP(B743,CAD_PDV!A:A,CAD_PDV!C:C)</f>
        <v>NE</v>
      </c>
      <c r="M743" s="14" t="str">
        <f>IFERROR(_xlfn.XLOOKUP(B743,repete!A:A,repete!A:A),"-")</f>
        <v>-</v>
      </c>
    </row>
    <row r="744" spans="1:13" hidden="1">
      <c r="A744" s="1">
        <v>46082</v>
      </c>
      <c r="B744" t="s">
        <v>565</v>
      </c>
      <c r="C744" t="s">
        <v>478</v>
      </c>
      <c r="D744" t="s">
        <v>228</v>
      </c>
      <c r="E744" t="s">
        <v>56</v>
      </c>
      <c r="F744">
        <v>44</v>
      </c>
      <c r="G744">
        <v>6</v>
      </c>
      <c r="H744">
        <v>2.0236087689713298E-3</v>
      </c>
      <c r="I744">
        <v>0.13636363636363599</v>
      </c>
      <c r="J744" s="14" t="str">
        <f>_xlfn.XLOOKUP(B744,CAD_PDV!A:A,CAD_PDV!B:B)</f>
        <v>FAJULUTI</v>
      </c>
      <c r="K744" s="14">
        <f>IF(IFERROR(_xlfn.XLOOKUP(B744,Planilha2!D:D,Planilha2!H:H),0)="SIM",1,0)</f>
        <v>0</v>
      </c>
      <c r="L744" s="14" t="str">
        <f>_xlfn.XLOOKUP(B744,CAD_PDV!A:A,CAD_PDV!C:C)</f>
        <v>MG</v>
      </c>
      <c r="M744" s="14" t="str">
        <f>IFERROR(_xlfn.XLOOKUP(B744,repete!A:A,repete!A:A),"-")</f>
        <v>-</v>
      </c>
    </row>
    <row r="745" spans="1:13" hidden="1">
      <c r="A745" s="1">
        <v>46082</v>
      </c>
      <c r="B745" t="s">
        <v>568</v>
      </c>
      <c r="C745" t="s">
        <v>441</v>
      </c>
      <c r="D745" t="s">
        <v>228</v>
      </c>
      <c r="E745" t="s">
        <v>56</v>
      </c>
      <c r="F745">
        <v>71</v>
      </c>
      <c r="G745">
        <v>6</v>
      </c>
      <c r="H745">
        <v>2.0236087689713298E-3</v>
      </c>
      <c r="I745">
        <v>8.4507042253521097E-2</v>
      </c>
      <c r="J745" s="14" t="str">
        <f>_xlfn.XLOOKUP(B745,CAD_PDV!A:A,CAD_PDV!B:B)</f>
        <v>FAJULUTI</v>
      </c>
      <c r="K745" s="14">
        <f>IF(IFERROR(_xlfn.XLOOKUP(B745,Planilha2!D:D,Planilha2!H:H),0)="SIM",1,0)</f>
        <v>0</v>
      </c>
      <c r="L745" s="14" t="str">
        <f>_xlfn.XLOOKUP(B745,CAD_PDV!A:A,CAD_PDV!C:C)</f>
        <v>MG</v>
      </c>
      <c r="M745" s="14" t="str">
        <f>IFERROR(_xlfn.XLOOKUP(B745,repete!A:A,repete!A:A),"-")</f>
        <v>-</v>
      </c>
    </row>
    <row r="746" spans="1:13" hidden="1">
      <c r="A746" s="1">
        <v>46082</v>
      </c>
      <c r="B746" t="s">
        <v>375</v>
      </c>
      <c r="C746" t="s">
        <v>376</v>
      </c>
      <c r="D746" t="s">
        <v>230</v>
      </c>
      <c r="E746" t="s">
        <v>61</v>
      </c>
      <c r="F746">
        <v>71</v>
      </c>
      <c r="G746">
        <v>6</v>
      </c>
      <c r="H746">
        <v>2.0236087689713298E-3</v>
      </c>
      <c r="I746">
        <v>8.4507042253521097E-2</v>
      </c>
      <c r="J746" s="14" t="str">
        <f>_xlfn.XLOOKUP(B746,CAD_PDV!A:A,CAD_PDV!B:B)</f>
        <v>HARCOS COMERCIO E SERVICOS LTDA - EPP</v>
      </c>
      <c r="K746" s="14">
        <f>IF(IFERROR(_xlfn.XLOOKUP(B746,Planilha2!D:D,Planilha2!H:H),0)="SIM",1,0)</f>
        <v>0</v>
      </c>
      <c r="L746" s="14" t="str">
        <f>_xlfn.XLOOKUP(B746,CAD_PDV!A:A,CAD_PDV!C:C)</f>
        <v>NE</v>
      </c>
      <c r="M746" s="14" t="str">
        <f>IFERROR(_xlfn.XLOOKUP(B746,repete!A:A,repete!A:A),"-")</f>
        <v>-</v>
      </c>
    </row>
    <row r="747" spans="1:13" hidden="1">
      <c r="A747" s="1">
        <v>46082</v>
      </c>
      <c r="B747" t="s">
        <v>857</v>
      </c>
      <c r="C747" t="s">
        <v>855</v>
      </c>
      <c r="D747" t="s">
        <v>2073</v>
      </c>
      <c r="E747" t="s">
        <v>59</v>
      </c>
      <c r="F747">
        <v>24</v>
      </c>
      <c r="G747">
        <v>6</v>
      </c>
      <c r="H747">
        <v>2.0236087689713298E-3</v>
      </c>
      <c r="I747">
        <v>0.25</v>
      </c>
      <c r="J747" s="14" t="str">
        <f>_xlfn.XLOOKUP(B747,CAD_PDV!A:A,CAD_PDV!B:B)</f>
        <v xml:space="preserve">CONTACOM COMERCIO DE APARELHOS ELETRONICOS LTDA </v>
      </c>
      <c r="K747" s="14">
        <f>IF(IFERROR(_xlfn.XLOOKUP(B747,Planilha2!D:D,Planilha2!H:H),0)="SIM",1,0)</f>
        <v>0</v>
      </c>
      <c r="L747" s="14" t="str">
        <f>_xlfn.XLOOKUP(B747,CAD_PDV!A:A,CAD_PDV!C:C)</f>
        <v>CO</v>
      </c>
      <c r="M747" s="14" t="str">
        <f>IFERROR(_xlfn.XLOOKUP(B747,repete!A:A,repete!A:A),"-")</f>
        <v>-</v>
      </c>
    </row>
    <row r="748" spans="1:13" hidden="1">
      <c r="A748" s="1">
        <v>46082</v>
      </c>
      <c r="B748" t="s">
        <v>658</v>
      </c>
      <c r="C748" t="s">
        <v>659</v>
      </c>
      <c r="D748" t="s">
        <v>239</v>
      </c>
      <c r="E748" t="s">
        <v>59</v>
      </c>
      <c r="F748">
        <v>38</v>
      </c>
      <c r="G748">
        <v>6</v>
      </c>
      <c r="H748">
        <v>2.0236087689713298E-3</v>
      </c>
      <c r="I748">
        <v>0.157894736842105</v>
      </c>
      <c r="J748" s="14" t="str">
        <f>_xlfn.XLOOKUP(B748,CAD_PDV!A:A,CAD_PDV!B:B)</f>
        <v>TELECELL TELEFONIA LTDA - ME</v>
      </c>
      <c r="K748" s="14">
        <f>IF(IFERROR(_xlfn.XLOOKUP(B748,Planilha2!D:D,Planilha2!H:H),0)="SIM",1,0)</f>
        <v>0</v>
      </c>
      <c r="L748" s="14" t="str">
        <f>_xlfn.XLOOKUP(B748,CAD_PDV!A:A,CAD_PDV!C:C)</f>
        <v>CO</v>
      </c>
      <c r="M748" s="14" t="str">
        <f>IFERROR(_xlfn.XLOOKUP(B748,repete!A:A,repete!A:A),"-")</f>
        <v>-</v>
      </c>
    </row>
    <row r="749" spans="1:13" hidden="1">
      <c r="A749" s="1">
        <v>46082</v>
      </c>
      <c r="B749" t="s">
        <v>1717</v>
      </c>
      <c r="C749" t="s">
        <v>1718</v>
      </c>
      <c r="D749" t="s">
        <v>232</v>
      </c>
      <c r="E749" t="s">
        <v>54</v>
      </c>
      <c r="F749">
        <v>42</v>
      </c>
      <c r="G749">
        <v>6</v>
      </c>
      <c r="H749">
        <v>2.0236087689713298E-3</v>
      </c>
      <c r="I749">
        <v>0.14285714285714299</v>
      </c>
      <c r="J749" s="14" t="str">
        <f>_xlfn.XLOOKUP(B749,CAD_PDV!A:A,CAD_PDV!B:B)</f>
        <v>HS TELECOM</v>
      </c>
      <c r="K749" s="14">
        <f>IF(IFERROR(_xlfn.XLOOKUP(B749,Planilha2!D:D,Planilha2!H:H),0)="SIM",1,0)</f>
        <v>0</v>
      </c>
      <c r="L749" s="14" t="str">
        <f>_xlfn.XLOOKUP(B749,CAD_PDV!A:A,CAD_PDV!C:C)</f>
        <v>SP2</v>
      </c>
      <c r="M749" s="14" t="str">
        <f>IFERROR(_xlfn.XLOOKUP(B749,repete!A:A,repete!A:A),"-")</f>
        <v>WD3T</v>
      </c>
    </row>
    <row r="750" spans="1:13" hidden="1">
      <c r="A750" s="1">
        <v>46082</v>
      </c>
      <c r="B750" t="s">
        <v>1177</v>
      </c>
      <c r="C750" t="s">
        <v>1142</v>
      </c>
      <c r="D750" t="s">
        <v>228</v>
      </c>
      <c r="E750" t="s">
        <v>55</v>
      </c>
      <c r="F750">
        <v>55</v>
      </c>
      <c r="G750">
        <v>6</v>
      </c>
      <c r="H750">
        <v>2.0236087689713298E-3</v>
      </c>
      <c r="I750">
        <v>0.109090909090909</v>
      </c>
      <c r="J750" s="14" t="str">
        <f>_xlfn.XLOOKUP(B750,CAD_PDV!A:A,CAD_PDV!B:B)</f>
        <v>FAJULUTI</v>
      </c>
      <c r="K750" s="14">
        <f>IF(IFERROR(_xlfn.XLOOKUP(B750,Planilha2!D:D,Planilha2!H:H),0)="SIM",1,0)</f>
        <v>0</v>
      </c>
      <c r="L750" s="14" t="str">
        <f>_xlfn.XLOOKUP(B750,CAD_PDV!A:A,CAD_PDV!C:C)</f>
        <v>RJ/ES</v>
      </c>
      <c r="M750" s="14" t="str">
        <f>IFERROR(_xlfn.XLOOKUP(B750,repete!A:A,repete!A:A),"-")</f>
        <v>-</v>
      </c>
    </row>
    <row r="751" spans="1:13" hidden="1">
      <c r="A751" s="1">
        <v>46082</v>
      </c>
      <c r="B751" t="s">
        <v>481</v>
      </c>
      <c r="C751" t="s">
        <v>483</v>
      </c>
      <c r="D751" t="s">
        <v>228</v>
      </c>
      <c r="E751" t="s">
        <v>56</v>
      </c>
      <c r="F751">
        <v>50</v>
      </c>
      <c r="G751">
        <v>6</v>
      </c>
      <c r="H751">
        <v>2.0236087689713298E-3</v>
      </c>
      <c r="I751">
        <v>0.12</v>
      </c>
      <c r="J751" s="14" t="str">
        <f>_xlfn.XLOOKUP(B751,CAD_PDV!A:A,CAD_PDV!B:B)</f>
        <v>FAJULUTI</v>
      </c>
      <c r="K751" s="14">
        <f>IF(IFERROR(_xlfn.XLOOKUP(B751,Planilha2!D:D,Planilha2!H:H),0)="SIM",1,0)</f>
        <v>0</v>
      </c>
      <c r="L751" s="14" t="str">
        <f>_xlfn.XLOOKUP(B751,CAD_PDV!A:A,CAD_PDV!C:C)</f>
        <v>MG</v>
      </c>
      <c r="M751" s="14" t="str">
        <f>IFERROR(_xlfn.XLOOKUP(B751,repete!A:A,repete!A:A),"-")</f>
        <v>-</v>
      </c>
    </row>
    <row r="752" spans="1:13" hidden="1">
      <c r="A752" s="1">
        <v>46082</v>
      </c>
      <c r="B752" t="s">
        <v>1410</v>
      </c>
      <c r="C752" t="s">
        <v>1413</v>
      </c>
      <c r="D752" t="s">
        <v>220</v>
      </c>
      <c r="E752" t="s">
        <v>54</v>
      </c>
      <c r="F752">
        <v>35</v>
      </c>
      <c r="G752">
        <v>5</v>
      </c>
      <c r="H752">
        <v>1.6863406408094399E-3</v>
      </c>
      <c r="I752">
        <v>0.14285714285714299</v>
      </c>
      <c r="J752" s="14" t="str">
        <f>_xlfn.XLOOKUP(B752,CAD_PDV!A:A,CAD_PDV!B:B)</f>
        <v>ADESIENE NUNES MACHADO - ME</v>
      </c>
      <c r="K752" s="14">
        <f>IF(IFERROR(_xlfn.XLOOKUP(B752,Planilha2!D:D,Planilha2!H:H),0)="SIM",1,0)</f>
        <v>0</v>
      </c>
      <c r="L752" s="14" t="str">
        <f>_xlfn.XLOOKUP(B752,CAD_PDV!A:A,CAD_PDV!C:C)</f>
        <v>SP2</v>
      </c>
      <c r="M752" s="14" t="str">
        <f>IFERROR(_xlfn.XLOOKUP(B752,repete!A:A,repete!A:A),"-")</f>
        <v>-</v>
      </c>
    </row>
    <row r="753" spans="1:13" hidden="1">
      <c r="A753" s="1">
        <v>46082</v>
      </c>
      <c r="B753" t="s">
        <v>492</v>
      </c>
      <c r="C753" t="s">
        <v>494</v>
      </c>
      <c r="D753" t="s">
        <v>239</v>
      </c>
      <c r="E753" t="s">
        <v>56</v>
      </c>
      <c r="F753">
        <v>28</v>
      </c>
      <c r="G753">
        <v>5</v>
      </c>
      <c r="H753">
        <v>1.6863406408094399E-3</v>
      </c>
      <c r="I753">
        <v>0.17857142857142899</v>
      </c>
      <c r="J753" s="14" t="str">
        <f>_xlfn.XLOOKUP(B753,CAD_PDV!A:A,CAD_PDV!B:B)</f>
        <v>TELECELL TELEFONIA LTDA - ME</v>
      </c>
      <c r="K753" s="14">
        <f>IF(IFERROR(_xlfn.XLOOKUP(B753,Planilha2!D:D,Planilha2!H:H),0)="SIM",1,0)</f>
        <v>0</v>
      </c>
      <c r="L753" s="14" t="str">
        <f>_xlfn.XLOOKUP(B753,CAD_PDV!A:A,CAD_PDV!C:C)</f>
        <v>MG</v>
      </c>
      <c r="M753" s="14" t="str">
        <f>IFERROR(_xlfn.XLOOKUP(B753,repete!A:A,repete!A:A),"-")</f>
        <v>-</v>
      </c>
    </row>
    <row r="754" spans="1:13" hidden="1">
      <c r="A754" s="1">
        <v>46082</v>
      </c>
      <c r="B754" t="s">
        <v>827</v>
      </c>
      <c r="C754" t="s">
        <v>820</v>
      </c>
      <c r="D754" t="s">
        <v>239</v>
      </c>
      <c r="E754" t="s">
        <v>59</v>
      </c>
      <c r="F754">
        <v>77</v>
      </c>
      <c r="G754">
        <v>5</v>
      </c>
      <c r="H754">
        <v>1.6863406408094399E-3</v>
      </c>
      <c r="I754">
        <v>6.4935064935064901E-2</v>
      </c>
      <c r="J754" s="14" t="str">
        <f>_xlfn.XLOOKUP(B754,CAD_PDV!A:A,CAD_PDV!B:B)</f>
        <v>TELECELL TELEFONIA LTDA - ME</v>
      </c>
      <c r="K754" s="14">
        <f>IF(IFERROR(_xlfn.XLOOKUP(B754,Planilha2!D:D,Planilha2!H:H),0)="SIM",1,0)</f>
        <v>0</v>
      </c>
      <c r="L754" s="14" t="str">
        <f>_xlfn.XLOOKUP(B754,CAD_PDV!A:A,CAD_PDV!C:C)</f>
        <v>CO</v>
      </c>
      <c r="M754" s="14" t="str">
        <f>IFERROR(_xlfn.XLOOKUP(B754,repete!A:A,repete!A:A),"-")</f>
        <v>-</v>
      </c>
    </row>
    <row r="755" spans="1:13" hidden="1">
      <c r="A755" s="1">
        <v>46082</v>
      </c>
      <c r="B755" t="s">
        <v>1143</v>
      </c>
      <c r="C755" t="s">
        <v>1142</v>
      </c>
      <c r="D755" t="s">
        <v>237</v>
      </c>
      <c r="E755" t="s">
        <v>55</v>
      </c>
      <c r="F755">
        <v>201</v>
      </c>
      <c r="G755">
        <v>5</v>
      </c>
      <c r="H755">
        <v>1.6863406408094399E-3</v>
      </c>
      <c r="I755">
        <v>2.48756218905473E-2</v>
      </c>
      <c r="J755" s="14" t="str">
        <f>_xlfn.XLOOKUP(B755,CAD_PDV!A:A,CAD_PDV!B:B)</f>
        <v>PONTO CERTO COMERCIO E COMUNICAÇÕES LTDA</v>
      </c>
      <c r="K755" s="14">
        <f>IF(IFERROR(_xlfn.XLOOKUP(B755,Planilha2!D:D,Planilha2!H:H),0)="SIM",1,0)</f>
        <v>0</v>
      </c>
      <c r="L755" s="14" t="str">
        <f>_xlfn.XLOOKUP(B755,CAD_PDV!A:A,CAD_PDV!C:C)</f>
        <v>RJ/ES</v>
      </c>
      <c r="M755" s="14" t="str">
        <f>IFERROR(_xlfn.XLOOKUP(B755,repete!A:A,repete!A:A),"-")</f>
        <v>-</v>
      </c>
    </row>
    <row r="756" spans="1:13" hidden="1">
      <c r="A756" s="1">
        <v>46082</v>
      </c>
      <c r="B756" t="s">
        <v>672</v>
      </c>
      <c r="C756" t="s">
        <v>673</v>
      </c>
      <c r="D756" t="s">
        <v>239</v>
      </c>
      <c r="E756" t="s">
        <v>59</v>
      </c>
      <c r="F756">
        <v>55</v>
      </c>
      <c r="G756">
        <v>5</v>
      </c>
      <c r="H756">
        <v>1.6863406408094399E-3</v>
      </c>
      <c r="I756">
        <v>9.0909090909090898E-2</v>
      </c>
      <c r="J756" s="14" t="str">
        <f>_xlfn.XLOOKUP(B756,CAD_PDV!A:A,CAD_PDV!B:B)</f>
        <v>TELECELL TELEFONIA LTDA - ME</v>
      </c>
      <c r="K756" s="14">
        <f>IF(IFERROR(_xlfn.XLOOKUP(B756,Planilha2!D:D,Planilha2!H:H),0)="SIM",1,0)</f>
        <v>0</v>
      </c>
      <c r="L756" s="14" t="str">
        <f>_xlfn.XLOOKUP(B756,CAD_PDV!A:A,CAD_PDV!C:C)</f>
        <v>CO</v>
      </c>
      <c r="M756" s="14" t="str">
        <f>IFERROR(_xlfn.XLOOKUP(B756,repete!A:A,repete!A:A),"-")</f>
        <v>-</v>
      </c>
    </row>
    <row r="757" spans="1:13" hidden="1">
      <c r="A757" s="1">
        <v>46082</v>
      </c>
      <c r="B757" t="s">
        <v>883</v>
      </c>
      <c r="C757" t="s">
        <v>873</v>
      </c>
      <c r="D757" t="s">
        <v>224</v>
      </c>
      <c r="E757" t="s">
        <v>59</v>
      </c>
      <c r="F757">
        <v>138</v>
      </c>
      <c r="G757">
        <v>5</v>
      </c>
      <c r="H757">
        <v>1.6863406408094399E-3</v>
      </c>
      <c r="I757">
        <v>3.6231884057971002E-2</v>
      </c>
      <c r="J757" s="14" t="str">
        <f>_xlfn.XLOOKUP(B757,CAD_PDV!A:A,CAD_PDV!B:B)</f>
        <v>CELNET COMERCIO E SERVICOS DE TELEFONIA LTDA ME</v>
      </c>
      <c r="K757" s="14">
        <f>IF(IFERROR(_xlfn.XLOOKUP(B757,Planilha2!D:D,Planilha2!H:H),0)="SIM",1,0)</f>
        <v>0</v>
      </c>
      <c r="L757" s="14" t="str">
        <f>_xlfn.XLOOKUP(B757,CAD_PDV!A:A,CAD_PDV!C:C)</f>
        <v>CO</v>
      </c>
      <c r="M757" s="14" t="str">
        <f>IFERROR(_xlfn.XLOOKUP(B757,repete!A:A,repete!A:A),"-")</f>
        <v>-</v>
      </c>
    </row>
    <row r="758" spans="1:13" hidden="1">
      <c r="A758" s="1">
        <v>46082</v>
      </c>
      <c r="B758" t="s">
        <v>951</v>
      </c>
      <c r="C758" t="s">
        <v>953</v>
      </c>
      <c r="D758" t="s">
        <v>222</v>
      </c>
      <c r="E758" t="s">
        <v>60</v>
      </c>
      <c r="F758">
        <v>208</v>
      </c>
      <c r="G758">
        <v>5</v>
      </c>
      <c r="H758">
        <v>1.6863406408094399E-3</v>
      </c>
      <c r="I758">
        <v>2.4038461538461502E-2</v>
      </c>
      <c r="J758" s="14" t="str">
        <f>_xlfn.XLOOKUP(B758,CAD_PDV!A:A,CAD_PDV!B:B)</f>
        <v>ANCLA COMERCIO</v>
      </c>
      <c r="K758" s="14">
        <f>IF(IFERROR(_xlfn.XLOOKUP(B758,Planilha2!D:D,Planilha2!H:H),0)="SIM",1,0)</f>
        <v>0</v>
      </c>
      <c r="L758" s="14" t="str">
        <f>_xlfn.XLOOKUP(B758,CAD_PDV!A:A,CAD_PDV!C:C)</f>
        <v>BA/SE</v>
      </c>
      <c r="M758" s="14" t="str">
        <f>IFERROR(_xlfn.XLOOKUP(B758,repete!A:A,repete!A:A),"-")</f>
        <v>-</v>
      </c>
    </row>
    <row r="759" spans="1:13" hidden="1">
      <c r="A759" s="1">
        <v>46082</v>
      </c>
      <c r="B759" t="s">
        <v>1275</v>
      </c>
      <c r="C759" t="s">
        <v>1188</v>
      </c>
      <c r="D759" t="s">
        <v>228</v>
      </c>
      <c r="E759" t="s">
        <v>55</v>
      </c>
      <c r="F759">
        <v>62</v>
      </c>
      <c r="G759">
        <v>5</v>
      </c>
      <c r="H759">
        <v>1.6863406408094399E-3</v>
      </c>
      <c r="I759">
        <v>8.0645161290322606E-2</v>
      </c>
      <c r="J759" s="14" t="str">
        <f>_xlfn.XLOOKUP(B759,CAD_PDV!A:A,CAD_PDV!B:B)</f>
        <v>FAJULUTI</v>
      </c>
      <c r="K759" s="14">
        <f>IF(IFERROR(_xlfn.XLOOKUP(B759,Planilha2!D:D,Planilha2!H:H),0)="SIM",1,0)</f>
        <v>0</v>
      </c>
      <c r="L759" s="14" t="str">
        <f>_xlfn.XLOOKUP(B759,CAD_PDV!A:A,CAD_PDV!C:C)</f>
        <v>RJ/ES</v>
      </c>
      <c r="M759" s="14" t="str">
        <f>IFERROR(_xlfn.XLOOKUP(B759,repete!A:A,repete!A:A),"-")</f>
        <v>-</v>
      </c>
    </row>
    <row r="760" spans="1:13" hidden="1">
      <c r="A760" s="1">
        <v>46082</v>
      </c>
      <c r="B760" t="s">
        <v>404</v>
      </c>
      <c r="C760" t="s">
        <v>288</v>
      </c>
      <c r="D760" t="s">
        <v>230</v>
      </c>
      <c r="E760" t="s">
        <v>61</v>
      </c>
      <c r="F760">
        <v>163</v>
      </c>
      <c r="G760">
        <v>5</v>
      </c>
      <c r="H760">
        <v>1.6863406408094399E-3</v>
      </c>
      <c r="I760">
        <v>3.0674846625766899E-2</v>
      </c>
      <c r="J760" s="14" t="str">
        <f>_xlfn.XLOOKUP(B760,CAD_PDV!A:A,CAD_PDV!B:B)</f>
        <v>HARCOS COMERCIO E SERVICOS LTDA - EPP</v>
      </c>
      <c r="K760" s="14">
        <f>IF(IFERROR(_xlfn.XLOOKUP(B760,Planilha2!D:D,Planilha2!H:H),0)="SIM",1,0)</f>
        <v>0</v>
      </c>
      <c r="L760" s="14" t="str">
        <f>_xlfn.XLOOKUP(B760,CAD_PDV!A:A,CAD_PDV!C:C)</f>
        <v>NE</v>
      </c>
      <c r="M760" s="14" t="str">
        <f>IFERROR(_xlfn.XLOOKUP(B760,repete!A:A,repete!A:A),"-")</f>
        <v>-</v>
      </c>
    </row>
    <row r="761" spans="1:13" hidden="1">
      <c r="A761" s="1">
        <v>46082</v>
      </c>
      <c r="B761" t="s">
        <v>1629</v>
      </c>
      <c r="C761" t="s">
        <v>1464</v>
      </c>
      <c r="D761" t="s">
        <v>132</v>
      </c>
      <c r="E761" t="s">
        <v>54</v>
      </c>
      <c r="F761">
        <v>48</v>
      </c>
      <c r="G761">
        <v>5</v>
      </c>
      <c r="H761">
        <v>1.6863406408094399E-3</v>
      </c>
      <c r="I761">
        <v>0.104166666666667</v>
      </c>
      <c r="J761" s="14" t="str">
        <f>_xlfn.XLOOKUP(B761,CAD_PDV!A:A,CAD_PDV!B:B)</f>
        <v>FLEX CELL</v>
      </c>
      <c r="K761" s="14">
        <f>IF(IFERROR(_xlfn.XLOOKUP(B761,Planilha2!D:D,Planilha2!H:H),0)="SIM",1,0)</f>
        <v>0</v>
      </c>
      <c r="L761" s="14" t="str">
        <f>_xlfn.XLOOKUP(B761,CAD_PDV!A:A,CAD_PDV!C:C)</f>
        <v>SP2</v>
      </c>
      <c r="M761" s="14" t="str">
        <f>IFERROR(_xlfn.XLOOKUP(B761,repete!A:A,repete!A:A),"-")</f>
        <v>-</v>
      </c>
    </row>
    <row r="762" spans="1:13" hidden="1">
      <c r="A762" s="1">
        <v>46082</v>
      </c>
      <c r="B762" t="s">
        <v>800</v>
      </c>
      <c r="C762" t="s">
        <v>651</v>
      </c>
      <c r="D762" t="s">
        <v>239</v>
      </c>
      <c r="E762" t="s">
        <v>59</v>
      </c>
      <c r="F762">
        <v>72</v>
      </c>
      <c r="G762">
        <v>5</v>
      </c>
      <c r="H762">
        <v>1.6863406408094399E-3</v>
      </c>
      <c r="I762">
        <v>6.9444444444444406E-2</v>
      </c>
      <c r="J762" s="14" t="str">
        <f>_xlfn.XLOOKUP(B762,CAD_PDV!A:A,CAD_PDV!B:B)</f>
        <v>TELECELL TELEFONIA LTDA - ME</v>
      </c>
      <c r="K762" s="14">
        <f>IF(IFERROR(_xlfn.XLOOKUP(B762,Planilha2!D:D,Planilha2!H:H),0)="SIM",1,0)</f>
        <v>0</v>
      </c>
      <c r="L762" s="14" t="str">
        <f>_xlfn.XLOOKUP(B762,CAD_PDV!A:A,CAD_PDV!C:C)</f>
        <v>CO</v>
      </c>
      <c r="M762" s="14" t="str">
        <f>IFERROR(_xlfn.XLOOKUP(B762,repete!A:A,repete!A:A),"-")</f>
        <v>-</v>
      </c>
    </row>
    <row r="763" spans="1:13" hidden="1">
      <c r="A763" s="1">
        <v>46082</v>
      </c>
      <c r="B763" t="s">
        <v>1338</v>
      </c>
      <c r="C763" t="s">
        <v>1313</v>
      </c>
      <c r="D763" t="s">
        <v>225</v>
      </c>
      <c r="E763" t="s">
        <v>53</v>
      </c>
      <c r="F763">
        <v>91</v>
      </c>
      <c r="G763">
        <v>5</v>
      </c>
      <c r="H763">
        <v>1.6863406408094399E-3</v>
      </c>
      <c r="I763">
        <v>5.4945054945054903E-2</v>
      </c>
      <c r="J763" s="14" t="str">
        <f>_xlfn.XLOOKUP(B763,CAD_PDV!A:A,CAD_PDV!B:B)</f>
        <v>CLARICELL SP1</v>
      </c>
      <c r="K763" s="14">
        <f>IF(IFERROR(_xlfn.XLOOKUP(B763,Planilha2!D:D,Planilha2!H:H),0)="SIM",1,0)</f>
        <v>0</v>
      </c>
      <c r="L763" s="14" t="str">
        <f>_xlfn.XLOOKUP(B763,CAD_PDV!A:A,CAD_PDV!C:C)</f>
        <v>SP1</v>
      </c>
      <c r="M763" s="14" t="str">
        <f>IFERROR(_xlfn.XLOOKUP(B763,repete!A:A,repete!A:A),"-")</f>
        <v>-</v>
      </c>
    </row>
    <row r="764" spans="1:13" hidden="1">
      <c r="A764" s="1">
        <v>46082</v>
      </c>
      <c r="B764" t="s">
        <v>614</v>
      </c>
      <c r="C764" t="s">
        <v>616</v>
      </c>
      <c r="D764" t="s">
        <v>239</v>
      </c>
      <c r="E764" t="s">
        <v>59</v>
      </c>
      <c r="F764">
        <v>45</v>
      </c>
      <c r="G764">
        <v>5</v>
      </c>
      <c r="H764">
        <v>1.6863406408094399E-3</v>
      </c>
      <c r="I764">
        <v>0.11111111111111099</v>
      </c>
      <c r="J764" s="14" t="str">
        <f>_xlfn.XLOOKUP(B764,CAD_PDV!A:A,CAD_PDV!B:B)</f>
        <v>TELECELL TELEFONIA LTDA - ME</v>
      </c>
      <c r="K764" s="14">
        <f>IF(IFERROR(_xlfn.XLOOKUP(B764,Planilha2!D:D,Planilha2!H:H),0)="SIM",1,0)</f>
        <v>0</v>
      </c>
      <c r="L764" s="14" t="str">
        <f>_xlfn.XLOOKUP(B764,CAD_PDV!A:A,CAD_PDV!C:C)</f>
        <v>CO</v>
      </c>
      <c r="M764" s="14" t="str">
        <f>IFERROR(_xlfn.XLOOKUP(B764,repete!A:A,repete!A:A),"-")</f>
        <v>-</v>
      </c>
    </row>
    <row r="765" spans="1:13" hidden="1">
      <c r="A765" s="1">
        <v>46082</v>
      </c>
      <c r="B765" t="s">
        <v>1370</v>
      </c>
      <c r="C765" t="s">
        <v>1371</v>
      </c>
      <c r="D765" t="s">
        <v>132</v>
      </c>
      <c r="E765" t="s">
        <v>53</v>
      </c>
      <c r="F765">
        <v>43</v>
      </c>
      <c r="G765">
        <v>5</v>
      </c>
      <c r="H765">
        <v>1.6863406408094399E-3</v>
      </c>
      <c r="I765">
        <v>0.116279069767442</v>
      </c>
      <c r="J765" s="14" t="str">
        <f>_xlfn.XLOOKUP(B765,CAD_PDV!A:A,CAD_PDV!B:B)</f>
        <v>FLEX CELL</v>
      </c>
      <c r="K765" s="14">
        <f>IF(IFERROR(_xlfn.XLOOKUP(B765,Planilha2!D:D,Planilha2!H:H),0)="SIM",1,0)</f>
        <v>0</v>
      </c>
      <c r="L765" s="14" t="str">
        <f>_xlfn.XLOOKUP(B765,CAD_PDV!A:A,CAD_PDV!C:C)</f>
        <v>SP1</v>
      </c>
      <c r="M765" s="14" t="str">
        <f>IFERROR(_xlfn.XLOOKUP(B765,repete!A:A,repete!A:A),"-")</f>
        <v>-</v>
      </c>
    </row>
    <row r="766" spans="1:13" hidden="1">
      <c r="A766" s="1">
        <v>46082</v>
      </c>
      <c r="B766" t="s">
        <v>2052</v>
      </c>
      <c r="C766" t="s">
        <v>2053</v>
      </c>
      <c r="D766" t="s">
        <v>193</v>
      </c>
      <c r="E766" t="s">
        <v>2074</v>
      </c>
      <c r="F766">
        <v>42</v>
      </c>
      <c r="G766">
        <v>5</v>
      </c>
      <c r="H766">
        <v>1.6863406408094399E-3</v>
      </c>
      <c r="I766">
        <v>0.119047619047619</v>
      </c>
      <c r="J766" s="14" t="str">
        <f>_xlfn.XLOOKUP(B766,CAD_PDV!A:A,CAD_PDV!B:B)</f>
        <v>S D COMERCIO DE CELULARES LTDA - ME</v>
      </c>
      <c r="K766" s="14">
        <f>IF(IFERROR(_xlfn.XLOOKUP(B766,Planilha2!D:D,Planilha2!H:H),0)="SIM",1,0)</f>
        <v>0</v>
      </c>
      <c r="L766" s="14" t="str">
        <f>_xlfn.XLOOKUP(B766,CAD_PDV!A:A,CAD_PDV!C:C)</f>
        <v>RS</v>
      </c>
      <c r="M766" s="14" t="str">
        <f>IFERROR(_xlfn.XLOOKUP(B766,repete!A:A,repete!A:A),"-")</f>
        <v>-</v>
      </c>
    </row>
    <row r="767" spans="1:13" hidden="1">
      <c r="A767" s="1">
        <v>46082</v>
      </c>
      <c r="B767" t="s">
        <v>577</v>
      </c>
      <c r="C767" t="s">
        <v>578</v>
      </c>
      <c r="D767" t="s">
        <v>228</v>
      </c>
      <c r="E767" t="s">
        <v>56</v>
      </c>
      <c r="F767">
        <v>22</v>
      </c>
      <c r="G767">
        <v>5</v>
      </c>
      <c r="H767">
        <v>1.6863406408094399E-3</v>
      </c>
      <c r="I767">
        <v>0.22727272727272699</v>
      </c>
      <c r="J767" s="14" t="str">
        <f>_xlfn.XLOOKUP(B767,CAD_PDV!A:A,CAD_PDV!B:B)</f>
        <v>FAJULUTI</v>
      </c>
      <c r="K767" s="14">
        <f>IF(IFERROR(_xlfn.XLOOKUP(B767,Planilha2!D:D,Planilha2!H:H),0)="SIM",1,0)</f>
        <v>0</v>
      </c>
      <c r="L767" s="14" t="str">
        <f>_xlfn.XLOOKUP(B767,CAD_PDV!A:A,CAD_PDV!C:C)</f>
        <v>MG</v>
      </c>
      <c r="M767" s="14" t="str">
        <f>IFERROR(_xlfn.XLOOKUP(B767,repete!A:A,repete!A:A),"-")</f>
        <v>-</v>
      </c>
    </row>
    <row r="768" spans="1:13" hidden="1">
      <c r="A768" s="1">
        <v>46082</v>
      </c>
      <c r="B768" t="s">
        <v>1719</v>
      </c>
      <c r="C768" t="s">
        <v>1557</v>
      </c>
      <c r="D768" t="s">
        <v>106</v>
      </c>
      <c r="E768" t="s">
        <v>54</v>
      </c>
      <c r="F768">
        <v>61</v>
      </c>
      <c r="G768">
        <v>5</v>
      </c>
      <c r="H768">
        <v>1.6863406408094399E-3</v>
      </c>
      <c r="I768">
        <v>8.1967213114754106E-2</v>
      </c>
      <c r="J768" s="14" t="str">
        <f>_xlfn.XLOOKUP(B768,CAD_PDV!A:A,CAD_PDV!B:B)</f>
        <v>CELLULAR.COM</v>
      </c>
      <c r="K768" s="14">
        <f>IF(IFERROR(_xlfn.XLOOKUP(B768,Planilha2!D:D,Planilha2!H:H),0)="SIM",1,0)</f>
        <v>0</v>
      </c>
      <c r="L768" s="14" t="str">
        <f>_xlfn.XLOOKUP(B768,CAD_PDV!A:A,CAD_PDV!C:C)</f>
        <v>SP2</v>
      </c>
      <c r="M768" s="14" t="str">
        <f>IFERROR(_xlfn.XLOOKUP(B768,repete!A:A,repete!A:A),"-")</f>
        <v>-</v>
      </c>
    </row>
    <row r="769" spans="1:13" hidden="1">
      <c r="A769" s="1">
        <v>46082</v>
      </c>
      <c r="B769" t="s">
        <v>2029</v>
      </c>
      <c r="C769" t="s">
        <v>2026</v>
      </c>
      <c r="D769" t="s">
        <v>193</v>
      </c>
      <c r="E769" t="s">
        <v>2074</v>
      </c>
      <c r="F769">
        <v>52</v>
      </c>
      <c r="G769">
        <v>5</v>
      </c>
      <c r="H769">
        <v>1.6863406408094399E-3</v>
      </c>
      <c r="I769">
        <v>9.6153846153846201E-2</v>
      </c>
      <c r="J769" s="14" t="str">
        <f>_xlfn.XLOOKUP(B769,CAD_PDV!A:A,CAD_PDV!B:B)</f>
        <v>S D COMERCIO DE CELULARES LTDA - ME</v>
      </c>
      <c r="K769" s="14">
        <f>IF(IFERROR(_xlfn.XLOOKUP(B769,Planilha2!D:D,Planilha2!H:H),0)="SIM",1,0)</f>
        <v>0</v>
      </c>
      <c r="L769" s="14" t="str">
        <f>_xlfn.XLOOKUP(B769,CAD_PDV!A:A,CAD_PDV!C:C)</f>
        <v>RS</v>
      </c>
      <c r="M769" s="14" t="str">
        <f>IFERROR(_xlfn.XLOOKUP(B769,repete!A:A,repete!A:A),"-")</f>
        <v>-</v>
      </c>
    </row>
    <row r="770" spans="1:13" hidden="1">
      <c r="A770" s="1">
        <v>46082</v>
      </c>
      <c r="B770" t="s">
        <v>1945</v>
      </c>
      <c r="C770" t="s">
        <v>1946</v>
      </c>
      <c r="D770" t="s">
        <v>124</v>
      </c>
      <c r="E770" t="s">
        <v>2074</v>
      </c>
      <c r="F770">
        <v>27</v>
      </c>
      <c r="G770">
        <v>4</v>
      </c>
      <c r="H770">
        <v>1.34907251264755E-3</v>
      </c>
      <c r="I770">
        <v>0.148148148148148</v>
      </c>
      <c r="J770" s="14" t="str">
        <f>_xlfn.XLOOKUP(B770,CAD_PDV!A:A,CAD_PDV!B:B)</f>
        <v>EDUARDO JUNQUEIRA DA SILVEIRA ADMIN</v>
      </c>
      <c r="K770" s="14">
        <f>IF(IFERROR(_xlfn.XLOOKUP(B770,Planilha2!D:D,Planilha2!H:H),0)="SIM",1,0)</f>
        <v>0</v>
      </c>
      <c r="L770" s="14" t="str">
        <f>_xlfn.XLOOKUP(B770,CAD_PDV!A:A,CAD_PDV!C:C)</f>
        <v>RS</v>
      </c>
      <c r="M770" s="14" t="str">
        <f>IFERROR(_xlfn.XLOOKUP(B770,repete!A:A,repete!A:A),"-")</f>
        <v>-</v>
      </c>
    </row>
    <row r="771" spans="1:13" hidden="1">
      <c r="A771" s="1">
        <v>46082</v>
      </c>
      <c r="B771" t="s">
        <v>306</v>
      </c>
      <c r="C771" t="s">
        <v>308</v>
      </c>
      <c r="D771" t="s">
        <v>230</v>
      </c>
      <c r="E771" t="s">
        <v>61</v>
      </c>
      <c r="F771">
        <v>50</v>
      </c>
      <c r="G771">
        <v>4</v>
      </c>
      <c r="H771">
        <v>1.34907251264755E-3</v>
      </c>
      <c r="I771">
        <v>0.08</v>
      </c>
      <c r="J771" s="14" t="str">
        <f>_xlfn.XLOOKUP(B771,CAD_PDV!A:A,CAD_PDV!B:B)</f>
        <v>HARCOS COMERCIO E SERVICOS LTDA - EPP</v>
      </c>
      <c r="K771" s="14">
        <f>IF(IFERROR(_xlfn.XLOOKUP(B771,Planilha2!D:D,Planilha2!H:H),0)="SIM",1,0)</f>
        <v>0</v>
      </c>
      <c r="L771" s="14" t="str">
        <f>_xlfn.XLOOKUP(B771,CAD_PDV!A:A,CAD_PDV!C:C)</f>
        <v>NE</v>
      </c>
      <c r="M771" s="14" t="str">
        <f>IFERROR(_xlfn.XLOOKUP(B771,repete!A:A,repete!A:A),"-")</f>
        <v>-</v>
      </c>
    </row>
    <row r="772" spans="1:13" hidden="1">
      <c r="A772" s="1">
        <v>46082</v>
      </c>
      <c r="B772" t="s">
        <v>1827</v>
      </c>
      <c r="C772" t="s">
        <v>1828</v>
      </c>
      <c r="D772" t="s">
        <v>95</v>
      </c>
      <c r="E772" t="s">
        <v>2074</v>
      </c>
      <c r="F772">
        <v>17</v>
      </c>
      <c r="G772">
        <v>4</v>
      </c>
      <c r="H772">
        <v>1.34907251264755E-3</v>
      </c>
      <c r="I772">
        <v>0.23529411764705899</v>
      </c>
      <c r="J772" s="14" t="str">
        <f>_xlfn.XLOOKUP(B772,CAD_PDV!A:A,CAD_PDV!B:B)</f>
        <v>AYRES E DEBONI LTDA - ME</v>
      </c>
      <c r="K772" s="14">
        <f>IF(IFERROR(_xlfn.XLOOKUP(B772,Planilha2!D:D,Planilha2!H:H),0)="SIM",1,0)</f>
        <v>0</v>
      </c>
      <c r="L772" s="14" t="str">
        <f>_xlfn.XLOOKUP(B772,CAD_PDV!A:A,CAD_PDV!C:C)</f>
        <v>RS</v>
      </c>
      <c r="M772" s="14" t="str">
        <f>IFERROR(_xlfn.XLOOKUP(B772,repete!A:A,repete!A:A),"-")</f>
        <v>-</v>
      </c>
    </row>
    <row r="773" spans="1:13" hidden="1">
      <c r="A773" s="1">
        <v>46082</v>
      </c>
      <c r="B773" t="s">
        <v>1465</v>
      </c>
      <c r="C773" t="s">
        <v>1466</v>
      </c>
      <c r="D773" t="s">
        <v>119</v>
      </c>
      <c r="E773" t="s">
        <v>54</v>
      </c>
      <c r="F773">
        <v>32</v>
      </c>
      <c r="G773">
        <v>4</v>
      </c>
      <c r="H773">
        <v>1.34907251264755E-3</v>
      </c>
      <c r="I773">
        <v>0.125</v>
      </c>
      <c r="J773" s="14" t="str">
        <f>_xlfn.XLOOKUP(B773,CAD_PDV!A:A,CAD_PDV!B:B)</f>
        <v>DOM BARRETO COMERCIAL LTDA - ME</v>
      </c>
      <c r="K773" s="14">
        <f>IF(IFERROR(_xlfn.XLOOKUP(B773,Planilha2!D:D,Planilha2!H:H),0)="SIM",1,0)</f>
        <v>0</v>
      </c>
      <c r="L773" s="14" t="str">
        <f>_xlfn.XLOOKUP(B773,CAD_PDV!A:A,CAD_PDV!C:C)</f>
        <v>SP2</v>
      </c>
      <c r="M773" s="14" t="str">
        <f>IFERROR(_xlfn.XLOOKUP(B773,repete!A:A,repete!A:A),"-")</f>
        <v>-</v>
      </c>
    </row>
    <row r="774" spans="1:13" hidden="1">
      <c r="A774" s="1">
        <v>46082</v>
      </c>
      <c r="B774" t="s">
        <v>611</v>
      </c>
      <c r="C774" t="s">
        <v>610</v>
      </c>
      <c r="D774" t="s">
        <v>239</v>
      </c>
      <c r="E774" t="s">
        <v>59</v>
      </c>
      <c r="F774">
        <v>52</v>
      </c>
      <c r="G774">
        <v>4</v>
      </c>
      <c r="H774">
        <v>1.34907251264755E-3</v>
      </c>
      <c r="I774">
        <v>7.69230769230769E-2</v>
      </c>
      <c r="J774" s="14" t="str">
        <f>_xlfn.XLOOKUP(B774,CAD_PDV!A:A,CAD_PDV!B:B)</f>
        <v>TELECELL TELEFONIA LTDA - ME</v>
      </c>
      <c r="K774" s="14">
        <f>IF(IFERROR(_xlfn.XLOOKUP(B774,Planilha2!D:D,Planilha2!H:H),0)="SIM",1,0)</f>
        <v>0</v>
      </c>
      <c r="L774" s="14" t="str">
        <f>_xlfn.XLOOKUP(B774,CAD_PDV!A:A,CAD_PDV!C:C)</f>
        <v>CO</v>
      </c>
      <c r="M774" s="14" t="str">
        <f>IFERROR(_xlfn.XLOOKUP(B774,repete!A:A,repete!A:A),"-")</f>
        <v>-</v>
      </c>
    </row>
    <row r="775" spans="1:13" hidden="1">
      <c r="A775" s="1">
        <v>46082</v>
      </c>
      <c r="B775" t="s">
        <v>1377</v>
      </c>
      <c r="C775" t="s">
        <v>1375</v>
      </c>
      <c r="D775" t="s">
        <v>229</v>
      </c>
      <c r="E775" t="s">
        <v>53</v>
      </c>
      <c r="F775">
        <v>105</v>
      </c>
      <c r="G775">
        <v>4</v>
      </c>
      <c r="H775">
        <v>1.34907251264755E-3</v>
      </c>
      <c r="I775">
        <v>3.8095238095238099E-2</v>
      </c>
      <c r="J775" s="14" t="str">
        <f>_xlfn.XLOOKUP(B775,CAD_PDV!A:A,CAD_PDV!B:B)</f>
        <v>FW TELEFONIA LTDA - EPP</v>
      </c>
      <c r="K775" s="14">
        <f>IF(IFERROR(_xlfn.XLOOKUP(B775,Planilha2!D:D,Planilha2!H:H),0)="SIM",1,0)</f>
        <v>0</v>
      </c>
      <c r="L775" s="14" t="str">
        <f>_xlfn.XLOOKUP(B775,CAD_PDV!A:A,CAD_PDV!C:C)</f>
        <v>SP1</v>
      </c>
      <c r="M775" s="14" t="str">
        <f>IFERROR(_xlfn.XLOOKUP(B775,repete!A:A,repete!A:A),"-")</f>
        <v>6J3J</v>
      </c>
    </row>
    <row r="776" spans="1:13" hidden="1">
      <c r="A776" s="1">
        <v>46082</v>
      </c>
      <c r="B776" t="s">
        <v>1528</v>
      </c>
      <c r="C776" t="s">
        <v>1454</v>
      </c>
      <c r="D776" t="s">
        <v>132</v>
      </c>
      <c r="E776" t="s">
        <v>54</v>
      </c>
      <c r="F776">
        <v>44</v>
      </c>
      <c r="G776">
        <v>4</v>
      </c>
      <c r="H776">
        <v>1.34907251264755E-3</v>
      </c>
      <c r="I776">
        <v>9.0909090909090898E-2</v>
      </c>
      <c r="J776" s="14" t="str">
        <f>_xlfn.XLOOKUP(B776,CAD_PDV!A:A,CAD_PDV!B:B)</f>
        <v>FLEX CELL</v>
      </c>
      <c r="K776" s="14">
        <f>IF(IFERROR(_xlfn.XLOOKUP(B776,Planilha2!D:D,Planilha2!H:H),0)="SIM",1,0)</f>
        <v>0</v>
      </c>
      <c r="L776" s="14" t="str">
        <f>_xlfn.XLOOKUP(B776,CAD_PDV!A:A,CAD_PDV!C:C)</f>
        <v>SP2</v>
      </c>
      <c r="M776" s="14" t="str">
        <f>IFERROR(_xlfn.XLOOKUP(B776,repete!A:A,repete!A:A),"-")</f>
        <v>-</v>
      </c>
    </row>
    <row r="777" spans="1:13" hidden="1">
      <c r="A777" s="1">
        <v>46082</v>
      </c>
      <c r="B777" t="s">
        <v>645</v>
      </c>
      <c r="C777" t="s">
        <v>644</v>
      </c>
      <c r="D777" t="s">
        <v>240</v>
      </c>
      <c r="E777" t="s">
        <v>59</v>
      </c>
      <c r="F777">
        <v>42</v>
      </c>
      <c r="G777">
        <v>4</v>
      </c>
      <c r="H777">
        <v>1.34907251264755E-3</v>
      </c>
      <c r="I777">
        <v>9.5238095238095205E-2</v>
      </c>
      <c r="J777" s="14" t="str">
        <f>_xlfn.XLOOKUP(B777,CAD_PDV!A:A,CAD_PDV!B:B)</f>
        <v>TELEMAIS TELEFONIA LTDA - ME</v>
      </c>
      <c r="K777" s="14">
        <f>IF(IFERROR(_xlfn.XLOOKUP(B777,Planilha2!D:D,Planilha2!H:H),0)="SIM",1,0)</f>
        <v>0</v>
      </c>
      <c r="L777" s="14" t="str">
        <f>_xlfn.XLOOKUP(B777,CAD_PDV!A:A,CAD_PDV!C:C)</f>
        <v>CO</v>
      </c>
      <c r="M777" s="14" t="str">
        <f>IFERROR(_xlfn.XLOOKUP(B777,repete!A:A,repete!A:A),"-")</f>
        <v>-</v>
      </c>
    </row>
    <row r="778" spans="1:13" hidden="1">
      <c r="A778" s="1">
        <v>46082</v>
      </c>
      <c r="B778" t="s">
        <v>881</v>
      </c>
      <c r="C778" t="s">
        <v>873</v>
      </c>
      <c r="D778" t="s">
        <v>239</v>
      </c>
      <c r="E778" t="s">
        <v>59</v>
      </c>
      <c r="F778">
        <v>95</v>
      </c>
      <c r="G778">
        <v>4</v>
      </c>
      <c r="H778">
        <v>1.34907251264755E-3</v>
      </c>
      <c r="I778">
        <v>4.2105263157894701E-2</v>
      </c>
      <c r="J778" s="14" t="str">
        <f>_xlfn.XLOOKUP(B778,CAD_PDV!A:A,CAD_PDV!B:B)</f>
        <v>TELECELL TELEFONIA LTDA - ME</v>
      </c>
      <c r="K778" s="14">
        <f>IF(IFERROR(_xlfn.XLOOKUP(B778,Planilha2!D:D,Planilha2!H:H),0)="SIM",1,0)</f>
        <v>0</v>
      </c>
      <c r="L778" s="14" t="str">
        <f>_xlfn.XLOOKUP(B778,CAD_PDV!A:A,CAD_PDV!C:C)</f>
        <v>CO</v>
      </c>
      <c r="M778" s="14" t="str">
        <f>IFERROR(_xlfn.XLOOKUP(B778,repete!A:A,repete!A:A),"-")</f>
        <v>-</v>
      </c>
    </row>
    <row r="779" spans="1:13" hidden="1">
      <c r="A779" s="1">
        <v>46082</v>
      </c>
      <c r="B779" t="s">
        <v>656</v>
      </c>
      <c r="C779" t="s">
        <v>649</v>
      </c>
      <c r="D779" t="s">
        <v>239</v>
      </c>
      <c r="E779" t="s">
        <v>59</v>
      </c>
      <c r="F779">
        <v>76</v>
      </c>
      <c r="G779">
        <v>4</v>
      </c>
      <c r="H779">
        <v>1.34907251264755E-3</v>
      </c>
      <c r="I779">
        <v>5.2631578947368397E-2</v>
      </c>
      <c r="J779" s="14" t="str">
        <f>_xlfn.XLOOKUP(B779,CAD_PDV!A:A,CAD_PDV!B:B)</f>
        <v>TELECELL TELEFONIA LTDA - ME</v>
      </c>
      <c r="K779" s="14">
        <f>IF(IFERROR(_xlfn.XLOOKUP(B779,Planilha2!D:D,Planilha2!H:H),0)="SIM",1,0)</f>
        <v>0</v>
      </c>
      <c r="L779" s="14" t="str">
        <f>_xlfn.XLOOKUP(B779,CAD_PDV!A:A,CAD_PDV!C:C)</f>
        <v>CO</v>
      </c>
      <c r="M779" s="14" t="str">
        <f>IFERROR(_xlfn.XLOOKUP(B779,repete!A:A,repete!A:A),"-")</f>
        <v>-</v>
      </c>
    </row>
    <row r="780" spans="1:13" hidden="1">
      <c r="A780" s="1">
        <v>46082</v>
      </c>
      <c r="B780" t="s">
        <v>1276</v>
      </c>
      <c r="C780" t="s">
        <v>1185</v>
      </c>
      <c r="D780" t="s">
        <v>228</v>
      </c>
      <c r="E780" t="s">
        <v>55</v>
      </c>
      <c r="F780">
        <v>28</v>
      </c>
      <c r="G780">
        <v>4</v>
      </c>
      <c r="H780">
        <v>1.34907251264755E-3</v>
      </c>
      <c r="I780">
        <v>0.14285714285714299</v>
      </c>
      <c r="J780" s="14" t="str">
        <f>_xlfn.XLOOKUP(B780,CAD_PDV!A:A,CAD_PDV!B:B)</f>
        <v>FAJULUTI</v>
      </c>
      <c r="K780" s="14">
        <f>IF(IFERROR(_xlfn.XLOOKUP(B780,Planilha2!D:D,Planilha2!H:H),0)="SIM",1,0)</f>
        <v>0</v>
      </c>
      <c r="L780" s="14" t="str">
        <f>_xlfn.XLOOKUP(B780,CAD_PDV!A:A,CAD_PDV!C:C)</f>
        <v>RJ/ES</v>
      </c>
      <c r="M780" s="14" t="str">
        <f>IFERROR(_xlfn.XLOOKUP(B780,repete!A:A,repete!A:A),"-")</f>
        <v>-</v>
      </c>
    </row>
    <row r="781" spans="1:13" hidden="1">
      <c r="A781" s="1">
        <v>46082</v>
      </c>
      <c r="B781" t="s">
        <v>1291</v>
      </c>
      <c r="C781" t="s">
        <v>1292</v>
      </c>
      <c r="D781" t="s">
        <v>232</v>
      </c>
      <c r="E781" t="s">
        <v>55</v>
      </c>
      <c r="F781">
        <v>97</v>
      </c>
      <c r="G781">
        <v>4</v>
      </c>
      <c r="H781">
        <v>1.34907251264755E-3</v>
      </c>
      <c r="I781">
        <v>4.1237113402061903E-2</v>
      </c>
      <c r="J781" s="14" t="str">
        <f>_xlfn.XLOOKUP(B781,CAD_PDV!A:A,CAD_PDV!B:B)</f>
        <v>HS TELECOM</v>
      </c>
      <c r="K781" s="14">
        <f>IF(IFERROR(_xlfn.XLOOKUP(B781,Planilha2!D:D,Planilha2!H:H),0)="SIM",1,0)</f>
        <v>0</v>
      </c>
      <c r="L781" s="14" t="str">
        <f>_xlfn.XLOOKUP(B781,CAD_PDV!A:A,CAD_PDV!C:C)</f>
        <v>RJ/ES</v>
      </c>
      <c r="M781" s="14" t="str">
        <f>IFERROR(_xlfn.XLOOKUP(B781,repete!A:A,repete!A:A),"-")</f>
        <v>-</v>
      </c>
    </row>
    <row r="782" spans="1:13" hidden="1">
      <c r="A782" s="1">
        <v>46082</v>
      </c>
      <c r="B782" t="s">
        <v>1234</v>
      </c>
      <c r="C782" t="s">
        <v>1142</v>
      </c>
      <c r="D782" t="s">
        <v>237</v>
      </c>
      <c r="E782" t="s">
        <v>55</v>
      </c>
      <c r="F782">
        <v>203</v>
      </c>
      <c r="G782">
        <v>4</v>
      </c>
      <c r="H782">
        <v>1.34907251264755E-3</v>
      </c>
      <c r="I782">
        <v>1.9704433497536901E-2</v>
      </c>
      <c r="J782" s="14" t="str">
        <f>_xlfn.XLOOKUP(B782,CAD_PDV!A:A,CAD_PDV!B:B)</f>
        <v>PONTO CERTO COMERCIO E COMUNICAÇÕES LTDA</v>
      </c>
      <c r="K782" s="14">
        <f>IF(IFERROR(_xlfn.XLOOKUP(B782,Planilha2!D:D,Planilha2!H:H),0)="SIM",1,0)</f>
        <v>0</v>
      </c>
      <c r="L782" s="14" t="str">
        <f>_xlfn.XLOOKUP(B782,CAD_PDV!A:A,CAD_PDV!C:C)</f>
        <v>RJ/ES</v>
      </c>
      <c r="M782" s="14" t="str">
        <f>IFERROR(_xlfn.XLOOKUP(B782,repete!A:A,repete!A:A),"-")</f>
        <v>-</v>
      </c>
    </row>
    <row r="783" spans="1:13" hidden="1">
      <c r="A783" s="1">
        <v>46082</v>
      </c>
      <c r="B783" t="s">
        <v>1335</v>
      </c>
      <c r="C783" t="s">
        <v>1313</v>
      </c>
      <c r="D783" t="s">
        <v>225</v>
      </c>
      <c r="E783" t="s">
        <v>53</v>
      </c>
      <c r="F783">
        <v>67</v>
      </c>
      <c r="G783">
        <v>4</v>
      </c>
      <c r="H783">
        <v>1.34907251264755E-3</v>
      </c>
      <c r="I783">
        <v>5.9701492537313397E-2</v>
      </c>
      <c r="J783" s="14" t="str">
        <f>_xlfn.XLOOKUP(B783,CAD_PDV!A:A,CAD_PDV!B:B)</f>
        <v>CLARICELL SP1</v>
      </c>
      <c r="K783" s="14">
        <f>IF(IFERROR(_xlfn.XLOOKUP(B783,Planilha2!D:D,Planilha2!H:H),0)="SIM",1,0)</f>
        <v>0</v>
      </c>
      <c r="L783" s="14" t="str">
        <f>_xlfn.XLOOKUP(B783,CAD_PDV!A:A,CAD_PDV!C:C)</f>
        <v>SP1</v>
      </c>
      <c r="M783" s="14" t="str">
        <f>IFERROR(_xlfn.XLOOKUP(B783,repete!A:A,repete!A:A),"-")</f>
        <v>-</v>
      </c>
    </row>
    <row r="784" spans="1:13" hidden="1">
      <c r="A784" s="1">
        <v>46082</v>
      </c>
      <c r="B784" t="s">
        <v>447</v>
      </c>
      <c r="C784" t="s">
        <v>449</v>
      </c>
      <c r="D784" t="s">
        <v>228</v>
      </c>
      <c r="E784" t="s">
        <v>56</v>
      </c>
      <c r="F784">
        <v>35</v>
      </c>
      <c r="G784">
        <v>4</v>
      </c>
      <c r="H784">
        <v>1.34907251264755E-3</v>
      </c>
      <c r="I784">
        <v>0.114285714285714</v>
      </c>
      <c r="J784" s="14" t="str">
        <f>_xlfn.XLOOKUP(B784,CAD_PDV!A:A,CAD_PDV!B:B)</f>
        <v>FAJULUTI</v>
      </c>
      <c r="K784" s="14">
        <f>IF(IFERROR(_xlfn.XLOOKUP(B784,Planilha2!D:D,Planilha2!H:H),0)="SIM",1,0)</f>
        <v>0</v>
      </c>
      <c r="L784" s="14" t="str">
        <f>_xlfn.XLOOKUP(B784,CAD_PDV!A:A,CAD_PDV!C:C)</f>
        <v>MG</v>
      </c>
      <c r="M784" s="14" t="str">
        <f>IFERROR(_xlfn.XLOOKUP(B784,repete!A:A,repete!A:A),"-")</f>
        <v>-</v>
      </c>
    </row>
    <row r="785" spans="1:13" hidden="1">
      <c r="A785" s="1">
        <v>46082</v>
      </c>
      <c r="B785" t="s">
        <v>958</v>
      </c>
      <c r="C785" t="s">
        <v>944</v>
      </c>
      <c r="D785" t="s">
        <v>232</v>
      </c>
      <c r="E785" t="s">
        <v>60</v>
      </c>
      <c r="F785">
        <v>76</v>
      </c>
      <c r="G785">
        <v>4</v>
      </c>
      <c r="H785">
        <v>1.34907251264755E-3</v>
      </c>
      <c r="I785">
        <v>5.2631578947368397E-2</v>
      </c>
      <c r="J785" s="14" t="str">
        <f>_xlfn.XLOOKUP(B785,CAD_PDV!A:A,CAD_PDV!B:B)</f>
        <v>HS TELECOM</v>
      </c>
      <c r="K785" s="14">
        <f>IF(IFERROR(_xlfn.XLOOKUP(B785,Planilha2!D:D,Planilha2!H:H),0)="SIM",1,0)</f>
        <v>0</v>
      </c>
      <c r="L785" s="14" t="str">
        <f>_xlfn.XLOOKUP(B785,CAD_PDV!A:A,CAD_PDV!C:C)</f>
        <v>BA/SE</v>
      </c>
      <c r="M785" s="14" t="str">
        <f>IFERROR(_xlfn.XLOOKUP(B785,repete!A:A,repete!A:A),"-")</f>
        <v>-</v>
      </c>
    </row>
    <row r="786" spans="1:13" hidden="1">
      <c r="A786" s="1">
        <v>46082</v>
      </c>
      <c r="B786" t="s">
        <v>799</v>
      </c>
      <c r="C786" t="s">
        <v>651</v>
      </c>
      <c r="D786" t="s">
        <v>239</v>
      </c>
      <c r="E786" t="s">
        <v>59</v>
      </c>
      <c r="F786">
        <v>65</v>
      </c>
      <c r="G786">
        <v>4</v>
      </c>
      <c r="H786">
        <v>1.34907251264755E-3</v>
      </c>
      <c r="I786">
        <v>6.15384615384615E-2</v>
      </c>
      <c r="J786" s="14" t="str">
        <f>_xlfn.XLOOKUP(B786,CAD_PDV!A:A,CAD_PDV!B:B)</f>
        <v>TELECELL TELEFONIA LTDA - ME</v>
      </c>
      <c r="K786" s="14">
        <f>IF(IFERROR(_xlfn.XLOOKUP(B786,Planilha2!D:D,Planilha2!H:H),0)="SIM",1,0)</f>
        <v>0</v>
      </c>
      <c r="L786" s="14" t="str">
        <f>_xlfn.XLOOKUP(B786,CAD_PDV!A:A,CAD_PDV!C:C)</f>
        <v>CO</v>
      </c>
      <c r="M786" s="14" t="str">
        <f>IFERROR(_xlfn.XLOOKUP(B786,repete!A:A,repete!A:A),"-")</f>
        <v>-</v>
      </c>
    </row>
    <row r="787" spans="1:13" hidden="1">
      <c r="A787" s="1">
        <v>46082</v>
      </c>
      <c r="B787" t="s">
        <v>1636</v>
      </c>
      <c r="C787" t="s">
        <v>1484</v>
      </c>
      <c r="D787" t="s">
        <v>232</v>
      </c>
      <c r="E787" t="s">
        <v>54</v>
      </c>
      <c r="F787">
        <v>58</v>
      </c>
      <c r="G787">
        <v>4</v>
      </c>
      <c r="H787">
        <v>1.34907251264755E-3</v>
      </c>
      <c r="I787">
        <v>6.8965517241379296E-2</v>
      </c>
      <c r="J787" s="14" t="str">
        <f>_xlfn.XLOOKUP(B787,CAD_PDV!A:A,CAD_PDV!B:B)</f>
        <v>HS TELECOM</v>
      </c>
      <c r="K787" s="14">
        <f>IF(IFERROR(_xlfn.XLOOKUP(B787,Planilha2!D:D,Planilha2!H:H),0)="SIM",1,0)</f>
        <v>0</v>
      </c>
      <c r="L787" s="14" t="str">
        <f>_xlfn.XLOOKUP(B787,CAD_PDV!A:A,CAD_PDV!C:C)</f>
        <v>SP2</v>
      </c>
      <c r="M787" s="14" t="str">
        <f>IFERROR(_xlfn.XLOOKUP(B787,repete!A:A,repete!A:A),"-")</f>
        <v>-</v>
      </c>
    </row>
    <row r="788" spans="1:13" hidden="1">
      <c r="A788" s="1">
        <v>46082</v>
      </c>
      <c r="B788" t="s">
        <v>1664</v>
      </c>
      <c r="C788" t="s">
        <v>1659</v>
      </c>
      <c r="D788" t="s">
        <v>232</v>
      </c>
      <c r="E788" t="s">
        <v>54</v>
      </c>
      <c r="F788">
        <v>62</v>
      </c>
      <c r="G788">
        <v>4</v>
      </c>
      <c r="H788">
        <v>1.34907251264755E-3</v>
      </c>
      <c r="I788">
        <v>6.4516129032258104E-2</v>
      </c>
      <c r="J788" s="14" t="str">
        <f>_xlfn.XLOOKUP(B788,CAD_PDV!A:A,CAD_PDV!B:B)</f>
        <v>HS TELECOM</v>
      </c>
      <c r="K788" s="14">
        <f>IF(IFERROR(_xlfn.XLOOKUP(B788,Planilha2!D:D,Planilha2!H:H),0)="SIM",1,0)</f>
        <v>0</v>
      </c>
      <c r="L788" s="14" t="str">
        <f>_xlfn.XLOOKUP(B788,CAD_PDV!A:A,CAD_PDV!C:C)</f>
        <v>SP2</v>
      </c>
      <c r="M788" s="14" t="str">
        <f>IFERROR(_xlfn.XLOOKUP(B788,repete!A:A,repete!A:A),"-")</f>
        <v>-</v>
      </c>
    </row>
    <row r="789" spans="1:13" hidden="1">
      <c r="A789" s="1">
        <v>46082</v>
      </c>
      <c r="B789" t="s">
        <v>1032</v>
      </c>
      <c r="C789" t="s">
        <v>944</v>
      </c>
      <c r="D789" t="s">
        <v>222</v>
      </c>
      <c r="E789" t="s">
        <v>60</v>
      </c>
      <c r="F789">
        <v>61</v>
      </c>
      <c r="G789">
        <v>4</v>
      </c>
      <c r="H789">
        <v>1.34907251264755E-3</v>
      </c>
      <c r="I789">
        <v>6.5573770491803296E-2</v>
      </c>
      <c r="J789" s="14" t="str">
        <f>_xlfn.XLOOKUP(B789,CAD_PDV!A:A,CAD_PDV!B:B)</f>
        <v>ANCLA COMERCIO</v>
      </c>
      <c r="K789" s="14">
        <f>IF(IFERROR(_xlfn.XLOOKUP(B789,Planilha2!D:D,Planilha2!H:H),0)="SIM",1,0)</f>
        <v>0</v>
      </c>
      <c r="L789" s="14" t="str">
        <f>_xlfn.XLOOKUP(B789,CAD_PDV!A:A,CAD_PDV!C:C)</f>
        <v>BA/SE</v>
      </c>
      <c r="M789" s="14" t="str">
        <f>IFERROR(_xlfn.XLOOKUP(B789,repete!A:A,repete!A:A),"-")</f>
        <v>-</v>
      </c>
    </row>
    <row r="790" spans="1:13" hidden="1">
      <c r="A790" s="1">
        <v>46082</v>
      </c>
      <c r="B790" t="s">
        <v>1378</v>
      </c>
      <c r="C790" t="s">
        <v>1308</v>
      </c>
      <c r="D790" t="s">
        <v>229</v>
      </c>
      <c r="E790" t="s">
        <v>53</v>
      </c>
      <c r="F790">
        <v>71</v>
      </c>
      <c r="G790">
        <v>4</v>
      </c>
      <c r="H790">
        <v>1.34907251264755E-3</v>
      </c>
      <c r="I790">
        <v>5.63380281690141E-2</v>
      </c>
      <c r="J790" s="14" t="str">
        <f>_xlfn.XLOOKUP(B790,CAD_PDV!A:A,CAD_PDV!B:B)</f>
        <v>FW TELEFONIA LTDA - EPP</v>
      </c>
      <c r="K790" s="14">
        <f>IF(IFERROR(_xlfn.XLOOKUP(B790,Planilha2!D:D,Planilha2!H:H),0)="SIM",1,0)</f>
        <v>0</v>
      </c>
      <c r="L790" s="14" t="str">
        <f>_xlfn.XLOOKUP(B790,CAD_PDV!A:A,CAD_PDV!C:C)</f>
        <v>SP1</v>
      </c>
      <c r="M790" s="14" t="str">
        <f>IFERROR(_xlfn.XLOOKUP(B790,repete!A:A,repete!A:A),"-")</f>
        <v>-</v>
      </c>
    </row>
    <row r="791" spans="1:13" hidden="1">
      <c r="A791" s="1">
        <v>46082</v>
      </c>
      <c r="B791" t="s">
        <v>1262</v>
      </c>
      <c r="C791" t="s">
        <v>1142</v>
      </c>
      <c r="D791" t="s">
        <v>237</v>
      </c>
      <c r="E791" t="s">
        <v>55</v>
      </c>
      <c r="F791">
        <v>45</v>
      </c>
      <c r="G791">
        <v>4</v>
      </c>
      <c r="H791">
        <v>1.34907251264755E-3</v>
      </c>
      <c r="I791">
        <v>8.8888888888888906E-2</v>
      </c>
      <c r="J791" s="14" t="str">
        <f>_xlfn.XLOOKUP(B791,CAD_PDV!A:A,CAD_PDV!B:B)</f>
        <v>PONTO CERTO COMERCIO E COMUNICAÇÕES LTDA</v>
      </c>
      <c r="K791" s="14">
        <f>IF(IFERROR(_xlfn.XLOOKUP(B791,Planilha2!D:D,Planilha2!H:H),0)="SIM",1,0)</f>
        <v>0</v>
      </c>
      <c r="L791" s="14" t="str">
        <f>_xlfn.XLOOKUP(B791,CAD_PDV!A:A,CAD_PDV!C:C)</f>
        <v>RJ/ES</v>
      </c>
      <c r="M791" s="14" t="str">
        <f>IFERROR(_xlfn.XLOOKUP(B791,repete!A:A,repete!A:A),"-")</f>
        <v>-</v>
      </c>
    </row>
    <row r="792" spans="1:13" hidden="1">
      <c r="A792" s="1">
        <v>46082</v>
      </c>
      <c r="B792" t="s">
        <v>293</v>
      </c>
      <c r="C792" t="s">
        <v>265</v>
      </c>
      <c r="D792" t="s">
        <v>230</v>
      </c>
      <c r="E792" t="s">
        <v>61</v>
      </c>
      <c r="F792">
        <v>75</v>
      </c>
      <c r="G792">
        <v>4</v>
      </c>
      <c r="H792">
        <v>1.34907251264755E-3</v>
      </c>
      <c r="I792">
        <v>5.3333333333333302E-2</v>
      </c>
      <c r="J792" s="14" t="str">
        <f>_xlfn.XLOOKUP(B792,CAD_PDV!A:A,CAD_PDV!B:B)</f>
        <v>HARCOS COMERCIO E SERVICOS LTDA - EPP</v>
      </c>
      <c r="K792" s="14">
        <f>IF(IFERROR(_xlfn.XLOOKUP(B792,Planilha2!D:D,Planilha2!H:H),0)="SIM",1,0)</f>
        <v>0</v>
      </c>
      <c r="L792" s="14" t="str">
        <f>_xlfn.XLOOKUP(B792,CAD_PDV!A:A,CAD_PDV!C:C)</f>
        <v>NE</v>
      </c>
      <c r="M792" s="14" t="str">
        <f>IFERROR(_xlfn.XLOOKUP(B792,repete!A:A,repete!A:A),"-")</f>
        <v>-</v>
      </c>
    </row>
    <row r="793" spans="1:13" hidden="1">
      <c r="A793" s="1">
        <v>46082</v>
      </c>
      <c r="B793" t="s">
        <v>652</v>
      </c>
      <c r="C793" t="s">
        <v>647</v>
      </c>
      <c r="D793" t="s">
        <v>240</v>
      </c>
      <c r="E793" t="s">
        <v>59</v>
      </c>
      <c r="F793">
        <v>31</v>
      </c>
      <c r="G793">
        <v>4</v>
      </c>
      <c r="H793">
        <v>1.34907251264755E-3</v>
      </c>
      <c r="I793">
        <v>0.12903225806451599</v>
      </c>
      <c r="J793" s="14" t="str">
        <f>_xlfn.XLOOKUP(B793,CAD_PDV!A:A,CAD_PDV!B:B)</f>
        <v>TELEMAIS TELEFONIA LTDA - ME</v>
      </c>
      <c r="K793" s="14">
        <f>IF(IFERROR(_xlfn.XLOOKUP(B793,Planilha2!D:D,Planilha2!H:H),0)="SIM",1,0)</f>
        <v>0</v>
      </c>
      <c r="L793" s="14" t="str">
        <f>_xlfn.XLOOKUP(B793,CAD_PDV!A:A,CAD_PDV!C:C)</f>
        <v>CO</v>
      </c>
      <c r="M793" s="14" t="str">
        <f>IFERROR(_xlfn.XLOOKUP(B793,repete!A:A,repete!A:A),"-")</f>
        <v>-</v>
      </c>
    </row>
    <row r="794" spans="1:13" hidden="1">
      <c r="A794" s="1">
        <v>46082</v>
      </c>
      <c r="B794" t="s">
        <v>1270</v>
      </c>
      <c r="C794" t="s">
        <v>1142</v>
      </c>
      <c r="D794" t="s">
        <v>237</v>
      </c>
      <c r="E794" t="s">
        <v>55</v>
      </c>
      <c r="F794">
        <v>134</v>
      </c>
      <c r="G794">
        <v>4</v>
      </c>
      <c r="H794">
        <v>1.34907251264755E-3</v>
      </c>
      <c r="I794">
        <v>2.9850746268656699E-2</v>
      </c>
      <c r="J794" s="14" t="str">
        <f>_xlfn.XLOOKUP(B794,CAD_PDV!A:A,CAD_PDV!B:B)</f>
        <v>PONTO CERTO COMERCIO E COMUNICAÇÕES LTDA</v>
      </c>
      <c r="K794" s="14">
        <f>IF(IFERROR(_xlfn.XLOOKUP(B794,Planilha2!D:D,Planilha2!H:H),0)="SIM",1,0)</f>
        <v>0</v>
      </c>
      <c r="L794" s="14" t="str">
        <f>_xlfn.XLOOKUP(B794,CAD_PDV!A:A,CAD_PDV!C:C)</f>
        <v>RJ/ES</v>
      </c>
      <c r="M794" s="14" t="str">
        <f>IFERROR(_xlfn.XLOOKUP(B794,repete!A:A,repete!A:A),"-")</f>
        <v>-</v>
      </c>
    </row>
    <row r="795" spans="1:13" hidden="1">
      <c r="A795" s="1">
        <v>46082</v>
      </c>
      <c r="B795" t="s">
        <v>941</v>
      </c>
      <c r="C795" t="s">
        <v>944</v>
      </c>
      <c r="D795" t="s">
        <v>232</v>
      </c>
      <c r="E795" t="s">
        <v>60</v>
      </c>
      <c r="F795">
        <v>116</v>
      </c>
      <c r="G795">
        <v>3</v>
      </c>
      <c r="H795">
        <v>1.0118043844856699E-3</v>
      </c>
      <c r="I795">
        <v>2.5862068965517199E-2</v>
      </c>
      <c r="J795" s="14" t="str">
        <f>_xlfn.XLOOKUP(B795,CAD_PDV!A:A,CAD_PDV!B:B)</f>
        <v>HS TELECOM</v>
      </c>
      <c r="K795" s="14">
        <f>IF(IFERROR(_xlfn.XLOOKUP(B795,Planilha2!D:D,Planilha2!H:H),0)="SIM",1,0)</f>
        <v>0</v>
      </c>
      <c r="L795" s="14" t="str">
        <f>_xlfn.XLOOKUP(B795,CAD_PDV!A:A,CAD_PDV!C:C)</f>
        <v>BA/SE</v>
      </c>
      <c r="M795" s="14" t="str">
        <f>IFERROR(_xlfn.XLOOKUP(B795,repete!A:A,repete!A:A),"-")</f>
        <v>-</v>
      </c>
    </row>
    <row r="796" spans="1:13" hidden="1">
      <c r="A796" s="1">
        <v>46082</v>
      </c>
      <c r="B796" t="s">
        <v>1816</v>
      </c>
      <c r="C796" t="s">
        <v>1817</v>
      </c>
      <c r="D796" t="s">
        <v>95</v>
      </c>
      <c r="E796" t="s">
        <v>2074</v>
      </c>
      <c r="F796">
        <v>52</v>
      </c>
      <c r="G796">
        <v>3</v>
      </c>
      <c r="H796">
        <v>1.0118043844856699E-3</v>
      </c>
      <c r="I796">
        <v>5.7692307692307702E-2</v>
      </c>
      <c r="J796" s="14" t="str">
        <f>_xlfn.XLOOKUP(B796,CAD_PDV!A:A,CAD_PDV!B:B)</f>
        <v>AYRES E DEBONI LTDA - ME</v>
      </c>
      <c r="K796" s="14">
        <f>IF(IFERROR(_xlfn.XLOOKUP(B796,Planilha2!D:D,Planilha2!H:H),0)="SIM",1,0)</f>
        <v>0</v>
      </c>
      <c r="L796" s="14" t="str">
        <f>_xlfn.XLOOKUP(B796,CAD_PDV!A:A,CAD_PDV!C:C)</f>
        <v>RS</v>
      </c>
      <c r="M796" s="14" t="str">
        <f>IFERROR(_xlfn.XLOOKUP(B796,repete!A:A,repete!A:A),"-")</f>
        <v>-</v>
      </c>
    </row>
    <row r="797" spans="1:13" hidden="1">
      <c r="A797" s="1">
        <v>46082</v>
      </c>
      <c r="B797" t="s">
        <v>1351</v>
      </c>
      <c r="C797" t="s">
        <v>1313</v>
      </c>
      <c r="D797" t="s">
        <v>132</v>
      </c>
      <c r="E797" t="s">
        <v>53</v>
      </c>
      <c r="F797">
        <v>95</v>
      </c>
      <c r="G797">
        <v>3</v>
      </c>
      <c r="H797">
        <v>1.0118043844856699E-3</v>
      </c>
      <c r="I797">
        <v>3.1578947368421102E-2</v>
      </c>
      <c r="J797" s="14" t="str">
        <f>_xlfn.XLOOKUP(B797,CAD_PDV!A:A,CAD_PDV!B:B)</f>
        <v>FLEX CELL</v>
      </c>
      <c r="K797" s="14">
        <f>IF(IFERROR(_xlfn.XLOOKUP(B797,Planilha2!D:D,Planilha2!H:H),0)="SIM",1,0)</f>
        <v>0</v>
      </c>
      <c r="L797" s="14" t="str">
        <f>_xlfn.XLOOKUP(B797,CAD_PDV!A:A,CAD_PDV!C:C)</f>
        <v>SP1</v>
      </c>
      <c r="M797" s="14" t="str">
        <f>IFERROR(_xlfn.XLOOKUP(B797,repete!A:A,repete!A:A),"-")</f>
        <v>-</v>
      </c>
    </row>
    <row r="798" spans="1:13" hidden="1">
      <c r="A798" s="1">
        <v>46082</v>
      </c>
      <c r="B798" t="s">
        <v>2018</v>
      </c>
      <c r="C798" t="s">
        <v>2019</v>
      </c>
      <c r="D798" t="s">
        <v>106</v>
      </c>
      <c r="E798" t="s">
        <v>2074</v>
      </c>
      <c r="F798">
        <v>20</v>
      </c>
      <c r="G798">
        <v>3</v>
      </c>
      <c r="H798">
        <v>1.0118043844856699E-3</v>
      </c>
      <c r="I798">
        <v>0.15</v>
      </c>
      <c r="J798" s="14" t="str">
        <f>_xlfn.XLOOKUP(B798,CAD_PDV!A:A,CAD_PDV!B:B)</f>
        <v>CELLULAR.COM</v>
      </c>
      <c r="K798" s="14">
        <f>IF(IFERROR(_xlfn.XLOOKUP(B798,Planilha2!D:D,Planilha2!H:H),0)="SIM",1,0)</f>
        <v>0</v>
      </c>
      <c r="L798" s="14" t="str">
        <f>_xlfn.XLOOKUP(B798,CAD_PDV!A:A,CAD_PDV!C:C)</f>
        <v>PR/SC</v>
      </c>
      <c r="M798" s="14" t="str">
        <f>IFERROR(_xlfn.XLOOKUP(B798,repete!A:A,repete!A:A),"-")</f>
        <v>-</v>
      </c>
    </row>
    <row r="799" spans="1:13" hidden="1">
      <c r="A799" s="1">
        <v>46082</v>
      </c>
      <c r="B799" t="s">
        <v>488</v>
      </c>
      <c r="C799" t="s">
        <v>489</v>
      </c>
      <c r="D799" t="s">
        <v>228</v>
      </c>
      <c r="E799" t="s">
        <v>56</v>
      </c>
      <c r="F799">
        <v>23</v>
      </c>
      <c r="G799">
        <v>3</v>
      </c>
      <c r="H799">
        <v>1.0118043844856699E-3</v>
      </c>
      <c r="I799">
        <v>0.13043478260869601</v>
      </c>
      <c r="J799" s="14" t="str">
        <f>_xlfn.XLOOKUP(B799,CAD_PDV!A:A,CAD_PDV!B:B)</f>
        <v>FAJULUTI</v>
      </c>
      <c r="K799" s="14">
        <f>IF(IFERROR(_xlfn.XLOOKUP(B799,Planilha2!D:D,Planilha2!H:H),0)="SIM",1,0)</f>
        <v>0</v>
      </c>
      <c r="L799" s="14" t="str">
        <f>_xlfn.XLOOKUP(B799,CAD_PDV!A:A,CAD_PDV!C:C)</f>
        <v>MG</v>
      </c>
      <c r="M799" s="14" t="str">
        <f>IFERROR(_xlfn.XLOOKUP(B799,repete!A:A,repete!A:A),"-")</f>
        <v>-</v>
      </c>
    </row>
    <row r="800" spans="1:13" hidden="1">
      <c r="A800" s="1">
        <v>46082</v>
      </c>
      <c r="B800" t="s">
        <v>874</v>
      </c>
      <c r="C800" t="s">
        <v>875</v>
      </c>
      <c r="D800" t="s">
        <v>239</v>
      </c>
      <c r="E800" t="s">
        <v>59</v>
      </c>
      <c r="F800">
        <v>67</v>
      </c>
      <c r="G800">
        <v>3</v>
      </c>
      <c r="H800">
        <v>1.0118043844856699E-3</v>
      </c>
      <c r="I800">
        <v>4.47761194029851E-2</v>
      </c>
      <c r="J800" s="14" t="str">
        <f>_xlfn.XLOOKUP(B800,CAD_PDV!A:A,CAD_PDV!B:B)</f>
        <v>TELECELL TELEFONIA LTDA - ME</v>
      </c>
      <c r="K800" s="14">
        <f>IF(IFERROR(_xlfn.XLOOKUP(B800,Planilha2!D:D,Planilha2!H:H),0)="SIM",1,0)</f>
        <v>0</v>
      </c>
      <c r="L800" s="14" t="str">
        <f>_xlfn.XLOOKUP(B800,CAD_PDV!A:A,CAD_PDV!C:C)</f>
        <v>CO</v>
      </c>
      <c r="M800" s="14" t="str">
        <f>IFERROR(_xlfn.XLOOKUP(B800,repete!A:A,repete!A:A),"-")</f>
        <v>-</v>
      </c>
    </row>
    <row r="801" spans="1:13" hidden="1">
      <c r="A801" s="1">
        <v>46082</v>
      </c>
      <c r="B801" t="s">
        <v>310</v>
      </c>
      <c r="C801" t="s">
        <v>311</v>
      </c>
      <c r="D801" t="s">
        <v>230</v>
      </c>
      <c r="E801" t="s">
        <v>61</v>
      </c>
      <c r="F801">
        <v>37</v>
      </c>
      <c r="G801">
        <v>3</v>
      </c>
      <c r="H801">
        <v>1.0118043844856699E-3</v>
      </c>
      <c r="I801">
        <v>8.1081081081081099E-2</v>
      </c>
      <c r="J801" s="14" t="str">
        <f>_xlfn.XLOOKUP(B801,CAD_PDV!A:A,CAD_PDV!B:B)</f>
        <v>HARCOS COMERCIO E SERVICOS LTDA - EPP</v>
      </c>
      <c r="K801" s="14">
        <f>IF(IFERROR(_xlfn.XLOOKUP(B801,Planilha2!D:D,Planilha2!H:H),0)="SIM",1,0)</f>
        <v>0</v>
      </c>
      <c r="L801" s="14" t="str">
        <f>_xlfn.XLOOKUP(B801,CAD_PDV!A:A,CAD_PDV!C:C)</f>
        <v>NE</v>
      </c>
      <c r="M801" s="14" t="str">
        <f>IFERROR(_xlfn.XLOOKUP(B801,repete!A:A,repete!A:A),"-")</f>
        <v>-</v>
      </c>
    </row>
    <row r="802" spans="1:13" hidden="1">
      <c r="A802" s="1">
        <v>46082</v>
      </c>
      <c r="B802" t="s">
        <v>1875</v>
      </c>
      <c r="C802" t="s">
        <v>1876</v>
      </c>
      <c r="D802" t="s">
        <v>124</v>
      </c>
      <c r="E802" t="s">
        <v>2074</v>
      </c>
      <c r="F802">
        <v>40</v>
      </c>
      <c r="G802">
        <v>3</v>
      </c>
      <c r="H802">
        <v>1.0118043844856699E-3</v>
      </c>
      <c r="I802">
        <v>7.4999999999999997E-2</v>
      </c>
      <c r="J802" s="14" t="str">
        <f>_xlfn.XLOOKUP(B802,CAD_PDV!A:A,CAD_PDV!B:B)</f>
        <v>EDUARDO JUNQUEIRA DA SILVEIRA ADMIN</v>
      </c>
      <c r="K802" s="14">
        <f>IF(IFERROR(_xlfn.XLOOKUP(B802,Planilha2!D:D,Planilha2!H:H),0)="SIM",1,0)</f>
        <v>0</v>
      </c>
      <c r="L802" s="14" t="str">
        <f>_xlfn.XLOOKUP(B802,CAD_PDV!A:A,CAD_PDV!C:C)</f>
        <v>RS</v>
      </c>
      <c r="M802" s="14" t="str">
        <f>IFERROR(_xlfn.XLOOKUP(B802,repete!A:A,repete!A:A),"-")</f>
        <v>-</v>
      </c>
    </row>
    <row r="803" spans="1:13" hidden="1">
      <c r="A803" s="1">
        <v>46082</v>
      </c>
      <c r="B803" t="s">
        <v>744</v>
      </c>
      <c r="C803" t="s">
        <v>745</v>
      </c>
      <c r="D803" t="s">
        <v>224</v>
      </c>
      <c r="E803" t="s">
        <v>59</v>
      </c>
      <c r="F803">
        <v>160</v>
      </c>
      <c r="G803">
        <v>3</v>
      </c>
      <c r="H803">
        <v>1.0118043844856699E-3</v>
      </c>
      <c r="I803">
        <v>1.8749999999999999E-2</v>
      </c>
      <c r="J803" s="14" t="str">
        <f>_xlfn.XLOOKUP(B803,CAD_PDV!A:A,CAD_PDV!B:B)</f>
        <v>CELNET COMERCIO E SERVICOS DE TELEFONIA LTDA ME</v>
      </c>
      <c r="K803" s="14">
        <f>IF(IFERROR(_xlfn.XLOOKUP(B803,Planilha2!D:D,Planilha2!H:H),0)="SIM",1,0)</f>
        <v>0</v>
      </c>
      <c r="L803" s="14" t="str">
        <f>_xlfn.XLOOKUP(B803,CAD_PDV!A:A,CAD_PDV!C:C)</f>
        <v>CO</v>
      </c>
      <c r="M803" s="14" t="str">
        <f>IFERROR(_xlfn.XLOOKUP(B803,repete!A:A,repete!A:A),"-")</f>
        <v>-</v>
      </c>
    </row>
    <row r="804" spans="1:13" hidden="1">
      <c r="A804" s="1">
        <v>46082</v>
      </c>
      <c r="B804" t="s">
        <v>693</v>
      </c>
      <c r="C804" t="s">
        <v>694</v>
      </c>
      <c r="D804" t="s">
        <v>239</v>
      </c>
      <c r="E804" t="s">
        <v>59</v>
      </c>
      <c r="F804">
        <v>28</v>
      </c>
      <c r="G804">
        <v>3</v>
      </c>
      <c r="H804">
        <v>1.0118043844856699E-3</v>
      </c>
      <c r="I804">
        <v>0.107142857142857</v>
      </c>
      <c r="J804" s="14" t="str">
        <f>_xlfn.XLOOKUP(B804,CAD_PDV!A:A,CAD_PDV!B:B)</f>
        <v>TELECELL TELEFONIA LTDA - ME</v>
      </c>
      <c r="K804" s="14">
        <f>IF(IFERROR(_xlfn.XLOOKUP(B804,Planilha2!D:D,Planilha2!H:H),0)="SIM",1,0)</f>
        <v>0</v>
      </c>
      <c r="L804" s="14" t="str">
        <f>_xlfn.XLOOKUP(B804,CAD_PDV!A:A,CAD_PDV!C:C)</f>
        <v>CO</v>
      </c>
      <c r="M804" s="14" t="str">
        <f>IFERROR(_xlfn.XLOOKUP(B804,repete!A:A,repete!A:A),"-")</f>
        <v>-</v>
      </c>
    </row>
    <row r="805" spans="1:13" hidden="1">
      <c r="A805" s="1">
        <v>46082</v>
      </c>
      <c r="B805" t="s">
        <v>1905</v>
      </c>
      <c r="C805" t="s">
        <v>1904</v>
      </c>
      <c r="D805" t="s">
        <v>106</v>
      </c>
      <c r="E805" t="s">
        <v>2074</v>
      </c>
      <c r="F805">
        <v>52</v>
      </c>
      <c r="G805">
        <v>3</v>
      </c>
      <c r="H805">
        <v>1.0118043844856699E-3</v>
      </c>
      <c r="I805">
        <v>5.7692307692307702E-2</v>
      </c>
      <c r="J805" s="14" t="str">
        <f>_xlfn.XLOOKUP(B805,CAD_PDV!A:A,CAD_PDV!B:B)</f>
        <v>CELLULAR.COM</v>
      </c>
      <c r="K805" s="14">
        <f>IF(IFERROR(_xlfn.XLOOKUP(B805,Planilha2!D:D,Planilha2!H:H),0)="SIM",1,0)</f>
        <v>0</v>
      </c>
      <c r="L805" s="14" t="str">
        <f>_xlfn.XLOOKUP(B805,CAD_PDV!A:A,CAD_PDV!C:C)</f>
        <v>PR/SC</v>
      </c>
      <c r="M805" s="14" t="str">
        <f>IFERROR(_xlfn.XLOOKUP(B805,repete!A:A,repete!A:A),"-")</f>
        <v>-</v>
      </c>
    </row>
    <row r="806" spans="1:13" hidden="1">
      <c r="A806" s="1">
        <v>46082</v>
      </c>
      <c r="B806" t="s">
        <v>1216</v>
      </c>
      <c r="C806" t="s">
        <v>1182</v>
      </c>
      <c r="D806" t="s">
        <v>228</v>
      </c>
      <c r="E806" t="s">
        <v>55</v>
      </c>
      <c r="F806">
        <v>122</v>
      </c>
      <c r="G806">
        <v>3</v>
      </c>
      <c r="H806">
        <v>1.0118043844856699E-3</v>
      </c>
      <c r="I806">
        <v>2.4590163934426201E-2</v>
      </c>
      <c r="J806" s="14" t="str">
        <f>_xlfn.XLOOKUP(B806,CAD_PDV!A:A,CAD_PDV!B:B)</f>
        <v>FAJULUTI</v>
      </c>
      <c r="K806" s="14">
        <f>IF(IFERROR(_xlfn.XLOOKUP(B806,Planilha2!D:D,Planilha2!H:H),0)="SIM",1,0)</f>
        <v>0</v>
      </c>
      <c r="L806" s="14" t="str">
        <f>_xlfn.XLOOKUP(B806,CAD_PDV!A:A,CAD_PDV!C:C)</f>
        <v>RJ/ES</v>
      </c>
      <c r="M806" s="14" t="str">
        <f>IFERROR(_xlfn.XLOOKUP(B806,repete!A:A,repete!A:A),"-")</f>
        <v>-</v>
      </c>
    </row>
    <row r="807" spans="1:13" hidden="1">
      <c r="A807" s="1">
        <v>46082</v>
      </c>
      <c r="B807" t="s">
        <v>2048</v>
      </c>
      <c r="C807" t="s">
        <v>2049</v>
      </c>
      <c r="D807" t="s">
        <v>193</v>
      </c>
      <c r="E807" t="s">
        <v>2074</v>
      </c>
      <c r="F807">
        <v>15</v>
      </c>
      <c r="G807">
        <v>3</v>
      </c>
      <c r="H807">
        <v>1.0118043844856699E-3</v>
      </c>
      <c r="I807">
        <v>0.2</v>
      </c>
      <c r="J807" s="14" t="str">
        <f>_xlfn.XLOOKUP(B807,CAD_PDV!A:A,CAD_PDV!B:B)</f>
        <v>S D COMERCIO DE CELULARES LTDA - ME</v>
      </c>
      <c r="K807" s="14">
        <f>IF(IFERROR(_xlfn.XLOOKUP(B807,Planilha2!D:D,Planilha2!H:H),0)="SIM",1,0)</f>
        <v>0</v>
      </c>
      <c r="L807" s="14" t="str">
        <f>_xlfn.XLOOKUP(B807,CAD_PDV!A:A,CAD_PDV!C:C)</f>
        <v>RS</v>
      </c>
      <c r="M807" s="14" t="str">
        <f>IFERROR(_xlfn.XLOOKUP(B807,repete!A:A,repete!A:A),"-")</f>
        <v>-</v>
      </c>
    </row>
    <row r="808" spans="1:13" hidden="1">
      <c r="A808" s="1">
        <v>46082</v>
      </c>
      <c r="B808" t="s">
        <v>529</v>
      </c>
      <c r="C808" t="s">
        <v>530</v>
      </c>
      <c r="D808" t="s">
        <v>228</v>
      </c>
      <c r="E808" t="s">
        <v>56</v>
      </c>
      <c r="F808">
        <v>31</v>
      </c>
      <c r="G808">
        <v>3</v>
      </c>
      <c r="H808">
        <v>1.0118043844856699E-3</v>
      </c>
      <c r="I808">
        <v>9.6774193548387094E-2</v>
      </c>
      <c r="J808" s="14" t="str">
        <f>_xlfn.XLOOKUP(B808,CAD_PDV!A:A,CAD_PDV!B:B)</f>
        <v>FAJULUTI</v>
      </c>
      <c r="K808" s="14">
        <f>IF(IFERROR(_xlfn.XLOOKUP(B808,Planilha2!D:D,Planilha2!H:H),0)="SIM",1,0)</f>
        <v>0</v>
      </c>
      <c r="L808" s="14" t="str">
        <f>_xlfn.XLOOKUP(B808,CAD_PDV!A:A,CAD_PDV!C:C)</f>
        <v>MG</v>
      </c>
      <c r="M808" s="14" t="str">
        <f>IFERROR(_xlfn.XLOOKUP(B808,repete!A:A,repete!A:A),"-")</f>
        <v>-</v>
      </c>
    </row>
    <row r="809" spans="1:13" hidden="1">
      <c r="A809" s="1">
        <v>46082</v>
      </c>
      <c r="B809" t="s">
        <v>1906</v>
      </c>
      <c r="C809" t="s">
        <v>1904</v>
      </c>
      <c r="D809" t="s">
        <v>97</v>
      </c>
      <c r="E809" t="s">
        <v>2074</v>
      </c>
      <c r="F809">
        <v>34</v>
      </c>
      <c r="G809">
        <v>3</v>
      </c>
      <c r="H809">
        <v>1.0118043844856699E-3</v>
      </c>
      <c r="I809">
        <v>8.8235294117647106E-2</v>
      </c>
      <c r="J809" s="14" t="str">
        <f>_xlfn.XLOOKUP(B809,CAD_PDV!A:A,CAD_PDV!B:B)</f>
        <v>BANDEIRA</v>
      </c>
      <c r="K809" s="14">
        <f>IF(IFERROR(_xlfn.XLOOKUP(B809,Planilha2!D:D,Planilha2!H:H),0)="SIM",1,0)</f>
        <v>0</v>
      </c>
      <c r="L809" s="14" t="str">
        <f>_xlfn.XLOOKUP(B809,CAD_PDV!A:A,CAD_PDV!C:C)</f>
        <v>PR/SC</v>
      </c>
      <c r="M809" s="14" t="str">
        <f>IFERROR(_xlfn.XLOOKUP(B809,repete!A:A,repete!A:A),"-")</f>
        <v>-</v>
      </c>
    </row>
    <row r="810" spans="1:13" hidden="1">
      <c r="A810" s="1">
        <v>46082</v>
      </c>
      <c r="B810" t="s">
        <v>2086</v>
      </c>
      <c r="C810" t="s">
        <v>902</v>
      </c>
      <c r="D810" t="s">
        <v>215</v>
      </c>
      <c r="E810" t="s">
        <v>59</v>
      </c>
      <c r="F810">
        <v>44</v>
      </c>
      <c r="G810">
        <v>3</v>
      </c>
      <c r="H810">
        <v>1.0118043844856699E-3</v>
      </c>
      <c r="I810">
        <v>6.8181818181818205E-2</v>
      </c>
      <c r="J810" s="14" t="str">
        <f>_xlfn.XLOOKUP(B810,CAD_PDV!A:A,CAD_PDV!B:B)</f>
        <v>VIA SALLUS</v>
      </c>
      <c r="K810" s="14">
        <f>IF(IFERROR(_xlfn.XLOOKUP(B810,Planilha2!D:D,Planilha2!H:H),0)="SIM",1,0)</f>
        <v>0</v>
      </c>
      <c r="L810" s="14" t="str">
        <f>_xlfn.XLOOKUP(B810,CAD_PDV!A:A,CAD_PDV!C:C)</f>
        <v>CO</v>
      </c>
      <c r="M810" s="14" t="str">
        <f>IFERROR(_xlfn.XLOOKUP(B810,repete!A:A,repete!A:A),"-")</f>
        <v>-</v>
      </c>
    </row>
    <row r="811" spans="1:13" hidden="1">
      <c r="A811" s="1">
        <v>46082</v>
      </c>
      <c r="B811" t="s">
        <v>1233</v>
      </c>
      <c r="C811" t="s">
        <v>1142</v>
      </c>
      <c r="D811" t="s">
        <v>237</v>
      </c>
      <c r="E811" t="s">
        <v>55</v>
      </c>
      <c r="F811">
        <v>148</v>
      </c>
      <c r="G811">
        <v>3</v>
      </c>
      <c r="H811">
        <v>1.0118043844856699E-3</v>
      </c>
      <c r="I811">
        <v>2.0270270270270299E-2</v>
      </c>
      <c r="J811" s="14" t="str">
        <f>_xlfn.XLOOKUP(B811,CAD_PDV!A:A,CAD_PDV!B:B)</f>
        <v>PONTO CERTO COMERCIO E COMUNICAÇÕES LTDA</v>
      </c>
      <c r="K811" s="14">
        <f>IF(IFERROR(_xlfn.XLOOKUP(B811,Planilha2!D:D,Planilha2!H:H),0)="SIM",1,0)</f>
        <v>0</v>
      </c>
      <c r="L811" s="14" t="str">
        <f>_xlfn.XLOOKUP(B811,CAD_PDV!A:A,CAD_PDV!C:C)</f>
        <v>RJ/ES</v>
      </c>
      <c r="M811" s="14" t="str">
        <f>IFERROR(_xlfn.XLOOKUP(B811,repete!A:A,repete!A:A),"-")</f>
        <v>-</v>
      </c>
    </row>
    <row r="812" spans="1:13" hidden="1">
      <c r="A812" s="1">
        <v>46082</v>
      </c>
      <c r="B812" t="s">
        <v>1239</v>
      </c>
      <c r="C812" t="s">
        <v>1142</v>
      </c>
      <c r="D812" t="s">
        <v>237</v>
      </c>
      <c r="E812" t="s">
        <v>55</v>
      </c>
      <c r="F812">
        <v>110</v>
      </c>
      <c r="G812">
        <v>3</v>
      </c>
      <c r="H812">
        <v>1.0118043844856699E-3</v>
      </c>
      <c r="I812">
        <v>2.7272727272727299E-2</v>
      </c>
      <c r="J812" s="14" t="str">
        <f>_xlfn.XLOOKUP(B812,CAD_PDV!A:A,CAD_PDV!B:B)</f>
        <v>PONTO CERTO COMERCIO E COMUNICAÇÕES LTDA</v>
      </c>
      <c r="K812" s="14">
        <f>IF(IFERROR(_xlfn.XLOOKUP(B812,Planilha2!D:D,Planilha2!H:H),0)="SIM",1,0)</f>
        <v>0</v>
      </c>
      <c r="L812" s="14" t="str">
        <f>_xlfn.XLOOKUP(B812,CAD_PDV!A:A,CAD_PDV!C:C)</f>
        <v>RJ/ES</v>
      </c>
      <c r="M812" s="14" t="str">
        <f>IFERROR(_xlfn.XLOOKUP(B812,repete!A:A,repete!A:A),"-")</f>
        <v>-</v>
      </c>
    </row>
    <row r="813" spans="1:13" hidden="1">
      <c r="A813" s="1">
        <v>46082</v>
      </c>
      <c r="B813" t="s">
        <v>849</v>
      </c>
      <c r="C813" t="s">
        <v>732</v>
      </c>
      <c r="D813" t="s">
        <v>221</v>
      </c>
      <c r="E813" t="s">
        <v>59</v>
      </c>
      <c r="F813">
        <v>43</v>
      </c>
      <c r="G813">
        <v>3</v>
      </c>
      <c r="H813">
        <v>1.0118043844856699E-3</v>
      </c>
      <c r="I813">
        <v>6.9767441860465101E-2</v>
      </c>
      <c r="J813" s="14" t="str">
        <f>_xlfn.XLOOKUP(B813,CAD_PDV!A:A,CAD_PDV!B:B)</f>
        <v>AMERICOM COMERCIO DE APARELHOS ELETRONICOS LTDA - EPP</v>
      </c>
      <c r="K813" s="14">
        <f>IF(IFERROR(_xlfn.XLOOKUP(B813,Planilha2!D:D,Planilha2!H:H),0)="SIM",1,0)</f>
        <v>0</v>
      </c>
      <c r="L813" s="14" t="str">
        <f>_xlfn.XLOOKUP(B813,CAD_PDV!A:A,CAD_PDV!C:C)</f>
        <v>CO</v>
      </c>
      <c r="M813" s="14" t="str">
        <f>IFERROR(_xlfn.XLOOKUP(B813,repete!A:A,repete!A:A),"-")</f>
        <v>-</v>
      </c>
    </row>
    <row r="814" spans="1:13" hidden="1">
      <c r="A814" s="1">
        <v>46082</v>
      </c>
      <c r="B814" t="s">
        <v>1871</v>
      </c>
      <c r="C814" t="s">
        <v>1872</v>
      </c>
      <c r="D814" t="s">
        <v>124</v>
      </c>
      <c r="E814" t="s">
        <v>2074</v>
      </c>
      <c r="F814">
        <v>27</v>
      </c>
      <c r="G814">
        <v>3</v>
      </c>
      <c r="H814">
        <v>1.0118043844856699E-3</v>
      </c>
      <c r="I814">
        <v>0.11111111111111099</v>
      </c>
      <c r="J814" s="14" t="str">
        <f>_xlfn.XLOOKUP(B814,CAD_PDV!A:A,CAD_PDV!B:B)</f>
        <v>EDUARDO JUNQUEIRA DA SILVEIRA ADMIN</v>
      </c>
      <c r="K814" s="14">
        <f>IF(IFERROR(_xlfn.XLOOKUP(B814,Planilha2!D:D,Planilha2!H:H),0)="SIM",1,0)</f>
        <v>0</v>
      </c>
      <c r="L814" s="14" t="str">
        <f>_xlfn.XLOOKUP(B814,CAD_PDV!A:A,CAD_PDV!C:C)</f>
        <v>RS</v>
      </c>
      <c r="M814" s="14" t="str">
        <f>IFERROR(_xlfn.XLOOKUP(B814,repete!A:A,repete!A:A),"-")</f>
        <v>-</v>
      </c>
    </row>
    <row r="815" spans="1:13" hidden="1">
      <c r="A815" s="1">
        <v>46082</v>
      </c>
      <c r="B815" t="s">
        <v>892</v>
      </c>
      <c r="C815" t="s">
        <v>893</v>
      </c>
      <c r="D815" t="s">
        <v>224</v>
      </c>
      <c r="E815" t="s">
        <v>59</v>
      </c>
      <c r="F815">
        <v>175</v>
      </c>
      <c r="G815">
        <v>3</v>
      </c>
      <c r="H815">
        <v>1.0118043844856699E-3</v>
      </c>
      <c r="I815">
        <v>1.7142857142857099E-2</v>
      </c>
      <c r="J815" s="14" t="str">
        <f>_xlfn.XLOOKUP(B815,CAD_PDV!A:A,CAD_PDV!B:B)</f>
        <v>CELNET COMERCIO E SERVICOS DE TELEFONIA LTDA ME</v>
      </c>
      <c r="K815" s="14">
        <f>IF(IFERROR(_xlfn.XLOOKUP(B815,Planilha2!D:D,Planilha2!H:H),0)="SIM",1,0)</f>
        <v>0</v>
      </c>
      <c r="L815" s="14" t="str">
        <f>_xlfn.XLOOKUP(B815,CAD_PDV!A:A,CAD_PDV!C:C)</f>
        <v>CO</v>
      </c>
      <c r="M815" s="14" t="str">
        <f>IFERROR(_xlfn.XLOOKUP(B815,repete!A:A,repete!A:A),"-")</f>
        <v>-</v>
      </c>
    </row>
    <row r="816" spans="1:13" hidden="1">
      <c r="A816" s="1">
        <v>46082</v>
      </c>
      <c r="B816" t="s">
        <v>926</v>
      </c>
      <c r="C816" t="s">
        <v>738</v>
      </c>
      <c r="D816" t="s">
        <v>231</v>
      </c>
      <c r="E816" t="s">
        <v>59</v>
      </c>
      <c r="F816">
        <v>41</v>
      </c>
      <c r="G816">
        <v>3</v>
      </c>
      <c r="H816">
        <v>1.0118043844856699E-3</v>
      </c>
      <c r="I816">
        <v>7.3170731707317097E-2</v>
      </c>
      <c r="J816" s="14" t="str">
        <f>_xlfn.XLOOKUP(B816,CAD_PDV!A:A,CAD_PDV!B:B)</f>
        <v>HIROTA &amp; HIROTA LTDA - ME</v>
      </c>
      <c r="K816" s="14">
        <f>IF(IFERROR(_xlfn.XLOOKUP(B816,Planilha2!D:D,Planilha2!H:H),0)="SIM",1,0)</f>
        <v>0</v>
      </c>
      <c r="L816" s="14" t="str">
        <f>_xlfn.XLOOKUP(B816,CAD_PDV!A:A,CAD_PDV!C:C)</f>
        <v>CO</v>
      </c>
      <c r="M816" s="14" t="str">
        <f>IFERROR(_xlfn.XLOOKUP(B816,repete!A:A,repete!A:A),"-")</f>
        <v>-</v>
      </c>
    </row>
    <row r="817" spans="1:13" hidden="1">
      <c r="A817" s="1">
        <v>46082</v>
      </c>
      <c r="B817" t="s">
        <v>1626</v>
      </c>
      <c r="C817" t="s">
        <v>1616</v>
      </c>
      <c r="D817" t="s">
        <v>220</v>
      </c>
      <c r="E817" t="s">
        <v>54</v>
      </c>
      <c r="F817">
        <v>37</v>
      </c>
      <c r="G817">
        <v>3</v>
      </c>
      <c r="H817">
        <v>1.0118043844856699E-3</v>
      </c>
      <c r="I817">
        <v>8.1081081081081099E-2</v>
      </c>
      <c r="J817" s="14" t="str">
        <f>_xlfn.XLOOKUP(B817,CAD_PDV!A:A,CAD_PDV!B:B)</f>
        <v>ADESIENE NUNES MACHADO - ME</v>
      </c>
      <c r="K817" s="14">
        <f>IF(IFERROR(_xlfn.XLOOKUP(B817,Planilha2!D:D,Planilha2!H:H),0)="SIM",1,0)</f>
        <v>0</v>
      </c>
      <c r="L817" s="14" t="str">
        <f>_xlfn.XLOOKUP(B817,CAD_PDV!A:A,CAD_PDV!C:C)</f>
        <v>SP2</v>
      </c>
      <c r="M817" s="14" t="str">
        <f>IFERROR(_xlfn.XLOOKUP(B817,repete!A:A,repete!A:A),"-")</f>
        <v>-</v>
      </c>
    </row>
    <row r="818" spans="1:13" hidden="1">
      <c r="A818" s="1">
        <v>46082</v>
      </c>
      <c r="B818" t="s">
        <v>703</v>
      </c>
      <c r="C818" t="s">
        <v>694</v>
      </c>
      <c r="D818" t="s">
        <v>239</v>
      </c>
      <c r="E818" t="s">
        <v>59</v>
      </c>
      <c r="F818">
        <v>53</v>
      </c>
      <c r="G818">
        <v>3</v>
      </c>
      <c r="H818">
        <v>1.0118043844856699E-3</v>
      </c>
      <c r="I818">
        <v>5.6603773584905703E-2</v>
      </c>
      <c r="J818" s="14" t="str">
        <f>_xlfn.XLOOKUP(B818,CAD_PDV!A:A,CAD_PDV!B:B)</f>
        <v>TELECELL TELEFONIA LTDA - ME</v>
      </c>
      <c r="K818" s="14">
        <f>IF(IFERROR(_xlfn.XLOOKUP(B818,Planilha2!D:D,Planilha2!H:H),0)="SIM",1,0)</f>
        <v>0</v>
      </c>
      <c r="L818" s="14" t="str">
        <f>_xlfn.XLOOKUP(B818,CAD_PDV!A:A,CAD_PDV!C:C)</f>
        <v>CO</v>
      </c>
      <c r="M818" s="14" t="str">
        <f>IFERROR(_xlfn.XLOOKUP(B818,repete!A:A,repete!A:A),"-")</f>
        <v>-</v>
      </c>
    </row>
    <row r="819" spans="1:13" hidden="1">
      <c r="A819" s="1">
        <v>46082</v>
      </c>
      <c r="B819" t="s">
        <v>2043</v>
      </c>
      <c r="C819" t="s">
        <v>2042</v>
      </c>
      <c r="D819" t="s">
        <v>193</v>
      </c>
      <c r="E819" t="s">
        <v>2074</v>
      </c>
      <c r="F819">
        <v>38</v>
      </c>
      <c r="G819">
        <v>3</v>
      </c>
      <c r="H819">
        <v>1.0118043844856699E-3</v>
      </c>
      <c r="I819">
        <v>7.8947368421052599E-2</v>
      </c>
      <c r="J819" s="14" t="str">
        <f>_xlfn.XLOOKUP(B819,CAD_PDV!A:A,CAD_PDV!B:B)</f>
        <v>S D COMERCIO DE CELULARES LTDA - ME</v>
      </c>
      <c r="K819" s="14">
        <f>IF(IFERROR(_xlfn.XLOOKUP(B819,Planilha2!D:D,Planilha2!H:H),0)="SIM",1,0)</f>
        <v>0</v>
      </c>
      <c r="L819" s="14" t="str">
        <f>_xlfn.XLOOKUP(B819,CAD_PDV!A:A,CAD_PDV!C:C)</f>
        <v>RS</v>
      </c>
      <c r="M819" s="14" t="str">
        <f>IFERROR(_xlfn.XLOOKUP(B819,repete!A:A,repete!A:A),"-")</f>
        <v>-</v>
      </c>
    </row>
    <row r="820" spans="1:13" hidden="1">
      <c r="A820" s="1">
        <v>46082</v>
      </c>
      <c r="B820" t="s">
        <v>1642</v>
      </c>
      <c r="C820" t="s">
        <v>1643</v>
      </c>
      <c r="D820" t="s">
        <v>223</v>
      </c>
      <c r="E820" t="s">
        <v>54</v>
      </c>
      <c r="F820">
        <v>51</v>
      </c>
      <c r="G820">
        <v>3</v>
      </c>
      <c r="H820">
        <v>1.0118043844856699E-3</v>
      </c>
      <c r="I820">
        <v>5.8823529411764698E-2</v>
      </c>
      <c r="J820" s="14" t="str">
        <f>_xlfn.XLOOKUP(B820,CAD_PDV!A:A,CAD_PDV!B:B)</f>
        <v>BONELI BIAZI CELULARES EIRELI - ME</v>
      </c>
      <c r="K820" s="14">
        <f>IF(IFERROR(_xlfn.XLOOKUP(B820,Planilha2!D:D,Planilha2!H:H),0)="SIM",1,0)</f>
        <v>0</v>
      </c>
      <c r="L820" s="14" t="str">
        <f>_xlfn.XLOOKUP(B820,CAD_PDV!A:A,CAD_PDV!C:C)</f>
        <v>SP2</v>
      </c>
      <c r="M820" s="14" t="str">
        <f>IFERROR(_xlfn.XLOOKUP(B820,repete!A:A,repete!A:A),"-")</f>
        <v>-</v>
      </c>
    </row>
    <row r="821" spans="1:13" hidden="1">
      <c r="A821" s="1">
        <v>46082</v>
      </c>
      <c r="B821" t="s">
        <v>1654</v>
      </c>
      <c r="C821" t="s">
        <v>1655</v>
      </c>
      <c r="D821" t="s">
        <v>241</v>
      </c>
      <c r="E821" t="s">
        <v>54</v>
      </c>
      <c r="F821">
        <v>48</v>
      </c>
      <c r="G821">
        <v>3</v>
      </c>
      <c r="H821">
        <v>1.0118043844856699E-3</v>
      </c>
      <c r="I821">
        <v>6.25E-2</v>
      </c>
      <c r="J821" s="14" t="str">
        <f>_xlfn.XLOOKUP(B821,CAD_PDV!A:A,CAD_PDV!B:B)</f>
        <v>VIRACLARO</v>
      </c>
      <c r="K821" s="14">
        <f>IF(IFERROR(_xlfn.XLOOKUP(B821,Planilha2!D:D,Planilha2!H:H),0)="SIM",1,0)</f>
        <v>0</v>
      </c>
      <c r="L821" s="14" t="str">
        <f>_xlfn.XLOOKUP(B821,CAD_PDV!A:A,CAD_PDV!C:C)</f>
        <v>SP2</v>
      </c>
      <c r="M821" s="14" t="str">
        <f>IFERROR(_xlfn.XLOOKUP(B821,repete!A:A,repete!A:A),"-")</f>
        <v>-</v>
      </c>
    </row>
    <row r="822" spans="1:13" hidden="1">
      <c r="A822" s="1">
        <v>46082</v>
      </c>
      <c r="B822" t="s">
        <v>1679</v>
      </c>
      <c r="C822" t="s">
        <v>1451</v>
      </c>
      <c r="D822" t="s">
        <v>232</v>
      </c>
      <c r="E822" t="s">
        <v>54</v>
      </c>
      <c r="F822">
        <v>38</v>
      </c>
      <c r="G822">
        <v>3</v>
      </c>
      <c r="H822">
        <v>1.0118043844856699E-3</v>
      </c>
      <c r="I822">
        <v>7.8947368421052599E-2</v>
      </c>
      <c r="J822" s="14" t="str">
        <f>_xlfn.XLOOKUP(B822,CAD_PDV!A:A,CAD_PDV!B:B)</f>
        <v>HS TELECOM</v>
      </c>
      <c r="K822" s="14">
        <f>IF(IFERROR(_xlfn.XLOOKUP(B822,Planilha2!D:D,Planilha2!H:H),0)="SIM",1,0)</f>
        <v>0</v>
      </c>
      <c r="L822" s="14" t="str">
        <f>_xlfn.XLOOKUP(B822,CAD_PDV!A:A,CAD_PDV!C:C)</f>
        <v>SP2</v>
      </c>
      <c r="M822" s="14" t="str">
        <f>IFERROR(_xlfn.XLOOKUP(B822,repete!A:A,repete!A:A),"-")</f>
        <v>-</v>
      </c>
    </row>
    <row r="823" spans="1:13" hidden="1">
      <c r="A823" s="1">
        <v>46082</v>
      </c>
      <c r="B823" t="s">
        <v>1692</v>
      </c>
      <c r="C823" t="s">
        <v>1693</v>
      </c>
      <c r="D823" t="s">
        <v>232</v>
      </c>
      <c r="E823" t="s">
        <v>54</v>
      </c>
      <c r="F823">
        <v>70</v>
      </c>
      <c r="G823">
        <v>3</v>
      </c>
      <c r="H823">
        <v>1.0118043844856699E-3</v>
      </c>
      <c r="I823">
        <v>4.2857142857142899E-2</v>
      </c>
      <c r="J823" s="14" t="str">
        <f>_xlfn.XLOOKUP(B823,CAD_PDV!A:A,CAD_PDV!B:B)</f>
        <v>HS TELECOM</v>
      </c>
      <c r="K823" s="14">
        <f>IF(IFERROR(_xlfn.XLOOKUP(B823,Planilha2!D:D,Planilha2!H:H),0)="SIM",1,0)</f>
        <v>0</v>
      </c>
      <c r="L823" s="14" t="str">
        <f>_xlfn.XLOOKUP(B823,CAD_PDV!A:A,CAD_PDV!C:C)</f>
        <v>SP2</v>
      </c>
      <c r="M823" s="14" t="str">
        <f>IFERROR(_xlfn.XLOOKUP(B823,repete!A:A,repete!A:A),"-")</f>
        <v>-</v>
      </c>
    </row>
    <row r="824" spans="1:13" hidden="1">
      <c r="A824" s="1">
        <v>46082</v>
      </c>
      <c r="B824" t="s">
        <v>1877</v>
      </c>
      <c r="C824" t="s">
        <v>1876</v>
      </c>
      <c r="D824" t="s">
        <v>124</v>
      </c>
      <c r="E824" t="s">
        <v>2074</v>
      </c>
      <c r="F824">
        <v>63</v>
      </c>
      <c r="G824">
        <v>3</v>
      </c>
      <c r="H824">
        <v>1.0118043844856699E-3</v>
      </c>
      <c r="I824">
        <v>4.7619047619047603E-2</v>
      </c>
      <c r="J824" s="14" t="str">
        <f>_xlfn.XLOOKUP(B824,CAD_PDV!A:A,CAD_PDV!B:B)</f>
        <v>EDUARDO JUNQUEIRA DA SILVEIRA ADMIN</v>
      </c>
      <c r="K824" s="14">
        <f>IF(IFERROR(_xlfn.XLOOKUP(B824,Planilha2!D:D,Planilha2!H:H),0)="SIM",1,0)</f>
        <v>0</v>
      </c>
      <c r="L824" s="14" t="str">
        <f>_xlfn.XLOOKUP(B824,CAD_PDV!A:A,CAD_PDV!C:C)</f>
        <v>RS</v>
      </c>
      <c r="M824" s="14" t="str">
        <f>IFERROR(_xlfn.XLOOKUP(B824,repete!A:A,repete!A:A),"-")</f>
        <v>-</v>
      </c>
    </row>
    <row r="825" spans="1:13" hidden="1">
      <c r="A825" s="1">
        <v>46082</v>
      </c>
      <c r="B825" t="s">
        <v>1374</v>
      </c>
      <c r="C825" t="s">
        <v>1375</v>
      </c>
      <c r="D825" t="s">
        <v>229</v>
      </c>
      <c r="E825" t="s">
        <v>53</v>
      </c>
      <c r="F825">
        <v>63</v>
      </c>
      <c r="G825">
        <v>3</v>
      </c>
      <c r="H825">
        <v>1.0118043844856699E-3</v>
      </c>
      <c r="I825">
        <v>4.7619047619047603E-2</v>
      </c>
      <c r="J825" s="14" t="str">
        <f>_xlfn.XLOOKUP(B825,CAD_PDV!A:A,CAD_PDV!B:B)</f>
        <v>FW TELEFONIA LTDA - EPP</v>
      </c>
      <c r="K825" s="14">
        <f>IF(IFERROR(_xlfn.XLOOKUP(B825,Planilha2!D:D,Planilha2!H:H),0)="SIM",1,0)</f>
        <v>0</v>
      </c>
      <c r="L825" s="14" t="str">
        <f>_xlfn.XLOOKUP(B825,CAD_PDV!A:A,CAD_PDV!C:C)</f>
        <v>SP1</v>
      </c>
      <c r="M825" s="14" t="str">
        <f>IFERROR(_xlfn.XLOOKUP(B825,repete!A:A,repete!A:A),"-")</f>
        <v>-</v>
      </c>
    </row>
    <row r="826" spans="1:13" hidden="1">
      <c r="A826" s="1">
        <v>46082</v>
      </c>
      <c r="B826" t="s">
        <v>1264</v>
      </c>
      <c r="C826" t="s">
        <v>1142</v>
      </c>
      <c r="D826" t="s">
        <v>233</v>
      </c>
      <c r="E826" t="s">
        <v>55</v>
      </c>
      <c r="F826">
        <v>59</v>
      </c>
      <c r="G826">
        <v>3</v>
      </c>
      <c r="H826">
        <v>1.0118043844856699E-3</v>
      </c>
      <c r="I826">
        <v>5.0847457627118599E-2</v>
      </c>
      <c r="J826" s="14" t="str">
        <f>_xlfn.XLOOKUP(B826,CAD_PDV!A:A,CAD_PDV!B:B)</f>
        <v>LEINAD COMERCIO E SERVICO EIRELI</v>
      </c>
      <c r="K826" s="14">
        <f>IF(IFERROR(_xlfn.XLOOKUP(B826,Planilha2!D:D,Planilha2!H:H),0)="SIM",1,0)</f>
        <v>0</v>
      </c>
      <c r="L826" s="14" t="str">
        <f>_xlfn.XLOOKUP(B826,CAD_PDV!A:A,CAD_PDV!C:C)</f>
        <v>RJ/ES</v>
      </c>
      <c r="M826" s="14" t="str">
        <f>IFERROR(_xlfn.XLOOKUP(B826,repete!A:A,repete!A:A),"-")</f>
        <v>-</v>
      </c>
    </row>
    <row r="827" spans="1:13" hidden="1">
      <c r="A827" s="1">
        <v>46082</v>
      </c>
      <c r="B827" t="s">
        <v>965</v>
      </c>
      <c r="C827" t="s">
        <v>944</v>
      </c>
      <c r="D827" t="s">
        <v>232</v>
      </c>
      <c r="E827" t="s">
        <v>60</v>
      </c>
      <c r="F827">
        <v>58</v>
      </c>
      <c r="G827">
        <v>3</v>
      </c>
      <c r="H827">
        <v>1.0118043844856699E-3</v>
      </c>
      <c r="I827">
        <v>5.1724137931034503E-2</v>
      </c>
      <c r="J827" s="14" t="str">
        <f>_xlfn.XLOOKUP(B827,CAD_PDV!A:A,CAD_PDV!B:B)</f>
        <v>HS TELECOM</v>
      </c>
      <c r="K827" s="14">
        <f>IF(IFERROR(_xlfn.XLOOKUP(B827,Planilha2!D:D,Planilha2!H:H),0)="SIM",1,0)</f>
        <v>0</v>
      </c>
      <c r="L827" s="14" t="str">
        <f>_xlfn.XLOOKUP(B827,CAD_PDV!A:A,CAD_PDV!C:C)</f>
        <v>BA/SE</v>
      </c>
      <c r="M827" s="14" t="str">
        <f>IFERROR(_xlfn.XLOOKUP(B827,repete!A:A,repete!A:A),"-")</f>
        <v>-</v>
      </c>
    </row>
    <row r="828" spans="1:13" hidden="1">
      <c r="A828" s="1">
        <v>46082</v>
      </c>
      <c r="B828" t="s">
        <v>721</v>
      </c>
      <c r="C828" t="s">
        <v>723</v>
      </c>
      <c r="D828" t="s">
        <v>239</v>
      </c>
      <c r="E828" t="s">
        <v>59</v>
      </c>
      <c r="F828">
        <v>184</v>
      </c>
      <c r="G828">
        <v>3</v>
      </c>
      <c r="H828">
        <v>1.0118043844856699E-3</v>
      </c>
      <c r="I828">
        <v>1.6304347826087001E-2</v>
      </c>
      <c r="J828" s="14" t="str">
        <f>_xlfn.XLOOKUP(B828,CAD_PDV!A:A,CAD_PDV!B:B)</f>
        <v>TELECELL TELEFONIA LTDA - ME</v>
      </c>
      <c r="K828" s="14">
        <f>IF(IFERROR(_xlfn.XLOOKUP(B828,Planilha2!D:D,Planilha2!H:H),0)="SIM",1,0)</f>
        <v>0</v>
      </c>
      <c r="L828" s="14" t="str">
        <f>_xlfn.XLOOKUP(B828,CAD_PDV!A:A,CAD_PDV!C:C)</f>
        <v>CO</v>
      </c>
      <c r="M828" s="14" t="str">
        <f>IFERROR(_xlfn.XLOOKUP(B828,repete!A:A,repete!A:A),"-")</f>
        <v>-</v>
      </c>
    </row>
    <row r="829" spans="1:13" hidden="1">
      <c r="A829" s="1">
        <v>46082</v>
      </c>
      <c r="B829" t="s">
        <v>2013</v>
      </c>
      <c r="C829" t="s">
        <v>1744</v>
      </c>
      <c r="D829" t="s">
        <v>106</v>
      </c>
      <c r="E829" t="s">
        <v>2074</v>
      </c>
      <c r="F829">
        <v>65</v>
      </c>
      <c r="G829">
        <v>2</v>
      </c>
      <c r="H829">
        <v>6.7453625632377698E-4</v>
      </c>
      <c r="I829">
        <v>3.0769230769230799E-2</v>
      </c>
      <c r="J829" s="14" t="str">
        <f>_xlfn.XLOOKUP(B829,CAD_PDV!A:A,CAD_PDV!B:B)</f>
        <v>CELLULAR.COM</v>
      </c>
      <c r="K829" s="14">
        <f>IF(IFERROR(_xlfn.XLOOKUP(B829,Planilha2!D:D,Planilha2!H:H),0)="SIM",1,0)</f>
        <v>0</v>
      </c>
      <c r="L829" s="14" t="str">
        <f>_xlfn.XLOOKUP(B829,CAD_PDV!A:A,CAD_PDV!C:C)</f>
        <v>PR/SC</v>
      </c>
      <c r="M829" s="14" t="str">
        <f>IFERROR(_xlfn.XLOOKUP(B829,repete!A:A,repete!A:A),"-")</f>
        <v>-</v>
      </c>
    </row>
    <row r="830" spans="1:13" hidden="1">
      <c r="A830" s="1">
        <v>46082</v>
      </c>
      <c r="B830" t="s">
        <v>841</v>
      </c>
      <c r="C830" t="s">
        <v>842</v>
      </c>
      <c r="D830" t="s">
        <v>239</v>
      </c>
      <c r="E830" t="s">
        <v>59</v>
      </c>
      <c r="F830">
        <v>84</v>
      </c>
      <c r="G830">
        <v>2</v>
      </c>
      <c r="H830">
        <v>6.7453625632377698E-4</v>
      </c>
      <c r="I830">
        <v>2.3809523809523801E-2</v>
      </c>
      <c r="J830" s="14" t="str">
        <f>_xlfn.XLOOKUP(B830,CAD_PDV!A:A,CAD_PDV!B:B)</f>
        <v>TELECELL TELEFONIA LTDA - ME</v>
      </c>
      <c r="K830" s="14">
        <f>IF(IFERROR(_xlfn.XLOOKUP(B830,Planilha2!D:D,Planilha2!H:H),0)="SIM",1,0)</f>
        <v>0</v>
      </c>
      <c r="L830" s="14" t="str">
        <f>_xlfn.XLOOKUP(B830,CAD_PDV!A:A,CAD_PDV!C:C)</f>
        <v>CO</v>
      </c>
      <c r="M830" s="14" t="str">
        <f>IFERROR(_xlfn.XLOOKUP(B830,repete!A:A,repete!A:A),"-")</f>
        <v>1NRI</v>
      </c>
    </row>
    <row r="831" spans="1:13" hidden="1">
      <c r="A831" s="1">
        <v>46082</v>
      </c>
      <c r="B831" t="s">
        <v>1449</v>
      </c>
      <c r="C831" t="s">
        <v>1451</v>
      </c>
      <c r="D831" t="s">
        <v>132</v>
      </c>
      <c r="E831" t="s">
        <v>54</v>
      </c>
      <c r="F831">
        <v>50</v>
      </c>
      <c r="G831">
        <v>2</v>
      </c>
      <c r="H831">
        <v>6.7453625632377698E-4</v>
      </c>
      <c r="I831">
        <v>0.04</v>
      </c>
      <c r="J831" s="14" t="str">
        <f>_xlfn.XLOOKUP(B831,CAD_PDV!A:A,CAD_PDV!B:B)</f>
        <v>FLEX CELL</v>
      </c>
      <c r="K831" s="14">
        <f>IF(IFERROR(_xlfn.XLOOKUP(B831,Planilha2!D:D,Planilha2!H:H),0)="SIM",1,0)</f>
        <v>0</v>
      </c>
      <c r="L831" s="14" t="str">
        <f>_xlfn.XLOOKUP(B831,CAD_PDV!A:A,CAD_PDV!C:C)</f>
        <v>SP2</v>
      </c>
      <c r="M831" s="14" t="str">
        <f>IFERROR(_xlfn.XLOOKUP(B831,repete!A:A,repete!A:A),"-")</f>
        <v>-</v>
      </c>
    </row>
    <row r="832" spans="1:13" hidden="1">
      <c r="A832" s="1">
        <v>46082</v>
      </c>
      <c r="B832" t="s">
        <v>1467</v>
      </c>
      <c r="C832" t="s">
        <v>1469</v>
      </c>
      <c r="D832" t="s">
        <v>232</v>
      </c>
      <c r="E832" t="s">
        <v>54</v>
      </c>
      <c r="F832">
        <v>32</v>
      </c>
      <c r="G832">
        <v>2</v>
      </c>
      <c r="H832">
        <v>6.7453625632377698E-4</v>
      </c>
      <c r="I832">
        <v>6.25E-2</v>
      </c>
      <c r="J832" s="14" t="str">
        <f>_xlfn.XLOOKUP(B832,CAD_PDV!A:A,CAD_PDV!B:B)</f>
        <v>HS TELECOM</v>
      </c>
      <c r="K832" s="14">
        <f>IF(IFERROR(_xlfn.XLOOKUP(B832,Planilha2!D:D,Planilha2!H:H),0)="SIM",1,0)</f>
        <v>0</v>
      </c>
      <c r="L832" s="14" t="str">
        <f>_xlfn.XLOOKUP(B832,CAD_PDV!A:A,CAD_PDV!C:C)</f>
        <v>SP2</v>
      </c>
      <c r="M832" s="14" t="str">
        <f>IFERROR(_xlfn.XLOOKUP(B832,repete!A:A,repete!A:A),"-")</f>
        <v>-</v>
      </c>
    </row>
    <row r="833" spans="1:13" hidden="1">
      <c r="A833" s="1">
        <v>46082</v>
      </c>
      <c r="B833" t="s">
        <v>1932</v>
      </c>
      <c r="C833" t="s">
        <v>1931</v>
      </c>
      <c r="D833" t="s">
        <v>106</v>
      </c>
      <c r="E833" t="s">
        <v>2074</v>
      </c>
      <c r="F833">
        <v>62</v>
      </c>
      <c r="G833">
        <v>2</v>
      </c>
      <c r="H833">
        <v>6.7453625632377698E-4</v>
      </c>
      <c r="I833">
        <v>3.2258064516128997E-2</v>
      </c>
      <c r="J833" s="14" t="str">
        <f>_xlfn.XLOOKUP(B833,CAD_PDV!A:A,CAD_PDV!B:B)</f>
        <v>CELLULAR.COM</v>
      </c>
      <c r="K833" s="14">
        <f>IF(IFERROR(_xlfn.XLOOKUP(B833,Planilha2!D:D,Planilha2!H:H),0)="SIM",1,0)</f>
        <v>0</v>
      </c>
      <c r="L833" s="14" t="str">
        <f>_xlfn.XLOOKUP(B833,CAD_PDV!A:A,CAD_PDV!C:C)</f>
        <v>PR/SC</v>
      </c>
      <c r="M833" s="14" t="str">
        <f>IFERROR(_xlfn.XLOOKUP(B833,repete!A:A,repete!A:A),"-")</f>
        <v>-</v>
      </c>
    </row>
    <row r="834" spans="1:13" hidden="1">
      <c r="A834" s="1">
        <v>46082</v>
      </c>
      <c r="B834" t="s">
        <v>1920</v>
      </c>
      <c r="C834" t="s">
        <v>1918</v>
      </c>
      <c r="D834" t="s">
        <v>106</v>
      </c>
      <c r="E834" t="s">
        <v>2074</v>
      </c>
      <c r="F834">
        <v>31</v>
      </c>
      <c r="G834">
        <v>2</v>
      </c>
      <c r="H834">
        <v>6.7453625632377698E-4</v>
      </c>
      <c r="I834">
        <v>6.4516129032258104E-2</v>
      </c>
      <c r="J834" s="14" t="str">
        <f>_xlfn.XLOOKUP(B834,CAD_PDV!A:A,CAD_PDV!B:B)</f>
        <v>CELLULAR.COM</v>
      </c>
      <c r="K834" s="14">
        <f>IF(IFERROR(_xlfn.XLOOKUP(B834,Planilha2!D:D,Planilha2!H:H),0)="SIM",1,0)</f>
        <v>0</v>
      </c>
      <c r="L834" s="14" t="str">
        <f>_xlfn.XLOOKUP(B834,CAD_PDV!A:A,CAD_PDV!C:C)</f>
        <v>PR/SC</v>
      </c>
      <c r="M834" s="14" t="str">
        <f>IFERROR(_xlfn.XLOOKUP(B834,repete!A:A,repete!A:A),"-")</f>
        <v>-</v>
      </c>
    </row>
    <row r="835" spans="1:13" hidden="1">
      <c r="A835" s="1">
        <v>46082</v>
      </c>
      <c r="B835" t="s">
        <v>1784</v>
      </c>
      <c r="C835" t="s">
        <v>1785</v>
      </c>
      <c r="D835" t="s">
        <v>103</v>
      </c>
      <c r="E835" t="s">
        <v>2074</v>
      </c>
      <c r="F835">
        <v>20</v>
      </c>
      <c r="G835">
        <v>2</v>
      </c>
      <c r="H835">
        <v>6.7453625632377698E-4</v>
      </c>
      <c r="I835">
        <v>0.1</v>
      </c>
      <c r="J835" s="14" t="str">
        <f>_xlfn.XLOOKUP(B835,CAD_PDV!A:A,CAD_PDV!B:B)</f>
        <v>CARLOS EDUARDO SAVIAN - EPP</v>
      </c>
      <c r="K835" s="14">
        <f>IF(IFERROR(_xlfn.XLOOKUP(B835,Planilha2!D:D,Planilha2!H:H),0)="SIM",1,0)</f>
        <v>0</v>
      </c>
      <c r="L835" s="14" t="str">
        <f>_xlfn.XLOOKUP(B835,CAD_PDV!A:A,CAD_PDV!C:C)</f>
        <v>PR/SC</v>
      </c>
      <c r="M835" s="14" t="str">
        <f>IFERROR(_xlfn.XLOOKUP(B835,repete!A:A,repete!A:A),"-")</f>
        <v>-</v>
      </c>
    </row>
    <row r="836" spans="1:13" hidden="1">
      <c r="A836" s="1">
        <v>46082</v>
      </c>
      <c r="B836" t="s">
        <v>2061</v>
      </c>
      <c r="C836" t="s">
        <v>2062</v>
      </c>
      <c r="D836" t="s">
        <v>193</v>
      </c>
      <c r="E836" t="s">
        <v>2074</v>
      </c>
      <c r="F836">
        <v>15</v>
      </c>
      <c r="G836">
        <v>2</v>
      </c>
      <c r="H836">
        <v>6.7453625632377698E-4</v>
      </c>
      <c r="I836">
        <v>0.133333333333333</v>
      </c>
      <c r="J836" s="14" t="str">
        <f>_xlfn.XLOOKUP(B836,CAD_PDV!A:A,CAD_PDV!B:B)</f>
        <v>S D COMERCIO DE CELULARES LTDA - ME</v>
      </c>
      <c r="K836" s="14">
        <f>IF(IFERROR(_xlfn.XLOOKUP(B836,Planilha2!D:D,Planilha2!H:H),0)="SIM",1,0)</f>
        <v>0</v>
      </c>
      <c r="L836" s="14" t="str">
        <f>_xlfn.XLOOKUP(B836,CAD_PDV!A:A,CAD_PDV!C:C)</f>
        <v>RS</v>
      </c>
      <c r="M836" s="14" t="str">
        <f>IFERROR(_xlfn.XLOOKUP(B836,repete!A:A,repete!A:A),"-")</f>
        <v>-</v>
      </c>
    </row>
    <row r="837" spans="1:13" hidden="1">
      <c r="A837" s="1">
        <v>46082</v>
      </c>
      <c r="B837" t="s">
        <v>1854</v>
      </c>
      <c r="C837" t="s">
        <v>1856</v>
      </c>
      <c r="D837" t="s">
        <v>106</v>
      </c>
      <c r="E837" t="s">
        <v>2074</v>
      </c>
      <c r="F837">
        <v>57</v>
      </c>
      <c r="G837">
        <v>2</v>
      </c>
      <c r="H837">
        <v>6.7453625632377698E-4</v>
      </c>
      <c r="I837">
        <v>3.5087719298245598E-2</v>
      </c>
      <c r="J837" s="14" t="str">
        <f>_xlfn.XLOOKUP(B837,CAD_PDV!A:A,CAD_PDV!B:B)</f>
        <v>CELLULAR.COM</v>
      </c>
      <c r="K837" s="14">
        <f>IF(IFERROR(_xlfn.XLOOKUP(B837,Planilha2!D:D,Planilha2!H:H),0)="SIM",1,0)</f>
        <v>0</v>
      </c>
      <c r="L837" s="14" t="str">
        <f>_xlfn.XLOOKUP(B837,CAD_PDV!A:A,CAD_PDV!C:C)</f>
        <v>PR/SC</v>
      </c>
      <c r="M837" s="14" t="str">
        <f>IFERROR(_xlfn.XLOOKUP(B837,repete!A:A,repete!A:A),"-")</f>
        <v>-</v>
      </c>
    </row>
    <row r="838" spans="1:13" hidden="1">
      <c r="A838" s="1">
        <v>46082</v>
      </c>
      <c r="B838" t="s">
        <v>1531</v>
      </c>
      <c r="C838" t="s">
        <v>1441</v>
      </c>
      <c r="D838" t="s">
        <v>132</v>
      </c>
      <c r="E838" t="s">
        <v>54</v>
      </c>
      <c r="F838">
        <v>70</v>
      </c>
      <c r="G838">
        <v>2</v>
      </c>
      <c r="H838">
        <v>6.7453625632377698E-4</v>
      </c>
      <c r="I838">
        <v>2.8571428571428598E-2</v>
      </c>
      <c r="J838" s="14" t="str">
        <f>_xlfn.XLOOKUP(B838,CAD_PDV!A:A,CAD_PDV!B:B)</f>
        <v>FLEX CELL</v>
      </c>
      <c r="K838" s="14">
        <f>IF(IFERROR(_xlfn.XLOOKUP(B838,Planilha2!D:D,Planilha2!H:H),0)="SIM",1,0)</f>
        <v>0</v>
      </c>
      <c r="L838" s="14" t="str">
        <f>_xlfn.XLOOKUP(B838,CAD_PDV!A:A,CAD_PDV!C:C)</f>
        <v>SP2</v>
      </c>
      <c r="M838" s="14" t="str">
        <f>IFERROR(_xlfn.XLOOKUP(B838,repete!A:A,repete!A:A),"-")</f>
        <v>-</v>
      </c>
    </row>
    <row r="839" spans="1:13" hidden="1">
      <c r="A839" s="1">
        <v>46082</v>
      </c>
      <c r="B839" t="s">
        <v>2028</v>
      </c>
      <c r="C839" t="s">
        <v>2026</v>
      </c>
      <c r="D839" t="s">
        <v>193</v>
      </c>
      <c r="E839" t="s">
        <v>2074</v>
      </c>
      <c r="F839">
        <v>77</v>
      </c>
      <c r="G839">
        <v>2</v>
      </c>
      <c r="H839">
        <v>6.7453625632377698E-4</v>
      </c>
      <c r="I839">
        <v>2.5974025974026E-2</v>
      </c>
      <c r="J839" s="14" t="str">
        <f>_xlfn.XLOOKUP(B839,CAD_PDV!A:A,CAD_PDV!B:B)</f>
        <v>S D COMERCIO DE CELULARES LTDA - ME</v>
      </c>
      <c r="K839" s="14">
        <f>IF(IFERROR(_xlfn.XLOOKUP(B839,Planilha2!D:D,Planilha2!H:H),0)="SIM",1,0)</f>
        <v>0</v>
      </c>
      <c r="L839" s="14" t="str">
        <f>_xlfn.XLOOKUP(B839,CAD_PDV!A:A,CAD_PDV!C:C)</f>
        <v>RS</v>
      </c>
      <c r="M839" s="14" t="str">
        <f>IFERROR(_xlfn.XLOOKUP(B839,repete!A:A,repete!A:A),"-")</f>
        <v>-</v>
      </c>
    </row>
    <row r="840" spans="1:13" hidden="1">
      <c r="A840" s="1">
        <v>46082</v>
      </c>
      <c r="B840" t="s">
        <v>1049</v>
      </c>
      <c r="C840" t="s">
        <v>1050</v>
      </c>
      <c r="D840" t="s">
        <v>232</v>
      </c>
      <c r="E840" t="s">
        <v>60</v>
      </c>
      <c r="F840">
        <v>27</v>
      </c>
      <c r="G840">
        <v>2</v>
      </c>
      <c r="H840">
        <v>6.7453625632377698E-4</v>
      </c>
      <c r="I840">
        <v>7.4074074074074098E-2</v>
      </c>
      <c r="J840" s="14" t="str">
        <f>_xlfn.XLOOKUP(B840,CAD_PDV!A:A,CAD_PDV!B:B)</f>
        <v>HS TELECOM</v>
      </c>
      <c r="K840" s="14">
        <f>IF(IFERROR(_xlfn.XLOOKUP(B840,Planilha2!D:D,Planilha2!H:H),0)="SIM",1,0)</f>
        <v>0</v>
      </c>
      <c r="L840" s="14" t="str">
        <f>_xlfn.XLOOKUP(B840,CAD_PDV!A:A,CAD_PDV!C:C)</f>
        <v>BA/SE</v>
      </c>
      <c r="M840" s="14" t="str">
        <f>IFERROR(_xlfn.XLOOKUP(B840,repete!A:A,repete!A:A),"-")</f>
        <v>-</v>
      </c>
    </row>
    <row r="841" spans="1:13" hidden="1">
      <c r="A841" s="1">
        <v>46082</v>
      </c>
      <c r="B841" t="s">
        <v>1212</v>
      </c>
      <c r="C841" t="s">
        <v>1142</v>
      </c>
      <c r="D841" t="s">
        <v>237</v>
      </c>
      <c r="E841" t="s">
        <v>55</v>
      </c>
      <c r="F841">
        <v>42</v>
      </c>
      <c r="G841">
        <v>2</v>
      </c>
      <c r="H841">
        <v>6.7453625632377698E-4</v>
      </c>
      <c r="I841">
        <v>4.7619047619047603E-2</v>
      </c>
      <c r="J841" s="14" t="str">
        <f>_xlfn.XLOOKUP(B841,CAD_PDV!A:A,CAD_PDV!B:B)</f>
        <v>PONTO CERTO COMERCIO E COMUNICAÇÕES LTDA</v>
      </c>
      <c r="K841" s="14">
        <f>IF(IFERROR(_xlfn.XLOOKUP(B841,Planilha2!D:D,Planilha2!H:H),0)="SIM",1,0)</f>
        <v>0</v>
      </c>
      <c r="L841" s="14" t="str">
        <f>_xlfn.XLOOKUP(B841,CAD_PDV!A:A,CAD_PDV!C:C)</f>
        <v>RJ/ES</v>
      </c>
      <c r="M841" s="14" t="str">
        <f>IFERROR(_xlfn.XLOOKUP(B841,repete!A:A,repete!A:A),"-")</f>
        <v>-</v>
      </c>
    </row>
    <row r="842" spans="1:13" hidden="1">
      <c r="A842" s="1">
        <v>46082</v>
      </c>
      <c r="B842" t="s">
        <v>858</v>
      </c>
      <c r="C842" t="s">
        <v>716</v>
      </c>
      <c r="D842" t="s">
        <v>2073</v>
      </c>
      <c r="E842" t="s">
        <v>59</v>
      </c>
      <c r="F842">
        <v>6</v>
      </c>
      <c r="G842">
        <v>2</v>
      </c>
      <c r="H842">
        <v>6.7453625632377698E-4</v>
      </c>
      <c r="I842">
        <v>0.33333333333333298</v>
      </c>
      <c r="J842" s="14" t="str">
        <f>_xlfn.XLOOKUP(B842,CAD_PDV!A:A,CAD_PDV!B:B)</f>
        <v xml:space="preserve">CONTACOM COMERCIO DE APARELHOS ELETRONICOS LTDA </v>
      </c>
      <c r="K842" s="14">
        <f>IF(IFERROR(_xlfn.XLOOKUP(B842,Planilha2!D:D,Planilha2!H:H),0)="SIM",1,0)</f>
        <v>0</v>
      </c>
      <c r="L842" s="14" t="str">
        <f>_xlfn.XLOOKUP(B842,CAD_PDV!A:A,CAD_PDV!C:C)</f>
        <v>CO</v>
      </c>
      <c r="M842" s="14" t="str">
        <f>IFERROR(_xlfn.XLOOKUP(B842,repete!A:A,repete!A:A),"-")</f>
        <v>-</v>
      </c>
    </row>
    <row r="843" spans="1:13" hidden="1">
      <c r="A843" s="1">
        <v>46082</v>
      </c>
      <c r="B843" t="s">
        <v>2032</v>
      </c>
      <c r="C843" t="s">
        <v>2033</v>
      </c>
      <c r="D843" t="s">
        <v>193</v>
      </c>
      <c r="E843" t="s">
        <v>2074</v>
      </c>
      <c r="F843">
        <v>46</v>
      </c>
      <c r="G843">
        <v>2</v>
      </c>
      <c r="H843">
        <v>6.7453625632377698E-4</v>
      </c>
      <c r="I843">
        <v>4.3478260869565202E-2</v>
      </c>
      <c r="J843" s="14" t="str">
        <f>_xlfn.XLOOKUP(B843,CAD_PDV!A:A,CAD_PDV!B:B)</f>
        <v>S D COMERCIO DE CELULARES LTDA - ME</v>
      </c>
      <c r="K843" s="14">
        <f>IF(IFERROR(_xlfn.XLOOKUP(B843,Planilha2!D:D,Planilha2!H:H),0)="SIM",1,0)</f>
        <v>0</v>
      </c>
      <c r="L843" s="14" t="str">
        <f>_xlfn.XLOOKUP(B843,CAD_PDV!A:A,CAD_PDV!C:C)</f>
        <v>RS</v>
      </c>
      <c r="M843" s="14" t="str">
        <f>IFERROR(_xlfn.XLOOKUP(B843,repete!A:A,repete!A:A),"-")</f>
        <v>-</v>
      </c>
    </row>
    <row r="844" spans="1:13" hidden="1">
      <c r="A844" s="1">
        <v>46082</v>
      </c>
      <c r="B844" t="s">
        <v>635</v>
      </c>
      <c r="C844" t="s">
        <v>637</v>
      </c>
      <c r="D844" t="s">
        <v>221</v>
      </c>
      <c r="E844" t="s">
        <v>59</v>
      </c>
      <c r="F844">
        <v>57</v>
      </c>
      <c r="G844">
        <v>2</v>
      </c>
      <c r="H844">
        <v>6.7453625632377698E-4</v>
      </c>
      <c r="I844">
        <v>3.5087719298245598E-2</v>
      </c>
      <c r="J844" s="14" t="str">
        <f>_xlfn.XLOOKUP(B844,CAD_PDV!A:A,CAD_PDV!B:B)</f>
        <v>AMERICOM COMERCIO DE APARELHOS ELETRONICOS LTDA - EPP</v>
      </c>
      <c r="K844" s="14">
        <f>IF(IFERROR(_xlfn.XLOOKUP(B844,Planilha2!D:D,Planilha2!H:H),0)="SIM",1,0)</f>
        <v>0</v>
      </c>
      <c r="L844" s="14" t="str">
        <f>_xlfn.XLOOKUP(B844,CAD_PDV!A:A,CAD_PDV!C:C)</f>
        <v>CO</v>
      </c>
      <c r="M844" s="14" t="str">
        <f>IFERROR(_xlfn.XLOOKUP(B844,repete!A:A,repete!A:A),"-")</f>
        <v>-</v>
      </c>
    </row>
    <row r="845" spans="1:13" hidden="1">
      <c r="A845" s="1">
        <v>46082</v>
      </c>
      <c r="B845" t="s">
        <v>1558</v>
      </c>
      <c r="C845" t="s">
        <v>1559</v>
      </c>
      <c r="D845" t="s">
        <v>219</v>
      </c>
      <c r="E845" t="s">
        <v>54</v>
      </c>
      <c r="F845">
        <v>29</v>
      </c>
      <c r="G845">
        <v>2</v>
      </c>
      <c r="H845">
        <v>6.7453625632377698E-4</v>
      </c>
      <c r="I845">
        <v>6.8965517241379296E-2</v>
      </c>
      <c r="J845" s="14" t="str">
        <f>_xlfn.XLOOKUP(B845,CAD_PDV!A:A,CAD_PDV!B:B)</f>
        <v>WCI CELULARES SERVICOS E TELECOMUNICACOES LTDA - EPP</v>
      </c>
      <c r="K845" s="14">
        <f>IF(IFERROR(_xlfn.XLOOKUP(B845,Planilha2!D:D,Planilha2!H:H),0)="SIM",1,0)</f>
        <v>0</v>
      </c>
      <c r="L845" s="14" t="str">
        <f>_xlfn.XLOOKUP(B845,CAD_PDV!A:A,CAD_PDV!C:C)</f>
        <v>SP2</v>
      </c>
      <c r="M845" s="14" t="str">
        <f>IFERROR(_xlfn.XLOOKUP(B845,repete!A:A,repete!A:A),"-")</f>
        <v>-</v>
      </c>
    </row>
    <row r="846" spans="1:13" hidden="1">
      <c r="A846" s="1">
        <v>46082</v>
      </c>
      <c r="B846" t="s">
        <v>1361</v>
      </c>
      <c r="C846" t="s">
        <v>1350</v>
      </c>
      <c r="D846" t="s">
        <v>132</v>
      </c>
      <c r="E846" t="s">
        <v>53</v>
      </c>
      <c r="F846">
        <v>17</v>
      </c>
      <c r="G846">
        <v>2</v>
      </c>
      <c r="H846">
        <v>6.7453625632377698E-4</v>
      </c>
      <c r="I846">
        <v>0.11764705882352899</v>
      </c>
      <c r="J846" s="14" t="str">
        <f>_xlfn.XLOOKUP(B846,CAD_PDV!A:A,CAD_PDV!B:B)</f>
        <v>FLEX CELL</v>
      </c>
      <c r="K846" s="14">
        <f>IF(IFERROR(_xlfn.XLOOKUP(B846,Planilha2!D:D,Planilha2!H:H),0)="SIM",1,0)</f>
        <v>0</v>
      </c>
      <c r="L846" s="14" t="str">
        <f>_xlfn.XLOOKUP(B846,CAD_PDV!A:A,CAD_PDV!C:C)</f>
        <v>SP1</v>
      </c>
      <c r="M846" s="14" t="str">
        <f>IFERROR(_xlfn.XLOOKUP(B846,repete!A:A,repete!A:A),"-")</f>
        <v>-</v>
      </c>
    </row>
    <row r="847" spans="1:13" hidden="1">
      <c r="A847" s="1">
        <v>46082</v>
      </c>
      <c r="B847" t="s">
        <v>776</v>
      </c>
      <c r="C847" t="s">
        <v>637</v>
      </c>
      <c r="D847" t="s">
        <v>221</v>
      </c>
      <c r="E847" t="s">
        <v>59</v>
      </c>
      <c r="F847">
        <v>54</v>
      </c>
      <c r="G847">
        <v>2</v>
      </c>
      <c r="H847">
        <v>6.7453625632377698E-4</v>
      </c>
      <c r="I847">
        <v>3.7037037037037E-2</v>
      </c>
      <c r="J847" s="14" t="str">
        <f>_xlfn.XLOOKUP(B847,CAD_PDV!A:A,CAD_PDV!B:B)</f>
        <v>AMERICOM COMERCIO DE APARELHOS ELETRONICOS LTDA - EPP</v>
      </c>
      <c r="K847" s="14">
        <f>IF(IFERROR(_xlfn.XLOOKUP(B847,Planilha2!D:D,Planilha2!H:H),0)="SIM",1,0)</f>
        <v>0</v>
      </c>
      <c r="L847" s="14" t="str">
        <f>_xlfn.XLOOKUP(B847,CAD_PDV!A:A,CAD_PDV!C:C)</f>
        <v>CO</v>
      </c>
      <c r="M847" s="14" t="str">
        <f>IFERROR(_xlfn.XLOOKUP(B847,repete!A:A,repete!A:A),"-")</f>
        <v>-</v>
      </c>
    </row>
    <row r="848" spans="1:13" hidden="1">
      <c r="A848" s="1">
        <v>46082</v>
      </c>
      <c r="B848" t="s">
        <v>787</v>
      </c>
      <c r="C848" t="s">
        <v>649</v>
      </c>
      <c r="D848" t="s">
        <v>240</v>
      </c>
      <c r="E848" t="s">
        <v>59</v>
      </c>
      <c r="F848">
        <v>51</v>
      </c>
      <c r="G848">
        <v>2</v>
      </c>
      <c r="H848">
        <v>6.7453625632377698E-4</v>
      </c>
      <c r="I848">
        <v>3.9215686274509803E-2</v>
      </c>
      <c r="J848" s="14" t="str">
        <f>_xlfn.XLOOKUP(B848,CAD_PDV!A:A,CAD_PDV!B:B)</f>
        <v>TELEMAIS TELEFONIA LTDA - ME</v>
      </c>
      <c r="K848" s="14">
        <f>IF(IFERROR(_xlfn.XLOOKUP(B848,Planilha2!D:D,Planilha2!H:H),0)="SIM",1,0)</f>
        <v>0</v>
      </c>
      <c r="L848" s="14" t="str">
        <f>_xlfn.XLOOKUP(B848,CAD_PDV!A:A,CAD_PDV!C:C)</f>
        <v>CO</v>
      </c>
      <c r="M848" s="14" t="str">
        <f>IFERROR(_xlfn.XLOOKUP(B848,repete!A:A,repete!A:A),"-")</f>
        <v>-</v>
      </c>
    </row>
    <row r="849" spans="1:13" hidden="1">
      <c r="A849" s="1">
        <v>46082</v>
      </c>
      <c r="B849" t="s">
        <v>1168</v>
      </c>
      <c r="C849" t="s">
        <v>1142</v>
      </c>
      <c r="D849" t="s">
        <v>237</v>
      </c>
      <c r="E849" t="s">
        <v>55</v>
      </c>
      <c r="F849">
        <v>178</v>
      </c>
      <c r="G849">
        <v>2</v>
      </c>
      <c r="H849">
        <v>6.7453625632377698E-4</v>
      </c>
      <c r="I849">
        <v>1.1235955056179799E-2</v>
      </c>
      <c r="J849" s="14" t="str">
        <f>_xlfn.XLOOKUP(B849,CAD_PDV!A:A,CAD_PDV!B:B)</f>
        <v>PONTO CERTO COMERCIO E COMUNICAÇÕES LTDA</v>
      </c>
      <c r="K849" s="14">
        <f>IF(IFERROR(_xlfn.XLOOKUP(B849,Planilha2!D:D,Planilha2!H:H),0)="SIM",1,0)</f>
        <v>0</v>
      </c>
      <c r="L849" s="14" t="str">
        <f>_xlfn.XLOOKUP(B849,CAD_PDV!A:A,CAD_PDV!C:C)</f>
        <v>RJ/ES</v>
      </c>
      <c r="M849" s="14" t="str">
        <f>IFERROR(_xlfn.XLOOKUP(B849,repete!A:A,repete!A:A),"-")</f>
        <v>-</v>
      </c>
    </row>
    <row r="850" spans="1:13" hidden="1">
      <c r="A850" s="1">
        <v>46082</v>
      </c>
      <c r="B850" t="s">
        <v>778</v>
      </c>
      <c r="C850" t="s">
        <v>775</v>
      </c>
      <c r="D850" t="s">
        <v>221</v>
      </c>
      <c r="E850" t="s">
        <v>59</v>
      </c>
      <c r="F850">
        <v>41</v>
      </c>
      <c r="G850">
        <v>2</v>
      </c>
      <c r="H850">
        <v>6.7453625632377698E-4</v>
      </c>
      <c r="I850">
        <v>4.8780487804878099E-2</v>
      </c>
      <c r="J850" s="14" t="str">
        <f>_xlfn.XLOOKUP(B850,CAD_PDV!A:A,CAD_PDV!B:B)</f>
        <v>AMERICOM COMERCIO DE APARELHOS ELETRONICOS LTDA - EPP</v>
      </c>
      <c r="K850" s="14">
        <f>IF(IFERROR(_xlfn.XLOOKUP(B850,Planilha2!D:D,Planilha2!H:H),0)="SIM",1,0)</f>
        <v>0</v>
      </c>
      <c r="L850" s="14" t="str">
        <f>_xlfn.XLOOKUP(B850,CAD_PDV!A:A,CAD_PDV!C:C)</f>
        <v>CO</v>
      </c>
      <c r="M850" s="14" t="str">
        <f>IFERROR(_xlfn.XLOOKUP(B850,repete!A:A,repete!A:A),"-")</f>
        <v>-</v>
      </c>
    </row>
    <row r="851" spans="1:13" hidden="1">
      <c r="A851" s="1">
        <v>46082</v>
      </c>
      <c r="B851" t="s">
        <v>890</v>
      </c>
      <c r="C851" t="s">
        <v>891</v>
      </c>
      <c r="D851" t="s">
        <v>239</v>
      </c>
      <c r="E851" t="s">
        <v>59</v>
      </c>
      <c r="F851">
        <v>112</v>
      </c>
      <c r="G851">
        <v>2</v>
      </c>
      <c r="H851">
        <v>6.7453625632377698E-4</v>
      </c>
      <c r="I851">
        <v>1.7857142857142901E-2</v>
      </c>
      <c r="J851" s="14" t="str">
        <f>_xlfn.XLOOKUP(B851,CAD_PDV!A:A,CAD_PDV!B:B)</f>
        <v>TELECELL TELEFONIA LTDA - ME</v>
      </c>
      <c r="K851" s="14">
        <f>IF(IFERROR(_xlfn.XLOOKUP(B851,Planilha2!D:D,Planilha2!H:H),0)="SIM",1,0)</f>
        <v>0</v>
      </c>
      <c r="L851" s="14" t="str">
        <f>_xlfn.XLOOKUP(B851,CAD_PDV!A:A,CAD_PDV!C:C)</f>
        <v>CO</v>
      </c>
      <c r="M851" s="14" t="str">
        <f>IFERROR(_xlfn.XLOOKUP(B851,repete!A:A,repete!A:A),"-")</f>
        <v>-</v>
      </c>
    </row>
    <row r="852" spans="1:13" hidden="1">
      <c r="A852" s="1">
        <v>46082</v>
      </c>
      <c r="B852" t="s">
        <v>2054</v>
      </c>
      <c r="C852" t="s">
        <v>2053</v>
      </c>
      <c r="D852" t="s">
        <v>193</v>
      </c>
      <c r="E852" t="s">
        <v>2074</v>
      </c>
      <c r="F852">
        <v>37</v>
      </c>
      <c r="G852">
        <v>2</v>
      </c>
      <c r="H852">
        <v>6.7453625632377698E-4</v>
      </c>
      <c r="I852">
        <v>5.4054054054054099E-2</v>
      </c>
      <c r="J852" s="14" t="str">
        <f>_xlfn.XLOOKUP(B852,CAD_PDV!A:A,CAD_PDV!B:B)</f>
        <v>S D COMERCIO DE CELULARES LTDA - ME</v>
      </c>
      <c r="K852" s="14">
        <f>IF(IFERROR(_xlfn.XLOOKUP(B852,Planilha2!D:D,Planilha2!H:H),0)="SIM",1,0)</f>
        <v>0</v>
      </c>
      <c r="L852" s="14" t="str">
        <f>_xlfn.XLOOKUP(B852,CAD_PDV!A:A,CAD_PDV!C:C)</f>
        <v>RS</v>
      </c>
      <c r="M852" s="14" t="str">
        <f>IFERROR(_xlfn.XLOOKUP(B852,repete!A:A,repete!A:A),"-")</f>
        <v>-</v>
      </c>
    </row>
    <row r="853" spans="1:13" hidden="1">
      <c r="A853" s="1">
        <v>46082</v>
      </c>
      <c r="B853" t="s">
        <v>1612</v>
      </c>
      <c r="C853" t="s">
        <v>1547</v>
      </c>
      <c r="D853" t="s">
        <v>132</v>
      </c>
      <c r="E853" t="s">
        <v>54</v>
      </c>
      <c r="F853">
        <v>65</v>
      </c>
      <c r="G853">
        <v>2</v>
      </c>
      <c r="H853">
        <v>6.7453625632377698E-4</v>
      </c>
      <c r="I853">
        <v>3.0769230769230799E-2</v>
      </c>
      <c r="J853" s="14" t="str">
        <f>_xlfn.XLOOKUP(B853,CAD_PDV!A:A,CAD_PDV!B:B)</f>
        <v>FLEX CELL</v>
      </c>
      <c r="K853" s="14">
        <f>IF(IFERROR(_xlfn.XLOOKUP(B853,Planilha2!D:D,Planilha2!H:H),0)="SIM",1,0)</f>
        <v>0</v>
      </c>
      <c r="L853" s="14" t="str">
        <f>_xlfn.XLOOKUP(B853,CAD_PDV!A:A,CAD_PDV!C:C)</f>
        <v>SP2</v>
      </c>
      <c r="M853" s="14" t="str">
        <f>IFERROR(_xlfn.XLOOKUP(B853,repete!A:A,repete!A:A),"-")</f>
        <v>-</v>
      </c>
    </row>
    <row r="854" spans="1:13" hidden="1">
      <c r="A854" s="1">
        <v>46082</v>
      </c>
      <c r="B854" t="s">
        <v>1615</v>
      </c>
      <c r="C854" t="s">
        <v>1616</v>
      </c>
      <c r="D854" t="s">
        <v>132</v>
      </c>
      <c r="E854" t="s">
        <v>54</v>
      </c>
      <c r="F854">
        <v>39</v>
      </c>
      <c r="G854">
        <v>2</v>
      </c>
      <c r="H854">
        <v>6.7453625632377698E-4</v>
      </c>
      <c r="I854">
        <v>5.1282051282051301E-2</v>
      </c>
      <c r="J854" s="14" t="str">
        <f>_xlfn.XLOOKUP(B854,CAD_PDV!A:A,CAD_PDV!B:B)</f>
        <v>FLEX CELL</v>
      </c>
      <c r="K854" s="14">
        <f>IF(IFERROR(_xlfn.XLOOKUP(B854,Planilha2!D:D,Planilha2!H:H),0)="SIM",1,0)</f>
        <v>0</v>
      </c>
      <c r="L854" s="14" t="str">
        <f>_xlfn.XLOOKUP(B854,CAD_PDV!A:A,CAD_PDV!C:C)</f>
        <v>SP2</v>
      </c>
      <c r="M854" s="14" t="str">
        <f>IFERROR(_xlfn.XLOOKUP(B854,repete!A:A,repete!A:A),"-")</f>
        <v>-</v>
      </c>
    </row>
    <row r="855" spans="1:13" hidden="1">
      <c r="A855" s="1">
        <v>46082</v>
      </c>
      <c r="B855" t="s">
        <v>1186</v>
      </c>
      <c r="C855" t="s">
        <v>1188</v>
      </c>
      <c r="D855" t="s">
        <v>232</v>
      </c>
      <c r="E855" t="s">
        <v>55</v>
      </c>
      <c r="F855">
        <v>43</v>
      </c>
      <c r="G855">
        <v>2</v>
      </c>
      <c r="H855">
        <v>6.7453625632377698E-4</v>
      </c>
      <c r="I855">
        <v>4.6511627906976702E-2</v>
      </c>
      <c r="J855" s="14" t="str">
        <f>_xlfn.XLOOKUP(B855,CAD_PDV!A:A,CAD_PDV!B:B)</f>
        <v>HS TELECOM</v>
      </c>
      <c r="K855" s="14">
        <f>IF(IFERROR(_xlfn.XLOOKUP(B855,Planilha2!D:D,Planilha2!H:H),0)="SIM",1,0)</f>
        <v>0</v>
      </c>
      <c r="L855" s="14" t="str">
        <f>_xlfn.XLOOKUP(B855,CAD_PDV!A:A,CAD_PDV!C:C)</f>
        <v>RJ/ES</v>
      </c>
      <c r="M855" s="14" t="str">
        <f>IFERROR(_xlfn.XLOOKUP(B855,repete!A:A,repete!A:A),"-")</f>
        <v>-</v>
      </c>
    </row>
    <row r="856" spans="1:13" hidden="1">
      <c r="A856" s="1">
        <v>46082</v>
      </c>
      <c r="B856" t="s">
        <v>779</v>
      </c>
      <c r="C856" t="s">
        <v>780</v>
      </c>
      <c r="D856" t="s">
        <v>221</v>
      </c>
      <c r="E856" t="s">
        <v>59</v>
      </c>
      <c r="F856">
        <v>36</v>
      </c>
      <c r="G856">
        <v>2</v>
      </c>
      <c r="H856">
        <v>6.7453625632377698E-4</v>
      </c>
      <c r="I856">
        <v>5.5555555555555601E-2</v>
      </c>
      <c r="J856" s="14" t="str">
        <f>_xlfn.XLOOKUP(B856,CAD_PDV!A:A,CAD_PDV!B:B)</f>
        <v>AMERICOM COMERCIO DE APARELHOS ELETRONICOS LTDA - EPP</v>
      </c>
      <c r="K856" s="14">
        <f>IF(IFERROR(_xlfn.XLOOKUP(B856,Planilha2!D:D,Planilha2!H:H),0)="SIM",1,0)</f>
        <v>0</v>
      </c>
      <c r="L856" s="14" t="str">
        <f>_xlfn.XLOOKUP(B856,CAD_PDV!A:A,CAD_PDV!C:C)</f>
        <v>CO</v>
      </c>
      <c r="M856" s="14" t="str">
        <f>IFERROR(_xlfn.XLOOKUP(B856,repete!A:A,repete!A:A),"-")</f>
        <v>-</v>
      </c>
    </row>
    <row r="857" spans="1:13" hidden="1">
      <c r="A857" s="1">
        <v>46082</v>
      </c>
      <c r="B857" t="s">
        <v>1868</v>
      </c>
      <c r="C857" t="s">
        <v>1870</v>
      </c>
      <c r="D857" t="s">
        <v>124</v>
      </c>
      <c r="E857" t="s">
        <v>2074</v>
      </c>
      <c r="F857">
        <v>27</v>
      </c>
      <c r="G857">
        <v>2</v>
      </c>
      <c r="H857">
        <v>6.7453625632377698E-4</v>
      </c>
      <c r="I857">
        <v>7.4074074074074098E-2</v>
      </c>
      <c r="J857" s="14" t="str">
        <f>_xlfn.XLOOKUP(B857,CAD_PDV!A:A,CAD_PDV!B:B)</f>
        <v>EDUARDO JUNQUEIRA DA SILVEIRA ADMIN</v>
      </c>
      <c r="K857" s="14">
        <f>IF(IFERROR(_xlfn.XLOOKUP(B857,Planilha2!D:D,Planilha2!H:H),0)="SIM",1,0)</f>
        <v>0</v>
      </c>
      <c r="L857" s="14" t="str">
        <f>_xlfn.XLOOKUP(B857,CAD_PDV!A:A,CAD_PDV!C:C)</f>
        <v>RS</v>
      </c>
      <c r="M857" s="14" t="str">
        <f>IFERROR(_xlfn.XLOOKUP(B857,repete!A:A,repete!A:A),"-")</f>
        <v>-</v>
      </c>
    </row>
    <row r="858" spans="1:13" hidden="1">
      <c r="A858" s="1">
        <v>46082</v>
      </c>
      <c r="B858" t="s">
        <v>1256</v>
      </c>
      <c r="C858" t="s">
        <v>1204</v>
      </c>
      <c r="D858" t="s">
        <v>2072</v>
      </c>
      <c r="E858" t="s">
        <v>55</v>
      </c>
      <c r="F858">
        <v>41</v>
      </c>
      <c r="G858">
        <v>2</v>
      </c>
      <c r="H858">
        <v>6.7453625632377698E-4</v>
      </c>
      <c r="I858">
        <v>4.8780487804878099E-2</v>
      </c>
      <c r="J858" s="14" t="str">
        <f>_xlfn.XLOOKUP(B858,CAD_PDV!A:A,CAD_PDV!B:B)</f>
        <v>MEXCELL COMERCIO E SERVICOS DE TELECOMUNICACOES LTDA</v>
      </c>
      <c r="K858" s="14">
        <f>IF(IFERROR(_xlfn.XLOOKUP(B858,Planilha2!D:D,Planilha2!H:H),0)="SIM",1,0)</f>
        <v>0</v>
      </c>
      <c r="L858" s="14" t="str">
        <f>_xlfn.XLOOKUP(B858,CAD_PDV!A:A,CAD_PDV!C:C)</f>
        <v>RJ/ES</v>
      </c>
      <c r="M858" s="14" t="str">
        <f>IFERROR(_xlfn.XLOOKUP(B858,repete!A:A,repete!A:A),"-")</f>
        <v>-</v>
      </c>
    </row>
    <row r="859" spans="1:13" hidden="1">
      <c r="A859" s="1">
        <v>46082</v>
      </c>
      <c r="B859" t="s">
        <v>1865</v>
      </c>
      <c r="C859" t="s">
        <v>1864</v>
      </c>
      <c r="D859" t="s">
        <v>106</v>
      </c>
      <c r="E859" t="s">
        <v>2074</v>
      </c>
      <c r="F859">
        <v>23</v>
      </c>
      <c r="G859">
        <v>2</v>
      </c>
      <c r="H859">
        <v>6.7453625632377698E-4</v>
      </c>
      <c r="I859">
        <v>8.6956521739130405E-2</v>
      </c>
      <c r="J859" s="14" t="str">
        <f>_xlfn.XLOOKUP(B859,CAD_PDV!A:A,CAD_PDV!B:B)</f>
        <v>CELLULAR.COM</v>
      </c>
      <c r="K859" s="14">
        <f>IF(IFERROR(_xlfn.XLOOKUP(B859,Planilha2!D:D,Planilha2!H:H),0)="SIM",1,0)</f>
        <v>0</v>
      </c>
      <c r="L859" s="14" t="str">
        <f>_xlfn.XLOOKUP(B859,CAD_PDV!A:A,CAD_PDV!C:C)</f>
        <v>PR/SC</v>
      </c>
      <c r="M859" s="14" t="str">
        <f>IFERROR(_xlfn.XLOOKUP(B859,repete!A:A,repete!A:A),"-")</f>
        <v>-</v>
      </c>
    </row>
    <row r="860" spans="1:13" hidden="1">
      <c r="A860" s="1">
        <v>46082</v>
      </c>
      <c r="B860" t="s">
        <v>1694</v>
      </c>
      <c r="C860" t="s">
        <v>1695</v>
      </c>
      <c r="D860" t="s">
        <v>232</v>
      </c>
      <c r="E860" t="s">
        <v>54</v>
      </c>
      <c r="F860">
        <v>39</v>
      </c>
      <c r="G860">
        <v>2</v>
      </c>
      <c r="H860">
        <v>6.7453625632377698E-4</v>
      </c>
      <c r="I860">
        <v>5.1282051282051301E-2</v>
      </c>
      <c r="J860" s="14" t="str">
        <f>_xlfn.XLOOKUP(B860,CAD_PDV!A:A,CAD_PDV!B:B)</f>
        <v>HS TELECOM</v>
      </c>
      <c r="K860" s="14">
        <f>IF(IFERROR(_xlfn.XLOOKUP(B860,Planilha2!D:D,Planilha2!H:H),0)="SIM",1,0)</f>
        <v>0</v>
      </c>
      <c r="L860" s="14" t="str">
        <f>_xlfn.XLOOKUP(B860,CAD_PDV!A:A,CAD_PDV!C:C)</f>
        <v>SP2</v>
      </c>
      <c r="M860" s="14" t="str">
        <f>IFERROR(_xlfn.XLOOKUP(B860,repete!A:A,repete!A:A),"-")</f>
        <v>-</v>
      </c>
    </row>
    <row r="861" spans="1:13" hidden="1">
      <c r="A861" s="1">
        <v>46082</v>
      </c>
      <c r="B861" t="s">
        <v>539</v>
      </c>
      <c r="C861" t="s">
        <v>433</v>
      </c>
      <c r="D861" t="s">
        <v>106</v>
      </c>
      <c r="E861" t="s">
        <v>56</v>
      </c>
      <c r="F861">
        <v>55</v>
      </c>
      <c r="G861">
        <v>2</v>
      </c>
      <c r="H861">
        <v>6.7453625632377698E-4</v>
      </c>
      <c r="I861">
        <v>3.6363636363636397E-2</v>
      </c>
      <c r="J861" s="14" t="str">
        <f>_xlfn.XLOOKUP(B861,CAD_PDV!A:A,CAD_PDV!B:B)</f>
        <v>CELLULAR.COM</v>
      </c>
      <c r="K861" s="14">
        <f>IF(IFERROR(_xlfn.XLOOKUP(B861,Planilha2!D:D,Planilha2!H:H),0)="SIM",1,0)</f>
        <v>0</v>
      </c>
      <c r="L861" s="14" t="str">
        <f>_xlfn.XLOOKUP(B861,CAD_PDV!A:A,CAD_PDV!C:C)</f>
        <v>MG</v>
      </c>
      <c r="M861" s="14" t="str">
        <f>IFERROR(_xlfn.XLOOKUP(B861,repete!A:A,repete!A:A),"-")</f>
        <v>-</v>
      </c>
    </row>
    <row r="862" spans="1:13" hidden="1">
      <c r="A862" s="1">
        <v>46082</v>
      </c>
      <c r="B862" t="s">
        <v>1707</v>
      </c>
      <c r="C862" t="s">
        <v>1521</v>
      </c>
      <c r="D862" t="s">
        <v>132</v>
      </c>
      <c r="E862" t="s">
        <v>54</v>
      </c>
      <c r="F862">
        <v>39</v>
      </c>
      <c r="G862">
        <v>2</v>
      </c>
      <c r="H862">
        <v>6.7453625632377698E-4</v>
      </c>
      <c r="I862">
        <v>5.1282051282051301E-2</v>
      </c>
      <c r="J862" s="14" t="str">
        <f>_xlfn.XLOOKUP(B862,CAD_PDV!A:A,CAD_PDV!B:B)</f>
        <v>FLEX CELL</v>
      </c>
      <c r="K862" s="14">
        <f>IF(IFERROR(_xlfn.XLOOKUP(B862,Planilha2!D:D,Planilha2!H:H),0)="SIM",1,0)</f>
        <v>0</v>
      </c>
      <c r="L862" s="14" t="str">
        <f>_xlfn.XLOOKUP(B862,CAD_PDV!A:A,CAD_PDV!C:C)</f>
        <v>SP2</v>
      </c>
      <c r="M862" s="14" t="str">
        <f>IFERROR(_xlfn.XLOOKUP(B862,repete!A:A,repete!A:A),"-")</f>
        <v>-</v>
      </c>
    </row>
    <row r="863" spans="1:13" hidden="1">
      <c r="A863" s="1">
        <v>46082</v>
      </c>
      <c r="B863" t="s">
        <v>1708</v>
      </c>
      <c r="C863" t="s">
        <v>1505</v>
      </c>
      <c r="D863" t="s">
        <v>132</v>
      </c>
      <c r="E863" t="s">
        <v>54</v>
      </c>
      <c r="F863">
        <v>41</v>
      </c>
      <c r="G863">
        <v>2</v>
      </c>
      <c r="H863">
        <v>6.7453625632377698E-4</v>
      </c>
      <c r="I863">
        <v>4.8780487804878099E-2</v>
      </c>
      <c r="J863" s="14" t="str">
        <f>_xlfn.XLOOKUP(B863,CAD_PDV!A:A,CAD_PDV!B:B)</f>
        <v>FLEX CELL</v>
      </c>
      <c r="K863" s="14">
        <f>IF(IFERROR(_xlfn.XLOOKUP(B863,Planilha2!D:D,Planilha2!H:H),0)="SIM",1,0)</f>
        <v>0</v>
      </c>
      <c r="L863" s="14" t="str">
        <f>_xlfn.XLOOKUP(B863,CAD_PDV!A:A,CAD_PDV!C:C)</f>
        <v>SP2</v>
      </c>
      <c r="M863" s="14" t="str">
        <f>IFERROR(_xlfn.XLOOKUP(B863,repete!A:A,repete!A:A),"-")</f>
        <v>-</v>
      </c>
    </row>
    <row r="864" spans="1:13" hidden="1">
      <c r="A864" s="1">
        <v>46082</v>
      </c>
      <c r="B864" t="s">
        <v>1368</v>
      </c>
      <c r="C864" t="s">
        <v>1357</v>
      </c>
      <c r="D864" t="s">
        <v>132</v>
      </c>
      <c r="E864" t="s">
        <v>53</v>
      </c>
      <c r="F864">
        <v>97</v>
      </c>
      <c r="G864">
        <v>2</v>
      </c>
      <c r="H864">
        <v>6.7453625632377698E-4</v>
      </c>
      <c r="I864">
        <v>2.06185567010309E-2</v>
      </c>
      <c r="J864" s="14" t="str">
        <f>_xlfn.XLOOKUP(B864,CAD_PDV!A:A,CAD_PDV!B:B)</f>
        <v>FLEX CELL</v>
      </c>
      <c r="K864" s="14">
        <f>IF(IFERROR(_xlfn.XLOOKUP(B864,Planilha2!D:D,Planilha2!H:H),0)="SIM",1,0)</f>
        <v>0</v>
      </c>
      <c r="L864" s="14" t="str">
        <f>_xlfn.XLOOKUP(B864,CAD_PDV!A:A,CAD_PDV!C:C)</f>
        <v>SP1</v>
      </c>
      <c r="M864" s="14" t="str">
        <f>IFERROR(_xlfn.XLOOKUP(B864,repete!A:A,repete!A:A),"-")</f>
        <v>-</v>
      </c>
    </row>
    <row r="865" spans="1:13" hidden="1">
      <c r="A865" s="1">
        <v>46082</v>
      </c>
      <c r="B865" t="s">
        <v>2059</v>
      </c>
      <c r="C865" t="s">
        <v>2060</v>
      </c>
      <c r="D865" t="s">
        <v>193</v>
      </c>
      <c r="E865" t="s">
        <v>2074</v>
      </c>
      <c r="F865">
        <v>25</v>
      </c>
      <c r="G865">
        <v>2</v>
      </c>
      <c r="H865">
        <v>6.7453625632377698E-4</v>
      </c>
      <c r="I865">
        <v>0.08</v>
      </c>
      <c r="J865" s="14" t="str">
        <f>_xlfn.XLOOKUP(B865,CAD_PDV!A:A,CAD_PDV!B:B)</f>
        <v>S D COMERCIO DE CELULARES LTDA - ME</v>
      </c>
      <c r="K865" s="14">
        <f>IF(IFERROR(_xlfn.XLOOKUP(B865,Planilha2!D:D,Planilha2!H:H),0)="SIM",1,0)</f>
        <v>0</v>
      </c>
      <c r="L865" s="14" t="str">
        <f>_xlfn.XLOOKUP(B865,CAD_PDV!A:A,CAD_PDV!C:C)</f>
        <v>RS</v>
      </c>
      <c r="M865" s="14" t="str">
        <f>IFERROR(_xlfn.XLOOKUP(B865,repete!A:A,repete!A:A),"-")</f>
        <v>-</v>
      </c>
    </row>
    <row r="866" spans="1:13" hidden="1">
      <c r="A866" s="1">
        <v>46082</v>
      </c>
      <c r="B866" t="s">
        <v>1339</v>
      </c>
      <c r="C866" t="s">
        <v>1313</v>
      </c>
      <c r="D866" t="s">
        <v>225</v>
      </c>
      <c r="E866" t="s">
        <v>53</v>
      </c>
      <c r="F866">
        <v>157</v>
      </c>
      <c r="G866">
        <v>2</v>
      </c>
      <c r="H866">
        <v>6.7453625632377698E-4</v>
      </c>
      <c r="I866">
        <v>1.27388535031847E-2</v>
      </c>
      <c r="J866" s="14" t="str">
        <f>_xlfn.XLOOKUP(B866,CAD_PDV!A:A,CAD_PDV!B:B)</f>
        <v>CLARICELL SP1</v>
      </c>
      <c r="K866" s="14">
        <f>IF(IFERROR(_xlfn.XLOOKUP(B866,Planilha2!D:D,Planilha2!H:H),0)="SIM",1,0)</f>
        <v>0</v>
      </c>
      <c r="L866" s="14" t="str">
        <f>_xlfn.XLOOKUP(B866,CAD_PDV!A:A,CAD_PDV!C:C)</f>
        <v>SP1</v>
      </c>
      <c r="M866" s="14" t="str">
        <f>IFERROR(_xlfn.XLOOKUP(B866,repete!A:A,repete!A:A),"-")</f>
        <v>-</v>
      </c>
    </row>
    <row r="867" spans="1:13" hidden="1">
      <c r="A867" s="1">
        <v>46082</v>
      </c>
      <c r="B867" t="s">
        <v>1883</v>
      </c>
      <c r="C867" t="s">
        <v>1884</v>
      </c>
      <c r="D867" t="s">
        <v>124</v>
      </c>
      <c r="E867" t="s">
        <v>2074</v>
      </c>
      <c r="F867">
        <v>44</v>
      </c>
      <c r="G867">
        <v>2</v>
      </c>
      <c r="H867">
        <v>6.7453625632377698E-4</v>
      </c>
      <c r="I867">
        <v>4.5454545454545497E-2</v>
      </c>
      <c r="J867" s="14" t="str">
        <f>_xlfn.XLOOKUP(B867,CAD_PDV!A:A,CAD_PDV!B:B)</f>
        <v>EDUARDO JUNQUEIRA DA SILVEIRA ADMIN</v>
      </c>
      <c r="K867" s="14">
        <f>IF(IFERROR(_xlfn.XLOOKUP(B867,Planilha2!D:D,Planilha2!H:H),0)="SIM",1,0)</f>
        <v>1</v>
      </c>
      <c r="L867" s="14" t="str">
        <f>_xlfn.XLOOKUP(B867,CAD_PDV!A:A,CAD_PDV!C:C)</f>
        <v>RS</v>
      </c>
      <c r="M867" s="14" t="str">
        <f>IFERROR(_xlfn.XLOOKUP(B867,repete!A:A,repete!A:A),"-")</f>
        <v>-</v>
      </c>
    </row>
    <row r="868" spans="1:13" hidden="1">
      <c r="A868" s="1">
        <v>46082</v>
      </c>
      <c r="B868" t="s">
        <v>607</v>
      </c>
      <c r="C868" t="s">
        <v>610</v>
      </c>
      <c r="D868" t="s">
        <v>224</v>
      </c>
      <c r="E868" t="s">
        <v>59</v>
      </c>
      <c r="F868">
        <v>37</v>
      </c>
      <c r="G868">
        <v>2</v>
      </c>
      <c r="H868">
        <v>6.7453625632377698E-4</v>
      </c>
      <c r="I868">
        <v>5.4054054054054099E-2</v>
      </c>
      <c r="J868" s="14" t="str">
        <f>_xlfn.XLOOKUP(B868,CAD_PDV!A:A,CAD_PDV!B:B)</f>
        <v>CELNET COMERCIO E SERVICOS DE TELEFONIA LTDA ME</v>
      </c>
      <c r="K868" s="14">
        <f>IF(IFERROR(_xlfn.XLOOKUP(B868,Planilha2!D:D,Planilha2!H:H),0)="SIM",1,0)</f>
        <v>0</v>
      </c>
      <c r="L868" s="14" t="str">
        <f>_xlfn.XLOOKUP(B868,CAD_PDV!A:A,CAD_PDV!C:C)</f>
        <v>CO</v>
      </c>
      <c r="M868" s="14" t="str">
        <f>IFERROR(_xlfn.XLOOKUP(B868,repete!A:A,repete!A:A),"-")</f>
        <v>-</v>
      </c>
    </row>
    <row r="869" spans="1:13" hidden="1">
      <c r="A869" s="1">
        <v>46082</v>
      </c>
      <c r="B869" t="s">
        <v>472</v>
      </c>
      <c r="C869" t="s">
        <v>475</v>
      </c>
      <c r="D869" t="s">
        <v>228</v>
      </c>
      <c r="E869" t="s">
        <v>56</v>
      </c>
      <c r="F869">
        <v>35</v>
      </c>
      <c r="G869">
        <v>2</v>
      </c>
      <c r="H869">
        <v>6.7453625632377698E-4</v>
      </c>
      <c r="I869">
        <v>5.7142857142857099E-2</v>
      </c>
      <c r="J869" s="14" t="str">
        <f>_xlfn.XLOOKUP(B869,CAD_PDV!A:A,CAD_PDV!B:B)</f>
        <v>FAJULUTI</v>
      </c>
      <c r="K869" s="14">
        <f>IF(IFERROR(_xlfn.XLOOKUP(B869,Planilha2!D:D,Planilha2!H:H),0)="SIM",1,0)</f>
        <v>0</v>
      </c>
      <c r="L869" s="14" t="str">
        <f>_xlfn.XLOOKUP(B869,CAD_PDV!A:A,CAD_PDV!C:C)</f>
        <v>MG</v>
      </c>
      <c r="M869" s="14" t="str">
        <f>IFERROR(_xlfn.XLOOKUP(B869,repete!A:A,repete!A:A),"-")</f>
        <v>-</v>
      </c>
    </row>
    <row r="870" spans="1:13" hidden="1">
      <c r="A870" s="1">
        <v>46082</v>
      </c>
      <c r="B870" t="s">
        <v>937</v>
      </c>
      <c r="C870" t="s">
        <v>940</v>
      </c>
      <c r="D870" t="s">
        <v>236</v>
      </c>
      <c r="E870" t="s">
        <v>60</v>
      </c>
      <c r="F870">
        <v>42</v>
      </c>
      <c r="G870">
        <v>1</v>
      </c>
      <c r="H870">
        <v>3.3726812816188898E-4</v>
      </c>
      <c r="I870">
        <v>2.3809523809523801E-2</v>
      </c>
      <c r="J870" s="14" t="str">
        <f>_xlfn.XLOOKUP(B870,CAD_PDV!A:A,CAD_PDV!B:B)</f>
        <v>PAULA C L NIELLA EIRELI</v>
      </c>
      <c r="K870" s="14">
        <f>IF(IFERROR(_xlfn.XLOOKUP(B870,Planilha2!D:D,Planilha2!H:H),0)="SIM",1,0)</f>
        <v>0</v>
      </c>
      <c r="L870" s="14" t="str">
        <f>_xlfn.XLOOKUP(B870,CAD_PDV!A:A,CAD_PDV!C:C)</f>
        <v>BA/SE</v>
      </c>
      <c r="M870" s="14" t="str">
        <f>IFERROR(_xlfn.XLOOKUP(B870,repete!A:A,repete!A:A),"-")</f>
        <v>-</v>
      </c>
    </row>
    <row r="871" spans="1:13" hidden="1">
      <c r="A871" s="1">
        <v>46082</v>
      </c>
      <c r="B871" t="s">
        <v>1195</v>
      </c>
      <c r="C871" t="s">
        <v>1196</v>
      </c>
      <c r="D871" t="s">
        <v>228</v>
      </c>
      <c r="E871" t="s">
        <v>55</v>
      </c>
      <c r="F871">
        <v>52</v>
      </c>
      <c r="G871">
        <v>1</v>
      </c>
      <c r="H871">
        <v>3.3726812816188898E-4</v>
      </c>
      <c r="I871">
        <v>1.9230769230769201E-2</v>
      </c>
      <c r="J871" s="14" t="str">
        <f>_xlfn.XLOOKUP(B871,CAD_PDV!A:A,CAD_PDV!B:B)</f>
        <v>FAJULUTI</v>
      </c>
      <c r="K871" s="14">
        <f>IF(IFERROR(_xlfn.XLOOKUP(B871,Planilha2!D:D,Planilha2!H:H),0)="SIM",1,0)</f>
        <v>0</v>
      </c>
      <c r="L871" s="14" t="str">
        <f>_xlfn.XLOOKUP(B871,CAD_PDV!A:A,CAD_PDV!C:C)</f>
        <v>RJ/ES</v>
      </c>
      <c r="M871" s="14" t="str">
        <f>IFERROR(_xlfn.XLOOKUP(B871,repete!A:A,repete!A:A),"-")</f>
        <v>-</v>
      </c>
    </row>
    <row r="872" spans="1:13" hidden="1">
      <c r="A872" s="1">
        <v>46082</v>
      </c>
      <c r="B872" t="s">
        <v>1197</v>
      </c>
      <c r="C872" t="s">
        <v>1142</v>
      </c>
      <c r="D872" t="s">
        <v>237</v>
      </c>
      <c r="E872" t="s">
        <v>55</v>
      </c>
      <c r="F872">
        <v>114</v>
      </c>
      <c r="G872">
        <v>1</v>
      </c>
      <c r="H872">
        <v>3.3726812816188898E-4</v>
      </c>
      <c r="I872">
        <v>8.7719298245613996E-3</v>
      </c>
      <c r="J872" s="14" t="str">
        <f>_xlfn.XLOOKUP(B872,CAD_PDV!A:A,CAD_PDV!B:B)</f>
        <v>PONTO CERTO COMERCIO E COMUNICAÇÕES LTDA</v>
      </c>
      <c r="K872" s="14">
        <f>IF(IFERROR(_xlfn.XLOOKUP(B872,Planilha2!D:D,Planilha2!H:H),0)="SIM",1,0)</f>
        <v>0</v>
      </c>
      <c r="L872" s="14" t="str">
        <f>_xlfn.XLOOKUP(B872,CAD_PDV!A:A,CAD_PDV!C:C)</f>
        <v>RJ/ES</v>
      </c>
      <c r="M872" s="14" t="str">
        <f>IFERROR(_xlfn.XLOOKUP(B872,repete!A:A,repete!A:A),"-")</f>
        <v>-</v>
      </c>
    </row>
    <row r="873" spans="1:13" hidden="1">
      <c r="A873" s="1">
        <v>46082</v>
      </c>
      <c r="B873" t="s">
        <v>1938</v>
      </c>
      <c r="C873" t="s">
        <v>1939</v>
      </c>
      <c r="D873" t="s">
        <v>176</v>
      </c>
      <c r="E873" t="s">
        <v>2074</v>
      </c>
      <c r="F873">
        <v>29</v>
      </c>
      <c r="G873">
        <v>1</v>
      </c>
      <c r="H873">
        <v>3.3726812816188898E-4</v>
      </c>
      <c r="I873">
        <v>3.4482758620689703E-2</v>
      </c>
      <c r="J873" s="14" t="str">
        <f>_xlfn.XLOOKUP(B873,CAD_PDV!A:A,CAD_PDV!B:B)</f>
        <v>NEW POINT CELULAR LTDA - ME</v>
      </c>
      <c r="K873" s="14">
        <f>IF(IFERROR(_xlfn.XLOOKUP(B873,Planilha2!D:D,Planilha2!H:H),0)="SIM",1,0)</f>
        <v>0</v>
      </c>
      <c r="L873" s="14" t="str">
        <f>_xlfn.XLOOKUP(B873,CAD_PDV!A:A,CAD_PDV!C:C)</f>
        <v>RS</v>
      </c>
      <c r="M873" s="14" t="str">
        <f>IFERROR(_xlfn.XLOOKUP(B873,repete!A:A,repete!A:A),"-")</f>
        <v>-</v>
      </c>
    </row>
    <row r="874" spans="1:13" hidden="1">
      <c r="A874" s="1">
        <v>46082</v>
      </c>
      <c r="B874" t="s">
        <v>1436</v>
      </c>
      <c r="C874" t="s">
        <v>1439</v>
      </c>
      <c r="D874" t="s">
        <v>120</v>
      </c>
      <c r="E874" t="s">
        <v>54</v>
      </c>
      <c r="F874">
        <v>66</v>
      </c>
      <c r="G874">
        <v>1</v>
      </c>
      <c r="H874">
        <v>3.3726812816188898E-4</v>
      </c>
      <c r="I874">
        <v>1.5151515151515201E-2</v>
      </c>
      <c r="J874" s="14" t="str">
        <f>_xlfn.XLOOKUP(B874,CAD_PDV!A:A,CAD_PDV!B:B)</f>
        <v>DOUGLAS LUIZ ELETRONICOS - ME</v>
      </c>
      <c r="K874" s="14">
        <f>IF(IFERROR(_xlfn.XLOOKUP(B874,Planilha2!D:D,Planilha2!H:H),0)="SIM",1,0)</f>
        <v>0</v>
      </c>
      <c r="L874" s="14" t="str">
        <f>_xlfn.XLOOKUP(B874,CAD_PDV!A:A,CAD_PDV!C:C)</f>
        <v>SP2</v>
      </c>
      <c r="M874" s="14" t="str">
        <f>IFERROR(_xlfn.XLOOKUP(B874,repete!A:A,repete!A:A),"-")</f>
        <v>-</v>
      </c>
    </row>
    <row r="875" spans="1:13" hidden="1">
      <c r="A875" s="1">
        <v>46082</v>
      </c>
      <c r="B875" t="s">
        <v>1199</v>
      </c>
      <c r="C875" t="s">
        <v>1159</v>
      </c>
      <c r="D875" t="s">
        <v>237</v>
      </c>
      <c r="E875" t="s">
        <v>55</v>
      </c>
      <c r="F875">
        <v>87</v>
      </c>
      <c r="G875">
        <v>1</v>
      </c>
      <c r="H875">
        <v>3.3726812816188898E-4</v>
      </c>
      <c r="I875">
        <v>1.1494252873563199E-2</v>
      </c>
      <c r="J875" s="14" t="str">
        <f>_xlfn.XLOOKUP(B875,CAD_PDV!A:A,CAD_PDV!B:B)</f>
        <v>PONTO CERTO COMERCIO E COMUNICAÇÕES LTDA</v>
      </c>
      <c r="K875" s="14">
        <f>IF(IFERROR(_xlfn.XLOOKUP(B875,Planilha2!D:D,Planilha2!H:H),0)="SIM",1,0)</f>
        <v>0</v>
      </c>
      <c r="L875" s="14" t="str">
        <f>_xlfn.XLOOKUP(B875,CAD_PDV!A:A,CAD_PDV!C:C)</f>
        <v>RJ/ES</v>
      </c>
      <c r="M875" s="14" t="str">
        <f>IFERROR(_xlfn.XLOOKUP(B875,repete!A:A,repete!A:A),"-")</f>
        <v>-</v>
      </c>
    </row>
    <row r="876" spans="1:13" hidden="1">
      <c r="A876" s="1">
        <v>46082</v>
      </c>
      <c r="B876" t="s">
        <v>870</v>
      </c>
      <c r="C876" t="s">
        <v>871</v>
      </c>
      <c r="D876" t="s">
        <v>224</v>
      </c>
      <c r="E876" t="s">
        <v>59</v>
      </c>
      <c r="F876">
        <v>112</v>
      </c>
      <c r="G876">
        <v>1</v>
      </c>
      <c r="H876">
        <v>3.3726812816188898E-4</v>
      </c>
      <c r="I876">
        <v>8.9285714285714298E-3</v>
      </c>
      <c r="J876" s="14" t="str">
        <f>_xlfn.XLOOKUP(B876,CAD_PDV!A:A,CAD_PDV!B:B)</f>
        <v>CELNET COMERCIO E SERVICOS DE TELEFONIA LTDA ME</v>
      </c>
      <c r="K876" s="14">
        <f>IF(IFERROR(_xlfn.XLOOKUP(B876,Planilha2!D:D,Planilha2!H:H),0)="SIM",1,0)</f>
        <v>0</v>
      </c>
      <c r="L876" s="14" t="str">
        <f>_xlfn.XLOOKUP(B876,CAD_PDV!A:A,CAD_PDV!C:C)</f>
        <v>CO</v>
      </c>
      <c r="M876" s="14" t="str">
        <f>IFERROR(_xlfn.XLOOKUP(B876,repete!A:A,repete!A:A),"-")</f>
        <v>-</v>
      </c>
    </row>
    <row r="877" spans="1:13" hidden="1">
      <c r="A877" s="1">
        <v>46082</v>
      </c>
      <c r="B877" t="s">
        <v>1899</v>
      </c>
      <c r="C877" t="s">
        <v>1900</v>
      </c>
      <c r="D877" t="s">
        <v>97</v>
      </c>
      <c r="E877" t="s">
        <v>2074</v>
      </c>
      <c r="F877">
        <v>54</v>
      </c>
      <c r="G877">
        <v>1</v>
      </c>
      <c r="H877">
        <v>3.3726812816188898E-4</v>
      </c>
      <c r="I877">
        <v>1.85185185185185E-2</v>
      </c>
      <c r="J877" s="14" t="str">
        <f>_xlfn.XLOOKUP(B877,CAD_PDV!A:A,CAD_PDV!B:B)</f>
        <v>BANDEIRA</v>
      </c>
      <c r="K877" s="14">
        <f>IF(IFERROR(_xlfn.XLOOKUP(B877,Planilha2!D:D,Planilha2!H:H),0)="SIM",1,0)</f>
        <v>0</v>
      </c>
      <c r="L877" s="14" t="str">
        <f>_xlfn.XLOOKUP(B877,CAD_PDV!A:A,CAD_PDV!C:C)</f>
        <v>PR/SC</v>
      </c>
      <c r="M877" s="14" t="str">
        <f>IFERROR(_xlfn.XLOOKUP(B877,repete!A:A,repete!A:A),"-")</f>
        <v>-</v>
      </c>
    </row>
    <row r="878" spans="1:13" hidden="1">
      <c r="A878" s="1">
        <v>46082</v>
      </c>
      <c r="B878" t="s">
        <v>982</v>
      </c>
      <c r="C878" t="s">
        <v>983</v>
      </c>
      <c r="D878" t="s">
        <v>232</v>
      </c>
      <c r="E878" t="s">
        <v>60</v>
      </c>
      <c r="F878">
        <v>40</v>
      </c>
      <c r="G878">
        <v>1</v>
      </c>
      <c r="H878">
        <v>3.3726812816188898E-4</v>
      </c>
      <c r="I878">
        <v>2.5000000000000001E-2</v>
      </c>
      <c r="J878" s="14" t="str">
        <f>_xlfn.XLOOKUP(B878,CAD_PDV!A:A,CAD_PDV!B:B)</f>
        <v>HS TELECOM</v>
      </c>
      <c r="K878" s="14">
        <f>IF(IFERROR(_xlfn.XLOOKUP(B878,Planilha2!D:D,Planilha2!H:H),0)="SIM",1,0)</f>
        <v>0</v>
      </c>
      <c r="L878" s="14" t="str">
        <f>_xlfn.XLOOKUP(B878,CAD_PDV!A:A,CAD_PDV!C:C)</f>
        <v>BA/SE</v>
      </c>
      <c r="M878" s="14" t="str">
        <f>IFERROR(_xlfn.XLOOKUP(B878,repete!A:A,repete!A:A),"-")</f>
        <v>-</v>
      </c>
    </row>
    <row r="879" spans="1:13" hidden="1">
      <c r="A879" s="1">
        <v>46082</v>
      </c>
      <c r="B879" t="s">
        <v>1345</v>
      </c>
      <c r="C879" t="s">
        <v>1346</v>
      </c>
      <c r="D879" t="s">
        <v>229</v>
      </c>
      <c r="E879" t="s">
        <v>53</v>
      </c>
      <c r="F879">
        <v>26</v>
      </c>
      <c r="G879">
        <v>1</v>
      </c>
      <c r="H879">
        <v>3.3726812816188898E-4</v>
      </c>
      <c r="I879">
        <v>3.8461538461538498E-2</v>
      </c>
      <c r="J879" s="14" t="str">
        <f>_xlfn.XLOOKUP(B879,CAD_PDV!A:A,CAD_PDV!B:B)</f>
        <v>FW TELEFONIA LTDA - EPP</v>
      </c>
      <c r="K879" s="14">
        <f>IF(IFERROR(_xlfn.XLOOKUP(B879,Planilha2!D:D,Planilha2!H:H),0)="SIM",1,0)</f>
        <v>0</v>
      </c>
      <c r="L879" s="14" t="str">
        <f>_xlfn.XLOOKUP(B879,CAD_PDV!A:A,CAD_PDV!C:C)</f>
        <v>SP1</v>
      </c>
      <c r="M879" s="14" t="str">
        <f>IFERROR(_xlfn.XLOOKUP(B879,repete!A:A,repete!A:A),"-")</f>
        <v>-</v>
      </c>
    </row>
    <row r="880" spans="1:13" hidden="1">
      <c r="A880" s="1">
        <v>46082</v>
      </c>
      <c r="B880" t="s">
        <v>1205</v>
      </c>
      <c r="C880" t="s">
        <v>1207</v>
      </c>
      <c r="D880" t="s">
        <v>228</v>
      </c>
      <c r="E880" t="s">
        <v>55</v>
      </c>
      <c r="F880">
        <v>52</v>
      </c>
      <c r="G880">
        <v>1</v>
      </c>
      <c r="H880">
        <v>3.3726812816188898E-4</v>
      </c>
      <c r="I880">
        <v>1.9230769230769201E-2</v>
      </c>
      <c r="J880" s="14" t="str">
        <f>_xlfn.XLOOKUP(B880,CAD_PDV!A:A,CAD_PDV!B:B)</f>
        <v>FAJULUTI</v>
      </c>
      <c r="K880" s="14">
        <f>IF(IFERROR(_xlfn.XLOOKUP(B880,Planilha2!D:D,Planilha2!H:H),0)="SIM",1,0)</f>
        <v>0</v>
      </c>
      <c r="L880" s="14" t="str">
        <f>_xlfn.XLOOKUP(B880,CAD_PDV!A:A,CAD_PDV!C:C)</f>
        <v>RJ/ES</v>
      </c>
      <c r="M880" s="14" t="str">
        <f>IFERROR(_xlfn.XLOOKUP(B880,repete!A:A,repete!A:A),"-")</f>
        <v>-</v>
      </c>
    </row>
    <row r="881" spans="1:13" hidden="1">
      <c r="A881" s="1">
        <v>46082</v>
      </c>
      <c r="B881" t="s">
        <v>1263</v>
      </c>
      <c r="C881" t="s">
        <v>1142</v>
      </c>
      <c r="D881" t="s">
        <v>233</v>
      </c>
      <c r="E881" t="s">
        <v>55</v>
      </c>
      <c r="F881">
        <v>25</v>
      </c>
      <c r="G881">
        <v>1</v>
      </c>
      <c r="H881">
        <v>3.3726812816188898E-4</v>
      </c>
      <c r="I881">
        <v>0.04</v>
      </c>
      <c r="J881" s="14" t="str">
        <f>_xlfn.XLOOKUP(B881,CAD_PDV!A:A,CAD_PDV!B:B)</f>
        <v>LEINAD COMERCIO E SERVICO EIRELI</v>
      </c>
      <c r="K881" s="14">
        <f>IF(IFERROR(_xlfn.XLOOKUP(B881,Planilha2!D:D,Planilha2!H:H),0)="SIM",1,0)</f>
        <v>0</v>
      </c>
      <c r="L881" s="14" t="str">
        <f>_xlfn.XLOOKUP(B881,CAD_PDV!A:A,CAD_PDV!C:C)</f>
        <v>RJ/ES</v>
      </c>
      <c r="M881" s="14" t="str">
        <f>IFERROR(_xlfn.XLOOKUP(B881,repete!A:A,repete!A:A),"-")</f>
        <v>-</v>
      </c>
    </row>
    <row r="882" spans="1:13" hidden="1">
      <c r="A882" s="1">
        <v>46082</v>
      </c>
      <c r="B882" t="s">
        <v>1511</v>
      </c>
      <c r="C882" t="s">
        <v>1512</v>
      </c>
      <c r="D882" t="s">
        <v>120</v>
      </c>
      <c r="E882" t="s">
        <v>54</v>
      </c>
      <c r="F882">
        <v>89</v>
      </c>
      <c r="G882">
        <v>1</v>
      </c>
      <c r="H882">
        <v>3.3726812816188898E-4</v>
      </c>
      <c r="I882">
        <v>1.1235955056179799E-2</v>
      </c>
      <c r="J882" s="14" t="str">
        <f>_xlfn.XLOOKUP(B882,CAD_PDV!A:A,CAD_PDV!B:B)</f>
        <v>DOUGLAS LUIZ ELETRONICOS - ME</v>
      </c>
      <c r="K882" s="14">
        <f>IF(IFERROR(_xlfn.XLOOKUP(B882,Planilha2!D:D,Planilha2!H:H),0)="SIM",1,0)</f>
        <v>0</v>
      </c>
      <c r="L882" s="14" t="str">
        <f>_xlfn.XLOOKUP(B882,CAD_PDV!A:A,CAD_PDV!C:C)</f>
        <v>SP2</v>
      </c>
      <c r="M882" s="14" t="str">
        <f>IFERROR(_xlfn.XLOOKUP(B882,repete!A:A,repete!A:A),"-")</f>
        <v>-</v>
      </c>
    </row>
    <row r="883" spans="1:13" hidden="1">
      <c r="A883" s="1">
        <v>46082</v>
      </c>
      <c r="B883" t="s">
        <v>2075</v>
      </c>
      <c r="C883" t="s">
        <v>2076</v>
      </c>
      <c r="D883" t="s">
        <v>2077</v>
      </c>
      <c r="E883" t="s">
        <v>2074</v>
      </c>
      <c r="F883">
        <v>46</v>
      </c>
      <c r="G883">
        <v>1</v>
      </c>
      <c r="H883">
        <v>3.3726812816188898E-4</v>
      </c>
      <c r="I883">
        <v>2.1739130434782601E-2</v>
      </c>
      <c r="J883" s="14" t="e">
        <f>_xlfn.XLOOKUP(B883,CAD_PDV!A:A,CAD_PDV!B:B)</f>
        <v>#N/A</v>
      </c>
      <c r="K883" s="14">
        <f>IF(IFERROR(_xlfn.XLOOKUP(B883,Planilha2!D:D,Planilha2!H:H),0)="SIM",1,0)</f>
        <v>1</v>
      </c>
      <c r="L883" s="14" t="e">
        <f>_xlfn.XLOOKUP(B883,CAD_PDV!A:A,CAD_PDV!C:C)</f>
        <v>#N/A</v>
      </c>
      <c r="M883" s="14" t="str">
        <f>IFERROR(_xlfn.XLOOKUP(B883,repete!A:A,repete!A:A),"-")</f>
        <v>-</v>
      </c>
    </row>
    <row r="884" spans="1:13" hidden="1">
      <c r="A884" s="1">
        <v>46082</v>
      </c>
      <c r="B884" t="s">
        <v>755</v>
      </c>
      <c r="C884" t="s">
        <v>616</v>
      </c>
      <c r="D884" t="s">
        <v>239</v>
      </c>
      <c r="E884" t="s">
        <v>59</v>
      </c>
      <c r="F884">
        <v>52</v>
      </c>
      <c r="G884">
        <v>1</v>
      </c>
      <c r="H884">
        <v>3.3726812816188898E-4</v>
      </c>
      <c r="I884">
        <v>1.9230769230769201E-2</v>
      </c>
      <c r="J884" s="14" t="str">
        <f>_xlfn.XLOOKUP(B884,CAD_PDV!A:A,CAD_PDV!B:B)</f>
        <v>TELECELL TELEFONIA LTDA - ME</v>
      </c>
      <c r="K884" s="14">
        <f>IF(IFERROR(_xlfn.XLOOKUP(B884,Planilha2!D:D,Planilha2!H:H),0)="SIM",1,0)</f>
        <v>0</v>
      </c>
      <c r="L884" s="14" t="str">
        <f>_xlfn.XLOOKUP(B884,CAD_PDV!A:A,CAD_PDV!C:C)</f>
        <v>CO</v>
      </c>
      <c r="M884" s="14" t="str">
        <f>IFERROR(_xlfn.XLOOKUP(B884,repete!A:A,repete!A:A),"-")</f>
        <v>-</v>
      </c>
    </row>
    <row r="885" spans="1:13" hidden="1">
      <c r="A885" s="1">
        <v>46082</v>
      </c>
      <c r="B885" t="s">
        <v>876</v>
      </c>
      <c r="C885" t="s">
        <v>873</v>
      </c>
      <c r="D885" t="s">
        <v>224</v>
      </c>
      <c r="E885" t="s">
        <v>59</v>
      </c>
      <c r="F885">
        <v>46</v>
      </c>
      <c r="G885">
        <v>1</v>
      </c>
      <c r="H885">
        <v>3.3726812816188898E-4</v>
      </c>
      <c r="I885">
        <v>2.1739130434782601E-2</v>
      </c>
      <c r="J885" s="14" t="str">
        <f>_xlfn.XLOOKUP(B885,CAD_PDV!A:A,CAD_PDV!B:B)</f>
        <v>CELNET COMERCIO E SERVICOS DE TELEFONIA LTDA ME</v>
      </c>
      <c r="K885" s="14">
        <f>IF(IFERROR(_xlfn.XLOOKUP(B885,Planilha2!D:D,Planilha2!H:H),0)="SIM",1,0)</f>
        <v>0</v>
      </c>
      <c r="L885" s="14" t="str">
        <f>_xlfn.XLOOKUP(B885,CAD_PDV!A:A,CAD_PDV!C:C)</f>
        <v>CO</v>
      </c>
      <c r="M885" s="14" t="str">
        <f>IFERROR(_xlfn.XLOOKUP(B885,repete!A:A,repete!A:A),"-")</f>
        <v>-</v>
      </c>
    </row>
    <row r="886" spans="1:13" hidden="1">
      <c r="A886" s="1">
        <v>46082</v>
      </c>
      <c r="B886" t="s">
        <v>2095</v>
      </c>
      <c r="C886" t="s">
        <v>2076</v>
      </c>
      <c r="D886" t="s">
        <v>2077</v>
      </c>
      <c r="E886" t="s">
        <v>2074</v>
      </c>
      <c r="F886">
        <v>27</v>
      </c>
      <c r="G886">
        <v>1</v>
      </c>
      <c r="H886">
        <v>3.3726812816188898E-4</v>
      </c>
      <c r="I886">
        <v>3.7037037037037E-2</v>
      </c>
      <c r="J886" s="14" t="e">
        <f>_xlfn.XLOOKUP(B886,CAD_PDV!A:A,CAD_PDV!B:B)</f>
        <v>#N/A</v>
      </c>
      <c r="K886" s="14">
        <f>IF(IFERROR(_xlfn.XLOOKUP(B886,Planilha2!D:D,Planilha2!H:H),0)="SIM",1,0)</f>
        <v>1</v>
      </c>
      <c r="L886" s="14" t="e">
        <f>_xlfn.XLOOKUP(B886,CAD_PDV!A:A,CAD_PDV!C:C)</f>
        <v>#N/A</v>
      </c>
      <c r="M886" s="14" t="str">
        <f>IFERROR(_xlfn.XLOOKUP(B886,repete!A:A,repete!A:A),"-")</f>
        <v>-</v>
      </c>
    </row>
    <row r="887" spans="1:13" hidden="1">
      <c r="A887" s="1">
        <v>46082</v>
      </c>
      <c r="B887" t="s">
        <v>1356</v>
      </c>
      <c r="C887" t="s">
        <v>1357</v>
      </c>
      <c r="D887" t="s">
        <v>132</v>
      </c>
      <c r="E887" t="s">
        <v>53</v>
      </c>
      <c r="F887">
        <v>52</v>
      </c>
      <c r="G887">
        <v>1</v>
      </c>
      <c r="H887">
        <v>3.3726812816188898E-4</v>
      </c>
      <c r="I887">
        <v>1.9230769230769201E-2</v>
      </c>
      <c r="J887" s="14" t="str">
        <f>_xlfn.XLOOKUP(B887,CAD_PDV!A:A,CAD_PDV!B:B)</f>
        <v>FLEX CELL</v>
      </c>
      <c r="K887" s="14">
        <f>IF(IFERROR(_xlfn.XLOOKUP(B887,Planilha2!D:D,Planilha2!H:H),0)="SIM",1,0)</f>
        <v>0</v>
      </c>
      <c r="L887" s="14" t="str">
        <f>_xlfn.XLOOKUP(B887,CAD_PDV!A:A,CAD_PDV!C:C)</f>
        <v>SP1</v>
      </c>
      <c r="M887" s="14" t="str">
        <f>IFERROR(_xlfn.XLOOKUP(B887,repete!A:A,repete!A:A),"-")</f>
        <v>-</v>
      </c>
    </row>
    <row r="888" spans="1:13" hidden="1">
      <c r="A888" s="1">
        <v>46082</v>
      </c>
      <c r="B888" t="s">
        <v>2050</v>
      </c>
      <c r="C888" t="s">
        <v>2051</v>
      </c>
      <c r="D888" t="s">
        <v>193</v>
      </c>
      <c r="E888" t="s">
        <v>2074</v>
      </c>
      <c r="F888">
        <v>20</v>
      </c>
      <c r="G888">
        <v>1</v>
      </c>
      <c r="H888">
        <v>3.3726812816188898E-4</v>
      </c>
      <c r="I888">
        <v>0.05</v>
      </c>
      <c r="J888" s="14" t="str">
        <f>_xlfn.XLOOKUP(B888,CAD_PDV!A:A,CAD_PDV!B:B)</f>
        <v>S D COMERCIO DE CELULARES LTDA - ME</v>
      </c>
      <c r="K888" s="14">
        <f>IF(IFERROR(_xlfn.XLOOKUP(B888,Planilha2!D:D,Planilha2!H:H),0)="SIM",1,0)</f>
        <v>0</v>
      </c>
      <c r="L888" s="14" t="str">
        <f>_xlfn.XLOOKUP(B888,CAD_PDV!A:A,CAD_PDV!C:C)</f>
        <v>RS</v>
      </c>
      <c r="M888" s="14" t="str">
        <f>IFERROR(_xlfn.XLOOKUP(B888,repete!A:A,repete!A:A),"-")</f>
        <v>-</v>
      </c>
    </row>
    <row r="889" spans="1:13" hidden="1">
      <c r="A889" s="1">
        <v>46082</v>
      </c>
      <c r="B889" t="s">
        <v>999</v>
      </c>
      <c r="C889" t="s">
        <v>1002</v>
      </c>
      <c r="D889" t="s">
        <v>232</v>
      </c>
      <c r="E889" t="s">
        <v>60</v>
      </c>
      <c r="F889">
        <v>56</v>
      </c>
      <c r="G889">
        <v>1</v>
      </c>
      <c r="H889">
        <v>3.3726812816188898E-4</v>
      </c>
      <c r="I889">
        <v>1.7857142857142901E-2</v>
      </c>
      <c r="J889" s="14" t="str">
        <f>_xlfn.XLOOKUP(B889,CAD_PDV!A:A,CAD_PDV!B:B)</f>
        <v>HS TELECOM</v>
      </c>
      <c r="K889" s="14">
        <f>IF(IFERROR(_xlfn.XLOOKUP(B889,Planilha2!D:D,Planilha2!H:H),0)="SIM",1,0)</f>
        <v>0</v>
      </c>
      <c r="L889" s="14" t="str">
        <f>_xlfn.XLOOKUP(B889,CAD_PDV!A:A,CAD_PDV!C:C)</f>
        <v>BA/SE</v>
      </c>
      <c r="M889" s="14" t="str">
        <f>IFERROR(_xlfn.XLOOKUP(B889,repete!A:A,repete!A:A),"-")</f>
        <v>-</v>
      </c>
    </row>
    <row r="890" spans="1:13" hidden="1">
      <c r="A890" s="1">
        <v>46082</v>
      </c>
      <c r="B890" t="s">
        <v>785</v>
      </c>
      <c r="C890" t="s">
        <v>786</v>
      </c>
      <c r="D890" t="s">
        <v>240</v>
      </c>
      <c r="E890" t="s">
        <v>59</v>
      </c>
      <c r="F890">
        <v>61</v>
      </c>
      <c r="G890">
        <v>1</v>
      </c>
      <c r="H890">
        <v>3.3726812816188898E-4</v>
      </c>
      <c r="I890">
        <v>1.63934426229508E-2</v>
      </c>
      <c r="J890" s="14" t="str">
        <f>_xlfn.XLOOKUP(B890,CAD_PDV!A:A,CAD_PDV!B:B)</f>
        <v>TELEMAIS TELEFONIA LTDA - ME</v>
      </c>
      <c r="K890" s="14">
        <f>IF(IFERROR(_xlfn.XLOOKUP(B890,Planilha2!D:D,Planilha2!H:H),0)="SIM",1,0)</f>
        <v>0</v>
      </c>
      <c r="L890" s="14" t="str">
        <f>_xlfn.XLOOKUP(B890,CAD_PDV!A:A,CAD_PDV!C:C)</f>
        <v>CO</v>
      </c>
      <c r="M890" s="14" t="str">
        <f>IFERROR(_xlfn.XLOOKUP(B890,repete!A:A,repete!A:A),"-")</f>
        <v>-</v>
      </c>
    </row>
    <row r="891" spans="1:13" hidden="1">
      <c r="A891" s="1">
        <v>46082</v>
      </c>
      <c r="B891" t="s">
        <v>756</v>
      </c>
      <c r="C891" t="s">
        <v>757</v>
      </c>
      <c r="D891" t="s">
        <v>239</v>
      </c>
      <c r="E891" t="s">
        <v>59</v>
      </c>
      <c r="F891">
        <v>36</v>
      </c>
      <c r="G891">
        <v>1</v>
      </c>
      <c r="H891">
        <v>3.3726812816188898E-4</v>
      </c>
      <c r="I891">
        <v>2.7777777777777801E-2</v>
      </c>
      <c r="J891" s="14" t="str">
        <f>_xlfn.XLOOKUP(B891,CAD_PDV!A:A,CAD_PDV!B:B)</f>
        <v>TELECELL TELEFONIA LTDA - ME</v>
      </c>
      <c r="K891" s="14">
        <f>IF(IFERROR(_xlfn.XLOOKUP(B891,Planilha2!D:D,Planilha2!H:H),0)="SIM",1,0)</f>
        <v>0</v>
      </c>
      <c r="L891" s="14" t="str">
        <f>_xlfn.XLOOKUP(B891,CAD_PDV!A:A,CAD_PDV!C:C)</f>
        <v>CO</v>
      </c>
      <c r="M891" s="14" t="str">
        <f>IFERROR(_xlfn.XLOOKUP(B891,repete!A:A,repete!A:A),"-")</f>
        <v>-</v>
      </c>
    </row>
    <row r="892" spans="1:13" hidden="1">
      <c r="A892" s="1">
        <v>46082</v>
      </c>
      <c r="B892" t="s">
        <v>2036</v>
      </c>
      <c r="C892" t="s">
        <v>2037</v>
      </c>
      <c r="D892" t="s">
        <v>193</v>
      </c>
      <c r="E892" t="s">
        <v>2074</v>
      </c>
      <c r="F892">
        <v>45</v>
      </c>
      <c r="G892">
        <v>1</v>
      </c>
      <c r="H892">
        <v>3.3726812816188898E-4</v>
      </c>
      <c r="I892">
        <v>2.2222222222222199E-2</v>
      </c>
      <c r="J892" s="14" t="str">
        <f>_xlfn.XLOOKUP(B892,CAD_PDV!A:A,CAD_PDV!B:B)</f>
        <v>S D COMERCIO DE CELULARES LTDA - ME</v>
      </c>
      <c r="K892" s="14">
        <f>IF(IFERROR(_xlfn.XLOOKUP(B892,Planilha2!D:D,Planilha2!H:H),0)="SIM",1,0)</f>
        <v>0</v>
      </c>
      <c r="L892" s="14" t="str">
        <f>_xlfn.XLOOKUP(B892,CAD_PDV!A:A,CAD_PDV!C:C)</f>
        <v>RS</v>
      </c>
      <c r="M892" s="14" t="str">
        <f>IFERROR(_xlfn.XLOOKUP(B892,repete!A:A,repete!A:A),"-")</f>
        <v>-</v>
      </c>
    </row>
    <row r="893" spans="1:13" hidden="1">
      <c r="A893" s="1">
        <v>46082</v>
      </c>
      <c r="B893" t="s">
        <v>297</v>
      </c>
      <c r="C893" t="s">
        <v>261</v>
      </c>
      <c r="D893" t="s">
        <v>238</v>
      </c>
      <c r="E893" t="s">
        <v>61</v>
      </c>
      <c r="F893">
        <v>34</v>
      </c>
      <c r="G893">
        <v>1</v>
      </c>
      <c r="H893">
        <v>3.3726812816188898E-4</v>
      </c>
      <c r="I893">
        <v>2.9411764705882401E-2</v>
      </c>
      <c r="J893" s="14" t="str">
        <f>_xlfn.XLOOKUP(B893,CAD_PDV!A:A,CAD_PDV!B:B)</f>
        <v>R &amp; R HIPER COMERCIO LTDA</v>
      </c>
      <c r="K893" s="14">
        <f>IF(IFERROR(_xlfn.XLOOKUP(B893,Planilha2!D:D,Planilha2!H:H),0)="SIM",1,0)</f>
        <v>0</v>
      </c>
      <c r="L893" s="14" t="str">
        <f>_xlfn.XLOOKUP(B893,CAD_PDV!A:A,CAD_PDV!C:C)</f>
        <v>NE</v>
      </c>
      <c r="M893" s="14" t="str">
        <f>IFERROR(_xlfn.XLOOKUP(B893,repete!A:A,repete!A:A),"-")</f>
        <v>-</v>
      </c>
    </row>
    <row r="894" spans="1:13" hidden="1">
      <c r="A894" s="1">
        <v>46082</v>
      </c>
      <c r="B894" t="s">
        <v>925</v>
      </c>
      <c r="C894" t="s">
        <v>738</v>
      </c>
      <c r="D894" t="s">
        <v>231</v>
      </c>
      <c r="E894" t="s">
        <v>59</v>
      </c>
      <c r="F894">
        <v>27</v>
      </c>
      <c r="G894">
        <v>1</v>
      </c>
      <c r="H894">
        <v>3.3726812816188898E-4</v>
      </c>
      <c r="I894">
        <v>3.7037037037037E-2</v>
      </c>
      <c r="J894" s="14" t="str">
        <f>_xlfn.XLOOKUP(B894,CAD_PDV!A:A,CAD_PDV!B:B)</f>
        <v>HIROTA &amp; HIROTA LTDA - ME</v>
      </c>
      <c r="K894" s="14">
        <f>IF(IFERROR(_xlfn.XLOOKUP(B894,Planilha2!D:D,Planilha2!H:H),0)="SIM",1,0)</f>
        <v>0</v>
      </c>
      <c r="L894" s="14" t="str">
        <f>_xlfn.XLOOKUP(B894,CAD_PDV!A:A,CAD_PDV!C:C)</f>
        <v>CO</v>
      </c>
      <c r="M894" s="14" t="str">
        <f>IFERROR(_xlfn.XLOOKUP(B894,repete!A:A,repete!A:A),"-")</f>
        <v>-</v>
      </c>
    </row>
    <row r="895" spans="1:13" hidden="1">
      <c r="A895" s="1">
        <v>46082</v>
      </c>
      <c r="B895" t="s">
        <v>1572</v>
      </c>
      <c r="C895" t="s">
        <v>1535</v>
      </c>
      <c r="D895" t="s">
        <v>106</v>
      </c>
      <c r="E895" t="s">
        <v>54</v>
      </c>
      <c r="F895">
        <v>52</v>
      </c>
      <c r="G895">
        <v>1</v>
      </c>
      <c r="H895">
        <v>3.3726812816188898E-4</v>
      </c>
      <c r="I895">
        <v>1.9230769230769201E-2</v>
      </c>
      <c r="J895" s="14" t="str">
        <f>_xlfn.XLOOKUP(B895,CAD_PDV!A:A,CAD_PDV!B:B)</f>
        <v>CELLULAR.COM</v>
      </c>
      <c r="K895" s="14">
        <f>IF(IFERROR(_xlfn.XLOOKUP(B895,Planilha2!D:D,Planilha2!H:H),0)="SIM",1,0)</f>
        <v>0</v>
      </c>
      <c r="L895" s="14" t="str">
        <f>_xlfn.XLOOKUP(B895,CAD_PDV!A:A,CAD_PDV!C:C)</f>
        <v>SP2</v>
      </c>
      <c r="M895" s="14" t="str">
        <f>IFERROR(_xlfn.XLOOKUP(B895,repete!A:A,repete!A:A),"-")</f>
        <v>-</v>
      </c>
    </row>
    <row r="896" spans="1:13" hidden="1">
      <c r="A896" s="1">
        <v>46082</v>
      </c>
      <c r="B896" t="s">
        <v>912</v>
      </c>
      <c r="C896" t="s">
        <v>820</v>
      </c>
      <c r="D896" t="s">
        <v>239</v>
      </c>
      <c r="E896" t="s">
        <v>59</v>
      </c>
      <c r="F896">
        <v>45</v>
      </c>
      <c r="G896">
        <v>1</v>
      </c>
      <c r="H896">
        <v>3.3726812816188898E-4</v>
      </c>
      <c r="I896">
        <v>2.2222222222222199E-2</v>
      </c>
      <c r="J896" s="14" t="str">
        <f>_xlfn.XLOOKUP(B896,CAD_PDV!A:A,CAD_PDV!B:B)</f>
        <v>TELECELL TELEFONIA LTDA - ME</v>
      </c>
      <c r="K896" s="14">
        <f>IF(IFERROR(_xlfn.XLOOKUP(B896,Planilha2!D:D,Planilha2!H:H),0)="SIM",1,0)</f>
        <v>0</v>
      </c>
      <c r="L896" s="14" t="str">
        <f>_xlfn.XLOOKUP(B896,CAD_PDV!A:A,CAD_PDV!C:C)</f>
        <v>CO</v>
      </c>
      <c r="M896" s="14" t="str">
        <f>IFERROR(_xlfn.XLOOKUP(B896,repete!A:A,repete!A:A),"-")</f>
        <v>-</v>
      </c>
    </row>
    <row r="897" spans="1:13" hidden="1">
      <c r="A897" s="1">
        <v>46082</v>
      </c>
      <c r="B897" t="s">
        <v>2021</v>
      </c>
      <c r="C897" t="s">
        <v>2024</v>
      </c>
      <c r="D897" t="s">
        <v>193</v>
      </c>
      <c r="E897" t="s">
        <v>2074</v>
      </c>
      <c r="F897">
        <v>37</v>
      </c>
      <c r="G897">
        <v>1</v>
      </c>
      <c r="H897">
        <v>3.3726812816188898E-4</v>
      </c>
      <c r="I897">
        <v>2.7027027027027001E-2</v>
      </c>
      <c r="J897" s="14" t="str">
        <f>_xlfn.XLOOKUP(B897,CAD_PDV!A:A,CAD_PDV!B:B)</f>
        <v>S D COMERCIO DE CELULARES LTDA - ME</v>
      </c>
      <c r="K897" s="14">
        <f>IF(IFERROR(_xlfn.XLOOKUP(B897,Planilha2!D:D,Planilha2!H:H),0)="SIM",1,0)</f>
        <v>0</v>
      </c>
      <c r="L897" s="14" t="str">
        <f>_xlfn.XLOOKUP(B897,CAD_PDV!A:A,CAD_PDV!C:C)</f>
        <v>RS</v>
      </c>
      <c r="M897" s="14" t="str">
        <f>IFERROR(_xlfn.XLOOKUP(B897,repete!A:A,repete!A:A),"-")</f>
        <v>-</v>
      </c>
    </row>
    <row r="898" spans="1:13" hidden="1">
      <c r="A898" s="1">
        <v>46082</v>
      </c>
      <c r="B898" t="s">
        <v>2096</v>
      </c>
      <c r="C898" t="s">
        <v>1757</v>
      </c>
      <c r="D898" t="s">
        <v>2080</v>
      </c>
      <c r="E898" t="s">
        <v>2074</v>
      </c>
      <c r="F898">
        <v>31</v>
      </c>
      <c r="G898">
        <v>1</v>
      </c>
      <c r="H898">
        <v>3.3726812816188898E-4</v>
      </c>
      <c r="I898">
        <v>3.2258064516128997E-2</v>
      </c>
      <c r="J898" s="14" t="e">
        <f>_xlfn.XLOOKUP(B898,CAD_PDV!A:A,CAD_PDV!B:B)</f>
        <v>#N/A</v>
      </c>
      <c r="K898" s="14">
        <f>IF(IFERROR(_xlfn.XLOOKUP(B898,Planilha2!D:D,Planilha2!H:H),0)="SIM",1,0)</f>
        <v>0</v>
      </c>
      <c r="L898" s="14" t="e">
        <f>_xlfn.XLOOKUP(B898,CAD_PDV!A:A,CAD_PDV!C:C)</f>
        <v>#N/A</v>
      </c>
      <c r="M898" s="14" t="str">
        <f>IFERROR(_xlfn.XLOOKUP(B898,repete!A:A,repete!A:A),"-")</f>
        <v>-</v>
      </c>
    </row>
    <row r="899" spans="1:13" hidden="1">
      <c r="A899" s="1">
        <v>46082</v>
      </c>
      <c r="B899" t="s">
        <v>2097</v>
      </c>
      <c r="C899" t="s">
        <v>2098</v>
      </c>
      <c r="D899" t="s">
        <v>2080</v>
      </c>
      <c r="E899" t="s">
        <v>2074</v>
      </c>
      <c r="F899">
        <v>27</v>
      </c>
      <c r="G899">
        <v>1</v>
      </c>
      <c r="H899">
        <v>3.3726812816188898E-4</v>
      </c>
      <c r="I899">
        <v>3.7037037037037E-2</v>
      </c>
      <c r="J899" s="14" t="e">
        <f>_xlfn.XLOOKUP(B899,CAD_PDV!A:A,CAD_PDV!B:B)</f>
        <v>#N/A</v>
      </c>
      <c r="K899" s="14">
        <f>IF(IFERROR(_xlfn.XLOOKUP(B899,Planilha2!D:D,Planilha2!H:H),0)="SIM",1,0)</f>
        <v>0</v>
      </c>
      <c r="L899" s="14" t="e">
        <f>_xlfn.XLOOKUP(B899,CAD_PDV!A:A,CAD_PDV!C:C)</f>
        <v>#N/A</v>
      </c>
      <c r="M899" s="14" t="str">
        <f>IFERROR(_xlfn.XLOOKUP(B899,repete!A:A,repete!A:A),"-")</f>
        <v>-</v>
      </c>
    </row>
    <row r="900" spans="1:13" hidden="1">
      <c r="A900" s="1">
        <v>46082</v>
      </c>
      <c r="B900" t="s">
        <v>1237</v>
      </c>
      <c r="C900" t="s">
        <v>1142</v>
      </c>
      <c r="D900" t="s">
        <v>237</v>
      </c>
      <c r="E900" t="s">
        <v>55</v>
      </c>
      <c r="F900">
        <v>144</v>
      </c>
      <c r="G900">
        <v>1</v>
      </c>
      <c r="H900">
        <v>3.3726812816188898E-4</v>
      </c>
      <c r="I900">
        <v>6.9444444444444397E-3</v>
      </c>
      <c r="J900" s="14" t="str">
        <f>_xlfn.XLOOKUP(B900,CAD_PDV!A:A,CAD_PDV!B:B)</f>
        <v>PONTO CERTO COMERCIO E COMUNICAÇÕES LTDA</v>
      </c>
      <c r="K900" s="14">
        <f>IF(IFERROR(_xlfn.XLOOKUP(B900,Planilha2!D:D,Planilha2!H:H),0)="SIM",1,0)</f>
        <v>0</v>
      </c>
      <c r="L900" s="14" t="str">
        <f>_xlfn.XLOOKUP(B900,CAD_PDV!A:A,CAD_PDV!C:C)</f>
        <v>RJ/ES</v>
      </c>
      <c r="M900" s="14" t="str">
        <f>IFERROR(_xlfn.XLOOKUP(B900,repete!A:A,repete!A:A),"-")</f>
        <v>-</v>
      </c>
    </row>
    <row r="901" spans="1:13" hidden="1">
      <c r="A901" s="1">
        <v>46082</v>
      </c>
      <c r="B901" t="s">
        <v>1238</v>
      </c>
      <c r="C901" t="s">
        <v>1142</v>
      </c>
      <c r="D901" t="s">
        <v>237</v>
      </c>
      <c r="E901" t="s">
        <v>55</v>
      </c>
      <c r="F901">
        <v>184</v>
      </c>
      <c r="G901">
        <v>1</v>
      </c>
      <c r="H901">
        <v>3.3726812816188898E-4</v>
      </c>
      <c r="I901">
        <v>5.4347826086956503E-3</v>
      </c>
      <c r="J901" s="14" t="str">
        <f>_xlfn.XLOOKUP(B901,CAD_PDV!A:A,CAD_PDV!B:B)</f>
        <v>PONTO CERTO COMERCIO E COMUNICAÇÕES LTDA</v>
      </c>
      <c r="K901" s="14">
        <f>IF(IFERROR(_xlfn.XLOOKUP(B901,Planilha2!D:D,Planilha2!H:H),0)="SIM",1,0)</f>
        <v>0</v>
      </c>
      <c r="L901" s="14" t="str">
        <f>_xlfn.XLOOKUP(B901,CAD_PDV!A:A,CAD_PDV!C:C)</f>
        <v>RJ/ES</v>
      </c>
      <c r="M901" s="14" t="str">
        <f>IFERROR(_xlfn.XLOOKUP(B901,repete!A:A,repete!A:A),"-")</f>
        <v>-</v>
      </c>
    </row>
    <row r="902" spans="1:13" hidden="1">
      <c r="A902" s="1">
        <v>46082</v>
      </c>
      <c r="B902" t="s">
        <v>1166</v>
      </c>
      <c r="C902" t="s">
        <v>1142</v>
      </c>
      <c r="D902" t="s">
        <v>237</v>
      </c>
      <c r="E902" t="s">
        <v>55</v>
      </c>
      <c r="F902">
        <v>246</v>
      </c>
      <c r="G902">
        <v>1</v>
      </c>
      <c r="H902">
        <v>3.3726812816188898E-4</v>
      </c>
      <c r="I902">
        <v>4.0650406504065002E-3</v>
      </c>
      <c r="J902" s="14" t="str">
        <f>_xlfn.XLOOKUP(B902,CAD_PDV!A:A,CAD_PDV!B:B)</f>
        <v>PONTO CERTO COMERCIO E COMUNICAÇÕES LTDA</v>
      </c>
      <c r="K902" s="14">
        <f>IF(IFERROR(_xlfn.XLOOKUP(B902,Planilha2!D:D,Planilha2!H:H),0)="SIM",1,0)</f>
        <v>0</v>
      </c>
      <c r="L902" s="14" t="str">
        <f>_xlfn.XLOOKUP(B902,CAD_PDV!A:A,CAD_PDV!C:C)</f>
        <v>RJ/ES</v>
      </c>
      <c r="M902" s="14" t="str">
        <f>IFERROR(_xlfn.XLOOKUP(B902,repete!A:A,repete!A:A),"-")</f>
        <v>-</v>
      </c>
    </row>
    <row r="903" spans="1:13" hidden="1">
      <c r="A903" s="1">
        <v>46082</v>
      </c>
      <c r="B903" t="s">
        <v>1930</v>
      </c>
      <c r="C903" t="s">
        <v>1931</v>
      </c>
      <c r="D903" t="s">
        <v>106</v>
      </c>
      <c r="E903" t="s">
        <v>2074</v>
      </c>
      <c r="F903">
        <v>23</v>
      </c>
      <c r="G903">
        <v>1</v>
      </c>
      <c r="H903">
        <v>3.3726812816188898E-4</v>
      </c>
      <c r="I903">
        <v>4.3478260869565202E-2</v>
      </c>
      <c r="J903" s="14" t="str">
        <f>_xlfn.XLOOKUP(B903,CAD_PDV!A:A,CAD_PDV!B:B)</f>
        <v>CELLULAR.COM</v>
      </c>
      <c r="K903" s="14">
        <f>IF(IFERROR(_xlfn.XLOOKUP(B903,Planilha2!D:D,Planilha2!H:H),0)="SIM",1,0)</f>
        <v>0</v>
      </c>
      <c r="L903" s="14" t="str">
        <f>_xlfn.XLOOKUP(B903,CAD_PDV!A:A,CAD_PDV!C:C)</f>
        <v>PR/SC</v>
      </c>
      <c r="M903" s="14" t="str">
        <f>IFERROR(_xlfn.XLOOKUP(B903,repete!A:A,repete!A:A),"-")</f>
        <v>-</v>
      </c>
    </row>
    <row r="904" spans="1:13" hidden="1">
      <c r="A904" s="1">
        <v>46082</v>
      </c>
      <c r="B904" t="s">
        <v>887</v>
      </c>
      <c r="C904" t="s">
        <v>873</v>
      </c>
      <c r="D904" t="s">
        <v>224</v>
      </c>
      <c r="E904" t="s">
        <v>59</v>
      </c>
      <c r="F904">
        <v>61</v>
      </c>
      <c r="G904">
        <v>1</v>
      </c>
      <c r="H904">
        <v>3.3726812816188898E-4</v>
      </c>
      <c r="I904">
        <v>1.63934426229508E-2</v>
      </c>
      <c r="J904" s="14" t="str">
        <f>_xlfn.XLOOKUP(B904,CAD_PDV!A:A,CAD_PDV!B:B)</f>
        <v>CELNET COMERCIO E SERVICOS DE TELEFONIA LTDA ME</v>
      </c>
      <c r="K904" s="14">
        <f>IF(IFERROR(_xlfn.XLOOKUP(B904,Planilha2!D:D,Planilha2!H:H),0)="SIM",1,0)</f>
        <v>0</v>
      </c>
      <c r="L904" s="14" t="str">
        <f>_xlfn.XLOOKUP(B904,CAD_PDV!A:A,CAD_PDV!C:C)</f>
        <v>CO</v>
      </c>
      <c r="M904" s="14" t="str">
        <f>IFERROR(_xlfn.XLOOKUP(B904,repete!A:A,repete!A:A),"-")</f>
        <v>-</v>
      </c>
    </row>
    <row r="905" spans="1:13" hidden="1">
      <c r="A905" s="1">
        <v>46082</v>
      </c>
      <c r="B905" t="s">
        <v>1821</v>
      </c>
      <c r="C905" t="s">
        <v>1822</v>
      </c>
      <c r="D905" t="s">
        <v>95</v>
      </c>
      <c r="E905" t="s">
        <v>2074</v>
      </c>
      <c r="F905">
        <v>8</v>
      </c>
      <c r="G905">
        <v>1</v>
      </c>
      <c r="H905">
        <v>3.3726812816188898E-4</v>
      </c>
      <c r="I905">
        <v>0.125</v>
      </c>
      <c r="J905" s="14" t="str">
        <f>_xlfn.XLOOKUP(B905,CAD_PDV!A:A,CAD_PDV!B:B)</f>
        <v>AYRES E DEBONI LTDA - ME</v>
      </c>
      <c r="K905" s="14">
        <f>IF(IFERROR(_xlfn.XLOOKUP(B905,Planilha2!D:D,Planilha2!H:H),0)="SIM",1,0)</f>
        <v>0</v>
      </c>
      <c r="L905" s="14" t="str">
        <f>_xlfn.XLOOKUP(B905,CAD_PDV!A:A,CAD_PDV!C:C)</f>
        <v>RS</v>
      </c>
      <c r="M905" s="14" t="str">
        <f>IFERROR(_xlfn.XLOOKUP(B905,repete!A:A,repete!A:A),"-")</f>
        <v>-</v>
      </c>
    </row>
    <row r="906" spans="1:13" hidden="1">
      <c r="A906" s="1">
        <v>46082</v>
      </c>
      <c r="B906" t="s">
        <v>2099</v>
      </c>
      <c r="C906" t="s">
        <v>732</v>
      </c>
      <c r="D906" t="s">
        <v>231</v>
      </c>
      <c r="E906" t="s">
        <v>59</v>
      </c>
      <c r="F906">
        <v>6</v>
      </c>
      <c r="G906">
        <v>1</v>
      </c>
      <c r="H906">
        <v>3.3726812816188898E-4</v>
      </c>
      <c r="I906">
        <v>0.16666666666666699</v>
      </c>
      <c r="J906" s="14" t="e">
        <f>_xlfn.XLOOKUP(B906,CAD_PDV!A:A,CAD_PDV!B:B)</f>
        <v>#N/A</v>
      </c>
      <c r="K906" s="14">
        <f>IF(IFERROR(_xlfn.XLOOKUP(B906,Planilha2!D:D,Planilha2!H:H),0)="SIM",1,0)</f>
        <v>0</v>
      </c>
      <c r="L906" s="14" t="e">
        <f>_xlfn.XLOOKUP(B906,CAD_PDV!A:A,CAD_PDV!C:C)</f>
        <v>#N/A</v>
      </c>
      <c r="M906" s="14" t="str">
        <f>IFERROR(_xlfn.XLOOKUP(B906,repete!A:A,repete!A:A),"-")</f>
        <v>-</v>
      </c>
    </row>
    <row r="907" spans="1:13" hidden="1">
      <c r="A907" s="1">
        <v>46082</v>
      </c>
      <c r="B907" t="s">
        <v>889</v>
      </c>
      <c r="C907" t="s">
        <v>873</v>
      </c>
      <c r="D907" t="s">
        <v>239</v>
      </c>
      <c r="E907" t="s">
        <v>59</v>
      </c>
      <c r="F907">
        <v>61</v>
      </c>
      <c r="G907">
        <v>1</v>
      </c>
      <c r="H907">
        <v>3.3726812816188898E-4</v>
      </c>
      <c r="I907">
        <v>1.63934426229508E-2</v>
      </c>
      <c r="J907" s="14" t="str">
        <f>_xlfn.XLOOKUP(B907,CAD_PDV!A:A,CAD_PDV!B:B)</f>
        <v>TELECELL TELEFONIA LTDA - ME</v>
      </c>
      <c r="K907" s="14">
        <f>IF(IFERROR(_xlfn.XLOOKUP(B907,Planilha2!D:D,Planilha2!H:H),0)="SIM",1,0)</f>
        <v>0</v>
      </c>
      <c r="L907" s="14" t="str">
        <f>_xlfn.XLOOKUP(B907,CAD_PDV!A:A,CAD_PDV!C:C)</f>
        <v>CO</v>
      </c>
      <c r="M907" s="14" t="str">
        <f>IFERROR(_xlfn.XLOOKUP(B907,repete!A:A,repete!A:A),"-")</f>
        <v>-</v>
      </c>
    </row>
    <row r="908" spans="1:13" hidden="1">
      <c r="A908" s="1">
        <v>46082</v>
      </c>
      <c r="B908" t="s">
        <v>2091</v>
      </c>
      <c r="C908" t="s">
        <v>2092</v>
      </c>
      <c r="D908" t="s">
        <v>2093</v>
      </c>
      <c r="E908" t="s">
        <v>2074</v>
      </c>
      <c r="F908">
        <v>53</v>
      </c>
      <c r="G908">
        <v>1</v>
      </c>
      <c r="H908">
        <v>3.3726812816188898E-4</v>
      </c>
      <c r="I908">
        <v>1.88679245283019E-2</v>
      </c>
      <c r="J908" s="14" t="e">
        <f>_xlfn.XLOOKUP(B908,CAD_PDV!A:A,CAD_PDV!B:B)</f>
        <v>#N/A</v>
      </c>
      <c r="K908" s="14">
        <f>IF(IFERROR(_xlfn.XLOOKUP(B908,Planilha2!D:D,Planilha2!H:H),0)="SIM",1,0)</f>
        <v>1</v>
      </c>
      <c r="L908" s="14" t="e">
        <f>_xlfn.XLOOKUP(B908,CAD_PDV!A:A,CAD_PDV!C:C)</f>
        <v>#N/A</v>
      </c>
      <c r="M908" s="14" t="str">
        <f>IFERROR(_xlfn.XLOOKUP(B908,repete!A:A,repete!A:A),"-")</f>
        <v>-</v>
      </c>
    </row>
    <row r="909" spans="1:13" hidden="1">
      <c r="A909" s="1">
        <v>46082</v>
      </c>
      <c r="B909" t="s">
        <v>788</v>
      </c>
      <c r="C909" t="s">
        <v>786</v>
      </c>
      <c r="D909" t="s">
        <v>240</v>
      </c>
      <c r="E909" t="s">
        <v>59</v>
      </c>
      <c r="F909">
        <v>30</v>
      </c>
      <c r="G909">
        <v>1</v>
      </c>
      <c r="H909">
        <v>3.3726812816188898E-4</v>
      </c>
      <c r="I909">
        <v>3.3333333333333298E-2</v>
      </c>
      <c r="J909" s="14" t="str">
        <f>_xlfn.XLOOKUP(B909,CAD_PDV!A:A,CAD_PDV!B:B)</f>
        <v>TELEMAIS TELEFONIA LTDA - ME</v>
      </c>
      <c r="K909" s="14">
        <f>IF(IFERROR(_xlfn.XLOOKUP(B909,Planilha2!D:D,Planilha2!H:H),0)="SIM",1,0)</f>
        <v>0</v>
      </c>
      <c r="L909" s="14" t="str">
        <f>_xlfn.XLOOKUP(B909,CAD_PDV!A:A,CAD_PDV!C:C)</f>
        <v>CO</v>
      </c>
      <c r="M909" s="14" t="str">
        <f>IFERROR(_xlfn.XLOOKUP(B909,repete!A:A,repete!A:A),"-")</f>
        <v>-</v>
      </c>
    </row>
    <row r="910" spans="1:13" hidden="1">
      <c r="A910" s="1">
        <v>46082</v>
      </c>
      <c r="B910" t="s">
        <v>2087</v>
      </c>
      <c r="C910" t="s">
        <v>2053</v>
      </c>
      <c r="D910" t="s">
        <v>2080</v>
      </c>
      <c r="E910" t="s">
        <v>2074</v>
      </c>
      <c r="F910">
        <v>14</v>
      </c>
      <c r="G910">
        <v>1</v>
      </c>
      <c r="H910">
        <v>3.3726812816188898E-4</v>
      </c>
      <c r="I910">
        <v>7.1428571428571397E-2</v>
      </c>
      <c r="J910" s="14" t="e">
        <f>_xlfn.XLOOKUP(B910,CAD_PDV!A:A,CAD_PDV!B:B)</f>
        <v>#N/A</v>
      </c>
      <c r="K910" s="14">
        <f>IF(IFERROR(_xlfn.XLOOKUP(B910,Planilha2!D:D,Planilha2!H:H),0)="SIM",1,0)</f>
        <v>0</v>
      </c>
      <c r="L910" s="14" t="e">
        <f>_xlfn.XLOOKUP(B910,CAD_PDV!A:A,CAD_PDV!C:C)</f>
        <v>#N/A</v>
      </c>
      <c r="M910" s="14" t="str">
        <f>IFERROR(_xlfn.XLOOKUP(B910,repete!A:A,repete!A:A),"-")</f>
        <v>-</v>
      </c>
    </row>
    <row r="911" spans="1:13" hidden="1">
      <c r="A911" s="1">
        <v>46082</v>
      </c>
      <c r="B911" t="s">
        <v>1951</v>
      </c>
      <c r="C911" t="s">
        <v>1952</v>
      </c>
      <c r="D911" t="s">
        <v>176</v>
      </c>
      <c r="E911" t="s">
        <v>2074</v>
      </c>
      <c r="F911">
        <v>87</v>
      </c>
      <c r="G911">
        <v>1</v>
      </c>
      <c r="H911">
        <v>3.3726812816188898E-4</v>
      </c>
      <c r="I911">
        <v>1.1494252873563199E-2</v>
      </c>
      <c r="J911" s="14" t="str">
        <f>_xlfn.XLOOKUP(B911,CAD_PDV!A:A,CAD_PDV!B:B)</f>
        <v>NEW POINT CELULAR LTDA - ME</v>
      </c>
      <c r="K911" s="14">
        <f>IF(IFERROR(_xlfn.XLOOKUP(B911,Planilha2!D:D,Planilha2!H:H),0)="SIM",1,0)</f>
        <v>0</v>
      </c>
      <c r="L911" s="14" t="str">
        <f>_xlfn.XLOOKUP(B911,CAD_PDV!A:A,CAD_PDV!C:C)</f>
        <v>RS</v>
      </c>
      <c r="M911" s="14" t="str">
        <f>IFERROR(_xlfn.XLOOKUP(B911,repete!A:A,repete!A:A),"-")</f>
        <v>-</v>
      </c>
    </row>
    <row r="912" spans="1:13" hidden="1">
      <c r="A912" s="1">
        <v>46082</v>
      </c>
      <c r="B912" t="s">
        <v>1245</v>
      </c>
      <c r="C912" t="s">
        <v>1152</v>
      </c>
      <c r="D912" t="s">
        <v>2072</v>
      </c>
      <c r="E912" t="s">
        <v>55</v>
      </c>
      <c r="F912">
        <v>86</v>
      </c>
      <c r="G912">
        <v>1</v>
      </c>
      <c r="H912">
        <v>3.3726812816188898E-4</v>
      </c>
      <c r="I912">
        <v>1.16279069767442E-2</v>
      </c>
      <c r="J912" s="14" t="str">
        <f>_xlfn.XLOOKUP(B912,CAD_PDV!A:A,CAD_PDV!B:B)</f>
        <v>MEXCELL COMERCIO E SERVICOS DE TELECOMUNICACOES LTDA</v>
      </c>
      <c r="K912" s="14">
        <f>IF(IFERROR(_xlfn.XLOOKUP(B912,Planilha2!D:D,Planilha2!H:H),0)="SIM",1,0)</f>
        <v>0</v>
      </c>
      <c r="L912" s="14" t="str">
        <f>_xlfn.XLOOKUP(B912,CAD_PDV!A:A,CAD_PDV!C:C)</f>
        <v>RJ/ES</v>
      </c>
      <c r="M912" s="14" t="str">
        <f>IFERROR(_xlfn.XLOOKUP(B912,repete!A:A,repete!A:A),"-")</f>
        <v>-</v>
      </c>
    </row>
    <row r="913" spans="1:13" hidden="1">
      <c r="A913" s="1">
        <v>46082</v>
      </c>
      <c r="B913" t="s">
        <v>1863</v>
      </c>
      <c r="C913" t="s">
        <v>1864</v>
      </c>
      <c r="D913" t="s">
        <v>97</v>
      </c>
      <c r="E913" t="s">
        <v>2074</v>
      </c>
      <c r="F913">
        <v>17</v>
      </c>
      <c r="G913">
        <v>1</v>
      </c>
      <c r="H913">
        <v>3.3726812816188898E-4</v>
      </c>
      <c r="I913">
        <v>5.8823529411764698E-2</v>
      </c>
      <c r="J913" s="14" t="str">
        <f>_xlfn.XLOOKUP(B913,CAD_PDV!A:A,CAD_PDV!B:B)</f>
        <v>BANDEIRA</v>
      </c>
      <c r="K913" s="14">
        <f>IF(IFERROR(_xlfn.XLOOKUP(B913,Planilha2!D:D,Planilha2!H:H),0)="SIM",1,0)</f>
        <v>0</v>
      </c>
      <c r="L913" s="14" t="str">
        <f>_xlfn.XLOOKUP(B913,CAD_PDV!A:A,CAD_PDV!C:C)</f>
        <v>PR/SC</v>
      </c>
      <c r="M913" s="14" t="str">
        <f>IFERROR(_xlfn.XLOOKUP(B913,repete!A:A,repete!A:A),"-")</f>
        <v>-</v>
      </c>
    </row>
    <row r="914" spans="1:13" hidden="1">
      <c r="A914" s="1">
        <v>46082</v>
      </c>
      <c r="B914" t="s">
        <v>1851</v>
      </c>
      <c r="C914" t="s">
        <v>1852</v>
      </c>
      <c r="D914" t="s">
        <v>106</v>
      </c>
      <c r="E914" t="s">
        <v>2074</v>
      </c>
      <c r="F914">
        <v>113</v>
      </c>
      <c r="G914">
        <v>1</v>
      </c>
      <c r="H914">
        <v>3.3726812816188898E-4</v>
      </c>
      <c r="I914">
        <v>8.8495575221238902E-3</v>
      </c>
      <c r="J914" s="14" t="str">
        <f>_xlfn.XLOOKUP(B914,CAD_PDV!A:A,CAD_PDV!B:B)</f>
        <v>CELLULAR.COM</v>
      </c>
      <c r="K914" s="14">
        <f>IF(IFERROR(_xlfn.XLOOKUP(B914,Planilha2!D:D,Planilha2!H:H),0)="SIM",1,0)</f>
        <v>0</v>
      </c>
      <c r="L914" s="14" t="str">
        <f>_xlfn.XLOOKUP(B914,CAD_PDV!A:A,CAD_PDV!C:C)</f>
        <v>PR/SC</v>
      </c>
      <c r="M914" s="14" t="str">
        <f>IFERROR(_xlfn.XLOOKUP(B914,repete!A:A,repete!A:A),"-")</f>
        <v>-</v>
      </c>
    </row>
    <row r="915" spans="1:13" hidden="1">
      <c r="A915" s="1">
        <v>46082</v>
      </c>
      <c r="B915" t="s">
        <v>1849</v>
      </c>
      <c r="C915" t="s">
        <v>1847</v>
      </c>
      <c r="D915" t="s">
        <v>106</v>
      </c>
      <c r="E915" t="s">
        <v>2074</v>
      </c>
      <c r="F915">
        <v>20</v>
      </c>
      <c r="G915">
        <v>1</v>
      </c>
      <c r="H915">
        <v>3.3726812816188898E-4</v>
      </c>
      <c r="I915">
        <v>0.05</v>
      </c>
      <c r="J915" s="14" t="str">
        <f>_xlfn.XLOOKUP(B915,CAD_PDV!A:A,CAD_PDV!B:B)</f>
        <v>CELLULAR.COM</v>
      </c>
      <c r="K915" s="14">
        <f>IF(IFERROR(_xlfn.XLOOKUP(B915,Planilha2!D:D,Planilha2!H:H),0)="SIM",1,0)</f>
        <v>0</v>
      </c>
      <c r="L915" s="14" t="str">
        <f>_xlfn.XLOOKUP(B915,CAD_PDV!A:A,CAD_PDV!C:C)</f>
        <v>PR/SC</v>
      </c>
      <c r="M915" s="14" t="str">
        <f>IFERROR(_xlfn.XLOOKUP(B915,repete!A:A,repete!A:A),"-")</f>
        <v>-</v>
      </c>
    </row>
    <row r="916" spans="1:13" hidden="1">
      <c r="A916" s="1">
        <v>46082</v>
      </c>
      <c r="B916" t="s">
        <v>1129</v>
      </c>
      <c r="C916" t="s">
        <v>1102</v>
      </c>
      <c r="D916" t="s">
        <v>132</v>
      </c>
      <c r="E916" t="s">
        <v>62</v>
      </c>
      <c r="F916">
        <v>56</v>
      </c>
      <c r="G916">
        <v>1</v>
      </c>
      <c r="H916">
        <v>3.3726812816188898E-4</v>
      </c>
      <c r="I916">
        <v>1.7857142857142901E-2</v>
      </c>
      <c r="J916" s="14" t="str">
        <f>_xlfn.XLOOKUP(B916,CAD_PDV!A:A,CAD_PDV!B:B)</f>
        <v>FLEX CELL</v>
      </c>
      <c r="K916" s="14">
        <f>IF(IFERROR(_xlfn.XLOOKUP(B916,Planilha2!D:D,Planilha2!H:H),0)="SIM",1,0)</f>
        <v>0</v>
      </c>
      <c r="L916" s="14" t="str">
        <f>_xlfn.XLOOKUP(B916,CAD_PDV!A:A,CAD_PDV!C:C)</f>
        <v>NO</v>
      </c>
      <c r="M916" s="14" t="str">
        <f>IFERROR(_xlfn.XLOOKUP(B916,repete!A:A,repete!A:A),"-")</f>
        <v>-</v>
      </c>
    </row>
    <row r="917" spans="1:13" hidden="1">
      <c r="A917" s="1">
        <v>46082</v>
      </c>
      <c r="B917" t="s">
        <v>2020</v>
      </c>
      <c r="C917" t="s">
        <v>2019</v>
      </c>
      <c r="D917" t="s">
        <v>106</v>
      </c>
      <c r="E917" t="s">
        <v>2074</v>
      </c>
      <c r="F917">
        <v>114</v>
      </c>
      <c r="G917">
        <v>1</v>
      </c>
      <c r="H917">
        <v>3.3726812816188898E-4</v>
      </c>
      <c r="I917">
        <v>8.7719298245613996E-3</v>
      </c>
      <c r="J917" s="14" t="str">
        <f>_xlfn.XLOOKUP(B917,CAD_PDV!A:A,CAD_PDV!B:B)</f>
        <v>CELLULAR.COM</v>
      </c>
      <c r="K917" s="14">
        <f>IF(IFERROR(_xlfn.XLOOKUP(B917,Planilha2!D:D,Planilha2!H:H),0)="SIM",1,0)</f>
        <v>0</v>
      </c>
      <c r="L917" s="14" t="str">
        <f>_xlfn.XLOOKUP(B917,CAD_PDV!A:A,CAD_PDV!C:C)</f>
        <v>PR/SC</v>
      </c>
      <c r="M917" s="14" t="str">
        <f>IFERROR(_xlfn.XLOOKUP(B917,repete!A:A,repete!A:A),"-")</f>
        <v>-</v>
      </c>
    </row>
    <row r="918" spans="1:13" hidden="1">
      <c r="A918" s="1">
        <v>46082</v>
      </c>
      <c r="B918" t="s">
        <v>1367</v>
      </c>
      <c r="C918" t="s">
        <v>1313</v>
      </c>
      <c r="D918" t="s">
        <v>132</v>
      </c>
      <c r="E918" t="s">
        <v>53</v>
      </c>
      <c r="F918">
        <v>102</v>
      </c>
      <c r="G918">
        <v>1</v>
      </c>
      <c r="H918">
        <v>3.3726812816188898E-4</v>
      </c>
      <c r="I918">
        <v>9.8039215686274508E-3</v>
      </c>
      <c r="J918" s="14" t="str">
        <f>_xlfn.XLOOKUP(B918,CAD_PDV!A:A,CAD_PDV!B:B)</f>
        <v>FLEX CELL</v>
      </c>
      <c r="K918" s="14">
        <f>IF(IFERROR(_xlfn.XLOOKUP(B918,Planilha2!D:D,Planilha2!H:H),0)="SIM",1,0)</f>
        <v>0</v>
      </c>
      <c r="L918" s="14" t="str">
        <f>_xlfn.XLOOKUP(B918,CAD_PDV!A:A,CAD_PDV!C:C)</f>
        <v>SP1</v>
      </c>
      <c r="M918" s="14" t="str">
        <f>IFERROR(_xlfn.XLOOKUP(B918,repete!A:A,repete!A:A),"-")</f>
        <v>-</v>
      </c>
    </row>
    <row r="919" spans="1:13" hidden="1">
      <c r="A919" s="1">
        <v>46082</v>
      </c>
      <c r="B919" t="s">
        <v>894</v>
      </c>
      <c r="C919" t="s">
        <v>873</v>
      </c>
      <c r="D919" t="s">
        <v>224</v>
      </c>
      <c r="E919" t="s">
        <v>59</v>
      </c>
      <c r="F919">
        <v>71</v>
      </c>
      <c r="G919">
        <v>1</v>
      </c>
      <c r="H919">
        <v>3.3726812816188898E-4</v>
      </c>
      <c r="I919">
        <v>1.4084507042253501E-2</v>
      </c>
      <c r="J919" s="14" t="str">
        <f>_xlfn.XLOOKUP(B919,CAD_PDV!A:A,CAD_PDV!B:B)</f>
        <v>CELNET COMERCIO E SERVICOS DE TELEFONIA LTDA ME</v>
      </c>
      <c r="K919" s="14">
        <f>IF(IFERROR(_xlfn.XLOOKUP(B919,Planilha2!D:D,Planilha2!H:H),0)="SIM",1,0)</f>
        <v>0</v>
      </c>
      <c r="L919" s="14" t="str">
        <f>_xlfn.XLOOKUP(B919,CAD_PDV!A:A,CAD_PDV!C:C)</f>
        <v>CO</v>
      </c>
      <c r="M919" s="14" t="str">
        <f>IFERROR(_xlfn.XLOOKUP(B919,repete!A:A,repete!A:A),"-")</f>
        <v>-</v>
      </c>
    </row>
    <row r="920" spans="1:13" hidden="1">
      <c r="A920" s="1">
        <v>46082</v>
      </c>
      <c r="B920" t="s">
        <v>2094</v>
      </c>
      <c r="C920" t="s">
        <v>944</v>
      </c>
      <c r="D920" t="s">
        <v>222</v>
      </c>
      <c r="E920" t="s">
        <v>60</v>
      </c>
      <c r="F920">
        <v>59</v>
      </c>
      <c r="G920">
        <v>1</v>
      </c>
      <c r="H920">
        <v>3.3726812816188898E-4</v>
      </c>
      <c r="I920">
        <v>1.6949152542372899E-2</v>
      </c>
      <c r="J920" s="14" t="e">
        <f>_xlfn.XLOOKUP(B920,CAD_PDV!A:A,CAD_PDV!B:B)</f>
        <v>#N/A</v>
      </c>
      <c r="K920" s="14">
        <f>IF(IFERROR(_xlfn.XLOOKUP(B920,Planilha2!D:D,Planilha2!H:H),0)="SIM",1,0)</f>
        <v>0</v>
      </c>
      <c r="L920" s="14" t="e">
        <f>_xlfn.XLOOKUP(B920,CAD_PDV!A:A,CAD_PDV!C:C)</f>
        <v>#N/A</v>
      </c>
      <c r="M920" s="14" t="str">
        <f>IFERROR(_xlfn.XLOOKUP(B920,repete!A:A,repete!A:A),"-")</f>
        <v>-</v>
      </c>
    </row>
    <row r="921" spans="1:13" hidden="1">
      <c r="A921" s="1">
        <v>46082</v>
      </c>
      <c r="B921" t="s">
        <v>365</v>
      </c>
      <c r="C921" t="s">
        <v>261</v>
      </c>
      <c r="D921" t="s">
        <v>230</v>
      </c>
      <c r="E921" t="s">
        <v>61</v>
      </c>
      <c r="F921">
        <v>132</v>
      </c>
      <c r="G921">
        <v>1</v>
      </c>
      <c r="H921">
        <v>3.3726812816188898E-4</v>
      </c>
      <c r="I921">
        <v>7.5757575757575803E-3</v>
      </c>
      <c r="J921" s="14" t="str">
        <f>_xlfn.XLOOKUP(B921,CAD_PDV!A:A,CAD_PDV!B:B)</f>
        <v>HARCOS COMERCIO E SERVICOS LTDA - EPP</v>
      </c>
      <c r="K921" s="14">
        <f>IF(IFERROR(_xlfn.XLOOKUP(B921,Planilha2!D:D,Planilha2!H:H),0)="SIM",1,0)</f>
        <v>0</v>
      </c>
      <c r="L921" s="14" t="str">
        <f>_xlfn.XLOOKUP(B921,CAD_PDV!A:A,CAD_PDV!C:C)</f>
        <v>NE</v>
      </c>
      <c r="M921" s="14" t="str">
        <f>IFERROR(_xlfn.XLOOKUP(B921,repete!A:A,repete!A:A),"-")</f>
        <v>-</v>
      </c>
    </row>
    <row r="922" spans="1:13" hidden="1">
      <c r="A922" s="1">
        <v>46082</v>
      </c>
      <c r="B922" t="s">
        <v>2088</v>
      </c>
      <c r="C922" t="s">
        <v>1757</v>
      </c>
      <c r="D922" t="s">
        <v>2080</v>
      </c>
      <c r="E922" t="s">
        <v>2074</v>
      </c>
      <c r="F922">
        <v>74</v>
      </c>
      <c r="G922">
        <v>1</v>
      </c>
      <c r="H922">
        <v>3.3726812816188898E-4</v>
      </c>
      <c r="I922">
        <v>1.35135135135135E-2</v>
      </c>
      <c r="J922" s="14" t="e">
        <f>_xlfn.XLOOKUP(B922,CAD_PDV!A:A,CAD_PDV!B:B)</f>
        <v>#N/A</v>
      </c>
      <c r="K922" s="14">
        <f>IF(IFERROR(_xlfn.XLOOKUP(B922,Planilha2!D:D,Planilha2!H:H),0)="SIM",1,0)</f>
        <v>0</v>
      </c>
      <c r="L922" s="14" t="e">
        <f>_xlfn.XLOOKUP(B922,CAD_PDV!A:A,CAD_PDV!C:C)</f>
        <v>#N/A</v>
      </c>
      <c r="M922" s="14" t="str">
        <f>IFERROR(_xlfn.XLOOKUP(B922,repete!A:A,repete!A:A),"-")</f>
        <v>-</v>
      </c>
    </row>
    <row r="923" spans="1:13" hidden="1">
      <c r="A923" s="1">
        <v>46082</v>
      </c>
      <c r="B923" t="s">
        <v>1810</v>
      </c>
      <c r="C923" t="s">
        <v>1813</v>
      </c>
      <c r="D923" t="s">
        <v>95</v>
      </c>
      <c r="E923" t="s">
        <v>2074</v>
      </c>
      <c r="F923">
        <v>41</v>
      </c>
      <c r="G923">
        <v>1</v>
      </c>
      <c r="H923">
        <v>3.3726812816188898E-4</v>
      </c>
      <c r="I923">
        <v>2.4390243902439001E-2</v>
      </c>
      <c r="J923" s="14" t="str">
        <f>_xlfn.XLOOKUP(B923,CAD_PDV!A:A,CAD_PDV!B:B)</f>
        <v>AYRES E DEBONI LTDA - ME</v>
      </c>
      <c r="K923" s="14">
        <f>IF(IFERROR(_xlfn.XLOOKUP(B923,Planilha2!D:D,Planilha2!H:H),0)="SIM",1,0)</f>
        <v>0</v>
      </c>
      <c r="L923" s="14" t="str">
        <f>_xlfn.XLOOKUP(B923,CAD_PDV!A:A,CAD_PDV!C:C)</f>
        <v>RS</v>
      </c>
      <c r="M923" s="14" t="str">
        <f>IFERROR(_xlfn.XLOOKUP(B923,repete!A:A,repete!A:A),"-")</f>
        <v>-</v>
      </c>
    </row>
    <row r="924" spans="1:13" hidden="1">
      <c r="A924" s="1">
        <v>46082</v>
      </c>
      <c r="B924" t="s">
        <v>562</v>
      </c>
      <c r="C924" t="s">
        <v>507</v>
      </c>
      <c r="D924" t="s">
        <v>106</v>
      </c>
      <c r="E924" t="s">
        <v>56</v>
      </c>
      <c r="F924">
        <v>72</v>
      </c>
      <c r="G924">
        <v>1</v>
      </c>
      <c r="H924">
        <v>3.3726812816188898E-4</v>
      </c>
      <c r="I924">
        <v>1.38888888888889E-2</v>
      </c>
      <c r="J924" s="14" t="str">
        <f>_xlfn.XLOOKUP(B924,CAD_PDV!A:A,CAD_PDV!B:B)</f>
        <v>CELLULAR.COM</v>
      </c>
      <c r="K924" s="14">
        <f>IF(IFERROR(_xlfn.XLOOKUP(B924,Planilha2!D:D,Planilha2!H:H),0)="SIM",1,0)</f>
        <v>0</v>
      </c>
      <c r="L924" s="14" t="str">
        <f>_xlfn.XLOOKUP(B924,CAD_PDV!A:A,CAD_PDV!C:C)</f>
        <v>MG</v>
      </c>
      <c r="M924" s="14" t="str">
        <f>IFERROR(_xlfn.XLOOKUP(B924,repete!A:A,repete!A:A),"-")</f>
        <v>MHRS</v>
      </c>
    </row>
    <row r="925" spans="1:13" hidden="1">
      <c r="A925" s="1">
        <v>46082</v>
      </c>
      <c r="B925" t="s">
        <v>2044</v>
      </c>
      <c r="C925" t="s">
        <v>2045</v>
      </c>
      <c r="D925" t="s">
        <v>153</v>
      </c>
      <c r="E925" t="s">
        <v>2074</v>
      </c>
      <c r="F925">
        <v>15</v>
      </c>
      <c r="G925">
        <v>1</v>
      </c>
      <c r="H925">
        <v>3.3726812816188898E-4</v>
      </c>
      <c r="I925">
        <v>6.6666666666666693E-2</v>
      </c>
      <c r="J925" s="14" t="str">
        <f>_xlfn.XLOOKUP(B925,CAD_PDV!A:A,CAD_PDV!B:B)</f>
        <v>JUNIOR NOAL &amp; CIA LTDA - ME</v>
      </c>
      <c r="K925" s="14">
        <f>IF(IFERROR(_xlfn.XLOOKUP(B925,Planilha2!D:D,Planilha2!H:H),0)="SIM",1,0)</f>
        <v>0</v>
      </c>
      <c r="L925" s="14" t="str">
        <f>_xlfn.XLOOKUP(B925,CAD_PDV!A:A,CAD_PDV!C:C)</f>
        <v>RS</v>
      </c>
      <c r="M925" s="14" t="str">
        <f>IFERROR(_xlfn.XLOOKUP(B925,repete!A:A,repete!A:A),"-")</f>
        <v>-</v>
      </c>
    </row>
    <row r="926" spans="1:13" hidden="1">
      <c r="A926" s="1">
        <v>46082</v>
      </c>
      <c r="B926" t="s">
        <v>1251</v>
      </c>
      <c r="C926" t="s">
        <v>1159</v>
      </c>
      <c r="D926" t="s">
        <v>228</v>
      </c>
      <c r="E926" t="s">
        <v>55</v>
      </c>
      <c r="F926">
        <v>100</v>
      </c>
      <c r="G926">
        <v>1</v>
      </c>
      <c r="H926">
        <v>3.3726812816188898E-4</v>
      </c>
      <c r="I926">
        <v>0.01</v>
      </c>
      <c r="J926" s="14" t="str">
        <f>_xlfn.XLOOKUP(B926,CAD_PDV!A:A,CAD_PDV!B:B)</f>
        <v>FAJULUTI</v>
      </c>
      <c r="K926" s="14">
        <f>IF(IFERROR(_xlfn.XLOOKUP(B926,Planilha2!D:D,Planilha2!H:H),0)="SIM",1,0)</f>
        <v>0</v>
      </c>
      <c r="L926" s="14" t="str">
        <f>_xlfn.XLOOKUP(B926,CAD_PDV!A:A,CAD_PDV!C:C)</f>
        <v>RJ/ES</v>
      </c>
      <c r="M926" s="14" t="str">
        <f>IFERROR(_xlfn.XLOOKUP(B926,repete!A:A,repete!A:A),"-")</f>
        <v>-</v>
      </c>
    </row>
    <row r="927" spans="1:13" hidden="1">
      <c r="A927" s="1">
        <v>46082</v>
      </c>
      <c r="B927" t="s">
        <v>1862</v>
      </c>
      <c r="C927" t="s">
        <v>1861</v>
      </c>
      <c r="D927" t="s">
        <v>106</v>
      </c>
      <c r="E927" t="s">
        <v>2074</v>
      </c>
      <c r="F927">
        <v>60</v>
      </c>
      <c r="G927">
        <v>1</v>
      </c>
      <c r="H927">
        <v>3.3726812816188898E-4</v>
      </c>
      <c r="I927">
        <v>1.6666666666666701E-2</v>
      </c>
      <c r="J927" s="14" t="str">
        <f>_xlfn.XLOOKUP(B927,CAD_PDV!A:A,CAD_PDV!B:B)</f>
        <v>CELLULAR.COM</v>
      </c>
      <c r="K927" s="14">
        <f>IF(IFERROR(_xlfn.XLOOKUP(B927,Planilha2!D:D,Planilha2!H:H),0)="SIM",1,0)</f>
        <v>0</v>
      </c>
      <c r="L927" s="14" t="str">
        <f>_xlfn.XLOOKUP(B927,CAD_PDV!A:A,CAD_PDV!C:C)</f>
        <v>PR/SC</v>
      </c>
      <c r="M927" s="14" t="str">
        <f>IFERROR(_xlfn.XLOOKUP(B927,repete!A:A,repete!A:A),"-")</f>
        <v>-</v>
      </c>
    </row>
    <row r="928" spans="1:13" hidden="1">
      <c r="A928" s="1">
        <v>46082</v>
      </c>
      <c r="B928" t="s">
        <v>2081</v>
      </c>
      <c r="C928" t="s">
        <v>619</v>
      </c>
      <c r="D928" t="s">
        <v>224</v>
      </c>
      <c r="E928" t="s">
        <v>59</v>
      </c>
      <c r="F928">
        <v>147</v>
      </c>
      <c r="G928">
        <v>1</v>
      </c>
      <c r="H928">
        <v>3.3726812816188898E-4</v>
      </c>
      <c r="I928">
        <v>6.8027210884353704E-3</v>
      </c>
      <c r="J928" s="14" t="str">
        <f>_xlfn.XLOOKUP(B928,CAD_PDV!A:A,CAD_PDV!B:B)</f>
        <v>CELNET COMERCIO E SERVICOS DE TELEFONIA LTDA ME</v>
      </c>
      <c r="K928" s="14">
        <f>IF(IFERROR(_xlfn.XLOOKUP(B928,Planilha2!D:D,Planilha2!H:H),0)="SIM",1,0)</f>
        <v>0</v>
      </c>
      <c r="L928" s="14" t="str">
        <f>_xlfn.XLOOKUP(B928,CAD_PDV!A:A,CAD_PDV!C:C)</f>
        <v>CO</v>
      </c>
      <c r="M928" s="14" t="str">
        <f>IFERROR(_xlfn.XLOOKUP(B928,repete!A:A,repete!A:A),"-")</f>
        <v>-</v>
      </c>
    </row>
    <row r="929" spans="1:13" hidden="1">
      <c r="A929" s="1">
        <v>46082</v>
      </c>
      <c r="B929" t="s">
        <v>829</v>
      </c>
      <c r="C929" t="s">
        <v>820</v>
      </c>
      <c r="D929" t="s">
        <v>239</v>
      </c>
      <c r="E929" t="s">
        <v>59</v>
      </c>
      <c r="F929">
        <v>75</v>
      </c>
      <c r="G929">
        <v>1</v>
      </c>
      <c r="H929">
        <v>3.3726812816188898E-4</v>
      </c>
      <c r="I929">
        <v>1.3333333333333299E-2</v>
      </c>
      <c r="J929" s="14" t="str">
        <f>_xlfn.XLOOKUP(B929,CAD_PDV!A:A,CAD_PDV!B:B)</f>
        <v>TELECELL TELEFONIA LTDA - ME</v>
      </c>
      <c r="K929" s="14">
        <f>IF(IFERROR(_xlfn.XLOOKUP(B929,Planilha2!D:D,Planilha2!H:H),0)="SIM",1,0)</f>
        <v>0</v>
      </c>
      <c r="L929" s="14" t="str">
        <f>_xlfn.XLOOKUP(B929,CAD_PDV!A:A,CAD_PDV!C:C)</f>
        <v>CO</v>
      </c>
      <c r="M929" s="14" t="str">
        <f>IFERROR(_xlfn.XLOOKUP(B929,repete!A:A,repete!A:A),"-")</f>
        <v>-</v>
      </c>
    </row>
    <row r="930" spans="1:13" hidden="1">
      <c r="A930" s="1">
        <v>46082</v>
      </c>
      <c r="B930" t="s">
        <v>843</v>
      </c>
      <c r="C930" t="s">
        <v>677</v>
      </c>
      <c r="D930" t="s">
        <v>239</v>
      </c>
      <c r="E930" t="s">
        <v>59</v>
      </c>
      <c r="F930">
        <v>63</v>
      </c>
      <c r="G930">
        <v>1</v>
      </c>
      <c r="H930">
        <v>3.3726812816188898E-4</v>
      </c>
      <c r="I930">
        <v>1.58730158730159E-2</v>
      </c>
      <c r="J930" s="14" t="str">
        <f>_xlfn.XLOOKUP(B930,CAD_PDV!A:A,CAD_PDV!B:B)</f>
        <v>TELECELL TELEFONIA LTDA - ME</v>
      </c>
      <c r="K930" s="14">
        <f>IF(IFERROR(_xlfn.XLOOKUP(B930,Planilha2!D:D,Planilha2!H:H),0)="SIM",1,0)</f>
        <v>0</v>
      </c>
      <c r="L930" s="14" t="str">
        <f>_xlfn.XLOOKUP(B930,CAD_PDV!A:A,CAD_PDV!C:C)</f>
        <v>CO</v>
      </c>
      <c r="M930" s="14" t="str">
        <f>IFERROR(_xlfn.XLOOKUP(B930,repete!A:A,repete!A:A),"-")</f>
        <v>-</v>
      </c>
    </row>
    <row r="931" spans="1:13" hidden="1">
      <c r="A931" s="1">
        <v>46082</v>
      </c>
      <c r="B931" t="s">
        <v>660</v>
      </c>
      <c r="C931" t="s">
        <v>661</v>
      </c>
      <c r="D931" t="s">
        <v>239</v>
      </c>
      <c r="E931" t="s">
        <v>59</v>
      </c>
      <c r="F931">
        <v>82</v>
      </c>
      <c r="G931">
        <v>1</v>
      </c>
      <c r="H931">
        <v>3.3726812816188898E-4</v>
      </c>
      <c r="I931">
        <v>1.21951219512195E-2</v>
      </c>
      <c r="J931" s="14" t="str">
        <f>_xlfn.XLOOKUP(B931,CAD_PDV!A:A,CAD_PDV!B:B)</f>
        <v>TELECELL TELEFONIA LTDA - ME</v>
      </c>
      <c r="K931" s="14">
        <f>IF(IFERROR(_xlfn.XLOOKUP(B931,Planilha2!D:D,Planilha2!H:H),0)="SIM",1,0)</f>
        <v>0</v>
      </c>
      <c r="L931" s="14" t="str">
        <f>_xlfn.XLOOKUP(B931,CAD_PDV!A:A,CAD_PDV!C:C)</f>
        <v>CO</v>
      </c>
      <c r="M931" s="14" t="str">
        <f>IFERROR(_xlfn.XLOOKUP(B931,repete!A:A,repete!A:A),"-")</f>
        <v>-</v>
      </c>
    </row>
    <row r="932" spans="1:13" hidden="1">
      <c r="A932" s="1">
        <v>46082</v>
      </c>
      <c r="B932" t="s">
        <v>850</v>
      </c>
      <c r="C932" t="s">
        <v>732</v>
      </c>
      <c r="D932" t="s">
        <v>221</v>
      </c>
      <c r="E932" t="s">
        <v>59</v>
      </c>
      <c r="F932">
        <v>37</v>
      </c>
      <c r="G932">
        <v>1</v>
      </c>
      <c r="H932">
        <v>3.3726812816188898E-4</v>
      </c>
      <c r="I932">
        <v>2.7027027027027001E-2</v>
      </c>
      <c r="J932" s="14" t="str">
        <f>_xlfn.XLOOKUP(B932,CAD_PDV!A:A,CAD_PDV!B:B)</f>
        <v>AMERICOM COMERCIO DE APARELHOS ELETRONICOS LTDA - EPP</v>
      </c>
      <c r="K932" s="14">
        <f>IF(IFERROR(_xlfn.XLOOKUP(B932,Planilha2!D:D,Planilha2!H:H),0)="SIM",1,0)</f>
        <v>0</v>
      </c>
      <c r="L932" s="14" t="str">
        <f>_xlfn.XLOOKUP(B932,CAD_PDV!A:A,CAD_PDV!C:C)</f>
        <v>CO</v>
      </c>
      <c r="M932" s="14" t="str">
        <f>IFERROR(_xlfn.XLOOKUP(B932,repete!A:A,repete!A:A),"-")</f>
        <v>-</v>
      </c>
    </row>
    <row r="933" spans="1:13" hidden="1">
      <c r="A933" s="1">
        <v>46082</v>
      </c>
      <c r="B933" t="s">
        <v>2089</v>
      </c>
      <c r="C933" t="s">
        <v>1757</v>
      </c>
      <c r="D933" t="s">
        <v>2080</v>
      </c>
      <c r="E933" t="s">
        <v>2074</v>
      </c>
      <c r="F933">
        <v>36</v>
      </c>
      <c r="G933">
        <v>1</v>
      </c>
      <c r="H933">
        <v>3.3726812816188898E-4</v>
      </c>
      <c r="I933">
        <v>2.7777777777777801E-2</v>
      </c>
      <c r="J933" s="14" t="e">
        <f>_xlfn.XLOOKUP(B933,CAD_PDV!A:A,CAD_PDV!B:B)</f>
        <v>#N/A</v>
      </c>
      <c r="K933" s="14">
        <f>IF(IFERROR(_xlfn.XLOOKUP(B933,Planilha2!D:D,Planilha2!H:H),0)="SIM",1,0)</f>
        <v>0</v>
      </c>
      <c r="L933" s="14" t="e">
        <f>_xlfn.XLOOKUP(B933,CAD_PDV!A:A,CAD_PDV!C:C)</f>
        <v>#N/A</v>
      </c>
      <c r="M933" s="14" t="str">
        <f>IFERROR(_xlfn.XLOOKUP(B933,repete!A:A,repete!A:A),"-")</f>
        <v>-</v>
      </c>
    </row>
    <row r="934" spans="1:13" hidden="1">
      <c r="A934" s="1">
        <v>46082</v>
      </c>
      <c r="B934" t="s">
        <v>1696</v>
      </c>
      <c r="C934" t="s">
        <v>1499</v>
      </c>
      <c r="D934" t="s">
        <v>132</v>
      </c>
      <c r="E934" t="s">
        <v>54</v>
      </c>
      <c r="F934">
        <v>60</v>
      </c>
      <c r="G934">
        <v>1</v>
      </c>
      <c r="H934">
        <v>3.3726812816188898E-4</v>
      </c>
      <c r="I934">
        <v>1.6666666666666701E-2</v>
      </c>
      <c r="J934" s="14" t="str">
        <f>_xlfn.XLOOKUP(B934,CAD_PDV!A:A,CAD_PDV!B:B)</f>
        <v>FLEX CELL</v>
      </c>
      <c r="K934" s="14">
        <f>IF(IFERROR(_xlfn.XLOOKUP(B934,Planilha2!D:D,Planilha2!H:H),0)="SIM",1,0)</f>
        <v>0</v>
      </c>
      <c r="L934" s="14" t="str">
        <f>_xlfn.XLOOKUP(B934,CAD_PDV!A:A,CAD_PDV!C:C)</f>
        <v>SP2</v>
      </c>
      <c r="M934" s="14" t="str">
        <f>IFERROR(_xlfn.XLOOKUP(B934,repete!A:A,repete!A:A),"-")</f>
        <v>-</v>
      </c>
    </row>
    <row r="935" spans="1:13" hidden="1">
      <c r="A935" s="1">
        <v>46082</v>
      </c>
      <c r="B935" t="s">
        <v>1257</v>
      </c>
      <c r="C935" t="s">
        <v>1255</v>
      </c>
      <c r="D935" t="s">
        <v>228</v>
      </c>
      <c r="E935" t="s">
        <v>55</v>
      </c>
      <c r="F935">
        <v>33</v>
      </c>
      <c r="G935">
        <v>1</v>
      </c>
      <c r="H935">
        <v>3.3726812816188898E-4</v>
      </c>
      <c r="I935">
        <v>3.03030303030303E-2</v>
      </c>
      <c r="J935" s="14" t="str">
        <f>_xlfn.XLOOKUP(B935,CAD_PDV!A:A,CAD_PDV!B:B)</f>
        <v>FAJULUTI</v>
      </c>
      <c r="K935" s="14">
        <f>IF(IFERROR(_xlfn.XLOOKUP(B935,Planilha2!D:D,Planilha2!H:H),0)="SIM",1,0)</f>
        <v>0</v>
      </c>
      <c r="L935" s="14" t="str">
        <f>_xlfn.XLOOKUP(B935,CAD_PDV!A:A,CAD_PDV!C:C)</f>
        <v>RJ/ES</v>
      </c>
      <c r="M935" s="14" t="str">
        <f>IFERROR(_xlfn.XLOOKUP(B935,repete!A:A,repete!A:A),"-")</f>
        <v>-</v>
      </c>
    </row>
    <row r="936" spans="1:13" hidden="1">
      <c r="A936" s="1">
        <v>46082</v>
      </c>
      <c r="B936" t="s">
        <v>1172</v>
      </c>
      <c r="C936" t="s">
        <v>1142</v>
      </c>
      <c r="D936" t="s">
        <v>2072</v>
      </c>
      <c r="E936" t="s">
        <v>55</v>
      </c>
      <c r="F936">
        <v>44</v>
      </c>
      <c r="G936">
        <v>1</v>
      </c>
      <c r="H936">
        <v>3.3726812816188898E-4</v>
      </c>
      <c r="I936">
        <v>2.27272727272727E-2</v>
      </c>
      <c r="J936" s="14" t="str">
        <f>_xlfn.XLOOKUP(B936,CAD_PDV!A:A,CAD_PDV!B:B)</f>
        <v>MEXCELL COMERCIO E SERVICOS DE TELECOMUNICACOES LTDA</v>
      </c>
      <c r="K936" s="14">
        <f>IF(IFERROR(_xlfn.XLOOKUP(B936,Planilha2!D:D,Planilha2!H:H),0)="SIM",1,0)</f>
        <v>0</v>
      </c>
      <c r="L936" s="14" t="str">
        <f>_xlfn.XLOOKUP(B936,CAD_PDV!A:A,CAD_PDV!C:C)</f>
        <v>RJ/ES</v>
      </c>
      <c r="M936" s="14" t="str">
        <f>IFERROR(_xlfn.XLOOKUP(B936,repete!A:A,repete!A:A),"-")</f>
        <v>-</v>
      </c>
    </row>
    <row r="937" spans="1:13" hidden="1">
      <c r="A937" s="1">
        <v>46082</v>
      </c>
      <c r="B937" t="s">
        <v>714</v>
      </c>
      <c r="C937" t="s">
        <v>713</v>
      </c>
      <c r="D937" t="s">
        <v>239</v>
      </c>
      <c r="E937" t="s">
        <v>59</v>
      </c>
      <c r="F937">
        <v>37</v>
      </c>
      <c r="G937">
        <v>1</v>
      </c>
      <c r="H937">
        <v>3.3726812816188898E-4</v>
      </c>
      <c r="I937">
        <v>2.7027027027027001E-2</v>
      </c>
      <c r="J937" s="14" t="str">
        <f>_xlfn.XLOOKUP(B937,CAD_PDV!A:A,CAD_PDV!B:B)</f>
        <v>TELECELL TELEFONIA LTDA - ME</v>
      </c>
      <c r="K937" s="14">
        <f>IF(IFERROR(_xlfn.XLOOKUP(B937,Planilha2!D:D,Planilha2!H:H),0)="SIM",1,0)</f>
        <v>0</v>
      </c>
      <c r="L937" s="14" t="str">
        <f>_xlfn.XLOOKUP(B937,CAD_PDV!A:A,CAD_PDV!C:C)</f>
        <v>CO</v>
      </c>
      <c r="M937" s="14" t="str">
        <f>IFERROR(_xlfn.XLOOKUP(B937,repete!A:A,repete!A:A),"-")</f>
        <v>-</v>
      </c>
    </row>
    <row r="938" spans="1:13" hidden="1">
      <c r="A938" s="1">
        <v>46082</v>
      </c>
      <c r="B938" t="s">
        <v>1823</v>
      </c>
      <c r="C938" t="s">
        <v>1824</v>
      </c>
      <c r="D938" t="s">
        <v>95</v>
      </c>
      <c r="E938" t="s">
        <v>2074</v>
      </c>
      <c r="F938">
        <v>21</v>
      </c>
      <c r="G938">
        <v>1</v>
      </c>
      <c r="H938">
        <v>3.3726812816188898E-4</v>
      </c>
      <c r="I938">
        <v>4.7619047619047603E-2</v>
      </c>
      <c r="J938" s="14" t="str">
        <f>_xlfn.XLOOKUP(B938,CAD_PDV!A:A,CAD_PDV!B:B)</f>
        <v>AYRES E DEBONI LTDA - ME</v>
      </c>
      <c r="K938" s="14">
        <f>IF(IFERROR(_xlfn.XLOOKUP(B938,Planilha2!D:D,Planilha2!H:H),0)="SIM",1,0)</f>
        <v>0</v>
      </c>
      <c r="L938" s="14" t="str">
        <f>_xlfn.XLOOKUP(B938,CAD_PDV!A:A,CAD_PDV!C:C)</f>
        <v>RS</v>
      </c>
      <c r="M938" s="14" t="str">
        <f>IFERROR(_xlfn.XLOOKUP(B938,repete!A:A,repete!A:A),"-")</f>
        <v>-</v>
      </c>
    </row>
    <row r="939" spans="1:13" hidden="1">
      <c r="A939" s="1">
        <v>46082</v>
      </c>
      <c r="B939" t="s">
        <v>840</v>
      </c>
      <c r="C939" t="s">
        <v>837</v>
      </c>
      <c r="D939" t="s">
        <v>239</v>
      </c>
      <c r="E939" t="s">
        <v>59</v>
      </c>
      <c r="F939">
        <v>54</v>
      </c>
      <c r="G939">
        <v>1</v>
      </c>
      <c r="H939">
        <v>3.3726812816188898E-4</v>
      </c>
      <c r="I939">
        <v>1.85185185185185E-2</v>
      </c>
      <c r="J939" s="14" t="str">
        <f>_xlfn.XLOOKUP(B939,CAD_PDV!A:A,CAD_PDV!B:B)</f>
        <v>TELECELL TELEFONIA LTDA - ME</v>
      </c>
      <c r="K939" s="14">
        <f>IF(IFERROR(_xlfn.XLOOKUP(B939,Planilha2!D:D,Planilha2!H:H),0)="SIM",1,0)</f>
        <v>0</v>
      </c>
      <c r="L939" s="14" t="str">
        <f>_xlfn.XLOOKUP(B939,CAD_PDV!A:A,CAD_PDV!C:C)</f>
        <v>CO</v>
      </c>
      <c r="M939" s="14" t="str">
        <f>IFERROR(_xlfn.XLOOKUP(B939,repete!A:A,repete!A:A),"-")</f>
        <v>-</v>
      </c>
    </row>
    <row r="940" spans="1:13" hidden="1">
      <c r="A940" s="1">
        <v>46082</v>
      </c>
      <c r="B940" t="s">
        <v>1933</v>
      </c>
      <c r="C940" t="s">
        <v>1934</v>
      </c>
      <c r="D940" t="s">
        <v>103</v>
      </c>
      <c r="E940" t="s">
        <v>2074</v>
      </c>
      <c r="F940">
        <v>30</v>
      </c>
      <c r="G940">
        <v>1</v>
      </c>
      <c r="H940">
        <v>3.3726812816188898E-4</v>
      </c>
      <c r="I940">
        <v>3.3333333333333298E-2</v>
      </c>
      <c r="J940" s="14" t="str">
        <f>_xlfn.XLOOKUP(B940,CAD_PDV!A:A,CAD_PDV!B:B)</f>
        <v>CARLOS EDUARDO SAVIAN - EPP</v>
      </c>
      <c r="K940" s="14">
        <f>IF(IFERROR(_xlfn.XLOOKUP(B940,Planilha2!D:D,Planilha2!H:H),0)="SIM",1,0)</f>
        <v>0</v>
      </c>
      <c r="L940" s="14" t="str">
        <f>_xlfn.XLOOKUP(B940,CAD_PDV!A:A,CAD_PDV!C:C)</f>
        <v>PR/SC</v>
      </c>
      <c r="M940" s="14" t="str">
        <f>IFERROR(_xlfn.XLOOKUP(B940,repete!A:A,repete!A:A),"-")</f>
        <v>-</v>
      </c>
    </row>
    <row r="941" spans="1:13" hidden="1">
      <c r="A941" s="1">
        <v>46082</v>
      </c>
      <c r="B941" t="s">
        <v>1804</v>
      </c>
      <c r="C941" t="s">
        <v>1805</v>
      </c>
      <c r="D941" t="s">
        <v>106</v>
      </c>
      <c r="E941" t="s">
        <v>2074</v>
      </c>
      <c r="F941">
        <v>37</v>
      </c>
      <c r="G941">
        <v>1</v>
      </c>
      <c r="H941">
        <v>3.3726812816188898E-4</v>
      </c>
      <c r="I941">
        <v>2.7027027027027001E-2</v>
      </c>
      <c r="J941" s="14" t="str">
        <f>_xlfn.XLOOKUP(B941,CAD_PDV!A:A,CAD_PDV!B:B)</f>
        <v>CELLULAR.COM</v>
      </c>
      <c r="K941" s="14">
        <f>IF(IFERROR(_xlfn.XLOOKUP(B941,Planilha2!D:D,Planilha2!H:H),0)="SIM",1,0)</f>
        <v>0</v>
      </c>
      <c r="L941" s="14" t="str">
        <f>_xlfn.XLOOKUP(B941,CAD_PDV!A:A,CAD_PDV!C:C)</f>
        <v>PR/SC</v>
      </c>
      <c r="M941" s="14" t="str">
        <f>IFERROR(_xlfn.XLOOKUP(B941,repete!A:A,repete!A:A),"-")</f>
        <v>-</v>
      </c>
    </row>
    <row r="942" spans="1:13" hidden="1">
      <c r="A942" s="1">
        <v>46082</v>
      </c>
      <c r="B942" t="s">
        <v>470</v>
      </c>
      <c r="C942" t="s">
        <v>471</v>
      </c>
      <c r="D942" t="s">
        <v>235</v>
      </c>
      <c r="E942" t="s">
        <v>56</v>
      </c>
      <c r="F942">
        <v>32</v>
      </c>
      <c r="G942">
        <v>1</v>
      </c>
      <c r="H942">
        <v>3.3726812816188898E-4</v>
      </c>
      <c r="I942">
        <v>3.125E-2</v>
      </c>
      <c r="J942" s="14" t="str">
        <f>_xlfn.XLOOKUP(B942,CAD_PDV!A:A,CAD_PDV!B:B)</f>
        <v>P.G.L CELULARES LTDA</v>
      </c>
      <c r="K942" s="14">
        <f>IF(IFERROR(_xlfn.XLOOKUP(B942,Planilha2!D:D,Planilha2!H:H),0)="SIM",1,0)</f>
        <v>0</v>
      </c>
      <c r="L942" s="14" t="str">
        <f>_xlfn.XLOOKUP(B942,CAD_PDV!A:A,CAD_PDV!C:C)</f>
        <v>MG</v>
      </c>
      <c r="M942" s="14" t="str">
        <f>IFERROR(_xlfn.XLOOKUP(B942,repete!A:A,repete!A:A),"-")</f>
        <v>-</v>
      </c>
    </row>
    <row r="943" spans="1:13" hidden="1">
      <c r="A943" s="1">
        <v>46082</v>
      </c>
      <c r="B943" t="s">
        <v>1178</v>
      </c>
      <c r="C943" t="s">
        <v>1180</v>
      </c>
      <c r="D943" t="s">
        <v>228</v>
      </c>
      <c r="E943" t="s">
        <v>55</v>
      </c>
      <c r="F943">
        <v>51</v>
      </c>
      <c r="G943">
        <v>1</v>
      </c>
      <c r="H943">
        <v>3.3726812816188898E-4</v>
      </c>
      <c r="I943">
        <v>1.9607843137254902E-2</v>
      </c>
      <c r="J943" s="14" t="str">
        <f>_xlfn.XLOOKUP(B943,CAD_PDV!A:A,CAD_PDV!B:B)</f>
        <v>FAJULUTI</v>
      </c>
      <c r="K943" s="14">
        <f>IF(IFERROR(_xlfn.XLOOKUP(B943,Planilha2!D:D,Planilha2!H:H),0)="SIM",1,0)</f>
        <v>0</v>
      </c>
      <c r="L943" s="14" t="str">
        <f>_xlfn.XLOOKUP(B943,CAD_PDV!A:A,CAD_PDV!C:C)</f>
        <v>RJ/ES</v>
      </c>
      <c r="M943" s="14" t="str">
        <f>IFERROR(_xlfn.XLOOKUP(B943,repete!A:A,repete!A:A),"-")</f>
        <v>-</v>
      </c>
    </row>
    <row r="944" spans="1:13" hidden="1">
      <c r="A944" s="1">
        <v>46082</v>
      </c>
      <c r="B944" t="s">
        <v>1269</v>
      </c>
      <c r="C944" t="s">
        <v>1142</v>
      </c>
      <c r="D944" t="s">
        <v>237</v>
      </c>
      <c r="E944" t="s">
        <v>55</v>
      </c>
      <c r="F944">
        <v>293</v>
      </c>
      <c r="G944">
        <v>1</v>
      </c>
      <c r="H944">
        <v>3.3726812816188898E-4</v>
      </c>
      <c r="I944">
        <v>3.4129692832764501E-3</v>
      </c>
      <c r="J944" s="14" t="str">
        <f>_xlfn.XLOOKUP(B944,CAD_PDV!A:A,CAD_PDV!B:B)</f>
        <v>PONTO CERTO COMERCIO E COMUNICAÇÕES LTDA</v>
      </c>
      <c r="K944" s="14">
        <f>IF(IFERROR(_xlfn.XLOOKUP(B944,Planilha2!D:D,Planilha2!H:H),0)="SIM",1,0)</f>
        <v>0</v>
      </c>
      <c r="L944" s="14" t="str">
        <f>_xlfn.XLOOKUP(B944,CAD_PDV!A:A,CAD_PDV!C:C)</f>
        <v>RJ/ES</v>
      </c>
      <c r="M944" s="14" t="str">
        <f>IFERROR(_xlfn.XLOOKUP(B944,repete!A:A,repete!A:A),"-")</f>
        <v>-</v>
      </c>
    </row>
    <row r="945" spans="1:13" hidden="1">
      <c r="A945" s="1">
        <v>46082</v>
      </c>
      <c r="B945" t="s">
        <v>1733</v>
      </c>
      <c r="C945" t="s">
        <v>1734</v>
      </c>
      <c r="D945" t="s">
        <v>220</v>
      </c>
      <c r="E945" t="s">
        <v>54</v>
      </c>
      <c r="F945">
        <v>20</v>
      </c>
      <c r="G945">
        <v>1</v>
      </c>
      <c r="H945">
        <v>3.3726812816188898E-4</v>
      </c>
      <c r="I945">
        <v>0.05</v>
      </c>
      <c r="J945" s="14" t="str">
        <f>_xlfn.XLOOKUP(B945,CAD_PDV!A:A,CAD_PDV!B:B)</f>
        <v>ADESIENE NUNES MACHADO - ME</v>
      </c>
      <c r="K945" s="14">
        <f>IF(IFERROR(_xlfn.XLOOKUP(B945,Planilha2!D:D,Planilha2!H:H),0)="SIM",1,0)</f>
        <v>0</v>
      </c>
      <c r="L945" s="14" t="str">
        <f>_xlfn.XLOOKUP(B945,CAD_PDV!A:A,CAD_PDV!C:C)</f>
        <v>SP2</v>
      </c>
      <c r="M945" s="14" t="str">
        <f>IFERROR(_xlfn.XLOOKUP(B945,repete!A:A,repete!A:A),"-")</f>
        <v>YEZ1</v>
      </c>
    </row>
    <row r="946" spans="1:13" hidden="1">
      <c r="A946" s="1">
        <v>46082</v>
      </c>
      <c r="B946" t="s">
        <v>405</v>
      </c>
      <c r="C946" t="s">
        <v>406</v>
      </c>
      <c r="D946" t="s">
        <v>230</v>
      </c>
      <c r="E946" t="s">
        <v>61</v>
      </c>
      <c r="F946">
        <v>34</v>
      </c>
      <c r="G946">
        <v>1</v>
      </c>
      <c r="H946">
        <v>3.3726812816188898E-4</v>
      </c>
      <c r="I946">
        <v>2.9411764705882401E-2</v>
      </c>
      <c r="J946" s="14" t="str">
        <f>_xlfn.XLOOKUP(B946,CAD_PDV!A:A,CAD_PDV!B:B)</f>
        <v>HARCOS COMERCIO E SERVICOS LTDA - EPP</v>
      </c>
      <c r="K946" s="14">
        <f>IF(IFERROR(_xlfn.XLOOKUP(B946,Planilha2!D:D,Planilha2!H:H),0)="SIM",1,0)</f>
        <v>0</v>
      </c>
      <c r="L946" s="14" t="str">
        <f>_xlfn.XLOOKUP(B946,CAD_PDV!A:A,CAD_PDV!C:C)</f>
        <v>NE</v>
      </c>
      <c r="M946" s="14" t="str">
        <f>IFERROR(_xlfn.XLOOKUP(B946,repete!A:A,repete!A:A),"-")</f>
        <v>-</v>
      </c>
    </row>
    <row r="947" spans="1:13" hidden="1">
      <c r="A947" s="1">
        <v>46082</v>
      </c>
      <c r="B947" t="s">
        <v>1042</v>
      </c>
      <c r="C947" t="s">
        <v>1017</v>
      </c>
      <c r="D947" t="s">
        <v>232</v>
      </c>
      <c r="E947" t="s">
        <v>60</v>
      </c>
      <c r="F947">
        <v>45</v>
      </c>
      <c r="G947">
        <v>1</v>
      </c>
      <c r="H947">
        <v>3.3726812816188898E-4</v>
      </c>
      <c r="I947">
        <v>2.2222222222222199E-2</v>
      </c>
      <c r="J947" s="14" t="str">
        <f>_xlfn.XLOOKUP(B947,CAD_PDV!A:A,CAD_PDV!B:B)</f>
        <v>HS TELECOM</v>
      </c>
      <c r="K947" s="14">
        <f>IF(IFERROR(_xlfn.XLOOKUP(B947,Planilha2!D:D,Planilha2!H:H),0)="SIM",1,0)</f>
        <v>0</v>
      </c>
      <c r="L947" s="14" t="str">
        <f>_xlfn.XLOOKUP(B947,CAD_PDV!A:A,CAD_PDV!C:C)</f>
        <v>BA/SE</v>
      </c>
      <c r="M947" s="14" t="str">
        <f>IFERROR(_xlfn.XLOOKUP(B947,repete!A:A,repete!A:A),"-")</f>
        <v>-</v>
      </c>
    </row>
    <row r="948" spans="1:13" hidden="1">
      <c r="A948" s="1">
        <v>46082</v>
      </c>
      <c r="B948" t="s">
        <v>1271</v>
      </c>
      <c r="C948" t="s">
        <v>1142</v>
      </c>
      <c r="D948" t="s">
        <v>233</v>
      </c>
      <c r="E948" t="s">
        <v>55</v>
      </c>
      <c r="F948">
        <v>22</v>
      </c>
      <c r="G948">
        <v>1</v>
      </c>
      <c r="H948">
        <v>3.3726812816188898E-4</v>
      </c>
      <c r="I948">
        <v>4.5454545454545497E-2</v>
      </c>
      <c r="J948" s="14" t="str">
        <f>_xlfn.XLOOKUP(B948,CAD_PDV!A:A,CAD_PDV!B:B)</f>
        <v>LEINAD COMERCIO E SERVICO EIRELI</v>
      </c>
      <c r="K948" s="14">
        <f>IF(IFERROR(_xlfn.XLOOKUP(B948,Planilha2!D:D,Planilha2!H:H),0)="SIM",1,0)</f>
        <v>0</v>
      </c>
      <c r="L948" s="14" t="str">
        <f>_xlfn.XLOOKUP(B948,CAD_PDV!A:A,CAD_PDV!C:C)</f>
        <v>RJ/ES</v>
      </c>
      <c r="M948" s="14" t="str">
        <f>IFERROR(_xlfn.XLOOKUP(B948,repete!A:A,repete!A:A),"-")</f>
        <v>-</v>
      </c>
    </row>
    <row r="949" spans="1:13" hidden="1">
      <c r="A949" s="1">
        <v>46082</v>
      </c>
      <c r="B949" t="s">
        <v>1736</v>
      </c>
      <c r="C949" t="s">
        <v>1523</v>
      </c>
      <c r="D949" t="s">
        <v>232</v>
      </c>
      <c r="E949" t="s">
        <v>54</v>
      </c>
      <c r="F949">
        <v>71</v>
      </c>
      <c r="G949">
        <v>1</v>
      </c>
      <c r="H949">
        <v>3.3726812816188898E-4</v>
      </c>
      <c r="I949">
        <v>1.4084507042253501E-2</v>
      </c>
      <c r="J949" s="14" t="str">
        <f>_xlfn.XLOOKUP(B949,CAD_PDV!A:A,CAD_PDV!B:B)</f>
        <v>HS TELECOM</v>
      </c>
      <c r="K949" s="14">
        <f>IF(IFERROR(_xlfn.XLOOKUP(B949,Planilha2!D:D,Planilha2!H:H),0)="SIM",1,0)</f>
        <v>0</v>
      </c>
      <c r="L949" s="14" t="str">
        <f>_xlfn.XLOOKUP(B949,CAD_PDV!A:A,CAD_PDV!C:C)</f>
        <v>SP2</v>
      </c>
      <c r="M949" s="14" t="str">
        <f>IFERROR(_xlfn.XLOOKUP(B949,repete!A:A,repete!A:A),"-")</f>
        <v>-</v>
      </c>
    </row>
    <row r="950" spans="1:13" hidden="1">
      <c r="A950" s="1">
        <v>46113</v>
      </c>
      <c r="B950" t="s">
        <v>1496</v>
      </c>
      <c r="C950" t="s">
        <v>1464</v>
      </c>
      <c r="D950" t="s">
        <v>132</v>
      </c>
      <c r="E950" t="s">
        <v>54</v>
      </c>
      <c r="F950">
        <v>264</v>
      </c>
      <c r="G950">
        <v>88</v>
      </c>
      <c r="H950">
        <v>3.7225042301184397E-2</v>
      </c>
      <c r="I950">
        <v>0.33333333333333298</v>
      </c>
      <c r="J950" s="14" t="str">
        <f>_xlfn.XLOOKUP(B950,CAD_PDV!A:A,CAD_PDV!B:B)</f>
        <v>FLEX CELL</v>
      </c>
      <c r="K950" s="14">
        <f>IF(IFERROR(_xlfn.XLOOKUP(B950,Planilha2!D:D,Planilha2!H:H),0)="SIM",1,0)</f>
        <v>0</v>
      </c>
      <c r="L950" s="14" t="str">
        <f>_xlfn.XLOOKUP(B950,CAD_PDV!A:A,CAD_PDV!C:C)</f>
        <v>SP2</v>
      </c>
      <c r="M950" s="14" t="str">
        <f>IFERROR(_xlfn.XLOOKUP(B950,repete!A:A,repete!A:A),"-")</f>
        <v>-</v>
      </c>
    </row>
    <row r="951" spans="1:13" hidden="1">
      <c r="A951" s="1">
        <v>46113</v>
      </c>
      <c r="B951" t="s">
        <v>899</v>
      </c>
      <c r="C951" t="s">
        <v>873</v>
      </c>
      <c r="D951" t="s">
        <v>224</v>
      </c>
      <c r="E951" t="s">
        <v>59</v>
      </c>
      <c r="F951">
        <v>247</v>
      </c>
      <c r="G951">
        <v>56</v>
      </c>
      <c r="H951">
        <v>2.3688663282571899E-2</v>
      </c>
      <c r="I951">
        <v>0.22672064777327899</v>
      </c>
      <c r="J951" s="14" t="str">
        <f>_xlfn.XLOOKUP(B951,CAD_PDV!A:A,CAD_PDV!B:B)</f>
        <v>CELNET COMERCIO E SERVICOS DE TELEFONIA LTDA ME</v>
      </c>
      <c r="K951" s="14">
        <f>IF(IFERROR(_xlfn.XLOOKUP(B951,Planilha2!D:D,Planilha2!H:H),0)="SIM",1,0)</f>
        <v>0</v>
      </c>
      <c r="L951" s="14" t="str">
        <f>_xlfn.XLOOKUP(B951,CAD_PDV!A:A,CAD_PDV!C:C)</f>
        <v>CO</v>
      </c>
      <c r="M951" s="14" t="str">
        <f>IFERROR(_xlfn.XLOOKUP(B951,repete!A:A,repete!A:A),"-")</f>
        <v>-</v>
      </c>
    </row>
    <row r="952" spans="1:13" hidden="1">
      <c r="A952" s="1">
        <v>46113</v>
      </c>
      <c r="B952" t="s">
        <v>1672</v>
      </c>
      <c r="C952" t="s">
        <v>1668</v>
      </c>
      <c r="D952" t="s">
        <v>232</v>
      </c>
      <c r="E952" t="s">
        <v>54</v>
      </c>
      <c r="F952">
        <v>182</v>
      </c>
      <c r="G952">
        <v>42</v>
      </c>
      <c r="H952">
        <v>1.7766497461928901E-2</v>
      </c>
      <c r="I952">
        <v>0.230769230769231</v>
      </c>
      <c r="J952" s="14" t="str">
        <f>_xlfn.XLOOKUP(B952,CAD_PDV!A:A,CAD_PDV!B:B)</f>
        <v>HS TELECOM</v>
      </c>
      <c r="K952" s="14">
        <f>IF(IFERROR(_xlfn.XLOOKUP(B952,Planilha2!D:D,Planilha2!H:H),0)="SIM",1,0)</f>
        <v>0</v>
      </c>
      <c r="L952" s="14" t="str">
        <f>_xlfn.XLOOKUP(B952,CAD_PDV!A:A,CAD_PDV!C:C)</f>
        <v>SP2</v>
      </c>
      <c r="M952" s="14" t="str">
        <f>IFERROR(_xlfn.XLOOKUP(B952,repete!A:A,repete!A:A),"-")</f>
        <v>-</v>
      </c>
    </row>
    <row r="953" spans="1:13" hidden="1">
      <c r="A953" s="1">
        <v>46113</v>
      </c>
      <c r="B953" t="s">
        <v>1675</v>
      </c>
      <c r="C953" t="s">
        <v>1676</v>
      </c>
      <c r="D953" t="s">
        <v>232</v>
      </c>
      <c r="E953" t="s">
        <v>54</v>
      </c>
      <c r="F953">
        <v>161</v>
      </c>
      <c r="G953">
        <v>41</v>
      </c>
      <c r="H953">
        <v>1.7343485617597298E-2</v>
      </c>
      <c r="I953">
        <v>0.25465838509316802</v>
      </c>
      <c r="J953" s="14" t="str">
        <f>_xlfn.XLOOKUP(B953,CAD_PDV!A:A,CAD_PDV!B:B)</f>
        <v>HS TELECOM</v>
      </c>
      <c r="K953" s="14">
        <f>IF(IFERROR(_xlfn.XLOOKUP(B953,Planilha2!D:D,Planilha2!H:H),0)="SIM",1,0)</f>
        <v>0</v>
      </c>
      <c r="L953" s="14" t="str">
        <f>_xlfn.XLOOKUP(B953,CAD_PDV!A:A,CAD_PDV!C:C)</f>
        <v>SP2</v>
      </c>
      <c r="M953" s="14" t="str">
        <f>IFERROR(_xlfn.XLOOKUP(B953,repete!A:A,repete!A:A),"-")</f>
        <v>-</v>
      </c>
    </row>
    <row r="954" spans="1:13" hidden="1">
      <c r="A954" s="1">
        <v>46113</v>
      </c>
      <c r="B954" t="s">
        <v>888</v>
      </c>
      <c r="C954" t="s">
        <v>873</v>
      </c>
      <c r="D954" t="s">
        <v>224</v>
      </c>
      <c r="E954" t="s">
        <v>59</v>
      </c>
      <c r="F954">
        <v>139</v>
      </c>
      <c r="G954">
        <v>32</v>
      </c>
      <c r="H954">
        <v>1.35363790186125E-2</v>
      </c>
      <c r="I954">
        <v>0.23021582733813001</v>
      </c>
      <c r="J954" s="14" t="str">
        <f>_xlfn.XLOOKUP(B954,CAD_PDV!A:A,CAD_PDV!B:B)</f>
        <v>CELNET COMERCIO E SERVICOS DE TELEFONIA LTDA ME</v>
      </c>
      <c r="K954" s="14">
        <f>IF(IFERROR(_xlfn.XLOOKUP(B954,Planilha2!D:D,Planilha2!H:H),0)="SIM",1,0)</f>
        <v>0</v>
      </c>
      <c r="L954" s="14" t="str">
        <f>_xlfn.XLOOKUP(B954,CAD_PDV!A:A,CAD_PDV!C:C)</f>
        <v>CO</v>
      </c>
      <c r="M954" s="14" t="str">
        <f>IFERROR(_xlfn.XLOOKUP(B954,repete!A:A,repete!A:A),"-")</f>
        <v>-</v>
      </c>
    </row>
    <row r="955" spans="1:13" hidden="1">
      <c r="A955" s="1">
        <v>46113</v>
      </c>
      <c r="B955" t="s">
        <v>1611</v>
      </c>
      <c r="C955" t="s">
        <v>1527</v>
      </c>
      <c r="D955" t="s">
        <v>232</v>
      </c>
      <c r="E955" t="s">
        <v>54</v>
      </c>
      <c r="F955">
        <v>210</v>
      </c>
      <c r="G955">
        <v>32</v>
      </c>
      <c r="H955">
        <v>1.35363790186125E-2</v>
      </c>
      <c r="I955">
        <v>0.15238095238095201</v>
      </c>
      <c r="J955" s="14" t="str">
        <f>_xlfn.XLOOKUP(B955,CAD_PDV!A:A,CAD_PDV!B:B)</f>
        <v>HS TELECOM</v>
      </c>
      <c r="K955" s="14">
        <f>IF(IFERROR(_xlfn.XLOOKUP(B955,Planilha2!D:D,Planilha2!H:H),0)="SIM",1,0)</f>
        <v>0</v>
      </c>
      <c r="L955" s="14" t="str">
        <f>_xlfn.XLOOKUP(B955,CAD_PDV!A:A,CAD_PDV!C:C)</f>
        <v>SP2</v>
      </c>
      <c r="M955" s="14" t="str">
        <f>IFERROR(_xlfn.XLOOKUP(B955,repete!A:A,repete!A:A),"-")</f>
        <v>-</v>
      </c>
    </row>
    <row r="956" spans="1:13" hidden="1">
      <c r="A956" s="1">
        <v>46113</v>
      </c>
      <c r="B956" t="s">
        <v>1139</v>
      </c>
      <c r="C956" t="s">
        <v>1142</v>
      </c>
      <c r="D956" t="s">
        <v>228</v>
      </c>
      <c r="E956" t="s">
        <v>55</v>
      </c>
      <c r="F956">
        <v>137</v>
      </c>
      <c r="G956">
        <v>31</v>
      </c>
      <c r="H956">
        <v>1.31133671742809E-2</v>
      </c>
      <c r="I956">
        <v>0.226277372262774</v>
      </c>
      <c r="J956" s="14" t="str">
        <f>_xlfn.XLOOKUP(B956,CAD_PDV!A:A,CAD_PDV!B:B)</f>
        <v>FAJULUTI</v>
      </c>
      <c r="K956" s="14">
        <f>IF(IFERROR(_xlfn.XLOOKUP(B956,Planilha2!D:D,Planilha2!H:H),0)="SIM",1,0)</f>
        <v>0</v>
      </c>
      <c r="L956" s="14" t="str">
        <f>_xlfn.XLOOKUP(B956,CAD_PDV!A:A,CAD_PDV!C:C)</f>
        <v>RJ/ES</v>
      </c>
      <c r="M956" s="14" t="str">
        <f>IFERROR(_xlfn.XLOOKUP(B956,repete!A:A,repete!A:A),"-")</f>
        <v>-</v>
      </c>
    </row>
    <row r="957" spans="1:13" hidden="1">
      <c r="A957" s="1">
        <v>46113</v>
      </c>
      <c r="B957" t="s">
        <v>548</v>
      </c>
      <c r="C957" t="s">
        <v>475</v>
      </c>
      <c r="D957" t="s">
        <v>228</v>
      </c>
      <c r="E957" t="s">
        <v>56</v>
      </c>
      <c r="F957">
        <v>115</v>
      </c>
      <c r="G957">
        <v>30</v>
      </c>
      <c r="H957">
        <v>1.26903553299492E-2</v>
      </c>
      <c r="I957">
        <v>0.26086956521739102</v>
      </c>
      <c r="J957" s="14" t="str">
        <f>_xlfn.XLOOKUP(B957,CAD_PDV!A:A,CAD_PDV!B:B)</f>
        <v>FAJULUTI</v>
      </c>
      <c r="K957" s="14">
        <f>IF(IFERROR(_xlfn.XLOOKUP(B957,Planilha2!D:D,Planilha2!H:H),0)="SIM",1,0)</f>
        <v>0</v>
      </c>
      <c r="L957" s="14" t="str">
        <f>_xlfn.XLOOKUP(B957,CAD_PDV!A:A,CAD_PDV!C:C)</f>
        <v>MG</v>
      </c>
      <c r="M957" s="14" t="str">
        <f>IFERROR(_xlfn.XLOOKUP(B957,repete!A:A,repete!A:A),"-")</f>
        <v>-</v>
      </c>
    </row>
    <row r="958" spans="1:13" hidden="1">
      <c r="A958" s="1">
        <v>46113</v>
      </c>
      <c r="B958" t="s">
        <v>886</v>
      </c>
      <c r="C958" t="s">
        <v>873</v>
      </c>
      <c r="D958" t="s">
        <v>224</v>
      </c>
      <c r="E958" t="s">
        <v>59</v>
      </c>
      <c r="F958">
        <v>218</v>
      </c>
      <c r="G958">
        <v>29</v>
      </c>
      <c r="H958">
        <v>1.22673434856176E-2</v>
      </c>
      <c r="I958">
        <v>0.13302752293577999</v>
      </c>
      <c r="J958" s="14" t="str">
        <f>_xlfn.XLOOKUP(B958,CAD_PDV!A:A,CAD_PDV!B:B)</f>
        <v>CELNET COMERCIO E SERVICOS DE TELEFONIA LTDA ME</v>
      </c>
      <c r="K958" s="14">
        <f>IF(IFERROR(_xlfn.XLOOKUP(B958,Planilha2!D:D,Planilha2!H:H),0)="SIM",1,0)</f>
        <v>0</v>
      </c>
      <c r="L958" s="14" t="str">
        <f>_xlfn.XLOOKUP(B958,CAD_PDV!A:A,CAD_PDV!C:C)</f>
        <v>CO</v>
      </c>
      <c r="M958" s="14" t="str">
        <f>IFERROR(_xlfn.XLOOKUP(B958,repete!A:A,repete!A:A),"-")</f>
        <v>-</v>
      </c>
    </row>
    <row r="959" spans="1:13" hidden="1">
      <c r="A959" s="1">
        <v>46113</v>
      </c>
      <c r="B959" t="s">
        <v>897</v>
      </c>
      <c r="C959" t="s">
        <v>873</v>
      </c>
      <c r="D959" t="s">
        <v>224</v>
      </c>
      <c r="E959" t="s">
        <v>59</v>
      </c>
      <c r="F959">
        <v>97</v>
      </c>
      <c r="G959">
        <v>28</v>
      </c>
      <c r="H959">
        <v>1.1844331641286E-2</v>
      </c>
      <c r="I959">
        <v>0.28865979381443302</v>
      </c>
      <c r="J959" s="14" t="str">
        <f>_xlfn.XLOOKUP(B959,CAD_PDV!A:A,CAD_PDV!B:B)</f>
        <v>CELNET COMERCIO E SERVICOS DE TELEFONIA LTDA ME</v>
      </c>
      <c r="K959" s="14">
        <f>IF(IFERROR(_xlfn.XLOOKUP(B959,Planilha2!D:D,Planilha2!H:H),0)="SIM",1,0)</f>
        <v>0</v>
      </c>
      <c r="L959" s="14" t="str">
        <f>_xlfn.XLOOKUP(B959,CAD_PDV!A:A,CAD_PDV!C:C)</f>
        <v>CO</v>
      </c>
      <c r="M959" s="14" t="str">
        <f>IFERROR(_xlfn.XLOOKUP(B959,repete!A:A,repete!A:A),"-")</f>
        <v>-</v>
      </c>
    </row>
    <row r="960" spans="1:13" hidden="1">
      <c r="A960" s="1">
        <v>46113</v>
      </c>
      <c r="B960" t="s">
        <v>1571</v>
      </c>
      <c r="C960" t="s">
        <v>1535</v>
      </c>
      <c r="D960" t="s">
        <v>232</v>
      </c>
      <c r="E960" t="s">
        <v>54</v>
      </c>
      <c r="F960">
        <v>128</v>
      </c>
      <c r="G960">
        <v>27</v>
      </c>
      <c r="H960">
        <v>1.14213197969543E-2</v>
      </c>
      <c r="I960">
        <v>0.2109375</v>
      </c>
      <c r="J960" s="14" t="str">
        <f>_xlfn.XLOOKUP(B960,CAD_PDV!A:A,CAD_PDV!B:B)</f>
        <v>HS TELECOM</v>
      </c>
      <c r="K960" s="14">
        <f>IF(IFERROR(_xlfn.XLOOKUP(B960,Planilha2!D:D,Planilha2!H:H),0)="SIM",1,0)</f>
        <v>0</v>
      </c>
      <c r="L960" s="14" t="str">
        <f>_xlfn.XLOOKUP(B960,CAD_PDV!A:A,CAD_PDV!C:C)</f>
        <v>SP2</v>
      </c>
      <c r="M960" s="14" t="str">
        <f>IFERROR(_xlfn.XLOOKUP(B960,repete!A:A,repete!A:A),"-")</f>
        <v>-</v>
      </c>
    </row>
    <row r="961" spans="1:13" hidden="1">
      <c r="A961" s="1">
        <v>46113</v>
      </c>
      <c r="B961" t="s">
        <v>747</v>
      </c>
      <c r="C961" t="s">
        <v>610</v>
      </c>
      <c r="D961" t="s">
        <v>224</v>
      </c>
      <c r="E961" t="s">
        <v>59</v>
      </c>
      <c r="F961">
        <v>110</v>
      </c>
      <c r="G961">
        <v>27</v>
      </c>
      <c r="H961">
        <v>1.14213197969543E-2</v>
      </c>
      <c r="I961">
        <v>0.24545454545454501</v>
      </c>
      <c r="J961" s="14" t="str">
        <f>_xlfn.XLOOKUP(B961,CAD_PDV!A:A,CAD_PDV!B:B)</f>
        <v>CELNET COMERCIO E SERVICOS DE TELEFONIA LTDA ME</v>
      </c>
      <c r="K961" s="14">
        <f>IF(IFERROR(_xlfn.XLOOKUP(B961,Planilha2!D:D,Planilha2!H:H),0)="SIM",1,0)</f>
        <v>0</v>
      </c>
      <c r="L961" s="14" t="str">
        <f>_xlfn.XLOOKUP(B961,CAD_PDV!A:A,CAD_PDV!C:C)</f>
        <v>CO</v>
      </c>
      <c r="M961" s="14" t="str">
        <f>IFERROR(_xlfn.XLOOKUP(B961,repete!A:A,repete!A:A),"-")</f>
        <v>-</v>
      </c>
    </row>
    <row r="962" spans="1:13" hidden="1">
      <c r="A962" s="1">
        <v>46113</v>
      </c>
      <c r="B962" t="s">
        <v>1689</v>
      </c>
      <c r="C962" t="s">
        <v>1527</v>
      </c>
      <c r="D962" t="s">
        <v>232</v>
      </c>
      <c r="E962" t="s">
        <v>54</v>
      </c>
      <c r="F962">
        <v>120</v>
      </c>
      <c r="G962">
        <v>27</v>
      </c>
      <c r="H962">
        <v>1.14213197969543E-2</v>
      </c>
      <c r="I962">
        <v>0.22500000000000001</v>
      </c>
      <c r="J962" s="14" t="str">
        <f>_xlfn.XLOOKUP(B962,CAD_PDV!A:A,CAD_PDV!B:B)</f>
        <v>HS TELECOM</v>
      </c>
      <c r="K962" s="14">
        <f>IF(IFERROR(_xlfn.XLOOKUP(B962,Planilha2!D:D,Planilha2!H:H),0)="SIM",1,0)</f>
        <v>0</v>
      </c>
      <c r="L962" s="14" t="str">
        <f>_xlfn.XLOOKUP(B962,CAD_PDV!A:A,CAD_PDV!C:C)</f>
        <v>SP2</v>
      </c>
      <c r="M962" s="14" t="str">
        <f>IFERROR(_xlfn.XLOOKUP(B962,repete!A:A,repete!A:A),"-")</f>
        <v>-</v>
      </c>
    </row>
    <row r="963" spans="1:13" hidden="1">
      <c r="A963" s="1">
        <v>46113</v>
      </c>
      <c r="B963" t="s">
        <v>1372</v>
      </c>
      <c r="C963" t="s">
        <v>1313</v>
      </c>
      <c r="D963" t="s">
        <v>132</v>
      </c>
      <c r="E963" t="s">
        <v>53</v>
      </c>
      <c r="F963">
        <v>162</v>
      </c>
      <c r="G963">
        <v>26</v>
      </c>
      <c r="H963">
        <v>1.09983079526227E-2</v>
      </c>
      <c r="I963">
        <v>0.16049382716049401</v>
      </c>
      <c r="J963" s="14" t="str">
        <f>_xlfn.XLOOKUP(B963,CAD_PDV!A:A,CAD_PDV!B:B)</f>
        <v>FLEX CELL</v>
      </c>
      <c r="K963" s="14">
        <f>IF(IFERROR(_xlfn.XLOOKUP(B963,Planilha2!D:D,Planilha2!H:H),0)="SIM",1,0)</f>
        <v>0</v>
      </c>
      <c r="L963" s="14" t="str">
        <f>_xlfn.XLOOKUP(B963,CAD_PDV!A:A,CAD_PDV!C:C)</f>
        <v>SP1</v>
      </c>
      <c r="M963" s="14" t="str">
        <f>IFERROR(_xlfn.XLOOKUP(B963,repete!A:A,repete!A:A),"-")</f>
        <v>-</v>
      </c>
    </row>
    <row r="964" spans="1:13" hidden="1">
      <c r="A964" s="1">
        <v>46113</v>
      </c>
      <c r="B964" t="s">
        <v>1217</v>
      </c>
      <c r="C964" t="s">
        <v>1152</v>
      </c>
      <c r="D964" t="s">
        <v>228</v>
      </c>
      <c r="E964" t="s">
        <v>55</v>
      </c>
      <c r="F964">
        <v>90</v>
      </c>
      <c r="G964">
        <v>24</v>
      </c>
      <c r="H964">
        <v>1.01522842639594E-2</v>
      </c>
      <c r="I964">
        <v>0.266666666666667</v>
      </c>
      <c r="J964" s="14" t="str">
        <f>_xlfn.XLOOKUP(B964,CAD_PDV!A:A,CAD_PDV!B:B)</f>
        <v>FAJULUTI</v>
      </c>
      <c r="K964" s="14">
        <f>IF(IFERROR(_xlfn.XLOOKUP(B964,Planilha2!D:D,Planilha2!H:H),0)="SIM",1,0)</f>
        <v>0</v>
      </c>
      <c r="L964" s="14" t="str">
        <f>_xlfn.XLOOKUP(B964,CAD_PDV!A:A,CAD_PDV!C:C)</f>
        <v>RJ/ES</v>
      </c>
      <c r="M964" s="14" t="str">
        <f>IFERROR(_xlfn.XLOOKUP(B964,repete!A:A,repete!A:A),"-")</f>
        <v>-</v>
      </c>
    </row>
    <row r="965" spans="1:13" hidden="1">
      <c r="A965" s="1">
        <v>46113</v>
      </c>
      <c r="B965" t="s">
        <v>1548</v>
      </c>
      <c r="C965" t="s">
        <v>1545</v>
      </c>
      <c r="D965" t="s">
        <v>232</v>
      </c>
      <c r="E965" t="s">
        <v>54</v>
      </c>
      <c r="F965">
        <v>70</v>
      </c>
      <c r="G965">
        <v>24</v>
      </c>
      <c r="H965">
        <v>1.01522842639594E-2</v>
      </c>
      <c r="I965">
        <v>0.34285714285714303</v>
      </c>
      <c r="J965" s="14" t="str">
        <f>_xlfn.XLOOKUP(B965,CAD_PDV!A:A,CAD_PDV!B:B)</f>
        <v>HS TELECOM</v>
      </c>
      <c r="K965" s="14">
        <f>IF(IFERROR(_xlfn.XLOOKUP(B965,Planilha2!D:D,Planilha2!H:H),0)="SIM",1,0)</f>
        <v>0</v>
      </c>
      <c r="L965" s="14" t="str">
        <f>_xlfn.XLOOKUP(B965,CAD_PDV!A:A,CAD_PDV!C:C)</f>
        <v>SP2</v>
      </c>
      <c r="M965" s="14" t="str">
        <f>IFERROR(_xlfn.XLOOKUP(B965,repete!A:A,repete!A:A),"-")</f>
        <v>-</v>
      </c>
    </row>
    <row r="966" spans="1:13" hidden="1">
      <c r="A966" s="1">
        <v>46113</v>
      </c>
      <c r="B966" t="s">
        <v>1504</v>
      </c>
      <c r="C966" t="s">
        <v>1505</v>
      </c>
      <c r="D966" t="s">
        <v>132</v>
      </c>
      <c r="E966" t="s">
        <v>54</v>
      </c>
      <c r="F966">
        <v>135</v>
      </c>
      <c r="G966">
        <v>23</v>
      </c>
      <c r="H966">
        <v>9.7292724196277498E-3</v>
      </c>
      <c r="I966">
        <v>0.17037037037037001</v>
      </c>
      <c r="J966" s="14" t="str">
        <f>_xlfn.XLOOKUP(B966,CAD_PDV!A:A,CAD_PDV!B:B)</f>
        <v>FLEX CELL</v>
      </c>
      <c r="K966" s="14">
        <f>IF(IFERROR(_xlfn.XLOOKUP(B966,Planilha2!D:D,Planilha2!H:H),0)="SIM",1,0)</f>
        <v>0</v>
      </c>
      <c r="L966" s="14" t="str">
        <f>_xlfn.XLOOKUP(B966,CAD_PDV!A:A,CAD_PDV!C:C)</f>
        <v>SP2</v>
      </c>
      <c r="M966" s="14" t="str">
        <f>IFERROR(_xlfn.XLOOKUP(B966,repete!A:A,repete!A:A),"-")</f>
        <v>-</v>
      </c>
    </row>
    <row r="967" spans="1:13" hidden="1">
      <c r="A967" s="1">
        <v>46113</v>
      </c>
      <c r="B967" t="s">
        <v>552</v>
      </c>
      <c r="C967" t="s">
        <v>483</v>
      </c>
      <c r="D967" t="s">
        <v>228</v>
      </c>
      <c r="E967" t="s">
        <v>56</v>
      </c>
      <c r="F967">
        <v>80</v>
      </c>
      <c r="G967">
        <v>23</v>
      </c>
      <c r="H967">
        <v>9.7292724196277498E-3</v>
      </c>
      <c r="I967">
        <v>0.28749999999999998</v>
      </c>
      <c r="J967" s="14" t="str">
        <f>_xlfn.XLOOKUP(B967,CAD_PDV!A:A,CAD_PDV!B:B)</f>
        <v>FAJULUTI</v>
      </c>
      <c r="K967" s="14">
        <f>IF(IFERROR(_xlfn.XLOOKUP(B967,Planilha2!D:D,Planilha2!H:H),0)="SIM",1,0)</f>
        <v>0</v>
      </c>
      <c r="L967" s="14" t="str">
        <f>_xlfn.XLOOKUP(B967,CAD_PDV!A:A,CAD_PDV!C:C)</f>
        <v>MG</v>
      </c>
      <c r="M967" s="14" t="str">
        <f>IFERROR(_xlfn.XLOOKUP(B967,repete!A:A,repete!A:A),"-")</f>
        <v>-</v>
      </c>
    </row>
    <row r="968" spans="1:13" hidden="1">
      <c r="A968" s="1">
        <v>46113</v>
      </c>
      <c r="B968" t="s">
        <v>831</v>
      </c>
      <c r="C968" t="s">
        <v>820</v>
      </c>
      <c r="D968" t="s">
        <v>239</v>
      </c>
      <c r="E968" t="s">
        <v>59</v>
      </c>
      <c r="F968">
        <v>82</v>
      </c>
      <c r="G968">
        <v>22</v>
      </c>
      <c r="H968">
        <v>9.3062605752961096E-3</v>
      </c>
      <c r="I968">
        <v>0.26829268292682901</v>
      </c>
      <c r="J968" s="14" t="str">
        <f>_xlfn.XLOOKUP(B968,CAD_PDV!A:A,CAD_PDV!B:B)</f>
        <v>TELECELL TELEFONIA LTDA - ME</v>
      </c>
      <c r="K968" s="14">
        <f>IF(IFERROR(_xlfn.XLOOKUP(B968,Planilha2!D:D,Planilha2!H:H),0)="SIM",1,0)</f>
        <v>0</v>
      </c>
      <c r="L968" s="14" t="str">
        <f>_xlfn.XLOOKUP(B968,CAD_PDV!A:A,CAD_PDV!C:C)</f>
        <v>CO</v>
      </c>
      <c r="M968" s="14" t="str">
        <f>IFERROR(_xlfn.XLOOKUP(B968,repete!A:A,repete!A:A),"-")</f>
        <v>-</v>
      </c>
    </row>
    <row r="969" spans="1:13" hidden="1">
      <c r="A969" s="1">
        <v>46113</v>
      </c>
      <c r="B969" t="s">
        <v>1756</v>
      </c>
      <c r="C969" t="s">
        <v>1757</v>
      </c>
      <c r="D969" t="s">
        <v>124</v>
      </c>
      <c r="E969" t="s">
        <v>2074</v>
      </c>
      <c r="F969">
        <v>155</v>
      </c>
      <c r="G969">
        <v>22</v>
      </c>
      <c r="H969">
        <v>9.3062605752961096E-3</v>
      </c>
      <c r="I969">
        <v>0.14193548387096799</v>
      </c>
      <c r="J969" s="14" t="str">
        <f>_xlfn.XLOOKUP(B969,CAD_PDV!A:A,CAD_PDV!B:B)</f>
        <v>EDUARDO JUNQUEIRA DA SILVEIRA ADMIN</v>
      </c>
      <c r="K969" s="14">
        <f>IF(IFERROR(_xlfn.XLOOKUP(B969,Planilha2!D:D,Planilha2!H:H),0)="SIM",1,0)</f>
        <v>0</v>
      </c>
      <c r="L969" s="14" t="str">
        <f>_xlfn.XLOOKUP(B969,CAD_PDV!A:A,CAD_PDV!C:C)</f>
        <v>RS</v>
      </c>
      <c r="M969" s="14" t="str">
        <f>IFERROR(_xlfn.XLOOKUP(B969,repete!A:A,repete!A:A),"-")</f>
        <v>-</v>
      </c>
    </row>
    <row r="970" spans="1:13" hidden="1">
      <c r="A970" s="1">
        <v>46113</v>
      </c>
      <c r="B970" t="s">
        <v>1660</v>
      </c>
      <c r="C970" t="s">
        <v>1661</v>
      </c>
      <c r="D970" t="s">
        <v>232</v>
      </c>
      <c r="E970" t="s">
        <v>54</v>
      </c>
      <c r="F970">
        <v>92</v>
      </c>
      <c r="G970">
        <v>22</v>
      </c>
      <c r="H970">
        <v>9.3062605752961096E-3</v>
      </c>
      <c r="I970">
        <v>0.23913043478260901</v>
      </c>
      <c r="J970" s="14" t="str">
        <f>_xlfn.XLOOKUP(B970,CAD_PDV!A:A,CAD_PDV!B:B)</f>
        <v>HS TELECOM</v>
      </c>
      <c r="K970" s="14">
        <f>IF(IFERROR(_xlfn.XLOOKUP(B970,Planilha2!D:D,Planilha2!H:H),0)="SIM",1,0)</f>
        <v>0</v>
      </c>
      <c r="L970" s="14" t="str">
        <f>_xlfn.XLOOKUP(B970,CAD_PDV!A:A,CAD_PDV!C:C)</f>
        <v>SP2</v>
      </c>
      <c r="M970" s="14" t="str">
        <f>IFERROR(_xlfn.XLOOKUP(B970,repete!A:A,repete!A:A),"-")</f>
        <v>-</v>
      </c>
    </row>
    <row r="971" spans="1:13" hidden="1">
      <c r="A971" s="1">
        <v>46113</v>
      </c>
      <c r="B971" t="s">
        <v>1246</v>
      </c>
      <c r="C971" t="s">
        <v>1142</v>
      </c>
      <c r="D971" t="s">
        <v>228</v>
      </c>
      <c r="E971" t="s">
        <v>55</v>
      </c>
      <c r="F971">
        <v>155</v>
      </c>
      <c r="G971">
        <v>21</v>
      </c>
      <c r="H971">
        <v>8.8832487309644693E-3</v>
      </c>
      <c r="I971">
        <v>0.135483870967742</v>
      </c>
      <c r="J971" s="14" t="str">
        <f>_xlfn.XLOOKUP(B971,CAD_PDV!A:A,CAD_PDV!B:B)</f>
        <v>FAJULUTI</v>
      </c>
      <c r="K971" s="14">
        <f>IF(IFERROR(_xlfn.XLOOKUP(B971,Planilha2!D:D,Planilha2!H:H),0)="SIM",1,0)</f>
        <v>0</v>
      </c>
      <c r="L971" s="14" t="str">
        <f>_xlfn.XLOOKUP(B971,CAD_PDV!A:A,CAD_PDV!C:C)</f>
        <v>RJ/ES</v>
      </c>
      <c r="M971" s="14" t="str">
        <f>IFERROR(_xlfn.XLOOKUP(B971,repete!A:A,repete!A:A),"-")</f>
        <v>-</v>
      </c>
    </row>
    <row r="972" spans="1:13" hidden="1">
      <c r="A972" s="1">
        <v>46113</v>
      </c>
      <c r="B972" t="s">
        <v>1602</v>
      </c>
      <c r="C972" t="s">
        <v>1489</v>
      </c>
      <c r="D972" t="s">
        <v>232</v>
      </c>
      <c r="E972" t="s">
        <v>54</v>
      </c>
      <c r="F972">
        <v>65</v>
      </c>
      <c r="G972">
        <v>19</v>
      </c>
      <c r="H972">
        <v>8.0372250423011802E-3</v>
      </c>
      <c r="I972">
        <v>0.29230769230769199</v>
      </c>
      <c r="J972" s="14" t="str">
        <f>_xlfn.XLOOKUP(B972,CAD_PDV!A:A,CAD_PDV!B:B)</f>
        <v>HS TELECOM</v>
      </c>
      <c r="K972" s="14">
        <f>IF(IFERROR(_xlfn.XLOOKUP(B972,Planilha2!D:D,Planilha2!H:H),0)="SIM",1,0)</f>
        <v>0</v>
      </c>
      <c r="L972" s="14" t="str">
        <f>_xlfn.XLOOKUP(B972,CAD_PDV!A:A,CAD_PDV!C:C)</f>
        <v>SP2</v>
      </c>
      <c r="M972" s="14" t="str">
        <f>IFERROR(_xlfn.XLOOKUP(B972,repete!A:A,repete!A:A),"-")</f>
        <v>-</v>
      </c>
    </row>
    <row r="973" spans="1:13" hidden="1">
      <c r="A973" s="1">
        <v>46113</v>
      </c>
      <c r="B973" t="s">
        <v>1662</v>
      </c>
      <c r="C973" t="s">
        <v>1663</v>
      </c>
      <c r="D973" t="s">
        <v>232</v>
      </c>
      <c r="E973" t="s">
        <v>54</v>
      </c>
      <c r="F973">
        <v>85</v>
      </c>
      <c r="G973">
        <v>19</v>
      </c>
      <c r="H973">
        <v>8.0372250423011802E-3</v>
      </c>
      <c r="I973">
        <v>0.223529411764706</v>
      </c>
      <c r="J973" s="14" t="str">
        <f>_xlfn.XLOOKUP(B973,CAD_PDV!A:A,CAD_PDV!B:B)</f>
        <v>HS TELECOM</v>
      </c>
      <c r="K973" s="14">
        <f>IF(IFERROR(_xlfn.XLOOKUP(B973,Planilha2!D:D,Planilha2!H:H),0)="SIM",1,0)</f>
        <v>0</v>
      </c>
      <c r="L973" s="14" t="str">
        <f>_xlfn.XLOOKUP(B973,CAD_PDV!A:A,CAD_PDV!C:C)</f>
        <v>SP2</v>
      </c>
      <c r="M973" s="14" t="str">
        <f>IFERROR(_xlfn.XLOOKUP(B973,repete!A:A,repete!A:A),"-")</f>
        <v>-</v>
      </c>
    </row>
    <row r="974" spans="1:13" hidden="1">
      <c r="A974" s="1">
        <v>46113</v>
      </c>
      <c r="B974" t="s">
        <v>984</v>
      </c>
      <c r="C974" t="s">
        <v>940</v>
      </c>
      <c r="D974" t="s">
        <v>232</v>
      </c>
      <c r="E974" t="s">
        <v>60</v>
      </c>
      <c r="F974">
        <v>43</v>
      </c>
      <c r="G974">
        <v>18</v>
      </c>
      <c r="H974">
        <v>7.61421319796954E-3</v>
      </c>
      <c r="I974">
        <v>0.418604651162791</v>
      </c>
      <c r="J974" s="14" t="str">
        <f>_xlfn.XLOOKUP(B974,CAD_PDV!A:A,CAD_PDV!B:B)</f>
        <v>HS TELECOM</v>
      </c>
      <c r="K974" s="14">
        <f>IF(IFERROR(_xlfn.XLOOKUP(B974,Planilha2!D:D,Planilha2!H:H),0)="SIM",1,0)</f>
        <v>0</v>
      </c>
      <c r="L974" s="14" t="str">
        <f>_xlfn.XLOOKUP(B974,CAD_PDV!A:A,CAD_PDV!C:C)</f>
        <v>BA/SE</v>
      </c>
      <c r="M974" s="14" t="str">
        <f>IFERROR(_xlfn.XLOOKUP(B974,repete!A:A,repete!A:A),"-")</f>
        <v>-</v>
      </c>
    </row>
    <row r="975" spans="1:13" hidden="1">
      <c r="A975" s="1">
        <v>46113</v>
      </c>
      <c r="B975" t="s">
        <v>1348</v>
      </c>
      <c r="C975" t="s">
        <v>1350</v>
      </c>
      <c r="D975" t="s">
        <v>132</v>
      </c>
      <c r="E975" t="s">
        <v>53</v>
      </c>
      <c r="F975">
        <v>118</v>
      </c>
      <c r="G975">
        <v>18</v>
      </c>
      <c r="H975">
        <v>7.61421319796954E-3</v>
      </c>
      <c r="I975">
        <v>0.152542372881356</v>
      </c>
      <c r="J975" s="14" t="str">
        <f>_xlfn.XLOOKUP(B975,CAD_PDV!A:A,CAD_PDV!B:B)</f>
        <v>FLEX CELL</v>
      </c>
      <c r="K975" s="14">
        <f>IF(IFERROR(_xlfn.XLOOKUP(B975,Planilha2!D:D,Planilha2!H:H),0)="SIM",1,0)</f>
        <v>0</v>
      </c>
      <c r="L975" s="14" t="str">
        <f>_xlfn.XLOOKUP(B975,CAD_PDV!A:A,CAD_PDV!C:C)</f>
        <v>SP1</v>
      </c>
      <c r="M975" s="14" t="str">
        <f>IFERROR(_xlfn.XLOOKUP(B975,repete!A:A,repete!A:A),"-")</f>
        <v>-</v>
      </c>
    </row>
    <row r="976" spans="1:13" hidden="1">
      <c r="A976" s="1">
        <v>46113</v>
      </c>
      <c r="B976" t="s">
        <v>1692</v>
      </c>
      <c r="C976" t="s">
        <v>1693</v>
      </c>
      <c r="D976" t="s">
        <v>232</v>
      </c>
      <c r="E976" t="s">
        <v>54</v>
      </c>
      <c r="F976">
        <v>85</v>
      </c>
      <c r="G976">
        <v>18</v>
      </c>
      <c r="H976">
        <v>7.61421319796954E-3</v>
      </c>
      <c r="I976">
        <v>0.21176470588235299</v>
      </c>
      <c r="J976" s="14" t="str">
        <f>_xlfn.XLOOKUP(B976,CAD_PDV!A:A,CAD_PDV!B:B)</f>
        <v>HS TELECOM</v>
      </c>
      <c r="K976" s="14">
        <f>IF(IFERROR(_xlfn.XLOOKUP(B976,Planilha2!D:D,Planilha2!H:H),0)="SIM",1,0)</f>
        <v>0</v>
      </c>
      <c r="L976" s="14" t="str">
        <f>_xlfn.XLOOKUP(B976,CAD_PDV!A:A,CAD_PDV!C:C)</f>
        <v>SP2</v>
      </c>
      <c r="M976" s="14" t="str">
        <f>IFERROR(_xlfn.XLOOKUP(B976,repete!A:A,repete!A:A),"-")</f>
        <v>-</v>
      </c>
    </row>
    <row r="977" spans="1:13" hidden="1">
      <c r="A977" s="1">
        <v>46113</v>
      </c>
      <c r="B977" t="s">
        <v>1487</v>
      </c>
      <c r="C977" t="s">
        <v>1489</v>
      </c>
      <c r="D977" t="s">
        <v>232</v>
      </c>
      <c r="E977" t="s">
        <v>54</v>
      </c>
      <c r="F977">
        <v>62</v>
      </c>
      <c r="G977">
        <v>17</v>
      </c>
      <c r="H977">
        <v>7.1912013536378997E-3</v>
      </c>
      <c r="I977">
        <v>0.27419354838709697</v>
      </c>
      <c r="J977" s="14" t="str">
        <f>_xlfn.XLOOKUP(B977,CAD_PDV!A:A,CAD_PDV!B:B)</f>
        <v>HS TELECOM</v>
      </c>
      <c r="K977" s="14">
        <f>IF(IFERROR(_xlfn.XLOOKUP(B977,Planilha2!D:D,Planilha2!H:H),0)="SIM",1,0)</f>
        <v>0</v>
      </c>
      <c r="L977" s="14" t="str">
        <f>_xlfn.XLOOKUP(B977,CAD_PDV!A:A,CAD_PDV!C:C)</f>
        <v>SP2</v>
      </c>
      <c r="M977" s="14" t="str">
        <f>IFERROR(_xlfn.XLOOKUP(B977,repete!A:A,repete!A:A),"-")</f>
        <v>-</v>
      </c>
    </row>
    <row r="978" spans="1:13" hidden="1">
      <c r="A978" s="1">
        <v>46113</v>
      </c>
      <c r="B978" t="s">
        <v>1560</v>
      </c>
      <c r="C978" t="s">
        <v>1561</v>
      </c>
      <c r="D978" t="s">
        <v>232</v>
      </c>
      <c r="E978" t="s">
        <v>54</v>
      </c>
      <c r="F978">
        <v>63</v>
      </c>
      <c r="G978">
        <v>17</v>
      </c>
      <c r="H978">
        <v>7.1912013536378997E-3</v>
      </c>
      <c r="I978">
        <v>0.26984126984126999</v>
      </c>
      <c r="J978" s="14" t="str">
        <f>_xlfn.XLOOKUP(B978,CAD_PDV!A:A,CAD_PDV!B:B)</f>
        <v>HS TELECOM</v>
      </c>
      <c r="K978" s="14">
        <f>IF(IFERROR(_xlfn.XLOOKUP(B978,Planilha2!D:D,Planilha2!H:H),0)="SIM",1,0)</f>
        <v>0</v>
      </c>
      <c r="L978" s="14" t="str">
        <f>_xlfn.XLOOKUP(B978,CAD_PDV!A:A,CAD_PDV!C:C)</f>
        <v>SP2</v>
      </c>
      <c r="M978" s="14" t="str">
        <f>IFERROR(_xlfn.XLOOKUP(B978,repete!A:A,repete!A:A),"-")</f>
        <v>-</v>
      </c>
    </row>
    <row r="979" spans="1:13" hidden="1">
      <c r="A979" s="1">
        <v>46113</v>
      </c>
      <c r="B979" t="s">
        <v>1334</v>
      </c>
      <c r="C979" t="s">
        <v>1313</v>
      </c>
      <c r="D979" t="s">
        <v>225</v>
      </c>
      <c r="E979" t="s">
        <v>53</v>
      </c>
      <c r="F979">
        <v>69</v>
      </c>
      <c r="G979">
        <v>17</v>
      </c>
      <c r="H979">
        <v>7.1912013536378997E-3</v>
      </c>
      <c r="I979">
        <v>0.24637681159420299</v>
      </c>
      <c r="J979" s="14" t="str">
        <f>_xlfn.XLOOKUP(B979,CAD_PDV!A:A,CAD_PDV!B:B)</f>
        <v>CLARICELL SP1</v>
      </c>
      <c r="K979" s="14">
        <f>IF(IFERROR(_xlfn.XLOOKUP(B979,Planilha2!D:D,Planilha2!H:H),0)="SIM",1,0)</f>
        <v>0</v>
      </c>
      <c r="L979" s="14" t="str">
        <f>_xlfn.XLOOKUP(B979,CAD_PDV!A:A,CAD_PDV!C:C)</f>
        <v>SP1</v>
      </c>
      <c r="M979" s="14" t="str">
        <f>IFERROR(_xlfn.XLOOKUP(B979,repete!A:A,repete!A:A),"-")</f>
        <v>-</v>
      </c>
    </row>
    <row r="980" spans="1:13" hidden="1">
      <c r="A980" s="1">
        <v>46113</v>
      </c>
      <c r="B980" t="s">
        <v>286</v>
      </c>
      <c r="C980" t="s">
        <v>288</v>
      </c>
      <c r="D980" t="s">
        <v>230</v>
      </c>
      <c r="E980" t="s">
        <v>61</v>
      </c>
      <c r="F980">
        <v>98</v>
      </c>
      <c r="G980">
        <v>17</v>
      </c>
      <c r="H980">
        <v>7.1912013536378997E-3</v>
      </c>
      <c r="I980">
        <v>0.17346938775510201</v>
      </c>
      <c r="J980" s="14" t="str">
        <f>_xlfn.XLOOKUP(B980,CAD_PDV!A:A,CAD_PDV!B:B)</f>
        <v>HARCOS COMERCIO E SERVICOS LTDA - EPP</v>
      </c>
      <c r="K980" s="14">
        <f>IF(IFERROR(_xlfn.XLOOKUP(B980,Planilha2!D:D,Planilha2!H:H),0)="SIM",1,0)</f>
        <v>0</v>
      </c>
      <c r="L980" s="14" t="str">
        <f>_xlfn.XLOOKUP(B980,CAD_PDV!A:A,CAD_PDV!C:C)</f>
        <v>NE</v>
      </c>
      <c r="M980" s="14" t="str">
        <f>IFERROR(_xlfn.XLOOKUP(B980,repete!A:A,repete!A:A),"-")</f>
        <v>-</v>
      </c>
    </row>
    <row r="981" spans="1:13" hidden="1">
      <c r="A981" s="1">
        <v>46113</v>
      </c>
      <c r="B981" t="s">
        <v>1149</v>
      </c>
      <c r="C981" t="s">
        <v>1152</v>
      </c>
      <c r="D981" t="s">
        <v>228</v>
      </c>
      <c r="E981" t="s">
        <v>55</v>
      </c>
      <c r="F981">
        <v>66</v>
      </c>
      <c r="G981">
        <v>16</v>
      </c>
      <c r="H981">
        <v>6.7681895093062603E-3</v>
      </c>
      <c r="I981">
        <v>0.24242424242424199</v>
      </c>
      <c r="J981" s="14" t="str">
        <f>_xlfn.XLOOKUP(B981,CAD_PDV!A:A,CAD_PDV!B:B)</f>
        <v>FAJULUTI</v>
      </c>
      <c r="K981" s="14">
        <f>IF(IFERROR(_xlfn.XLOOKUP(B981,Planilha2!D:D,Planilha2!H:H),0)="SIM",1,0)</f>
        <v>0</v>
      </c>
      <c r="L981" s="14" t="str">
        <f>_xlfn.XLOOKUP(B981,CAD_PDV!A:A,CAD_PDV!C:C)</f>
        <v>RJ/ES</v>
      </c>
      <c r="M981" s="14" t="str">
        <f>IFERROR(_xlfn.XLOOKUP(B981,repete!A:A,repete!A:A),"-")</f>
        <v>-</v>
      </c>
    </row>
    <row r="982" spans="1:13" hidden="1">
      <c r="A982" s="1">
        <v>46113</v>
      </c>
      <c r="B982" t="s">
        <v>595</v>
      </c>
      <c r="C982" t="s">
        <v>596</v>
      </c>
      <c r="D982" t="s">
        <v>239</v>
      </c>
      <c r="E982" t="s">
        <v>56</v>
      </c>
      <c r="F982">
        <v>124</v>
      </c>
      <c r="G982">
        <v>16</v>
      </c>
      <c r="H982">
        <v>6.7681895093062603E-3</v>
      </c>
      <c r="I982">
        <v>0.12903225806451599</v>
      </c>
      <c r="J982" s="14" t="str">
        <f>_xlfn.XLOOKUP(B982,CAD_PDV!A:A,CAD_PDV!B:B)</f>
        <v>TELECELL TELEFONIA LTDA - ME</v>
      </c>
      <c r="K982" s="14">
        <f>IF(IFERROR(_xlfn.XLOOKUP(B982,Planilha2!D:D,Planilha2!H:H),0)="SIM",1,0)</f>
        <v>0</v>
      </c>
      <c r="L982" s="14" t="str">
        <f>_xlfn.XLOOKUP(B982,CAD_PDV!A:A,CAD_PDV!C:C)</f>
        <v>MG</v>
      </c>
      <c r="M982" s="14" t="str">
        <f>IFERROR(_xlfn.XLOOKUP(B982,repete!A:A,repete!A:A),"-")</f>
        <v>-</v>
      </c>
    </row>
    <row r="983" spans="1:13" hidden="1">
      <c r="A983" s="1">
        <v>46113</v>
      </c>
      <c r="B983" t="s">
        <v>1674</v>
      </c>
      <c r="C983" t="s">
        <v>1489</v>
      </c>
      <c r="D983" t="s">
        <v>232</v>
      </c>
      <c r="E983" t="s">
        <v>54</v>
      </c>
      <c r="F983">
        <v>48</v>
      </c>
      <c r="G983">
        <v>16</v>
      </c>
      <c r="H983">
        <v>6.7681895093062603E-3</v>
      </c>
      <c r="I983">
        <v>0.33333333333333298</v>
      </c>
      <c r="J983" s="14" t="str">
        <f>_xlfn.XLOOKUP(B983,CAD_PDV!A:A,CAD_PDV!B:B)</f>
        <v>HS TELECOM</v>
      </c>
      <c r="K983" s="14">
        <f>IF(IFERROR(_xlfn.XLOOKUP(B983,Planilha2!D:D,Planilha2!H:H),0)="SIM",1,0)</f>
        <v>0</v>
      </c>
      <c r="L983" s="14" t="str">
        <f>_xlfn.XLOOKUP(B983,CAD_PDV!A:A,CAD_PDV!C:C)</f>
        <v>SP2</v>
      </c>
      <c r="M983" s="14" t="str">
        <f>IFERROR(_xlfn.XLOOKUP(B983,repete!A:A,repete!A:A),"-")</f>
        <v>-</v>
      </c>
    </row>
    <row r="984" spans="1:13" hidden="1">
      <c r="A984" s="1">
        <v>46113</v>
      </c>
      <c r="B984" t="s">
        <v>1171</v>
      </c>
      <c r="C984" t="s">
        <v>1142</v>
      </c>
      <c r="D984" t="s">
        <v>228</v>
      </c>
      <c r="E984" t="s">
        <v>55</v>
      </c>
      <c r="F984">
        <v>62</v>
      </c>
      <c r="G984">
        <v>16</v>
      </c>
      <c r="H984">
        <v>6.7681895093062603E-3</v>
      </c>
      <c r="I984">
        <v>0.25806451612903197</v>
      </c>
      <c r="J984" s="14" t="str">
        <f>_xlfn.XLOOKUP(B984,CAD_PDV!A:A,CAD_PDV!B:B)</f>
        <v>FAJULUTI</v>
      </c>
      <c r="K984" s="14">
        <f>IF(IFERROR(_xlfn.XLOOKUP(B984,Planilha2!D:D,Planilha2!H:H),0)="SIM",1,0)</f>
        <v>0</v>
      </c>
      <c r="L984" s="14" t="str">
        <f>_xlfn.XLOOKUP(B984,CAD_PDV!A:A,CAD_PDV!C:C)</f>
        <v>RJ/ES</v>
      </c>
      <c r="M984" s="14" t="str">
        <f>IFERROR(_xlfn.XLOOKUP(B984,repete!A:A,repete!A:A),"-")</f>
        <v>-</v>
      </c>
    </row>
    <row r="985" spans="1:13" hidden="1">
      <c r="A985" s="1">
        <v>46113</v>
      </c>
      <c r="B985" t="s">
        <v>1680</v>
      </c>
      <c r="C985" t="s">
        <v>1676</v>
      </c>
      <c r="D985" t="s">
        <v>232</v>
      </c>
      <c r="E985" t="s">
        <v>54</v>
      </c>
      <c r="F985">
        <v>147</v>
      </c>
      <c r="G985">
        <v>15</v>
      </c>
      <c r="H985">
        <v>6.3451776649746201E-3</v>
      </c>
      <c r="I985">
        <v>0.102040816326531</v>
      </c>
      <c r="J985" s="14" t="str">
        <f>_xlfn.XLOOKUP(B985,CAD_PDV!A:A,CAD_PDV!B:B)</f>
        <v>HS TELECOM</v>
      </c>
      <c r="K985" s="14">
        <f>IF(IFERROR(_xlfn.XLOOKUP(B985,Planilha2!D:D,Planilha2!H:H),0)="SIM",1,0)</f>
        <v>0</v>
      </c>
      <c r="L985" s="14" t="str">
        <f>_xlfn.XLOOKUP(B985,CAD_PDV!A:A,CAD_PDV!C:C)</f>
        <v>SP2</v>
      </c>
      <c r="M985" s="14" t="str">
        <f>IFERROR(_xlfn.XLOOKUP(B985,repete!A:A,repete!A:A),"-")</f>
        <v>-</v>
      </c>
    </row>
    <row r="986" spans="1:13" hidden="1">
      <c r="A986" s="1">
        <v>46113</v>
      </c>
      <c r="B986" t="s">
        <v>1174</v>
      </c>
      <c r="C986" t="s">
        <v>1142</v>
      </c>
      <c r="D986" t="s">
        <v>2072</v>
      </c>
      <c r="E986" t="s">
        <v>55</v>
      </c>
      <c r="F986">
        <v>176</v>
      </c>
      <c r="G986">
        <v>15</v>
      </c>
      <c r="H986">
        <v>6.3451776649746201E-3</v>
      </c>
      <c r="I986">
        <v>8.5227272727272693E-2</v>
      </c>
      <c r="J986" s="14" t="str">
        <f>_xlfn.XLOOKUP(B986,CAD_PDV!A:A,CAD_PDV!B:B)</f>
        <v>MEXCELL COMERCIO E SERVICOS DE TELECOMUNICACOES LTDA</v>
      </c>
      <c r="K986" s="14">
        <f>IF(IFERROR(_xlfn.XLOOKUP(B986,Planilha2!D:D,Planilha2!H:H),0)="SIM",1,0)</f>
        <v>0</v>
      </c>
      <c r="L986" s="14" t="str">
        <f>_xlfn.XLOOKUP(B986,CAD_PDV!A:A,CAD_PDV!C:C)</f>
        <v>RJ/ES</v>
      </c>
      <c r="M986" s="14" t="str">
        <f>IFERROR(_xlfn.XLOOKUP(B986,repete!A:A,repete!A:A),"-")</f>
        <v>-</v>
      </c>
    </row>
    <row r="987" spans="1:13" hidden="1">
      <c r="A987" s="1">
        <v>46113</v>
      </c>
      <c r="B987" t="s">
        <v>1723</v>
      </c>
      <c r="C987" t="s">
        <v>1451</v>
      </c>
      <c r="D987" t="s">
        <v>232</v>
      </c>
      <c r="E987" t="s">
        <v>54</v>
      </c>
      <c r="F987">
        <v>139</v>
      </c>
      <c r="G987">
        <v>15</v>
      </c>
      <c r="H987">
        <v>6.3451776649746201E-3</v>
      </c>
      <c r="I987">
        <v>0.107913669064748</v>
      </c>
      <c r="J987" s="14" t="str">
        <f>_xlfn.XLOOKUP(B987,CAD_PDV!A:A,CAD_PDV!B:B)</f>
        <v>HS TELECOM</v>
      </c>
      <c r="K987" s="14">
        <f>IF(IFERROR(_xlfn.XLOOKUP(B987,Planilha2!D:D,Planilha2!H:H),0)="SIM",1,0)</f>
        <v>0</v>
      </c>
      <c r="L987" s="14" t="str">
        <f>_xlfn.XLOOKUP(B987,CAD_PDV!A:A,CAD_PDV!C:C)</f>
        <v>SP2</v>
      </c>
      <c r="M987" s="14" t="str">
        <f>IFERROR(_xlfn.XLOOKUP(B987,repete!A:A,repete!A:A),"-")</f>
        <v>-</v>
      </c>
    </row>
    <row r="988" spans="1:13" hidden="1">
      <c r="A988" s="1">
        <v>46113</v>
      </c>
      <c r="B988" t="s">
        <v>1342</v>
      </c>
      <c r="C988" t="s">
        <v>1313</v>
      </c>
      <c r="D988" t="s">
        <v>225</v>
      </c>
      <c r="E988" t="s">
        <v>53</v>
      </c>
      <c r="F988">
        <v>105</v>
      </c>
      <c r="G988">
        <v>15</v>
      </c>
      <c r="H988">
        <v>6.3451776649746201E-3</v>
      </c>
      <c r="I988">
        <v>0.14285714285714299</v>
      </c>
      <c r="J988" s="14" t="str">
        <f>_xlfn.XLOOKUP(B988,CAD_PDV!A:A,CAD_PDV!B:B)</f>
        <v>CLARICELL SP1</v>
      </c>
      <c r="K988" s="14">
        <f>IF(IFERROR(_xlfn.XLOOKUP(B988,Planilha2!D:D,Planilha2!H:H),0)="SIM",1,0)</f>
        <v>0</v>
      </c>
      <c r="L988" s="14" t="str">
        <f>_xlfn.XLOOKUP(B988,CAD_PDV!A:A,CAD_PDV!C:C)</f>
        <v>SP1</v>
      </c>
      <c r="M988" s="14" t="str">
        <f>IFERROR(_xlfn.XLOOKUP(B988,repete!A:A,repete!A:A),"-")</f>
        <v>-</v>
      </c>
    </row>
    <row r="989" spans="1:13" hidden="1">
      <c r="A989" s="1">
        <v>46113</v>
      </c>
      <c r="B989" t="s">
        <v>979</v>
      </c>
      <c r="C989" t="s">
        <v>944</v>
      </c>
      <c r="D989" t="s">
        <v>232</v>
      </c>
      <c r="E989" t="s">
        <v>60</v>
      </c>
      <c r="F989">
        <v>179</v>
      </c>
      <c r="G989">
        <v>14</v>
      </c>
      <c r="H989">
        <v>5.9221658206429799E-3</v>
      </c>
      <c r="I989">
        <v>7.8212290502793297E-2</v>
      </c>
      <c r="J989" s="14" t="str">
        <f>_xlfn.XLOOKUP(B989,CAD_PDV!A:A,CAD_PDV!B:B)</f>
        <v>HS TELECOM</v>
      </c>
      <c r="K989" s="14">
        <f>IF(IFERROR(_xlfn.XLOOKUP(B989,Planilha2!D:D,Planilha2!H:H),0)="SIM",1,0)</f>
        <v>0</v>
      </c>
      <c r="L989" s="14" t="str">
        <f>_xlfn.XLOOKUP(B989,CAD_PDV!A:A,CAD_PDV!C:C)</f>
        <v>BA/SE</v>
      </c>
      <c r="M989" s="14" t="str">
        <f>IFERROR(_xlfn.XLOOKUP(B989,repete!A:A,repete!A:A),"-")</f>
        <v>-</v>
      </c>
    </row>
    <row r="990" spans="1:13" hidden="1">
      <c r="A990" s="1">
        <v>46113</v>
      </c>
      <c r="B990" t="s">
        <v>1286</v>
      </c>
      <c r="C990" t="s">
        <v>1287</v>
      </c>
      <c r="D990" t="s">
        <v>232</v>
      </c>
      <c r="E990" t="s">
        <v>55</v>
      </c>
      <c r="F990">
        <v>351</v>
      </c>
      <c r="G990">
        <v>14</v>
      </c>
      <c r="H990">
        <v>5.9221658206429799E-3</v>
      </c>
      <c r="I990">
        <v>3.9886039886039899E-2</v>
      </c>
      <c r="J990" s="14" t="str">
        <f>_xlfn.XLOOKUP(B990,CAD_PDV!A:A,CAD_PDV!B:B)</f>
        <v>HS TELECOM</v>
      </c>
      <c r="K990" s="14">
        <f>IF(IFERROR(_xlfn.XLOOKUP(B990,Planilha2!D:D,Planilha2!H:H),0)="SIM",1,0)</f>
        <v>0</v>
      </c>
      <c r="L990" s="14" t="str">
        <f>_xlfn.XLOOKUP(B990,CAD_PDV!A:A,CAD_PDV!C:C)</f>
        <v>RJ/ES</v>
      </c>
      <c r="M990" s="14" t="str">
        <f>IFERROR(_xlfn.XLOOKUP(B990,repete!A:A,repete!A:A),"-")</f>
        <v>-</v>
      </c>
    </row>
    <row r="991" spans="1:13" hidden="1">
      <c r="A991" s="1">
        <v>46113</v>
      </c>
      <c r="B991" t="s">
        <v>279</v>
      </c>
      <c r="C991" t="s">
        <v>265</v>
      </c>
      <c r="D991" t="s">
        <v>230</v>
      </c>
      <c r="E991" t="s">
        <v>61</v>
      </c>
      <c r="F991">
        <v>108</v>
      </c>
      <c r="G991">
        <v>14</v>
      </c>
      <c r="H991">
        <v>5.9221658206429799E-3</v>
      </c>
      <c r="I991">
        <v>0.12962962962963001</v>
      </c>
      <c r="J991" s="14" t="str">
        <f>_xlfn.XLOOKUP(B991,CAD_PDV!A:A,CAD_PDV!B:B)</f>
        <v>HARCOS COMERCIO E SERVICOS LTDA - EPP</v>
      </c>
      <c r="K991" s="14">
        <f>IF(IFERROR(_xlfn.XLOOKUP(B991,Planilha2!D:D,Planilha2!H:H),0)="SIM",1,0)</f>
        <v>0</v>
      </c>
      <c r="L991" s="14" t="str">
        <f>_xlfn.XLOOKUP(B991,CAD_PDV!A:A,CAD_PDV!C:C)</f>
        <v>NE</v>
      </c>
      <c r="M991" s="14" t="str">
        <f>IFERROR(_xlfn.XLOOKUP(B991,repete!A:A,repete!A:A),"-")</f>
        <v>-</v>
      </c>
    </row>
    <row r="992" spans="1:13" hidden="1">
      <c r="A992" s="1">
        <v>46113</v>
      </c>
      <c r="B992" t="s">
        <v>1682</v>
      </c>
      <c r="C992" t="s">
        <v>1566</v>
      </c>
      <c r="D992" t="s">
        <v>232</v>
      </c>
      <c r="E992" t="s">
        <v>54</v>
      </c>
      <c r="F992">
        <v>110</v>
      </c>
      <c r="G992">
        <v>14</v>
      </c>
      <c r="H992">
        <v>5.9221658206429799E-3</v>
      </c>
      <c r="I992">
        <v>0.12727272727272701</v>
      </c>
      <c r="J992" s="14" t="str">
        <f>_xlfn.XLOOKUP(B992,CAD_PDV!A:A,CAD_PDV!B:B)</f>
        <v>HS TELECOM</v>
      </c>
      <c r="K992" s="14">
        <f>IF(IFERROR(_xlfn.XLOOKUP(B992,Planilha2!D:D,Planilha2!H:H),0)="SIM",1,0)</f>
        <v>0</v>
      </c>
      <c r="L992" s="14" t="str">
        <f>_xlfn.XLOOKUP(B992,CAD_PDV!A:A,CAD_PDV!C:C)</f>
        <v>SP2</v>
      </c>
      <c r="M992" s="14" t="str">
        <f>IFERROR(_xlfn.XLOOKUP(B992,repete!A:A,repete!A:A),"-")</f>
        <v>-</v>
      </c>
    </row>
    <row r="993" spans="1:13" hidden="1">
      <c r="A993" s="1">
        <v>46113</v>
      </c>
      <c r="B993" t="s">
        <v>1691</v>
      </c>
      <c r="C993" t="s">
        <v>1503</v>
      </c>
      <c r="D993" t="s">
        <v>232</v>
      </c>
      <c r="E993" t="s">
        <v>54</v>
      </c>
      <c r="F993">
        <v>120</v>
      </c>
      <c r="G993">
        <v>14</v>
      </c>
      <c r="H993">
        <v>5.9221658206429799E-3</v>
      </c>
      <c r="I993">
        <v>0.116666666666667</v>
      </c>
      <c r="J993" s="14" t="str">
        <f>_xlfn.XLOOKUP(B993,CAD_PDV!A:A,CAD_PDV!B:B)</f>
        <v>HS TELECOM</v>
      </c>
      <c r="K993" s="14">
        <f>IF(IFERROR(_xlfn.XLOOKUP(B993,Planilha2!D:D,Planilha2!H:H),0)="SIM",1,0)</f>
        <v>0</v>
      </c>
      <c r="L993" s="14" t="str">
        <f>_xlfn.XLOOKUP(B993,CAD_PDV!A:A,CAD_PDV!C:C)</f>
        <v>SP2</v>
      </c>
      <c r="M993" s="14" t="str">
        <f>IFERROR(_xlfn.XLOOKUP(B993,repete!A:A,repete!A:A),"-")</f>
        <v>-</v>
      </c>
    </row>
    <row r="994" spans="1:13" hidden="1">
      <c r="A994" s="1">
        <v>46113</v>
      </c>
      <c r="B994" t="s">
        <v>1353</v>
      </c>
      <c r="C994" t="s">
        <v>1313</v>
      </c>
      <c r="D994" t="s">
        <v>132</v>
      </c>
      <c r="E994" t="s">
        <v>53</v>
      </c>
      <c r="F994">
        <v>120</v>
      </c>
      <c r="G994">
        <v>13</v>
      </c>
      <c r="H994">
        <v>5.4991539763113396E-3</v>
      </c>
      <c r="I994">
        <v>0.108333333333333</v>
      </c>
      <c r="J994" s="14" t="str">
        <f>_xlfn.XLOOKUP(B994,CAD_PDV!A:A,CAD_PDV!B:B)</f>
        <v>FLEX CELL</v>
      </c>
      <c r="K994" s="14">
        <f>IF(IFERROR(_xlfn.XLOOKUP(B994,Planilha2!D:D,Planilha2!H:H),0)="SIM",1,0)</f>
        <v>0</v>
      </c>
      <c r="L994" s="14" t="str">
        <f>_xlfn.XLOOKUP(B994,CAD_PDV!A:A,CAD_PDV!C:C)</f>
        <v>SP1</v>
      </c>
      <c r="M994" s="14" t="str">
        <f>IFERROR(_xlfn.XLOOKUP(B994,repete!A:A,repete!A:A),"-")</f>
        <v>-</v>
      </c>
    </row>
    <row r="995" spans="1:13" hidden="1">
      <c r="A995" s="1">
        <v>46113</v>
      </c>
      <c r="B995" t="s">
        <v>1284</v>
      </c>
      <c r="C995" t="s">
        <v>1283</v>
      </c>
      <c r="D995" t="s">
        <v>228</v>
      </c>
      <c r="E995" t="s">
        <v>55</v>
      </c>
      <c r="F995">
        <v>61</v>
      </c>
      <c r="G995">
        <v>13</v>
      </c>
      <c r="H995">
        <v>5.4991539763113396E-3</v>
      </c>
      <c r="I995">
        <v>0.213114754098361</v>
      </c>
      <c r="J995" s="14" t="str">
        <f>_xlfn.XLOOKUP(B995,CAD_PDV!A:A,CAD_PDV!B:B)</f>
        <v>FAJULUTI</v>
      </c>
      <c r="K995" s="14">
        <f>IF(IFERROR(_xlfn.XLOOKUP(B995,Planilha2!D:D,Planilha2!H:H),0)="SIM",1,0)</f>
        <v>0</v>
      </c>
      <c r="L995" s="14" t="str">
        <f>_xlfn.XLOOKUP(B995,CAD_PDV!A:A,CAD_PDV!C:C)</f>
        <v>RJ/ES</v>
      </c>
      <c r="M995" s="14" t="str">
        <f>IFERROR(_xlfn.XLOOKUP(B995,repete!A:A,repete!A:A),"-")</f>
        <v>-</v>
      </c>
    </row>
    <row r="996" spans="1:13" hidden="1">
      <c r="A996" s="1">
        <v>46113</v>
      </c>
      <c r="B996" t="s">
        <v>872</v>
      </c>
      <c r="C996" t="s">
        <v>873</v>
      </c>
      <c r="D996" t="s">
        <v>239</v>
      </c>
      <c r="E996" t="s">
        <v>59</v>
      </c>
      <c r="F996">
        <v>94</v>
      </c>
      <c r="G996">
        <v>13</v>
      </c>
      <c r="H996">
        <v>5.4991539763113396E-3</v>
      </c>
      <c r="I996">
        <v>0.13829787234042601</v>
      </c>
      <c r="J996" s="14" t="str">
        <f>_xlfn.XLOOKUP(B996,CAD_PDV!A:A,CAD_PDV!B:B)</f>
        <v>TELECELL TELEFONIA LTDA - ME</v>
      </c>
      <c r="K996" s="14">
        <f>IF(IFERROR(_xlfn.XLOOKUP(B996,Planilha2!D:D,Planilha2!H:H),0)="SIM",1,0)</f>
        <v>0</v>
      </c>
      <c r="L996" s="14" t="str">
        <f>_xlfn.XLOOKUP(B996,CAD_PDV!A:A,CAD_PDV!C:C)</f>
        <v>CO</v>
      </c>
      <c r="M996" s="14" t="str">
        <f>IFERROR(_xlfn.XLOOKUP(B996,repete!A:A,repete!A:A),"-")</f>
        <v>-</v>
      </c>
    </row>
    <row r="997" spans="1:13" hidden="1">
      <c r="A997" s="1">
        <v>46113</v>
      </c>
      <c r="B997" t="s">
        <v>1564</v>
      </c>
      <c r="C997" t="s">
        <v>1566</v>
      </c>
      <c r="D997" t="s">
        <v>232</v>
      </c>
      <c r="E997" t="s">
        <v>54</v>
      </c>
      <c r="F997">
        <v>81</v>
      </c>
      <c r="G997">
        <v>13</v>
      </c>
      <c r="H997">
        <v>5.4991539763113396E-3</v>
      </c>
      <c r="I997">
        <v>0.16049382716049401</v>
      </c>
      <c r="J997" s="14" t="str">
        <f>_xlfn.XLOOKUP(B997,CAD_PDV!A:A,CAD_PDV!B:B)</f>
        <v>HS TELECOM</v>
      </c>
      <c r="K997" s="14">
        <f>IF(IFERROR(_xlfn.XLOOKUP(B997,Planilha2!D:D,Planilha2!H:H),0)="SIM",1,0)</f>
        <v>0</v>
      </c>
      <c r="L997" s="14" t="str">
        <f>_xlfn.XLOOKUP(B997,CAD_PDV!A:A,CAD_PDV!C:C)</f>
        <v>SP2</v>
      </c>
      <c r="M997" s="14" t="str">
        <f>IFERROR(_xlfn.XLOOKUP(B997,repete!A:A,repete!A:A),"-")</f>
        <v>-</v>
      </c>
    </row>
    <row r="998" spans="1:13" hidden="1">
      <c r="A998" s="1">
        <v>46113</v>
      </c>
      <c r="B998" t="s">
        <v>1167</v>
      </c>
      <c r="C998" t="s">
        <v>1152</v>
      </c>
      <c r="D998" t="s">
        <v>237</v>
      </c>
      <c r="E998" t="s">
        <v>55</v>
      </c>
      <c r="F998">
        <v>142</v>
      </c>
      <c r="G998">
        <v>13</v>
      </c>
      <c r="H998">
        <v>5.4991539763113396E-3</v>
      </c>
      <c r="I998">
        <v>9.1549295774647904E-2</v>
      </c>
      <c r="J998" s="14" t="str">
        <f>_xlfn.XLOOKUP(B998,CAD_PDV!A:A,CAD_PDV!B:B)</f>
        <v>PONTO CERTO COMERCIO E COMUNICAÇÕES LTDA</v>
      </c>
      <c r="K998" s="14">
        <f>IF(IFERROR(_xlfn.XLOOKUP(B998,Planilha2!D:D,Planilha2!H:H),0)="SIM",1,0)</f>
        <v>0</v>
      </c>
      <c r="L998" s="14" t="str">
        <f>_xlfn.XLOOKUP(B998,CAD_PDV!A:A,CAD_PDV!C:C)</f>
        <v>RJ/ES</v>
      </c>
      <c r="M998" s="14" t="str">
        <f>IFERROR(_xlfn.XLOOKUP(B998,repete!A:A,repete!A:A),"-")</f>
        <v>-</v>
      </c>
    </row>
    <row r="999" spans="1:13" hidden="1">
      <c r="A999" s="1">
        <v>46113</v>
      </c>
      <c r="B999" t="s">
        <v>777</v>
      </c>
      <c r="C999" t="s">
        <v>775</v>
      </c>
      <c r="D999" t="s">
        <v>221</v>
      </c>
      <c r="E999" t="s">
        <v>59</v>
      </c>
      <c r="F999">
        <v>63</v>
      </c>
      <c r="G999">
        <v>13</v>
      </c>
      <c r="H999">
        <v>5.4991539763113396E-3</v>
      </c>
      <c r="I999">
        <v>0.206349206349206</v>
      </c>
      <c r="J999" s="14" t="str">
        <f>_xlfn.XLOOKUP(B999,CAD_PDV!A:A,CAD_PDV!B:B)</f>
        <v>AMERICOM COMERCIO DE APARELHOS ELETRONICOS LTDA - EPP</v>
      </c>
      <c r="K999" s="14">
        <f>IF(IFERROR(_xlfn.XLOOKUP(B999,Planilha2!D:D,Planilha2!H:H),0)="SIM",1,0)</f>
        <v>0</v>
      </c>
      <c r="L999" s="14" t="str">
        <f>_xlfn.XLOOKUP(B999,CAD_PDV!A:A,CAD_PDV!C:C)</f>
        <v>CO</v>
      </c>
      <c r="M999" s="14" t="str">
        <f>IFERROR(_xlfn.XLOOKUP(B999,repete!A:A,repete!A:A),"-")</f>
        <v>-</v>
      </c>
    </row>
    <row r="1000" spans="1:13" hidden="1">
      <c r="A1000" s="1">
        <v>46113</v>
      </c>
      <c r="B1000" t="s">
        <v>1641</v>
      </c>
      <c r="C1000" t="s">
        <v>1616</v>
      </c>
      <c r="D1000" t="s">
        <v>132</v>
      </c>
      <c r="E1000" t="s">
        <v>54</v>
      </c>
      <c r="F1000">
        <v>36</v>
      </c>
      <c r="G1000">
        <v>13</v>
      </c>
      <c r="H1000">
        <v>5.4991539763113396E-3</v>
      </c>
      <c r="I1000">
        <v>0.36111111111111099</v>
      </c>
      <c r="J1000" s="14" t="str">
        <f>_xlfn.XLOOKUP(B1000,CAD_PDV!A:A,CAD_PDV!B:B)</f>
        <v>FLEX CELL</v>
      </c>
      <c r="K1000" s="14">
        <f>IF(IFERROR(_xlfn.XLOOKUP(B1000,Planilha2!D:D,Planilha2!H:H),0)="SIM",1,0)</f>
        <v>0</v>
      </c>
      <c r="L1000" s="14" t="str">
        <f>_xlfn.XLOOKUP(B1000,CAD_PDV!A:A,CAD_PDV!C:C)</f>
        <v>SP2</v>
      </c>
      <c r="M1000" s="14" t="str">
        <f>IFERROR(_xlfn.XLOOKUP(B1000,repete!A:A,repete!A:A),"-")</f>
        <v>-</v>
      </c>
    </row>
    <row r="1001" spans="1:13" hidden="1">
      <c r="A1001" s="1">
        <v>46113</v>
      </c>
      <c r="B1001" t="s">
        <v>896</v>
      </c>
      <c r="C1001" t="s">
        <v>873</v>
      </c>
      <c r="D1001" t="s">
        <v>224</v>
      </c>
      <c r="E1001" t="s">
        <v>59</v>
      </c>
      <c r="F1001">
        <v>93</v>
      </c>
      <c r="G1001">
        <v>13</v>
      </c>
      <c r="H1001">
        <v>5.4991539763113396E-3</v>
      </c>
      <c r="I1001">
        <v>0.13978494623655899</v>
      </c>
      <c r="J1001" s="14" t="str">
        <f>_xlfn.XLOOKUP(B1001,CAD_PDV!A:A,CAD_PDV!B:B)</f>
        <v>CELNET COMERCIO E SERVICOS DE TELEFONIA LTDA ME</v>
      </c>
      <c r="K1001" s="14">
        <f>IF(IFERROR(_xlfn.XLOOKUP(B1001,Planilha2!D:D,Planilha2!H:H),0)="SIM",1,0)</f>
        <v>0</v>
      </c>
      <c r="L1001" s="14" t="str">
        <f>_xlfn.XLOOKUP(B1001,CAD_PDV!A:A,CAD_PDV!C:C)</f>
        <v>CO</v>
      </c>
      <c r="M1001" s="14" t="str">
        <f>IFERROR(_xlfn.XLOOKUP(B1001,repete!A:A,repete!A:A),"-")</f>
        <v>-</v>
      </c>
    </row>
    <row r="1002" spans="1:13" hidden="1">
      <c r="A1002" s="1">
        <v>46113</v>
      </c>
      <c r="B1002" t="s">
        <v>1667</v>
      </c>
      <c r="C1002" t="s">
        <v>1668</v>
      </c>
      <c r="D1002" t="s">
        <v>232</v>
      </c>
      <c r="E1002" t="s">
        <v>54</v>
      </c>
      <c r="F1002">
        <v>83</v>
      </c>
      <c r="G1002">
        <v>13</v>
      </c>
      <c r="H1002">
        <v>5.4991539763113396E-3</v>
      </c>
      <c r="I1002">
        <v>0.156626506024096</v>
      </c>
      <c r="J1002" s="14" t="str">
        <f>_xlfn.XLOOKUP(B1002,CAD_PDV!A:A,CAD_PDV!B:B)</f>
        <v>HS TELECOM</v>
      </c>
      <c r="K1002" s="14">
        <f>IF(IFERROR(_xlfn.XLOOKUP(B1002,Planilha2!D:D,Planilha2!H:H),0)="SIM",1,0)</f>
        <v>0</v>
      </c>
      <c r="L1002" s="14" t="str">
        <f>_xlfn.XLOOKUP(B1002,CAD_PDV!A:A,CAD_PDV!C:C)</f>
        <v>SP2</v>
      </c>
      <c r="M1002" s="14" t="str">
        <f>IFERROR(_xlfn.XLOOKUP(B1002,repete!A:A,repete!A:A),"-")</f>
        <v>-</v>
      </c>
    </row>
    <row r="1003" spans="1:13" hidden="1">
      <c r="A1003" s="1">
        <v>46113</v>
      </c>
      <c r="B1003" t="s">
        <v>293</v>
      </c>
      <c r="C1003" t="s">
        <v>265</v>
      </c>
      <c r="D1003" t="s">
        <v>230</v>
      </c>
      <c r="E1003" t="s">
        <v>61</v>
      </c>
      <c r="F1003">
        <v>83</v>
      </c>
      <c r="G1003">
        <v>13</v>
      </c>
      <c r="H1003">
        <v>5.4991539763113396E-3</v>
      </c>
      <c r="I1003">
        <v>0.156626506024096</v>
      </c>
      <c r="J1003" s="14" t="str">
        <f>_xlfn.XLOOKUP(B1003,CAD_PDV!A:A,CAD_PDV!B:B)</f>
        <v>HARCOS COMERCIO E SERVICOS LTDA - EPP</v>
      </c>
      <c r="K1003" s="14">
        <f>IF(IFERROR(_xlfn.XLOOKUP(B1003,Planilha2!D:D,Planilha2!H:H),0)="SIM",1,0)</f>
        <v>0</v>
      </c>
      <c r="L1003" s="14" t="str">
        <f>_xlfn.XLOOKUP(B1003,CAD_PDV!A:A,CAD_PDV!C:C)</f>
        <v>NE</v>
      </c>
      <c r="M1003" s="14" t="str">
        <f>IFERROR(_xlfn.XLOOKUP(B1003,repete!A:A,repete!A:A),"-")</f>
        <v>-</v>
      </c>
    </row>
    <row r="1004" spans="1:13" hidden="1">
      <c r="A1004" s="1">
        <v>46113</v>
      </c>
      <c r="B1004" t="s">
        <v>1501</v>
      </c>
      <c r="C1004" t="s">
        <v>1503</v>
      </c>
      <c r="D1004" t="s">
        <v>232</v>
      </c>
      <c r="E1004" t="s">
        <v>54</v>
      </c>
      <c r="F1004">
        <v>127</v>
      </c>
      <c r="G1004">
        <v>12</v>
      </c>
      <c r="H1004">
        <v>5.0761421319797002E-3</v>
      </c>
      <c r="I1004">
        <v>9.4488188976377993E-2</v>
      </c>
      <c r="J1004" s="14" t="str">
        <f>_xlfn.XLOOKUP(B1004,CAD_PDV!A:A,CAD_PDV!B:B)</f>
        <v>HS TELECOM</v>
      </c>
      <c r="K1004" s="14">
        <f>IF(IFERROR(_xlfn.XLOOKUP(B1004,Planilha2!D:D,Planilha2!H:H),0)="SIM",1,0)</f>
        <v>0</v>
      </c>
      <c r="L1004" s="14" t="str">
        <f>_xlfn.XLOOKUP(B1004,CAD_PDV!A:A,CAD_PDV!C:C)</f>
        <v>SP2</v>
      </c>
      <c r="M1004" s="14" t="str">
        <f>IFERROR(_xlfn.XLOOKUP(B1004,repete!A:A,repete!A:A),"-")</f>
        <v>-</v>
      </c>
    </row>
    <row r="1005" spans="1:13" hidden="1">
      <c r="A1005" s="1">
        <v>46113</v>
      </c>
      <c r="B1005" t="s">
        <v>1574</v>
      </c>
      <c r="C1005" t="s">
        <v>1575</v>
      </c>
      <c r="D1005" t="s">
        <v>132</v>
      </c>
      <c r="E1005" t="s">
        <v>54</v>
      </c>
      <c r="F1005">
        <v>40</v>
      </c>
      <c r="G1005">
        <v>12</v>
      </c>
      <c r="H1005">
        <v>5.0761421319797002E-3</v>
      </c>
      <c r="I1005">
        <v>0.3</v>
      </c>
      <c r="J1005" s="14" t="str">
        <f>_xlfn.XLOOKUP(B1005,CAD_PDV!A:A,CAD_PDV!B:B)</f>
        <v>FLEX CELL</v>
      </c>
      <c r="K1005" s="14">
        <f>IF(IFERROR(_xlfn.XLOOKUP(B1005,Planilha2!D:D,Planilha2!H:H),0)="SIM",1,0)</f>
        <v>0</v>
      </c>
      <c r="L1005" s="14" t="str">
        <f>_xlfn.XLOOKUP(B1005,CAD_PDV!A:A,CAD_PDV!C:C)</f>
        <v>SP2</v>
      </c>
      <c r="M1005" s="14" t="str">
        <f>IFERROR(_xlfn.XLOOKUP(B1005,repete!A:A,repete!A:A),"-")</f>
        <v>-</v>
      </c>
    </row>
    <row r="1006" spans="1:13" hidden="1">
      <c r="A1006" s="1">
        <v>46113</v>
      </c>
      <c r="B1006" t="s">
        <v>352</v>
      </c>
      <c r="C1006" t="s">
        <v>261</v>
      </c>
      <c r="D1006" t="s">
        <v>238</v>
      </c>
      <c r="E1006" t="s">
        <v>61</v>
      </c>
      <c r="F1006">
        <v>115</v>
      </c>
      <c r="G1006">
        <v>12</v>
      </c>
      <c r="H1006">
        <v>5.0761421319797002E-3</v>
      </c>
      <c r="I1006">
        <v>0.104347826086957</v>
      </c>
      <c r="J1006" s="14" t="str">
        <f>_xlfn.XLOOKUP(B1006,CAD_PDV!A:A,CAD_PDV!B:B)</f>
        <v>R &amp; R HIPER COMERCIO LTDA</v>
      </c>
      <c r="K1006" s="14">
        <f>IF(IFERROR(_xlfn.XLOOKUP(B1006,Planilha2!D:D,Planilha2!H:H),0)="SIM",1,0)</f>
        <v>0</v>
      </c>
      <c r="L1006" s="14" t="str">
        <f>_xlfn.XLOOKUP(B1006,CAD_PDV!A:A,CAD_PDV!C:C)</f>
        <v>NE</v>
      </c>
      <c r="M1006" s="14" t="str">
        <f>IFERROR(_xlfn.XLOOKUP(B1006,repete!A:A,repete!A:A),"-")</f>
        <v>-</v>
      </c>
    </row>
    <row r="1007" spans="1:13" hidden="1">
      <c r="A1007" s="1">
        <v>46113</v>
      </c>
      <c r="B1007" t="s">
        <v>280</v>
      </c>
      <c r="C1007" t="s">
        <v>265</v>
      </c>
      <c r="D1007" t="s">
        <v>230</v>
      </c>
      <c r="E1007" t="s">
        <v>61</v>
      </c>
      <c r="F1007">
        <v>150</v>
      </c>
      <c r="G1007">
        <v>12</v>
      </c>
      <c r="H1007">
        <v>5.0761421319797002E-3</v>
      </c>
      <c r="I1007">
        <v>0.08</v>
      </c>
      <c r="J1007" s="14" t="str">
        <f>_xlfn.XLOOKUP(B1007,CAD_PDV!A:A,CAD_PDV!B:B)</f>
        <v>HARCOS COMERCIO E SERVICOS LTDA - EPP</v>
      </c>
      <c r="K1007" s="14">
        <f>IF(IFERROR(_xlfn.XLOOKUP(B1007,Planilha2!D:D,Planilha2!H:H),0)="SIM",1,0)</f>
        <v>0</v>
      </c>
      <c r="L1007" s="14" t="str">
        <f>_xlfn.XLOOKUP(B1007,CAD_PDV!A:A,CAD_PDV!C:C)</f>
        <v>NE</v>
      </c>
      <c r="M1007" s="14" t="str">
        <f>IFERROR(_xlfn.XLOOKUP(B1007,repete!A:A,repete!A:A),"-")</f>
        <v>-</v>
      </c>
    </row>
    <row r="1008" spans="1:13" hidden="1">
      <c r="A1008" s="1">
        <v>46113</v>
      </c>
      <c r="B1008" t="s">
        <v>1362</v>
      </c>
      <c r="C1008" t="s">
        <v>1313</v>
      </c>
      <c r="D1008" t="s">
        <v>132</v>
      </c>
      <c r="E1008" t="s">
        <v>53</v>
      </c>
      <c r="F1008">
        <v>67</v>
      </c>
      <c r="G1008">
        <v>12</v>
      </c>
      <c r="H1008">
        <v>5.0761421319797002E-3</v>
      </c>
      <c r="I1008">
        <v>0.17910447761194001</v>
      </c>
      <c r="J1008" s="14" t="str">
        <f>_xlfn.XLOOKUP(B1008,CAD_PDV!A:A,CAD_PDV!B:B)</f>
        <v>FLEX CELL</v>
      </c>
      <c r="K1008" s="14">
        <f>IF(IFERROR(_xlfn.XLOOKUP(B1008,Planilha2!D:D,Planilha2!H:H),0)="SIM",1,0)</f>
        <v>0</v>
      </c>
      <c r="L1008" s="14" t="str">
        <f>_xlfn.XLOOKUP(B1008,CAD_PDV!A:A,CAD_PDV!C:C)</f>
        <v>SP1</v>
      </c>
      <c r="M1008" s="14" t="str">
        <f>IFERROR(_xlfn.XLOOKUP(B1008,repete!A:A,repete!A:A),"-")</f>
        <v>-</v>
      </c>
    </row>
    <row r="1009" spans="1:13" hidden="1">
      <c r="A1009" s="1">
        <v>46113</v>
      </c>
      <c r="B1009" t="s">
        <v>1687</v>
      </c>
      <c r="C1009" t="s">
        <v>1688</v>
      </c>
      <c r="D1009" t="s">
        <v>232</v>
      </c>
      <c r="E1009" t="s">
        <v>54</v>
      </c>
      <c r="F1009">
        <v>71</v>
      </c>
      <c r="G1009">
        <v>12</v>
      </c>
      <c r="H1009">
        <v>5.0761421319797002E-3</v>
      </c>
      <c r="I1009">
        <v>0.169014084507042</v>
      </c>
      <c r="J1009" s="14" t="str">
        <f>_xlfn.XLOOKUP(B1009,CAD_PDV!A:A,CAD_PDV!B:B)</f>
        <v>HS TELECOM</v>
      </c>
      <c r="K1009" s="14">
        <f>IF(IFERROR(_xlfn.XLOOKUP(B1009,Planilha2!D:D,Planilha2!H:H),0)="SIM",1,0)</f>
        <v>0</v>
      </c>
      <c r="L1009" s="14" t="str">
        <f>_xlfn.XLOOKUP(B1009,CAD_PDV!A:A,CAD_PDV!C:C)</f>
        <v>SP2</v>
      </c>
      <c r="M1009" s="14" t="str">
        <f>IFERROR(_xlfn.XLOOKUP(B1009,repete!A:A,repete!A:A),"-")</f>
        <v>-</v>
      </c>
    </row>
    <row r="1010" spans="1:13" hidden="1">
      <c r="A1010" s="1">
        <v>46113</v>
      </c>
      <c r="B1010" t="s">
        <v>377</v>
      </c>
      <c r="C1010" t="s">
        <v>261</v>
      </c>
      <c r="D1010" t="s">
        <v>230</v>
      </c>
      <c r="E1010" t="s">
        <v>61</v>
      </c>
      <c r="F1010">
        <v>79</v>
      </c>
      <c r="G1010">
        <v>12</v>
      </c>
      <c r="H1010">
        <v>5.0761421319797002E-3</v>
      </c>
      <c r="I1010">
        <v>0.151898734177215</v>
      </c>
      <c r="J1010" s="14" t="str">
        <f>_xlfn.XLOOKUP(B1010,CAD_PDV!A:A,CAD_PDV!B:B)</f>
        <v>HARCOS COMERCIO E SERVICOS LTDA - EPP</v>
      </c>
      <c r="K1010" s="14">
        <f>IF(IFERROR(_xlfn.XLOOKUP(B1010,Planilha2!D:D,Planilha2!H:H),0)="SIM",1,0)</f>
        <v>0</v>
      </c>
      <c r="L1010" s="14" t="str">
        <f>_xlfn.XLOOKUP(B1010,CAD_PDV!A:A,CAD_PDV!C:C)</f>
        <v>NE</v>
      </c>
      <c r="M1010" s="14" t="str">
        <f>IFERROR(_xlfn.XLOOKUP(B1010,repete!A:A,repete!A:A),"-")</f>
        <v>-</v>
      </c>
    </row>
    <row r="1011" spans="1:13" hidden="1">
      <c r="A1011" s="1">
        <v>46113</v>
      </c>
      <c r="B1011" t="s">
        <v>1716</v>
      </c>
      <c r="C1011" t="s">
        <v>1663</v>
      </c>
      <c r="D1011" t="s">
        <v>232</v>
      </c>
      <c r="E1011" t="s">
        <v>54</v>
      </c>
      <c r="F1011">
        <v>121</v>
      </c>
      <c r="G1011">
        <v>12</v>
      </c>
      <c r="H1011">
        <v>5.0761421319797002E-3</v>
      </c>
      <c r="I1011">
        <v>9.9173553719008295E-2</v>
      </c>
      <c r="J1011" s="14" t="str">
        <f>_xlfn.XLOOKUP(B1011,CAD_PDV!A:A,CAD_PDV!B:B)</f>
        <v>HS TELECOM</v>
      </c>
      <c r="K1011" s="14">
        <f>IF(IFERROR(_xlfn.XLOOKUP(B1011,Planilha2!D:D,Planilha2!H:H),0)="SIM",1,0)</f>
        <v>0</v>
      </c>
      <c r="L1011" s="14" t="str">
        <f>_xlfn.XLOOKUP(B1011,CAD_PDV!A:A,CAD_PDV!C:C)</f>
        <v>SP2</v>
      </c>
      <c r="M1011" s="14" t="str">
        <f>IFERROR(_xlfn.XLOOKUP(B1011,repete!A:A,repete!A:A),"-")</f>
        <v>-</v>
      </c>
    </row>
    <row r="1012" spans="1:13" hidden="1">
      <c r="A1012" s="1">
        <v>46113</v>
      </c>
      <c r="B1012" t="s">
        <v>1265</v>
      </c>
      <c r="C1012" t="s">
        <v>1266</v>
      </c>
      <c r="D1012" t="s">
        <v>228</v>
      </c>
      <c r="E1012" t="s">
        <v>55</v>
      </c>
      <c r="F1012">
        <v>93</v>
      </c>
      <c r="G1012">
        <v>12</v>
      </c>
      <c r="H1012">
        <v>5.0761421319797002E-3</v>
      </c>
      <c r="I1012">
        <v>0.12903225806451599</v>
      </c>
      <c r="J1012" s="14" t="str">
        <f>_xlfn.XLOOKUP(B1012,CAD_PDV!A:A,CAD_PDV!B:B)</f>
        <v>FAJULUTI</v>
      </c>
      <c r="K1012" s="14">
        <f>IF(IFERROR(_xlfn.XLOOKUP(B1012,Planilha2!D:D,Planilha2!H:H),0)="SIM",1,0)</f>
        <v>0</v>
      </c>
      <c r="L1012" s="14" t="str">
        <f>_xlfn.XLOOKUP(B1012,CAD_PDV!A:A,CAD_PDV!C:C)</f>
        <v>RJ/ES</v>
      </c>
      <c r="M1012" s="14" t="str">
        <f>IFERROR(_xlfn.XLOOKUP(B1012,repete!A:A,repete!A:A),"-")</f>
        <v>-</v>
      </c>
    </row>
    <row r="1013" spans="1:13" hidden="1">
      <c r="A1013" s="1">
        <v>46113</v>
      </c>
      <c r="B1013" t="s">
        <v>1735</v>
      </c>
      <c r="C1013" t="s">
        <v>1464</v>
      </c>
      <c r="D1013" t="s">
        <v>132</v>
      </c>
      <c r="E1013" t="s">
        <v>54</v>
      </c>
      <c r="F1013">
        <v>35</v>
      </c>
      <c r="G1013">
        <v>12</v>
      </c>
      <c r="H1013">
        <v>5.0761421319797002E-3</v>
      </c>
      <c r="I1013">
        <v>0.34285714285714303</v>
      </c>
      <c r="J1013" s="14" t="str">
        <f>_xlfn.XLOOKUP(B1013,CAD_PDV!A:A,CAD_PDV!B:B)</f>
        <v>FLEX CELL</v>
      </c>
      <c r="K1013" s="14">
        <f>IF(IFERROR(_xlfn.XLOOKUP(B1013,Planilha2!D:D,Planilha2!H:H),0)="SIM",1,0)</f>
        <v>0</v>
      </c>
      <c r="L1013" s="14" t="str">
        <f>_xlfn.XLOOKUP(B1013,CAD_PDV!A:A,CAD_PDV!C:C)</f>
        <v>SP2</v>
      </c>
      <c r="M1013" s="14" t="str">
        <f>IFERROR(_xlfn.XLOOKUP(B1013,repete!A:A,repete!A:A),"-")</f>
        <v>-</v>
      </c>
    </row>
    <row r="1014" spans="1:13" hidden="1">
      <c r="A1014" s="1">
        <v>46113</v>
      </c>
      <c r="B1014" t="s">
        <v>975</v>
      </c>
      <c r="C1014" t="s">
        <v>976</v>
      </c>
      <c r="D1014" t="s">
        <v>232</v>
      </c>
      <c r="E1014" t="s">
        <v>60</v>
      </c>
      <c r="F1014">
        <v>81</v>
      </c>
      <c r="G1014">
        <v>11</v>
      </c>
      <c r="H1014">
        <v>4.6531302876480496E-3</v>
      </c>
      <c r="I1014">
        <v>0.13580246913580199</v>
      </c>
      <c r="J1014" s="14" t="str">
        <f>_xlfn.XLOOKUP(B1014,CAD_PDV!A:A,CAD_PDV!B:B)</f>
        <v>HS TELECOM</v>
      </c>
      <c r="K1014" s="14">
        <f>IF(IFERROR(_xlfn.XLOOKUP(B1014,Planilha2!D:D,Planilha2!H:H),0)="SIM",1,0)</f>
        <v>0</v>
      </c>
      <c r="L1014" s="14" t="str">
        <f>_xlfn.XLOOKUP(B1014,CAD_PDV!A:A,CAD_PDV!C:C)</f>
        <v>BA/SE</v>
      </c>
      <c r="M1014" s="14" t="str">
        <f>IFERROR(_xlfn.XLOOKUP(B1014,repete!A:A,repete!A:A),"-")</f>
        <v>-</v>
      </c>
    </row>
    <row r="1015" spans="1:13" hidden="1">
      <c r="A1015" s="1">
        <v>46113</v>
      </c>
      <c r="B1015" t="s">
        <v>1538</v>
      </c>
      <c r="C1015" t="s">
        <v>1489</v>
      </c>
      <c r="D1015" t="s">
        <v>232</v>
      </c>
      <c r="E1015" t="s">
        <v>54</v>
      </c>
      <c r="F1015">
        <v>102</v>
      </c>
      <c r="G1015">
        <v>11</v>
      </c>
      <c r="H1015">
        <v>4.6531302876480496E-3</v>
      </c>
      <c r="I1015">
        <v>0.10784313725490199</v>
      </c>
      <c r="J1015" s="14" t="str">
        <f>_xlfn.XLOOKUP(B1015,CAD_PDV!A:A,CAD_PDV!B:B)</f>
        <v>HS TELECOM</v>
      </c>
      <c r="K1015" s="14">
        <f>IF(IFERROR(_xlfn.XLOOKUP(B1015,Planilha2!D:D,Planilha2!H:H),0)="SIM",1,0)</f>
        <v>0</v>
      </c>
      <c r="L1015" s="14" t="str">
        <f>_xlfn.XLOOKUP(B1015,CAD_PDV!A:A,CAD_PDV!C:C)</f>
        <v>SP2</v>
      </c>
      <c r="M1015" s="14" t="str">
        <f>IFERROR(_xlfn.XLOOKUP(B1015,repete!A:A,repete!A:A),"-")</f>
        <v>-</v>
      </c>
    </row>
    <row r="1016" spans="1:13" hidden="1">
      <c r="A1016" s="1">
        <v>46113</v>
      </c>
      <c r="B1016" t="s">
        <v>900</v>
      </c>
      <c r="C1016" t="s">
        <v>873</v>
      </c>
      <c r="D1016" t="s">
        <v>224</v>
      </c>
      <c r="E1016" t="s">
        <v>59</v>
      </c>
      <c r="F1016">
        <v>39</v>
      </c>
      <c r="G1016">
        <v>11</v>
      </c>
      <c r="H1016">
        <v>4.6531302876480496E-3</v>
      </c>
      <c r="I1016">
        <v>0.28205128205128199</v>
      </c>
      <c r="J1016" s="14" t="str">
        <f>_xlfn.XLOOKUP(B1016,CAD_PDV!A:A,CAD_PDV!B:B)</f>
        <v>CELNET COMERCIO E SERVICOS DE TELEFONIA LTDA ME</v>
      </c>
      <c r="K1016" s="14">
        <f>IF(IFERROR(_xlfn.XLOOKUP(B1016,Planilha2!D:D,Planilha2!H:H),0)="SIM",1,0)</f>
        <v>0</v>
      </c>
      <c r="L1016" s="14" t="str">
        <f>_xlfn.XLOOKUP(B1016,CAD_PDV!A:A,CAD_PDV!C:C)</f>
        <v>CO</v>
      </c>
      <c r="M1016" s="14" t="str">
        <f>IFERROR(_xlfn.XLOOKUP(B1016,repete!A:A,repete!A:A),"-")</f>
        <v>-</v>
      </c>
    </row>
    <row r="1017" spans="1:13" hidden="1">
      <c r="A1017" s="1">
        <v>46113</v>
      </c>
      <c r="B1017" t="s">
        <v>912</v>
      </c>
      <c r="C1017" t="s">
        <v>820</v>
      </c>
      <c r="D1017" t="s">
        <v>239</v>
      </c>
      <c r="E1017" t="s">
        <v>59</v>
      </c>
      <c r="F1017">
        <v>57</v>
      </c>
      <c r="G1017">
        <v>11</v>
      </c>
      <c r="H1017">
        <v>4.6531302876480496E-3</v>
      </c>
      <c r="I1017">
        <v>0.19298245614035101</v>
      </c>
      <c r="J1017" s="14" t="str">
        <f>_xlfn.XLOOKUP(B1017,CAD_PDV!A:A,CAD_PDV!B:B)</f>
        <v>TELECELL TELEFONIA LTDA - ME</v>
      </c>
      <c r="K1017" s="14">
        <f>IF(IFERROR(_xlfn.XLOOKUP(B1017,Planilha2!D:D,Planilha2!H:H),0)="SIM",1,0)</f>
        <v>0</v>
      </c>
      <c r="L1017" s="14" t="str">
        <f>_xlfn.XLOOKUP(B1017,CAD_PDV!A:A,CAD_PDV!C:C)</f>
        <v>CO</v>
      </c>
      <c r="M1017" s="14" t="str">
        <f>IFERROR(_xlfn.XLOOKUP(B1017,repete!A:A,repete!A:A),"-")</f>
        <v>-</v>
      </c>
    </row>
    <row r="1018" spans="1:13" hidden="1">
      <c r="A1018" s="1">
        <v>46113</v>
      </c>
      <c r="B1018" t="s">
        <v>1624</v>
      </c>
      <c r="C1018" t="s">
        <v>1625</v>
      </c>
      <c r="D1018" t="s">
        <v>232</v>
      </c>
      <c r="E1018" t="s">
        <v>54</v>
      </c>
      <c r="F1018">
        <v>39</v>
      </c>
      <c r="G1018">
        <v>11</v>
      </c>
      <c r="H1018">
        <v>4.6531302876480496E-3</v>
      </c>
      <c r="I1018">
        <v>0.28205128205128199</v>
      </c>
      <c r="J1018" s="14" t="str">
        <f>_xlfn.XLOOKUP(B1018,CAD_PDV!A:A,CAD_PDV!B:B)</f>
        <v>HS TELECOM</v>
      </c>
      <c r="K1018" s="14">
        <f>IF(IFERROR(_xlfn.XLOOKUP(B1018,Planilha2!D:D,Planilha2!H:H),0)="SIM",1,0)</f>
        <v>0</v>
      </c>
      <c r="L1018" s="14" t="str">
        <f>_xlfn.XLOOKUP(B1018,CAD_PDV!A:A,CAD_PDV!C:C)</f>
        <v>SP2</v>
      </c>
      <c r="M1018" s="14" t="str">
        <f>IFERROR(_xlfn.XLOOKUP(B1018,repete!A:A,repete!A:A),"-")</f>
        <v>-</v>
      </c>
    </row>
    <row r="1019" spans="1:13" hidden="1">
      <c r="A1019" s="1">
        <v>46113</v>
      </c>
      <c r="B1019" t="s">
        <v>1636</v>
      </c>
      <c r="C1019" t="s">
        <v>1484</v>
      </c>
      <c r="D1019" t="s">
        <v>232</v>
      </c>
      <c r="E1019" t="s">
        <v>54</v>
      </c>
      <c r="F1019">
        <v>52</v>
      </c>
      <c r="G1019">
        <v>11</v>
      </c>
      <c r="H1019">
        <v>4.6531302876480496E-3</v>
      </c>
      <c r="I1019">
        <v>0.21153846153846201</v>
      </c>
      <c r="J1019" s="14" t="str">
        <f>_xlfn.XLOOKUP(B1019,CAD_PDV!A:A,CAD_PDV!B:B)</f>
        <v>HS TELECOM</v>
      </c>
      <c r="K1019" s="14">
        <f>IF(IFERROR(_xlfn.XLOOKUP(B1019,Planilha2!D:D,Planilha2!H:H),0)="SIM",1,0)</f>
        <v>0</v>
      </c>
      <c r="L1019" s="14" t="str">
        <f>_xlfn.XLOOKUP(B1019,CAD_PDV!A:A,CAD_PDV!C:C)</f>
        <v>SP2</v>
      </c>
      <c r="M1019" s="14" t="str">
        <f>IFERROR(_xlfn.XLOOKUP(B1019,repete!A:A,repete!A:A),"-")</f>
        <v>-</v>
      </c>
    </row>
    <row r="1020" spans="1:13" hidden="1">
      <c r="A1020" s="1">
        <v>46113</v>
      </c>
      <c r="B1020" t="s">
        <v>1669</v>
      </c>
      <c r="C1020" t="s">
        <v>1661</v>
      </c>
      <c r="D1020" t="s">
        <v>232</v>
      </c>
      <c r="E1020" t="s">
        <v>54</v>
      </c>
      <c r="F1020">
        <v>95</v>
      </c>
      <c r="G1020">
        <v>11</v>
      </c>
      <c r="H1020">
        <v>4.6531302876480496E-3</v>
      </c>
      <c r="I1020">
        <v>0.115789473684211</v>
      </c>
      <c r="J1020" s="14" t="str">
        <f>_xlfn.XLOOKUP(B1020,CAD_PDV!A:A,CAD_PDV!B:B)</f>
        <v>HS TELECOM</v>
      </c>
      <c r="K1020" s="14">
        <f>IF(IFERROR(_xlfn.XLOOKUP(B1020,Planilha2!D:D,Planilha2!H:H),0)="SIM",1,0)</f>
        <v>0</v>
      </c>
      <c r="L1020" s="14" t="str">
        <f>_xlfn.XLOOKUP(B1020,CAD_PDV!A:A,CAD_PDV!C:C)</f>
        <v>SP2</v>
      </c>
      <c r="M1020" s="14" t="str">
        <f>IFERROR(_xlfn.XLOOKUP(B1020,repete!A:A,repete!A:A),"-")</f>
        <v>-</v>
      </c>
    </row>
    <row r="1021" spans="1:13" hidden="1">
      <c r="A1021" s="1">
        <v>46113</v>
      </c>
      <c r="B1021" t="s">
        <v>1685</v>
      </c>
      <c r="C1021" t="s">
        <v>1686</v>
      </c>
      <c r="D1021" t="s">
        <v>232</v>
      </c>
      <c r="E1021" t="s">
        <v>54</v>
      </c>
      <c r="F1021">
        <v>90</v>
      </c>
      <c r="G1021">
        <v>11</v>
      </c>
      <c r="H1021">
        <v>4.6531302876480496E-3</v>
      </c>
      <c r="I1021">
        <v>0.122222222222222</v>
      </c>
      <c r="J1021" s="14" t="str">
        <f>_xlfn.XLOOKUP(B1021,CAD_PDV!A:A,CAD_PDV!B:B)</f>
        <v>HS TELECOM</v>
      </c>
      <c r="K1021" s="14">
        <f>IF(IFERROR(_xlfn.XLOOKUP(B1021,Planilha2!D:D,Planilha2!H:H),0)="SIM",1,0)</f>
        <v>0</v>
      </c>
      <c r="L1021" s="14" t="str">
        <f>_xlfn.XLOOKUP(B1021,CAD_PDV!A:A,CAD_PDV!C:C)</f>
        <v>SP2</v>
      </c>
      <c r="M1021" s="14" t="str">
        <f>IFERROR(_xlfn.XLOOKUP(B1021,repete!A:A,repete!A:A),"-")</f>
        <v>-</v>
      </c>
    </row>
    <row r="1022" spans="1:13" hidden="1">
      <c r="A1022" s="1">
        <v>46113</v>
      </c>
      <c r="B1022" t="s">
        <v>481</v>
      </c>
      <c r="C1022" t="s">
        <v>483</v>
      </c>
      <c r="D1022" t="s">
        <v>228</v>
      </c>
      <c r="E1022" t="s">
        <v>56</v>
      </c>
      <c r="F1022">
        <v>50</v>
      </c>
      <c r="G1022">
        <v>11</v>
      </c>
      <c r="H1022">
        <v>4.6531302876480496E-3</v>
      </c>
      <c r="I1022">
        <v>0.22</v>
      </c>
      <c r="J1022" s="14" t="str">
        <f>_xlfn.XLOOKUP(B1022,CAD_PDV!A:A,CAD_PDV!B:B)</f>
        <v>FAJULUTI</v>
      </c>
      <c r="K1022" s="14">
        <f>IF(IFERROR(_xlfn.XLOOKUP(B1022,Planilha2!D:D,Planilha2!H:H),0)="SIM",1,0)</f>
        <v>0</v>
      </c>
      <c r="L1022" s="14" t="str">
        <f>_xlfn.XLOOKUP(B1022,CAD_PDV!A:A,CAD_PDV!C:C)</f>
        <v>MG</v>
      </c>
      <c r="M1022" s="14" t="str">
        <f>IFERROR(_xlfn.XLOOKUP(B1022,repete!A:A,repete!A:A),"-")</f>
        <v>-</v>
      </c>
    </row>
    <row r="1023" spans="1:13" hidden="1">
      <c r="A1023" s="1">
        <v>46113</v>
      </c>
      <c r="B1023" t="s">
        <v>262</v>
      </c>
      <c r="C1023" t="s">
        <v>265</v>
      </c>
      <c r="D1023" t="s">
        <v>230</v>
      </c>
      <c r="E1023" t="s">
        <v>61</v>
      </c>
      <c r="F1023">
        <v>76</v>
      </c>
      <c r="G1023">
        <v>10</v>
      </c>
      <c r="H1023">
        <v>4.2301184433164102E-3</v>
      </c>
      <c r="I1023">
        <v>0.13157894736842099</v>
      </c>
      <c r="J1023" s="14" t="str">
        <f>_xlfn.XLOOKUP(B1023,CAD_PDV!A:A,CAD_PDV!B:B)</f>
        <v>HARCOS COMERCIO E SERVICOS LTDA - EPP</v>
      </c>
      <c r="K1023" s="14">
        <f>IF(IFERROR(_xlfn.XLOOKUP(B1023,Planilha2!D:D,Planilha2!H:H),0)="SIM",1,0)</f>
        <v>0</v>
      </c>
      <c r="L1023" s="14" t="str">
        <f>_xlfn.XLOOKUP(B1023,CAD_PDV!A:A,CAD_PDV!C:C)</f>
        <v>NE</v>
      </c>
      <c r="M1023" s="14" t="str">
        <f>IFERROR(_xlfn.XLOOKUP(B1023,repete!A:A,repete!A:A),"-")</f>
        <v>-</v>
      </c>
    </row>
    <row r="1024" spans="1:13" hidden="1">
      <c r="A1024" s="1">
        <v>46113</v>
      </c>
      <c r="B1024" t="s">
        <v>1153</v>
      </c>
      <c r="C1024" t="s">
        <v>1155</v>
      </c>
      <c r="D1024" t="s">
        <v>228</v>
      </c>
      <c r="E1024" t="s">
        <v>55</v>
      </c>
      <c r="F1024">
        <v>56</v>
      </c>
      <c r="G1024">
        <v>10</v>
      </c>
      <c r="H1024">
        <v>4.2301184433164102E-3</v>
      </c>
      <c r="I1024">
        <v>0.17857142857142899</v>
      </c>
      <c r="J1024" s="14" t="str">
        <f>_xlfn.XLOOKUP(B1024,CAD_PDV!A:A,CAD_PDV!B:B)</f>
        <v>FAJULUTI</v>
      </c>
      <c r="K1024" s="14">
        <f>IF(IFERROR(_xlfn.XLOOKUP(B1024,Planilha2!D:D,Planilha2!H:H),0)="SIM",1,0)</f>
        <v>0</v>
      </c>
      <c r="L1024" s="14" t="str">
        <f>_xlfn.XLOOKUP(B1024,CAD_PDV!A:A,CAD_PDV!C:C)</f>
        <v>RJ/ES</v>
      </c>
      <c r="M1024" s="14" t="str">
        <f>IFERROR(_xlfn.XLOOKUP(B1024,repete!A:A,repete!A:A),"-")</f>
        <v>-</v>
      </c>
    </row>
    <row r="1025" spans="1:13" hidden="1">
      <c r="A1025" s="1">
        <v>46113</v>
      </c>
      <c r="B1025" t="s">
        <v>2025</v>
      </c>
      <c r="C1025" t="s">
        <v>2026</v>
      </c>
      <c r="D1025" t="s">
        <v>193</v>
      </c>
      <c r="E1025" t="s">
        <v>2074</v>
      </c>
      <c r="F1025">
        <v>29</v>
      </c>
      <c r="G1025">
        <v>10</v>
      </c>
      <c r="H1025">
        <v>4.2301184433164102E-3</v>
      </c>
      <c r="I1025">
        <v>0.34482758620689702</v>
      </c>
      <c r="J1025" s="14" t="str">
        <f>_xlfn.XLOOKUP(B1025,CAD_PDV!A:A,CAD_PDV!B:B)</f>
        <v>S D COMERCIO DE CELULARES LTDA - ME</v>
      </c>
      <c r="K1025" s="14">
        <f>IF(IFERROR(_xlfn.XLOOKUP(B1025,Planilha2!D:D,Planilha2!H:H),0)="SIM",1,0)</f>
        <v>0</v>
      </c>
      <c r="L1025" s="14" t="str">
        <f>_xlfn.XLOOKUP(B1025,CAD_PDV!A:A,CAD_PDV!C:C)</f>
        <v>RS</v>
      </c>
      <c r="M1025" s="14" t="str">
        <f>IFERROR(_xlfn.XLOOKUP(B1025,repete!A:A,repete!A:A),"-")</f>
        <v>-</v>
      </c>
    </row>
    <row r="1026" spans="1:13" hidden="1">
      <c r="A1026" s="1">
        <v>46113</v>
      </c>
      <c r="B1026" t="s">
        <v>1338</v>
      </c>
      <c r="C1026" t="s">
        <v>1313</v>
      </c>
      <c r="D1026" t="s">
        <v>225</v>
      </c>
      <c r="E1026" t="s">
        <v>53</v>
      </c>
      <c r="F1026">
        <v>74</v>
      </c>
      <c r="G1026">
        <v>10</v>
      </c>
      <c r="H1026">
        <v>4.2301184433164102E-3</v>
      </c>
      <c r="I1026">
        <v>0.135135135135135</v>
      </c>
      <c r="J1026" s="14" t="str">
        <f>_xlfn.XLOOKUP(B1026,CAD_PDV!A:A,CAD_PDV!B:B)</f>
        <v>CLARICELL SP1</v>
      </c>
      <c r="K1026" s="14">
        <f>IF(IFERROR(_xlfn.XLOOKUP(B1026,Planilha2!D:D,Planilha2!H:H),0)="SIM",1,0)</f>
        <v>0</v>
      </c>
      <c r="L1026" s="14" t="str">
        <f>_xlfn.XLOOKUP(B1026,CAD_PDV!A:A,CAD_PDV!C:C)</f>
        <v>SP1</v>
      </c>
      <c r="M1026" s="14" t="str">
        <f>IFERROR(_xlfn.XLOOKUP(B1026,repete!A:A,repete!A:A),"-")</f>
        <v>-</v>
      </c>
    </row>
    <row r="1027" spans="1:13" hidden="1">
      <c r="A1027" s="1">
        <v>46113</v>
      </c>
      <c r="B1027" t="s">
        <v>1658</v>
      </c>
      <c r="C1027" t="s">
        <v>1659</v>
      </c>
      <c r="D1027" t="s">
        <v>232</v>
      </c>
      <c r="E1027" t="s">
        <v>54</v>
      </c>
      <c r="F1027">
        <v>100</v>
      </c>
      <c r="G1027">
        <v>10</v>
      </c>
      <c r="H1027">
        <v>4.2301184433164102E-3</v>
      </c>
      <c r="I1027">
        <v>0.1</v>
      </c>
      <c r="J1027" s="14" t="str">
        <f>_xlfn.XLOOKUP(B1027,CAD_PDV!A:A,CAD_PDV!B:B)</f>
        <v>HS TELECOM</v>
      </c>
      <c r="K1027" s="14">
        <f>IF(IFERROR(_xlfn.XLOOKUP(B1027,Planilha2!D:D,Planilha2!H:H),0)="SIM",1,0)</f>
        <v>0</v>
      </c>
      <c r="L1027" s="14" t="str">
        <f>_xlfn.XLOOKUP(B1027,CAD_PDV!A:A,CAD_PDV!C:C)</f>
        <v>SP2</v>
      </c>
      <c r="M1027" s="14" t="str">
        <f>IFERROR(_xlfn.XLOOKUP(B1027,repete!A:A,repete!A:A),"-")</f>
        <v>-</v>
      </c>
    </row>
    <row r="1028" spans="1:13" hidden="1">
      <c r="A1028" s="1">
        <v>46113</v>
      </c>
      <c r="B1028" t="s">
        <v>1690</v>
      </c>
      <c r="C1028" t="s">
        <v>1503</v>
      </c>
      <c r="D1028" t="s">
        <v>232</v>
      </c>
      <c r="E1028" t="s">
        <v>54</v>
      </c>
      <c r="F1028">
        <v>105</v>
      </c>
      <c r="G1028">
        <v>10</v>
      </c>
      <c r="H1028">
        <v>4.2301184433164102E-3</v>
      </c>
      <c r="I1028">
        <v>9.5238095238095205E-2</v>
      </c>
      <c r="J1028" s="14" t="str">
        <f>_xlfn.XLOOKUP(B1028,CAD_PDV!A:A,CAD_PDV!B:B)</f>
        <v>HS TELECOM</v>
      </c>
      <c r="K1028" s="14">
        <f>IF(IFERROR(_xlfn.XLOOKUP(B1028,Planilha2!D:D,Planilha2!H:H),0)="SIM",1,0)</f>
        <v>0</v>
      </c>
      <c r="L1028" s="14" t="str">
        <f>_xlfn.XLOOKUP(B1028,CAD_PDV!A:A,CAD_PDV!C:C)</f>
        <v>SP2</v>
      </c>
      <c r="M1028" s="14" t="str">
        <f>IFERROR(_xlfn.XLOOKUP(B1028,repete!A:A,repete!A:A),"-")</f>
        <v>-</v>
      </c>
    </row>
    <row r="1029" spans="1:13" hidden="1">
      <c r="A1029" s="1">
        <v>46113</v>
      </c>
      <c r="B1029" t="s">
        <v>375</v>
      </c>
      <c r="C1029" t="s">
        <v>376</v>
      </c>
      <c r="D1029" t="s">
        <v>230</v>
      </c>
      <c r="E1029" t="s">
        <v>61</v>
      </c>
      <c r="F1029">
        <v>52</v>
      </c>
      <c r="G1029">
        <v>10</v>
      </c>
      <c r="H1029">
        <v>4.2301184433164102E-3</v>
      </c>
      <c r="I1029">
        <v>0.19230769230769201</v>
      </c>
      <c r="J1029" s="14" t="str">
        <f>_xlfn.XLOOKUP(B1029,CAD_PDV!A:A,CAD_PDV!B:B)</f>
        <v>HARCOS COMERCIO E SERVICOS LTDA - EPP</v>
      </c>
      <c r="K1029" s="14">
        <f>IF(IFERROR(_xlfn.XLOOKUP(B1029,Planilha2!D:D,Planilha2!H:H),0)="SIM",1,0)</f>
        <v>0</v>
      </c>
      <c r="L1029" s="14" t="str">
        <f>_xlfn.XLOOKUP(B1029,CAD_PDV!A:A,CAD_PDV!C:C)</f>
        <v>NE</v>
      </c>
      <c r="M1029" s="14" t="str">
        <f>IFERROR(_xlfn.XLOOKUP(B1029,repete!A:A,repete!A:A),"-")</f>
        <v>-</v>
      </c>
    </row>
    <row r="1030" spans="1:13" hidden="1">
      <c r="A1030" s="1">
        <v>46113</v>
      </c>
      <c r="B1030" t="s">
        <v>573</v>
      </c>
      <c r="C1030" t="s">
        <v>574</v>
      </c>
      <c r="D1030" t="s">
        <v>228</v>
      </c>
      <c r="E1030" t="s">
        <v>56</v>
      </c>
      <c r="F1030">
        <v>20</v>
      </c>
      <c r="G1030">
        <v>10</v>
      </c>
      <c r="H1030">
        <v>4.2301184433164102E-3</v>
      </c>
      <c r="I1030">
        <v>0.5</v>
      </c>
      <c r="J1030" s="14" t="str">
        <f>_xlfn.XLOOKUP(B1030,CAD_PDV!A:A,CAD_PDV!B:B)</f>
        <v>FAJULUTI</v>
      </c>
      <c r="K1030" s="14">
        <f>IF(IFERROR(_xlfn.XLOOKUP(B1030,Planilha2!D:D,Planilha2!H:H),0)="SIM",1,0)</f>
        <v>0</v>
      </c>
      <c r="L1030" s="14" t="str">
        <f>_xlfn.XLOOKUP(B1030,CAD_PDV!A:A,CAD_PDV!C:C)</f>
        <v>MG</v>
      </c>
      <c r="M1030" s="14" t="str">
        <f>IFERROR(_xlfn.XLOOKUP(B1030,repete!A:A,repete!A:A),"-")</f>
        <v>-</v>
      </c>
    </row>
    <row r="1031" spans="1:13" hidden="1">
      <c r="A1031" s="1">
        <v>46113</v>
      </c>
      <c r="B1031" t="s">
        <v>1281</v>
      </c>
      <c r="C1031" t="s">
        <v>1185</v>
      </c>
      <c r="D1031" t="s">
        <v>228</v>
      </c>
      <c r="E1031" t="s">
        <v>55</v>
      </c>
      <c r="F1031">
        <v>45</v>
      </c>
      <c r="G1031">
        <v>10</v>
      </c>
      <c r="H1031">
        <v>4.2301184433164102E-3</v>
      </c>
      <c r="I1031">
        <v>0.22222222222222199</v>
      </c>
      <c r="J1031" s="14" t="str">
        <f>_xlfn.XLOOKUP(B1031,CAD_PDV!A:A,CAD_PDV!B:B)</f>
        <v>FAJULUTI</v>
      </c>
      <c r="K1031" s="14">
        <f>IF(IFERROR(_xlfn.XLOOKUP(B1031,Planilha2!D:D,Planilha2!H:H),0)="SIM",1,0)</f>
        <v>0</v>
      </c>
      <c r="L1031" s="14" t="str">
        <f>_xlfn.XLOOKUP(B1031,CAD_PDV!A:A,CAD_PDV!C:C)</f>
        <v>RJ/ES</v>
      </c>
      <c r="M1031" s="14" t="str">
        <f>IFERROR(_xlfn.XLOOKUP(B1031,repete!A:A,repete!A:A),"-")</f>
        <v>-</v>
      </c>
    </row>
    <row r="1032" spans="1:13" hidden="1">
      <c r="A1032" s="1">
        <v>46113</v>
      </c>
      <c r="B1032" t="s">
        <v>974</v>
      </c>
      <c r="C1032" t="s">
        <v>944</v>
      </c>
      <c r="D1032" t="s">
        <v>232</v>
      </c>
      <c r="E1032" t="s">
        <v>60</v>
      </c>
      <c r="F1032">
        <v>48</v>
      </c>
      <c r="G1032">
        <v>9</v>
      </c>
      <c r="H1032">
        <v>3.80710659898477E-3</v>
      </c>
      <c r="I1032">
        <v>0.1875</v>
      </c>
      <c r="J1032" s="14" t="str">
        <f>_xlfn.XLOOKUP(B1032,CAD_PDV!A:A,CAD_PDV!B:B)</f>
        <v>HS TELECOM</v>
      </c>
      <c r="K1032" s="14">
        <f>IF(IFERROR(_xlfn.XLOOKUP(B1032,Planilha2!D:D,Planilha2!H:H),0)="SIM",1,0)</f>
        <v>0</v>
      </c>
      <c r="L1032" s="14" t="str">
        <f>_xlfn.XLOOKUP(B1032,CAD_PDV!A:A,CAD_PDV!C:C)</f>
        <v>BA/SE</v>
      </c>
      <c r="M1032" s="14" t="str">
        <f>IFERROR(_xlfn.XLOOKUP(B1032,repete!A:A,repete!A:A),"-")</f>
        <v>-</v>
      </c>
    </row>
    <row r="1033" spans="1:13" hidden="1">
      <c r="A1033" s="1">
        <v>46113</v>
      </c>
      <c r="B1033" t="s">
        <v>1210</v>
      </c>
      <c r="C1033" t="s">
        <v>1211</v>
      </c>
      <c r="D1033" t="s">
        <v>228</v>
      </c>
      <c r="E1033" t="s">
        <v>55</v>
      </c>
      <c r="F1033">
        <v>76</v>
      </c>
      <c r="G1033">
        <v>9</v>
      </c>
      <c r="H1033">
        <v>3.80710659898477E-3</v>
      </c>
      <c r="I1033">
        <v>0.118421052631579</v>
      </c>
      <c r="J1033" s="14" t="str">
        <f>_xlfn.XLOOKUP(B1033,CAD_PDV!A:A,CAD_PDV!B:B)</f>
        <v>FAJULUTI</v>
      </c>
      <c r="K1033" s="14">
        <f>IF(IFERROR(_xlfn.XLOOKUP(B1033,Planilha2!D:D,Planilha2!H:H),0)="SIM",1,0)</f>
        <v>0</v>
      </c>
      <c r="L1033" s="14" t="str">
        <f>_xlfn.XLOOKUP(B1033,CAD_PDV!A:A,CAD_PDV!C:C)</f>
        <v>RJ/ES</v>
      </c>
      <c r="M1033" s="14" t="str">
        <f>IFERROR(_xlfn.XLOOKUP(B1033,repete!A:A,repete!A:A),"-")</f>
        <v>-</v>
      </c>
    </row>
    <row r="1034" spans="1:13" hidden="1">
      <c r="A1034" s="1">
        <v>46113</v>
      </c>
      <c r="B1034" t="s">
        <v>1522</v>
      </c>
      <c r="C1034" t="s">
        <v>1523</v>
      </c>
      <c r="D1034" t="s">
        <v>232</v>
      </c>
      <c r="E1034" t="s">
        <v>54</v>
      </c>
      <c r="F1034">
        <v>71</v>
      </c>
      <c r="G1034">
        <v>9</v>
      </c>
      <c r="H1034">
        <v>3.80710659898477E-3</v>
      </c>
      <c r="I1034">
        <v>0.12676056338028199</v>
      </c>
      <c r="J1034" s="14" t="str">
        <f>_xlfn.XLOOKUP(B1034,CAD_PDV!A:A,CAD_PDV!B:B)</f>
        <v>HS TELECOM</v>
      </c>
      <c r="K1034" s="14">
        <f>IF(IFERROR(_xlfn.XLOOKUP(B1034,Planilha2!D:D,Planilha2!H:H),0)="SIM",1,0)</f>
        <v>0</v>
      </c>
      <c r="L1034" s="14" t="str">
        <f>_xlfn.XLOOKUP(B1034,CAD_PDV!A:A,CAD_PDV!C:C)</f>
        <v>SP2</v>
      </c>
      <c r="M1034" s="14" t="str">
        <f>IFERROR(_xlfn.XLOOKUP(B1034,repete!A:A,repete!A:A),"-")</f>
        <v>-</v>
      </c>
    </row>
    <row r="1035" spans="1:13" hidden="1">
      <c r="A1035" s="1">
        <v>46113</v>
      </c>
      <c r="B1035" t="s">
        <v>993</v>
      </c>
      <c r="C1035" t="s">
        <v>992</v>
      </c>
      <c r="D1035" t="s">
        <v>232</v>
      </c>
      <c r="E1035" t="s">
        <v>60</v>
      </c>
      <c r="F1035">
        <v>24</v>
      </c>
      <c r="G1035">
        <v>9</v>
      </c>
      <c r="H1035">
        <v>3.80710659898477E-3</v>
      </c>
      <c r="I1035">
        <v>0.375</v>
      </c>
      <c r="J1035" s="14" t="str">
        <f>_xlfn.XLOOKUP(B1035,CAD_PDV!A:A,CAD_PDV!B:B)</f>
        <v>HS TELECOM</v>
      </c>
      <c r="K1035" s="14">
        <f>IF(IFERROR(_xlfn.XLOOKUP(B1035,Planilha2!D:D,Planilha2!H:H),0)="SIM",1,0)</f>
        <v>0</v>
      </c>
      <c r="L1035" s="14" t="str">
        <f>_xlfn.XLOOKUP(B1035,CAD_PDV!A:A,CAD_PDV!C:C)</f>
        <v>BA/SE</v>
      </c>
      <c r="M1035" s="14" t="str">
        <f>IFERROR(_xlfn.XLOOKUP(B1035,repete!A:A,repete!A:A),"-")</f>
        <v>-</v>
      </c>
    </row>
    <row r="1036" spans="1:13" hidden="1">
      <c r="A1036" s="1">
        <v>46113</v>
      </c>
      <c r="B1036" t="s">
        <v>1143</v>
      </c>
      <c r="C1036" t="s">
        <v>1142</v>
      </c>
      <c r="D1036" t="s">
        <v>237</v>
      </c>
      <c r="E1036" t="s">
        <v>55</v>
      </c>
      <c r="F1036">
        <v>166</v>
      </c>
      <c r="G1036">
        <v>9</v>
      </c>
      <c r="H1036">
        <v>3.80710659898477E-3</v>
      </c>
      <c r="I1036">
        <v>5.4216867469879498E-2</v>
      </c>
      <c r="J1036" s="14" t="str">
        <f>_xlfn.XLOOKUP(B1036,CAD_PDV!A:A,CAD_PDV!B:B)</f>
        <v>PONTO CERTO COMERCIO E COMUNICAÇÕES LTDA</v>
      </c>
      <c r="K1036" s="14">
        <f>IF(IFERROR(_xlfn.XLOOKUP(B1036,Planilha2!D:D,Planilha2!H:H),0)="SIM",1,0)</f>
        <v>0</v>
      </c>
      <c r="L1036" s="14" t="str">
        <f>_xlfn.XLOOKUP(B1036,CAD_PDV!A:A,CAD_PDV!C:C)</f>
        <v>RJ/ES</v>
      </c>
      <c r="M1036" s="14" t="str">
        <f>IFERROR(_xlfn.XLOOKUP(B1036,repete!A:A,repete!A:A),"-")</f>
        <v>-</v>
      </c>
    </row>
    <row r="1037" spans="1:13" hidden="1">
      <c r="A1037" s="1">
        <v>46113</v>
      </c>
      <c r="B1037" t="s">
        <v>1181</v>
      </c>
      <c r="C1037" t="s">
        <v>1182</v>
      </c>
      <c r="D1037" t="s">
        <v>228</v>
      </c>
      <c r="E1037" t="s">
        <v>55</v>
      </c>
      <c r="F1037">
        <v>183</v>
      </c>
      <c r="G1037">
        <v>9</v>
      </c>
      <c r="H1037">
        <v>3.80710659898477E-3</v>
      </c>
      <c r="I1037">
        <v>4.91803278688525E-2</v>
      </c>
      <c r="J1037" s="14" t="str">
        <f>_xlfn.XLOOKUP(B1037,CAD_PDV!A:A,CAD_PDV!B:B)</f>
        <v>FAJULUTI</v>
      </c>
      <c r="K1037" s="14">
        <f>IF(IFERROR(_xlfn.XLOOKUP(B1037,Planilha2!D:D,Planilha2!H:H),0)="SIM",1,0)</f>
        <v>0</v>
      </c>
      <c r="L1037" s="14" t="str">
        <f>_xlfn.XLOOKUP(B1037,CAD_PDV!A:A,CAD_PDV!C:C)</f>
        <v>RJ/ES</v>
      </c>
      <c r="M1037" s="14" t="str">
        <f>IFERROR(_xlfn.XLOOKUP(B1037,repete!A:A,repete!A:A),"-")</f>
        <v>-</v>
      </c>
    </row>
    <row r="1038" spans="1:13" hidden="1">
      <c r="A1038" s="1">
        <v>46113</v>
      </c>
      <c r="B1038" t="s">
        <v>1015</v>
      </c>
      <c r="C1038" t="s">
        <v>1017</v>
      </c>
      <c r="D1038" t="s">
        <v>232</v>
      </c>
      <c r="E1038" t="s">
        <v>60</v>
      </c>
      <c r="F1038">
        <v>32</v>
      </c>
      <c r="G1038">
        <v>9</v>
      </c>
      <c r="H1038">
        <v>3.80710659898477E-3</v>
      </c>
      <c r="I1038">
        <v>0.28125</v>
      </c>
      <c r="J1038" s="14" t="str">
        <f>_xlfn.XLOOKUP(B1038,CAD_PDV!A:A,CAD_PDV!B:B)</f>
        <v>HS TELECOM</v>
      </c>
      <c r="K1038" s="14">
        <f>IF(IFERROR(_xlfn.XLOOKUP(B1038,Planilha2!D:D,Planilha2!H:H),0)="SIM",1,0)</f>
        <v>0</v>
      </c>
      <c r="L1038" s="14" t="str">
        <f>_xlfn.XLOOKUP(B1038,CAD_PDV!A:A,CAD_PDV!C:C)</f>
        <v>BA/SE</v>
      </c>
      <c r="M1038" s="14" t="str">
        <f>IFERROR(_xlfn.XLOOKUP(B1038,repete!A:A,repete!A:A),"-")</f>
        <v>-</v>
      </c>
    </row>
    <row r="1039" spans="1:13" hidden="1">
      <c r="A1039" s="1">
        <v>46113</v>
      </c>
      <c r="B1039" t="s">
        <v>1364</v>
      </c>
      <c r="C1039" t="s">
        <v>1313</v>
      </c>
      <c r="D1039" t="s">
        <v>132</v>
      </c>
      <c r="E1039" t="s">
        <v>53</v>
      </c>
      <c r="F1039">
        <v>153</v>
      </c>
      <c r="G1039">
        <v>9</v>
      </c>
      <c r="H1039">
        <v>3.80710659898477E-3</v>
      </c>
      <c r="I1039">
        <v>5.8823529411764698E-2</v>
      </c>
      <c r="J1039" s="14" t="str">
        <f>_xlfn.XLOOKUP(B1039,CAD_PDV!A:A,CAD_PDV!B:B)</f>
        <v>FLEX CELL</v>
      </c>
      <c r="K1039" s="14">
        <f>IF(IFERROR(_xlfn.XLOOKUP(B1039,Planilha2!D:D,Planilha2!H:H),0)="SIM",1,0)</f>
        <v>0</v>
      </c>
      <c r="L1039" s="14" t="str">
        <f>_xlfn.XLOOKUP(B1039,CAD_PDV!A:A,CAD_PDV!C:C)</f>
        <v>SP1</v>
      </c>
      <c r="M1039" s="14" t="str">
        <f>IFERROR(_xlfn.XLOOKUP(B1039,repete!A:A,repete!A:A),"-")</f>
        <v>-</v>
      </c>
    </row>
    <row r="1040" spans="1:13" hidden="1">
      <c r="A1040" s="1">
        <v>46113</v>
      </c>
      <c r="B1040" t="s">
        <v>895</v>
      </c>
      <c r="C1040" t="s">
        <v>873</v>
      </c>
      <c r="D1040" t="s">
        <v>224</v>
      </c>
      <c r="E1040" t="s">
        <v>59</v>
      </c>
      <c r="F1040">
        <v>72</v>
      </c>
      <c r="G1040">
        <v>9</v>
      </c>
      <c r="H1040">
        <v>3.80710659898477E-3</v>
      </c>
      <c r="I1040">
        <v>0.125</v>
      </c>
      <c r="J1040" s="14" t="str">
        <f>_xlfn.XLOOKUP(B1040,CAD_PDV!A:A,CAD_PDV!B:B)</f>
        <v>CELNET COMERCIO E SERVICOS DE TELEFONIA LTDA ME</v>
      </c>
      <c r="K1040" s="14">
        <f>IF(IFERROR(_xlfn.XLOOKUP(B1040,Planilha2!D:D,Planilha2!H:H),0)="SIM",1,0)</f>
        <v>0</v>
      </c>
      <c r="L1040" s="14" t="str">
        <f>_xlfn.XLOOKUP(B1040,CAD_PDV!A:A,CAD_PDV!C:C)</f>
        <v>CO</v>
      </c>
      <c r="M1040" s="14" t="str">
        <f>IFERROR(_xlfn.XLOOKUP(B1040,repete!A:A,repete!A:A),"-")</f>
        <v>-</v>
      </c>
    </row>
    <row r="1041" spans="1:13" hidden="1">
      <c r="A1041" s="1">
        <v>46113</v>
      </c>
      <c r="B1041" t="s">
        <v>1339</v>
      </c>
      <c r="C1041" t="s">
        <v>1313</v>
      </c>
      <c r="D1041" t="s">
        <v>225</v>
      </c>
      <c r="E1041" t="s">
        <v>53</v>
      </c>
      <c r="F1041">
        <v>153</v>
      </c>
      <c r="G1041">
        <v>9</v>
      </c>
      <c r="H1041">
        <v>3.80710659898477E-3</v>
      </c>
      <c r="I1041">
        <v>5.8823529411764698E-2</v>
      </c>
      <c r="J1041" s="14" t="str">
        <f>_xlfn.XLOOKUP(B1041,CAD_PDV!A:A,CAD_PDV!B:B)</f>
        <v>CLARICELL SP1</v>
      </c>
      <c r="K1041" s="14">
        <f>IF(IFERROR(_xlfn.XLOOKUP(B1041,Planilha2!D:D,Planilha2!H:H),0)="SIM",1,0)</f>
        <v>0</v>
      </c>
      <c r="L1041" s="14" t="str">
        <f>_xlfn.XLOOKUP(B1041,CAD_PDV!A:A,CAD_PDV!C:C)</f>
        <v>SP1</v>
      </c>
      <c r="M1041" s="14" t="str">
        <f>IFERROR(_xlfn.XLOOKUP(B1041,repete!A:A,repete!A:A),"-")</f>
        <v>-</v>
      </c>
    </row>
    <row r="1042" spans="1:13" hidden="1">
      <c r="A1042" s="1">
        <v>46113</v>
      </c>
      <c r="B1042" t="s">
        <v>1177</v>
      </c>
      <c r="C1042" t="s">
        <v>1142</v>
      </c>
      <c r="D1042" t="s">
        <v>228</v>
      </c>
      <c r="E1042" t="s">
        <v>55</v>
      </c>
      <c r="F1042">
        <v>47</v>
      </c>
      <c r="G1042">
        <v>9</v>
      </c>
      <c r="H1042">
        <v>3.80710659898477E-3</v>
      </c>
      <c r="I1042">
        <v>0.19148936170212799</v>
      </c>
      <c r="J1042" s="14" t="str">
        <f>_xlfn.XLOOKUP(B1042,CAD_PDV!A:A,CAD_PDV!B:B)</f>
        <v>FAJULUTI</v>
      </c>
      <c r="K1042" s="14">
        <f>IF(IFERROR(_xlfn.XLOOKUP(B1042,Planilha2!D:D,Planilha2!H:H),0)="SIM",1,0)</f>
        <v>0</v>
      </c>
      <c r="L1042" s="14" t="str">
        <f>_xlfn.XLOOKUP(B1042,CAD_PDV!A:A,CAD_PDV!C:C)</f>
        <v>RJ/ES</v>
      </c>
      <c r="M1042" s="14" t="str">
        <f>IFERROR(_xlfn.XLOOKUP(B1042,repete!A:A,repete!A:A),"-")</f>
        <v>-</v>
      </c>
    </row>
    <row r="1043" spans="1:13" hidden="1">
      <c r="A1043" s="1">
        <v>46113</v>
      </c>
      <c r="B1043" t="s">
        <v>1875</v>
      </c>
      <c r="C1043" t="s">
        <v>1876</v>
      </c>
      <c r="D1043" t="s">
        <v>124</v>
      </c>
      <c r="E1043" t="s">
        <v>2074</v>
      </c>
      <c r="F1043">
        <v>47</v>
      </c>
      <c r="G1043">
        <v>8</v>
      </c>
      <c r="H1043">
        <v>3.3840947546531302E-3</v>
      </c>
      <c r="I1043">
        <v>0.170212765957447</v>
      </c>
      <c r="J1043" s="14" t="str">
        <f>_xlfn.XLOOKUP(B1043,CAD_PDV!A:A,CAD_PDV!B:B)</f>
        <v>EDUARDO JUNQUEIRA DA SILVEIRA ADMIN</v>
      </c>
      <c r="K1043" s="14">
        <f>IF(IFERROR(_xlfn.XLOOKUP(B1043,Planilha2!D:D,Planilha2!H:H),0)="SIM",1,0)</f>
        <v>0</v>
      </c>
      <c r="L1043" s="14" t="str">
        <f>_xlfn.XLOOKUP(B1043,CAD_PDV!A:A,CAD_PDV!C:C)</f>
        <v>RS</v>
      </c>
      <c r="M1043" s="14" t="str">
        <f>IFERROR(_xlfn.XLOOKUP(B1043,repete!A:A,repete!A:A),"-")</f>
        <v>-</v>
      </c>
    </row>
    <row r="1044" spans="1:13" hidden="1">
      <c r="A1044" s="1">
        <v>46113</v>
      </c>
      <c r="B1044" t="s">
        <v>1497</v>
      </c>
      <c r="C1044" t="s">
        <v>1499</v>
      </c>
      <c r="D1044" t="s">
        <v>132</v>
      </c>
      <c r="E1044" t="s">
        <v>54</v>
      </c>
      <c r="F1044">
        <v>68</v>
      </c>
      <c r="G1044">
        <v>8</v>
      </c>
      <c r="H1044">
        <v>3.3840947546531302E-3</v>
      </c>
      <c r="I1044">
        <v>0.11764705882352899</v>
      </c>
      <c r="J1044" s="14" t="str">
        <f>_xlfn.XLOOKUP(B1044,CAD_PDV!A:A,CAD_PDV!B:B)</f>
        <v>FLEX CELL</v>
      </c>
      <c r="K1044" s="14">
        <f>IF(IFERROR(_xlfn.XLOOKUP(B1044,Planilha2!D:D,Planilha2!H:H),0)="SIM",1,0)</f>
        <v>0</v>
      </c>
      <c r="L1044" s="14" t="str">
        <f>_xlfn.XLOOKUP(B1044,CAD_PDV!A:A,CAD_PDV!C:C)</f>
        <v>SP2</v>
      </c>
      <c r="M1044" s="14" t="str">
        <f>IFERROR(_xlfn.XLOOKUP(B1044,repete!A:A,repete!A:A),"-")</f>
        <v>-</v>
      </c>
    </row>
    <row r="1045" spans="1:13" hidden="1">
      <c r="A1045" s="1">
        <v>46113</v>
      </c>
      <c r="B1045" t="s">
        <v>1232</v>
      </c>
      <c r="C1045" t="s">
        <v>1142</v>
      </c>
      <c r="D1045" t="s">
        <v>237</v>
      </c>
      <c r="E1045" t="s">
        <v>55</v>
      </c>
      <c r="F1045">
        <v>77</v>
      </c>
      <c r="G1045">
        <v>8</v>
      </c>
      <c r="H1045">
        <v>3.3840947546531302E-3</v>
      </c>
      <c r="I1045">
        <v>0.103896103896104</v>
      </c>
      <c r="J1045" s="14" t="str">
        <f>_xlfn.XLOOKUP(B1045,CAD_PDV!A:A,CAD_PDV!B:B)</f>
        <v>PONTO CERTO COMERCIO E COMUNICAÇÕES LTDA</v>
      </c>
      <c r="K1045" s="14">
        <f>IF(IFERROR(_xlfn.XLOOKUP(B1045,Planilha2!D:D,Planilha2!H:H),0)="SIM",1,0)</f>
        <v>0</v>
      </c>
      <c r="L1045" s="14" t="str">
        <f>_xlfn.XLOOKUP(B1045,CAD_PDV!A:A,CAD_PDV!C:C)</f>
        <v>RJ/ES</v>
      </c>
      <c r="M1045" s="14" t="str">
        <f>IFERROR(_xlfn.XLOOKUP(B1045,repete!A:A,repete!A:A),"-")</f>
        <v>-</v>
      </c>
    </row>
    <row r="1046" spans="1:13" hidden="1">
      <c r="A1046" s="1">
        <v>46113</v>
      </c>
      <c r="B1046" t="s">
        <v>1233</v>
      </c>
      <c r="C1046" t="s">
        <v>1142</v>
      </c>
      <c r="D1046" t="s">
        <v>237</v>
      </c>
      <c r="E1046" t="s">
        <v>55</v>
      </c>
      <c r="F1046">
        <v>145</v>
      </c>
      <c r="G1046">
        <v>8</v>
      </c>
      <c r="H1046">
        <v>3.3840947546531302E-3</v>
      </c>
      <c r="I1046">
        <v>5.5172413793103399E-2</v>
      </c>
      <c r="J1046" s="14" t="str">
        <f>_xlfn.XLOOKUP(B1046,CAD_PDV!A:A,CAD_PDV!B:B)</f>
        <v>PONTO CERTO COMERCIO E COMUNICAÇÕES LTDA</v>
      </c>
      <c r="K1046" s="14">
        <f>IF(IFERROR(_xlfn.XLOOKUP(B1046,Planilha2!D:D,Planilha2!H:H),0)="SIM",1,0)</f>
        <v>0</v>
      </c>
      <c r="L1046" s="14" t="str">
        <f>_xlfn.XLOOKUP(B1046,CAD_PDV!A:A,CAD_PDV!C:C)</f>
        <v>RJ/ES</v>
      </c>
      <c r="M1046" s="14" t="str">
        <f>IFERROR(_xlfn.XLOOKUP(B1046,repete!A:A,repete!A:A),"-")</f>
        <v>-</v>
      </c>
    </row>
    <row r="1047" spans="1:13" hidden="1">
      <c r="A1047" s="1">
        <v>46113</v>
      </c>
      <c r="B1047" t="s">
        <v>1363</v>
      </c>
      <c r="C1047" t="s">
        <v>1313</v>
      </c>
      <c r="D1047" t="s">
        <v>132</v>
      </c>
      <c r="E1047" t="s">
        <v>53</v>
      </c>
      <c r="F1047">
        <v>105</v>
      </c>
      <c r="G1047">
        <v>8</v>
      </c>
      <c r="H1047">
        <v>3.3840947546531302E-3</v>
      </c>
      <c r="I1047">
        <v>7.6190476190476197E-2</v>
      </c>
      <c r="J1047" s="14" t="str">
        <f>_xlfn.XLOOKUP(B1047,CAD_PDV!A:A,CAD_PDV!B:B)</f>
        <v>FLEX CELL</v>
      </c>
      <c r="K1047" s="14">
        <f>IF(IFERROR(_xlfn.XLOOKUP(B1047,Planilha2!D:D,Planilha2!H:H),0)="SIM",1,0)</f>
        <v>0</v>
      </c>
      <c r="L1047" s="14" t="str">
        <f>_xlfn.XLOOKUP(B1047,CAD_PDV!A:A,CAD_PDV!C:C)</f>
        <v>SP1</v>
      </c>
      <c r="M1047" s="14" t="str">
        <f>IFERROR(_xlfn.XLOOKUP(B1047,repete!A:A,repete!A:A),"-")</f>
        <v>-</v>
      </c>
    </row>
    <row r="1048" spans="1:13" hidden="1">
      <c r="A1048" s="1">
        <v>46113</v>
      </c>
      <c r="B1048" t="s">
        <v>1630</v>
      </c>
      <c r="C1048" t="s">
        <v>1632</v>
      </c>
      <c r="D1048" t="s">
        <v>232</v>
      </c>
      <c r="E1048" t="s">
        <v>54</v>
      </c>
      <c r="F1048">
        <v>48</v>
      </c>
      <c r="G1048">
        <v>8</v>
      </c>
      <c r="H1048">
        <v>3.3840947546531302E-3</v>
      </c>
      <c r="I1048">
        <v>0.16666666666666699</v>
      </c>
      <c r="J1048" s="14" t="str">
        <f>_xlfn.XLOOKUP(B1048,CAD_PDV!A:A,CAD_PDV!B:B)</f>
        <v>HS TELECOM</v>
      </c>
      <c r="K1048" s="14">
        <f>IF(IFERROR(_xlfn.XLOOKUP(B1048,Planilha2!D:D,Planilha2!H:H),0)="SIM",1,0)</f>
        <v>0</v>
      </c>
      <c r="L1048" s="14" t="str">
        <f>_xlfn.XLOOKUP(B1048,CAD_PDV!A:A,CAD_PDV!C:C)</f>
        <v>SP2</v>
      </c>
      <c r="M1048" s="14" t="str">
        <f>IFERROR(_xlfn.XLOOKUP(B1048,repete!A:A,repete!A:A),"-")</f>
        <v>-</v>
      </c>
    </row>
    <row r="1049" spans="1:13" hidden="1">
      <c r="A1049" s="1">
        <v>46113</v>
      </c>
      <c r="B1049" t="s">
        <v>2041</v>
      </c>
      <c r="C1049" t="s">
        <v>2042</v>
      </c>
      <c r="D1049" t="s">
        <v>193</v>
      </c>
      <c r="E1049" t="s">
        <v>2074</v>
      </c>
      <c r="F1049">
        <v>56</v>
      </c>
      <c r="G1049">
        <v>8</v>
      </c>
      <c r="H1049">
        <v>3.3840947546531302E-3</v>
      </c>
      <c r="I1049">
        <v>0.14285714285714299</v>
      </c>
      <c r="J1049" s="14" t="str">
        <f>_xlfn.XLOOKUP(B1049,CAD_PDV!A:A,CAD_PDV!B:B)</f>
        <v>S D COMERCIO DE CELULARES LTDA - ME</v>
      </c>
      <c r="K1049" s="14">
        <f>IF(IFERROR(_xlfn.XLOOKUP(B1049,Planilha2!D:D,Planilha2!H:H),0)="SIM",1,0)</f>
        <v>0</v>
      </c>
      <c r="L1049" s="14" t="str">
        <f>_xlfn.XLOOKUP(B1049,CAD_PDV!A:A,CAD_PDV!C:C)</f>
        <v>RS</v>
      </c>
      <c r="M1049" s="14" t="str">
        <f>IFERROR(_xlfn.XLOOKUP(B1049,repete!A:A,repete!A:A),"-")</f>
        <v>-</v>
      </c>
    </row>
    <row r="1050" spans="1:13" hidden="1">
      <c r="A1050" s="1">
        <v>46113</v>
      </c>
      <c r="B1050" t="s">
        <v>1252</v>
      </c>
      <c r="C1050" t="s">
        <v>1142</v>
      </c>
      <c r="D1050" t="s">
        <v>228</v>
      </c>
      <c r="E1050" t="s">
        <v>55</v>
      </c>
      <c r="F1050">
        <v>39</v>
      </c>
      <c r="G1050">
        <v>8</v>
      </c>
      <c r="H1050">
        <v>3.3840947546531302E-3</v>
      </c>
      <c r="I1050">
        <v>0.20512820512820501</v>
      </c>
      <c r="J1050" s="14" t="str">
        <f>_xlfn.XLOOKUP(B1050,CAD_PDV!A:A,CAD_PDV!B:B)</f>
        <v>FAJULUTI</v>
      </c>
      <c r="K1050" s="14">
        <f>IF(IFERROR(_xlfn.XLOOKUP(B1050,Planilha2!D:D,Planilha2!H:H),0)="SIM",1,0)</f>
        <v>0</v>
      </c>
      <c r="L1050" s="14" t="str">
        <f>_xlfn.XLOOKUP(B1050,CAD_PDV!A:A,CAD_PDV!C:C)</f>
        <v>RJ/ES</v>
      </c>
      <c r="M1050" s="14" t="str">
        <f>IFERROR(_xlfn.XLOOKUP(B1050,repete!A:A,repete!A:A),"-")</f>
        <v>-</v>
      </c>
    </row>
    <row r="1051" spans="1:13" hidden="1">
      <c r="A1051" s="1">
        <v>46113</v>
      </c>
      <c r="B1051" t="s">
        <v>369</v>
      </c>
      <c r="C1051" t="s">
        <v>370</v>
      </c>
      <c r="D1051" t="s">
        <v>230</v>
      </c>
      <c r="E1051" t="s">
        <v>61</v>
      </c>
      <c r="F1051">
        <v>42</v>
      </c>
      <c r="G1051">
        <v>8</v>
      </c>
      <c r="H1051">
        <v>3.3840947546531302E-3</v>
      </c>
      <c r="I1051">
        <v>0.19047619047618999</v>
      </c>
      <c r="J1051" s="14" t="str">
        <f>_xlfn.XLOOKUP(B1051,CAD_PDV!A:A,CAD_PDV!B:B)</f>
        <v>HARCOS COMERCIO E SERVICOS LTDA - EPP</v>
      </c>
      <c r="K1051" s="14">
        <f>IF(IFERROR(_xlfn.XLOOKUP(B1051,Planilha2!D:D,Planilha2!H:H),0)="SIM",1,0)</f>
        <v>0</v>
      </c>
      <c r="L1051" s="14" t="str">
        <f>_xlfn.XLOOKUP(B1051,CAD_PDV!A:A,CAD_PDV!C:C)</f>
        <v>NE</v>
      </c>
      <c r="M1051" s="14" t="str">
        <f>IFERROR(_xlfn.XLOOKUP(B1051,repete!A:A,repete!A:A),"-")</f>
        <v>-</v>
      </c>
    </row>
    <row r="1052" spans="1:13" hidden="1">
      <c r="A1052" s="1">
        <v>46113</v>
      </c>
      <c r="B1052" t="s">
        <v>1681</v>
      </c>
      <c r="C1052" t="s">
        <v>1527</v>
      </c>
      <c r="D1052" t="s">
        <v>232</v>
      </c>
      <c r="E1052" t="s">
        <v>54</v>
      </c>
      <c r="F1052">
        <v>116</v>
      </c>
      <c r="G1052">
        <v>8</v>
      </c>
      <c r="H1052">
        <v>3.3840947546531302E-3</v>
      </c>
      <c r="I1052">
        <v>6.8965517241379296E-2</v>
      </c>
      <c r="J1052" s="14" t="str">
        <f>_xlfn.XLOOKUP(B1052,CAD_PDV!A:A,CAD_PDV!B:B)</f>
        <v>HS TELECOM</v>
      </c>
      <c r="K1052" s="14">
        <f>IF(IFERROR(_xlfn.XLOOKUP(B1052,Planilha2!D:D,Planilha2!H:H),0)="SIM",1,0)</f>
        <v>0</v>
      </c>
      <c r="L1052" s="14" t="str">
        <f>_xlfn.XLOOKUP(B1052,CAD_PDV!A:A,CAD_PDV!C:C)</f>
        <v>SP2</v>
      </c>
      <c r="M1052" s="14" t="str">
        <f>IFERROR(_xlfn.XLOOKUP(B1052,repete!A:A,repete!A:A),"-")</f>
        <v>-</v>
      </c>
    </row>
    <row r="1053" spans="1:13" hidden="1">
      <c r="A1053" s="1">
        <v>46113</v>
      </c>
      <c r="B1053" t="s">
        <v>306</v>
      </c>
      <c r="C1053" t="s">
        <v>308</v>
      </c>
      <c r="D1053" t="s">
        <v>230</v>
      </c>
      <c r="E1053" t="s">
        <v>61</v>
      </c>
      <c r="F1053">
        <v>47</v>
      </c>
      <c r="G1053">
        <v>7</v>
      </c>
      <c r="H1053">
        <v>2.9610829103214899E-3</v>
      </c>
      <c r="I1053">
        <v>0.14893617021276601</v>
      </c>
      <c r="J1053" s="14" t="str">
        <f>_xlfn.XLOOKUP(B1053,CAD_PDV!A:A,CAD_PDV!B:B)</f>
        <v>HARCOS COMERCIO E SERVICOS LTDA - EPP</v>
      </c>
      <c r="K1053" s="14">
        <f>IF(IFERROR(_xlfn.XLOOKUP(B1053,Planilha2!D:D,Planilha2!H:H),0)="SIM",1,0)</f>
        <v>0</v>
      </c>
      <c r="L1053" s="14" t="str">
        <f>_xlfn.XLOOKUP(B1053,CAD_PDV!A:A,CAD_PDV!C:C)</f>
        <v>NE</v>
      </c>
      <c r="M1053" s="14" t="str">
        <f>IFERROR(_xlfn.XLOOKUP(B1053,repete!A:A,repete!A:A),"-")</f>
        <v>-</v>
      </c>
    </row>
    <row r="1054" spans="1:13" hidden="1">
      <c r="A1054" s="1">
        <v>46113</v>
      </c>
      <c r="B1054" t="s">
        <v>258</v>
      </c>
      <c r="C1054" t="s">
        <v>261</v>
      </c>
      <c r="D1054" t="s">
        <v>230</v>
      </c>
      <c r="E1054" t="s">
        <v>61</v>
      </c>
      <c r="F1054">
        <v>107</v>
      </c>
      <c r="G1054">
        <v>7</v>
      </c>
      <c r="H1054">
        <v>2.9610829103214899E-3</v>
      </c>
      <c r="I1054">
        <v>6.5420560747663503E-2</v>
      </c>
      <c r="J1054" s="14" t="str">
        <f>_xlfn.XLOOKUP(B1054,CAD_PDV!A:A,CAD_PDV!B:B)</f>
        <v>HARCOS COMERCIO E SERVICOS LTDA - EPP</v>
      </c>
      <c r="K1054" s="14">
        <f>IF(IFERROR(_xlfn.XLOOKUP(B1054,Planilha2!D:D,Planilha2!H:H),0)="SIM",1,0)</f>
        <v>0</v>
      </c>
      <c r="L1054" s="14" t="str">
        <f>_xlfn.XLOOKUP(B1054,CAD_PDV!A:A,CAD_PDV!C:C)</f>
        <v>NE</v>
      </c>
      <c r="M1054" s="14" t="str">
        <f>IFERROR(_xlfn.XLOOKUP(B1054,repete!A:A,repete!A:A),"-")</f>
        <v>-</v>
      </c>
    </row>
    <row r="1055" spans="1:13" hidden="1">
      <c r="A1055" s="1">
        <v>46113</v>
      </c>
      <c r="B1055" t="s">
        <v>746</v>
      </c>
      <c r="C1055" t="s">
        <v>610</v>
      </c>
      <c r="D1055" t="s">
        <v>224</v>
      </c>
      <c r="E1055" t="s">
        <v>59</v>
      </c>
      <c r="F1055">
        <v>89</v>
      </c>
      <c r="G1055">
        <v>7</v>
      </c>
      <c r="H1055">
        <v>2.9610829103214899E-3</v>
      </c>
      <c r="I1055">
        <v>7.8651685393258397E-2</v>
      </c>
      <c r="J1055" s="14" t="str">
        <f>_xlfn.XLOOKUP(B1055,CAD_PDV!A:A,CAD_PDV!B:B)</f>
        <v>CELNET COMERCIO E SERVICOS DE TELEFONIA LTDA ME</v>
      </c>
      <c r="K1055" s="14">
        <f>IF(IFERROR(_xlfn.XLOOKUP(B1055,Planilha2!D:D,Planilha2!H:H),0)="SIM",1,0)</f>
        <v>0</v>
      </c>
      <c r="L1055" s="14" t="str">
        <f>_xlfn.XLOOKUP(B1055,CAD_PDV!A:A,CAD_PDV!C:C)</f>
        <v>CO</v>
      </c>
      <c r="M1055" s="14" t="str">
        <f>IFERROR(_xlfn.XLOOKUP(B1055,repete!A:A,repete!A:A),"-")</f>
        <v>-</v>
      </c>
    </row>
    <row r="1056" spans="1:13" hidden="1">
      <c r="A1056" s="1">
        <v>46113</v>
      </c>
      <c r="B1056" t="s">
        <v>1319</v>
      </c>
      <c r="C1056" t="s">
        <v>1313</v>
      </c>
      <c r="D1056" t="s">
        <v>225</v>
      </c>
      <c r="E1056" t="s">
        <v>53</v>
      </c>
      <c r="F1056">
        <v>86</v>
      </c>
      <c r="G1056">
        <v>7</v>
      </c>
      <c r="H1056">
        <v>2.9610829103214899E-3</v>
      </c>
      <c r="I1056">
        <v>8.1395348837209294E-2</v>
      </c>
      <c r="J1056" s="14" t="str">
        <f>_xlfn.XLOOKUP(B1056,CAD_PDV!A:A,CAD_PDV!B:B)</f>
        <v>CLARICELL SP1</v>
      </c>
      <c r="K1056" s="14">
        <f>IF(IFERROR(_xlfn.XLOOKUP(B1056,Planilha2!D:D,Planilha2!H:H),0)="SIM",1,0)</f>
        <v>0</v>
      </c>
      <c r="L1056" s="14" t="str">
        <f>_xlfn.XLOOKUP(B1056,CAD_PDV!A:A,CAD_PDV!C:C)</f>
        <v>SP1</v>
      </c>
      <c r="M1056" s="14" t="str">
        <f>IFERROR(_xlfn.XLOOKUP(B1056,repete!A:A,repete!A:A),"-")</f>
        <v>-</v>
      </c>
    </row>
    <row r="1057" spans="1:13" hidden="1">
      <c r="A1057" s="1">
        <v>46113</v>
      </c>
      <c r="B1057" t="s">
        <v>781</v>
      </c>
      <c r="C1057" t="s">
        <v>637</v>
      </c>
      <c r="D1057" t="s">
        <v>221</v>
      </c>
      <c r="E1057" t="s">
        <v>59</v>
      </c>
      <c r="F1057">
        <v>46</v>
      </c>
      <c r="G1057">
        <v>7</v>
      </c>
      <c r="H1057">
        <v>2.9610829103214899E-3</v>
      </c>
      <c r="I1057">
        <v>0.15217391304347799</v>
      </c>
      <c r="J1057" s="14" t="str">
        <f>_xlfn.XLOOKUP(B1057,CAD_PDV!A:A,CAD_PDV!B:B)</f>
        <v>AMERICOM COMERCIO DE APARELHOS ELETRONICOS LTDA - EPP</v>
      </c>
      <c r="K1057" s="14">
        <f>IF(IFERROR(_xlfn.XLOOKUP(B1057,Planilha2!D:D,Planilha2!H:H),0)="SIM",1,0)</f>
        <v>0</v>
      </c>
      <c r="L1057" s="14" t="str">
        <f>_xlfn.XLOOKUP(B1057,CAD_PDV!A:A,CAD_PDV!C:C)</f>
        <v>CO</v>
      </c>
      <c r="M1057" s="14" t="str">
        <f>IFERROR(_xlfn.XLOOKUP(B1057,repete!A:A,repete!A:A),"-")</f>
        <v>-</v>
      </c>
    </row>
    <row r="1058" spans="1:13" hidden="1">
      <c r="A1058" s="1">
        <v>46113</v>
      </c>
      <c r="B1058" t="s">
        <v>371</v>
      </c>
      <c r="C1058" t="s">
        <v>291</v>
      </c>
      <c r="D1058" t="s">
        <v>230</v>
      </c>
      <c r="E1058" t="s">
        <v>61</v>
      </c>
      <c r="F1058">
        <v>126</v>
      </c>
      <c r="G1058">
        <v>7</v>
      </c>
      <c r="H1058">
        <v>2.9610829103214899E-3</v>
      </c>
      <c r="I1058">
        <v>5.5555555555555601E-2</v>
      </c>
      <c r="J1058" s="14" t="str">
        <f>_xlfn.XLOOKUP(B1058,CAD_PDV!A:A,CAD_PDV!B:B)</f>
        <v>HARCOS COMERCIO E SERVICOS LTDA - EPP</v>
      </c>
      <c r="K1058" s="14">
        <f>IF(IFERROR(_xlfn.XLOOKUP(B1058,Planilha2!D:D,Planilha2!H:H),0)="SIM",1,0)</f>
        <v>0</v>
      </c>
      <c r="L1058" s="14" t="str">
        <f>_xlfn.XLOOKUP(B1058,CAD_PDV!A:A,CAD_PDV!C:C)</f>
        <v>NE</v>
      </c>
      <c r="M1058" s="14" t="str">
        <f>IFERROR(_xlfn.XLOOKUP(B1058,repete!A:A,repete!A:A),"-")</f>
        <v>-</v>
      </c>
    </row>
    <row r="1059" spans="1:13" hidden="1">
      <c r="A1059" s="1">
        <v>46113</v>
      </c>
      <c r="B1059" t="s">
        <v>1656</v>
      </c>
      <c r="C1059" t="s">
        <v>1657</v>
      </c>
      <c r="D1059" t="s">
        <v>232</v>
      </c>
      <c r="E1059" t="s">
        <v>54</v>
      </c>
      <c r="F1059">
        <v>77</v>
      </c>
      <c r="G1059">
        <v>7</v>
      </c>
      <c r="H1059">
        <v>2.9610829103214899E-3</v>
      </c>
      <c r="I1059">
        <v>9.0909090909090898E-2</v>
      </c>
      <c r="J1059" s="14" t="str">
        <f>_xlfn.XLOOKUP(B1059,CAD_PDV!A:A,CAD_PDV!B:B)</f>
        <v>HS TELECOM</v>
      </c>
      <c r="K1059" s="14">
        <f>IF(IFERROR(_xlfn.XLOOKUP(B1059,Planilha2!D:D,Planilha2!H:H),0)="SIM",1,0)</f>
        <v>0</v>
      </c>
      <c r="L1059" s="14" t="str">
        <f>_xlfn.XLOOKUP(B1059,CAD_PDV!A:A,CAD_PDV!C:C)</f>
        <v>SP2</v>
      </c>
      <c r="M1059" s="14" t="str">
        <f>IFERROR(_xlfn.XLOOKUP(B1059,repete!A:A,repete!A:A),"-")</f>
        <v>-</v>
      </c>
    </row>
    <row r="1060" spans="1:13" hidden="1">
      <c r="A1060" s="1">
        <v>46113</v>
      </c>
      <c r="B1060" t="s">
        <v>1683</v>
      </c>
      <c r="C1060" t="s">
        <v>1684</v>
      </c>
      <c r="D1060" t="s">
        <v>232</v>
      </c>
      <c r="E1060" t="s">
        <v>54</v>
      </c>
      <c r="F1060">
        <v>51</v>
      </c>
      <c r="G1060">
        <v>7</v>
      </c>
      <c r="H1060">
        <v>2.9610829103214899E-3</v>
      </c>
      <c r="I1060">
        <v>0.13725490196078399</v>
      </c>
      <c r="J1060" s="14" t="str">
        <f>_xlfn.XLOOKUP(B1060,CAD_PDV!A:A,CAD_PDV!B:B)</f>
        <v>HS TELECOM</v>
      </c>
      <c r="K1060" s="14">
        <f>IF(IFERROR(_xlfn.XLOOKUP(B1060,Planilha2!D:D,Planilha2!H:H),0)="SIM",1,0)</f>
        <v>0</v>
      </c>
      <c r="L1060" s="14" t="str">
        <f>_xlfn.XLOOKUP(B1060,CAD_PDV!A:A,CAD_PDV!C:C)</f>
        <v>SP2</v>
      </c>
      <c r="M1060" s="14" t="str">
        <f>IFERROR(_xlfn.XLOOKUP(B1060,repete!A:A,repete!A:A),"-")</f>
        <v>-</v>
      </c>
    </row>
    <row r="1061" spans="1:13" hidden="1">
      <c r="A1061" s="1">
        <v>46113</v>
      </c>
      <c r="B1061" t="s">
        <v>1877</v>
      </c>
      <c r="C1061" t="s">
        <v>1876</v>
      </c>
      <c r="D1061" t="s">
        <v>124</v>
      </c>
      <c r="E1061" t="s">
        <v>2074</v>
      </c>
      <c r="F1061">
        <v>52</v>
      </c>
      <c r="G1061">
        <v>7</v>
      </c>
      <c r="H1061">
        <v>2.9610829103214899E-3</v>
      </c>
      <c r="I1061">
        <v>0.134615384615385</v>
      </c>
      <c r="J1061" s="14" t="str">
        <f>_xlfn.XLOOKUP(B1061,CAD_PDV!A:A,CAD_PDV!B:B)</f>
        <v>EDUARDO JUNQUEIRA DA SILVEIRA ADMIN</v>
      </c>
      <c r="K1061" s="14">
        <f>IF(IFERROR(_xlfn.XLOOKUP(B1061,Planilha2!D:D,Planilha2!H:H),0)="SIM",1,0)</f>
        <v>0</v>
      </c>
      <c r="L1061" s="14" t="str">
        <f>_xlfn.XLOOKUP(B1061,CAD_PDV!A:A,CAD_PDV!C:C)</f>
        <v>RS</v>
      </c>
      <c r="M1061" s="14" t="str">
        <f>IFERROR(_xlfn.XLOOKUP(B1061,repete!A:A,repete!A:A),"-")</f>
        <v>-</v>
      </c>
    </row>
    <row r="1062" spans="1:13" hidden="1">
      <c r="A1062" s="1">
        <v>46113</v>
      </c>
      <c r="B1062" t="s">
        <v>640</v>
      </c>
      <c r="C1062" t="s">
        <v>641</v>
      </c>
      <c r="D1062" t="s">
        <v>221</v>
      </c>
      <c r="E1062" t="s">
        <v>59</v>
      </c>
      <c r="F1062">
        <v>84</v>
      </c>
      <c r="G1062">
        <v>7</v>
      </c>
      <c r="H1062">
        <v>2.9610829103214899E-3</v>
      </c>
      <c r="I1062">
        <v>8.3333333333333301E-2</v>
      </c>
      <c r="J1062" s="14" t="str">
        <f>_xlfn.XLOOKUP(B1062,CAD_PDV!A:A,CAD_PDV!B:B)</f>
        <v>AMERICOM COMERCIO DE APARELHOS ELETRONICOS LTDA - EPP</v>
      </c>
      <c r="K1062" s="14">
        <f>IF(IFERROR(_xlfn.XLOOKUP(B1062,Planilha2!D:D,Planilha2!H:H),0)="SIM",1,0)</f>
        <v>0</v>
      </c>
      <c r="L1062" s="14" t="str">
        <f>_xlfn.XLOOKUP(B1062,CAD_PDV!A:A,CAD_PDV!C:C)</f>
        <v>CO</v>
      </c>
      <c r="M1062" s="14" t="str">
        <f>IFERROR(_xlfn.XLOOKUP(B1062,repete!A:A,repete!A:A),"-")</f>
        <v>-</v>
      </c>
    </row>
    <row r="1063" spans="1:13" hidden="1">
      <c r="A1063" s="1">
        <v>46113</v>
      </c>
      <c r="B1063" t="s">
        <v>2052</v>
      </c>
      <c r="C1063" t="s">
        <v>2053</v>
      </c>
      <c r="D1063" t="s">
        <v>193</v>
      </c>
      <c r="E1063" t="s">
        <v>2074</v>
      </c>
      <c r="F1063">
        <v>40</v>
      </c>
      <c r="G1063">
        <v>7</v>
      </c>
      <c r="H1063">
        <v>2.9610829103214899E-3</v>
      </c>
      <c r="I1063">
        <v>0.17499999999999999</v>
      </c>
      <c r="J1063" s="14" t="str">
        <f>_xlfn.XLOOKUP(B1063,CAD_PDV!A:A,CAD_PDV!B:B)</f>
        <v>S D COMERCIO DE CELULARES LTDA - ME</v>
      </c>
      <c r="K1063" s="14">
        <f>IF(IFERROR(_xlfn.XLOOKUP(B1063,Planilha2!D:D,Planilha2!H:H),0)="SIM",1,0)</f>
        <v>0</v>
      </c>
      <c r="L1063" s="14" t="str">
        <f>_xlfn.XLOOKUP(B1063,CAD_PDV!A:A,CAD_PDV!C:C)</f>
        <v>RS</v>
      </c>
      <c r="M1063" s="14" t="str">
        <f>IFERROR(_xlfn.XLOOKUP(B1063,repete!A:A,repete!A:A),"-")</f>
        <v>-</v>
      </c>
    </row>
    <row r="1064" spans="1:13" hidden="1">
      <c r="A1064" s="1">
        <v>46113</v>
      </c>
      <c r="B1064" t="s">
        <v>617</v>
      </c>
      <c r="C1064" t="s">
        <v>616</v>
      </c>
      <c r="D1064" t="s">
        <v>239</v>
      </c>
      <c r="E1064" t="s">
        <v>59</v>
      </c>
      <c r="F1064">
        <v>50</v>
      </c>
      <c r="G1064">
        <v>7</v>
      </c>
      <c r="H1064">
        <v>2.9610829103214899E-3</v>
      </c>
      <c r="I1064">
        <v>0.14000000000000001</v>
      </c>
      <c r="J1064" s="14" t="str">
        <f>_xlfn.XLOOKUP(B1064,CAD_PDV!A:A,CAD_PDV!B:B)</f>
        <v>TELECELL TELEFONIA LTDA - ME</v>
      </c>
      <c r="K1064" s="14">
        <f>IF(IFERROR(_xlfn.XLOOKUP(B1064,Planilha2!D:D,Planilha2!H:H),0)="SIM",1,0)</f>
        <v>0</v>
      </c>
      <c r="L1064" s="14" t="str">
        <f>_xlfn.XLOOKUP(B1064,CAD_PDV!A:A,CAD_PDV!C:C)</f>
        <v>CO</v>
      </c>
      <c r="M1064" s="14" t="str">
        <f>IFERROR(_xlfn.XLOOKUP(B1064,repete!A:A,repete!A:A),"-")</f>
        <v>-</v>
      </c>
    </row>
    <row r="1065" spans="1:13" hidden="1">
      <c r="A1065" s="1">
        <v>46113</v>
      </c>
      <c r="B1065" t="s">
        <v>1373</v>
      </c>
      <c r="C1065" t="s">
        <v>1313</v>
      </c>
      <c r="D1065" t="s">
        <v>132</v>
      </c>
      <c r="E1065" t="s">
        <v>53</v>
      </c>
      <c r="F1065">
        <v>86</v>
      </c>
      <c r="G1065">
        <v>7</v>
      </c>
      <c r="H1065">
        <v>2.9610829103214899E-3</v>
      </c>
      <c r="I1065">
        <v>8.1395348837209294E-2</v>
      </c>
      <c r="J1065" s="14" t="str">
        <f>_xlfn.XLOOKUP(B1065,CAD_PDV!A:A,CAD_PDV!B:B)</f>
        <v>FLEX CELL</v>
      </c>
      <c r="K1065" s="14">
        <f>IF(IFERROR(_xlfn.XLOOKUP(B1065,Planilha2!D:D,Planilha2!H:H),0)="SIM",1,0)</f>
        <v>0</v>
      </c>
      <c r="L1065" s="14" t="str">
        <f>_xlfn.XLOOKUP(B1065,CAD_PDV!A:A,CAD_PDV!C:C)</f>
        <v>SP1</v>
      </c>
      <c r="M1065" s="14" t="str">
        <f>IFERROR(_xlfn.XLOOKUP(B1065,repete!A:A,repete!A:A),"-")</f>
        <v>-</v>
      </c>
    </row>
    <row r="1066" spans="1:13" hidden="1">
      <c r="A1066" s="1">
        <v>46113</v>
      </c>
      <c r="B1066" t="s">
        <v>1351</v>
      </c>
      <c r="C1066" t="s">
        <v>1313</v>
      </c>
      <c r="D1066" t="s">
        <v>132</v>
      </c>
      <c r="E1066" t="s">
        <v>53</v>
      </c>
      <c r="F1066">
        <v>105</v>
      </c>
      <c r="G1066">
        <v>6</v>
      </c>
      <c r="H1066">
        <v>2.5380710659898501E-3</v>
      </c>
      <c r="I1066">
        <v>5.7142857142857099E-2</v>
      </c>
      <c r="J1066" s="14" t="str">
        <f>_xlfn.XLOOKUP(B1066,CAD_PDV!A:A,CAD_PDV!B:B)</f>
        <v>FLEX CELL</v>
      </c>
      <c r="K1066" s="14">
        <f>IF(IFERROR(_xlfn.XLOOKUP(B1066,Planilha2!D:D,Planilha2!H:H),0)="SIM",1,0)</f>
        <v>0</v>
      </c>
      <c r="L1066" s="14" t="str">
        <f>_xlfn.XLOOKUP(B1066,CAD_PDV!A:A,CAD_PDV!C:C)</f>
        <v>SP1</v>
      </c>
      <c r="M1066" s="14" t="str">
        <f>IFERROR(_xlfn.XLOOKUP(B1066,repete!A:A,repete!A:A),"-")</f>
        <v>-</v>
      </c>
    </row>
    <row r="1067" spans="1:13" hidden="1">
      <c r="A1067" s="1">
        <v>46113</v>
      </c>
      <c r="B1067" t="s">
        <v>874</v>
      </c>
      <c r="C1067" t="s">
        <v>875</v>
      </c>
      <c r="D1067" t="s">
        <v>239</v>
      </c>
      <c r="E1067" t="s">
        <v>59</v>
      </c>
      <c r="F1067">
        <v>44</v>
      </c>
      <c r="G1067">
        <v>6</v>
      </c>
      <c r="H1067">
        <v>2.5380710659898501E-3</v>
      </c>
      <c r="I1067">
        <v>0.13636363636363599</v>
      </c>
      <c r="J1067" s="14" t="str">
        <f>_xlfn.XLOOKUP(B1067,CAD_PDV!A:A,CAD_PDV!B:B)</f>
        <v>TELECELL TELEFONIA LTDA - ME</v>
      </c>
      <c r="K1067" s="14">
        <f>IF(IFERROR(_xlfn.XLOOKUP(B1067,Planilha2!D:D,Planilha2!H:H),0)="SIM",1,0)</f>
        <v>0</v>
      </c>
      <c r="L1067" s="14" t="str">
        <f>_xlfn.XLOOKUP(B1067,CAD_PDV!A:A,CAD_PDV!C:C)</f>
        <v>CO</v>
      </c>
      <c r="M1067" s="14" t="str">
        <f>IFERROR(_xlfn.XLOOKUP(B1067,repete!A:A,repete!A:A),"-")</f>
        <v>-</v>
      </c>
    </row>
    <row r="1068" spans="1:13" hidden="1">
      <c r="A1068" s="1">
        <v>46113</v>
      </c>
      <c r="B1068" t="s">
        <v>1285</v>
      </c>
      <c r="C1068" t="s">
        <v>1142</v>
      </c>
      <c r="D1068" t="s">
        <v>237</v>
      </c>
      <c r="E1068" t="s">
        <v>55</v>
      </c>
      <c r="F1068">
        <v>54</v>
      </c>
      <c r="G1068">
        <v>6</v>
      </c>
      <c r="H1068">
        <v>2.5380710659898501E-3</v>
      </c>
      <c r="I1068">
        <v>0.11111111111111099</v>
      </c>
      <c r="J1068" s="14" t="str">
        <f>_xlfn.XLOOKUP(B1068,CAD_PDV!A:A,CAD_PDV!B:B)</f>
        <v>PONTO CERTO COMERCIO E COMUNICAÇÕES LTDA</v>
      </c>
      <c r="K1068" s="14">
        <f>IF(IFERROR(_xlfn.XLOOKUP(B1068,Planilha2!D:D,Planilha2!H:H),0)="SIM",1,0)</f>
        <v>0</v>
      </c>
      <c r="L1068" s="14" t="str">
        <f>_xlfn.XLOOKUP(B1068,CAD_PDV!A:A,CAD_PDV!C:C)</f>
        <v>RJ/ES</v>
      </c>
      <c r="M1068" s="14" t="str">
        <f>IFERROR(_xlfn.XLOOKUP(B1068,repete!A:A,repete!A:A),"-")</f>
        <v>-</v>
      </c>
    </row>
    <row r="1069" spans="1:13" hidden="1">
      <c r="A1069" s="1">
        <v>46113</v>
      </c>
      <c r="B1069" t="s">
        <v>693</v>
      </c>
      <c r="C1069" t="s">
        <v>694</v>
      </c>
      <c r="D1069" t="s">
        <v>239</v>
      </c>
      <c r="E1069" t="s">
        <v>59</v>
      </c>
      <c r="F1069">
        <v>51</v>
      </c>
      <c r="G1069">
        <v>6</v>
      </c>
      <c r="H1069">
        <v>2.5380710659898501E-3</v>
      </c>
      <c r="I1069">
        <v>0.11764705882352899</v>
      </c>
      <c r="J1069" s="14" t="str">
        <f>_xlfn.XLOOKUP(B1069,CAD_PDV!A:A,CAD_PDV!B:B)</f>
        <v>TELECELL TELEFONIA LTDA - ME</v>
      </c>
      <c r="K1069" s="14">
        <f>IF(IFERROR(_xlfn.XLOOKUP(B1069,Planilha2!D:D,Planilha2!H:H),0)="SIM",1,0)</f>
        <v>0</v>
      </c>
      <c r="L1069" s="14" t="str">
        <f>_xlfn.XLOOKUP(B1069,CAD_PDV!A:A,CAD_PDV!C:C)</f>
        <v>CO</v>
      </c>
      <c r="M1069" s="14" t="str">
        <f>IFERROR(_xlfn.XLOOKUP(B1069,repete!A:A,repete!A:A),"-")</f>
        <v>-</v>
      </c>
    </row>
    <row r="1070" spans="1:13" hidden="1">
      <c r="A1070" s="1">
        <v>46113</v>
      </c>
      <c r="B1070" t="s">
        <v>525</v>
      </c>
      <c r="C1070" t="s">
        <v>526</v>
      </c>
      <c r="D1070" t="s">
        <v>228</v>
      </c>
      <c r="E1070" t="s">
        <v>56</v>
      </c>
      <c r="F1070">
        <v>28</v>
      </c>
      <c r="G1070">
        <v>6</v>
      </c>
      <c r="H1070">
        <v>2.5380710659898501E-3</v>
      </c>
      <c r="I1070">
        <v>0.214285714285714</v>
      </c>
      <c r="J1070" s="14" t="str">
        <f>_xlfn.XLOOKUP(B1070,CAD_PDV!A:A,CAD_PDV!B:B)</f>
        <v>FAJULUTI</v>
      </c>
      <c r="K1070" s="14">
        <f>IF(IFERROR(_xlfn.XLOOKUP(B1070,Planilha2!D:D,Planilha2!H:H),0)="SIM",1,0)</f>
        <v>0</v>
      </c>
      <c r="L1070" s="14" t="str">
        <f>_xlfn.XLOOKUP(B1070,CAD_PDV!A:A,CAD_PDV!C:C)</f>
        <v>MG</v>
      </c>
      <c r="M1070" s="14" t="str">
        <f>IFERROR(_xlfn.XLOOKUP(B1070,repete!A:A,repete!A:A),"-")</f>
        <v>-</v>
      </c>
    </row>
    <row r="1071" spans="1:13" hidden="1">
      <c r="A1071" s="1">
        <v>46113</v>
      </c>
      <c r="B1071" t="s">
        <v>1358</v>
      </c>
      <c r="C1071" t="s">
        <v>1357</v>
      </c>
      <c r="D1071" t="s">
        <v>132</v>
      </c>
      <c r="E1071" t="s">
        <v>53</v>
      </c>
      <c r="F1071">
        <v>97</v>
      </c>
      <c r="G1071">
        <v>6</v>
      </c>
      <c r="H1071">
        <v>2.5380710659898501E-3</v>
      </c>
      <c r="I1071">
        <v>6.18556701030928E-2</v>
      </c>
      <c r="J1071" s="14" t="str">
        <f>_xlfn.XLOOKUP(B1071,CAD_PDV!A:A,CAD_PDV!B:B)</f>
        <v>FLEX CELL</v>
      </c>
      <c r="K1071" s="14">
        <f>IF(IFERROR(_xlfn.XLOOKUP(B1071,Planilha2!D:D,Planilha2!H:H),0)="SIM",1,0)</f>
        <v>0</v>
      </c>
      <c r="L1071" s="14" t="str">
        <f>_xlfn.XLOOKUP(B1071,CAD_PDV!A:A,CAD_PDV!C:C)</f>
        <v>SP1</v>
      </c>
      <c r="M1071" s="14" t="str">
        <f>IFERROR(_xlfn.XLOOKUP(B1071,repete!A:A,repete!A:A),"-")</f>
        <v>-</v>
      </c>
    </row>
    <row r="1072" spans="1:13" hidden="1">
      <c r="A1072" s="1">
        <v>46113</v>
      </c>
      <c r="B1072" t="s">
        <v>2032</v>
      </c>
      <c r="C1072" t="s">
        <v>2033</v>
      </c>
      <c r="D1072" t="s">
        <v>193</v>
      </c>
      <c r="E1072" t="s">
        <v>2074</v>
      </c>
      <c r="F1072">
        <v>53</v>
      </c>
      <c r="G1072">
        <v>6</v>
      </c>
      <c r="H1072">
        <v>2.5380710659898501E-3</v>
      </c>
      <c r="I1072">
        <v>0.113207547169811</v>
      </c>
      <c r="J1072" s="14" t="str">
        <f>_xlfn.XLOOKUP(B1072,CAD_PDV!A:A,CAD_PDV!B:B)</f>
        <v>S D COMERCIO DE CELULARES LTDA - ME</v>
      </c>
      <c r="K1072" s="14">
        <f>IF(IFERROR(_xlfn.XLOOKUP(B1072,Planilha2!D:D,Planilha2!H:H),0)="SIM",1,0)</f>
        <v>0</v>
      </c>
      <c r="L1072" s="14" t="str">
        <f>_xlfn.XLOOKUP(B1072,CAD_PDV!A:A,CAD_PDV!C:C)</f>
        <v>RS</v>
      </c>
      <c r="M1072" s="14" t="str">
        <f>IFERROR(_xlfn.XLOOKUP(B1072,repete!A:A,repete!A:A),"-")</f>
        <v>-</v>
      </c>
    </row>
    <row r="1073" spans="1:13" hidden="1">
      <c r="A1073" s="1">
        <v>46113</v>
      </c>
      <c r="B1073" t="s">
        <v>776</v>
      </c>
      <c r="C1073" t="s">
        <v>637</v>
      </c>
      <c r="D1073" t="s">
        <v>221</v>
      </c>
      <c r="E1073" t="s">
        <v>59</v>
      </c>
      <c r="F1073">
        <v>53</v>
      </c>
      <c r="G1073">
        <v>6</v>
      </c>
      <c r="H1073">
        <v>2.5380710659898501E-3</v>
      </c>
      <c r="I1073">
        <v>0.113207547169811</v>
      </c>
      <c r="J1073" s="14" t="str">
        <f>_xlfn.XLOOKUP(B1073,CAD_PDV!A:A,CAD_PDV!B:B)</f>
        <v>AMERICOM COMERCIO DE APARELHOS ELETRONICOS LTDA - EPP</v>
      </c>
      <c r="K1073" s="14">
        <f>IF(IFERROR(_xlfn.XLOOKUP(B1073,Planilha2!D:D,Planilha2!H:H),0)="SIM",1,0)</f>
        <v>0</v>
      </c>
      <c r="L1073" s="14" t="str">
        <f>_xlfn.XLOOKUP(B1073,CAD_PDV!A:A,CAD_PDV!C:C)</f>
        <v>CO</v>
      </c>
      <c r="M1073" s="14" t="str">
        <f>IFERROR(_xlfn.XLOOKUP(B1073,repete!A:A,repete!A:A),"-")</f>
        <v>-</v>
      </c>
    </row>
    <row r="1074" spans="1:13" hidden="1">
      <c r="A1074" s="1">
        <v>46113</v>
      </c>
      <c r="B1074" t="s">
        <v>759</v>
      </c>
      <c r="C1074" t="s">
        <v>619</v>
      </c>
      <c r="D1074" t="s">
        <v>239</v>
      </c>
      <c r="E1074" t="s">
        <v>59</v>
      </c>
      <c r="F1074">
        <v>54</v>
      </c>
      <c r="G1074">
        <v>6</v>
      </c>
      <c r="H1074">
        <v>2.5380710659898501E-3</v>
      </c>
      <c r="I1074">
        <v>0.11111111111111099</v>
      </c>
      <c r="J1074" s="14" t="str">
        <f>_xlfn.XLOOKUP(B1074,CAD_PDV!A:A,CAD_PDV!B:B)</f>
        <v>TELECELL TELEFONIA LTDA - ME</v>
      </c>
      <c r="K1074" s="14">
        <f>IF(IFERROR(_xlfn.XLOOKUP(B1074,Planilha2!D:D,Planilha2!H:H),0)="SIM",1,0)</f>
        <v>0</v>
      </c>
      <c r="L1074" s="14" t="str">
        <f>_xlfn.XLOOKUP(B1074,CAD_PDV!A:A,CAD_PDV!C:C)</f>
        <v>CO</v>
      </c>
      <c r="M1074" s="14" t="str">
        <f>IFERROR(_xlfn.XLOOKUP(B1074,repete!A:A,repete!A:A),"-")</f>
        <v>-</v>
      </c>
    </row>
    <row r="1075" spans="1:13" hidden="1">
      <c r="A1075" s="1">
        <v>46113</v>
      </c>
      <c r="B1075" t="s">
        <v>447</v>
      </c>
      <c r="C1075" t="s">
        <v>449</v>
      </c>
      <c r="D1075" t="s">
        <v>228</v>
      </c>
      <c r="E1075" t="s">
        <v>56</v>
      </c>
      <c r="F1075">
        <v>39</v>
      </c>
      <c r="G1075">
        <v>6</v>
      </c>
      <c r="H1075">
        <v>2.5380710659898501E-3</v>
      </c>
      <c r="I1075">
        <v>0.15384615384615399</v>
      </c>
      <c r="J1075" s="14" t="str">
        <f>_xlfn.XLOOKUP(B1075,CAD_PDV!A:A,CAD_PDV!B:B)</f>
        <v>FAJULUTI</v>
      </c>
      <c r="K1075" s="14">
        <f>IF(IFERROR(_xlfn.XLOOKUP(B1075,Planilha2!D:D,Planilha2!H:H),0)="SIM",1,0)</f>
        <v>0</v>
      </c>
      <c r="L1075" s="14" t="str">
        <f>_xlfn.XLOOKUP(B1075,CAD_PDV!A:A,CAD_PDV!C:C)</f>
        <v>MG</v>
      </c>
      <c r="M1075" s="14" t="str">
        <f>IFERROR(_xlfn.XLOOKUP(B1075,repete!A:A,repete!A:A),"-")</f>
        <v>-</v>
      </c>
    </row>
    <row r="1076" spans="1:13" hidden="1">
      <c r="A1076" s="1">
        <v>46113</v>
      </c>
      <c r="B1076" t="s">
        <v>1878</v>
      </c>
      <c r="C1076" t="s">
        <v>1876</v>
      </c>
      <c r="D1076" t="s">
        <v>124</v>
      </c>
      <c r="E1076" t="s">
        <v>2074</v>
      </c>
      <c r="F1076">
        <v>36</v>
      </c>
      <c r="G1076">
        <v>6</v>
      </c>
      <c r="H1076">
        <v>2.5380710659898501E-3</v>
      </c>
      <c r="I1076">
        <v>0.16666666666666699</v>
      </c>
      <c r="J1076" s="14" t="str">
        <f>_xlfn.XLOOKUP(B1076,CAD_PDV!A:A,CAD_PDV!B:B)</f>
        <v>EDUARDO JUNQUEIRA DA SILVEIRA ADMIN</v>
      </c>
      <c r="K1076" s="14">
        <f>IF(IFERROR(_xlfn.XLOOKUP(B1076,Planilha2!D:D,Planilha2!H:H),0)="SIM",1,0)</f>
        <v>0</v>
      </c>
      <c r="L1076" s="14" t="str">
        <f>_xlfn.XLOOKUP(B1076,CAD_PDV!A:A,CAD_PDV!C:C)</f>
        <v>RS</v>
      </c>
      <c r="M1076" s="14" t="str">
        <f>IFERROR(_xlfn.XLOOKUP(B1076,repete!A:A,repete!A:A),"-")</f>
        <v>-</v>
      </c>
    </row>
    <row r="1077" spans="1:13" hidden="1">
      <c r="A1077" s="1">
        <v>46113</v>
      </c>
      <c r="B1077" t="s">
        <v>2043</v>
      </c>
      <c r="C1077" t="s">
        <v>2042</v>
      </c>
      <c r="D1077" t="s">
        <v>193</v>
      </c>
      <c r="E1077" t="s">
        <v>2074</v>
      </c>
      <c r="F1077">
        <v>33</v>
      </c>
      <c r="G1077">
        <v>6</v>
      </c>
      <c r="H1077">
        <v>2.5380710659898501E-3</v>
      </c>
      <c r="I1077">
        <v>0.18181818181818199</v>
      </c>
      <c r="J1077" s="14" t="str">
        <f>_xlfn.XLOOKUP(B1077,CAD_PDV!A:A,CAD_PDV!B:B)</f>
        <v>S D COMERCIO DE CELULARES LTDA - ME</v>
      </c>
      <c r="K1077" s="14">
        <f>IF(IFERROR(_xlfn.XLOOKUP(B1077,Planilha2!D:D,Planilha2!H:H),0)="SIM",1,0)</f>
        <v>0</v>
      </c>
      <c r="L1077" s="14" t="str">
        <f>_xlfn.XLOOKUP(B1077,CAD_PDV!A:A,CAD_PDV!C:C)</f>
        <v>RS</v>
      </c>
      <c r="M1077" s="14" t="str">
        <f>IFERROR(_xlfn.XLOOKUP(B1077,repete!A:A,repete!A:A),"-")</f>
        <v>-</v>
      </c>
    </row>
    <row r="1078" spans="1:13" hidden="1">
      <c r="A1078" s="1">
        <v>46113</v>
      </c>
      <c r="B1078" t="s">
        <v>1697</v>
      </c>
      <c r="C1078" t="s">
        <v>1698</v>
      </c>
      <c r="D1078" t="s">
        <v>232</v>
      </c>
      <c r="E1078" t="s">
        <v>54</v>
      </c>
      <c r="F1078">
        <v>74</v>
      </c>
      <c r="G1078">
        <v>6</v>
      </c>
      <c r="H1078">
        <v>2.5380710659898501E-3</v>
      </c>
      <c r="I1078">
        <v>8.1081081081081099E-2</v>
      </c>
      <c r="J1078" s="14" t="str">
        <f>_xlfn.XLOOKUP(B1078,CAD_PDV!A:A,CAD_PDV!B:B)</f>
        <v>HS TELECOM</v>
      </c>
      <c r="K1078" s="14">
        <f>IF(IFERROR(_xlfn.XLOOKUP(B1078,Planilha2!D:D,Planilha2!H:H),0)="SIM",1,0)</f>
        <v>0</v>
      </c>
      <c r="L1078" s="14" t="str">
        <f>_xlfn.XLOOKUP(B1078,CAD_PDV!A:A,CAD_PDV!C:C)</f>
        <v>SP2</v>
      </c>
      <c r="M1078" s="14" t="str">
        <f>IFERROR(_xlfn.XLOOKUP(B1078,repete!A:A,repete!A:A),"-")</f>
        <v>-</v>
      </c>
    </row>
    <row r="1079" spans="1:13" hidden="1">
      <c r="A1079" s="1">
        <v>46113</v>
      </c>
      <c r="B1079" t="s">
        <v>1749</v>
      </c>
      <c r="C1079" t="s">
        <v>1748</v>
      </c>
      <c r="D1079" t="s">
        <v>190</v>
      </c>
      <c r="E1079" t="s">
        <v>2074</v>
      </c>
      <c r="F1079">
        <v>58</v>
      </c>
      <c r="G1079">
        <v>6</v>
      </c>
      <c r="H1079">
        <v>2.5380710659898501E-3</v>
      </c>
      <c r="I1079">
        <v>0.10344827586206901</v>
      </c>
      <c r="J1079" s="14" t="str">
        <f>_xlfn.XLOOKUP(B1079,CAD_PDV!A:A,CAD_PDV!B:B)</f>
        <v>RDJ TELECOMUNICACOES LTDA</v>
      </c>
      <c r="K1079" s="14">
        <f>IF(IFERROR(_xlfn.XLOOKUP(B1079,Planilha2!D:D,Planilha2!H:H),0)="SIM",1,0)</f>
        <v>0</v>
      </c>
      <c r="L1079" s="14" t="str">
        <f>_xlfn.XLOOKUP(B1079,CAD_PDV!A:A,CAD_PDV!C:C)</f>
        <v>PR/SC</v>
      </c>
      <c r="M1079" s="14" t="str">
        <f>IFERROR(_xlfn.XLOOKUP(B1079,repete!A:A,repete!A:A),"-")</f>
        <v>-</v>
      </c>
    </row>
    <row r="1080" spans="1:13" hidden="1">
      <c r="A1080" s="1">
        <v>46113</v>
      </c>
      <c r="B1080" t="s">
        <v>1719</v>
      </c>
      <c r="C1080" t="s">
        <v>1557</v>
      </c>
      <c r="D1080" t="s">
        <v>106</v>
      </c>
      <c r="E1080" t="s">
        <v>54</v>
      </c>
      <c r="F1080">
        <v>49</v>
      </c>
      <c r="G1080">
        <v>6</v>
      </c>
      <c r="H1080">
        <v>2.5380710659898501E-3</v>
      </c>
      <c r="I1080">
        <v>0.122448979591837</v>
      </c>
      <c r="J1080" s="14" t="str">
        <f>_xlfn.XLOOKUP(B1080,CAD_PDV!A:A,CAD_PDV!B:B)</f>
        <v>CELLULAR.COM</v>
      </c>
      <c r="K1080" s="14">
        <f>IF(IFERROR(_xlfn.XLOOKUP(B1080,Planilha2!D:D,Planilha2!H:H),0)="SIM",1,0)</f>
        <v>0</v>
      </c>
      <c r="L1080" s="14" t="str">
        <f>_xlfn.XLOOKUP(B1080,CAD_PDV!A:A,CAD_PDV!C:C)</f>
        <v>SP2</v>
      </c>
      <c r="M1080" s="14" t="str">
        <f>IFERROR(_xlfn.XLOOKUP(B1080,repete!A:A,repete!A:A),"-")</f>
        <v>-</v>
      </c>
    </row>
    <row r="1081" spans="1:13" hidden="1">
      <c r="A1081" s="1">
        <v>46113</v>
      </c>
      <c r="B1081" t="s">
        <v>1840</v>
      </c>
      <c r="C1081" t="s">
        <v>1839</v>
      </c>
      <c r="D1081" t="s">
        <v>124</v>
      </c>
      <c r="E1081" t="s">
        <v>2074</v>
      </c>
      <c r="F1081">
        <v>39</v>
      </c>
      <c r="G1081">
        <v>5</v>
      </c>
      <c r="H1081">
        <v>2.1150592216582099E-3</v>
      </c>
      <c r="I1081">
        <v>0.128205128205128</v>
      </c>
      <c r="J1081" s="14" t="str">
        <f>_xlfn.XLOOKUP(B1081,CAD_PDV!A:A,CAD_PDV!B:B)</f>
        <v>EDUARDO JUNQUEIRA DA SILVEIRA ADMIN</v>
      </c>
      <c r="K1081" s="14">
        <f>IF(IFERROR(_xlfn.XLOOKUP(B1081,Planilha2!D:D,Planilha2!H:H),0)="SIM",1,0)</f>
        <v>0</v>
      </c>
      <c r="L1081" s="14" t="str">
        <f>_xlfn.XLOOKUP(B1081,CAD_PDV!A:A,CAD_PDV!C:C)</f>
        <v>RS</v>
      </c>
      <c r="M1081" s="14" t="str">
        <f>IFERROR(_xlfn.XLOOKUP(B1081,repete!A:A,repete!A:A),"-")</f>
        <v>-</v>
      </c>
    </row>
    <row r="1082" spans="1:13" hidden="1">
      <c r="A1082" s="1">
        <v>46113</v>
      </c>
      <c r="B1082" t="s">
        <v>653</v>
      </c>
      <c r="C1082" t="s">
        <v>649</v>
      </c>
      <c r="D1082" t="s">
        <v>239</v>
      </c>
      <c r="E1082" t="s">
        <v>59</v>
      </c>
      <c r="F1082">
        <v>69</v>
      </c>
      <c r="G1082">
        <v>5</v>
      </c>
      <c r="H1082">
        <v>2.1150592216582099E-3</v>
      </c>
      <c r="I1082">
        <v>7.2463768115942004E-2</v>
      </c>
      <c r="J1082" s="14" t="str">
        <f>_xlfn.XLOOKUP(B1082,CAD_PDV!A:A,CAD_PDV!B:B)</f>
        <v>TELECELL TELEFONIA LTDA - ME</v>
      </c>
      <c r="K1082" s="14">
        <f>IF(IFERROR(_xlfn.XLOOKUP(B1082,Planilha2!D:D,Planilha2!H:H),0)="SIM",1,0)</f>
        <v>0</v>
      </c>
      <c r="L1082" s="14" t="str">
        <f>_xlfn.XLOOKUP(B1082,CAD_PDV!A:A,CAD_PDV!C:C)</f>
        <v>CO</v>
      </c>
      <c r="M1082" s="14" t="str">
        <f>IFERROR(_xlfn.XLOOKUP(B1082,repete!A:A,repete!A:A),"-")</f>
        <v>-</v>
      </c>
    </row>
    <row r="1083" spans="1:13" hidden="1">
      <c r="A1083" s="1">
        <v>46113</v>
      </c>
      <c r="B1083" t="s">
        <v>1273</v>
      </c>
      <c r="C1083" t="s">
        <v>1204</v>
      </c>
      <c r="D1083" t="s">
        <v>2072</v>
      </c>
      <c r="E1083" t="s">
        <v>55</v>
      </c>
      <c r="F1083">
        <v>57</v>
      </c>
      <c r="G1083">
        <v>5</v>
      </c>
      <c r="H1083">
        <v>2.1150592216582099E-3</v>
      </c>
      <c r="I1083">
        <v>8.7719298245614002E-2</v>
      </c>
      <c r="J1083" s="14" t="str">
        <f>_xlfn.XLOOKUP(B1083,CAD_PDV!A:A,CAD_PDV!B:B)</f>
        <v>MEXCELL COMERCIO E SERVICOS DE TELECOMUNICACOES LTDA</v>
      </c>
      <c r="K1083" s="14">
        <f>IF(IFERROR(_xlfn.XLOOKUP(B1083,Planilha2!D:D,Planilha2!H:H),0)="SIM",1,0)</f>
        <v>0</v>
      </c>
      <c r="L1083" s="14" t="str">
        <f>_xlfn.XLOOKUP(B1083,CAD_PDV!A:A,CAD_PDV!C:C)</f>
        <v>RJ/ES</v>
      </c>
      <c r="M1083" s="14" t="str">
        <f>IFERROR(_xlfn.XLOOKUP(B1083,repete!A:A,repete!A:A),"-")</f>
        <v>-</v>
      </c>
    </row>
    <row r="1084" spans="1:13" hidden="1">
      <c r="A1084" s="1">
        <v>46113</v>
      </c>
      <c r="B1084" t="s">
        <v>985</v>
      </c>
      <c r="C1084" t="s">
        <v>944</v>
      </c>
      <c r="D1084" t="s">
        <v>232</v>
      </c>
      <c r="E1084" t="s">
        <v>60</v>
      </c>
      <c r="F1084">
        <v>77</v>
      </c>
      <c r="G1084">
        <v>5</v>
      </c>
      <c r="H1084">
        <v>2.1150592216582099E-3</v>
      </c>
      <c r="I1084">
        <v>6.4935064935064901E-2</v>
      </c>
      <c r="J1084" s="14" t="str">
        <f>_xlfn.XLOOKUP(B1084,CAD_PDV!A:A,CAD_PDV!B:B)</f>
        <v>HS TELECOM</v>
      </c>
      <c r="K1084" s="14">
        <f>IF(IFERROR(_xlfn.XLOOKUP(B1084,Planilha2!D:D,Planilha2!H:H),0)="SIM",1,0)</f>
        <v>0</v>
      </c>
      <c r="L1084" s="14" t="str">
        <f>_xlfn.XLOOKUP(B1084,CAD_PDV!A:A,CAD_PDV!C:C)</f>
        <v>BA/SE</v>
      </c>
      <c r="M1084" s="14" t="str">
        <f>IFERROR(_xlfn.XLOOKUP(B1084,repete!A:A,repete!A:A),"-")</f>
        <v>-</v>
      </c>
    </row>
    <row r="1085" spans="1:13" hidden="1">
      <c r="A1085" s="1">
        <v>46113</v>
      </c>
      <c r="B1085" t="s">
        <v>613</v>
      </c>
      <c r="C1085" t="s">
        <v>610</v>
      </c>
      <c r="D1085" t="s">
        <v>239</v>
      </c>
      <c r="E1085" t="s">
        <v>59</v>
      </c>
      <c r="F1085">
        <v>78</v>
      </c>
      <c r="G1085">
        <v>5</v>
      </c>
      <c r="H1085">
        <v>2.1150592216582099E-3</v>
      </c>
      <c r="I1085">
        <v>6.4102564102564097E-2</v>
      </c>
      <c r="J1085" s="14" t="str">
        <f>_xlfn.XLOOKUP(B1085,CAD_PDV!A:A,CAD_PDV!B:B)</f>
        <v>TELECELL TELEFONIA LTDA - ME</v>
      </c>
      <c r="K1085" s="14">
        <f>IF(IFERROR(_xlfn.XLOOKUP(B1085,Planilha2!D:D,Planilha2!H:H),0)="SIM",1,0)</f>
        <v>0</v>
      </c>
      <c r="L1085" s="14" t="str">
        <f>_xlfn.XLOOKUP(B1085,CAD_PDV!A:A,CAD_PDV!C:C)</f>
        <v>CO</v>
      </c>
      <c r="M1085" s="14" t="str">
        <f>IFERROR(_xlfn.XLOOKUP(B1085,repete!A:A,repete!A:A),"-")</f>
        <v>-</v>
      </c>
    </row>
    <row r="1086" spans="1:13" hidden="1">
      <c r="A1086" s="1">
        <v>46113</v>
      </c>
      <c r="B1086" t="s">
        <v>1164</v>
      </c>
      <c r="C1086" t="s">
        <v>1142</v>
      </c>
      <c r="D1086" t="s">
        <v>237</v>
      </c>
      <c r="E1086" t="s">
        <v>55</v>
      </c>
      <c r="F1086">
        <v>78</v>
      </c>
      <c r="G1086">
        <v>5</v>
      </c>
      <c r="H1086">
        <v>2.1150592216582099E-3</v>
      </c>
      <c r="I1086">
        <v>6.4102564102564097E-2</v>
      </c>
      <c r="J1086" s="14" t="str">
        <f>_xlfn.XLOOKUP(B1086,CAD_PDV!A:A,CAD_PDV!B:B)</f>
        <v>PONTO CERTO COMERCIO E COMUNICAÇÕES LTDA</v>
      </c>
      <c r="K1086" s="14">
        <f>IF(IFERROR(_xlfn.XLOOKUP(B1086,Planilha2!D:D,Planilha2!H:H),0)="SIM",1,0)</f>
        <v>0</v>
      </c>
      <c r="L1086" s="14" t="str">
        <f>_xlfn.XLOOKUP(B1086,CAD_PDV!A:A,CAD_PDV!C:C)</f>
        <v>RJ/ES</v>
      </c>
      <c r="M1086" s="14" t="str">
        <f>IFERROR(_xlfn.XLOOKUP(B1086,repete!A:A,repete!A:A),"-")</f>
        <v>-</v>
      </c>
    </row>
    <row r="1087" spans="1:13" hidden="1">
      <c r="A1087" s="1">
        <v>46113</v>
      </c>
      <c r="B1087" t="s">
        <v>2027</v>
      </c>
      <c r="C1087" t="s">
        <v>2026</v>
      </c>
      <c r="D1087" t="s">
        <v>193</v>
      </c>
      <c r="E1087" t="s">
        <v>2074</v>
      </c>
      <c r="F1087">
        <v>50</v>
      </c>
      <c r="G1087">
        <v>5</v>
      </c>
      <c r="H1087">
        <v>2.1150592216582099E-3</v>
      </c>
      <c r="I1087">
        <v>0.1</v>
      </c>
      <c r="J1087" s="14" t="str">
        <f>_xlfn.XLOOKUP(B1087,CAD_PDV!A:A,CAD_PDV!B:B)</f>
        <v>S D COMERCIO DE CELULARES LTDA - ME</v>
      </c>
      <c r="K1087" s="14">
        <f>IF(IFERROR(_xlfn.XLOOKUP(B1087,Planilha2!D:D,Planilha2!H:H),0)="SIM",1,0)</f>
        <v>0</v>
      </c>
      <c r="L1087" s="14" t="str">
        <f>_xlfn.XLOOKUP(B1087,CAD_PDV!A:A,CAD_PDV!C:C)</f>
        <v>RS</v>
      </c>
      <c r="M1087" s="14" t="str">
        <f>IFERROR(_xlfn.XLOOKUP(B1087,repete!A:A,repete!A:A),"-")</f>
        <v>-</v>
      </c>
    </row>
    <row r="1088" spans="1:13" hidden="1">
      <c r="A1088" s="1">
        <v>46113</v>
      </c>
      <c r="B1088" t="s">
        <v>800</v>
      </c>
      <c r="C1088" t="s">
        <v>651</v>
      </c>
      <c r="D1088" t="s">
        <v>239</v>
      </c>
      <c r="E1088" t="s">
        <v>59</v>
      </c>
      <c r="F1088">
        <v>62</v>
      </c>
      <c r="G1088">
        <v>5</v>
      </c>
      <c r="H1088">
        <v>2.1150592216582099E-3</v>
      </c>
      <c r="I1088">
        <v>8.0645161290322606E-2</v>
      </c>
      <c r="J1088" s="14" t="str">
        <f>_xlfn.XLOOKUP(B1088,CAD_PDV!A:A,CAD_PDV!B:B)</f>
        <v>TELECELL TELEFONIA LTDA - ME</v>
      </c>
      <c r="K1088" s="14">
        <f>IF(IFERROR(_xlfn.XLOOKUP(B1088,Planilha2!D:D,Planilha2!H:H),0)="SIM",1,0)</f>
        <v>0</v>
      </c>
      <c r="L1088" s="14" t="str">
        <f>_xlfn.XLOOKUP(B1088,CAD_PDV!A:A,CAD_PDV!C:C)</f>
        <v>CO</v>
      </c>
      <c r="M1088" s="14" t="str">
        <f>IFERROR(_xlfn.XLOOKUP(B1088,repete!A:A,repete!A:A),"-")</f>
        <v>-</v>
      </c>
    </row>
    <row r="1089" spans="1:13" hidden="1">
      <c r="A1089" s="1">
        <v>46113</v>
      </c>
      <c r="B1089" t="s">
        <v>962</v>
      </c>
      <c r="C1089" t="s">
        <v>950</v>
      </c>
      <c r="D1089" t="s">
        <v>232</v>
      </c>
      <c r="E1089" t="s">
        <v>60</v>
      </c>
      <c r="F1089">
        <v>56</v>
      </c>
      <c r="G1089">
        <v>5</v>
      </c>
      <c r="H1089">
        <v>2.1150592216582099E-3</v>
      </c>
      <c r="I1089">
        <v>8.9285714285714302E-2</v>
      </c>
      <c r="J1089" s="14" t="str">
        <f>_xlfn.XLOOKUP(B1089,CAD_PDV!A:A,CAD_PDV!B:B)</f>
        <v>HS TELECOM</v>
      </c>
      <c r="K1089" s="14">
        <f>IF(IFERROR(_xlfn.XLOOKUP(B1089,Planilha2!D:D,Planilha2!H:H),0)="SIM",1,0)</f>
        <v>0</v>
      </c>
      <c r="L1089" s="14" t="str">
        <f>_xlfn.XLOOKUP(B1089,CAD_PDV!A:A,CAD_PDV!C:C)</f>
        <v>BA/SE</v>
      </c>
      <c r="M1089" s="14" t="str">
        <f>IFERROR(_xlfn.XLOOKUP(B1089,repete!A:A,repete!A:A),"-")</f>
        <v>-</v>
      </c>
    </row>
    <row r="1090" spans="1:13" hidden="1">
      <c r="A1090" s="1">
        <v>46113</v>
      </c>
      <c r="B1090" t="s">
        <v>1646</v>
      </c>
      <c r="C1090" t="s">
        <v>1535</v>
      </c>
      <c r="D1090" t="s">
        <v>232</v>
      </c>
      <c r="E1090" t="s">
        <v>54</v>
      </c>
      <c r="F1090">
        <v>59</v>
      </c>
      <c r="G1090">
        <v>5</v>
      </c>
      <c r="H1090">
        <v>2.1150592216582099E-3</v>
      </c>
      <c r="I1090">
        <v>8.4745762711864403E-2</v>
      </c>
      <c r="J1090" s="14" t="str">
        <f>_xlfn.XLOOKUP(B1090,CAD_PDV!A:A,CAD_PDV!B:B)</f>
        <v>HS TELECOM</v>
      </c>
      <c r="K1090" s="14">
        <f>IF(IFERROR(_xlfn.XLOOKUP(B1090,Planilha2!D:D,Planilha2!H:H),0)="SIM",1,0)</f>
        <v>0</v>
      </c>
      <c r="L1090" s="14" t="str">
        <f>_xlfn.XLOOKUP(B1090,CAD_PDV!A:A,CAD_PDV!C:C)</f>
        <v>SP2</v>
      </c>
      <c r="M1090" s="14" t="str">
        <f>IFERROR(_xlfn.XLOOKUP(B1090,repete!A:A,repete!A:A),"-")</f>
        <v>-</v>
      </c>
    </row>
    <row r="1091" spans="1:13" hidden="1">
      <c r="A1091" s="1">
        <v>46113</v>
      </c>
      <c r="B1091" t="s">
        <v>539</v>
      </c>
      <c r="C1091" t="s">
        <v>433</v>
      </c>
      <c r="D1091" t="s">
        <v>106</v>
      </c>
      <c r="E1091" t="s">
        <v>56</v>
      </c>
      <c r="F1091">
        <v>43</v>
      </c>
      <c r="G1091">
        <v>5</v>
      </c>
      <c r="H1091">
        <v>2.1150592216582099E-3</v>
      </c>
      <c r="I1091">
        <v>0.116279069767442</v>
      </c>
      <c r="J1091" s="14" t="str">
        <f>_xlfn.XLOOKUP(B1091,CAD_PDV!A:A,CAD_PDV!B:B)</f>
        <v>CELLULAR.COM</v>
      </c>
      <c r="K1091" s="14">
        <f>IF(IFERROR(_xlfn.XLOOKUP(B1091,Planilha2!D:D,Planilha2!H:H),0)="SIM",1,0)</f>
        <v>0</v>
      </c>
      <c r="L1091" s="14" t="str">
        <f>_xlfn.XLOOKUP(B1091,CAD_PDV!A:A,CAD_PDV!C:C)</f>
        <v>MG</v>
      </c>
      <c r="M1091" s="14" t="str">
        <f>IFERROR(_xlfn.XLOOKUP(B1091,repete!A:A,repete!A:A),"-")</f>
        <v>-</v>
      </c>
    </row>
    <row r="1092" spans="1:13" hidden="1">
      <c r="A1092" s="1">
        <v>46113</v>
      </c>
      <c r="B1092" t="s">
        <v>1277</v>
      </c>
      <c r="C1092" t="s">
        <v>1278</v>
      </c>
      <c r="D1092" t="s">
        <v>228</v>
      </c>
      <c r="E1092" t="s">
        <v>55</v>
      </c>
      <c r="F1092">
        <v>39</v>
      </c>
      <c r="G1092">
        <v>5</v>
      </c>
      <c r="H1092">
        <v>2.1150592216582099E-3</v>
      </c>
      <c r="I1092">
        <v>0.128205128205128</v>
      </c>
      <c r="J1092" s="14" t="str">
        <f>_xlfn.XLOOKUP(B1092,CAD_PDV!A:A,CAD_PDV!B:B)</f>
        <v>FAJULUTI</v>
      </c>
      <c r="K1092" s="14">
        <f>IF(IFERROR(_xlfn.XLOOKUP(B1092,Planilha2!D:D,Planilha2!H:H),0)="SIM",1,0)</f>
        <v>0</v>
      </c>
      <c r="L1092" s="14" t="str">
        <f>_xlfn.XLOOKUP(B1092,CAD_PDV!A:A,CAD_PDV!C:C)</f>
        <v>RJ/ES</v>
      </c>
      <c r="M1092" s="14" t="str">
        <f>IFERROR(_xlfn.XLOOKUP(B1092,repete!A:A,repete!A:A),"-")</f>
        <v>-</v>
      </c>
    </row>
    <row r="1093" spans="1:13" hidden="1">
      <c r="A1093" s="1">
        <v>46113</v>
      </c>
      <c r="B1093" t="s">
        <v>1042</v>
      </c>
      <c r="C1093" t="s">
        <v>1017</v>
      </c>
      <c r="D1093" t="s">
        <v>232</v>
      </c>
      <c r="E1093" t="s">
        <v>60</v>
      </c>
      <c r="F1093">
        <v>71</v>
      </c>
      <c r="G1093">
        <v>5</v>
      </c>
      <c r="H1093">
        <v>2.1150592216582099E-3</v>
      </c>
      <c r="I1093">
        <v>7.0422535211267595E-2</v>
      </c>
      <c r="J1093" s="14" t="str">
        <f>_xlfn.XLOOKUP(B1093,CAD_PDV!A:A,CAD_PDV!B:B)</f>
        <v>HS TELECOM</v>
      </c>
      <c r="K1093" s="14">
        <f>IF(IFERROR(_xlfn.XLOOKUP(B1093,Planilha2!D:D,Planilha2!H:H),0)="SIM",1,0)</f>
        <v>0</v>
      </c>
      <c r="L1093" s="14" t="str">
        <f>_xlfn.XLOOKUP(B1093,CAD_PDV!A:A,CAD_PDV!C:C)</f>
        <v>BA/SE</v>
      </c>
      <c r="M1093" s="14" t="str">
        <f>IFERROR(_xlfn.XLOOKUP(B1093,repete!A:A,repete!A:A),"-")</f>
        <v>-</v>
      </c>
    </row>
    <row r="1094" spans="1:13" hidden="1">
      <c r="A1094" s="1">
        <v>46113</v>
      </c>
      <c r="B1094" t="s">
        <v>1945</v>
      </c>
      <c r="C1094" t="s">
        <v>1946</v>
      </c>
      <c r="D1094" t="s">
        <v>124</v>
      </c>
      <c r="E1094" t="s">
        <v>2074</v>
      </c>
      <c r="F1094">
        <v>13</v>
      </c>
      <c r="G1094">
        <v>4</v>
      </c>
      <c r="H1094">
        <v>1.6920473773265701E-3</v>
      </c>
      <c r="I1094">
        <v>0.30769230769230799</v>
      </c>
      <c r="J1094" s="14" t="str">
        <f>_xlfn.XLOOKUP(B1094,CAD_PDV!A:A,CAD_PDV!B:B)</f>
        <v>EDUARDO JUNQUEIRA DA SILVEIRA ADMIN</v>
      </c>
      <c r="K1094" s="14">
        <f>IF(IFERROR(_xlfn.XLOOKUP(B1094,Planilha2!D:D,Planilha2!H:H),0)="SIM",1,0)</f>
        <v>0</v>
      </c>
      <c r="L1094" s="14" t="str">
        <f>_xlfn.XLOOKUP(B1094,CAD_PDV!A:A,CAD_PDV!C:C)</f>
        <v>RS</v>
      </c>
      <c r="M1094" s="14" t="str">
        <f>IFERROR(_xlfn.XLOOKUP(B1094,repete!A:A,repete!A:A),"-")</f>
        <v>-</v>
      </c>
    </row>
    <row r="1095" spans="1:13" hidden="1">
      <c r="A1095" s="1">
        <v>46113</v>
      </c>
      <c r="B1095" t="s">
        <v>1816</v>
      </c>
      <c r="C1095" t="s">
        <v>1817</v>
      </c>
      <c r="D1095" t="s">
        <v>95</v>
      </c>
      <c r="E1095" t="s">
        <v>2074</v>
      </c>
      <c r="F1095">
        <v>58</v>
      </c>
      <c r="G1095">
        <v>4</v>
      </c>
      <c r="H1095">
        <v>1.6920473773265701E-3</v>
      </c>
      <c r="I1095">
        <v>6.8965517241379296E-2</v>
      </c>
      <c r="J1095" s="14" t="str">
        <f>_xlfn.XLOOKUP(B1095,CAD_PDV!A:A,CAD_PDV!B:B)</f>
        <v>AYRES E DEBONI LTDA - ME</v>
      </c>
      <c r="K1095" s="14">
        <f>IF(IFERROR(_xlfn.XLOOKUP(B1095,Planilha2!D:D,Planilha2!H:H),0)="SIM",1,0)</f>
        <v>0</v>
      </c>
      <c r="L1095" s="14" t="str">
        <f>_xlfn.XLOOKUP(B1095,CAD_PDV!A:A,CAD_PDV!C:C)</f>
        <v>RS</v>
      </c>
      <c r="M1095" s="14" t="str">
        <f>IFERROR(_xlfn.XLOOKUP(B1095,repete!A:A,repete!A:A),"-")</f>
        <v>-</v>
      </c>
    </row>
    <row r="1096" spans="1:13" hidden="1">
      <c r="A1096" s="1">
        <v>46113</v>
      </c>
      <c r="B1096" t="s">
        <v>1976</v>
      </c>
      <c r="C1096" t="s">
        <v>1978</v>
      </c>
      <c r="D1096" t="s">
        <v>97</v>
      </c>
      <c r="E1096" t="s">
        <v>2074</v>
      </c>
      <c r="F1096">
        <v>24</v>
      </c>
      <c r="G1096">
        <v>4</v>
      </c>
      <c r="H1096">
        <v>1.6920473773265701E-3</v>
      </c>
      <c r="I1096">
        <v>0.16666666666666699</v>
      </c>
      <c r="J1096" s="14" t="str">
        <f>_xlfn.XLOOKUP(B1096,CAD_PDV!A:A,CAD_PDV!B:B)</f>
        <v>BANDEIRA</v>
      </c>
      <c r="K1096" s="14">
        <f>IF(IFERROR(_xlfn.XLOOKUP(B1096,Planilha2!D:D,Planilha2!H:H),0)="SIM",1,0)</f>
        <v>0</v>
      </c>
      <c r="L1096" s="14" t="str">
        <f>_xlfn.XLOOKUP(B1096,CAD_PDV!A:A,CAD_PDV!C:C)</f>
        <v>PR/SC</v>
      </c>
      <c r="M1096" s="14" t="str">
        <f>IFERROR(_xlfn.XLOOKUP(B1096,repete!A:A,repete!A:A),"-")</f>
        <v>-</v>
      </c>
    </row>
    <row r="1097" spans="1:13" hidden="1">
      <c r="A1097" s="1">
        <v>46113</v>
      </c>
      <c r="B1097" t="s">
        <v>309</v>
      </c>
      <c r="C1097" t="s">
        <v>265</v>
      </c>
      <c r="D1097" t="s">
        <v>230</v>
      </c>
      <c r="E1097" t="s">
        <v>61</v>
      </c>
      <c r="F1097">
        <v>147</v>
      </c>
      <c r="G1097">
        <v>4</v>
      </c>
      <c r="H1097">
        <v>1.6920473773265701E-3</v>
      </c>
      <c r="I1097">
        <v>2.7210884353741499E-2</v>
      </c>
      <c r="J1097" s="14" t="str">
        <f>_xlfn.XLOOKUP(B1097,CAD_PDV!A:A,CAD_PDV!B:B)</f>
        <v>HARCOS COMERCIO E SERVICOS LTDA - EPP</v>
      </c>
      <c r="K1097" s="14">
        <f>IF(IFERROR(_xlfn.XLOOKUP(B1097,Planilha2!D:D,Planilha2!H:H),0)="SIM",1,0)</f>
        <v>0</v>
      </c>
      <c r="L1097" s="14" t="str">
        <f>_xlfn.XLOOKUP(B1097,CAD_PDV!A:A,CAD_PDV!C:C)</f>
        <v>NE</v>
      </c>
      <c r="M1097" s="14" t="str">
        <f>IFERROR(_xlfn.XLOOKUP(B1097,repete!A:A,repete!A:A),"-")</f>
        <v>-</v>
      </c>
    </row>
    <row r="1098" spans="1:13" hidden="1">
      <c r="A1098" s="1">
        <v>46113</v>
      </c>
      <c r="B1098" t="s">
        <v>495</v>
      </c>
      <c r="C1098" t="s">
        <v>496</v>
      </c>
      <c r="D1098" t="s">
        <v>239</v>
      </c>
      <c r="E1098" t="s">
        <v>56</v>
      </c>
      <c r="F1098">
        <v>33</v>
      </c>
      <c r="G1098">
        <v>4</v>
      </c>
      <c r="H1098">
        <v>1.6920473773265701E-3</v>
      </c>
      <c r="I1098">
        <v>0.12121212121212099</v>
      </c>
      <c r="J1098" s="14" t="str">
        <f>_xlfn.XLOOKUP(B1098,CAD_PDV!A:A,CAD_PDV!B:B)</f>
        <v>TELECELL TELEFONIA LTDA - ME</v>
      </c>
      <c r="K1098" s="14">
        <f>IF(IFERROR(_xlfn.XLOOKUP(B1098,Planilha2!D:D,Planilha2!H:H),0)="SIM",1,0)</f>
        <v>0</v>
      </c>
      <c r="L1098" s="14" t="str">
        <f>_xlfn.XLOOKUP(B1098,CAD_PDV!A:A,CAD_PDV!C:C)</f>
        <v>MG</v>
      </c>
      <c r="M1098" s="14" t="str">
        <f>IFERROR(_xlfn.XLOOKUP(B1098,repete!A:A,repete!A:A),"-")</f>
        <v>-</v>
      </c>
    </row>
    <row r="1099" spans="1:13" hidden="1">
      <c r="A1099" s="1">
        <v>46113</v>
      </c>
      <c r="B1099" t="s">
        <v>1479</v>
      </c>
      <c r="C1099" t="s">
        <v>1480</v>
      </c>
      <c r="D1099" t="s">
        <v>232</v>
      </c>
      <c r="E1099" t="s">
        <v>54</v>
      </c>
      <c r="F1099">
        <v>40</v>
      </c>
      <c r="G1099">
        <v>4</v>
      </c>
      <c r="H1099">
        <v>1.6920473773265701E-3</v>
      </c>
      <c r="I1099">
        <v>0.1</v>
      </c>
      <c r="J1099" s="14" t="str">
        <f>_xlfn.XLOOKUP(B1099,CAD_PDV!A:A,CAD_PDV!B:B)</f>
        <v>HS TELECOM</v>
      </c>
      <c r="K1099" s="14">
        <f>IF(IFERROR(_xlfn.XLOOKUP(B1099,Planilha2!D:D,Planilha2!H:H),0)="SIM",1,0)</f>
        <v>0</v>
      </c>
      <c r="L1099" s="14" t="str">
        <f>_xlfn.XLOOKUP(B1099,CAD_PDV!A:A,CAD_PDV!C:C)</f>
        <v>SP2</v>
      </c>
      <c r="M1099" s="14" t="str">
        <f>IFERROR(_xlfn.XLOOKUP(B1099,repete!A:A,repete!A:A),"-")</f>
        <v>-</v>
      </c>
    </row>
    <row r="1100" spans="1:13" hidden="1">
      <c r="A1100" s="1">
        <v>46113</v>
      </c>
      <c r="B1100" t="s">
        <v>1483</v>
      </c>
      <c r="C1100" t="s">
        <v>1484</v>
      </c>
      <c r="D1100" t="s">
        <v>232</v>
      </c>
      <c r="E1100" t="s">
        <v>54</v>
      </c>
      <c r="F1100">
        <v>31</v>
      </c>
      <c r="G1100">
        <v>4</v>
      </c>
      <c r="H1100">
        <v>1.6920473773265701E-3</v>
      </c>
      <c r="I1100">
        <v>0.12903225806451599</v>
      </c>
      <c r="J1100" s="14" t="str">
        <f>_xlfn.XLOOKUP(B1100,CAD_PDV!A:A,CAD_PDV!B:B)</f>
        <v>HS TELECOM</v>
      </c>
      <c r="K1100" s="14">
        <f>IF(IFERROR(_xlfn.XLOOKUP(B1100,Planilha2!D:D,Planilha2!H:H),0)="SIM",1,0)</f>
        <v>0</v>
      </c>
      <c r="L1100" s="14" t="str">
        <f>_xlfn.XLOOKUP(B1100,CAD_PDV!A:A,CAD_PDV!C:C)</f>
        <v>SP2</v>
      </c>
      <c r="M1100" s="14" t="str">
        <f>IFERROR(_xlfn.XLOOKUP(B1100,repete!A:A,repete!A:A),"-")</f>
        <v>-</v>
      </c>
    </row>
    <row r="1101" spans="1:13" hidden="1">
      <c r="A1101" s="1">
        <v>46113</v>
      </c>
      <c r="B1101" t="s">
        <v>1932</v>
      </c>
      <c r="C1101" t="s">
        <v>1931</v>
      </c>
      <c r="D1101" t="s">
        <v>106</v>
      </c>
      <c r="E1101" t="s">
        <v>2074</v>
      </c>
      <c r="F1101">
        <v>67</v>
      </c>
      <c r="G1101">
        <v>4</v>
      </c>
      <c r="H1101">
        <v>1.6920473773265701E-3</v>
      </c>
      <c r="I1101">
        <v>5.9701492537313397E-2</v>
      </c>
      <c r="J1101" s="14" t="str">
        <f>_xlfn.XLOOKUP(B1101,CAD_PDV!A:A,CAD_PDV!B:B)</f>
        <v>CELLULAR.COM</v>
      </c>
      <c r="K1101" s="14">
        <f>IF(IFERROR(_xlfn.XLOOKUP(B1101,Planilha2!D:D,Planilha2!H:H),0)="SIM",1,0)</f>
        <v>0</v>
      </c>
      <c r="L1101" s="14" t="str">
        <f>_xlfn.XLOOKUP(B1101,CAD_PDV!A:A,CAD_PDV!C:C)</f>
        <v>PR/SC</v>
      </c>
      <c r="M1101" s="14" t="str">
        <f>IFERROR(_xlfn.XLOOKUP(B1101,repete!A:A,repete!A:A),"-")</f>
        <v>-</v>
      </c>
    </row>
    <row r="1102" spans="1:13" hidden="1">
      <c r="A1102" s="1">
        <v>46113</v>
      </c>
      <c r="B1102" t="s">
        <v>1263</v>
      </c>
      <c r="C1102" t="s">
        <v>1142</v>
      </c>
      <c r="D1102" t="s">
        <v>233</v>
      </c>
      <c r="E1102" t="s">
        <v>55</v>
      </c>
      <c r="F1102">
        <v>26</v>
      </c>
      <c r="G1102">
        <v>4</v>
      </c>
      <c r="H1102">
        <v>1.6920473773265701E-3</v>
      </c>
      <c r="I1102">
        <v>0.15384615384615399</v>
      </c>
      <c r="J1102" s="14" t="str">
        <f>_xlfn.XLOOKUP(B1102,CAD_PDV!A:A,CAD_PDV!B:B)</f>
        <v>LEINAD COMERCIO E SERVICO EIRELI</v>
      </c>
      <c r="K1102" s="14">
        <f>IF(IFERROR(_xlfn.XLOOKUP(B1102,Planilha2!D:D,Planilha2!H:H),0)="SIM",1,0)</f>
        <v>0</v>
      </c>
      <c r="L1102" s="14" t="str">
        <f>_xlfn.XLOOKUP(B1102,CAD_PDV!A:A,CAD_PDV!C:C)</f>
        <v>RJ/ES</v>
      </c>
      <c r="M1102" s="14" t="str">
        <f>IFERROR(_xlfn.XLOOKUP(B1102,repete!A:A,repete!A:A),"-")</f>
        <v>-</v>
      </c>
    </row>
    <row r="1103" spans="1:13" hidden="1">
      <c r="A1103" s="1">
        <v>46113</v>
      </c>
      <c r="B1103" t="s">
        <v>512</v>
      </c>
      <c r="C1103" t="s">
        <v>513</v>
      </c>
      <c r="D1103" t="s">
        <v>228</v>
      </c>
      <c r="E1103" t="s">
        <v>56</v>
      </c>
      <c r="F1103">
        <v>20</v>
      </c>
      <c r="G1103">
        <v>4</v>
      </c>
      <c r="H1103">
        <v>1.6920473773265701E-3</v>
      </c>
      <c r="I1103">
        <v>0.2</v>
      </c>
      <c r="J1103" s="14" t="str">
        <f>_xlfn.XLOOKUP(B1103,CAD_PDV!A:A,CAD_PDV!B:B)</f>
        <v>FAJULUTI</v>
      </c>
      <c r="K1103" s="14">
        <f>IF(IFERROR(_xlfn.XLOOKUP(B1103,Planilha2!D:D,Planilha2!H:H),0)="SIM",1,0)</f>
        <v>0</v>
      </c>
      <c r="L1103" s="14" t="str">
        <f>_xlfn.XLOOKUP(B1103,CAD_PDV!A:A,CAD_PDV!C:C)</f>
        <v>MG</v>
      </c>
      <c r="M1103" s="14" t="str">
        <f>IFERROR(_xlfn.XLOOKUP(B1103,repete!A:A,repete!A:A),"-")</f>
        <v>-</v>
      </c>
    </row>
    <row r="1104" spans="1:13" hidden="1">
      <c r="A1104" s="1">
        <v>46113</v>
      </c>
      <c r="B1104" t="s">
        <v>1920</v>
      </c>
      <c r="C1104" t="s">
        <v>1918</v>
      </c>
      <c r="D1104" t="s">
        <v>106</v>
      </c>
      <c r="E1104" t="s">
        <v>2074</v>
      </c>
      <c r="F1104">
        <v>38</v>
      </c>
      <c r="G1104">
        <v>4</v>
      </c>
      <c r="H1104">
        <v>1.6920473773265701E-3</v>
      </c>
      <c r="I1104">
        <v>0.105263157894737</v>
      </c>
      <c r="J1104" s="14" t="str">
        <f>_xlfn.XLOOKUP(B1104,CAD_PDV!A:A,CAD_PDV!B:B)</f>
        <v>CELLULAR.COM</v>
      </c>
      <c r="K1104" s="14">
        <f>IF(IFERROR(_xlfn.XLOOKUP(B1104,Planilha2!D:D,Planilha2!H:H),0)="SIM",1,0)</f>
        <v>0</v>
      </c>
      <c r="L1104" s="14" t="str">
        <f>_xlfn.XLOOKUP(B1104,CAD_PDV!A:A,CAD_PDV!C:C)</f>
        <v>PR/SC</v>
      </c>
      <c r="M1104" s="14" t="str">
        <f>IFERROR(_xlfn.XLOOKUP(B1104,repete!A:A,repete!A:A),"-")</f>
        <v>-</v>
      </c>
    </row>
    <row r="1105" spans="1:13" hidden="1">
      <c r="A1105" s="1">
        <v>46113</v>
      </c>
      <c r="B1105" t="s">
        <v>1506</v>
      </c>
      <c r="C1105" t="s">
        <v>1507</v>
      </c>
      <c r="D1105" t="s">
        <v>132</v>
      </c>
      <c r="E1105" t="s">
        <v>54</v>
      </c>
      <c r="F1105">
        <v>62</v>
      </c>
      <c r="G1105">
        <v>4</v>
      </c>
      <c r="H1105">
        <v>1.6920473773265701E-3</v>
      </c>
      <c r="I1105">
        <v>6.4516129032258104E-2</v>
      </c>
      <c r="J1105" s="14" t="str">
        <f>_xlfn.XLOOKUP(B1105,CAD_PDV!A:A,CAD_PDV!B:B)</f>
        <v>FLEX CELL</v>
      </c>
      <c r="K1105" s="14">
        <f>IF(IFERROR(_xlfn.XLOOKUP(B1105,Planilha2!D:D,Planilha2!H:H),0)="SIM",1,0)</f>
        <v>0</v>
      </c>
      <c r="L1105" s="14" t="str">
        <f>_xlfn.XLOOKUP(B1105,CAD_PDV!A:A,CAD_PDV!C:C)</f>
        <v>SP2</v>
      </c>
      <c r="M1105" s="14" t="str">
        <f>IFERROR(_xlfn.XLOOKUP(B1105,repete!A:A,repete!A:A),"-")</f>
        <v>-</v>
      </c>
    </row>
    <row r="1106" spans="1:13" hidden="1">
      <c r="A1106" s="1">
        <v>46113</v>
      </c>
      <c r="B1106" t="s">
        <v>1377</v>
      </c>
      <c r="C1106" t="s">
        <v>1375</v>
      </c>
      <c r="D1106" t="s">
        <v>229</v>
      </c>
      <c r="E1106" t="s">
        <v>53</v>
      </c>
      <c r="F1106">
        <v>105</v>
      </c>
      <c r="G1106">
        <v>4</v>
      </c>
      <c r="H1106">
        <v>1.6920473773265701E-3</v>
      </c>
      <c r="I1106">
        <v>3.8095238095238099E-2</v>
      </c>
      <c r="J1106" s="14" t="str">
        <f>_xlfn.XLOOKUP(B1106,CAD_PDV!A:A,CAD_PDV!B:B)</f>
        <v>FW TELEFONIA LTDA - EPP</v>
      </c>
      <c r="K1106" s="14">
        <f>IF(IFERROR(_xlfn.XLOOKUP(B1106,Planilha2!D:D,Planilha2!H:H),0)="SIM",1,0)</f>
        <v>0</v>
      </c>
      <c r="L1106" s="14" t="str">
        <f>_xlfn.XLOOKUP(B1106,CAD_PDV!A:A,CAD_PDV!C:C)</f>
        <v>SP1</v>
      </c>
      <c r="M1106" s="14" t="str">
        <f>IFERROR(_xlfn.XLOOKUP(B1106,repete!A:A,repete!A:A),"-")</f>
        <v>6J3J</v>
      </c>
    </row>
    <row r="1107" spans="1:13" hidden="1">
      <c r="A1107" s="1">
        <v>46113</v>
      </c>
      <c r="B1107" t="s">
        <v>2038</v>
      </c>
      <c r="C1107" t="s">
        <v>2040</v>
      </c>
      <c r="D1107" t="s">
        <v>193</v>
      </c>
      <c r="E1107" t="s">
        <v>2074</v>
      </c>
      <c r="F1107">
        <v>26</v>
      </c>
      <c r="G1107">
        <v>4</v>
      </c>
      <c r="H1107">
        <v>1.6920473773265701E-3</v>
      </c>
      <c r="I1107">
        <v>0.15384615384615399</v>
      </c>
      <c r="J1107" s="14" t="str">
        <f>_xlfn.XLOOKUP(B1107,CAD_PDV!A:A,CAD_PDV!B:B)</f>
        <v>S D COMERCIO DE CELULARES LTDA - ME</v>
      </c>
      <c r="K1107" s="14">
        <f>IF(IFERROR(_xlfn.XLOOKUP(B1107,Planilha2!D:D,Planilha2!H:H),0)="SIM",1,0)</f>
        <v>0</v>
      </c>
      <c r="L1107" s="14" t="str">
        <f>_xlfn.XLOOKUP(B1107,CAD_PDV!A:A,CAD_PDV!C:C)</f>
        <v>RS</v>
      </c>
      <c r="M1107" s="14" t="str">
        <f>IFERROR(_xlfn.XLOOKUP(B1107,repete!A:A,repete!A:A),"-")</f>
        <v>-</v>
      </c>
    </row>
    <row r="1108" spans="1:13" hidden="1">
      <c r="A1108" s="1">
        <v>46113</v>
      </c>
      <c r="B1108" t="s">
        <v>880</v>
      </c>
      <c r="C1108" t="s">
        <v>875</v>
      </c>
      <c r="D1108" t="s">
        <v>239</v>
      </c>
      <c r="E1108" t="s">
        <v>59</v>
      </c>
      <c r="F1108">
        <v>109</v>
      </c>
      <c r="G1108">
        <v>4</v>
      </c>
      <c r="H1108">
        <v>1.6920473773265701E-3</v>
      </c>
      <c r="I1108">
        <v>3.6697247706422E-2</v>
      </c>
      <c r="J1108" s="14" t="str">
        <f>_xlfn.XLOOKUP(B1108,CAD_PDV!A:A,CAD_PDV!B:B)</f>
        <v>TELECELL TELEFONIA LTDA - ME</v>
      </c>
      <c r="K1108" s="14">
        <f>IF(IFERROR(_xlfn.XLOOKUP(B1108,Planilha2!D:D,Planilha2!H:H),0)="SIM",1,0)</f>
        <v>0</v>
      </c>
      <c r="L1108" s="14" t="str">
        <f>_xlfn.XLOOKUP(B1108,CAD_PDV!A:A,CAD_PDV!C:C)</f>
        <v>CO</v>
      </c>
      <c r="M1108" s="14" t="str">
        <f>IFERROR(_xlfn.XLOOKUP(B1108,repete!A:A,repete!A:A),"-")</f>
        <v>-</v>
      </c>
    </row>
    <row r="1109" spans="1:13" hidden="1">
      <c r="A1109" s="1">
        <v>46113</v>
      </c>
      <c r="B1109" t="s">
        <v>1906</v>
      </c>
      <c r="C1109" t="s">
        <v>1904</v>
      </c>
      <c r="D1109" t="s">
        <v>97</v>
      </c>
      <c r="E1109" t="s">
        <v>2074</v>
      </c>
      <c r="F1109">
        <v>31</v>
      </c>
      <c r="G1109">
        <v>4</v>
      </c>
      <c r="H1109">
        <v>1.6920473773265701E-3</v>
      </c>
      <c r="I1109">
        <v>0.12903225806451599</v>
      </c>
      <c r="J1109" s="14" t="str">
        <f>_xlfn.XLOOKUP(B1109,CAD_PDV!A:A,CAD_PDV!B:B)</f>
        <v>BANDEIRA</v>
      </c>
      <c r="K1109" s="14">
        <f>IF(IFERROR(_xlfn.XLOOKUP(B1109,Planilha2!D:D,Planilha2!H:H),0)="SIM",1,0)</f>
        <v>0</v>
      </c>
      <c r="L1109" s="14" t="str">
        <f>_xlfn.XLOOKUP(B1109,CAD_PDV!A:A,CAD_PDV!C:C)</f>
        <v>PR/SC</v>
      </c>
      <c r="M1109" s="14" t="str">
        <f>IFERROR(_xlfn.XLOOKUP(B1109,repete!A:A,repete!A:A),"-")</f>
        <v>-</v>
      </c>
    </row>
    <row r="1110" spans="1:13" hidden="1">
      <c r="A1110" s="1">
        <v>46113</v>
      </c>
      <c r="B1110" t="s">
        <v>2086</v>
      </c>
      <c r="C1110" t="s">
        <v>902</v>
      </c>
      <c r="D1110" t="s">
        <v>215</v>
      </c>
      <c r="E1110" t="s">
        <v>59</v>
      </c>
      <c r="F1110">
        <v>36</v>
      </c>
      <c r="G1110">
        <v>4</v>
      </c>
      <c r="H1110">
        <v>1.6920473773265701E-3</v>
      </c>
      <c r="I1110">
        <v>0.11111111111111099</v>
      </c>
      <c r="J1110" s="14" t="str">
        <f>_xlfn.XLOOKUP(B1110,CAD_PDV!A:A,CAD_PDV!B:B)</f>
        <v>VIA SALLUS</v>
      </c>
      <c r="K1110" s="14">
        <f>IF(IFERROR(_xlfn.XLOOKUP(B1110,Planilha2!D:D,Planilha2!H:H),0)="SIM",1,0)</f>
        <v>0</v>
      </c>
      <c r="L1110" s="14" t="str">
        <f>_xlfn.XLOOKUP(B1110,CAD_PDV!A:A,CAD_PDV!C:C)</f>
        <v>CO</v>
      </c>
      <c r="M1110" s="14" t="str">
        <f>IFERROR(_xlfn.XLOOKUP(B1110,repete!A:A,repete!A:A),"-")</f>
        <v>-</v>
      </c>
    </row>
    <row r="1111" spans="1:13" hidden="1">
      <c r="A1111" s="1">
        <v>46113</v>
      </c>
      <c r="B1111" t="s">
        <v>848</v>
      </c>
      <c r="C1111" t="s">
        <v>732</v>
      </c>
      <c r="D1111" t="s">
        <v>221</v>
      </c>
      <c r="E1111" t="s">
        <v>59</v>
      </c>
      <c r="F1111">
        <v>30</v>
      </c>
      <c r="G1111">
        <v>4</v>
      </c>
      <c r="H1111">
        <v>1.6920473773265701E-3</v>
      </c>
      <c r="I1111">
        <v>0.133333333333333</v>
      </c>
      <c r="J1111" s="14" t="str">
        <f>_xlfn.XLOOKUP(B1111,CAD_PDV!A:A,CAD_PDV!B:B)</f>
        <v>AMERICOM COMERCIO DE APARELHOS ELETRONICOS LTDA - EPP</v>
      </c>
      <c r="K1111" s="14">
        <f>IF(IFERROR(_xlfn.XLOOKUP(B1111,Planilha2!D:D,Planilha2!H:H),0)="SIM",1,0)</f>
        <v>0</v>
      </c>
      <c r="L1111" s="14" t="str">
        <f>_xlfn.XLOOKUP(B1111,CAD_PDV!A:A,CAD_PDV!C:C)</f>
        <v>CO</v>
      </c>
      <c r="M1111" s="14" t="str">
        <f>IFERROR(_xlfn.XLOOKUP(B1111,repete!A:A,repete!A:A),"-")</f>
        <v>-</v>
      </c>
    </row>
    <row r="1112" spans="1:13" hidden="1">
      <c r="A1112" s="1">
        <v>46113</v>
      </c>
      <c r="B1112" t="s">
        <v>655</v>
      </c>
      <c r="C1112" t="s">
        <v>649</v>
      </c>
      <c r="D1112" t="s">
        <v>239</v>
      </c>
      <c r="E1112" t="s">
        <v>59</v>
      </c>
      <c r="F1112">
        <v>59</v>
      </c>
      <c r="G1112">
        <v>4</v>
      </c>
      <c r="H1112">
        <v>1.6920473773265701E-3</v>
      </c>
      <c r="I1112">
        <v>6.7796610169491497E-2</v>
      </c>
      <c r="J1112" s="14" t="str">
        <f>_xlfn.XLOOKUP(B1112,CAD_PDV!A:A,CAD_PDV!B:B)</f>
        <v>TELECELL TELEFONIA LTDA - ME</v>
      </c>
      <c r="K1112" s="14">
        <f>IF(IFERROR(_xlfn.XLOOKUP(B1112,Planilha2!D:D,Planilha2!H:H),0)="SIM",1,0)</f>
        <v>0</v>
      </c>
      <c r="L1112" s="14" t="str">
        <f>_xlfn.XLOOKUP(B1112,CAD_PDV!A:A,CAD_PDV!C:C)</f>
        <v>CO</v>
      </c>
      <c r="M1112" s="14" t="str">
        <f>IFERROR(_xlfn.XLOOKUP(B1112,repete!A:A,repete!A:A),"-")</f>
        <v>-</v>
      </c>
    </row>
    <row r="1113" spans="1:13" hidden="1">
      <c r="A1113" s="1">
        <v>46113</v>
      </c>
      <c r="B1113" t="s">
        <v>1012</v>
      </c>
      <c r="C1113" t="s">
        <v>1005</v>
      </c>
      <c r="D1113" t="s">
        <v>232</v>
      </c>
      <c r="E1113" t="s">
        <v>60</v>
      </c>
      <c r="F1113">
        <v>36</v>
      </c>
      <c r="G1113">
        <v>4</v>
      </c>
      <c r="H1113">
        <v>1.6920473773265701E-3</v>
      </c>
      <c r="I1113">
        <v>0.11111111111111099</v>
      </c>
      <c r="J1113" s="14" t="str">
        <f>_xlfn.XLOOKUP(B1113,CAD_PDV!A:A,CAD_PDV!B:B)</f>
        <v>HS TELECOM</v>
      </c>
      <c r="K1113" s="14">
        <f>IF(IFERROR(_xlfn.XLOOKUP(B1113,Planilha2!D:D,Planilha2!H:H),0)="SIM",1,0)</f>
        <v>0</v>
      </c>
      <c r="L1113" s="14" t="str">
        <f>_xlfn.XLOOKUP(B1113,CAD_PDV!A:A,CAD_PDV!C:C)</f>
        <v>BA/SE</v>
      </c>
      <c r="M1113" s="14" t="str">
        <f>IFERROR(_xlfn.XLOOKUP(B1113,repete!A:A,repete!A:A),"-")</f>
        <v>FMBI</v>
      </c>
    </row>
    <row r="1114" spans="1:13" hidden="1">
      <c r="A1114" s="1">
        <v>46113</v>
      </c>
      <c r="B1114" t="s">
        <v>1276</v>
      </c>
      <c r="C1114" t="s">
        <v>1185</v>
      </c>
      <c r="D1114" t="s">
        <v>228</v>
      </c>
      <c r="E1114" t="s">
        <v>55</v>
      </c>
      <c r="F1114">
        <v>31</v>
      </c>
      <c r="G1114">
        <v>4</v>
      </c>
      <c r="H1114">
        <v>1.6920473773265701E-3</v>
      </c>
      <c r="I1114">
        <v>0.12903225806451599</v>
      </c>
      <c r="J1114" s="14" t="str">
        <f>_xlfn.XLOOKUP(B1114,CAD_PDV!A:A,CAD_PDV!B:B)</f>
        <v>FAJULUTI</v>
      </c>
      <c r="K1114" s="14">
        <f>IF(IFERROR(_xlfn.XLOOKUP(B1114,Planilha2!D:D,Planilha2!H:H),0)="SIM",1,0)</f>
        <v>0</v>
      </c>
      <c r="L1114" s="14" t="str">
        <f>_xlfn.XLOOKUP(B1114,CAD_PDV!A:A,CAD_PDV!C:C)</f>
        <v>RJ/ES</v>
      </c>
      <c r="M1114" s="14" t="str">
        <f>IFERROR(_xlfn.XLOOKUP(B1114,repete!A:A,repete!A:A),"-")</f>
        <v>-</v>
      </c>
    </row>
    <row r="1115" spans="1:13" hidden="1">
      <c r="A1115" s="1">
        <v>46113</v>
      </c>
      <c r="B1115" t="s">
        <v>657</v>
      </c>
      <c r="C1115" t="s">
        <v>651</v>
      </c>
      <c r="D1115" t="s">
        <v>239</v>
      </c>
      <c r="E1115" t="s">
        <v>59</v>
      </c>
      <c r="F1115">
        <v>55</v>
      </c>
      <c r="G1115">
        <v>4</v>
      </c>
      <c r="H1115">
        <v>1.6920473773265701E-3</v>
      </c>
      <c r="I1115">
        <v>7.2727272727272696E-2</v>
      </c>
      <c r="J1115" s="14" t="str">
        <f>_xlfn.XLOOKUP(B1115,CAD_PDV!A:A,CAD_PDV!B:B)</f>
        <v>TELECELL TELEFONIA LTDA - ME</v>
      </c>
      <c r="K1115" s="14">
        <f>IF(IFERROR(_xlfn.XLOOKUP(B1115,Planilha2!D:D,Planilha2!H:H),0)="SIM",1,0)</f>
        <v>0</v>
      </c>
      <c r="L1115" s="14" t="str">
        <f>_xlfn.XLOOKUP(B1115,CAD_PDV!A:A,CAD_PDV!C:C)</f>
        <v>CO</v>
      </c>
      <c r="M1115" s="14" t="str">
        <f>IFERROR(_xlfn.XLOOKUP(B1115,repete!A:A,repete!A:A),"-")</f>
        <v>-</v>
      </c>
    </row>
    <row r="1116" spans="1:13" hidden="1">
      <c r="A1116" s="1">
        <v>46113</v>
      </c>
      <c r="B1116" t="s">
        <v>1335</v>
      </c>
      <c r="C1116" t="s">
        <v>1313</v>
      </c>
      <c r="D1116" t="s">
        <v>225</v>
      </c>
      <c r="E1116" t="s">
        <v>53</v>
      </c>
      <c r="F1116">
        <v>56</v>
      </c>
      <c r="G1116">
        <v>4</v>
      </c>
      <c r="H1116">
        <v>1.6920473773265701E-3</v>
      </c>
      <c r="I1116">
        <v>7.1428571428571397E-2</v>
      </c>
      <c r="J1116" s="14" t="str">
        <f>_xlfn.XLOOKUP(B1116,CAD_PDV!A:A,CAD_PDV!B:B)</f>
        <v>CLARICELL SP1</v>
      </c>
      <c r="K1116" s="14">
        <f>IF(IFERROR(_xlfn.XLOOKUP(B1116,Planilha2!D:D,Planilha2!H:H),0)="SIM",1,0)</f>
        <v>0</v>
      </c>
      <c r="L1116" s="14" t="str">
        <f>_xlfn.XLOOKUP(B1116,CAD_PDV!A:A,CAD_PDV!C:C)</f>
        <v>SP1</v>
      </c>
      <c r="M1116" s="14" t="str">
        <f>IFERROR(_xlfn.XLOOKUP(B1116,repete!A:A,repete!A:A),"-")</f>
        <v>-</v>
      </c>
    </row>
    <row r="1117" spans="1:13" hidden="1">
      <c r="A1117" s="1">
        <v>46113</v>
      </c>
      <c r="B1117" t="s">
        <v>2054</v>
      </c>
      <c r="C1117" t="s">
        <v>2053</v>
      </c>
      <c r="D1117" t="s">
        <v>193</v>
      </c>
      <c r="E1117" t="s">
        <v>2074</v>
      </c>
      <c r="F1117">
        <v>42</v>
      </c>
      <c r="G1117">
        <v>4</v>
      </c>
      <c r="H1117">
        <v>1.6920473773265701E-3</v>
      </c>
      <c r="I1117">
        <v>9.5238095238095205E-2</v>
      </c>
      <c r="J1117" s="14" t="str">
        <f>_xlfn.XLOOKUP(B1117,CAD_PDV!A:A,CAD_PDV!B:B)</f>
        <v>S D COMERCIO DE CELULARES LTDA - ME</v>
      </c>
      <c r="K1117" s="14">
        <f>IF(IFERROR(_xlfn.XLOOKUP(B1117,Planilha2!D:D,Planilha2!H:H),0)="SIM",1,0)</f>
        <v>0</v>
      </c>
      <c r="L1117" s="14" t="str">
        <f>_xlfn.XLOOKUP(B1117,CAD_PDV!A:A,CAD_PDV!C:C)</f>
        <v>RS</v>
      </c>
      <c r="M1117" s="14" t="str">
        <f>IFERROR(_xlfn.XLOOKUP(B1117,repete!A:A,repete!A:A),"-")</f>
        <v>-</v>
      </c>
    </row>
    <row r="1118" spans="1:13" hidden="1">
      <c r="A1118" s="1">
        <v>46113</v>
      </c>
      <c r="B1118" t="s">
        <v>1612</v>
      </c>
      <c r="C1118" t="s">
        <v>1547</v>
      </c>
      <c r="D1118" t="s">
        <v>132</v>
      </c>
      <c r="E1118" t="s">
        <v>54</v>
      </c>
      <c r="F1118">
        <v>68</v>
      </c>
      <c r="G1118">
        <v>4</v>
      </c>
      <c r="H1118">
        <v>1.6920473773265701E-3</v>
      </c>
      <c r="I1118">
        <v>5.8823529411764698E-2</v>
      </c>
      <c r="J1118" s="14" t="str">
        <f>_xlfn.XLOOKUP(B1118,CAD_PDV!A:A,CAD_PDV!B:B)</f>
        <v>FLEX CELL</v>
      </c>
      <c r="K1118" s="14">
        <f>IF(IFERROR(_xlfn.XLOOKUP(B1118,Planilha2!D:D,Planilha2!H:H),0)="SIM",1,0)</f>
        <v>0</v>
      </c>
      <c r="L1118" s="14" t="str">
        <f>_xlfn.XLOOKUP(B1118,CAD_PDV!A:A,CAD_PDV!C:C)</f>
        <v>SP2</v>
      </c>
      <c r="M1118" s="14" t="str">
        <f>IFERROR(_xlfn.XLOOKUP(B1118,repete!A:A,repete!A:A),"-")</f>
        <v>-</v>
      </c>
    </row>
    <row r="1119" spans="1:13" hidden="1">
      <c r="A1119" s="1">
        <v>46113</v>
      </c>
      <c r="B1119" t="s">
        <v>1863</v>
      </c>
      <c r="C1119" t="s">
        <v>1864</v>
      </c>
      <c r="D1119" t="s">
        <v>97</v>
      </c>
      <c r="E1119" t="s">
        <v>2074</v>
      </c>
      <c r="F1119">
        <v>39</v>
      </c>
      <c r="G1119">
        <v>4</v>
      </c>
      <c r="H1119">
        <v>1.6920473773265701E-3</v>
      </c>
      <c r="I1119">
        <v>0.102564102564103</v>
      </c>
      <c r="J1119" s="14" t="str">
        <f>_xlfn.XLOOKUP(B1119,CAD_PDV!A:A,CAD_PDV!B:B)</f>
        <v>BANDEIRA</v>
      </c>
      <c r="K1119" s="14">
        <f>IF(IFERROR(_xlfn.XLOOKUP(B1119,Planilha2!D:D,Planilha2!H:H),0)="SIM",1,0)</f>
        <v>0</v>
      </c>
      <c r="L1119" s="14" t="str">
        <f>_xlfn.XLOOKUP(B1119,CAD_PDV!A:A,CAD_PDV!C:C)</f>
        <v>PR/SC</v>
      </c>
      <c r="M1119" s="14" t="str">
        <f>IFERROR(_xlfn.XLOOKUP(B1119,repete!A:A,repete!A:A),"-")</f>
        <v>-</v>
      </c>
    </row>
    <row r="1120" spans="1:13" hidden="1">
      <c r="A1120" s="1">
        <v>46113</v>
      </c>
      <c r="B1120" t="s">
        <v>1868</v>
      </c>
      <c r="C1120" t="s">
        <v>1870</v>
      </c>
      <c r="D1120" t="s">
        <v>124</v>
      </c>
      <c r="E1120" t="s">
        <v>2074</v>
      </c>
      <c r="F1120">
        <v>26</v>
      </c>
      <c r="G1120">
        <v>4</v>
      </c>
      <c r="H1120">
        <v>1.6920473773265701E-3</v>
      </c>
      <c r="I1120">
        <v>0.15384615384615399</v>
      </c>
      <c r="J1120" s="14" t="str">
        <f>_xlfn.XLOOKUP(B1120,CAD_PDV!A:A,CAD_PDV!B:B)</f>
        <v>EDUARDO JUNQUEIRA DA SILVEIRA ADMIN</v>
      </c>
      <c r="K1120" s="14">
        <f>IF(IFERROR(_xlfn.XLOOKUP(B1120,Planilha2!D:D,Planilha2!H:H),0)="SIM",1,0)</f>
        <v>0</v>
      </c>
      <c r="L1120" s="14" t="str">
        <f>_xlfn.XLOOKUP(B1120,CAD_PDV!A:A,CAD_PDV!C:C)</f>
        <v>RS</v>
      </c>
      <c r="M1120" s="14" t="str">
        <f>IFERROR(_xlfn.XLOOKUP(B1120,repete!A:A,repete!A:A),"-")</f>
        <v>-</v>
      </c>
    </row>
    <row r="1121" spans="1:13" hidden="1">
      <c r="A1121" s="1">
        <v>46113</v>
      </c>
      <c r="B1121" t="s">
        <v>799</v>
      </c>
      <c r="C1121" t="s">
        <v>651</v>
      </c>
      <c r="D1121" t="s">
        <v>239</v>
      </c>
      <c r="E1121" t="s">
        <v>59</v>
      </c>
      <c r="F1121">
        <v>65</v>
      </c>
      <c r="G1121">
        <v>4</v>
      </c>
      <c r="H1121">
        <v>1.6920473773265701E-3</v>
      </c>
      <c r="I1121">
        <v>6.15384615384615E-2</v>
      </c>
      <c r="J1121" s="14" t="str">
        <f>_xlfn.XLOOKUP(B1121,CAD_PDV!A:A,CAD_PDV!B:B)</f>
        <v>TELECELL TELEFONIA LTDA - ME</v>
      </c>
      <c r="K1121" s="14">
        <f>IF(IFERROR(_xlfn.XLOOKUP(B1121,Planilha2!D:D,Planilha2!H:H),0)="SIM",1,0)</f>
        <v>0</v>
      </c>
      <c r="L1121" s="14" t="str">
        <f>_xlfn.XLOOKUP(B1121,CAD_PDV!A:A,CAD_PDV!C:C)</f>
        <v>CO</v>
      </c>
      <c r="M1121" s="14" t="str">
        <f>IFERROR(_xlfn.XLOOKUP(B1121,repete!A:A,repete!A:A),"-")</f>
        <v>-</v>
      </c>
    </row>
    <row r="1122" spans="1:13" hidden="1">
      <c r="A1122" s="1">
        <v>46113</v>
      </c>
      <c r="B1122" t="s">
        <v>1251</v>
      </c>
      <c r="C1122" t="s">
        <v>1159</v>
      </c>
      <c r="D1122" t="s">
        <v>228</v>
      </c>
      <c r="E1122" t="s">
        <v>55</v>
      </c>
      <c r="F1122">
        <v>85</v>
      </c>
      <c r="G1122">
        <v>4</v>
      </c>
      <c r="H1122">
        <v>1.6920473773265701E-3</v>
      </c>
      <c r="I1122">
        <v>4.7058823529411799E-2</v>
      </c>
      <c r="J1122" s="14" t="str">
        <f>_xlfn.XLOOKUP(B1122,CAD_PDV!A:A,CAD_PDV!B:B)</f>
        <v>FAJULUTI</v>
      </c>
      <c r="K1122" s="14">
        <f>IF(IFERROR(_xlfn.XLOOKUP(B1122,Planilha2!D:D,Planilha2!H:H),0)="SIM",1,0)</f>
        <v>0</v>
      </c>
      <c r="L1122" s="14" t="str">
        <f>_xlfn.XLOOKUP(B1122,CAD_PDV!A:A,CAD_PDV!C:C)</f>
        <v>RJ/ES</v>
      </c>
      <c r="M1122" s="14" t="str">
        <f>IFERROR(_xlfn.XLOOKUP(B1122,repete!A:A,repete!A:A),"-")</f>
        <v>-</v>
      </c>
    </row>
    <row r="1123" spans="1:13" hidden="1">
      <c r="A1123" s="1">
        <v>46113</v>
      </c>
      <c r="B1123" t="s">
        <v>568</v>
      </c>
      <c r="C1123" t="s">
        <v>441</v>
      </c>
      <c r="D1123" t="s">
        <v>228</v>
      </c>
      <c r="E1123" t="s">
        <v>56</v>
      </c>
      <c r="F1123">
        <v>63</v>
      </c>
      <c r="G1123">
        <v>4</v>
      </c>
      <c r="H1123">
        <v>1.6920473773265701E-3</v>
      </c>
      <c r="I1123">
        <v>6.3492063492063502E-2</v>
      </c>
      <c r="J1123" s="14" t="str">
        <f>_xlfn.XLOOKUP(B1123,CAD_PDV!A:A,CAD_PDV!B:B)</f>
        <v>FAJULUTI</v>
      </c>
      <c r="K1123" s="14">
        <f>IF(IFERROR(_xlfn.XLOOKUP(B1123,Planilha2!D:D,Planilha2!H:H),0)="SIM",1,0)</f>
        <v>0</v>
      </c>
      <c r="L1123" s="14" t="str">
        <f>_xlfn.XLOOKUP(B1123,CAD_PDV!A:A,CAD_PDV!C:C)</f>
        <v>MG</v>
      </c>
      <c r="M1123" s="14" t="str">
        <f>IFERROR(_xlfn.XLOOKUP(B1123,repete!A:A,repete!A:A),"-")</f>
        <v>-</v>
      </c>
    </row>
    <row r="1124" spans="1:13" hidden="1">
      <c r="A1124" s="1">
        <v>46113</v>
      </c>
      <c r="B1124" t="s">
        <v>1664</v>
      </c>
      <c r="C1124" t="s">
        <v>1659</v>
      </c>
      <c r="D1124" t="s">
        <v>232</v>
      </c>
      <c r="E1124" t="s">
        <v>54</v>
      </c>
      <c r="F1124">
        <v>53</v>
      </c>
      <c r="G1124">
        <v>4</v>
      </c>
      <c r="H1124">
        <v>1.6920473773265701E-3</v>
      </c>
      <c r="I1124">
        <v>7.5471698113207503E-2</v>
      </c>
      <c r="J1124" s="14" t="str">
        <f>_xlfn.XLOOKUP(B1124,CAD_PDV!A:A,CAD_PDV!B:B)</f>
        <v>HS TELECOM</v>
      </c>
      <c r="K1124" s="14">
        <f>IF(IFERROR(_xlfn.XLOOKUP(B1124,Planilha2!D:D,Planilha2!H:H),0)="SIM",1,0)</f>
        <v>0</v>
      </c>
      <c r="L1124" s="14" t="str">
        <f>_xlfn.XLOOKUP(B1124,CAD_PDV!A:A,CAD_PDV!C:C)</f>
        <v>SP2</v>
      </c>
      <c r="M1124" s="14" t="str">
        <f>IFERROR(_xlfn.XLOOKUP(B1124,repete!A:A,repete!A:A),"-")</f>
        <v>-</v>
      </c>
    </row>
    <row r="1125" spans="1:13" hidden="1">
      <c r="A1125" s="1">
        <v>46113</v>
      </c>
      <c r="B1125" t="s">
        <v>1670</v>
      </c>
      <c r="C1125" t="s">
        <v>1671</v>
      </c>
      <c r="D1125" t="s">
        <v>232</v>
      </c>
      <c r="E1125" t="s">
        <v>54</v>
      </c>
      <c r="F1125">
        <v>73</v>
      </c>
      <c r="G1125">
        <v>4</v>
      </c>
      <c r="H1125">
        <v>1.6920473773265701E-3</v>
      </c>
      <c r="I1125">
        <v>5.4794520547945202E-2</v>
      </c>
      <c r="J1125" s="14" t="str">
        <f>_xlfn.XLOOKUP(B1125,CAD_PDV!A:A,CAD_PDV!B:B)</f>
        <v>HS TELECOM</v>
      </c>
      <c r="K1125" s="14">
        <f>IF(IFERROR(_xlfn.XLOOKUP(B1125,Planilha2!D:D,Planilha2!H:H),0)="SIM",1,0)</f>
        <v>0</v>
      </c>
      <c r="L1125" s="14" t="str">
        <f>_xlfn.XLOOKUP(B1125,CAD_PDV!A:A,CAD_PDV!C:C)</f>
        <v>SP2</v>
      </c>
      <c r="M1125" s="14" t="str">
        <f>IFERROR(_xlfn.XLOOKUP(B1125,repete!A:A,repete!A:A),"-")</f>
        <v>-</v>
      </c>
    </row>
    <row r="1126" spans="1:13" hidden="1">
      <c r="A1126" s="1">
        <v>46113</v>
      </c>
      <c r="B1126" t="s">
        <v>1673</v>
      </c>
      <c r="C1126" t="s">
        <v>1545</v>
      </c>
      <c r="D1126" t="s">
        <v>232</v>
      </c>
      <c r="E1126" t="s">
        <v>54</v>
      </c>
      <c r="F1126">
        <v>73</v>
      </c>
      <c r="G1126">
        <v>4</v>
      </c>
      <c r="H1126">
        <v>1.6920473773265701E-3</v>
      </c>
      <c r="I1126">
        <v>5.4794520547945202E-2</v>
      </c>
      <c r="J1126" s="14" t="str">
        <f>_xlfn.XLOOKUP(B1126,CAD_PDV!A:A,CAD_PDV!B:B)</f>
        <v>HS TELECOM</v>
      </c>
      <c r="K1126" s="14">
        <f>IF(IFERROR(_xlfn.XLOOKUP(B1126,Planilha2!D:D,Planilha2!H:H),0)="SIM",1,0)</f>
        <v>0</v>
      </c>
      <c r="L1126" s="14" t="str">
        <f>_xlfn.XLOOKUP(B1126,CAD_PDV!A:A,CAD_PDV!C:C)</f>
        <v>SP2</v>
      </c>
      <c r="M1126" s="14" t="str">
        <f>IFERROR(_xlfn.XLOOKUP(B1126,repete!A:A,repete!A:A),"-")</f>
        <v>-</v>
      </c>
    </row>
    <row r="1127" spans="1:13" hidden="1">
      <c r="A1127" s="1">
        <v>46113</v>
      </c>
      <c r="B1127" t="s">
        <v>856</v>
      </c>
      <c r="C1127" t="s">
        <v>855</v>
      </c>
      <c r="D1127" t="s">
        <v>2073</v>
      </c>
      <c r="E1127" t="s">
        <v>59</v>
      </c>
      <c r="F1127">
        <v>42</v>
      </c>
      <c r="G1127">
        <v>4</v>
      </c>
      <c r="H1127">
        <v>1.6920473773265701E-3</v>
      </c>
      <c r="I1127">
        <v>9.5238095238095205E-2</v>
      </c>
      <c r="J1127" s="14" t="str">
        <f>_xlfn.XLOOKUP(B1127,CAD_PDV!A:A,CAD_PDV!B:B)</f>
        <v xml:space="preserve">CONTACOM COMERCIO DE APARELHOS ELETRONICOS LTDA </v>
      </c>
      <c r="K1127" s="14">
        <f>IF(IFERROR(_xlfn.XLOOKUP(B1127,Planilha2!D:D,Planilha2!H:H),0)="SIM",1,0)</f>
        <v>0</v>
      </c>
      <c r="L1127" s="14" t="str">
        <f>_xlfn.XLOOKUP(B1127,CAD_PDV!A:A,CAD_PDV!C:C)</f>
        <v>CO</v>
      </c>
      <c r="M1127" s="14" t="str">
        <f>IFERROR(_xlfn.XLOOKUP(B1127,repete!A:A,repete!A:A),"-")</f>
        <v>-</v>
      </c>
    </row>
    <row r="1128" spans="1:13" hidden="1">
      <c r="A1128" s="1">
        <v>46113</v>
      </c>
      <c r="B1128" t="s">
        <v>1707</v>
      </c>
      <c r="C1128" t="s">
        <v>1521</v>
      </c>
      <c r="D1128" t="s">
        <v>132</v>
      </c>
      <c r="E1128" t="s">
        <v>54</v>
      </c>
      <c r="F1128">
        <v>36</v>
      </c>
      <c r="G1128">
        <v>4</v>
      </c>
      <c r="H1128">
        <v>1.6920473773265701E-3</v>
      </c>
      <c r="I1128">
        <v>0.11111111111111099</v>
      </c>
      <c r="J1128" s="14" t="str">
        <f>_xlfn.XLOOKUP(B1128,CAD_PDV!A:A,CAD_PDV!B:B)</f>
        <v>FLEX CELL</v>
      </c>
      <c r="K1128" s="14">
        <f>IF(IFERROR(_xlfn.XLOOKUP(B1128,Planilha2!D:D,Planilha2!H:H),0)="SIM",1,0)</f>
        <v>0</v>
      </c>
      <c r="L1128" s="14" t="str">
        <f>_xlfn.XLOOKUP(B1128,CAD_PDV!A:A,CAD_PDV!C:C)</f>
        <v>SP2</v>
      </c>
      <c r="M1128" s="14" t="str">
        <f>IFERROR(_xlfn.XLOOKUP(B1128,repete!A:A,repete!A:A),"-")</f>
        <v>-</v>
      </c>
    </row>
    <row r="1129" spans="1:13" hidden="1">
      <c r="A1129" s="1">
        <v>46113</v>
      </c>
      <c r="B1129" t="s">
        <v>1368</v>
      </c>
      <c r="C1129" t="s">
        <v>1357</v>
      </c>
      <c r="D1129" t="s">
        <v>132</v>
      </c>
      <c r="E1129" t="s">
        <v>53</v>
      </c>
      <c r="F1129">
        <v>88</v>
      </c>
      <c r="G1129">
        <v>4</v>
      </c>
      <c r="H1129">
        <v>1.6920473773265701E-3</v>
      </c>
      <c r="I1129">
        <v>4.5454545454545497E-2</v>
      </c>
      <c r="J1129" s="14" t="str">
        <f>_xlfn.XLOOKUP(B1129,CAD_PDV!A:A,CAD_PDV!B:B)</f>
        <v>FLEX CELL</v>
      </c>
      <c r="K1129" s="14">
        <f>IF(IFERROR(_xlfn.XLOOKUP(B1129,Planilha2!D:D,Planilha2!H:H),0)="SIM",1,0)</f>
        <v>0</v>
      </c>
      <c r="L1129" s="14" t="str">
        <f>_xlfn.XLOOKUP(B1129,CAD_PDV!A:A,CAD_PDV!C:C)</f>
        <v>SP1</v>
      </c>
      <c r="M1129" s="14" t="str">
        <f>IFERROR(_xlfn.XLOOKUP(B1129,repete!A:A,repete!A:A),"-")</f>
        <v>-</v>
      </c>
    </row>
    <row r="1130" spans="1:13" hidden="1">
      <c r="A1130" s="1">
        <v>46113</v>
      </c>
      <c r="B1130" t="s">
        <v>963</v>
      </c>
      <c r="C1130" t="s">
        <v>944</v>
      </c>
      <c r="D1130" t="s">
        <v>232</v>
      </c>
      <c r="E1130" t="s">
        <v>60</v>
      </c>
      <c r="F1130">
        <v>101</v>
      </c>
      <c r="G1130">
        <v>4</v>
      </c>
      <c r="H1130">
        <v>1.6920473773265701E-3</v>
      </c>
      <c r="I1130">
        <v>3.9603960396039598E-2</v>
      </c>
      <c r="J1130" s="14" t="str">
        <f>_xlfn.XLOOKUP(B1130,CAD_PDV!A:A,CAD_PDV!B:B)</f>
        <v>HS TELECOM</v>
      </c>
      <c r="K1130" s="14">
        <f>IF(IFERROR(_xlfn.XLOOKUP(B1130,Planilha2!D:D,Planilha2!H:H),0)="SIM",1,0)</f>
        <v>0</v>
      </c>
      <c r="L1130" s="14" t="str">
        <f>_xlfn.XLOOKUP(B1130,CAD_PDV!A:A,CAD_PDV!C:C)</f>
        <v>BA/SE</v>
      </c>
      <c r="M1130" s="14" t="str">
        <f>IFERROR(_xlfn.XLOOKUP(B1130,repete!A:A,repete!A:A),"-")</f>
        <v>-</v>
      </c>
    </row>
    <row r="1131" spans="1:13" hidden="1">
      <c r="A1131" s="1">
        <v>46113</v>
      </c>
      <c r="B1131" t="s">
        <v>577</v>
      </c>
      <c r="C1131" t="s">
        <v>578</v>
      </c>
      <c r="D1131" t="s">
        <v>228</v>
      </c>
      <c r="E1131" t="s">
        <v>56</v>
      </c>
      <c r="F1131">
        <v>17</v>
      </c>
      <c r="G1131">
        <v>4</v>
      </c>
      <c r="H1131">
        <v>1.6920473773265701E-3</v>
      </c>
      <c r="I1131">
        <v>0.23529411764705899</v>
      </c>
      <c r="J1131" s="14" t="str">
        <f>_xlfn.XLOOKUP(B1131,CAD_PDV!A:A,CAD_PDV!B:B)</f>
        <v>FAJULUTI</v>
      </c>
      <c r="K1131" s="14">
        <f>IF(IFERROR(_xlfn.XLOOKUP(B1131,Planilha2!D:D,Planilha2!H:H),0)="SIM",1,0)</f>
        <v>0</v>
      </c>
      <c r="L1131" s="14" t="str">
        <f>_xlfn.XLOOKUP(B1131,CAD_PDV!A:A,CAD_PDV!C:C)</f>
        <v>MG</v>
      </c>
      <c r="M1131" s="14" t="str">
        <f>IFERROR(_xlfn.XLOOKUP(B1131,repete!A:A,repete!A:A),"-")</f>
        <v>-</v>
      </c>
    </row>
    <row r="1132" spans="1:13" hidden="1">
      <c r="A1132" s="1">
        <v>46113</v>
      </c>
      <c r="B1132" t="s">
        <v>1410</v>
      </c>
      <c r="C1132" t="s">
        <v>1413</v>
      </c>
      <c r="D1132" t="s">
        <v>220</v>
      </c>
      <c r="E1132" t="s">
        <v>54</v>
      </c>
      <c r="F1132">
        <v>44</v>
      </c>
      <c r="G1132">
        <v>3</v>
      </c>
      <c r="H1132">
        <v>1.2690355329949201E-3</v>
      </c>
      <c r="I1132">
        <v>6.8181818181818205E-2</v>
      </c>
      <c r="J1132" s="14" t="str">
        <f>_xlfn.XLOOKUP(B1132,CAD_PDV!A:A,CAD_PDV!B:B)</f>
        <v>ADESIENE NUNES MACHADO - ME</v>
      </c>
      <c r="K1132" s="14">
        <f>IF(IFERROR(_xlfn.XLOOKUP(B1132,Planilha2!D:D,Planilha2!H:H),0)="SIM",1,0)</f>
        <v>0</v>
      </c>
      <c r="L1132" s="14" t="str">
        <f>_xlfn.XLOOKUP(B1132,CAD_PDV!A:A,CAD_PDV!C:C)</f>
        <v>SP2</v>
      </c>
      <c r="M1132" s="14" t="str">
        <f>IFERROR(_xlfn.XLOOKUP(B1132,repete!A:A,repete!A:A),"-")</f>
        <v>-</v>
      </c>
    </row>
    <row r="1133" spans="1:13" hidden="1">
      <c r="A1133" s="1">
        <v>46113</v>
      </c>
      <c r="B1133" t="s">
        <v>941</v>
      </c>
      <c r="C1133" t="s">
        <v>944</v>
      </c>
      <c r="D1133" t="s">
        <v>232</v>
      </c>
      <c r="E1133" t="s">
        <v>60</v>
      </c>
      <c r="F1133">
        <v>99</v>
      </c>
      <c r="G1133">
        <v>3</v>
      </c>
      <c r="H1133">
        <v>1.2690355329949201E-3</v>
      </c>
      <c r="I1133">
        <v>3.03030303030303E-2</v>
      </c>
      <c r="J1133" s="14" t="str">
        <f>_xlfn.XLOOKUP(B1133,CAD_PDV!A:A,CAD_PDV!B:B)</f>
        <v>HS TELECOM</v>
      </c>
      <c r="K1133" s="14">
        <f>IF(IFERROR(_xlfn.XLOOKUP(B1133,Planilha2!D:D,Planilha2!H:H),0)="SIM",1,0)</f>
        <v>0</v>
      </c>
      <c r="L1133" s="14" t="str">
        <f>_xlfn.XLOOKUP(B1133,CAD_PDV!A:A,CAD_PDV!C:C)</f>
        <v>BA/SE</v>
      </c>
      <c r="M1133" s="14" t="str">
        <f>IFERROR(_xlfn.XLOOKUP(B1133,repete!A:A,repete!A:A),"-")</f>
        <v>-</v>
      </c>
    </row>
    <row r="1134" spans="1:13" hidden="1">
      <c r="A1134" s="1">
        <v>46113</v>
      </c>
      <c r="B1134" t="s">
        <v>1427</v>
      </c>
      <c r="C1134" t="s">
        <v>1429</v>
      </c>
      <c r="D1134" t="s">
        <v>232</v>
      </c>
      <c r="E1134" t="s">
        <v>54</v>
      </c>
      <c r="F1134">
        <v>29</v>
      </c>
      <c r="G1134">
        <v>3</v>
      </c>
      <c r="H1134">
        <v>1.2690355329949201E-3</v>
      </c>
      <c r="I1134">
        <v>0.10344827586206901</v>
      </c>
      <c r="J1134" s="14" t="str">
        <f>_xlfn.XLOOKUP(B1134,CAD_PDV!A:A,CAD_PDV!B:B)</f>
        <v>HS TELECOM</v>
      </c>
      <c r="K1134" s="14">
        <f>IF(IFERROR(_xlfn.XLOOKUP(B1134,Planilha2!D:D,Planilha2!H:H),0)="SIM",1,0)</f>
        <v>0</v>
      </c>
      <c r="L1134" s="14" t="str">
        <f>_xlfn.XLOOKUP(B1134,CAD_PDV!A:A,CAD_PDV!C:C)</f>
        <v>SP2</v>
      </c>
      <c r="M1134" s="14" t="str">
        <f>IFERROR(_xlfn.XLOOKUP(B1134,repete!A:A,repete!A:A),"-")</f>
        <v>-</v>
      </c>
    </row>
    <row r="1135" spans="1:13" hidden="1">
      <c r="A1135" s="1">
        <v>46113</v>
      </c>
      <c r="B1135" t="s">
        <v>642</v>
      </c>
      <c r="C1135" t="s">
        <v>644</v>
      </c>
      <c r="D1135" t="s">
        <v>240</v>
      </c>
      <c r="E1135" t="s">
        <v>59</v>
      </c>
      <c r="F1135">
        <v>50</v>
      </c>
      <c r="G1135">
        <v>3</v>
      </c>
      <c r="H1135">
        <v>1.2690355329949201E-3</v>
      </c>
      <c r="I1135">
        <v>0.06</v>
      </c>
      <c r="J1135" s="14" t="str">
        <f>_xlfn.XLOOKUP(B1135,CAD_PDV!A:A,CAD_PDV!B:B)</f>
        <v>TELEMAIS TELEFONIA LTDA - ME</v>
      </c>
      <c r="K1135" s="14">
        <f>IF(IFERROR(_xlfn.XLOOKUP(B1135,Planilha2!D:D,Planilha2!H:H),0)="SIM",1,0)</f>
        <v>0</v>
      </c>
      <c r="L1135" s="14" t="str">
        <f>_xlfn.XLOOKUP(B1135,CAD_PDV!A:A,CAD_PDV!C:C)</f>
        <v>CO</v>
      </c>
      <c r="M1135" s="14" t="str">
        <f>IFERROR(_xlfn.XLOOKUP(B1135,repete!A:A,repete!A:A),"-")</f>
        <v>-</v>
      </c>
    </row>
    <row r="1136" spans="1:13" hidden="1">
      <c r="A1136" s="1">
        <v>46113</v>
      </c>
      <c r="B1136" t="s">
        <v>1827</v>
      </c>
      <c r="C1136" t="s">
        <v>1828</v>
      </c>
      <c r="D1136" t="s">
        <v>95</v>
      </c>
      <c r="E1136" t="s">
        <v>2074</v>
      </c>
      <c r="F1136">
        <v>17</v>
      </c>
      <c r="G1136">
        <v>3</v>
      </c>
      <c r="H1136">
        <v>1.2690355329949201E-3</v>
      </c>
      <c r="I1136">
        <v>0.17647058823529399</v>
      </c>
      <c r="J1136" s="14" t="str">
        <f>_xlfn.XLOOKUP(B1136,CAD_PDV!A:A,CAD_PDV!B:B)</f>
        <v>AYRES E DEBONI LTDA - ME</v>
      </c>
      <c r="K1136" s="14">
        <f>IF(IFERROR(_xlfn.XLOOKUP(B1136,Planilha2!D:D,Planilha2!H:H),0)="SIM",1,0)</f>
        <v>0</v>
      </c>
      <c r="L1136" s="14" t="str">
        <f>_xlfn.XLOOKUP(B1136,CAD_PDV!A:A,CAD_PDV!C:C)</f>
        <v>RS</v>
      </c>
      <c r="M1136" s="14" t="str">
        <f>IFERROR(_xlfn.XLOOKUP(B1136,repete!A:A,repete!A:A),"-")</f>
        <v>-</v>
      </c>
    </row>
    <row r="1137" spans="1:13" hidden="1">
      <c r="A1137" s="1">
        <v>46113</v>
      </c>
      <c r="B1137" t="s">
        <v>1463</v>
      </c>
      <c r="C1137" t="s">
        <v>1464</v>
      </c>
      <c r="D1137" t="s">
        <v>219</v>
      </c>
      <c r="E1137" t="s">
        <v>54</v>
      </c>
      <c r="F1137">
        <v>89</v>
      </c>
      <c r="G1137">
        <v>3</v>
      </c>
      <c r="H1137">
        <v>1.2690355329949201E-3</v>
      </c>
      <c r="I1137">
        <v>3.3707865168539297E-2</v>
      </c>
      <c r="J1137" s="14" t="str">
        <f>_xlfn.XLOOKUP(B1137,CAD_PDV!A:A,CAD_PDV!B:B)</f>
        <v>WCI CELULARES SERVICOS E TELECOMUNICACOES LTDA - EPP</v>
      </c>
      <c r="K1137" s="14">
        <f>IF(IFERROR(_xlfn.XLOOKUP(B1137,Planilha2!D:D,Planilha2!H:H),0)="SIM",1,0)</f>
        <v>0</v>
      </c>
      <c r="L1137" s="14" t="str">
        <f>_xlfn.XLOOKUP(B1137,CAD_PDV!A:A,CAD_PDV!C:C)</f>
        <v>SP2</v>
      </c>
      <c r="M1137" s="14" t="str">
        <f>IFERROR(_xlfn.XLOOKUP(B1137,repete!A:A,repete!A:A),"-")</f>
        <v>-</v>
      </c>
    </row>
    <row r="1138" spans="1:13" hidden="1">
      <c r="A1138" s="1">
        <v>46113</v>
      </c>
      <c r="B1138" t="s">
        <v>1203</v>
      </c>
      <c r="C1138" t="s">
        <v>1204</v>
      </c>
      <c r="D1138" t="s">
        <v>2072</v>
      </c>
      <c r="E1138" t="s">
        <v>55</v>
      </c>
      <c r="F1138">
        <v>47</v>
      </c>
      <c r="G1138">
        <v>3</v>
      </c>
      <c r="H1138">
        <v>1.2690355329949201E-3</v>
      </c>
      <c r="I1138">
        <v>6.3829787234042507E-2</v>
      </c>
      <c r="J1138" s="14" t="str">
        <f>_xlfn.XLOOKUP(B1138,CAD_PDV!A:A,CAD_PDV!B:B)</f>
        <v>MEXCELL COMERCIO E SERVICOS DE TELECOMUNICACOES LTDA</v>
      </c>
      <c r="K1138" s="14">
        <f>IF(IFERROR(_xlfn.XLOOKUP(B1138,Planilha2!D:D,Planilha2!H:H),0)="SIM",1,0)</f>
        <v>0</v>
      </c>
      <c r="L1138" s="14" t="str">
        <f>_xlfn.XLOOKUP(B1138,CAD_PDV!A:A,CAD_PDV!C:C)</f>
        <v>RJ/ES</v>
      </c>
      <c r="M1138" s="14" t="str">
        <f>IFERROR(_xlfn.XLOOKUP(B1138,repete!A:A,repete!A:A),"-")</f>
        <v>-</v>
      </c>
    </row>
    <row r="1139" spans="1:13" hidden="1">
      <c r="A1139" s="1">
        <v>46113</v>
      </c>
      <c r="B1139" t="s">
        <v>1481</v>
      </c>
      <c r="C1139" t="s">
        <v>1482</v>
      </c>
      <c r="D1139" t="s">
        <v>232</v>
      </c>
      <c r="E1139" t="s">
        <v>54</v>
      </c>
      <c r="F1139">
        <v>39</v>
      </c>
      <c r="G1139">
        <v>3</v>
      </c>
      <c r="H1139">
        <v>1.2690355329949201E-3</v>
      </c>
      <c r="I1139">
        <v>7.69230769230769E-2</v>
      </c>
      <c r="J1139" s="14" t="str">
        <f>_xlfn.XLOOKUP(B1139,CAD_PDV!A:A,CAD_PDV!B:B)</f>
        <v>HS TELECOM</v>
      </c>
      <c r="K1139" s="14">
        <f>IF(IFERROR(_xlfn.XLOOKUP(B1139,Planilha2!D:D,Planilha2!H:H),0)="SIM",1,0)</f>
        <v>0</v>
      </c>
      <c r="L1139" s="14" t="str">
        <f>_xlfn.XLOOKUP(B1139,CAD_PDV!A:A,CAD_PDV!C:C)</f>
        <v>SP2</v>
      </c>
      <c r="M1139" s="14" t="str">
        <f>IFERROR(_xlfn.XLOOKUP(B1139,repete!A:A,repete!A:A),"-")</f>
        <v>-</v>
      </c>
    </row>
    <row r="1140" spans="1:13" hidden="1">
      <c r="A1140" s="1">
        <v>46113</v>
      </c>
      <c r="B1140" t="s">
        <v>1208</v>
      </c>
      <c r="C1140" t="s">
        <v>1142</v>
      </c>
      <c r="D1140" t="s">
        <v>237</v>
      </c>
      <c r="E1140" t="s">
        <v>55</v>
      </c>
      <c r="F1140">
        <v>103</v>
      </c>
      <c r="G1140">
        <v>3</v>
      </c>
      <c r="H1140">
        <v>1.2690355329949201E-3</v>
      </c>
      <c r="I1140">
        <v>2.9126213592233E-2</v>
      </c>
      <c r="J1140" s="14" t="str">
        <f>_xlfn.XLOOKUP(B1140,CAD_PDV!A:A,CAD_PDV!B:B)</f>
        <v>PONTO CERTO COMERCIO E COMUNICAÇÕES LTDA</v>
      </c>
      <c r="K1140" s="14">
        <f>IF(IFERROR(_xlfn.XLOOKUP(B1140,Planilha2!D:D,Planilha2!H:H),0)="SIM",1,0)</f>
        <v>0</v>
      </c>
      <c r="L1140" s="14" t="str">
        <f>_xlfn.XLOOKUP(B1140,CAD_PDV!A:A,CAD_PDV!C:C)</f>
        <v>RJ/ES</v>
      </c>
      <c r="M1140" s="14" t="str">
        <f>IFERROR(_xlfn.XLOOKUP(B1140,repete!A:A,repete!A:A),"-")</f>
        <v>-</v>
      </c>
    </row>
    <row r="1141" spans="1:13" hidden="1">
      <c r="A1141" s="1">
        <v>46113</v>
      </c>
      <c r="B1141" t="s">
        <v>753</v>
      </c>
      <c r="C1141" t="s">
        <v>754</v>
      </c>
      <c r="D1141" t="s">
        <v>239</v>
      </c>
      <c r="E1141" t="s">
        <v>59</v>
      </c>
      <c r="F1141">
        <v>38</v>
      </c>
      <c r="G1141">
        <v>3</v>
      </c>
      <c r="H1141">
        <v>1.2690355329949201E-3</v>
      </c>
      <c r="I1141">
        <v>7.8947368421052599E-2</v>
      </c>
      <c r="J1141" s="14" t="str">
        <f>_xlfn.XLOOKUP(B1141,CAD_PDV!A:A,CAD_PDV!B:B)</f>
        <v>TELECELL TELEFONIA LTDA - ME</v>
      </c>
      <c r="K1141" s="14">
        <f>IF(IFERROR(_xlfn.XLOOKUP(B1141,Planilha2!D:D,Planilha2!H:H),0)="SIM",1,0)</f>
        <v>0</v>
      </c>
      <c r="L1141" s="14" t="str">
        <f>_xlfn.XLOOKUP(B1141,CAD_PDV!A:A,CAD_PDV!C:C)</f>
        <v>CO</v>
      </c>
      <c r="M1141" s="14" t="str">
        <f>IFERROR(_xlfn.XLOOKUP(B1141,repete!A:A,repete!A:A),"-")</f>
        <v>-</v>
      </c>
    </row>
    <row r="1142" spans="1:13" hidden="1">
      <c r="A1142" s="1">
        <v>46113</v>
      </c>
      <c r="B1142" t="s">
        <v>1511</v>
      </c>
      <c r="C1142" t="s">
        <v>1512</v>
      </c>
      <c r="D1142" t="s">
        <v>120</v>
      </c>
      <c r="E1142" t="s">
        <v>54</v>
      </c>
      <c r="F1142">
        <v>79</v>
      </c>
      <c r="G1142">
        <v>3</v>
      </c>
      <c r="H1142">
        <v>1.2690355329949201E-3</v>
      </c>
      <c r="I1142">
        <v>3.7974683544303799E-2</v>
      </c>
      <c r="J1142" s="14" t="str">
        <f>_xlfn.XLOOKUP(B1142,CAD_PDV!A:A,CAD_PDV!B:B)</f>
        <v>DOUGLAS LUIZ ELETRONICOS - ME</v>
      </c>
      <c r="K1142" s="14">
        <f>IF(IFERROR(_xlfn.XLOOKUP(B1142,Planilha2!D:D,Planilha2!H:H),0)="SIM",1,0)</f>
        <v>0</v>
      </c>
      <c r="L1142" s="14" t="str">
        <f>_xlfn.XLOOKUP(B1142,CAD_PDV!A:A,CAD_PDV!C:C)</f>
        <v>SP2</v>
      </c>
      <c r="M1142" s="14" t="str">
        <f>IFERROR(_xlfn.XLOOKUP(B1142,repete!A:A,repete!A:A),"-")</f>
        <v>-</v>
      </c>
    </row>
    <row r="1143" spans="1:13" hidden="1">
      <c r="A1143" s="1">
        <v>46113</v>
      </c>
      <c r="B1143" t="s">
        <v>2061</v>
      </c>
      <c r="C1143" t="s">
        <v>2062</v>
      </c>
      <c r="D1143" t="s">
        <v>193</v>
      </c>
      <c r="E1143" t="s">
        <v>2074</v>
      </c>
      <c r="F1143">
        <v>14</v>
      </c>
      <c r="G1143">
        <v>3</v>
      </c>
      <c r="H1143">
        <v>1.2690355329949201E-3</v>
      </c>
      <c r="I1143">
        <v>0.214285714285714</v>
      </c>
      <c r="J1143" s="14" t="str">
        <f>_xlfn.XLOOKUP(B1143,CAD_PDV!A:A,CAD_PDV!B:B)</f>
        <v>S D COMERCIO DE CELULARES LTDA - ME</v>
      </c>
      <c r="K1143" s="14">
        <f>IF(IFERROR(_xlfn.XLOOKUP(B1143,Planilha2!D:D,Planilha2!H:H),0)="SIM",1,0)</f>
        <v>0</v>
      </c>
      <c r="L1143" s="14" t="str">
        <f>_xlfn.XLOOKUP(B1143,CAD_PDV!A:A,CAD_PDV!C:C)</f>
        <v>RS</v>
      </c>
      <c r="M1143" s="14" t="str">
        <f>IFERROR(_xlfn.XLOOKUP(B1143,repete!A:A,repete!A:A),"-")</f>
        <v>-</v>
      </c>
    </row>
    <row r="1144" spans="1:13" hidden="1">
      <c r="A1144" s="1">
        <v>46113</v>
      </c>
      <c r="B1144" t="s">
        <v>1905</v>
      </c>
      <c r="C1144" t="s">
        <v>1904</v>
      </c>
      <c r="D1144" t="s">
        <v>106</v>
      </c>
      <c r="E1144" t="s">
        <v>2074</v>
      </c>
      <c r="F1144">
        <v>41</v>
      </c>
      <c r="G1144">
        <v>3</v>
      </c>
      <c r="H1144">
        <v>1.2690355329949201E-3</v>
      </c>
      <c r="I1144">
        <v>7.3170731707317097E-2</v>
      </c>
      <c r="J1144" s="14" t="str">
        <f>_xlfn.XLOOKUP(B1144,CAD_PDV!A:A,CAD_PDV!B:B)</f>
        <v>CELLULAR.COM</v>
      </c>
      <c r="K1144" s="14">
        <f>IF(IFERROR(_xlfn.XLOOKUP(B1144,Planilha2!D:D,Planilha2!H:H),0)="SIM",1,0)</f>
        <v>0</v>
      </c>
      <c r="L1144" s="14" t="str">
        <f>_xlfn.XLOOKUP(B1144,CAD_PDV!A:A,CAD_PDV!C:C)</f>
        <v>PR/SC</v>
      </c>
      <c r="M1144" s="14" t="str">
        <f>IFERROR(_xlfn.XLOOKUP(B1144,repete!A:A,repete!A:A),"-")</f>
        <v>-</v>
      </c>
    </row>
    <row r="1145" spans="1:13" hidden="1">
      <c r="A1145" s="1">
        <v>46113</v>
      </c>
      <c r="B1145" t="s">
        <v>1212</v>
      </c>
      <c r="C1145" t="s">
        <v>1142</v>
      </c>
      <c r="D1145" t="s">
        <v>237</v>
      </c>
      <c r="E1145" t="s">
        <v>55</v>
      </c>
      <c r="F1145">
        <v>44</v>
      </c>
      <c r="G1145">
        <v>3</v>
      </c>
      <c r="H1145">
        <v>1.2690355329949201E-3</v>
      </c>
      <c r="I1145">
        <v>6.8181818181818205E-2</v>
      </c>
      <c r="J1145" s="14" t="str">
        <f>_xlfn.XLOOKUP(B1145,CAD_PDV!A:A,CAD_PDV!B:B)</f>
        <v>PONTO CERTO COMERCIO E COMUNICAÇÕES LTDA</v>
      </c>
      <c r="K1145" s="14">
        <f>IF(IFERROR(_xlfn.XLOOKUP(B1145,Planilha2!D:D,Planilha2!H:H),0)="SIM",1,0)</f>
        <v>0</v>
      </c>
      <c r="L1145" s="14" t="str">
        <f>_xlfn.XLOOKUP(B1145,CAD_PDV!A:A,CAD_PDV!C:C)</f>
        <v>RJ/ES</v>
      </c>
      <c r="M1145" s="14" t="str">
        <f>IFERROR(_xlfn.XLOOKUP(B1145,repete!A:A,repete!A:A),"-")</f>
        <v>-</v>
      </c>
    </row>
    <row r="1146" spans="1:13" hidden="1">
      <c r="A1146" s="1">
        <v>46113</v>
      </c>
      <c r="B1146" t="s">
        <v>846</v>
      </c>
      <c r="C1146" t="s">
        <v>732</v>
      </c>
      <c r="D1146" t="s">
        <v>221</v>
      </c>
      <c r="E1146" t="s">
        <v>59</v>
      </c>
      <c r="F1146">
        <v>93</v>
      </c>
      <c r="G1146">
        <v>3</v>
      </c>
      <c r="H1146">
        <v>1.2690355329949201E-3</v>
      </c>
      <c r="I1146">
        <v>3.2258064516128997E-2</v>
      </c>
      <c r="J1146" s="14" t="str">
        <f>_xlfn.XLOOKUP(B1146,CAD_PDV!A:A,CAD_PDV!B:B)</f>
        <v>AMERICOM COMERCIO DE APARELHOS ELETRONICOS LTDA - EPP</v>
      </c>
      <c r="K1146" s="14">
        <f>IF(IFERROR(_xlfn.XLOOKUP(B1146,Planilha2!D:D,Planilha2!H:H),0)="SIM",1,0)</f>
        <v>0</v>
      </c>
      <c r="L1146" s="14" t="str">
        <f>_xlfn.XLOOKUP(B1146,CAD_PDV!A:A,CAD_PDV!C:C)</f>
        <v>CO</v>
      </c>
      <c r="M1146" s="14" t="str">
        <f>IFERROR(_xlfn.XLOOKUP(B1146,repete!A:A,repete!A:A),"-")</f>
        <v>-</v>
      </c>
    </row>
    <row r="1147" spans="1:13" hidden="1">
      <c r="A1147" s="1">
        <v>46113</v>
      </c>
      <c r="B1147" t="s">
        <v>645</v>
      </c>
      <c r="C1147" t="s">
        <v>644</v>
      </c>
      <c r="D1147" t="s">
        <v>240</v>
      </c>
      <c r="E1147" t="s">
        <v>59</v>
      </c>
      <c r="F1147">
        <v>43</v>
      </c>
      <c r="G1147">
        <v>3</v>
      </c>
      <c r="H1147">
        <v>1.2690355329949201E-3</v>
      </c>
      <c r="I1147">
        <v>6.9767441860465101E-2</v>
      </c>
      <c r="J1147" s="14" t="str">
        <f>_xlfn.XLOOKUP(B1147,CAD_PDV!A:A,CAD_PDV!B:B)</f>
        <v>TELEMAIS TELEFONIA LTDA - ME</v>
      </c>
      <c r="K1147" s="14">
        <f>IF(IFERROR(_xlfn.XLOOKUP(B1147,Planilha2!D:D,Planilha2!H:H),0)="SIM",1,0)</f>
        <v>0</v>
      </c>
      <c r="L1147" s="14" t="str">
        <f>_xlfn.XLOOKUP(B1147,CAD_PDV!A:A,CAD_PDV!C:C)</f>
        <v>CO</v>
      </c>
      <c r="M1147" s="14" t="str">
        <f>IFERROR(_xlfn.XLOOKUP(B1147,repete!A:A,repete!A:A),"-")</f>
        <v>-</v>
      </c>
    </row>
    <row r="1148" spans="1:13" hidden="1">
      <c r="A1148" s="1">
        <v>46113</v>
      </c>
      <c r="B1148" t="s">
        <v>529</v>
      </c>
      <c r="C1148" t="s">
        <v>530</v>
      </c>
      <c r="D1148" t="s">
        <v>228</v>
      </c>
      <c r="E1148" t="s">
        <v>56</v>
      </c>
      <c r="F1148">
        <v>31</v>
      </c>
      <c r="G1148">
        <v>3</v>
      </c>
      <c r="H1148">
        <v>1.2690355329949201E-3</v>
      </c>
      <c r="I1148">
        <v>9.6774193548387094E-2</v>
      </c>
      <c r="J1148" s="14" t="str">
        <f>_xlfn.XLOOKUP(B1148,CAD_PDV!A:A,CAD_PDV!B:B)</f>
        <v>FAJULUTI</v>
      </c>
      <c r="K1148" s="14">
        <f>IF(IFERROR(_xlfn.XLOOKUP(B1148,Planilha2!D:D,Planilha2!H:H),0)="SIM",1,0)</f>
        <v>0</v>
      </c>
      <c r="L1148" s="14" t="str">
        <f>_xlfn.XLOOKUP(B1148,CAD_PDV!A:A,CAD_PDV!C:C)</f>
        <v>MG</v>
      </c>
      <c r="M1148" s="14" t="str">
        <f>IFERROR(_xlfn.XLOOKUP(B1148,repete!A:A,repete!A:A),"-")</f>
        <v>-</v>
      </c>
    </row>
    <row r="1149" spans="1:13" hidden="1">
      <c r="A1149" s="1">
        <v>46113</v>
      </c>
      <c r="B1149" t="s">
        <v>1222</v>
      </c>
      <c r="C1149" t="s">
        <v>1223</v>
      </c>
      <c r="D1149" t="s">
        <v>228</v>
      </c>
      <c r="E1149" t="s">
        <v>55</v>
      </c>
      <c r="F1149">
        <v>70</v>
      </c>
      <c r="G1149">
        <v>3</v>
      </c>
      <c r="H1149">
        <v>1.2690355329949201E-3</v>
      </c>
      <c r="I1149">
        <v>4.2857142857142899E-2</v>
      </c>
      <c r="J1149" s="14" t="str">
        <f>_xlfn.XLOOKUP(B1149,CAD_PDV!A:A,CAD_PDV!B:B)</f>
        <v>FAJULUTI</v>
      </c>
      <c r="K1149" s="14">
        <f>IF(IFERROR(_xlfn.XLOOKUP(B1149,Planilha2!D:D,Planilha2!H:H),0)="SIM",1,0)</f>
        <v>0</v>
      </c>
      <c r="L1149" s="14" t="str">
        <f>_xlfn.XLOOKUP(B1149,CAD_PDV!A:A,CAD_PDV!C:C)</f>
        <v>RJ/ES</v>
      </c>
      <c r="M1149" s="14" t="str">
        <f>IFERROR(_xlfn.XLOOKUP(B1149,repete!A:A,repete!A:A),"-")</f>
        <v>-</v>
      </c>
    </row>
    <row r="1150" spans="1:13" hidden="1">
      <c r="A1150" s="1">
        <v>46113</v>
      </c>
      <c r="B1150" t="s">
        <v>951</v>
      </c>
      <c r="C1150" t="s">
        <v>953</v>
      </c>
      <c r="D1150" t="s">
        <v>222</v>
      </c>
      <c r="E1150" t="s">
        <v>60</v>
      </c>
      <c r="F1150">
        <v>243</v>
      </c>
      <c r="G1150">
        <v>3</v>
      </c>
      <c r="H1150">
        <v>1.2690355329949201E-3</v>
      </c>
      <c r="I1150">
        <v>1.2345679012345699E-2</v>
      </c>
      <c r="J1150" s="14" t="str">
        <f>_xlfn.XLOOKUP(B1150,CAD_PDV!A:A,CAD_PDV!B:B)</f>
        <v>ANCLA COMERCIO</v>
      </c>
      <c r="K1150" s="14">
        <f>IF(IFERROR(_xlfn.XLOOKUP(B1150,Planilha2!D:D,Planilha2!H:H),0)="SIM",1,0)</f>
        <v>0</v>
      </c>
      <c r="L1150" s="14" t="str">
        <f>_xlfn.XLOOKUP(B1150,CAD_PDV!A:A,CAD_PDV!C:C)</f>
        <v>BA/SE</v>
      </c>
      <c r="M1150" s="14" t="str">
        <f>IFERROR(_xlfn.XLOOKUP(B1150,repete!A:A,repete!A:A),"-")</f>
        <v>-</v>
      </c>
    </row>
    <row r="1151" spans="1:13" hidden="1">
      <c r="A1151" s="1">
        <v>46113</v>
      </c>
      <c r="B1151" t="s">
        <v>1183</v>
      </c>
      <c r="C1151" t="s">
        <v>1185</v>
      </c>
      <c r="D1151" t="s">
        <v>228</v>
      </c>
      <c r="E1151" t="s">
        <v>55</v>
      </c>
      <c r="F1151">
        <v>38</v>
      </c>
      <c r="G1151">
        <v>3</v>
      </c>
      <c r="H1151">
        <v>1.2690355329949201E-3</v>
      </c>
      <c r="I1151">
        <v>7.8947368421052599E-2</v>
      </c>
      <c r="J1151" s="14" t="str">
        <f>_xlfn.XLOOKUP(B1151,CAD_PDV!A:A,CAD_PDV!B:B)</f>
        <v>FAJULUTI</v>
      </c>
      <c r="K1151" s="14">
        <f>IF(IFERROR(_xlfn.XLOOKUP(B1151,Planilha2!D:D,Planilha2!H:H),0)="SIM",1,0)</f>
        <v>0</v>
      </c>
      <c r="L1151" s="14" t="str">
        <f>_xlfn.XLOOKUP(B1151,CAD_PDV!A:A,CAD_PDV!C:C)</f>
        <v>RJ/ES</v>
      </c>
      <c r="M1151" s="14" t="str">
        <f>IFERROR(_xlfn.XLOOKUP(B1151,repete!A:A,repete!A:A),"-")</f>
        <v>-</v>
      </c>
    </row>
    <row r="1152" spans="1:13" hidden="1">
      <c r="A1152" s="1">
        <v>46113</v>
      </c>
      <c r="B1152" t="s">
        <v>1291</v>
      </c>
      <c r="C1152" t="s">
        <v>1292</v>
      </c>
      <c r="D1152" t="s">
        <v>232</v>
      </c>
      <c r="E1152" t="s">
        <v>55</v>
      </c>
      <c r="F1152">
        <v>99</v>
      </c>
      <c r="G1152">
        <v>3</v>
      </c>
      <c r="H1152">
        <v>1.2690355329949201E-3</v>
      </c>
      <c r="I1152">
        <v>3.03030303030303E-2</v>
      </c>
      <c r="J1152" s="14" t="str">
        <f>_xlfn.XLOOKUP(B1152,CAD_PDV!A:A,CAD_PDV!B:B)</f>
        <v>HS TELECOM</v>
      </c>
      <c r="K1152" s="14">
        <f>IF(IFERROR(_xlfn.XLOOKUP(B1152,Planilha2!D:D,Planilha2!H:H),0)="SIM",1,0)</f>
        <v>0</v>
      </c>
      <c r="L1152" s="14" t="str">
        <f>_xlfn.XLOOKUP(B1152,CAD_PDV!A:A,CAD_PDV!C:C)</f>
        <v>RJ/ES</v>
      </c>
      <c r="M1152" s="14" t="str">
        <f>IFERROR(_xlfn.XLOOKUP(B1152,repete!A:A,repete!A:A),"-")</f>
        <v>-</v>
      </c>
    </row>
    <row r="1153" spans="1:13" hidden="1">
      <c r="A1153" s="1">
        <v>46113</v>
      </c>
      <c r="B1153" t="s">
        <v>1168</v>
      </c>
      <c r="C1153" t="s">
        <v>1142</v>
      </c>
      <c r="D1153" t="s">
        <v>237</v>
      </c>
      <c r="E1153" t="s">
        <v>55</v>
      </c>
      <c r="F1153">
        <v>122</v>
      </c>
      <c r="G1153">
        <v>3</v>
      </c>
      <c r="H1153">
        <v>1.2690355329949201E-3</v>
      </c>
      <c r="I1153">
        <v>2.4590163934426201E-2</v>
      </c>
      <c r="J1153" s="14" t="str">
        <f>_xlfn.XLOOKUP(B1153,CAD_PDV!A:A,CAD_PDV!B:B)</f>
        <v>PONTO CERTO COMERCIO E COMUNICAÇÕES LTDA</v>
      </c>
      <c r="K1153" s="14">
        <f>IF(IFERROR(_xlfn.XLOOKUP(B1153,Planilha2!D:D,Planilha2!H:H),0)="SIM",1,0)</f>
        <v>0</v>
      </c>
      <c r="L1153" s="14" t="str">
        <f>_xlfn.XLOOKUP(B1153,CAD_PDV!A:A,CAD_PDV!C:C)</f>
        <v>RJ/ES</v>
      </c>
      <c r="M1153" s="14" t="str">
        <f>IFERROR(_xlfn.XLOOKUP(B1153,repete!A:A,repete!A:A),"-")</f>
        <v>-</v>
      </c>
    </row>
    <row r="1154" spans="1:13" hidden="1">
      <c r="A1154" s="1">
        <v>46113</v>
      </c>
      <c r="B1154" t="s">
        <v>277</v>
      </c>
      <c r="C1154" t="s">
        <v>261</v>
      </c>
      <c r="D1154" t="s">
        <v>238</v>
      </c>
      <c r="E1154" t="s">
        <v>61</v>
      </c>
      <c r="F1154">
        <v>100</v>
      </c>
      <c r="G1154">
        <v>3</v>
      </c>
      <c r="H1154">
        <v>1.2690355329949201E-3</v>
      </c>
      <c r="I1154">
        <v>0.03</v>
      </c>
      <c r="J1154" s="14" t="str">
        <f>_xlfn.XLOOKUP(B1154,CAD_PDV!A:A,CAD_PDV!B:B)</f>
        <v>R &amp; R HIPER COMERCIO LTDA</v>
      </c>
      <c r="K1154" s="14">
        <f>IF(IFERROR(_xlfn.XLOOKUP(B1154,Planilha2!D:D,Planilha2!H:H),0)="SIM",1,0)</f>
        <v>0</v>
      </c>
      <c r="L1154" s="14" t="str">
        <f>_xlfn.XLOOKUP(B1154,CAD_PDV!A:A,CAD_PDV!C:C)</f>
        <v>NE</v>
      </c>
      <c r="M1154" s="14" t="str">
        <f>IFERROR(_xlfn.XLOOKUP(B1154,repete!A:A,repete!A:A),"-")</f>
        <v>-</v>
      </c>
    </row>
    <row r="1155" spans="1:13" hidden="1">
      <c r="A1155" s="1">
        <v>46113</v>
      </c>
      <c r="B1155" t="s">
        <v>1296</v>
      </c>
      <c r="C1155" t="s">
        <v>1142</v>
      </c>
      <c r="D1155" t="s">
        <v>237</v>
      </c>
      <c r="E1155" t="s">
        <v>55</v>
      </c>
      <c r="F1155">
        <v>87</v>
      </c>
      <c r="G1155">
        <v>3</v>
      </c>
      <c r="H1155">
        <v>1.2690355329949201E-3</v>
      </c>
      <c r="I1155">
        <v>3.4482758620689703E-2</v>
      </c>
      <c r="J1155" s="14" t="str">
        <f>_xlfn.XLOOKUP(B1155,CAD_PDV!A:A,CAD_PDV!B:B)</f>
        <v>PONTO CERTO COMERCIO E COMUNICAÇÕES LTDA</v>
      </c>
      <c r="K1155" s="14">
        <f>IF(IFERROR(_xlfn.XLOOKUP(B1155,Planilha2!D:D,Planilha2!H:H),0)="SIM",1,0)</f>
        <v>0</v>
      </c>
      <c r="L1155" s="14" t="str">
        <f>_xlfn.XLOOKUP(B1155,CAD_PDV!A:A,CAD_PDV!C:C)</f>
        <v>RJ/ES</v>
      </c>
      <c r="M1155" s="14" t="str">
        <f>IFERROR(_xlfn.XLOOKUP(B1155,repete!A:A,repete!A:A),"-")</f>
        <v>-</v>
      </c>
    </row>
    <row r="1156" spans="1:13" hidden="1">
      <c r="A1156" s="1">
        <v>46113</v>
      </c>
      <c r="B1156" t="s">
        <v>758</v>
      </c>
      <c r="C1156" t="s">
        <v>616</v>
      </c>
      <c r="D1156" t="s">
        <v>239</v>
      </c>
      <c r="E1156" t="s">
        <v>59</v>
      </c>
      <c r="F1156">
        <v>74</v>
      </c>
      <c r="G1156">
        <v>3</v>
      </c>
      <c r="H1156">
        <v>1.2690355329949201E-3</v>
      </c>
      <c r="I1156">
        <v>4.0540540540540501E-2</v>
      </c>
      <c r="J1156" s="14" t="str">
        <f>_xlfn.XLOOKUP(B1156,CAD_PDV!A:A,CAD_PDV!B:B)</f>
        <v>TELECELL TELEFONIA LTDA - ME</v>
      </c>
      <c r="K1156" s="14">
        <f>IF(IFERROR(_xlfn.XLOOKUP(B1156,Planilha2!D:D,Planilha2!H:H),0)="SIM",1,0)</f>
        <v>0</v>
      </c>
      <c r="L1156" s="14" t="str">
        <f>_xlfn.XLOOKUP(B1156,CAD_PDV!A:A,CAD_PDV!C:C)</f>
        <v>CO</v>
      </c>
      <c r="M1156" s="14" t="str">
        <f>IFERROR(_xlfn.XLOOKUP(B1156,repete!A:A,repete!A:A),"-")</f>
        <v>-</v>
      </c>
    </row>
    <row r="1157" spans="1:13" hidden="1">
      <c r="A1157" s="1">
        <v>46113</v>
      </c>
      <c r="B1157" t="s">
        <v>1275</v>
      </c>
      <c r="C1157" t="s">
        <v>1188</v>
      </c>
      <c r="D1157" t="s">
        <v>228</v>
      </c>
      <c r="E1157" t="s">
        <v>55</v>
      </c>
      <c r="F1157">
        <v>52</v>
      </c>
      <c r="G1157">
        <v>3</v>
      </c>
      <c r="H1157">
        <v>1.2690355329949201E-3</v>
      </c>
      <c r="I1157">
        <v>5.7692307692307702E-2</v>
      </c>
      <c r="J1157" s="14" t="str">
        <f>_xlfn.XLOOKUP(B1157,CAD_PDV!A:A,CAD_PDV!B:B)</f>
        <v>FAJULUTI</v>
      </c>
      <c r="K1157" s="14">
        <f>IF(IFERROR(_xlfn.XLOOKUP(B1157,Planilha2!D:D,Planilha2!H:H),0)="SIM",1,0)</f>
        <v>0</v>
      </c>
      <c r="L1157" s="14" t="str">
        <f>_xlfn.XLOOKUP(B1157,CAD_PDV!A:A,CAD_PDV!C:C)</f>
        <v>RJ/ES</v>
      </c>
      <c r="M1157" s="14" t="str">
        <f>IFERROR(_xlfn.XLOOKUP(B1157,repete!A:A,repete!A:A),"-")</f>
        <v>-</v>
      </c>
    </row>
    <row r="1158" spans="1:13" hidden="1">
      <c r="A1158" s="1">
        <v>46113</v>
      </c>
      <c r="B1158" t="s">
        <v>1367</v>
      </c>
      <c r="C1158" t="s">
        <v>1313</v>
      </c>
      <c r="D1158" t="s">
        <v>132</v>
      </c>
      <c r="E1158" t="s">
        <v>53</v>
      </c>
      <c r="F1158">
        <v>82</v>
      </c>
      <c r="G1158">
        <v>3</v>
      </c>
      <c r="H1158">
        <v>1.2690355329949201E-3</v>
      </c>
      <c r="I1158">
        <v>3.65853658536585E-2</v>
      </c>
      <c r="J1158" s="14" t="str">
        <f>_xlfn.XLOOKUP(B1158,CAD_PDV!A:A,CAD_PDV!B:B)</f>
        <v>FLEX CELL</v>
      </c>
      <c r="K1158" s="14">
        <f>IF(IFERROR(_xlfn.XLOOKUP(B1158,Planilha2!D:D,Planilha2!H:H),0)="SIM",1,0)</f>
        <v>0</v>
      </c>
      <c r="L1158" s="14" t="str">
        <f>_xlfn.XLOOKUP(B1158,CAD_PDV!A:A,CAD_PDV!C:C)</f>
        <v>SP1</v>
      </c>
      <c r="M1158" s="14" t="str">
        <f>IFERROR(_xlfn.XLOOKUP(B1158,repete!A:A,repete!A:A),"-")</f>
        <v>-</v>
      </c>
    </row>
    <row r="1159" spans="1:13" hidden="1">
      <c r="A1159" s="1">
        <v>46113</v>
      </c>
      <c r="B1159" t="s">
        <v>1629</v>
      </c>
      <c r="C1159" t="s">
        <v>1464</v>
      </c>
      <c r="D1159" t="s">
        <v>132</v>
      </c>
      <c r="E1159" t="s">
        <v>54</v>
      </c>
      <c r="F1159">
        <v>27</v>
      </c>
      <c r="G1159">
        <v>3</v>
      </c>
      <c r="H1159">
        <v>1.2690355329949201E-3</v>
      </c>
      <c r="I1159">
        <v>0.11111111111111099</v>
      </c>
      <c r="J1159" s="14" t="str">
        <f>_xlfn.XLOOKUP(B1159,CAD_PDV!A:A,CAD_PDV!B:B)</f>
        <v>FLEX CELL</v>
      </c>
      <c r="K1159" s="14">
        <f>IF(IFERROR(_xlfn.XLOOKUP(B1159,Planilha2!D:D,Planilha2!H:H),0)="SIM",1,0)</f>
        <v>0</v>
      </c>
      <c r="L1159" s="14" t="str">
        <f>_xlfn.XLOOKUP(B1159,CAD_PDV!A:A,CAD_PDV!C:C)</f>
        <v>SP2</v>
      </c>
      <c r="M1159" s="14" t="str">
        <f>IFERROR(_xlfn.XLOOKUP(B1159,repete!A:A,repete!A:A),"-")</f>
        <v>-</v>
      </c>
    </row>
    <row r="1160" spans="1:13" hidden="1">
      <c r="A1160" s="1">
        <v>46113</v>
      </c>
      <c r="B1160" t="s">
        <v>1253</v>
      </c>
      <c r="C1160" t="s">
        <v>1142</v>
      </c>
      <c r="D1160" t="s">
        <v>228</v>
      </c>
      <c r="E1160" t="s">
        <v>55</v>
      </c>
      <c r="F1160">
        <v>62</v>
      </c>
      <c r="G1160">
        <v>3</v>
      </c>
      <c r="H1160">
        <v>1.2690355329949201E-3</v>
      </c>
      <c r="I1160">
        <v>4.8387096774193498E-2</v>
      </c>
      <c r="J1160" s="14" t="str">
        <f>_xlfn.XLOOKUP(B1160,CAD_PDV!A:A,CAD_PDV!B:B)</f>
        <v>FAJULUTI</v>
      </c>
      <c r="K1160" s="14">
        <f>IF(IFERROR(_xlfn.XLOOKUP(B1160,Planilha2!D:D,Planilha2!H:H),0)="SIM",1,0)</f>
        <v>0</v>
      </c>
      <c r="L1160" s="14" t="str">
        <f>_xlfn.XLOOKUP(B1160,CAD_PDV!A:A,CAD_PDV!C:C)</f>
        <v>RJ/ES</v>
      </c>
      <c r="M1160" s="14" t="str">
        <f>IFERROR(_xlfn.XLOOKUP(B1160,repete!A:A,repete!A:A),"-")</f>
        <v>NDTZ</v>
      </c>
    </row>
    <row r="1161" spans="1:13" hidden="1">
      <c r="A1161" s="1">
        <v>46113</v>
      </c>
      <c r="B1161" t="s">
        <v>2081</v>
      </c>
      <c r="C1161" t="s">
        <v>619</v>
      </c>
      <c r="D1161" t="s">
        <v>224</v>
      </c>
      <c r="E1161" t="s">
        <v>59</v>
      </c>
      <c r="F1161">
        <v>121</v>
      </c>
      <c r="G1161">
        <v>3</v>
      </c>
      <c r="H1161">
        <v>1.2690355329949201E-3</v>
      </c>
      <c r="I1161">
        <v>2.4793388429752101E-2</v>
      </c>
      <c r="J1161" s="14" t="str">
        <f>_xlfn.XLOOKUP(B1161,CAD_PDV!A:A,CAD_PDV!B:B)</f>
        <v>CELNET COMERCIO E SERVICOS DE TELEFONIA LTDA ME</v>
      </c>
      <c r="K1161" s="14">
        <f>IF(IFERROR(_xlfn.XLOOKUP(B1161,Planilha2!D:D,Planilha2!H:H),0)="SIM",1,0)</f>
        <v>0</v>
      </c>
      <c r="L1161" s="14" t="str">
        <f>_xlfn.XLOOKUP(B1161,CAD_PDV!A:A,CAD_PDV!C:C)</f>
        <v>CO</v>
      </c>
      <c r="M1161" s="14" t="str">
        <f>IFERROR(_xlfn.XLOOKUP(B1161,repete!A:A,repete!A:A),"-")</f>
        <v>-</v>
      </c>
    </row>
    <row r="1162" spans="1:13" hidden="1">
      <c r="A1162" s="1">
        <v>46113</v>
      </c>
      <c r="B1162" t="s">
        <v>1665</v>
      </c>
      <c r="C1162" t="s">
        <v>1666</v>
      </c>
      <c r="D1162" t="s">
        <v>232</v>
      </c>
      <c r="E1162" t="s">
        <v>54</v>
      </c>
      <c r="F1162">
        <v>66</v>
      </c>
      <c r="G1162">
        <v>3</v>
      </c>
      <c r="H1162">
        <v>1.2690355329949201E-3</v>
      </c>
      <c r="I1162">
        <v>4.5454545454545497E-2</v>
      </c>
      <c r="J1162" s="14" t="str">
        <f>_xlfn.XLOOKUP(B1162,CAD_PDV!A:A,CAD_PDV!B:B)</f>
        <v>HS TELECOM</v>
      </c>
      <c r="K1162" s="14">
        <f>IF(IFERROR(_xlfn.XLOOKUP(B1162,Planilha2!D:D,Planilha2!H:H),0)="SIM",1,0)</f>
        <v>0</v>
      </c>
      <c r="L1162" s="14" t="str">
        <f>_xlfn.XLOOKUP(B1162,CAD_PDV!A:A,CAD_PDV!C:C)</f>
        <v>SP2</v>
      </c>
      <c r="M1162" s="14" t="str">
        <f>IFERROR(_xlfn.XLOOKUP(B1162,repete!A:A,repete!A:A),"-")</f>
        <v>-</v>
      </c>
    </row>
    <row r="1163" spans="1:13" hidden="1">
      <c r="A1163" s="1">
        <v>46113</v>
      </c>
      <c r="B1163" t="s">
        <v>851</v>
      </c>
      <c r="C1163" t="s">
        <v>732</v>
      </c>
      <c r="D1163" t="s">
        <v>221</v>
      </c>
      <c r="E1163" t="s">
        <v>59</v>
      </c>
      <c r="F1163">
        <v>64</v>
      </c>
      <c r="G1163">
        <v>3</v>
      </c>
      <c r="H1163">
        <v>1.2690355329949201E-3</v>
      </c>
      <c r="I1163">
        <v>4.6875E-2</v>
      </c>
      <c r="J1163" s="14" t="str">
        <f>_xlfn.XLOOKUP(B1163,CAD_PDV!A:A,CAD_PDV!B:B)</f>
        <v>AMERICOM COMERCIO DE APARELHOS ELETRONICOS LTDA - EPP</v>
      </c>
      <c r="K1163" s="14">
        <f>IF(IFERROR(_xlfn.XLOOKUP(B1163,Planilha2!D:D,Planilha2!H:H),0)="SIM",1,0)</f>
        <v>0</v>
      </c>
      <c r="L1163" s="14" t="str">
        <f>_xlfn.XLOOKUP(B1163,CAD_PDV!A:A,CAD_PDV!C:C)</f>
        <v>CO</v>
      </c>
      <c r="M1163" s="14" t="str">
        <f>IFERROR(_xlfn.XLOOKUP(B1163,repete!A:A,repete!A:A),"-")</f>
        <v>-</v>
      </c>
    </row>
    <row r="1164" spans="1:13" hidden="1">
      <c r="A1164" s="1">
        <v>46113</v>
      </c>
      <c r="B1164" t="s">
        <v>1172</v>
      </c>
      <c r="C1164" t="s">
        <v>1142</v>
      </c>
      <c r="D1164" t="s">
        <v>2072</v>
      </c>
      <c r="E1164" t="s">
        <v>55</v>
      </c>
      <c r="F1164">
        <v>44</v>
      </c>
      <c r="G1164">
        <v>3</v>
      </c>
      <c r="H1164">
        <v>1.2690355329949201E-3</v>
      </c>
      <c r="I1164">
        <v>6.8181818181818205E-2</v>
      </c>
      <c r="J1164" s="14" t="str">
        <f>_xlfn.XLOOKUP(B1164,CAD_PDV!A:A,CAD_PDV!B:B)</f>
        <v>MEXCELL COMERCIO E SERVICOS DE TELECOMUNICACOES LTDA</v>
      </c>
      <c r="K1164" s="14">
        <f>IF(IFERROR(_xlfn.XLOOKUP(B1164,Planilha2!D:D,Planilha2!H:H),0)="SIM",1,0)</f>
        <v>0</v>
      </c>
      <c r="L1164" s="14" t="str">
        <f>_xlfn.XLOOKUP(B1164,CAD_PDV!A:A,CAD_PDV!C:C)</f>
        <v>RJ/ES</v>
      </c>
      <c r="M1164" s="14" t="str">
        <f>IFERROR(_xlfn.XLOOKUP(B1164,repete!A:A,repete!A:A),"-")</f>
        <v>-</v>
      </c>
    </row>
    <row r="1165" spans="1:13" hidden="1">
      <c r="A1165" s="1">
        <v>46113</v>
      </c>
      <c r="B1165" t="s">
        <v>1706</v>
      </c>
      <c r="C1165" t="s">
        <v>1693</v>
      </c>
      <c r="D1165" t="s">
        <v>232</v>
      </c>
      <c r="E1165" t="s">
        <v>54</v>
      </c>
      <c r="F1165">
        <v>41</v>
      </c>
      <c r="G1165">
        <v>3</v>
      </c>
      <c r="H1165">
        <v>1.2690355329949201E-3</v>
      </c>
      <c r="I1165">
        <v>7.3170731707317097E-2</v>
      </c>
      <c r="J1165" s="14" t="str">
        <f>_xlfn.XLOOKUP(B1165,CAD_PDV!A:A,CAD_PDV!B:B)</f>
        <v>HS TELECOM</v>
      </c>
      <c r="K1165" s="14">
        <f>IF(IFERROR(_xlfn.XLOOKUP(B1165,Planilha2!D:D,Planilha2!H:H),0)="SIM",1,0)</f>
        <v>0</v>
      </c>
      <c r="L1165" s="14" t="str">
        <f>_xlfn.XLOOKUP(B1165,CAD_PDV!A:A,CAD_PDV!C:C)</f>
        <v>SP2</v>
      </c>
      <c r="M1165" s="14" t="str">
        <f>IFERROR(_xlfn.XLOOKUP(B1165,repete!A:A,repete!A:A),"-")</f>
        <v>-</v>
      </c>
    </row>
    <row r="1166" spans="1:13" hidden="1">
      <c r="A1166" s="1">
        <v>46113</v>
      </c>
      <c r="B1166" t="s">
        <v>1708</v>
      </c>
      <c r="C1166" t="s">
        <v>1505</v>
      </c>
      <c r="D1166" t="s">
        <v>132</v>
      </c>
      <c r="E1166" t="s">
        <v>54</v>
      </c>
      <c r="F1166">
        <v>53</v>
      </c>
      <c r="G1166">
        <v>3</v>
      </c>
      <c r="H1166">
        <v>1.2690355329949201E-3</v>
      </c>
      <c r="I1166">
        <v>5.6603773584905703E-2</v>
      </c>
      <c r="J1166" s="14" t="str">
        <f>_xlfn.XLOOKUP(B1166,CAD_PDV!A:A,CAD_PDV!B:B)</f>
        <v>FLEX CELL</v>
      </c>
      <c r="K1166" s="14">
        <f>IF(IFERROR(_xlfn.XLOOKUP(B1166,Planilha2!D:D,Planilha2!H:H),0)="SIM",1,0)</f>
        <v>0</v>
      </c>
      <c r="L1166" s="14" t="str">
        <f>_xlfn.XLOOKUP(B1166,CAD_PDV!A:A,CAD_PDV!C:C)</f>
        <v>SP2</v>
      </c>
      <c r="M1166" s="14" t="str">
        <f>IFERROR(_xlfn.XLOOKUP(B1166,repete!A:A,repete!A:A),"-")</f>
        <v>-</v>
      </c>
    </row>
    <row r="1167" spans="1:13" hidden="1">
      <c r="A1167" s="1">
        <v>46113</v>
      </c>
      <c r="B1167" t="s">
        <v>1032</v>
      </c>
      <c r="C1167" t="s">
        <v>944</v>
      </c>
      <c r="D1167" t="s">
        <v>222</v>
      </c>
      <c r="E1167" t="s">
        <v>60</v>
      </c>
      <c r="F1167">
        <v>60</v>
      </c>
      <c r="G1167">
        <v>3</v>
      </c>
      <c r="H1167">
        <v>1.2690355329949201E-3</v>
      </c>
      <c r="I1167">
        <v>0.05</v>
      </c>
      <c r="J1167" s="14" t="str">
        <f>_xlfn.XLOOKUP(B1167,CAD_PDV!A:A,CAD_PDV!B:B)</f>
        <v>ANCLA COMERCIO</v>
      </c>
      <c r="K1167" s="14">
        <f>IF(IFERROR(_xlfn.XLOOKUP(B1167,Planilha2!D:D,Planilha2!H:H),0)="SIM",1,0)</f>
        <v>0</v>
      </c>
      <c r="L1167" s="14" t="str">
        <f>_xlfn.XLOOKUP(B1167,CAD_PDV!A:A,CAD_PDV!C:C)</f>
        <v>BA/SE</v>
      </c>
      <c r="M1167" s="14" t="str">
        <f>IFERROR(_xlfn.XLOOKUP(B1167,repete!A:A,repete!A:A),"-")</f>
        <v>-</v>
      </c>
    </row>
    <row r="1168" spans="1:13" hidden="1">
      <c r="A1168" s="1">
        <v>46113</v>
      </c>
      <c r="B1168" t="s">
        <v>760</v>
      </c>
      <c r="C1168" t="s">
        <v>616</v>
      </c>
      <c r="D1168" t="s">
        <v>239</v>
      </c>
      <c r="E1168" t="s">
        <v>59</v>
      </c>
      <c r="F1168">
        <v>36</v>
      </c>
      <c r="G1168">
        <v>3</v>
      </c>
      <c r="H1168">
        <v>1.2690355329949201E-3</v>
      </c>
      <c r="I1168">
        <v>8.3333333333333301E-2</v>
      </c>
      <c r="J1168" s="14" t="str">
        <f>_xlfn.XLOOKUP(B1168,CAD_PDV!A:A,CAD_PDV!B:B)</f>
        <v>TELECELL TELEFONIA LTDA - ME</v>
      </c>
      <c r="K1168" s="14">
        <f>IF(IFERROR(_xlfn.XLOOKUP(B1168,Planilha2!D:D,Planilha2!H:H),0)="SIM",1,0)</f>
        <v>0</v>
      </c>
      <c r="L1168" s="14" t="str">
        <f>_xlfn.XLOOKUP(B1168,CAD_PDV!A:A,CAD_PDV!C:C)</f>
        <v>CO</v>
      </c>
      <c r="M1168" s="14" t="str">
        <f>IFERROR(_xlfn.XLOOKUP(B1168,repete!A:A,repete!A:A),"-")</f>
        <v>-</v>
      </c>
    </row>
    <row r="1169" spans="1:13" hidden="1">
      <c r="A1169" s="1">
        <v>46113</v>
      </c>
      <c r="B1169" t="s">
        <v>857</v>
      </c>
      <c r="C1169" t="s">
        <v>855</v>
      </c>
      <c r="D1169" t="s">
        <v>2073</v>
      </c>
      <c r="E1169" t="s">
        <v>59</v>
      </c>
      <c r="F1169">
        <v>14</v>
      </c>
      <c r="G1169">
        <v>3</v>
      </c>
      <c r="H1169">
        <v>1.2690355329949201E-3</v>
      </c>
      <c r="I1169">
        <v>0.214285714285714</v>
      </c>
      <c r="J1169" s="14" t="str">
        <f>_xlfn.XLOOKUP(B1169,CAD_PDV!A:A,CAD_PDV!B:B)</f>
        <v xml:space="preserve">CONTACOM COMERCIO DE APARELHOS ELETRONICOS LTDA </v>
      </c>
      <c r="K1169" s="14">
        <f>IF(IFERROR(_xlfn.XLOOKUP(B1169,Planilha2!D:D,Planilha2!H:H),0)="SIM",1,0)</f>
        <v>0</v>
      </c>
      <c r="L1169" s="14" t="str">
        <f>_xlfn.XLOOKUP(B1169,CAD_PDV!A:A,CAD_PDV!C:C)</f>
        <v>CO</v>
      </c>
      <c r="M1169" s="14" t="str">
        <f>IFERROR(_xlfn.XLOOKUP(B1169,repete!A:A,repete!A:A),"-")</f>
        <v>-</v>
      </c>
    </row>
    <row r="1170" spans="1:13" hidden="1">
      <c r="A1170" s="1">
        <v>46113</v>
      </c>
      <c r="B1170" t="s">
        <v>1717</v>
      </c>
      <c r="C1170" t="s">
        <v>1718</v>
      </c>
      <c r="D1170" t="s">
        <v>232</v>
      </c>
      <c r="E1170" t="s">
        <v>54</v>
      </c>
      <c r="F1170">
        <v>26</v>
      </c>
      <c r="G1170">
        <v>3</v>
      </c>
      <c r="H1170">
        <v>1.2690355329949201E-3</v>
      </c>
      <c r="I1170">
        <v>0.115384615384615</v>
      </c>
      <c r="J1170" s="14" t="str">
        <f>_xlfn.XLOOKUP(B1170,CAD_PDV!A:A,CAD_PDV!B:B)</f>
        <v>HS TELECOM</v>
      </c>
      <c r="K1170" s="14">
        <f>IF(IFERROR(_xlfn.XLOOKUP(B1170,Planilha2!D:D,Planilha2!H:H),0)="SIM",1,0)</f>
        <v>0</v>
      </c>
      <c r="L1170" s="14" t="str">
        <f>_xlfn.XLOOKUP(B1170,CAD_PDV!A:A,CAD_PDV!C:C)</f>
        <v>SP2</v>
      </c>
      <c r="M1170" s="14" t="str">
        <f>IFERROR(_xlfn.XLOOKUP(B1170,repete!A:A,repete!A:A),"-")</f>
        <v>WD3T</v>
      </c>
    </row>
    <row r="1171" spans="1:13" hidden="1">
      <c r="A1171" s="1">
        <v>46113</v>
      </c>
      <c r="B1171" t="s">
        <v>1267</v>
      </c>
      <c r="C1171" t="s">
        <v>1268</v>
      </c>
      <c r="D1171" t="s">
        <v>228</v>
      </c>
      <c r="E1171" t="s">
        <v>55</v>
      </c>
      <c r="F1171">
        <v>35</v>
      </c>
      <c r="G1171">
        <v>3</v>
      </c>
      <c r="H1171">
        <v>1.2690355329949201E-3</v>
      </c>
      <c r="I1171">
        <v>8.5714285714285701E-2</v>
      </c>
      <c r="J1171" s="14" t="str">
        <f>_xlfn.XLOOKUP(B1171,CAD_PDV!A:A,CAD_PDV!B:B)</f>
        <v>FAJULUTI</v>
      </c>
      <c r="K1171" s="14">
        <f>IF(IFERROR(_xlfn.XLOOKUP(B1171,Planilha2!D:D,Planilha2!H:H),0)="SIM",1,0)</f>
        <v>0</v>
      </c>
      <c r="L1171" s="14" t="str">
        <f>_xlfn.XLOOKUP(B1171,CAD_PDV!A:A,CAD_PDV!C:C)</f>
        <v>RJ/ES</v>
      </c>
      <c r="M1171" s="14" t="str">
        <f>IFERROR(_xlfn.XLOOKUP(B1171,repete!A:A,repete!A:A),"-")</f>
        <v>-</v>
      </c>
    </row>
    <row r="1172" spans="1:13" hidden="1">
      <c r="A1172" s="1">
        <v>46113</v>
      </c>
      <c r="B1172" t="s">
        <v>1736</v>
      </c>
      <c r="C1172" t="s">
        <v>1523</v>
      </c>
      <c r="D1172" t="s">
        <v>232</v>
      </c>
      <c r="E1172" t="s">
        <v>54</v>
      </c>
      <c r="F1172">
        <v>51</v>
      </c>
      <c r="G1172">
        <v>3</v>
      </c>
      <c r="H1172">
        <v>1.2690355329949201E-3</v>
      </c>
      <c r="I1172">
        <v>5.8823529411764698E-2</v>
      </c>
      <c r="J1172" s="14" t="str">
        <f>_xlfn.XLOOKUP(B1172,CAD_PDV!A:A,CAD_PDV!B:B)</f>
        <v>HS TELECOM</v>
      </c>
      <c r="K1172" s="14">
        <f>IF(IFERROR(_xlfn.XLOOKUP(B1172,Planilha2!D:D,Planilha2!H:H),0)="SIM",1,0)</f>
        <v>0</v>
      </c>
      <c r="L1172" s="14" t="str">
        <f>_xlfn.XLOOKUP(B1172,CAD_PDV!A:A,CAD_PDV!C:C)</f>
        <v>SP2</v>
      </c>
      <c r="M1172" s="14" t="str">
        <f>IFERROR(_xlfn.XLOOKUP(B1172,repete!A:A,repete!A:A),"-")</f>
        <v>-</v>
      </c>
    </row>
    <row r="1173" spans="1:13" hidden="1">
      <c r="A1173" s="1">
        <v>46113</v>
      </c>
      <c r="B1173" t="s">
        <v>2013</v>
      </c>
      <c r="C1173" t="s">
        <v>1744</v>
      </c>
      <c r="D1173" t="s">
        <v>106</v>
      </c>
      <c r="E1173" t="s">
        <v>2074</v>
      </c>
      <c r="F1173">
        <v>82</v>
      </c>
      <c r="G1173">
        <v>2</v>
      </c>
      <c r="H1173">
        <v>8.4602368866328298E-4</v>
      </c>
      <c r="I1173">
        <v>2.4390243902439001E-2</v>
      </c>
      <c r="J1173" s="14" t="str">
        <f>_xlfn.XLOOKUP(B1173,CAD_PDV!A:A,CAD_PDV!B:B)</f>
        <v>CELLULAR.COM</v>
      </c>
      <c r="K1173" s="14">
        <f>IF(IFERROR(_xlfn.XLOOKUP(B1173,Planilha2!D:D,Planilha2!H:H),0)="SIM",1,0)</f>
        <v>0</v>
      </c>
      <c r="L1173" s="14" t="str">
        <f>_xlfn.XLOOKUP(B1173,CAD_PDV!A:A,CAD_PDV!C:C)</f>
        <v>PR/SC</v>
      </c>
      <c r="M1173" s="14" t="str">
        <f>IFERROR(_xlfn.XLOOKUP(B1173,repete!A:A,repete!A:A),"-")</f>
        <v>-</v>
      </c>
    </row>
    <row r="1174" spans="1:13" hidden="1">
      <c r="A1174" s="1">
        <v>46113</v>
      </c>
      <c r="B1174" t="s">
        <v>1326</v>
      </c>
      <c r="C1174" t="s">
        <v>1313</v>
      </c>
      <c r="D1174" t="s">
        <v>225</v>
      </c>
      <c r="E1174" t="s">
        <v>53</v>
      </c>
      <c r="F1174">
        <v>108</v>
      </c>
      <c r="G1174">
        <v>2</v>
      </c>
      <c r="H1174">
        <v>8.4602368866328298E-4</v>
      </c>
      <c r="I1174">
        <v>1.85185185185185E-2</v>
      </c>
      <c r="J1174" s="14" t="str">
        <f>_xlfn.XLOOKUP(B1174,CAD_PDV!A:A,CAD_PDV!B:B)</f>
        <v>CLARICELL SP1</v>
      </c>
      <c r="K1174" s="14">
        <f>IF(IFERROR(_xlfn.XLOOKUP(B1174,Planilha2!D:D,Planilha2!H:H),0)="SIM",1,0)</f>
        <v>0</v>
      </c>
      <c r="L1174" s="14" t="str">
        <f>_xlfn.XLOOKUP(B1174,CAD_PDV!A:A,CAD_PDV!C:C)</f>
        <v>SP1</v>
      </c>
      <c r="M1174" s="14" t="str">
        <f>IFERROR(_xlfn.XLOOKUP(B1174,repete!A:A,repete!A:A),"-")</f>
        <v>-</v>
      </c>
    </row>
    <row r="1175" spans="1:13" hidden="1">
      <c r="A1175" s="1">
        <v>46113</v>
      </c>
      <c r="B1175" t="s">
        <v>1191</v>
      </c>
      <c r="C1175" t="s">
        <v>1194</v>
      </c>
      <c r="D1175" t="s">
        <v>2072</v>
      </c>
      <c r="E1175" t="s">
        <v>55</v>
      </c>
      <c r="F1175">
        <v>10</v>
      </c>
      <c r="G1175">
        <v>2</v>
      </c>
      <c r="H1175">
        <v>8.4602368866328298E-4</v>
      </c>
      <c r="I1175">
        <v>0.2</v>
      </c>
      <c r="J1175" s="14" t="str">
        <f>_xlfn.XLOOKUP(B1175,CAD_PDV!A:A,CAD_PDV!B:B)</f>
        <v>MEXCELL COMERCIO E SERVICOS DE TELECOMUNICACOES LTDA</v>
      </c>
      <c r="K1175" s="14">
        <f>IF(IFERROR(_xlfn.XLOOKUP(B1175,Planilha2!D:D,Planilha2!H:H),0)="SIM",1,0)</f>
        <v>0</v>
      </c>
      <c r="L1175" s="14" t="str">
        <f>_xlfn.XLOOKUP(B1175,CAD_PDV!A:A,CAD_PDV!C:C)</f>
        <v>RJ/ES</v>
      </c>
      <c r="M1175" s="14" t="str">
        <f>IFERROR(_xlfn.XLOOKUP(B1175,repete!A:A,repete!A:A),"-")</f>
        <v>-</v>
      </c>
    </row>
    <row r="1176" spans="1:13" hidden="1">
      <c r="A1176" s="1">
        <v>46113</v>
      </c>
      <c r="B1176" t="s">
        <v>1467</v>
      </c>
      <c r="C1176" t="s">
        <v>1469</v>
      </c>
      <c r="D1176" t="s">
        <v>232</v>
      </c>
      <c r="E1176" t="s">
        <v>54</v>
      </c>
      <c r="F1176">
        <v>36</v>
      </c>
      <c r="G1176">
        <v>2</v>
      </c>
      <c r="H1176">
        <v>8.4602368866328298E-4</v>
      </c>
      <c r="I1176">
        <v>5.5555555555555601E-2</v>
      </c>
      <c r="J1176" s="14" t="str">
        <f>_xlfn.XLOOKUP(B1176,CAD_PDV!A:A,CAD_PDV!B:B)</f>
        <v>HS TELECOM</v>
      </c>
      <c r="K1176" s="14">
        <f>IF(IFERROR(_xlfn.XLOOKUP(B1176,Planilha2!D:D,Planilha2!H:H),0)="SIM",1,0)</f>
        <v>0</v>
      </c>
      <c r="L1176" s="14" t="str">
        <f>_xlfn.XLOOKUP(B1176,CAD_PDV!A:A,CAD_PDV!C:C)</f>
        <v>SP2</v>
      </c>
      <c r="M1176" s="14" t="str">
        <f>IFERROR(_xlfn.XLOOKUP(B1176,repete!A:A,repete!A:A),"-")</f>
        <v>-</v>
      </c>
    </row>
    <row r="1177" spans="1:13" hidden="1">
      <c r="A1177" s="1">
        <v>46113</v>
      </c>
      <c r="B1177" t="s">
        <v>488</v>
      </c>
      <c r="C1177" t="s">
        <v>489</v>
      </c>
      <c r="D1177" t="s">
        <v>228</v>
      </c>
      <c r="E1177" t="s">
        <v>56</v>
      </c>
      <c r="F1177">
        <v>14</v>
      </c>
      <c r="G1177">
        <v>2</v>
      </c>
      <c r="H1177">
        <v>8.4602368866328298E-4</v>
      </c>
      <c r="I1177">
        <v>0.14285714285714299</v>
      </c>
      <c r="J1177" s="14" t="str">
        <f>_xlfn.XLOOKUP(B1177,CAD_PDV!A:A,CAD_PDV!B:B)</f>
        <v>FAJULUTI</v>
      </c>
      <c r="K1177" s="14">
        <f>IF(IFERROR(_xlfn.XLOOKUP(B1177,Planilha2!D:D,Planilha2!H:H),0)="SIM",1,0)</f>
        <v>0</v>
      </c>
      <c r="L1177" s="14" t="str">
        <f>_xlfn.XLOOKUP(B1177,CAD_PDV!A:A,CAD_PDV!C:C)</f>
        <v>MG</v>
      </c>
      <c r="M1177" s="14" t="str">
        <f>IFERROR(_xlfn.XLOOKUP(B1177,repete!A:A,repete!A:A),"-")</f>
        <v>-</v>
      </c>
    </row>
    <row r="1178" spans="1:13" hidden="1">
      <c r="A1178" s="1">
        <v>46113</v>
      </c>
      <c r="B1178" t="s">
        <v>611</v>
      </c>
      <c r="C1178" t="s">
        <v>610</v>
      </c>
      <c r="D1178" t="s">
        <v>239</v>
      </c>
      <c r="E1178" t="s">
        <v>59</v>
      </c>
      <c r="F1178">
        <v>29</v>
      </c>
      <c r="G1178">
        <v>2</v>
      </c>
      <c r="H1178">
        <v>8.4602368866328298E-4</v>
      </c>
      <c r="I1178">
        <v>6.8965517241379296E-2</v>
      </c>
      <c r="J1178" s="14" t="str">
        <f>_xlfn.XLOOKUP(B1178,CAD_PDV!A:A,CAD_PDV!B:B)</f>
        <v>TELECELL TELEFONIA LTDA - ME</v>
      </c>
      <c r="K1178" s="14">
        <f>IF(IFERROR(_xlfn.XLOOKUP(B1178,Planilha2!D:D,Planilha2!H:H),0)="SIM",1,0)</f>
        <v>0</v>
      </c>
      <c r="L1178" s="14" t="str">
        <f>_xlfn.XLOOKUP(B1178,CAD_PDV!A:A,CAD_PDV!C:C)</f>
        <v>CO</v>
      </c>
      <c r="M1178" s="14" t="str">
        <f>IFERROR(_xlfn.XLOOKUP(B1178,repete!A:A,repete!A:A),"-")</f>
        <v>-</v>
      </c>
    </row>
    <row r="1179" spans="1:13" hidden="1">
      <c r="A1179" s="1">
        <v>46113</v>
      </c>
      <c r="B1179" t="s">
        <v>2084</v>
      </c>
      <c r="C1179" t="s">
        <v>2085</v>
      </c>
      <c r="D1179" t="s">
        <v>2077</v>
      </c>
      <c r="E1179" t="s">
        <v>2074</v>
      </c>
      <c r="F1179">
        <v>44</v>
      </c>
      <c r="G1179">
        <v>2</v>
      </c>
      <c r="H1179">
        <v>8.4602368866328298E-4</v>
      </c>
      <c r="I1179">
        <v>4.5454545454545497E-2</v>
      </c>
      <c r="J1179" s="14" t="e">
        <f>_xlfn.XLOOKUP(B1179,CAD_PDV!A:A,CAD_PDV!B:B)</f>
        <v>#N/A</v>
      </c>
      <c r="K1179" s="14">
        <f>IF(IFERROR(_xlfn.XLOOKUP(B1179,Planilha2!D:D,Planilha2!H:H),0)="SIM",1,0)</f>
        <v>1</v>
      </c>
      <c r="L1179" s="14" t="e">
        <f>_xlfn.XLOOKUP(B1179,CAD_PDV!A:A,CAD_PDV!C:C)</f>
        <v>#N/A</v>
      </c>
      <c r="M1179" s="14" t="str">
        <f>IFERROR(_xlfn.XLOOKUP(B1179,repete!A:A,repete!A:A),"-")</f>
        <v>-</v>
      </c>
    </row>
    <row r="1180" spans="1:13" hidden="1">
      <c r="A1180" s="1">
        <v>46113</v>
      </c>
      <c r="B1180" t="s">
        <v>1528</v>
      </c>
      <c r="C1180" t="s">
        <v>1454</v>
      </c>
      <c r="D1180" t="s">
        <v>132</v>
      </c>
      <c r="E1180" t="s">
        <v>54</v>
      </c>
      <c r="F1180">
        <v>39</v>
      </c>
      <c r="G1180">
        <v>2</v>
      </c>
      <c r="H1180">
        <v>8.4602368866328298E-4</v>
      </c>
      <c r="I1180">
        <v>5.1282051282051301E-2</v>
      </c>
      <c r="J1180" s="14" t="str">
        <f>_xlfn.XLOOKUP(B1180,CAD_PDV!A:A,CAD_PDV!B:B)</f>
        <v>FLEX CELL</v>
      </c>
      <c r="K1180" s="14">
        <f>IF(IFERROR(_xlfn.XLOOKUP(B1180,Planilha2!D:D,Planilha2!H:H),0)="SIM",1,0)</f>
        <v>0</v>
      </c>
      <c r="L1180" s="14" t="str">
        <f>_xlfn.XLOOKUP(B1180,CAD_PDV!A:A,CAD_PDV!C:C)</f>
        <v>SP2</v>
      </c>
      <c r="M1180" s="14" t="str">
        <f>IFERROR(_xlfn.XLOOKUP(B1180,repete!A:A,repete!A:A),"-")</f>
        <v>-</v>
      </c>
    </row>
    <row r="1181" spans="1:13" hidden="1">
      <c r="A1181" s="1">
        <v>46113</v>
      </c>
      <c r="B1181" t="s">
        <v>878</v>
      </c>
      <c r="C1181" t="s">
        <v>873</v>
      </c>
      <c r="D1181" t="s">
        <v>224</v>
      </c>
      <c r="E1181" t="s">
        <v>59</v>
      </c>
      <c r="F1181">
        <v>138</v>
      </c>
      <c r="G1181">
        <v>2</v>
      </c>
      <c r="H1181">
        <v>8.4602368866328298E-4</v>
      </c>
      <c r="I1181">
        <v>1.4492753623188401E-2</v>
      </c>
      <c r="J1181" s="14" t="str">
        <f>_xlfn.XLOOKUP(B1181,CAD_PDV!A:A,CAD_PDV!B:B)</f>
        <v>CELNET COMERCIO E SERVICOS DE TELEFONIA LTDA ME</v>
      </c>
      <c r="K1181" s="14">
        <f>IF(IFERROR(_xlfn.XLOOKUP(B1181,Planilha2!D:D,Planilha2!H:H),0)="SIM",1,0)</f>
        <v>0</v>
      </c>
      <c r="L1181" s="14" t="str">
        <f>_xlfn.XLOOKUP(B1181,CAD_PDV!A:A,CAD_PDV!C:C)</f>
        <v>CO</v>
      </c>
      <c r="M1181" s="14" t="str">
        <f>IFERROR(_xlfn.XLOOKUP(B1181,repete!A:A,repete!A:A),"-")</f>
        <v>-</v>
      </c>
    </row>
    <row r="1182" spans="1:13" hidden="1">
      <c r="A1182" s="1">
        <v>46113</v>
      </c>
      <c r="B1182" t="s">
        <v>1531</v>
      </c>
      <c r="C1182" t="s">
        <v>1441</v>
      </c>
      <c r="D1182" t="s">
        <v>132</v>
      </c>
      <c r="E1182" t="s">
        <v>54</v>
      </c>
      <c r="F1182">
        <v>54</v>
      </c>
      <c r="G1182">
        <v>2</v>
      </c>
      <c r="H1182">
        <v>8.4602368866328298E-4</v>
      </c>
      <c r="I1182">
        <v>3.7037037037037E-2</v>
      </c>
      <c r="J1182" s="14" t="str">
        <f>_xlfn.XLOOKUP(B1182,CAD_PDV!A:A,CAD_PDV!B:B)</f>
        <v>FLEX CELL</v>
      </c>
      <c r="K1182" s="14">
        <f>IF(IFERROR(_xlfn.XLOOKUP(B1182,Planilha2!D:D,Planilha2!H:H),0)="SIM",1,0)</f>
        <v>0</v>
      </c>
      <c r="L1182" s="14" t="str">
        <f>_xlfn.XLOOKUP(B1182,CAD_PDV!A:A,CAD_PDV!C:C)</f>
        <v>SP2</v>
      </c>
      <c r="M1182" s="14" t="str">
        <f>IFERROR(_xlfn.XLOOKUP(B1182,repete!A:A,repete!A:A),"-")</f>
        <v>-</v>
      </c>
    </row>
    <row r="1183" spans="1:13" hidden="1">
      <c r="A1183" s="1">
        <v>46113</v>
      </c>
      <c r="B1183" t="s">
        <v>827</v>
      </c>
      <c r="C1183" t="s">
        <v>820</v>
      </c>
      <c r="D1183" t="s">
        <v>239</v>
      </c>
      <c r="E1183" t="s">
        <v>59</v>
      </c>
      <c r="F1183">
        <v>58</v>
      </c>
      <c r="G1183">
        <v>2</v>
      </c>
      <c r="H1183">
        <v>8.4602368866328298E-4</v>
      </c>
      <c r="I1183">
        <v>3.4482758620689703E-2</v>
      </c>
      <c r="J1183" s="14" t="str">
        <f>_xlfn.XLOOKUP(B1183,CAD_PDV!A:A,CAD_PDV!B:B)</f>
        <v>TELECELL TELEFONIA LTDA - ME</v>
      </c>
      <c r="K1183" s="14">
        <f>IF(IFERROR(_xlfn.XLOOKUP(B1183,Planilha2!D:D,Planilha2!H:H),0)="SIM",1,0)</f>
        <v>0</v>
      </c>
      <c r="L1183" s="14" t="str">
        <f>_xlfn.XLOOKUP(B1183,CAD_PDV!A:A,CAD_PDV!C:C)</f>
        <v>CO</v>
      </c>
      <c r="M1183" s="14" t="str">
        <f>IFERROR(_xlfn.XLOOKUP(B1183,repete!A:A,repete!A:A),"-")</f>
        <v>-</v>
      </c>
    </row>
    <row r="1184" spans="1:13" hidden="1">
      <c r="A1184" s="1">
        <v>46113</v>
      </c>
      <c r="B1184" t="s">
        <v>879</v>
      </c>
      <c r="C1184" t="s">
        <v>873</v>
      </c>
      <c r="D1184" t="s">
        <v>239</v>
      </c>
      <c r="E1184" t="s">
        <v>59</v>
      </c>
      <c r="F1184">
        <v>64</v>
      </c>
      <c r="G1184">
        <v>2</v>
      </c>
      <c r="H1184">
        <v>8.4602368866328298E-4</v>
      </c>
      <c r="I1184">
        <v>3.125E-2</v>
      </c>
      <c r="J1184" s="14" t="str">
        <f>_xlfn.XLOOKUP(B1184,CAD_PDV!A:A,CAD_PDV!B:B)</f>
        <v>TELECELL TELEFONIA LTDA - ME</v>
      </c>
      <c r="K1184" s="14">
        <f>IF(IFERROR(_xlfn.XLOOKUP(B1184,Planilha2!D:D,Planilha2!H:H),0)="SIM",1,0)</f>
        <v>0</v>
      </c>
      <c r="L1184" s="14" t="str">
        <f>_xlfn.XLOOKUP(B1184,CAD_PDV!A:A,CAD_PDV!C:C)</f>
        <v>CO</v>
      </c>
      <c r="M1184" s="14" t="str">
        <f>IFERROR(_xlfn.XLOOKUP(B1184,repete!A:A,repete!A:A),"-")</f>
        <v>-</v>
      </c>
    </row>
    <row r="1185" spans="1:13" hidden="1">
      <c r="A1185" s="1">
        <v>46113</v>
      </c>
      <c r="B1185" t="s">
        <v>1216</v>
      </c>
      <c r="C1185" t="s">
        <v>1182</v>
      </c>
      <c r="D1185" t="s">
        <v>228</v>
      </c>
      <c r="E1185" t="s">
        <v>55</v>
      </c>
      <c r="F1185">
        <v>105</v>
      </c>
      <c r="G1185">
        <v>2</v>
      </c>
      <c r="H1185">
        <v>8.4602368866328298E-4</v>
      </c>
      <c r="I1185">
        <v>1.9047619047619001E-2</v>
      </c>
      <c r="J1185" s="14" t="str">
        <f>_xlfn.XLOOKUP(B1185,CAD_PDV!A:A,CAD_PDV!B:B)</f>
        <v>FAJULUTI</v>
      </c>
      <c r="K1185" s="14">
        <f>IF(IFERROR(_xlfn.XLOOKUP(B1185,Planilha2!D:D,Planilha2!H:H),0)="SIM",1,0)</f>
        <v>0</v>
      </c>
      <c r="L1185" s="14" t="str">
        <f>_xlfn.XLOOKUP(B1185,CAD_PDV!A:A,CAD_PDV!C:C)</f>
        <v>RJ/ES</v>
      </c>
      <c r="M1185" s="14" t="str">
        <f>IFERROR(_xlfn.XLOOKUP(B1185,repete!A:A,repete!A:A),"-")</f>
        <v>-</v>
      </c>
    </row>
    <row r="1186" spans="1:13" hidden="1">
      <c r="A1186" s="1">
        <v>46113</v>
      </c>
      <c r="B1186" t="s">
        <v>2048</v>
      </c>
      <c r="C1186" t="s">
        <v>2049</v>
      </c>
      <c r="D1186" t="s">
        <v>193</v>
      </c>
      <c r="E1186" t="s">
        <v>2074</v>
      </c>
      <c r="F1186">
        <v>13</v>
      </c>
      <c r="G1186">
        <v>2</v>
      </c>
      <c r="H1186">
        <v>8.4602368866328298E-4</v>
      </c>
      <c r="I1186">
        <v>0.15384615384615399</v>
      </c>
      <c r="J1186" s="14" t="str">
        <f>_xlfn.XLOOKUP(B1186,CAD_PDV!A:A,CAD_PDV!B:B)</f>
        <v>S D COMERCIO DE CELULARES LTDA - ME</v>
      </c>
      <c r="K1186" s="14">
        <f>IF(IFERROR(_xlfn.XLOOKUP(B1186,Planilha2!D:D,Planilha2!H:H),0)="SIM",1,0)</f>
        <v>0</v>
      </c>
      <c r="L1186" s="14" t="str">
        <f>_xlfn.XLOOKUP(B1186,CAD_PDV!A:A,CAD_PDV!C:C)</f>
        <v>RS</v>
      </c>
      <c r="M1186" s="14" t="str">
        <f>IFERROR(_xlfn.XLOOKUP(B1186,repete!A:A,repete!A:A),"-")</f>
        <v>-</v>
      </c>
    </row>
    <row r="1187" spans="1:13" hidden="1">
      <c r="A1187" s="1">
        <v>46113</v>
      </c>
      <c r="B1187" t="s">
        <v>1963</v>
      </c>
      <c r="C1187" t="s">
        <v>1961</v>
      </c>
      <c r="D1187" t="s">
        <v>106</v>
      </c>
      <c r="E1187" t="s">
        <v>2074</v>
      </c>
      <c r="F1187">
        <v>49</v>
      </c>
      <c r="G1187">
        <v>2</v>
      </c>
      <c r="H1187">
        <v>8.4602368866328298E-4</v>
      </c>
      <c r="I1187">
        <v>4.08163265306122E-2</v>
      </c>
      <c r="J1187" s="14" t="str">
        <f>_xlfn.XLOOKUP(B1187,CAD_PDV!A:A,CAD_PDV!B:B)</f>
        <v>CELLULAR.COM</v>
      </c>
      <c r="K1187" s="14">
        <f>IF(IFERROR(_xlfn.XLOOKUP(B1187,Planilha2!D:D,Planilha2!H:H),0)="SIM",1,0)</f>
        <v>0</v>
      </c>
      <c r="L1187" s="14" t="str">
        <f>_xlfn.XLOOKUP(B1187,CAD_PDV!A:A,CAD_PDV!C:C)</f>
        <v>PR/SC</v>
      </c>
      <c r="M1187" s="14" t="str">
        <f>IFERROR(_xlfn.XLOOKUP(B1187,repete!A:A,repete!A:A),"-")</f>
        <v>-</v>
      </c>
    </row>
    <row r="1188" spans="1:13" hidden="1">
      <c r="A1188" s="1">
        <v>46113</v>
      </c>
      <c r="B1188" t="s">
        <v>881</v>
      </c>
      <c r="C1188" t="s">
        <v>873</v>
      </c>
      <c r="D1188" t="s">
        <v>239</v>
      </c>
      <c r="E1188" t="s">
        <v>59</v>
      </c>
      <c r="F1188">
        <v>87</v>
      </c>
      <c r="G1188">
        <v>2</v>
      </c>
      <c r="H1188">
        <v>8.4602368866328298E-4</v>
      </c>
      <c r="I1188">
        <v>2.2988505747126398E-2</v>
      </c>
      <c r="J1188" s="14" t="str">
        <f>_xlfn.XLOOKUP(B1188,CAD_PDV!A:A,CAD_PDV!B:B)</f>
        <v>TELECELL TELEFONIA LTDA - ME</v>
      </c>
      <c r="K1188" s="14">
        <f>IF(IFERROR(_xlfn.XLOOKUP(B1188,Planilha2!D:D,Planilha2!H:H),0)="SIM",1,0)</f>
        <v>0</v>
      </c>
      <c r="L1188" s="14" t="str">
        <f>_xlfn.XLOOKUP(B1188,CAD_PDV!A:A,CAD_PDV!C:C)</f>
        <v>CO</v>
      </c>
      <c r="M1188" s="14" t="str">
        <f>IFERROR(_xlfn.XLOOKUP(B1188,repete!A:A,repete!A:A),"-")</f>
        <v>-</v>
      </c>
    </row>
    <row r="1189" spans="1:13" hidden="1">
      <c r="A1189" s="1">
        <v>46113</v>
      </c>
      <c r="B1189" t="s">
        <v>1558</v>
      </c>
      <c r="C1189" t="s">
        <v>1559</v>
      </c>
      <c r="D1189" t="s">
        <v>219</v>
      </c>
      <c r="E1189" t="s">
        <v>54</v>
      </c>
      <c r="F1189">
        <v>30</v>
      </c>
      <c r="G1189">
        <v>2</v>
      </c>
      <c r="H1189">
        <v>8.4602368866328298E-4</v>
      </c>
      <c r="I1189">
        <v>6.6666666666666693E-2</v>
      </c>
      <c r="J1189" s="14" t="str">
        <f>_xlfn.XLOOKUP(B1189,CAD_PDV!A:A,CAD_PDV!B:B)</f>
        <v>WCI CELULARES SERVICOS E TELECOMUNICACOES LTDA - EPP</v>
      </c>
      <c r="K1189" s="14">
        <f>IF(IFERROR(_xlfn.XLOOKUP(B1189,Planilha2!D:D,Planilha2!H:H),0)="SIM",1,0)</f>
        <v>0</v>
      </c>
      <c r="L1189" s="14" t="str">
        <f>_xlfn.XLOOKUP(B1189,CAD_PDV!A:A,CAD_PDV!C:C)</f>
        <v>SP2</v>
      </c>
      <c r="M1189" s="14" t="str">
        <f>IFERROR(_xlfn.XLOOKUP(B1189,repete!A:A,repete!A:A),"-")</f>
        <v>-</v>
      </c>
    </row>
    <row r="1190" spans="1:13" hidden="1">
      <c r="A1190" s="1">
        <v>46113</v>
      </c>
      <c r="B1190" t="s">
        <v>925</v>
      </c>
      <c r="C1190" t="s">
        <v>738</v>
      </c>
      <c r="D1190" t="s">
        <v>231</v>
      </c>
      <c r="E1190" t="s">
        <v>59</v>
      </c>
      <c r="F1190">
        <v>37</v>
      </c>
      <c r="G1190">
        <v>2</v>
      </c>
      <c r="H1190">
        <v>8.4602368866328298E-4</v>
      </c>
      <c r="I1190">
        <v>5.4054054054054099E-2</v>
      </c>
      <c r="J1190" s="14" t="str">
        <f>_xlfn.XLOOKUP(B1190,CAD_PDV!A:A,CAD_PDV!B:B)</f>
        <v>HIROTA &amp; HIROTA LTDA - ME</v>
      </c>
      <c r="K1190" s="14">
        <f>IF(IFERROR(_xlfn.XLOOKUP(B1190,Planilha2!D:D,Planilha2!H:H),0)="SIM",1,0)</f>
        <v>0</v>
      </c>
      <c r="L1190" s="14" t="str">
        <f>_xlfn.XLOOKUP(B1190,CAD_PDV!A:A,CAD_PDV!C:C)</f>
        <v>CO</v>
      </c>
      <c r="M1190" s="14" t="str">
        <f>IFERROR(_xlfn.XLOOKUP(B1190,repete!A:A,repete!A:A),"-")</f>
        <v>-</v>
      </c>
    </row>
    <row r="1191" spans="1:13" hidden="1">
      <c r="A1191" s="1">
        <v>46113</v>
      </c>
      <c r="B1191" t="s">
        <v>797</v>
      </c>
      <c r="C1191" t="s">
        <v>798</v>
      </c>
      <c r="D1191" t="s">
        <v>239</v>
      </c>
      <c r="E1191" t="s">
        <v>59</v>
      </c>
      <c r="F1191">
        <v>42</v>
      </c>
      <c r="G1191">
        <v>2</v>
      </c>
      <c r="H1191">
        <v>8.4602368866328298E-4</v>
      </c>
      <c r="I1191">
        <v>4.7619047619047603E-2</v>
      </c>
      <c r="J1191" s="14" t="str">
        <f>_xlfn.XLOOKUP(B1191,CAD_PDV!A:A,CAD_PDV!B:B)</f>
        <v>TELECELL TELEFONIA LTDA - ME</v>
      </c>
      <c r="K1191" s="14">
        <f>IF(IFERROR(_xlfn.XLOOKUP(B1191,Planilha2!D:D,Planilha2!H:H),0)="SIM",1,0)</f>
        <v>0</v>
      </c>
      <c r="L1191" s="14" t="str">
        <f>_xlfn.XLOOKUP(B1191,CAD_PDV!A:A,CAD_PDV!C:C)</f>
        <v>CO</v>
      </c>
      <c r="M1191" s="14" t="str">
        <f>IFERROR(_xlfn.XLOOKUP(B1191,repete!A:A,repete!A:A),"-")</f>
        <v>-</v>
      </c>
    </row>
    <row r="1192" spans="1:13" hidden="1">
      <c r="A1192" s="1">
        <v>46113</v>
      </c>
      <c r="B1192" t="s">
        <v>1237</v>
      </c>
      <c r="C1192" t="s">
        <v>1142</v>
      </c>
      <c r="D1192" t="s">
        <v>237</v>
      </c>
      <c r="E1192" t="s">
        <v>55</v>
      </c>
      <c r="F1192">
        <v>92</v>
      </c>
      <c r="G1192">
        <v>2</v>
      </c>
      <c r="H1192">
        <v>8.4602368866328298E-4</v>
      </c>
      <c r="I1192">
        <v>2.1739130434782601E-2</v>
      </c>
      <c r="J1192" s="14" t="str">
        <f>_xlfn.XLOOKUP(B1192,CAD_PDV!A:A,CAD_PDV!B:B)</f>
        <v>PONTO CERTO COMERCIO E COMUNICAÇÕES LTDA</v>
      </c>
      <c r="K1192" s="14">
        <f>IF(IFERROR(_xlfn.XLOOKUP(B1192,Planilha2!D:D,Planilha2!H:H),0)="SIM",1,0)</f>
        <v>0</v>
      </c>
      <c r="L1192" s="14" t="str">
        <f>_xlfn.XLOOKUP(B1192,CAD_PDV!A:A,CAD_PDV!C:C)</f>
        <v>RJ/ES</v>
      </c>
      <c r="M1192" s="14" t="str">
        <f>IFERROR(_xlfn.XLOOKUP(B1192,repete!A:A,repete!A:A),"-")</f>
        <v>-</v>
      </c>
    </row>
    <row r="1193" spans="1:13" hidden="1">
      <c r="A1193" s="1">
        <v>46113</v>
      </c>
      <c r="B1193" t="s">
        <v>737</v>
      </c>
      <c r="C1193" t="s">
        <v>738</v>
      </c>
      <c r="D1193" t="s">
        <v>231</v>
      </c>
      <c r="E1193" t="s">
        <v>59</v>
      </c>
      <c r="F1193">
        <v>52</v>
      </c>
      <c r="G1193">
        <v>2</v>
      </c>
      <c r="H1193">
        <v>8.4602368866328298E-4</v>
      </c>
      <c r="I1193">
        <v>3.8461538461538498E-2</v>
      </c>
      <c r="J1193" s="14" t="str">
        <f>_xlfn.XLOOKUP(B1193,CAD_PDV!A:A,CAD_PDV!B:B)</f>
        <v>HIROTA &amp; HIROTA LTDA - ME</v>
      </c>
      <c r="K1193" s="14">
        <f>IF(IFERROR(_xlfn.XLOOKUP(B1193,Planilha2!D:D,Planilha2!H:H),0)="SIM",1,0)</f>
        <v>0</v>
      </c>
      <c r="L1193" s="14" t="str">
        <f>_xlfn.XLOOKUP(B1193,CAD_PDV!A:A,CAD_PDV!C:C)</f>
        <v>CO</v>
      </c>
      <c r="M1193" s="14" t="str">
        <f>IFERROR(_xlfn.XLOOKUP(B1193,repete!A:A,repete!A:A),"-")</f>
        <v>-</v>
      </c>
    </row>
    <row r="1194" spans="1:13" hidden="1">
      <c r="A1194" s="1">
        <v>46113</v>
      </c>
      <c r="B1194" t="s">
        <v>1949</v>
      </c>
      <c r="C1194" t="s">
        <v>1950</v>
      </c>
      <c r="D1194" t="s">
        <v>176</v>
      </c>
      <c r="E1194" t="s">
        <v>2074</v>
      </c>
      <c r="F1194">
        <v>46</v>
      </c>
      <c r="G1194">
        <v>2</v>
      </c>
      <c r="H1194">
        <v>8.4602368866328298E-4</v>
      </c>
      <c r="I1194">
        <v>4.3478260869565202E-2</v>
      </c>
      <c r="J1194" s="14" t="str">
        <f>_xlfn.XLOOKUP(B1194,CAD_PDV!A:A,CAD_PDV!B:B)</f>
        <v>NEW POINT CELULAR LTDA - ME</v>
      </c>
      <c r="K1194" s="14">
        <f>IF(IFERROR(_xlfn.XLOOKUP(B1194,Planilha2!D:D,Planilha2!H:H),0)="SIM",1,0)</f>
        <v>0</v>
      </c>
      <c r="L1194" s="14" t="str">
        <f>_xlfn.XLOOKUP(B1194,CAD_PDV!A:A,CAD_PDV!C:C)</f>
        <v>RS</v>
      </c>
      <c r="M1194" s="14" t="str">
        <f>IFERROR(_xlfn.XLOOKUP(B1194,repete!A:A,repete!A:A),"-")</f>
        <v>-</v>
      </c>
    </row>
    <row r="1195" spans="1:13" hidden="1">
      <c r="A1195" s="1">
        <v>46113</v>
      </c>
      <c r="B1195" t="s">
        <v>778</v>
      </c>
      <c r="C1195" t="s">
        <v>775</v>
      </c>
      <c r="D1195" t="s">
        <v>221</v>
      </c>
      <c r="E1195" t="s">
        <v>59</v>
      </c>
      <c r="F1195">
        <v>35</v>
      </c>
      <c r="G1195">
        <v>2</v>
      </c>
      <c r="H1195">
        <v>8.4602368866328298E-4</v>
      </c>
      <c r="I1195">
        <v>5.7142857142857099E-2</v>
      </c>
      <c r="J1195" s="14" t="str">
        <f>_xlfn.XLOOKUP(B1195,CAD_PDV!A:A,CAD_PDV!B:B)</f>
        <v>AMERICOM COMERCIO DE APARELHOS ELETRONICOS LTDA - EPP</v>
      </c>
      <c r="K1195" s="14">
        <f>IF(IFERROR(_xlfn.XLOOKUP(B1195,Planilha2!D:D,Planilha2!H:H),0)="SIM",1,0)</f>
        <v>0</v>
      </c>
      <c r="L1195" s="14" t="str">
        <f>_xlfn.XLOOKUP(B1195,CAD_PDV!A:A,CAD_PDV!C:C)</f>
        <v>CO</v>
      </c>
      <c r="M1195" s="14" t="str">
        <f>IFERROR(_xlfn.XLOOKUP(B1195,repete!A:A,repete!A:A),"-")</f>
        <v>-</v>
      </c>
    </row>
    <row r="1196" spans="1:13" hidden="1">
      <c r="A1196" s="1">
        <v>46113</v>
      </c>
      <c r="B1196" t="s">
        <v>906</v>
      </c>
      <c r="C1196" t="s">
        <v>902</v>
      </c>
      <c r="D1196" t="s">
        <v>215</v>
      </c>
      <c r="E1196" t="s">
        <v>59</v>
      </c>
      <c r="F1196">
        <v>67</v>
      </c>
      <c r="G1196">
        <v>2</v>
      </c>
      <c r="H1196">
        <v>8.4602368866328298E-4</v>
      </c>
      <c r="I1196">
        <v>2.9850746268656699E-2</v>
      </c>
      <c r="J1196" s="14" t="str">
        <f>_xlfn.XLOOKUP(B1196,CAD_PDV!A:A,CAD_PDV!B:B)</f>
        <v>VIA SALLUS</v>
      </c>
      <c r="K1196" s="14">
        <f>IF(IFERROR(_xlfn.XLOOKUP(B1196,Planilha2!D:D,Planilha2!H:H),0)="SIM",1,0)</f>
        <v>0</v>
      </c>
      <c r="L1196" s="14" t="str">
        <f>_xlfn.XLOOKUP(B1196,CAD_PDV!A:A,CAD_PDV!C:C)</f>
        <v>CO</v>
      </c>
      <c r="M1196" s="14" t="str">
        <f>IFERROR(_xlfn.XLOOKUP(B1196,repete!A:A,repete!A:A),"-")</f>
        <v>-</v>
      </c>
    </row>
    <row r="1197" spans="1:13" hidden="1">
      <c r="A1197" s="1">
        <v>46113</v>
      </c>
      <c r="B1197" t="s">
        <v>2014</v>
      </c>
      <c r="C1197" t="s">
        <v>1744</v>
      </c>
      <c r="D1197" t="s">
        <v>106</v>
      </c>
      <c r="E1197" t="s">
        <v>2074</v>
      </c>
      <c r="F1197">
        <v>46</v>
      </c>
      <c r="G1197">
        <v>2</v>
      </c>
      <c r="H1197">
        <v>8.4602368866328298E-4</v>
      </c>
      <c r="I1197">
        <v>4.3478260869565202E-2</v>
      </c>
      <c r="J1197" s="14" t="str">
        <f>_xlfn.XLOOKUP(B1197,CAD_PDV!A:A,CAD_PDV!B:B)</f>
        <v>CELLULAR.COM</v>
      </c>
      <c r="K1197" s="14">
        <f>IF(IFERROR(_xlfn.XLOOKUP(B1197,Planilha2!D:D,Planilha2!H:H),0)="SIM",1,0)</f>
        <v>0</v>
      </c>
      <c r="L1197" s="14" t="str">
        <f>_xlfn.XLOOKUP(B1197,CAD_PDV!A:A,CAD_PDV!C:C)</f>
        <v>PR/SC</v>
      </c>
      <c r="M1197" s="14" t="str">
        <f>IFERROR(_xlfn.XLOOKUP(B1197,repete!A:A,repete!A:A),"-")</f>
        <v>-</v>
      </c>
    </row>
    <row r="1198" spans="1:13" hidden="1">
      <c r="A1198" s="1">
        <v>46113</v>
      </c>
      <c r="B1198" t="s">
        <v>1615</v>
      </c>
      <c r="C1198" t="s">
        <v>1616</v>
      </c>
      <c r="D1198" t="s">
        <v>132</v>
      </c>
      <c r="E1198" t="s">
        <v>54</v>
      </c>
      <c r="F1198">
        <v>32</v>
      </c>
      <c r="G1198">
        <v>2</v>
      </c>
      <c r="H1198">
        <v>8.4602368866328298E-4</v>
      </c>
      <c r="I1198">
        <v>6.25E-2</v>
      </c>
      <c r="J1198" s="14" t="str">
        <f>_xlfn.XLOOKUP(B1198,CAD_PDV!A:A,CAD_PDV!B:B)</f>
        <v>FLEX CELL</v>
      </c>
      <c r="K1198" s="14">
        <f>IF(IFERROR(_xlfn.XLOOKUP(B1198,Planilha2!D:D,Planilha2!H:H),0)="SIM",1,0)</f>
        <v>0</v>
      </c>
      <c r="L1198" s="14" t="str">
        <f>_xlfn.XLOOKUP(B1198,CAD_PDV!A:A,CAD_PDV!C:C)</f>
        <v>SP2</v>
      </c>
      <c r="M1198" s="14" t="str">
        <f>IFERROR(_xlfn.XLOOKUP(B1198,repete!A:A,repete!A:A),"-")</f>
        <v>-</v>
      </c>
    </row>
    <row r="1199" spans="1:13" hidden="1">
      <c r="A1199" s="1">
        <v>46113</v>
      </c>
      <c r="B1199" t="s">
        <v>1282</v>
      </c>
      <c r="C1199" t="s">
        <v>1283</v>
      </c>
      <c r="D1199" t="s">
        <v>228</v>
      </c>
      <c r="E1199" t="s">
        <v>55</v>
      </c>
      <c r="F1199">
        <v>46</v>
      </c>
      <c r="G1199">
        <v>2</v>
      </c>
      <c r="H1199">
        <v>8.4602368866328298E-4</v>
      </c>
      <c r="I1199">
        <v>4.3478260869565202E-2</v>
      </c>
      <c r="J1199" s="14" t="str">
        <f>_xlfn.XLOOKUP(B1199,CAD_PDV!A:A,CAD_PDV!B:B)</f>
        <v>FAJULUTI</v>
      </c>
      <c r="K1199" s="14">
        <f>IF(IFERROR(_xlfn.XLOOKUP(B1199,Planilha2!D:D,Planilha2!H:H),0)="SIM",1,0)</f>
        <v>0</v>
      </c>
      <c r="L1199" s="14" t="str">
        <f>_xlfn.XLOOKUP(B1199,CAD_PDV!A:A,CAD_PDV!C:C)</f>
        <v>RJ/ES</v>
      </c>
      <c r="M1199" s="14" t="str">
        <f>IFERROR(_xlfn.XLOOKUP(B1199,repete!A:A,repete!A:A),"-")</f>
        <v>-</v>
      </c>
    </row>
    <row r="1200" spans="1:13" hidden="1">
      <c r="A1200" s="1">
        <v>46113</v>
      </c>
      <c r="B1200" t="s">
        <v>357</v>
      </c>
      <c r="C1200" t="s">
        <v>358</v>
      </c>
      <c r="D1200" t="s">
        <v>230</v>
      </c>
      <c r="E1200" t="s">
        <v>61</v>
      </c>
      <c r="F1200">
        <v>68</v>
      </c>
      <c r="G1200">
        <v>2</v>
      </c>
      <c r="H1200">
        <v>8.4602368866328298E-4</v>
      </c>
      <c r="I1200">
        <v>2.9411764705882401E-2</v>
      </c>
      <c r="J1200" s="14" t="str">
        <f>_xlfn.XLOOKUP(B1200,CAD_PDV!A:A,CAD_PDV!B:B)</f>
        <v>HARCOS COMERCIO E SERVICOS LTDA - EPP</v>
      </c>
      <c r="K1200" s="14">
        <f>IF(IFERROR(_xlfn.XLOOKUP(B1200,Planilha2!D:D,Planilha2!H:H),0)="SIM",1,0)</f>
        <v>0</v>
      </c>
      <c r="L1200" s="14" t="str">
        <f>_xlfn.XLOOKUP(B1200,CAD_PDV!A:A,CAD_PDV!C:C)</f>
        <v>NE</v>
      </c>
      <c r="M1200" s="14" t="str">
        <f>IFERROR(_xlfn.XLOOKUP(B1200,repete!A:A,repete!A:A),"-")</f>
        <v>-</v>
      </c>
    </row>
    <row r="1201" spans="1:13" hidden="1">
      <c r="A1201" s="1">
        <v>46113</v>
      </c>
      <c r="B1201" t="s">
        <v>404</v>
      </c>
      <c r="C1201" t="s">
        <v>288</v>
      </c>
      <c r="D1201" t="s">
        <v>230</v>
      </c>
      <c r="E1201" t="s">
        <v>61</v>
      </c>
      <c r="F1201">
        <v>127</v>
      </c>
      <c r="G1201">
        <v>2</v>
      </c>
      <c r="H1201">
        <v>8.4602368866328298E-4</v>
      </c>
      <c r="I1201">
        <v>1.5748031496062999E-2</v>
      </c>
      <c r="J1201" s="14" t="str">
        <f>_xlfn.XLOOKUP(B1201,CAD_PDV!A:A,CAD_PDV!B:B)</f>
        <v>HARCOS COMERCIO E SERVICOS LTDA - EPP</v>
      </c>
      <c r="K1201" s="14">
        <f>IF(IFERROR(_xlfn.XLOOKUP(B1201,Planilha2!D:D,Planilha2!H:H),0)="SIM",1,0)</f>
        <v>0</v>
      </c>
      <c r="L1201" s="14" t="str">
        <f>_xlfn.XLOOKUP(B1201,CAD_PDV!A:A,CAD_PDV!C:C)</f>
        <v>NE</v>
      </c>
      <c r="M1201" s="14" t="str">
        <f>IFERROR(_xlfn.XLOOKUP(B1201,repete!A:A,repete!A:A),"-")</f>
        <v>-</v>
      </c>
    </row>
    <row r="1202" spans="1:13" hidden="1">
      <c r="A1202" s="1">
        <v>46113</v>
      </c>
      <c r="B1202" t="s">
        <v>438</v>
      </c>
      <c r="C1202" t="s">
        <v>441</v>
      </c>
      <c r="D1202" t="s">
        <v>239</v>
      </c>
      <c r="E1202" t="s">
        <v>56</v>
      </c>
      <c r="F1202">
        <v>35</v>
      </c>
      <c r="G1202">
        <v>2</v>
      </c>
      <c r="H1202">
        <v>8.4602368866328298E-4</v>
      </c>
      <c r="I1202">
        <v>5.7142857142857099E-2</v>
      </c>
      <c r="J1202" s="14" t="str">
        <f>_xlfn.XLOOKUP(B1202,CAD_PDV!A:A,CAD_PDV!B:B)</f>
        <v>TELECELL TELEFONIA LTDA - ME</v>
      </c>
      <c r="K1202" s="14">
        <f>IF(IFERROR(_xlfn.XLOOKUP(B1202,Planilha2!D:D,Planilha2!H:H),0)="SIM",1,0)</f>
        <v>0</v>
      </c>
      <c r="L1202" s="14" t="str">
        <f>_xlfn.XLOOKUP(B1202,CAD_PDV!A:A,CAD_PDV!C:C)</f>
        <v>MG</v>
      </c>
      <c r="M1202" s="14" t="str">
        <f>IFERROR(_xlfn.XLOOKUP(B1202,repete!A:A,repete!A:A),"-")</f>
        <v>-</v>
      </c>
    </row>
    <row r="1203" spans="1:13" hidden="1">
      <c r="A1203" s="1">
        <v>46113</v>
      </c>
      <c r="B1203" t="s">
        <v>958</v>
      </c>
      <c r="C1203" t="s">
        <v>944</v>
      </c>
      <c r="D1203" t="s">
        <v>232</v>
      </c>
      <c r="E1203" t="s">
        <v>60</v>
      </c>
      <c r="F1203">
        <v>71</v>
      </c>
      <c r="G1203">
        <v>2</v>
      </c>
      <c r="H1203">
        <v>8.4602368866328298E-4</v>
      </c>
      <c r="I1203">
        <v>2.8169014084507001E-2</v>
      </c>
      <c r="J1203" s="14" t="str">
        <f>_xlfn.XLOOKUP(B1203,CAD_PDV!A:A,CAD_PDV!B:B)</f>
        <v>HS TELECOM</v>
      </c>
      <c r="K1203" s="14">
        <f>IF(IFERROR(_xlfn.XLOOKUP(B1203,Planilha2!D:D,Planilha2!H:H),0)="SIM",1,0)</f>
        <v>0</v>
      </c>
      <c r="L1203" s="14" t="str">
        <f>_xlfn.XLOOKUP(B1203,CAD_PDV!A:A,CAD_PDV!C:C)</f>
        <v>BA/SE</v>
      </c>
      <c r="M1203" s="14" t="str">
        <f>IFERROR(_xlfn.XLOOKUP(B1203,repete!A:A,repete!A:A),"-")</f>
        <v>-</v>
      </c>
    </row>
    <row r="1204" spans="1:13" hidden="1">
      <c r="A1204" s="1">
        <v>46113</v>
      </c>
      <c r="B1204" t="s">
        <v>2088</v>
      </c>
      <c r="C1204" t="s">
        <v>1757</v>
      </c>
      <c r="D1204" t="s">
        <v>2080</v>
      </c>
      <c r="E1204" t="s">
        <v>2074</v>
      </c>
      <c r="F1204">
        <v>122</v>
      </c>
      <c r="G1204">
        <v>2</v>
      </c>
      <c r="H1204">
        <v>8.4602368866328298E-4</v>
      </c>
      <c r="I1204">
        <v>1.63934426229508E-2</v>
      </c>
      <c r="J1204" s="14" t="e">
        <f>_xlfn.XLOOKUP(B1204,CAD_PDV!A:A,CAD_PDV!B:B)</f>
        <v>#N/A</v>
      </c>
      <c r="K1204" s="14">
        <f>IF(IFERROR(_xlfn.XLOOKUP(B1204,Planilha2!D:D,Planilha2!H:H),0)="SIM",1,0)</f>
        <v>0</v>
      </c>
      <c r="L1204" s="14" t="e">
        <f>_xlfn.XLOOKUP(B1204,CAD_PDV!A:A,CAD_PDV!C:C)</f>
        <v>#N/A</v>
      </c>
      <c r="M1204" s="14" t="str">
        <f>IFERROR(_xlfn.XLOOKUP(B1204,repete!A:A,repete!A:A),"-")</f>
        <v>-</v>
      </c>
    </row>
    <row r="1205" spans="1:13" hidden="1">
      <c r="A1205" s="1">
        <v>46113</v>
      </c>
      <c r="B1205" t="s">
        <v>565</v>
      </c>
      <c r="C1205" t="s">
        <v>478</v>
      </c>
      <c r="D1205" t="s">
        <v>228</v>
      </c>
      <c r="E1205" t="s">
        <v>56</v>
      </c>
      <c r="F1205">
        <v>22</v>
      </c>
      <c r="G1205">
        <v>2</v>
      </c>
      <c r="H1205">
        <v>8.4602368866328298E-4</v>
      </c>
      <c r="I1205">
        <v>9.0909090909090898E-2</v>
      </c>
      <c r="J1205" s="14" t="str">
        <f>_xlfn.XLOOKUP(B1205,CAD_PDV!A:A,CAD_PDV!B:B)</f>
        <v>FAJULUTI</v>
      </c>
      <c r="K1205" s="14">
        <f>IF(IFERROR(_xlfn.XLOOKUP(B1205,Planilha2!D:D,Planilha2!H:H),0)="SIM",1,0)</f>
        <v>0</v>
      </c>
      <c r="L1205" s="14" t="str">
        <f>_xlfn.XLOOKUP(B1205,CAD_PDV!A:A,CAD_PDV!C:C)</f>
        <v>MG</v>
      </c>
      <c r="M1205" s="14" t="str">
        <f>IFERROR(_xlfn.XLOOKUP(B1205,repete!A:A,repete!A:A),"-")</f>
        <v>-</v>
      </c>
    </row>
    <row r="1206" spans="1:13" hidden="1">
      <c r="A1206" s="1">
        <v>46113</v>
      </c>
      <c r="B1206" t="s">
        <v>1862</v>
      </c>
      <c r="C1206" t="s">
        <v>1861</v>
      </c>
      <c r="D1206" t="s">
        <v>106</v>
      </c>
      <c r="E1206" t="s">
        <v>2074</v>
      </c>
      <c r="F1206">
        <v>62</v>
      </c>
      <c r="G1206">
        <v>2</v>
      </c>
      <c r="H1206">
        <v>8.4602368866328298E-4</v>
      </c>
      <c r="I1206">
        <v>3.2258064516128997E-2</v>
      </c>
      <c r="J1206" s="14" t="str">
        <f>_xlfn.XLOOKUP(B1206,CAD_PDV!A:A,CAD_PDV!B:B)</f>
        <v>CELLULAR.COM</v>
      </c>
      <c r="K1206" s="14">
        <f>IF(IFERROR(_xlfn.XLOOKUP(B1206,Planilha2!D:D,Planilha2!H:H),0)="SIM",1,0)</f>
        <v>0</v>
      </c>
      <c r="L1206" s="14" t="str">
        <f>_xlfn.XLOOKUP(B1206,CAD_PDV!A:A,CAD_PDV!C:C)</f>
        <v>PR/SC</v>
      </c>
      <c r="M1206" s="14" t="str">
        <f>IFERROR(_xlfn.XLOOKUP(B1206,repete!A:A,repete!A:A),"-")</f>
        <v>-</v>
      </c>
    </row>
    <row r="1207" spans="1:13" hidden="1">
      <c r="A1207" s="1">
        <v>46113</v>
      </c>
      <c r="B1207" t="s">
        <v>843</v>
      </c>
      <c r="C1207" t="s">
        <v>677</v>
      </c>
      <c r="D1207" t="s">
        <v>239</v>
      </c>
      <c r="E1207" t="s">
        <v>59</v>
      </c>
      <c r="F1207">
        <v>30</v>
      </c>
      <c r="G1207">
        <v>2</v>
      </c>
      <c r="H1207">
        <v>8.4602368866328298E-4</v>
      </c>
      <c r="I1207">
        <v>6.6666666666666693E-2</v>
      </c>
      <c r="J1207" s="14" t="str">
        <f>_xlfn.XLOOKUP(B1207,CAD_PDV!A:A,CAD_PDV!B:B)</f>
        <v>TELECELL TELEFONIA LTDA - ME</v>
      </c>
      <c r="K1207" s="14">
        <f>IF(IFERROR(_xlfn.XLOOKUP(B1207,Planilha2!D:D,Planilha2!H:H),0)="SIM",1,0)</f>
        <v>0</v>
      </c>
      <c r="L1207" s="14" t="str">
        <f>_xlfn.XLOOKUP(B1207,CAD_PDV!A:A,CAD_PDV!C:C)</f>
        <v>CO</v>
      </c>
      <c r="M1207" s="14" t="str">
        <f>IFERROR(_xlfn.XLOOKUP(B1207,repete!A:A,repete!A:A),"-")</f>
        <v>-</v>
      </c>
    </row>
    <row r="1208" spans="1:13" hidden="1">
      <c r="A1208" s="1">
        <v>46113</v>
      </c>
      <c r="B1208" t="s">
        <v>1696</v>
      </c>
      <c r="C1208" t="s">
        <v>1499</v>
      </c>
      <c r="D1208" t="s">
        <v>132</v>
      </c>
      <c r="E1208" t="s">
        <v>54</v>
      </c>
      <c r="F1208">
        <v>37</v>
      </c>
      <c r="G1208">
        <v>2</v>
      </c>
      <c r="H1208">
        <v>8.4602368866328298E-4</v>
      </c>
      <c r="I1208">
        <v>5.4054054054054099E-2</v>
      </c>
      <c r="J1208" s="14" t="str">
        <f>_xlfn.XLOOKUP(B1208,CAD_PDV!A:A,CAD_PDV!B:B)</f>
        <v>FLEX CELL</v>
      </c>
      <c r="K1208" s="14">
        <f>IF(IFERROR(_xlfn.XLOOKUP(B1208,Planilha2!D:D,Planilha2!H:H),0)="SIM",1,0)</f>
        <v>0</v>
      </c>
      <c r="L1208" s="14" t="str">
        <f>_xlfn.XLOOKUP(B1208,CAD_PDV!A:A,CAD_PDV!C:C)</f>
        <v>SP2</v>
      </c>
      <c r="M1208" s="14" t="str">
        <f>IFERROR(_xlfn.XLOOKUP(B1208,repete!A:A,repete!A:A),"-")</f>
        <v>-</v>
      </c>
    </row>
    <row r="1209" spans="1:13" hidden="1">
      <c r="A1209" s="1">
        <v>46113</v>
      </c>
      <c r="B1209" t="s">
        <v>1378</v>
      </c>
      <c r="C1209" t="s">
        <v>1308</v>
      </c>
      <c r="D1209" t="s">
        <v>229</v>
      </c>
      <c r="E1209" t="s">
        <v>53</v>
      </c>
      <c r="F1209">
        <v>54</v>
      </c>
      <c r="G1209">
        <v>2</v>
      </c>
      <c r="H1209">
        <v>8.4602368866328298E-4</v>
      </c>
      <c r="I1209">
        <v>3.7037037037037E-2</v>
      </c>
      <c r="J1209" s="14" t="str">
        <f>_xlfn.XLOOKUP(B1209,CAD_PDV!A:A,CAD_PDV!B:B)</f>
        <v>FW TELEFONIA LTDA - EPP</v>
      </c>
      <c r="K1209" s="14">
        <f>IF(IFERROR(_xlfn.XLOOKUP(B1209,Planilha2!D:D,Planilha2!H:H),0)="SIM",1,0)</f>
        <v>0</v>
      </c>
      <c r="L1209" s="14" t="str">
        <f>_xlfn.XLOOKUP(B1209,CAD_PDV!A:A,CAD_PDV!C:C)</f>
        <v>SP1</v>
      </c>
      <c r="M1209" s="14" t="str">
        <f>IFERROR(_xlfn.XLOOKUP(B1209,repete!A:A,repete!A:A),"-")</f>
        <v>-</v>
      </c>
    </row>
    <row r="1210" spans="1:13" hidden="1">
      <c r="A1210" s="1">
        <v>46113</v>
      </c>
      <c r="B1210" t="s">
        <v>1710</v>
      </c>
      <c r="C1210" t="s">
        <v>1568</v>
      </c>
      <c r="D1210" t="s">
        <v>119</v>
      </c>
      <c r="E1210" t="s">
        <v>54</v>
      </c>
      <c r="F1210">
        <v>39</v>
      </c>
      <c r="G1210">
        <v>2</v>
      </c>
      <c r="H1210">
        <v>8.4602368866328298E-4</v>
      </c>
      <c r="I1210">
        <v>5.1282051282051301E-2</v>
      </c>
      <c r="J1210" s="14" t="str">
        <f>_xlfn.XLOOKUP(B1210,CAD_PDV!A:A,CAD_PDV!B:B)</f>
        <v>DOM BARRETO COMERCIAL LTDA - ME</v>
      </c>
      <c r="K1210" s="14">
        <f>IF(IFERROR(_xlfn.XLOOKUP(B1210,Planilha2!D:D,Planilha2!H:H),0)="SIM",1,0)</f>
        <v>0</v>
      </c>
      <c r="L1210" s="14" t="str">
        <f>_xlfn.XLOOKUP(B1210,CAD_PDV!A:A,CAD_PDV!C:C)</f>
        <v>SP2</v>
      </c>
      <c r="M1210" s="14" t="str">
        <f>IFERROR(_xlfn.XLOOKUP(B1210,repete!A:A,repete!A:A),"-")</f>
        <v>-</v>
      </c>
    </row>
    <row r="1211" spans="1:13" hidden="1">
      <c r="A1211" s="1">
        <v>46113</v>
      </c>
      <c r="B1211" t="s">
        <v>1370</v>
      </c>
      <c r="C1211" t="s">
        <v>1371</v>
      </c>
      <c r="D1211" t="s">
        <v>132</v>
      </c>
      <c r="E1211" t="s">
        <v>53</v>
      </c>
      <c r="F1211">
        <v>33</v>
      </c>
      <c r="G1211">
        <v>2</v>
      </c>
      <c r="H1211">
        <v>8.4602368866328298E-4</v>
      </c>
      <c r="I1211">
        <v>6.0606060606060601E-2</v>
      </c>
      <c r="J1211" s="14" t="str">
        <f>_xlfn.XLOOKUP(B1211,CAD_PDV!A:A,CAD_PDV!B:B)</f>
        <v>FLEX CELL</v>
      </c>
      <c r="K1211" s="14">
        <f>IF(IFERROR(_xlfn.XLOOKUP(B1211,Planilha2!D:D,Planilha2!H:H),0)="SIM",1,0)</f>
        <v>0</v>
      </c>
      <c r="L1211" s="14" t="str">
        <f>_xlfn.XLOOKUP(B1211,CAD_PDV!A:A,CAD_PDV!C:C)</f>
        <v>SP1</v>
      </c>
      <c r="M1211" s="14" t="str">
        <f>IFERROR(_xlfn.XLOOKUP(B1211,repete!A:A,repete!A:A),"-")</f>
        <v>-</v>
      </c>
    </row>
    <row r="1212" spans="1:13" hidden="1">
      <c r="A1212" s="1">
        <v>46113</v>
      </c>
      <c r="B1212" t="s">
        <v>472</v>
      </c>
      <c r="C1212" t="s">
        <v>475</v>
      </c>
      <c r="D1212" t="s">
        <v>228</v>
      </c>
      <c r="E1212" t="s">
        <v>56</v>
      </c>
      <c r="F1212">
        <v>28</v>
      </c>
      <c r="G1212">
        <v>2</v>
      </c>
      <c r="H1212">
        <v>8.4602368866328298E-4</v>
      </c>
      <c r="I1212">
        <v>7.1428571428571397E-2</v>
      </c>
      <c r="J1212" s="14" t="str">
        <f>_xlfn.XLOOKUP(B1212,CAD_PDV!A:A,CAD_PDV!B:B)</f>
        <v>FAJULUTI</v>
      </c>
      <c r="K1212" s="14">
        <f>IF(IFERROR(_xlfn.XLOOKUP(B1212,Planilha2!D:D,Planilha2!H:H),0)="SIM",1,0)</f>
        <v>0</v>
      </c>
      <c r="L1212" s="14" t="str">
        <f>_xlfn.XLOOKUP(B1212,CAD_PDV!A:A,CAD_PDV!C:C)</f>
        <v>MG</v>
      </c>
      <c r="M1212" s="14" t="str">
        <f>IFERROR(_xlfn.XLOOKUP(B1212,repete!A:A,repete!A:A),"-")</f>
        <v>-</v>
      </c>
    </row>
    <row r="1213" spans="1:13" hidden="1">
      <c r="A1213" s="1">
        <v>46113</v>
      </c>
      <c r="B1213" t="s">
        <v>402</v>
      </c>
      <c r="C1213" t="s">
        <v>269</v>
      </c>
      <c r="D1213" t="s">
        <v>227</v>
      </c>
      <c r="E1213" t="s">
        <v>61</v>
      </c>
      <c r="F1213">
        <v>115</v>
      </c>
      <c r="G1213">
        <v>2</v>
      </c>
      <c r="H1213">
        <v>8.4602368866328298E-4</v>
      </c>
      <c r="I1213">
        <v>1.7391304347826101E-2</v>
      </c>
      <c r="J1213" s="14" t="str">
        <f>_xlfn.XLOOKUP(B1213,CAD_PDV!A:A,CAD_PDV!B:B)</f>
        <v>E-MEAN SERVICOS DE MARKETING DIRETO LTDA</v>
      </c>
      <c r="K1213" s="14">
        <f>IF(IFERROR(_xlfn.XLOOKUP(B1213,Planilha2!D:D,Planilha2!H:H),0)="SIM",1,0)</f>
        <v>0</v>
      </c>
      <c r="L1213" s="14" t="str">
        <f>_xlfn.XLOOKUP(B1213,CAD_PDV!A:A,CAD_PDV!C:C)</f>
        <v>NE</v>
      </c>
      <c r="M1213" s="14" t="str">
        <f>IFERROR(_xlfn.XLOOKUP(B1213,repete!A:A,repete!A:A),"-")</f>
        <v>-</v>
      </c>
    </row>
    <row r="1214" spans="1:13" hidden="1">
      <c r="A1214" s="1">
        <v>46113</v>
      </c>
      <c r="B1214" t="s">
        <v>1406</v>
      </c>
      <c r="C1214" t="s">
        <v>1366</v>
      </c>
      <c r="D1214" t="s">
        <v>106</v>
      </c>
      <c r="E1214" t="s">
        <v>53</v>
      </c>
      <c r="F1214">
        <v>34</v>
      </c>
      <c r="G1214">
        <v>2</v>
      </c>
      <c r="H1214">
        <v>8.4602368866328298E-4</v>
      </c>
      <c r="I1214">
        <v>5.8823529411764698E-2</v>
      </c>
      <c r="J1214" s="14" t="str">
        <f>_xlfn.XLOOKUP(B1214,CAD_PDV!A:A,CAD_PDV!B:B)</f>
        <v>CELLULAR.COM</v>
      </c>
      <c r="K1214" s="14">
        <f>IF(IFERROR(_xlfn.XLOOKUP(B1214,Planilha2!D:D,Planilha2!H:H),0)="SIM",1,0)</f>
        <v>0</v>
      </c>
      <c r="L1214" s="14" t="str">
        <f>_xlfn.XLOOKUP(B1214,CAD_PDV!A:A,CAD_PDV!C:C)</f>
        <v>SP1</v>
      </c>
      <c r="M1214" s="14" t="str">
        <f>IFERROR(_xlfn.XLOOKUP(B1214,repete!A:A,repete!A:A),"-")</f>
        <v>-</v>
      </c>
    </row>
    <row r="1215" spans="1:13" hidden="1">
      <c r="A1215" s="1">
        <v>46113</v>
      </c>
      <c r="B1215" t="s">
        <v>721</v>
      </c>
      <c r="C1215" t="s">
        <v>723</v>
      </c>
      <c r="D1215" t="s">
        <v>239</v>
      </c>
      <c r="E1215" t="s">
        <v>59</v>
      </c>
      <c r="F1215">
        <v>136</v>
      </c>
      <c r="G1215">
        <v>2</v>
      </c>
      <c r="H1215">
        <v>8.4602368866328298E-4</v>
      </c>
      <c r="I1215">
        <v>1.4705882352941201E-2</v>
      </c>
      <c r="J1215" s="14" t="str">
        <f>_xlfn.XLOOKUP(B1215,CAD_PDV!A:A,CAD_PDV!B:B)</f>
        <v>TELECELL TELEFONIA LTDA - ME</v>
      </c>
      <c r="K1215" s="14">
        <f>IF(IFERROR(_xlfn.XLOOKUP(B1215,Planilha2!D:D,Planilha2!H:H),0)="SIM",1,0)</f>
        <v>0</v>
      </c>
      <c r="L1215" s="14" t="str">
        <f>_xlfn.XLOOKUP(B1215,CAD_PDV!A:A,CAD_PDV!C:C)</f>
        <v>CO</v>
      </c>
      <c r="M1215" s="14" t="str">
        <f>IFERROR(_xlfn.XLOOKUP(B1215,repete!A:A,repete!A:A),"-")</f>
        <v>-</v>
      </c>
    </row>
    <row r="1216" spans="1:13" hidden="1">
      <c r="A1216" s="1">
        <v>46113</v>
      </c>
      <c r="B1216" t="s">
        <v>2018</v>
      </c>
      <c r="C1216" t="s">
        <v>2019</v>
      </c>
      <c r="D1216" t="s">
        <v>106</v>
      </c>
      <c r="E1216" t="s">
        <v>2074</v>
      </c>
      <c r="F1216">
        <v>15</v>
      </c>
      <c r="G1216">
        <v>1</v>
      </c>
      <c r="H1216">
        <v>4.23011844331641E-4</v>
      </c>
      <c r="I1216">
        <v>6.6666666666666693E-2</v>
      </c>
      <c r="J1216" s="14" t="str">
        <f>_xlfn.XLOOKUP(B1216,CAD_PDV!A:A,CAD_PDV!B:B)</f>
        <v>CELLULAR.COM</v>
      </c>
      <c r="K1216" s="14">
        <f>IF(IFERROR(_xlfn.XLOOKUP(B1216,Planilha2!D:D,Planilha2!H:H),0)="SIM",1,0)</f>
        <v>0</v>
      </c>
      <c r="L1216" s="14" t="str">
        <f>_xlfn.XLOOKUP(B1216,CAD_PDV!A:A,CAD_PDV!C:C)</f>
        <v>PR/SC</v>
      </c>
      <c r="M1216" s="14" t="str">
        <f>IFERROR(_xlfn.XLOOKUP(B1216,repete!A:A,repete!A:A),"-")</f>
        <v>-</v>
      </c>
    </row>
    <row r="1217" spans="1:13" hidden="1">
      <c r="A1217" s="1">
        <v>46113</v>
      </c>
      <c r="B1217" t="s">
        <v>710</v>
      </c>
      <c r="C1217" t="s">
        <v>711</v>
      </c>
      <c r="D1217" t="s">
        <v>239</v>
      </c>
      <c r="E1217" t="s">
        <v>59</v>
      </c>
      <c r="F1217">
        <v>22</v>
      </c>
      <c r="G1217">
        <v>1</v>
      </c>
      <c r="H1217">
        <v>4.23011844331641E-4</v>
      </c>
      <c r="I1217">
        <v>4.5454545454545497E-2</v>
      </c>
      <c r="J1217" s="14" t="str">
        <f>_xlfn.XLOOKUP(B1217,CAD_PDV!A:A,CAD_PDV!B:B)</f>
        <v>TELECELL TELEFONIA LTDA - ME</v>
      </c>
      <c r="K1217" s="14">
        <f>IF(IFERROR(_xlfn.XLOOKUP(B1217,Planilha2!D:D,Planilha2!H:H),0)="SIM",1,0)</f>
        <v>0</v>
      </c>
      <c r="L1217" s="14" t="str">
        <f>_xlfn.XLOOKUP(B1217,CAD_PDV!A:A,CAD_PDV!C:C)</f>
        <v>CO</v>
      </c>
      <c r="M1217" s="14" t="str">
        <f>IFERROR(_xlfn.XLOOKUP(B1217,repete!A:A,repete!A:A),"-")</f>
        <v>-</v>
      </c>
    </row>
    <row r="1218" spans="1:13" hidden="1">
      <c r="A1218" s="1">
        <v>46113</v>
      </c>
      <c r="B1218" t="s">
        <v>841</v>
      </c>
      <c r="C1218" t="s">
        <v>842</v>
      </c>
      <c r="D1218" t="s">
        <v>239</v>
      </c>
      <c r="E1218" t="s">
        <v>59</v>
      </c>
      <c r="F1218">
        <v>56</v>
      </c>
      <c r="G1218">
        <v>1</v>
      </c>
      <c r="H1218">
        <v>4.23011844331641E-4</v>
      </c>
      <c r="I1218">
        <v>1.7857142857142901E-2</v>
      </c>
      <c r="J1218" s="14" t="str">
        <f>_xlfn.XLOOKUP(B1218,CAD_PDV!A:A,CAD_PDV!B:B)</f>
        <v>TELECELL TELEFONIA LTDA - ME</v>
      </c>
      <c r="K1218" s="14">
        <f>IF(IFERROR(_xlfn.XLOOKUP(B1218,Planilha2!D:D,Planilha2!H:H),0)="SIM",1,0)</f>
        <v>0</v>
      </c>
      <c r="L1218" s="14" t="str">
        <f>_xlfn.XLOOKUP(B1218,CAD_PDV!A:A,CAD_PDV!C:C)</f>
        <v>CO</v>
      </c>
      <c r="M1218" s="14" t="str">
        <f>IFERROR(_xlfn.XLOOKUP(B1218,repete!A:A,repete!A:A),"-")</f>
        <v>1NRI</v>
      </c>
    </row>
    <row r="1219" spans="1:13" hidden="1">
      <c r="A1219" s="1">
        <v>46113</v>
      </c>
      <c r="B1219" t="s">
        <v>2034</v>
      </c>
      <c r="C1219" t="s">
        <v>2035</v>
      </c>
      <c r="D1219" t="s">
        <v>193</v>
      </c>
      <c r="E1219" t="s">
        <v>2074</v>
      </c>
      <c r="F1219">
        <v>13</v>
      </c>
      <c r="G1219">
        <v>1</v>
      </c>
      <c r="H1219">
        <v>4.23011844331641E-4</v>
      </c>
      <c r="I1219">
        <v>7.69230769230769E-2</v>
      </c>
      <c r="J1219" s="14" t="str">
        <f>_xlfn.XLOOKUP(B1219,CAD_PDV!A:A,CAD_PDV!B:B)</f>
        <v>S D COMERCIO DE CELULARES LTDA - ME</v>
      </c>
      <c r="K1219" s="14">
        <f>IF(IFERROR(_xlfn.XLOOKUP(B1219,Planilha2!D:D,Planilha2!H:H),0)="SIM",1,0)</f>
        <v>0</v>
      </c>
      <c r="L1219" s="14" t="str">
        <f>_xlfn.XLOOKUP(B1219,CAD_PDV!A:A,CAD_PDV!C:C)</f>
        <v>RS</v>
      </c>
      <c r="M1219" s="14" t="str">
        <f>IFERROR(_xlfn.XLOOKUP(B1219,repete!A:A,repete!A:A),"-")</f>
        <v>-</v>
      </c>
    </row>
    <row r="1220" spans="1:13" hidden="1">
      <c r="A1220" s="1">
        <v>46113</v>
      </c>
      <c r="B1220" t="s">
        <v>870</v>
      </c>
      <c r="C1220" t="s">
        <v>871</v>
      </c>
      <c r="D1220" t="s">
        <v>224</v>
      </c>
      <c r="E1220" t="s">
        <v>59</v>
      </c>
      <c r="F1220">
        <v>52</v>
      </c>
      <c r="G1220">
        <v>1</v>
      </c>
      <c r="H1220">
        <v>4.23011844331641E-4</v>
      </c>
      <c r="I1220">
        <v>1.9230769230769201E-2</v>
      </c>
      <c r="J1220" s="14" t="str">
        <f>_xlfn.XLOOKUP(B1220,CAD_PDV!A:A,CAD_PDV!B:B)</f>
        <v>CELNET COMERCIO E SERVICOS DE TELEFONIA LTDA ME</v>
      </c>
      <c r="K1220" s="14">
        <f>IF(IFERROR(_xlfn.XLOOKUP(B1220,Planilha2!D:D,Planilha2!H:H),0)="SIM",1,0)</f>
        <v>0</v>
      </c>
      <c r="L1220" s="14" t="str">
        <f>_xlfn.XLOOKUP(B1220,CAD_PDV!A:A,CAD_PDV!C:C)</f>
        <v>CO</v>
      </c>
      <c r="M1220" s="14" t="str">
        <f>IFERROR(_xlfn.XLOOKUP(B1220,repete!A:A,repete!A:A),"-")</f>
        <v>-</v>
      </c>
    </row>
    <row r="1221" spans="1:13" hidden="1">
      <c r="A1221" s="1">
        <v>46113</v>
      </c>
      <c r="B1221" t="s">
        <v>1449</v>
      </c>
      <c r="C1221" t="s">
        <v>1451</v>
      </c>
      <c r="D1221" t="s">
        <v>132</v>
      </c>
      <c r="E1221" t="s">
        <v>54</v>
      </c>
      <c r="F1221">
        <v>35</v>
      </c>
      <c r="G1221">
        <v>1</v>
      </c>
      <c r="H1221">
        <v>4.23011844331641E-4</v>
      </c>
      <c r="I1221">
        <v>2.8571428571428598E-2</v>
      </c>
      <c r="J1221" s="14" t="str">
        <f>_xlfn.XLOOKUP(B1221,CAD_PDV!A:A,CAD_PDV!B:B)</f>
        <v>FLEX CELL</v>
      </c>
      <c r="K1221" s="14">
        <f>IF(IFERROR(_xlfn.XLOOKUP(B1221,Planilha2!D:D,Planilha2!H:H),0)="SIM",1,0)</f>
        <v>0</v>
      </c>
      <c r="L1221" s="14" t="str">
        <f>_xlfn.XLOOKUP(B1221,CAD_PDV!A:A,CAD_PDV!C:C)</f>
        <v>SP2</v>
      </c>
      <c r="M1221" s="14" t="str">
        <f>IFERROR(_xlfn.XLOOKUP(B1221,repete!A:A,repete!A:A),"-")</f>
        <v>-</v>
      </c>
    </row>
    <row r="1222" spans="1:13" hidden="1">
      <c r="A1222" s="1">
        <v>46113</v>
      </c>
      <c r="B1222" t="s">
        <v>743</v>
      </c>
      <c r="C1222" t="s">
        <v>619</v>
      </c>
      <c r="D1222" t="s">
        <v>240</v>
      </c>
      <c r="E1222" t="s">
        <v>59</v>
      </c>
      <c r="F1222">
        <v>31</v>
      </c>
      <c r="G1222">
        <v>1</v>
      </c>
      <c r="H1222">
        <v>4.23011844331641E-4</v>
      </c>
      <c r="I1222">
        <v>3.2258064516128997E-2</v>
      </c>
      <c r="J1222" s="14" t="str">
        <f>_xlfn.XLOOKUP(B1222,CAD_PDV!A:A,CAD_PDV!B:B)</f>
        <v>TELEMAIS TELEFONIA LTDA - ME</v>
      </c>
      <c r="K1222" s="14">
        <f>IF(IFERROR(_xlfn.XLOOKUP(B1222,Planilha2!D:D,Planilha2!H:H),0)="SIM",1,0)</f>
        <v>0</v>
      </c>
      <c r="L1222" s="14" t="str">
        <f>_xlfn.XLOOKUP(B1222,CAD_PDV!A:A,CAD_PDV!C:C)</f>
        <v>CO</v>
      </c>
      <c r="M1222" s="14" t="str">
        <f>IFERROR(_xlfn.XLOOKUP(B1222,repete!A:A,repete!A:A),"-")</f>
        <v>-</v>
      </c>
    </row>
    <row r="1223" spans="1:13" hidden="1">
      <c r="A1223" s="1">
        <v>46113</v>
      </c>
      <c r="B1223" t="s">
        <v>1465</v>
      </c>
      <c r="C1223" t="s">
        <v>1466</v>
      </c>
      <c r="D1223" t="s">
        <v>119</v>
      </c>
      <c r="E1223" t="s">
        <v>54</v>
      </c>
      <c r="F1223">
        <v>32</v>
      </c>
      <c r="G1223">
        <v>1</v>
      </c>
      <c r="H1223">
        <v>4.23011844331641E-4</v>
      </c>
      <c r="I1223">
        <v>3.125E-2</v>
      </c>
      <c r="J1223" s="14" t="str">
        <f>_xlfn.XLOOKUP(B1223,CAD_PDV!A:A,CAD_PDV!B:B)</f>
        <v>DOM BARRETO COMERCIAL LTDA - ME</v>
      </c>
      <c r="K1223" s="14">
        <f>IF(IFERROR(_xlfn.XLOOKUP(B1223,Planilha2!D:D,Planilha2!H:H),0)="SIM",1,0)</f>
        <v>0</v>
      </c>
      <c r="L1223" s="14" t="str">
        <f>_xlfn.XLOOKUP(B1223,CAD_PDV!A:A,CAD_PDV!C:C)</f>
        <v>SP2</v>
      </c>
      <c r="M1223" s="14" t="str">
        <f>IFERROR(_xlfn.XLOOKUP(B1223,repete!A:A,repete!A:A),"-")</f>
        <v>-</v>
      </c>
    </row>
    <row r="1224" spans="1:13" hidden="1">
      <c r="A1224" s="1">
        <v>46113</v>
      </c>
      <c r="B1224" t="s">
        <v>2082</v>
      </c>
      <c r="C1224" t="s">
        <v>2083</v>
      </c>
      <c r="D1224" t="s">
        <v>2080</v>
      </c>
      <c r="E1224" t="s">
        <v>2074</v>
      </c>
      <c r="F1224">
        <v>21</v>
      </c>
      <c r="G1224">
        <v>1</v>
      </c>
      <c r="H1224">
        <v>4.23011844331641E-4</v>
      </c>
      <c r="I1224">
        <v>4.7619047619047603E-2</v>
      </c>
      <c r="J1224" s="14" t="e">
        <f>_xlfn.XLOOKUP(B1224,CAD_PDV!A:A,CAD_PDV!B:B)</f>
        <v>#N/A</v>
      </c>
      <c r="K1224" s="14">
        <f>IF(IFERROR(_xlfn.XLOOKUP(B1224,Planilha2!D:D,Planilha2!H:H),0)="SIM",1,0)</f>
        <v>0</v>
      </c>
      <c r="L1224" s="14" t="e">
        <f>_xlfn.XLOOKUP(B1224,CAD_PDV!A:A,CAD_PDV!C:C)</f>
        <v>#N/A</v>
      </c>
      <c r="M1224" s="14" t="str">
        <f>IFERROR(_xlfn.XLOOKUP(B1224,repete!A:A,repete!A:A),"-")</f>
        <v>-</v>
      </c>
    </row>
    <row r="1225" spans="1:13" hidden="1">
      <c r="A1225" s="1">
        <v>46113</v>
      </c>
      <c r="B1225" t="s">
        <v>1327</v>
      </c>
      <c r="C1225" t="s">
        <v>1313</v>
      </c>
      <c r="D1225" t="s">
        <v>225</v>
      </c>
      <c r="E1225" t="s">
        <v>53</v>
      </c>
      <c r="F1225">
        <v>68</v>
      </c>
      <c r="G1225">
        <v>1</v>
      </c>
      <c r="H1225">
        <v>4.23011844331641E-4</v>
      </c>
      <c r="I1225">
        <v>1.4705882352941201E-2</v>
      </c>
      <c r="J1225" s="14" t="str">
        <f>_xlfn.XLOOKUP(B1225,CAD_PDV!A:A,CAD_PDV!B:B)</f>
        <v>CLARICELL SP1</v>
      </c>
      <c r="K1225" s="14">
        <f>IF(IFERROR(_xlfn.XLOOKUP(B1225,Planilha2!D:D,Planilha2!H:H),0)="SIM",1,0)</f>
        <v>0</v>
      </c>
      <c r="L1225" s="14" t="str">
        <f>_xlfn.XLOOKUP(B1225,CAD_PDV!A:A,CAD_PDV!C:C)</f>
        <v>SP1</v>
      </c>
      <c r="M1225" s="14" t="str">
        <f>IFERROR(_xlfn.XLOOKUP(B1225,repete!A:A,repete!A:A),"-")</f>
        <v>-</v>
      </c>
    </row>
    <row r="1226" spans="1:13" hidden="1">
      <c r="A1226" s="1">
        <v>46113</v>
      </c>
      <c r="B1226" t="s">
        <v>310</v>
      </c>
      <c r="C1226" t="s">
        <v>311</v>
      </c>
      <c r="D1226" t="s">
        <v>230</v>
      </c>
      <c r="E1226" t="s">
        <v>61</v>
      </c>
      <c r="F1226">
        <v>41</v>
      </c>
      <c r="G1226">
        <v>1</v>
      </c>
      <c r="H1226">
        <v>4.23011844331641E-4</v>
      </c>
      <c r="I1226">
        <v>2.4390243902439001E-2</v>
      </c>
      <c r="J1226" s="14" t="str">
        <f>_xlfn.XLOOKUP(B1226,CAD_PDV!A:A,CAD_PDV!B:B)</f>
        <v>HARCOS COMERCIO E SERVICOS LTDA - EPP</v>
      </c>
      <c r="K1226" s="14">
        <f>IF(IFERROR(_xlfn.XLOOKUP(B1226,Planilha2!D:D,Planilha2!H:H),0)="SIM",1,0)</f>
        <v>0</v>
      </c>
      <c r="L1226" s="14" t="str">
        <f>_xlfn.XLOOKUP(B1226,CAD_PDV!A:A,CAD_PDV!C:C)</f>
        <v>NE</v>
      </c>
      <c r="M1226" s="14" t="str">
        <f>IFERROR(_xlfn.XLOOKUP(B1226,repete!A:A,repete!A:A),"-")</f>
        <v>-</v>
      </c>
    </row>
    <row r="1227" spans="1:13" hidden="1">
      <c r="A1227" s="1">
        <v>46113</v>
      </c>
      <c r="B1227" t="s">
        <v>1347</v>
      </c>
      <c r="C1227" t="s">
        <v>1346</v>
      </c>
      <c r="D1227" t="s">
        <v>229</v>
      </c>
      <c r="E1227" t="s">
        <v>53</v>
      </c>
      <c r="F1227">
        <v>84</v>
      </c>
      <c r="G1227">
        <v>1</v>
      </c>
      <c r="H1227">
        <v>4.23011844331641E-4</v>
      </c>
      <c r="I1227">
        <v>1.1904761904761901E-2</v>
      </c>
      <c r="J1227" s="14" t="str">
        <f>_xlfn.XLOOKUP(B1227,CAD_PDV!A:A,CAD_PDV!B:B)</f>
        <v>FW TELEFONIA LTDA - EPP</v>
      </c>
      <c r="K1227" s="14">
        <f>IF(IFERROR(_xlfn.XLOOKUP(B1227,Planilha2!D:D,Planilha2!H:H),0)="SIM",1,0)</f>
        <v>0</v>
      </c>
      <c r="L1227" s="14" t="str">
        <f>_xlfn.XLOOKUP(B1227,CAD_PDV!A:A,CAD_PDV!C:C)</f>
        <v>SP1</v>
      </c>
      <c r="M1227" s="14" t="str">
        <f>IFERROR(_xlfn.XLOOKUP(B1227,repete!A:A,repete!A:A),"-")</f>
        <v>-</v>
      </c>
    </row>
    <row r="1228" spans="1:13" hidden="1">
      <c r="A1228" s="1">
        <v>46113</v>
      </c>
      <c r="B1228" t="s">
        <v>744</v>
      </c>
      <c r="C1228" t="s">
        <v>745</v>
      </c>
      <c r="D1228" t="s">
        <v>224</v>
      </c>
      <c r="E1228" t="s">
        <v>59</v>
      </c>
      <c r="F1228">
        <v>124</v>
      </c>
      <c r="G1228">
        <v>1</v>
      </c>
      <c r="H1228">
        <v>4.23011844331641E-4</v>
      </c>
      <c r="I1228">
        <v>8.0645161290322596E-3</v>
      </c>
      <c r="J1228" s="14" t="str">
        <f>_xlfn.XLOOKUP(B1228,CAD_PDV!A:A,CAD_PDV!B:B)</f>
        <v>CELNET COMERCIO E SERVICOS DE TELEFONIA LTDA ME</v>
      </c>
      <c r="K1228" s="14">
        <f>IF(IFERROR(_xlfn.XLOOKUP(B1228,Planilha2!D:D,Planilha2!H:H),0)="SIM",1,0)</f>
        <v>0</v>
      </c>
      <c r="L1228" s="14" t="str">
        <f>_xlfn.XLOOKUP(B1228,CAD_PDV!A:A,CAD_PDV!C:C)</f>
        <v>CO</v>
      </c>
      <c r="M1228" s="14" t="str">
        <f>IFERROR(_xlfn.XLOOKUP(B1228,repete!A:A,repete!A:A),"-")</f>
        <v>-</v>
      </c>
    </row>
    <row r="1229" spans="1:13" hidden="1">
      <c r="A1229" s="1">
        <v>46113</v>
      </c>
      <c r="B1229" t="s">
        <v>1516</v>
      </c>
      <c r="C1229" t="s">
        <v>1517</v>
      </c>
      <c r="D1229" t="s">
        <v>232</v>
      </c>
      <c r="E1229" t="s">
        <v>54</v>
      </c>
      <c r="F1229">
        <v>7</v>
      </c>
      <c r="G1229">
        <v>1</v>
      </c>
      <c r="H1229">
        <v>4.23011844331641E-4</v>
      </c>
      <c r="I1229">
        <v>0.14285714285714299</v>
      </c>
      <c r="J1229" s="14" t="str">
        <f>_xlfn.XLOOKUP(B1229,CAD_PDV!A:A,CAD_PDV!B:B)</f>
        <v>HS TELECOM</v>
      </c>
      <c r="K1229" s="14">
        <f>IF(IFERROR(_xlfn.XLOOKUP(B1229,Planilha2!D:D,Planilha2!H:H),0)="SIM",1,0)</f>
        <v>0</v>
      </c>
      <c r="L1229" s="14" t="str">
        <f>_xlfn.XLOOKUP(B1229,CAD_PDV!A:A,CAD_PDV!C:C)</f>
        <v>SP2</v>
      </c>
      <c r="M1229" s="14" t="str">
        <f>IFERROR(_xlfn.XLOOKUP(B1229,repete!A:A,repete!A:A),"-")</f>
        <v>-</v>
      </c>
    </row>
    <row r="1230" spans="1:13" hidden="1">
      <c r="A1230" s="1">
        <v>46113</v>
      </c>
      <c r="B1230" t="s">
        <v>2075</v>
      </c>
      <c r="C1230" t="s">
        <v>2076</v>
      </c>
      <c r="D1230" t="s">
        <v>2077</v>
      </c>
      <c r="E1230" t="s">
        <v>2074</v>
      </c>
      <c r="F1230">
        <v>23</v>
      </c>
      <c r="G1230">
        <v>1</v>
      </c>
      <c r="H1230">
        <v>4.23011844331641E-4</v>
      </c>
      <c r="I1230">
        <v>4.3478260869565202E-2</v>
      </c>
      <c r="J1230" s="14" t="e">
        <f>_xlfn.XLOOKUP(B1230,CAD_PDV!A:A,CAD_PDV!B:B)</f>
        <v>#N/A</v>
      </c>
      <c r="K1230" s="14">
        <f>IF(IFERROR(_xlfn.XLOOKUP(B1230,Planilha2!D:D,Planilha2!H:H),0)="SIM",1,0)</f>
        <v>1</v>
      </c>
      <c r="L1230" s="14" t="e">
        <f>_xlfn.XLOOKUP(B1230,CAD_PDV!A:A,CAD_PDV!C:C)</f>
        <v>#N/A</v>
      </c>
      <c r="M1230" s="14" t="str">
        <f>IFERROR(_xlfn.XLOOKUP(B1230,repete!A:A,repete!A:A),"-")</f>
        <v>-</v>
      </c>
    </row>
    <row r="1231" spans="1:13" hidden="1">
      <c r="A1231" s="1">
        <v>46113</v>
      </c>
      <c r="B1231" t="s">
        <v>755</v>
      </c>
      <c r="C1231" t="s">
        <v>616</v>
      </c>
      <c r="D1231" t="s">
        <v>239</v>
      </c>
      <c r="E1231" t="s">
        <v>59</v>
      </c>
      <c r="F1231">
        <v>62</v>
      </c>
      <c r="G1231">
        <v>1</v>
      </c>
      <c r="H1231">
        <v>4.23011844331641E-4</v>
      </c>
      <c r="I1231">
        <v>1.6129032258064498E-2</v>
      </c>
      <c r="J1231" s="14" t="str">
        <f>_xlfn.XLOOKUP(B1231,CAD_PDV!A:A,CAD_PDV!B:B)</f>
        <v>TELECELL TELEFONIA LTDA - ME</v>
      </c>
      <c r="K1231" s="14">
        <f>IF(IFERROR(_xlfn.XLOOKUP(B1231,Planilha2!D:D,Planilha2!H:H),0)="SIM",1,0)</f>
        <v>0</v>
      </c>
      <c r="L1231" s="14" t="str">
        <f>_xlfn.XLOOKUP(B1231,CAD_PDV!A:A,CAD_PDV!C:C)</f>
        <v>CO</v>
      </c>
      <c r="M1231" s="14" t="str">
        <f>IFERROR(_xlfn.XLOOKUP(B1231,repete!A:A,repete!A:A),"-")</f>
        <v>-</v>
      </c>
    </row>
    <row r="1232" spans="1:13" hidden="1">
      <c r="A1232" s="1">
        <v>46113</v>
      </c>
      <c r="B1232" t="s">
        <v>1529</v>
      </c>
      <c r="C1232" t="s">
        <v>1530</v>
      </c>
      <c r="D1232" t="s">
        <v>120</v>
      </c>
      <c r="E1232" t="s">
        <v>54</v>
      </c>
      <c r="F1232">
        <v>30</v>
      </c>
      <c r="G1232">
        <v>1</v>
      </c>
      <c r="H1232">
        <v>4.23011844331641E-4</v>
      </c>
      <c r="I1232">
        <v>3.3333333333333298E-2</v>
      </c>
      <c r="J1232" s="14" t="str">
        <f>_xlfn.XLOOKUP(B1232,CAD_PDV!A:A,CAD_PDV!B:B)</f>
        <v>DOUGLAS LUIZ ELETRONICOS - ME</v>
      </c>
      <c r="K1232" s="14">
        <f>IF(IFERROR(_xlfn.XLOOKUP(B1232,Planilha2!D:D,Planilha2!H:H),0)="SIM",1,0)</f>
        <v>0</v>
      </c>
      <c r="L1232" s="14" t="str">
        <f>_xlfn.XLOOKUP(B1232,CAD_PDV!A:A,CAD_PDV!C:C)</f>
        <v>SP2</v>
      </c>
      <c r="M1232" s="14" t="str">
        <f>IFERROR(_xlfn.XLOOKUP(B1232,repete!A:A,repete!A:A),"-")</f>
        <v>-</v>
      </c>
    </row>
    <row r="1233" spans="1:13" hidden="1">
      <c r="A1233" s="1">
        <v>46113</v>
      </c>
      <c r="B1233" t="s">
        <v>854</v>
      </c>
      <c r="C1233" t="s">
        <v>855</v>
      </c>
      <c r="D1233" t="s">
        <v>2073</v>
      </c>
      <c r="E1233" t="s">
        <v>59</v>
      </c>
      <c r="F1233">
        <v>10</v>
      </c>
      <c r="G1233">
        <v>1</v>
      </c>
      <c r="H1233">
        <v>4.23011844331641E-4</v>
      </c>
      <c r="I1233">
        <v>0.1</v>
      </c>
      <c r="J1233" s="14" t="str">
        <f>_xlfn.XLOOKUP(B1233,CAD_PDV!A:A,CAD_PDV!B:B)</f>
        <v xml:space="preserve">CONTACOM COMERCIO DE APARELHOS ELETRONICOS LTDA </v>
      </c>
      <c r="K1233" s="14">
        <f>IF(IFERROR(_xlfn.XLOOKUP(B1233,Planilha2!D:D,Planilha2!H:H),0)="SIM",1,0)</f>
        <v>0</v>
      </c>
      <c r="L1233" s="14" t="str">
        <f>_xlfn.XLOOKUP(B1233,CAD_PDV!A:A,CAD_PDV!C:C)</f>
        <v>CO</v>
      </c>
      <c r="M1233" s="14" t="str">
        <f>IFERROR(_xlfn.XLOOKUP(B1233,repete!A:A,repete!A:A),"-")</f>
        <v>-</v>
      </c>
    </row>
    <row r="1234" spans="1:13" hidden="1">
      <c r="A1234" s="1">
        <v>46113</v>
      </c>
      <c r="B1234" t="s">
        <v>2050</v>
      </c>
      <c r="C1234" t="s">
        <v>2051</v>
      </c>
      <c r="D1234" t="s">
        <v>193</v>
      </c>
      <c r="E1234" t="s">
        <v>2074</v>
      </c>
      <c r="F1234">
        <v>22</v>
      </c>
      <c r="G1234">
        <v>1</v>
      </c>
      <c r="H1234">
        <v>4.23011844331641E-4</v>
      </c>
      <c r="I1234">
        <v>4.5454545454545497E-2</v>
      </c>
      <c r="J1234" s="14" t="str">
        <f>_xlfn.XLOOKUP(B1234,CAD_PDV!A:A,CAD_PDV!B:B)</f>
        <v>S D COMERCIO DE CELULARES LTDA - ME</v>
      </c>
      <c r="K1234" s="14">
        <f>IF(IFERROR(_xlfn.XLOOKUP(B1234,Planilha2!D:D,Planilha2!H:H),0)="SIM",1,0)</f>
        <v>0</v>
      </c>
      <c r="L1234" s="14" t="str">
        <f>_xlfn.XLOOKUP(B1234,CAD_PDV!A:A,CAD_PDV!C:C)</f>
        <v>RS</v>
      </c>
      <c r="M1234" s="14" t="str">
        <f>IFERROR(_xlfn.XLOOKUP(B1234,repete!A:A,repete!A:A),"-")</f>
        <v>-</v>
      </c>
    </row>
    <row r="1235" spans="1:13" hidden="1">
      <c r="A1235" s="1">
        <v>46113</v>
      </c>
      <c r="B1235" t="s">
        <v>999</v>
      </c>
      <c r="C1235" t="s">
        <v>1002</v>
      </c>
      <c r="D1235" t="s">
        <v>232</v>
      </c>
      <c r="E1235" t="s">
        <v>60</v>
      </c>
      <c r="F1235">
        <v>30</v>
      </c>
      <c r="G1235">
        <v>1</v>
      </c>
      <c r="H1235">
        <v>4.23011844331641E-4</v>
      </c>
      <c r="I1235">
        <v>3.3333333333333298E-2</v>
      </c>
      <c r="J1235" s="14" t="str">
        <f>_xlfn.XLOOKUP(B1235,CAD_PDV!A:A,CAD_PDV!B:B)</f>
        <v>HS TELECOM</v>
      </c>
      <c r="K1235" s="14">
        <f>IF(IFERROR(_xlfn.XLOOKUP(B1235,Planilha2!D:D,Planilha2!H:H),0)="SIM",1,0)</f>
        <v>0</v>
      </c>
      <c r="L1235" s="14" t="str">
        <f>_xlfn.XLOOKUP(B1235,CAD_PDV!A:A,CAD_PDV!C:C)</f>
        <v>BA/SE</v>
      </c>
      <c r="M1235" s="14" t="str">
        <f>IFERROR(_xlfn.XLOOKUP(B1235,repete!A:A,repete!A:A),"-")</f>
        <v>-</v>
      </c>
    </row>
    <row r="1236" spans="1:13" hidden="1">
      <c r="A1236" s="1">
        <v>46113</v>
      </c>
      <c r="B1236" t="s">
        <v>1376</v>
      </c>
      <c r="C1236" t="s">
        <v>1346</v>
      </c>
      <c r="D1236" t="s">
        <v>229</v>
      </c>
      <c r="E1236" t="s">
        <v>53</v>
      </c>
      <c r="F1236">
        <v>63</v>
      </c>
      <c r="G1236">
        <v>1</v>
      </c>
      <c r="H1236">
        <v>4.23011844331641E-4</v>
      </c>
      <c r="I1236">
        <v>1.58730158730159E-2</v>
      </c>
      <c r="J1236" s="14" t="str">
        <f>_xlfn.XLOOKUP(B1236,CAD_PDV!A:A,CAD_PDV!B:B)</f>
        <v>FW TELEFONIA LTDA - EPP</v>
      </c>
      <c r="K1236" s="14">
        <f>IF(IFERROR(_xlfn.XLOOKUP(B1236,Planilha2!D:D,Planilha2!H:H),0)="SIM",1,0)</f>
        <v>0</v>
      </c>
      <c r="L1236" s="14" t="str">
        <f>_xlfn.XLOOKUP(B1236,CAD_PDV!A:A,CAD_PDV!C:C)</f>
        <v>SP1</v>
      </c>
      <c r="M1236" s="14" t="str">
        <f>IFERROR(_xlfn.XLOOKUP(B1236,repete!A:A,repete!A:A),"-")</f>
        <v>-</v>
      </c>
    </row>
    <row r="1237" spans="1:13" hidden="1">
      <c r="A1237" s="1">
        <v>46113</v>
      </c>
      <c r="B1237" t="s">
        <v>1333</v>
      </c>
      <c r="C1237" t="s">
        <v>1313</v>
      </c>
      <c r="D1237" t="s">
        <v>225</v>
      </c>
      <c r="E1237" t="s">
        <v>53</v>
      </c>
      <c r="F1237">
        <v>83</v>
      </c>
      <c r="G1237">
        <v>1</v>
      </c>
      <c r="H1237">
        <v>4.23011844331641E-4</v>
      </c>
      <c r="I1237">
        <v>1.20481927710843E-2</v>
      </c>
      <c r="J1237" s="14" t="str">
        <f>_xlfn.XLOOKUP(B1237,CAD_PDV!A:A,CAD_PDV!B:B)</f>
        <v>CLARICELL SP1</v>
      </c>
      <c r="K1237" s="14">
        <f>IF(IFERROR(_xlfn.XLOOKUP(B1237,Planilha2!D:D,Planilha2!H:H),0)="SIM",1,0)</f>
        <v>0</v>
      </c>
      <c r="L1237" s="14" t="str">
        <f>_xlfn.XLOOKUP(B1237,CAD_PDV!A:A,CAD_PDV!C:C)</f>
        <v>SP1</v>
      </c>
      <c r="M1237" s="14" t="str">
        <f>IFERROR(_xlfn.XLOOKUP(B1237,repete!A:A,repete!A:A),"-")</f>
        <v>-</v>
      </c>
    </row>
    <row r="1238" spans="1:13" hidden="1">
      <c r="A1238" s="1">
        <v>46113</v>
      </c>
      <c r="B1238" t="s">
        <v>336</v>
      </c>
      <c r="C1238" t="s">
        <v>337</v>
      </c>
      <c r="D1238" t="s">
        <v>226</v>
      </c>
      <c r="E1238" t="s">
        <v>61</v>
      </c>
      <c r="F1238">
        <v>73</v>
      </c>
      <c r="G1238">
        <v>1</v>
      </c>
      <c r="H1238">
        <v>4.23011844331641E-4</v>
      </c>
      <c r="I1238">
        <v>1.3698630136986301E-2</v>
      </c>
      <c r="J1238" s="14" t="str">
        <f>_xlfn.XLOOKUP(B1238,CAD_PDV!A:A,CAD_PDV!B:B)</f>
        <v>DELTA CELL TELECOMUNICACOES LTDA</v>
      </c>
      <c r="K1238" s="14">
        <f>IF(IFERROR(_xlfn.XLOOKUP(B1238,Planilha2!D:D,Planilha2!H:H),0)="SIM",1,0)</f>
        <v>0</v>
      </c>
      <c r="L1238" s="14" t="str">
        <f>_xlfn.XLOOKUP(B1238,CAD_PDV!A:A,CAD_PDV!C:C)</f>
        <v>NE</v>
      </c>
      <c r="M1238" s="14" t="str">
        <f>IFERROR(_xlfn.XLOOKUP(B1238,repete!A:A,repete!A:A),"-")</f>
        <v>-</v>
      </c>
    </row>
    <row r="1239" spans="1:13" hidden="1">
      <c r="A1239" s="1">
        <v>46113</v>
      </c>
      <c r="B1239" t="s">
        <v>672</v>
      </c>
      <c r="C1239" t="s">
        <v>673</v>
      </c>
      <c r="D1239" t="s">
        <v>239</v>
      </c>
      <c r="E1239" t="s">
        <v>59</v>
      </c>
      <c r="F1239">
        <v>41</v>
      </c>
      <c r="G1239">
        <v>1</v>
      </c>
      <c r="H1239">
        <v>4.23011844331641E-4</v>
      </c>
      <c r="I1239">
        <v>2.4390243902439001E-2</v>
      </c>
      <c r="J1239" s="14" t="str">
        <f>_xlfn.XLOOKUP(B1239,CAD_PDV!A:A,CAD_PDV!B:B)</f>
        <v>TELECELL TELEFONIA LTDA - ME</v>
      </c>
      <c r="K1239" s="14">
        <f>IF(IFERROR(_xlfn.XLOOKUP(B1239,Planilha2!D:D,Planilha2!H:H),0)="SIM",1,0)</f>
        <v>0</v>
      </c>
      <c r="L1239" s="14" t="str">
        <f>_xlfn.XLOOKUP(B1239,CAD_PDV!A:A,CAD_PDV!C:C)</f>
        <v>CO</v>
      </c>
      <c r="M1239" s="14" t="str">
        <f>IFERROR(_xlfn.XLOOKUP(B1239,repete!A:A,repete!A:A),"-")</f>
        <v>-</v>
      </c>
    </row>
    <row r="1240" spans="1:13" hidden="1">
      <c r="A1240" s="1">
        <v>46113</v>
      </c>
      <c r="B1240" t="s">
        <v>635</v>
      </c>
      <c r="C1240" t="s">
        <v>637</v>
      </c>
      <c r="D1240" t="s">
        <v>221</v>
      </c>
      <c r="E1240" t="s">
        <v>59</v>
      </c>
      <c r="F1240">
        <v>50</v>
      </c>
      <c r="G1240">
        <v>1</v>
      </c>
      <c r="H1240">
        <v>4.23011844331641E-4</v>
      </c>
      <c r="I1240">
        <v>0.02</v>
      </c>
      <c r="J1240" s="14" t="str">
        <f>_xlfn.XLOOKUP(B1240,CAD_PDV!A:A,CAD_PDV!B:B)</f>
        <v>AMERICOM COMERCIO DE APARELHOS ELETRONICOS LTDA - EPP</v>
      </c>
      <c r="K1240" s="14">
        <f>IF(IFERROR(_xlfn.XLOOKUP(B1240,Planilha2!D:D,Planilha2!H:H),0)="SIM",1,0)</f>
        <v>0</v>
      </c>
      <c r="L1240" s="14" t="str">
        <f>_xlfn.XLOOKUP(B1240,CAD_PDV!A:A,CAD_PDV!C:C)</f>
        <v>CO</v>
      </c>
      <c r="M1240" s="14" t="str">
        <f>IFERROR(_xlfn.XLOOKUP(B1240,repete!A:A,repete!A:A),"-")</f>
        <v>-</v>
      </c>
    </row>
    <row r="1241" spans="1:13" hidden="1">
      <c r="A1241" s="1">
        <v>46113</v>
      </c>
      <c r="B1241" t="s">
        <v>883</v>
      </c>
      <c r="C1241" t="s">
        <v>873</v>
      </c>
      <c r="D1241" t="s">
        <v>224</v>
      </c>
      <c r="E1241" t="s">
        <v>59</v>
      </c>
      <c r="F1241">
        <v>78</v>
      </c>
      <c r="G1241">
        <v>1</v>
      </c>
      <c r="H1241">
        <v>4.23011844331641E-4</v>
      </c>
      <c r="I1241">
        <v>1.2820512820512799E-2</v>
      </c>
      <c r="J1241" s="14" t="str">
        <f>_xlfn.XLOOKUP(B1241,CAD_PDV!A:A,CAD_PDV!B:B)</f>
        <v>CELNET COMERCIO E SERVICOS DE TELEFONIA LTDA ME</v>
      </c>
      <c r="K1241" s="14">
        <f>IF(IFERROR(_xlfn.XLOOKUP(B1241,Planilha2!D:D,Planilha2!H:H),0)="SIM",1,0)</f>
        <v>0</v>
      </c>
      <c r="L1241" s="14" t="str">
        <f>_xlfn.XLOOKUP(B1241,CAD_PDV!A:A,CAD_PDV!C:C)</f>
        <v>CO</v>
      </c>
      <c r="M1241" s="14" t="str">
        <f>IFERROR(_xlfn.XLOOKUP(B1241,repete!A:A,repete!A:A),"-")</f>
        <v>-</v>
      </c>
    </row>
    <row r="1242" spans="1:13" hidden="1">
      <c r="A1242" s="1">
        <v>46113</v>
      </c>
      <c r="B1242" t="s">
        <v>2036</v>
      </c>
      <c r="C1242" t="s">
        <v>2037</v>
      </c>
      <c r="D1242" t="s">
        <v>193</v>
      </c>
      <c r="E1242" t="s">
        <v>2074</v>
      </c>
      <c r="F1242">
        <v>34</v>
      </c>
      <c r="G1242">
        <v>1</v>
      </c>
      <c r="H1242">
        <v>4.23011844331641E-4</v>
      </c>
      <c r="I1242">
        <v>2.9411764705882401E-2</v>
      </c>
      <c r="J1242" s="14" t="str">
        <f>_xlfn.XLOOKUP(B1242,CAD_PDV!A:A,CAD_PDV!B:B)</f>
        <v>S D COMERCIO DE CELULARES LTDA - ME</v>
      </c>
      <c r="K1242" s="14">
        <f>IF(IFERROR(_xlfn.XLOOKUP(B1242,Planilha2!D:D,Planilha2!H:H),0)="SIM",1,0)</f>
        <v>0</v>
      </c>
      <c r="L1242" s="14" t="str">
        <f>_xlfn.XLOOKUP(B1242,CAD_PDV!A:A,CAD_PDV!C:C)</f>
        <v>RS</v>
      </c>
      <c r="M1242" s="14" t="str">
        <f>IFERROR(_xlfn.XLOOKUP(B1242,repete!A:A,repete!A:A),"-")</f>
        <v>-</v>
      </c>
    </row>
    <row r="1243" spans="1:13" hidden="1">
      <c r="A1243" s="1">
        <v>46113</v>
      </c>
      <c r="B1243" t="s">
        <v>1361</v>
      </c>
      <c r="C1243" t="s">
        <v>1350</v>
      </c>
      <c r="D1243" t="s">
        <v>132</v>
      </c>
      <c r="E1243" t="s">
        <v>53</v>
      </c>
      <c r="F1243">
        <v>27</v>
      </c>
      <c r="G1243">
        <v>1</v>
      </c>
      <c r="H1243">
        <v>4.23011844331641E-4</v>
      </c>
      <c r="I1243">
        <v>3.7037037037037E-2</v>
      </c>
      <c r="J1243" s="14" t="str">
        <f>_xlfn.XLOOKUP(B1243,CAD_PDV!A:A,CAD_PDV!B:B)</f>
        <v>FLEX CELL</v>
      </c>
      <c r="K1243" s="14">
        <f>IF(IFERROR(_xlfn.XLOOKUP(B1243,Planilha2!D:D,Planilha2!H:H),0)="SIM",1,0)</f>
        <v>0</v>
      </c>
      <c r="L1243" s="14" t="str">
        <f>_xlfn.XLOOKUP(B1243,CAD_PDV!A:A,CAD_PDV!C:C)</f>
        <v>SP1</v>
      </c>
      <c r="M1243" s="14" t="str">
        <f>IFERROR(_xlfn.XLOOKUP(B1243,repete!A:A,repete!A:A),"-")</f>
        <v>-</v>
      </c>
    </row>
    <row r="1244" spans="1:13" hidden="1">
      <c r="A1244" s="1">
        <v>46113</v>
      </c>
      <c r="B1244" t="s">
        <v>796</v>
      </c>
      <c r="C1244" t="s">
        <v>649</v>
      </c>
      <c r="D1244" t="s">
        <v>239</v>
      </c>
      <c r="E1244" t="s">
        <v>59</v>
      </c>
      <c r="F1244">
        <v>79</v>
      </c>
      <c r="G1244">
        <v>1</v>
      </c>
      <c r="H1244">
        <v>4.23011844331641E-4</v>
      </c>
      <c r="I1244">
        <v>1.26582278481013E-2</v>
      </c>
      <c r="J1244" s="14" t="str">
        <f>_xlfn.XLOOKUP(B1244,CAD_PDV!A:A,CAD_PDV!B:B)</f>
        <v>TELECELL TELEFONIA LTDA - ME</v>
      </c>
      <c r="K1244" s="14">
        <f>IF(IFERROR(_xlfn.XLOOKUP(B1244,Planilha2!D:D,Planilha2!H:H),0)="SIM",1,0)</f>
        <v>0</v>
      </c>
      <c r="L1244" s="14" t="str">
        <f>_xlfn.XLOOKUP(B1244,CAD_PDV!A:A,CAD_PDV!C:C)</f>
        <v>CO</v>
      </c>
      <c r="M1244" s="14" t="str">
        <f>IFERROR(_xlfn.XLOOKUP(B1244,repete!A:A,repete!A:A),"-")</f>
        <v>-</v>
      </c>
    </row>
    <row r="1245" spans="1:13" hidden="1">
      <c r="A1245" s="1">
        <v>46113</v>
      </c>
      <c r="B1245" t="s">
        <v>656</v>
      </c>
      <c r="C1245" t="s">
        <v>649</v>
      </c>
      <c r="D1245" t="s">
        <v>239</v>
      </c>
      <c r="E1245" t="s">
        <v>59</v>
      </c>
      <c r="F1245">
        <v>48</v>
      </c>
      <c r="G1245">
        <v>1</v>
      </c>
      <c r="H1245">
        <v>4.23011844331641E-4</v>
      </c>
      <c r="I1245">
        <v>2.0833333333333301E-2</v>
      </c>
      <c r="J1245" s="14" t="str">
        <f>_xlfn.XLOOKUP(B1245,CAD_PDV!A:A,CAD_PDV!B:B)</f>
        <v>TELECELL TELEFONIA LTDA - ME</v>
      </c>
      <c r="K1245" s="14">
        <f>IF(IFERROR(_xlfn.XLOOKUP(B1245,Planilha2!D:D,Planilha2!H:H),0)="SIM",1,0)</f>
        <v>0</v>
      </c>
      <c r="L1245" s="14" t="str">
        <f>_xlfn.XLOOKUP(B1245,CAD_PDV!A:A,CAD_PDV!C:C)</f>
        <v>CO</v>
      </c>
      <c r="M1245" s="14" t="str">
        <f>IFERROR(_xlfn.XLOOKUP(B1245,repete!A:A,repete!A:A),"-")</f>
        <v>-</v>
      </c>
    </row>
    <row r="1246" spans="1:13" hidden="1">
      <c r="A1246" s="1">
        <v>46113</v>
      </c>
      <c r="B1246" t="s">
        <v>1572</v>
      </c>
      <c r="C1246" t="s">
        <v>1535</v>
      </c>
      <c r="D1246" t="s">
        <v>106</v>
      </c>
      <c r="E1246" t="s">
        <v>54</v>
      </c>
      <c r="F1246">
        <v>49</v>
      </c>
      <c r="G1246">
        <v>1</v>
      </c>
      <c r="H1246">
        <v>4.23011844331641E-4</v>
      </c>
      <c r="I1246">
        <v>2.04081632653061E-2</v>
      </c>
      <c r="J1246" s="14" t="str">
        <f>_xlfn.XLOOKUP(B1246,CAD_PDV!A:A,CAD_PDV!B:B)</f>
        <v>CELLULAR.COM</v>
      </c>
      <c r="K1246" s="14">
        <f>IF(IFERROR(_xlfn.XLOOKUP(B1246,Planilha2!D:D,Planilha2!H:H),0)="SIM",1,0)</f>
        <v>0</v>
      </c>
      <c r="L1246" s="14" t="str">
        <f>_xlfn.XLOOKUP(B1246,CAD_PDV!A:A,CAD_PDV!C:C)</f>
        <v>SP2</v>
      </c>
      <c r="M1246" s="14" t="str">
        <f>IFERROR(_xlfn.XLOOKUP(B1246,repete!A:A,repete!A:A),"-")</f>
        <v>-</v>
      </c>
    </row>
    <row r="1247" spans="1:13" hidden="1">
      <c r="A1247" s="1">
        <v>46113</v>
      </c>
      <c r="B1247" t="s">
        <v>2021</v>
      </c>
      <c r="C1247" t="s">
        <v>2024</v>
      </c>
      <c r="D1247" t="s">
        <v>193</v>
      </c>
      <c r="E1247" t="s">
        <v>2074</v>
      </c>
      <c r="F1247">
        <v>38</v>
      </c>
      <c r="G1247">
        <v>1</v>
      </c>
      <c r="H1247">
        <v>4.23011844331641E-4</v>
      </c>
      <c r="I1247">
        <v>2.6315789473684199E-2</v>
      </c>
      <c r="J1247" s="14" t="str">
        <f>_xlfn.XLOOKUP(B1247,CAD_PDV!A:A,CAD_PDV!B:B)</f>
        <v>S D COMERCIO DE CELULARES LTDA - ME</v>
      </c>
      <c r="K1247" s="14">
        <f>IF(IFERROR(_xlfn.XLOOKUP(B1247,Planilha2!D:D,Planilha2!H:H),0)="SIM",1,0)</f>
        <v>0</v>
      </c>
      <c r="L1247" s="14" t="str">
        <f>_xlfn.XLOOKUP(B1247,CAD_PDV!A:A,CAD_PDV!C:C)</f>
        <v>RS</v>
      </c>
      <c r="M1247" s="14" t="str">
        <f>IFERROR(_xlfn.XLOOKUP(B1247,repete!A:A,repete!A:A),"-")</f>
        <v>-</v>
      </c>
    </row>
    <row r="1248" spans="1:13" hidden="1">
      <c r="A1248" s="1">
        <v>46113</v>
      </c>
      <c r="B1248" t="s">
        <v>1234</v>
      </c>
      <c r="C1248" t="s">
        <v>1142</v>
      </c>
      <c r="D1248" t="s">
        <v>237</v>
      </c>
      <c r="E1248" t="s">
        <v>55</v>
      </c>
      <c r="F1248">
        <v>138</v>
      </c>
      <c r="G1248">
        <v>1</v>
      </c>
      <c r="H1248">
        <v>4.23011844331641E-4</v>
      </c>
      <c r="I1248">
        <v>7.2463768115942004E-3</v>
      </c>
      <c r="J1248" s="14" t="str">
        <f>_xlfn.XLOOKUP(B1248,CAD_PDV!A:A,CAD_PDV!B:B)</f>
        <v>PONTO CERTO COMERCIO E COMUNICAÇÕES LTDA</v>
      </c>
      <c r="K1248" s="14">
        <f>IF(IFERROR(_xlfn.XLOOKUP(B1248,Planilha2!D:D,Planilha2!H:H),0)="SIM",1,0)</f>
        <v>0</v>
      </c>
      <c r="L1248" s="14" t="str">
        <f>_xlfn.XLOOKUP(B1248,CAD_PDV!A:A,CAD_PDV!C:C)</f>
        <v>RJ/ES</v>
      </c>
      <c r="M1248" s="14" t="str">
        <f>IFERROR(_xlfn.XLOOKUP(B1248,repete!A:A,repete!A:A),"-")</f>
        <v>-</v>
      </c>
    </row>
    <row r="1249" spans="1:13" hidden="1">
      <c r="A1249" s="1">
        <v>46113</v>
      </c>
      <c r="B1249" t="s">
        <v>1239</v>
      </c>
      <c r="C1249" t="s">
        <v>1142</v>
      </c>
      <c r="D1249" t="s">
        <v>237</v>
      </c>
      <c r="E1249" t="s">
        <v>55</v>
      </c>
      <c r="F1249">
        <v>79</v>
      </c>
      <c r="G1249">
        <v>1</v>
      </c>
      <c r="H1249">
        <v>4.23011844331641E-4</v>
      </c>
      <c r="I1249">
        <v>1.26582278481013E-2</v>
      </c>
      <c r="J1249" s="14" t="str">
        <f>_xlfn.XLOOKUP(B1249,CAD_PDV!A:A,CAD_PDV!B:B)</f>
        <v>PONTO CERTO COMERCIO E COMUNICAÇÕES LTDA</v>
      </c>
      <c r="K1249" s="14">
        <f>IF(IFERROR(_xlfn.XLOOKUP(B1249,Planilha2!D:D,Planilha2!H:H),0)="SIM",1,0)</f>
        <v>0</v>
      </c>
      <c r="L1249" s="14" t="str">
        <f>_xlfn.XLOOKUP(B1249,CAD_PDV!A:A,CAD_PDV!C:C)</f>
        <v>RJ/ES</v>
      </c>
      <c r="M1249" s="14" t="str">
        <f>IFERROR(_xlfn.XLOOKUP(B1249,repete!A:A,repete!A:A),"-")</f>
        <v>-</v>
      </c>
    </row>
    <row r="1250" spans="1:13" hidden="1">
      <c r="A1250" s="1">
        <v>46113</v>
      </c>
      <c r="B1250" t="s">
        <v>1871</v>
      </c>
      <c r="C1250" t="s">
        <v>1872</v>
      </c>
      <c r="D1250" t="s">
        <v>124</v>
      </c>
      <c r="E1250" t="s">
        <v>2074</v>
      </c>
      <c r="F1250">
        <v>28</v>
      </c>
      <c r="G1250">
        <v>1</v>
      </c>
      <c r="H1250">
        <v>4.23011844331641E-4</v>
      </c>
      <c r="I1250">
        <v>3.5714285714285698E-2</v>
      </c>
      <c r="J1250" s="14" t="str">
        <f>_xlfn.XLOOKUP(B1250,CAD_PDV!A:A,CAD_PDV!B:B)</f>
        <v>EDUARDO JUNQUEIRA DA SILVEIRA ADMIN</v>
      </c>
      <c r="K1250" s="14">
        <f>IF(IFERROR(_xlfn.XLOOKUP(B1250,Planilha2!D:D,Planilha2!H:H),0)="SIM",1,0)</f>
        <v>0</v>
      </c>
      <c r="L1250" s="14" t="str">
        <f>_xlfn.XLOOKUP(B1250,CAD_PDV!A:A,CAD_PDV!C:C)</f>
        <v>RS</v>
      </c>
      <c r="M1250" s="14" t="str">
        <f>IFERROR(_xlfn.XLOOKUP(B1250,repete!A:A,repete!A:A),"-")</f>
        <v>-</v>
      </c>
    </row>
    <row r="1251" spans="1:13" hidden="1">
      <c r="A1251" s="1">
        <v>46113</v>
      </c>
      <c r="B1251" t="s">
        <v>1588</v>
      </c>
      <c r="C1251" t="s">
        <v>1589</v>
      </c>
      <c r="D1251" t="s">
        <v>106</v>
      </c>
      <c r="E1251" t="s">
        <v>54</v>
      </c>
      <c r="F1251">
        <v>35</v>
      </c>
      <c r="G1251">
        <v>1</v>
      </c>
      <c r="H1251">
        <v>4.23011844331641E-4</v>
      </c>
      <c r="I1251">
        <v>2.8571428571428598E-2</v>
      </c>
      <c r="J1251" s="14" t="str">
        <f>_xlfn.XLOOKUP(B1251,CAD_PDV!A:A,CAD_PDV!B:B)</f>
        <v>CELLULAR.COM</v>
      </c>
      <c r="K1251" s="14">
        <f>IF(IFERROR(_xlfn.XLOOKUP(B1251,Planilha2!D:D,Planilha2!H:H),0)="SIM",1,0)</f>
        <v>0</v>
      </c>
      <c r="L1251" s="14" t="str">
        <f>_xlfn.XLOOKUP(B1251,CAD_PDV!A:A,CAD_PDV!C:C)</f>
        <v>SP2</v>
      </c>
      <c r="M1251" s="14" t="str">
        <f>IFERROR(_xlfn.XLOOKUP(B1251,repete!A:A,repete!A:A),"-")</f>
        <v>H83T</v>
      </c>
    </row>
    <row r="1252" spans="1:13" hidden="1">
      <c r="A1252" s="1">
        <v>46113</v>
      </c>
      <c r="B1252" t="s">
        <v>1930</v>
      </c>
      <c r="C1252" t="s">
        <v>1931</v>
      </c>
      <c r="D1252" t="s">
        <v>106</v>
      </c>
      <c r="E1252" t="s">
        <v>2074</v>
      </c>
      <c r="F1252">
        <v>20</v>
      </c>
      <c r="G1252">
        <v>1</v>
      </c>
      <c r="H1252">
        <v>4.23011844331641E-4</v>
      </c>
      <c r="I1252">
        <v>0.05</v>
      </c>
      <c r="J1252" s="14" t="str">
        <f>_xlfn.XLOOKUP(B1252,CAD_PDV!A:A,CAD_PDV!B:B)</f>
        <v>CELLULAR.COM</v>
      </c>
      <c r="K1252" s="14">
        <f>IF(IFERROR(_xlfn.XLOOKUP(B1252,Planilha2!D:D,Planilha2!H:H),0)="SIM",1,0)</f>
        <v>0</v>
      </c>
      <c r="L1252" s="14" t="str">
        <f>_xlfn.XLOOKUP(B1252,CAD_PDV!A:A,CAD_PDV!C:C)</f>
        <v>PR/SC</v>
      </c>
      <c r="M1252" s="14" t="str">
        <f>IFERROR(_xlfn.XLOOKUP(B1252,repete!A:A,repete!A:A),"-")</f>
        <v>-</v>
      </c>
    </row>
    <row r="1253" spans="1:13" hidden="1">
      <c r="A1253" s="1">
        <v>46113</v>
      </c>
      <c r="B1253" t="s">
        <v>887</v>
      </c>
      <c r="C1253" t="s">
        <v>873</v>
      </c>
      <c r="D1253" t="s">
        <v>224</v>
      </c>
      <c r="E1253" t="s">
        <v>59</v>
      </c>
      <c r="F1253">
        <v>42</v>
      </c>
      <c r="G1253">
        <v>1</v>
      </c>
      <c r="H1253">
        <v>4.23011844331641E-4</v>
      </c>
      <c r="I1253">
        <v>2.3809523809523801E-2</v>
      </c>
      <c r="J1253" s="14" t="str">
        <f>_xlfn.XLOOKUP(B1253,CAD_PDV!A:A,CAD_PDV!B:B)</f>
        <v>CELNET COMERCIO E SERVICOS DE TELEFONIA LTDA ME</v>
      </c>
      <c r="K1253" s="14">
        <f>IF(IFERROR(_xlfn.XLOOKUP(B1253,Planilha2!D:D,Planilha2!H:H),0)="SIM",1,0)</f>
        <v>0</v>
      </c>
      <c r="L1253" s="14" t="str">
        <f>_xlfn.XLOOKUP(B1253,CAD_PDV!A:A,CAD_PDV!C:C)</f>
        <v>CO</v>
      </c>
      <c r="M1253" s="14" t="str">
        <f>IFERROR(_xlfn.XLOOKUP(B1253,repete!A:A,repete!A:A),"-")</f>
        <v>-</v>
      </c>
    </row>
    <row r="1254" spans="1:13" hidden="1">
      <c r="A1254" s="1">
        <v>46113</v>
      </c>
      <c r="B1254" t="s">
        <v>1821</v>
      </c>
      <c r="C1254" t="s">
        <v>1822</v>
      </c>
      <c r="D1254" t="s">
        <v>95</v>
      </c>
      <c r="E1254" t="s">
        <v>2074</v>
      </c>
      <c r="F1254">
        <v>5</v>
      </c>
      <c r="G1254">
        <v>1</v>
      </c>
      <c r="H1254">
        <v>4.23011844331641E-4</v>
      </c>
      <c r="I1254">
        <v>0.2</v>
      </c>
      <c r="J1254" s="14" t="str">
        <f>_xlfn.XLOOKUP(B1254,CAD_PDV!A:A,CAD_PDV!B:B)</f>
        <v>AYRES E DEBONI LTDA - ME</v>
      </c>
      <c r="K1254" s="14">
        <f>IF(IFERROR(_xlfn.XLOOKUP(B1254,Planilha2!D:D,Planilha2!H:H),0)="SIM",1,0)</f>
        <v>0</v>
      </c>
      <c r="L1254" s="14" t="str">
        <f>_xlfn.XLOOKUP(B1254,CAD_PDV!A:A,CAD_PDV!C:C)</f>
        <v>RS</v>
      </c>
      <c r="M1254" s="14" t="str">
        <f>IFERROR(_xlfn.XLOOKUP(B1254,repete!A:A,repete!A:A),"-")</f>
        <v>-</v>
      </c>
    </row>
    <row r="1255" spans="1:13" hidden="1">
      <c r="A1255" s="1">
        <v>46113</v>
      </c>
      <c r="B1255" t="s">
        <v>1592</v>
      </c>
      <c r="C1255" t="s">
        <v>1593</v>
      </c>
      <c r="D1255" t="s">
        <v>106</v>
      </c>
      <c r="E1255" t="s">
        <v>54</v>
      </c>
      <c r="F1255">
        <v>28</v>
      </c>
      <c r="G1255">
        <v>1</v>
      </c>
      <c r="H1255">
        <v>4.23011844331641E-4</v>
      </c>
      <c r="I1255">
        <v>3.5714285714285698E-2</v>
      </c>
      <c r="J1255" s="14" t="str">
        <f>_xlfn.XLOOKUP(B1255,CAD_PDV!A:A,CAD_PDV!B:B)</f>
        <v>CELLULAR.COM</v>
      </c>
      <c r="K1255" s="14">
        <f>IF(IFERROR(_xlfn.XLOOKUP(B1255,Planilha2!D:D,Planilha2!H:H),0)="SIM",1,0)</f>
        <v>0</v>
      </c>
      <c r="L1255" s="14" t="str">
        <f>_xlfn.XLOOKUP(B1255,CAD_PDV!A:A,CAD_PDV!C:C)</f>
        <v>SP2</v>
      </c>
      <c r="M1255" s="14" t="str">
        <f>IFERROR(_xlfn.XLOOKUP(B1255,repete!A:A,repete!A:A),"-")</f>
        <v>-</v>
      </c>
    </row>
    <row r="1256" spans="1:13" hidden="1">
      <c r="A1256" s="1">
        <v>46113</v>
      </c>
      <c r="B1256" t="s">
        <v>889</v>
      </c>
      <c r="C1256" t="s">
        <v>873</v>
      </c>
      <c r="D1256" t="s">
        <v>239</v>
      </c>
      <c r="E1256" t="s">
        <v>59</v>
      </c>
      <c r="F1256">
        <v>57</v>
      </c>
      <c r="G1256">
        <v>1</v>
      </c>
      <c r="H1256">
        <v>4.23011844331641E-4</v>
      </c>
      <c r="I1256">
        <v>1.7543859649122799E-2</v>
      </c>
      <c r="J1256" s="14" t="str">
        <f>_xlfn.XLOOKUP(B1256,CAD_PDV!A:A,CAD_PDV!B:B)</f>
        <v>TELECELL TELEFONIA LTDA - ME</v>
      </c>
      <c r="K1256" s="14">
        <f>IF(IFERROR(_xlfn.XLOOKUP(B1256,Planilha2!D:D,Planilha2!H:H),0)="SIM",1,0)</f>
        <v>0</v>
      </c>
      <c r="L1256" s="14" t="str">
        <f>_xlfn.XLOOKUP(B1256,CAD_PDV!A:A,CAD_PDV!C:C)</f>
        <v>CO</v>
      </c>
      <c r="M1256" s="14" t="str">
        <f>IFERROR(_xlfn.XLOOKUP(B1256,repete!A:A,repete!A:A),"-")</f>
        <v>-</v>
      </c>
    </row>
    <row r="1257" spans="1:13" hidden="1">
      <c r="A1257" s="1">
        <v>46113</v>
      </c>
      <c r="B1257" t="s">
        <v>1943</v>
      </c>
      <c r="C1257" t="s">
        <v>1944</v>
      </c>
      <c r="D1257" t="s">
        <v>176</v>
      </c>
      <c r="E1257" t="s">
        <v>2074</v>
      </c>
      <c r="F1257">
        <v>26</v>
      </c>
      <c r="G1257">
        <v>1</v>
      </c>
      <c r="H1257">
        <v>4.23011844331641E-4</v>
      </c>
      <c r="I1257">
        <v>3.8461538461538498E-2</v>
      </c>
      <c r="J1257" s="14" t="str">
        <f>_xlfn.XLOOKUP(B1257,CAD_PDV!A:A,CAD_PDV!B:B)</f>
        <v>NEW POINT CELULAR LTDA - ME</v>
      </c>
      <c r="K1257" s="14">
        <f>IF(IFERROR(_xlfn.XLOOKUP(B1257,Planilha2!D:D,Planilha2!H:H),0)="SIM",1,0)</f>
        <v>0</v>
      </c>
      <c r="L1257" s="14" t="str">
        <f>_xlfn.XLOOKUP(B1257,CAD_PDV!A:A,CAD_PDV!C:C)</f>
        <v>RS</v>
      </c>
      <c r="M1257" s="14" t="str">
        <f>IFERROR(_xlfn.XLOOKUP(B1257,repete!A:A,repete!A:A),"-")</f>
        <v>-</v>
      </c>
    </row>
    <row r="1258" spans="1:13" hidden="1">
      <c r="A1258" s="1">
        <v>46113</v>
      </c>
      <c r="B1258" t="s">
        <v>553</v>
      </c>
      <c r="C1258" t="s">
        <v>554</v>
      </c>
      <c r="D1258" t="s">
        <v>235</v>
      </c>
      <c r="E1258" t="s">
        <v>56</v>
      </c>
      <c r="F1258">
        <v>48</v>
      </c>
      <c r="G1258">
        <v>1</v>
      </c>
      <c r="H1258">
        <v>4.23011844331641E-4</v>
      </c>
      <c r="I1258">
        <v>2.0833333333333301E-2</v>
      </c>
      <c r="J1258" s="14" t="str">
        <f>_xlfn.XLOOKUP(B1258,CAD_PDV!A:A,CAD_PDV!B:B)</f>
        <v>P.G.L CELULARES LTDA</v>
      </c>
      <c r="K1258" s="14">
        <f>IF(IFERROR(_xlfn.XLOOKUP(B1258,Planilha2!D:D,Planilha2!H:H),0)="SIM",1,0)</f>
        <v>0</v>
      </c>
      <c r="L1258" s="14" t="str">
        <f>_xlfn.XLOOKUP(B1258,CAD_PDV!A:A,CAD_PDV!C:C)</f>
        <v>MG</v>
      </c>
      <c r="M1258" s="14" t="str">
        <f>IFERROR(_xlfn.XLOOKUP(B1258,repete!A:A,repete!A:A),"-")</f>
        <v>-</v>
      </c>
    </row>
    <row r="1259" spans="1:13" hidden="1">
      <c r="A1259" s="1">
        <v>46113</v>
      </c>
      <c r="B1259" t="s">
        <v>2087</v>
      </c>
      <c r="C1259" t="s">
        <v>2053</v>
      </c>
      <c r="D1259" t="s">
        <v>2080</v>
      </c>
      <c r="E1259" t="s">
        <v>2074</v>
      </c>
      <c r="F1259">
        <v>22</v>
      </c>
      <c r="G1259">
        <v>1</v>
      </c>
      <c r="H1259">
        <v>4.23011844331641E-4</v>
      </c>
      <c r="I1259">
        <v>4.5454545454545497E-2</v>
      </c>
      <c r="J1259" s="14" t="e">
        <f>_xlfn.XLOOKUP(B1259,CAD_PDV!A:A,CAD_PDV!B:B)</f>
        <v>#N/A</v>
      </c>
      <c r="K1259" s="14">
        <f>IF(IFERROR(_xlfn.XLOOKUP(B1259,Planilha2!D:D,Planilha2!H:H),0)="SIM",1,0)</f>
        <v>0</v>
      </c>
      <c r="L1259" s="14" t="e">
        <f>_xlfn.XLOOKUP(B1259,CAD_PDV!A:A,CAD_PDV!C:C)</f>
        <v>#N/A</v>
      </c>
      <c r="M1259" s="14" t="str">
        <f>IFERROR(_xlfn.XLOOKUP(B1259,repete!A:A,repete!A:A),"-")</f>
        <v>-</v>
      </c>
    </row>
    <row r="1260" spans="1:13" hidden="1">
      <c r="A1260" s="1">
        <v>46113</v>
      </c>
      <c r="B1260" t="s">
        <v>892</v>
      </c>
      <c r="C1260" t="s">
        <v>893</v>
      </c>
      <c r="D1260" t="s">
        <v>224</v>
      </c>
      <c r="E1260" t="s">
        <v>59</v>
      </c>
      <c r="F1260">
        <v>101</v>
      </c>
      <c r="G1260">
        <v>1</v>
      </c>
      <c r="H1260">
        <v>4.23011844331641E-4</v>
      </c>
      <c r="I1260">
        <v>9.9009900990098994E-3</v>
      </c>
      <c r="J1260" s="14" t="str">
        <f>_xlfn.XLOOKUP(B1260,CAD_PDV!A:A,CAD_PDV!B:B)</f>
        <v>CELNET COMERCIO E SERVICOS DE TELEFONIA LTDA ME</v>
      </c>
      <c r="K1260" s="14">
        <f>IF(IFERROR(_xlfn.XLOOKUP(B1260,Planilha2!D:D,Planilha2!H:H),0)="SIM",1,0)</f>
        <v>0</v>
      </c>
      <c r="L1260" s="14" t="str">
        <f>_xlfn.XLOOKUP(B1260,CAD_PDV!A:A,CAD_PDV!C:C)</f>
        <v>CO</v>
      </c>
      <c r="M1260" s="14" t="str">
        <f>IFERROR(_xlfn.XLOOKUP(B1260,repete!A:A,repete!A:A),"-")</f>
        <v>-</v>
      </c>
    </row>
    <row r="1261" spans="1:13" hidden="1">
      <c r="A1261" s="1">
        <v>46113</v>
      </c>
      <c r="B1261" t="s">
        <v>926</v>
      </c>
      <c r="C1261" t="s">
        <v>738</v>
      </c>
      <c r="D1261" t="s">
        <v>231</v>
      </c>
      <c r="E1261" t="s">
        <v>59</v>
      </c>
      <c r="F1261">
        <v>29</v>
      </c>
      <c r="G1261">
        <v>1</v>
      </c>
      <c r="H1261">
        <v>4.23011844331641E-4</v>
      </c>
      <c r="I1261">
        <v>3.4482758620689703E-2</v>
      </c>
      <c r="J1261" s="14" t="str">
        <f>_xlfn.XLOOKUP(B1261,CAD_PDV!A:A,CAD_PDV!B:B)</f>
        <v>HIROTA &amp; HIROTA LTDA - ME</v>
      </c>
      <c r="K1261" s="14">
        <f>IF(IFERROR(_xlfn.XLOOKUP(B1261,Planilha2!D:D,Planilha2!H:H),0)="SIM",1,0)</f>
        <v>0</v>
      </c>
      <c r="L1261" s="14" t="str">
        <f>_xlfn.XLOOKUP(B1261,CAD_PDV!A:A,CAD_PDV!C:C)</f>
        <v>CO</v>
      </c>
      <c r="M1261" s="14" t="str">
        <f>IFERROR(_xlfn.XLOOKUP(B1261,repete!A:A,repete!A:A),"-")</f>
        <v>-</v>
      </c>
    </row>
    <row r="1262" spans="1:13" hidden="1">
      <c r="A1262" s="1">
        <v>46113</v>
      </c>
      <c r="B1262" t="s">
        <v>1186</v>
      </c>
      <c r="C1262" t="s">
        <v>1188</v>
      </c>
      <c r="D1262" t="s">
        <v>232</v>
      </c>
      <c r="E1262" t="s">
        <v>55</v>
      </c>
      <c r="F1262">
        <v>58</v>
      </c>
      <c r="G1262">
        <v>1</v>
      </c>
      <c r="H1262">
        <v>4.23011844331641E-4</v>
      </c>
      <c r="I1262">
        <v>1.72413793103448E-2</v>
      </c>
      <c r="J1262" s="14" t="str">
        <f>_xlfn.XLOOKUP(B1262,CAD_PDV!A:A,CAD_PDV!B:B)</f>
        <v>HS TELECOM</v>
      </c>
      <c r="K1262" s="14">
        <f>IF(IFERROR(_xlfn.XLOOKUP(B1262,Planilha2!D:D,Planilha2!H:H),0)="SIM",1,0)</f>
        <v>0</v>
      </c>
      <c r="L1262" s="14" t="str">
        <f>_xlfn.XLOOKUP(B1262,CAD_PDV!A:A,CAD_PDV!C:C)</f>
        <v>RJ/ES</v>
      </c>
      <c r="M1262" s="14" t="str">
        <f>IFERROR(_xlfn.XLOOKUP(B1262,repete!A:A,repete!A:A),"-")</f>
        <v>-</v>
      </c>
    </row>
    <row r="1263" spans="1:13" hidden="1">
      <c r="A1263" s="1">
        <v>46113</v>
      </c>
      <c r="B1263" t="s">
        <v>1245</v>
      </c>
      <c r="C1263" t="s">
        <v>1152</v>
      </c>
      <c r="D1263" t="s">
        <v>2072</v>
      </c>
      <c r="E1263" t="s">
        <v>55</v>
      </c>
      <c r="F1263">
        <v>50</v>
      </c>
      <c r="G1263">
        <v>1</v>
      </c>
      <c r="H1263">
        <v>4.23011844331641E-4</v>
      </c>
      <c r="I1263">
        <v>0.02</v>
      </c>
      <c r="J1263" s="14" t="str">
        <f>_xlfn.XLOOKUP(B1263,CAD_PDV!A:A,CAD_PDV!B:B)</f>
        <v>MEXCELL COMERCIO E SERVICOS DE TELECOMUNICACOES LTDA</v>
      </c>
      <c r="K1263" s="14">
        <f>IF(IFERROR(_xlfn.XLOOKUP(B1263,Planilha2!D:D,Planilha2!H:H),0)="SIM",1,0)</f>
        <v>0</v>
      </c>
      <c r="L1263" s="14" t="str">
        <f>_xlfn.XLOOKUP(B1263,CAD_PDV!A:A,CAD_PDV!C:C)</f>
        <v>RJ/ES</v>
      </c>
      <c r="M1263" s="14" t="str">
        <f>IFERROR(_xlfn.XLOOKUP(B1263,repete!A:A,repete!A:A),"-")</f>
        <v>-</v>
      </c>
    </row>
    <row r="1264" spans="1:13" hidden="1">
      <c r="A1264" s="1">
        <v>46113</v>
      </c>
      <c r="B1264" t="s">
        <v>1849</v>
      </c>
      <c r="C1264" t="s">
        <v>1847</v>
      </c>
      <c r="D1264" t="s">
        <v>106</v>
      </c>
      <c r="E1264" t="s">
        <v>2074</v>
      </c>
      <c r="F1264">
        <v>24</v>
      </c>
      <c r="G1264">
        <v>1</v>
      </c>
      <c r="H1264">
        <v>4.23011844331641E-4</v>
      </c>
      <c r="I1264">
        <v>4.1666666666666699E-2</v>
      </c>
      <c r="J1264" s="14" t="str">
        <f>_xlfn.XLOOKUP(B1264,CAD_PDV!A:A,CAD_PDV!B:B)</f>
        <v>CELLULAR.COM</v>
      </c>
      <c r="K1264" s="14">
        <f>IF(IFERROR(_xlfn.XLOOKUP(B1264,Planilha2!D:D,Planilha2!H:H),0)="SIM",1,0)</f>
        <v>0</v>
      </c>
      <c r="L1264" s="14" t="str">
        <f>_xlfn.XLOOKUP(B1264,CAD_PDV!A:A,CAD_PDV!C:C)</f>
        <v>PR/SC</v>
      </c>
      <c r="M1264" s="14" t="str">
        <f>IFERROR(_xlfn.XLOOKUP(B1264,repete!A:A,repete!A:A),"-")</f>
        <v>-</v>
      </c>
    </row>
    <row r="1265" spans="1:13" hidden="1">
      <c r="A1265" s="1">
        <v>46113</v>
      </c>
      <c r="B1265" t="s">
        <v>1129</v>
      </c>
      <c r="C1265" t="s">
        <v>1102</v>
      </c>
      <c r="D1265" t="s">
        <v>132</v>
      </c>
      <c r="E1265" t="s">
        <v>62</v>
      </c>
      <c r="F1265">
        <v>111</v>
      </c>
      <c r="G1265">
        <v>1</v>
      </c>
      <c r="H1265">
        <v>4.23011844331641E-4</v>
      </c>
      <c r="I1265">
        <v>9.0090090090090107E-3</v>
      </c>
      <c r="J1265" s="14" t="str">
        <f>_xlfn.XLOOKUP(B1265,CAD_PDV!A:A,CAD_PDV!B:B)</f>
        <v>FLEX CELL</v>
      </c>
      <c r="K1265" s="14">
        <f>IF(IFERROR(_xlfn.XLOOKUP(B1265,Planilha2!D:D,Planilha2!H:H),0)="SIM",1,0)</f>
        <v>0</v>
      </c>
      <c r="L1265" s="14" t="str">
        <f>_xlfn.XLOOKUP(B1265,CAD_PDV!A:A,CAD_PDV!C:C)</f>
        <v>NO</v>
      </c>
      <c r="M1265" s="14" t="str">
        <f>IFERROR(_xlfn.XLOOKUP(B1265,repete!A:A,repete!A:A),"-")</f>
        <v>-</v>
      </c>
    </row>
    <row r="1266" spans="1:13" hidden="1">
      <c r="A1266" s="1">
        <v>46113</v>
      </c>
      <c r="B1266" t="s">
        <v>1626</v>
      </c>
      <c r="C1266" t="s">
        <v>1616</v>
      </c>
      <c r="D1266" t="s">
        <v>220</v>
      </c>
      <c r="E1266" t="s">
        <v>54</v>
      </c>
      <c r="F1266">
        <v>35</v>
      </c>
      <c r="G1266">
        <v>1</v>
      </c>
      <c r="H1266">
        <v>4.23011844331641E-4</v>
      </c>
      <c r="I1266">
        <v>2.8571428571428598E-2</v>
      </c>
      <c r="J1266" s="14" t="str">
        <f>_xlfn.XLOOKUP(B1266,CAD_PDV!A:A,CAD_PDV!B:B)</f>
        <v>ADESIENE NUNES MACHADO - ME</v>
      </c>
      <c r="K1266" s="14">
        <f>IF(IFERROR(_xlfn.XLOOKUP(B1266,Planilha2!D:D,Planilha2!H:H),0)="SIM",1,0)</f>
        <v>0</v>
      </c>
      <c r="L1266" s="14" t="str">
        <f>_xlfn.XLOOKUP(B1266,CAD_PDV!A:A,CAD_PDV!C:C)</f>
        <v>SP2</v>
      </c>
      <c r="M1266" s="14" t="str">
        <f>IFERROR(_xlfn.XLOOKUP(B1266,repete!A:A,repete!A:A),"-")</f>
        <v>-</v>
      </c>
    </row>
    <row r="1267" spans="1:13" hidden="1">
      <c r="A1267" s="1">
        <v>46113</v>
      </c>
      <c r="B1267" t="s">
        <v>2020</v>
      </c>
      <c r="C1267" t="s">
        <v>2019</v>
      </c>
      <c r="D1267" t="s">
        <v>106</v>
      </c>
      <c r="E1267" t="s">
        <v>2074</v>
      </c>
      <c r="F1267">
        <v>110</v>
      </c>
      <c r="G1267">
        <v>1</v>
      </c>
      <c r="H1267">
        <v>4.23011844331641E-4</v>
      </c>
      <c r="I1267">
        <v>9.0909090909090905E-3</v>
      </c>
      <c r="J1267" s="14" t="str">
        <f>_xlfn.XLOOKUP(B1267,CAD_PDV!A:A,CAD_PDV!B:B)</f>
        <v>CELLULAR.COM</v>
      </c>
      <c r="K1267" s="14">
        <f>IF(IFERROR(_xlfn.XLOOKUP(B1267,Planilha2!D:D,Planilha2!H:H),0)="SIM",1,0)</f>
        <v>0</v>
      </c>
      <c r="L1267" s="14" t="str">
        <f>_xlfn.XLOOKUP(B1267,CAD_PDV!A:A,CAD_PDV!C:C)</f>
        <v>PR/SC</v>
      </c>
      <c r="M1267" s="14" t="str">
        <f>IFERROR(_xlfn.XLOOKUP(B1267,repete!A:A,repete!A:A),"-")</f>
        <v>-</v>
      </c>
    </row>
    <row r="1268" spans="1:13" hidden="1">
      <c r="A1268" s="1">
        <v>46113</v>
      </c>
      <c r="B1268" t="s">
        <v>894</v>
      </c>
      <c r="C1268" t="s">
        <v>873</v>
      </c>
      <c r="D1268" t="s">
        <v>224</v>
      </c>
      <c r="E1268" t="s">
        <v>59</v>
      </c>
      <c r="F1268">
        <v>39</v>
      </c>
      <c r="G1268">
        <v>1</v>
      </c>
      <c r="H1268">
        <v>4.23011844331641E-4</v>
      </c>
      <c r="I1268">
        <v>2.5641025641025599E-2</v>
      </c>
      <c r="J1268" s="14" t="str">
        <f>_xlfn.XLOOKUP(B1268,CAD_PDV!A:A,CAD_PDV!B:B)</f>
        <v>CELNET COMERCIO E SERVICOS DE TELEFONIA LTDA ME</v>
      </c>
      <c r="K1268" s="14">
        <f>IF(IFERROR(_xlfn.XLOOKUP(B1268,Planilha2!D:D,Planilha2!H:H),0)="SIM",1,0)</f>
        <v>0</v>
      </c>
      <c r="L1268" s="14" t="str">
        <f>_xlfn.XLOOKUP(B1268,CAD_PDV!A:A,CAD_PDV!C:C)</f>
        <v>CO</v>
      </c>
      <c r="M1268" s="14" t="str">
        <f>IFERROR(_xlfn.XLOOKUP(B1268,repete!A:A,repete!A:A),"-")</f>
        <v>-</v>
      </c>
    </row>
    <row r="1269" spans="1:13" hidden="1">
      <c r="A1269" s="1">
        <v>46113</v>
      </c>
      <c r="B1269" t="s">
        <v>365</v>
      </c>
      <c r="C1269" t="s">
        <v>261</v>
      </c>
      <c r="D1269" t="s">
        <v>230</v>
      </c>
      <c r="E1269" t="s">
        <v>61</v>
      </c>
      <c r="F1269">
        <v>124</v>
      </c>
      <c r="G1269">
        <v>1</v>
      </c>
      <c r="H1269">
        <v>4.23011844331641E-4</v>
      </c>
      <c r="I1269">
        <v>8.0645161290322596E-3</v>
      </c>
      <c r="J1269" s="14" t="str">
        <f>_xlfn.XLOOKUP(B1269,CAD_PDV!A:A,CAD_PDV!B:B)</f>
        <v>HARCOS COMERCIO E SERVICOS LTDA - EPP</v>
      </c>
      <c r="K1269" s="14">
        <f>IF(IFERROR(_xlfn.XLOOKUP(B1269,Planilha2!D:D,Planilha2!H:H),0)="SIM",1,0)</f>
        <v>0</v>
      </c>
      <c r="L1269" s="14" t="str">
        <f>_xlfn.XLOOKUP(B1269,CAD_PDV!A:A,CAD_PDV!C:C)</f>
        <v>NE</v>
      </c>
      <c r="M1269" s="14" t="str">
        <f>IFERROR(_xlfn.XLOOKUP(B1269,repete!A:A,repete!A:A),"-")</f>
        <v>-</v>
      </c>
    </row>
    <row r="1270" spans="1:13" hidden="1">
      <c r="A1270" s="1">
        <v>46113</v>
      </c>
      <c r="B1270" t="s">
        <v>703</v>
      </c>
      <c r="C1270" t="s">
        <v>694</v>
      </c>
      <c r="D1270" t="s">
        <v>239</v>
      </c>
      <c r="E1270" t="s">
        <v>59</v>
      </c>
      <c r="F1270">
        <v>31</v>
      </c>
      <c r="G1270">
        <v>1</v>
      </c>
      <c r="H1270">
        <v>4.23011844331641E-4</v>
      </c>
      <c r="I1270">
        <v>3.2258064516128997E-2</v>
      </c>
      <c r="J1270" s="14" t="str">
        <f>_xlfn.XLOOKUP(B1270,CAD_PDV!A:A,CAD_PDV!B:B)</f>
        <v>TELECELL TELEFONIA LTDA - ME</v>
      </c>
      <c r="K1270" s="14">
        <f>IF(IFERROR(_xlfn.XLOOKUP(B1270,Planilha2!D:D,Planilha2!H:H),0)="SIM",1,0)</f>
        <v>0</v>
      </c>
      <c r="L1270" s="14" t="str">
        <f>_xlfn.XLOOKUP(B1270,CAD_PDV!A:A,CAD_PDV!C:C)</f>
        <v>CO</v>
      </c>
      <c r="M1270" s="14" t="str">
        <f>IFERROR(_xlfn.XLOOKUP(B1270,repete!A:A,repete!A:A),"-")</f>
        <v>-</v>
      </c>
    </row>
    <row r="1271" spans="1:13" hidden="1">
      <c r="A1271" s="1">
        <v>46113</v>
      </c>
      <c r="B1271" t="s">
        <v>1642</v>
      </c>
      <c r="C1271" t="s">
        <v>1643</v>
      </c>
      <c r="D1271" t="s">
        <v>223</v>
      </c>
      <c r="E1271" t="s">
        <v>54</v>
      </c>
      <c r="F1271">
        <v>36</v>
      </c>
      <c r="G1271">
        <v>1</v>
      </c>
      <c r="H1271">
        <v>4.23011844331641E-4</v>
      </c>
      <c r="I1271">
        <v>2.7777777777777801E-2</v>
      </c>
      <c r="J1271" s="14" t="str">
        <f>_xlfn.XLOOKUP(B1271,CAD_PDV!A:A,CAD_PDV!B:B)</f>
        <v>BONELI BIAZI CELULARES EIRELI - ME</v>
      </c>
      <c r="K1271" s="14">
        <f>IF(IFERROR(_xlfn.XLOOKUP(B1271,Planilha2!D:D,Planilha2!H:H),0)="SIM",1,0)</f>
        <v>0</v>
      </c>
      <c r="L1271" s="14" t="str">
        <f>_xlfn.XLOOKUP(B1271,CAD_PDV!A:A,CAD_PDV!C:C)</f>
        <v>SP2</v>
      </c>
      <c r="M1271" s="14" t="str">
        <f>IFERROR(_xlfn.XLOOKUP(B1271,repete!A:A,repete!A:A),"-")</f>
        <v>-</v>
      </c>
    </row>
    <row r="1272" spans="1:13" hidden="1">
      <c r="A1272" s="1">
        <v>46113</v>
      </c>
      <c r="B1272" t="s">
        <v>459</v>
      </c>
      <c r="C1272" t="s">
        <v>460</v>
      </c>
      <c r="D1272" t="s">
        <v>115</v>
      </c>
      <c r="E1272" t="s">
        <v>56</v>
      </c>
      <c r="F1272">
        <v>22</v>
      </c>
      <c r="G1272">
        <v>1</v>
      </c>
      <c r="H1272">
        <v>4.23011844331641E-4</v>
      </c>
      <c r="I1272">
        <v>4.5454545454545497E-2</v>
      </c>
      <c r="J1272" s="14" t="str">
        <f>_xlfn.XLOOKUP(B1272,CAD_PDV!A:A,CAD_PDV!B:B)</f>
        <v>DIANA CARLA MOREIRA</v>
      </c>
      <c r="K1272" s="14">
        <f>IF(IFERROR(_xlfn.XLOOKUP(B1272,Planilha2!D:D,Planilha2!H:H),0)="SIM",1,0)</f>
        <v>0</v>
      </c>
      <c r="L1272" s="14" t="str">
        <f>_xlfn.XLOOKUP(B1272,CAD_PDV!A:A,CAD_PDV!C:C)</f>
        <v>MG</v>
      </c>
      <c r="M1272" s="14" t="str">
        <f>IFERROR(_xlfn.XLOOKUP(B1272,repete!A:A,repete!A:A),"-")</f>
        <v>-</v>
      </c>
    </row>
    <row r="1273" spans="1:13" hidden="1">
      <c r="A1273" s="1">
        <v>46113</v>
      </c>
      <c r="B1273" t="s">
        <v>614</v>
      </c>
      <c r="C1273" t="s">
        <v>616</v>
      </c>
      <c r="D1273" t="s">
        <v>239</v>
      </c>
      <c r="E1273" t="s">
        <v>59</v>
      </c>
      <c r="F1273">
        <v>30</v>
      </c>
      <c r="G1273">
        <v>1</v>
      </c>
      <c r="H1273">
        <v>4.23011844331641E-4</v>
      </c>
      <c r="I1273">
        <v>3.3333333333333298E-2</v>
      </c>
      <c r="J1273" s="14" t="str">
        <f>_xlfn.XLOOKUP(B1273,CAD_PDV!A:A,CAD_PDV!B:B)</f>
        <v>TELECELL TELEFONIA LTDA - ME</v>
      </c>
      <c r="K1273" s="14">
        <f>IF(IFERROR(_xlfn.XLOOKUP(B1273,Planilha2!D:D,Planilha2!H:H),0)="SIM",1,0)</f>
        <v>0</v>
      </c>
      <c r="L1273" s="14" t="str">
        <f>_xlfn.XLOOKUP(B1273,CAD_PDV!A:A,CAD_PDV!C:C)</f>
        <v>CO</v>
      </c>
      <c r="M1273" s="14" t="str">
        <f>IFERROR(_xlfn.XLOOKUP(B1273,repete!A:A,repete!A:A),"-")</f>
        <v>-</v>
      </c>
    </row>
    <row r="1274" spans="1:13" hidden="1">
      <c r="A1274" s="1">
        <v>46113</v>
      </c>
      <c r="B1274" t="s">
        <v>1256</v>
      </c>
      <c r="C1274" t="s">
        <v>1204</v>
      </c>
      <c r="D1274" t="s">
        <v>2072</v>
      </c>
      <c r="E1274" t="s">
        <v>55</v>
      </c>
      <c r="F1274">
        <v>37</v>
      </c>
      <c r="G1274">
        <v>1</v>
      </c>
      <c r="H1274">
        <v>4.23011844331641E-4</v>
      </c>
      <c r="I1274">
        <v>2.7027027027027001E-2</v>
      </c>
      <c r="J1274" s="14" t="str">
        <f>_xlfn.XLOOKUP(B1274,CAD_PDV!A:A,CAD_PDV!B:B)</f>
        <v>MEXCELL COMERCIO E SERVICOS DE TELECOMUNICACOES LTDA</v>
      </c>
      <c r="K1274" s="14">
        <f>IF(IFERROR(_xlfn.XLOOKUP(B1274,Planilha2!D:D,Planilha2!H:H),0)="SIM",1,0)</f>
        <v>0</v>
      </c>
      <c r="L1274" s="14" t="str">
        <f>_xlfn.XLOOKUP(B1274,CAD_PDV!A:A,CAD_PDV!C:C)</f>
        <v>RJ/ES</v>
      </c>
      <c r="M1274" s="14" t="str">
        <f>IFERROR(_xlfn.XLOOKUP(B1274,repete!A:A,repete!A:A),"-")</f>
        <v>-</v>
      </c>
    </row>
    <row r="1275" spans="1:13" hidden="1">
      <c r="A1275" s="1">
        <v>46113</v>
      </c>
      <c r="B1275" t="s">
        <v>1652</v>
      </c>
      <c r="C1275" t="s">
        <v>1653</v>
      </c>
      <c r="D1275" t="s">
        <v>223</v>
      </c>
      <c r="E1275" t="s">
        <v>54</v>
      </c>
      <c r="F1275">
        <v>43</v>
      </c>
      <c r="G1275">
        <v>1</v>
      </c>
      <c r="H1275">
        <v>4.23011844331641E-4</v>
      </c>
      <c r="I1275">
        <v>2.32558139534884E-2</v>
      </c>
      <c r="J1275" s="14" t="str">
        <f>_xlfn.XLOOKUP(B1275,CAD_PDV!A:A,CAD_PDV!B:B)</f>
        <v>BONELI BIAZI CELULARES EIRELI - ME</v>
      </c>
      <c r="K1275" s="14">
        <f>IF(IFERROR(_xlfn.XLOOKUP(B1275,Planilha2!D:D,Planilha2!H:H),0)="SIM",1,0)</f>
        <v>0</v>
      </c>
      <c r="L1275" s="14" t="str">
        <f>_xlfn.XLOOKUP(B1275,CAD_PDV!A:A,CAD_PDV!C:C)</f>
        <v>SP2</v>
      </c>
      <c r="M1275" s="14" t="str">
        <f>IFERROR(_xlfn.XLOOKUP(B1275,repete!A:A,repete!A:A),"-")</f>
        <v>-</v>
      </c>
    </row>
    <row r="1276" spans="1:13" hidden="1">
      <c r="A1276" s="1">
        <v>46113</v>
      </c>
      <c r="B1276" t="s">
        <v>1654</v>
      </c>
      <c r="C1276" t="s">
        <v>1655</v>
      </c>
      <c r="D1276" t="s">
        <v>241</v>
      </c>
      <c r="E1276" t="s">
        <v>54</v>
      </c>
      <c r="F1276">
        <v>59</v>
      </c>
      <c r="G1276">
        <v>1</v>
      </c>
      <c r="H1276">
        <v>4.23011844331641E-4</v>
      </c>
      <c r="I1276">
        <v>1.6949152542372899E-2</v>
      </c>
      <c r="J1276" s="14" t="str">
        <f>_xlfn.XLOOKUP(B1276,CAD_PDV!A:A,CAD_PDV!B:B)</f>
        <v>VIRACLARO</v>
      </c>
      <c r="K1276" s="14">
        <f>IF(IFERROR(_xlfn.XLOOKUP(B1276,Planilha2!D:D,Planilha2!H:H),0)="SIM",1,0)</f>
        <v>0</v>
      </c>
      <c r="L1276" s="14" t="str">
        <f>_xlfn.XLOOKUP(B1276,CAD_PDV!A:A,CAD_PDV!C:C)</f>
        <v>SP2</v>
      </c>
      <c r="M1276" s="14" t="str">
        <f>IFERROR(_xlfn.XLOOKUP(B1276,repete!A:A,repete!A:A),"-")</f>
        <v>-</v>
      </c>
    </row>
    <row r="1277" spans="1:13" hidden="1">
      <c r="A1277" s="1">
        <v>46113</v>
      </c>
      <c r="B1277" t="s">
        <v>832</v>
      </c>
      <c r="C1277" t="s">
        <v>833</v>
      </c>
      <c r="D1277" t="s">
        <v>239</v>
      </c>
      <c r="E1277" t="s">
        <v>59</v>
      </c>
      <c r="F1277">
        <v>27</v>
      </c>
      <c r="G1277">
        <v>1</v>
      </c>
      <c r="H1277">
        <v>4.23011844331641E-4</v>
      </c>
      <c r="I1277">
        <v>3.7037037037037E-2</v>
      </c>
      <c r="J1277" s="14" t="str">
        <f>_xlfn.XLOOKUP(B1277,CAD_PDV!A:A,CAD_PDV!B:B)</f>
        <v>TELECELL TELEFONIA LTDA - ME</v>
      </c>
      <c r="K1277" s="14">
        <f>IF(IFERROR(_xlfn.XLOOKUP(B1277,Planilha2!D:D,Planilha2!H:H),0)="SIM",1,0)</f>
        <v>0</v>
      </c>
      <c r="L1277" s="14" t="str">
        <f>_xlfn.XLOOKUP(B1277,CAD_PDV!A:A,CAD_PDV!C:C)</f>
        <v>CO</v>
      </c>
      <c r="M1277" s="14" t="str">
        <f>IFERROR(_xlfn.XLOOKUP(B1277,repete!A:A,repete!A:A),"-")</f>
        <v>-</v>
      </c>
    </row>
    <row r="1278" spans="1:13" hidden="1">
      <c r="A1278" s="1">
        <v>46113</v>
      </c>
      <c r="B1278" t="s">
        <v>1679</v>
      </c>
      <c r="C1278" t="s">
        <v>1451</v>
      </c>
      <c r="D1278" t="s">
        <v>232</v>
      </c>
      <c r="E1278" t="s">
        <v>54</v>
      </c>
      <c r="F1278">
        <v>12</v>
      </c>
      <c r="G1278">
        <v>1</v>
      </c>
      <c r="H1278">
        <v>4.23011844331641E-4</v>
      </c>
      <c r="I1278">
        <v>8.3333333333333301E-2</v>
      </c>
      <c r="J1278" s="14" t="str">
        <f>_xlfn.XLOOKUP(B1278,CAD_PDV!A:A,CAD_PDV!B:B)</f>
        <v>HS TELECOM</v>
      </c>
      <c r="K1278" s="14">
        <f>IF(IFERROR(_xlfn.XLOOKUP(B1278,Planilha2!D:D,Planilha2!H:H),0)="SIM",1,0)</f>
        <v>0</v>
      </c>
      <c r="L1278" s="14" t="str">
        <f>_xlfn.XLOOKUP(B1278,CAD_PDV!A:A,CAD_PDV!C:C)</f>
        <v>SP2</v>
      </c>
      <c r="M1278" s="14" t="str">
        <f>IFERROR(_xlfn.XLOOKUP(B1278,repete!A:A,repete!A:A),"-")</f>
        <v>-</v>
      </c>
    </row>
    <row r="1279" spans="1:13" hidden="1">
      <c r="A1279" s="1">
        <v>46113</v>
      </c>
      <c r="B1279" t="s">
        <v>1694</v>
      </c>
      <c r="C1279" t="s">
        <v>1695</v>
      </c>
      <c r="D1279" t="s">
        <v>232</v>
      </c>
      <c r="E1279" t="s">
        <v>54</v>
      </c>
      <c r="F1279">
        <v>46</v>
      </c>
      <c r="G1279">
        <v>1</v>
      </c>
      <c r="H1279">
        <v>4.23011844331641E-4</v>
      </c>
      <c r="I1279">
        <v>2.1739130434782601E-2</v>
      </c>
      <c r="J1279" s="14" t="str">
        <f>_xlfn.XLOOKUP(B1279,CAD_PDV!A:A,CAD_PDV!B:B)</f>
        <v>HS TELECOM</v>
      </c>
      <c r="K1279" s="14">
        <f>IF(IFERROR(_xlfn.XLOOKUP(B1279,Planilha2!D:D,Planilha2!H:H),0)="SIM",1,0)</f>
        <v>0</v>
      </c>
      <c r="L1279" s="14" t="str">
        <f>_xlfn.XLOOKUP(B1279,CAD_PDV!A:A,CAD_PDV!C:C)</f>
        <v>SP2</v>
      </c>
      <c r="M1279" s="14" t="str">
        <f>IFERROR(_xlfn.XLOOKUP(B1279,repete!A:A,repete!A:A),"-")</f>
        <v>-</v>
      </c>
    </row>
    <row r="1280" spans="1:13" hidden="1">
      <c r="A1280" s="1">
        <v>46113</v>
      </c>
      <c r="B1280" t="s">
        <v>852</v>
      </c>
      <c r="C1280" t="s">
        <v>732</v>
      </c>
      <c r="D1280" t="s">
        <v>221</v>
      </c>
      <c r="E1280" t="s">
        <v>59</v>
      </c>
      <c r="F1280">
        <v>44</v>
      </c>
      <c r="G1280">
        <v>1</v>
      </c>
      <c r="H1280">
        <v>4.23011844331641E-4</v>
      </c>
      <c r="I1280">
        <v>2.27272727272727E-2</v>
      </c>
      <c r="J1280" s="14" t="str">
        <f>_xlfn.XLOOKUP(B1280,CAD_PDV!A:A,CAD_PDV!B:B)</f>
        <v>AMERICOM COMERCIO DE APARELHOS ELETRONICOS LTDA - EPP</v>
      </c>
      <c r="K1280" s="14">
        <f>IF(IFERROR(_xlfn.XLOOKUP(B1280,Planilha2!D:D,Planilha2!H:H),0)="SIM",1,0)</f>
        <v>0</v>
      </c>
      <c r="L1280" s="14" t="str">
        <f>_xlfn.XLOOKUP(B1280,CAD_PDV!A:A,CAD_PDV!C:C)</f>
        <v>CO</v>
      </c>
      <c r="M1280" s="14" t="str">
        <f>IFERROR(_xlfn.XLOOKUP(B1280,repete!A:A,repete!A:A),"-")</f>
        <v>-</v>
      </c>
    </row>
    <row r="1281" spans="1:13" hidden="1">
      <c r="A1281" s="1">
        <v>46113</v>
      </c>
      <c r="B1281" t="s">
        <v>2030</v>
      </c>
      <c r="C1281" t="s">
        <v>2031</v>
      </c>
      <c r="D1281" t="s">
        <v>193</v>
      </c>
      <c r="E1281" t="s">
        <v>2074</v>
      </c>
      <c r="F1281">
        <v>13</v>
      </c>
      <c r="G1281">
        <v>1</v>
      </c>
      <c r="H1281">
        <v>4.23011844331641E-4</v>
      </c>
      <c r="I1281">
        <v>7.69230769230769E-2</v>
      </c>
      <c r="J1281" s="14" t="str">
        <f>_xlfn.XLOOKUP(B1281,CAD_PDV!A:A,CAD_PDV!B:B)</f>
        <v>S D COMERCIO DE CELULARES LTDA - ME</v>
      </c>
      <c r="K1281" s="14">
        <f>IF(IFERROR(_xlfn.XLOOKUP(B1281,Planilha2!D:D,Planilha2!H:H),0)="SIM",1,0)</f>
        <v>0</v>
      </c>
      <c r="L1281" s="14" t="str">
        <f>_xlfn.XLOOKUP(B1281,CAD_PDV!A:A,CAD_PDV!C:C)</f>
        <v>RS</v>
      </c>
      <c r="M1281" s="14" t="str">
        <f>IFERROR(_xlfn.XLOOKUP(B1281,repete!A:A,repete!A:A),"-")</f>
        <v>-</v>
      </c>
    </row>
    <row r="1282" spans="1:13" hidden="1">
      <c r="A1282" s="1">
        <v>46113</v>
      </c>
      <c r="B1282" t="s">
        <v>1980</v>
      </c>
      <c r="C1282" t="s">
        <v>1981</v>
      </c>
      <c r="D1282" t="s">
        <v>97</v>
      </c>
      <c r="E1282" t="s">
        <v>2074</v>
      </c>
      <c r="F1282">
        <v>19</v>
      </c>
      <c r="G1282">
        <v>1</v>
      </c>
      <c r="H1282">
        <v>4.23011844331641E-4</v>
      </c>
      <c r="I1282">
        <v>5.2631578947368397E-2</v>
      </c>
      <c r="J1282" s="14" t="str">
        <f>_xlfn.XLOOKUP(B1282,CAD_PDV!A:A,CAD_PDV!B:B)</f>
        <v>BANDEIRA</v>
      </c>
      <c r="K1282" s="14">
        <f>IF(IFERROR(_xlfn.XLOOKUP(B1282,Planilha2!D:D,Planilha2!H:H),0)="SIM",1,0)</f>
        <v>0</v>
      </c>
      <c r="L1282" s="14" t="str">
        <f>_xlfn.XLOOKUP(B1282,CAD_PDV!A:A,CAD_PDV!C:C)</f>
        <v>PR/SC</v>
      </c>
      <c r="M1282" s="14" t="str">
        <f>IFERROR(_xlfn.XLOOKUP(B1282,repete!A:A,repete!A:A),"-")</f>
        <v>-</v>
      </c>
    </row>
    <row r="1283" spans="1:13" hidden="1">
      <c r="A1283" s="1">
        <v>46113</v>
      </c>
      <c r="B1283" t="s">
        <v>898</v>
      </c>
      <c r="C1283" t="s">
        <v>873</v>
      </c>
      <c r="D1283" t="s">
        <v>239</v>
      </c>
      <c r="E1283" t="s">
        <v>59</v>
      </c>
      <c r="F1283">
        <v>93</v>
      </c>
      <c r="G1283">
        <v>1</v>
      </c>
      <c r="H1283">
        <v>4.23011844331641E-4</v>
      </c>
      <c r="I1283">
        <v>1.0752688172042999E-2</v>
      </c>
      <c r="J1283" s="14" t="str">
        <f>_xlfn.XLOOKUP(B1283,CAD_PDV!A:A,CAD_PDV!B:B)</f>
        <v>TELECELL TELEFONIA LTDA - ME</v>
      </c>
      <c r="K1283" s="14">
        <f>IF(IFERROR(_xlfn.XLOOKUP(B1283,Planilha2!D:D,Planilha2!H:H),0)="SIM",1,0)</f>
        <v>0</v>
      </c>
      <c r="L1283" s="14" t="str">
        <f>_xlfn.XLOOKUP(B1283,CAD_PDV!A:A,CAD_PDV!C:C)</f>
        <v>CO</v>
      </c>
      <c r="M1283" s="14" t="str">
        <f>IFERROR(_xlfn.XLOOKUP(B1283,repete!A:A,repete!A:A),"-")</f>
        <v>-</v>
      </c>
    </row>
    <row r="1284" spans="1:13" hidden="1">
      <c r="A1284" s="1">
        <v>46113</v>
      </c>
      <c r="B1284" t="s">
        <v>1264</v>
      </c>
      <c r="C1284" t="s">
        <v>1142</v>
      </c>
      <c r="D1284" t="s">
        <v>233</v>
      </c>
      <c r="E1284" t="s">
        <v>55</v>
      </c>
      <c r="F1284">
        <v>75</v>
      </c>
      <c r="G1284">
        <v>1</v>
      </c>
      <c r="H1284">
        <v>4.23011844331641E-4</v>
      </c>
      <c r="I1284">
        <v>1.3333333333333299E-2</v>
      </c>
      <c r="J1284" s="14" t="str">
        <f>_xlfn.XLOOKUP(B1284,CAD_PDV!A:A,CAD_PDV!B:B)</f>
        <v>LEINAD COMERCIO E SERVICO EIRELI</v>
      </c>
      <c r="K1284" s="14">
        <f>IF(IFERROR(_xlfn.XLOOKUP(B1284,Planilha2!D:D,Planilha2!H:H),0)="SIM",1,0)</f>
        <v>0</v>
      </c>
      <c r="L1284" s="14" t="str">
        <f>_xlfn.XLOOKUP(B1284,CAD_PDV!A:A,CAD_PDV!C:C)</f>
        <v>RJ/ES</v>
      </c>
      <c r="M1284" s="14" t="str">
        <f>IFERROR(_xlfn.XLOOKUP(B1284,repete!A:A,repete!A:A),"-")</f>
        <v>-</v>
      </c>
    </row>
    <row r="1285" spans="1:13" hidden="1">
      <c r="A1285" s="1">
        <v>46113</v>
      </c>
      <c r="B1285" t="s">
        <v>1711</v>
      </c>
      <c r="C1285" t="s">
        <v>1712</v>
      </c>
      <c r="D1285" t="s">
        <v>220</v>
      </c>
      <c r="E1285" t="s">
        <v>54</v>
      </c>
      <c r="F1285">
        <v>39</v>
      </c>
      <c r="G1285">
        <v>1</v>
      </c>
      <c r="H1285">
        <v>4.23011844331641E-4</v>
      </c>
      <c r="I1285">
        <v>2.5641025641025599E-2</v>
      </c>
      <c r="J1285" s="14" t="str">
        <f>_xlfn.XLOOKUP(B1285,CAD_PDV!A:A,CAD_PDV!B:B)</f>
        <v>ADESIENE NUNES MACHADO - ME</v>
      </c>
      <c r="K1285" s="14">
        <f>IF(IFERROR(_xlfn.XLOOKUP(B1285,Planilha2!D:D,Planilha2!H:H),0)="SIM",1,0)</f>
        <v>0</v>
      </c>
      <c r="L1285" s="14" t="str">
        <f>_xlfn.XLOOKUP(B1285,CAD_PDV!A:A,CAD_PDV!C:C)</f>
        <v>SP2</v>
      </c>
      <c r="M1285" s="14" t="str">
        <f>IFERROR(_xlfn.XLOOKUP(B1285,repete!A:A,repete!A:A),"-")</f>
        <v>-</v>
      </c>
    </row>
    <row r="1286" spans="1:13" hidden="1">
      <c r="A1286" s="1">
        <v>46113</v>
      </c>
      <c r="B1286" t="s">
        <v>1713</v>
      </c>
      <c r="C1286" t="s">
        <v>1540</v>
      </c>
      <c r="D1286" t="s">
        <v>232</v>
      </c>
      <c r="E1286" t="s">
        <v>54</v>
      </c>
      <c r="F1286">
        <v>51</v>
      </c>
      <c r="G1286">
        <v>1</v>
      </c>
      <c r="H1286">
        <v>4.23011844331641E-4</v>
      </c>
      <c r="I1286">
        <v>1.9607843137254902E-2</v>
      </c>
      <c r="J1286" s="14" t="str">
        <f>_xlfn.XLOOKUP(B1286,CAD_PDV!A:A,CAD_PDV!B:B)</f>
        <v>HS TELECOM</v>
      </c>
      <c r="K1286" s="14">
        <f>IF(IFERROR(_xlfn.XLOOKUP(B1286,Planilha2!D:D,Planilha2!H:H),0)="SIM",1,0)</f>
        <v>0</v>
      </c>
      <c r="L1286" s="14" t="str">
        <f>_xlfn.XLOOKUP(B1286,CAD_PDV!A:A,CAD_PDV!C:C)</f>
        <v>SP2</v>
      </c>
      <c r="M1286" s="14" t="str">
        <f>IFERROR(_xlfn.XLOOKUP(B1286,repete!A:A,repete!A:A),"-")</f>
        <v>-</v>
      </c>
    </row>
    <row r="1287" spans="1:13" hidden="1">
      <c r="A1287" s="1">
        <v>46113</v>
      </c>
      <c r="B1287" t="s">
        <v>1340</v>
      </c>
      <c r="C1287" t="s">
        <v>1341</v>
      </c>
      <c r="D1287" t="s">
        <v>225</v>
      </c>
      <c r="E1287" t="s">
        <v>53</v>
      </c>
      <c r="F1287">
        <v>50</v>
      </c>
      <c r="G1287">
        <v>1</v>
      </c>
      <c r="H1287">
        <v>4.23011844331641E-4</v>
      </c>
      <c r="I1287">
        <v>0.02</v>
      </c>
      <c r="J1287" s="14" t="str">
        <f>_xlfn.XLOOKUP(B1287,CAD_PDV!A:A,CAD_PDV!B:B)</f>
        <v>CLARICELL SP1</v>
      </c>
      <c r="K1287" s="14">
        <f>IF(IFERROR(_xlfn.XLOOKUP(B1287,Planilha2!D:D,Planilha2!H:H),0)="SIM",1,0)</f>
        <v>0</v>
      </c>
      <c r="L1287" s="14" t="str">
        <f>_xlfn.XLOOKUP(B1287,CAD_PDV!A:A,CAD_PDV!C:C)</f>
        <v>SP1</v>
      </c>
      <c r="M1287" s="14" t="str">
        <f>IFERROR(_xlfn.XLOOKUP(B1287,repete!A:A,repete!A:A),"-")</f>
        <v>-</v>
      </c>
    </row>
    <row r="1288" spans="1:13" hidden="1">
      <c r="A1288" s="1">
        <v>46113</v>
      </c>
      <c r="B1288" t="s">
        <v>1838</v>
      </c>
      <c r="C1288" t="s">
        <v>1839</v>
      </c>
      <c r="D1288" t="s">
        <v>124</v>
      </c>
      <c r="E1288" t="s">
        <v>2074</v>
      </c>
      <c r="F1288">
        <v>29</v>
      </c>
      <c r="G1288">
        <v>1</v>
      </c>
      <c r="H1288">
        <v>4.23011844331641E-4</v>
      </c>
      <c r="I1288">
        <v>3.4482758620689703E-2</v>
      </c>
      <c r="J1288" s="14" t="str">
        <f>_xlfn.XLOOKUP(B1288,CAD_PDV!A:A,CAD_PDV!B:B)</f>
        <v>EDUARDO JUNQUEIRA DA SILVEIRA ADMIN</v>
      </c>
      <c r="K1288" s="14">
        <f>IF(IFERROR(_xlfn.XLOOKUP(B1288,Planilha2!D:D,Planilha2!H:H),0)="SIM",1,0)</f>
        <v>0</v>
      </c>
      <c r="L1288" s="14" t="str">
        <f>_xlfn.XLOOKUP(B1288,CAD_PDV!A:A,CAD_PDV!C:C)</f>
        <v>RS</v>
      </c>
      <c r="M1288" s="14" t="str">
        <f>IFERROR(_xlfn.XLOOKUP(B1288,repete!A:A,repete!A:A),"-")</f>
        <v>-</v>
      </c>
    </row>
    <row r="1289" spans="1:13" hidden="1">
      <c r="A1289" s="1">
        <v>46113</v>
      </c>
      <c r="B1289" t="s">
        <v>761</v>
      </c>
      <c r="C1289" t="s">
        <v>616</v>
      </c>
      <c r="D1289" t="s">
        <v>239</v>
      </c>
      <c r="E1289" t="s">
        <v>59</v>
      </c>
      <c r="F1289">
        <v>26</v>
      </c>
      <c r="G1289">
        <v>1</v>
      </c>
      <c r="H1289">
        <v>4.23011844331641E-4</v>
      </c>
      <c r="I1289">
        <v>3.8461538461538498E-2</v>
      </c>
      <c r="J1289" s="14" t="str">
        <f>_xlfn.XLOOKUP(B1289,CAD_PDV!A:A,CAD_PDV!B:B)</f>
        <v>TELECELL TELEFONIA LTDA - ME</v>
      </c>
      <c r="K1289" s="14">
        <f>IF(IFERROR(_xlfn.XLOOKUP(B1289,Planilha2!D:D,Planilha2!H:H),0)="SIM",1,0)</f>
        <v>0</v>
      </c>
      <c r="L1289" s="14" t="str">
        <f>_xlfn.XLOOKUP(B1289,CAD_PDV!A:A,CAD_PDV!C:C)</f>
        <v>CO</v>
      </c>
      <c r="M1289" s="14" t="str">
        <f>IFERROR(_xlfn.XLOOKUP(B1289,repete!A:A,repete!A:A),"-")</f>
        <v>-</v>
      </c>
    </row>
    <row r="1290" spans="1:13" hidden="1">
      <c r="A1290" s="1">
        <v>46113</v>
      </c>
      <c r="B1290" t="s">
        <v>658</v>
      </c>
      <c r="C1290" t="s">
        <v>659</v>
      </c>
      <c r="D1290" t="s">
        <v>239</v>
      </c>
      <c r="E1290" t="s">
        <v>59</v>
      </c>
      <c r="F1290">
        <v>27</v>
      </c>
      <c r="G1290">
        <v>1</v>
      </c>
      <c r="H1290">
        <v>4.23011844331641E-4</v>
      </c>
      <c r="I1290">
        <v>3.7037037037037E-2</v>
      </c>
      <c r="J1290" s="14" t="str">
        <f>_xlfn.XLOOKUP(B1290,CAD_PDV!A:A,CAD_PDV!B:B)</f>
        <v>TELECELL TELEFONIA LTDA - ME</v>
      </c>
      <c r="K1290" s="14">
        <f>IF(IFERROR(_xlfn.XLOOKUP(B1290,Planilha2!D:D,Planilha2!H:H),0)="SIM",1,0)</f>
        <v>0</v>
      </c>
      <c r="L1290" s="14" t="str">
        <f>_xlfn.XLOOKUP(B1290,CAD_PDV!A:A,CAD_PDV!C:C)</f>
        <v>CO</v>
      </c>
      <c r="M1290" s="14" t="str">
        <f>IFERROR(_xlfn.XLOOKUP(B1290,repete!A:A,repete!A:A),"-")</f>
        <v>-</v>
      </c>
    </row>
    <row r="1291" spans="1:13" hidden="1">
      <c r="A1291" s="1">
        <v>46113</v>
      </c>
      <c r="B1291" t="s">
        <v>965</v>
      </c>
      <c r="C1291" t="s">
        <v>944</v>
      </c>
      <c r="D1291" t="s">
        <v>232</v>
      </c>
      <c r="E1291" t="s">
        <v>60</v>
      </c>
      <c r="F1291">
        <v>87</v>
      </c>
      <c r="G1291">
        <v>1</v>
      </c>
      <c r="H1291">
        <v>4.23011844331641E-4</v>
      </c>
      <c r="I1291">
        <v>1.1494252873563199E-2</v>
      </c>
      <c r="J1291" s="14" t="str">
        <f>_xlfn.XLOOKUP(B1291,CAD_PDV!A:A,CAD_PDV!B:B)</f>
        <v>HS TELECOM</v>
      </c>
      <c r="K1291" s="14">
        <f>IF(IFERROR(_xlfn.XLOOKUP(B1291,Planilha2!D:D,Planilha2!H:H),0)="SIM",1,0)</f>
        <v>0</v>
      </c>
      <c r="L1291" s="14" t="str">
        <f>_xlfn.XLOOKUP(B1291,CAD_PDV!A:A,CAD_PDV!C:C)</f>
        <v>BA/SE</v>
      </c>
      <c r="M1291" s="14" t="str">
        <f>IFERROR(_xlfn.XLOOKUP(B1291,repete!A:A,repete!A:A),"-")</f>
        <v>-</v>
      </c>
    </row>
    <row r="1292" spans="1:13" hidden="1">
      <c r="A1292" s="1">
        <v>46113</v>
      </c>
      <c r="B1292" t="s">
        <v>607</v>
      </c>
      <c r="C1292" t="s">
        <v>610</v>
      </c>
      <c r="D1292" t="s">
        <v>224</v>
      </c>
      <c r="E1292" t="s">
        <v>59</v>
      </c>
      <c r="F1292">
        <v>31</v>
      </c>
      <c r="G1292">
        <v>1</v>
      </c>
      <c r="H1292">
        <v>4.23011844331641E-4</v>
      </c>
      <c r="I1292">
        <v>3.2258064516128997E-2</v>
      </c>
      <c r="J1292" s="14" t="str">
        <f>_xlfn.XLOOKUP(B1292,CAD_PDV!A:A,CAD_PDV!B:B)</f>
        <v>CELNET COMERCIO E SERVICOS DE TELEFONIA LTDA ME</v>
      </c>
      <c r="K1292" s="14">
        <f>IF(IFERROR(_xlfn.XLOOKUP(B1292,Planilha2!D:D,Planilha2!H:H),0)="SIM",1,0)</f>
        <v>0</v>
      </c>
      <c r="L1292" s="14" t="str">
        <f>_xlfn.XLOOKUP(B1292,CAD_PDV!A:A,CAD_PDV!C:C)</f>
        <v>CO</v>
      </c>
      <c r="M1292" s="14" t="str">
        <f>IFERROR(_xlfn.XLOOKUP(B1292,repete!A:A,repete!A:A),"-")</f>
        <v>-</v>
      </c>
    </row>
    <row r="1293" spans="1:13" hidden="1">
      <c r="A1293" s="1">
        <v>46113</v>
      </c>
      <c r="B1293" t="s">
        <v>470</v>
      </c>
      <c r="C1293" t="s">
        <v>471</v>
      </c>
      <c r="D1293" t="s">
        <v>235</v>
      </c>
      <c r="E1293" t="s">
        <v>56</v>
      </c>
      <c r="F1293">
        <v>22</v>
      </c>
      <c r="G1293">
        <v>1</v>
      </c>
      <c r="H1293">
        <v>4.23011844331641E-4</v>
      </c>
      <c r="I1293">
        <v>4.5454545454545497E-2</v>
      </c>
      <c r="J1293" s="14" t="str">
        <f>_xlfn.XLOOKUP(B1293,CAD_PDV!A:A,CAD_PDV!B:B)</f>
        <v>P.G.L CELULARES LTDA</v>
      </c>
      <c r="K1293" s="14">
        <f>IF(IFERROR(_xlfn.XLOOKUP(B1293,Planilha2!D:D,Planilha2!H:H),0)="SIM",1,0)</f>
        <v>0</v>
      </c>
      <c r="L1293" s="14" t="str">
        <f>_xlfn.XLOOKUP(B1293,CAD_PDV!A:A,CAD_PDV!C:C)</f>
        <v>MG</v>
      </c>
      <c r="M1293" s="14" t="str">
        <f>IFERROR(_xlfn.XLOOKUP(B1293,repete!A:A,repete!A:A),"-")</f>
        <v>-</v>
      </c>
    </row>
    <row r="1294" spans="1:13" hidden="1">
      <c r="A1294" s="1">
        <v>46113</v>
      </c>
      <c r="B1294" t="s">
        <v>1818</v>
      </c>
      <c r="C1294" t="s">
        <v>1817</v>
      </c>
      <c r="D1294" t="s">
        <v>95</v>
      </c>
      <c r="E1294" t="s">
        <v>2074</v>
      </c>
      <c r="F1294">
        <v>19</v>
      </c>
      <c r="G1294">
        <v>1</v>
      </c>
      <c r="H1294">
        <v>4.23011844331641E-4</v>
      </c>
      <c r="I1294">
        <v>5.2631578947368397E-2</v>
      </c>
      <c r="J1294" s="14" t="str">
        <f>_xlfn.XLOOKUP(B1294,CAD_PDV!A:A,CAD_PDV!B:B)</f>
        <v>AYRES E DEBONI LTDA - ME</v>
      </c>
      <c r="K1294" s="14">
        <f>IF(IFERROR(_xlfn.XLOOKUP(B1294,Planilha2!D:D,Planilha2!H:H),0)="SIM",1,0)</f>
        <v>0</v>
      </c>
      <c r="L1294" s="14" t="str">
        <f>_xlfn.XLOOKUP(B1294,CAD_PDV!A:A,CAD_PDV!C:C)</f>
        <v>RS</v>
      </c>
      <c r="M1294" s="14" t="str">
        <f>IFERROR(_xlfn.XLOOKUP(B1294,repete!A:A,repete!A:A),"-")</f>
        <v>-</v>
      </c>
    </row>
    <row r="1295" spans="1:13" hidden="1">
      <c r="A1295" s="1">
        <v>46113</v>
      </c>
      <c r="B1295" t="s">
        <v>1721</v>
      </c>
      <c r="C1295" t="s">
        <v>1722</v>
      </c>
      <c r="D1295" t="s">
        <v>112</v>
      </c>
      <c r="E1295" t="s">
        <v>54</v>
      </c>
      <c r="F1295">
        <v>37</v>
      </c>
      <c r="G1295">
        <v>1</v>
      </c>
      <c r="H1295">
        <v>4.23011844331641E-4</v>
      </c>
      <c r="I1295">
        <v>2.7027027027027001E-2</v>
      </c>
      <c r="J1295" s="14" t="str">
        <f>_xlfn.XLOOKUP(B1295,CAD_PDV!A:A,CAD_PDV!B:B)</f>
        <v>CONVERGE.NET REPRESENTACOES COMERCIAIS LTDA - EPP</v>
      </c>
      <c r="K1295" s="14">
        <f>IF(IFERROR(_xlfn.XLOOKUP(B1295,Planilha2!D:D,Planilha2!H:H),0)="SIM",1,0)</f>
        <v>0</v>
      </c>
      <c r="L1295" s="14" t="str">
        <f>_xlfn.XLOOKUP(B1295,CAD_PDV!A:A,CAD_PDV!C:C)</f>
        <v>SP2</v>
      </c>
      <c r="M1295" s="14" t="str">
        <f>IFERROR(_xlfn.XLOOKUP(B1295,repete!A:A,repete!A:A),"-")</f>
        <v>-</v>
      </c>
    </row>
    <row r="1296" spans="1:13" hidden="1">
      <c r="A1296" s="1">
        <v>46113</v>
      </c>
      <c r="B1296" t="s">
        <v>1982</v>
      </c>
      <c r="C1296" t="s">
        <v>1983</v>
      </c>
      <c r="D1296" t="s">
        <v>97</v>
      </c>
      <c r="E1296" t="s">
        <v>2074</v>
      </c>
      <c r="F1296">
        <v>14</v>
      </c>
      <c r="G1296">
        <v>1</v>
      </c>
      <c r="H1296">
        <v>4.23011844331641E-4</v>
      </c>
      <c r="I1296">
        <v>7.1428571428571397E-2</v>
      </c>
      <c r="J1296" s="14" t="str">
        <f>_xlfn.XLOOKUP(B1296,CAD_PDV!A:A,CAD_PDV!B:B)</f>
        <v>BANDEIRA</v>
      </c>
      <c r="K1296" s="14">
        <f>IF(IFERROR(_xlfn.XLOOKUP(B1296,Planilha2!D:D,Planilha2!H:H),0)="SIM",1,0)</f>
        <v>0</v>
      </c>
      <c r="L1296" s="14" t="str">
        <f>_xlfn.XLOOKUP(B1296,CAD_PDV!A:A,CAD_PDV!C:C)</f>
        <v>PR/SC</v>
      </c>
      <c r="M1296" s="14" t="str">
        <f>IFERROR(_xlfn.XLOOKUP(B1296,repete!A:A,repete!A:A),"-")</f>
        <v>-</v>
      </c>
    </row>
    <row r="1297" spans="1:13" hidden="1">
      <c r="A1297" s="1">
        <v>46113</v>
      </c>
      <c r="B1297" t="s">
        <v>1178</v>
      </c>
      <c r="C1297" t="s">
        <v>1180</v>
      </c>
      <c r="D1297" t="s">
        <v>228</v>
      </c>
      <c r="E1297" t="s">
        <v>55</v>
      </c>
      <c r="F1297">
        <v>49</v>
      </c>
      <c r="G1297">
        <v>1</v>
      </c>
      <c r="H1297">
        <v>4.23011844331641E-4</v>
      </c>
      <c r="I1297">
        <v>2.04081632653061E-2</v>
      </c>
      <c r="J1297" s="14" t="str">
        <f>_xlfn.XLOOKUP(B1297,CAD_PDV!A:A,CAD_PDV!B:B)</f>
        <v>FAJULUTI</v>
      </c>
      <c r="K1297" s="14">
        <f>IF(IFERROR(_xlfn.XLOOKUP(B1297,Planilha2!D:D,Planilha2!H:H),0)="SIM",1,0)</f>
        <v>0</v>
      </c>
      <c r="L1297" s="14" t="str">
        <f>_xlfn.XLOOKUP(B1297,CAD_PDV!A:A,CAD_PDV!C:C)</f>
        <v>RJ/ES</v>
      </c>
      <c r="M1297" s="14" t="str">
        <f>IFERROR(_xlfn.XLOOKUP(B1297,repete!A:A,repete!A:A),"-")</f>
        <v>-</v>
      </c>
    </row>
    <row r="1298" spans="1:13" hidden="1">
      <c r="A1298" s="1">
        <v>46113</v>
      </c>
      <c r="B1298" t="s">
        <v>2029</v>
      </c>
      <c r="C1298" t="s">
        <v>2026</v>
      </c>
      <c r="D1298" t="s">
        <v>193</v>
      </c>
      <c r="E1298" t="s">
        <v>2074</v>
      </c>
      <c r="F1298">
        <v>31</v>
      </c>
      <c r="G1298">
        <v>1</v>
      </c>
      <c r="H1298">
        <v>4.23011844331641E-4</v>
      </c>
      <c r="I1298">
        <v>3.2258064516128997E-2</v>
      </c>
      <c r="J1298" s="14" t="str">
        <f>_xlfn.XLOOKUP(B1298,CAD_PDV!A:A,CAD_PDV!B:B)</f>
        <v>S D COMERCIO DE CELULARES LTDA - ME</v>
      </c>
      <c r="K1298" s="14">
        <f>IF(IFERROR(_xlfn.XLOOKUP(B1298,Planilha2!D:D,Planilha2!H:H),0)="SIM",1,0)</f>
        <v>0</v>
      </c>
      <c r="L1298" s="14" t="str">
        <f>_xlfn.XLOOKUP(B1298,CAD_PDV!A:A,CAD_PDV!C:C)</f>
        <v>RS</v>
      </c>
      <c r="M1298" s="14" t="str">
        <f>IFERROR(_xlfn.XLOOKUP(B1298,repete!A:A,repete!A:A),"-")</f>
        <v>-</v>
      </c>
    </row>
    <row r="1299" spans="1:13" hidden="1">
      <c r="A1299" s="1">
        <v>46113</v>
      </c>
      <c r="B1299" t="s">
        <v>1269</v>
      </c>
      <c r="C1299" t="s">
        <v>1142</v>
      </c>
      <c r="D1299" t="s">
        <v>237</v>
      </c>
      <c r="E1299" t="s">
        <v>55</v>
      </c>
      <c r="F1299">
        <v>275</v>
      </c>
      <c r="G1299">
        <v>1</v>
      </c>
      <c r="H1299">
        <v>4.23011844331641E-4</v>
      </c>
      <c r="I1299">
        <v>3.6363636363636398E-3</v>
      </c>
      <c r="J1299" s="14" t="str">
        <f>_xlfn.XLOOKUP(B1299,CAD_PDV!A:A,CAD_PDV!B:B)</f>
        <v>PONTO CERTO COMERCIO E COMUNICAÇÕES LTDA</v>
      </c>
      <c r="K1299" s="14">
        <f>IF(IFERROR(_xlfn.XLOOKUP(B1299,Planilha2!D:D,Planilha2!H:H),0)="SIM",1,0)</f>
        <v>0</v>
      </c>
      <c r="L1299" s="14" t="str">
        <f>_xlfn.XLOOKUP(B1299,CAD_PDV!A:A,CAD_PDV!C:C)</f>
        <v>RJ/ES</v>
      </c>
      <c r="M1299" s="14" t="str">
        <f>IFERROR(_xlfn.XLOOKUP(B1299,repete!A:A,repete!A:A),"-")</f>
        <v>-</v>
      </c>
    </row>
    <row r="1300" spans="1:13" hidden="1">
      <c r="A1300" s="1">
        <v>46113</v>
      </c>
      <c r="B1300" t="s">
        <v>1733</v>
      </c>
      <c r="C1300" t="s">
        <v>1734</v>
      </c>
      <c r="D1300" t="s">
        <v>220</v>
      </c>
      <c r="E1300" t="s">
        <v>54</v>
      </c>
      <c r="F1300">
        <v>18</v>
      </c>
      <c r="G1300">
        <v>1</v>
      </c>
      <c r="H1300">
        <v>4.23011844331641E-4</v>
      </c>
      <c r="I1300">
        <v>5.5555555555555601E-2</v>
      </c>
      <c r="J1300" s="14" t="str">
        <f>_xlfn.XLOOKUP(B1300,CAD_PDV!A:A,CAD_PDV!B:B)</f>
        <v>ADESIENE NUNES MACHADO - ME</v>
      </c>
      <c r="K1300" s="14">
        <f>IF(IFERROR(_xlfn.XLOOKUP(B1300,Planilha2!D:D,Planilha2!H:H),0)="SIM",1,0)</f>
        <v>0</v>
      </c>
      <c r="L1300" s="14" t="str">
        <f>_xlfn.XLOOKUP(B1300,CAD_PDV!A:A,CAD_PDV!C:C)</f>
        <v>SP2</v>
      </c>
      <c r="M1300" s="14" t="str">
        <f>IFERROR(_xlfn.XLOOKUP(B1300,repete!A:A,repete!A:A),"-")</f>
        <v>YEZ1</v>
      </c>
    </row>
    <row r="1301" spans="1:13" hidden="1">
      <c r="A1301" s="1">
        <v>46113</v>
      </c>
      <c r="B1301" t="s">
        <v>1270</v>
      </c>
      <c r="C1301" t="s">
        <v>1142</v>
      </c>
      <c r="D1301" t="s">
        <v>237</v>
      </c>
      <c r="E1301" t="s">
        <v>55</v>
      </c>
      <c r="F1301">
        <v>106</v>
      </c>
      <c r="G1301">
        <v>1</v>
      </c>
      <c r="H1301">
        <v>4.23011844331641E-4</v>
      </c>
      <c r="I1301">
        <v>9.4339622641509396E-3</v>
      </c>
      <c r="J1301" s="14" t="str">
        <f>_xlfn.XLOOKUP(B1301,CAD_PDV!A:A,CAD_PDV!B:B)</f>
        <v>PONTO CERTO COMERCIO E COMUNICAÇÕES LTDA</v>
      </c>
      <c r="K1301" s="14">
        <f>IF(IFERROR(_xlfn.XLOOKUP(B1301,Planilha2!D:D,Planilha2!H:H),0)="SIM",1,0)</f>
        <v>0</v>
      </c>
      <c r="L1301" s="14" t="str">
        <f>_xlfn.XLOOKUP(B1301,CAD_PDV!A:A,CAD_PDV!C:C)</f>
        <v>RJ/ES</v>
      </c>
      <c r="M1301" s="14" t="str">
        <f>IFERROR(_xlfn.XLOOKUP(B1301,repete!A:A,repete!A:A),"-")</f>
        <v>-</v>
      </c>
    </row>
    <row r="1302" spans="1:13" hidden="1">
      <c r="A1302" s="1">
        <v>46113</v>
      </c>
      <c r="B1302" t="s">
        <v>1271</v>
      </c>
      <c r="C1302" t="s">
        <v>1142</v>
      </c>
      <c r="D1302" t="s">
        <v>233</v>
      </c>
      <c r="E1302" t="s">
        <v>55</v>
      </c>
      <c r="F1302">
        <v>26</v>
      </c>
      <c r="G1302">
        <v>1</v>
      </c>
      <c r="H1302">
        <v>4.23011844331641E-4</v>
      </c>
      <c r="I1302">
        <v>3.8461538461538498E-2</v>
      </c>
      <c r="J1302" s="14" t="str">
        <f>_xlfn.XLOOKUP(B1302,CAD_PDV!A:A,CAD_PDV!B:B)</f>
        <v>LEINAD COMERCIO E SERVICO EIRELI</v>
      </c>
      <c r="K1302" s="14">
        <f>IF(IFERROR(_xlfn.XLOOKUP(B1302,Planilha2!D:D,Planilha2!H:H),0)="SIM",1,0)</f>
        <v>0</v>
      </c>
      <c r="L1302" s="14" t="str">
        <f>_xlfn.XLOOKUP(B1302,CAD_PDV!A:A,CAD_PDV!C:C)</f>
        <v>RJ/ES</v>
      </c>
      <c r="M1302" s="14" t="str">
        <f>IFERROR(_xlfn.XLOOKUP(B1302,repete!A:A,repete!A:A),"-")</f>
        <v>-</v>
      </c>
    </row>
    <row r="1303" spans="1:13" hidden="1">
      <c r="A1303" s="1">
        <v>46113</v>
      </c>
      <c r="B1303" t="s">
        <v>762</v>
      </c>
      <c r="C1303" t="s">
        <v>763</v>
      </c>
      <c r="D1303" t="s">
        <v>239</v>
      </c>
      <c r="E1303" t="s">
        <v>59</v>
      </c>
      <c r="F1303">
        <v>21</v>
      </c>
      <c r="G1303">
        <v>1</v>
      </c>
      <c r="H1303">
        <v>4.23011844331641E-4</v>
      </c>
      <c r="I1303">
        <v>4.7619047619047603E-2</v>
      </c>
      <c r="J1303" s="14" t="str">
        <f>_xlfn.XLOOKUP(B1303,CAD_PDV!A:A,CAD_PDV!B:B)</f>
        <v>TELECELL TELEFONIA LTDA - ME</v>
      </c>
      <c r="K1303" s="14">
        <f>IF(IFERROR(_xlfn.XLOOKUP(B1303,Planilha2!D:D,Planilha2!H:H),0)="SIM",1,0)</f>
        <v>0</v>
      </c>
      <c r="L1303" s="14" t="str">
        <f>_xlfn.XLOOKUP(B1303,CAD_PDV!A:A,CAD_PDV!C:C)</f>
        <v>CO</v>
      </c>
      <c r="M1303" s="14" t="str">
        <f>IFERROR(_xlfn.XLOOKUP(B1303,repete!A:A,repete!A:A),"-")</f>
        <v>-</v>
      </c>
    </row>
    <row r="1304" spans="1:13" hidden="1">
      <c r="A1304" s="1">
        <v>46143</v>
      </c>
      <c r="B1304" t="s">
        <v>1571</v>
      </c>
      <c r="C1304" t="s">
        <v>1535</v>
      </c>
      <c r="D1304" t="s">
        <v>232</v>
      </c>
      <c r="E1304" t="s">
        <v>54</v>
      </c>
      <c r="F1304">
        <v>182</v>
      </c>
      <c r="G1304">
        <v>68</v>
      </c>
      <c r="H1304">
        <v>2.3129251700680298E-2</v>
      </c>
      <c r="I1304">
        <v>0.37362637362637402</v>
      </c>
      <c r="J1304" s="14" t="str">
        <f>_xlfn.XLOOKUP(B1304,CAD_PDV!A:A,CAD_PDV!B:B)</f>
        <v>HS TELECOM</v>
      </c>
      <c r="K1304" s="14">
        <f>IF(IFERROR(_xlfn.XLOOKUP(B1304,Planilha2!D:D,Planilha2!H:H),0)="SIM",1,0)</f>
        <v>0</v>
      </c>
      <c r="L1304" s="14" t="str">
        <f>_xlfn.XLOOKUP(B1304,CAD_PDV!A:A,CAD_PDV!C:C)</f>
        <v>SP2</v>
      </c>
      <c r="M1304" s="14" t="str">
        <f>IFERROR(_xlfn.XLOOKUP(B1304,repete!A:A,repete!A:A),"-")</f>
        <v>-</v>
      </c>
    </row>
    <row r="1305" spans="1:13" hidden="1">
      <c r="A1305" s="1">
        <v>46143</v>
      </c>
      <c r="B1305" t="s">
        <v>1496</v>
      </c>
      <c r="C1305" t="s">
        <v>1464</v>
      </c>
      <c r="D1305" t="s">
        <v>132</v>
      </c>
      <c r="E1305" t="s">
        <v>54</v>
      </c>
      <c r="F1305">
        <v>173</v>
      </c>
      <c r="G1305">
        <v>64</v>
      </c>
      <c r="H1305">
        <v>2.1768707482993199E-2</v>
      </c>
      <c r="I1305">
        <v>0.369942196531792</v>
      </c>
      <c r="J1305" s="14" t="str">
        <f>_xlfn.XLOOKUP(B1305,CAD_PDV!A:A,CAD_PDV!B:B)</f>
        <v>FLEX CELL</v>
      </c>
      <c r="K1305" s="14">
        <f>IF(IFERROR(_xlfn.XLOOKUP(B1305,Planilha2!D:D,Planilha2!H:H),0)="SIM",1,0)</f>
        <v>0</v>
      </c>
      <c r="L1305" s="14" t="str">
        <f>_xlfn.XLOOKUP(B1305,CAD_PDV!A:A,CAD_PDV!C:C)</f>
        <v>SP2</v>
      </c>
      <c r="M1305" s="14" t="str">
        <f>IFERROR(_xlfn.XLOOKUP(B1305,repete!A:A,repete!A:A),"-")</f>
        <v>-</v>
      </c>
    </row>
    <row r="1306" spans="1:13" hidden="1">
      <c r="A1306" s="1">
        <v>46143</v>
      </c>
      <c r="B1306" t="s">
        <v>1672</v>
      </c>
      <c r="C1306" t="s">
        <v>1668</v>
      </c>
      <c r="D1306" t="s">
        <v>232</v>
      </c>
      <c r="E1306" t="s">
        <v>54</v>
      </c>
      <c r="F1306">
        <v>215</v>
      </c>
      <c r="G1306">
        <v>61</v>
      </c>
      <c r="H1306">
        <v>2.0748299319727902E-2</v>
      </c>
      <c r="I1306">
        <v>0.28372093023255801</v>
      </c>
      <c r="J1306" s="14" t="str">
        <f>_xlfn.XLOOKUP(B1306,CAD_PDV!A:A,CAD_PDV!B:B)</f>
        <v>HS TELECOM</v>
      </c>
      <c r="K1306" s="14">
        <f>IF(IFERROR(_xlfn.XLOOKUP(B1306,Planilha2!D:D,Planilha2!H:H),0)="SIM",1,0)</f>
        <v>0</v>
      </c>
      <c r="L1306" s="14" t="str">
        <f>_xlfn.XLOOKUP(B1306,CAD_PDV!A:A,CAD_PDV!C:C)</f>
        <v>SP2</v>
      </c>
      <c r="M1306" s="14" t="str">
        <f>IFERROR(_xlfn.XLOOKUP(B1306,repete!A:A,repete!A:A),"-")</f>
        <v>-</v>
      </c>
    </row>
    <row r="1307" spans="1:13" hidden="1">
      <c r="A1307" s="1">
        <v>46143</v>
      </c>
      <c r="B1307" t="s">
        <v>1675</v>
      </c>
      <c r="C1307" t="s">
        <v>1676</v>
      </c>
      <c r="D1307" t="s">
        <v>232</v>
      </c>
      <c r="E1307" t="s">
        <v>54</v>
      </c>
      <c r="F1307">
        <v>153</v>
      </c>
      <c r="G1307">
        <v>54</v>
      </c>
      <c r="H1307">
        <v>1.8367346938775501E-2</v>
      </c>
      <c r="I1307">
        <v>0.35294117647058798</v>
      </c>
      <c r="J1307" s="14" t="str">
        <f>_xlfn.XLOOKUP(B1307,CAD_PDV!A:A,CAD_PDV!B:B)</f>
        <v>HS TELECOM</v>
      </c>
      <c r="K1307" s="14">
        <f>IF(IFERROR(_xlfn.XLOOKUP(B1307,Planilha2!D:D,Planilha2!H:H),0)="SIM",1,0)</f>
        <v>0</v>
      </c>
      <c r="L1307" s="14" t="str">
        <f>_xlfn.XLOOKUP(B1307,CAD_PDV!A:A,CAD_PDV!C:C)</f>
        <v>SP2</v>
      </c>
      <c r="M1307" s="14" t="str">
        <f>IFERROR(_xlfn.XLOOKUP(B1307,repete!A:A,repete!A:A),"-")</f>
        <v>-</v>
      </c>
    </row>
    <row r="1308" spans="1:13" hidden="1">
      <c r="A1308" s="1">
        <v>46143</v>
      </c>
      <c r="B1308" t="s">
        <v>1611</v>
      </c>
      <c r="C1308" t="s">
        <v>1527</v>
      </c>
      <c r="D1308" t="s">
        <v>232</v>
      </c>
      <c r="E1308" t="s">
        <v>54</v>
      </c>
      <c r="F1308">
        <v>236</v>
      </c>
      <c r="G1308">
        <v>46</v>
      </c>
      <c r="H1308">
        <v>1.56462585034014E-2</v>
      </c>
      <c r="I1308">
        <v>0.194915254237288</v>
      </c>
      <c r="J1308" s="14" t="str">
        <f>_xlfn.XLOOKUP(B1308,CAD_PDV!A:A,CAD_PDV!B:B)</f>
        <v>HS TELECOM</v>
      </c>
      <c r="K1308" s="14">
        <f>IF(IFERROR(_xlfn.XLOOKUP(B1308,Planilha2!D:D,Planilha2!H:H),0)="SIM",1,0)</f>
        <v>0</v>
      </c>
      <c r="L1308" s="14" t="str">
        <f>_xlfn.XLOOKUP(B1308,CAD_PDV!A:A,CAD_PDV!C:C)</f>
        <v>SP2</v>
      </c>
      <c r="M1308" s="14" t="str">
        <f>IFERROR(_xlfn.XLOOKUP(B1308,repete!A:A,repete!A:A),"-")</f>
        <v>-</v>
      </c>
    </row>
    <row r="1309" spans="1:13" hidden="1">
      <c r="A1309" s="1">
        <v>46143</v>
      </c>
      <c r="B1309" t="s">
        <v>1662</v>
      </c>
      <c r="C1309" t="s">
        <v>1663</v>
      </c>
      <c r="D1309" t="s">
        <v>232</v>
      </c>
      <c r="E1309" t="s">
        <v>54</v>
      </c>
      <c r="F1309">
        <v>137</v>
      </c>
      <c r="G1309">
        <v>44</v>
      </c>
      <c r="H1309">
        <v>1.49659863945578E-2</v>
      </c>
      <c r="I1309">
        <v>0.321167883211679</v>
      </c>
      <c r="J1309" s="14" t="str">
        <f>_xlfn.XLOOKUP(B1309,CAD_PDV!A:A,CAD_PDV!B:B)</f>
        <v>HS TELECOM</v>
      </c>
      <c r="K1309" s="14">
        <f>IF(IFERROR(_xlfn.XLOOKUP(B1309,Planilha2!D:D,Planilha2!H:H),0)="SIM",1,0)</f>
        <v>0</v>
      </c>
      <c r="L1309" s="14" t="str">
        <f>_xlfn.XLOOKUP(B1309,CAD_PDV!A:A,CAD_PDV!C:C)</f>
        <v>SP2</v>
      </c>
      <c r="M1309" s="14" t="str">
        <f>IFERROR(_xlfn.XLOOKUP(B1309,repete!A:A,repete!A:A),"-")</f>
        <v>-</v>
      </c>
    </row>
    <row r="1310" spans="1:13" hidden="1">
      <c r="A1310" s="1">
        <v>46143</v>
      </c>
      <c r="B1310" t="s">
        <v>897</v>
      </c>
      <c r="C1310" t="s">
        <v>873</v>
      </c>
      <c r="D1310" t="s">
        <v>224</v>
      </c>
      <c r="E1310" t="s">
        <v>59</v>
      </c>
      <c r="F1310">
        <v>151</v>
      </c>
      <c r="G1310">
        <v>44</v>
      </c>
      <c r="H1310">
        <v>1.49659863945578E-2</v>
      </c>
      <c r="I1310">
        <v>0.29139072847682101</v>
      </c>
      <c r="J1310" s="14" t="str">
        <f>_xlfn.XLOOKUP(B1310,CAD_PDV!A:A,CAD_PDV!B:B)</f>
        <v>CELNET COMERCIO E SERVICOS DE TELEFONIA LTDA ME</v>
      </c>
      <c r="K1310" s="14">
        <f>IF(IFERROR(_xlfn.XLOOKUP(B1310,Planilha2!D:D,Planilha2!H:H),0)="SIM",1,0)</f>
        <v>0</v>
      </c>
      <c r="L1310" s="14" t="str">
        <f>_xlfn.XLOOKUP(B1310,CAD_PDV!A:A,CAD_PDV!C:C)</f>
        <v>CO</v>
      </c>
      <c r="M1310" s="14" t="str">
        <f>IFERROR(_xlfn.XLOOKUP(B1310,repete!A:A,repete!A:A),"-")</f>
        <v>-</v>
      </c>
    </row>
    <row r="1311" spans="1:13" hidden="1">
      <c r="A1311" s="1">
        <v>46143</v>
      </c>
      <c r="B1311" t="s">
        <v>1689</v>
      </c>
      <c r="C1311" t="s">
        <v>1527</v>
      </c>
      <c r="D1311" t="s">
        <v>232</v>
      </c>
      <c r="E1311" t="s">
        <v>54</v>
      </c>
      <c r="F1311">
        <v>127</v>
      </c>
      <c r="G1311">
        <v>43</v>
      </c>
      <c r="H1311">
        <v>1.4625850340136101E-2</v>
      </c>
      <c r="I1311">
        <v>0.33858267716535401</v>
      </c>
      <c r="J1311" s="14" t="str">
        <f>_xlfn.XLOOKUP(B1311,CAD_PDV!A:A,CAD_PDV!B:B)</f>
        <v>HS TELECOM</v>
      </c>
      <c r="K1311" s="14">
        <f>IF(IFERROR(_xlfn.XLOOKUP(B1311,Planilha2!D:D,Planilha2!H:H),0)="SIM",1,0)</f>
        <v>0</v>
      </c>
      <c r="L1311" s="14" t="str">
        <f>_xlfn.XLOOKUP(B1311,CAD_PDV!A:A,CAD_PDV!C:C)</f>
        <v>SP2</v>
      </c>
      <c r="M1311" s="14" t="str">
        <f>IFERROR(_xlfn.XLOOKUP(B1311,repete!A:A,repete!A:A),"-")</f>
        <v>-</v>
      </c>
    </row>
    <row r="1312" spans="1:13" hidden="1">
      <c r="A1312" s="1">
        <v>46143</v>
      </c>
      <c r="B1312" t="s">
        <v>286</v>
      </c>
      <c r="C1312" t="s">
        <v>288</v>
      </c>
      <c r="D1312" t="s">
        <v>230</v>
      </c>
      <c r="E1312" t="s">
        <v>61</v>
      </c>
      <c r="F1312">
        <v>132</v>
      </c>
      <c r="G1312">
        <v>39</v>
      </c>
      <c r="H1312">
        <v>1.3265306122449E-2</v>
      </c>
      <c r="I1312">
        <v>0.29545454545454503</v>
      </c>
      <c r="J1312" s="14" t="str">
        <f>_xlfn.XLOOKUP(B1312,CAD_PDV!A:A,CAD_PDV!B:B)</f>
        <v>HARCOS COMERCIO E SERVICOS LTDA - EPP</v>
      </c>
      <c r="K1312" s="14">
        <f>IF(IFERROR(_xlfn.XLOOKUP(B1312,Planilha2!D:D,Planilha2!H:H),0)="SIM",1,0)</f>
        <v>0</v>
      </c>
      <c r="L1312" s="14" t="str">
        <f>_xlfn.XLOOKUP(B1312,CAD_PDV!A:A,CAD_PDV!C:C)</f>
        <v>NE</v>
      </c>
      <c r="M1312" s="14" t="str">
        <f>IFERROR(_xlfn.XLOOKUP(B1312,repete!A:A,repete!A:A),"-")</f>
        <v>-</v>
      </c>
    </row>
    <row r="1313" spans="1:13" hidden="1">
      <c r="A1313" s="1">
        <v>46143</v>
      </c>
      <c r="B1313" t="s">
        <v>548</v>
      </c>
      <c r="C1313" t="s">
        <v>475</v>
      </c>
      <c r="D1313" t="s">
        <v>228</v>
      </c>
      <c r="E1313" t="s">
        <v>56</v>
      </c>
      <c r="F1313">
        <v>133</v>
      </c>
      <c r="G1313">
        <v>36</v>
      </c>
      <c r="H1313">
        <v>1.2244897959183701E-2</v>
      </c>
      <c r="I1313">
        <v>0.27067669172932302</v>
      </c>
      <c r="J1313" s="14" t="str">
        <f>_xlfn.XLOOKUP(B1313,CAD_PDV!A:A,CAD_PDV!B:B)</f>
        <v>FAJULUTI</v>
      </c>
      <c r="K1313" s="14">
        <f>IF(IFERROR(_xlfn.XLOOKUP(B1313,Planilha2!D:D,Planilha2!H:H),0)="SIM",1,0)</f>
        <v>0</v>
      </c>
      <c r="L1313" s="14" t="str">
        <f>_xlfn.XLOOKUP(B1313,CAD_PDV!A:A,CAD_PDV!C:C)</f>
        <v>MG</v>
      </c>
      <c r="M1313" s="14" t="str">
        <f>IFERROR(_xlfn.XLOOKUP(B1313,repete!A:A,repete!A:A),"-")</f>
        <v>-</v>
      </c>
    </row>
    <row r="1314" spans="1:13" hidden="1">
      <c r="A1314" s="1">
        <v>46143</v>
      </c>
      <c r="B1314" t="s">
        <v>831</v>
      </c>
      <c r="C1314" t="s">
        <v>820</v>
      </c>
      <c r="D1314" t="s">
        <v>239</v>
      </c>
      <c r="E1314" t="s">
        <v>59</v>
      </c>
      <c r="F1314">
        <v>136</v>
      </c>
      <c r="G1314">
        <v>35</v>
      </c>
      <c r="H1314">
        <v>1.1904761904761901E-2</v>
      </c>
      <c r="I1314">
        <v>0.25735294117647101</v>
      </c>
      <c r="J1314" s="14" t="str">
        <f>_xlfn.XLOOKUP(B1314,CAD_PDV!A:A,CAD_PDV!B:B)</f>
        <v>TELECELL TELEFONIA LTDA - ME</v>
      </c>
      <c r="K1314" s="14">
        <f>IF(IFERROR(_xlfn.XLOOKUP(B1314,Planilha2!D:D,Planilha2!H:H),0)="SIM",1,0)</f>
        <v>0</v>
      </c>
      <c r="L1314" s="14" t="str">
        <f>_xlfn.XLOOKUP(B1314,CAD_PDV!A:A,CAD_PDV!C:C)</f>
        <v>CO</v>
      </c>
      <c r="M1314" s="14" t="str">
        <f>IFERROR(_xlfn.XLOOKUP(B1314,repete!A:A,repete!A:A),"-")</f>
        <v>-</v>
      </c>
    </row>
    <row r="1315" spans="1:13" hidden="1">
      <c r="A1315" s="1">
        <v>46143</v>
      </c>
      <c r="B1315" t="s">
        <v>1217</v>
      </c>
      <c r="C1315" t="s">
        <v>1152</v>
      </c>
      <c r="D1315" t="s">
        <v>228</v>
      </c>
      <c r="E1315" t="s">
        <v>55</v>
      </c>
      <c r="F1315">
        <v>92</v>
      </c>
      <c r="G1315">
        <v>34</v>
      </c>
      <c r="H1315">
        <v>1.1564625850340101E-2</v>
      </c>
      <c r="I1315">
        <v>0.36956521739130399</v>
      </c>
      <c r="J1315" s="14" t="str">
        <f>_xlfn.XLOOKUP(B1315,CAD_PDV!A:A,CAD_PDV!B:B)</f>
        <v>FAJULUTI</v>
      </c>
      <c r="K1315" s="14">
        <f>IF(IFERROR(_xlfn.XLOOKUP(B1315,Planilha2!D:D,Planilha2!H:H),0)="SIM",1,0)</f>
        <v>0</v>
      </c>
      <c r="L1315" s="14" t="str">
        <f>_xlfn.XLOOKUP(B1315,CAD_PDV!A:A,CAD_PDV!C:C)</f>
        <v>RJ/ES</v>
      </c>
      <c r="M1315" s="14" t="str">
        <f>IFERROR(_xlfn.XLOOKUP(B1315,repete!A:A,repete!A:A),"-")</f>
        <v>-</v>
      </c>
    </row>
    <row r="1316" spans="1:13" hidden="1">
      <c r="A1316" s="1">
        <v>46143</v>
      </c>
      <c r="B1316" t="s">
        <v>888</v>
      </c>
      <c r="C1316" t="s">
        <v>873</v>
      </c>
      <c r="D1316" t="s">
        <v>224</v>
      </c>
      <c r="E1316" t="s">
        <v>59</v>
      </c>
      <c r="F1316">
        <v>147</v>
      </c>
      <c r="G1316">
        <v>34</v>
      </c>
      <c r="H1316">
        <v>1.1564625850340101E-2</v>
      </c>
      <c r="I1316">
        <v>0.23129251700680301</v>
      </c>
      <c r="J1316" s="14" t="str">
        <f>_xlfn.XLOOKUP(B1316,CAD_PDV!A:A,CAD_PDV!B:B)</f>
        <v>CELNET COMERCIO E SERVICOS DE TELEFONIA LTDA ME</v>
      </c>
      <c r="K1316" s="14">
        <f>IF(IFERROR(_xlfn.XLOOKUP(B1316,Planilha2!D:D,Planilha2!H:H),0)="SIM",1,0)</f>
        <v>0</v>
      </c>
      <c r="L1316" s="14" t="str">
        <f>_xlfn.XLOOKUP(B1316,CAD_PDV!A:A,CAD_PDV!C:C)</f>
        <v>CO</v>
      </c>
      <c r="M1316" s="14" t="str">
        <f>IFERROR(_xlfn.XLOOKUP(B1316,repete!A:A,repete!A:A),"-")</f>
        <v>-</v>
      </c>
    </row>
    <row r="1317" spans="1:13" hidden="1">
      <c r="A1317" s="1">
        <v>46143</v>
      </c>
      <c r="B1317" t="s">
        <v>1139</v>
      </c>
      <c r="C1317" t="s">
        <v>1142</v>
      </c>
      <c r="D1317" t="s">
        <v>228</v>
      </c>
      <c r="E1317" t="s">
        <v>55</v>
      </c>
      <c r="F1317">
        <v>169</v>
      </c>
      <c r="G1317">
        <v>30</v>
      </c>
      <c r="H1317">
        <v>1.02040816326531E-2</v>
      </c>
      <c r="I1317">
        <v>0.177514792899408</v>
      </c>
      <c r="J1317" s="14" t="str">
        <f>_xlfn.XLOOKUP(B1317,CAD_PDV!A:A,CAD_PDV!B:B)</f>
        <v>FAJULUTI</v>
      </c>
      <c r="K1317" s="14">
        <f>IF(IFERROR(_xlfn.XLOOKUP(B1317,Planilha2!D:D,Planilha2!H:H),0)="SIM",1,0)</f>
        <v>0</v>
      </c>
      <c r="L1317" s="14" t="str">
        <f>_xlfn.XLOOKUP(B1317,CAD_PDV!A:A,CAD_PDV!C:C)</f>
        <v>RJ/ES</v>
      </c>
      <c r="M1317" s="14" t="str">
        <f>IFERROR(_xlfn.XLOOKUP(B1317,repete!A:A,repete!A:A),"-")</f>
        <v>-</v>
      </c>
    </row>
    <row r="1318" spans="1:13" hidden="1">
      <c r="A1318" s="1">
        <v>46143</v>
      </c>
      <c r="B1318" t="s">
        <v>872</v>
      </c>
      <c r="C1318" t="s">
        <v>873</v>
      </c>
      <c r="D1318" t="s">
        <v>239</v>
      </c>
      <c r="E1318" t="s">
        <v>59</v>
      </c>
      <c r="F1318">
        <v>128</v>
      </c>
      <c r="G1318">
        <v>29</v>
      </c>
      <c r="H1318">
        <v>9.8639455782312899E-3</v>
      </c>
      <c r="I1318">
        <v>0.2265625</v>
      </c>
      <c r="J1318" s="14" t="str">
        <f>_xlfn.XLOOKUP(B1318,CAD_PDV!A:A,CAD_PDV!B:B)</f>
        <v>TELECELL TELEFONIA LTDA - ME</v>
      </c>
      <c r="K1318" s="14">
        <f>IF(IFERROR(_xlfn.XLOOKUP(B1318,Planilha2!D:D,Planilha2!H:H),0)="SIM",1,0)</f>
        <v>0</v>
      </c>
      <c r="L1318" s="14" t="str">
        <f>_xlfn.XLOOKUP(B1318,CAD_PDV!A:A,CAD_PDV!C:C)</f>
        <v>CO</v>
      </c>
      <c r="M1318" s="14" t="str">
        <f>IFERROR(_xlfn.XLOOKUP(B1318,repete!A:A,repete!A:A),"-")</f>
        <v>-</v>
      </c>
    </row>
    <row r="1319" spans="1:13" hidden="1">
      <c r="A1319" s="1">
        <v>46143</v>
      </c>
      <c r="B1319" t="s">
        <v>1685</v>
      </c>
      <c r="C1319" t="s">
        <v>1686</v>
      </c>
      <c r="D1319" t="s">
        <v>232</v>
      </c>
      <c r="E1319" t="s">
        <v>54</v>
      </c>
      <c r="F1319">
        <v>139</v>
      </c>
      <c r="G1319">
        <v>29</v>
      </c>
      <c r="H1319">
        <v>9.8639455782312899E-3</v>
      </c>
      <c r="I1319">
        <v>0.20863309352518</v>
      </c>
      <c r="J1319" s="14" t="str">
        <f>_xlfn.XLOOKUP(B1319,CAD_PDV!A:A,CAD_PDV!B:B)</f>
        <v>HS TELECOM</v>
      </c>
      <c r="K1319" s="14">
        <f>IF(IFERROR(_xlfn.XLOOKUP(B1319,Planilha2!D:D,Planilha2!H:H),0)="SIM",1,0)</f>
        <v>0</v>
      </c>
      <c r="L1319" s="14" t="str">
        <f>_xlfn.XLOOKUP(B1319,CAD_PDV!A:A,CAD_PDV!C:C)</f>
        <v>SP2</v>
      </c>
      <c r="M1319" s="14" t="str">
        <f>IFERROR(_xlfn.XLOOKUP(B1319,repete!A:A,repete!A:A),"-")</f>
        <v>-</v>
      </c>
    </row>
    <row r="1320" spans="1:13" hidden="1">
      <c r="A1320" s="1">
        <v>46143</v>
      </c>
      <c r="B1320" t="s">
        <v>1756</v>
      </c>
      <c r="C1320" t="s">
        <v>1757</v>
      </c>
      <c r="D1320" t="s">
        <v>124</v>
      </c>
      <c r="E1320" t="s">
        <v>2074</v>
      </c>
      <c r="F1320">
        <v>208</v>
      </c>
      <c r="G1320">
        <v>28</v>
      </c>
      <c r="H1320">
        <v>9.5238095238095195E-3</v>
      </c>
      <c r="I1320">
        <v>0.134615384615385</v>
      </c>
      <c r="J1320" s="14" t="str">
        <f>_xlfn.XLOOKUP(B1320,CAD_PDV!A:A,CAD_PDV!B:B)</f>
        <v>EDUARDO JUNQUEIRA DA SILVEIRA ADMIN</v>
      </c>
      <c r="K1320" s="14">
        <f>IF(IFERROR(_xlfn.XLOOKUP(B1320,Planilha2!D:D,Planilha2!H:H),0)="SIM",1,0)</f>
        <v>0</v>
      </c>
      <c r="L1320" s="14" t="str">
        <f>_xlfn.XLOOKUP(B1320,CAD_PDV!A:A,CAD_PDV!C:C)</f>
        <v>RS</v>
      </c>
      <c r="M1320" s="14" t="str">
        <f>IFERROR(_xlfn.XLOOKUP(B1320,repete!A:A,repete!A:A),"-")</f>
        <v>-</v>
      </c>
    </row>
    <row r="1321" spans="1:13" hidden="1">
      <c r="A1321" s="1">
        <v>46143</v>
      </c>
      <c r="B1321" t="s">
        <v>1548</v>
      </c>
      <c r="C1321" t="s">
        <v>1545</v>
      </c>
      <c r="D1321" t="s">
        <v>232</v>
      </c>
      <c r="E1321" t="s">
        <v>54</v>
      </c>
      <c r="F1321">
        <v>99</v>
      </c>
      <c r="G1321">
        <v>27</v>
      </c>
      <c r="H1321">
        <v>9.1836734693877594E-3</v>
      </c>
      <c r="I1321">
        <v>0.27272727272727298</v>
      </c>
      <c r="J1321" s="14" t="str">
        <f>_xlfn.XLOOKUP(B1321,CAD_PDV!A:A,CAD_PDV!B:B)</f>
        <v>HS TELECOM</v>
      </c>
      <c r="K1321" s="14">
        <f>IF(IFERROR(_xlfn.XLOOKUP(B1321,Planilha2!D:D,Planilha2!H:H),0)="SIM",1,0)</f>
        <v>0</v>
      </c>
      <c r="L1321" s="14" t="str">
        <f>_xlfn.XLOOKUP(B1321,CAD_PDV!A:A,CAD_PDV!C:C)</f>
        <v>SP2</v>
      </c>
      <c r="M1321" s="14" t="str">
        <f>IFERROR(_xlfn.XLOOKUP(B1321,repete!A:A,repete!A:A),"-")</f>
        <v>-</v>
      </c>
    </row>
    <row r="1322" spans="1:13" hidden="1">
      <c r="A1322" s="1">
        <v>46143</v>
      </c>
      <c r="B1322" t="s">
        <v>747</v>
      </c>
      <c r="C1322" t="s">
        <v>610</v>
      </c>
      <c r="D1322" t="s">
        <v>224</v>
      </c>
      <c r="E1322" t="s">
        <v>59</v>
      </c>
      <c r="F1322">
        <v>117</v>
      </c>
      <c r="G1322">
        <v>27</v>
      </c>
      <c r="H1322">
        <v>9.1836734693877594E-3</v>
      </c>
      <c r="I1322">
        <v>0.230769230769231</v>
      </c>
      <c r="J1322" s="14" t="str">
        <f>_xlfn.XLOOKUP(B1322,CAD_PDV!A:A,CAD_PDV!B:B)</f>
        <v>CELNET COMERCIO E SERVICOS DE TELEFONIA LTDA ME</v>
      </c>
      <c r="K1322" s="14">
        <f>IF(IFERROR(_xlfn.XLOOKUP(B1322,Planilha2!D:D,Planilha2!H:H),0)="SIM",1,0)</f>
        <v>0</v>
      </c>
      <c r="L1322" s="14" t="str">
        <f>_xlfn.XLOOKUP(B1322,CAD_PDV!A:A,CAD_PDV!C:C)</f>
        <v>CO</v>
      </c>
      <c r="M1322" s="14" t="str">
        <f>IFERROR(_xlfn.XLOOKUP(B1322,repete!A:A,repete!A:A),"-")</f>
        <v>-</v>
      </c>
    </row>
    <row r="1323" spans="1:13" hidden="1">
      <c r="A1323" s="1">
        <v>46143</v>
      </c>
      <c r="B1323" t="s">
        <v>1682</v>
      </c>
      <c r="C1323" t="s">
        <v>1566</v>
      </c>
      <c r="D1323" t="s">
        <v>232</v>
      </c>
      <c r="E1323" t="s">
        <v>54</v>
      </c>
      <c r="F1323">
        <v>152</v>
      </c>
      <c r="G1323">
        <v>27</v>
      </c>
      <c r="H1323">
        <v>9.1836734693877594E-3</v>
      </c>
      <c r="I1323">
        <v>0.177631578947368</v>
      </c>
      <c r="J1323" s="14" t="str">
        <f>_xlfn.XLOOKUP(B1323,CAD_PDV!A:A,CAD_PDV!B:B)</f>
        <v>HS TELECOM</v>
      </c>
      <c r="K1323" s="14">
        <f>IF(IFERROR(_xlfn.XLOOKUP(B1323,Planilha2!D:D,Planilha2!H:H),0)="SIM",1,0)</f>
        <v>0</v>
      </c>
      <c r="L1323" s="14" t="str">
        <f>_xlfn.XLOOKUP(B1323,CAD_PDV!A:A,CAD_PDV!C:C)</f>
        <v>SP2</v>
      </c>
      <c r="M1323" s="14" t="str">
        <f>IFERROR(_xlfn.XLOOKUP(B1323,repete!A:A,repete!A:A),"-")</f>
        <v>-</v>
      </c>
    </row>
    <row r="1324" spans="1:13" hidden="1">
      <c r="A1324" s="1">
        <v>46143</v>
      </c>
      <c r="B1324" t="s">
        <v>1674</v>
      </c>
      <c r="C1324" t="s">
        <v>1489</v>
      </c>
      <c r="D1324" t="s">
        <v>232</v>
      </c>
      <c r="E1324" t="s">
        <v>54</v>
      </c>
      <c r="F1324">
        <v>68</v>
      </c>
      <c r="G1324">
        <v>26</v>
      </c>
      <c r="H1324">
        <v>8.8435374149659907E-3</v>
      </c>
      <c r="I1324">
        <v>0.38235294117647101</v>
      </c>
      <c r="J1324" s="14" t="str">
        <f>_xlfn.XLOOKUP(B1324,CAD_PDV!A:A,CAD_PDV!B:B)</f>
        <v>HS TELECOM</v>
      </c>
      <c r="K1324" s="14">
        <f>IF(IFERROR(_xlfn.XLOOKUP(B1324,Planilha2!D:D,Planilha2!H:H),0)="SIM",1,0)</f>
        <v>0</v>
      </c>
      <c r="L1324" s="14" t="str">
        <f>_xlfn.XLOOKUP(B1324,CAD_PDV!A:A,CAD_PDV!C:C)</f>
        <v>SP2</v>
      </c>
      <c r="M1324" s="14" t="str">
        <f>IFERROR(_xlfn.XLOOKUP(B1324,repete!A:A,repete!A:A),"-")</f>
        <v>-</v>
      </c>
    </row>
    <row r="1325" spans="1:13" hidden="1">
      <c r="A1325" s="1">
        <v>46143</v>
      </c>
      <c r="B1325" t="s">
        <v>377</v>
      </c>
      <c r="C1325" t="s">
        <v>261</v>
      </c>
      <c r="D1325" t="s">
        <v>230</v>
      </c>
      <c r="E1325" t="s">
        <v>61</v>
      </c>
      <c r="F1325">
        <v>102</v>
      </c>
      <c r="G1325">
        <v>26</v>
      </c>
      <c r="H1325">
        <v>8.8435374149659907E-3</v>
      </c>
      <c r="I1325">
        <v>0.25490196078431399</v>
      </c>
      <c r="J1325" s="14" t="str">
        <f>_xlfn.XLOOKUP(B1325,CAD_PDV!A:A,CAD_PDV!B:B)</f>
        <v>HARCOS COMERCIO E SERVICOS LTDA - EPP</v>
      </c>
      <c r="K1325" s="14">
        <f>IF(IFERROR(_xlfn.XLOOKUP(B1325,Planilha2!D:D,Planilha2!H:H),0)="SIM",1,0)</f>
        <v>0</v>
      </c>
      <c r="L1325" s="14" t="str">
        <f>_xlfn.XLOOKUP(B1325,CAD_PDV!A:A,CAD_PDV!C:C)</f>
        <v>NE</v>
      </c>
      <c r="M1325" s="14" t="str">
        <f>IFERROR(_xlfn.XLOOKUP(B1325,repete!A:A,repete!A:A),"-")</f>
        <v>-</v>
      </c>
    </row>
    <row r="1326" spans="1:13" hidden="1">
      <c r="A1326" s="1">
        <v>46143</v>
      </c>
      <c r="B1326" t="s">
        <v>899</v>
      </c>
      <c r="C1326" t="s">
        <v>873</v>
      </c>
      <c r="D1326" t="s">
        <v>224</v>
      </c>
      <c r="E1326" t="s">
        <v>59</v>
      </c>
      <c r="F1326">
        <v>136</v>
      </c>
      <c r="G1326">
        <v>25</v>
      </c>
      <c r="H1326">
        <v>8.5034013605442202E-3</v>
      </c>
      <c r="I1326">
        <v>0.183823529411765</v>
      </c>
      <c r="J1326" s="14" t="str">
        <f>_xlfn.XLOOKUP(B1326,CAD_PDV!A:A,CAD_PDV!B:B)</f>
        <v>CELNET COMERCIO E SERVICOS DE TELEFONIA LTDA ME</v>
      </c>
      <c r="K1326" s="14">
        <f>IF(IFERROR(_xlfn.XLOOKUP(B1326,Planilha2!D:D,Planilha2!H:H),0)="SIM",1,0)</f>
        <v>0</v>
      </c>
      <c r="L1326" s="14" t="str">
        <f>_xlfn.XLOOKUP(B1326,CAD_PDV!A:A,CAD_PDV!C:C)</f>
        <v>CO</v>
      </c>
      <c r="M1326" s="14" t="str">
        <f>IFERROR(_xlfn.XLOOKUP(B1326,repete!A:A,repete!A:A),"-")</f>
        <v>-</v>
      </c>
    </row>
    <row r="1327" spans="1:13" hidden="1">
      <c r="A1327" s="1">
        <v>46143</v>
      </c>
      <c r="B1327" t="s">
        <v>1285</v>
      </c>
      <c r="C1327" t="s">
        <v>1142</v>
      </c>
      <c r="D1327" t="s">
        <v>237</v>
      </c>
      <c r="E1327" t="s">
        <v>55</v>
      </c>
      <c r="F1327">
        <v>80</v>
      </c>
      <c r="G1327">
        <v>24</v>
      </c>
      <c r="H1327">
        <v>8.1632653061224497E-3</v>
      </c>
      <c r="I1327">
        <v>0.3</v>
      </c>
      <c r="J1327" s="14" t="str">
        <f>_xlfn.XLOOKUP(B1327,CAD_PDV!A:A,CAD_PDV!B:B)</f>
        <v>PONTO CERTO COMERCIO E COMUNICAÇÕES LTDA</v>
      </c>
      <c r="K1327" s="14">
        <f>IF(IFERROR(_xlfn.XLOOKUP(B1327,Planilha2!D:D,Planilha2!H:H),0)="SIM",1,0)</f>
        <v>0</v>
      </c>
      <c r="L1327" s="14" t="str">
        <f>_xlfn.XLOOKUP(B1327,CAD_PDV!A:A,CAD_PDV!C:C)</f>
        <v>RJ/ES</v>
      </c>
      <c r="M1327" s="14" t="str">
        <f>IFERROR(_xlfn.XLOOKUP(B1327,repete!A:A,repete!A:A),"-")</f>
        <v>-</v>
      </c>
    </row>
    <row r="1328" spans="1:13" hidden="1">
      <c r="A1328" s="1">
        <v>46143</v>
      </c>
      <c r="B1328" t="s">
        <v>1602</v>
      </c>
      <c r="C1328" t="s">
        <v>1489</v>
      </c>
      <c r="D1328" t="s">
        <v>232</v>
      </c>
      <c r="E1328" t="s">
        <v>54</v>
      </c>
      <c r="F1328">
        <v>86</v>
      </c>
      <c r="G1328">
        <v>24</v>
      </c>
      <c r="H1328">
        <v>8.1632653061224497E-3</v>
      </c>
      <c r="I1328">
        <v>0.27906976744186002</v>
      </c>
      <c r="J1328" s="14" t="str">
        <f>_xlfn.XLOOKUP(B1328,CAD_PDV!A:A,CAD_PDV!B:B)</f>
        <v>HS TELECOM</v>
      </c>
      <c r="K1328" s="14">
        <f>IF(IFERROR(_xlfn.XLOOKUP(B1328,Planilha2!D:D,Planilha2!H:H),0)="SIM",1,0)</f>
        <v>0</v>
      </c>
      <c r="L1328" s="14" t="str">
        <f>_xlfn.XLOOKUP(B1328,CAD_PDV!A:A,CAD_PDV!C:C)</f>
        <v>SP2</v>
      </c>
      <c r="M1328" s="14" t="str">
        <f>IFERROR(_xlfn.XLOOKUP(B1328,repete!A:A,repete!A:A),"-")</f>
        <v>-</v>
      </c>
    </row>
    <row r="1329" spans="1:13" hidden="1">
      <c r="A1329" s="1">
        <v>46143</v>
      </c>
      <c r="B1329" t="s">
        <v>1660</v>
      </c>
      <c r="C1329" t="s">
        <v>1661</v>
      </c>
      <c r="D1329" t="s">
        <v>232</v>
      </c>
      <c r="E1329" t="s">
        <v>54</v>
      </c>
      <c r="F1329">
        <v>91</v>
      </c>
      <c r="G1329">
        <v>24</v>
      </c>
      <c r="H1329">
        <v>8.1632653061224497E-3</v>
      </c>
      <c r="I1329">
        <v>0.26373626373626402</v>
      </c>
      <c r="J1329" s="14" t="str">
        <f>_xlfn.XLOOKUP(B1329,CAD_PDV!A:A,CAD_PDV!B:B)</f>
        <v>HS TELECOM</v>
      </c>
      <c r="K1329" s="14">
        <f>IF(IFERROR(_xlfn.XLOOKUP(B1329,Planilha2!D:D,Planilha2!H:H),0)="SIM",1,0)</f>
        <v>0</v>
      </c>
      <c r="L1329" s="14" t="str">
        <f>_xlfn.XLOOKUP(B1329,CAD_PDV!A:A,CAD_PDV!C:C)</f>
        <v>SP2</v>
      </c>
      <c r="M1329" s="14" t="str">
        <f>IFERROR(_xlfn.XLOOKUP(B1329,repete!A:A,repete!A:A),"-")</f>
        <v>-</v>
      </c>
    </row>
    <row r="1330" spans="1:13" hidden="1">
      <c r="A1330" s="1">
        <v>46143</v>
      </c>
      <c r="B1330" t="s">
        <v>1680</v>
      </c>
      <c r="C1330" t="s">
        <v>1676</v>
      </c>
      <c r="D1330" t="s">
        <v>232</v>
      </c>
      <c r="E1330" t="s">
        <v>54</v>
      </c>
      <c r="F1330">
        <v>192</v>
      </c>
      <c r="G1330">
        <v>24</v>
      </c>
      <c r="H1330">
        <v>8.1632653061224497E-3</v>
      </c>
      <c r="I1330">
        <v>0.125</v>
      </c>
      <c r="J1330" s="14" t="str">
        <f>_xlfn.XLOOKUP(B1330,CAD_PDV!A:A,CAD_PDV!B:B)</f>
        <v>HS TELECOM</v>
      </c>
      <c r="K1330" s="14">
        <f>IF(IFERROR(_xlfn.XLOOKUP(B1330,Planilha2!D:D,Planilha2!H:H),0)="SIM",1,0)</f>
        <v>0</v>
      </c>
      <c r="L1330" s="14" t="str">
        <f>_xlfn.XLOOKUP(B1330,CAD_PDV!A:A,CAD_PDV!C:C)</f>
        <v>SP2</v>
      </c>
      <c r="M1330" s="14" t="str">
        <f>IFERROR(_xlfn.XLOOKUP(B1330,repete!A:A,repete!A:A),"-")</f>
        <v>-</v>
      </c>
    </row>
    <row r="1331" spans="1:13" hidden="1">
      <c r="A1331" s="1">
        <v>46143</v>
      </c>
      <c r="B1331" t="s">
        <v>1690</v>
      </c>
      <c r="C1331" t="s">
        <v>1503</v>
      </c>
      <c r="D1331" t="s">
        <v>232</v>
      </c>
      <c r="E1331" t="s">
        <v>54</v>
      </c>
      <c r="F1331">
        <v>123</v>
      </c>
      <c r="G1331">
        <v>24</v>
      </c>
      <c r="H1331">
        <v>8.1632653061224497E-3</v>
      </c>
      <c r="I1331">
        <v>0.19512195121951201</v>
      </c>
      <c r="J1331" s="14" t="str">
        <f>_xlfn.XLOOKUP(B1331,CAD_PDV!A:A,CAD_PDV!B:B)</f>
        <v>HS TELECOM</v>
      </c>
      <c r="K1331" s="14">
        <f>IF(IFERROR(_xlfn.XLOOKUP(B1331,Planilha2!D:D,Planilha2!H:H),0)="SIM",1,0)</f>
        <v>0</v>
      </c>
      <c r="L1331" s="14" t="str">
        <f>_xlfn.XLOOKUP(B1331,CAD_PDV!A:A,CAD_PDV!C:C)</f>
        <v>SP2</v>
      </c>
      <c r="M1331" s="14" t="str">
        <f>IFERROR(_xlfn.XLOOKUP(B1331,repete!A:A,repete!A:A),"-")</f>
        <v>-</v>
      </c>
    </row>
    <row r="1332" spans="1:13" hidden="1">
      <c r="A1332" s="1">
        <v>46143</v>
      </c>
      <c r="B1332" t="s">
        <v>1348</v>
      </c>
      <c r="C1332" t="s">
        <v>1350</v>
      </c>
      <c r="D1332" t="s">
        <v>132</v>
      </c>
      <c r="E1332" t="s">
        <v>53</v>
      </c>
      <c r="F1332">
        <v>146</v>
      </c>
      <c r="G1332">
        <v>23</v>
      </c>
      <c r="H1332">
        <v>7.8231292517006792E-3</v>
      </c>
      <c r="I1332">
        <v>0.15753424657534201</v>
      </c>
      <c r="J1332" s="14" t="str">
        <f>_xlfn.XLOOKUP(B1332,CAD_PDV!A:A,CAD_PDV!B:B)</f>
        <v>FLEX CELL</v>
      </c>
      <c r="K1332" s="14">
        <f>IF(IFERROR(_xlfn.XLOOKUP(B1332,Planilha2!D:D,Planilha2!H:H),0)="SIM",1,0)</f>
        <v>0</v>
      </c>
      <c r="L1332" s="14" t="str">
        <f>_xlfn.XLOOKUP(B1332,CAD_PDV!A:A,CAD_PDV!C:C)</f>
        <v>SP1</v>
      </c>
      <c r="M1332" s="14" t="str">
        <f>IFERROR(_xlfn.XLOOKUP(B1332,repete!A:A,repete!A:A),"-")</f>
        <v>-</v>
      </c>
    </row>
    <row r="1333" spans="1:13" hidden="1">
      <c r="A1333" s="1">
        <v>46143</v>
      </c>
      <c r="B1333" t="s">
        <v>1246</v>
      </c>
      <c r="C1333" t="s">
        <v>1142</v>
      </c>
      <c r="D1333" t="s">
        <v>228</v>
      </c>
      <c r="E1333" t="s">
        <v>55</v>
      </c>
      <c r="F1333">
        <v>162</v>
      </c>
      <c r="G1333">
        <v>23</v>
      </c>
      <c r="H1333">
        <v>7.8231292517006792E-3</v>
      </c>
      <c r="I1333">
        <v>0.141975308641975</v>
      </c>
      <c r="J1333" s="14" t="str">
        <f>_xlfn.XLOOKUP(B1333,CAD_PDV!A:A,CAD_PDV!B:B)</f>
        <v>FAJULUTI</v>
      </c>
      <c r="K1333" s="14">
        <f>IF(IFERROR(_xlfn.XLOOKUP(B1333,Planilha2!D:D,Planilha2!H:H),0)="SIM",1,0)</f>
        <v>0</v>
      </c>
      <c r="L1333" s="14" t="str">
        <f>_xlfn.XLOOKUP(B1333,CAD_PDV!A:A,CAD_PDV!C:C)</f>
        <v>RJ/ES</v>
      </c>
      <c r="M1333" s="14" t="str">
        <f>IFERROR(_xlfn.XLOOKUP(B1333,repete!A:A,repete!A:A),"-")</f>
        <v>-</v>
      </c>
    </row>
    <row r="1334" spans="1:13" hidden="1">
      <c r="A1334" s="1">
        <v>46143</v>
      </c>
      <c r="B1334" t="s">
        <v>1372</v>
      </c>
      <c r="C1334" t="s">
        <v>1313</v>
      </c>
      <c r="D1334" t="s">
        <v>132</v>
      </c>
      <c r="E1334" t="s">
        <v>53</v>
      </c>
      <c r="F1334">
        <v>205</v>
      </c>
      <c r="G1334">
        <v>23</v>
      </c>
      <c r="H1334">
        <v>7.8231292517006792E-3</v>
      </c>
      <c r="I1334">
        <v>0.11219512195122</v>
      </c>
      <c r="J1334" s="14" t="str">
        <f>_xlfn.XLOOKUP(B1334,CAD_PDV!A:A,CAD_PDV!B:B)</f>
        <v>FLEX CELL</v>
      </c>
      <c r="K1334" s="14">
        <f>IF(IFERROR(_xlfn.XLOOKUP(B1334,Planilha2!D:D,Planilha2!H:H),0)="SIM",1,0)</f>
        <v>0</v>
      </c>
      <c r="L1334" s="14" t="str">
        <f>_xlfn.XLOOKUP(B1334,CAD_PDV!A:A,CAD_PDV!C:C)</f>
        <v>SP1</v>
      </c>
      <c r="M1334" s="14" t="str">
        <f>IFERROR(_xlfn.XLOOKUP(B1334,repete!A:A,repete!A:A),"-")</f>
        <v>-</v>
      </c>
    </row>
    <row r="1335" spans="1:13" hidden="1">
      <c r="A1335" s="1">
        <v>46143</v>
      </c>
      <c r="B1335" t="s">
        <v>1669</v>
      </c>
      <c r="C1335" t="s">
        <v>1661</v>
      </c>
      <c r="D1335" t="s">
        <v>232</v>
      </c>
      <c r="E1335" t="s">
        <v>54</v>
      </c>
      <c r="F1335">
        <v>143</v>
      </c>
      <c r="G1335">
        <v>21</v>
      </c>
      <c r="H1335">
        <v>7.14285714285714E-3</v>
      </c>
      <c r="I1335">
        <v>0.14685314685314699</v>
      </c>
      <c r="J1335" s="14" t="str">
        <f>_xlfn.XLOOKUP(B1335,CAD_PDV!A:A,CAD_PDV!B:B)</f>
        <v>HS TELECOM</v>
      </c>
      <c r="K1335" s="14">
        <f>IF(IFERROR(_xlfn.XLOOKUP(B1335,Planilha2!D:D,Planilha2!H:H),0)="SIM",1,0)</f>
        <v>0</v>
      </c>
      <c r="L1335" s="14" t="str">
        <f>_xlfn.XLOOKUP(B1335,CAD_PDV!A:A,CAD_PDV!C:C)</f>
        <v>SP2</v>
      </c>
      <c r="M1335" s="14" t="str">
        <f>IFERROR(_xlfn.XLOOKUP(B1335,repete!A:A,repete!A:A),"-")</f>
        <v>-</v>
      </c>
    </row>
    <row r="1336" spans="1:13" hidden="1">
      <c r="A1336" s="1">
        <v>46143</v>
      </c>
      <c r="B1336" t="s">
        <v>1723</v>
      </c>
      <c r="C1336" t="s">
        <v>1451</v>
      </c>
      <c r="D1336" t="s">
        <v>232</v>
      </c>
      <c r="E1336" t="s">
        <v>54</v>
      </c>
      <c r="F1336">
        <v>136</v>
      </c>
      <c r="G1336">
        <v>21</v>
      </c>
      <c r="H1336">
        <v>7.14285714285714E-3</v>
      </c>
      <c r="I1336">
        <v>0.154411764705882</v>
      </c>
      <c r="J1336" s="14" t="str">
        <f>_xlfn.XLOOKUP(B1336,CAD_PDV!A:A,CAD_PDV!B:B)</f>
        <v>HS TELECOM</v>
      </c>
      <c r="K1336" s="14">
        <f>IF(IFERROR(_xlfn.XLOOKUP(B1336,Planilha2!D:D,Planilha2!H:H),0)="SIM",1,0)</f>
        <v>0</v>
      </c>
      <c r="L1336" s="14" t="str">
        <f>_xlfn.XLOOKUP(B1336,CAD_PDV!A:A,CAD_PDV!C:C)</f>
        <v>SP2</v>
      </c>
      <c r="M1336" s="14" t="str">
        <f>IFERROR(_xlfn.XLOOKUP(B1336,repete!A:A,repete!A:A),"-")</f>
        <v>-</v>
      </c>
    </row>
    <row r="1337" spans="1:13" hidden="1">
      <c r="A1337" s="1">
        <v>46143</v>
      </c>
      <c r="B1337" t="s">
        <v>1487</v>
      </c>
      <c r="C1337" t="s">
        <v>1489</v>
      </c>
      <c r="D1337" t="s">
        <v>232</v>
      </c>
      <c r="E1337" t="s">
        <v>54</v>
      </c>
      <c r="F1337">
        <v>55</v>
      </c>
      <c r="G1337">
        <v>20</v>
      </c>
      <c r="H1337">
        <v>6.8027210884353704E-3</v>
      </c>
      <c r="I1337">
        <v>0.36363636363636398</v>
      </c>
      <c r="J1337" s="14" t="str">
        <f>_xlfn.XLOOKUP(B1337,CAD_PDV!A:A,CAD_PDV!B:B)</f>
        <v>HS TELECOM</v>
      </c>
      <c r="K1337" s="14">
        <f>IF(IFERROR(_xlfn.XLOOKUP(B1337,Planilha2!D:D,Planilha2!H:H),0)="SIM",1,0)</f>
        <v>0</v>
      </c>
      <c r="L1337" s="14" t="str">
        <f>_xlfn.XLOOKUP(B1337,CAD_PDV!A:A,CAD_PDV!C:C)</f>
        <v>SP2</v>
      </c>
      <c r="M1337" s="14" t="str">
        <f>IFERROR(_xlfn.XLOOKUP(B1337,repete!A:A,repete!A:A),"-")</f>
        <v>-</v>
      </c>
    </row>
    <row r="1338" spans="1:13" hidden="1">
      <c r="A1338" s="1">
        <v>46143</v>
      </c>
      <c r="B1338" t="s">
        <v>1181</v>
      </c>
      <c r="C1338" t="s">
        <v>1182</v>
      </c>
      <c r="D1338" t="s">
        <v>228</v>
      </c>
      <c r="E1338" t="s">
        <v>55</v>
      </c>
      <c r="F1338">
        <v>211</v>
      </c>
      <c r="G1338">
        <v>20</v>
      </c>
      <c r="H1338">
        <v>6.8027210884353704E-3</v>
      </c>
      <c r="I1338">
        <v>9.4786729857819899E-2</v>
      </c>
      <c r="J1338" s="14" t="str">
        <f>_xlfn.XLOOKUP(B1338,CAD_PDV!A:A,CAD_PDV!B:B)</f>
        <v>FAJULUTI</v>
      </c>
      <c r="K1338" s="14">
        <f>IF(IFERROR(_xlfn.XLOOKUP(B1338,Planilha2!D:D,Planilha2!H:H),0)="SIM",1,0)</f>
        <v>0</v>
      </c>
      <c r="L1338" s="14" t="str">
        <f>_xlfn.XLOOKUP(B1338,CAD_PDV!A:A,CAD_PDV!C:C)</f>
        <v>RJ/ES</v>
      </c>
      <c r="M1338" s="14" t="str">
        <f>IFERROR(_xlfn.XLOOKUP(B1338,repete!A:A,repete!A:A),"-")</f>
        <v>-</v>
      </c>
    </row>
    <row r="1339" spans="1:13" hidden="1">
      <c r="A1339" s="1">
        <v>46143</v>
      </c>
      <c r="B1339" t="s">
        <v>2041</v>
      </c>
      <c r="C1339" t="s">
        <v>2042</v>
      </c>
      <c r="D1339" t="s">
        <v>193</v>
      </c>
      <c r="E1339" t="s">
        <v>2074</v>
      </c>
      <c r="F1339">
        <v>74</v>
      </c>
      <c r="G1339">
        <v>20</v>
      </c>
      <c r="H1339">
        <v>6.8027210884353704E-3</v>
      </c>
      <c r="I1339">
        <v>0.27027027027027001</v>
      </c>
      <c r="J1339" s="14" t="str">
        <f>_xlfn.XLOOKUP(B1339,CAD_PDV!A:A,CAD_PDV!B:B)</f>
        <v>S D COMERCIO DE CELULARES LTDA - ME</v>
      </c>
      <c r="K1339" s="14">
        <f>IF(IFERROR(_xlfn.XLOOKUP(B1339,Planilha2!D:D,Planilha2!H:H),0)="SIM",1,0)</f>
        <v>0</v>
      </c>
      <c r="L1339" s="14" t="str">
        <f>_xlfn.XLOOKUP(B1339,CAD_PDV!A:A,CAD_PDV!C:C)</f>
        <v>RS</v>
      </c>
      <c r="M1339" s="14" t="str">
        <f>IFERROR(_xlfn.XLOOKUP(B1339,repete!A:A,repete!A:A),"-")</f>
        <v>-</v>
      </c>
    </row>
    <row r="1340" spans="1:13" hidden="1">
      <c r="A1340" s="1">
        <v>46143</v>
      </c>
      <c r="B1340" t="s">
        <v>1174</v>
      </c>
      <c r="C1340" t="s">
        <v>1142</v>
      </c>
      <c r="D1340" t="s">
        <v>2072</v>
      </c>
      <c r="E1340" t="s">
        <v>55</v>
      </c>
      <c r="F1340">
        <v>169</v>
      </c>
      <c r="G1340">
        <v>20</v>
      </c>
      <c r="H1340">
        <v>6.8027210884353704E-3</v>
      </c>
      <c r="I1340">
        <v>0.118343195266272</v>
      </c>
      <c r="J1340" s="14" t="str">
        <f>_xlfn.XLOOKUP(B1340,CAD_PDV!A:A,CAD_PDV!B:B)</f>
        <v>MEXCELL COMERCIO E SERVICOS DE TELECOMUNICACOES LTDA</v>
      </c>
      <c r="K1340" s="14">
        <f>IF(IFERROR(_xlfn.XLOOKUP(B1340,Planilha2!D:D,Planilha2!H:H),0)="SIM",1,0)</f>
        <v>0</v>
      </c>
      <c r="L1340" s="14" t="str">
        <f>_xlfn.XLOOKUP(B1340,CAD_PDV!A:A,CAD_PDV!C:C)</f>
        <v>RJ/ES</v>
      </c>
      <c r="M1340" s="14" t="str">
        <f>IFERROR(_xlfn.XLOOKUP(B1340,repete!A:A,repete!A:A),"-")</f>
        <v>-</v>
      </c>
    </row>
    <row r="1341" spans="1:13" hidden="1">
      <c r="A1341" s="1">
        <v>46143</v>
      </c>
      <c r="B1341" t="s">
        <v>1636</v>
      </c>
      <c r="C1341" t="s">
        <v>1484</v>
      </c>
      <c r="D1341" t="s">
        <v>232</v>
      </c>
      <c r="E1341" t="s">
        <v>54</v>
      </c>
      <c r="F1341">
        <v>91</v>
      </c>
      <c r="G1341">
        <v>19</v>
      </c>
      <c r="H1341">
        <v>6.4625850340136104E-3</v>
      </c>
      <c r="I1341">
        <v>0.20879120879120899</v>
      </c>
      <c r="J1341" s="14" t="str">
        <f>_xlfn.XLOOKUP(B1341,CAD_PDV!A:A,CAD_PDV!B:B)</f>
        <v>HS TELECOM</v>
      </c>
      <c r="K1341" s="14">
        <f>IF(IFERROR(_xlfn.XLOOKUP(B1341,Planilha2!D:D,Planilha2!H:H),0)="SIM",1,0)</f>
        <v>0</v>
      </c>
      <c r="L1341" s="14" t="str">
        <f>_xlfn.XLOOKUP(B1341,CAD_PDV!A:A,CAD_PDV!C:C)</f>
        <v>SP2</v>
      </c>
      <c r="M1341" s="14" t="str">
        <f>IFERROR(_xlfn.XLOOKUP(B1341,repete!A:A,repete!A:A),"-")</f>
        <v>-</v>
      </c>
    </row>
    <row r="1342" spans="1:13" hidden="1">
      <c r="A1342" s="1">
        <v>46143</v>
      </c>
      <c r="B1342" t="s">
        <v>1692</v>
      </c>
      <c r="C1342" t="s">
        <v>1693</v>
      </c>
      <c r="D1342" t="s">
        <v>232</v>
      </c>
      <c r="E1342" t="s">
        <v>54</v>
      </c>
      <c r="F1342">
        <v>100</v>
      </c>
      <c r="G1342">
        <v>19</v>
      </c>
      <c r="H1342">
        <v>6.4625850340136104E-3</v>
      </c>
      <c r="I1342">
        <v>0.19</v>
      </c>
      <c r="J1342" s="14" t="str">
        <f>_xlfn.XLOOKUP(B1342,CAD_PDV!A:A,CAD_PDV!B:B)</f>
        <v>HS TELECOM</v>
      </c>
      <c r="K1342" s="14">
        <f>IF(IFERROR(_xlfn.XLOOKUP(B1342,Planilha2!D:D,Planilha2!H:H),0)="SIM",1,0)</f>
        <v>0</v>
      </c>
      <c r="L1342" s="14" t="str">
        <f>_xlfn.XLOOKUP(B1342,CAD_PDV!A:A,CAD_PDV!C:C)</f>
        <v>SP2</v>
      </c>
      <c r="M1342" s="14" t="str">
        <f>IFERROR(_xlfn.XLOOKUP(B1342,repete!A:A,repete!A:A),"-")</f>
        <v>-</v>
      </c>
    </row>
    <row r="1343" spans="1:13" hidden="1">
      <c r="A1343" s="1">
        <v>46143</v>
      </c>
      <c r="B1343" t="s">
        <v>293</v>
      </c>
      <c r="C1343" t="s">
        <v>265</v>
      </c>
      <c r="D1343" t="s">
        <v>230</v>
      </c>
      <c r="E1343" t="s">
        <v>61</v>
      </c>
      <c r="F1343">
        <v>92</v>
      </c>
      <c r="G1343">
        <v>19</v>
      </c>
      <c r="H1343">
        <v>6.4625850340136104E-3</v>
      </c>
      <c r="I1343">
        <v>0.20652173913043501</v>
      </c>
      <c r="J1343" s="14" t="str">
        <f>_xlfn.XLOOKUP(B1343,CAD_PDV!A:A,CAD_PDV!B:B)</f>
        <v>HARCOS COMERCIO E SERVICOS LTDA - EPP</v>
      </c>
      <c r="K1343" s="14">
        <f>IF(IFERROR(_xlfn.XLOOKUP(B1343,Planilha2!D:D,Planilha2!H:H),0)="SIM",1,0)</f>
        <v>0</v>
      </c>
      <c r="L1343" s="14" t="str">
        <f>_xlfn.XLOOKUP(B1343,CAD_PDV!A:A,CAD_PDV!C:C)</f>
        <v>NE</v>
      </c>
      <c r="M1343" s="14" t="str">
        <f>IFERROR(_xlfn.XLOOKUP(B1343,repete!A:A,repete!A:A),"-")</f>
        <v>-</v>
      </c>
    </row>
    <row r="1344" spans="1:13" hidden="1">
      <c r="A1344" s="1">
        <v>46143</v>
      </c>
      <c r="B1344" t="s">
        <v>984</v>
      </c>
      <c r="C1344" t="s">
        <v>940</v>
      </c>
      <c r="D1344" t="s">
        <v>232</v>
      </c>
      <c r="E1344" t="s">
        <v>60</v>
      </c>
      <c r="F1344">
        <v>55</v>
      </c>
      <c r="G1344">
        <v>18</v>
      </c>
      <c r="H1344">
        <v>6.1224489795918399E-3</v>
      </c>
      <c r="I1344">
        <v>0.32727272727272699</v>
      </c>
      <c r="J1344" s="14" t="str">
        <f>_xlfn.XLOOKUP(B1344,CAD_PDV!A:A,CAD_PDV!B:B)</f>
        <v>HS TELECOM</v>
      </c>
      <c r="K1344" s="14">
        <f>IF(IFERROR(_xlfn.XLOOKUP(B1344,Planilha2!D:D,Planilha2!H:H),0)="SIM",1,0)</f>
        <v>0</v>
      </c>
      <c r="L1344" s="14" t="str">
        <f>_xlfn.XLOOKUP(B1344,CAD_PDV!A:A,CAD_PDV!C:C)</f>
        <v>BA/SE</v>
      </c>
      <c r="M1344" s="14" t="str">
        <f>IFERROR(_xlfn.XLOOKUP(B1344,repete!A:A,repete!A:A),"-")</f>
        <v>-</v>
      </c>
    </row>
    <row r="1345" spans="1:13" hidden="1">
      <c r="A1345" s="1">
        <v>46143</v>
      </c>
      <c r="B1345" t="s">
        <v>1501</v>
      </c>
      <c r="C1345" t="s">
        <v>1503</v>
      </c>
      <c r="D1345" t="s">
        <v>232</v>
      </c>
      <c r="E1345" t="s">
        <v>54</v>
      </c>
      <c r="F1345">
        <v>128</v>
      </c>
      <c r="G1345">
        <v>18</v>
      </c>
      <c r="H1345">
        <v>6.1224489795918399E-3</v>
      </c>
      <c r="I1345">
        <v>0.140625</v>
      </c>
      <c r="J1345" s="14" t="str">
        <f>_xlfn.XLOOKUP(B1345,CAD_PDV!A:A,CAD_PDV!B:B)</f>
        <v>HS TELECOM</v>
      </c>
      <c r="K1345" s="14">
        <f>IF(IFERROR(_xlfn.XLOOKUP(B1345,Planilha2!D:D,Planilha2!H:H),0)="SIM",1,0)</f>
        <v>0</v>
      </c>
      <c r="L1345" s="14" t="str">
        <f>_xlfn.XLOOKUP(B1345,CAD_PDV!A:A,CAD_PDV!C:C)</f>
        <v>SP2</v>
      </c>
      <c r="M1345" s="14" t="str">
        <f>IFERROR(_xlfn.XLOOKUP(B1345,repete!A:A,repete!A:A),"-")</f>
        <v>-</v>
      </c>
    </row>
    <row r="1346" spans="1:13" hidden="1">
      <c r="A1346" s="1">
        <v>46143</v>
      </c>
      <c r="B1346" t="s">
        <v>1504</v>
      </c>
      <c r="C1346" t="s">
        <v>1505</v>
      </c>
      <c r="D1346" t="s">
        <v>132</v>
      </c>
      <c r="E1346" t="s">
        <v>54</v>
      </c>
      <c r="F1346">
        <v>132</v>
      </c>
      <c r="G1346">
        <v>18</v>
      </c>
      <c r="H1346">
        <v>6.1224489795918399E-3</v>
      </c>
      <c r="I1346">
        <v>0.13636363636363599</v>
      </c>
      <c r="J1346" s="14" t="str">
        <f>_xlfn.XLOOKUP(B1346,CAD_PDV!A:A,CAD_PDV!B:B)</f>
        <v>FLEX CELL</v>
      </c>
      <c r="K1346" s="14">
        <f>IF(IFERROR(_xlfn.XLOOKUP(B1346,Planilha2!D:D,Planilha2!H:H),0)="SIM",1,0)</f>
        <v>0</v>
      </c>
      <c r="L1346" s="14" t="str">
        <f>_xlfn.XLOOKUP(B1346,CAD_PDV!A:A,CAD_PDV!C:C)</f>
        <v>SP2</v>
      </c>
      <c r="M1346" s="14" t="str">
        <f>IFERROR(_xlfn.XLOOKUP(B1346,repete!A:A,repete!A:A),"-")</f>
        <v>-</v>
      </c>
    </row>
    <row r="1347" spans="1:13" hidden="1">
      <c r="A1347" s="1">
        <v>46143</v>
      </c>
      <c r="B1347" t="s">
        <v>1015</v>
      </c>
      <c r="C1347" t="s">
        <v>1017</v>
      </c>
      <c r="D1347" t="s">
        <v>232</v>
      </c>
      <c r="E1347" t="s">
        <v>60</v>
      </c>
      <c r="F1347">
        <v>47</v>
      </c>
      <c r="G1347">
        <v>18</v>
      </c>
      <c r="H1347">
        <v>6.1224489795918399E-3</v>
      </c>
      <c r="I1347">
        <v>0.38297872340425498</v>
      </c>
      <c r="J1347" s="14" t="str">
        <f>_xlfn.XLOOKUP(B1347,CAD_PDV!A:A,CAD_PDV!B:B)</f>
        <v>HS TELECOM</v>
      </c>
      <c r="K1347" s="14">
        <f>IF(IFERROR(_xlfn.XLOOKUP(B1347,Planilha2!D:D,Planilha2!H:H),0)="SIM",1,0)</f>
        <v>0</v>
      </c>
      <c r="L1347" s="14" t="str">
        <f>_xlfn.XLOOKUP(B1347,CAD_PDV!A:A,CAD_PDV!C:C)</f>
        <v>BA/SE</v>
      </c>
      <c r="M1347" s="14" t="str">
        <f>IFERROR(_xlfn.XLOOKUP(B1347,repete!A:A,repete!A:A),"-")</f>
        <v>-</v>
      </c>
    </row>
    <row r="1348" spans="1:13" hidden="1">
      <c r="A1348" s="1">
        <v>46143</v>
      </c>
      <c r="B1348" t="s">
        <v>1716</v>
      </c>
      <c r="C1348" t="s">
        <v>1663</v>
      </c>
      <c r="D1348" t="s">
        <v>232</v>
      </c>
      <c r="E1348" t="s">
        <v>54</v>
      </c>
      <c r="F1348">
        <v>127</v>
      </c>
      <c r="G1348">
        <v>18</v>
      </c>
      <c r="H1348">
        <v>6.1224489795918399E-3</v>
      </c>
      <c r="I1348">
        <v>0.14173228346456701</v>
      </c>
      <c r="J1348" s="14" t="str">
        <f>_xlfn.XLOOKUP(B1348,CAD_PDV!A:A,CAD_PDV!B:B)</f>
        <v>HS TELECOM</v>
      </c>
      <c r="K1348" s="14">
        <f>IF(IFERROR(_xlfn.XLOOKUP(B1348,Planilha2!D:D,Planilha2!H:H),0)="SIM",1,0)</f>
        <v>0</v>
      </c>
      <c r="L1348" s="14" t="str">
        <f>_xlfn.XLOOKUP(B1348,CAD_PDV!A:A,CAD_PDV!C:C)</f>
        <v>SP2</v>
      </c>
      <c r="M1348" s="14" t="str">
        <f>IFERROR(_xlfn.XLOOKUP(B1348,repete!A:A,repete!A:A),"-")</f>
        <v>-</v>
      </c>
    </row>
    <row r="1349" spans="1:13" hidden="1">
      <c r="A1349" s="1">
        <v>46143</v>
      </c>
      <c r="B1349" t="s">
        <v>481</v>
      </c>
      <c r="C1349" t="s">
        <v>483</v>
      </c>
      <c r="D1349" t="s">
        <v>228</v>
      </c>
      <c r="E1349" t="s">
        <v>56</v>
      </c>
      <c r="F1349">
        <v>103</v>
      </c>
      <c r="G1349">
        <v>18</v>
      </c>
      <c r="H1349">
        <v>6.1224489795918399E-3</v>
      </c>
      <c r="I1349">
        <v>0.17475728155339801</v>
      </c>
      <c r="J1349" s="14" t="str">
        <f>_xlfn.XLOOKUP(B1349,CAD_PDV!A:A,CAD_PDV!B:B)</f>
        <v>FAJULUTI</v>
      </c>
      <c r="K1349" s="14">
        <f>IF(IFERROR(_xlfn.XLOOKUP(B1349,Planilha2!D:D,Planilha2!H:H),0)="SIM",1,0)</f>
        <v>0</v>
      </c>
      <c r="L1349" s="14" t="str">
        <f>_xlfn.XLOOKUP(B1349,CAD_PDV!A:A,CAD_PDV!C:C)</f>
        <v>MG</v>
      </c>
      <c r="M1349" s="14" t="str">
        <f>IFERROR(_xlfn.XLOOKUP(B1349,repete!A:A,repete!A:A),"-")</f>
        <v>-</v>
      </c>
    </row>
    <row r="1350" spans="1:13" hidden="1">
      <c r="A1350" s="1">
        <v>46143</v>
      </c>
      <c r="B1350" t="s">
        <v>371</v>
      </c>
      <c r="C1350" t="s">
        <v>291</v>
      </c>
      <c r="D1350" t="s">
        <v>230</v>
      </c>
      <c r="E1350" t="s">
        <v>61</v>
      </c>
      <c r="F1350">
        <v>134</v>
      </c>
      <c r="G1350">
        <v>16</v>
      </c>
      <c r="H1350">
        <v>5.4421768707482998E-3</v>
      </c>
      <c r="I1350">
        <v>0.119402985074627</v>
      </c>
      <c r="J1350" s="14" t="str">
        <f>_xlfn.XLOOKUP(B1350,CAD_PDV!A:A,CAD_PDV!B:B)</f>
        <v>HARCOS COMERCIO E SERVICOS LTDA - EPP</v>
      </c>
      <c r="K1350" s="14">
        <f>IF(IFERROR(_xlfn.XLOOKUP(B1350,Planilha2!D:D,Planilha2!H:H),0)="SIM",1,0)</f>
        <v>0</v>
      </c>
      <c r="L1350" s="14" t="str">
        <f>_xlfn.XLOOKUP(B1350,CAD_PDV!A:A,CAD_PDV!C:C)</f>
        <v>NE</v>
      </c>
      <c r="M1350" s="14" t="str">
        <f>IFERROR(_xlfn.XLOOKUP(B1350,repete!A:A,repete!A:A),"-")</f>
        <v>-</v>
      </c>
    </row>
    <row r="1351" spans="1:13" hidden="1">
      <c r="A1351" s="1">
        <v>46143</v>
      </c>
      <c r="B1351" t="s">
        <v>1353</v>
      </c>
      <c r="C1351" t="s">
        <v>1313</v>
      </c>
      <c r="D1351" t="s">
        <v>132</v>
      </c>
      <c r="E1351" t="s">
        <v>53</v>
      </c>
      <c r="F1351">
        <v>139</v>
      </c>
      <c r="G1351">
        <v>15</v>
      </c>
      <c r="H1351">
        <v>5.1020408163265302E-3</v>
      </c>
      <c r="I1351">
        <v>0.107913669064748</v>
      </c>
      <c r="J1351" s="14" t="str">
        <f>_xlfn.XLOOKUP(B1351,CAD_PDV!A:A,CAD_PDV!B:B)</f>
        <v>FLEX CELL</v>
      </c>
      <c r="K1351" s="14">
        <f>IF(IFERROR(_xlfn.XLOOKUP(B1351,Planilha2!D:D,Planilha2!H:H),0)="SIM",1,0)</f>
        <v>0</v>
      </c>
      <c r="L1351" s="14" t="str">
        <f>_xlfn.XLOOKUP(B1351,CAD_PDV!A:A,CAD_PDV!C:C)</f>
        <v>SP1</v>
      </c>
      <c r="M1351" s="14" t="str">
        <f>IFERROR(_xlfn.XLOOKUP(B1351,repete!A:A,repete!A:A),"-")</f>
        <v>-</v>
      </c>
    </row>
    <row r="1352" spans="1:13" hidden="1">
      <c r="A1352" s="1">
        <v>46143</v>
      </c>
      <c r="B1352" t="s">
        <v>979</v>
      </c>
      <c r="C1352" t="s">
        <v>944</v>
      </c>
      <c r="D1352" t="s">
        <v>232</v>
      </c>
      <c r="E1352" t="s">
        <v>60</v>
      </c>
      <c r="F1352">
        <v>155</v>
      </c>
      <c r="G1352">
        <v>15</v>
      </c>
      <c r="H1352">
        <v>5.1020408163265302E-3</v>
      </c>
      <c r="I1352">
        <v>9.6774193548387094E-2</v>
      </c>
      <c r="J1352" s="14" t="str">
        <f>_xlfn.XLOOKUP(B1352,CAD_PDV!A:A,CAD_PDV!B:B)</f>
        <v>HS TELECOM</v>
      </c>
      <c r="K1352" s="14">
        <f>IF(IFERROR(_xlfn.XLOOKUP(B1352,Planilha2!D:D,Planilha2!H:H),0)="SIM",1,0)</f>
        <v>0</v>
      </c>
      <c r="L1352" s="14" t="str">
        <f>_xlfn.XLOOKUP(B1352,CAD_PDV!A:A,CAD_PDV!C:C)</f>
        <v>BA/SE</v>
      </c>
      <c r="M1352" s="14" t="str">
        <f>IFERROR(_xlfn.XLOOKUP(B1352,repete!A:A,repete!A:A),"-")</f>
        <v>-</v>
      </c>
    </row>
    <row r="1353" spans="1:13" hidden="1">
      <c r="A1353" s="1">
        <v>46143</v>
      </c>
      <c r="B1353" t="s">
        <v>262</v>
      </c>
      <c r="C1353" t="s">
        <v>265</v>
      </c>
      <c r="D1353" t="s">
        <v>230</v>
      </c>
      <c r="E1353" t="s">
        <v>61</v>
      </c>
      <c r="F1353">
        <v>93</v>
      </c>
      <c r="G1353">
        <v>15</v>
      </c>
      <c r="H1353">
        <v>5.1020408163265302E-3</v>
      </c>
      <c r="I1353">
        <v>0.16129032258064499</v>
      </c>
      <c r="J1353" s="14" t="str">
        <f>_xlfn.XLOOKUP(B1353,CAD_PDV!A:A,CAD_PDV!B:B)</f>
        <v>HARCOS COMERCIO E SERVICOS LTDA - EPP</v>
      </c>
      <c r="K1353" s="14">
        <f>IF(IFERROR(_xlfn.XLOOKUP(B1353,Planilha2!D:D,Planilha2!H:H),0)="SIM",1,0)</f>
        <v>0</v>
      </c>
      <c r="L1353" s="14" t="str">
        <f>_xlfn.XLOOKUP(B1353,CAD_PDV!A:A,CAD_PDV!C:C)</f>
        <v>NE</v>
      </c>
      <c r="M1353" s="14" t="str">
        <f>IFERROR(_xlfn.XLOOKUP(B1353,repete!A:A,repete!A:A),"-")</f>
        <v>-</v>
      </c>
    </row>
    <row r="1354" spans="1:13" hidden="1">
      <c r="A1354" s="1">
        <v>46143</v>
      </c>
      <c r="B1354" t="s">
        <v>613</v>
      </c>
      <c r="C1354" t="s">
        <v>610</v>
      </c>
      <c r="D1354" t="s">
        <v>239</v>
      </c>
      <c r="E1354" t="s">
        <v>59</v>
      </c>
      <c r="F1354">
        <v>103</v>
      </c>
      <c r="G1354">
        <v>15</v>
      </c>
      <c r="H1354">
        <v>5.1020408163265302E-3</v>
      </c>
      <c r="I1354">
        <v>0.14563106796116501</v>
      </c>
      <c r="J1354" s="14" t="str">
        <f>_xlfn.XLOOKUP(B1354,CAD_PDV!A:A,CAD_PDV!B:B)</f>
        <v>TELECELL TELEFONIA LTDA - ME</v>
      </c>
      <c r="K1354" s="14">
        <f>IF(IFERROR(_xlfn.XLOOKUP(B1354,Planilha2!D:D,Planilha2!H:H),0)="SIM",1,0)</f>
        <v>0</v>
      </c>
      <c r="L1354" s="14" t="str">
        <f>_xlfn.XLOOKUP(B1354,CAD_PDV!A:A,CAD_PDV!C:C)</f>
        <v>CO</v>
      </c>
      <c r="M1354" s="14" t="str">
        <f>IFERROR(_xlfn.XLOOKUP(B1354,repete!A:A,repete!A:A),"-")</f>
        <v>-</v>
      </c>
    </row>
    <row r="1355" spans="1:13" hidden="1">
      <c r="A1355" s="1">
        <v>46143</v>
      </c>
      <c r="B1355" t="s">
        <v>1667</v>
      </c>
      <c r="C1355" t="s">
        <v>1668</v>
      </c>
      <c r="D1355" t="s">
        <v>232</v>
      </c>
      <c r="E1355" t="s">
        <v>54</v>
      </c>
      <c r="F1355">
        <v>101</v>
      </c>
      <c r="G1355">
        <v>15</v>
      </c>
      <c r="H1355">
        <v>5.1020408163265302E-3</v>
      </c>
      <c r="I1355">
        <v>0.14851485148514901</v>
      </c>
      <c r="J1355" s="14" t="str">
        <f>_xlfn.XLOOKUP(B1355,CAD_PDV!A:A,CAD_PDV!B:B)</f>
        <v>HS TELECOM</v>
      </c>
      <c r="K1355" s="14">
        <f>IF(IFERROR(_xlfn.XLOOKUP(B1355,Planilha2!D:D,Planilha2!H:H),0)="SIM",1,0)</f>
        <v>0</v>
      </c>
      <c r="L1355" s="14" t="str">
        <f>_xlfn.XLOOKUP(B1355,CAD_PDV!A:A,CAD_PDV!C:C)</f>
        <v>SP2</v>
      </c>
      <c r="M1355" s="14" t="str">
        <f>IFERROR(_xlfn.XLOOKUP(B1355,repete!A:A,repete!A:A),"-")</f>
        <v>-</v>
      </c>
    </row>
    <row r="1356" spans="1:13" hidden="1">
      <c r="A1356" s="1">
        <v>46143</v>
      </c>
      <c r="B1356" t="s">
        <v>856</v>
      </c>
      <c r="C1356" t="s">
        <v>855</v>
      </c>
      <c r="D1356" t="s">
        <v>2073</v>
      </c>
      <c r="E1356" t="s">
        <v>59</v>
      </c>
      <c r="F1356">
        <v>72</v>
      </c>
      <c r="G1356">
        <v>15</v>
      </c>
      <c r="H1356">
        <v>5.1020408163265302E-3</v>
      </c>
      <c r="I1356">
        <v>0.20833333333333301</v>
      </c>
      <c r="J1356" s="14" t="str">
        <f>_xlfn.XLOOKUP(B1356,CAD_PDV!A:A,CAD_PDV!B:B)</f>
        <v xml:space="preserve">CONTACOM COMERCIO DE APARELHOS ELETRONICOS LTDA </v>
      </c>
      <c r="K1356" s="14">
        <f>IF(IFERROR(_xlfn.XLOOKUP(B1356,Planilha2!D:D,Planilha2!H:H),0)="SIM",1,0)</f>
        <v>0</v>
      </c>
      <c r="L1356" s="14" t="str">
        <f>_xlfn.XLOOKUP(B1356,CAD_PDV!A:A,CAD_PDV!C:C)</f>
        <v>CO</v>
      </c>
      <c r="M1356" s="14" t="str">
        <f>IFERROR(_xlfn.XLOOKUP(B1356,repete!A:A,repete!A:A),"-")</f>
        <v>-</v>
      </c>
    </row>
    <row r="1357" spans="1:13" hidden="1">
      <c r="A1357" s="1">
        <v>46143</v>
      </c>
      <c r="B1357" t="s">
        <v>963</v>
      </c>
      <c r="C1357" t="s">
        <v>944</v>
      </c>
      <c r="D1357" t="s">
        <v>232</v>
      </c>
      <c r="E1357" t="s">
        <v>60</v>
      </c>
      <c r="F1357">
        <v>113</v>
      </c>
      <c r="G1357">
        <v>15</v>
      </c>
      <c r="H1357">
        <v>5.1020408163265302E-3</v>
      </c>
      <c r="I1357">
        <v>0.132743362831858</v>
      </c>
      <c r="J1357" s="14" t="str">
        <f>_xlfn.XLOOKUP(B1357,CAD_PDV!A:A,CAD_PDV!B:B)</f>
        <v>HS TELECOM</v>
      </c>
      <c r="K1357" s="14">
        <f>IF(IFERROR(_xlfn.XLOOKUP(B1357,Planilha2!D:D,Planilha2!H:H),0)="SIM",1,0)</f>
        <v>0</v>
      </c>
      <c r="L1357" s="14" t="str">
        <f>_xlfn.XLOOKUP(B1357,CAD_PDV!A:A,CAD_PDV!C:C)</f>
        <v>BA/SE</v>
      </c>
      <c r="M1357" s="14" t="str">
        <f>IFERROR(_xlfn.XLOOKUP(B1357,repete!A:A,repete!A:A),"-")</f>
        <v>-</v>
      </c>
    </row>
    <row r="1358" spans="1:13" hidden="1">
      <c r="A1358" s="1">
        <v>46143</v>
      </c>
      <c r="B1358" t="s">
        <v>1719</v>
      </c>
      <c r="C1358" t="s">
        <v>1557</v>
      </c>
      <c r="D1358" t="s">
        <v>106</v>
      </c>
      <c r="E1358" t="s">
        <v>54</v>
      </c>
      <c r="F1358">
        <v>89</v>
      </c>
      <c r="G1358">
        <v>15</v>
      </c>
      <c r="H1358">
        <v>5.1020408163265302E-3</v>
      </c>
      <c r="I1358">
        <v>0.16853932584269701</v>
      </c>
      <c r="J1358" s="14" t="str">
        <f>_xlfn.XLOOKUP(B1358,CAD_PDV!A:A,CAD_PDV!B:B)</f>
        <v>CELLULAR.COM</v>
      </c>
      <c r="K1358" s="14">
        <f>IF(IFERROR(_xlfn.XLOOKUP(B1358,Planilha2!D:D,Planilha2!H:H),0)="SIM",1,0)</f>
        <v>0</v>
      </c>
      <c r="L1358" s="14" t="str">
        <f>_xlfn.XLOOKUP(B1358,CAD_PDV!A:A,CAD_PDV!C:C)</f>
        <v>SP2</v>
      </c>
      <c r="M1358" s="14" t="str">
        <f>IFERROR(_xlfn.XLOOKUP(B1358,repete!A:A,repete!A:A),"-")</f>
        <v>-</v>
      </c>
    </row>
    <row r="1359" spans="1:13" hidden="1">
      <c r="A1359" s="1">
        <v>46143</v>
      </c>
      <c r="B1359" t="s">
        <v>1342</v>
      </c>
      <c r="C1359" t="s">
        <v>1313</v>
      </c>
      <c r="D1359" t="s">
        <v>225</v>
      </c>
      <c r="E1359" t="s">
        <v>53</v>
      </c>
      <c r="F1359">
        <v>144</v>
      </c>
      <c r="G1359">
        <v>15</v>
      </c>
      <c r="H1359">
        <v>5.1020408163265302E-3</v>
      </c>
      <c r="I1359">
        <v>0.104166666666667</v>
      </c>
      <c r="J1359" s="14" t="str">
        <f>_xlfn.XLOOKUP(B1359,CAD_PDV!A:A,CAD_PDV!B:B)</f>
        <v>CLARICELL SP1</v>
      </c>
      <c r="K1359" s="14">
        <f>IF(IFERROR(_xlfn.XLOOKUP(B1359,Planilha2!D:D,Planilha2!H:H),0)="SIM",1,0)</f>
        <v>0</v>
      </c>
      <c r="L1359" s="14" t="str">
        <f>_xlfn.XLOOKUP(B1359,CAD_PDV!A:A,CAD_PDV!C:C)</f>
        <v>SP1</v>
      </c>
      <c r="M1359" s="14" t="str">
        <f>IFERROR(_xlfn.XLOOKUP(B1359,repete!A:A,repete!A:A),"-")</f>
        <v>-</v>
      </c>
    </row>
    <row r="1360" spans="1:13" hidden="1">
      <c r="A1360" s="1">
        <v>46143</v>
      </c>
      <c r="B1360" t="s">
        <v>1286</v>
      </c>
      <c r="C1360" t="s">
        <v>1287</v>
      </c>
      <c r="D1360" t="s">
        <v>232</v>
      </c>
      <c r="E1360" t="s">
        <v>55</v>
      </c>
      <c r="F1360">
        <v>221</v>
      </c>
      <c r="G1360">
        <v>14</v>
      </c>
      <c r="H1360">
        <v>4.7619047619047597E-3</v>
      </c>
      <c r="I1360">
        <v>6.3348416289592799E-2</v>
      </c>
      <c r="J1360" s="14" t="str">
        <f>_xlfn.XLOOKUP(B1360,CAD_PDV!A:A,CAD_PDV!B:B)</f>
        <v>HS TELECOM</v>
      </c>
      <c r="K1360" s="14">
        <f>IF(IFERROR(_xlfn.XLOOKUP(B1360,Planilha2!D:D,Planilha2!H:H),0)="SIM",1,0)</f>
        <v>0</v>
      </c>
      <c r="L1360" s="14" t="str">
        <f>_xlfn.XLOOKUP(B1360,CAD_PDV!A:A,CAD_PDV!C:C)</f>
        <v>RJ/ES</v>
      </c>
      <c r="M1360" s="14" t="str">
        <f>IFERROR(_xlfn.XLOOKUP(B1360,repete!A:A,repete!A:A),"-")</f>
        <v>-</v>
      </c>
    </row>
    <row r="1361" spans="1:13" hidden="1">
      <c r="A1361" s="1">
        <v>46143</v>
      </c>
      <c r="B1361" t="s">
        <v>568</v>
      </c>
      <c r="C1361" t="s">
        <v>441</v>
      </c>
      <c r="D1361" t="s">
        <v>228</v>
      </c>
      <c r="E1361" t="s">
        <v>56</v>
      </c>
      <c r="F1361">
        <v>63</v>
      </c>
      <c r="G1361">
        <v>14</v>
      </c>
      <c r="H1361">
        <v>4.7619047619047597E-3</v>
      </c>
      <c r="I1361">
        <v>0.22222222222222199</v>
      </c>
      <c r="J1361" s="14" t="str">
        <f>_xlfn.XLOOKUP(B1361,CAD_PDV!A:A,CAD_PDV!B:B)</f>
        <v>FAJULUTI</v>
      </c>
      <c r="K1361" s="14">
        <f>IF(IFERROR(_xlfn.XLOOKUP(B1361,Planilha2!D:D,Planilha2!H:H),0)="SIM",1,0)</f>
        <v>0</v>
      </c>
      <c r="L1361" s="14" t="str">
        <f>_xlfn.XLOOKUP(B1361,CAD_PDV!A:A,CAD_PDV!C:C)</f>
        <v>MG</v>
      </c>
      <c r="M1361" s="14" t="str">
        <f>IFERROR(_xlfn.XLOOKUP(B1361,repete!A:A,repete!A:A),"-")</f>
        <v>-</v>
      </c>
    </row>
    <row r="1362" spans="1:13" hidden="1">
      <c r="A1362" s="1">
        <v>46143</v>
      </c>
      <c r="B1362" t="s">
        <v>1171</v>
      </c>
      <c r="C1362" t="s">
        <v>1142</v>
      </c>
      <c r="D1362" t="s">
        <v>228</v>
      </c>
      <c r="E1362" t="s">
        <v>55</v>
      </c>
      <c r="F1362">
        <v>83</v>
      </c>
      <c r="G1362">
        <v>14</v>
      </c>
      <c r="H1362">
        <v>4.7619047619047597E-3</v>
      </c>
      <c r="I1362">
        <v>0.16867469879518099</v>
      </c>
      <c r="J1362" s="14" t="str">
        <f>_xlfn.XLOOKUP(B1362,CAD_PDV!A:A,CAD_PDV!B:B)</f>
        <v>FAJULUTI</v>
      </c>
      <c r="K1362" s="14">
        <f>IF(IFERROR(_xlfn.XLOOKUP(B1362,Planilha2!D:D,Planilha2!H:H),0)="SIM",1,0)</f>
        <v>0</v>
      </c>
      <c r="L1362" s="14" t="str">
        <f>_xlfn.XLOOKUP(B1362,CAD_PDV!A:A,CAD_PDV!C:C)</f>
        <v>RJ/ES</v>
      </c>
      <c r="M1362" s="14" t="str">
        <f>IFERROR(_xlfn.XLOOKUP(B1362,repete!A:A,repete!A:A),"-")</f>
        <v>-</v>
      </c>
    </row>
    <row r="1363" spans="1:13" hidden="1">
      <c r="A1363" s="1">
        <v>46143</v>
      </c>
      <c r="B1363" t="s">
        <v>1875</v>
      </c>
      <c r="C1363" t="s">
        <v>1876</v>
      </c>
      <c r="D1363" t="s">
        <v>124</v>
      </c>
      <c r="E1363" t="s">
        <v>2074</v>
      </c>
      <c r="F1363">
        <v>94</v>
      </c>
      <c r="G1363">
        <v>13</v>
      </c>
      <c r="H1363">
        <v>4.4217687074829901E-3</v>
      </c>
      <c r="I1363">
        <v>0.13829787234042601</v>
      </c>
      <c r="J1363" s="14" t="str">
        <f>_xlfn.XLOOKUP(B1363,CAD_PDV!A:A,CAD_PDV!B:B)</f>
        <v>EDUARDO JUNQUEIRA DA SILVEIRA ADMIN</v>
      </c>
      <c r="K1363" s="14">
        <f>IF(IFERROR(_xlfn.XLOOKUP(B1363,Planilha2!D:D,Planilha2!H:H),0)="SIM",1,0)</f>
        <v>0</v>
      </c>
      <c r="L1363" s="14" t="str">
        <f>_xlfn.XLOOKUP(B1363,CAD_PDV!A:A,CAD_PDV!C:C)</f>
        <v>RS</v>
      </c>
      <c r="M1363" s="14" t="str">
        <f>IFERROR(_xlfn.XLOOKUP(B1363,repete!A:A,repete!A:A),"-")</f>
        <v>-</v>
      </c>
    </row>
    <row r="1364" spans="1:13" hidden="1">
      <c r="A1364" s="1">
        <v>46143</v>
      </c>
      <c r="B1364" t="s">
        <v>1560</v>
      </c>
      <c r="C1364" t="s">
        <v>1561</v>
      </c>
      <c r="D1364" t="s">
        <v>232</v>
      </c>
      <c r="E1364" t="s">
        <v>54</v>
      </c>
      <c r="F1364">
        <v>64</v>
      </c>
      <c r="G1364">
        <v>13</v>
      </c>
      <c r="H1364">
        <v>4.4217687074829901E-3</v>
      </c>
      <c r="I1364">
        <v>0.203125</v>
      </c>
      <c r="J1364" s="14" t="str">
        <f>_xlfn.XLOOKUP(B1364,CAD_PDV!A:A,CAD_PDV!B:B)</f>
        <v>HS TELECOM</v>
      </c>
      <c r="K1364" s="14">
        <f>IF(IFERROR(_xlfn.XLOOKUP(B1364,Planilha2!D:D,Planilha2!H:H),0)="SIM",1,0)</f>
        <v>0</v>
      </c>
      <c r="L1364" s="14" t="str">
        <f>_xlfn.XLOOKUP(B1364,CAD_PDV!A:A,CAD_PDV!C:C)</f>
        <v>SP2</v>
      </c>
      <c r="M1364" s="14" t="str">
        <f>IFERROR(_xlfn.XLOOKUP(B1364,repete!A:A,repete!A:A),"-")</f>
        <v>-</v>
      </c>
    </row>
    <row r="1365" spans="1:13" hidden="1">
      <c r="A1365" s="1">
        <v>46143</v>
      </c>
      <c r="B1365" t="s">
        <v>886</v>
      </c>
      <c r="C1365" t="s">
        <v>873</v>
      </c>
      <c r="D1365" t="s">
        <v>224</v>
      </c>
      <c r="E1365" t="s">
        <v>59</v>
      </c>
      <c r="F1365">
        <v>235</v>
      </c>
      <c r="G1365">
        <v>13</v>
      </c>
      <c r="H1365">
        <v>4.4217687074829901E-3</v>
      </c>
      <c r="I1365">
        <v>5.5319148936170202E-2</v>
      </c>
      <c r="J1365" s="14" t="str">
        <f>_xlfn.XLOOKUP(B1365,CAD_PDV!A:A,CAD_PDV!B:B)</f>
        <v>CELNET COMERCIO E SERVICOS DE TELEFONIA LTDA ME</v>
      </c>
      <c r="K1365" s="14">
        <f>IF(IFERROR(_xlfn.XLOOKUP(B1365,Planilha2!D:D,Planilha2!H:H),0)="SIM",1,0)</f>
        <v>0</v>
      </c>
      <c r="L1365" s="14" t="str">
        <f>_xlfn.XLOOKUP(B1365,CAD_PDV!A:A,CAD_PDV!C:C)</f>
        <v>CO</v>
      </c>
      <c r="M1365" s="14" t="str">
        <f>IFERROR(_xlfn.XLOOKUP(B1365,repete!A:A,repete!A:A),"-")</f>
        <v>-</v>
      </c>
    </row>
    <row r="1366" spans="1:13" hidden="1">
      <c r="A1366" s="1">
        <v>46143</v>
      </c>
      <c r="B1366" t="s">
        <v>1334</v>
      </c>
      <c r="C1366" t="s">
        <v>1313</v>
      </c>
      <c r="D1366" t="s">
        <v>225</v>
      </c>
      <c r="E1366" t="s">
        <v>53</v>
      </c>
      <c r="F1366">
        <v>74</v>
      </c>
      <c r="G1366">
        <v>13</v>
      </c>
      <c r="H1366">
        <v>4.4217687074829901E-3</v>
      </c>
      <c r="I1366">
        <v>0.17567567567567599</v>
      </c>
      <c r="J1366" s="14" t="str">
        <f>_xlfn.XLOOKUP(B1366,CAD_PDV!A:A,CAD_PDV!B:B)</f>
        <v>CLARICELL SP1</v>
      </c>
      <c r="K1366" s="14">
        <f>IF(IFERROR(_xlfn.XLOOKUP(B1366,Planilha2!D:D,Planilha2!H:H),0)="SIM",1,0)</f>
        <v>0</v>
      </c>
      <c r="L1366" s="14" t="str">
        <f>_xlfn.XLOOKUP(B1366,CAD_PDV!A:A,CAD_PDV!C:C)</f>
        <v>SP1</v>
      </c>
      <c r="M1366" s="14" t="str">
        <f>IFERROR(_xlfn.XLOOKUP(B1366,repete!A:A,repete!A:A),"-")</f>
        <v>-</v>
      </c>
    </row>
    <row r="1367" spans="1:13" hidden="1">
      <c r="A1367" s="1">
        <v>46143</v>
      </c>
      <c r="B1367" t="s">
        <v>1641</v>
      </c>
      <c r="C1367" t="s">
        <v>1616</v>
      </c>
      <c r="D1367" t="s">
        <v>132</v>
      </c>
      <c r="E1367" t="s">
        <v>54</v>
      </c>
      <c r="F1367">
        <v>49</v>
      </c>
      <c r="G1367">
        <v>13</v>
      </c>
      <c r="H1367">
        <v>4.4217687074829901E-3</v>
      </c>
      <c r="I1367">
        <v>0.26530612244898</v>
      </c>
      <c r="J1367" s="14" t="str">
        <f>_xlfn.XLOOKUP(B1367,CAD_PDV!A:A,CAD_PDV!B:B)</f>
        <v>FLEX CELL</v>
      </c>
      <c r="K1367" s="14">
        <f>IF(IFERROR(_xlfn.XLOOKUP(B1367,Planilha2!D:D,Planilha2!H:H),0)="SIM",1,0)</f>
        <v>0</v>
      </c>
      <c r="L1367" s="14" t="str">
        <f>_xlfn.XLOOKUP(B1367,CAD_PDV!A:A,CAD_PDV!C:C)</f>
        <v>SP2</v>
      </c>
      <c r="M1367" s="14" t="str">
        <f>IFERROR(_xlfn.XLOOKUP(B1367,repete!A:A,repete!A:A),"-")</f>
        <v>-</v>
      </c>
    </row>
    <row r="1368" spans="1:13" hidden="1">
      <c r="A1368" s="1">
        <v>46143</v>
      </c>
      <c r="B1368" t="s">
        <v>640</v>
      </c>
      <c r="C1368" t="s">
        <v>641</v>
      </c>
      <c r="D1368" t="s">
        <v>221</v>
      </c>
      <c r="E1368" t="s">
        <v>59</v>
      </c>
      <c r="F1368">
        <v>93</v>
      </c>
      <c r="G1368">
        <v>13</v>
      </c>
      <c r="H1368">
        <v>4.4217687074829901E-3</v>
      </c>
      <c r="I1368">
        <v>0.13978494623655899</v>
      </c>
      <c r="J1368" s="14" t="str">
        <f>_xlfn.XLOOKUP(B1368,CAD_PDV!A:A,CAD_PDV!B:B)</f>
        <v>AMERICOM COMERCIO DE APARELHOS ELETRONICOS LTDA - EPP</v>
      </c>
      <c r="K1368" s="14">
        <f>IF(IFERROR(_xlfn.XLOOKUP(B1368,Planilha2!D:D,Planilha2!H:H),0)="SIM",1,0)</f>
        <v>0</v>
      </c>
      <c r="L1368" s="14" t="str">
        <f>_xlfn.XLOOKUP(B1368,CAD_PDV!A:A,CAD_PDV!C:C)</f>
        <v>CO</v>
      </c>
      <c r="M1368" s="14" t="str">
        <f>IFERROR(_xlfn.XLOOKUP(B1368,repete!A:A,repete!A:A),"-")</f>
        <v>-</v>
      </c>
    </row>
    <row r="1369" spans="1:13" hidden="1">
      <c r="A1369" s="1">
        <v>46143</v>
      </c>
      <c r="B1369" t="s">
        <v>1143</v>
      </c>
      <c r="C1369" t="s">
        <v>1142</v>
      </c>
      <c r="D1369" t="s">
        <v>237</v>
      </c>
      <c r="E1369" t="s">
        <v>55</v>
      </c>
      <c r="F1369">
        <v>160</v>
      </c>
      <c r="G1369">
        <v>12</v>
      </c>
      <c r="H1369">
        <v>4.0816326530612197E-3</v>
      </c>
      <c r="I1369">
        <v>7.4999999999999997E-2</v>
      </c>
      <c r="J1369" s="14" t="str">
        <f>_xlfn.XLOOKUP(B1369,CAD_PDV!A:A,CAD_PDV!B:B)</f>
        <v>PONTO CERTO COMERCIO E COMUNICAÇÕES LTDA</v>
      </c>
      <c r="K1369" s="14">
        <f>IF(IFERROR(_xlfn.XLOOKUP(B1369,Planilha2!D:D,Planilha2!H:H),0)="SIM",1,0)</f>
        <v>0</v>
      </c>
      <c r="L1369" s="14" t="str">
        <f>_xlfn.XLOOKUP(B1369,CAD_PDV!A:A,CAD_PDV!C:C)</f>
        <v>RJ/ES</v>
      </c>
      <c r="M1369" s="14" t="str">
        <f>IFERROR(_xlfn.XLOOKUP(B1369,repete!A:A,repete!A:A),"-")</f>
        <v>-</v>
      </c>
    </row>
    <row r="1370" spans="1:13" hidden="1">
      <c r="A1370" s="1">
        <v>46143</v>
      </c>
      <c r="B1370" t="s">
        <v>880</v>
      </c>
      <c r="C1370" t="s">
        <v>875</v>
      </c>
      <c r="D1370" t="s">
        <v>239</v>
      </c>
      <c r="E1370" t="s">
        <v>59</v>
      </c>
      <c r="F1370">
        <v>140</v>
      </c>
      <c r="G1370">
        <v>12</v>
      </c>
      <c r="H1370">
        <v>4.0816326530612197E-3</v>
      </c>
      <c r="I1370">
        <v>8.5714285714285701E-2</v>
      </c>
      <c r="J1370" s="14" t="str">
        <f>_xlfn.XLOOKUP(B1370,CAD_PDV!A:A,CAD_PDV!B:B)</f>
        <v>TELECELL TELEFONIA LTDA - ME</v>
      </c>
      <c r="K1370" s="14">
        <f>IF(IFERROR(_xlfn.XLOOKUP(B1370,Planilha2!D:D,Planilha2!H:H),0)="SIM",1,0)</f>
        <v>0</v>
      </c>
      <c r="L1370" s="14" t="str">
        <f>_xlfn.XLOOKUP(B1370,CAD_PDV!A:A,CAD_PDV!C:C)</f>
        <v>CO</v>
      </c>
      <c r="M1370" s="14" t="str">
        <f>IFERROR(_xlfn.XLOOKUP(B1370,repete!A:A,repete!A:A),"-")</f>
        <v>-</v>
      </c>
    </row>
    <row r="1371" spans="1:13" hidden="1">
      <c r="A1371" s="1">
        <v>46143</v>
      </c>
      <c r="B1371" t="s">
        <v>655</v>
      </c>
      <c r="C1371" t="s">
        <v>649</v>
      </c>
      <c r="D1371" t="s">
        <v>239</v>
      </c>
      <c r="E1371" t="s">
        <v>59</v>
      </c>
      <c r="F1371">
        <v>67</v>
      </c>
      <c r="G1371">
        <v>12</v>
      </c>
      <c r="H1371">
        <v>4.0816326530612197E-3</v>
      </c>
      <c r="I1371">
        <v>0.17910447761194001</v>
      </c>
      <c r="J1371" s="14" t="str">
        <f>_xlfn.XLOOKUP(B1371,CAD_PDV!A:A,CAD_PDV!B:B)</f>
        <v>TELECELL TELEFONIA LTDA - ME</v>
      </c>
      <c r="K1371" s="14">
        <f>IF(IFERROR(_xlfn.XLOOKUP(B1371,Planilha2!D:D,Planilha2!H:H),0)="SIM",1,0)</f>
        <v>0</v>
      </c>
      <c r="L1371" s="14" t="str">
        <f>_xlfn.XLOOKUP(B1371,CAD_PDV!A:A,CAD_PDV!C:C)</f>
        <v>CO</v>
      </c>
      <c r="M1371" s="14" t="str">
        <f>IFERROR(_xlfn.XLOOKUP(B1371,repete!A:A,repete!A:A),"-")</f>
        <v>-</v>
      </c>
    </row>
    <row r="1372" spans="1:13" hidden="1">
      <c r="A1372" s="1">
        <v>46143</v>
      </c>
      <c r="B1372" t="s">
        <v>1574</v>
      </c>
      <c r="C1372" t="s">
        <v>1575</v>
      </c>
      <c r="D1372" t="s">
        <v>132</v>
      </c>
      <c r="E1372" t="s">
        <v>54</v>
      </c>
      <c r="F1372">
        <v>63</v>
      </c>
      <c r="G1372">
        <v>12</v>
      </c>
      <c r="H1372">
        <v>4.0816326530612197E-3</v>
      </c>
      <c r="I1372">
        <v>0.19047619047618999</v>
      </c>
      <c r="J1372" s="14" t="str">
        <f>_xlfn.XLOOKUP(B1372,CAD_PDV!A:A,CAD_PDV!B:B)</f>
        <v>FLEX CELL</v>
      </c>
      <c r="K1372" s="14">
        <f>IF(IFERROR(_xlfn.XLOOKUP(B1372,Planilha2!D:D,Planilha2!H:H),0)="SIM",1,0)</f>
        <v>0</v>
      </c>
      <c r="L1372" s="14" t="str">
        <f>_xlfn.XLOOKUP(B1372,CAD_PDV!A:A,CAD_PDV!C:C)</f>
        <v>SP2</v>
      </c>
      <c r="M1372" s="14" t="str">
        <f>IFERROR(_xlfn.XLOOKUP(B1372,repete!A:A,repete!A:A),"-")</f>
        <v>-</v>
      </c>
    </row>
    <row r="1373" spans="1:13" hidden="1">
      <c r="A1373" s="1">
        <v>46143</v>
      </c>
      <c r="B1373" t="s">
        <v>1364</v>
      </c>
      <c r="C1373" t="s">
        <v>1313</v>
      </c>
      <c r="D1373" t="s">
        <v>132</v>
      </c>
      <c r="E1373" t="s">
        <v>53</v>
      </c>
      <c r="F1373">
        <v>160</v>
      </c>
      <c r="G1373">
        <v>12</v>
      </c>
      <c r="H1373">
        <v>4.0816326530612197E-3</v>
      </c>
      <c r="I1373">
        <v>7.4999999999999997E-2</v>
      </c>
      <c r="J1373" s="14" t="str">
        <f>_xlfn.XLOOKUP(B1373,CAD_PDV!A:A,CAD_PDV!B:B)</f>
        <v>FLEX CELL</v>
      </c>
      <c r="K1373" s="14">
        <f>IF(IFERROR(_xlfn.XLOOKUP(B1373,Planilha2!D:D,Planilha2!H:H),0)="SIM",1,0)</f>
        <v>0</v>
      </c>
      <c r="L1373" s="14" t="str">
        <f>_xlfn.XLOOKUP(B1373,CAD_PDV!A:A,CAD_PDV!C:C)</f>
        <v>SP1</v>
      </c>
      <c r="M1373" s="14" t="str">
        <f>IFERROR(_xlfn.XLOOKUP(B1373,repete!A:A,repete!A:A),"-")</f>
        <v>-</v>
      </c>
    </row>
    <row r="1374" spans="1:13" hidden="1">
      <c r="A1374" s="1">
        <v>46143</v>
      </c>
      <c r="B1374" t="s">
        <v>895</v>
      </c>
      <c r="C1374" t="s">
        <v>873</v>
      </c>
      <c r="D1374" t="s">
        <v>224</v>
      </c>
      <c r="E1374" t="s">
        <v>59</v>
      </c>
      <c r="F1374">
        <v>103</v>
      </c>
      <c r="G1374">
        <v>12</v>
      </c>
      <c r="H1374">
        <v>4.0816326530612197E-3</v>
      </c>
      <c r="I1374">
        <v>0.116504854368932</v>
      </c>
      <c r="J1374" s="14" t="str">
        <f>_xlfn.XLOOKUP(B1374,CAD_PDV!A:A,CAD_PDV!B:B)</f>
        <v>CELNET COMERCIO E SERVICOS DE TELEFONIA LTDA ME</v>
      </c>
      <c r="K1374" s="14">
        <f>IF(IFERROR(_xlfn.XLOOKUP(B1374,Planilha2!D:D,Planilha2!H:H),0)="SIM",1,0)</f>
        <v>0</v>
      </c>
      <c r="L1374" s="14" t="str">
        <f>_xlfn.XLOOKUP(B1374,CAD_PDV!A:A,CAD_PDV!C:C)</f>
        <v>CO</v>
      </c>
      <c r="M1374" s="14" t="str">
        <f>IFERROR(_xlfn.XLOOKUP(B1374,repete!A:A,repete!A:A),"-")</f>
        <v>-</v>
      </c>
    </row>
    <row r="1375" spans="1:13" hidden="1">
      <c r="A1375" s="1">
        <v>46143</v>
      </c>
      <c r="B1375" t="s">
        <v>962</v>
      </c>
      <c r="C1375" t="s">
        <v>950</v>
      </c>
      <c r="D1375" t="s">
        <v>232</v>
      </c>
      <c r="E1375" t="s">
        <v>60</v>
      </c>
      <c r="F1375">
        <v>62</v>
      </c>
      <c r="G1375">
        <v>12</v>
      </c>
      <c r="H1375">
        <v>4.0816326530612197E-3</v>
      </c>
      <c r="I1375">
        <v>0.19354838709677399</v>
      </c>
      <c r="J1375" s="14" t="str">
        <f>_xlfn.XLOOKUP(B1375,CAD_PDV!A:A,CAD_PDV!B:B)</f>
        <v>HS TELECOM</v>
      </c>
      <c r="K1375" s="14">
        <f>IF(IFERROR(_xlfn.XLOOKUP(B1375,Planilha2!D:D,Planilha2!H:H),0)="SIM",1,0)</f>
        <v>0</v>
      </c>
      <c r="L1375" s="14" t="str">
        <f>_xlfn.XLOOKUP(B1375,CAD_PDV!A:A,CAD_PDV!C:C)</f>
        <v>BA/SE</v>
      </c>
      <c r="M1375" s="14" t="str">
        <f>IFERROR(_xlfn.XLOOKUP(B1375,repete!A:A,repete!A:A),"-")</f>
        <v>-</v>
      </c>
    </row>
    <row r="1376" spans="1:13" hidden="1">
      <c r="A1376" s="1">
        <v>46143</v>
      </c>
      <c r="B1376" t="s">
        <v>896</v>
      </c>
      <c r="C1376" t="s">
        <v>873</v>
      </c>
      <c r="D1376" t="s">
        <v>224</v>
      </c>
      <c r="E1376" t="s">
        <v>59</v>
      </c>
      <c r="F1376">
        <v>111</v>
      </c>
      <c r="G1376">
        <v>12</v>
      </c>
      <c r="H1376">
        <v>4.0816326530612197E-3</v>
      </c>
      <c r="I1376">
        <v>0.108108108108108</v>
      </c>
      <c r="J1376" s="14" t="str">
        <f>_xlfn.XLOOKUP(B1376,CAD_PDV!A:A,CAD_PDV!B:B)</f>
        <v>CELNET COMERCIO E SERVICOS DE TELEFONIA LTDA ME</v>
      </c>
      <c r="K1376" s="14">
        <f>IF(IFERROR(_xlfn.XLOOKUP(B1376,Planilha2!D:D,Planilha2!H:H),0)="SIM",1,0)</f>
        <v>0</v>
      </c>
      <c r="L1376" s="14" t="str">
        <f>_xlfn.XLOOKUP(B1376,CAD_PDV!A:A,CAD_PDV!C:C)</f>
        <v>CO</v>
      </c>
      <c r="M1376" s="14" t="str">
        <f>IFERROR(_xlfn.XLOOKUP(B1376,repete!A:A,repete!A:A),"-")</f>
        <v>-</v>
      </c>
    </row>
    <row r="1377" spans="1:13" hidden="1">
      <c r="A1377" s="1">
        <v>46143</v>
      </c>
      <c r="B1377" t="s">
        <v>1697</v>
      </c>
      <c r="C1377" t="s">
        <v>1698</v>
      </c>
      <c r="D1377" t="s">
        <v>232</v>
      </c>
      <c r="E1377" t="s">
        <v>54</v>
      </c>
      <c r="F1377">
        <v>66</v>
      </c>
      <c r="G1377">
        <v>12</v>
      </c>
      <c r="H1377">
        <v>4.0816326530612197E-3</v>
      </c>
      <c r="I1377">
        <v>0.18181818181818199</v>
      </c>
      <c r="J1377" s="14" t="str">
        <f>_xlfn.XLOOKUP(B1377,CAD_PDV!A:A,CAD_PDV!B:B)</f>
        <v>HS TELECOM</v>
      </c>
      <c r="K1377" s="14">
        <f>IF(IFERROR(_xlfn.XLOOKUP(B1377,Planilha2!D:D,Planilha2!H:H),0)="SIM",1,0)</f>
        <v>0</v>
      </c>
      <c r="L1377" s="14" t="str">
        <f>_xlfn.XLOOKUP(B1377,CAD_PDV!A:A,CAD_PDV!C:C)</f>
        <v>SP2</v>
      </c>
      <c r="M1377" s="14" t="str">
        <f>IFERROR(_xlfn.XLOOKUP(B1377,repete!A:A,repete!A:A),"-")</f>
        <v>-</v>
      </c>
    </row>
    <row r="1378" spans="1:13" hidden="1">
      <c r="A1378" s="1">
        <v>46143</v>
      </c>
      <c r="B1378" t="s">
        <v>617</v>
      </c>
      <c r="C1378" t="s">
        <v>616</v>
      </c>
      <c r="D1378" t="s">
        <v>239</v>
      </c>
      <c r="E1378" t="s">
        <v>59</v>
      </c>
      <c r="F1378">
        <v>65</v>
      </c>
      <c r="G1378">
        <v>12</v>
      </c>
      <c r="H1378">
        <v>4.0816326530612197E-3</v>
      </c>
      <c r="I1378">
        <v>0.18461538461538499</v>
      </c>
      <c r="J1378" s="14" t="str">
        <f>_xlfn.XLOOKUP(B1378,CAD_PDV!A:A,CAD_PDV!B:B)</f>
        <v>TELECELL TELEFONIA LTDA - ME</v>
      </c>
      <c r="K1378" s="14">
        <f>IF(IFERROR(_xlfn.XLOOKUP(B1378,Planilha2!D:D,Planilha2!H:H),0)="SIM",1,0)</f>
        <v>0</v>
      </c>
      <c r="L1378" s="14" t="str">
        <f>_xlfn.XLOOKUP(B1378,CAD_PDV!A:A,CAD_PDV!C:C)</f>
        <v>CO</v>
      </c>
      <c r="M1378" s="14" t="str">
        <f>IFERROR(_xlfn.XLOOKUP(B1378,repete!A:A,repete!A:A),"-")</f>
        <v>-</v>
      </c>
    </row>
    <row r="1379" spans="1:13" hidden="1">
      <c r="A1379" s="1">
        <v>46143</v>
      </c>
      <c r="B1379" t="s">
        <v>1735</v>
      </c>
      <c r="C1379" t="s">
        <v>1464</v>
      </c>
      <c r="D1379" t="s">
        <v>132</v>
      </c>
      <c r="E1379" t="s">
        <v>54</v>
      </c>
      <c r="F1379">
        <v>35</v>
      </c>
      <c r="G1379">
        <v>12</v>
      </c>
      <c r="H1379">
        <v>4.0816326530612197E-3</v>
      </c>
      <c r="I1379">
        <v>0.34285714285714303</v>
      </c>
      <c r="J1379" s="14" t="str">
        <f>_xlfn.XLOOKUP(B1379,CAD_PDV!A:A,CAD_PDV!B:B)</f>
        <v>FLEX CELL</v>
      </c>
      <c r="K1379" s="14">
        <f>IF(IFERROR(_xlfn.XLOOKUP(B1379,Planilha2!D:D,Planilha2!H:H),0)="SIM",1,0)</f>
        <v>0</v>
      </c>
      <c r="L1379" s="14" t="str">
        <f>_xlfn.XLOOKUP(B1379,CAD_PDV!A:A,CAD_PDV!C:C)</f>
        <v>SP2</v>
      </c>
      <c r="M1379" s="14" t="str">
        <f>IFERROR(_xlfn.XLOOKUP(B1379,repete!A:A,repete!A:A),"-")</f>
        <v>-</v>
      </c>
    </row>
    <row r="1380" spans="1:13" hidden="1">
      <c r="A1380" s="1">
        <v>46143</v>
      </c>
      <c r="B1380" t="s">
        <v>879</v>
      </c>
      <c r="C1380" t="s">
        <v>873</v>
      </c>
      <c r="D1380" t="s">
        <v>239</v>
      </c>
      <c r="E1380" t="s">
        <v>59</v>
      </c>
      <c r="F1380">
        <v>71</v>
      </c>
      <c r="G1380">
        <v>11</v>
      </c>
      <c r="H1380">
        <v>3.74149659863946E-3</v>
      </c>
      <c r="I1380">
        <v>0.154929577464789</v>
      </c>
      <c r="J1380" s="14" t="str">
        <f>_xlfn.XLOOKUP(B1380,CAD_PDV!A:A,CAD_PDV!B:B)</f>
        <v>TELECELL TELEFONIA LTDA - ME</v>
      </c>
      <c r="K1380" s="14">
        <f>IF(IFERROR(_xlfn.XLOOKUP(B1380,Planilha2!D:D,Planilha2!H:H),0)="SIM",1,0)</f>
        <v>0</v>
      </c>
      <c r="L1380" s="14" t="str">
        <f>_xlfn.XLOOKUP(B1380,CAD_PDV!A:A,CAD_PDV!C:C)</f>
        <v>CO</v>
      </c>
      <c r="M1380" s="14" t="str">
        <f>IFERROR(_xlfn.XLOOKUP(B1380,repete!A:A,repete!A:A),"-")</f>
        <v>-</v>
      </c>
    </row>
    <row r="1381" spans="1:13" hidden="1">
      <c r="A1381" s="1">
        <v>46143</v>
      </c>
      <c r="B1381" t="s">
        <v>1149</v>
      </c>
      <c r="C1381" t="s">
        <v>1152</v>
      </c>
      <c r="D1381" t="s">
        <v>228</v>
      </c>
      <c r="E1381" t="s">
        <v>55</v>
      </c>
      <c r="F1381">
        <v>75</v>
      </c>
      <c r="G1381">
        <v>11</v>
      </c>
      <c r="H1381">
        <v>3.74149659863946E-3</v>
      </c>
      <c r="I1381">
        <v>0.146666666666667</v>
      </c>
      <c r="J1381" s="14" t="str">
        <f>_xlfn.XLOOKUP(B1381,CAD_PDV!A:A,CAD_PDV!B:B)</f>
        <v>FAJULUTI</v>
      </c>
      <c r="K1381" s="14">
        <f>IF(IFERROR(_xlfn.XLOOKUP(B1381,Planilha2!D:D,Planilha2!H:H),0)="SIM",1,0)</f>
        <v>0</v>
      </c>
      <c r="L1381" s="14" t="str">
        <f>_xlfn.XLOOKUP(B1381,CAD_PDV!A:A,CAD_PDV!C:C)</f>
        <v>RJ/ES</v>
      </c>
      <c r="M1381" s="14" t="str">
        <f>IFERROR(_xlfn.XLOOKUP(B1381,repete!A:A,repete!A:A),"-")</f>
        <v>-</v>
      </c>
    </row>
    <row r="1382" spans="1:13" hidden="1">
      <c r="A1382" s="1">
        <v>46143</v>
      </c>
      <c r="B1382" t="s">
        <v>1012</v>
      </c>
      <c r="C1382" t="s">
        <v>1005</v>
      </c>
      <c r="D1382" t="s">
        <v>232</v>
      </c>
      <c r="E1382" t="s">
        <v>60</v>
      </c>
      <c r="F1382">
        <v>59</v>
      </c>
      <c r="G1382">
        <v>11</v>
      </c>
      <c r="H1382">
        <v>3.74149659863946E-3</v>
      </c>
      <c r="I1382">
        <v>0.186440677966102</v>
      </c>
      <c r="J1382" s="14" t="str">
        <f>_xlfn.XLOOKUP(B1382,CAD_PDV!A:A,CAD_PDV!B:B)</f>
        <v>HS TELECOM</v>
      </c>
      <c r="K1382" s="14">
        <f>IF(IFERROR(_xlfn.XLOOKUP(B1382,Planilha2!D:D,Planilha2!H:H),0)="SIM",1,0)</f>
        <v>0</v>
      </c>
      <c r="L1382" s="14" t="str">
        <f>_xlfn.XLOOKUP(B1382,CAD_PDV!A:A,CAD_PDV!C:C)</f>
        <v>BA/SE</v>
      </c>
      <c r="M1382" s="14" t="str">
        <f>IFERROR(_xlfn.XLOOKUP(B1382,repete!A:A,repete!A:A),"-")</f>
        <v>FMBI</v>
      </c>
    </row>
    <row r="1383" spans="1:13" hidden="1">
      <c r="A1383" s="1">
        <v>46143</v>
      </c>
      <c r="B1383" t="s">
        <v>1167</v>
      </c>
      <c r="C1383" t="s">
        <v>1152</v>
      </c>
      <c r="D1383" t="s">
        <v>237</v>
      </c>
      <c r="E1383" t="s">
        <v>55</v>
      </c>
      <c r="F1383">
        <v>159</v>
      </c>
      <c r="G1383">
        <v>11</v>
      </c>
      <c r="H1383">
        <v>3.74149659863946E-3</v>
      </c>
      <c r="I1383">
        <v>6.9182389937106903E-2</v>
      </c>
      <c r="J1383" s="14" t="str">
        <f>_xlfn.XLOOKUP(B1383,CAD_PDV!A:A,CAD_PDV!B:B)</f>
        <v>PONTO CERTO COMERCIO E COMUNICAÇÕES LTDA</v>
      </c>
      <c r="K1383" s="14">
        <f>IF(IFERROR(_xlfn.XLOOKUP(B1383,Planilha2!D:D,Planilha2!H:H),0)="SIM",1,0)</f>
        <v>0</v>
      </c>
      <c r="L1383" s="14" t="str">
        <f>_xlfn.XLOOKUP(B1383,CAD_PDV!A:A,CAD_PDV!C:C)</f>
        <v>RJ/ES</v>
      </c>
      <c r="M1383" s="14" t="str">
        <f>IFERROR(_xlfn.XLOOKUP(B1383,repete!A:A,repete!A:A),"-")</f>
        <v>-</v>
      </c>
    </row>
    <row r="1384" spans="1:13" hidden="1">
      <c r="A1384" s="1">
        <v>46143</v>
      </c>
      <c r="B1384" t="s">
        <v>1363</v>
      </c>
      <c r="C1384" t="s">
        <v>1313</v>
      </c>
      <c r="D1384" t="s">
        <v>132</v>
      </c>
      <c r="E1384" t="s">
        <v>53</v>
      </c>
      <c r="F1384">
        <v>141</v>
      </c>
      <c r="G1384">
        <v>11</v>
      </c>
      <c r="H1384">
        <v>3.74149659863946E-3</v>
      </c>
      <c r="I1384">
        <v>7.8014184397163094E-2</v>
      </c>
      <c r="J1384" s="14" t="str">
        <f>_xlfn.XLOOKUP(B1384,CAD_PDV!A:A,CAD_PDV!B:B)</f>
        <v>FLEX CELL</v>
      </c>
      <c r="K1384" s="14">
        <f>IF(IFERROR(_xlfn.XLOOKUP(B1384,Planilha2!D:D,Planilha2!H:H),0)="SIM",1,0)</f>
        <v>0</v>
      </c>
      <c r="L1384" s="14" t="str">
        <f>_xlfn.XLOOKUP(B1384,CAD_PDV!A:A,CAD_PDV!C:C)</f>
        <v>SP1</v>
      </c>
      <c r="M1384" s="14" t="str">
        <f>IFERROR(_xlfn.XLOOKUP(B1384,repete!A:A,repete!A:A),"-")</f>
        <v>-</v>
      </c>
    </row>
    <row r="1385" spans="1:13" hidden="1">
      <c r="A1385" s="1">
        <v>46143</v>
      </c>
      <c r="B1385" t="s">
        <v>1670</v>
      </c>
      <c r="C1385" t="s">
        <v>1671</v>
      </c>
      <c r="D1385" t="s">
        <v>232</v>
      </c>
      <c r="E1385" t="s">
        <v>54</v>
      </c>
      <c r="F1385">
        <v>83</v>
      </c>
      <c r="G1385">
        <v>11</v>
      </c>
      <c r="H1385">
        <v>3.74149659863946E-3</v>
      </c>
      <c r="I1385">
        <v>0.132530120481928</v>
      </c>
      <c r="J1385" s="14" t="str">
        <f>_xlfn.XLOOKUP(B1385,CAD_PDV!A:A,CAD_PDV!B:B)</f>
        <v>HS TELECOM</v>
      </c>
      <c r="K1385" s="14">
        <f>IF(IFERROR(_xlfn.XLOOKUP(B1385,Planilha2!D:D,Planilha2!H:H),0)="SIM",1,0)</f>
        <v>0</v>
      </c>
      <c r="L1385" s="14" t="str">
        <f>_xlfn.XLOOKUP(B1385,CAD_PDV!A:A,CAD_PDV!C:C)</f>
        <v>SP2</v>
      </c>
      <c r="M1385" s="14" t="str">
        <f>IFERROR(_xlfn.XLOOKUP(B1385,repete!A:A,repete!A:A),"-")</f>
        <v>-</v>
      </c>
    </row>
    <row r="1386" spans="1:13" hidden="1">
      <c r="A1386" s="1">
        <v>46143</v>
      </c>
      <c r="B1386" t="s">
        <v>1681</v>
      </c>
      <c r="C1386" t="s">
        <v>1527</v>
      </c>
      <c r="D1386" t="s">
        <v>232</v>
      </c>
      <c r="E1386" t="s">
        <v>54</v>
      </c>
      <c r="F1386">
        <v>117</v>
      </c>
      <c r="G1386">
        <v>11</v>
      </c>
      <c r="H1386">
        <v>3.74149659863946E-3</v>
      </c>
      <c r="I1386">
        <v>9.4017094017094002E-2</v>
      </c>
      <c r="J1386" s="14" t="str">
        <f>_xlfn.XLOOKUP(B1386,CAD_PDV!A:A,CAD_PDV!B:B)</f>
        <v>HS TELECOM</v>
      </c>
      <c r="K1386" s="14">
        <f>IF(IFERROR(_xlfn.XLOOKUP(B1386,Planilha2!D:D,Planilha2!H:H),0)="SIM",1,0)</f>
        <v>0</v>
      </c>
      <c r="L1386" s="14" t="str">
        <f>_xlfn.XLOOKUP(B1386,CAD_PDV!A:A,CAD_PDV!C:C)</f>
        <v>SP2</v>
      </c>
      <c r="M1386" s="14" t="str">
        <f>IFERROR(_xlfn.XLOOKUP(B1386,repete!A:A,repete!A:A),"-")</f>
        <v>-</v>
      </c>
    </row>
    <row r="1387" spans="1:13" hidden="1">
      <c r="A1387" s="1">
        <v>46143</v>
      </c>
      <c r="B1387" t="s">
        <v>1877</v>
      </c>
      <c r="C1387" t="s">
        <v>1876</v>
      </c>
      <c r="D1387" t="s">
        <v>124</v>
      </c>
      <c r="E1387" t="s">
        <v>2074</v>
      </c>
      <c r="F1387">
        <v>59</v>
      </c>
      <c r="G1387">
        <v>11</v>
      </c>
      <c r="H1387">
        <v>3.74149659863946E-3</v>
      </c>
      <c r="I1387">
        <v>0.186440677966102</v>
      </c>
      <c r="J1387" s="14" t="str">
        <f>_xlfn.XLOOKUP(B1387,CAD_PDV!A:A,CAD_PDV!B:B)</f>
        <v>EDUARDO JUNQUEIRA DA SILVEIRA ADMIN</v>
      </c>
      <c r="K1387" s="14">
        <f>IF(IFERROR(_xlfn.XLOOKUP(B1387,Planilha2!D:D,Planilha2!H:H),0)="SIM",1,0)</f>
        <v>0</v>
      </c>
      <c r="L1387" s="14" t="str">
        <f>_xlfn.XLOOKUP(B1387,CAD_PDV!A:A,CAD_PDV!C:C)</f>
        <v>RS</v>
      </c>
      <c r="M1387" s="14" t="str">
        <f>IFERROR(_xlfn.XLOOKUP(B1387,repete!A:A,repete!A:A),"-")</f>
        <v>-</v>
      </c>
    </row>
    <row r="1388" spans="1:13" hidden="1">
      <c r="A1388" s="1">
        <v>46143</v>
      </c>
      <c r="B1388" t="s">
        <v>1265</v>
      </c>
      <c r="C1388" t="s">
        <v>1266</v>
      </c>
      <c r="D1388" t="s">
        <v>228</v>
      </c>
      <c r="E1388" t="s">
        <v>55</v>
      </c>
      <c r="F1388">
        <v>74</v>
      </c>
      <c r="G1388">
        <v>11</v>
      </c>
      <c r="H1388">
        <v>3.74149659863946E-3</v>
      </c>
      <c r="I1388">
        <v>0.14864864864864899</v>
      </c>
      <c r="J1388" s="14" t="str">
        <f>_xlfn.XLOOKUP(B1388,CAD_PDV!A:A,CAD_PDV!B:B)</f>
        <v>FAJULUTI</v>
      </c>
      <c r="K1388" s="14">
        <f>IF(IFERROR(_xlfn.XLOOKUP(B1388,Planilha2!D:D,Planilha2!H:H),0)="SIM",1,0)</f>
        <v>0</v>
      </c>
      <c r="L1388" s="14" t="str">
        <f>_xlfn.XLOOKUP(B1388,CAD_PDV!A:A,CAD_PDV!C:C)</f>
        <v>RJ/ES</v>
      </c>
      <c r="M1388" s="14" t="str">
        <f>IFERROR(_xlfn.XLOOKUP(B1388,repete!A:A,repete!A:A),"-")</f>
        <v>-</v>
      </c>
    </row>
    <row r="1389" spans="1:13" hidden="1">
      <c r="A1389" s="1">
        <v>46143</v>
      </c>
      <c r="B1389" t="s">
        <v>1522</v>
      </c>
      <c r="C1389" t="s">
        <v>1523</v>
      </c>
      <c r="D1389" t="s">
        <v>232</v>
      </c>
      <c r="E1389" t="s">
        <v>54</v>
      </c>
      <c r="F1389">
        <v>101</v>
      </c>
      <c r="G1389">
        <v>10</v>
      </c>
      <c r="H1389">
        <v>3.40136054421769E-3</v>
      </c>
      <c r="I1389">
        <v>9.9009900990099001E-2</v>
      </c>
      <c r="J1389" s="14" t="str">
        <f>_xlfn.XLOOKUP(B1389,CAD_PDV!A:A,CAD_PDV!B:B)</f>
        <v>HS TELECOM</v>
      </c>
      <c r="K1389" s="14">
        <f>IF(IFERROR(_xlfn.XLOOKUP(B1389,Planilha2!D:D,Planilha2!H:H),0)="SIM",1,0)</f>
        <v>0</v>
      </c>
      <c r="L1389" s="14" t="str">
        <f>_xlfn.XLOOKUP(B1389,CAD_PDV!A:A,CAD_PDV!C:C)</f>
        <v>SP2</v>
      </c>
      <c r="M1389" s="14" t="str">
        <f>IFERROR(_xlfn.XLOOKUP(B1389,repete!A:A,repete!A:A),"-")</f>
        <v>-</v>
      </c>
    </row>
    <row r="1390" spans="1:13" hidden="1">
      <c r="A1390" s="1">
        <v>46143</v>
      </c>
      <c r="B1390" t="s">
        <v>1232</v>
      </c>
      <c r="C1390" t="s">
        <v>1142</v>
      </c>
      <c r="D1390" t="s">
        <v>237</v>
      </c>
      <c r="E1390" t="s">
        <v>55</v>
      </c>
      <c r="F1390">
        <v>95</v>
      </c>
      <c r="G1390">
        <v>10</v>
      </c>
      <c r="H1390">
        <v>3.40136054421769E-3</v>
      </c>
      <c r="I1390">
        <v>0.105263157894737</v>
      </c>
      <c r="J1390" s="14" t="str">
        <f>_xlfn.XLOOKUP(B1390,CAD_PDV!A:A,CAD_PDV!B:B)</f>
        <v>PONTO CERTO COMERCIO E COMUNICAÇÕES LTDA</v>
      </c>
      <c r="K1390" s="14">
        <f>IF(IFERROR(_xlfn.XLOOKUP(B1390,Planilha2!D:D,Planilha2!H:H),0)="SIM",1,0)</f>
        <v>0</v>
      </c>
      <c r="L1390" s="14" t="str">
        <f>_xlfn.XLOOKUP(B1390,CAD_PDV!A:A,CAD_PDV!C:C)</f>
        <v>RJ/ES</v>
      </c>
      <c r="M1390" s="14" t="str">
        <f>IFERROR(_xlfn.XLOOKUP(B1390,repete!A:A,repete!A:A),"-")</f>
        <v>-</v>
      </c>
    </row>
    <row r="1391" spans="1:13" hidden="1">
      <c r="A1391" s="1">
        <v>46143</v>
      </c>
      <c r="B1391" t="s">
        <v>279</v>
      </c>
      <c r="C1391" t="s">
        <v>265</v>
      </c>
      <c r="D1391" t="s">
        <v>230</v>
      </c>
      <c r="E1391" t="s">
        <v>61</v>
      </c>
      <c r="F1391">
        <v>132</v>
      </c>
      <c r="G1391">
        <v>10</v>
      </c>
      <c r="H1391">
        <v>3.40136054421769E-3</v>
      </c>
      <c r="I1391">
        <v>7.5757575757575801E-2</v>
      </c>
      <c r="J1391" s="14" t="str">
        <f>_xlfn.XLOOKUP(B1391,CAD_PDV!A:A,CAD_PDV!B:B)</f>
        <v>HARCOS COMERCIO E SERVICOS LTDA - EPP</v>
      </c>
      <c r="K1391" s="14">
        <f>IF(IFERROR(_xlfn.XLOOKUP(B1391,Planilha2!D:D,Planilha2!H:H),0)="SIM",1,0)</f>
        <v>0</v>
      </c>
      <c r="L1391" s="14" t="str">
        <f>_xlfn.XLOOKUP(B1391,CAD_PDV!A:A,CAD_PDV!C:C)</f>
        <v>NE</v>
      </c>
      <c r="M1391" s="14" t="str">
        <f>IFERROR(_xlfn.XLOOKUP(B1391,repete!A:A,repete!A:A),"-")</f>
        <v>-</v>
      </c>
    </row>
    <row r="1392" spans="1:13" hidden="1">
      <c r="A1392" s="1">
        <v>46143</v>
      </c>
      <c r="B1392" t="s">
        <v>352</v>
      </c>
      <c r="C1392" t="s">
        <v>261</v>
      </c>
      <c r="D1392" t="s">
        <v>238</v>
      </c>
      <c r="E1392" t="s">
        <v>61</v>
      </c>
      <c r="F1392">
        <v>111</v>
      </c>
      <c r="G1392">
        <v>10</v>
      </c>
      <c r="H1392">
        <v>3.40136054421769E-3</v>
      </c>
      <c r="I1392">
        <v>9.00900900900901E-2</v>
      </c>
      <c r="J1392" s="14" t="str">
        <f>_xlfn.XLOOKUP(B1392,CAD_PDV!A:A,CAD_PDV!B:B)</f>
        <v>R &amp; R HIPER COMERCIO LTDA</v>
      </c>
      <c r="K1392" s="14">
        <f>IF(IFERROR(_xlfn.XLOOKUP(B1392,Planilha2!D:D,Planilha2!H:H),0)="SIM",1,0)</f>
        <v>0</v>
      </c>
      <c r="L1392" s="14" t="str">
        <f>_xlfn.XLOOKUP(B1392,CAD_PDV!A:A,CAD_PDV!C:C)</f>
        <v>NE</v>
      </c>
      <c r="M1392" s="14" t="str">
        <f>IFERROR(_xlfn.XLOOKUP(B1392,repete!A:A,repete!A:A),"-")</f>
        <v>-</v>
      </c>
    </row>
    <row r="1393" spans="1:13" hidden="1">
      <c r="A1393" s="1">
        <v>46143</v>
      </c>
      <c r="B1393" t="s">
        <v>1319</v>
      </c>
      <c r="C1393" t="s">
        <v>1313</v>
      </c>
      <c r="D1393" t="s">
        <v>225</v>
      </c>
      <c r="E1393" t="s">
        <v>53</v>
      </c>
      <c r="F1393">
        <v>102</v>
      </c>
      <c r="G1393">
        <v>10</v>
      </c>
      <c r="H1393">
        <v>3.40136054421769E-3</v>
      </c>
      <c r="I1393">
        <v>9.8039215686274495E-2</v>
      </c>
      <c r="J1393" s="14" t="str">
        <f>_xlfn.XLOOKUP(B1393,CAD_PDV!A:A,CAD_PDV!B:B)</f>
        <v>CLARICELL SP1</v>
      </c>
      <c r="K1393" s="14">
        <f>IF(IFERROR(_xlfn.XLOOKUP(B1393,Planilha2!D:D,Planilha2!H:H),0)="SIM",1,0)</f>
        <v>0</v>
      </c>
      <c r="L1393" s="14" t="str">
        <f>_xlfn.XLOOKUP(B1393,CAD_PDV!A:A,CAD_PDV!C:C)</f>
        <v>SP1</v>
      </c>
      <c r="M1393" s="14" t="str">
        <f>IFERROR(_xlfn.XLOOKUP(B1393,repete!A:A,repete!A:A),"-")</f>
        <v>-</v>
      </c>
    </row>
    <row r="1394" spans="1:13" hidden="1">
      <c r="A1394" s="1">
        <v>46143</v>
      </c>
      <c r="B1394" t="s">
        <v>1630</v>
      </c>
      <c r="C1394" t="s">
        <v>1632</v>
      </c>
      <c r="D1394" t="s">
        <v>232</v>
      </c>
      <c r="E1394" t="s">
        <v>54</v>
      </c>
      <c r="F1394">
        <v>59</v>
      </c>
      <c r="G1394">
        <v>10</v>
      </c>
      <c r="H1394">
        <v>3.40136054421769E-3</v>
      </c>
      <c r="I1394">
        <v>0.169491525423729</v>
      </c>
      <c r="J1394" s="14" t="str">
        <f>_xlfn.XLOOKUP(B1394,CAD_PDV!A:A,CAD_PDV!B:B)</f>
        <v>HS TELECOM</v>
      </c>
      <c r="K1394" s="14">
        <f>IF(IFERROR(_xlfn.XLOOKUP(B1394,Planilha2!D:D,Planilha2!H:H),0)="SIM",1,0)</f>
        <v>0</v>
      </c>
      <c r="L1394" s="14" t="str">
        <f>_xlfn.XLOOKUP(B1394,CAD_PDV!A:A,CAD_PDV!C:C)</f>
        <v>SP2</v>
      </c>
      <c r="M1394" s="14" t="str">
        <f>IFERROR(_xlfn.XLOOKUP(B1394,repete!A:A,repete!A:A),"-")</f>
        <v>-</v>
      </c>
    </row>
    <row r="1395" spans="1:13" hidden="1">
      <c r="A1395" s="1">
        <v>46143</v>
      </c>
      <c r="B1395" t="s">
        <v>595</v>
      </c>
      <c r="C1395" t="s">
        <v>596</v>
      </c>
      <c r="D1395" t="s">
        <v>239</v>
      </c>
      <c r="E1395" t="s">
        <v>56</v>
      </c>
      <c r="F1395">
        <v>128</v>
      </c>
      <c r="G1395">
        <v>10</v>
      </c>
      <c r="H1395">
        <v>3.40136054421769E-3</v>
      </c>
      <c r="I1395">
        <v>7.8125E-2</v>
      </c>
      <c r="J1395" s="14" t="str">
        <f>_xlfn.XLOOKUP(B1395,CAD_PDV!A:A,CAD_PDV!B:B)</f>
        <v>TELECELL TELEFONIA LTDA - ME</v>
      </c>
      <c r="K1395" s="14">
        <f>IF(IFERROR(_xlfn.XLOOKUP(B1395,Planilha2!D:D,Planilha2!H:H),0)="SIM",1,0)</f>
        <v>0</v>
      </c>
      <c r="L1395" s="14" t="str">
        <f>_xlfn.XLOOKUP(B1395,CAD_PDV!A:A,CAD_PDV!C:C)</f>
        <v>MG</v>
      </c>
      <c r="M1395" s="14" t="str">
        <f>IFERROR(_xlfn.XLOOKUP(B1395,repete!A:A,repete!A:A),"-")</f>
        <v>-</v>
      </c>
    </row>
    <row r="1396" spans="1:13" hidden="1">
      <c r="A1396" s="1">
        <v>46143</v>
      </c>
      <c r="B1396" t="s">
        <v>1673</v>
      </c>
      <c r="C1396" t="s">
        <v>1545</v>
      </c>
      <c r="D1396" t="s">
        <v>232</v>
      </c>
      <c r="E1396" t="s">
        <v>54</v>
      </c>
      <c r="F1396">
        <v>87</v>
      </c>
      <c r="G1396">
        <v>10</v>
      </c>
      <c r="H1396">
        <v>3.40136054421769E-3</v>
      </c>
      <c r="I1396">
        <v>0.114942528735632</v>
      </c>
      <c r="J1396" s="14" t="str">
        <f>_xlfn.XLOOKUP(B1396,CAD_PDV!A:A,CAD_PDV!B:B)</f>
        <v>HS TELECOM</v>
      </c>
      <c r="K1396" s="14">
        <f>IF(IFERROR(_xlfn.XLOOKUP(B1396,Planilha2!D:D,Planilha2!H:H),0)="SIM",1,0)</f>
        <v>0</v>
      </c>
      <c r="L1396" s="14" t="str">
        <f>_xlfn.XLOOKUP(B1396,CAD_PDV!A:A,CAD_PDV!C:C)</f>
        <v>SP2</v>
      </c>
      <c r="M1396" s="14" t="str">
        <f>IFERROR(_xlfn.XLOOKUP(B1396,repete!A:A,repete!A:A),"-")</f>
        <v>-</v>
      </c>
    </row>
    <row r="1397" spans="1:13" hidden="1">
      <c r="A1397" s="1">
        <v>46143</v>
      </c>
      <c r="B1397" t="s">
        <v>1339</v>
      </c>
      <c r="C1397" t="s">
        <v>1313</v>
      </c>
      <c r="D1397" t="s">
        <v>225</v>
      </c>
      <c r="E1397" t="s">
        <v>53</v>
      </c>
      <c r="F1397">
        <v>167</v>
      </c>
      <c r="G1397">
        <v>10</v>
      </c>
      <c r="H1397">
        <v>3.40136054421769E-3</v>
      </c>
      <c r="I1397">
        <v>5.9880239520958098E-2</v>
      </c>
      <c r="J1397" s="14" t="str">
        <f>_xlfn.XLOOKUP(B1397,CAD_PDV!A:A,CAD_PDV!B:B)</f>
        <v>CLARICELL SP1</v>
      </c>
      <c r="K1397" s="14">
        <f>IF(IFERROR(_xlfn.XLOOKUP(B1397,Planilha2!D:D,Planilha2!H:H),0)="SIM",1,0)</f>
        <v>0</v>
      </c>
      <c r="L1397" s="14" t="str">
        <f>_xlfn.XLOOKUP(B1397,CAD_PDV!A:A,CAD_PDV!C:C)</f>
        <v>SP1</v>
      </c>
      <c r="M1397" s="14" t="str">
        <f>IFERROR(_xlfn.XLOOKUP(B1397,repete!A:A,repete!A:A),"-")</f>
        <v>-</v>
      </c>
    </row>
    <row r="1398" spans="1:13" hidden="1">
      <c r="A1398" s="1">
        <v>46143</v>
      </c>
      <c r="B1398" t="s">
        <v>653</v>
      </c>
      <c r="C1398" t="s">
        <v>649</v>
      </c>
      <c r="D1398" t="s">
        <v>239</v>
      </c>
      <c r="E1398" t="s">
        <v>59</v>
      </c>
      <c r="F1398">
        <v>65</v>
      </c>
      <c r="G1398">
        <v>9</v>
      </c>
      <c r="H1398">
        <v>3.0612244897959199E-3</v>
      </c>
      <c r="I1398">
        <v>0.138461538461538</v>
      </c>
      <c r="J1398" s="14" t="str">
        <f>_xlfn.XLOOKUP(B1398,CAD_PDV!A:A,CAD_PDV!B:B)</f>
        <v>TELECELL TELEFONIA LTDA - ME</v>
      </c>
      <c r="K1398" s="14">
        <f>IF(IFERROR(_xlfn.XLOOKUP(B1398,Planilha2!D:D,Planilha2!H:H),0)="SIM",1,0)</f>
        <v>0</v>
      </c>
      <c r="L1398" s="14" t="str">
        <f>_xlfn.XLOOKUP(B1398,CAD_PDV!A:A,CAD_PDV!C:C)</f>
        <v>CO</v>
      </c>
      <c r="M1398" s="14" t="str">
        <f>IFERROR(_xlfn.XLOOKUP(B1398,repete!A:A,repete!A:A),"-")</f>
        <v>-</v>
      </c>
    </row>
    <row r="1399" spans="1:13" hidden="1">
      <c r="A1399" s="1">
        <v>46143</v>
      </c>
      <c r="B1399" t="s">
        <v>974</v>
      </c>
      <c r="C1399" t="s">
        <v>944</v>
      </c>
      <c r="D1399" t="s">
        <v>232</v>
      </c>
      <c r="E1399" t="s">
        <v>60</v>
      </c>
      <c r="F1399">
        <v>54</v>
      </c>
      <c r="G1399">
        <v>9</v>
      </c>
      <c r="H1399">
        <v>3.0612244897959199E-3</v>
      </c>
      <c r="I1399">
        <v>0.16666666666666699</v>
      </c>
      <c r="J1399" s="14" t="str">
        <f>_xlfn.XLOOKUP(B1399,CAD_PDV!A:A,CAD_PDV!B:B)</f>
        <v>HS TELECOM</v>
      </c>
      <c r="K1399" s="14">
        <f>IF(IFERROR(_xlfn.XLOOKUP(B1399,Planilha2!D:D,Planilha2!H:H),0)="SIM",1,0)</f>
        <v>0</v>
      </c>
      <c r="L1399" s="14" t="str">
        <f>_xlfn.XLOOKUP(B1399,CAD_PDV!A:A,CAD_PDV!C:C)</f>
        <v>BA/SE</v>
      </c>
      <c r="M1399" s="14" t="str">
        <f>IFERROR(_xlfn.XLOOKUP(B1399,repete!A:A,repete!A:A),"-")</f>
        <v>-</v>
      </c>
    </row>
    <row r="1400" spans="1:13" hidden="1">
      <c r="A1400" s="1">
        <v>46143</v>
      </c>
      <c r="B1400" t="s">
        <v>1479</v>
      </c>
      <c r="C1400" t="s">
        <v>1480</v>
      </c>
      <c r="D1400" t="s">
        <v>232</v>
      </c>
      <c r="E1400" t="s">
        <v>54</v>
      </c>
      <c r="F1400">
        <v>43</v>
      </c>
      <c r="G1400">
        <v>9</v>
      </c>
      <c r="H1400">
        <v>3.0612244897959199E-3</v>
      </c>
      <c r="I1400">
        <v>0.209302325581395</v>
      </c>
      <c r="J1400" s="14" t="str">
        <f>_xlfn.XLOOKUP(B1400,CAD_PDV!A:A,CAD_PDV!B:B)</f>
        <v>HS TELECOM</v>
      </c>
      <c r="K1400" s="14">
        <f>IF(IFERROR(_xlfn.XLOOKUP(B1400,Planilha2!D:D,Planilha2!H:H),0)="SIM",1,0)</f>
        <v>0</v>
      </c>
      <c r="L1400" s="14" t="str">
        <f>_xlfn.XLOOKUP(B1400,CAD_PDV!A:A,CAD_PDV!C:C)</f>
        <v>SP2</v>
      </c>
      <c r="M1400" s="14" t="str">
        <f>IFERROR(_xlfn.XLOOKUP(B1400,repete!A:A,repete!A:A),"-")</f>
        <v>-</v>
      </c>
    </row>
    <row r="1401" spans="1:13" hidden="1">
      <c r="A1401" s="1">
        <v>46143</v>
      </c>
      <c r="B1401" t="s">
        <v>1516</v>
      </c>
      <c r="C1401" t="s">
        <v>1517</v>
      </c>
      <c r="D1401" t="s">
        <v>232</v>
      </c>
      <c r="E1401" t="s">
        <v>54</v>
      </c>
      <c r="F1401">
        <v>24</v>
      </c>
      <c r="G1401">
        <v>9</v>
      </c>
      <c r="H1401">
        <v>3.0612244897959199E-3</v>
      </c>
      <c r="I1401">
        <v>0.375</v>
      </c>
      <c r="J1401" s="14" t="str">
        <f>_xlfn.XLOOKUP(B1401,CAD_PDV!A:A,CAD_PDV!B:B)</f>
        <v>HS TELECOM</v>
      </c>
      <c r="K1401" s="14">
        <f>IF(IFERROR(_xlfn.XLOOKUP(B1401,Planilha2!D:D,Planilha2!H:H),0)="SIM",1,0)</f>
        <v>0</v>
      </c>
      <c r="L1401" s="14" t="str">
        <f>_xlfn.XLOOKUP(B1401,CAD_PDV!A:A,CAD_PDV!C:C)</f>
        <v>SP2</v>
      </c>
      <c r="M1401" s="14" t="str">
        <f>IFERROR(_xlfn.XLOOKUP(B1401,repete!A:A,repete!A:A),"-")</f>
        <v>-</v>
      </c>
    </row>
    <row r="1402" spans="1:13" hidden="1">
      <c r="A1402" s="1">
        <v>46143</v>
      </c>
      <c r="B1402" t="s">
        <v>525</v>
      </c>
      <c r="C1402" t="s">
        <v>526</v>
      </c>
      <c r="D1402" t="s">
        <v>228</v>
      </c>
      <c r="E1402" t="s">
        <v>56</v>
      </c>
      <c r="F1402">
        <v>23</v>
      </c>
      <c r="G1402">
        <v>9</v>
      </c>
      <c r="H1402">
        <v>3.0612244897959199E-3</v>
      </c>
      <c r="I1402">
        <v>0.39130434782608697</v>
      </c>
      <c r="J1402" s="14" t="str">
        <f>_xlfn.XLOOKUP(B1402,CAD_PDV!A:A,CAD_PDV!B:B)</f>
        <v>FAJULUTI</v>
      </c>
      <c r="K1402" s="14">
        <f>IF(IFERROR(_xlfn.XLOOKUP(B1402,Planilha2!D:D,Planilha2!H:H),0)="SIM",1,0)</f>
        <v>0</v>
      </c>
      <c r="L1402" s="14" t="str">
        <f>_xlfn.XLOOKUP(B1402,CAD_PDV!A:A,CAD_PDV!C:C)</f>
        <v>MG</v>
      </c>
      <c r="M1402" s="14" t="str">
        <f>IFERROR(_xlfn.XLOOKUP(B1402,repete!A:A,repete!A:A),"-")</f>
        <v>-</v>
      </c>
    </row>
    <row r="1403" spans="1:13" hidden="1">
      <c r="A1403" s="1">
        <v>46143</v>
      </c>
      <c r="B1403" t="s">
        <v>1564</v>
      </c>
      <c r="C1403" t="s">
        <v>1566</v>
      </c>
      <c r="D1403" t="s">
        <v>232</v>
      </c>
      <c r="E1403" t="s">
        <v>54</v>
      </c>
      <c r="F1403">
        <v>72</v>
      </c>
      <c r="G1403">
        <v>9</v>
      </c>
      <c r="H1403">
        <v>3.0612244897959199E-3</v>
      </c>
      <c r="I1403">
        <v>0.125</v>
      </c>
      <c r="J1403" s="14" t="str">
        <f>_xlfn.XLOOKUP(B1403,CAD_PDV!A:A,CAD_PDV!B:B)</f>
        <v>HS TELECOM</v>
      </c>
      <c r="K1403" s="14">
        <f>IF(IFERROR(_xlfn.XLOOKUP(B1403,Planilha2!D:D,Planilha2!H:H),0)="SIM",1,0)</f>
        <v>0</v>
      </c>
      <c r="L1403" s="14" t="str">
        <f>_xlfn.XLOOKUP(B1403,CAD_PDV!A:A,CAD_PDV!C:C)</f>
        <v>SP2</v>
      </c>
      <c r="M1403" s="14" t="str">
        <f>IFERROR(_xlfn.XLOOKUP(B1403,repete!A:A,repete!A:A),"-")</f>
        <v>-</v>
      </c>
    </row>
    <row r="1404" spans="1:13" hidden="1">
      <c r="A1404" s="1">
        <v>46143</v>
      </c>
      <c r="B1404" t="s">
        <v>912</v>
      </c>
      <c r="C1404" t="s">
        <v>820</v>
      </c>
      <c r="D1404" t="s">
        <v>239</v>
      </c>
      <c r="E1404" t="s">
        <v>59</v>
      </c>
      <c r="F1404">
        <v>58</v>
      </c>
      <c r="G1404">
        <v>9</v>
      </c>
      <c r="H1404">
        <v>3.0612244897959199E-3</v>
      </c>
      <c r="I1404">
        <v>0.15517241379310301</v>
      </c>
      <c r="J1404" s="14" t="str">
        <f>_xlfn.XLOOKUP(B1404,CAD_PDV!A:A,CAD_PDV!B:B)</f>
        <v>TELECELL TELEFONIA LTDA - ME</v>
      </c>
      <c r="K1404" s="14">
        <f>IF(IFERROR(_xlfn.XLOOKUP(B1404,Planilha2!D:D,Planilha2!H:H),0)="SIM",1,0)</f>
        <v>0</v>
      </c>
      <c r="L1404" s="14" t="str">
        <f>_xlfn.XLOOKUP(B1404,CAD_PDV!A:A,CAD_PDV!C:C)</f>
        <v>CO</v>
      </c>
      <c r="M1404" s="14" t="str">
        <f>IFERROR(_xlfn.XLOOKUP(B1404,repete!A:A,repete!A:A),"-")</f>
        <v>-</v>
      </c>
    </row>
    <row r="1405" spans="1:13" hidden="1">
      <c r="A1405" s="1">
        <v>46143</v>
      </c>
      <c r="B1405" t="s">
        <v>280</v>
      </c>
      <c r="C1405" t="s">
        <v>265</v>
      </c>
      <c r="D1405" t="s">
        <v>230</v>
      </c>
      <c r="E1405" t="s">
        <v>61</v>
      </c>
      <c r="F1405">
        <v>187</v>
      </c>
      <c r="G1405">
        <v>9</v>
      </c>
      <c r="H1405">
        <v>3.0612244897959199E-3</v>
      </c>
      <c r="I1405">
        <v>4.8128342245989303E-2</v>
      </c>
      <c r="J1405" s="14" t="str">
        <f>_xlfn.XLOOKUP(B1405,CAD_PDV!A:A,CAD_PDV!B:B)</f>
        <v>HARCOS COMERCIO E SERVICOS LTDA - EPP</v>
      </c>
      <c r="K1405" s="14">
        <f>IF(IFERROR(_xlfn.XLOOKUP(B1405,Planilha2!D:D,Planilha2!H:H),0)="SIM",1,0)</f>
        <v>0</v>
      </c>
      <c r="L1405" s="14" t="str">
        <f>_xlfn.XLOOKUP(B1405,CAD_PDV!A:A,CAD_PDV!C:C)</f>
        <v>NE</v>
      </c>
      <c r="M1405" s="14" t="str">
        <f>IFERROR(_xlfn.XLOOKUP(B1405,repete!A:A,repete!A:A),"-")</f>
        <v>-</v>
      </c>
    </row>
    <row r="1406" spans="1:13" hidden="1">
      <c r="A1406" s="1">
        <v>46143</v>
      </c>
      <c r="B1406" t="s">
        <v>1253</v>
      </c>
      <c r="C1406" t="s">
        <v>1142</v>
      </c>
      <c r="D1406" t="s">
        <v>228</v>
      </c>
      <c r="E1406" t="s">
        <v>55</v>
      </c>
      <c r="F1406">
        <v>55</v>
      </c>
      <c r="G1406">
        <v>9</v>
      </c>
      <c r="H1406">
        <v>3.0612244897959199E-3</v>
      </c>
      <c r="I1406">
        <v>0.163636363636364</v>
      </c>
      <c r="J1406" s="14" t="str">
        <f>_xlfn.XLOOKUP(B1406,CAD_PDV!A:A,CAD_PDV!B:B)</f>
        <v>FAJULUTI</v>
      </c>
      <c r="K1406" s="14">
        <f>IF(IFERROR(_xlfn.XLOOKUP(B1406,Planilha2!D:D,Planilha2!H:H),0)="SIM",1,0)</f>
        <v>0</v>
      </c>
      <c r="L1406" s="14" t="str">
        <f>_xlfn.XLOOKUP(B1406,CAD_PDV!A:A,CAD_PDV!C:C)</f>
        <v>RJ/ES</v>
      </c>
      <c r="M1406" s="14" t="str">
        <f>IFERROR(_xlfn.XLOOKUP(B1406,repete!A:A,repete!A:A),"-")</f>
        <v>NDTZ</v>
      </c>
    </row>
    <row r="1407" spans="1:13" hidden="1">
      <c r="A1407" s="1">
        <v>46143</v>
      </c>
      <c r="B1407" t="s">
        <v>1642</v>
      </c>
      <c r="C1407" t="s">
        <v>1643</v>
      </c>
      <c r="D1407" t="s">
        <v>223</v>
      </c>
      <c r="E1407" t="s">
        <v>54</v>
      </c>
      <c r="F1407">
        <v>45</v>
      </c>
      <c r="G1407">
        <v>9</v>
      </c>
      <c r="H1407">
        <v>3.0612244897959199E-3</v>
      </c>
      <c r="I1407">
        <v>0.2</v>
      </c>
      <c r="J1407" s="14" t="str">
        <f>_xlfn.XLOOKUP(B1407,CAD_PDV!A:A,CAD_PDV!B:B)</f>
        <v>BONELI BIAZI CELULARES EIRELI - ME</v>
      </c>
      <c r="K1407" s="14">
        <f>IF(IFERROR(_xlfn.XLOOKUP(B1407,Planilha2!D:D,Planilha2!H:H),0)="SIM",1,0)</f>
        <v>0</v>
      </c>
      <c r="L1407" s="14" t="str">
        <f>_xlfn.XLOOKUP(B1407,CAD_PDV!A:A,CAD_PDV!C:C)</f>
        <v>SP2</v>
      </c>
      <c r="M1407" s="14" t="str">
        <f>IFERROR(_xlfn.XLOOKUP(B1407,repete!A:A,repete!A:A),"-")</f>
        <v>-</v>
      </c>
    </row>
    <row r="1408" spans="1:13" hidden="1">
      <c r="A1408" s="1">
        <v>46143</v>
      </c>
      <c r="B1408" t="s">
        <v>1687</v>
      </c>
      <c r="C1408" t="s">
        <v>1688</v>
      </c>
      <c r="D1408" t="s">
        <v>232</v>
      </c>
      <c r="E1408" t="s">
        <v>54</v>
      </c>
      <c r="F1408">
        <v>75</v>
      </c>
      <c r="G1408">
        <v>9</v>
      </c>
      <c r="H1408">
        <v>3.0612244897959199E-3</v>
      </c>
      <c r="I1408">
        <v>0.12</v>
      </c>
      <c r="J1408" s="14" t="str">
        <f>_xlfn.XLOOKUP(B1408,CAD_PDV!A:A,CAD_PDV!B:B)</f>
        <v>HS TELECOM</v>
      </c>
      <c r="K1408" s="14">
        <f>IF(IFERROR(_xlfn.XLOOKUP(B1408,Planilha2!D:D,Planilha2!H:H),0)="SIM",1,0)</f>
        <v>0</v>
      </c>
      <c r="L1408" s="14" t="str">
        <f>_xlfn.XLOOKUP(B1408,CAD_PDV!A:A,CAD_PDV!C:C)</f>
        <v>SP2</v>
      </c>
      <c r="M1408" s="14" t="str">
        <f>IFERROR(_xlfn.XLOOKUP(B1408,repete!A:A,repete!A:A),"-")</f>
        <v>-</v>
      </c>
    </row>
    <row r="1409" spans="1:13" hidden="1">
      <c r="A1409" s="1">
        <v>46143</v>
      </c>
      <c r="B1409" t="s">
        <v>1691</v>
      </c>
      <c r="C1409" t="s">
        <v>1503</v>
      </c>
      <c r="D1409" t="s">
        <v>232</v>
      </c>
      <c r="E1409" t="s">
        <v>54</v>
      </c>
      <c r="F1409">
        <v>85</v>
      </c>
      <c r="G1409">
        <v>9</v>
      </c>
      <c r="H1409">
        <v>3.0612244897959199E-3</v>
      </c>
      <c r="I1409">
        <v>0.105882352941176</v>
      </c>
      <c r="J1409" s="14" t="str">
        <f>_xlfn.XLOOKUP(B1409,CAD_PDV!A:A,CAD_PDV!B:B)</f>
        <v>HS TELECOM</v>
      </c>
      <c r="K1409" s="14">
        <f>IF(IFERROR(_xlfn.XLOOKUP(B1409,Planilha2!D:D,Planilha2!H:H),0)="SIM",1,0)</f>
        <v>0</v>
      </c>
      <c r="L1409" s="14" t="str">
        <f>_xlfn.XLOOKUP(B1409,CAD_PDV!A:A,CAD_PDV!C:C)</f>
        <v>SP2</v>
      </c>
      <c r="M1409" s="14" t="str">
        <f>IFERROR(_xlfn.XLOOKUP(B1409,repete!A:A,repete!A:A),"-")</f>
        <v>-</v>
      </c>
    </row>
    <row r="1410" spans="1:13" hidden="1">
      <c r="A1410" s="1">
        <v>46143</v>
      </c>
      <c r="B1410" t="s">
        <v>1749</v>
      </c>
      <c r="C1410" t="s">
        <v>1748</v>
      </c>
      <c r="D1410" t="s">
        <v>190</v>
      </c>
      <c r="E1410" t="s">
        <v>2074</v>
      </c>
      <c r="F1410">
        <v>63</v>
      </c>
      <c r="G1410">
        <v>9</v>
      </c>
      <c r="H1410">
        <v>3.0612244897959199E-3</v>
      </c>
      <c r="I1410">
        <v>0.14285714285714299</v>
      </c>
      <c r="J1410" s="14" t="str">
        <f>_xlfn.XLOOKUP(B1410,CAD_PDV!A:A,CAD_PDV!B:B)</f>
        <v>RDJ TELECOMUNICACOES LTDA</v>
      </c>
      <c r="K1410" s="14">
        <f>IF(IFERROR(_xlfn.XLOOKUP(B1410,Planilha2!D:D,Planilha2!H:H),0)="SIM",1,0)</f>
        <v>0</v>
      </c>
      <c r="L1410" s="14" t="str">
        <f>_xlfn.XLOOKUP(B1410,CAD_PDV!A:A,CAD_PDV!C:C)</f>
        <v>PR/SC</v>
      </c>
      <c r="M1410" s="14" t="str">
        <f>IFERROR(_xlfn.XLOOKUP(B1410,repete!A:A,repete!A:A),"-")</f>
        <v>-</v>
      </c>
    </row>
    <row r="1411" spans="1:13" hidden="1">
      <c r="A1411" s="1">
        <v>46143</v>
      </c>
      <c r="B1411" t="s">
        <v>577</v>
      </c>
      <c r="C1411" t="s">
        <v>578</v>
      </c>
      <c r="D1411" t="s">
        <v>228</v>
      </c>
      <c r="E1411" t="s">
        <v>56</v>
      </c>
      <c r="F1411">
        <v>26</v>
      </c>
      <c r="G1411">
        <v>9</v>
      </c>
      <c r="H1411">
        <v>3.0612244897959199E-3</v>
      </c>
      <c r="I1411">
        <v>0.34615384615384598</v>
      </c>
      <c r="J1411" s="14" t="str">
        <f>_xlfn.XLOOKUP(B1411,CAD_PDV!A:A,CAD_PDV!B:B)</f>
        <v>FAJULUTI</v>
      </c>
      <c r="K1411" s="14">
        <f>IF(IFERROR(_xlfn.XLOOKUP(B1411,Planilha2!D:D,Planilha2!H:H),0)="SIM",1,0)</f>
        <v>0</v>
      </c>
      <c r="L1411" s="14" t="str">
        <f>_xlfn.XLOOKUP(B1411,CAD_PDV!A:A,CAD_PDV!C:C)</f>
        <v>MG</v>
      </c>
      <c r="M1411" s="14" t="str">
        <f>IFERROR(_xlfn.XLOOKUP(B1411,repete!A:A,repete!A:A),"-")</f>
        <v>-</v>
      </c>
    </row>
    <row r="1412" spans="1:13" hidden="1">
      <c r="A1412" s="1">
        <v>46143</v>
      </c>
      <c r="B1412" t="s">
        <v>1840</v>
      </c>
      <c r="C1412" t="s">
        <v>1839</v>
      </c>
      <c r="D1412" t="s">
        <v>124</v>
      </c>
      <c r="E1412" t="s">
        <v>2074</v>
      </c>
      <c r="F1412">
        <v>50</v>
      </c>
      <c r="G1412">
        <v>8</v>
      </c>
      <c r="H1412">
        <v>2.7210884353741499E-3</v>
      </c>
      <c r="I1412">
        <v>0.16</v>
      </c>
      <c r="J1412" s="14" t="str">
        <f>_xlfn.XLOOKUP(B1412,CAD_PDV!A:A,CAD_PDV!B:B)</f>
        <v>EDUARDO JUNQUEIRA DA SILVEIRA ADMIN</v>
      </c>
      <c r="K1412" s="14">
        <f>IF(IFERROR(_xlfn.XLOOKUP(B1412,Planilha2!D:D,Planilha2!H:H),0)="SIM",1,0)</f>
        <v>0</v>
      </c>
      <c r="L1412" s="14" t="str">
        <f>_xlfn.XLOOKUP(B1412,CAD_PDV!A:A,CAD_PDV!C:C)</f>
        <v>RS</v>
      </c>
      <c r="M1412" s="14" t="str">
        <f>IFERROR(_xlfn.XLOOKUP(B1412,repete!A:A,repete!A:A),"-")</f>
        <v>-</v>
      </c>
    </row>
    <row r="1413" spans="1:13" hidden="1">
      <c r="A1413" s="1">
        <v>46143</v>
      </c>
      <c r="B1413" t="s">
        <v>258</v>
      </c>
      <c r="C1413" t="s">
        <v>261</v>
      </c>
      <c r="D1413" t="s">
        <v>230</v>
      </c>
      <c r="E1413" t="s">
        <v>61</v>
      </c>
      <c r="F1413">
        <v>143</v>
      </c>
      <c r="G1413">
        <v>8</v>
      </c>
      <c r="H1413">
        <v>2.7210884353741499E-3</v>
      </c>
      <c r="I1413">
        <v>5.5944055944055902E-2</v>
      </c>
      <c r="J1413" s="14" t="str">
        <f>_xlfn.XLOOKUP(B1413,CAD_PDV!A:A,CAD_PDV!B:B)</f>
        <v>HARCOS COMERCIO E SERVICOS LTDA - EPP</v>
      </c>
      <c r="K1413" s="14">
        <f>IF(IFERROR(_xlfn.XLOOKUP(B1413,Planilha2!D:D,Planilha2!H:H),0)="SIM",1,0)</f>
        <v>0</v>
      </c>
      <c r="L1413" s="14" t="str">
        <f>_xlfn.XLOOKUP(B1413,CAD_PDV!A:A,CAD_PDV!C:C)</f>
        <v>NE</v>
      </c>
      <c r="M1413" s="14" t="str">
        <f>IFERROR(_xlfn.XLOOKUP(B1413,repete!A:A,repete!A:A),"-")</f>
        <v>-</v>
      </c>
    </row>
    <row r="1414" spans="1:13" hidden="1">
      <c r="A1414" s="1">
        <v>46143</v>
      </c>
      <c r="B1414" t="s">
        <v>1210</v>
      </c>
      <c r="C1414" t="s">
        <v>1211</v>
      </c>
      <c r="D1414" t="s">
        <v>228</v>
      </c>
      <c r="E1414" t="s">
        <v>55</v>
      </c>
      <c r="F1414">
        <v>94</v>
      </c>
      <c r="G1414">
        <v>8</v>
      </c>
      <c r="H1414">
        <v>2.7210884353741499E-3</v>
      </c>
      <c r="I1414">
        <v>8.5106382978723402E-2</v>
      </c>
      <c r="J1414" s="14" t="str">
        <f>_xlfn.XLOOKUP(B1414,CAD_PDV!A:A,CAD_PDV!B:B)</f>
        <v>FAJULUTI</v>
      </c>
      <c r="K1414" s="14">
        <f>IF(IFERROR(_xlfn.XLOOKUP(B1414,Planilha2!D:D,Planilha2!H:H),0)="SIM",1,0)</f>
        <v>0</v>
      </c>
      <c r="L1414" s="14" t="str">
        <f>_xlfn.XLOOKUP(B1414,CAD_PDV!A:A,CAD_PDV!C:C)</f>
        <v>RJ/ES</v>
      </c>
      <c r="M1414" s="14" t="str">
        <f>IFERROR(_xlfn.XLOOKUP(B1414,repete!A:A,repete!A:A),"-")</f>
        <v>-</v>
      </c>
    </row>
    <row r="1415" spans="1:13" hidden="1">
      <c r="A1415" s="1">
        <v>46143</v>
      </c>
      <c r="B1415" t="s">
        <v>2025</v>
      </c>
      <c r="C1415" t="s">
        <v>2026</v>
      </c>
      <c r="D1415" t="s">
        <v>193</v>
      </c>
      <c r="E1415" t="s">
        <v>2074</v>
      </c>
      <c r="F1415">
        <v>29</v>
      </c>
      <c r="G1415">
        <v>8</v>
      </c>
      <c r="H1415">
        <v>2.7210884353741499E-3</v>
      </c>
      <c r="I1415">
        <v>0.27586206896551702</v>
      </c>
      <c r="J1415" s="14" t="str">
        <f>_xlfn.XLOOKUP(B1415,CAD_PDV!A:A,CAD_PDV!B:B)</f>
        <v>S D COMERCIO DE CELULARES LTDA - ME</v>
      </c>
      <c r="K1415" s="14">
        <f>IF(IFERROR(_xlfn.XLOOKUP(B1415,Planilha2!D:D,Planilha2!H:H),0)="SIM",1,0)</f>
        <v>0</v>
      </c>
      <c r="L1415" s="14" t="str">
        <f>_xlfn.XLOOKUP(B1415,CAD_PDV!A:A,CAD_PDV!C:C)</f>
        <v>RS</v>
      </c>
      <c r="M1415" s="14" t="str">
        <f>IFERROR(_xlfn.XLOOKUP(B1415,repete!A:A,repete!A:A),"-")</f>
        <v>-</v>
      </c>
    </row>
    <row r="1416" spans="1:13" hidden="1">
      <c r="A1416" s="1">
        <v>46143</v>
      </c>
      <c r="B1416" t="s">
        <v>277</v>
      </c>
      <c r="C1416" t="s">
        <v>261</v>
      </c>
      <c r="D1416" t="s">
        <v>238</v>
      </c>
      <c r="E1416" t="s">
        <v>61</v>
      </c>
      <c r="F1416">
        <v>144</v>
      </c>
      <c r="G1416">
        <v>8</v>
      </c>
      <c r="H1416">
        <v>2.7210884353741499E-3</v>
      </c>
      <c r="I1416">
        <v>5.5555555555555601E-2</v>
      </c>
      <c r="J1416" s="14" t="str">
        <f>_xlfn.XLOOKUP(B1416,CAD_PDV!A:A,CAD_PDV!B:B)</f>
        <v>R &amp; R HIPER COMERCIO LTDA</v>
      </c>
      <c r="K1416" s="14">
        <f>IF(IFERROR(_xlfn.XLOOKUP(B1416,Planilha2!D:D,Planilha2!H:H),0)="SIM",1,0)</f>
        <v>0</v>
      </c>
      <c r="L1416" s="14" t="str">
        <f>_xlfn.XLOOKUP(B1416,CAD_PDV!A:A,CAD_PDV!C:C)</f>
        <v>NE</v>
      </c>
      <c r="M1416" s="14" t="str">
        <f>IFERROR(_xlfn.XLOOKUP(B1416,repete!A:A,repete!A:A),"-")</f>
        <v>-</v>
      </c>
    </row>
    <row r="1417" spans="1:13" hidden="1">
      <c r="A1417" s="1">
        <v>46143</v>
      </c>
      <c r="B1417" t="s">
        <v>552</v>
      </c>
      <c r="C1417" t="s">
        <v>483</v>
      </c>
      <c r="D1417" t="s">
        <v>228</v>
      </c>
      <c r="E1417" t="s">
        <v>56</v>
      </c>
      <c r="F1417">
        <v>30</v>
      </c>
      <c r="G1417">
        <v>8</v>
      </c>
      <c r="H1417">
        <v>2.7210884353741499E-3</v>
      </c>
      <c r="I1417">
        <v>0.266666666666667</v>
      </c>
      <c r="J1417" s="14" t="str">
        <f>_xlfn.XLOOKUP(B1417,CAD_PDV!A:A,CAD_PDV!B:B)</f>
        <v>FAJULUTI</v>
      </c>
      <c r="K1417" s="14">
        <f>IF(IFERROR(_xlfn.XLOOKUP(B1417,Planilha2!D:D,Planilha2!H:H),0)="SIM",1,0)</f>
        <v>0</v>
      </c>
      <c r="L1417" s="14" t="str">
        <f>_xlfn.XLOOKUP(B1417,CAD_PDV!A:A,CAD_PDV!C:C)</f>
        <v>MG</v>
      </c>
      <c r="M1417" s="14" t="str">
        <f>IFERROR(_xlfn.XLOOKUP(B1417,repete!A:A,repete!A:A),"-")</f>
        <v>-</v>
      </c>
    </row>
    <row r="1418" spans="1:13" hidden="1">
      <c r="A1418" s="1">
        <v>46143</v>
      </c>
      <c r="B1418" t="s">
        <v>1282</v>
      </c>
      <c r="C1418" t="s">
        <v>1283</v>
      </c>
      <c r="D1418" t="s">
        <v>228</v>
      </c>
      <c r="E1418" t="s">
        <v>55</v>
      </c>
      <c r="F1418">
        <v>49</v>
      </c>
      <c r="G1418">
        <v>8</v>
      </c>
      <c r="H1418">
        <v>2.7210884353741499E-3</v>
      </c>
      <c r="I1418">
        <v>0.16326530612244899</v>
      </c>
      <c r="J1418" s="14" t="str">
        <f>_xlfn.XLOOKUP(B1418,CAD_PDV!A:A,CAD_PDV!B:B)</f>
        <v>FAJULUTI</v>
      </c>
      <c r="K1418" s="14">
        <f>IF(IFERROR(_xlfn.XLOOKUP(B1418,Planilha2!D:D,Planilha2!H:H),0)="SIM",1,0)</f>
        <v>0</v>
      </c>
      <c r="L1418" s="14" t="str">
        <f>_xlfn.XLOOKUP(B1418,CAD_PDV!A:A,CAD_PDV!C:C)</f>
        <v>RJ/ES</v>
      </c>
      <c r="M1418" s="14" t="str">
        <f>IFERROR(_xlfn.XLOOKUP(B1418,repete!A:A,repete!A:A),"-")</f>
        <v>-</v>
      </c>
    </row>
    <row r="1419" spans="1:13" hidden="1">
      <c r="A1419" s="1">
        <v>46143</v>
      </c>
      <c r="B1419" t="s">
        <v>1252</v>
      </c>
      <c r="C1419" t="s">
        <v>1142</v>
      </c>
      <c r="D1419" t="s">
        <v>228</v>
      </c>
      <c r="E1419" t="s">
        <v>55</v>
      </c>
      <c r="F1419">
        <v>50</v>
      </c>
      <c r="G1419">
        <v>8</v>
      </c>
      <c r="H1419">
        <v>2.7210884353741499E-3</v>
      </c>
      <c r="I1419">
        <v>0.16</v>
      </c>
      <c r="J1419" s="14" t="str">
        <f>_xlfn.XLOOKUP(B1419,CAD_PDV!A:A,CAD_PDV!B:B)</f>
        <v>FAJULUTI</v>
      </c>
      <c r="K1419" s="14">
        <f>IF(IFERROR(_xlfn.XLOOKUP(B1419,Planilha2!D:D,Planilha2!H:H),0)="SIM",1,0)</f>
        <v>0</v>
      </c>
      <c r="L1419" s="14" t="str">
        <f>_xlfn.XLOOKUP(B1419,CAD_PDV!A:A,CAD_PDV!C:C)</f>
        <v>RJ/ES</v>
      </c>
      <c r="M1419" s="14" t="str">
        <f>IFERROR(_xlfn.XLOOKUP(B1419,repete!A:A,repete!A:A),"-")</f>
        <v>-</v>
      </c>
    </row>
    <row r="1420" spans="1:13" hidden="1">
      <c r="A1420" s="1">
        <v>46143</v>
      </c>
      <c r="B1420" t="s">
        <v>1646</v>
      </c>
      <c r="C1420" t="s">
        <v>1535</v>
      </c>
      <c r="D1420" t="s">
        <v>232</v>
      </c>
      <c r="E1420" t="s">
        <v>54</v>
      </c>
      <c r="F1420">
        <v>84</v>
      </c>
      <c r="G1420">
        <v>8</v>
      </c>
      <c r="H1420">
        <v>2.7210884353741499E-3</v>
      </c>
      <c r="I1420">
        <v>9.5238095238095205E-2</v>
      </c>
      <c r="J1420" s="14" t="str">
        <f>_xlfn.XLOOKUP(B1420,CAD_PDV!A:A,CAD_PDV!B:B)</f>
        <v>HS TELECOM</v>
      </c>
      <c r="K1420" s="14">
        <f>IF(IFERROR(_xlfn.XLOOKUP(B1420,Planilha2!D:D,Planilha2!H:H),0)="SIM",1,0)</f>
        <v>0</v>
      </c>
      <c r="L1420" s="14" t="str">
        <f>_xlfn.XLOOKUP(B1420,CAD_PDV!A:A,CAD_PDV!C:C)</f>
        <v>SP2</v>
      </c>
      <c r="M1420" s="14" t="str">
        <f>IFERROR(_xlfn.XLOOKUP(B1420,repete!A:A,repete!A:A),"-")</f>
        <v>-</v>
      </c>
    </row>
    <row r="1421" spans="1:13" hidden="1">
      <c r="A1421" s="1">
        <v>46143</v>
      </c>
      <c r="B1421" t="s">
        <v>375</v>
      </c>
      <c r="C1421" t="s">
        <v>376</v>
      </c>
      <c r="D1421" t="s">
        <v>230</v>
      </c>
      <c r="E1421" t="s">
        <v>61</v>
      </c>
      <c r="F1421">
        <v>56</v>
      </c>
      <c r="G1421">
        <v>8</v>
      </c>
      <c r="H1421">
        <v>2.7210884353741499E-3</v>
      </c>
      <c r="I1421">
        <v>0.14285714285714299</v>
      </c>
      <c r="J1421" s="14" t="str">
        <f>_xlfn.XLOOKUP(B1421,CAD_PDV!A:A,CAD_PDV!B:B)</f>
        <v>HARCOS COMERCIO E SERVICOS LTDA - EPP</v>
      </c>
      <c r="K1421" s="14">
        <f>IF(IFERROR(_xlfn.XLOOKUP(B1421,Planilha2!D:D,Planilha2!H:H),0)="SIM",1,0)</f>
        <v>0</v>
      </c>
      <c r="L1421" s="14" t="str">
        <f>_xlfn.XLOOKUP(B1421,CAD_PDV!A:A,CAD_PDV!C:C)</f>
        <v>NE</v>
      </c>
      <c r="M1421" s="14" t="str">
        <f>IFERROR(_xlfn.XLOOKUP(B1421,repete!A:A,repete!A:A),"-")</f>
        <v>-</v>
      </c>
    </row>
    <row r="1422" spans="1:13" hidden="1">
      <c r="A1422" s="1">
        <v>46143</v>
      </c>
      <c r="B1422" t="s">
        <v>1710</v>
      </c>
      <c r="C1422" t="s">
        <v>1568</v>
      </c>
      <c r="D1422" t="s">
        <v>119</v>
      </c>
      <c r="E1422" t="s">
        <v>54</v>
      </c>
      <c r="F1422">
        <v>52</v>
      </c>
      <c r="G1422">
        <v>8</v>
      </c>
      <c r="H1422">
        <v>2.7210884353741499E-3</v>
      </c>
      <c r="I1422">
        <v>0.15384615384615399</v>
      </c>
      <c r="J1422" s="14" t="str">
        <f>_xlfn.XLOOKUP(B1422,CAD_PDV!A:A,CAD_PDV!B:B)</f>
        <v>DOM BARRETO COMERCIAL LTDA - ME</v>
      </c>
      <c r="K1422" s="14">
        <f>IF(IFERROR(_xlfn.XLOOKUP(B1422,Planilha2!D:D,Planilha2!H:H),0)="SIM",1,0)</f>
        <v>0</v>
      </c>
      <c r="L1422" s="14" t="str">
        <f>_xlfn.XLOOKUP(B1422,CAD_PDV!A:A,CAD_PDV!C:C)</f>
        <v>SP2</v>
      </c>
      <c r="M1422" s="14" t="str">
        <f>IFERROR(_xlfn.XLOOKUP(B1422,repete!A:A,repete!A:A),"-")</f>
        <v>-</v>
      </c>
    </row>
    <row r="1423" spans="1:13" hidden="1">
      <c r="A1423" s="1">
        <v>46143</v>
      </c>
      <c r="B1423" t="s">
        <v>1463</v>
      </c>
      <c r="C1423" t="s">
        <v>1464</v>
      </c>
      <c r="D1423" t="s">
        <v>219</v>
      </c>
      <c r="E1423" t="s">
        <v>54</v>
      </c>
      <c r="F1423">
        <v>133</v>
      </c>
      <c r="G1423">
        <v>7</v>
      </c>
      <c r="H1423">
        <v>2.3809523809523799E-3</v>
      </c>
      <c r="I1423">
        <v>5.2631578947368397E-2</v>
      </c>
      <c r="J1423" s="14" t="str">
        <f>_xlfn.XLOOKUP(B1423,CAD_PDV!A:A,CAD_PDV!B:B)</f>
        <v>WCI CELULARES SERVICOS E TELECOMUNICACOES LTDA - EPP</v>
      </c>
      <c r="K1423" s="14">
        <f>IF(IFERROR(_xlfn.XLOOKUP(B1423,Planilha2!D:D,Planilha2!H:H),0)="SIM",1,0)</f>
        <v>0</v>
      </c>
      <c r="L1423" s="14" t="str">
        <f>_xlfn.XLOOKUP(B1423,CAD_PDV!A:A,CAD_PDV!C:C)</f>
        <v>SP2</v>
      </c>
      <c r="M1423" s="14" t="str">
        <f>IFERROR(_xlfn.XLOOKUP(B1423,repete!A:A,repete!A:A),"-")</f>
        <v>-</v>
      </c>
    </row>
    <row r="1424" spans="1:13" hidden="1">
      <c r="A1424" s="1">
        <v>46143</v>
      </c>
      <c r="B1424" t="s">
        <v>874</v>
      </c>
      <c r="C1424" t="s">
        <v>875</v>
      </c>
      <c r="D1424" t="s">
        <v>239</v>
      </c>
      <c r="E1424" t="s">
        <v>59</v>
      </c>
      <c r="F1424">
        <v>67</v>
      </c>
      <c r="G1424">
        <v>7</v>
      </c>
      <c r="H1424">
        <v>2.3809523809523799E-3</v>
      </c>
      <c r="I1424">
        <v>0.104477611940299</v>
      </c>
      <c r="J1424" s="14" t="str">
        <f>_xlfn.XLOOKUP(B1424,CAD_PDV!A:A,CAD_PDV!B:B)</f>
        <v>TELECELL TELEFONIA LTDA - ME</v>
      </c>
      <c r="K1424" s="14">
        <f>IF(IFERROR(_xlfn.XLOOKUP(B1424,Planilha2!D:D,Planilha2!H:H),0)="SIM",1,0)</f>
        <v>0</v>
      </c>
      <c r="L1424" s="14" t="str">
        <f>_xlfn.XLOOKUP(B1424,CAD_PDV!A:A,CAD_PDV!C:C)</f>
        <v>CO</v>
      </c>
      <c r="M1424" s="14" t="str">
        <f>IFERROR(_xlfn.XLOOKUP(B1424,repete!A:A,repete!A:A),"-")</f>
        <v>-</v>
      </c>
    </row>
    <row r="1425" spans="1:13" hidden="1">
      <c r="A1425" s="1">
        <v>46143</v>
      </c>
      <c r="B1425" t="s">
        <v>2038</v>
      </c>
      <c r="C1425" t="s">
        <v>2040</v>
      </c>
      <c r="D1425" t="s">
        <v>193</v>
      </c>
      <c r="E1425" t="s">
        <v>2074</v>
      </c>
      <c r="F1425">
        <v>38</v>
      </c>
      <c r="G1425">
        <v>7</v>
      </c>
      <c r="H1425">
        <v>2.3809523809523799E-3</v>
      </c>
      <c r="I1425">
        <v>0.18421052631578899</v>
      </c>
      <c r="J1425" s="14" t="str">
        <f>_xlfn.XLOOKUP(B1425,CAD_PDV!A:A,CAD_PDV!B:B)</f>
        <v>S D COMERCIO DE CELULARES LTDA - ME</v>
      </c>
      <c r="K1425" s="14">
        <f>IF(IFERROR(_xlfn.XLOOKUP(B1425,Planilha2!D:D,Planilha2!H:H),0)="SIM",1,0)</f>
        <v>0</v>
      </c>
      <c r="L1425" s="14" t="str">
        <f>_xlfn.XLOOKUP(B1425,CAD_PDV!A:A,CAD_PDV!C:C)</f>
        <v>RS</v>
      </c>
      <c r="M1425" s="14" t="str">
        <f>IFERROR(_xlfn.XLOOKUP(B1425,repete!A:A,repete!A:A),"-")</f>
        <v>-</v>
      </c>
    </row>
    <row r="1426" spans="1:13" hidden="1">
      <c r="A1426" s="1">
        <v>46143</v>
      </c>
      <c r="B1426" t="s">
        <v>993</v>
      </c>
      <c r="C1426" t="s">
        <v>992</v>
      </c>
      <c r="D1426" t="s">
        <v>232</v>
      </c>
      <c r="E1426" t="s">
        <v>60</v>
      </c>
      <c r="F1426">
        <v>31</v>
      </c>
      <c r="G1426">
        <v>7</v>
      </c>
      <c r="H1426">
        <v>2.3809523809523799E-3</v>
      </c>
      <c r="I1426">
        <v>0.225806451612903</v>
      </c>
      <c r="J1426" s="14" t="str">
        <f>_xlfn.XLOOKUP(B1426,CAD_PDV!A:A,CAD_PDV!B:B)</f>
        <v>HS TELECOM</v>
      </c>
      <c r="K1426" s="14">
        <f>IF(IFERROR(_xlfn.XLOOKUP(B1426,Planilha2!D:D,Planilha2!H:H),0)="SIM",1,0)</f>
        <v>0</v>
      </c>
      <c r="L1426" s="14" t="str">
        <f>_xlfn.XLOOKUP(B1426,CAD_PDV!A:A,CAD_PDV!C:C)</f>
        <v>BA/SE</v>
      </c>
      <c r="M1426" s="14" t="str">
        <f>IFERROR(_xlfn.XLOOKUP(B1426,repete!A:A,repete!A:A),"-")</f>
        <v>-</v>
      </c>
    </row>
    <row r="1427" spans="1:13" hidden="1">
      <c r="A1427" s="1">
        <v>46143</v>
      </c>
      <c r="B1427" t="s">
        <v>1538</v>
      </c>
      <c r="C1427" t="s">
        <v>1489</v>
      </c>
      <c r="D1427" t="s">
        <v>232</v>
      </c>
      <c r="E1427" t="s">
        <v>54</v>
      </c>
      <c r="F1427">
        <v>85</v>
      </c>
      <c r="G1427">
        <v>7</v>
      </c>
      <c r="H1427">
        <v>2.3809523809523799E-3</v>
      </c>
      <c r="I1427">
        <v>8.2352941176470601E-2</v>
      </c>
      <c r="J1427" s="14" t="str">
        <f>_xlfn.XLOOKUP(B1427,CAD_PDV!A:A,CAD_PDV!B:B)</f>
        <v>HS TELECOM</v>
      </c>
      <c r="K1427" s="14">
        <f>IF(IFERROR(_xlfn.XLOOKUP(B1427,Planilha2!D:D,Planilha2!H:H),0)="SIM",1,0)</f>
        <v>0</v>
      </c>
      <c r="L1427" s="14" t="str">
        <f>_xlfn.XLOOKUP(B1427,CAD_PDV!A:A,CAD_PDV!C:C)</f>
        <v>SP2</v>
      </c>
      <c r="M1427" s="14" t="str">
        <f>IFERROR(_xlfn.XLOOKUP(B1427,repete!A:A,repete!A:A),"-")</f>
        <v>-</v>
      </c>
    </row>
    <row r="1428" spans="1:13" hidden="1">
      <c r="A1428" s="1">
        <v>46143</v>
      </c>
      <c r="B1428" t="s">
        <v>645</v>
      </c>
      <c r="C1428" t="s">
        <v>644</v>
      </c>
      <c r="D1428" t="s">
        <v>240</v>
      </c>
      <c r="E1428" t="s">
        <v>59</v>
      </c>
      <c r="F1428">
        <v>31</v>
      </c>
      <c r="G1428">
        <v>7</v>
      </c>
      <c r="H1428">
        <v>2.3809523809523799E-3</v>
      </c>
      <c r="I1428">
        <v>0.225806451612903</v>
      </c>
      <c r="J1428" s="14" t="str">
        <f>_xlfn.XLOOKUP(B1428,CAD_PDV!A:A,CAD_PDV!B:B)</f>
        <v>TELEMAIS TELEFONIA LTDA - ME</v>
      </c>
      <c r="K1428" s="14">
        <f>IF(IFERROR(_xlfn.XLOOKUP(B1428,Planilha2!D:D,Planilha2!H:H),0)="SIM",1,0)</f>
        <v>0</v>
      </c>
      <c r="L1428" s="14" t="str">
        <f>_xlfn.XLOOKUP(B1428,CAD_PDV!A:A,CAD_PDV!C:C)</f>
        <v>CO</v>
      </c>
      <c r="M1428" s="14" t="str">
        <f>IFERROR(_xlfn.XLOOKUP(B1428,repete!A:A,repete!A:A),"-")</f>
        <v>-</v>
      </c>
    </row>
    <row r="1429" spans="1:13" hidden="1">
      <c r="A1429" s="1">
        <v>46143</v>
      </c>
      <c r="B1429" t="s">
        <v>1358</v>
      </c>
      <c r="C1429" t="s">
        <v>1357</v>
      </c>
      <c r="D1429" t="s">
        <v>132</v>
      </c>
      <c r="E1429" t="s">
        <v>53</v>
      </c>
      <c r="F1429">
        <v>86</v>
      </c>
      <c r="G1429">
        <v>7</v>
      </c>
      <c r="H1429">
        <v>2.3809523809523799E-3</v>
      </c>
      <c r="I1429">
        <v>8.1395348837209294E-2</v>
      </c>
      <c r="J1429" s="14" t="str">
        <f>_xlfn.XLOOKUP(B1429,CAD_PDV!A:A,CAD_PDV!B:B)</f>
        <v>FLEX CELL</v>
      </c>
      <c r="K1429" s="14">
        <f>IF(IFERROR(_xlfn.XLOOKUP(B1429,Planilha2!D:D,Planilha2!H:H),0)="SIM",1,0)</f>
        <v>0</v>
      </c>
      <c r="L1429" s="14" t="str">
        <f>_xlfn.XLOOKUP(B1429,CAD_PDV!A:A,CAD_PDV!C:C)</f>
        <v>SP1</v>
      </c>
      <c r="M1429" s="14" t="str">
        <f>IFERROR(_xlfn.XLOOKUP(B1429,repete!A:A,repete!A:A),"-")</f>
        <v>-</v>
      </c>
    </row>
    <row r="1430" spans="1:13" hidden="1">
      <c r="A1430" s="1">
        <v>46143</v>
      </c>
      <c r="B1430" t="s">
        <v>848</v>
      </c>
      <c r="C1430" t="s">
        <v>732</v>
      </c>
      <c r="D1430" t="s">
        <v>221</v>
      </c>
      <c r="E1430" t="s">
        <v>59</v>
      </c>
      <c r="F1430">
        <v>38</v>
      </c>
      <c r="G1430">
        <v>7</v>
      </c>
      <c r="H1430">
        <v>2.3809523809523799E-3</v>
      </c>
      <c r="I1430">
        <v>0.18421052631578899</v>
      </c>
      <c r="J1430" s="14" t="str">
        <f>_xlfn.XLOOKUP(B1430,CAD_PDV!A:A,CAD_PDV!B:B)</f>
        <v>AMERICOM COMERCIO DE APARELHOS ELETRONICOS LTDA - EPP</v>
      </c>
      <c r="K1430" s="14">
        <f>IF(IFERROR(_xlfn.XLOOKUP(B1430,Planilha2!D:D,Planilha2!H:H),0)="SIM",1,0)</f>
        <v>0</v>
      </c>
      <c r="L1430" s="14" t="str">
        <f>_xlfn.XLOOKUP(B1430,CAD_PDV!A:A,CAD_PDV!C:C)</f>
        <v>CO</v>
      </c>
      <c r="M1430" s="14" t="str">
        <f>IFERROR(_xlfn.XLOOKUP(B1430,repete!A:A,repete!A:A),"-")</f>
        <v>-</v>
      </c>
    </row>
    <row r="1431" spans="1:13" hidden="1">
      <c r="A1431" s="1">
        <v>46143</v>
      </c>
      <c r="B1431" t="s">
        <v>1183</v>
      </c>
      <c r="C1431" t="s">
        <v>1185</v>
      </c>
      <c r="D1431" t="s">
        <v>228</v>
      </c>
      <c r="E1431" t="s">
        <v>55</v>
      </c>
      <c r="F1431">
        <v>40</v>
      </c>
      <c r="G1431">
        <v>7</v>
      </c>
      <c r="H1431">
        <v>2.3809523809523799E-3</v>
      </c>
      <c r="I1431">
        <v>0.17499999999999999</v>
      </c>
      <c r="J1431" s="14" t="str">
        <f>_xlfn.XLOOKUP(B1431,CAD_PDV!A:A,CAD_PDV!B:B)</f>
        <v>FAJULUTI</v>
      </c>
      <c r="K1431" s="14">
        <f>IF(IFERROR(_xlfn.XLOOKUP(B1431,Planilha2!D:D,Planilha2!H:H),0)="SIM",1,0)</f>
        <v>0</v>
      </c>
      <c r="L1431" s="14" t="str">
        <f>_xlfn.XLOOKUP(B1431,CAD_PDV!A:A,CAD_PDV!C:C)</f>
        <v>RJ/ES</v>
      </c>
      <c r="M1431" s="14" t="str">
        <f>IFERROR(_xlfn.XLOOKUP(B1431,repete!A:A,repete!A:A),"-")</f>
        <v>-</v>
      </c>
    </row>
    <row r="1432" spans="1:13" hidden="1">
      <c r="A1432" s="1">
        <v>46143</v>
      </c>
      <c r="B1432" t="s">
        <v>1237</v>
      </c>
      <c r="C1432" t="s">
        <v>1142</v>
      </c>
      <c r="D1432" t="s">
        <v>237</v>
      </c>
      <c r="E1432" t="s">
        <v>55</v>
      </c>
      <c r="F1432">
        <v>142</v>
      </c>
      <c r="G1432">
        <v>7</v>
      </c>
      <c r="H1432">
        <v>2.3809523809523799E-3</v>
      </c>
      <c r="I1432">
        <v>4.92957746478873E-2</v>
      </c>
      <c r="J1432" s="14" t="str">
        <f>_xlfn.XLOOKUP(B1432,CAD_PDV!A:A,CAD_PDV!B:B)</f>
        <v>PONTO CERTO COMERCIO E COMUNICAÇÕES LTDA</v>
      </c>
      <c r="K1432" s="14">
        <f>IF(IFERROR(_xlfn.XLOOKUP(B1432,Planilha2!D:D,Planilha2!H:H),0)="SIM",1,0)</f>
        <v>0</v>
      </c>
      <c r="L1432" s="14" t="str">
        <f>_xlfn.XLOOKUP(B1432,CAD_PDV!A:A,CAD_PDV!C:C)</f>
        <v>RJ/ES</v>
      </c>
      <c r="M1432" s="14" t="str">
        <f>IFERROR(_xlfn.XLOOKUP(B1432,repete!A:A,repete!A:A),"-")</f>
        <v>-</v>
      </c>
    </row>
    <row r="1433" spans="1:13" hidden="1">
      <c r="A1433" s="1">
        <v>46143</v>
      </c>
      <c r="B1433" t="s">
        <v>404</v>
      </c>
      <c r="C1433" t="s">
        <v>288</v>
      </c>
      <c r="D1433" t="s">
        <v>230</v>
      </c>
      <c r="E1433" t="s">
        <v>61</v>
      </c>
      <c r="F1433">
        <v>173</v>
      </c>
      <c r="G1433">
        <v>7</v>
      </c>
      <c r="H1433">
        <v>2.3809523809523799E-3</v>
      </c>
      <c r="I1433">
        <v>4.0462427745664699E-2</v>
      </c>
      <c r="J1433" s="14" t="str">
        <f>_xlfn.XLOOKUP(B1433,CAD_PDV!A:A,CAD_PDV!B:B)</f>
        <v>HARCOS COMERCIO E SERVICOS LTDA - EPP</v>
      </c>
      <c r="K1433" s="14">
        <f>IF(IFERROR(_xlfn.XLOOKUP(B1433,Planilha2!D:D,Planilha2!H:H),0)="SIM",1,0)</f>
        <v>0</v>
      </c>
      <c r="L1433" s="14" t="str">
        <f>_xlfn.XLOOKUP(B1433,CAD_PDV!A:A,CAD_PDV!C:C)</f>
        <v>NE</v>
      </c>
      <c r="M1433" s="14" t="str">
        <f>IFERROR(_xlfn.XLOOKUP(B1433,repete!A:A,repete!A:A),"-")</f>
        <v>-</v>
      </c>
    </row>
    <row r="1434" spans="1:13" hidden="1">
      <c r="A1434" s="1">
        <v>46143</v>
      </c>
      <c r="B1434" t="s">
        <v>1626</v>
      </c>
      <c r="C1434" t="s">
        <v>1616</v>
      </c>
      <c r="D1434" t="s">
        <v>220</v>
      </c>
      <c r="E1434" t="s">
        <v>54</v>
      </c>
      <c r="F1434">
        <v>43</v>
      </c>
      <c r="G1434">
        <v>7</v>
      </c>
      <c r="H1434">
        <v>2.3809523809523799E-3</v>
      </c>
      <c r="I1434">
        <v>0.162790697674419</v>
      </c>
      <c r="J1434" s="14" t="str">
        <f>_xlfn.XLOOKUP(B1434,CAD_PDV!A:A,CAD_PDV!B:B)</f>
        <v>ADESIENE NUNES MACHADO - ME</v>
      </c>
      <c r="K1434" s="14">
        <f>IF(IFERROR(_xlfn.XLOOKUP(B1434,Planilha2!D:D,Planilha2!H:H),0)="SIM",1,0)</f>
        <v>0</v>
      </c>
      <c r="L1434" s="14" t="str">
        <f>_xlfn.XLOOKUP(B1434,CAD_PDV!A:A,CAD_PDV!C:C)</f>
        <v>SP2</v>
      </c>
      <c r="M1434" s="14" t="str">
        <f>IFERROR(_xlfn.XLOOKUP(B1434,repete!A:A,repete!A:A),"-")</f>
        <v>-</v>
      </c>
    </row>
    <row r="1435" spans="1:13" hidden="1">
      <c r="A1435" s="1">
        <v>46143</v>
      </c>
      <c r="B1435" t="s">
        <v>438</v>
      </c>
      <c r="C1435" t="s">
        <v>441</v>
      </c>
      <c r="D1435" t="s">
        <v>239</v>
      </c>
      <c r="E1435" t="s">
        <v>56</v>
      </c>
      <c r="F1435">
        <v>38</v>
      </c>
      <c r="G1435">
        <v>7</v>
      </c>
      <c r="H1435">
        <v>2.3809523809523799E-3</v>
      </c>
      <c r="I1435">
        <v>0.18421052631578899</v>
      </c>
      <c r="J1435" s="14" t="str">
        <f>_xlfn.XLOOKUP(B1435,CAD_PDV!A:A,CAD_PDV!B:B)</f>
        <v>TELECELL TELEFONIA LTDA - ME</v>
      </c>
      <c r="K1435" s="14">
        <f>IF(IFERROR(_xlfn.XLOOKUP(B1435,Planilha2!D:D,Planilha2!H:H),0)="SIM",1,0)</f>
        <v>0</v>
      </c>
      <c r="L1435" s="14" t="str">
        <f>_xlfn.XLOOKUP(B1435,CAD_PDV!A:A,CAD_PDV!C:C)</f>
        <v>MG</v>
      </c>
      <c r="M1435" s="14" t="str">
        <f>IFERROR(_xlfn.XLOOKUP(B1435,repete!A:A,repete!A:A),"-")</f>
        <v>-</v>
      </c>
    </row>
    <row r="1436" spans="1:13" hidden="1">
      <c r="A1436" s="1">
        <v>46143</v>
      </c>
      <c r="B1436" t="s">
        <v>369</v>
      </c>
      <c r="C1436" t="s">
        <v>370</v>
      </c>
      <c r="D1436" t="s">
        <v>230</v>
      </c>
      <c r="E1436" t="s">
        <v>61</v>
      </c>
      <c r="F1436">
        <v>32</v>
      </c>
      <c r="G1436">
        <v>7</v>
      </c>
      <c r="H1436">
        <v>2.3809523809523799E-3</v>
      </c>
      <c r="I1436">
        <v>0.21875</v>
      </c>
      <c r="J1436" s="14" t="str">
        <f>_xlfn.XLOOKUP(B1436,CAD_PDV!A:A,CAD_PDV!B:B)</f>
        <v>HARCOS COMERCIO E SERVICOS LTDA - EPP</v>
      </c>
      <c r="K1436" s="14">
        <f>IF(IFERROR(_xlfn.XLOOKUP(B1436,Planilha2!D:D,Planilha2!H:H),0)="SIM",1,0)</f>
        <v>0</v>
      </c>
      <c r="L1436" s="14" t="str">
        <f>_xlfn.XLOOKUP(B1436,CAD_PDV!A:A,CAD_PDV!C:C)</f>
        <v>NE</v>
      </c>
      <c r="M1436" s="14" t="str">
        <f>IFERROR(_xlfn.XLOOKUP(B1436,repete!A:A,repete!A:A),"-")</f>
        <v>-</v>
      </c>
    </row>
    <row r="1437" spans="1:13" hidden="1">
      <c r="A1437" s="1">
        <v>46143</v>
      </c>
      <c r="B1437" t="s">
        <v>1656</v>
      </c>
      <c r="C1437" t="s">
        <v>1657</v>
      </c>
      <c r="D1437" t="s">
        <v>232</v>
      </c>
      <c r="E1437" t="s">
        <v>54</v>
      </c>
      <c r="F1437">
        <v>48</v>
      </c>
      <c r="G1437">
        <v>7</v>
      </c>
      <c r="H1437">
        <v>2.3809523809523799E-3</v>
      </c>
      <c r="I1437">
        <v>0.14583333333333301</v>
      </c>
      <c r="J1437" s="14" t="str">
        <f>_xlfn.XLOOKUP(B1437,CAD_PDV!A:A,CAD_PDV!B:B)</f>
        <v>HS TELECOM</v>
      </c>
      <c r="K1437" s="14">
        <f>IF(IFERROR(_xlfn.XLOOKUP(B1437,Planilha2!D:D,Planilha2!H:H),0)="SIM",1,0)</f>
        <v>0</v>
      </c>
      <c r="L1437" s="14" t="str">
        <f>_xlfn.XLOOKUP(B1437,CAD_PDV!A:A,CAD_PDV!C:C)</f>
        <v>SP2</v>
      </c>
      <c r="M1437" s="14" t="str">
        <f>IFERROR(_xlfn.XLOOKUP(B1437,repete!A:A,repete!A:A),"-")</f>
        <v>-</v>
      </c>
    </row>
    <row r="1438" spans="1:13" hidden="1">
      <c r="A1438" s="1">
        <v>46143</v>
      </c>
      <c r="B1438" t="s">
        <v>1664</v>
      </c>
      <c r="C1438" t="s">
        <v>1659</v>
      </c>
      <c r="D1438" t="s">
        <v>232</v>
      </c>
      <c r="E1438" t="s">
        <v>54</v>
      </c>
      <c r="F1438">
        <v>59</v>
      </c>
      <c r="G1438">
        <v>7</v>
      </c>
      <c r="H1438">
        <v>2.3809523809523799E-3</v>
      </c>
      <c r="I1438">
        <v>0.11864406779661001</v>
      </c>
      <c r="J1438" s="14" t="str">
        <f>_xlfn.XLOOKUP(B1438,CAD_PDV!A:A,CAD_PDV!B:B)</f>
        <v>HS TELECOM</v>
      </c>
      <c r="K1438" s="14">
        <f>IF(IFERROR(_xlfn.XLOOKUP(B1438,Planilha2!D:D,Planilha2!H:H),0)="SIM",1,0)</f>
        <v>0</v>
      </c>
      <c r="L1438" s="14" t="str">
        <f>_xlfn.XLOOKUP(B1438,CAD_PDV!A:A,CAD_PDV!C:C)</f>
        <v>SP2</v>
      </c>
      <c r="M1438" s="14" t="str">
        <f>IFERROR(_xlfn.XLOOKUP(B1438,repete!A:A,repete!A:A),"-")</f>
        <v>-</v>
      </c>
    </row>
    <row r="1439" spans="1:13" hidden="1">
      <c r="A1439" s="1">
        <v>46143</v>
      </c>
      <c r="B1439" t="s">
        <v>1706</v>
      </c>
      <c r="C1439" t="s">
        <v>1693</v>
      </c>
      <c r="D1439" t="s">
        <v>232</v>
      </c>
      <c r="E1439" t="s">
        <v>54</v>
      </c>
      <c r="F1439">
        <v>68</v>
      </c>
      <c r="G1439">
        <v>7</v>
      </c>
      <c r="H1439">
        <v>2.3809523809523799E-3</v>
      </c>
      <c r="I1439">
        <v>0.10294117647058799</v>
      </c>
      <c r="J1439" s="14" t="str">
        <f>_xlfn.XLOOKUP(B1439,CAD_PDV!A:A,CAD_PDV!B:B)</f>
        <v>HS TELECOM</v>
      </c>
      <c r="K1439" s="14">
        <f>IF(IFERROR(_xlfn.XLOOKUP(B1439,Planilha2!D:D,Planilha2!H:H),0)="SIM",1,0)</f>
        <v>0</v>
      </c>
      <c r="L1439" s="14" t="str">
        <f>_xlfn.XLOOKUP(B1439,CAD_PDV!A:A,CAD_PDV!C:C)</f>
        <v>SP2</v>
      </c>
      <c r="M1439" s="14" t="str">
        <f>IFERROR(_xlfn.XLOOKUP(B1439,repete!A:A,repete!A:A),"-")</f>
        <v>-</v>
      </c>
    </row>
    <row r="1440" spans="1:13" hidden="1">
      <c r="A1440" s="1">
        <v>46143</v>
      </c>
      <c r="B1440" t="s">
        <v>2052</v>
      </c>
      <c r="C1440" t="s">
        <v>2053</v>
      </c>
      <c r="D1440" t="s">
        <v>193</v>
      </c>
      <c r="E1440" t="s">
        <v>2074</v>
      </c>
      <c r="F1440">
        <v>47</v>
      </c>
      <c r="G1440">
        <v>7</v>
      </c>
      <c r="H1440">
        <v>2.3809523809523799E-3</v>
      </c>
      <c r="I1440">
        <v>0.14893617021276601</v>
      </c>
      <c r="J1440" s="14" t="str">
        <f>_xlfn.XLOOKUP(B1440,CAD_PDV!A:A,CAD_PDV!B:B)</f>
        <v>S D COMERCIO DE CELULARES LTDA - ME</v>
      </c>
      <c r="K1440" s="14">
        <f>IF(IFERROR(_xlfn.XLOOKUP(B1440,Planilha2!D:D,Planilha2!H:H),0)="SIM",1,0)</f>
        <v>0</v>
      </c>
      <c r="L1440" s="14" t="str">
        <f>_xlfn.XLOOKUP(B1440,CAD_PDV!A:A,CAD_PDV!C:C)</f>
        <v>RS</v>
      </c>
      <c r="M1440" s="14" t="str">
        <f>IFERROR(_xlfn.XLOOKUP(B1440,repete!A:A,repete!A:A),"-")</f>
        <v>-</v>
      </c>
    </row>
    <row r="1441" spans="1:13" hidden="1">
      <c r="A1441" s="1">
        <v>46143</v>
      </c>
      <c r="B1441" t="s">
        <v>1281</v>
      </c>
      <c r="C1441" t="s">
        <v>1185</v>
      </c>
      <c r="D1441" t="s">
        <v>228</v>
      </c>
      <c r="E1441" t="s">
        <v>55</v>
      </c>
      <c r="F1441">
        <v>56</v>
      </c>
      <c r="G1441">
        <v>7</v>
      </c>
      <c r="H1441">
        <v>2.3809523809523799E-3</v>
      </c>
      <c r="I1441">
        <v>0.125</v>
      </c>
      <c r="J1441" s="14" t="str">
        <f>_xlfn.XLOOKUP(B1441,CAD_PDV!A:A,CAD_PDV!B:B)</f>
        <v>FAJULUTI</v>
      </c>
      <c r="K1441" s="14">
        <f>IF(IFERROR(_xlfn.XLOOKUP(B1441,Planilha2!D:D,Planilha2!H:H),0)="SIM",1,0)</f>
        <v>0</v>
      </c>
      <c r="L1441" s="14" t="str">
        <f>_xlfn.XLOOKUP(B1441,CAD_PDV!A:A,CAD_PDV!C:C)</f>
        <v>RJ/ES</v>
      </c>
      <c r="M1441" s="14" t="str">
        <f>IFERROR(_xlfn.XLOOKUP(B1441,repete!A:A,repete!A:A),"-")</f>
        <v>-</v>
      </c>
    </row>
    <row r="1442" spans="1:13" hidden="1">
      <c r="A1442" s="1">
        <v>46143</v>
      </c>
      <c r="B1442" t="s">
        <v>1177</v>
      </c>
      <c r="C1442" t="s">
        <v>1142</v>
      </c>
      <c r="D1442" t="s">
        <v>228</v>
      </c>
      <c r="E1442" t="s">
        <v>55</v>
      </c>
      <c r="F1442">
        <v>65</v>
      </c>
      <c r="G1442">
        <v>7</v>
      </c>
      <c r="H1442">
        <v>2.3809523809523799E-3</v>
      </c>
      <c r="I1442">
        <v>0.107692307692308</v>
      </c>
      <c r="J1442" s="14" t="str">
        <f>_xlfn.XLOOKUP(B1442,CAD_PDV!A:A,CAD_PDV!B:B)</f>
        <v>FAJULUTI</v>
      </c>
      <c r="K1442" s="14">
        <f>IF(IFERROR(_xlfn.XLOOKUP(B1442,Planilha2!D:D,Planilha2!H:H),0)="SIM",1,0)</f>
        <v>0</v>
      </c>
      <c r="L1442" s="14" t="str">
        <f>_xlfn.XLOOKUP(B1442,CAD_PDV!A:A,CAD_PDV!C:C)</f>
        <v>RJ/ES</v>
      </c>
      <c r="M1442" s="14" t="str">
        <f>IFERROR(_xlfn.XLOOKUP(B1442,repete!A:A,repete!A:A),"-")</f>
        <v>-</v>
      </c>
    </row>
    <row r="1443" spans="1:13" hidden="1">
      <c r="A1443" s="1">
        <v>46143</v>
      </c>
      <c r="B1443" t="s">
        <v>1736</v>
      </c>
      <c r="C1443" t="s">
        <v>1523</v>
      </c>
      <c r="D1443" t="s">
        <v>232</v>
      </c>
      <c r="E1443" t="s">
        <v>54</v>
      </c>
      <c r="F1443">
        <v>67</v>
      </c>
      <c r="G1443">
        <v>7</v>
      </c>
      <c r="H1443">
        <v>2.3809523809523799E-3</v>
      </c>
      <c r="I1443">
        <v>0.104477611940299</v>
      </c>
      <c r="J1443" s="14" t="str">
        <f>_xlfn.XLOOKUP(B1443,CAD_PDV!A:A,CAD_PDV!B:B)</f>
        <v>HS TELECOM</v>
      </c>
      <c r="K1443" s="14">
        <f>IF(IFERROR(_xlfn.XLOOKUP(B1443,Planilha2!D:D,Planilha2!H:H),0)="SIM",1,0)</f>
        <v>0</v>
      </c>
      <c r="L1443" s="14" t="str">
        <f>_xlfn.XLOOKUP(B1443,CAD_PDV!A:A,CAD_PDV!C:C)</f>
        <v>SP2</v>
      </c>
      <c r="M1443" s="14" t="str">
        <f>IFERROR(_xlfn.XLOOKUP(B1443,repete!A:A,repete!A:A),"-")</f>
        <v>-</v>
      </c>
    </row>
    <row r="1444" spans="1:13" hidden="1">
      <c r="A1444" s="1">
        <v>46143</v>
      </c>
      <c r="B1444" t="s">
        <v>841</v>
      </c>
      <c r="C1444" t="s">
        <v>842</v>
      </c>
      <c r="D1444" t="s">
        <v>239</v>
      </c>
      <c r="E1444" t="s">
        <v>59</v>
      </c>
      <c r="F1444">
        <v>84</v>
      </c>
      <c r="G1444">
        <v>6</v>
      </c>
      <c r="H1444">
        <v>2.0408163265306098E-3</v>
      </c>
      <c r="I1444">
        <v>7.1428571428571397E-2</v>
      </c>
      <c r="J1444" s="14" t="str">
        <f>_xlfn.XLOOKUP(B1444,CAD_PDV!A:A,CAD_PDV!B:B)</f>
        <v>TELECELL TELEFONIA LTDA - ME</v>
      </c>
      <c r="K1444" s="14">
        <f>IF(IFERROR(_xlfn.XLOOKUP(B1444,Planilha2!D:D,Planilha2!H:H),0)="SIM",1,0)</f>
        <v>0</v>
      </c>
      <c r="L1444" s="14" t="str">
        <f>_xlfn.XLOOKUP(B1444,CAD_PDV!A:A,CAD_PDV!C:C)</f>
        <v>CO</v>
      </c>
      <c r="M1444" s="14" t="str">
        <f>IFERROR(_xlfn.XLOOKUP(B1444,repete!A:A,repete!A:A),"-")</f>
        <v>1NRI</v>
      </c>
    </row>
    <row r="1445" spans="1:13" hidden="1">
      <c r="A1445" s="1">
        <v>46143</v>
      </c>
      <c r="B1445" t="s">
        <v>1976</v>
      </c>
      <c r="C1445" t="s">
        <v>1978</v>
      </c>
      <c r="D1445" t="s">
        <v>97</v>
      </c>
      <c r="E1445" t="s">
        <v>2074</v>
      </c>
      <c r="F1445">
        <v>27</v>
      </c>
      <c r="G1445">
        <v>6</v>
      </c>
      <c r="H1445">
        <v>2.0408163265306098E-3</v>
      </c>
      <c r="I1445">
        <v>0.22222222222222199</v>
      </c>
      <c r="J1445" s="14" t="str">
        <f>_xlfn.XLOOKUP(B1445,CAD_PDV!A:A,CAD_PDV!B:B)</f>
        <v>BANDEIRA</v>
      </c>
      <c r="K1445" s="14">
        <f>IF(IFERROR(_xlfn.XLOOKUP(B1445,Planilha2!D:D,Planilha2!H:H),0)="SIM",1,0)</f>
        <v>0</v>
      </c>
      <c r="L1445" s="14" t="str">
        <f>_xlfn.XLOOKUP(B1445,CAD_PDV!A:A,CAD_PDV!C:C)</f>
        <v>PR/SC</v>
      </c>
      <c r="M1445" s="14" t="str">
        <f>IFERROR(_xlfn.XLOOKUP(B1445,repete!A:A,repete!A:A),"-")</f>
        <v>-</v>
      </c>
    </row>
    <row r="1446" spans="1:13" hidden="1">
      <c r="A1446" s="1">
        <v>46143</v>
      </c>
      <c r="B1446" t="s">
        <v>1203</v>
      </c>
      <c r="C1446" t="s">
        <v>1204</v>
      </c>
      <c r="D1446" t="s">
        <v>2072</v>
      </c>
      <c r="E1446" t="s">
        <v>55</v>
      </c>
      <c r="F1446">
        <v>56</v>
      </c>
      <c r="G1446">
        <v>6</v>
      </c>
      <c r="H1446">
        <v>2.0408163265306098E-3</v>
      </c>
      <c r="I1446">
        <v>0.107142857142857</v>
      </c>
      <c r="J1446" s="14" t="str">
        <f>_xlfn.XLOOKUP(B1446,CAD_PDV!A:A,CAD_PDV!B:B)</f>
        <v>MEXCELL COMERCIO E SERVICOS DE TELECOMUNICACOES LTDA</v>
      </c>
      <c r="K1446" s="14">
        <f>IF(IFERROR(_xlfn.XLOOKUP(B1446,Planilha2!D:D,Planilha2!H:H),0)="SIM",1,0)</f>
        <v>0</v>
      </c>
      <c r="L1446" s="14" t="str">
        <f>_xlfn.XLOOKUP(B1446,CAD_PDV!A:A,CAD_PDV!C:C)</f>
        <v>RJ/ES</v>
      </c>
      <c r="M1446" s="14" t="str">
        <f>IFERROR(_xlfn.XLOOKUP(B1446,repete!A:A,repete!A:A),"-")</f>
        <v>-</v>
      </c>
    </row>
    <row r="1447" spans="1:13" hidden="1">
      <c r="A1447" s="1">
        <v>46143</v>
      </c>
      <c r="B1447" t="s">
        <v>1483</v>
      </c>
      <c r="C1447" t="s">
        <v>1484</v>
      </c>
      <c r="D1447" t="s">
        <v>232</v>
      </c>
      <c r="E1447" t="s">
        <v>54</v>
      </c>
      <c r="F1447">
        <v>54</v>
      </c>
      <c r="G1447">
        <v>6</v>
      </c>
      <c r="H1447">
        <v>2.0408163265306098E-3</v>
      </c>
      <c r="I1447">
        <v>0.11111111111111099</v>
      </c>
      <c r="J1447" s="14" t="str">
        <f>_xlfn.XLOOKUP(B1447,CAD_PDV!A:A,CAD_PDV!B:B)</f>
        <v>HS TELECOM</v>
      </c>
      <c r="K1447" s="14">
        <f>IF(IFERROR(_xlfn.XLOOKUP(B1447,Planilha2!D:D,Planilha2!H:H),0)="SIM",1,0)</f>
        <v>0</v>
      </c>
      <c r="L1447" s="14" t="str">
        <f>_xlfn.XLOOKUP(B1447,CAD_PDV!A:A,CAD_PDV!C:C)</f>
        <v>SP2</v>
      </c>
      <c r="M1447" s="14" t="str">
        <f>IFERROR(_xlfn.XLOOKUP(B1447,repete!A:A,repete!A:A),"-")</f>
        <v>-</v>
      </c>
    </row>
    <row r="1448" spans="1:13" hidden="1">
      <c r="A1448" s="1">
        <v>46143</v>
      </c>
      <c r="B1448" t="s">
        <v>1263</v>
      </c>
      <c r="C1448" t="s">
        <v>1142</v>
      </c>
      <c r="D1448" t="s">
        <v>233</v>
      </c>
      <c r="E1448" t="s">
        <v>55</v>
      </c>
      <c r="F1448">
        <v>36</v>
      </c>
      <c r="G1448">
        <v>6</v>
      </c>
      <c r="H1448">
        <v>2.0408163265306098E-3</v>
      </c>
      <c r="I1448">
        <v>0.16666666666666699</v>
      </c>
      <c r="J1448" s="14" t="str">
        <f>_xlfn.XLOOKUP(B1448,CAD_PDV!A:A,CAD_PDV!B:B)</f>
        <v>LEINAD COMERCIO E SERVICO EIRELI</v>
      </c>
      <c r="K1448" s="14">
        <f>IF(IFERROR(_xlfn.XLOOKUP(B1448,Planilha2!D:D,Planilha2!H:H),0)="SIM",1,0)</f>
        <v>0</v>
      </c>
      <c r="L1448" s="14" t="str">
        <f>_xlfn.XLOOKUP(B1448,CAD_PDV!A:A,CAD_PDV!C:C)</f>
        <v>RJ/ES</v>
      </c>
      <c r="M1448" s="14" t="str">
        <f>IFERROR(_xlfn.XLOOKUP(B1448,repete!A:A,repete!A:A),"-")</f>
        <v>-</v>
      </c>
    </row>
    <row r="1449" spans="1:13" hidden="1">
      <c r="A1449" s="1">
        <v>46143</v>
      </c>
      <c r="B1449" t="s">
        <v>1497</v>
      </c>
      <c r="C1449" t="s">
        <v>1499</v>
      </c>
      <c r="D1449" t="s">
        <v>132</v>
      </c>
      <c r="E1449" t="s">
        <v>54</v>
      </c>
      <c r="F1449">
        <v>75</v>
      </c>
      <c r="G1449">
        <v>6</v>
      </c>
      <c r="H1449">
        <v>2.0408163265306098E-3</v>
      </c>
      <c r="I1449">
        <v>0.08</v>
      </c>
      <c r="J1449" s="14" t="str">
        <f>_xlfn.XLOOKUP(B1449,CAD_PDV!A:A,CAD_PDV!B:B)</f>
        <v>FLEX CELL</v>
      </c>
      <c r="K1449" s="14">
        <f>IF(IFERROR(_xlfn.XLOOKUP(B1449,Planilha2!D:D,Planilha2!H:H),0)="SIM",1,0)</f>
        <v>0</v>
      </c>
      <c r="L1449" s="14" t="str">
        <f>_xlfn.XLOOKUP(B1449,CAD_PDV!A:A,CAD_PDV!C:C)</f>
        <v>SP2</v>
      </c>
      <c r="M1449" s="14" t="str">
        <f>IFERROR(_xlfn.XLOOKUP(B1449,repete!A:A,repete!A:A),"-")</f>
        <v>-</v>
      </c>
    </row>
    <row r="1450" spans="1:13" hidden="1">
      <c r="A1450" s="1">
        <v>46143</v>
      </c>
      <c r="B1450" t="s">
        <v>693</v>
      </c>
      <c r="C1450" t="s">
        <v>694</v>
      </c>
      <c r="D1450" t="s">
        <v>239</v>
      </c>
      <c r="E1450" t="s">
        <v>59</v>
      </c>
      <c r="F1450">
        <v>47</v>
      </c>
      <c r="G1450">
        <v>6</v>
      </c>
      <c r="H1450">
        <v>2.0408163265306098E-3</v>
      </c>
      <c r="I1450">
        <v>0.12765957446808501</v>
      </c>
      <c r="J1450" s="14" t="str">
        <f>_xlfn.XLOOKUP(B1450,CAD_PDV!A:A,CAD_PDV!B:B)</f>
        <v>TELECELL TELEFONIA LTDA - ME</v>
      </c>
      <c r="K1450" s="14">
        <f>IF(IFERROR(_xlfn.XLOOKUP(B1450,Planilha2!D:D,Planilha2!H:H),0)="SIM",1,0)</f>
        <v>0</v>
      </c>
      <c r="L1450" s="14" t="str">
        <f>_xlfn.XLOOKUP(B1450,CAD_PDV!A:A,CAD_PDV!C:C)</f>
        <v>CO</v>
      </c>
      <c r="M1450" s="14" t="str">
        <f>IFERROR(_xlfn.XLOOKUP(B1450,repete!A:A,repete!A:A),"-")</f>
        <v>-</v>
      </c>
    </row>
    <row r="1451" spans="1:13" hidden="1">
      <c r="A1451" s="1">
        <v>46143</v>
      </c>
      <c r="B1451" t="s">
        <v>2032</v>
      </c>
      <c r="C1451" t="s">
        <v>2033</v>
      </c>
      <c r="D1451" t="s">
        <v>193</v>
      </c>
      <c r="E1451" t="s">
        <v>2074</v>
      </c>
      <c r="F1451">
        <v>41</v>
      </c>
      <c r="G1451">
        <v>6</v>
      </c>
      <c r="H1451">
        <v>2.0408163265306098E-3</v>
      </c>
      <c r="I1451">
        <v>0.146341463414634</v>
      </c>
      <c r="J1451" s="14" t="str">
        <f>_xlfn.XLOOKUP(B1451,CAD_PDV!A:A,CAD_PDV!B:B)</f>
        <v>S D COMERCIO DE CELULARES LTDA - ME</v>
      </c>
      <c r="K1451" s="14">
        <f>IF(IFERROR(_xlfn.XLOOKUP(B1451,Planilha2!D:D,Planilha2!H:H),0)="SIM",1,0)</f>
        <v>0</v>
      </c>
      <c r="L1451" s="14" t="str">
        <f>_xlfn.XLOOKUP(B1451,CAD_PDV!A:A,CAD_PDV!C:C)</f>
        <v>RS</v>
      </c>
      <c r="M1451" s="14" t="str">
        <f>IFERROR(_xlfn.XLOOKUP(B1451,repete!A:A,repete!A:A),"-")</f>
        <v>-</v>
      </c>
    </row>
    <row r="1452" spans="1:13" hidden="1">
      <c r="A1452" s="1">
        <v>46143</v>
      </c>
      <c r="B1452" t="s">
        <v>635</v>
      </c>
      <c r="C1452" t="s">
        <v>637</v>
      </c>
      <c r="D1452" t="s">
        <v>221</v>
      </c>
      <c r="E1452" t="s">
        <v>59</v>
      </c>
      <c r="F1452">
        <v>83</v>
      </c>
      <c r="G1452">
        <v>6</v>
      </c>
      <c r="H1452">
        <v>2.0408163265306098E-3</v>
      </c>
      <c r="I1452">
        <v>7.2289156626505993E-2</v>
      </c>
      <c r="J1452" s="14" t="str">
        <f>_xlfn.XLOOKUP(B1452,CAD_PDV!A:A,CAD_PDV!B:B)</f>
        <v>AMERICOM COMERCIO DE APARELHOS ELETRONICOS LTDA - EPP</v>
      </c>
      <c r="K1452" s="14">
        <f>IF(IFERROR(_xlfn.XLOOKUP(B1452,Planilha2!D:D,Planilha2!H:H),0)="SIM",1,0)</f>
        <v>0</v>
      </c>
      <c r="L1452" s="14" t="str">
        <f>_xlfn.XLOOKUP(B1452,CAD_PDV!A:A,CAD_PDV!C:C)</f>
        <v>CO</v>
      </c>
      <c r="M1452" s="14" t="str">
        <f>IFERROR(_xlfn.XLOOKUP(B1452,repete!A:A,repete!A:A),"-")</f>
        <v>-</v>
      </c>
    </row>
    <row r="1453" spans="1:13" hidden="1">
      <c r="A1453" s="1">
        <v>46143</v>
      </c>
      <c r="B1453" t="s">
        <v>656</v>
      </c>
      <c r="C1453" t="s">
        <v>649</v>
      </c>
      <c r="D1453" t="s">
        <v>239</v>
      </c>
      <c r="E1453" t="s">
        <v>59</v>
      </c>
      <c r="F1453">
        <v>62</v>
      </c>
      <c r="G1453">
        <v>6</v>
      </c>
      <c r="H1453">
        <v>2.0408163265306098E-3</v>
      </c>
      <c r="I1453">
        <v>9.6774193548387094E-2</v>
      </c>
      <c r="J1453" s="14" t="str">
        <f>_xlfn.XLOOKUP(B1453,CAD_PDV!A:A,CAD_PDV!B:B)</f>
        <v>TELECELL TELEFONIA LTDA - ME</v>
      </c>
      <c r="K1453" s="14">
        <f>IF(IFERROR(_xlfn.XLOOKUP(B1453,Planilha2!D:D,Planilha2!H:H),0)="SIM",1,0)</f>
        <v>0</v>
      </c>
      <c r="L1453" s="14" t="str">
        <f>_xlfn.XLOOKUP(B1453,CAD_PDV!A:A,CAD_PDV!C:C)</f>
        <v>CO</v>
      </c>
      <c r="M1453" s="14" t="str">
        <f>IFERROR(_xlfn.XLOOKUP(B1453,repete!A:A,repete!A:A),"-")</f>
        <v>-</v>
      </c>
    </row>
    <row r="1454" spans="1:13" hidden="1">
      <c r="A1454" s="1">
        <v>46143</v>
      </c>
      <c r="B1454" t="s">
        <v>1572</v>
      </c>
      <c r="C1454" t="s">
        <v>1535</v>
      </c>
      <c r="D1454" t="s">
        <v>106</v>
      </c>
      <c r="E1454" t="s">
        <v>54</v>
      </c>
      <c r="F1454">
        <v>56</v>
      </c>
      <c r="G1454">
        <v>6</v>
      </c>
      <c r="H1454">
        <v>2.0408163265306098E-3</v>
      </c>
      <c r="I1454">
        <v>0.107142857142857</v>
      </c>
      <c r="J1454" s="14" t="str">
        <f>_xlfn.XLOOKUP(B1454,CAD_PDV!A:A,CAD_PDV!B:B)</f>
        <v>CELLULAR.COM</v>
      </c>
      <c r="K1454" s="14">
        <f>IF(IFERROR(_xlfn.XLOOKUP(B1454,Planilha2!D:D,Planilha2!H:H),0)="SIM",1,0)</f>
        <v>0</v>
      </c>
      <c r="L1454" s="14" t="str">
        <f>_xlfn.XLOOKUP(B1454,CAD_PDV!A:A,CAD_PDV!C:C)</f>
        <v>SP2</v>
      </c>
      <c r="M1454" s="14" t="str">
        <f>IFERROR(_xlfn.XLOOKUP(B1454,repete!A:A,repete!A:A),"-")</f>
        <v>-</v>
      </c>
    </row>
    <row r="1455" spans="1:13" hidden="1">
      <c r="A1455" s="1">
        <v>46143</v>
      </c>
      <c r="B1455" t="s">
        <v>1168</v>
      </c>
      <c r="C1455" t="s">
        <v>1142</v>
      </c>
      <c r="D1455" t="s">
        <v>237</v>
      </c>
      <c r="E1455" t="s">
        <v>55</v>
      </c>
      <c r="F1455">
        <v>165</v>
      </c>
      <c r="G1455">
        <v>6</v>
      </c>
      <c r="H1455">
        <v>2.0408163265306098E-3</v>
      </c>
      <c r="I1455">
        <v>3.6363636363636397E-2</v>
      </c>
      <c r="J1455" s="14" t="str">
        <f>_xlfn.XLOOKUP(B1455,CAD_PDV!A:A,CAD_PDV!B:B)</f>
        <v>PONTO CERTO COMERCIO E COMUNICAÇÕES LTDA</v>
      </c>
      <c r="K1455" s="14">
        <f>IF(IFERROR(_xlfn.XLOOKUP(B1455,Planilha2!D:D,Planilha2!H:H),0)="SIM",1,0)</f>
        <v>0</v>
      </c>
      <c r="L1455" s="14" t="str">
        <f>_xlfn.XLOOKUP(B1455,CAD_PDV!A:A,CAD_PDV!C:C)</f>
        <v>RJ/ES</v>
      </c>
      <c r="M1455" s="14" t="str">
        <f>IFERROR(_xlfn.XLOOKUP(B1455,repete!A:A,repete!A:A),"-")</f>
        <v>-</v>
      </c>
    </row>
    <row r="1456" spans="1:13" hidden="1">
      <c r="A1456" s="1">
        <v>46143</v>
      </c>
      <c r="B1456" t="s">
        <v>1338</v>
      </c>
      <c r="C1456" t="s">
        <v>1313</v>
      </c>
      <c r="D1456" t="s">
        <v>225</v>
      </c>
      <c r="E1456" t="s">
        <v>53</v>
      </c>
      <c r="F1456">
        <v>101</v>
      </c>
      <c r="G1456">
        <v>6</v>
      </c>
      <c r="H1456">
        <v>2.0408163265306098E-3</v>
      </c>
      <c r="I1456">
        <v>5.9405940594059403E-2</v>
      </c>
      <c r="J1456" s="14" t="str">
        <f>_xlfn.XLOOKUP(B1456,CAD_PDV!A:A,CAD_PDV!B:B)</f>
        <v>CLARICELL SP1</v>
      </c>
      <c r="K1456" s="14">
        <f>IF(IFERROR(_xlfn.XLOOKUP(B1456,Planilha2!D:D,Planilha2!H:H),0)="SIM",1,0)</f>
        <v>0</v>
      </c>
      <c r="L1456" s="14" t="str">
        <f>_xlfn.XLOOKUP(B1456,CAD_PDV!A:A,CAD_PDV!C:C)</f>
        <v>SP1</v>
      </c>
      <c r="M1456" s="14" t="str">
        <f>IFERROR(_xlfn.XLOOKUP(B1456,repete!A:A,repete!A:A),"-")</f>
        <v>-</v>
      </c>
    </row>
    <row r="1457" spans="1:13" hidden="1">
      <c r="A1457" s="1">
        <v>46143</v>
      </c>
      <c r="B1457" t="s">
        <v>1683</v>
      </c>
      <c r="C1457" t="s">
        <v>1684</v>
      </c>
      <c r="D1457" t="s">
        <v>232</v>
      </c>
      <c r="E1457" t="s">
        <v>54</v>
      </c>
      <c r="F1457">
        <v>62</v>
      </c>
      <c r="G1457">
        <v>6</v>
      </c>
      <c r="H1457">
        <v>2.0408163265306098E-3</v>
      </c>
      <c r="I1457">
        <v>9.6774193548387094E-2</v>
      </c>
      <c r="J1457" s="14" t="str">
        <f>_xlfn.XLOOKUP(B1457,CAD_PDV!A:A,CAD_PDV!B:B)</f>
        <v>HS TELECOM</v>
      </c>
      <c r="K1457" s="14">
        <f>IF(IFERROR(_xlfn.XLOOKUP(B1457,Planilha2!D:D,Planilha2!H:H),0)="SIM",1,0)</f>
        <v>0</v>
      </c>
      <c r="L1457" s="14" t="str">
        <f>_xlfn.XLOOKUP(B1457,CAD_PDV!A:A,CAD_PDV!C:C)</f>
        <v>SP2</v>
      </c>
      <c r="M1457" s="14" t="str">
        <f>IFERROR(_xlfn.XLOOKUP(B1457,repete!A:A,repete!A:A),"-")</f>
        <v>-</v>
      </c>
    </row>
    <row r="1458" spans="1:13" hidden="1">
      <c r="A1458" s="1">
        <v>46143</v>
      </c>
      <c r="B1458" t="s">
        <v>1410</v>
      </c>
      <c r="C1458" t="s">
        <v>1413</v>
      </c>
      <c r="D1458" t="s">
        <v>220</v>
      </c>
      <c r="E1458" t="s">
        <v>54</v>
      </c>
      <c r="F1458">
        <v>41</v>
      </c>
      <c r="G1458">
        <v>5</v>
      </c>
      <c r="H1458">
        <v>1.70068027210884E-3</v>
      </c>
      <c r="I1458">
        <v>0.12195121951219499</v>
      </c>
      <c r="J1458" s="14" t="str">
        <f>_xlfn.XLOOKUP(B1458,CAD_PDV!A:A,CAD_PDV!B:B)</f>
        <v>ADESIENE NUNES MACHADO - ME</v>
      </c>
      <c r="K1458" s="14">
        <f>IF(IFERROR(_xlfn.XLOOKUP(B1458,Planilha2!D:D,Planilha2!H:H),0)="SIM",1,0)</f>
        <v>0</v>
      </c>
      <c r="L1458" s="14" t="str">
        <f>_xlfn.XLOOKUP(B1458,CAD_PDV!A:A,CAD_PDV!C:C)</f>
        <v>SP2</v>
      </c>
      <c r="M1458" s="14" t="str">
        <f>IFERROR(_xlfn.XLOOKUP(B1458,repete!A:A,repete!A:A),"-")</f>
        <v>-</v>
      </c>
    </row>
    <row r="1459" spans="1:13" hidden="1">
      <c r="A1459" s="1">
        <v>46143</v>
      </c>
      <c r="B1459" t="s">
        <v>1351</v>
      </c>
      <c r="C1459" t="s">
        <v>1313</v>
      </c>
      <c r="D1459" t="s">
        <v>132</v>
      </c>
      <c r="E1459" t="s">
        <v>53</v>
      </c>
      <c r="F1459">
        <v>112</v>
      </c>
      <c r="G1459">
        <v>5</v>
      </c>
      <c r="H1459">
        <v>1.70068027210884E-3</v>
      </c>
      <c r="I1459">
        <v>4.4642857142857102E-2</v>
      </c>
      <c r="J1459" s="14" t="str">
        <f>_xlfn.XLOOKUP(B1459,CAD_PDV!A:A,CAD_PDV!B:B)</f>
        <v>FLEX CELL</v>
      </c>
      <c r="K1459" s="14">
        <f>IF(IFERROR(_xlfn.XLOOKUP(B1459,Planilha2!D:D,Planilha2!H:H),0)="SIM",1,0)</f>
        <v>0</v>
      </c>
      <c r="L1459" s="14" t="str">
        <f>_xlfn.XLOOKUP(B1459,CAD_PDV!A:A,CAD_PDV!C:C)</f>
        <v>SP1</v>
      </c>
      <c r="M1459" s="14" t="str">
        <f>IFERROR(_xlfn.XLOOKUP(B1459,repete!A:A,repete!A:A),"-")</f>
        <v>-</v>
      </c>
    </row>
    <row r="1460" spans="1:13" hidden="1">
      <c r="A1460" s="1">
        <v>46143</v>
      </c>
      <c r="B1460" t="s">
        <v>2090</v>
      </c>
      <c r="C1460" t="s">
        <v>1757</v>
      </c>
      <c r="D1460" t="s">
        <v>2080</v>
      </c>
      <c r="E1460" t="s">
        <v>2074</v>
      </c>
      <c r="F1460">
        <v>59</v>
      </c>
      <c r="G1460">
        <v>5</v>
      </c>
      <c r="H1460">
        <v>1.70068027210884E-3</v>
      </c>
      <c r="I1460">
        <v>8.4745762711864403E-2</v>
      </c>
      <c r="J1460" s="14" t="e">
        <f>_xlfn.XLOOKUP(B1460,CAD_PDV!A:A,CAD_PDV!B:B)</f>
        <v>#N/A</v>
      </c>
      <c r="K1460" s="14">
        <f>IF(IFERROR(_xlfn.XLOOKUP(B1460,Planilha2!D:D,Planilha2!H:H),0)="SIM",1,0)</f>
        <v>0</v>
      </c>
      <c r="L1460" s="14" t="e">
        <f>_xlfn.XLOOKUP(B1460,CAD_PDV!A:A,CAD_PDV!C:C)</f>
        <v>#N/A</v>
      </c>
      <c r="M1460" s="14" t="str">
        <f>IFERROR(_xlfn.XLOOKUP(B1460,repete!A:A,repete!A:A),"-")</f>
        <v>-</v>
      </c>
    </row>
    <row r="1461" spans="1:13" hidden="1">
      <c r="A1461" s="1">
        <v>46143</v>
      </c>
      <c r="B1461" t="s">
        <v>1273</v>
      </c>
      <c r="C1461" t="s">
        <v>1204</v>
      </c>
      <c r="D1461" t="s">
        <v>2072</v>
      </c>
      <c r="E1461" t="s">
        <v>55</v>
      </c>
      <c r="F1461">
        <v>52</v>
      </c>
      <c r="G1461">
        <v>5</v>
      </c>
      <c r="H1461">
        <v>1.70068027210884E-3</v>
      </c>
      <c r="I1461">
        <v>9.6153846153846201E-2</v>
      </c>
      <c r="J1461" s="14" t="str">
        <f>_xlfn.XLOOKUP(B1461,CAD_PDV!A:A,CAD_PDV!B:B)</f>
        <v>MEXCELL COMERCIO E SERVICOS DE TELECOMUNICACOES LTDA</v>
      </c>
      <c r="K1461" s="14">
        <f>IF(IFERROR(_xlfn.XLOOKUP(B1461,Planilha2!D:D,Planilha2!H:H),0)="SIM",1,0)</f>
        <v>0</v>
      </c>
      <c r="L1461" s="14" t="str">
        <f>_xlfn.XLOOKUP(B1461,CAD_PDV!A:A,CAD_PDV!C:C)</f>
        <v>RJ/ES</v>
      </c>
      <c r="M1461" s="14" t="str">
        <f>IFERROR(_xlfn.XLOOKUP(B1461,repete!A:A,repete!A:A),"-")</f>
        <v>-</v>
      </c>
    </row>
    <row r="1462" spans="1:13" hidden="1">
      <c r="A1462" s="1">
        <v>46143</v>
      </c>
      <c r="B1462" t="s">
        <v>642</v>
      </c>
      <c r="C1462" t="s">
        <v>644</v>
      </c>
      <c r="D1462" t="s">
        <v>240</v>
      </c>
      <c r="E1462" t="s">
        <v>59</v>
      </c>
      <c r="F1462">
        <v>59</v>
      </c>
      <c r="G1462">
        <v>5</v>
      </c>
      <c r="H1462">
        <v>1.70068027210884E-3</v>
      </c>
      <c r="I1462">
        <v>8.4745762711864403E-2</v>
      </c>
      <c r="J1462" s="14" t="str">
        <f>_xlfn.XLOOKUP(B1462,CAD_PDV!A:A,CAD_PDV!B:B)</f>
        <v>TELEMAIS TELEFONIA LTDA - ME</v>
      </c>
      <c r="K1462" s="14">
        <f>IF(IFERROR(_xlfn.XLOOKUP(B1462,Planilha2!D:D,Planilha2!H:H),0)="SIM",1,0)</f>
        <v>0</v>
      </c>
      <c r="L1462" s="14" t="str">
        <f>_xlfn.XLOOKUP(B1462,CAD_PDV!A:A,CAD_PDV!C:C)</f>
        <v>CO</v>
      </c>
      <c r="M1462" s="14" t="str">
        <f>IFERROR(_xlfn.XLOOKUP(B1462,repete!A:A,repete!A:A),"-")</f>
        <v>-</v>
      </c>
    </row>
    <row r="1463" spans="1:13" hidden="1">
      <c r="A1463" s="1">
        <v>46143</v>
      </c>
      <c r="B1463" t="s">
        <v>1284</v>
      </c>
      <c r="C1463" t="s">
        <v>1283</v>
      </c>
      <c r="D1463" t="s">
        <v>228</v>
      </c>
      <c r="E1463" t="s">
        <v>55</v>
      </c>
      <c r="F1463">
        <v>68</v>
      </c>
      <c r="G1463">
        <v>5</v>
      </c>
      <c r="H1463">
        <v>1.70068027210884E-3</v>
      </c>
      <c r="I1463">
        <v>7.3529411764705899E-2</v>
      </c>
      <c r="J1463" s="14" t="str">
        <f>_xlfn.XLOOKUP(B1463,CAD_PDV!A:A,CAD_PDV!B:B)</f>
        <v>FAJULUTI</v>
      </c>
      <c r="K1463" s="14">
        <f>IF(IFERROR(_xlfn.XLOOKUP(B1463,Planilha2!D:D,Planilha2!H:H),0)="SIM",1,0)</f>
        <v>0</v>
      </c>
      <c r="L1463" s="14" t="str">
        <f>_xlfn.XLOOKUP(B1463,CAD_PDV!A:A,CAD_PDV!C:C)</f>
        <v>RJ/ES</v>
      </c>
      <c r="M1463" s="14" t="str">
        <f>IFERROR(_xlfn.XLOOKUP(B1463,repete!A:A,repete!A:A),"-")</f>
        <v>-</v>
      </c>
    </row>
    <row r="1464" spans="1:13" hidden="1">
      <c r="A1464" s="1">
        <v>46143</v>
      </c>
      <c r="B1464" t="s">
        <v>495</v>
      </c>
      <c r="C1464" t="s">
        <v>496</v>
      </c>
      <c r="D1464" t="s">
        <v>239</v>
      </c>
      <c r="E1464" t="s">
        <v>56</v>
      </c>
      <c r="F1464">
        <v>38</v>
      </c>
      <c r="G1464">
        <v>5</v>
      </c>
      <c r="H1464">
        <v>1.70068027210884E-3</v>
      </c>
      <c r="I1464">
        <v>0.13157894736842099</v>
      </c>
      <c r="J1464" s="14" t="str">
        <f>_xlfn.XLOOKUP(B1464,CAD_PDV!A:A,CAD_PDV!B:B)</f>
        <v>TELECELL TELEFONIA LTDA - ME</v>
      </c>
      <c r="K1464" s="14">
        <f>IF(IFERROR(_xlfn.XLOOKUP(B1464,Planilha2!D:D,Planilha2!H:H),0)="SIM",1,0)</f>
        <v>0</v>
      </c>
      <c r="L1464" s="14" t="str">
        <f>_xlfn.XLOOKUP(B1464,CAD_PDV!A:A,CAD_PDV!C:C)</f>
        <v>MG</v>
      </c>
      <c r="M1464" s="14" t="str">
        <f>IFERROR(_xlfn.XLOOKUP(B1464,repete!A:A,repete!A:A),"-")</f>
        <v>-</v>
      </c>
    </row>
    <row r="1465" spans="1:13" hidden="1">
      <c r="A1465" s="1">
        <v>46143</v>
      </c>
      <c r="B1465" t="s">
        <v>1478</v>
      </c>
      <c r="C1465" t="s">
        <v>1464</v>
      </c>
      <c r="D1465" t="s">
        <v>106</v>
      </c>
      <c r="E1465" t="s">
        <v>54</v>
      </c>
      <c r="F1465">
        <v>33</v>
      </c>
      <c r="G1465">
        <v>5</v>
      </c>
      <c r="H1465">
        <v>1.70068027210884E-3</v>
      </c>
      <c r="I1465">
        <v>0.15151515151515199</v>
      </c>
      <c r="J1465" s="14" t="str">
        <f>_xlfn.XLOOKUP(B1465,CAD_PDV!A:A,CAD_PDV!B:B)</f>
        <v>CELLULAR.COM</v>
      </c>
      <c r="K1465" s="14">
        <f>IF(IFERROR(_xlfn.XLOOKUP(B1465,Planilha2!D:D,Planilha2!H:H),0)="SIM",1,0)</f>
        <v>0</v>
      </c>
      <c r="L1465" s="14" t="str">
        <f>_xlfn.XLOOKUP(B1465,CAD_PDV!A:A,CAD_PDV!C:C)</f>
        <v>SP2</v>
      </c>
      <c r="M1465" s="14" t="str">
        <f>IFERROR(_xlfn.XLOOKUP(B1465,repete!A:A,repete!A:A),"-")</f>
        <v>-</v>
      </c>
    </row>
    <row r="1466" spans="1:13" hidden="1">
      <c r="A1466" s="1">
        <v>46143</v>
      </c>
      <c r="B1466" t="s">
        <v>1534</v>
      </c>
      <c r="C1466" t="s">
        <v>1535</v>
      </c>
      <c r="D1466" t="s">
        <v>106</v>
      </c>
      <c r="E1466" t="s">
        <v>54</v>
      </c>
      <c r="F1466">
        <v>52</v>
      </c>
      <c r="G1466">
        <v>5</v>
      </c>
      <c r="H1466">
        <v>1.70068027210884E-3</v>
      </c>
      <c r="I1466">
        <v>9.6153846153846201E-2</v>
      </c>
      <c r="J1466" s="14" t="str">
        <f>_xlfn.XLOOKUP(B1466,CAD_PDV!A:A,CAD_PDV!B:B)</f>
        <v>CELLULAR.COM</v>
      </c>
      <c r="K1466" s="14">
        <f>IF(IFERROR(_xlfn.XLOOKUP(B1466,Planilha2!D:D,Planilha2!H:H),0)="SIM",1,0)</f>
        <v>0</v>
      </c>
      <c r="L1466" s="14" t="str">
        <f>_xlfn.XLOOKUP(B1466,CAD_PDV!A:A,CAD_PDV!C:C)</f>
        <v>SP2</v>
      </c>
      <c r="M1466" s="14" t="str">
        <f>IFERROR(_xlfn.XLOOKUP(B1466,repete!A:A,repete!A:A),"-")</f>
        <v>-</v>
      </c>
    </row>
    <row r="1467" spans="1:13" hidden="1">
      <c r="A1467" s="1">
        <v>46143</v>
      </c>
      <c r="B1467" t="s">
        <v>2048</v>
      </c>
      <c r="C1467" t="s">
        <v>2049</v>
      </c>
      <c r="D1467" t="s">
        <v>193</v>
      </c>
      <c r="E1467" t="s">
        <v>2074</v>
      </c>
      <c r="F1467">
        <v>17</v>
      </c>
      <c r="G1467">
        <v>5</v>
      </c>
      <c r="H1467">
        <v>1.70068027210884E-3</v>
      </c>
      <c r="I1467">
        <v>0.29411764705882398</v>
      </c>
      <c r="J1467" s="14" t="str">
        <f>_xlfn.XLOOKUP(B1467,CAD_PDV!A:A,CAD_PDV!B:B)</f>
        <v>S D COMERCIO DE CELULARES LTDA - ME</v>
      </c>
      <c r="K1467" s="14">
        <f>IF(IFERROR(_xlfn.XLOOKUP(B1467,Planilha2!D:D,Planilha2!H:H),0)="SIM",1,0)</f>
        <v>0</v>
      </c>
      <c r="L1467" s="14" t="str">
        <f>_xlfn.XLOOKUP(B1467,CAD_PDV!A:A,CAD_PDV!C:C)</f>
        <v>RS</v>
      </c>
      <c r="M1467" s="14" t="str">
        <f>IFERROR(_xlfn.XLOOKUP(B1467,repete!A:A,repete!A:A),"-")</f>
        <v>-</v>
      </c>
    </row>
    <row r="1468" spans="1:13" hidden="1">
      <c r="A1468" s="1">
        <v>46143</v>
      </c>
      <c r="B1468" t="s">
        <v>951</v>
      </c>
      <c r="C1468" t="s">
        <v>953</v>
      </c>
      <c r="D1468" t="s">
        <v>222</v>
      </c>
      <c r="E1468" t="s">
        <v>60</v>
      </c>
      <c r="F1468">
        <v>186</v>
      </c>
      <c r="G1468">
        <v>5</v>
      </c>
      <c r="H1468">
        <v>1.70068027210884E-3</v>
      </c>
      <c r="I1468">
        <v>2.68817204301075E-2</v>
      </c>
      <c r="J1468" s="14" t="str">
        <f>_xlfn.XLOOKUP(B1468,CAD_PDV!A:A,CAD_PDV!B:B)</f>
        <v>ANCLA COMERCIO</v>
      </c>
      <c r="K1468" s="14">
        <f>IF(IFERROR(_xlfn.XLOOKUP(B1468,Planilha2!D:D,Planilha2!H:H),0)="SIM",1,0)</f>
        <v>0</v>
      </c>
      <c r="L1468" s="14" t="str">
        <f>_xlfn.XLOOKUP(B1468,CAD_PDV!A:A,CAD_PDV!C:C)</f>
        <v>BA/SE</v>
      </c>
      <c r="M1468" s="14" t="str">
        <f>IFERROR(_xlfn.XLOOKUP(B1468,repete!A:A,repete!A:A),"-")</f>
        <v>-</v>
      </c>
    </row>
    <row r="1469" spans="1:13" hidden="1">
      <c r="A1469" s="1">
        <v>46143</v>
      </c>
      <c r="B1469" t="s">
        <v>1276</v>
      </c>
      <c r="C1469" t="s">
        <v>1185</v>
      </c>
      <c r="D1469" t="s">
        <v>228</v>
      </c>
      <c r="E1469" t="s">
        <v>55</v>
      </c>
      <c r="F1469">
        <v>37</v>
      </c>
      <c r="G1469">
        <v>5</v>
      </c>
      <c r="H1469">
        <v>1.70068027210884E-3</v>
      </c>
      <c r="I1469">
        <v>0.135135135135135</v>
      </c>
      <c r="J1469" s="14" t="str">
        <f>_xlfn.XLOOKUP(B1469,CAD_PDV!A:A,CAD_PDV!B:B)</f>
        <v>FAJULUTI</v>
      </c>
      <c r="K1469" s="14">
        <f>IF(IFERROR(_xlfn.XLOOKUP(B1469,Planilha2!D:D,Planilha2!H:H),0)="SIM",1,0)</f>
        <v>0</v>
      </c>
      <c r="L1469" s="14" t="str">
        <f>_xlfn.XLOOKUP(B1469,CAD_PDV!A:A,CAD_PDV!C:C)</f>
        <v>RJ/ES</v>
      </c>
      <c r="M1469" s="14" t="str">
        <f>IFERROR(_xlfn.XLOOKUP(B1469,repete!A:A,repete!A:A),"-")</f>
        <v>-</v>
      </c>
    </row>
    <row r="1470" spans="1:13" hidden="1">
      <c r="A1470" s="1">
        <v>46143</v>
      </c>
      <c r="B1470" t="s">
        <v>758</v>
      </c>
      <c r="C1470" t="s">
        <v>616</v>
      </c>
      <c r="D1470" t="s">
        <v>239</v>
      </c>
      <c r="E1470" t="s">
        <v>59</v>
      </c>
      <c r="F1470">
        <v>85</v>
      </c>
      <c r="G1470">
        <v>5</v>
      </c>
      <c r="H1470">
        <v>1.70068027210884E-3</v>
      </c>
      <c r="I1470">
        <v>5.8823529411764698E-2</v>
      </c>
      <c r="J1470" s="14" t="str">
        <f>_xlfn.XLOOKUP(B1470,CAD_PDV!A:A,CAD_PDV!B:B)</f>
        <v>TELECELL TELEFONIA LTDA - ME</v>
      </c>
      <c r="K1470" s="14">
        <f>IF(IFERROR(_xlfn.XLOOKUP(B1470,Planilha2!D:D,Planilha2!H:H),0)="SIM",1,0)</f>
        <v>0</v>
      </c>
      <c r="L1470" s="14" t="str">
        <f>_xlfn.XLOOKUP(B1470,CAD_PDV!A:A,CAD_PDV!C:C)</f>
        <v>CO</v>
      </c>
      <c r="M1470" s="14" t="str">
        <f>IFERROR(_xlfn.XLOOKUP(B1470,repete!A:A,repete!A:A),"-")</f>
        <v>-</v>
      </c>
    </row>
    <row r="1471" spans="1:13" hidden="1">
      <c r="A1471" s="1">
        <v>46143</v>
      </c>
      <c r="B1471" t="s">
        <v>2054</v>
      </c>
      <c r="C1471" t="s">
        <v>2053</v>
      </c>
      <c r="D1471" t="s">
        <v>193</v>
      </c>
      <c r="E1471" t="s">
        <v>2074</v>
      </c>
      <c r="F1471">
        <v>55</v>
      </c>
      <c r="G1471">
        <v>5</v>
      </c>
      <c r="H1471">
        <v>1.70068027210884E-3</v>
      </c>
      <c r="I1471">
        <v>9.0909090909090898E-2</v>
      </c>
      <c r="J1471" s="14" t="str">
        <f>_xlfn.XLOOKUP(B1471,CAD_PDV!A:A,CAD_PDV!B:B)</f>
        <v>S D COMERCIO DE CELULARES LTDA - ME</v>
      </c>
      <c r="K1471" s="14">
        <f>IF(IFERROR(_xlfn.XLOOKUP(B1471,Planilha2!D:D,Planilha2!H:H),0)="SIM",1,0)</f>
        <v>0</v>
      </c>
      <c r="L1471" s="14" t="str">
        <f>_xlfn.XLOOKUP(B1471,CAD_PDV!A:A,CAD_PDV!C:C)</f>
        <v>RS</v>
      </c>
      <c r="M1471" s="14" t="str">
        <f>IFERROR(_xlfn.XLOOKUP(B1471,repete!A:A,repete!A:A),"-")</f>
        <v>-</v>
      </c>
    </row>
    <row r="1472" spans="1:13" hidden="1">
      <c r="A1472" s="1">
        <v>46143</v>
      </c>
      <c r="B1472" t="s">
        <v>565</v>
      </c>
      <c r="C1472" t="s">
        <v>478</v>
      </c>
      <c r="D1472" t="s">
        <v>228</v>
      </c>
      <c r="E1472" t="s">
        <v>56</v>
      </c>
      <c r="F1472">
        <v>22</v>
      </c>
      <c r="G1472">
        <v>5</v>
      </c>
      <c r="H1472">
        <v>1.70068027210884E-3</v>
      </c>
      <c r="I1472">
        <v>0.22727272727272699</v>
      </c>
      <c r="J1472" s="14" t="str">
        <f>_xlfn.XLOOKUP(B1472,CAD_PDV!A:A,CAD_PDV!B:B)</f>
        <v>FAJULUTI</v>
      </c>
      <c r="K1472" s="14">
        <f>IF(IFERROR(_xlfn.XLOOKUP(B1472,Planilha2!D:D,Planilha2!H:H),0)="SIM",1,0)</f>
        <v>0</v>
      </c>
      <c r="L1472" s="14" t="str">
        <f>_xlfn.XLOOKUP(B1472,CAD_PDV!A:A,CAD_PDV!C:C)</f>
        <v>MG</v>
      </c>
      <c r="M1472" s="14" t="str">
        <f>IFERROR(_xlfn.XLOOKUP(B1472,repete!A:A,repete!A:A),"-")</f>
        <v>-</v>
      </c>
    </row>
    <row r="1473" spans="1:13" hidden="1">
      <c r="A1473" s="1">
        <v>46143</v>
      </c>
      <c r="B1473" t="s">
        <v>1652</v>
      </c>
      <c r="C1473" t="s">
        <v>1653</v>
      </c>
      <c r="D1473" t="s">
        <v>223</v>
      </c>
      <c r="E1473" t="s">
        <v>54</v>
      </c>
      <c r="F1473">
        <v>73</v>
      </c>
      <c r="G1473">
        <v>5</v>
      </c>
      <c r="H1473">
        <v>1.70068027210884E-3</v>
      </c>
      <c r="I1473">
        <v>6.8493150684931503E-2</v>
      </c>
      <c r="J1473" s="14" t="str">
        <f>_xlfn.XLOOKUP(B1473,CAD_PDV!A:A,CAD_PDV!B:B)</f>
        <v>BONELI BIAZI CELULARES EIRELI - ME</v>
      </c>
      <c r="K1473" s="14">
        <f>IF(IFERROR(_xlfn.XLOOKUP(B1473,Planilha2!D:D,Planilha2!H:H),0)="SIM",1,0)</f>
        <v>0</v>
      </c>
      <c r="L1473" s="14" t="str">
        <f>_xlfn.XLOOKUP(B1473,CAD_PDV!A:A,CAD_PDV!C:C)</f>
        <v>SP2</v>
      </c>
      <c r="M1473" s="14" t="str">
        <f>IFERROR(_xlfn.XLOOKUP(B1473,repete!A:A,repete!A:A),"-")</f>
        <v>-</v>
      </c>
    </row>
    <row r="1474" spans="1:13" hidden="1">
      <c r="A1474" s="1">
        <v>46143</v>
      </c>
      <c r="B1474" t="s">
        <v>1368</v>
      </c>
      <c r="C1474" t="s">
        <v>1357</v>
      </c>
      <c r="D1474" t="s">
        <v>132</v>
      </c>
      <c r="E1474" t="s">
        <v>53</v>
      </c>
      <c r="F1474">
        <v>98</v>
      </c>
      <c r="G1474">
        <v>5</v>
      </c>
      <c r="H1474">
        <v>1.70068027210884E-3</v>
      </c>
      <c r="I1474">
        <v>5.10204081632653E-2</v>
      </c>
      <c r="J1474" s="14" t="str">
        <f>_xlfn.XLOOKUP(B1474,CAD_PDV!A:A,CAD_PDV!B:B)</f>
        <v>FLEX CELL</v>
      </c>
      <c r="K1474" s="14">
        <f>IF(IFERROR(_xlfn.XLOOKUP(B1474,Planilha2!D:D,Planilha2!H:H),0)="SIM",1,0)</f>
        <v>0</v>
      </c>
      <c r="L1474" s="14" t="str">
        <f>_xlfn.XLOOKUP(B1474,CAD_PDV!A:A,CAD_PDV!C:C)</f>
        <v>SP1</v>
      </c>
      <c r="M1474" s="14" t="str">
        <f>IFERROR(_xlfn.XLOOKUP(B1474,repete!A:A,repete!A:A),"-")</f>
        <v>-</v>
      </c>
    </row>
    <row r="1475" spans="1:13" hidden="1">
      <c r="A1475" s="1">
        <v>46143</v>
      </c>
      <c r="B1475" t="s">
        <v>573</v>
      </c>
      <c r="C1475" t="s">
        <v>574</v>
      </c>
      <c r="D1475" t="s">
        <v>228</v>
      </c>
      <c r="E1475" t="s">
        <v>56</v>
      </c>
      <c r="F1475">
        <v>31</v>
      </c>
      <c r="G1475">
        <v>5</v>
      </c>
      <c r="H1475">
        <v>1.70068027210884E-3</v>
      </c>
      <c r="I1475">
        <v>0.16129032258064499</v>
      </c>
      <c r="J1475" s="14" t="str">
        <f>_xlfn.XLOOKUP(B1475,CAD_PDV!A:A,CAD_PDV!B:B)</f>
        <v>FAJULUTI</v>
      </c>
      <c r="K1475" s="14">
        <f>IF(IFERROR(_xlfn.XLOOKUP(B1475,Planilha2!D:D,Planilha2!H:H),0)="SIM",1,0)</f>
        <v>0</v>
      </c>
      <c r="L1475" s="14" t="str">
        <f>_xlfn.XLOOKUP(B1475,CAD_PDV!A:A,CAD_PDV!C:C)</f>
        <v>MG</v>
      </c>
      <c r="M1475" s="14" t="str">
        <f>IFERROR(_xlfn.XLOOKUP(B1475,repete!A:A,repete!A:A),"-")</f>
        <v>-</v>
      </c>
    </row>
    <row r="1476" spans="1:13" hidden="1">
      <c r="A1476" s="1">
        <v>46143</v>
      </c>
      <c r="B1476" t="s">
        <v>658</v>
      </c>
      <c r="C1476" t="s">
        <v>659</v>
      </c>
      <c r="D1476" t="s">
        <v>239</v>
      </c>
      <c r="E1476" t="s">
        <v>59</v>
      </c>
      <c r="F1476">
        <v>32</v>
      </c>
      <c r="G1476">
        <v>5</v>
      </c>
      <c r="H1476">
        <v>1.70068027210884E-3</v>
      </c>
      <c r="I1476">
        <v>0.15625</v>
      </c>
      <c r="J1476" s="14" t="str">
        <f>_xlfn.XLOOKUP(B1476,CAD_PDV!A:A,CAD_PDV!B:B)</f>
        <v>TELECELL TELEFONIA LTDA - ME</v>
      </c>
      <c r="K1476" s="14">
        <f>IF(IFERROR(_xlfn.XLOOKUP(B1476,Planilha2!D:D,Planilha2!H:H),0)="SIM",1,0)</f>
        <v>0</v>
      </c>
      <c r="L1476" s="14" t="str">
        <f>_xlfn.XLOOKUP(B1476,CAD_PDV!A:A,CAD_PDV!C:C)</f>
        <v>CO</v>
      </c>
      <c r="M1476" s="14" t="str">
        <f>IFERROR(_xlfn.XLOOKUP(B1476,repete!A:A,repete!A:A),"-")</f>
        <v>-</v>
      </c>
    </row>
    <row r="1477" spans="1:13" hidden="1">
      <c r="A1477" s="1">
        <v>46143</v>
      </c>
      <c r="B1477" t="s">
        <v>1406</v>
      </c>
      <c r="C1477" t="s">
        <v>1366</v>
      </c>
      <c r="D1477" t="s">
        <v>106</v>
      </c>
      <c r="E1477" t="s">
        <v>53</v>
      </c>
      <c r="F1477">
        <v>64</v>
      </c>
      <c r="G1477">
        <v>5</v>
      </c>
      <c r="H1477">
        <v>1.70068027210884E-3</v>
      </c>
      <c r="I1477">
        <v>7.8125E-2</v>
      </c>
      <c r="J1477" s="14" t="str">
        <f>_xlfn.XLOOKUP(B1477,CAD_PDV!A:A,CAD_PDV!B:B)</f>
        <v>CELLULAR.COM</v>
      </c>
      <c r="K1477" s="14">
        <f>IF(IFERROR(_xlfn.XLOOKUP(B1477,Planilha2!D:D,Planilha2!H:H),0)="SIM",1,0)</f>
        <v>0</v>
      </c>
      <c r="L1477" s="14" t="str">
        <f>_xlfn.XLOOKUP(B1477,CAD_PDV!A:A,CAD_PDV!C:C)</f>
        <v>SP1</v>
      </c>
      <c r="M1477" s="14" t="str">
        <f>IFERROR(_xlfn.XLOOKUP(B1477,repete!A:A,repete!A:A),"-")</f>
        <v>-</v>
      </c>
    </row>
    <row r="1478" spans="1:13" hidden="1">
      <c r="A1478" s="1">
        <v>46143</v>
      </c>
      <c r="B1478" t="s">
        <v>2029</v>
      </c>
      <c r="C1478" t="s">
        <v>2026</v>
      </c>
      <c r="D1478" t="s">
        <v>193</v>
      </c>
      <c r="E1478" t="s">
        <v>2074</v>
      </c>
      <c r="F1478">
        <v>42</v>
      </c>
      <c r="G1478">
        <v>5</v>
      </c>
      <c r="H1478">
        <v>1.70068027210884E-3</v>
      </c>
      <c r="I1478">
        <v>0.119047619047619</v>
      </c>
      <c r="J1478" s="14" t="str">
        <f>_xlfn.XLOOKUP(B1478,CAD_PDV!A:A,CAD_PDV!B:B)</f>
        <v>S D COMERCIO DE CELULARES LTDA - ME</v>
      </c>
      <c r="K1478" s="14">
        <f>IF(IFERROR(_xlfn.XLOOKUP(B1478,Planilha2!D:D,Planilha2!H:H),0)="SIM",1,0)</f>
        <v>0</v>
      </c>
      <c r="L1478" s="14" t="str">
        <f>_xlfn.XLOOKUP(B1478,CAD_PDV!A:A,CAD_PDV!C:C)</f>
        <v>RS</v>
      </c>
      <c r="M1478" s="14" t="str">
        <f>IFERROR(_xlfn.XLOOKUP(B1478,repete!A:A,repete!A:A),"-")</f>
        <v>-</v>
      </c>
    </row>
    <row r="1479" spans="1:13" hidden="1">
      <c r="A1479" s="1">
        <v>46143</v>
      </c>
      <c r="B1479" t="s">
        <v>1816</v>
      </c>
      <c r="C1479" t="s">
        <v>1817</v>
      </c>
      <c r="D1479" t="s">
        <v>95</v>
      </c>
      <c r="E1479" t="s">
        <v>2074</v>
      </c>
      <c r="F1479">
        <v>60</v>
      </c>
      <c r="G1479">
        <v>4</v>
      </c>
      <c r="H1479">
        <v>1.36054421768707E-3</v>
      </c>
      <c r="I1479">
        <v>6.6666666666666693E-2</v>
      </c>
      <c r="J1479" s="14" t="str">
        <f>_xlfn.XLOOKUP(B1479,CAD_PDV!A:A,CAD_PDV!B:B)</f>
        <v>AYRES E DEBONI LTDA - ME</v>
      </c>
      <c r="K1479" s="14">
        <f>IF(IFERROR(_xlfn.XLOOKUP(B1479,Planilha2!D:D,Planilha2!H:H),0)="SIM",1,0)</f>
        <v>0</v>
      </c>
      <c r="L1479" s="14" t="str">
        <f>_xlfn.XLOOKUP(B1479,CAD_PDV!A:A,CAD_PDV!C:C)</f>
        <v>RS</v>
      </c>
      <c r="M1479" s="14" t="str">
        <f>IFERROR(_xlfn.XLOOKUP(B1479,repete!A:A,repete!A:A),"-")</f>
        <v>-</v>
      </c>
    </row>
    <row r="1480" spans="1:13" hidden="1">
      <c r="A1480" s="1">
        <v>46143</v>
      </c>
      <c r="B1480" t="s">
        <v>1427</v>
      </c>
      <c r="C1480" t="s">
        <v>1429</v>
      </c>
      <c r="D1480" t="s">
        <v>232</v>
      </c>
      <c r="E1480" t="s">
        <v>54</v>
      </c>
      <c r="F1480">
        <v>27</v>
      </c>
      <c r="G1480">
        <v>4</v>
      </c>
      <c r="H1480">
        <v>1.36054421768707E-3</v>
      </c>
      <c r="I1480">
        <v>0.148148148148148</v>
      </c>
      <c r="J1480" s="14" t="str">
        <f>_xlfn.XLOOKUP(B1480,CAD_PDV!A:A,CAD_PDV!B:B)</f>
        <v>HS TELECOM</v>
      </c>
      <c r="K1480" s="14">
        <f>IF(IFERROR(_xlfn.XLOOKUP(B1480,Planilha2!D:D,Planilha2!H:H),0)="SIM",1,0)</f>
        <v>0</v>
      </c>
      <c r="L1480" s="14" t="str">
        <f>_xlfn.XLOOKUP(B1480,CAD_PDV!A:A,CAD_PDV!C:C)</f>
        <v>SP2</v>
      </c>
      <c r="M1480" s="14" t="str">
        <f>IFERROR(_xlfn.XLOOKUP(B1480,repete!A:A,repete!A:A),"-")</f>
        <v>-</v>
      </c>
    </row>
    <row r="1481" spans="1:13" hidden="1">
      <c r="A1481" s="1">
        <v>46143</v>
      </c>
      <c r="B1481" t="s">
        <v>492</v>
      </c>
      <c r="C1481" t="s">
        <v>494</v>
      </c>
      <c r="D1481" t="s">
        <v>239</v>
      </c>
      <c r="E1481" t="s">
        <v>56</v>
      </c>
      <c r="F1481">
        <v>23</v>
      </c>
      <c r="G1481">
        <v>4</v>
      </c>
      <c r="H1481">
        <v>1.36054421768707E-3</v>
      </c>
      <c r="I1481">
        <v>0.173913043478261</v>
      </c>
      <c r="J1481" s="14" t="str">
        <f>_xlfn.XLOOKUP(B1481,CAD_PDV!A:A,CAD_PDV!B:B)</f>
        <v>TELECELL TELEFONIA LTDA - ME</v>
      </c>
      <c r="K1481" s="14">
        <f>IF(IFERROR(_xlfn.XLOOKUP(B1481,Planilha2!D:D,Planilha2!H:H),0)="SIM",1,0)</f>
        <v>0</v>
      </c>
      <c r="L1481" s="14" t="str">
        <f>_xlfn.XLOOKUP(B1481,CAD_PDV!A:A,CAD_PDV!C:C)</f>
        <v>MG</v>
      </c>
      <c r="M1481" s="14" t="str">
        <f>IFERROR(_xlfn.XLOOKUP(B1481,repete!A:A,repete!A:A),"-")</f>
        <v>-</v>
      </c>
    </row>
    <row r="1482" spans="1:13" hidden="1">
      <c r="A1482" s="1">
        <v>46143</v>
      </c>
      <c r="B1482" t="s">
        <v>488</v>
      </c>
      <c r="C1482" t="s">
        <v>489</v>
      </c>
      <c r="D1482" t="s">
        <v>228</v>
      </c>
      <c r="E1482" t="s">
        <v>56</v>
      </c>
      <c r="F1482">
        <v>28</v>
      </c>
      <c r="G1482">
        <v>4</v>
      </c>
      <c r="H1482">
        <v>1.36054421768707E-3</v>
      </c>
      <c r="I1482">
        <v>0.14285714285714299</v>
      </c>
      <c r="J1482" s="14" t="str">
        <f>_xlfn.XLOOKUP(B1482,CAD_PDV!A:A,CAD_PDV!B:B)</f>
        <v>FAJULUTI</v>
      </c>
      <c r="K1482" s="14">
        <f>IF(IFERROR(_xlfn.XLOOKUP(B1482,Planilha2!D:D,Planilha2!H:H),0)="SIM",1,0)</f>
        <v>0</v>
      </c>
      <c r="L1482" s="14" t="str">
        <f>_xlfn.XLOOKUP(B1482,CAD_PDV!A:A,CAD_PDV!C:C)</f>
        <v>MG</v>
      </c>
      <c r="M1482" s="14" t="str">
        <f>IFERROR(_xlfn.XLOOKUP(B1482,repete!A:A,repete!A:A),"-")</f>
        <v>-</v>
      </c>
    </row>
    <row r="1483" spans="1:13" hidden="1">
      <c r="A1483" s="1">
        <v>46143</v>
      </c>
      <c r="B1483" t="s">
        <v>1481</v>
      </c>
      <c r="C1483" t="s">
        <v>1482</v>
      </c>
      <c r="D1483" t="s">
        <v>232</v>
      </c>
      <c r="E1483" t="s">
        <v>54</v>
      </c>
      <c r="F1483">
        <v>43</v>
      </c>
      <c r="G1483">
        <v>4</v>
      </c>
      <c r="H1483">
        <v>1.36054421768707E-3</v>
      </c>
      <c r="I1483">
        <v>9.3023255813953501E-2</v>
      </c>
      <c r="J1483" s="14" t="str">
        <f>_xlfn.XLOOKUP(B1483,CAD_PDV!A:A,CAD_PDV!B:B)</f>
        <v>HS TELECOM</v>
      </c>
      <c r="K1483" s="14">
        <f>IF(IFERROR(_xlfn.XLOOKUP(B1483,Planilha2!D:D,Planilha2!H:H),0)="SIM",1,0)</f>
        <v>0</v>
      </c>
      <c r="L1483" s="14" t="str">
        <f>_xlfn.XLOOKUP(B1483,CAD_PDV!A:A,CAD_PDV!C:C)</f>
        <v>SP2</v>
      </c>
      <c r="M1483" s="14" t="str">
        <f>IFERROR(_xlfn.XLOOKUP(B1483,repete!A:A,repete!A:A),"-")</f>
        <v>-</v>
      </c>
    </row>
    <row r="1484" spans="1:13" hidden="1">
      <c r="A1484" s="1">
        <v>46143</v>
      </c>
      <c r="B1484" t="s">
        <v>512</v>
      </c>
      <c r="C1484" t="s">
        <v>513</v>
      </c>
      <c r="D1484" t="s">
        <v>228</v>
      </c>
      <c r="E1484" t="s">
        <v>56</v>
      </c>
      <c r="F1484">
        <v>26</v>
      </c>
      <c r="G1484">
        <v>4</v>
      </c>
      <c r="H1484">
        <v>1.36054421768707E-3</v>
      </c>
      <c r="I1484">
        <v>0.15384615384615399</v>
      </c>
      <c r="J1484" s="14" t="str">
        <f>_xlfn.XLOOKUP(B1484,CAD_PDV!A:A,CAD_PDV!B:B)</f>
        <v>FAJULUTI</v>
      </c>
      <c r="K1484" s="14">
        <f>IF(IFERROR(_xlfn.XLOOKUP(B1484,Planilha2!D:D,Planilha2!H:H),0)="SIM",1,0)</f>
        <v>0</v>
      </c>
      <c r="L1484" s="14" t="str">
        <f>_xlfn.XLOOKUP(B1484,CAD_PDV!A:A,CAD_PDV!C:C)</f>
        <v>MG</v>
      </c>
      <c r="M1484" s="14" t="str">
        <f>IFERROR(_xlfn.XLOOKUP(B1484,repete!A:A,repete!A:A),"-")</f>
        <v>-</v>
      </c>
    </row>
    <row r="1485" spans="1:13" hidden="1">
      <c r="A1485" s="1">
        <v>46143</v>
      </c>
      <c r="B1485" t="s">
        <v>1506</v>
      </c>
      <c r="C1485" t="s">
        <v>1507</v>
      </c>
      <c r="D1485" t="s">
        <v>132</v>
      </c>
      <c r="E1485" t="s">
        <v>54</v>
      </c>
      <c r="F1485">
        <v>41</v>
      </c>
      <c r="G1485">
        <v>4</v>
      </c>
      <c r="H1485">
        <v>1.36054421768707E-3</v>
      </c>
      <c r="I1485">
        <v>9.7560975609756101E-2</v>
      </c>
      <c r="J1485" s="14" t="str">
        <f>_xlfn.XLOOKUP(B1485,CAD_PDV!A:A,CAD_PDV!B:B)</f>
        <v>FLEX CELL</v>
      </c>
      <c r="K1485" s="14">
        <f>IF(IFERROR(_xlfn.XLOOKUP(B1485,Planilha2!D:D,Planilha2!H:H),0)="SIM",1,0)</f>
        <v>0</v>
      </c>
      <c r="L1485" s="14" t="str">
        <f>_xlfn.XLOOKUP(B1485,CAD_PDV!A:A,CAD_PDV!C:C)</f>
        <v>SP2</v>
      </c>
      <c r="M1485" s="14" t="str">
        <f>IFERROR(_xlfn.XLOOKUP(B1485,repete!A:A,repete!A:A),"-")</f>
        <v>-</v>
      </c>
    </row>
    <row r="1486" spans="1:13" hidden="1">
      <c r="A1486" s="1">
        <v>46143</v>
      </c>
      <c r="B1486" t="s">
        <v>746</v>
      </c>
      <c r="C1486" t="s">
        <v>610</v>
      </c>
      <c r="D1486" t="s">
        <v>224</v>
      </c>
      <c r="E1486" t="s">
        <v>59</v>
      </c>
      <c r="F1486">
        <v>98</v>
      </c>
      <c r="G1486">
        <v>4</v>
      </c>
      <c r="H1486">
        <v>1.36054421768707E-3</v>
      </c>
      <c r="I1486">
        <v>4.08163265306122E-2</v>
      </c>
      <c r="J1486" s="14" t="str">
        <f>_xlfn.XLOOKUP(B1486,CAD_PDV!A:A,CAD_PDV!B:B)</f>
        <v>CELNET COMERCIO E SERVICOS DE TELEFONIA LTDA ME</v>
      </c>
      <c r="K1486" s="14">
        <f>IF(IFERROR(_xlfn.XLOOKUP(B1486,Planilha2!D:D,Planilha2!H:H),0)="SIM",1,0)</f>
        <v>0</v>
      </c>
      <c r="L1486" s="14" t="str">
        <f>_xlfn.XLOOKUP(B1486,CAD_PDV!A:A,CAD_PDV!C:C)</f>
        <v>CO</v>
      </c>
      <c r="M1486" s="14" t="str">
        <f>IFERROR(_xlfn.XLOOKUP(B1486,repete!A:A,repete!A:A),"-")</f>
        <v>-</v>
      </c>
    </row>
    <row r="1487" spans="1:13" hidden="1">
      <c r="A1487" s="1">
        <v>46143</v>
      </c>
      <c r="B1487" t="s">
        <v>2084</v>
      </c>
      <c r="C1487" t="s">
        <v>2085</v>
      </c>
      <c r="D1487" t="s">
        <v>2077</v>
      </c>
      <c r="E1487" t="s">
        <v>2074</v>
      </c>
      <c r="F1487">
        <v>47</v>
      </c>
      <c r="G1487">
        <v>4</v>
      </c>
      <c r="H1487">
        <v>1.36054421768707E-3</v>
      </c>
      <c r="I1487">
        <v>8.5106382978723402E-2</v>
      </c>
      <c r="J1487" s="14" t="e">
        <f>_xlfn.XLOOKUP(B1487,CAD_PDV!A:A,CAD_PDV!B:B)</f>
        <v>#N/A</v>
      </c>
      <c r="K1487" s="14">
        <f>IF(IFERROR(_xlfn.XLOOKUP(B1487,Planilha2!D:D,Planilha2!H:H),0)="SIM",1,0)</f>
        <v>1</v>
      </c>
      <c r="L1487" s="14" t="e">
        <f>_xlfn.XLOOKUP(B1487,CAD_PDV!A:A,CAD_PDV!C:C)</f>
        <v>#N/A</v>
      </c>
      <c r="M1487" s="14" t="str">
        <f>IFERROR(_xlfn.XLOOKUP(B1487,repete!A:A,repete!A:A),"-")</f>
        <v>-</v>
      </c>
    </row>
    <row r="1488" spans="1:13" hidden="1">
      <c r="A1488" s="1">
        <v>46143</v>
      </c>
      <c r="B1488" t="s">
        <v>854</v>
      </c>
      <c r="C1488" t="s">
        <v>855</v>
      </c>
      <c r="D1488" t="s">
        <v>2073</v>
      </c>
      <c r="E1488" t="s">
        <v>59</v>
      </c>
      <c r="F1488">
        <v>12</v>
      </c>
      <c r="G1488">
        <v>4</v>
      </c>
      <c r="H1488">
        <v>1.36054421768707E-3</v>
      </c>
      <c r="I1488">
        <v>0.33333333333333298</v>
      </c>
      <c r="J1488" s="14" t="str">
        <f>_xlfn.XLOOKUP(B1488,CAD_PDV!A:A,CAD_PDV!B:B)</f>
        <v xml:space="preserve">CONTACOM COMERCIO DE APARELHOS ELETRONICOS LTDA </v>
      </c>
      <c r="K1488" s="14">
        <f>IF(IFERROR(_xlfn.XLOOKUP(B1488,Planilha2!D:D,Planilha2!H:H),0)="SIM",1,0)</f>
        <v>0</v>
      </c>
      <c r="L1488" s="14" t="str">
        <f>_xlfn.XLOOKUP(B1488,CAD_PDV!A:A,CAD_PDV!C:C)</f>
        <v>CO</v>
      </c>
      <c r="M1488" s="14" t="str">
        <f>IFERROR(_xlfn.XLOOKUP(B1488,repete!A:A,repete!A:A),"-")</f>
        <v>-</v>
      </c>
    </row>
    <row r="1489" spans="1:13" hidden="1">
      <c r="A1489" s="1">
        <v>46143</v>
      </c>
      <c r="B1489" t="s">
        <v>2028</v>
      </c>
      <c r="C1489" t="s">
        <v>2026</v>
      </c>
      <c r="D1489" t="s">
        <v>193</v>
      </c>
      <c r="E1489" t="s">
        <v>2074</v>
      </c>
      <c r="F1489">
        <v>63</v>
      </c>
      <c r="G1489">
        <v>4</v>
      </c>
      <c r="H1489">
        <v>1.36054421768707E-3</v>
      </c>
      <c r="I1489">
        <v>6.3492063492063502E-2</v>
      </c>
      <c r="J1489" s="14" t="str">
        <f>_xlfn.XLOOKUP(B1489,CAD_PDV!A:A,CAD_PDV!B:B)</f>
        <v>S D COMERCIO DE CELULARES LTDA - ME</v>
      </c>
      <c r="K1489" s="14">
        <f>IF(IFERROR(_xlfn.XLOOKUP(B1489,Planilha2!D:D,Planilha2!H:H),0)="SIM",1,0)</f>
        <v>0</v>
      </c>
      <c r="L1489" s="14" t="str">
        <f>_xlfn.XLOOKUP(B1489,CAD_PDV!A:A,CAD_PDV!C:C)</f>
        <v>RS</v>
      </c>
      <c r="M1489" s="14" t="str">
        <f>IFERROR(_xlfn.XLOOKUP(B1489,repete!A:A,repete!A:A),"-")</f>
        <v>-</v>
      </c>
    </row>
    <row r="1490" spans="1:13" hidden="1">
      <c r="A1490" s="1">
        <v>46143</v>
      </c>
      <c r="B1490" t="s">
        <v>529</v>
      </c>
      <c r="C1490" t="s">
        <v>530</v>
      </c>
      <c r="D1490" t="s">
        <v>228</v>
      </c>
      <c r="E1490" t="s">
        <v>56</v>
      </c>
      <c r="F1490">
        <v>36</v>
      </c>
      <c r="G1490">
        <v>4</v>
      </c>
      <c r="H1490">
        <v>1.36054421768707E-3</v>
      </c>
      <c r="I1490">
        <v>0.11111111111111099</v>
      </c>
      <c r="J1490" s="14" t="str">
        <f>_xlfn.XLOOKUP(B1490,CAD_PDV!A:A,CAD_PDV!B:B)</f>
        <v>FAJULUTI</v>
      </c>
      <c r="K1490" s="14">
        <f>IF(IFERROR(_xlfn.XLOOKUP(B1490,Planilha2!D:D,Planilha2!H:H),0)="SIM",1,0)</f>
        <v>0</v>
      </c>
      <c r="L1490" s="14" t="str">
        <f>_xlfn.XLOOKUP(B1490,CAD_PDV!A:A,CAD_PDV!C:C)</f>
        <v>MG</v>
      </c>
      <c r="M1490" s="14" t="str">
        <f>IFERROR(_xlfn.XLOOKUP(B1490,repete!A:A,repete!A:A),"-")</f>
        <v>-</v>
      </c>
    </row>
    <row r="1491" spans="1:13" hidden="1">
      <c r="A1491" s="1">
        <v>46143</v>
      </c>
      <c r="B1491" t="s">
        <v>1906</v>
      </c>
      <c r="C1491" t="s">
        <v>1904</v>
      </c>
      <c r="D1491" t="s">
        <v>97</v>
      </c>
      <c r="E1491" t="s">
        <v>2074</v>
      </c>
      <c r="F1491">
        <v>49</v>
      </c>
      <c r="G1491">
        <v>4</v>
      </c>
      <c r="H1491">
        <v>1.36054421768707E-3</v>
      </c>
      <c r="I1491">
        <v>8.1632653061224497E-2</v>
      </c>
      <c r="J1491" s="14" t="str">
        <f>_xlfn.XLOOKUP(B1491,CAD_PDV!A:A,CAD_PDV!B:B)</f>
        <v>BANDEIRA</v>
      </c>
      <c r="K1491" s="14">
        <f>IF(IFERROR(_xlfn.XLOOKUP(B1491,Planilha2!D:D,Planilha2!H:H),0)="SIM",1,0)</f>
        <v>0</v>
      </c>
      <c r="L1491" s="14" t="str">
        <f>_xlfn.XLOOKUP(B1491,CAD_PDV!A:A,CAD_PDV!C:C)</f>
        <v>PR/SC</v>
      </c>
      <c r="M1491" s="14" t="str">
        <f>IFERROR(_xlfn.XLOOKUP(B1491,repete!A:A,repete!A:A),"-")</f>
        <v>-</v>
      </c>
    </row>
    <row r="1492" spans="1:13" hidden="1">
      <c r="A1492" s="1">
        <v>46143</v>
      </c>
      <c r="B1492" t="s">
        <v>1376</v>
      </c>
      <c r="C1492" t="s">
        <v>1346</v>
      </c>
      <c r="D1492" t="s">
        <v>229</v>
      </c>
      <c r="E1492" t="s">
        <v>53</v>
      </c>
      <c r="F1492">
        <v>89</v>
      </c>
      <c r="G1492">
        <v>4</v>
      </c>
      <c r="H1492">
        <v>1.36054421768707E-3</v>
      </c>
      <c r="I1492">
        <v>4.49438202247191E-2</v>
      </c>
      <c r="J1492" s="14" t="str">
        <f>_xlfn.XLOOKUP(B1492,CAD_PDV!A:A,CAD_PDV!B:B)</f>
        <v>FW TELEFONIA LTDA - EPP</v>
      </c>
      <c r="K1492" s="14">
        <f>IF(IFERROR(_xlfn.XLOOKUP(B1492,Planilha2!D:D,Planilha2!H:H),0)="SIM",1,0)</f>
        <v>0</v>
      </c>
      <c r="L1492" s="14" t="str">
        <f>_xlfn.XLOOKUP(B1492,CAD_PDV!A:A,CAD_PDV!C:C)</f>
        <v>SP1</v>
      </c>
      <c r="M1492" s="14" t="str">
        <f>IFERROR(_xlfn.XLOOKUP(B1492,repete!A:A,repete!A:A),"-")</f>
        <v>-</v>
      </c>
    </row>
    <row r="1493" spans="1:13" hidden="1">
      <c r="A1493" s="1">
        <v>46143</v>
      </c>
      <c r="B1493" t="s">
        <v>1558</v>
      </c>
      <c r="C1493" t="s">
        <v>1559</v>
      </c>
      <c r="D1493" t="s">
        <v>219</v>
      </c>
      <c r="E1493" t="s">
        <v>54</v>
      </c>
      <c r="F1493">
        <v>31</v>
      </c>
      <c r="G1493">
        <v>4</v>
      </c>
      <c r="H1493">
        <v>1.36054421768707E-3</v>
      </c>
      <c r="I1493">
        <v>0.12903225806451599</v>
      </c>
      <c r="J1493" s="14" t="str">
        <f>_xlfn.XLOOKUP(B1493,CAD_PDV!A:A,CAD_PDV!B:B)</f>
        <v>WCI CELULARES SERVICOS E TELECOMUNICACOES LTDA - EPP</v>
      </c>
      <c r="K1493" s="14">
        <f>IF(IFERROR(_xlfn.XLOOKUP(B1493,Planilha2!D:D,Planilha2!H:H),0)="SIM",1,0)</f>
        <v>0</v>
      </c>
      <c r="L1493" s="14" t="str">
        <f>_xlfn.XLOOKUP(B1493,CAD_PDV!A:A,CAD_PDV!C:C)</f>
        <v>SP2</v>
      </c>
      <c r="M1493" s="14" t="str">
        <f>IFERROR(_xlfn.XLOOKUP(B1493,repete!A:A,repete!A:A),"-")</f>
        <v>-</v>
      </c>
    </row>
    <row r="1494" spans="1:13" hidden="1">
      <c r="A1494" s="1">
        <v>46143</v>
      </c>
      <c r="B1494" t="s">
        <v>1153</v>
      </c>
      <c r="C1494" t="s">
        <v>1155</v>
      </c>
      <c r="D1494" t="s">
        <v>228</v>
      </c>
      <c r="E1494" t="s">
        <v>55</v>
      </c>
      <c r="F1494">
        <v>70</v>
      </c>
      <c r="G1494">
        <v>4</v>
      </c>
      <c r="H1494">
        <v>1.36054421768707E-3</v>
      </c>
      <c r="I1494">
        <v>5.7142857142857099E-2</v>
      </c>
      <c r="J1494" s="14" t="str">
        <f>_xlfn.XLOOKUP(B1494,CAD_PDV!A:A,CAD_PDV!B:B)</f>
        <v>FAJULUTI</v>
      </c>
      <c r="K1494" s="14">
        <f>IF(IFERROR(_xlfn.XLOOKUP(B1494,Planilha2!D:D,Planilha2!H:H),0)="SIM",1,0)</f>
        <v>0</v>
      </c>
      <c r="L1494" s="14" t="str">
        <f>_xlfn.XLOOKUP(B1494,CAD_PDV!A:A,CAD_PDV!C:C)</f>
        <v>RJ/ES</v>
      </c>
      <c r="M1494" s="14" t="str">
        <f>IFERROR(_xlfn.XLOOKUP(B1494,repete!A:A,repete!A:A),"-")</f>
        <v>-</v>
      </c>
    </row>
    <row r="1495" spans="1:13" hidden="1">
      <c r="A1495" s="1">
        <v>46143</v>
      </c>
      <c r="B1495" t="s">
        <v>900</v>
      </c>
      <c r="C1495" t="s">
        <v>873</v>
      </c>
      <c r="D1495" t="s">
        <v>224</v>
      </c>
      <c r="E1495" t="s">
        <v>59</v>
      </c>
      <c r="F1495">
        <v>48</v>
      </c>
      <c r="G1495">
        <v>4</v>
      </c>
      <c r="H1495">
        <v>1.36054421768707E-3</v>
      </c>
      <c r="I1495">
        <v>8.3333333333333301E-2</v>
      </c>
      <c r="J1495" s="14" t="str">
        <f>_xlfn.XLOOKUP(B1495,CAD_PDV!A:A,CAD_PDV!B:B)</f>
        <v>CELNET COMERCIO E SERVICOS DE TELEFONIA LTDA ME</v>
      </c>
      <c r="K1495" s="14">
        <f>IF(IFERROR(_xlfn.XLOOKUP(B1495,Planilha2!D:D,Planilha2!H:H),0)="SIM",1,0)</f>
        <v>0</v>
      </c>
      <c r="L1495" s="14" t="str">
        <f>_xlfn.XLOOKUP(B1495,CAD_PDV!A:A,CAD_PDV!C:C)</f>
        <v>CO</v>
      </c>
      <c r="M1495" s="14" t="str">
        <f>IFERROR(_xlfn.XLOOKUP(B1495,repete!A:A,repete!A:A),"-")</f>
        <v>-</v>
      </c>
    </row>
    <row r="1496" spans="1:13" hidden="1">
      <c r="A1496" s="1">
        <v>46143</v>
      </c>
      <c r="B1496" t="s">
        <v>1222</v>
      </c>
      <c r="C1496" t="s">
        <v>1223</v>
      </c>
      <c r="D1496" t="s">
        <v>228</v>
      </c>
      <c r="E1496" t="s">
        <v>55</v>
      </c>
      <c r="F1496">
        <v>88</v>
      </c>
      <c r="G1496">
        <v>4</v>
      </c>
      <c r="H1496">
        <v>1.36054421768707E-3</v>
      </c>
      <c r="I1496">
        <v>4.5454545454545497E-2</v>
      </c>
      <c r="J1496" s="14" t="str">
        <f>_xlfn.XLOOKUP(B1496,CAD_PDV!A:A,CAD_PDV!B:B)</f>
        <v>FAJULUTI</v>
      </c>
      <c r="K1496" s="14">
        <f>IF(IFERROR(_xlfn.XLOOKUP(B1496,Planilha2!D:D,Planilha2!H:H),0)="SIM",1,0)</f>
        <v>0</v>
      </c>
      <c r="L1496" s="14" t="str">
        <f>_xlfn.XLOOKUP(B1496,CAD_PDV!A:A,CAD_PDV!C:C)</f>
        <v>RJ/ES</v>
      </c>
      <c r="M1496" s="14" t="str">
        <f>IFERROR(_xlfn.XLOOKUP(B1496,repete!A:A,repete!A:A),"-")</f>
        <v>-</v>
      </c>
    </row>
    <row r="1497" spans="1:13" hidden="1">
      <c r="A1497" s="1">
        <v>46143</v>
      </c>
      <c r="B1497" t="s">
        <v>1233</v>
      </c>
      <c r="C1497" t="s">
        <v>1142</v>
      </c>
      <c r="D1497" t="s">
        <v>237</v>
      </c>
      <c r="E1497" t="s">
        <v>55</v>
      </c>
      <c r="F1497">
        <v>167</v>
      </c>
      <c r="G1497">
        <v>4</v>
      </c>
      <c r="H1497">
        <v>1.36054421768707E-3</v>
      </c>
      <c r="I1497">
        <v>2.39520958083832E-2</v>
      </c>
      <c r="J1497" s="14" t="str">
        <f>_xlfn.XLOOKUP(B1497,CAD_PDV!A:A,CAD_PDV!B:B)</f>
        <v>PONTO CERTO COMERCIO E COMUNICAÇÕES LTDA</v>
      </c>
      <c r="K1497" s="14">
        <f>IF(IFERROR(_xlfn.XLOOKUP(B1497,Planilha2!D:D,Planilha2!H:H),0)="SIM",1,0)</f>
        <v>0</v>
      </c>
      <c r="L1497" s="14" t="str">
        <f>_xlfn.XLOOKUP(B1497,CAD_PDV!A:A,CAD_PDV!C:C)</f>
        <v>RJ/ES</v>
      </c>
      <c r="M1497" s="14" t="str">
        <f>IFERROR(_xlfn.XLOOKUP(B1497,repete!A:A,repete!A:A),"-")</f>
        <v>-</v>
      </c>
    </row>
    <row r="1498" spans="1:13" hidden="1">
      <c r="A1498" s="1">
        <v>46143</v>
      </c>
      <c r="B1498" t="s">
        <v>657</v>
      </c>
      <c r="C1498" t="s">
        <v>651</v>
      </c>
      <c r="D1498" t="s">
        <v>239</v>
      </c>
      <c r="E1498" t="s">
        <v>59</v>
      </c>
      <c r="F1498">
        <v>71</v>
      </c>
      <c r="G1498">
        <v>4</v>
      </c>
      <c r="H1498">
        <v>1.36054421768707E-3</v>
      </c>
      <c r="I1498">
        <v>5.63380281690141E-2</v>
      </c>
      <c r="J1498" s="14" t="str">
        <f>_xlfn.XLOOKUP(B1498,CAD_PDV!A:A,CAD_PDV!B:B)</f>
        <v>TELECELL TELEFONIA LTDA - ME</v>
      </c>
      <c r="K1498" s="14">
        <f>IF(IFERROR(_xlfn.XLOOKUP(B1498,Planilha2!D:D,Planilha2!H:H),0)="SIM",1,0)</f>
        <v>0</v>
      </c>
      <c r="L1498" s="14" t="str">
        <f>_xlfn.XLOOKUP(B1498,CAD_PDV!A:A,CAD_PDV!C:C)</f>
        <v>CO</v>
      </c>
      <c r="M1498" s="14" t="str">
        <f>IFERROR(_xlfn.XLOOKUP(B1498,repete!A:A,repete!A:A),"-")</f>
        <v>-</v>
      </c>
    </row>
    <row r="1499" spans="1:13" hidden="1">
      <c r="A1499" s="1">
        <v>46143</v>
      </c>
      <c r="B1499" t="s">
        <v>905</v>
      </c>
      <c r="C1499" t="s">
        <v>902</v>
      </c>
      <c r="D1499" t="s">
        <v>215</v>
      </c>
      <c r="E1499" t="s">
        <v>59</v>
      </c>
      <c r="F1499">
        <v>44</v>
      </c>
      <c r="G1499">
        <v>4</v>
      </c>
      <c r="H1499">
        <v>1.36054421768707E-3</v>
      </c>
      <c r="I1499">
        <v>9.0909090909090898E-2</v>
      </c>
      <c r="J1499" s="14" t="str">
        <f>_xlfn.XLOOKUP(B1499,CAD_PDV!A:A,CAD_PDV!B:B)</f>
        <v>VIA SALLUS</v>
      </c>
      <c r="K1499" s="14">
        <f>IF(IFERROR(_xlfn.XLOOKUP(B1499,Planilha2!D:D,Planilha2!H:H),0)="SIM",1,0)</f>
        <v>0</v>
      </c>
      <c r="L1499" s="14" t="str">
        <f>_xlfn.XLOOKUP(B1499,CAD_PDV!A:A,CAD_PDV!C:C)</f>
        <v>CO</v>
      </c>
      <c r="M1499" s="14" t="str">
        <f>IFERROR(_xlfn.XLOOKUP(B1499,repete!A:A,repete!A:A),"-")</f>
        <v>-</v>
      </c>
    </row>
    <row r="1500" spans="1:13" hidden="1">
      <c r="A1500" s="1">
        <v>46143</v>
      </c>
      <c r="B1500" t="s">
        <v>777</v>
      </c>
      <c r="C1500" t="s">
        <v>775</v>
      </c>
      <c r="D1500" t="s">
        <v>221</v>
      </c>
      <c r="E1500" t="s">
        <v>59</v>
      </c>
      <c r="F1500">
        <v>51</v>
      </c>
      <c r="G1500">
        <v>4</v>
      </c>
      <c r="H1500">
        <v>1.36054421768707E-3</v>
      </c>
      <c r="I1500">
        <v>7.8431372549019607E-2</v>
      </c>
      <c r="J1500" s="14" t="str">
        <f>_xlfn.XLOOKUP(B1500,CAD_PDV!A:A,CAD_PDV!B:B)</f>
        <v>AMERICOM COMERCIO DE APARELHOS ELETRONICOS LTDA - EPP</v>
      </c>
      <c r="K1500" s="14">
        <f>IF(IFERROR(_xlfn.XLOOKUP(B1500,Planilha2!D:D,Planilha2!H:H),0)="SIM",1,0)</f>
        <v>0</v>
      </c>
      <c r="L1500" s="14" t="str">
        <f>_xlfn.XLOOKUP(B1500,CAD_PDV!A:A,CAD_PDV!C:C)</f>
        <v>CO</v>
      </c>
      <c r="M1500" s="14" t="str">
        <f>IFERROR(_xlfn.XLOOKUP(B1500,repete!A:A,repete!A:A),"-")</f>
        <v>-</v>
      </c>
    </row>
    <row r="1501" spans="1:13" hidden="1">
      <c r="A1501" s="1">
        <v>46143</v>
      </c>
      <c r="B1501" t="s">
        <v>2027</v>
      </c>
      <c r="C1501" t="s">
        <v>2026</v>
      </c>
      <c r="D1501" t="s">
        <v>193</v>
      </c>
      <c r="E1501" t="s">
        <v>2074</v>
      </c>
      <c r="F1501">
        <v>51</v>
      </c>
      <c r="G1501">
        <v>4</v>
      </c>
      <c r="H1501">
        <v>1.36054421768707E-3</v>
      </c>
      <c r="I1501">
        <v>7.8431372549019607E-2</v>
      </c>
      <c r="J1501" s="14" t="str">
        <f>_xlfn.XLOOKUP(B1501,CAD_PDV!A:A,CAD_PDV!B:B)</f>
        <v>S D COMERCIO DE CELULARES LTDA - ME</v>
      </c>
      <c r="K1501" s="14">
        <f>IF(IFERROR(_xlfn.XLOOKUP(B1501,Planilha2!D:D,Planilha2!H:H),0)="SIM",1,0)</f>
        <v>0</v>
      </c>
      <c r="L1501" s="14" t="str">
        <f>_xlfn.XLOOKUP(B1501,CAD_PDV!A:A,CAD_PDV!C:C)</f>
        <v>RS</v>
      </c>
      <c r="M1501" s="14" t="str">
        <f>IFERROR(_xlfn.XLOOKUP(B1501,repete!A:A,repete!A:A),"-")</f>
        <v>-</v>
      </c>
    </row>
    <row r="1502" spans="1:13" hidden="1">
      <c r="A1502" s="1">
        <v>46143</v>
      </c>
      <c r="B1502" t="s">
        <v>778</v>
      </c>
      <c r="C1502" t="s">
        <v>775</v>
      </c>
      <c r="D1502" t="s">
        <v>221</v>
      </c>
      <c r="E1502" t="s">
        <v>59</v>
      </c>
      <c r="F1502">
        <v>48</v>
      </c>
      <c r="G1502">
        <v>4</v>
      </c>
      <c r="H1502">
        <v>1.36054421768707E-3</v>
      </c>
      <c r="I1502">
        <v>8.3333333333333301E-2</v>
      </c>
      <c r="J1502" s="14" t="str">
        <f>_xlfn.XLOOKUP(B1502,CAD_PDV!A:A,CAD_PDV!B:B)</f>
        <v>AMERICOM COMERCIO DE APARELHOS ELETRONICOS LTDA - EPP</v>
      </c>
      <c r="K1502" s="14">
        <f>IF(IFERROR(_xlfn.XLOOKUP(B1502,Planilha2!D:D,Planilha2!H:H),0)="SIM",1,0)</f>
        <v>0</v>
      </c>
      <c r="L1502" s="14" t="str">
        <f>_xlfn.XLOOKUP(B1502,CAD_PDV!A:A,CAD_PDV!C:C)</f>
        <v>CO</v>
      </c>
      <c r="M1502" s="14" t="str">
        <f>IFERROR(_xlfn.XLOOKUP(B1502,repete!A:A,repete!A:A),"-")</f>
        <v>-</v>
      </c>
    </row>
    <row r="1503" spans="1:13" hidden="1">
      <c r="A1503" s="1">
        <v>46143</v>
      </c>
      <c r="B1503" t="s">
        <v>1275</v>
      </c>
      <c r="C1503" t="s">
        <v>1188</v>
      </c>
      <c r="D1503" t="s">
        <v>228</v>
      </c>
      <c r="E1503" t="s">
        <v>55</v>
      </c>
      <c r="F1503">
        <v>57</v>
      </c>
      <c r="G1503">
        <v>4</v>
      </c>
      <c r="H1503">
        <v>1.36054421768707E-3</v>
      </c>
      <c r="I1503">
        <v>7.0175438596491196E-2</v>
      </c>
      <c r="J1503" s="14" t="str">
        <f>_xlfn.XLOOKUP(B1503,CAD_PDV!A:A,CAD_PDV!B:B)</f>
        <v>FAJULUTI</v>
      </c>
      <c r="K1503" s="14">
        <f>IF(IFERROR(_xlfn.XLOOKUP(B1503,Planilha2!D:D,Planilha2!H:H),0)="SIM",1,0)</f>
        <v>0</v>
      </c>
      <c r="L1503" s="14" t="str">
        <f>_xlfn.XLOOKUP(B1503,CAD_PDV!A:A,CAD_PDV!C:C)</f>
        <v>RJ/ES</v>
      </c>
      <c r="M1503" s="14" t="str">
        <f>IFERROR(_xlfn.XLOOKUP(B1503,repete!A:A,repete!A:A),"-")</f>
        <v>-</v>
      </c>
    </row>
    <row r="1504" spans="1:13" hidden="1">
      <c r="A1504" s="1">
        <v>46143</v>
      </c>
      <c r="B1504" t="s">
        <v>906</v>
      </c>
      <c r="C1504" t="s">
        <v>902</v>
      </c>
      <c r="D1504" t="s">
        <v>215</v>
      </c>
      <c r="E1504" t="s">
        <v>59</v>
      </c>
      <c r="F1504">
        <v>134</v>
      </c>
      <c r="G1504">
        <v>4</v>
      </c>
      <c r="H1504">
        <v>1.36054421768707E-3</v>
      </c>
      <c r="I1504">
        <v>2.9850746268656699E-2</v>
      </c>
      <c r="J1504" s="14" t="str">
        <f>_xlfn.XLOOKUP(B1504,CAD_PDV!A:A,CAD_PDV!B:B)</f>
        <v>VIA SALLUS</v>
      </c>
      <c r="K1504" s="14">
        <f>IF(IFERROR(_xlfn.XLOOKUP(B1504,Planilha2!D:D,Planilha2!H:H),0)="SIM",1,0)</f>
        <v>0</v>
      </c>
      <c r="L1504" s="14" t="str">
        <f>_xlfn.XLOOKUP(B1504,CAD_PDV!A:A,CAD_PDV!C:C)</f>
        <v>CO</v>
      </c>
      <c r="M1504" s="14" t="str">
        <f>IFERROR(_xlfn.XLOOKUP(B1504,repete!A:A,repete!A:A),"-")</f>
        <v>-</v>
      </c>
    </row>
    <row r="1505" spans="1:13" hidden="1">
      <c r="A1505" s="1">
        <v>46143</v>
      </c>
      <c r="B1505" t="s">
        <v>1362</v>
      </c>
      <c r="C1505" t="s">
        <v>1313</v>
      </c>
      <c r="D1505" t="s">
        <v>132</v>
      </c>
      <c r="E1505" t="s">
        <v>53</v>
      </c>
      <c r="F1505">
        <v>87</v>
      </c>
      <c r="G1505">
        <v>4</v>
      </c>
      <c r="H1505">
        <v>1.36054421768707E-3</v>
      </c>
      <c r="I1505">
        <v>4.5977011494252901E-2</v>
      </c>
      <c r="J1505" s="14" t="str">
        <f>_xlfn.XLOOKUP(B1505,CAD_PDV!A:A,CAD_PDV!B:B)</f>
        <v>FLEX CELL</v>
      </c>
      <c r="K1505" s="14">
        <f>IF(IFERROR(_xlfn.XLOOKUP(B1505,Planilha2!D:D,Planilha2!H:H),0)="SIM",1,0)</f>
        <v>0</v>
      </c>
      <c r="L1505" s="14" t="str">
        <f>_xlfn.XLOOKUP(B1505,CAD_PDV!A:A,CAD_PDV!C:C)</f>
        <v>SP1</v>
      </c>
      <c r="M1505" s="14" t="str">
        <f>IFERROR(_xlfn.XLOOKUP(B1505,repete!A:A,repete!A:A),"-")</f>
        <v>-</v>
      </c>
    </row>
    <row r="1506" spans="1:13" hidden="1">
      <c r="A1506" s="1">
        <v>46143</v>
      </c>
      <c r="B1506" t="s">
        <v>1612</v>
      </c>
      <c r="C1506" t="s">
        <v>1547</v>
      </c>
      <c r="D1506" t="s">
        <v>132</v>
      </c>
      <c r="E1506" t="s">
        <v>54</v>
      </c>
      <c r="F1506">
        <v>70</v>
      </c>
      <c r="G1506">
        <v>4</v>
      </c>
      <c r="H1506">
        <v>1.36054421768707E-3</v>
      </c>
      <c r="I1506">
        <v>5.7142857142857099E-2</v>
      </c>
      <c r="J1506" s="14" t="str">
        <f>_xlfn.XLOOKUP(B1506,CAD_PDV!A:A,CAD_PDV!B:B)</f>
        <v>FLEX CELL</v>
      </c>
      <c r="K1506" s="14">
        <f>IF(IFERROR(_xlfn.XLOOKUP(B1506,Planilha2!D:D,Planilha2!H:H),0)="SIM",1,0)</f>
        <v>0</v>
      </c>
      <c r="L1506" s="14" t="str">
        <f>_xlfn.XLOOKUP(B1506,CAD_PDV!A:A,CAD_PDV!C:C)</f>
        <v>SP2</v>
      </c>
      <c r="M1506" s="14" t="str">
        <f>IFERROR(_xlfn.XLOOKUP(B1506,repete!A:A,repete!A:A),"-")</f>
        <v>-</v>
      </c>
    </row>
    <row r="1507" spans="1:13" hidden="1">
      <c r="A1507" s="1">
        <v>46143</v>
      </c>
      <c r="B1507" t="s">
        <v>447</v>
      </c>
      <c r="C1507" t="s">
        <v>449</v>
      </c>
      <c r="D1507" t="s">
        <v>228</v>
      </c>
      <c r="E1507" t="s">
        <v>56</v>
      </c>
      <c r="F1507">
        <v>44</v>
      </c>
      <c r="G1507">
        <v>4</v>
      </c>
      <c r="H1507">
        <v>1.36054421768707E-3</v>
      </c>
      <c r="I1507">
        <v>9.0909090909090898E-2</v>
      </c>
      <c r="J1507" s="14" t="str">
        <f>_xlfn.XLOOKUP(B1507,CAD_PDV!A:A,CAD_PDV!B:B)</f>
        <v>FAJULUTI</v>
      </c>
      <c r="K1507" s="14">
        <f>IF(IFERROR(_xlfn.XLOOKUP(B1507,Planilha2!D:D,Planilha2!H:H),0)="SIM",1,0)</f>
        <v>0</v>
      </c>
      <c r="L1507" s="14" t="str">
        <f>_xlfn.XLOOKUP(B1507,CAD_PDV!A:A,CAD_PDV!C:C)</f>
        <v>MG</v>
      </c>
      <c r="M1507" s="14" t="str">
        <f>IFERROR(_xlfn.XLOOKUP(B1507,repete!A:A,repete!A:A),"-")</f>
        <v>-</v>
      </c>
    </row>
    <row r="1508" spans="1:13" hidden="1">
      <c r="A1508" s="1">
        <v>46143</v>
      </c>
      <c r="B1508" t="s">
        <v>2020</v>
      </c>
      <c r="C1508" t="s">
        <v>2019</v>
      </c>
      <c r="D1508" t="s">
        <v>106</v>
      </c>
      <c r="E1508" t="s">
        <v>2074</v>
      </c>
      <c r="F1508">
        <v>120</v>
      </c>
      <c r="G1508">
        <v>4</v>
      </c>
      <c r="H1508">
        <v>1.36054421768707E-3</v>
      </c>
      <c r="I1508">
        <v>3.3333333333333298E-2</v>
      </c>
      <c r="J1508" s="14" t="str">
        <f>_xlfn.XLOOKUP(B1508,CAD_PDV!A:A,CAD_PDV!B:B)</f>
        <v>CELLULAR.COM</v>
      </c>
      <c r="K1508" s="14">
        <f>IF(IFERROR(_xlfn.XLOOKUP(B1508,Planilha2!D:D,Planilha2!H:H),0)="SIM",1,0)</f>
        <v>0</v>
      </c>
      <c r="L1508" s="14" t="str">
        <f>_xlfn.XLOOKUP(B1508,CAD_PDV!A:A,CAD_PDV!C:C)</f>
        <v>PR/SC</v>
      </c>
      <c r="M1508" s="14" t="str">
        <f>IFERROR(_xlfn.XLOOKUP(B1508,repete!A:A,repete!A:A),"-")</f>
        <v>-</v>
      </c>
    </row>
    <row r="1509" spans="1:13" hidden="1">
      <c r="A1509" s="1">
        <v>46143</v>
      </c>
      <c r="B1509" t="s">
        <v>1365</v>
      </c>
      <c r="C1509" t="s">
        <v>1366</v>
      </c>
      <c r="D1509" t="s">
        <v>132</v>
      </c>
      <c r="E1509" t="s">
        <v>53</v>
      </c>
      <c r="F1509">
        <v>108</v>
      </c>
      <c r="G1509">
        <v>4</v>
      </c>
      <c r="H1509">
        <v>1.36054421768707E-3</v>
      </c>
      <c r="I1509">
        <v>3.7037037037037E-2</v>
      </c>
      <c r="J1509" s="14" t="str">
        <f>_xlfn.XLOOKUP(B1509,CAD_PDV!A:A,CAD_PDV!B:B)</f>
        <v>FLEX CELL</v>
      </c>
      <c r="K1509" s="14">
        <f>IF(IFERROR(_xlfn.XLOOKUP(B1509,Planilha2!D:D,Planilha2!H:H),0)="SIM",1,0)</f>
        <v>0</v>
      </c>
      <c r="L1509" s="14" t="str">
        <f>_xlfn.XLOOKUP(B1509,CAD_PDV!A:A,CAD_PDV!C:C)</f>
        <v>SP1</v>
      </c>
      <c r="M1509" s="14" t="str">
        <f>IFERROR(_xlfn.XLOOKUP(B1509,repete!A:A,repete!A:A),"-")</f>
        <v>-</v>
      </c>
    </row>
    <row r="1510" spans="1:13" hidden="1">
      <c r="A1510" s="1">
        <v>46143</v>
      </c>
      <c r="B1510" t="s">
        <v>562</v>
      </c>
      <c r="C1510" t="s">
        <v>507</v>
      </c>
      <c r="D1510" t="s">
        <v>106</v>
      </c>
      <c r="E1510" t="s">
        <v>56</v>
      </c>
      <c r="F1510">
        <v>51</v>
      </c>
      <c r="G1510">
        <v>4</v>
      </c>
      <c r="H1510">
        <v>1.36054421768707E-3</v>
      </c>
      <c r="I1510">
        <v>7.8431372549019607E-2</v>
      </c>
      <c r="J1510" s="14" t="str">
        <f>_xlfn.XLOOKUP(B1510,CAD_PDV!A:A,CAD_PDV!B:B)</f>
        <v>CELLULAR.COM</v>
      </c>
      <c r="K1510" s="14">
        <f>IF(IFERROR(_xlfn.XLOOKUP(B1510,Planilha2!D:D,Planilha2!H:H),0)="SIM",1,0)</f>
        <v>0</v>
      </c>
      <c r="L1510" s="14" t="str">
        <f>_xlfn.XLOOKUP(B1510,CAD_PDV!A:A,CAD_PDV!C:C)</f>
        <v>MG</v>
      </c>
      <c r="M1510" s="14" t="str">
        <f>IFERROR(_xlfn.XLOOKUP(B1510,repete!A:A,repete!A:A),"-")</f>
        <v>MHRS</v>
      </c>
    </row>
    <row r="1511" spans="1:13" hidden="1">
      <c r="A1511" s="1">
        <v>46143</v>
      </c>
      <c r="B1511" t="s">
        <v>800</v>
      </c>
      <c r="C1511" t="s">
        <v>651</v>
      </c>
      <c r="D1511" t="s">
        <v>239</v>
      </c>
      <c r="E1511" t="s">
        <v>59</v>
      </c>
      <c r="F1511">
        <v>73</v>
      </c>
      <c r="G1511">
        <v>4</v>
      </c>
      <c r="H1511">
        <v>1.36054421768707E-3</v>
      </c>
      <c r="I1511">
        <v>5.4794520547945202E-2</v>
      </c>
      <c r="J1511" s="14" t="str">
        <f>_xlfn.XLOOKUP(B1511,CAD_PDV!A:A,CAD_PDV!B:B)</f>
        <v>TELECELL TELEFONIA LTDA - ME</v>
      </c>
      <c r="K1511" s="14">
        <f>IF(IFERROR(_xlfn.XLOOKUP(B1511,Planilha2!D:D,Planilha2!H:H),0)="SIM",1,0)</f>
        <v>0</v>
      </c>
      <c r="L1511" s="14" t="str">
        <f>_xlfn.XLOOKUP(B1511,CAD_PDV!A:A,CAD_PDV!C:C)</f>
        <v>CO</v>
      </c>
      <c r="M1511" s="14" t="str">
        <f>IFERROR(_xlfn.XLOOKUP(B1511,repete!A:A,repete!A:A),"-")</f>
        <v>-</v>
      </c>
    </row>
    <row r="1512" spans="1:13" hidden="1">
      <c r="A1512" s="1">
        <v>46143</v>
      </c>
      <c r="B1512" t="s">
        <v>1665</v>
      </c>
      <c r="C1512" t="s">
        <v>1666</v>
      </c>
      <c r="D1512" t="s">
        <v>232</v>
      </c>
      <c r="E1512" t="s">
        <v>54</v>
      </c>
      <c r="F1512">
        <v>79</v>
      </c>
      <c r="G1512">
        <v>4</v>
      </c>
      <c r="H1512">
        <v>1.36054421768707E-3</v>
      </c>
      <c r="I1512">
        <v>5.0632911392405097E-2</v>
      </c>
      <c r="J1512" s="14" t="str">
        <f>_xlfn.XLOOKUP(B1512,CAD_PDV!A:A,CAD_PDV!B:B)</f>
        <v>HS TELECOM</v>
      </c>
      <c r="K1512" s="14">
        <f>IF(IFERROR(_xlfn.XLOOKUP(B1512,Planilha2!D:D,Planilha2!H:H),0)="SIM",1,0)</f>
        <v>0</v>
      </c>
      <c r="L1512" s="14" t="str">
        <f>_xlfn.XLOOKUP(B1512,CAD_PDV!A:A,CAD_PDV!C:C)</f>
        <v>SP2</v>
      </c>
      <c r="M1512" s="14" t="str">
        <f>IFERROR(_xlfn.XLOOKUP(B1512,repete!A:A,repete!A:A),"-")</f>
        <v>-</v>
      </c>
    </row>
    <row r="1513" spans="1:13" hidden="1">
      <c r="A1513" s="1">
        <v>46143</v>
      </c>
      <c r="B1513" t="s">
        <v>1378</v>
      </c>
      <c r="C1513" t="s">
        <v>1308</v>
      </c>
      <c r="D1513" t="s">
        <v>229</v>
      </c>
      <c r="E1513" t="s">
        <v>53</v>
      </c>
      <c r="F1513">
        <v>55</v>
      </c>
      <c r="G1513">
        <v>4</v>
      </c>
      <c r="H1513">
        <v>1.36054421768707E-3</v>
      </c>
      <c r="I1513">
        <v>7.2727272727272696E-2</v>
      </c>
      <c r="J1513" s="14" t="str">
        <f>_xlfn.XLOOKUP(B1513,CAD_PDV!A:A,CAD_PDV!B:B)</f>
        <v>FW TELEFONIA LTDA - EPP</v>
      </c>
      <c r="K1513" s="14">
        <f>IF(IFERROR(_xlfn.XLOOKUP(B1513,Planilha2!D:D,Planilha2!H:H),0)="SIM",1,0)</f>
        <v>0</v>
      </c>
      <c r="L1513" s="14" t="str">
        <f>_xlfn.XLOOKUP(B1513,CAD_PDV!A:A,CAD_PDV!C:C)</f>
        <v>SP1</v>
      </c>
      <c r="M1513" s="14" t="str">
        <f>IFERROR(_xlfn.XLOOKUP(B1513,repete!A:A,repete!A:A),"-")</f>
        <v>-</v>
      </c>
    </row>
    <row r="1514" spans="1:13" hidden="1">
      <c r="A1514" s="1">
        <v>46143</v>
      </c>
      <c r="B1514" t="s">
        <v>2013</v>
      </c>
      <c r="C1514" t="s">
        <v>1744</v>
      </c>
      <c r="D1514" t="s">
        <v>106</v>
      </c>
      <c r="E1514" t="s">
        <v>2074</v>
      </c>
      <c r="F1514">
        <v>94</v>
      </c>
      <c r="G1514">
        <v>3</v>
      </c>
      <c r="H1514">
        <v>1.0204081632653099E-3</v>
      </c>
      <c r="I1514">
        <v>3.1914893617021302E-2</v>
      </c>
      <c r="J1514" s="14" t="str">
        <f>_xlfn.XLOOKUP(B1514,CAD_PDV!A:A,CAD_PDV!B:B)</f>
        <v>CELLULAR.COM</v>
      </c>
      <c r="K1514" s="14">
        <f>IF(IFERROR(_xlfn.XLOOKUP(B1514,Planilha2!D:D,Planilha2!H:H),0)="SIM",1,0)</f>
        <v>0</v>
      </c>
      <c r="L1514" s="14" t="str">
        <f>_xlfn.XLOOKUP(B1514,CAD_PDV!A:A,CAD_PDV!C:C)</f>
        <v>PR/SC</v>
      </c>
      <c r="M1514" s="14" t="str">
        <f>IFERROR(_xlfn.XLOOKUP(B1514,repete!A:A,repete!A:A),"-")</f>
        <v>-</v>
      </c>
    </row>
    <row r="1515" spans="1:13" hidden="1">
      <c r="A1515" s="1">
        <v>46143</v>
      </c>
      <c r="B1515" t="s">
        <v>941</v>
      </c>
      <c r="C1515" t="s">
        <v>944</v>
      </c>
      <c r="D1515" t="s">
        <v>232</v>
      </c>
      <c r="E1515" t="s">
        <v>60</v>
      </c>
      <c r="F1515">
        <v>79</v>
      </c>
      <c r="G1515">
        <v>3</v>
      </c>
      <c r="H1515">
        <v>1.0204081632653099E-3</v>
      </c>
      <c r="I1515">
        <v>3.7974683544303799E-2</v>
      </c>
      <c r="J1515" s="14" t="str">
        <f>_xlfn.XLOOKUP(B1515,CAD_PDV!A:A,CAD_PDV!B:B)</f>
        <v>HS TELECOM</v>
      </c>
      <c r="K1515" s="14">
        <f>IF(IFERROR(_xlfn.XLOOKUP(B1515,Planilha2!D:D,Planilha2!H:H),0)="SIM",1,0)</f>
        <v>0</v>
      </c>
      <c r="L1515" s="14" t="str">
        <f>_xlfn.XLOOKUP(B1515,CAD_PDV!A:A,CAD_PDV!C:C)</f>
        <v>BA/SE</v>
      </c>
      <c r="M1515" s="14" t="str">
        <f>IFERROR(_xlfn.XLOOKUP(B1515,repete!A:A,repete!A:A),"-")</f>
        <v>-</v>
      </c>
    </row>
    <row r="1516" spans="1:13" hidden="1">
      <c r="A1516" s="1">
        <v>46143</v>
      </c>
      <c r="B1516" t="s">
        <v>1326</v>
      </c>
      <c r="C1516" t="s">
        <v>1313</v>
      </c>
      <c r="D1516" t="s">
        <v>225</v>
      </c>
      <c r="E1516" t="s">
        <v>53</v>
      </c>
      <c r="F1516">
        <v>90</v>
      </c>
      <c r="G1516">
        <v>3</v>
      </c>
      <c r="H1516">
        <v>1.0204081632653099E-3</v>
      </c>
      <c r="I1516">
        <v>3.3333333333333298E-2</v>
      </c>
      <c r="J1516" s="14" t="str">
        <f>_xlfn.XLOOKUP(B1516,CAD_PDV!A:A,CAD_PDV!B:B)</f>
        <v>CLARICELL SP1</v>
      </c>
      <c r="K1516" s="14">
        <f>IF(IFERROR(_xlfn.XLOOKUP(B1516,Planilha2!D:D,Planilha2!H:H),0)="SIM",1,0)</f>
        <v>0</v>
      </c>
      <c r="L1516" s="14" t="str">
        <f>_xlfn.XLOOKUP(B1516,CAD_PDV!A:A,CAD_PDV!C:C)</f>
        <v>SP1</v>
      </c>
      <c r="M1516" s="14" t="str">
        <f>IFERROR(_xlfn.XLOOKUP(B1516,repete!A:A,repete!A:A),"-")</f>
        <v>-</v>
      </c>
    </row>
    <row r="1517" spans="1:13" hidden="1">
      <c r="A1517" s="1">
        <v>46143</v>
      </c>
      <c r="B1517" t="s">
        <v>1197</v>
      </c>
      <c r="C1517" t="s">
        <v>1142</v>
      </c>
      <c r="D1517" t="s">
        <v>237</v>
      </c>
      <c r="E1517" t="s">
        <v>55</v>
      </c>
      <c r="F1517">
        <v>157</v>
      </c>
      <c r="G1517">
        <v>3</v>
      </c>
      <c r="H1517">
        <v>1.0204081632653099E-3</v>
      </c>
      <c r="I1517">
        <v>1.9108280254777101E-2</v>
      </c>
      <c r="J1517" s="14" t="str">
        <f>_xlfn.XLOOKUP(B1517,CAD_PDV!A:A,CAD_PDV!B:B)</f>
        <v>PONTO CERTO COMERCIO E COMUNICAÇÕES LTDA</v>
      </c>
      <c r="K1517" s="14">
        <f>IF(IFERROR(_xlfn.XLOOKUP(B1517,Planilha2!D:D,Planilha2!H:H),0)="SIM",1,0)</f>
        <v>0</v>
      </c>
      <c r="L1517" s="14" t="str">
        <f>_xlfn.XLOOKUP(B1517,CAD_PDV!A:A,CAD_PDV!C:C)</f>
        <v>RJ/ES</v>
      </c>
      <c r="M1517" s="14" t="str">
        <f>IFERROR(_xlfn.XLOOKUP(B1517,repete!A:A,repete!A:A),"-")</f>
        <v>-</v>
      </c>
    </row>
    <row r="1518" spans="1:13" hidden="1">
      <c r="A1518" s="1">
        <v>46143</v>
      </c>
      <c r="B1518" t="s">
        <v>306</v>
      </c>
      <c r="C1518" t="s">
        <v>308</v>
      </c>
      <c r="D1518" t="s">
        <v>230</v>
      </c>
      <c r="E1518" t="s">
        <v>61</v>
      </c>
      <c r="F1518">
        <v>27</v>
      </c>
      <c r="G1518">
        <v>3</v>
      </c>
      <c r="H1518">
        <v>1.0204081632653099E-3</v>
      </c>
      <c r="I1518">
        <v>0.11111111111111099</v>
      </c>
      <c r="J1518" s="14" t="str">
        <f>_xlfn.XLOOKUP(B1518,CAD_PDV!A:A,CAD_PDV!B:B)</f>
        <v>HARCOS COMERCIO E SERVICOS LTDA - EPP</v>
      </c>
      <c r="K1518" s="14">
        <f>IF(IFERROR(_xlfn.XLOOKUP(B1518,Planilha2!D:D,Planilha2!H:H),0)="SIM",1,0)</f>
        <v>0</v>
      </c>
      <c r="L1518" s="14" t="str">
        <f>_xlfn.XLOOKUP(B1518,CAD_PDV!A:A,CAD_PDV!C:C)</f>
        <v>NE</v>
      </c>
      <c r="M1518" s="14" t="str">
        <f>IFERROR(_xlfn.XLOOKUP(B1518,repete!A:A,repete!A:A),"-")</f>
        <v>-</v>
      </c>
    </row>
    <row r="1519" spans="1:13" hidden="1">
      <c r="A1519" s="1">
        <v>46143</v>
      </c>
      <c r="B1519" t="s">
        <v>870</v>
      </c>
      <c r="C1519" t="s">
        <v>871</v>
      </c>
      <c r="D1519" t="s">
        <v>224</v>
      </c>
      <c r="E1519" t="s">
        <v>59</v>
      </c>
      <c r="F1519">
        <v>82</v>
      </c>
      <c r="G1519">
        <v>3</v>
      </c>
      <c r="H1519">
        <v>1.0204081632653099E-3</v>
      </c>
      <c r="I1519">
        <v>3.65853658536585E-2</v>
      </c>
      <c r="J1519" s="14" t="str">
        <f>_xlfn.XLOOKUP(B1519,CAD_PDV!A:A,CAD_PDV!B:B)</f>
        <v>CELNET COMERCIO E SERVICOS DE TELEFONIA LTDA ME</v>
      </c>
      <c r="K1519" s="14">
        <f>IF(IFERROR(_xlfn.XLOOKUP(B1519,Planilha2!D:D,Planilha2!H:H),0)="SIM",1,0)</f>
        <v>0</v>
      </c>
      <c r="L1519" s="14" t="str">
        <f>_xlfn.XLOOKUP(B1519,CAD_PDV!A:A,CAD_PDV!C:C)</f>
        <v>CO</v>
      </c>
      <c r="M1519" s="14" t="str">
        <f>IFERROR(_xlfn.XLOOKUP(B1519,repete!A:A,repete!A:A),"-")</f>
        <v>-</v>
      </c>
    </row>
    <row r="1520" spans="1:13" hidden="1">
      <c r="A1520" s="1">
        <v>46143</v>
      </c>
      <c r="B1520" t="s">
        <v>309</v>
      </c>
      <c r="C1520" t="s">
        <v>265</v>
      </c>
      <c r="D1520" t="s">
        <v>230</v>
      </c>
      <c r="E1520" t="s">
        <v>61</v>
      </c>
      <c r="F1520">
        <v>198</v>
      </c>
      <c r="G1520">
        <v>3</v>
      </c>
      <c r="H1520">
        <v>1.0204081632653099E-3</v>
      </c>
      <c r="I1520">
        <v>1.5151515151515201E-2</v>
      </c>
      <c r="J1520" s="14" t="str">
        <f>_xlfn.XLOOKUP(B1520,CAD_PDV!A:A,CAD_PDV!B:B)</f>
        <v>HARCOS COMERCIO E SERVICOS LTDA - EPP</v>
      </c>
      <c r="K1520" s="14">
        <f>IF(IFERROR(_xlfn.XLOOKUP(B1520,Planilha2!D:D,Planilha2!H:H),0)="SIM",1,0)</f>
        <v>0</v>
      </c>
      <c r="L1520" s="14" t="str">
        <f>_xlfn.XLOOKUP(B1520,CAD_PDV!A:A,CAD_PDV!C:C)</f>
        <v>NE</v>
      </c>
      <c r="M1520" s="14" t="str">
        <f>IFERROR(_xlfn.XLOOKUP(B1520,repete!A:A,repete!A:A),"-")</f>
        <v>-</v>
      </c>
    </row>
    <row r="1521" spans="1:13" hidden="1">
      <c r="A1521" s="1">
        <v>46143</v>
      </c>
      <c r="B1521" t="s">
        <v>1449</v>
      </c>
      <c r="C1521" t="s">
        <v>1451</v>
      </c>
      <c r="D1521" t="s">
        <v>132</v>
      </c>
      <c r="E1521" t="s">
        <v>54</v>
      </c>
      <c r="F1521">
        <v>51</v>
      </c>
      <c r="G1521">
        <v>3</v>
      </c>
      <c r="H1521">
        <v>1.0204081632653099E-3</v>
      </c>
      <c r="I1521">
        <v>5.8823529411764698E-2</v>
      </c>
      <c r="J1521" s="14" t="str">
        <f>_xlfn.XLOOKUP(B1521,CAD_PDV!A:A,CAD_PDV!B:B)</f>
        <v>FLEX CELL</v>
      </c>
      <c r="K1521" s="14">
        <f>IF(IFERROR(_xlfn.XLOOKUP(B1521,Planilha2!D:D,Planilha2!H:H),0)="SIM",1,0)</f>
        <v>0</v>
      </c>
      <c r="L1521" s="14" t="str">
        <f>_xlfn.XLOOKUP(B1521,CAD_PDV!A:A,CAD_PDV!C:C)</f>
        <v>SP2</v>
      </c>
      <c r="M1521" s="14" t="str">
        <f>IFERROR(_xlfn.XLOOKUP(B1521,repete!A:A,repete!A:A),"-")</f>
        <v>-</v>
      </c>
    </row>
    <row r="1522" spans="1:13" hidden="1">
      <c r="A1522" s="1">
        <v>46143</v>
      </c>
      <c r="B1522" t="s">
        <v>2082</v>
      </c>
      <c r="C1522" t="s">
        <v>2083</v>
      </c>
      <c r="D1522" t="s">
        <v>2080</v>
      </c>
      <c r="E1522" t="s">
        <v>2074</v>
      </c>
      <c r="F1522">
        <v>26</v>
      </c>
      <c r="G1522">
        <v>3</v>
      </c>
      <c r="H1522">
        <v>1.0204081632653099E-3</v>
      </c>
      <c r="I1522">
        <v>0.115384615384615</v>
      </c>
      <c r="J1522" s="14" t="e">
        <f>_xlfn.XLOOKUP(B1522,CAD_PDV!A:A,CAD_PDV!B:B)</f>
        <v>#N/A</v>
      </c>
      <c r="K1522" s="14">
        <f>IF(IFERROR(_xlfn.XLOOKUP(B1522,Planilha2!D:D,Planilha2!H:H),0)="SIM",1,0)</f>
        <v>0</v>
      </c>
      <c r="L1522" s="14" t="e">
        <f>_xlfn.XLOOKUP(B1522,CAD_PDV!A:A,CAD_PDV!C:C)</f>
        <v>#N/A</v>
      </c>
      <c r="M1522" s="14" t="str">
        <f>IFERROR(_xlfn.XLOOKUP(B1522,repete!A:A,repete!A:A),"-")</f>
        <v>-</v>
      </c>
    </row>
    <row r="1523" spans="1:13" hidden="1">
      <c r="A1523" s="1">
        <v>46143</v>
      </c>
      <c r="B1523" t="s">
        <v>310</v>
      </c>
      <c r="C1523" t="s">
        <v>311</v>
      </c>
      <c r="D1523" t="s">
        <v>230</v>
      </c>
      <c r="E1523" t="s">
        <v>61</v>
      </c>
      <c r="F1523">
        <v>46</v>
      </c>
      <c r="G1523">
        <v>3</v>
      </c>
      <c r="H1523">
        <v>1.0204081632653099E-3</v>
      </c>
      <c r="I1523">
        <v>6.5217391304347797E-2</v>
      </c>
      <c r="J1523" s="14" t="str">
        <f>_xlfn.XLOOKUP(B1523,CAD_PDV!A:A,CAD_PDV!B:B)</f>
        <v>HARCOS COMERCIO E SERVICOS LTDA - EPP</v>
      </c>
      <c r="K1523" s="14">
        <f>IF(IFERROR(_xlfn.XLOOKUP(B1523,Planilha2!D:D,Planilha2!H:H),0)="SIM",1,0)</f>
        <v>0</v>
      </c>
      <c r="L1523" s="14" t="str">
        <f>_xlfn.XLOOKUP(B1523,CAD_PDV!A:A,CAD_PDV!C:C)</f>
        <v>NE</v>
      </c>
      <c r="M1523" s="14" t="str">
        <f>IFERROR(_xlfn.XLOOKUP(B1523,repete!A:A,repete!A:A),"-")</f>
        <v>-</v>
      </c>
    </row>
    <row r="1524" spans="1:13" hidden="1">
      <c r="A1524" s="1">
        <v>46143</v>
      </c>
      <c r="B1524" t="s">
        <v>1932</v>
      </c>
      <c r="C1524" t="s">
        <v>1931</v>
      </c>
      <c r="D1524" t="s">
        <v>106</v>
      </c>
      <c r="E1524" t="s">
        <v>2074</v>
      </c>
      <c r="F1524">
        <v>76</v>
      </c>
      <c r="G1524">
        <v>3</v>
      </c>
      <c r="H1524">
        <v>1.0204081632653099E-3</v>
      </c>
      <c r="I1524">
        <v>3.94736842105263E-2</v>
      </c>
      <c r="J1524" s="14" t="str">
        <f>_xlfn.XLOOKUP(B1524,CAD_PDV!A:A,CAD_PDV!B:B)</f>
        <v>CELLULAR.COM</v>
      </c>
      <c r="K1524" s="14">
        <f>IF(IFERROR(_xlfn.XLOOKUP(B1524,Planilha2!D:D,Planilha2!H:H),0)="SIM",1,0)</f>
        <v>0</v>
      </c>
      <c r="L1524" s="14" t="str">
        <f>_xlfn.XLOOKUP(B1524,CAD_PDV!A:A,CAD_PDV!C:C)</f>
        <v>PR/SC</v>
      </c>
      <c r="M1524" s="14" t="str">
        <f>IFERROR(_xlfn.XLOOKUP(B1524,repete!A:A,repete!A:A),"-")</f>
        <v>-</v>
      </c>
    </row>
    <row r="1525" spans="1:13" hidden="1">
      <c r="A1525" s="1">
        <v>46143</v>
      </c>
      <c r="B1525" t="s">
        <v>2061</v>
      </c>
      <c r="C1525" t="s">
        <v>2062</v>
      </c>
      <c r="D1525" t="s">
        <v>193</v>
      </c>
      <c r="E1525" t="s">
        <v>2074</v>
      </c>
      <c r="F1525">
        <v>12</v>
      </c>
      <c r="G1525">
        <v>3</v>
      </c>
      <c r="H1525">
        <v>1.0204081632653099E-3</v>
      </c>
      <c r="I1525">
        <v>0.25</v>
      </c>
      <c r="J1525" s="14" t="str">
        <f>_xlfn.XLOOKUP(B1525,CAD_PDV!A:A,CAD_PDV!B:B)</f>
        <v>S D COMERCIO DE CELULARES LTDA - ME</v>
      </c>
      <c r="K1525" s="14">
        <f>IF(IFERROR(_xlfn.XLOOKUP(B1525,Planilha2!D:D,Planilha2!H:H),0)="SIM",1,0)</f>
        <v>0</v>
      </c>
      <c r="L1525" s="14" t="str">
        <f>_xlfn.XLOOKUP(B1525,CAD_PDV!A:A,CAD_PDV!C:C)</f>
        <v>RS</v>
      </c>
      <c r="M1525" s="14" t="str">
        <f>IFERROR(_xlfn.XLOOKUP(B1525,repete!A:A,repete!A:A),"-")</f>
        <v>-</v>
      </c>
    </row>
    <row r="1526" spans="1:13" hidden="1">
      <c r="A1526" s="1">
        <v>46143</v>
      </c>
      <c r="B1526" t="s">
        <v>1528</v>
      </c>
      <c r="C1526" t="s">
        <v>1454</v>
      </c>
      <c r="D1526" t="s">
        <v>132</v>
      </c>
      <c r="E1526" t="s">
        <v>54</v>
      </c>
      <c r="F1526">
        <v>45</v>
      </c>
      <c r="G1526">
        <v>3</v>
      </c>
      <c r="H1526">
        <v>1.0204081632653099E-3</v>
      </c>
      <c r="I1526">
        <v>6.6666666666666693E-2</v>
      </c>
      <c r="J1526" s="14" t="str">
        <f>_xlfn.XLOOKUP(B1526,CAD_PDV!A:A,CAD_PDV!B:B)</f>
        <v>FLEX CELL</v>
      </c>
      <c r="K1526" s="14">
        <f>IF(IFERROR(_xlfn.XLOOKUP(B1526,Planilha2!D:D,Planilha2!H:H),0)="SIM",1,0)</f>
        <v>0</v>
      </c>
      <c r="L1526" s="14" t="str">
        <f>_xlfn.XLOOKUP(B1526,CAD_PDV!A:A,CAD_PDV!C:C)</f>
        <v>SP2</v>
      </c>
      <c r="M1526" s="14" t="str">
        <f>IFERROR(_xlfn.XLOOKUP(B1526,repete!A:A,repete!A:A),"-")</f>
        <v>-</v>
      </c>
    </row>
    <row r="1527" spans="1:13" hidden="1">
      <c r="A1527" s="1">
        <v>46143</v>
      </c>
      <c r="B1527" t="s">
        <v>1531</v>
      </c>
      <c r="C1527" t="s">
        <v>1441</v>
      </c>
      <c r="D1527" t="s">
        <v>132</v>
      </c>
      <c r="E1527" t="s">
        <v>54</v>
      </c>
      <c r="F1527">
        <v>88</v>
      </c>
      <c r="G1527">
        <v>3</v>
      </c>
      <c r="H1527">
        <v>1.0204081632653099E-3</v>
      </c>
      <c r="I1527">
        <v>3.4090909090909102E-2</v>
      </c>
      <c r="J1527" s="14" t="str">
        <f>_xlfn.XLOOKUP(B1527,CAD_PDV!A:A,CAD_PDV!B:B)</f>
        <v>FLEX CELL</v>
      </c>
      <c r="K1527" s="14">
        <f>IF(IFERROR(_xlfn.XLOOKUP(B1527,Planilha2!D:D,Planilha2!H:H),0)="SIM",1,0)</f>
        <v>0</v>
      </c>
      <c r="L1527" s="14" t="str">
        <f>_xlfn.XLOOKUP(B1527,CAD_PDV!A:A,CAD_PDV!C:C)</f>
        <v>SP2</v>
      </c>
      <c r="M1527" s="14" t="str">
        <f>IFERROR(_xlfn.XLOOKUP(B1527,repete!A:A,repete!A:A),"-")</f>
        <v>-</v>
      </c>
    </row>
    <row r="1528" spans="1:13" hidden="1">
      <c r="A1528" s="1">
        <v>46143</v>
      </c>
      <c r="B1528" t="s">
        <v>1332</v>
      </c>
      <c r="C1528" t="s">
        <v>1313</v>
      </c>
      <c r="D1528" t="s">
        <v>225</v>
      </c>
      <c r="E1528" t="s">
        <v>53</v>
      </c>
      <c r="F1528">
        <v>84</v>
      </c>
      <c r="G1528">
        <v>3</v>
      </c>
      <c r="H1528">
        <v>1.0204081632653099E-3</v>
      </c>
      <c r="I1528">
        <v>3.5714285714285698E-2</v>
      </c>
      <c r="J1528" s="14" t="str">
        <f>_xlfn.XLOOKUP(B1528,CAD_PDV!A:A,CAD_PDV!B:B)</f>
        <v>CLARICELL SP1</v>
      </c>
      <c r="K1528" s="14">
        <f>IF(IFERROR(_xlfn.XLOOKUP(B1528,Planilha2!D:D,Planilha2!H:H),0)="SIM",1,0)</f>
        <v>0</v>
      </c>
      <c r="L1528" s="14" t="str">
        <f>_xlfn.XLOOKUP(B1528,CAD_PDV!A:A,CAD_PDV!C:C)</f>
        <v>SP1</v>
      </c>
      <c r="M1528" s="14" t="str">
        <f>IFERROR(_xlfn.XLOOKUP(B1528,repete!A:A,repete!A:A),"-")</f>
        <v>-</v>
      </c>
    </row>
    <row r="1529" spans="1:13" hidden="1">
      <c r="A1529" s="1">
        <v>46143</v>
      </c>
      <c r="B1529" t="s">
        <v>2086</v>
      </c>
      <c r="C1529" t="s">
        <v>902</v>
      </c>
      <c r="D1529" t="s">
        <v>215</v>
      </c>
      <c r="E1529" t="s">
        <v>59</v>
      </c>
      <c r="F1529">
        <v>51</v>
      </c>
      <c r="G1529">
        <v>3</v>
      </c>
      <c r="H1529">
        <v>1.0204081632653099E-3</v>
      </c>
      <c r="I1529">
        <v>5.8823529411764698E-2</v>
      </c>
      <c r="J1529" s="14" t="str">
        <f>_xlfn.XLOOKUP(B1529,CAD_PDV!A:A,CAD_PDV!B:B)</f>
        <v>VIA SALLUS</v>
      </c>
      <c r="K1529" s="14">
        <f>IF(IFERROR(_xlfn.XLOOKUP(B1529,Planilha2!D:D,Planilha2!H:H),0)="SIM",1,0)</f>
        <v>0</v>
      </c>
      <c r="L1529" s="14" t="str">
        <f>_xlfn.XLOOKUP(B1529,CAD_PDV!A:A,CAD_PDV!C:C)</f>
        <v>CO</v>
      </c>
      <c r="M1529" s="14" t="str">
        <f>IFERROR(_xlfn.XLOOKUP(B1529,repete!A:A,repete!A:A),"-")</f>
        <v>-</v>
      </c>
    </row>
    <row r="1530" spans="1:13" hidden="1">
      <c r="A1530" s="1">
        <v>46143</v>
      </c>
      <c r="B1530" t="s">
        <v>1333</v>
      </c>
      <c r="C1530" t="s">
        <v>1313</v>
      </c>
      <c r="D1530" t="s">
        <v>225</v>
      </c>
      <c r="E1530" t="s">
        <v>53</v>
      </c>
      <c r="F1530">
        <v>109</v>
      </c>
      <c r="G1530">
        <v>3</v>
      </c>
      <c r="H1530">
        <v>1.0204081632653099E-3</v>
      </c>
      <c r="I1530">
        <v>2.7522935779816501E-2</v>
      </c>
      <c r="J1530" s="14" t="str">
        <f>_xlfn.XLOOKUP(B1530,CAD_PDV!A:A,CAD_PDV!B:B)</f>
        <v>CLARICELL SP1</v>
      </c>
      <c r="K1530" s="14">
        <f>IF(IFERROR(_xlfn.XLOOKUP(B1530,Planilha2!D:D,Planilha2!H:H),0)="SIM",1,0)</f>
        <v>0</v>
      </c>
      <c r="L1530" s="14" t="str">
        <f>_xlfn.XLOOKUP(B1530,CAD_PDV!A:A,CAD_PDV!C:C)</f>
        <v>SP1</v>
      </c>
      <c r="M1530" s="14" t="str">
        <f>IFERROR(_xlfn.XLOOKUP(B1530,repete!A:A,repete!A:A),"-")</f>
        <v>-</v>
      </c>
    </row>
    <row r="1531" spans="1:13" hidden="1">
      <c r="A1531" s="1">
        <v>46143</v>
      </c>
      <c r="B1531" t="s">
        <v>1850</v>
      </c>
      <c r="C1531" t="s">
        <v>1847</v>
      </c>
      <c r="D1531" t="s">
        <v>106</v>
      </c>
      <c r="E1531" t="s">
        <v>2074</v>
      </c>
      <c r="F1531">
        <v>14</v>
      </c>
      <c r="G1531">
        <v>3</v>
      </c>
      <c r="H1531">
        <v>1.0204081632653099E-3</v>
      </c>
      <c r="I1531">
        <v>0.214285714285714</v>
      </c>
      <c r="J1531" s="14" t="str">
        <f>_xlfn.XLOOKUP(B1531,CAD_PDV!A:A,CAD_PDV!B:B)</f>
        <v>CELLULAR.COM</v>
      </c>
      <c r="K1531" s="14">
        <f>IF(IFERROR(_xlfn.XLOOKUP(B1531,Planilha2!D:D,Planilha2!H:H),0)="SIM",1,0)</f>
        <v>0</v>
      </c>
      <c r="L1531" s="14" t="str">
        <f>_xlfn.XLOOKUP(B1531,CAD_PDV!A:A,CAD_PDV!C:C)</f>
        <v>PR/SC</v>
      </c>
      <c r="M1531" s="14" t="str">
        <f>IFERROR(_xlfn.XLOOKUP(B1531,repete!A:A,repete!A:A),"-")</f>
        <v>-</v>
      </c>
    </row>
    <row r="1532" spans="1:13" hidden="1">
      <c r="A1532" s="1">
        <v>46143</v>
      </c>
      <c r="B1532" t="s">
        <v>787</v>
      </c>
      <c r="C1532" t="s">
        <v>649</v>
      </c>
      <c r="D1532" t="s">
        <v>240</v>
      </c>
      <c r="E1532" t="s">
        <v>59</v>
      </c>
      <c r="F1532">
        <v>30</v>
      </c>
      <c r="G1532">
        <v>3</v>
      </c>
      <c r="H1532">
        <v>1.0204081632653099E-3</v>
      </c>
      <c r="I1532">
        <v>0.1</v>
      </c>
      <c r="J1532" s="14" t="str">
        <f>_xlfn.XLOOKUP(B1532,CAD_PDV!A:A,CAD_PDV!B:B)</f>
        <v>TELEMAIS TELEFONIA LTDA - ME</v>
      </c>
      <c r="K1532" s="14">
        <f>IF(IFERROR(_xlfn.XLOOKUP(B1532,Planilha2!D:D,Planilha2!H:H),0)="SIM",1,0)</f>
        <v>0</v>
      </c>
      <c r="L1532" s="14" t="str">
        <f>_xlfn.XLOOKUP(B1532,CAD_PDV!A:A,CAD_PDV!C:C)</f>
        <v>CO</v>
      </c>
      <c r="M1532" s="14" t="str">
        <f>IFERROR(_xlfn.XLOOKUP(B1532,repete!A:A,repete!A:A),"-")</f>
        <v>-</v>
      </c>
    </row>
    <row r="1533" spans="1:13" hidden="1">
      <c r="A1533" s="1">
        <v>46143</v>
      </c>
      <c r="B1533" t="s">
        <v>2021</v>
      </c>
      <c r="C1533" t="s">
        <v>2024</v>
      </c>
      <c r="D1533" t="s">
        <v>193</v>
      </c>
      <c r="E1533" t="s">
        <v>2074</v>
      </c>
      <c r="F1533">
        <v>39</v>
      </c>
      <c r="G1533">
        <v>3</v>
      </c>
      <c r="H1533">
        <v>1.0204081632653099E-3</v>
      </c>
      <c r="I1533">
        <v>7.69230769230769E-2</v>
      </c>
      <c r="J1533" s="14" t="str">
        <f>_xlfn.XLOOKUP(B1533,CAD_PDV!A:A,CAD_PDV!B:B)</f>
        <v>S D COMERCIO DE CELULARES LTDA - ME</v>
      </c>
      <c r="K1533" s="14">
        <f>IF(IFERROR(_xlfn.XLOOKUP(B1533,Planilha2!D:D,Planilha2!H:H),0)="SIM",1,0)</f>
        <v>0</v>
      </c>
      <c r="L1533" s="14" t="str">
        <f>_xlfn.XLOOKUP(B1533,CAD_PDV!A:A,CAD_PDV!C:C)</f>
        <v>RS</v>
      </c>
      <c r="M1533" s="14" t="str">
        <f>IFERROR(_xlfn.XLOOKUP(B1533,repete!A:A,repete!A:A),"-")</f>
        <v>-</v>
      </c>
    </row>
    <row r="1534" spans="1:13" hidden="1">
      <c r="A1534" s="1">
        <v>46143</v>
      </c>
      <c r="B1534" t="s">
        <v>2096</v>
      </c>
      <c r="C1534" t="s">
        <v>1757</v>
      </c>
      <c r="D1534" t="s">
        <v>2080</v>
      </c>
      <c r="E1534" t="s">
        <v>2074</v>
      </c>
      <c r="F1534">
        <v>17</v>
      </c>
      <c r="G1534">
        <v>3</v>
      </c>
      <c r="H1534">
        <v>1.0204081632653099E-3</v>
      </c>
      <c r="I1534">
        <v>0.17647058823529399</v>
      </c>
      <c r="J1534" s="14" t="e">
        <f>_xlfn.XLOOKUP(B1534,CAD_PDV!A:A,CAD_PDV!B:B)</f>
        <v>#N/A</v>
      </c>
      <c r="K1534" s="14">
        <f>IF(IFERROR(_xlfn.XLOOKUP(B1534,Planilha2!D:D,Planilha2!H:H),0)="SIM",1,0)</f>
        <v>0</v>
      </c>
      <c r="L1534" s="14" t="e">
        <f>_xlfn.XLOOKUP(B1534,CAD_PDV!A:A,CAD_PDV!C:C)</f>
        <v>#N/A</v>
      </c>
      <c r="M1534" s="14" t="str">
        <f>IFERROR(_xlfn.XLOOKUP(B1534,repete!A:A,repete!A:A),"-")</f>
        <v>-</v>
      </c>
    </row>
    <row r="1535" spans="1:13" hidden="1">
      <c r="A1535" s="1">
        <v>46143</v>
      </c>
      <c r="B1535" t="s">
        <v>1234</v>
      </c>
      <c r="C1535" t="s">
        <v>1142</v>
      </c>
      <c r="D1535" t="s">
        <v>237</v>
      </c>
      <c r="E1535" t="s">
        <v>55</v>
      </c>
      <c r="F1535">
        <v>156</v>
      </c>
      <c r="G1535">
        <v>3</v>
      </c>
      <c r="H1535">
        <v>1.0204081632653099E-3</v>
      </c>
      <c r="I1535">
        <v>1.9230769230769201E-2</v>
      </c>
      <c r="J1535" s="14" t="str">
        <f>_xlfn.XLOOKUP(B1535,CAD_PDV!A:A,CAD_PDV!B:B)</f>
        <v>PONTO CERTO COMERCIO E COMUNICAÇÕES LTDA</v>
      </c>
      <c r="K1535" s="14">
        <f>IF(IFERROR(_xlfn.XLOOKUP(B1535,Planilha2!D:D,Planilha2!H:H),0)="SIM",1,0)</f>
        <v>0</v>
      </c>
      <c r="L1535" s="14" t="str">
        <f>_xlfn.XLOOKUP(B1535,CAD_PDV!A:A,CAD_PDV!C:C)</f>
        <v>RJ/ES</v>
      </c>
      <c r="M1535" s="14" t="str">
        <f>IFERROR(_xlfn.XLOOKUP(B1535,repete!A:A,repete!A:A),"-")</f>
        <v>-</v>
      </c>
    </row>
    <row r="1536" spans="1:13" hidden="1">
      <c r="A1536" s="1">
        <v>46143</v>
      </c>
      <c r="B1536" t="s">
        <v>1930</v>
      </c>
      <c r="C1536" t="s">
        <v>1931</v>
      </c>
      <c r="D1536" t="s">
        <v>106</v>
      </c>
      <c r="E1536" t="s">
        <v>2074</v>
      </c>
      <c r="F1536">
        <v>34</v>
      </c>
      <c r="G1536">
        <v>3</v>
      </c>
      <c r="H1536">
        <v>1.0204081632653099E-3</v>
      </c>
      <c r="I1536">
        <v>8.8235294117647106E-2</v>
      </c>
      <c r="J1536" s="14" t="str">
        <f>_xlfn.XLOOKUP(B1536,CAD_PDV!A:A,CAD_PDV!B:B)</f>
        <v>CELLULAR.COM</v>
      </c>
      <c r="K1536" s="14">
        <f>IF(IFERROR(_xlfn.XLOOKUP(B1536,Planilha2!D:D,Planilha2!H:H),0)="SIM",1,0)</f>
        <v>0</v>
      </c>
      <c r="L1536" s="14" t="str">
        <f>_xlfn.XLOOKUP(B1536,CAD_PDV!A:A,CAD_PDV!C:C)</f>
        <v>PR/SC</v>
      </c>
      <c r="M1536" s="14" t="str">
        <f>IFERROR(_xlfn.XLOOKUP(B1536,repete!A:A,repete!A:A),"-")</f>
        <v>-</v>
      </c>
    </row>
    <row r="1537" spans="1:13" hidden="1">
      <c r="A1537" s="1">
        <v>46143</v>
      </c>
      <c r="B1537" t="s">
        <v>1335</v>
      </c>
      <c r="C1537" t="s">
        <v>1313</v>
      </c>
      <c r="D1537" t="s">
        <v>225</v>
      </c>
      <c r="E1537" t="s">
        <v>53</v>
      </c>
      <c r="F1537">
        <v>56</v>
      </c>
      <c r="G1537">
        <v>3</v>
      </c>
      <c r="H1537">
        <v>1.0204081632653099E-3</v>
      </c>
      <c r="I1537">
        <v>5.3571428571428603E-2</v>
      </c>
      <c r="J1537" s="14" t="str">
        <f>_xlfn.XLOOKUP(B1537,CAD_PDV!A:A,CAD_PDV!B:B)</f>
        <v>CLARICELL SP1</v>
      </c>
      <c r="K1537" s="14">
        <f>IF(IFERROR(_xlfn.XLOOKUP(B1537,Planilha2!D:D,Planilha2!H:H),0)="SIM",1,0)</f>
        <v>0</v>
      </c>
      <c r="L1537" s="14" t="str">
        <f>_xlfn.XLOOKUP(B1537,CAD_PDV!A:A,CAD_PDV!C:C)</f>
        <v>SP1</v>
      </c>
      <c r="M1537" s="14" t="str">
        <f>IFERROR(_xlfn.XLOOKUP(B1537,repete!A:A,repete!A:A),"-")</f>
        <v>-</v>
      </c>
    </row>
    <row r="1538" spans="1:13" hidden="1">
      <c r="A1538" s="1">
        <v>46143</v>
      </c>
      <c r="B1538" t="s">
        <v>1863</v>
      </c>
      <c r="C1538" t="s">
        <v>1864</v>
      </c>
      <c r="D1538" t="s">
        <v>97</v>
      </c>
      <c r="E1538" t="s">
        <v>2074</v>
      </c>
      <c r="F1538">
        <v>29</v>
      </c>
      <c r="G1538">
        <v>3</v>
      </c>
      <c r="H1538">
        <v>1.0204081632653099E-3</v>
      </c>
      <c r="I1538">
        <v>0.10344827586206901</v>
      </c>
      <c r="J1538" s="14" t="str">
        <f>_xlfn.XLOOKUP(B1538,CAD_PDV!A:A,CAD_PDV!B:B)</f>
        <v>BANDEIRA</v>
      </c>
      <c r="K1538" s="14">
        <f>IF(IFERROR(_xlfn.XLOOKUP(B1538,Planilha2!D:D,Planilha2!H:H),0)="SIM",1,0)</f>
        <v>0</v>
      </c>
      <c r="L1538" s="14" t="str">
        <f>_xlfn.XLOOKUP(B1538,CAD_PDV!A:A,CAD_PDV!C:C)</f>
        <v>PR/SC</v>
      </c>
      <c r="M1538" s="14" t="str">
        <f>IFERROR(_xlfn.XLOOKUP(B1538,repete!A:A,repete!A:A),"-")</f>
        <v>-</v>
      </c>
    </row>
    <row r="1539" spans="1:13" hidden="1">
      <c r="A1539" s="1">
        <v>46143</v>
      </c>
      <c r="B1539" t="s">
        <v>1129</v>
      </c>
      <c r="C1539" t="s">
        <v>1102</v>
      </c>
      <c r="D1539" t="s">
        <v>132</v>
      </c>
      <c r="E1539" t="s">
        <v>62</v>
      </c>
      <c r="F1539">
        <v>94</v>
      </c>
      <c r="G1539">
        <v>3</v>
      </c>
      <c r="H1539">
        <v>1.0204081632653099E-3</v>
      </c>
      <c r="I1539">
        <v>3.1914893617021302E-2</v>
      </c>
      <c r="J1539" s="14" t="str">
        <f>_xlfn.XLOOKUP(B1539,CAD_PDV!A:A,CAD_PDV!B:B)</f>
        <v>FLEX CELL</v>
      </c>
      <c r="K1539" s="14">
        <f>IF(IFERROR(_xlfn.XLOOKUP(B1539,Planilha2!D:D,Planilha2!H:H),0)="SIM",1,0)</f>
        <v>0</v>
      </c>
      <c r="L1539" s="14" t="str">
        <f>_xlfn.XLOOKUP(B1539,CAD_PDV!A:A,CAD_PDV!C:C)</f>
        <v>NO</v>
      </c>
      <c r="M1539" s="14" t="str">
        <f>IFERROR(_xlfn.XLOOKUP(B1539,repete!A:A,repete!A:A),"-")</f>
        <v>-</v>
      </c>
    </row>
    <row r="1540" spans="1:13" hidden="1">
      <c r="A1540" s="1">
        <v>46143</v>
      </c>
      <c r="B1540" t="s">
        <v>1810</v>
      </c>
      <c r="C1540" t="s">
        <v>1813</v>
      </c>
      <c r="D1540" t="s">
        <v>95</v>
      </c>
      <c r="E1540" t="s">
        <v>2074</v>
      </c>
      <c r="F1540">
        <v>59</v>
      </c>
      <c r="G1540">
        <v>3</v>
      </c>
      <c r="H1540">
        <v>1.0204081632653099E-3</v>
      </c>
      <c r="I1540">
        <v>5.0847457627118599E-2</v>
      </c>
      <c r="J1540" s="14" t="str">
        <f>_xlfn.XLOOKUP(B1540,CAD_PDV!A:A,CAD_PDV!B:B)</f>
        <v>AYRES E DEBONI LTDA - ME</v>
      </c>
      <c r="K1540" s="14">
        <f>IF(IFERROR(_xlfn.XLOOKUP(B1540,Planilha2!D:D,Planilha2!H:H),0)="SIM",1,0)</f>
        <v>0</v>
      </c>
      <c r="L1540" s="14" t="str">
        <f>_xlfn.XLOOKUP(B1540,CAD_PDV!A:A,CAD_PDV!C:C)</f>
        <v>RS</v>
      </c>
      <c r="M1540" s="14" t="str">
        <f>IFERROR(_xlfn.XLOOKUP(B1540,repete!A:A,repete!A:A),"-")</f>
        <v>-</v>
      </c>
    </row>
    <row r="1541" spans="1:13" hidden="1">
      <c r="A1541" s="1">
        <v>46143</v>
      </c>
      <c r="B1541" t="s">
        <v>1878</v>
      </c>
      <c r="C1541" t="s">
        <v>1876</v>
      </c>
      <c r="D1541" t="s">
        <v>124</v>
      </c>
      <c r="E1541" t="s">
        <v>2074</v>
      </c>
      <c r="F1541">
        <v>26</v>
      </c>
      <c r="G1541">
        <v>3</v>
      </c>
      <c r="H1541">
        <v>1.0204081632653099E-3</v>
      </c>
      <c r="I1541">
        <v>0.115384615384615</v>
      </c>
      <c r="J1541" s="14" t="str">
        <f>_xlfn.XLOOKUP(B1541,CAD_PDV!A:A,CAD_PDV!B:B)</f>
        <v>EDUARDO JUNQUEIRA DA SILVEIRA ADMIN</v>
      </c>
      <c r="K1541" s="14">
        <f>IF(IFERROR(_xlfn.XLOOKUP(B1541,Planilha2!D:D,Planilha2!H:H),0)="SIM",1,0)</f>
        <v>0</v>
      </c>
      <c r="L1541" s="14" t="str">
        <f>_xlfn.XLOOKUP(B1541,CAD_PDV!A:A,CAD_PDV!C:C)</f>
        <v>RS</v>
      </c>
      <c r="M1541" s="14" t="str">
        <f>IFERROR(_xlfn.XLOOKUP(B1541,repete!A:A,repete!A:A),"-")</f>
        <v>-</v>
      </c>
    </row>
    <row r="1542" spans="1:13" hidden="1">
      <c r="A1542" s="1">
        <v>46143</v>
      </c>
      <c r="B1542" t="s">
        <v>2043</v>
      </c>
      <c r="C1542" t="s">
        <v>2042</v>
      </c>
      <c r="D1542" t="s">
        <v>193</v>
      </c>
      <c r="E1542" t="s">
        <v>2074</v>
      </c>
      <c r="F1542">
        <v>33</v>
      </c>
      <c r="G1542">
        <v>3</v>
      </c>
      <c r="H1542">
        <v>1.0204081632653099E-3</v>
      </c>
      <c r="I1542">
        <v>9.0909090909090898E-2</v>
      </c>
      <c r="J1542" s="14" t="str">
        <f>_xlfn.XLOOKUP(B1542,CAD_PDV!A:A,CAD_PDV!B:B)</f>
        <v>S D COMERCIO DE CELULARES LTDA - ME</v>
      </c>
      <c r="K1542" s="14">
        <f>IF(IFERROR(_xlfn.XLOOKUP(B1542,Planilha2!D:D,Planilha2!H:H),0)="SIM",1,0)</f>
        <v>0</v>
      </c>
      <c r="L1542" s="14" t="str">
        <f>_xlfn.XLOOKUP(B1542,CAD_PDV!A:A,CAD_PDV!C:C)</f>
        <v>RS</v>
      </c>
      <c r="M1542" s="14" t="str">
        <f>IFERROR(_xlfn.XLOOKUP(B1542,repete!A:A,repete!A:A),"-")</f>
        <v>-</v>
      </c>
    </row>
    <row r="1543" spans="1:13" hidden="1">
      <c r="A1543" s="1">
        <v>46143</v>
      </c>
      <c r="B1543" t="s">
        <v>781</v>
      </c>
      <c r="C1543" t="s">
        <v>637</v>
      </c>
      <c r="D1543" t="s">
        <v>221</v>
      </c>
      <c r="E1543" t="s">
        <v>59</v>
      </c>
      <c r="F1543">
        <v>40</v>
      </c>
      <c r="G1543">
        <v>3</v>
      </c>
      <c r="H1543">
        <v>1.0204081632653099E-3</v>
      </c>
      <c r="I1543">
        <v>7.4999999999999997E-2</v>
      </c>
      <c r="J1543" s="14" t="str">
        <f>_xlfn.XLOOKUP(B1543,CAD_PDV!A:A,CAD_PDV!B:B)</f>
        <v>AMERICOM COMERCIO DE APARELHOS ELETRONICOS LTDA - EPP</v>
      </c>
      <c r="K1543" s="14">
        <f>IF(IFERROR(_xlfn.XLOOKUP(B1543,Planilha2!D:D,Planilha2!H:H),0)="SIM",1,0)</f>
        <v>0</v>
      </c>
      <c r="L1543" s="14" t="str">
        <f>_xlfn.XLOOKUP(B1543,CAD_PDV!A:A,CAD_PDV!C:C)</f>
        <v>CO</v>
      </c>
      <c r="M1543" s="14" t="str">
        <f>IFERROR(_xlfn.XLOOKUP(B1543,repete!A:A,repete!A:A),"-")</f>
        <v>-</v>
      </c>
    </row>
    <row r="1544" spans="1:13" hidden="1">
      <c r="A1544" s="1">
        <v>46143</v>
      </c>
      <c r="B1544" t="s">
        <v>1862</v>
      </c>
      <c r="C1544" t="s">
        <v>1861</v>
      </c>
      <c r="D1544" t="s">
        <v>106</v>
      </c>
      <c r="E1544" t="s">
        <v>2074</v>
      </c>
      <c r="F1544">
        <v>83</v>
      </c>
      <c r="G1544">
        <v>3</v>
      </c>
      <c r="H1544">
        <v>1.0204081632653099E-3</v>
      </c>
      <c r="I1544">
        <v>3.6144578313252997E-2</v>
      </c>
      <c r="J1544" s="14" t="str">
        <f>_xlfn.XLOOKUP(B1544,CAD_PDV!A:A,CAD_PDV!B:B)</f>
        <v>CELLULAR.COM</v>
      </c>
      <c r="K1544" s="14">
        <f>IF(IFERROR(_xlfn.XLOOKUP(B1544,Planilha2!D:D,Planilha2!H:H),0)="SIM",1,0)</f>
        <v>0</v>
      </c>
      <c r="L1544" s="14" t="str">
        <f>_xlfn.XLOOKUP(B1544,CAD_PDV!A:A,CAD_PDV!C:C)</f>
        <v>PR/SC</v>
      </c>
      <c r="M1544" s="14" t="str">
        <f>IFERROR(_xlfn.XLOOKUP(B1544,repete!A:A,repete!A:A),"-")</f>
        <v>-</v>
      </c>
    </row>
    <row r="1545" spans="1:13" hidden="1">
      <c r="A1545" s="1">
        <v>46143</v>
      </c>
      <c r="B1545" t="s">
        <v>1658</v>
      </c>
      <c r="C1545" t="s">
        <v>1659</v>
      </c>
      <c r="D1545" t="s">
        <v>232</v>
      </c>
      <c r="E1545" t="s">
        <v>54</v>
      </c>
      <c r="F1545">
        <v>85</v>
      </c>
      <c r="G1545">
        <v>3</v>
      </c>
      <c r="H1545">
        <v>1.0204081632653099E-3</v>
      </c>
      <c r="I1545">
        <v>3.5294117647058802E-2</v>
      </c>
      <c r="J1545" s="14" t="str">
        <f>_xlfn.XLOOKUP(B1545,CAD_PDV!A:A,CAD_PDV!B:B)</f>
        <v>HS TELECOM</v>
      </c>
      <c r="K1545" s="14">
        <f>IF(IFERROR(_xlfn.XLOOKUP(B1545,Planilha2!D:D,Planilha2!H:H),0)="SIM",1,0)</f>
        <v>0</v>
      </c>
      <c r="L1545" s="14" t="str">
        <f>_xlfn.XLOOKUP(B1545,CAD_PDV!A:A,CAD_PDV!C:C)</f>
        <v>SP2</v>
      </c>
      <c r="M1545" s="14" t="str">
        <f>IFERROR(_xlfn.XLOOKUP(B1545,repete!A:A,repete!A:A),"-")</f>
        <v>-</v>
      </c>
    </row>
    <row r="1546" spans="1:13" hidden="1">
      <c r="A1546" s="1">
        <v>46143</v>
      </c>
      <c r="B1546" t="s">
        <v>660</v>
      </c>
      <c r="C1546" t="s">
        <v>661</v>
      </c>
      <c r="D1546" t="s">
        <v>239</v>
      </c>
      <c r="E1546" t="s">
        <v>59</v>
      </c>
      <c r="F1546">
        <v>81</v>
      </c>
      <c r="G1546">
        <v>3</v>
      </c>
      <c r="H1546">
        <v>1.0204081632653099E-3</v>
      </c>
      <c r="I1546">
        <v>3.7037037037037E-2</v>
      </c>
      <c r="J1546" s="14" t="str">
        <f>_xlfn.XLOOKUP(B1546,CAD_PDV!A:A,CAD_PDV!B:B)</f>
        <v>TELECELL TELEFONIA LTDA - ME</v>
      </c>
      <c r="K1546" s="14">
        <f>IF(IFERROR(_xlfn.XLOOKUP(B1546,Planilha2!D:D,Planilha2!H:H),0)="SIM",1,0)</f>
        <v>0</v>
      </c>
      <c r="L1546" s="14" t="str">
        <f>_xlfn.XLOOKUP(B1546,CAD_PDV!A:A,CAD_PDV!C:C)</f>
        <v>CO</v>
      </c>
      <c r="M1546" s="14" t="str">
        <f>IFERROR(_xlfn.XLOOKUP(B1546,repete!A:A,repete!A:A),"-")</f>
        <v>-</v>
      </c>
    </row>
    <row r="1547" spans="1:13" hidden="1">
      <c r="A1547" s="1">
        <v>46143</v>
      </c>
      <c r="B1547" t="s">
        <v>289</v>
      </c>
      <c r="C1547" t="s">
        <v>291</v>
      </c>
      <c r="D1547" t="s">
        <v>230</v>
      </c>
      <c r="E1547" t="s">
        <v>61</v>
      </c>
      <c r="F1547">
        <v>117</v>
      </c>
      <c r="G1547">
        <v>3</v>
      </c>
      <c r="H1547">
        <v>1.0204081632653099E-3</v>
      </c>
      <c r="I1547">
        <v>2.5641025641025599E-2</v>
      </c>
      <c r="J1547" s="14" t="str">
        <f>_xlfn.XLOOKUP(B1547,CAD_PDV!A:A,CAD_PDV!B:B)</f>
        <v>HARCOS COMERCIO E SERVICOS LTDA - EPP</v>
      </c>
      <c r="K1547" s="14">
        <f>IF(IFERROR(_xlfn.XLOOKUP(B1547,Planilha2!D:D,Planilha2!H:H),0)="SIM",1,0)</f>
        <v>0</v>
      </c>
      <c r="L1547" s="14" t="str">
        <f>_xlfn.XLOOKUP(B1547,CAD_PDV!A:A,CAD_PDV!C:C)</f>
        <v>NE</v>
      </c>
      <c r="M1547" s="14" t="str">
        <f>IFERROR(_xlfn.XLOOKUP(B1547,repete!A:A,repete!A:A),"-")</f>
        <v>-</v>
      </c>
    </row>
    <row r="1548" spans="1:13" hidden="1">
      <c r="A1548" s="1">
        <v>46143</v>
      </c>
      <c r="B1548" t="s">
        <v>1707</v>
      </c>
      <c r="C1548" t="s">
        <v>1521</v>
      </c>
      <c r="D1548" t="s">
        <v>132</v>
      </c>
      <c r="E1548" t="s">
        <v>54</v>
      </c>
      <c r="F1548">
        <v>30</v>
      </c>
      <c r="G1548">
        <v>3</v>
      </c>
      <c r="H1548">
        <v>1.0204081632653099E-3</v>
      </c>
      <c r="I1548">
        <v>0.1</v>
      </c>
      <c r="J1548" s="14" t="str">
        <f>_xlfn.XLOOKUP(B1548,CAD_PDV!A:A,CAD_PDV!B:B)</f>
        <v>FLEX CELL</v>
      </c>
      <c r="K1548" s="14">
        <f>IF(IFERROR(_xlfn.XLOOKUP(B1548,Planilha2!D:D,Planilha2!H:H),0)="SIM",1,0)</f>
        <v>0</v>
      </c>
      <c r="L1548" s="14" t="str">
        <f>_xlfn.XLOOKUP(B1548,CAD_PDV!A:A,CAD_PDV!C:C)</f>
        <v>SP2</v>
      </c>
      <c r="M1548" s="14" t="str">
        <f>IFERROR(_xlfn.XLOOKUP(B1548,repete!A:A,repete!A:A),"-")</f>
        <v>-</v>
      </c>
    </row>
    <row r="1549" spans="1:13" hidden="1">
      <c r="A1549" s="1">
        <v>46143</v>
      </c>
      <c r="B1549" t="s">
        <v>1262</v>
      </c>
      <c r="C1549" t="s">
        <v>1142</v>
      </c>
      <c r="D1549" t="s">
        <v>237</v>
      </c>
      <c r="E1549" t="s">
        <v>55</v>
      </c>
      <c r="F1549">
        <v>46</v>
      </c>
      <c r="G1549">
        <v>3</v>
      </c>
      <c r="H1549">
        <v>1.0204081632653099E-3</v>
      </c>
      <c r="I1549">
        <v>6.5217391304347797E-2</v>
      </c>
      <c r="J1549" s="14" t="str">
        <f>_xlfn.XLOOKUP(B1549,CAD_PDV!A:A,CAD_PDV!B:B)</f>
        <v>PONTO CERTO COMERCIO E COMUNICAÇÕES LTDA</v>
      </c>
      <c r="K1549" s="14">
        <f>IF(IFERROR(_xlfn.XLOOKUP(B1549,Planilha2!D:D,Planilha2!H:H),0)="SIM",1,0)</f>
        <v>0</v>
      </c>
      <c r="L1549" s="14" t="str">
        <f>_xlfn.XLOOKUP(B1549,CAD_PDV!A:A,CAD_PDV!C:C)</f>
        <v>RJ/ES</v>
      </c>
      <c r="M1549" s="14" t="str">
        <f>IFERROR(_xlfn.XLOOKUP(B1549,repete!A:A,repete!A:A),"-")</f>
        <v>-</v>
      </c>
    </row>
    <row r="1550" spans="1:13" hidden="1">
      <c r="A1550" s="1">
        <v>46143</v>
      </c>
      <c r="B1550" t="s">
        <v>1711</v>
      </c>
      <c r="C1550" t="s">
        <v>1712</v>
      </c>
      <c r="D1550" t="s">
        <v>220</v>
      </c>
      <c r="E1550" t="s">
        <v>54</v>
      </c>
      <c r="F1550">
        <v>34</v>
      </c>
      <c r="G1550">
        <v>3</v>
      </c>
      <c r="H1550">
        <v>1.0204081632653099E-3</v>
      </c>
      <c r="I1550">
        <v>8.8235294117647106E-2</v>
      </c>
      <c r="J1550" s="14" t="str">
        <f>_xlfn.XLOOKUP(B1550,CAD_PDV!A:A,CAD_PDV!B:B)</f>
        <v>ADESIENE NUNES MACHADO - ME</v>
      </c>
      <c r="K1550" s="14">
        <f>IF(IFERROR(_xlfn.XLOOKUP(B1550,Planilha2!D:D,Planilha2!H:H),0)="SIM",1,0)</f>
        <v>0</v>
      </c>
      <c r="L1550" s="14" t="str">
        <f>_xlfn.XLOOKUP(B1550,CAD_PDV!A:A,CAD_PDV!C:C)</f>
        <v>SP2</v>
      </c>
      <c r="M1550" s="14" t="str">
        <f>IFERROR(_xlfn.XLOOKUP(B1550,repete!A:A,repete!A:A),"-")</f>
        <v>-</v>
      </c>
    </row>
    <row r="1551" spans="1:13" hidden="1">
      <c r="A1551" s="1">
        <v>46143</v>
      </c>
      <c r="B1551" t="s">
        <v>857</v>
      </c>
      <c r="C1551" t="s">
        <v>855</v>
      </c>
      <c r="D1551" t="s">
        <v>2073</v>
      </c>
      <c r="E1551" t="s">
        <v>59</v>
      </c>
      <c r="F1551">
        <v>39</v>
      </c>
      <c r="G1551">
        <v>3</v>
      </c>
      <c r="H1551">
        <v>1.0204081632653099E-3</v>
      </c>
      <c r="I1551">
        <v>7.69230769230769E-2</v>
      </c>
      <c r="J1551" s="14" t="str">
        <f>_xlfn.XLOOKUP(B1551,CAD_PDV!A:A,CAD_PDV!B:B)</f>
        <v xml:space="preserve">CONTACOM COMERCIO DE APARELHOS ELETRONICOS LTDA </v>
      </c>
      <c r="K1551" s="14">
        <f>IF(IFERROR(_xlfn.XLOOKUP(B1551,Planilha2!D:D,Planilha2!H:H),0)="SIM",1,0)</f>
        <v>0</v>
      </c>
      <c r="L1551" s="14" t="str">
        <f>_xlfn.XLOOKUP(B1551,CAD_PDV!A:A,CAD_PDV!C:C)</f>
        <v>CO</v>
      </c>
      <c r="M1551" s="14" t="str">
        <f>IFERROR(_xlfn.XLOOKUP(B1551,repete!A:A,repete!A:A),"-")</f>
        <v>-</v>
      </c>
    </row>
    <row r="1552" spans="1:13" hidden="1">
      <c r="A1552" s="1">
        <v>46143</v>
      </c>
      <c r="B1552" t="s">
        <v>965</v>
      </c>
      <c r="C1552" t="s">
        <v>944</v>
      </c>
      <c r="D1552" t="s">
        <v>232</v>
      </c>
      <c r="E1552" t="s">
        <v>60</v>
      </c>
      <c r="F1552">
        <v>98</v>
      </c>
      <c r="G1552">
        <v>3</v>
      </c>
      <c r="H1552">
        <v>1.0204081632653099E-3</v>
      </c>
      <c r="I1552">
        <v>3.06122448979592E-2</v>
      </c>
      <c r="J1552" s="14" t="str">
        <f>_xlfn.XLOOKUP(B1552,CAD_PDV!A:A,CAD_PDV!B:B)</f>
        <v>HS TELECOM</v>
      </c>
      <c r="K1552" s="14">
        <f>IF(IFERROR(_xlfn.XLOOKUP(B1552,Planilha2!D:D,Planilha2!H:H),0)="SIM",1,0)</f>
        <v>0</v>
      </c>
      <c r="L1552" s="14" t="str">
        <f>_xlfn.XLOOKUP(B1552,CAD_PDV!A:A,CAD_PDV!C:C)</f>
        <v>BA/SE</v>
      </c>
      <c r="M1552" s="14" t="str">
        <f>IFERROR(_xlfn.XLOOKUP(B1552,repete!A:A,repete!A:A),"-")</f>
        <v>-</v>
      </c>
    </row>
    <row r="1553" spans="1:13" hidden="1">
      <c r="A1553" s="1">
        <v>46143</v>
      </c>
      <c r="B1553" t="s">
        <v>1277</v>
      </c>
      <c r="C1553" t="s">
        <v>1278</v>
      </c>
      <c r="D1553" t="s">
        <v>228</v>
      </c>
      <c r="E1553" t="s">
        <v>55</v>
      </c>
      <c r="F1553">
        <v>29</v>
      </c>
      <c r="G1553">
        <v>3</v>
      </c>
      <c r="H1553">
        <v>1.0204081632653099E-3</v>
      </c>
      <c r="I1553">
        <v>0.10344827586206901</v>
      </c>
      <c r="J1553" s="14" t="str">
        <f>_xlfn.XLOOKUP(B1553,CAD_PDV!A:A,CAD_PDV!B:B)</f>
        <v>FAJULUTI</v>
      </c>
      <c r="K1553" s="14">
        <f>IF(IFERROR(_xlfn.XLOOKUP(B1553,Planilha2!D:D,Planilha2!H:H),0)="SIM",1,0)</f>
        <v>0</v>
      </c>
      <c r="L1553" s="14" t="str">
        <f>_xlfn.XLOOKUP(B1553,CAD_PDV!A:A,CAD_PDV!C:C)</f>
        <v>RJ/ES</v>
      </c>
      <c r="M1553" s="14" t="str">
        <f>IFERROR(_xlfn.XLOOKUP(B1553,repete!A:A,repete!A:A),"-")</f>
        <v>-</v>
      </c>
    </row>
    <row r="1554" spans="1:13" hidden="1">
      <c r="A1554" s="1">
        <v>46143</v>
      </c>
      <c r="B1554" t="s">
        <v>1881</v>
      </c>
      <c r="C1554" t="s">
        <v>1882</v>
      </c>
      <c r="D1554" t="s">
        <v>124</v>
      </c>
      <c r="E1554" t="s">
        <v>2074</v>
      </c>
      <c r="F1554">
        <v>18</v>
      </c>
      <c r="G1554">
        <v>3</v>
      </c>
      <c r="H1554">
        <v>1.0204081632653099E-3</v>
      </c>
      <c r="I1554">
        <v>0.16666666666666699</v>
      </c>
      <c r="J1554" s="14" t="str">
        <f>_xlfn.XLOOKUP(B1554,CAD_PDV!A:A,CAD_PDV!B:B)</f>
        <v>EDUARDO JUNQUEIRA DA SILVEIRA ADMIN</v>
      </c>
      <c r="K1554" s="14">
        <f>IF(IFERROR(_xlfn.XLOOKUP(B1554,Planilha2!D:D,Planilha2!H:H),0)="SIM",1,0)</f>
        <v>0</v>
      </c>
      <c r="L1554" s="14" t="str">
        <f>_xlfn.XLOOKUP(B1554,CAD_PDV!A:A,CAD_PDV!C:C)</f>
        <v>RS</v>
      </c>
      <c r="M1554" s="14" t="str">
        <f>IFERROR(_xlfn.XLOOKUP(B1554,repete!A:A,repete!A:A),"-")</f>
        <v>-</v>
      </c>
    </row>
    <row r="1555" spans="1:13" hidden="1">
      <c r="A1555" s="1">
        <v>46143</v>
      </c>
      <c r="B1555" t="s">
        <v>1269</v>
      </c>
      <c r="C1555" t="s">
        <v>1142</v>
      </c>
      <c r="D1555" t="s">
        <v>237</v>
      </c>
      <c r="E1555" t="s">
        <v>55</v>
      </c>
      <c r="F1555">
        <v>331</v>
      </c>
      <c r="G1555">
        <v>3</v>
      </c>
      <c r="H1555">
        <v>1.0204081632653099E-3</v>
      </c>
      <c r="I1555">
        <v>9.0634441087613302E-3</v>
      </c>
      <c r="J1555" s="14" t="str">
        <f>_xlfn.XLOOKUP(B1555,CAD_PDV!A:A,CAD_PDV!B:B)</f>
        <v>PONTO CERTO COMERCIO E COMUNICAÇÕES LTDA</v>
      </c>
      <c r="K1555" s="14">
        <f>IF(IFERROR(_xlfn.XLOOKUP(B1555,Planilha2!D:D,Planilha2!H:H),0)="SIM",1,0)</f>
        <v>0</v>
      </c>
      <c r="L1555" s="14" t="str">
        <f>_xlfn.XLOOKUP(B1555,CAD_PDV!A:A,CAD_PDV!C:C)</f>
        <v>RJ/ES</v>
      </c>
      <c r="M1555" s="14" t="str">
        <f>IFERROR(_xlfn.XLOOKUP(B1555,repete!A:A,repete!A:A),"-")</f>
        <v>-</v>
      </c>
    </row>
    <row r="1556" spans="1:13" hidden="1">
      <c r="A1556" s="1">
        <v>46143</v>
      </c>
      <c r="B1556" t="s">
        <v>1373</v>
      </c>
      <c r="C1556" t="s">
        <v>1313</v>
      </c>
      <c r="D1556" t="s">
        <v>132</v>
      </c>
      <c r="E1556" t="s">
        <v>53</v>
      </c>
      <c r="F1556">
        <v>95</v>
      </c>
      <c r="G1556">
        <v>3</v>
      </c>
      <c r="H1556">
        <v>1.0204081632653099E-3</v>
      </c>
      <c r="I1556">
        <v>3.1578947368421102E-2</v>
      </c>
      <c r="J1556" s="14" t="str">
        <f>_xlfn.XLOOKUP(B1556,CAD_PDV!A:A,CAD_PDV!B:B)</f>
        <v>FLEX CELL</v>
      </c>
      <c r="K1556" s="14">
        <f>IF(IFERROR(_xlfn.XLOOKUP(B1556,Planilha2!D:D,Planilha2!H:H),0)="SIM",1,0)</f>
        <v>0</v>
      </c>
      <c r="L1556" s="14" t="str">
        <f>_xlfn.XLOOKUP(B1556,CAD_PDV!A:A,CAD_PDV!C:C)</f>
        <v>SP1</v>
      </c>
      <c r="M1556" s="14" t="str">
        <f>IFERROR(_xlfn.XLOOKUP(B1556,repete!A:A,repete!A:A),"-")</f>
        <v>-</v>
      </c>
    </row>
    <row r="1557" spans="1:13" hidden="1">
      <c r="A1557" s="1">
        <v>46143</v>
      </c>
      <c r="B1557" t="s">
        <v>721</v>
      </c>
      <c r="C1557" t="s">
        <v>723</v>
      </c>
      <c r="D1557" t="s">
        <v>239</v>
      </c>
      <c r="E1557" t="s">
        <v>59</v>
      </c>
      <c r="F1557">
        <v>135</v>
      </c>
      <c r="G1557">
        <v>3</v>
      </c>
      <c r="H1557">
        <v>1.0204081632653099E-3</v>
      </c>
      <c r="I1557">
        <v>2.2222222222222199E-2</v>
      </c>
      <c r="J1557" s="14" t="str">
        <f>_xlfn.XLOOKUP(B1557,CAD_PDV!A:A,CAD_PDV!B:B)</f>
        <v>TELECELL TELEFONIA LTDA - ME</v>
      </c>
      <c r="K1557" s="14">
        <f>IF(IFERROR(_xlfn.XLOOKUP(B1557,Planilha2!D:D,Planilha2!H:H),0)="SIM",1,0)</f>
        <v>0</v>
      </c>
      <c r="L1557" s="14" t="str">
        <f>_xlfn.XLOOKUP(B1557,CAD_PDV!A:A,CAD_PDV!C:C)</f>
        <v>CO</v>
      </c>
      <c r="M1557" s="14" t="str">
        <f>IFERROR(_xlfn.XLOOKUP(B1557,repete!A:A,repete!A:A),"-")</f>
        <v>-</v>
      </c>
    </row>
    <row r="1558" spans="1:13" hidden="1">
      <c r="A1558" s="1">
        <v>46143</v>
      </c>
      <c r="B1558" t="s">
        <v>1191</v>
      </c>
      <c r="C1558" t="s">
        <v>1194</v>
      </c>
      <c r="D1558" t="s">
        <v>2072</v>
      </c>
      <c r="E1558" t="s">
        <v>55</v>
      </c>
      <c r="F1558">
        <v>12</v>
      </c>
      <c r="G1558">
        <v>2</v>
      </c>
      <c r="H1558">
        <v>6.8027210884353704E-4</v>
      </c>
      <c r="I1558">
        <v>0.16666666666666699</v>
      </c>
      <c r="J1558" s="14" t="str">
        <f>_xlfn.XLOOKUP(B1558,CAD_PDV!A:A,CAD_PDV!B:B)</f>
        <v>MEXCELL COMERCIO E SERVICOS DE TELECOMUNICACOES LTDA</v>
      </c>
      <c r="K1558" s="14">
        <f>IF(IFERROR(_xlfn.XLOOKUP(B1558,Planilha2!D:D,Planilha2!H:H),0)="SIM",1,0)</f>
        <v>0</v>
      </c>
      <c r="L1558" s="14" t="str">
        <f>_xlfn.XLOOKUP(B1558,CAD_PDV!A:A,CAD_PDV!C:C)</f>
        <v>RJ/ES</v>
      </c>
      <c r="M1558" s="14" t="str">
        <f>IFERROR(_xlfn.XLOOKUP(B1558,repete!A:A,repete!A:A),"-")</f>
        <v>-</v>
      </c>
    </row>
    <row r="1559" spans="1:13" hidden="1">
      <c r="A1559" s="1">
        <v>46143</v>
      </c>
      <c r="B1559" t="s">
        <v>1788</v>
      </c>
      <c r="C1559" t="s">
        <v>1789</v>
      </c>
      <c r="D1559" t="s">
        <v>103</v>
      </c>
      <c r="E1559" t="s">
        <v>2074</v>
      </c>
      <c r="F1559">
        <v>43</v>
      </c>
      <c r="G1559">
        <v>2</v>
      </c>
      <c r="H1559">
        <v>6.8027210884353704E-4</v>
      </c>
      <c r="I1559">
        <v>4.6511627906976702E-2</v>
      </c>
      <c r="J1559" s="14" t="str">
        <f>_xlfn.XLOOKUP(B1559,CAD_PDV!A:A,CAD_PDV!B:B)</f>
        <v>CARLOS EDUARDO SAVIAN - EPP</v>
      </c>
      <c r="K1559" s="14">
        <f>IF(IFERROR(_xlfn.XLOOKUP(B1559,Planilha2!D:D,Planilha2!H:H),0)="SIM",1,0)</f>
        <v>0</v>
      </c>
      <c r="L1559" s="14" t="str">
        <f>_xlfn.XLOOKUP(B1559,CAD_PDV!A:A,CAD_PDV!C:C)</f>
        <v>PR/SC</v>
      </c>
      <c r="M1559" s="14" t="str">
        <f>IFERROR(_xlfn.XLOOKUP(B1559,repete!A:A,repete!A:A),"-")</f>
        <v>-</v>
      </c>
    </row>
    <row r="1560" spans="1:13" hidden="1">
      <c r="A1560" s="1">
        <v>46143</v>
      </c>
      <c r="B1560" t="s">
        <v>1899</v>
      </c>
      <c r="C1560" t="s">
        <v>1900</v>
      </c>
      <c r="D1560" t="s">
        <v>97</v>
      </c>
      <c r="E1560" t="s">
        <v>2074</v>
      </c>
      <c r="F1560">
        <v>50</v>
      </c>
      <c r="G1560">
        <v>2</v>
      </c>
      <c r="H1560">
        <v>6.8027210884353704E-4</v>
      </c>
      <c r="I1560">
        <v>0.04</v>
      </c>
      <c r="J1560" s="14" t="str">
        <f>_xlfn.XLOOKUP(B1560,CAD_PDV!A:A,CAD_PDV!B:B)</f>
        <v>BANDEIRA</v>
      </c>
      <c r="K1560" s="14">
        <f>IF(IFERROR(_xlfn.XLOOKUP(B1560,Planilha2!D:D,Planilha2!H:H),0)="SIM",1,0)</f>
        <v>0</v>
      </c>
      <c r="L1560" s="14" t="str">
        <f>_xlfn.XLOOKUP(B1560,CAD_PDV!A:A,CAD_PDV!C:C)</f>
        <v>PR/SC</v>
      </c>
      <c r="M1560" s="14" t="str">
        <f>IFERROR(_xlfn.XLOOKUP(B1560,repete!A:A,repete!A:A),"-")</f>
        <v>-</v>
      </c>
    </row>
    <row r="1561" spans="1:13" hidden="1">
      <c r="A1561" s="1">
        <v>46143</v>
      </c>
      <c r="B1561" t="s">
        <v>985</v>
      </c>
      <c r="C1561" t="s">
        <v>944</v>
      </c>
      <c r="D1561" t="s">
        <v>232</v>
      </c>
      <c r="E1561" t="s">
        <v>60</v>
      </c>
      <c r="F1561">
        <v>73</v>
      </c>
      <c r="G1561">
        <v>2</v>
      </c>
      <c r="H1561">
        <v>6.8027210884353704E-4</v>
      </c>
      <c r="I1561">
        <v>2.7397260273972601E-2</v>
      </c>
      <c r="J1561" s="14" t="str">
        <f>_xlfn.XLOOKUP(B1561,CAD_PDV!A:A,CAD_PDV!B:B)</f>
        <v>HS TELECOM</v>
      </c>
      <c r="K1561" s="14">
        <f>IF(IFERROR(_xlfn.XLOOKUP(B1561,Planilha2!D:D,Planilha2!H:H),0)="SIM",1,0)</f>
        <v>0</v>
      </c>
      <c r="L1561" s="14" t="str">
        <f>_xlfn.XLOOKUP(B1561,CAD_PDV!A:A,CAD_PDV!C:C)</f>
        <v>BA/SE</v>
      </c>
      <c r="M1561" s="14" t="str">
        <f>IFERROR(_xlfn.XLOOKUP(B1561,repete!A:A,repete!A:A),"-")</f>
        <v>-</v>
      </c>
    </row>
    <row r="1562" spans="1:13" hidden="1">
      <c r="A1562" s="1">
        <v>46143</v>
      </c>
      <c r="B1562" t="s">
        <v>1205</v>
      </c>
      <c r="C1562" t="s">
        <v>1207</v>
      </c>
      <c r="D1562" t="s">
        <v>228</v>
      </c>
      <c r="E1562" t="s">
        <v>55</v>
      </c>
      <c r="F1562">
        <v>47</v>
      </c>
      <c r="G1562">
        <v>2</v>
      </c>
      <c r="H1562">
        <v>6.8027210884353704E-4</v>
      </c>
      <c r="I1562">
        <v>4.2553191489361701E-2</v>
      </c>
      <c r="J1562" s="14" t="str">
        <f>_xlfn.XLOOKUP(B1562,CAD_PDV!A:A,CAD_PDV!B:B)</f>
        <v>FAJULUTI</v>
      </c>
      <c r="K1562" s="14">
        <f>IF(IFERROR(_xlfn.XLOOKUP(B1562,Planilha2!D:D,Planilha2!H:H),0)="SIM",1,0)</f>
        <v>0</v>
      </c>
      <c r="L1562" s="14" t="str">
        <f>_xlfn.XLOOKUP(B1562,CAD_PDV!A:A,CAD_PDV!C:C)</f>
        <v>RJ/ES</v>
      </c>
      <c r="M1562" s="14" t="str">
        <f>IFERROR(_xlfn.XLOOKUP(B1562,repete!A:A,repete!A:A),"-")</f>
        <v>-</v>
      </c>
    </row>
    <row r="1563" spans="1:13" hidden="1">
      <c r="A1563" s="1">
        <v>46143</v>
      </c>
      <c r="B1563" t="s">
        <v>1208</v>
      </c>
      <c r="C1563" t="s">
        <v>1142</v>
      </c>
      <c r="D1563" t="s">
        <v>237</v>
      </c>
      <c r="E1563" t="s">
        <v>55</v>
      </c>
      <c r="F1563">
        <v>127</v>
      </c>
      <c r="G1563">
        <v>2</v>
      </c>
      <c r="H1563">
        <v>6.8027210884353704E-4</v>
      </c>
      <c r="I1563">
        <v>1.5748031496062999E-2</v>
      </c>
      <c r="J1563" s="14" t="str">
        <f>_xlfn.XLOOKUP(B1563,CAD_PDV!A:A,CAD_PDV!B:B)</f>
        <v>PONTO CERTO COMERCIO E COMUNICAÇÕES LTDA</v>
      </c>
      <c r="K1563" s="14">
        <f>IF(IFERROR(_xlfn.XLOOKUP(B1563,Planilha2!D:D,Planilha2!H:H),0)="SIM",1,0)</f>
        <v>0</v>
      </c>
      <c r="L1563" s="14" t="str">
        <f>_xlfn.XLOOKUP(B1563,CAD_PDV!A:A,CAD_PDV!C:C)</f>
        <v>RJ/ES</v>
      </c>
      <c r="M1563" s="14" t="str">
        <f>IFERROR(_xlfn.XLOOKUP(B1563,repete!A:A,repete!A:A),"-")</f>
        <v>-</v>
      </c>
    </row>
    <row r="1564" spans="1:13" hidden="1">
      <c r="A1564" s="1">
        <v>46143</v>
      </c>
      <c r="B1564" t="s">
        <v>1347</v>
      </c>
      <c r="C1564" t="s">
        <v>1346</v>
      </c>
      <c r="D1564" t="s">
        <v>229</v>
      </c>
      <c r="E1564" t="s">
        <v>53</v>
      </c>
      <c r="F1564">
        <v>97</v>
      </c>
      <c r="G1564">
        <v>2</v>
      </c>
      <c r="H1564">
        <v>6.8027210884353704E-4</v>
      </c>
      <c r="I1564">
        <v>2.06185567010309E-2</v>
      </c>
      <c r="J1564" s="14" t="str">
        <f>_xlfn.XLOOKUP(B1564,CAD_PDV!A:A,CAD_PDV!B:B)</f>
        <v>FW TELEFONIA LTDA - EPP</v>
      </c>
      <c r="K1564" s="14">
        <f>IF(IFERROR(_xlfn.XLOOKUP(B1564,Planilha2!D:D,Planilha2!H:H),0)="SIM",1,0)</f>
        <v>0</v>
      </c>
      <c r="L1564" s="14" t="str">
        <f>_xlfn.XLOOKUP(B1564,CAD_PDV!A:A,CAD_PDV!C:C)</f>
        <v>SP1</v>
      </c>
      <c r="M1564" s="14" t="str">
        <f>IFERROR(_xlfn.XLOOKUP(B1564,repete!A:A,repete!A:A),"-")</f>
        <v>-</v>
      </c>
    </row>
    <row r="1565" spans="1:13" hidden="1">
      <c r="A1565" s="1">
        <v>46143</v>
      </c>
      <c r="B1565" t="s">
        <v>1905</v>
      </c>
      <c r="C1565" t="s">
        <v>1904</v>
      </c>
      <c r="D1565" t="s">
        <v>106</v>
      </c>
      <c r="E1565" t="s">
        <v>2074</v>
      </c>
      <c r="F1565">
        <v>53</v>
      </c>
      <c r="G1565">
        <v>2</v>
      </c>
      <c r="H1565">
        <v>6.8027210884353704E-4</v>
      </c>
      <c r="I1565">
        <v>3.77358490566038E-2</v>
      </c>
      <c r="J1565" s="14" t="str">
        <f>_xlfn.XLOOKUP(B1565,CAD_PDV!A:A,CAD_PDV!B:B)</f>
        <v>CELLULAR.COM</v>
      </c>
      <c r="K1565" s="14">
        <f>IF(IFERROR(_xlfn.XLOOKUP(B1565,Planilha2!D:D,Planilha2!H:H),0)="SIM",1,0)</f>
        <v>0</v>
      </c>
      <c r="L1565" s="14" t="str">
        <f>_xlfn.XLOOKUP(B1565,CAD_PDV!A:A,CAD_PDV!C:C)</f>
        <v>PR/SC</v>
      </c>
      <c r="M1565" s="14" t="str">
        <f>IFERROR(_xlfn.XLOOKUP(B1565,repete!A:A,repete!A:A),"-")</f>
        <v>-</v>
      </c>
    </row>
    <row r="1566" spans="1:13" hidden="1">
      <c r="A1566" s="1">
        <v>46143</v>
      </c>
      <c r="B1566" t="s">
        <v>878</v>
      </c>
      <c r="C1566" t="s">
        <v>873</v>
      </c>
      <c r="D1566" t="s">
        <v>224</v>
      </c>
      <c r="E1566" t="s">
        <v>59</v>
      </c>
      <c r="F1566">
        <v>179</v>
      </c>
      <c r="G1566">
        <v>2</v>
      </c>
      <c r="H1566">
        <v>6.8027210884353704E-4</v>
      </c>
      <c r="I1566">
        <v>1.11731843575419E-2</v>
      </c>
      <c r="J1566" s="14" t="str">
        <f>_xlfn.XLOOKUP(B1566,CAD_PDV!A:A,CAD_PDV!B:B)</f>
        <v>CELNET COMERCIO E SERVICOS DE TELEFONIA LTDA ME</v>
      </c>
      <c r="K1566" s="14">
        <f>IF(IFERROR(_xlfn.XLOOKUP(B1566,Planilha2!D:D,Planilha2!H:H),0)="SIM",1,0)</f>
        <v>0</v>
      </c>
      <c r="L1566" s="14" t="str">
        <f>_xlfn.XLOOKUP(B1566,CAD_PDV!A:A,CAD_PDV!C:C)</f>
        <v>CO</v>
      </c>
      <c r="M1566" s="14" t="str">
        <f>IFERROR(_xlfn.XLOOKUP(B1566,repete!A:A,repete!A:A),"-")</f>
        <v>-</v>
      </c>
    </row>
    <row r="1567" spans="1:13" hidden="1">
      <c r="A1567" s="1">
        <v>46143</v>
      </c>
      <c r="B1567" t="s">
        <v>1049</v>
      </c>
      <c r="C1567" t="s">
        <v>1050</v>
      </c>
      <c r="D1567" t="s">
        <v>232</v>
      </c>
      <c r="E1567" t="s">
        <v>60</v>
      </c>
      <c r="F1567">
        <v>25</v>
      </c>
      <c r="G1567">
        <v>2</v>
      </c>
      <c r="H1567">
        <v>6.8027210884353704E-4</v>
      </c>
      <c r="I1567">
        <v>0.08</v>
      </c>
      <c r="J1567" s="14" t="str">
        <f>_xlfn.XLOOKUP(B1567,CAD_PDV!A:A,CAD_PDV!B:B)</f>
        <v>HS TELECOM</v>
      </c>
      <c r="K1567" s="14">
        <f>IF(IFERROR(_xlfn.XLOOKUP(B1567,Planilha2!D:D,Planilha2!H:H),0)="SIM",1,0)</f>
        <v>0</v>
      </c>
      <c r="L1567" s="14" t="str">
        <f>_xlfn.XLOOKUP(B1567,CAD_PDV!A:A,CAD_PDV!C:C)</f>
        <v>BA/SE</v>
      </c>
      <c r="M1567" s="14" t="str">
        <f>IFERROR(_xlfn.XLOOKUP(B1567,repete!A:A,repete!A:A),"-")</f>
        <v>-</v>
      </c>
    </row>
    <row r="1568" spans="1:13" hidden="1">
      <c r="A1568" s="1">
        <v>46143</v>
      </c>
      <c r="B1568" t="s">
        <v>846</v>
      </c>
      <c r="C1568" t="s">
        <v>732</v>
      </c>
      <c r="D1568" t="s">
        <v>221</v>
      </c>
      <c r="E1568" t="s">
        <v>59</v>
      </c>
      <c r="F1568">
        <v>111</v>
      </c>
      <c r="G1568">
        <v>2</v>
      </c>
      <c r="H1568">
        <v>6.8027210884353704E-4</v>
      </c>
      <c r="I1568">
        <v>1.8018018018018001E-2</v>
      </c>
      <c r="J1568" s="14" t="str">
        <f>_xlfn.XLOOKUP(B1568,CAD_PDV!A:A,CAD_PDV!B:B)</f>
        <v>AMERICOM COMERCIO DE APARELHOS ELETRONICOS LTDA - EPP</v>
      </c>
      <c r="K1568" s="14">
        <f>IF(IFERROR(_xlfn.XLOOKUP(B1568,Planilha2!D:D,Planilha2!H:H),0)="SIM",1,0)</f>
        <v>0</v>
      </c>
      <c r="L1568" s="14" t="str">
        <f>_xlfn.XLOOKUP(B1568,CAD_PDV!A:A,CAD_PDV!C:C)</f>
        <v>CO</v>
      </c>
      <c r="M1568" s="14" t="str">
        <f>IFERROR(_xlfn.XLOOKUP(B1568,repete!A:A,repete!A:A),"-")</f>
        <v>-</v>
      </c>
    </row>
    <row r="1569" spans="1:13" hidden="1">
      <c r="A1569" s="1">
        <v>46143</v>
      </c>
      <c r="B1569" t="s">
        <v>1216</v>
      </c>
      <c r="C1569" t="s">
        <v>1182</v>
      </c>
      <c r="D1569" t="s">
        <v>228</v>
      </c>
      <c r="E1569" t="s">
        <v>55</v>
      </c>
      <c r="F1569">
        <v>127</v>
      </c>
      <c r="G1569">
        <v>2</v>
      </c>
      <c r="H1569">
        <v>6.8027210884353704E-4</v>
      </c>
      <c r="I1569">
        <v>1.5748031496062999E-2</v>
      </c>
      <c r="J1569" s="14" t="str">
        <f>_xlfn.XLOOKUP(B1569,CAD_PDV!A:A,CAD_PDV!B:B)</f>
        <v>FAJULUTI</v>
      </c>
      <c r="K1569" s="14">
        <f>IF(IFERROR(_xlfn.XLOOKUP(B1569,Planilha2!D:D,Planilha2!H:H),0)="SIM",1,0)</f>
        <v>0</v>
      </c>
      <c r="L1569" s="14" t="str">
        <f>_xlfn.XLOOKUP(B1569,CAD_PDV!A:A,CAD_PDV!C:C)</f>
        <v>RJ/ES</v>
      </c>
      <c r="M1569" s="14" t="str">
        <f>IFERROR(_xlfn.XLOOKUP(B1569,repete!A:A,repete!A:A),"-")</f>
        <v>-</v>
      </c>
    </row>
    <row r="1570" spans="1:13" hidden="1">
      <c r="A1570" s="1">
        <v>46143</v>
      </c>
      <c r="B1570" t="s">
        <v>1963</v>
      </c>
      <c r="C1570" t="s">
        <v>1961</v>
      </c>
      <c r="D1570" t="s">
        <v>106</v>
      </c>
      <c r="E1570" t="s">
        <v>2074</v>
      </c>
      <c r="F1570">
        <v>32</v>
      </c>
      <c r="G1570">
        <v>2</v>
      </c>
      <c r="H1570">
        <v>6.8027210884353704E-4</v>
      </c>
      <c r="I1570">
        <v>6.25E-2</v>
      </c>
      <c r="J1570" s="14" t="str">
        <f>_xlfn.XLOOKUP(B1570,CAD_PDV!A:A,CAD_PDV!B:B)</f>
        <v>CELLULAR.COM</v>
      </c>
      <c r="K1570" s="14">
        <f>IF(IFERROR(_xlfn.XLOOKUP(B1570,Planilha2!D:D,Planilha2!H:H),0)="SIM",1,0)</f>
        <v>0</v>
      </c>
      <c r="L1570" s="14" t="str">
        <f>_xlfn.XLOOKUP(B1570,CAD_PDV!A:A,CAD_PDV!C:C)</f>
        <v>PR/SC</v>
      </c>
      <c r="M1570" s="14" t="str">
        <f>IFERROR(_xlfn.XLOOKUP(B1570,repete!A:A,repete!A:A),"-")</f>
        <v>-</v>
      </c>
    </row>
    <row r="1571" spans="1:13" hidden="1">
      <c r="A1571" s="1">
        <v>46143</v>
      </c>
      <c r="B1571" t="s">
        <v>1556</v>
      </c>
      <c r="C1571" t="s">
        <v>1557</v>
      </c>
      <c r="D1571" t="s">
        <v>132</v>
      </c>
      <c r="E1571" t="s">
        <v>54</v>
      </c>
      <c r="F1571">
        <v>56</v>
      </c>
      <c r="G1571">
        <v>2</v>
      </c>
      <c r="H1571">
        <v>6.8027210884353704E-4</v>
      </c>
      <c r="I1571">
        <v>3.5714285714285698E-2</v>
      </c>
      <c r="J1571" s="14" t="str">
        <f>_xlfn.XLOOKUP(B1571,CAD_PDV!A:A,CAD_PDV!B:B)</f>
        <v>FLEX CELL</v>
      </c>
      <c r="K1571" s="14">
        <f>IF(IFERROR(_xlfn.XLOOKUP(B1571,Planilha2!D:D,Planilha2!H:H),0)="SIM",1,0)</f>
        <v>0</v>
      </c>
      <c r="L1571" s="14" t="str">
        <f>_xlfn.XLOOKUP(B1571,CAD_PDV!A:A,CAD_PDV!C:C)</f>
        <v>SP2</v>
      </c>
      <c r="M1571" s="14" t="str">
        <f>IFERROR(_xlfn.XLOOKUP(B1571,repete!A:A,repete!A:A),"-")</f>
        <v>-</v>
      </c>
    </row>
    <row r="1572" spans="1:13" hidden="1">
      <c r="A1572" s="1">
        <v>46143</v>
      </c>
      <c r="B1572" t="s">
        <v>2036</v>
      </c>
      <c r="C1572" t="s">
        <v>2037</v>
      </c>
      <c r="D1572" t="s">
        <v>193</v>
      </c>
      <c r="E1572" t="s">
        <v>2074</v>
      </c>
      <c r="F1572">
        <v>27</v>
      </c>
      <c r="G1572">
        <v>2</v>
      </c>
      <c r="H1572">
        <v>6.8027210884353704E-4</v>
      </c>
      <c r="I1572">
        <v>7.4074074074074098E-2</v>
      </c>
      <c r="J1572" s="14" t="str">
        <f>_xlfn.XLOOKUP(B1572,CAD_PDV!A:A,CAD_PDV!B:B)</f>
        <v>S D COMERCIO DE CELULARES LTDA - ME</v>
      </c>
      <c r="K1572" s="14">
        <f>IF(IFERROR(_xlfn.XLOOKUP(B1572,Planilha2!D:D,Planilha2!H:H),0)="SIM",1,0)</f>
        <v>0</v>
      </c>
      <c r="L1572" s="14" t="str">
        <f>_xlfn.XLOOKUP(B1572,CAD_PDV!A:A,CAD_PDV!C:C)</f>
        <v>RS</v>
      </c>
      <c r="M1572" s="14" t="str">
        <f>IFERROR(_xlfn.XLOOKUP(B1572,repete!A:A,repete!A:A),"-")</f>
        <v>-</v>
      </c>
    </row>
    <row r="1573" spans="1:13" hidden="1">
      <c r="A1573" s="1">
        <v>46143</v>
      </c>
      <c r="B1573" t="s">
        <v>949</v>
      </c>
      <c r="C1573" t="s">
        <v>950</v>
      </c>
      <c r="D1573" t="s">
        <v>236</v>
      </c>
      <c r="E1573" t="s">
        <v>60</v>
      </c>
      <c r="F1573">
        <v>39</v>
      </c>
      <c r="G1573">
        <v>2</v>
      </c>
      <c r="H1573">
        <v>6.8027210884353704E-4</v>
      </c>
      <c r="I1573">
        <v>5.1282051282051301E-2</v>
      </c>
      <c r="J1573" s="14" t="str">
        <f>_xlfn.XLOOKUP(B1573,CAD_PDV!A:A,CAD_PDV!B:B)</f>
        <v>PAULA C L NIELLA EIRELI</v>
      </c>
      <c r="K1573" s="14">
        <f>IF(IFERROR(_xlfn.XLOOKUP(B1573,Planilha2!D:D,Planilha2!H:H),0)="SIM",1,0)</f>
        <v>0</v>
      </c>
      <c r="L1573" s="14" t="str">
        <f>_xlfn.XLOOKUP(B1573,CAD_PDV!A:A,CAD_PDV!C:C)</f>
        <v>BA/SE</v>
      </c>
      <c r="M1573" s="14" t="str">
        <f>IFERROR(_xlfn.XLOOKUP(B1573,repete!A:A,repete!A:A),"-")</f>
        <v>-</v>
      </c>
    </row>
    <row r="1574" spans="1:13" hidden="1">
      <c r="A1574" s="1">
        <v>46143</v>
      </c>
      <c r="B1574" t="s">
        <v>1361</v>
      </c>
      <c r="C1574" t="s">
        <v>1350</v>
      </c>
      <c r="D1574" t="s">
        <v>132</v>
      </c>
      <c r="E1574" t="s">
        <v>53</v>
      </c>
      <c r="F1574">
        <v>26</v>
      </c>
      <c r="G1574">
        <v>2</v>
      </c>
      <c r="H1574">
        <v>6.8027210884353704E-4</v>
      </c>
      <c r="I1574">
        <v>7.69230769230769E-2</v>
      </c>
      <c r="J1574" s="14" t="str">
        <f>_xlfn.XLOOKUP(B1574,CAD_PDV!A:A,CAD_PDV!B:B)</f>
        <v>FLEX CELL</v>
      </c>
      <c r="K1574" s="14">
        <f>IF(IFERROR(_xlfn.XLOOKUP(B1574,Planilha2!D:D,Planilha2!H:H),0)="SIM",1,0)</f>
        <v>0</v>
      </c>
      <c r="L1574" s="14" t="str">
        <f>_xlfn.XLOOKUP(B1574,CAD_PDV!A:A,CAD_PDV!C:C)</f>
        <v>SP1</v>
      </c>
      <c r="M1574" s="14" t="str">
        <f>IFERROR(_xlfn.XLOOKUP(B1574,repete!A:A,repete!A:A),"-")</f>
        <v>-</v>
      </c>
    </row>
    <row r="1575" spans="1:13" hidden="1">
      <c r="A1575" s="1">
        <v>46143</v>
      </c>
      <c r="B1575" t="s">
        <v>925</v>
      </c>
      <c r="C1575" t="s">
        <v>738</v>
      </c>
      <c r="D1575" t="s">
        <v>231</v>
      </c>
      <c r="E1575" t="s">
        <v>59</v>
      </c>
      <c r="F1575">
        <v>29</v>
      </c>
      <c r="G1575">
        <v>2</v>
      </c>
      <c r="H1575">
        <v>6.8027210884353704E-4</v>
      </c>
      <c r="I1575">
        <v>6.8965517241379296E-2</v>
      </c>
      <c r="J1575" s="14" t="str">
        <f>_xlfn.XLOOKUP(B1575,CAD_PDV!A:A,CAD_PDV!B:B)</f>
        <v>HIROTA &amp; HIROTA LTDA - ME</v>
      </c>
      <c r="K1575" s="14">
        <f>IF(IFERROR(_xlfn.XLOOKUP(B1575,Planilha2!D:D,Planilha2!H:H),0)="SIM",1,0)</f>
        <v>0</v>
      </c>
      <c r="L1575" s="14" t="str">
        <f>_xlfn.XLOOKUP(B1575,CAD_PDV!A:A,CAD_PDV!C:C)</f>
        <v>CO</v>
      </c>
      <c r="M1575" s="14" t="str">
        <f>IFERROR(_xlfn.XLOOKUP(B1575,repete!A:A,repete!A:A),"-")</f>
        <v>-</v>
      </c>
    </row>
    <row r="1576" spans="1:13" hidden="1">
      <c r="A1576" s="1">
        <v>46143</v>
      </c>
      <c r="B1576" t="s">
        <v>776</v>
      </c>
      <c r="C1576" t="s">
        <v>637</v>
      </c>
      <c r="D1576" t="s">
        <v>221</v>
      </c>
      <c r="E1576" t="s">
        <v>59</v>
      </c>
      <c r="F1576">
        <v>43</v>
      </c>
      <c r="G1576">
        <v>2</v>
      </c>
      <c r="H1576">
        <v>6.8027210884353704E-4</v>
      </c>
      <c r="I1576">
        <v>4.6511627906976702E-2</v>
      </c>
      <c r="J1576" s="14" t="str">
        <f>_xlfn.XLOOKUP(B1576,CAD_PDV!A:A,CAD_PDV!B:B)</f>
        <v>AMERICOM COMERCIO DE APARELHOS ELETRONICOS LTDA - EPP</v>
      </c>
      <c r="K1576" s="14">
        <f>IF(IFERROR(_xlfn.XLOOKUP(B1576,Planilha2!D:D,Planilha2!H:H),0)="SIM",1,0)</f>
        <v>0</v>
      </c>
      <c r="L1576" s="14" t="str">
        <f>_xlfn.XLOOKUP(B1576,CAD_PDV!A:A,CAD_PDV!C:C)</f>
        <v>CO</v>
      </c>
      <c r="M1576" s="14" t="str">
        <f>IFERROR(_xlfn.XLOOKUP(B1576,repete!A:A,repete!A:A),"-")</f>
        <v>-</v>
      </c>
    </row>
    <row r="1577" spans="1:13" hidden="1">
      <c r="A1577" s="1">
        <v>46143</v>
      </c>
      <c r="B1577" t="s">
        <v>797</v>
      </c>
      <c r="C1577" t="s">
        <v>798</v>
      </c>
      <c r="D1577" t="s">
        <v>239</v>
      </c>
      <c r="E1577" t="s">
        <v>59</v>
      </c>
      <c r="F1577">
        <v>57</v>
      </c>
      <c r="G1577">
        <v>2</v>
      </c>
      <c r="H1577">
        <v>6.8027210884353704E-4</v>
      </c>
      <c r="I1577">
        <v>3.5087719298245598E-2</v>
      </c>
      <c r="J1577" s="14" t="str">
        <f>_xlfn.XLOOKUP(B1577,CAD_PDV!A:A,CAD_PDV!B:B)</f>
        <v>TELECELL TELEFONIA LTDA - ME</v>
      </c>
      <c r="K1577" s="14">
        <f>IF(IFERROR(_xlfn.XLOOKUP(B1577,Planilha2!D:D,Planilha2!H:H),0)="SIM",1,0)</f>
        <v>0</v>
      </c>
      <c r="L1577" s="14" t="str">
        <f>_xlfn.XLOOKUP(B1577,CAD_PDV!A:A,CAD_PDV!C:C)</f>
        <v>CO</v>
      </c>
      <c r="M1577" s="14" t="str">
        <f>IFERROR(_xlfn.XLOOKUP(B1577,repete!A:A,repete!A:A),"-")</f>
        <v>-</v>
      </c>
    </row>
    <row r="1578" spans="1:13" hidden="1">
      <c r="A1578" s="1">
        <v>46143</v>
      </c>
      <c r="B1578" t="s">
        <v>1164</v>
      </c>
      <c r="C1578" t="s">
        <v>1142</v>
      </c>
      <c r="D1578" t="s">
        <v>237</v>
      </c>
      <c r="E1578" t="s">
        <v>55</v>
      </c>
      <c r="F1578">
        <v>83</v>
      </c>
      <c r="G1578">
        <v>2</v>
      </c>
      <c r="H1578">
        <v>6.8027210884353704E-4</v>
      </c>
      <c r="I1578">
        <v>2.40963855421687E-2</v>
      </c>
      <c r="J1578" s="14" t="str">
        <f>_xlfn.XLOOKUP(B1578,CAD_PDV!A:A,CAD_PDV!B:B)</f>
        <v>PONTO CERTO COMERCIO E COMUNICAÇÕES LTDA</v>
      </c>
      <c r="K1578" s="14">
        <f>IF(IFERROR(_xlfn.XLOOKUP(B1578,Planilha2!D:D,Planilha2!H:H),0)="SIM",1,0)</f>
        <v>0</v>
      </c>
      <c r="L1578" s="14" t="str">
        <f>_xlfn.XLOOKUP(B1578,CAD_PDV!A:A,CAD_PDV!C:C)</f>
        <v>RJ/ES</v>
      </c>
      <c r="M1578" s="14" t="str">
        <f>IFERROR(_xlfn.XLOOKUP(B1578,repete!A:A,repete!A:A),"-")</f>
        <v>-</v>
      </c>
    </row>
    <row r="1579" spans="1:13" hidden="1">
      <c r="A1579" s="1">
        <v>46143</v>
      </c>
      <c r="B1579" t="s">
        <v>849</v>
      </c>
      <c r="C1579" t="s">
        <v>732</v>
      </c>
      <c r="D1579" t="s">
        <v>221</v>
      </c>
      <c r="E1579" t="s">
        <v>59</v>
      </c>
      <c r="F1579">
        <v>30</v>
      </c>
      <c r="G1579">
        <v>2</v>
      </c>
      <c r="H1579">
        <v>6.8027210884353704E-4</v>
      </c>
      <c r="I1579">
        <v>6.6666666666666693E-2</v>
      </c>
      <c r="J1579" s="14" t="str">
        <f>_xlfn.XLOOKUP(B1579,CAD_PDV!A:A,CAD_PDV!B:B)</f>
        <v>AMERICOM COMERCIO DE APARELHOS ELETRONICOS LTDA - EPP</v>
      </c>
      <c r="K1579" s="14">
        <f>IF(IFERROR(_xlfn.XLOOKUP(B1579,Planilha2!D:D,Planilha2!H:H),0)="SIM",1,0)</f>
        <v>0</v>
      </c>
      <c r="L1579" s="14" t="str">
        <f>_xlfn.XLOOKUP(B1579,CAD_PDV!A:A,CAD_PDV!C:C)</f>
        <v>CO</v>
      </c>
      <c r="M1579" s="14" t="str">
        <f>IFERROR(_xlfn.XLOOKUP(B1579,repete!A:A,repete!A:A),"-")</f>
        <v>-</v>
      </c>
    </row>
    <row r="1580" spans="1:13" hidden="1">
      <c r="A1580" s="1">
        <v>46143</v>
      </c>
      <c r="B1580" t="s">
        <v>1586</v>
      </c>
      <c r="C1580" t="s">
        <v>1587</v>
      </c>
      <c r="D1580" t="s">
        <v>132</v>
      </c>
      <c r="E1580" t="s">
        <v>54</v>
      </c>
      <c r="F1580">
        <v>56</v>
      </c>
      <c r="G1580">
        <v>2</v>
      </c>
      <c r="H1580">
        <v>6.8027210884353704E-4</v>
      </c>
      <c r="I1580">
        <v>3.5714285714285698E-2</v>
      </c>
      <c r="J1580" s="14" t="str">
        <f>_xlfn.XLOOKUP(B1580,CAD_PDV!A:A,CAD_PDV!B:B)</f>
        <v>FLEX CELL</v>
      </c>
      <c r="K1580" s="14">
        <f>IF(IFERROR(_xlfn.XLOOKUP(B1580,Planilha2!D:D,Planilha2!H:H),0)="SIM",1,0)</f>
        <v>0</v>
      </c>
      <c r="L1580" s="14" t="str">
        <f>_xlfn.XLOOKUP(B1580,CAD_PDV!A:A,CAD_PDV!C:C)</f>
        <v>SP2</v>
      </c>
      <c r="M1580" s="14" t="str">
        <f>IFERROR(_xlfn.XLOOKUP(B1580,repete!A:A,repete!A:A),"-")</f>
        <v>-</v>
      </c>
    </row>
    <row r="1581" spans="1:13" hidden="1">
      <c r="A1581" s="1">
        <v>46143</v>
      </c>
      <c r="B1581" t="s">
        <v>887</v>
      </c>
      <c r="C1581" t="s">
        <v>873</v>
      </c>
      <c r="D1581" t="s">
        <v>224</v>
      </c>
      <c r="E1581" t="s">
        <v>59</v>
      </c>
      <c r="F1581">
        <v>68</v>
      </c>
      <c r="G1581">
        <v>2</v>
      </c>
      <c r="H1581">
        <v>6.8027210884353704E-4</v>
      </c>
      <c r="I1581">
        <v>2.9411764705882401E-2</v>
      </c>
      <c r="J1581" s="14" t="str">
        <f>_xlfn.XLOOKUP(B1581,CAD_PDV!A:A,CAD_PDV!B:B)</f>
        <v>CELNET COMERCIO E SERVICOS DE TELEFONIA LTDA ME</v>
      </c>
      <c r="K1581" s="14">
        <f>IF(IFERROR(_xlfn.XLOOKUP(B1581,Planilha2!D:D,Planilha2!H:H),0)="SIM",1,0)</f>
        <v>0</v>
      </c>
      <c r="L1581" s="14" t="str">
        <f>_xlfn.XLOOKUP(B1581,CAD_PDV!A:A,CAD_PDV!C:C)</f>
        <v>CO</v>
      </c>
      <c r="M1581" s="14" t="str">
        <f>IFERROR(_xlfn.XLOOKUP(B1581,repete!A:A,repete!A:A),"-")</f>
        <v>-</v>
      </c>
    </row>
    <row r="1582" spans="1:13" hidden="1">
      <c r="A1582" s="1">
        <v>46143</v>
      </c>
      <c r="B1582" t="s">
        <v>1336</v>
      </c>
      <c r="C1582" t="s">
        <v>1313</v>
      </c>
      <c r="D1582" t="s">
        <v>225</v>
      </c>
      <c r="E1582" t="s">
        <v>53</v>
      </c>
      <c r="F1582">
        <v>167</v>
      </c>
      <c r="G1582">
        <v>2</v>
      </c>
      <c r="H1582">
        <v>6.8027210884353704E-4</v>
      </c>
      <c r="I1582">
        <v>1.19760479041916E-2</v>
      </c>
      <c r="J1582" s="14" t="str">
        <f>_xlfn.XLOOKUP(B1582,CAD_PDV!A:A,CAD_PDV!B:B)</f>
        <v>CLARICELL SP1</v>
      </c>
      <c r="K1582" s="14">
        <f>IF(IFERROR(_xlfn.XLOOKUP(B1582,Planilha2!D:D,Planilha2!H:H),0)="SIM",1,0)</f>
        <v>0</v>
      </c>
      <c r="L1582" s="14" t="str">
        <f>_xlfn.XLOOKUP(B1582,CAD_PDV!A:A,CAD_PDV!C:C)</f>
        <v>SP1</v>
      </c>
      <c r="M1582" s="14" t="str">
        <f>IFERROR(_xlfn.XLOOKUP(B1582,repete!A:A,repete!A:A),"-")</f>
        <v>-</v>
      </c>
    </row>
    <row r="1583" spans="1:13" hidden="1">
      <c r="A1583" s="1">
        <v>46143</v>
      </c>
      <c r="B1583" t="s">
        <v>889</v>
      </c>
      <c r="C1583" t="s">
        <v>873</v>
      </c>
      <c r="D1583" t="s">
        <v>239</v>
      </c>
      <c r="E1583" t="s">
        <v>59</v>
      </c>
      <c r="F1583">
        <v>78</v>
      </c>
      <c r="G1583">
        <v>2</v>
      </c>
      <c r="H1583">
        <v>6.8027210884353704E-4</v>
      </c>
      <c r="I1583">
        <v>2.5641025641025599E-2</v>
      </c>
      <c r="J1583" s="14" t="str">
        <f>_xlfn.XLOOKUP(B1583,CAD_PDV!A:A,CAD_PDV!B:B)</f>
        <v>TELECELL TELEFONIA LTDA - ME</v>
      </c>
      <c r="K1583" s="14">
        <f>IF(IFERROR(_xlfn.XLOOKUP(B1583,Planilha2!D:D,Planilha2!H:H),0)="SIM",1,0)</f>
        <v>0</v>
      </c>
      <c r="L1583" s="14" t="str">
        <f>_xlfn.XLOOKUP(B1583,CAD_PDV!A:A,CAD_PDV!C:C)</f>
        <v>CO</v>
      </c>
      <c r="M1583" s="14" t="str">
        <f>IFERROR(_xlfn.XLOOKUP(B1583,repete!A:A,repete!A:A),"-")</f>
        <v>-</v>
      </c>
    </row>
    <row r="1584" spans="1:13" hidden="1">
      <c r="A1584" s="1">
        <v>46143</v>
      </c>
      <c r="B1584" t="s">
        <v>2014</v>
      </c>
      <c r="C1584" t="s">
        <v>1744</v>
      </c>
      <c r="D1584" t="s">
        <v>106</v>
      </c>
      <c r="E1584" t="s">
        <v>2074</v>
      </c>
      <c r="F1584">
        <v>81</v>
      </c>
      <c r="G1584">
        <v>2</v>
      </c>
      <c r="H1584">
        <v>6.8027210884353704E-4</v>
      </c>
      <c r="I1584">
        <v>2.4691358024691398E-2</v>
      </c>
      <c r="J1584" s="14" t="str">
        <f>_xlfn.XLOOKUP(B1584,CAD_PDV!A:A,CAD_PDV!B:B)</f>
        <v>CELLULAR.COM</v>
      </c>
      <c r="K1584" s="14">
        <f>IF(IFERROR(_xlfn.XLOOKUP(B1584,Planilha2!D:D,Planilha2!H:H),0)="SIM",1,0)</f>
        <v>0</v>
      </c>
      <c r="L1584" s="14" t="str">
        <f>_xlfn.XLOOKUP(B1584,CAD_PDV!A:A,CAD_PDV!C:C)</f>
        <v>PR/SC</v>
      </c>
      <c r="M1584" s="14" t="str">
        <f>IFERROR(_xlfn.XLOOKUP(B1584,repete!A:A,repete!A:A),"-")</f>
        <v>-</v>
      </c>
    </row>
    <row r="1585" spans="1:13" hidden="1">
      <c r="A1585" s="1">
        <v>46143</v>
      </c>
      <c r="B1585" t="s">
        <v>926</v>
      </c>
      <c r="C1585" t="s">
        <v>738</v>
      </c>
      <c r="D1585" t="s">
        <v>231</v>
      </c>
      <c r="E1585" t="s">
        <v>59</v>
      </c>
      <c r="F1585">
        <v>34</v>
      </c>
      <c r="G1585">
        <v>2</v>
      </c>
      <c r="H1585">
        <v>6.8027210884353704E-4</v>
      </c>
      <c r="I1585">
        <v>5.8823529411764698E-2</v>
      </c>
      <c r="J1585" s="14" t="str">
        <f>_xlfn.XLOOKUP(B1585,CAD_PDV!A:A,CAD_PDV!B:B)</f>
        <v>HIROTA &amp; HIROTA LTDA - ME</v>
      </c>
      <c r="K1585" s="14">
        <f>IF(IFERROR(_xlfn.XLOOKUP(B1585,Planilha2!D:D,Planilha2!H:H),0)="SIM",1,0)</f>
        <v>0</v>
      </c>
      <c r="L1585" s="14" t="str">
        <f>_xlfn.XLOOKUP(B1585,CAD_PDV!A:A,CAD_PDV!C:C)</f>
        <v>CO</v>
      </c>
      <c r="M1585" s="14" t="str">
        <f>IFERROR(_xlfn.XLOOKUP(B1585,repete!A:A,repete!A:A),"-")</f>
        <v>-</v>
      </c>
    </row>
    <row r="1586" spans="1:13" hidden="1">
      <c r="A1586" s="1">
        <v>46143</v>
      </c>
      <c r="B1586" t="s">
        <v>1367</v>
      </c>
      <c r="C1586" t="s">
        <v>1313</v>
      </c>
      <c r="D1586" t="s">
        <v>132</v>
      </c>
      <c r="E1586" t="s">
        <v>53</v>
      </c>
      <c r="F1586">
        <v>93</v>
      </c>
      <c r="G1586">
        <v>2</v>
      </c>
      <c r="H1586">
        <v>6.8027210884353704E-4</v>
      </c>
      <c r="I1586">
        <v>2.1505376344085999E-2</v>
      </c>
      <c r="J1586" s="14" t="str">
        <f>_xlfn.XLOOKUP(B1586,CAD_PDV!A:A,CAD_PDV!B:B)</f>
        <v>FLEX CELL</v>
      </c>
      <c r="K1586" s="14">
        <f>IF(IFERROR(_xlfn.XLOOKUP(B1586,Planilha2!D:D,Planilha2!H:H),0)="SIM",1,0)</f>
        <v>0</v>
      </c>
      <c r="L1586" s="14" t="str">
        <f>_xlfn.XLOOKUP(B1586,CAD_PDV!A:A,CAD_PDV!C:C)</f>
        <v>SP1</v>
      </c>
      <c r="M1586" s="14" t="str">
        <f>IFERROR(_xlfn.XLOOKUP(B1586,repete!A:A,repete!A:A),"-")</f>
        <v>-</v>
      </c>
    </row>
    <row r="1587" spans="1:13" hidden="1">
      <c r="A1587" s="1">
        <v>46143</v>
      </c>
      <c r="B1587" t="s">
        <v>1629</v>
      </c>
      <c r="C1587" t="s">
        <v>1464</v>
      </c>
      <c r="D1587" t="s">
        <v>132</v>
      </c>
      <c r="E1587" t="s">
        <v>54</v>
      </c>
      <c r="F1587">
        <v>32</v>
      </c>
      <c r="G1587">
        <v>2</v>
      </c>
      <c r="H1587">
        <v>6.8027210884353704E-4</v>
      </c>
      <c r="I1587">
        <v>6.25E-2</v>
      </c>
      <c r="J1587" s="14" t="str">
        <f>_xlfn.XLOOKUP(B1587,CAD_PDV!A:A,CAD_PDV!B:B)</f>
        <v>FLEX CELL</v>
      </c>
      <c r="K1587" s="14">
        <f>IF(IFERROR(_xlfn.XLOOKUP(B1587,Planilha2!D:D,Planilha2!H:H),0)="SIM",1,0)</f>
        <v>0</v>
      </c>
      <c r="L1587" s="14" t="str">
        <f>_xlfn.XLOOKUP(B1587,CAD_PDV!A:A,CAD_PDV!C:C)</f>
        <v>SP2</v>
      </c>
      <c r="M1587" s="14" t="str">
        <f>IFERROR(_xlfn.XLOOKUP(B1587,repete!A:A,repete!A:A),"-")</f>
        <v>-</v>
      </c>
    </row>
    <row r="1588" spans="1:13" hidden="1">
      <c r="A1588" s="1">
        <v>46143</v>
      </c>
      <c r="B1588" t="s">
        <v>1251</v>
      </c>
      <c r="C1588" t="s">
        <v>1159</v>
      </c>
      <c r="D1588" t="s">
        <v>228</v>
      </c>
      <c r="E1588" t="s">
        <v>55</v>
      </c>
      <c r="F1588">
        <v>103</v>
      </c>
      <c r="G1588">
        <v>2</v>
      </c>
      <c r="H1588">
        <v>6.8027210884353704E-4</v>
      </c>
      <c r="I1588">
        <v>1.94174757281553E-2</v>
      </c>
      <c r="J1588" s="14" t="str">
        <f>_xlfn.XLOOKUP(B1588,CAD_PDV!A:A,CAD_PDV!B:B)</f>
        <v>FAJULUTI</v>
      </c>
      <c r="K1588" s="14">
        <f>IF(IFERROR(_xlfn.XLOOKUP(B1588,Planilha2!D:D,Planilha2!H:H),0)="SIM",1,0)</f>
        <v>0</v>
      </c>
      <c r="L1588" s="14" t="str">
        <f>_xlfn.XLOOKUP(B1588,CAD_PDV!A:A,CAD_PDV!C:C)</f>
        <v>RJ/ES</v>
      </c>
      <c r="M1588" s="14" t="str">
        <f>IFERROR(_xlfn.XLOOKUP(B1588,repete!A:A,repete!A:A),"-")</f>
        <v>-</v>
      </c>
    </row>
    <row r="1589" spans="1:13" hidden="1">
      <c r="A1589" s="1">
        <v>46143</v>
      </c>
      <c r="B1589" t="s">
        <v>2100</v>
      </c>
      <c r="C1589" t="s">
        <v>1757</v>
      </c>
      <c r="D1589" t="s">
        <v>2080</v>
      </c>
      <c r="E1589" t="s">
        <v>2074</v>
      </c>
      <c r="F1589">
        <v>26</v>
      </c>
      <c r="G1589">
        <v>2</v>
      </c>
      <c r="H1589">
        <v>6.8027210884353704E-4</v>
      </c>
      <c r="I1589">
        <v>7.69230769230769E-2</v>
      </c>
      <c r="J1589" s="14" t="e">
        <f>_xlfn.XLOOKUP(B1589,CAD_PDV!A:A,CAD_PDV!B:B)</f>
        <v>#N/A</v>
      </c>
      <c r="K1589" s="14">
        <f>IF(IFERROR(_xlfn.XLOOKUP(B1589,Planilha2!D:D,Planilha2!H:H),0)="SIM",1,0)</f>
        <v>0</v>
      </c>
      <c r="L1589" s="14" t="e">
        <f>_xlfn.XLOOKUP(B1589,CAD_PDV!A:A,CAD_PDV!C:C)</f>
        <v>#N/A</v>
      </c>
      <c r="M1589" s="14" t="str">
        <f>IFERROR(_xlfn.XLOOKUP(B1589,repete!A:A,repete!A:A),"-")</f>
        <v>-</v>
      </c>
    </row>
    <row r="1590" spans="1:13" hidden="1">
      <c r="A1590" s="1">
        <v>46143</v>
      </c>
      <c r="B1590" t="s">
        <v>851</v>
      </c>
      <c r="C1590" t="s">
        <v>732</v>
      </c>
      <c r="D1590" t="s">
        <v>221</v>
      </c>
      <c r="E1590" t="s">
        <v>59</v>
      </c>
      <c r="F1590">
        <v>85</v>
      </c>
      <c r="G1590">
        <v>2</v>
      </c>
      <c r="H1590">
        <v>6.8027210884353704E-4</v>
      </c>
      <c r="I1590">
        <v>2.3529411764705899E-2</v>
      </c>
      <c r="J1590" s="14" t="str">
        <f>_xlfn.XLOOKUP(B1590,CAD_PDV!A:A,CAD_PDV!B:B)</f>
        <v>AMERICOM COMERCIO DE APARELHOS ELETRONICOS LTDA - EPP</v>
      </c>
      <c r="K1590" s="14">
        <f>IF(IFERROR(_xlfn.XLOOKUP(B1590,Planilha2!D:D,Planilha2!H:H),0)="SIM",1,0)</f>
        <v>0</v>
      </c>
      <c r="L1590" s="14" t="str">
        <f>_xlfn.XLOOKUP(B1590,CAD_PDV!A:A,CAD_PDV!C:C)</f>
        <v>CO</v>
      </c>
      <c r="M1590" s="14" t="str">
        <f>IFERROR(_xlfn.XLOOKUP(B1590,repete!A:A,repete!A:A),"-")</f>
        <v>-</v>
      </c>
    </row>
    <row r="1591" spans="1:13" hidden="1">
      <c r="A1591" s="1">
        <v>46143</v>
      </c>
      <c r="B1591" t="s">
        <v>1257</v>
      </c>
      <c r="C1591" t="s">
        <v>1255</v>
      </c>
      <c r="D1591" t="s">
        <v>228</v>
      </c>
      <c r="E1591" t="s">
        <v>55</v>
      </c>
      <c r="F1591">
        <v>21</v>
      </c>
      <c r="G1591">
        <v>2</v>
      </c>
      <c r="H1591">
        <v>6.8027210884353704E-4</v>
      </c>
      <c r="I1591">
        <v>9.5238095238095205E-2</v>
      </c>
      <c r="J1591" s="14" t="str">
        <f>_xlfn.XLOOKUP(B1591,CAD_PDV!A:A,CAD_PDV!B:B)</f>
        <v>FAJULUTI</v>
      </c>
      <c r="K1591" s="14">
        <f>IF(IFERROR(_xlfn.XLOOKUP(B1591,Planilha2!D:D,Planilha2!H:H),0)="SIM",1,0)</f>
        <v>0</v>
      </c>
      <c r="L1591" s="14" t="str">
        <f>_xlfn.XLOOKUP(B1591,CAD_PDV!A:A,CAD_PDV!C:C)</f>
        <v>RJ/ES</v>
      </c>
      <c r="M1591" s="14" t="str">
        <f>IFERROR(_xlfn.XLOOKUP(B1591,repete!A:A,repete!A:A),"-")</f>
        <v>-</v>
      </c>
    </row>
    <row r="1592" spans="1:13" hidden="1">
      <c r="A1592" s="1">
        <v>46143</v>
      </c>
      <c r="B1592" t="s">
        <v>1172</v>
      </c>
      <c r="C1592" t="s">
        <v>1142</v>
      </c>
      <c r="D1592" t="s">
        <v>2072</v>
      </c>
      <c r="E1592" t="s">
        <v>55</v>
      </c>
      <c r="F1592">
        <v>42</v>
      </c>
      <c r="G1592">
        <v>2</v>
      </c>
      <c r="H1592">
        <v>6.8027210884353704E-4</v>
      </c>
      <c r="I1592">
        <v>4.7619047619047603E-2</v>
      </c>
      <c r="J1592" s="14" t="str">
        <f>_xlfn.XLOOKUP(B1592,CAD_PDV!A:A,CAD_PDV!B:B)</f>
        <v>MEXCELL COMERCIO E SERVICOS DE TELECOMUNICACOES LTDA</v>
      </c>
      <c r="K1592" s="14">
        <f>IF(IFERROR(_xlfn.XLOOKUP(B1592,Planilha2!D:D,Planilha2!H:H),0)="SIM",1,0)</f>
        <v>0</v>
      </c>
      <c r="L1592" s="14" t="str">
        <f>_xlfn.XLOOKUP(B1592,CAD_PDV!A:A,CAD_PDV!C:C)</f>
        <v>RJ/ES</v>
      </c>
      <c r="M1592" s="14" t="str">
        <f>IFERROR(_xlfn.XLOOKUP(B1592,repete!A:A,repete!A:A),"-")</f>
        <v>-</v>
      </c>
    </row>
    <row r="1593" spans="1:13" hidden="1">
      <c r="A1593" s="1">
        <v>46143</v>
      </c>
      <c r="B1593" t="s">
        <v>852</v>
      </c>
      <c r="C1593" t="s">
        <v>732</v>
      </c>
      <c r="D1593" t="s">
        <v>221</v>
      </c>
      <c r="E1593" t="s">
        <v>59</v>
      </c>
      <c r="F1593">
        <v>40</v>
      </c>
      <c r="G1593">
        <v>2</v>
      </c>
      <c r="H1593">
        <v>6.8027210884353704E-4</v>
      </c>
      <c r="I1593">
        <v>0.05</v>
      </c>
      <c r="J1593" s="14" t="str">
        <f>_xlfn.XLOOKUP(B1593,CAD_PDV!A:A,CAD_PDV!B:B)</f>
        <v>AMERICOM COMERCIO DE APARELHOS ELETRONICOS LTDA - EPP</v>
      </c>
      <c r="K1593" s="14">
        <f>IF(IFERROR(_xlfn.XLOOKUP(B1593,Planilha2!D:D,Planilha2!H:H),0)="SIM",1,0)</f>
        <v>0</v>
      </c>
      <c r="L1593" s="14" t="str">
        <f>_xlfn.XLOOKUP(B1593,CAD_PDV!A:A,CAD_PDV!C:C)</f>
        <v>CO</v>
      </c>
      <c r="M1593" s="14" t="str">
        <f>IFERROR(_xlfn.XLOOKUP(B1593,repete!A:A,repete!A:A),"-")</f>
        <v>-</v>
      </c>
    </row>
    <row r="1594" spans="1:13" hidden="1">
      <c r="A1594" s="1">
        <v>46143</v>
      </c>
      <c r="B1594" t="s">
        <v>840</v>
      </c>
      <c r="C1594" t="s">
        <v>837</v>
      </c>
      <c r="D1594" t="s">
        <v>239</v>
      </c>
      <c r="E1594" t="s">
        <v>59</v>
      </c>
      <c r="F1594">
        <v>62</v>
      </c>
      <c r="G1594">
        <v>2</v>
      </c>
      <c r="H1594">
        <v>6.8027210884353704E-4</v>
      </c>
      <c r="I1594">
        <v>3.2258064516128997E-2</v>
      </c>
      <c r="J1594" s="14" t="str">
        <f>_xlfn.XLOOKUP(B1594,CAD_PDV!A:A,CAD_PDV!B:B)</f>
        <v>TELECELL TELEFONIA LTDA - ME</v>
      </c>
      <c r="K1594" s="14">
        <f>IF(IFERROR(_xlfn.XLOOKUP(B1594,Planilha2!D:D,Planilha2!H:H),0)="SIM",1,0)</f>
        <v>0</v>
      </c>
      <c r="L1594" s="14" t="str">
        <f>_xlfn.XLOOKUP(B1594,CAD_PDV!A:A,CAD_PDV!C:C)</f>
        <v>CO</v>
      </c>
      <c r="M1594" s="14" t="str">
        <f>IFERROR(_xlfn.XLOOKUP(B1594,repete!A:A,repete!A:A),"-")</f>
        <v>-</v>
      </c>
    </row>
    <row r="1595" spans="1:13" hidden="1">
      <c r="A1595" s="1">
        <v>46143</v>
      </c>
      <c r="B1595" t="s">
        <v>2059</v>
      </c>
      <c r="C1595" t="s">
        <v>2060</v>
      </c>
      <c r="D1595" t="s">
        <v>193</v>
      </c>
      <c r="E1595" t="s">
        <v>2074</v>
      </c>
      <c r="F1595">
        <v>28</v>
      </c>
      <c r="G1595">
        <v>2</v>
      </c>
      <c r="H1595">
        <v>6.8027210884353704E-4</v>
      </c>
      <c r="I1595">
        <v>7.1428571428571397E-2</v>
      </c>
      <c r="J1595" s="14" t="str">
        <f>_xlfn.XLOOKUP(B1595,CAD_PDV!A:A,CAD_PDV!B:B)</f>
        <v>S D COMERCIO DE CELULARES LTDA - ME</v>
      </c>
      <c r="K1595" s="14">
        <f>IF(IFERROR(_xlfn.XLOOKUP(B1595,Planilha2!D:D,Planilha2!H:H),0)="SIM",1,0)</f>
        <v>0</v>
      </c>
      <c r="L1595" s="14" t="str">
        <f>_xlfn.XLOOKUP(B1595,CAD_PDV!A:A,CAD_PDV!C:C)</f>
        <v>RS</v>
      </c>
      <c r="M1595" s="14" t="str">
        <f>IFERROR(_xlfn.XLOOKUP(B1595,repete!A:A,repete!A:A),"-")</f>
        <v>-</v>
      </c>
    </row>
    <row r="1596" spans="1:13" hidden="1">
      <c r="A1596" s="1">
        <v>46143</v>
      </c>
      <c r="B1596" t="s">
        <v>1713</v>
      </c>
      <c r="C1596" t="s">
        <v>1540</v>
      </c>
      <c r="D1596" t="s">
        <v>232</v>
      </c>
      <c r="E1596" t="s">
        <v>54</v>
      </c>
      <c r="F1596">
        <v>46</v>
      </c>
      <c r="G1596">
        <v>2</v>
      </c>
      <c r="H1596">
        <v>6.8027210884353704E-4</v>
      </c>
      <c r="I1596">
        <v>4.3478260869565202E-2</v>
      </c>
      <c r="J1596" s="14" t="str">
        <f>_xlfn.XLOOKUP(B1596,CAD_PDV!A:A,CAD_PDV!B:B)</f>
        <v>HS TELECOM</v>
      </c>
      <c r="K1596" s="14">
        <f>IF(IFERROR(_xlfn.XLOOKUP(B1596,Planilha2!D:D,Planilha2!H:H),0)="SIM",1,0)</f>
        <v>0</v>
      </c>
      <c r="L1596" s="14" t="str">
        <f>_xlfn.XLOOKUP(B1596,CAD_PDV!A:A,CAD_PDV!C:C)</f>
        <v>SP2</v>
      </c>
      <c r="M1596" s="14" t="str">
        <f>IFERROR(_xlfn.XLOOKUP(B1596,repete!A:A,repete!A:A),"-")</f>
        <v>-</v>
      </c>
    </row>
    <row r="1597" spans="1:13" hidden="1">
      <c r="A1597" s="1">
        <v>46143</v>
      </c>
      <c r="B1597" t="s">
        <v>1370</v>
      </c>
      <c r="C1597" t="s">
        <v>1371</v>
      </c>
      <c r="D1597" t="s">
        <v>132</v>
      </c>
      <c r="E1597" t="s">
        <v>53</v>
      </c>
      <c r="F1597">
        <v>32</v>
      </c>
      <c r="G1597">
        <v>2</v>
      </c>
      <c r="H1597">
        <v>6.8027210884353704E-4</v>
      </c>
      <c r="I1597">
        <v>6.25E-2</v>
      </c>
      <c r="J1597" s="14" t="str">
        <f>_xlfn.XLOOKUP(B1597,CAD_PDV!A:A,CAD_PDV!B:B)</f>
        <v>FLEX CELL</v>
      </c>
      <c r="K1597" s="14">
        <f>IF(IFERROR(_xlfn.XLOOKUP(B1597,Planilha2!D:D,Planilha2!H:H),0)="SIM",1,0)</f>
        <v>0</v>
      </c>
      <c r="L1597" s="14" t="str">
        <f>_xlfn.XLOOKUP(B1597,CAD_PDV!A:A,CAD_PDV!C:C)</f>
        <v>SP1</v>
      </c>
      <c r="M1597" s="14" t="str">
        <f>IFERROR(_xlfn.XLOOKUP(B1597,repete!A:A,repete!A:A),"-")</f>
        <v>-</v>
      </c>
    </row>
    <row r="1598" spans="1:13" hidden="1">
      <c r="A1598" s="1">
        <v>46143</v>
      </c>
      <c r="B1598" t="s">
        <v>760</v>
      </c>
      <c r="C1598" t="s">
        <v>616</v>
      </c>
      <c r="D1598" t="s">
        <v>239</v>
      </c>
      <c r="E1598" t="s">
        <v>59</v>
      </c>
      <c r="F1598">
        <v>41</v>
      </c>
      <c r="G1598">
        <v>2</v>
      </c>
      <c r="H1598">
        <v>6.8027210884353704E-4</v>
      </c>
      <c r="I1598">
        <v>4.8780487804878099E-2</v>
      </c>
      <c r="J1598" s="14" t="str">
        <f>_xlfn.XLOOKUP(B1598,CAD_PDV!A:A,CAD_PDV!B:B)</f>
        <v>TELECELL TELEFONIA LTDA - ME</v>
      </c>
      <c r="K1598" s="14">
        <f>IF(IFERROR(_xlfn.XLOOKUP(B1598,Planilha2!D:D,Planilha2!H:H),0)="SIM",1,0)</f>
        <v>0</v>
      </c>
      <c r="L1598" s="14" t="str">
        <f>_xlfn.XLOOKUP(B1598,CAD_PDV!A:A,CAD_PDV!C:C)</f>
        <v>CO</v>
      </c>
      <c r="M1598" s="14" t="str">
        <f>IFERROR(_xlfn.XLOOKUP(B1598,repete!A:A,repete!A:A),"-")</f>
        <v>-</v>
      </c>
    </row>
    <row r="1599" spans="1:13" hidden="1">
      <c r="A1599" s="1">
        <v>46143</v>
      </c>
      <c r="B1599" t="s">
        <v>1883</v>
      </c>
      <c r="C1599" t="s">
        <v>1884</v>
      </c>
      <c r="D1599" t="s">
        <v>124</v>
      </c>
      <c r="E1599" t="s">
        <v>2074</v>
      </c>
      <c r="F1599">
        <v>35</v>
      </c>
      <c r="G1599">
        <v>2</v>
      </c>
      <c r="H1599">
        <v>6.8027210884353704E-4</v>
      </c>
      <c r="I1599">
        <v>5.7142857142857099E-2</v>
      </c>
      <c r="J1599" s="14" t="str">
        <f>_xlfn.XLOOKUP(B1599,CAD_PDV!A:A,CAD_PDV!B:B)</f>
        <v>EDUARDO JUNQUEIRA DA SILVEIRA ADMIN</v>
      </c>
      <c r="K1599" s="14">
        <f>IF(IFERROR(_xlfn.XLOOKUP(B1599,Planilha2!D:D,Planilha2!H:H),0)="SIM",1,0)</f>
        <v>1</v>
      </c>
      <c r="L1599" s="14" t="str">
        <f>_xlfn.XLOOKUP(B1599,CAD_PDV!A:A,CAD_PDV!C:C)</f>
        <v>RS</v>
      </c>
      <c r="M1599" s="14" t="str">
        <f>IFERROR(_xlfn.XLOOKUP(B1599,repete!A:A,repete!A:A),"-")</f>
        <v>-</v>
      </c>
    </row>
    <row r="1600" spans="1:13" hidden="1">
      <c r="A1600" s="1">
        <v>46143</v>
      </c>
      <c r="B1600" t="s">
        <v>607</v>
      </c>
      <c r="C1600" t="s">
        <v>610</v>
      </c>
      <c r="D1600" t="s">
        <v>224</v>
      </c>
      <c r="E1600" t="s">
        <v>59</v>
      </c>
      <c r="F1600">
        <v>38</v>
      </c>
      <c r="G1600">
        <v>2</v>
      </c>
      <c r="H1600">
        <v>6.8027210884353704E-4</v>
      </c>
      <c r="I1600">
        <v>5.2631578947368397E-2</v>
      </c>
      <c r="J1600" s="14" t="str">
        <f>_xlfn.XLOOKUP(B1600,CAD_PDV!A:A,CAD_PDV!B:B)</f>
        <v>CELNET COMERCIO E SERVICOS DE TELEFONIA LTDA ME</v>
      </c>
      <c r="K1600" s="14">
        <f>IF(IFERROR(_xlfn.XLOOKUP(B1600,Planilha2!D:D,Planilha2!H:H),0)="SIM",1,0)</f>
        <v>0</v>
      </c>
      <c r="L1600" s="14" t="str">
        <f>_xlfn.XLOOKUP(B1600,CAD_PDV!A:A,CAD_PDV!C:C)</f>
        <v>CO</v>
      </c>
      <c r="M1600" s="14" t="str">
        <f>IFERROR(_xlfn.XLOOKUP(B1600,repete!A:A,repete!A:A),"-")</f>
        <v>-</v>
      </c>
    </row>
    <row r="1601" spans="1:13" hidden="1">
      <c r="A1601" s="1">
        <v>46143</v>
      </c>
      <c r="B1601" t="s">
        <v>1717</v>
      </c>
      <c r="C1601" t="s">
        <v>1718</v>
      </c>
      <c r="D1601" t="s">
        <v>232</v>
      </c>
      <c r="E1601" t="s">
        <v>54</v>
      </c>
      <c r="F1601">
        <v>21</v>
      </c>
      <c r="G1601">
        <v>2</v>
      </c>
      <c r="H1601">
        <v>6.8027210884353704E-4</v>
      </c>
      <c r="I1601">
        <v>9.5238095238095205E-2</v>
      </c>
      <c r="J1601" s="14" t="str">
        <f>_xlfn.XLOOKUP(B1601,CAD_PDV!A:A,CAD_PDV!B:B)</f>
        <v>HS TELECOM</v>
      </c>
      <c r="K1601" s="14">
        <f>IF(IFERROR(_xlfn.XLOOKUP(B1601,Planilha2!D:D,Planilha2!H:H),0)="SIM",1,0)</f>
        <v>0</v>
      </c>
      <c r="L1601" s="14" t="str">
        <f>_xlfn.XLOOKUP(B1601,CAD_PDV!A:A,CAD_PDV!C:C)</f>
        <v>SP2</v>
      </c>
      <c r="M1601" s="14" t="str">
        <f>IFERROR(_xlfn.XLOOKUP(B1601,repete!A:A,repete!A:A),"-")</f>
        <v>WD3T</v>
      </c>
    </row>
    <row r="1602" spans="1:13" hidden="1">
      <c r="A1602" s="1">
        <v>46143</v>
      </c>
      <c r="B1602" t="s">
        <v>1721</v>
      </c>
      <c r="C1602" t="s">
        <v>1722</v>
      </c>
      <c r="D1602" t="s">
        <v>112</v>
      </c>
      <c r="E1602" t="s">
        <v>54</v>
      </c>
      <c r="F1602">
        <v>40</v>
      </c>
      <c r="G1602">
        <v>2</v>
      </c>
      <c r="H1602">
        <v>6.8027210884353704E-4</v>
      </c>
      <c r="I1602">
        <v>0.05</v>
      </c>
      <c r="J1602" s="14" t="str">
        <f>_xlfn.XLOOKUP(B1602,CAD_PDV!A:A,CAD_PDV!B:B)</f>
        <v>CONVERGE.NET REPRESENTACOES COMERCIAIS LTDA - EPP</v>
      </c>
      <c r="K1602" s="14">
        <f>IF(IFERROR(_xlfn.XLOOKUP(B1602,Planilha2!D:D,Planilha2!H:H),0)="SIM",1,0)</f>
        <v>0</v>
      </c>
      <c r="L1602" s="14" t="str">
        <f>_xlfn.XLOOKUP(B1602,CAD_PDV!A:A,CAD_PDV!C:C)</f>
        <v>SP2</v>
      </c>
      <c r="M1602" s="14" t="str">
        <f>IFERROR(_xlfn.XLOOKUP(B1602,repete!A:A,repete!A:A),"-")</f>
        <v>-</v>
      </c>
    </row>
    <row r="1603" spans="1:13" hidden="1">
      <c r="A1603" s="1">
        <v>46143</v>
      </c>
      <c r="B1603" t="s">
        <v>1267</v>
      </c>
      <c r="C1603" t="s">
        <v>1268</v>
      </c>
      <c r="D1603" t="s">
        <v>228</v>
      </c>
      <c r="E1603" t="s">
        <v>55</v>
      </c>
      <c r="F1603">
        <v>53</v>
      </c>
      <c r="G1603">
        <v>2</v>
      </c>
      <c r="H1603">
        <v>6.8027210884353704E-4</v>
      </c>
      <c r="I1603">
        <v>3.77358490566038E-2</v>
      </c>
      <c r="J1603" s="14" t="str">
        <f>_xlfn.XLOOKUP(B1603,CAD_PDV!A:A,CAD_PDV!B:B)</f>
        <v>FAJULUTI</v>
      </c>
      <c r="K1603" s="14">
        <f>IF(IFERROR(_xlfn.XLOOKUP(B1603,Planilha2!D:D,Planilha2!H:H),0)="SIM",1,0)</f>
        <v>0</v>
      </c>
      <c r="L1603" s="14" t="str">
        <f>_xlfn.XLOOKUP(B1603,CAD_PDV!A:A,CAD_PDV!C:C)</f>
        <v>RJ/ES</v>
      </c>
      <c r="M1603" s="14" t="str">
        <f>IFERROR(_xlfn.XLOOKUP(B1603,repete!A:A,repete!A:A),"-")</f>
        <v>-</v>
      </c>
    </row>
    <row r="1604" spans="1:13" hidden="1">
      <c r="A1604" s="1">
        <v>46143</v>
      </c>
      <c r="B1604" t="s">
        <v>1042</v>
      </c>
      <c r="C1604" t="s">
        <v>1017</v>
      </c>
      <c r="D1604" t="s">
        <v>232</v>
      </c>
      <c r="E1604" t="s">
        <v>60</v>
      </c>
      <c r="F1604">
        <v>69</v>
      </c>
      <c r="G1604">
        <v>2</v>
      </c>
      <c r="H1604">
        <v>6.8027210884353704E-4</v>
      </c>
      <c r="I1604">
        <v>2.8985507246376802E-2</v>
      </c>
      <c r="J1604" s="14" t="str">
        <f>_xlfn.XLOOKUP(B1604,CAD_PDV!A:A,CAD_PDV!B:B)</f>
        <v>HS TELECOM</v>
      </c>
      <c r="K1604" s="14">
        <f>IF(IFERROR(_xlfn.XLOOKUP(B1604,Planilha2!D:D,Planilha2!H:H),0)="SIM",1,0)</f>
        <v>0</v>
      </c>
      <c r="L1604" s="14" t="str">
        <f>_xlfn.XLOOKUP(B1604,CAD_PDV!A:A,CAD_PDV!C:C)</f>
        <v>BA/SE</v>
      </c>
      <c r="M1604" s="14" t="str">
        <f>IFERROR(_xlfn.XLOOKUP(B1604,repete!A:A,repete!A:A),"-")</f>
        <v>-</v>
      </c>
    </row>
    <row r="1605" spans="1:13" hidden="1">
      <c r="A1605" s="1">
        <v>46143</v>
      </c>
      <c r="B1605" t="s">
        <v>804</v>
      </c>
      <c r="C1605" t="s">
        <v>790</v>
      </c>
      <c r="D1605" t="s">
        <v>169</v>
      </c>
      <c r="E1605" t="s">
        <v>59</v>
      </c>
      <c r="F1605">
        <v>87</v>
      </c>
      <c r="G1605">
        <v>2</v>
      </c>
      <c r="H1605">
        <v>6.8027210884353704E-4</v>
      </c>
      <c r="I1605">
        <v>2.2988505747126398E-2</v>
      </c>
      <c r="J1605" s="14" t="str">
        <f>_xlfn.XLOOKUP(B1605,CAD_PDV!A:A,CAD_PDV!B:B)</f>
        <v>MEGA CELULAR</v>
      </c>
      <c r="K1605" s="14">
        <f>IF(IFERROR(_xlfn.XLOOKUP(B1605,Planilha2!D:D,Planilha2!H:H),0)="SIM",1,0)</f>
        <v>0</v>
      </c>
      <c r="L1605" s="14" t="str">
        <f>_xlfn.XLOOKUP(B1605,CAD_PDV!A:A,CAD_PDV!C:C)</f>
        <v>CO</v>
      </c>
      <c r="M1605" s="14" t="str">
        <f>IFERROR(_xlfn.XLOOKUP(B1605,repete!A:A,repete!A:A),"-")</f>
        <v>-</v>
      </c>
    </row>
    <row r="1606" spans="1:13" hidden="1">
      <c r="A1606" s="1">
        <v>46143</v>
      </c>
      <c r="B1606" t="s">
        <v>2018</v>
      </c>
      <c r="C1606" t="s">
        <v>2019</v>
      </c>
      <c r="D1606" t="s">
        <v>106</v>
      </c>
      <c r="E1606" t="s">
        <v>2074</v>
      </c>
      <c r="F1606">
        <v>18</v>
      </c>
      <c r="G1606">
        <v>1</v>
      </c>
      <c r="H1606">
        <v>3.4013605442176901E-4</v>
      </c>
      <c r="I1606">
        <v>5.5555555555555601E-2</v>
      </c>
      <c r="J1606" s="14" t="str">
        <f>_xlfn.XLOOKUP(B1606,CAD_PDV!A:A,CAD_PDV!B:B)</f>
        <v>CELLULAR.COM</v>
      </c>
      <c r="K1606" s="14">
        <f>IF(IFERROR(_xlfn.XLOOKUP(B1606,Planilha2!D:D,Planilha2!H:H),0)="SIM",1,0)</f>
        <v>0</v>
      </c>
      <c r="L1606" s="14" t="str">
        <f>_xlfn.XLOOKUP(B1606,CAD_PDV!A:A,CAD_PDV!C:C)</f>
        <v>PR/SC</v>
      </c>
      <c r="M1606" s="14" t="str">
        <f>IFERROR(_xlfn.XLOOKUP(B1606,repete!A:A,repete!A:A),"-")</f>
        <v>-</v>
      </c>
    </row>
    <row r="1607" spans="1:13" hidden="1">
      <c r="A1607" s="1">
        <v>46143</v>
      </c>
      <c r="B1607" t="s">
        <v>710</v>
      </c>
      <c r="C1607" t="s">
        <v>711</v>
      </c>
      <c r="D1607" t="s">
        <v>239</v>
      </c>
      <c r="E1607" t="s">
        <v>59</v>
      </c>
      <c r="F1607">
        <v>26</v>
      </c>
      <c r="G1607">
        <v>1</v>
      </c>
      <c r="H1607">
        <v>3.4013605442176901E-4</v>
      </c>
      <c r="I1607">
        <v>3.8461538461538498E-2</v>
      </c>
      <c r="J1607" s="14" t="str">
        <f>_xlfn.XLOOKUP(B1607,CAD_PDV!A:A,CAD_PDV!B:B)</f>
        <v>TELECELL TELEFONIA LTDA - ME</v>
      </c>
      <c r="K1607" s="14">
        <f>IF(IFERROR(_xlfn.XLOOKUP(B1607,Planilha2!D:D,Planilha2!H:H),0)="SIM",1,0)</f>
        <v>0</v>
      </c>
      <c r="L1607" s="14" t="str">
        <f>_xlfn.XLOOKUP(B1607,CAD_PDV!A:A,CAD_PDV!C:C)</f>
        <v>CO</v>
      </c>
      <c r="M1607" s="14" t="str">
        <f>IFERROR(_xlfn.XLOOKUP(B1607,repete!A:A,repete!A:A),"-")</f>
        <v>-</v>
      </c>
    </row>
    <row r="1608" spans="1:13" hidden="1">
      <c r="A1608" s="1">
        <v>46143</v>
      </c>
      <c r="B1608" t="s">
        <v>975</v>
      </c>
      <c r="C1608" t="s">
        <v>976</v>
      </c>
      <c r="D1608" t="s">
        <v>232</v>
      </c>
      <c r="E1608" t="s">
        <v>60</v>
      </c>
      <c r="F1608">
        <v>90</v>
      </c>
      <c r="G1608">
        <v>1</v>
      </c>
      <c r="H1608">
        <v>3.4013605442176901E-4</v>
      </c>
      <c r="I1608">
        <v>1.1111111111111099E-2</v>
      </c>
      <c r="J1608" s="14" t="str">
        <f>_xlfn.XLOOKUP(B1608,CAD_PDV!A:A,CAD_PDV!B:B)</f>
        <v>HS TELECOM</v>
      </c>
      <c r="K1608" s="14">
        <f>IF(IFERROR(_xlfn.XLOOKUP(B1608,Planilha2!D:D,Planilha2!H:H),0)="SIM",1,0)</f>
        <v>0</v>
      </c>
      <c r="L1608" s="14" t="str">
        <f>_xlfn.XLOOKUP(B1608,CAD_PDV!A:A,CAD_PDV!C:C)</f>
        <v>BA/SE</v>
      </c>
      <c r="M1608" s="14" t="str">
        <f>IFERROR(_xlfn.XLOOKUP(B1608,repete!A:A,repete!A:A),"-")</f>
        <v>-</v>
      </c>
    </row>
    <row r="1609" spans="1:13" hidden="1">
      <c r="A1609" s="1">
        <v>46143</v>
      </c>
      <c r="B1609" t="s">
        <v>1452</v>
      </c>
      <c r="C1609" t="s">
        <v>1454</v>
      </c>
      <c r="D1609" t="s">
        <v>106</v>
      </c>
      <c r="E1609" t="s">
        <v>54</v>
      </c>
      <c r="F1609">
        <v>40</v>
      </c>
      <c r="G1609">
        <v>1</v>
      </c>
      <c r="H1609">
        <v>3.4013605442176901E-4</v>
      </c>
      <c r="I1609">
        <v>2.5000000000000001E-2</v>
      </c>
      <c r="J1609" s="14" t="str">
        <f>_xlfn.XLOOKUP(B1609,CAD_PDV!A:A,CAD_PDV!B:B)</f>
        <v>CELLULAR.COM</v>
      </c>
      <c r="K1609" s="14">
        <f>IF(IFERROR(_xlfn.XLOOKUP(B1609,Planilha2!D:D,Planilha2!H:H),0)="SIM",1,0)</f>
        <v>0</v>
      </c>
      <c r="L1609" s="14" t="str">
        <f>_xlfn.XLOOKUP(B1609,CAD_PDV!A:A,CAD_PDV!C:C)</f>
        <v>SP2</v>
      </c>
      <c r="M1609" s="14" t="str">
        <f>IFERROR(_xlfn.XLOOKUP(B1609,repete!A:A,repete!A:A),"-")</f>
        <v>-</v>
      </c>
    </row>
    <row r="1610" spans="1:13" hidden="1">
      <c r="A1610" s="1">
        <v>46143</v>
      </c>
      <c r="B1610" t="s">
        <v>1827</v>
      </c>
      <c r="C1610" t="s">
        <v>1828</v>
      </c>
      <c r="D1610" t="s">
        <v>95</v>
      </c>
      <c r="E1610" t="s">
        <v>2074</v>
      </c>
      <c r="F1610">
        <v>16</v>
      </c>
      <c r="G1610">
        <v>1</v>
      </c>
      <c r="H1610">
        <v>3.4013605442176901E-4</v>
      </c>
      <c r="I1610">
        <v>6.25E-2</v>
      </c>
      <c r="J1610" s="14" t="str">
        <f>_xlfn.XLOOKUP(B1610,CAD_PDV!A:A,CAD_PDV!B:B)</f>
        <v>AYRES E DEBONI LTDA - ME</v>
      </c>
      <c r="K1610" s="14">
        <f>IF(IFERROR(_xlfn.XLOOKUP(B1610,Planilha2!D:D,Planilha2!H:H),0)="SIM",1,0)</f>
        <v>0</v>
      </c>
      <c r="L1610" s="14" t="str">
        <f>_xlfn.XLOOKUP(B1610,CAD_PDV!A:A,CAD_PDV!C:C)</f>
        <v>RS</v>
      </c>
      <c r="M1610" s="14" t="str">
        <f>IFERROR(_xlfn.XLOOKUP(B1610,repete!A:A,repete!A:A),"-")</f>
        <v>-</v>
      </c>
    </row>
    <row r="1611" spans="1:13" hidden="1">
      <c r="A1611" s="1">
        <v>46143</v>
      </c>
      <c r="B1611" t="s">
        <v>1460</v>
      </c>
      <c r="C1611" t="s">
        <v>1462</v>
      </c>
      <c r="D1611" t="s">
        <v>106</v>
      </c>
      <c r="E1611" t="s">
        <v>54</v>
      </c>
      <c r="F1611">
        <v>67</v>
      </c>
      <c r="G1611">
        <v>1</v>
      </c>
      <c r="H1611">
        <v>3.4013605442176901E-4</v>
      </c>
      <c r="I1611">
        <v>1.49253731343284E-2</v>
      </c>
      <c r="J1611" s="14" t="str">
        <f>_xlfn.XLOOKUP(B1611,CAD_PDV!A:A,CAD_PDV!B:B)</f>
        <v>CELLULAR.COM</v>
      </c>
      <c r="K1611" s="14">
        <f>IF(IFERROR(_xlfn.XLOOKUP(B1611,Planilha2!D:D,Planilha2!H:H),0)="SIM",1,0)</f>
        <v>0</v>
      </c>
      <c r="L1611" s="14" t="str">
        <f>_xlfn.XLOOKUP(B1611,CAD_PDV!A:A,CAD_PDV!C:C)</f>
        <v>SP2</v>
      </c>
      <c r="M1611" s="14" t="str">
        <f>IFERROR(_xlfn.XLOOKUP(B1611,repete!A:A,repete!A:A),"-")</f>
        <v>-</v>
      </c>
    </row>
    <row r="1612" spans="1:13" hidden="1">
      <c r="A1612" s="1">
        <v>46143</v>
      </c>
      <c r="B1612" t="s">
        <v>1465</v>
      </c>
      <c r="C1612" t="s">
        <v>1466</v>
      </c>
      <c r="D1612" t="s">
        <v>119</v>
      </c>
      <c r="E1612" t="s">
        <v>54</v>
      </c>
      <c r="F1612">
        <v>33</v>
      </c>
      <c r="G1612">
        <v>1</v>
      </c>
      <c r="H1612">
        <v>3.4013605442176901E-4</v>
      </c>
      <c r="I1612">
        <v>3.03030303030303E-2</v>
      </c>
      <c r="J1612" s="14" t="str">
        <f>_xlfn.XLOOKUP(B1612,CAD_PDV!A:A,CAD_PDV!B:B)</f>
        <v>DOM BARRETO COMERCIAL LTDA - ME</v>
      </c>
      <c r="K1612" s="14">
        <f>IF(IFERROR(_xlfn.XLOOKUP(B1612,Planilha2!D:D,Planilha2!H:H),0)="SIM",1,0)</f>
        <v>0</v>
      </c>
      <c r="L1612" s="14" t="str">
        <f>_xlfn.XLOOKUP(B1612,CAD_PDV!A:A,CAD_PDV!C:C)</f>
        <v>SP2</v>
      </c>
      <c r="M1612" s="14" t="str">
        <f>IFERROR(_xlfn.XLOOKUP(B1612,repete!A:A,repete!A:A),"-")</f>
        <v>-</v>
      </c>
    </row>
    <row r="1613" spans="1:13" hidden="1">
      <c r="A1613" s="1">
        <v>46143</v>
      </c>
      <c r="B1613" t="s">
        <v>1467</v>
      </c>
      <c r="C1613" t="s">
        <v>1469</v>
      </c>
      <c r="D1613" t="s">
        <v>232</v>
      </c>
      <c r="E1613" t="s">
        <v>54</v>
      </c>
      <c r="F1613">
        <v>25</v>
      </c>
      <c r="G1613">
        <v>1</v>
      </c>
      <c r="H1613">
        <v>3.4013605442176901E-4</v>
      </c>
      <c r="I1613">
        <v>0.04</v>
      </c>
      <c r="J1613" s="14" t="str">
        <f>_xlfn.XLOOKUP(B1613,CAD_PDV!A:A,CAD_PDV!B:B)</f>
        <v>HS TELECOM</v>
      </c>
      <c r="K1613" s="14">
        <f>IF(IFERROR(_xlfn.XLOOKUP(B1613,Planilha2!D:D,Planilha2!H:H),0)="SIM",1,0)</f>
        <v>0</v>
      </c>
      <c r="L1613" s="14" t="str">
        <f>_xlfn.XLOOKUP(B1613,CAD_PDV!A:A,CAD_PDV!C:C)</f>
        <v>SP2</v>
      </c>
      <c r="M1613" s="14" t="str">
        <f>IFERROR(_xlfn.XLOOKUP(B1613,repete!A:A,repete!A:A),"-")</f>
        <v>-</v>
      </c>
    </row>
    <row r="1614" spans="1:13" hidden="1">
      <c r="A1614" s="1">
        <v>46143</v>
      </c>
      <c r="B1614" t="s">
        <v>982</v>
      </c>
      <c r="C1614" t="s">
        <v>983</v>
      </c>
      <c r="D1614" t="s">
        <v>232</v>
      </c>
      <c r="E1614" t="s">
        <v>60</v>
      </c>
      <c r="F1614">
        <v>36</v>
      </c>
      <c r="G1614">
        <v>1</v>
      </c>
      <c r="H1614">
        <v>3.4013605442176901E-4</v>
      </c>
      <c r="I1614">
        <v>2.7777777777777801E-2</v>
      </c>
      <c r="J1614" s="14" t="str">
        <f>_xlfn.XLOOKUP(B1614,CAD_PDV!A:A,CAD_PDV!B:B)</f>
        <v>HS TELECOM</v>
      </c>
      <c r="K1614" s="14">
        <f>IF(IFERROR(_xlfn.XLOOKUP(B1614,Planilha2!D:D,Planilha2!H:H),0)="SIM",1,0)</f>
        <v>0</v>
      </c>
      <c r="L1614" s="14" t="str">
        <f>_xlfn.XLOOKUP(B1614,CAD_PDV!A:A,CAD_PDV!C:C)</f>
        <v>BA/SE</v>
      </c>
      <c r="M1614" s="14" t="str">
        <f>IFERROR(_xlfn.XLOOKUP(B1614,repete!A:A,repete!A:A),"-")</f>
        <v>-</v>
      </c>
    </row>
    <row r="1615" spans="1:13" hidden="1">
      <c r="A1615" s="1">
        <v>46143</v>
      </c>
      <c r="B1615" t="s">
        <v>1345</v>
      </c>
      <c r="C1615" t="s">
        <v>1346</v>
      </c>
      <c r="D1615" t="s">
        <v>229</v>
      </c>
      <c r="E1615" t="s">
        <v>53</v>
      </c>
      <c r="F1615">
        <v>33</v>
      </c>
      <c r="G1615">
        <v>1</v>
      </c>
      <c r="H1615">
        <v>3.4013605442176901E-4</v>
      </c>
      <c r="I1615">
        <v>3.03030303030303E-2</v>
      </c>
      <c r="J1615" s="14" t="str">
        <f>_xlfn.XLOOKUP(B1615,CAD_PDV!A:A,CAD_PDV!B:B)</f>
        <v>FW TELEFONIA LTDA - EPP</v>
      </c>
      <c r="K1615" s="14">
        <f>IF(IFERROR(_xlfn.XLOOKUP(B1615,Planilha2!D:D,Planilha2!H:H),0)="SIM",1,0)</f>
        <v>0</v>
      </c>
      <c r="L1615" s="14" t="str">
        <f>_xlfn.XLOOKUP(B1615,CAD_PDV!A:A,CAD_PDV!C:C)</f>
        <v>SP1</v>
      </c>
      <c r="M1615" s="14" t="str">
        <f>IFERROR(_xlfn.XLOOKUP(B1615,repete!A:A,repete!A:A),"-")</f>
        <v>-</v>
      </c>
    </row>
    <row r="1616" spans="1:13" hidden="1">
      <c r="A1616" s="1">
        <v>46143</v>
      </c>
      <c r="B1616" t="s">
        <v>1920</v>
      </c>
      <c r="C1616" t="s">
        <v>1918</v>
      </c>
      <c r="D1616" t="s">
        <v>106</v>
      </c>
      <c r="E1616" t="s">
        <v>2074</v>
      </c>
      <c r="F1616">
        <v>32</v>
      </c>
      <c r="G1616">
        <v>1</v>
      </c>
      <c r="H1616">
        <v>3.4013605442176901E-4</v>
      </c>
      <c r="I1616">
        <v>3.125E-2</v>
      </c>
      <c r="J1616" s="14" t="str">
        <f>_xlfn.XLOOKUP(B1616,CAD_PDV!A:A,CAD_PDV!B:B)</f>
        <v>CELLULAR.COM</v>
      </c>
      <c r="K1616" s="14">
        <f>IF(IFERROR(_xlfn.XLOOKUP(B1616,Planilha2!D:D,Planilha2!H:H),0)="SIM",1,0)</f>
        <v>0</v>
      </c>
      <c r="L1616" s="14" t="str">
        <f>_xlfn.XLOOKUP(B1616,CAD_PDV!A:A,CAD_PDV!C:C)</f>
        <v>PR/SC</v>
      </c>
      <c r="M1616" s="14" t="str">
        <f>IFERROR(_xlfn.XLOOKUP(B1616,repete!A:A,repete!A:A),"-")</f>
        <v>-</v>
      </c>
    </row>
    <row r="1617" spans="1:13" hidden="1">
      <c r="A1617" s="1">
        <v>46143</v>
      </c>
      <c r="B1617" t="s">
        <v>753</v>
      </c>
      <c r="C1617" t="s">
        <v>754</v>
      </c>
      <c r="D1617" t="s">
        <v>239</v>
      </c>
      <c r="E1617" t="s">
        <v>59</v>
      </c>
      <c r="F1617">
        <v>48</v>
      </c>
      <c r="G1617">
        <v>1</v>
      </c>
      <c r="H1617">
        <v>3.4013605442176901E-4</v>
      </c>
      <c r="I1617">
        <v>2.0833333333333301E-2</v>
      </c>
      <c r="J1617" s="14" t="str">
        <f>_xlfn.XLOOKUP(B1617,CAD_PDV!A:A,CAD_PDV!B:B)</f>
        <v>TELECELL TELEFONIA LTDA - ME</v>
      </c>
      <c r="K1617" s="14">
        <f>IF(IFERROR(_xlfn.XLOOKUP(B1617,Planilha2!D:D,Planilha2!H:H),0)="SIM",1,0)</f>
        <v>0</v>
      </c>
      <c r="L1617" s="14" t="str">
        <f>_xlfn.XLOOKUP(B1617,CAD_PDV!A:A,CAD_PDV!C:C)</f>
        <v>CO</v>
      </c>
      <c r="M1617" s="14" t="str">
        <f>IFERROR(_xlfn.XLOOKUP(B1617,repete!A:A,repete!A:A),"-")</f>
        <v>-</v>
      </c>
    </row>
    <row r="1618" spans="1:13" hidden="1">
      <c r="A1618" s="1">
        <v>46143</v>
      </c>
      <c r="B1618" t="s">
        <v>744</v>
      </c>
      <c r="C1618" t="s">
        <v>745</v>
      </c>
      <c r="D1618" t="s">
        <v>224</v>
      </c>
      <c r="E1618" t="s">
        <v>59</v>
      </c>
      <c r="F1618">
        <v>94</v>
      </c>
      <c r="G1618">
        <v>1</v>
      </c>
      <c r="H1618">
        <v>3.4013605442176901E-4</v>
      </c>
      <c r="I1618">
        <v>1.0638297872340399E-2</v>
      </c>
      <c r="J1618" s="14" t="str">
        <f>_xlfn.XLOOKUP(B1618,CAD_PDV!A:A,CAD_PDV!B:B)</f>
        <v>CELNET COMERCIO E SERVICOS DE TELEFONIA LTDA ME</v>
      </c>
      <c r="K1618" s="14">
        <f>IF(IFERROR(_xlfn.XLOOKUP(B1618,Planilha2!D:D,Planilha2!H:H),0)="SIM",1,0)</f>
        <v>0</v>
      </c>
      <c r="L1618" s="14" t="str">
        <f>_xlfn.XLOOKUP(B1618,CAD_PDV!A:A,CAD_PDV!C:C)</f>
        <v>CO</v>
      </c>
      <c r="M1618" s="14" t="str">
        <f>IFERROR(_xlfn.XLOOKUP(B1618,repete!A:A,repete!A:A),"-")</f>
        <v>-</v>
      </c>
    </row>
    <row r="1619" spans="1:13" hidden="1">
      <c r="A1619" s="1">
        <v>46143</v>
      </c>
      <c r="B1619" t="s">
        <v>1377</v>
      </c>
      <c r="C1619" t="s">
        <v>1375</v>
      </c>
      <c r="D1619" t="s">
        <v>229</v>
      </c>
      <c r="E1619" t="s">
        <v>53</v>
      </c>
      <c r="F1619">
        <v>105</v>
      </c>
      <c r="G1619">
        <v>1</v>
      </c>
      <c r="H1619">
        <v>3.4013605442176901E-4</v>
      </c>
      <c r="I1619">
        <v>9.5238095238095195E-3</v>
      </c>
      <c r="J1619" s="14" t="str">
        <f>_xlfn.XLOOKUP(B1619,CAD_PDV!A:A,CAD_PDV!B:B)</f>
        <v>FW TELEFONIA LTDA - EPP</v>
      </c>
      <c r="K1619" s="14">
        <f>IF(IFERROR(_xlfn.XLOOKUP(B1619,Planilha2!D:D,Planilha2!H:H),0)="SIM",1,0)</f>
        <v>0</v>
      </c>
      <c r="L1619" s="14" t="str">
        <f>_xlfn.XLOOKUP(B1619,CAD_PDV!A:A,CAD_PDV!C:C)</f>
        <v>SP1</v>
      </c>
      <c r="M1619" s="14" t="str">
        <f>IFERROR(_xlfn.XLOOKUP(B1619,repete!A:A,repete!A:A),"-")</f>
        <v>6J3J</v>
      </c>
    </row>
    <row r="1620" spans="1:13" hidden="1">
      <c r="A1620" s="1">
        <v>46143</v>
      </c>
      <c r="B1620" t="s">
        <v>2075</v>
      </c>
      <c r="C1620" t="s">
        <v>2076</v>
      </c>
      <c r="D1620" t="s">
        <v>2077</v>
      </c>
      <c r="E1620" t="s">
        <v>2074</v>
      </c>
      <c r="F1620">
        <v>31</v>
      </c>
      <c r="G1620">
        <v>1</v>
      </c>
      <c r="H1620">
        <v>3.4013605442176901E-4</v>
      </c>
      <c r="I1620">
        <v>3.2258064516128997E-2</v>
      </c>
      <c r="J1620" s="14" t="e">
        <f>_xlfn.XLOOKUP(B1620,CAD_PDV!A:A,CAD_PDV!B:B)</f>
        <v>#N/A</v>
      </c>
      <c r="K1620" s="14">
        <f>IF(IFERROR(_xlfn.XLOOKUP(B1620,Planilha2!D:D,Planilha2!H:H),0)="SIM",1,0)</f>
        <v>1</v>
      </c>
      <c r="L1620" s="14" t="e">
        <f>_xlfn.XLOOKUP(B1620,CAD_PDV!A:A,CAD_PDV!C:C)</f>
        <v>#N/A</v>
      </c>
      <c r="M1620" s="14" t="str">
        <f>IFERROR(_xlfn.XLOOKUP(B1620,repete!A:A,repete!A:A),"-")</f>
        <v>-</v>
      </c>
    </row>
    <row r="1621" spans="1:13" hidden="1">
      <c r="A1621" s="1">
        <v>46143</v>
      </c>
      <c r="B1621" t="s">
        <v>1526</v>
      </c>
      <c r="C1621" t="s">
        <v>1527</v>
      </c>
      <c r="D1621" t="s">
        <v>106</v>
      </c>
      <c r="E1621" t="s">
        <v>54</v>
      </c>
      <c r="F1621">
        <v>63</v>
      </c>
      <c r="G1621">
        <v>1</v>
      </c>
      <c r="H1621">
        <v>3.4013605442176901E-4</v>
      </c>
      <c r="I1621">
        <v>1.58730158730159E-2</v>
      </c>
      <c r="J1621" s="14" t="str">
        <f>_xlfn.XLOOKUP(B1621,CAD_PDV!A:A,CAD_PDV!B:B)</f>
        <v>CELLULAR.COM</v>
      </c>
      <c r="K1621" s="14">
        <f>IF(IFERROR(_xlfn.XLOOKUP(B1621,Planilha2!D:D,Planilha2!H:H),0)="SIM",1,0)</f>
        <v>0</v>
      </c>
      <c r="L1621" s="14" t="str">
        <f>_xlfn.XLOOKUP(B1621,CAD_PDV!A:A,CAD_PDV!C:C)</f>
        <v>SP2</v>
      </c>
      <c r="M1621" s="14" t="str">
        <f>IFERROR(_xlfn.XLOOKUP(B1621,repete!A:A,repete!A:A),"-")</f>
        <v>-</v>
      </c>
    </row>
    <row r="1622" spans="1:13" hidden="1">
      <c r="A1622" s="1">
        <v>46143</v>
      </c>
      <c r="B1622" t="s">
        <v>827</v>
      </c>
      <c r="C1622" t="s">
        <v>820</v>
      </c>
      <c r="D1622" t="s">
        <v>239</v>
      </c>
      <c r="E1622" t="s">
        <v>59</v>
      </c>
      <c r="F1622">
        <v>88</v>
      </c>
      <c r="G1622">
        <v>1</v>
      </c>
      <c r="H1622">
        <v>3.4013605442176901E-4</v>
      </c>
      <c r="I1622">
        <v>1.13636363636364E-2</v>
      </c>
      <c r="J1622" s="14" t="str">
        <f>_xlfn.XLOOKUP(B1622,CAD_PDV!A:A,CAD_PDV!B:B)</f>
        <v>TELECELL TELEFONIA LTDA - ME</v>
      </c>
      <c r="K1622" s="14">
        <f>IF(IFERROR(_xlfn.XLOOKUP(B1622,Planilha2!D:D,Planilha2!H:H),0)="SIM",1,0)</f>
        <v>0</v>
      </c>
      <c r="L1622" s="14" t="str">
        <f>_xlfn.XLOOKUP(B1622,CAD_PDV!A:A,CAD_PDV!C:C)</f>
        <v>CO</v>
      </c>
      <c r="M1622" s="14" t="str">
        <f>IFERROR(_xlfn.XLOOKUP(B1622,repete!A:A,repete!A:A),"-")</f>
        <v>-</v>
      </c>
    </row>
    <row r="1623" spans="1:13" hidden="1">
      <c r="A1623" s="1">
        <v>46143</v>
      </c>
      <c r="B1623" t="s">
        <v>1212</v>
      </c>
      <c r="C1623" t="s">
        <v>1142</v>
      </c>
      <c r="D1623" t="s">
        <v>237</v>
      </c>
      <c r="E1623" t="s">
        <v>55</v>
      </c>
      <c r="F1623">
        <v>44</v>
      </c>
      <c r="G1623">
        <v>1</v>
      </c>
      <c r="H1623">
        <v>3.4013605442176901E-4</v>
      </c>
      <c r="I1623">
        <v>2.27272727272727E-2</v>
      </c>
      <c r="J1623" s="14" t="str">
        <f>_xlfn.XLOOKUP(B1623,CAD_PDV!A:A,CAD_PDV!B:B)</f>
        <v>PONTO CERTO COMERCIO E COMUNICAÇÕES LTDA</v>
      </c>
      <c r="K1623" s="14">
        <f>IF(IFERROR(_xlfn.XLOOKUP(B1623,Planilha2!D:D,Planilha2!H:H),0)="SIM",1,0)</f>
        <v>0</v>
      </c>
      <c r="L1623" s="14" t="str">
        <f>_xlfn.XLOOKUP(B1623,CAD_PDV!A:A,CAD_PDV!C:C)</f>
        <v>RJ/ES</v>
      </c>
      <c r="M1623" s="14" t="str">
        <f>IFERROR(_xlfn.XLOOKUP(B1623,repete!A:A,repete!A:A),"-")</f>
        <v>-</v>
      </c>
    </row>
    <row r="1624" spans="1:13" hidden="1">
      <c r="A1624" s="1">
        <v>46143</v>
      </c>
      <c r="B1624" t="s">
        <v>861</v>
      </c>
      <c r="C1624" t="s">
        <v>694</v>
      </c>
      <c r="D1624" t="s">
        <v>239</v>
      </c>
      <c r="E1624" t="s">
        <v>59</v>
      </c>
      <c r="F1624">
        <v>72</v>
      </c>
      <c r="G1624">
        <v>1</v>
      </c>
      <c r="H1624">
        <v>3.4013605442176901E-4</v>
      </c>
      <c r="I1624">
        <v>1.38888888888889E-2</v>
      </c>
      <c r="J1624" s="14" t="str">
        <f>_xlfn.XLOOKUP(B1624,CAD_PDV!A:A,CAD_PDV!B:B)</f>
        <v>TELECELL TELEFONIA LTDA - ME</v>
      </c>
      <c r="K1624" s="14">
        <f>IF(IFERROR(_xlfn.XLOOKUP(B1624,Planilha2!D:D,Planilha2!H:H),0)="SIM",1,0)</f>
        <v>0</v>
      </c>
      <c r="L1624" s="14" t="str">
        <f>_xlfn.XLOOKUP(B1624,CAD_PDV!A:A,CAD_PDV!C:C)</f>
        <v>CO</v>
      </c>
      <c r="M1624" s="14" t="str">
        <f>IFERROR(_xlfn.XLOOKUP(B1624,repete!A:A,repete!A:A),"-")</f>
        <v>-</v>
      </c>
    </row>
    <row r="1625" spans="1:13" hidden="1">
      <c r="A1625" s="1">
        <v>46143</v>
      </c>
      <c r="B1625" t="s">
        <v>597</v>
      </c>
      <c r="C1625" t="s">
        <v>598</v>
      </c>
      <c r="D1625" t="s">
        <v>228</v>
      </c>
      <c r="E1625" t="s">
        <v>56</v>
      </c>
      <c r="F1625">
        <v>33</v>
      </c>
      <c r="G1625">
        <v>1</v>
      </c>
      <c r="H1625">
        <v>3.4013605442176901E-4</v>
      </c>
      <c r="I1625">
        <v>3.03030303030303E-2</v>
      </c>
      <c r="J1625" s="14" t="str">
        <f>_xlfn.XLOOKUP(B1625,CAD_PDV!A:A,CAD_PDV!B:B)</f>
        <v>FAJULUTI</v>
      </c>
      <c r="K1625" s="14">
        <f>IF(IFERROR(_xlfn.XLOOKUP(B1625,Planilha2!D:D,Planilha2!H:H),0)="SIM",1,0)</f>
        <v>0</v>
      </c>
      <c r="L1625" s="14" t="str">
        <f>_xlfn.XLOOKUP(B1625,CAD_PDV!A:A,CAD_PDV!C:C)</f>
        <v>MG</v>
      </c>
      <c r="M1625" s="14" t="str">
        <f>IFERROR(_xlfn.XLOOKUP(B1625,repete!A:A,repete!A:A),"-")</f>
        <v>-</v>
      </c>
    </row>
    <row r="1626" spans="1:13" hidden="1">
      <c r="A1626" s="1">
        <v>46143</v>
      </c>
      <c r="B1626" t="s">
        <v>858</v>
      </c>
      <c r="C1626" t="s">
        <v>716</v>
      </c>
      <c r="D1626" t="s">
        <v>2073</v>
      </c>
      <c r="E1626" t="s">
        <v>59</v>
      </c>
      <c r="F1626">
        <v>15</v>
      </c>
      <c r="G1626">
        <v>1</v>
      </c>
      <c r="H1626">
        <v>3.4013605442176901E-4</v>
      </c>
      <c r="I1626">
        <v>6.6666666666666693E-2</v>
      </c>
      <c r="J1626" s="14" t="str">
        <f>_xlfn.XLOOKUP(B1626,CAD_PDV!A:A,CAD_PDV!B:B)</f>
        <v xml:space="preserve">CONTACOM COMERCIO DE APARELHOS ELETRONICOS LTDA </v>
      </c>
      <c r="K1626" s="14">
        <f>IF(IFERROR(_xlfn.XLOOKUP(B1626,Planilha2!D:D,Planilha2!H:H),0)="SIM",1,0)</f>
        <v>0</v>
      </c>
      <c r="L1626" s="14" t="str">
        <f>_xlfn.XLOOKUP(B1626,CAD_PDV!A:A,CAD_PDV!C:C)</f>
        <v>CO</v>
      </c>
      <c r="M1626" s="14" t="str">
        <f>IFERROR(_xlfn.XLOOKUP(B1626,repete!A:A,repete!A:A),"-")</f>
        <v>-</v>
      </c>
    </row>
    <row r="1627" spans="1:13" hidden="1">
      <c r="A1627" s="1">
        <v>46143</v>
      </c>
      <c r="B1627" t="s">
        <v>881</v>
      </c>
      <c r="C1627" t="s">
        <v>873</v>
      </c>
      <c r="D1627" t="s">
        <v>239</v>
      </c>
      <c r="E1627" t="s">
        <v>59</v>
      </c>
      <c r="F1627">
        <v>95</v>
      </c>
      <c r="G1627">
        <v>1</v>
      </c>
      <c r="H1627">
        <v>3.4013605442176901E-4</v>
      </c>
      <c r="I1627">
        <v>1.05263157894737E-2</v>
      </c>
      <c r="J1627" s="14" t="str">
        <f>_xlfn.XLOOKUP(B1627,CAD_PDV!A:A,CAD_PDV!B:B)</f>
        <v>TELECELL TELEFONIA LTDA - ME</v>
      </c>
      <c r="K1627" s="14">
        <f>IF(IFERROR(_xlfn.XLOOKUP(B1627,Planilha2!D:D,Planilha2!H:H),0)="SIM",1,0)</f>
        <v>0</v>
      </c>
      <c r="L1627" s="14" t="str">
        <f>_xlfn.XLOOKUP(B1627,CAD_PDV!A:A,CAD_PDV!C:C)</f>
        <v>CO</v>
      </c>
      <c r="M1627" s="14" t="str">
        <f>IFERROR(_xlfn.XLOOKUP(B1627,repete!A:A,repete!A:A),"-")</f>
        <v>-</v>
      </c>
    </row>
    <row r="1628" spans="1:13" hidden="1">
      <c r="A1628" s="1">
        <v>46143</v>
      </c>
      <c r="B1628" t="s">
        <v>1546</v>
      </c>
      <c r="C1628" t="s">
        <v>1547</v>
      </c>
      <c r="D1628" t="s">
        <v>132</v>
      </c>
      <c r="E1628" t="s">
        <v>54</v>
      </c>
      <c r="F1628">
        <v>44</v>
      </c>
      <c r="G1628">
        <v>1</v>
      </c>
      <c r="H1628">
        <v>3.4013605442176901E-4</v>
      </c>
      <c r="I1628">
        <v>2.27272727272727E-2</v>
      </c>
      <c r="J1628" s="14" t="str">
        <f>_xlfn.XLOOKUP(B1628,CAD_PDV!A:A,CAD_PDV!B:B)</f>
        <v>FLEX CELL</v>
      </c>
      <c r="K1628" s="14">
        <f>IF(IFERROR(_xlfn.XLOOKUP(B1628,Planilha2!D:D,Planilha2!H:H),0)="SIM",1,0)</f>
        <v>0</v>
      </c>
      <c r="L1628" s="14" t="str">
        <f>_xlfn.XLOOKUP(B1628,CAD_PDV!A:A,CAD_PDV!C:C)</f>
        <v>SP2</v>
      </c>
      <c r="M1628" s="14" t="str">
        <f>IFERROR(_xlfn.XLOOKUP(B1628,repete!A:A,repete!A:A),"-")</f>
        <v>-</v>
      </c>
    </row>
    <row r="1629" spans="1:13" hidden="1">
      <c r="A1629" s="1">
        <v>46143</v>
      </c>
      <c r="B1629" t="s">
        <v>2101</v>
      </c>
      <c r="C1629" t="s">
        <v>1757</v>
      </c>
      <c r="D1629" t="s">
        <v>2080</v>
      </c>
      <c r="E1629" t="s">
        <v>2074</v>
      </c>
      <c r="F1629">
        <v>39</v>
      </c>
      <c r="G1629">
        <v>1</v>
      </c>
      <c r="H1629">
        <v>3.4013605442176901E-4</v>
      </c>
      <c r="I1629">
        <v>2.5641025641025599E-2</v>
      </c>
      <c r="J1629" s="14" t="e">
        <f>_xlfn.XLOOKUP(B1629,CAD_PDV!A:A,CAD_PDV!B:B)</f>
        <v>#N/A</v>
      </c>
      <c r="K1629" s="14">
        <f>IF(IFERROR(_xlfn.XLOOKUP(B1629,Planilha2!D:D,Planilha2!H:H),0)="SIM",1,0)</f>
        <v>0</v>
      </c>
      <c r="L1629" s="14" t="e">
        <f>_xlfn.XLOOKUP(B1629,CAD_PDV!A:A,CAD_PDV!C:C)</f>
        <v>#N/A</v>
      </c>
      <c r="M1629" s="14" t="str">
        <f>IFERROR(_xlfn.XLOOKUP(B1629,repete!A:A,repete!A:A),"-")</f>
        <v>-</v>
      </c>
    </row>
    <row r="1630" spans="1:13" hidden="1">
      <c r="A1630" s="1">
        <v>46143</v>
      </c>
      <c r="B1630" t="s">
        <v>338</v>
      </c>
      <c r="C1630" t="s">
        <v>339</v>
      </c>
      <c r="D1630" t="s">
        <v>141</v>
      </c>
      <c r="E1630" t="s">
        <v>61</v>
      </c>
      <c r="F1630">
        <v>3</v>
      </c>
      <c r="G1630">
        <v>1</v>
      </c>
      <c r="H1630">
        <v>3.4013605442176901E-4</v>
      </c>
      <c r="I1630">
        <v>0.33333333333333298</v>
      </c>
      <c r="J1630" s="14" t="str">
        <f>_xlfn.XLOOKUP(B1630,CAD_PDV!A:A,CAD_PDV!B:B)</f>
        <v>ICARO CARVALHO CAVALCANTE</v>
      </c>
      <c r="K1630" s="14">
        <f>IF(IFERROR(_xlfn.XLOOKUP(B1630,Planilha2!D:D,Planilha2!H:H),0)="SIM",1,0)</f>
        <v>0</v>
      </c>
      <c r="L1630" s="14" t="str">
        <f>_xlfn.XLOOKUP(B1630,CAD_PDV!A:A,CAD_PDV!C:C)</f>
        <v>NE</v>
      </c>
      <c r="M1630" s="14" t="str">
        <f>IFERROR(_xlfn.XLOOKUP(B1630,repete!A:A,repete!A:A),"-")</f>
        <v>-</v>
      </c>
    </row>
    <row r="1631" spans="1:13" hidden="1">
      <c r="A1631" s="1">
        <v>46143</v>
      </c>
      <c r="B1631" t="s">
        <v>1747</v>
      </c>
      <c r="C1631" t="s">
        <v>1748</v>
      </c>
      <c r="D1631" t="s">
        <v>190</v>
      </c>
      <c r="E1631" t="s">
        <v>2074</v>
      </c>
      <c r="F1631">
        <v>23</v>
      </c>
      <c r="G1631">
        <v>1</v>
      </c>
      <c r="H1631">
        <v>3.4013605442176901E-4</v>
      </c>
      <c r="I1631">
        <v>4.3478260869565202E-2</v>
      </c>
      <c r="J1631" s="14" t="str">
        <f>_xlfn.XLOOKUP(B1631,CAD_PDV!A:A,CAD_PDV!B:B)</f>
        <v>RDJ TELECOMUNICACOES LTDA</v>
      </c>
      <c r="K1631" s="14">
        <f>IF(IFERROR(_xlfn.XLOOKUP(B1631,Planilha2!D:D,Planilha2!H:H),0)="SIM",1,0)</f>
        <v>0</v>
      </c>
      <c r="L1631" s="14" t="str">
        <f>_xlfn.XLOOKUP(B1631,CAD_PDV!A:A,CAD_PDV!C:C)</f>
        <v>PR/SC</v>
      </c>
      <c r="M1631" s="14" t="str">
        <f>IFERROR(_xlfn.XLOOKUP(B1631,repete!A:A,repete!A:A),"-")</f>
        <v>-</v>
      </c>
    </row>
    <row r="1632" spans="1:13" hidden="1">
      <c r="A1632" s="1">
        <v>46143</v>
      </c>
      <c r="B1632" t="s">
        <v>1291</v>
      </c>
      <c r="C1632" t="s">
        <v>1292</v>
      </c>
      <c r="D1632" t="s">
        <v>232</v>
      </c>
      <c r="E1632" t="s">
        <v>55</v>
      </c>
      <c r="F1632">
        <v>94</v>
      </c>
      <c r="G1632">
        <v>1</v>
      </c>
      <c r="H1632">
        <v>3.4013605442176901E-4</v>
      </c>
      <c r="I1632">
        <v>1.0638297872340399E-2</v>
      </c>
      <c r="J1632" s="14" t="str">
        <f>_xlfn.XLOOKUP(B1632,CAD_PDV!A:A,CAD_PDV!B:B)</f>
        <v>HS TELECOM</v>
      </c>
      <c r="K1632" s="14">
        <f>IF(IFERROR(_xlfn.XLOOKUP(B1632,Planilha2!D:D,Planilha2!H:H),0)="SIM",1,0)</f>
        <v>0</v>
      </c>
      <c r="L1632" s="14" t="str">
        <f>_xlfn.XLOOKUP(B1632,CAD_PDV!A:A,CAD_PDV!C:C)</f>
        <v>RJ/ES</v>
      </c>
      <c r="M1632" s="14" t="str">
        <f>IFERROR(_xlfn.XLOOKUP(B1632,repete!A:A,repete!A:A),"-")</f>
        <v>-</v>
      </c>
    </row>
    <row r="1633" spans="1:13" hidden="1">
      <c r="A1633" s="1">
        <v>46143</v>
      </c>
      <c r="B1633" t="s">
        <v>1935</v>
      </c>
      <c r="C1633" t="s">
        <v>1937</v>
      </c>
      <c r="D1633" t="s">
        <v>176</v>
      </c>
      <c r="E1633" t="s">
        <v>2074</v>
      </c>
      <c r="F1633">
        <v>26</v>
      </c>
      <c r="G1633">
        <v>1</v>
      </c>
      <c r="H1633">
        <v>3.4013605442176901E-4</v>
      </c>
      <c r="I1633">
        <v>3.8461538461538498E-2</v>
      </c>
      <c r="J1633" s="14" t="str">
        <f>_xlfn.XLOOKUP(B1633,CAD_PDV!A:A,CAD_PDV!B:B)</f>
        <v>NEW POINT CELULAR LTDA - ME</v>
      </c>
      <c r="K1633" s="14">
        <f>IF(IFERROR(_xlfn.XLOOKUP(B1633,Planilha2!D:D,Planilha2!H:H),0)="SIM",1,0)</f>
        <v>0</v>
      </c>
      <c r="L1633" s="14" t="str">
        <f>_xlfn.XLOOKUP(B1633,CAD_PDV!A:A,CAD_PDV!C:C)</f>
        <v>RS</v>
      </c>
      <c r="M1633" s="14" t="str">
        <f>IFERROR(_xlfn.XLOOKUP(B1633,repete!A:A,repete!A:A),"-")</f>
        <v>-</v>
      </c>
    </row>
    <row r="1634" spans="1:13" hidden="1">
      <c r="A1634" s="1">
        <v>46143</v>
      </c>
      <c r="B1634" t="s">
        <v>2097</v>
      </c>
      <c r="C1634" t="s">
        <v>2098</v>
      </c>
      <c r="D1634" t="s">
        <v>2080</v>
      </c>
      <c r="E1634" t="s">
        <v>2074</v>
      </c>
      <c r="F1634">
        <v>31</v>
      </c>
      <c r="G1634">
        <v>1</v>
      </c>
      <c r="H1634">
        <v>3.4013605442176901E-4</v>
      </c>
      <c r="I1634">
        <v>3.2258064516128997E-2</v>
      </c>
      <c r="J1634" s="14" t="e">
        <f>_xlfn.XLOOKUP(B1634,CAD_PDV!A:A,CAD_PDV!B:B)</f>
        <v>#N/A</v>
      </c>
      <c r="K1634" s="14">
        <f>IF(IFERROR(_xlfn.XLOOKUP(B1634,Planilha2!D:D,Planilha2!H:H),0)="SIM",1,0)</f>
        <v>0</v>
      </c>
      <c r="L1634" s="14" t="e">
        <f>_xlfn.XLOOKUP(B1634,CAD_PDV!A:A,CAD_PDV!C:C)</f>
        <v>#N/A</v>
      </c>
      <c r="M1634" s="14" t="str">
        <f>IFERROR(_xlfn.XLOOKUP(B1634,repete!A:A,repete!A:A),"-")</f>
        <v>-</v>
      </c>
    </row>
    <row r="1635" spans="1:13" hidden="1">
      <c r="A1635" s="1">
        <v>46143</v>
      </c>
      <c r="B1635" t="s">
        <v>1239</v>
      </c>
      <c r="C1635" t="s">
        <v>1142</v>
      </c>
      <c r="D1635" t="s">
        <v>237</v>
      </c>
      <c r="E1635" t="s">
        <v>55</v>
      </c>
      <c r="F1635">
        <v>104</v>
      </c>
      <c r="G1635">
        <v>1</v>
      </c>
      <c r="H1635">
        <v>3.4013605442176901E-4</v>
      </c>
      <c r="I1635">
        <v>9.6153846153846194E-3</v>
      </c>
      <c r="J1635" s="14" t="str">
        <f>_xlfn.XLOOKUP(B1635,CAD_PDV!A:A,CAD_PDV!B:B)</f>
        <v>PONTO CERTO COMERCIO E COMUNICAÇÕES LTDA</v>
      </c>
      <c r="K1635" s="14">
        <f>IF(IFERROR(_xlfn.XLOOKUP(B1635,Planilha2!D:D,Planilha2!H:H),0)="SIM",1,0)</f>
        <v>0</v>
      </c>
      <c r="L1635" s="14" t="str">
        <f>_xlfn.XLOOKUP(B1635,CAD_PDV!A:A,CAD_PDV!C:C)</f>
        <v>RJ/ES</v>
      </c>
      <c r="M1635" s="14" t="str">
        <f>IFERROR(_xlfn.XLOOKUP(B1635,repete!A:A,repete!A:A),"-")</f>
        <v>-</v>
      </c>
    </row>
    <row r="1636" spans="1:13" hidden="1">
      <c r="A1636" s="1">
        <v>46143</v>
      </c>
      <c r="B1636" t="s">
        <v>1165</v>
      </c>
      <c r="C1636" t="s">
        <v>1142</v>
      </c>
      <c r="D1636" t="s">
        <v>237</v>
      </c>
      <c r="E1636" t="s">
        <v>55</v>
      </c>
      <c r="F1636">
        <v>138</v>
      </c>
      <c r="G1636">
        <v>1</v>
      </c>
      <c r="H1636">
        <v>3.4013605442176901E-4</v>
      </c>
      <c r="I1636">
        <v>7.2463768115942004E-3</v>
      </c>
      <c r="J1636" s="14" t="str">
        <f>_xlfn.XLOOKUP(B1636,CAD_PDV!A:A,CAD_PDV!B:B)</f>
        <v>PONTO CERTO COMERCIO E COMUNICAÇÕES LTDA</v>
      </c>
      <c r="K1636" s="14">
        <f>IF(IFERROR(_xlfn.XLOOKUP(B1636,Planilha2!D:D,Planilha2!H:H),0)="SIM",1,0)</f>
        <v>0</v>
      </c>
      <c r="L1636" s="14" t="str">
        <f>_xlfn.XLOOKUP(B1636,CAD_PDV!A:A,CAD_PDV!C:C)</f>
        <v>RJ/ES</v>
      </c>
      <c r="M1636" s="14" t="str">
        <f>IFERROR(_xlfn.XLOOKUP(B1636,repete!A:A,repete!A:A),"-")</f>
        <v>-</v>
      </c>
    </row>
    <row r="1637" spans="1:13" hidden="1">
      <c r="A1637" s="1">
        <v>46143</v>
      </c>
      <c r="B1637" t="s">
        <v>1871</v>
      </c>
      <c r="C1637" t="s">
        <v>1872</v>
      </c>
      <c r="D1637" t="s">
        <v>124</v>
      </c>
      <c r="E1637" t="s">
        <v>2074</v>
      </c>
      <c r="F1637">
        <v>37</v>
      </c>
      <c r="G1637">
        <v>1</v>
      </c>
      <c r="H1637">
        <v>3.4013605442176901E-4</v>
      </c>
      <c r="I1637">
        <v>2.7027027027027001E-2</v>
      </c>
      <c r="J1637" s="14" t="str">
        <f>_xlfn.XLOOKUP(B1637,CAD_PDV!A:A,CAD_PDV!B:B)</f>
        <v>EDUARDO JUNQUEIRA DA SILVEIRA ADMIN</v>
      </c>
      <c r="K1637" s="14">
        <f>IF(IFERROR(_xlfn.XLOOKUP(B1637,Planilha2!D:D,Planilha2!H:H),0)="SIM",1,0)</f>
        <v>0</v>
      </c>
      <c r="L1637" s="14" t="str">
        <f>_xlfn.XLOOKUP(B1637,CAD_PDV!A:A,CAD_PDV!C:C)</f>
        <v>RS</v>
      </c>
      <c r="M1637" s="14" t="str">
        <f>IFERROR(_xlfn.XLOOKUP(B1637,repete!A:A,repete!A:A),"-")</f>
        <v>-</v>
      </c>
    </row>
    <row r="1638" spans="1:13" hidden="1">
      <c r="A1638" s="1">
        <v>46143</v>
      </c>
      <c r="B1638" t="s">
        <v>1594</v>
      </c>
      <c r="C1638" t="s">
        <v>1512</v>
      </c>
      <c r="D1638" t="s">
        <v>120</v>
      </c>
      <c r="E1638" t="s">
        <v>54</v>
      </c>
      <c r="F1638">
        <v>81</v>
      </c>
      <c r="G1638">
        <v>1</v>
      </c>
      <c r="H1638">
        <v>3.4013605442176901E-4</v>
      </c>
      <c r="I1638">
        <v>1.2345679012345699E-2</v>
      </c>
      <c r="J1638" s="14" t="str">
        <f>_xlfn.XLOOKUP(B1638,CAD_PDV!A:A,CAD_PDV!B:B)</f>
        <v>DOUGLAS LUIZ ELETRONICOS - ME</v>
      </c>
      <c r="K1638" s="14">
        <f>IF(IFERROR(_xlfn.XLOOKUP(B1638,Planilha2!D:D,Planilha2!H:H),0)="SIM",1,0)</f>
        <v>0</v>
      </c>
      <c r="L1638" s="14" t="str">
        <f>_xlfn.XLOOKUP(B1638,CAD_PDV!A:A,CAD_PDV!C:C)</f>
        <v>SP2</v>
      </c>
      <c r="M1638" s="14" t="str">
        <f>IFERROR(_xlfn.XLOOKUP(B1638,repete!A:A,repete!A:A),"-")</f>
        <v>-</v>
      </c>
    </row>
    <row r="1639" spans="1:13" hidden="1">
      <c r="A1639" s="1">
        <v>46143</v>
      </c>
      <c r="B1639" t="s">
        <v>1240</v>
      </c>
      <c r="C1639" t="s">
        <v>1207</v>
      </c>
      <c r="D1639" t="s">
        <v>2072</v>
      </c>
      <c r="E1639" t="s">
        <v>55</v>
      </c>
      <c r="F1639">
        <v>12</v>
      </c>
      <c r="G1639">
        <v>1</v>
      </c>
      <c r="H1639">
        <v>3.4013605442176901E-4</v>
      </c>
      <c r="I1639">
        <v>8.3333333333333301E-2</v>
      </c>
      <c r="J1639" s="14" t="str">
        <f>_xlfn.XLOOKUP(B1639,CAD_PDV!A:A,CAD_PDV!B:B)</f>
        <v>MEXCELL COMERCIO E SERVICOS DE TELECOMUNICACOES LTDA</v>
      </c>
      <c r="K1639" s="14">
        <f>IF(IFERROR(_xlfn.XLOOKUP(B1639,Planilha2!D:D,Planilha2!H:H),0)="SIM",1,0)</f>
        <v>0</v>
      </c>
      <c r="L1639" s="14" t="str">
        <f>_xlfn.XLOOKUP(B1639,CAD_PDV!A:A,CAD_PDV!C:C)</f>
        <v>RJ/ES</v>
      </c>
      <c r="M1639" s="14" t="str">
        <f>IFERROR(_xlfn.XLOOKUP(B1639,repete!A:A,repete!A:A),"-")</f>
        <v>-</v>
      </c>
    </row>
    <row r="1640" spans="1:13" hidden="1">
      <c r="A1640" s="1">
        <v>46143</v>
      </c>
      <c r="B1640" t="s">
        <v>2091</v>
      </c>
      <c r="C1640" t="s">
        <v>2092</v>
      </c>
      <c r="D1640" t="s">
        <v>2093</v>
      </c>
      <c r="E1640" t="s">
        <v>2074</v>
      </c>
      <c r="F1640">
        <v>47</v>
      </c>
      <c r="G1640">
        <v>1</v>
      </c>
      <c r="H1640">
        <v>3.4013605442176901E-4</v>
      </c>
      <c r="I1640">
        <v>2.1276595744680899E-2</v>
      </c>
      <c r="J1640" s="14" t="e">
        <f>_xlfn.XLOOKUP(B1640,CAD_PDV!A:A,CAD_PDV!B:B)</f>
        <v>#N/A</v>
      </c>
      <c r="K1640" s="14">
        <f>IF(IFERROR(_xlfn.XLOOKUP(B1640,Planilha2!D:D,Planilha2!H:H),0)="SIM",1,0)</f>
        <v>1</v>
      </c>
      <c r="L1640" s="14" t="e">
        <f>_xlfn.XLOOKUP(B1640,CAD_PDV!A:A,CAD_PDV!C:C)</f>
        <v>#N/A</v>
      </c>
      <c r="M1640" s="14" t="str">
        <f>IFERROR(_xlfn.XLOOKUP(B1640,repete!A:A,repete!A:A),"-")</f>
        <v>-</v>
      </c>
    </row>
    <row r="1641" spans="1:13" hidden="1">
      <c r="A1641" s="1">
        <v>46143</v>
      </c>
      <c r="B1641" t="s">
        <v>1603</v>
      </c>
      <c r="C1641" t="s">
        <v>1557</v>
      </c>
      <c r="D1641" t="s">
        <v>119</v>
      </c>
      <c r="E1641" t="s">
        <v>54</v>
      </c>
      <c r="F1641">
        <v>20</v>
      </c>
      <c r="G1641">
        <v>1</v>
      </c>
      <c r="H1641">
        <v>3.4013605442176901E-4</v>
      </c>
      <c r="I1641">
        <v>0.05</v>
      </c>
      <c r="J1641" s="14" t="str">
        <f>_xlfn.XLOOKUP(B1641,CAD_PDV!A:A,CAD_PDV!B:B)</f>
        <v>DOM BARRETO COMERCIAL LTDA - ME</v>
      </c>
      <c r="K1641" s="14">
        <f>IF(IFERROR(_xlfn.XLOOKUP(B1641,Planilha2!D:D,Planilha2!H:H),0)="SIM",1,0)</f>
        <v>0</v>
      </c>
      <c r="L1641" s="14" t="str">
        <f>_xlfn.XLOOKUP(B1641,CAD_PDV!A:A,CAD_PDV!C:C)</f>
        <v>SP2</v>
      </c>
      <c r="M1641" s="14" t="str">
        <f>IFERROR(_xlfn.XLOOKUP(B1641,repete!A:A,repete!A:A),"-")</f>
        <v>-</v>
      </c>
    </row>
    <row r="1642" spans="1:13" hidden="1">
      <c r="A1642" s="1">
        <v>46143</v>
      </c>
      <c r="B1642" t="s">
        <v>1752</v>
      </c>
      <c r="C1642" t="s">
        <v>1755</v>
      </c>
      <c r="D1642" t="s">
        <v>106</v>
      </c>
      <c r="E1642" t="s">
        <v>2074</v>
      </c>
      <c r="F1642">
        <v>20</v>
      </c>
      <c r="G1642">
        <v>1</v>
      </c>
      <c r="H1642">
        <v>3.4013605442176901E-4</v>
      </c>
      <c r="I1642">
        <v>0.05</v>
      </c>
      <c r="J1642" s="14" t="str">
        <f>_xlfn.XLOOKUP(B1642,CAD_PDV!A:A,CAD_PDV!B:B)</f>
        <v>CELLULAR.COM</v>
      </c>
      <c r="K1642" s="14">
        <f>IF(IFERROR(_xlfn.XLOOKUP(B1642,Planilha2!D:D,Planilha2!H:H),0)="SIM",1,0)</f>
        <v>0</v>
      </c>
      <c r="L1642" s="14" t="str">
        <f>_xlfn.XLOOKUP(B1642,CAD_PDV!A:A,CAD_PDV!C:C)</f>
        <v>RS</v>
      </c>
      <c r="M1642" s="14" t="str">
        <f>IFERROR(_xlfn.XLOOKUP(B1642,repete!A:A,repete!A:A),"-")</f>
        <v>-</v>
      </c>
    </row>
    <row r="1643" spans="1:13" hidden="1">
      <c r="A1643" s="1">
        <v>46143</v>
      </c>
      <c r="B1643" t="s">
        <v>1615</v>
      </c>
      <c r="C1643" t="s">
        <v>1616</v>
      </c>
      <c r="D1643" t="s">
        <v>132</v>
      </c>
      <c r="E1643" t="s">
        <v>54</v>
      </c>
      <c r="F1643">
        <v>32</v>
      </c>
      <c r="G1643">
        <v>1</v>
      </c>
      <c r="H1643">
        <v>3.4013605442176901E-4</v>
      </c>
      <c r="I1643">
        <v>3.125E-2</v>
      </c>
      <c r="J1643" s="14" t="str">
        <f>_xlfn.XLOOKUP(B1643,CAD_PDV!A:A,CAD_PDV!B:B)</f>
        <v>FLEX CELL</v>
      </c>
      <c r="K1643" s="14">
        <f>IF(IFERROR(_xlfn.XLOOKUP(B1643,Planilha2!D:D,Planilha2!H:H),0)="SIM",1,0)</f>
        <v>0</v>
      </c>
      <c r="L1643" s="14" t="str">
        <f>_xlfn.XLOOKUP(B1643,CAD_PDV!A:A,CAD_PDV!C:C)</f>
        <v>SP2</v>
      </c>
      <c r="M1643" s="14" t="str">
        <f>IFERROR(_xlfn.XLOOKUP(B1643,repete!A:A,repete!A:A),"-")</f>
        <v>-</v>
      </c>
    </row>
    <row r="1644" spans="1:13" hidden="1">
      <c r="A1644" s="1">
        <v>46143</v>
      </c>
      <c r="B1644" t="s">
        <v>1851</v>
      </c>
      <c r="C1644" t="s">
        <v>1852</v>
      </c>
      <c r="D1644" t="s">
        <v>106</v>
      </c>
      <c r="E1644" t="s">
        <v>2074</v>
      </c>
      <c r="F1644">
        <v>137</v>
      </c>
      <c r="G1644">
        <v>1</v>
      </c>
      <c r="H1644">
        <v>3.4013605442176901E-4</v>
      </c>
      <c r="I1644">
        <v>7.2992700729926996E-3</v>
      </c>
      <c r="J1644" s="14" t="str">
        <f>_xlfn.XLOOKUP(B1644,CAD_PDV!A:A,CAD_PDV!B:B)</f>
        <v>CELLULAR.COM</v>
      </c>
      <c r="K1644" s="14">
        <f>IF(IFERROR(_xlfn.XLOOKUP(B1644,Planilha2!D:D,Planilha2!H:H),0)="SIM",1,0)</f>
        <v>0</v>
      </c>
      <c r="L1644" s="14" t="str">
        <f>_xlfn.XLOOKUP(B1644,CAD_PDV!A:A,CAD_PDV!C:C)</f>
        <v>PR/SC</v>
      </c>
      <c r="M1644" s="14" t="str">
        <f>IFERROR(_xlfn.XLOOKUP(B1644,repete!A:A,repete!A:A),"-")</f>
        <v>-</v>
      </c>
    </row>
    <row r="1645" spans="1:13" hidden="1">
      <c r="A1645" s="1">
        <v>46143</v>
      </c>
      <c r="B1645" t="s">
        <v>357</v>
      </c>
      <c r="C1645" t="s">
        <v>358</v>
      </c>
      <c r="D1645" t="s">
        <v>230</v>
      </c>
      <c r="E1645" t="s">
        <v>61</v>
      </c>
      <c r="F1645">
        <v>51</v>
      </c>
      <c r="G1645">
        <v>1</v>
      </c>
      <c r="H1645">
        <v>3.4013605442176901E-4</v>
      </c>
      <c r="I1645">
        <v>1.9607843137254902E-2</v>
      </c>
      <c r="J1645" s="14" t="str">
        <f>_xlfn.XLOOKUP(B1645,CAD_PDV!A:A,CAD_PDV!B:B)</f>
        <v>HARCOS COMERCIO E SERVICOS LTDA - EPP</v>
      </c>
      <c r="K1645" s="14">
        <f>IF(IFERROR(_xlfn.XLOOKUP(B1645,Planilha2!D:D,Planilha2!H:H),0)="SIM",1,0)</f>
        <v>0</v>
      </c>
      <c r="L1645" s="14" t="str">
        <f>_xlfn.XLOOKUP(B1645,CAD_PDV!A:A,CAD_PDV!C:C)</f>
        <v>NE</v>
      </c>
      <c r="M1645" s="14" t="str">
        <f>IFERROR(_xlfn.XLOOKUP(B1645,repete!A:A,repete!A:A),"-")</f>
        <v>-</v>
      </c>
    </row>
    <row r="1646" spans="1:13" hidden="1">
      <c r="A1646" s="1">
        <v>46143</v>
      </c>
      <c r="B1646" t="s">
        <v>1849</v>
      </c>
      <c r="C1646" t="s">
        <v>1847</v>
      </c>
      <c r="D1646" t="s">
        <v>106</v>
      </c>
      <c r="E1646" t="s">
        <v>2074</v>
      </c>
      <c r="F1646">
        <v>24</v>
      </c>
      <c r="G1646">
        <v>1</v>
      </c>
      <c r="H1646">
        <v>3.4013605442176901E-4</v>
      </c>
      <c r="I1646">
        <v>4.1666666666666699E-2</v>
      </c>
      <c r="J1646" s="14" t="str">
        <f>_xlfn.XLOOKUP(B1646,CAD_PDV!A:A,CAD_PDV!B:B)</f>
        <v>CELLULAR.COM</v>
      </c>
      <c r="K1646" s="14">
        <f>IF(IFERROR(_xlfn.XLOOKUP(B1646,Planilha2!D:D,Planilha2!H:H),0)="SIM",1,0)</f>
        <v>0</v>
      </c>
      <c r="L1646" s="14" t="str">
        <f>_xlfn.XLOOKUP(B1646,CAD_PDV!A:A,CAD_PDV!C:C)</f>
        <v>PR/SC</v>
      </c>
      <c r="M1646" s="14" t="str">
        <f>IFERROR(_xlfn.XLOOKUP(B1646,repete!A:A,repete!A:A),"-")</f>
        <v>-</v>
      </c>
    </row>
    <row r="1647" spans="1:13" hidden="1">
      <c r="A1647" s="1">
        <v>46143</v>
      </c>
      <c r="B1647" t="s">
        <v>1247</v>
      </c>
      <c r="C1647" t="s">
        <v>1180</v>
      </c>
      <c r="D1647" t="s">
        <v>237</v>
      </c>
      <c r="E1647" t="s">
        <v>55</v>
      </c>
      <c r="F1647">
        <v>221</v>
      </c>
      <c r="G1647">
        <v>1</v>
      </c>
      <c r="H1647">
        <v>3.4013605442176901E-4</v>
      </c>
      <c r="I1647">
        <v>4.5248868778280504E-3</v>
      </c>
      <c r="J1647" s="14" t="str">
        <f>_xlfn.XLOOKUP(B1647,CAD_PDV!A:A,CAD_PDV!B:B)</f>
        <v>PONTO CERTO COMERCIO E COMUNICAÇÕES LTDA</v>
      </c>
      <c r="K1647" s="14">
        <f>IF(IFERROR(_xlfn.XLOOKUP(B1647,Planilha2!D:D,Planilha2!H:H),0)="SIM",1,0)</f>
        <v>0</v>
      </c>
      <c r="L1647" s="14" t="str">
        <f>_xlfn.XLOOKUP(B1647,CAD_PDV!A:A,CAD_PDV!C:C)</f>
        <v>RJ/ES</v>
      </c>
      <c r="M1647" s="14" t="str">
        <f>IFERROR(_xlfn.XLOOKUP(B1647,repete!A:A,repete!A:A),"-")</f>
        <v>-</v>
      </c>
    </row>
    <row r="1648" spans="1:13" hidden="1">
      <c r="A1648" s="1">
        <v>46143</v>
      </c>
      <c r="B1648" t="s">
        <v>1868</v>
      </c>
      <c r="C1648" t="s">
        <v>1870</v>
      </c>
      <c r="D1648" t="s">
        <v>124</v>
      </c>
      <c r="E1648" t="s">
        <v>2074</v>
      </c>
      <c r="F1648">
        <v>31</v>
      </c>
      <c r="G1648">
        <v>1</v>
      </c>
      <c r="H1648">
        <v>3.4013605442176901E-4</v>
      </c>
      <c r="I1648">
        <v>3.2258064516128997E-2</v>
      </c>
      <c r="J1648" s="14" t="str">
        <f>_xlfn.XLOOKUP(B1648,CAD_PDV!A:A,CAD_PDV!B:B)</f>
        <v>EDUARDO JUNQUEIRA DA SILVEIRA ADMIN</v>
      </c>
      <c r="K1648" s="14">
        <f>IF(IFERROR(_xlfn.XLOOKUP(B1648,Planilha2!D:D,Planilha2!H:H),0)="SIM",1,0)</f>
        <v>0</v>
      </c>
      <c r="L1648" s="14" t="str">
        <f>_xlfn.XLOOKUP(B1648,CAD_PDV!A:A,CAD_PDV!C:C)</f>
        <v>RS</v>
      </c>
      <c r="M1648" s="14" t="str">
        <f>IFERROR(_xlfn.XLOOKUP(B1648,repete!A:A,repete!A:A),"-")</f>
        <v>-</v>
      </c>
    </row>
    <row r="1649" spans="1:13" hidden="1">
      <c r="A1649" s="1">
        <v>46143</v>
      </c>
      <c r="B1649" t="s">
        <v>1289</v>
      </c>
      <c r="C1649" t="s">
        <v>1290</v>
      </c>
      <c r="D1649" t="s">
        <v>232</v>
      </c>
      <c r="E1649" t="s">
        <v>55</v>
      </c>
      <c r="F1649">
        <v>33</v>
      </c>
      <c r="G1649">
        <v>1</v>
      </c>
      <c r="H1649">
        <v>3.4013605442176901E-4</v>
      </c>
      <c r="I1649">
        <v>3.03030303030303E-2</v>
      </c>
      <c r="J1649" s="14" t="str">
        <f>_xlfn.XLOOKUP(B1649,CAD_PDV!A:A,CAD_PDV!B:B)</f>
        <v>HS TELECOM</v>
      </c>
      <c r="K1649" s="14">
        <f>IF(IFERROR(_xlfn.XLOOKUP(B1649,Planilha2!D:D,Planilha2!H:H),0)="SIM",1,0)</f>
        <v>0</v>
      </c>
      <c r="L1649" s="14" t="str">
        <f>_xlfn.XLOOKUP(B1649,CAD_PDV!A:A,CAD_PDV!C:C)</f>
        <v>RJ/ES</v>
      </c>
      <c r="M1649" s="14" t="str">
        <f>IFERROR(_xlfn.XLOOKUP(B1649,repete!A:A,repete!A:A),"-")</f>
        <v>-</v>
      </c>
    </row>
    <row r="1650" spans="1:13" hidden="1">
      <c r="A1650" s="1">
        <v>46143</v>
      </c>
      <c r="B1650" t="s">
        <v>958</v>
      </c>
      <c r="C1650" t="s">
        <v>944</v>
      </c>
      <c r="D1650" t="s">
        <v>232</v>
      </c>
      <c r="E1650" t="s">
        <v>60</v>
      </c>
      <c r="F1650">
        <v>63</v>
      </c>
      <c r="G1650">
        <v>1</v>
      </c>
      <c r="H1650">
        <v>3.4013605442176901E-4</v>
      </c>
      <c r="I1650">
        <v>1.58730158730159E-2</v>
      </c>
      <c r="J1650" s="14" t="str">
        <f>_xlfn.XLOOKUP(B1650,CAD_PDV!A:A,CAD_PDV!B:B)</f>
        <v>HS TELECOM</v>
      </c>
      <c r="K1650" s="14">
        <f>IF(IFERROR(_xlfn.XLOOKUP(B1650,Planilha2!D:D,Planilha2!H:H),0)="SIM",1,0)</f>
        <v>0</v>
      </c>
      <c r="L1650" s="14" t="str">
        <f>_xlfn.XLOOKUP(B1650,CAD_PDV!A:A,CAD_PDV!C:C)</f>
        <v>BA/SE</v>
      </c>
      <c r="M1650" s="14" t="str">
        <f>IFERROR(_xlfn.XLOOKUP(B1650,repete!A:A,repete!A:A),"-")</f>
        <v>-</v>
      </c>
    </row>
    <row r="1651" spans="1:13" hidden="1">
      <c r="A1651" s="1">
        <v>46143</v>
      </c>
      <c r="B1651" t="s">
        <v>799</v>
      </c>
      <c r="C1651" t="s">
        <v>651</v>
      </c>
      <c r="D1651" t="s">
        <v>239</v>
      </c>
      <c r="E1651" t="s">
        <v>59</v>
      </c>
      <c r="F1651">
        <v>63</v>
      </c>
      <c r="G1651">
        <v>1</v>
      </c>
      <c r="H1651">
        <v>3.4013605442176901E-4</v>
      </c>
      <c r="I1651">
        <v>1.58730158730159E-2</v>
      </c>
      <c r="J1651" s="14" t="str">
        <f>_xlfn.XLOOKUP(B1651,CAD_PDV!A:A,CAD_PDV!B:B)</f>
        <v>TELECELL TELEFONIA LTDA - ME</v>
      </c>
      <c r="K1651" s="14">
        <f>IF(IFERROR(_xlfn.XLOOKUP(B1651,Planilha2!D:D,Planilha2!H:H),0)="SIM",1,0)</f>
        <v>0</v>
      </c>
      <c r="L1651" s="14" t="str">
        <f>_xlfn.XLOOKUP(B1651,CAD_PDV!A:A,CAD_PDV!C:C)</f>
        <v>CO</v>
      </c>
      <c r="M1651" s="14" t="str">
        <f>IFERROR(_xlfn.XLOOKUP(B1651,repete!A:A,repete!A:A),"-")</f>
        <v>-</v>
      </c>
    </row>
    <row r="1652" spans="1:13" hidden="1">
      <c r="A1652" s="1">
        <v>46143</v>
      </c>
      <c r="B1652" t="s">
        <v>365</v>
      </c>
      <c r="C1652" t="s">
        <v>261</v>
      </c>
      <c r="D1652" t="s">
        <v>230</v>
      </c>
      <c r="E1652" t="s">
        <v>61</v>
      </c>
      <c r="F1652">
        <v>156</v>
      </c>
      <c r="G1652">
        <v>1</v>
      </c>
      <c r="H1652">
        <v>3.4013605442176901E-4</v>
      </c>
      <c r="I1652">
        <v>6.41025641025641E-3</v>
      </c>
      <c r="J1652" s="14" t="str">
        <f>_xlfn.XLOOKUP(B1652,CAD_PDV!A:A,CAD_PDV!B:B)</f>
        <v>HARCOS COMERCIO E SERVICOS LTDA - EPP</v>
      </c>
      <c r="K1652" s="14">
        <f>IF(IFERROR(_xlfn.XLOOKUP(B1652,Planilha2!D:D,Planilha2!H:H),0)="SIM",1,0)</f>
        <v>0</v>
      </c>
      <c r="L1652" s="14" t="str">
        <f>_xlfn.XLOOKUP(B1652,CAD_PDV!A:A,CAD_PDV!C:C)</f>
        <v>NE</v>
      </c>
      <c r="M1652" s="14" t="str">
        <f>IFERROR(_xlfn.XLOOKUP(B1652,repete!A:A,repete!A:A),"-")</f>
        <v>-</v>
      </c>
    </row>
    <row r="1653" spans="1:13" hidden="1">
      <c r="A1653" s="1">
        <v>46143</v>
      </c>
      <c r="B1653" t="s">
        <v>1633</v>
      </c>
      <c r="C1653" t="s">
        <v>1527</v>
      </c>
      <c r="D1653" t="s">
        <v>106</v>
      </c>
      <c r="E1653" t="s">
        <v>54</v>
      </c>
      <c r="F1653">
        <v>65</v>
      </c>
      <c r="G1653">
        <v>1</v>
      </c>
      <c r="H1653">
        <v>3.4013605442176901E-4</v>
      </c>
      <c r="I1653">
        <v>1.5384615384615399E-2</v>
      </c>
      <c r="J1653" s="14" t="str">
        <f>_xlfn.XLOOKUP(B1653,CAD_PDV!A:A,CAD_PDV!B:B)</f>
        <v>CELLULAR.COM</v>
      </c>
      <c r="K1653" s="14">
        <f>IF(IFERROR(_xlfn.XLOOKUP(B1653,Planilha2!D:D,Planilha2!H:H),0)="SIM",1,0)</f>
        <v>0</v>
      </c>
      <c r="L1653" s="14" t="str">
        <f>_xlfn.XLOOKUP(B1653,CAD_PDV!A:A,CAD_PDV!C:C)</f>
        <v>SP2</v>
      </c>
      <c r="M1653" s="14" t="str">
        <f>IFERROR(_xlfn.XLOOKUP(B1653,repete!A:A,repete!A:A),"-")</f>
        <v>-</v>
      </c>
    </row>
    <row r="1654" spans="1:13" hidden="1">
      <c r="A1654" s="1">
        <v>46143</v>
      </c>
      <c r="B1654" t="s">
        <v>703</v>
      </c>
      <c r="C1654" t="s">
        <v>694</v>
      </c>
      <c r="D1654" t="s">
        <v>239</v>
      </c>
      <c r="E1654" t="s">
        <v>59</v>
      </c>
      <c r="F1654">
        <v>37</v>
      </c>
      <c r="G1654">
        <v>1</v>
      </c>
      <c r="H1654">
        <v>3.4013605442176901E-4</v>
      </c>
      <c r="I1654">
        <v>2.7027027027027001E-2</v>
      </c>
      <c r="J1654" s="14" t="str">
        <f>_xlfn.XLOOKUP(B1654,CAD_PDV!A:A,CAD_PDV!B:B)</f>
        <v>TELECELL TELEFONIA LTDA - ME</v>
      </c>
      <c r="K1654" s="14">
        <f>IF(IFERROR(_xlfn.XLOOKUP(B1654,Planilha2!D:D,Planilha2!H:H),0)="SIM",1,0)</f>
        <v>0</v>
      </c>
      <c r="L1654" s="14" t="str">
        <f>_xlfn.XLOOKUP(B1654,CAD_PDV!A:A,CAD_PDV!C:C)</f>
        <v>CO</v>
      </c>
      <c r="M1654" s="14" t="str">
        <f>IFERROR(_xlfn.XLOOKUP(B1654,repete!A:A,repete!A:A),"-")</f>
        <v>-</v>
      </c>
    </row>
    <row r="1655" spans="1:13" hidden="1">
      <c r="A1655" s="1">
        <v>46143</v>
      </c>
      <c r="B1655" t="s">
        <v>459</v>
      </c>
      <c r="C1655" t="s">
        <v>460</v>
      </c>
      <c r="D1655" t="s">
        <v>115</v>
      </c>
      <c r="E1655" t="s">
        <v>56</v>
      </c>
      <c r="F1655">
        <v>17</v>
      </c>
      <c r="G1655">
        <v>1</v>
      </c>
      <c r="H1655">
        <v>3.4013605442176901E-4</v>
      </c>
      <c r="I1655">
        <v>5.8823529411764698E-2</v>
      </c>
      <c r="J1655" s="14" t="str">
        <f>_xlfn.XLOOKUP(B1655,CAD_PDV!A:A,CAD_PDV!B:B)</f>
        <v>DIANA CARLA MOREIRA</v>
      </c>
      <c r="K1655" s="14">
        <f>IF(IFERROR(_xlfn.XLOOKUP(B1655,Planilha2!D:D,Planilha2!H:H),0)="SIM",1,0)</f>
        <v>0</v>
      </c>
      <c r="L1655" s="14" t="str">
        <f>_xlfn.XLOOKUP(B1655,CAD_PDV!A:A,CAD_PDV!C:C)</f>
        <v>MG</v>
      </c>
      <c r="M1655" s="14" t="str">
        <f>IFERROR(_xlfn.XLOOKUP(B1655,repete!A:A,repete!A:A),"-")</f>
        <v>-</v>
      </c>
    </row>
    <row r="1656" spans="1:13" hidden="1">
      <c r="A1656" s="1">
        <v>46143</v>
      </c>
      <c r="B1656" t="s">
        <v>2081</v>
      </c>
      <c r="C1656" t="s">
        <v>619</v>
      </c>
      <c r="D1656" t="s">
        <v>224</v>
      </c>
      <c r="E1656" t="s">
        <v>59</v>
      </c>
      <c r="F1656">
        <v>146</v>
      </c>
      <c r="G1656">
        <v>1</v>
      </c>
      <c r="H1656">
        <v>3.4013605442176901E-4</v>
      </c>
      <c r="I1656">
        <v>6.8493150684931503E-3</v>
      </c>
      <c r="J1656" s="14" t="str">
        <f>_xlfn.XLOOKUP(B1656,CAD_PDV!A:A,CAD_PDV!B:B)</f>
        <v>CELNET COMERCIO E SERVICOS DE TELEFONIA LTDA ME</v>
      </c>
      <c r="K1656" s="14">
        <f>IF(IFERROR(_xlfn.XLOOKUP(B1656,Planilha2!D:D,Planilha2!H:H),0)="SIM",1,0)</f>
        <v>0</v>
      </c>
      <c r="L1656" s="14" t="str">
        <f>_xlfn.XLOOKUP(B1656,CAD_PDV!A:A,CAD_PDV!C:C)</f>
        <v>CO</v>
      </c>
      <c r="M1656" s="14" t="str">
        <f>IFERROR(_xlfn.XLOOKUP(B1656,repete!A:A,repete!A:A),"-")</f>
        <v>-</v>
      </c>
    </row>
    <row r="1657" spans="1:13" hidden="1">
      <c r="A1657" s="1">
        <v>46143</v>
      </c>
      <c r="B1657" t="s">
        <v>901</v>
      </c>
      <c r="C1657" t="s">
        <v>902</v>
      </c>
      <c r="D1657" t="s">
        <v>215</v>
      </c>
      <c r="E1657" t="s">
        <v>59</v>
      </c>
      <c r="F1657">
        <v>91</v>
      </c>
      <c r="G1657">
        <v>1</v>
      </c>
      <c r="H1657">
        <v>3.4013605442176901E-4</v>
      </c>
      <c r="I1657">
        <v>1.0989010989011E-2</v>
      </c>
      <c r="J1657" s="14" t="str">
        <f>_xlfn.XLOOKUP(B1657,CAD_PDV!A:A,CAD_PDV!B:B)</f>
        <v>VIA SALLUS</v>
      </c>
      <c r="K1657" s="14">
        <f>IF(IFERROR(_xlfn.XLOOKUP(B1657,Planilha2!D:D,Planilha2!H:H),0)="SIM",1,0)</f>
        <v>0</v>
      </c>
      <c r="L1657" s="14" t="str">
        <f>_xlfn.XLOOKUP(B1657,CAD_PDV!A:A,CAD_PDV!C:C)</f>
        <v>CO</v>
      </c>
      <c r="M1657" s="14" t="str">
        <f>IFERROR(_xlfn.XLOOKUP(B1657,repete!A:A,repete!A:A),"-")</f>
        <v>-</v>
      </c>
    </row>
    <row r="1658" spans="1:13" hidden="1">
      <c r="A1658" s="1">
        <v>46143</v>
      </c>
      <c r="B1658" t="s">
        <v>843</v>
      </c>
      <c r="C1658" t="s">
        <v>677</v>
      </c>
      <c r="D1658" t="s">
        <v>239</v>
      </c>
      <c r="E1658" t="s">
        <v>59</v>
      </c>
      <c r="F1658">
        <v>55</v>
      </c>
      <c r="G1658">
        <v>1</v>
      </c>
      <c r="H1658">
        <v>3.4013605442176901E-4</v>
      </c>
      <c r="I1658">
        <v>1.8181818181818198E-2</v>
      </c>
      <c r="J1658" s="14" t="str">
        <f>_xlfn.XLOOKUP(B1658,CAD_PDV!A:A,CAD_PDV!B:B)</f>
        <v>TELECELL TELEFONIA LTDA - ME</v>
      </c>
      <c r="K1658" s="14">
        <f>IF(IFERROR(_xlfn.XLOOKUP(B1658,Planilha2!D:D,Planilha2!H:H),0)="SIM",1,0)</f>
        <v>0</v>
      </c>
      <c r="L1658" s="14" t="str">
        <f>_xlfn.XLOOKUP(B1658,CAD_PDV!A:A,CAD_PDV!C:C)</f>
        <v>CO</v>
      </c>
      <c r="M1658" s="14" t="str">
        <f>IFERROR(_xlfn.XLOOKUP(B1658,repete!A:A,repete!A:A),"-")</f>
        <v>-</v>
      </c>
    </row>
    <row r="1659" spans="1:13" hidden="1">
      <c r="A1659" s="1">
        <v>46143</v>
      </c>
      <c r="B1659" t="s">
        <v>1654</v>
      </c>
      <c r="C1659" t="s">
        <v>1655</v>
      </c>
      <c r="D1659" t="s">
        <v>241</v>
      </c>
      <c r="E1659" t="s">
        <v>54</v>
      </c>
      <c r="F1659">
        <v>51</v>
      </c>
      <c r="G1659">
        <v>1</v>
      </c>
      <c r="H1659">
        <v>3.4013605442176901E-4</v>
      </c>
      <c r="I1659">
        <v>1.9607843137254902E-2</v>
      </c>
      <c r="J1659" s="14" t="str">
        <f>_xlfn.XLOOKUP(B1659,CAD_PDV!A:A,CAD_PDV!B:B)</f>
        <v>VIRACLARO</v>
      </c>
      <c r="K1659" s="14">
        <f>IF(IFERROR(_xlfn.XLOOKUP(B1659,Planilha2!D:D,Planilha2!H:H),0)="SIM",1,0)</f>
        <v>0</v>
      </c>
      <c r="L1659" s="14" t="str">
        <f>_xlfn.XLOOKUP(B1659,CAD_PDV!A:A,CAD_PDV!C:C)</f>
        <v>SP2</v>
      </c>
      <c r="M1659" s="14" t="str">
        <f>IFERROR(_xlfn.XLOOKUP(B1659,repete!A:A,repete!A:A),"-")</f>
        <v>-</v>
      </c>
    </row>
    <row r="1660" spans="1:13" hidden="1">
      <c r="A1660" s="1">
        <v>46143</v>
      </c>
      <c r="B1660" t="s">
        <v>1279</v>
      </c>
      <c r="C1660" t="s">
        <v>1280</v>
      </c>
      <c r="D1660" t="s">
        <v>228</v>
      </c>
      <c r="E1660" t="s">
        <v>55</v>
      </c>
      <c r="F1660">
        <v>16</v>
      </c>
      <c r="G1660">
        <v>1</v>
      </c>
      <c r="H1660">
        <v>3.4013605442176901E-4</v>
      </c>
      <c r="I1660">
        <v>6.25E-2</v>
      </c>
      <c r="J1660" s="14" t="str">
        <f>_xlfn.XLOOKUP(B1660,CAD_PDV!A:A,CAD_PDV!B:B)</f>
        <v>FAJULUTI</v>
      </c>
      <c r="K1660" s="14">
        <f>IF(IFERROR(_xlfn.XLOOKUP(B1660,Planilha2!D:D,Planilha2!H:H),0)="SIM",1,0)</f>
        <v>0</v>
      </c>
      <c r="L1660" s="14" t="str">
        <f>_xlfn.XLOOKUP(B1660,CAD_PDV!A:A,CAD_PDV!C:C)</f>
        <v>RJ/ES</v>
      </c>
      <c r="M1660" s="14" t="str">
        <f>IFERROR(_xlfn.XLOOKUP(B1660,repete!A:A,repete!A:A),"-")</f>
        <v>-</v>
      </c>
    </row>
    <row r="1661" spans="1:13" hidden="1">
      <c r="A1661" s="1">
        <v>46143</v>
      </c>
      <c r="B1661" t="s">
        <v>1679</v>
      </c>
      <c r="C1661" t="s">
        <v>1451</v>
      </c>
      <c r="D1661" t="s">
        <v>232</v>
      </c>
      <c r="E1661" t="s">
        <v>54</v>
      </c>
      <c r="F1661">
        <v>29</v>
      </c>
      <c r="G1661">
        <v>1</v>
      </c>
      <c r="H1661">
        <v>3.4013605442176901E-4</v>
      </c>
      <c r="I1661">
        <v>3.4482758620689703E-2</v>
      </c>
      <c r="J1661" s="14" t="str">
        <f>_xlfn.XLOOKUP(B1661,CAD_PDV!A:A,CAD_PDV!B:B)</f>
        <v>HS TELECOM</v>
      </c>
      <c r="K1661" s="14">
        <f>IF(IFERROR(_xlfn.XLOOKUP(B1661,Planilha2!D:D,Planilha2!H:H),0)="SIM",1,0)</f>
        <v>0</v>
      </c>
      <c r="L1661" s="14" t="str">
        <f>_xlfn.XLOOKUP(B1661,CAD_PDV!A:A,CAD_PDV!C:C)</f>
        <v>SP2</v>
      </c>
      <c r="M1661" s="14" t="str">
        <f>IFERROR(_xlfn.XLOOKUP(B1661,repete!A:A,repete!A:A),"-")</f>
        <v>-</v>
      </c>
    </row>
    <row r="1662" spans="1:13" hidden="1">
      <c r="A1662" s="1">
        <v>46143</v>
      </c>
      <c r="B1662" t="s">
        <v>539</v>
      </c>
      <c r="C1662" t="s">
        <v>433</v>
      </c>
      <c r="D1662" t="s">
        <v>106</v>
      </c>
      <c r="E1662" t="s">
        <v>56</v>
      </c>
      <c r="F1662">
        <v>44</v>
      </c>
      <c r="G1662">
        <v>1</v>
      </c>
      <c r="H1662">
        <v>3.4013605442176901E-4</v>
      </c>
      <c r="I1662">
        <v>2.27272727272727E-2</v>
      </c>
      <c r="J1662" s="14" t="str">
        <f>_xlfn.XLOOKUP(B1662,CAD_PDV!A:A,CAD_PDV!B:B)</f>
        <v>CELLULAR.COM</v>
      </c>
      <c r="K1662" s="14">
        <f>IF(IFERROR(_xlfn.XLOOKUP(B1662,Planilha2!D:D,Planilha2!H:H),0)="SIM",1,0)</f>
        <v>0</v>
      </c>
      <c r="L1662" s="14" t="str">
        <f>_xlfn.XLOOKUP(B1662,CAD_PDV!A:A,CAD_PDV!C:C)</f>
        <v>MG</v>
      </c>
      <c r="M1662" s="14" t="str">
        <f>IFERROR(_xlfn.XLOOKUP(B1662,repete!A:A,repete!A:A),"-")</f>
        <v>-</v>
      </c>
    </row>
    <row r="1663" spans="1:13" hidden="1">
      <c r="A1663" s="1">
        <v>46143</v>
      </c>
      <c r="B1663" t="s">
        <v>1696</v>
      </c>
      <c r="C1663" t="s">
        <v>1499</v>
      </c>
      <c r="D1663" t="s">
        <v>132</v>
      </c>
      <c r="E1663" t="s">
        <v>54</v>
      </c>
      <c r="F1663">
        <v>62</v>
      </c>
      <c r="G1663">
        <v>1</v>
      </c>
      <c r="H1663">
        <v>3.4013605442176901E-4</v>
      </c>
      <c r="I1663">
        <v>1.6129032258064498E-2</v>
      </c>
      <c r="J1663" s="14" t="str">
        <f>_xlfn.XLOOKUP(B1663,CAD_PDV!A:A,CAD_PDV!B:B)</f>
        <v>FLEX CELL</v>
      </c>
      <c r="K1663" s="14">
        <f>IF(IFERROR(_xlfn.XLOOKUP(B1663,Planilha2!D:D,Planilha2!H:H),0)="SIM",1,0)</f>
        <v>0</v>
      </c>
      <c r="L1663" s="14" t="str">
        <f>_xlfn.XLOOKUP(B1663,CAD_PDV!A:A,CAD_PDV!C:C)</f>
        <v>SP2</v>
      </c>
      <c r="M1663" s="14" t="str">
        <f>IFERROR(_xlfn.XLOOKUP(B1663,repete!A:A,repete!A:A),"-")</f>
        <v>-</v>
      </c>
    </row>
    <row r="1664" spans="1:13" hidden="1">
      <c r="A1664" s="1">
        <v>46143</v>
      </c>
      <c r="B1664" t="s">
        <v>1701</v>
      </c>
      <c r="C1664" t="s">
        <v>1702</v>
      </c>
      <c r="D1664" t="s">
        <v>106</v>
      </c>
      <c r="E1664" t="s">
        <v>54</v>
      </c>
      <c r="F1664">
        <v>44</v>
      </c>
      <c r="G1664">
        <v>1</v>
      </c>
      <c r="H1664">
        <v>3.4013605442176901E-4</v>
      </c>
      <c r="I1664">
        <v>2.27272727272727E-2</v>
      </c>
      <c r="J1664" s="14" t="str">
        <f>_xlfn.XLOOKUP(B1664,CAD_PDV!A:A,CAD_PDV!B:B)</f>
        <v>CELLULAR.COM</v>
      </c>
      <c r="K1664" s="14">
        <f>IF(IFERROR(_xlfn.XLOOKUP(B1664,Planilha2!D:D,Planilha2!H:H),0)="SIM",1,0)</f>
        <v>0</v>
      </c>
      <c r="L1664" s="14" t="str">
        <f>_xlfn.XLOOKUP(B1664,CAD_PDV!A:A,CAD_PDV!C:C)</f>
        <v>SP2</v>
      </c>
      <c r="M1664" s="14" t="str">
        <f>IFERROR(_xlfn.XLOOKUP(B1664,repete!A:A,repete!A:A),"-")</f>
        <v>-</v>
      </c>
    </row>
    <row r="1665" spans="1:13" hidden="1">
      <c r="A1665" s="1">
        <v>46143</v>
      </c>
      <c r="B1665" t="s">
        <v>1258</v>
      </c>
      <c r="C1665" t="s">
        <v>1142</v>
      </c>
      <c r="D1665" t="s">
        <v>237</v>
      </c>
      <c r="E1665" t="s">
        <v>55</v>
      </c>
      <c r="F1665">
        <v>107</v>
      </c>
      <c r="G1665">
        <v>1</v>
      </c>
      <c r="H1665">
        <v>3.4013605442176901E-4</v>
      </c>
      <c r="I1665">
        <v>9.3457943925233603E-3</v>
      </c>
      <c r="J1665" s="14" t="str">
        <f>_xlfn.XLOOKUP(B1665,CAD_PDV!A:A,CAD_PDV!B:B)</f>
        <v>PONTO CERTO COMERCIO E COMUNICAÇÕES LTDA</v>
      </c>
      <c r="K1665" s="14">
        <f>IF(IFERROR(_xlfn.XLOOKUP(B1665,Planilha2!D:D,Planilha2!H:H),0)="SIM",1,0)</f>
        <v>0</v>
      </c>
      <c r="L1665" s="14" t="str">
        <f>_xlfn.XLOOKUP(B1665,CAD_PDV!A:A,CAD_PDV!C:C)</f>
        <v>RJ/ES</v>
      </c>
      <c r="M1665" s="14" t="str">
        <f>IFERROR(_xlfn.XLOOKUP(B1665,repete!A:A,repete!A:A),"-")</f>
        <v>-</v>
      </c>
    </row>
    <row r="1666" spans="1:13" hidden="1">
      <c r="A1666" s="1">
        <v>46143</v>
      </c>
      <c r="B1666" t="s">
        <v>1708</v>
      </c>
      <c r="C1666" t="s">
        <v>1505</v>
      </c>
      <c r="D1666" t="s">
        <v>132</v>
      </c>
      <c r="E1666" t="s">
        <v>54</v>
      </c>
      <c r="F1666">
        <v>41</v>
      </c>
      <c r="G1666">
        <v>1</v>
      </c>
      <c r="H1666">
        <v>3.4013605442176901E-4</v>
      </c>
      <c r="I1666">
        <v>2.4390243902439001E-2</v>
      </c>
      <c r="J1666" s="14" t="str">
        <f>_xlfn.XLOOKUP(B1666,CAD_PDV!A:A,CAD_PDV!B:B)</f>
        <v>FLEX CELL</v>
      </c>
      <c r="K1666" s="14">
        <f>IF(IFERROR(_xlfn.XLOOKUP(B1666,Planilha2!D:D,Planilha2!H:H),0)="SIM",1,0)</f>
        <v>0</v>
      </c>
      <c r="L1666" s="14" t="str">
        <f>_xlfn.XLOOKUP(B1666,CAD_PDV!A:A,CAD_PDV!C:C)</f>
        <v>SP2</v>
      </c>
      <c r="M1666" s="14" t="str">
        <f>IFERROR(_xlfn.XLOOKUP(B1666,repete!A:A,repete!A:A),"-")</f>
        <v>-</v>
      </c>
    </row>
    <row r="1667" spans="1:13" hidden="1">
      <c r="A1667" s="1">
        <v>46143</v>
      </c>
      <c r="B1667" t="s">
        <v>1853</v>
      </c>
      <c r="C1667" t="s">
        <v>1852</v>
      </c>
      <c r="D1667" t="s">
        <v>106</v>
      </c>
      <c r="E1667" t="s">
        <v>2074</v>
      </c>
      <c r="F1667">
        <v>27</v>
      </c>
      <c r="G1667">
        <v>1</v>
      </c>
      <c r="H1667">
        <v>3.4013605442176901E-4</v>
      </c>
      <c r="I1667">
        <v>3.7037037037037E-2</v>
      </c>
      <c r="J1667" s="14" t="str">
        <f>_xlfn.XLOOKUP(B1667,CAD_PDV!A:A,CAD_PDV!B:B)</f>
        <v>CELLULAR.COM</v>
      </c>
      <c r="K1667" s="14">
        <f>IF(IFERROR(_xlfn.XLOOKUP(B1667,Planilha2!D:D,Planilha2!H:H),0)="SIM",1,0)</f>
        <v>0</v>
      </c>
      <c r="L1667" s="14" t="str">
        <f>_xlfn.XLOOKUP(B1667,CAD_PDV!A:A,CAD_PDV!C:C)</f>
        <v>PR/SC</v>
      </c>
      <c r="M1667" s="14" t="str">
        <f>IFERROR(_xlfn.XLOOKUP(B1667,repete!A:A,repete!A:A),"-")</f>
        <v>-</v>
      </c>
    </row>
    <row r="1668" spans="1:13" hidden="1">
      <c r="A1668" s="1">
        <v>46143</v>
      </c>
      <c r="B1668" t="s">
        <v>1259</v>
      </c>
      <c r="C1668" t="s">
        <v>1255</v>
      </c>
      <c r="D1668" t="s">
        <v>237</v>
      </c>
      <c r="E1668" t="s">
        <v>55</v>
      </c>
      <c r="F1668">
        <v>126</v>
      </c>
      <c r="G1668">
        <v>1</v>
      </c>
      <c r="H1668">
        <v>3.4013605442176901E-4</v>
      </c>
      <c r="I1668">
        <v>7.9365079365079395E-3</v>
      </c>
      <c r="J1668" s="14" t="str">
        <f>_xlfn.XLOOKUP(B1668,CAD_PDV!A:A,CAD_PDV!B:B)</f>
        <v>PONTO CERTO COMERCIO E COMUNICAÇÕES LTDA</v>
      </c>
      <c r="K1668" s="14">
        <f>IF(IFERROR(_xlfn.XLOOKUP(B1668,Planilha2!D:D,Planilha2!H:H),0)="SIM",1,0)</f>
        <v>0</v>
      </c>
      <c r="L1668" s="14" t="str">
        <f>_xlfn.XLOOKUP(B1668,CAD_PDV!A:A,CAD_PDV!C:C)</f>
        <v>RJ/ES</v>
      </c>
      <c r="M1668" s="14" t="str">
        <f>IFERROR(_xlfn.XLOOKUP(B1668,repete!A:A,repete!A:A),"-")</f>
        <v>-</v>
      </c>
    </row>
    <row r="1669" spans="1:13" hidden="1">
      <c r="A1669" s="1">
        <v>46143</v>
      </c>
      <c r="B1669" t="s">
        <v>1980</v>
      </c>
      <c r="C1669" t="s">
        <v>1981</v>
      </c>
      <c r="D1669" t="s">
        <v>97</v>
      </c>
      <c r="E1669" t="s">
        <v>2074</v>
      </c>
      <c r="F1669">
        <v>28</v>
      </c>
      <c r="G1669">
        <v>1</v>
      </c>
      <c r="H1669">
        <v>3.4013605442176901E-4</v>
      </c>
      <c r="I1669">
        <v>3.5714285714285698E-2</v>
      </c>
      <c r="J1669" s="14" t="str">
        <f>_xlfn.XLOOKUP(B1669,CAD_PDV!A:A,CAD_PDV!B:B)</f>
        <v>BANDEIRA</v>
      </c>
      <c r="K1669" s="14">
        <f>IF(IFERROR(_xlfn.XLOOKUP(B1669,Planilha2!D:D,Planilha2!H:H),0)="SIM",1,0)</f>
        <v>0</v>
      </c>
      <c r="L1669" s="14" t="str">
        <f>_xlfn.XLOOKUP(B1669,CAD_PDV!A:A,CAD_PDV!C:C)</f>
        <v>PR/SC</v>
      </c>
      <c r="M1669" s="14" t="str">
        <f>IFERROR(_xlfn.XLOOKUP(B1669,repete!A:A,repete!A:A),"-")</f>
        <v>-</v>
      </c>
    </row>
    <row r="1670" spans="1:13" hidden="1">
      <c r="A1670" s="1">
        <v>46143</v>
      </c>
      <c r="B1670" t="s">
        <v>1264</v>
      </c>
      <c r="C1670" t="s">
        <v>1142</v>
      </c>
      <c r="D1670" t="s">
        <v>233</v>
      </c>
      <c r="E1670" t="s">
        <v>55</v>
      </c>
      <c r="F1670">
        <v>70</v>
      </c>
      <c r="G1670">
        <v>1</v>
      </c>
      <c r="H1670">
        <v>3.4013605442176901E-4</v>
      </c>
      <c r="I1670">
        <v>1.4285714285714299E-2</v>
      </c>
      <c r="J1670" s="14" t="str">
        <f>_xlfn.XLOOKUP(B1670,CAD_PDV!A:A,CAD_PDV!B:B)</f>
        <v>LEINAD COMERCIO E SERVICO EIRELI</v>
      </c>
      <c r="K1670" s="14">
        <f>IF(IFERROR(_xlfn.XLOOKUP(B1670,Planilha2!D:D,Planilha2!H:H),0)="SIM",1,0)</f>
        <v>0</v>
      </c>
      <c r="L1670" s="14" t="str">
        <f>_xlfn.XLOOKUP(B1670,CAD_PDV!A:A,CAD_PDV!C:C)</f>
        <v>RJ/ES</v>
      </c>
      <c r="M1670" s="14" t="str">
        <f>IFERROR(_xlfn.XLOOKUP(B1670,repete!A:A,repete!A:A),"-")</f>
        <v>-</v>
      </c>
    </row>
    <row r="1671" spans="1:13" hidden="1">
      <c r="A1671" s="1">
        <v>46143</v>
      </c>
      <c r="B1671" t="s">
        <v>964</v>
      </c>
      <c r="C1671" t="s">
        <v>940</v>
      </c>
      <c r="D1671" t="s">
        <v>236</v>
      </c>
      <c r="E1671" t="s">
        <v>60</v>
      </c>
      <c r="F1671">
        <v>42</v>
      </c>
      <c r="G1671">
        <v>1</v>
      </c>
      <c r="H1671">
        <v>3.4013605442176901E-4</v>
      </c>
      <c r="I1671">
        <v>2.3809523809523801E-2</v>
      </c>
      <c r="J1671" s="14" t="str">
        <f>_xlfn.XLOOKUP(B1671,CAD_PDV!A:A,CAD_PDV!B:B)</f>
        <v>PAULA C L NIELLA EIRELI</v>
      </c>
      <c r="K1671" s="14">
        <f>IF(IFERROR(_xlfn.XLOOKUP(B1671,Planilha2!D:D,Planilha2!H:H),0)="SIM",1,0)</f>
        <v>0</v>
      </c>
      <c r="L1671" s="14" t="str">
        <f>_xlfn.XLOOKUP(B1671,CAD_PDV!A:A,CAD_PDV!C:C)</f>
        <v>BA/SE</v>
      </c>
      <c r="M1671" s="14" t="str">
        <f>IFERROR(_xlfn.XLOOKUP(B1671,repete!A:A,repete!A:A),"-")</f>
        <v>-</v>
      </c>
    </row>
    <row r="1672" spans="1:13" hidden="1">
      <c r="A1672" s="1">
        <v>46143</v>
      </c>
      <c r="B1672" t="s">
        <v>1741</v>
      </c>
      <c r="C1672" t="s">
        <v>1744</v>
      </c>
      <c r="D1672" t="s">
        <v>190</v>
      </c>
      <c r="E1672" t="s">
        <v>2074</v>
      </c>
      <c r="F1672">
        <v>126</v>
      </c>
      <c r="G1672">
        <v>1</v>
      </c>
      <c r="H1672">
        <v>3.4013605442176901E-4</v>
      </c>
      <c r="I1672">
        <v>7.9365079365079395E-3</v>
      </c>
      <c r="J1672" s="14" t="str">
        <f>_xlfn.XLOOKUP(B1672,CAD_PDV!A:A,CAD_PDV!B:B)</f>
        <v>RDJ TELECOMUNICACOES LTDA</v>
      </c>
      <c r="K1672" s="14">
        <f>IF(IFERROR(_xlfn.XLOOKUP(B1672,Planilha2!D:D,Planilha2!H:H),0)="SIM",1,0)</f>
        <v>0</v>
      </c>
      <c r="L1672" s="14" t="str">
        <f>_xlfn.XLOOKUP(B1672,CAD_PDV!A:A,CAD_PDV!C:C)</f>
        <v>PR/SC</v>
      </c>
      <c r="M1672" s="14" t="str">
        <f>IFERROR(_xlfn.XLOOKUP(B1672,repete!A:A,repete!A:A),"-")</f>
        <v>-</v>
      </c>
    </row>
    <row r="1673" spans="1:13" hidden="1">
      <c r="A1673" s="1">
        <v>46143</v>
      </c>
      <c r="B1673" t="s">
        <v>1838</v>
      </c>
      <c r="C1673" t="s">
        <v>1839</v>
      </c>
      <c r="D1673" t="s">
        <v>124</v>
      </c>
      <c r="E1673" t="s">
        <v>2074</v>
      </c>
      <c r="F1673">
        <v>45</v>
      </c>
      <c r="G1673">
        <v>1</v>
      </c>
      <c r="H1673">
        <v>3.4013605442176901E-4</v>
      </c>
      <c r="I1673">
        <v>2.2222222222222199E-2</v>
      </c>
      <c r="J1673" s="14" t="str">
        <f>_xlfn.XLOOKUP(B1673,CAD_PDV!A:A,CAD_PDV!B:B)</f>
        <v>EDUARDO JUNQUEIRA DA SILVEIRA ADMIN</v>
      </c>
      <c r="K1673" s="14">
        <f>IF(IFERROR(_xlfn.XLOOKUP(B1673,Planilha2!D:D,Planilha2!H:H),0)="SIM",1,0)</f>
        <v>0</v>
      </c>
      <c r="L1673" s="14" t="str">
        <f>_xlfn.XLOOKUP(B1673,CAD_PDV!A:A,CAD_PDV!C:C)</f>
        <v>RS</v>
      </c>
      <c r="M1673" s="14" t="str">
        <f>IFERROR(_xlfn.XLOOKUP(B1673,repete!A:A,repete!A:A),"-")</f>
        <v>-</v>
      </c>
    </row>
    <row r="1674" spans="1:13" hidden="1">
      <c r="A1674" s="1">
        <v>46143</v>
      </c>
      <c r="B1674" t="s">
        <v>749</v>
      </c>
      <c r="C1674" t="s">
        <v>750</v>
      </c>
      <c r="D1674" t="s">
        <v>224</v>
      </c>
      <c r="E1674" t="s">
        <v>59</v>
      </c>
      <c r="F1674">
        <v>37</v>
      </c>
      <c r="G1674">
        <v>1</v>
      </c>
      <c r="H1674">
        <v>3.4013605442176901E-4</v>
      </c>
      <c r="I1674">
        <v>2.7027027027027001E-2</v>
      </c>
      <c r="J1674" s="14" t="str">
        <f>_xlfn.XLOOKUP(B1674,CAD_PDV!A:A,CAD_PDV!B:B)</f>
        <v>CELNET COMERCIO E SERVICOS DE TELEFONIA LTDA ME</v>
      </c>
      <c r="K1674" s="14">
        <f>IF(IFERROR(_xlfn.XLOOKUP(B1674,Planilha2!D:D,Planilha2!H:H),0)="SIM",1,0)</f>
        <v>0</v>
      </c>
      <c r="L1674" s="14" t="str">
        <f>_xlfn.XLOOKUP(B1674,CAD_PDV!A:A,CAD_PDV!C:C)</f>
        <v>CO</v>
      </c>
      <c r="M1674" s="14" t="str">
        <f>IFERROR(_xlfn.XLOOKUP(B1674,repete!A:A,repete!A:A),"-")</f>
        <v>-</v>
      </c>
    </row>
    <row r="1675" spans="1:13" hidden="1">
      <c r="A1675" s="1">
        <v>46143</v>
      </c>
      <c r="B1675" t="s">
        <v>402</v>
      </c>
      <c r="C1675" t="s">
        <v>269</v>
      </c>
      <c r="D1675" t="s">
        <v>227</v>
      </c>
      <c r="E1675" t="s">
        <v>61</v>
      </c>
      <c r="F1675">
        <v>146</v>
      </c>
      <c r="G1675">
        <v>1</v>
      </c>
      <c r="H1675">
        <v>3.4013605442176901E-4</v>
      </c>
      <c r="I1675">
        <v>6.8493150684931503E-3</v>
      </c>
      <c r="J1675" s="14" t="str">
        <f>_xlfn.XLOOKUP(B1675,CAD_PDV!A:A,CAD_PDV!B:B)</f>
        <v>E-MEAN SERVICOS DE MARKETING DIRETO LTDA</v>
      </c>
      <c r="K1675" s="14">
        <f>IF(IFERROR(_xlfn.XLOOKUP(B1675,Planilha2!D:D,Planilha2!H:H),0)="SIM",1,0)</f>
        <v>0</v>
      </c>
      <c r="L1675" s="14" t="str">
        <f>_xlfn.XLOOKUP(B1675,CAD_PDV!A:A,CAD_PDV!C:C)</f>
        <v>NE</v>
      </c>
      <c r="M1675" s="14" t="str">
        <f>IFERROR(_xlfn.XLOOKUP(B1675,repete!A:A,repete!A:A),"-")</f>
        <v>-</v>
      </c>
    </row>
    <row r="1676" spans="1:13" hidden="1">
      <c r="A1676" s="1">
        <v>46143</v>
      </c>
      <c r="B1676" t="s">
        <v>1982</v>
      </c>
      <c r="C1676" t="s">
        <v>1983</v>
      </c>
      <c r="D1676" t="s">
        <v>97</v>
      </c>
      <c r="E1676" t="s">
        <v>2074</v>
      </c>
      <c r="F1676">
        <v>27</v>
      </c>
      <c r="G1676">
        <v>1</v>
      </c>
      <c r="H1676">
        <v>3.4013605442176901E-4</v>
      </c>
      <c r="I1676">
        <v>3.7037037037037E-2</v>
      </c>
      <c r="J1676" s="14" t="str">
        <f>_xlfn.XLOOKUP(B1676,CAD_PDV!A:A,CAD_PDV!B:B)</f>
        <v>BANDEIRA</v>
      </c>
      <c r="K1676" s="14">
        <f>IF(IFERROR(_xlfn.XLOOKUP(B1676,Planilha2!D:D,Planilha2!H:H),0)="SIM",1,0)</f>
        <v>0</v>
      </c>
      <c r="L1676" s="14" t="str">
        <f>_xlfn.XLOOKUP(B1676,CAD_PDV!A:A,CAD_PDV!C:C)</f>
        <v>PR/SC</v>
      </c>
      <c r="M1676" s="14" t="str">
        <f>IFERROR(_xlfn.XLOOKUP(B1676,repete!A:A,repete!A:A),"-")</f>
        <v>-</v>
      </c>
    </row>
    <row r="1677" spans="1:13" hidden="1">
      <c r="A1677" s="1">
        <v>46143</v>
      </c>
      <c r="B1677" t="s">
        <v>1178</v>
      </c>
      <c r="C1677" t="s">
        <v>1180</v>
      </c>
      <c r="D1677" t="s">
        <v>228</v>
      </c>
      <c r="E1677" t="s">
        <v>55</v>
      </c>
      <c r="F1677">
        <v>55</v>
      </c>
      <c r="G1677">
        <v>1</v>
      </c>
      <c r="H1677">
        <v>3.4013605442176901E-4</v>
      </c>
      <c r="I1677">
        <v>1.8181818181818198E-2</v>
      </c>
      <c r="J1677" s="14" t="str">
        <f>_xlfn.XLOOKUP(B1677,CAD_PDV!A:A,CAD_PDV!B:B)</f>
        <v>FAJULUTI</v>
      </c>
      <c r="K1677" s="14">
        <f>IF(IFERROR(_xlfn.XLOOKUP(B1677,Planilha2!D:D,Planilha2!H:H),0)="SIM",1,0)</f>
        <v>0</v>
      </c>
      <c r="L1677" s="14" t="str">
        <f>_xlfn.XLOOKUP(B1677,CAD_PDV!A:A,CAD_PDV!C:C)</f>
        <v>RJ/ES</v>
      </c>
      <c r="M1677" s="14" t="str">
        <f>IFERROR(_xlfn.XLOOKUP(B1677,repete!A:A,repete!A:A),"-")</f>
        <v>-</v>
      </c>
    </row>
    <row r="1678" spans="1:13" hidden="1">
      <c r="A1678" s="1">
        <v>46143</v>
      </c>
      <c r="B1678" t="s">
        <v>476</v>
      </c>
      <c r="C1678" t="s">
        <v>430</v>
      </c>
      <c r="D1678" t="s">
        <v>106</v>
      </c>
      <c r="E1678" t="s">
        <v>56</v>
      </c>
      <c r="F1678">
        <v>164</v>
      </c>
      <c r="G1678">
        <v>1</v>
      </c>
      <c r="H1678">
        <v>3.4013605442176901E-4</v>
      </c>
      <c r="I1678">
        <v>6.0975609756097598E-3</v>
      </c>
      <c r="J1678" s="14" t="str">
        <f>_xlfn.XLOOKUP(B1678,CAD_PDV!A:A,CAD_PDV!B:B)</f>
        <v>CELLULAR.COM</v>
      </c>
      <c r="K1678" s="14">
        <f>IF(IFERROR(_xlfn.XLOOKUP(B1678,Planilha2!D:D,Planilha2!H:H),0)="SIM",1,0)</f>
        <v>0</v>
      </c>
      <c r="L1678" s="14" t="str">
        <f>_xlfn.XLOOKUP(B1678,CAD_PDV!A:A,CAD_PDV!C:C)</f>
        <v>MG</v>
      </c>
      <c r="M1678" s="14" t="str">
        <f>IFERROR(_xlfn.XLOOKUP(B1678,repete!A:A,repete!A:A),"-")</f>
        <v>-</v>
      </c>
    </row>
    <row r="1679" spans="1:13" hidden="1">
      <c r="A1679" s="1">
        <v>46143</v>
      </c>
      <c r="B1679" t="s">
        <v>1947</v>
      </c>
      <c r="C1679" t="s">
        <v>1948</v>
      </c>
      <c r="D1679" t="s">
        <v>124</v>
      </c>
      <c r="E1679" t="s">
        <v>2074</v>
      </c>
      <c r="F1679">
        <v>22</v>
      </c>
      <c r="G1679">
        <v>1</v>
      </c>
      <c r="H1679">
        <v>3.4013605442176901E-4</v>
      </c>
      <c r="I1679">
        <v>4.5454545454545497E-2</v>
      </c>
      <c r="J1679" s="14" t="str">
        <f>_xlfn.XLOOKUP(B1679,CAD_PDV!A:A,CAD_PDV!B:B)</f>
        <v>EDUARDO JUNQUEIRA DA SILVEIRA ADMIN</v>
      </c>
      <c r="K1679" s="14">
        <f>IF(IFERROR(_xlfn.XLOOKUP(B1679,Planilha2!D:D,Planilha2!H:H),0)="SIM",1,0)</f>
        <v>0</v>
      </c>
      <c r="L1679" s="14" t="str">
        <f>_xlfn.XLOOKUP(B1679,CAD_PDV!A:A,CAD_PDV!C:C)</f>
        <v>RS</v>
      </c>
      <c r="M1679" s="14" t="str">
        <f>IFERROR(_xlfn.XLOOKUP(B1679,repete!A:A,repete!A:A),"-")</f>
        <v>-</v>
      </c>
    </row>
    <row r="1680" spans="1:13" hidden="1">
      <c r="A1680" s="1">
        <v>46143</v>
      </c>
      <c r="B1680" t="s">
        <v>426</v>
      </c>
      <c r="C1680" t="s">
        <v>269</v>
      </c>
      <c r="D1680" t="s">
        <v>227</v>
      </c>
      <c r="E1680" t="s">
        <v>61</v>
      </c>
      <c r="F1680">
        <v>10</v>
      </c>
      <c r="G1680">
        <v>1</v>
      </c>
      <c r="H1680">
        <v>3.4013605442176901E-4</v>
      </c>
      <c r="I1680">
        <v>0.1</v>
      </c>
      <c r="J1680" s="14" t="str">
        <f>_xlfn.XLOOKUP(B1680,CAD_PDV!A:A,CAD_PDV!B:B)</f>
        <v>E-MEAN SERVICOS DE MARKETING DIRETO LTDA</v>
      </c>
      <c r="K1680" s="14">
        <f>IF(IFERROR(_xlfn.XLOOKUP(B1680,Planilha2!D:D,Planilha2!H:H),0)="SIM",1,0)</f>
        <v>0</v>
      </c>
      <c r="L1680" s="14" t="str">
        <f>_xlfn.XLOOKUP(B1680,CAD_PDV!A:A,CAD_PDV!C:C)</f>
        <v>NE</v>
      </c>
      <c r="M1680" s="14" t="str">
        <f>IFERROR(_xlfn.XLOOKUP(B1680,repete!A:A,repete!A:A),"-")</f>
        <v>-</v>
      </c>
    </row>
    <row r="1681" spans="1:13" hidden="1">
      <c r="A1681" s="1">
        <v>46143</v>
      </c>
      <c r="B1681" t="s">
        <v>1732</v>
      </c>
      <c r="C1681" t="s">
        <v>1593</v>
      </c>
      <c r="D1681" t="s">
        <v>106</v>
      </c>
      <c r="E1681" t="s">
        <v>54</v>
      </c>
      <c r="F1681">
        <v>54</v>
      </c>
      <c r="G1681">
        <v>1</v>
      </c>
      <c r="H1681">
        <v>3.4013605442176901E-4</v>
      </c>
      <c r="I1681">
        <v>1.85185185185185E-2</v>
      </c>
      <c r="J1681" s="14" t="str">
        <f>_xlfn.XLOOKUP(B1681,CAD_PDV!A:A,CAD_PDV!B:B)</f>
        <v>CELLULAR.COM</v>
      </c>
      <c r="K1681" s="14">
        <f>IF(IFERROR(_xlfn.XLOOKUP(B1681,Planilha2!D:D,Planilha2!H:H),0)="SIM",1,0)</f>
        <v>0</v>
      </c>
      <c r="L1681" s="14" t="str">
        <f>_xlfn.XLOOKUP(B1681,CAD_PDV!A:A,CAD_PDV!C:C)</f>
        <v>SP2</v>
      </c>
      <c r="M1681" s="14" t="str">
        <f>IFERROR(_xlfn.XLOOKUP(B1681,repete!A:A,repete!A:A),"-")</f>
        <v>-</v>
      </c>
    </row>
    <row r="1682" spans="1:13" hidden="1">
      <c r="A1682" s="1">
        <v>46143</v>
      </c>
      <c r="B1682" t="s">
        <v>1270</v>
      </c>
      <c r="C1682" t="s">
        <v>1142</v>
      </c>
      <c r="D1682" t="s">
        <v>237</v>
      </c>
      <c r="E1682" t="s">
        <v>55</v>
      </c>
      <c r="F1682">
        <v>87</v>
      </c>
      <c r="G1682">
        <v>1</v>
      </c>
      <c r="H1682">
        <v>3.4013605442176901E-4</v>
      </c>
      <c r="I1682">
        <v>1.1494252873563199E-2</v>
      </c>
      <c r="J1682" s="14" t="str">
        <f>_xlfn.XLOOKUP(B1682,CAD_PDV!A:A,CAD_PDV!B:B)</f>
        <v>PONTO CERTO COMERCIO E COMUNICAÇÕES LTDA</v>
      </c>
      <c r="K1682" s="14">
        <f>IF(IFERROR(_xlfn.XLOOKUP(B1682,Planilha2!D:D,Planilha2!H:H),0)="SIM",1,0)</f>
        <v>0</v>
      </c>
      <c r="L1682" s="14" t="str">
        <f>_xlfn.XLOOKUP(B1682,CAD_PDV!A:A,CAD_PDV!C:C)</f>
        <v>RJ/ES</v>
      </c>
      <c r="M1682" s="14" t="str">
        <f>IFERROR(_xlfn.XLOOKUP(B1682,repete!A:A,repete!A:A),"-")</f>
        <v>-</v>
      </c>
    </row>
    <row r="1683" spans="1:13" hidden="1">
      <c r="A1683" s="1">
        <v>46143</v>
      </c>
      <c r="B1683" t="s">
        <v>1271</v>
      </c>
      <c r="C1683" t="s">
        <v>1142</v>
      </c>
      <c r="D1683" t="s">
        <v>233</v>
      </c>
      <c r="E1683" t="s">
        <v>55</v>
      </c>
      <c r="F1683">
        <v>19</v>
      </c>
      <c r="G1683">
        <v>1</v>
      </c>
      <c r="H1683">
        <v>3.4013605442176901E-4</v>
      </c>
      <c r="I1683">
        <v>5.2631578947368397E-2</v>
      </c>
      <c r="J1683" s="14" t="str">
        <f>_xlfn.XLOOKUP(B1683,CAD_PDV!A:A,CAD_PDV!B:B)</f>
        <v>LEINAD COMERCIO E SERVICO EIRELI</v>
      </c>
      <c r="K1683" s="14">
        <f>IF(IFERROR(_xlfn.XLOOKUP(B1683,Planilha2!D:D,Planilha2!H:H),0)="SIM",1,0)</f>
        <v>0</v>
      </c>
      <c r="L1683" s="14" t="str">
        <f>_xlfn.XLOOKUP(B1683,CAD_PDV!A:A,CAD_PDV!C:C)</f>
        <v>RJ/ES</v>
      </c>
      <c r="M1683" s="14" t="str">
        <f>IFERROR(_xlfn.XLOOKUP(B1683,repete!A:A,repete!A:A),"-")</f>
        <v>-</v>
      </c>
    </row>
    <row r="1684" spans="1:13" hidden="1">
      <c r="A1684" s="1">
        <v>46174</v>
      </c>
      <c r="B1684" t="s">
        <v>897</v>
      </c>
      <c r="C1684" t="s">
        <v>873</v>
      </c>
      <c r="D1684" t="s">
        <v>224</v>
      </c>
      <c r="E1684" t="s">
        <v>59</v>
      </c>
      <c r="F1684">
        <v>140</v>
      </c>
      <c r="G1684">
        <v>54</v>
      </c>
      <c r="H1684">
        <v>1.7958097771865598E-2</v>
      </c>
      <c r="I1684">
        <v>0.38571428571428601</v>
      </c>
      <c r="J1684" s="14" t="str">
        <f>_xlfn.XLOOKUP(B1684,CAD_PDV!A:A,CAD_PDV!B:B)</f>
        <v>CELNET COMERCIO E SERVICOS DE TELEFONIA LTDA ME</v>
      </c>
      <c r="K1684" s="14">
        <f>IF(IFERROR(_xlfn.XLOOKUP(B1684,Planilha2!D:D,Planilha2!H:H),0)="SIM",1,0)</f>
        <v>0</v>
      </c>
      <c r="L1684" s="14" t="str">
        <f>_xlfn.XLOOKUP(B1684,CAD_PDV!A:A,CAD_PDV!C:C)</f>
        <v>CO</v>
      </c>
      <c r="M1684" s="14" t="str">
        <f>IFERROR(_xlfn.XLOOKUP(B1684,repete!A:A,repete!A:A),"-")</f>
        <v>-</v>
      </c>
    </row>
    <row r="1685" spans="1:13" hidden="1">
      <c r="A1685" s="1">
        <v>46174</v>
      </c>
      <c r="B1685" t="s">
        <v>1496</v>
      </c>
      <c r="C1685" t="s">
        <v>1464</v>
      </c>
      <c r="D1685" t="s">
        <v>132</v>
      </c>
      <c r="E1685" t="s">
        <v>54</v>
      </c>
      <c r="F1685">
        <v>102</v>
      </c>
      <c r="G1685">
        <v>45</v>
      </c>
      <c r="H1685">
        <v>1.49650814765547E-2</v>
      </c>
      <c r="I1685">
        <v>0.441176470588235</v>
      </c>
      <c r="J1685" s="14" t="str">
        <f>_xlfn.XLOOKUP(B1685,CAD_PDV!A:A,CAD_PDV!B:B)</f>
        <v>FLEX CELL</v>
      </c>
      <c r="K1685" s="14">
        <f>IF(IFERROR(_xlfn.XLOOKUP(B1685,Planilha2!D:D,Planilha2!H:H),0)="SIM",1,0)</f>
        <v>0</v>
      </c>
      <c r="L1685" s="14" t="str">
        <f>_xlfn.XLOOKUP(B1685,CAD_PDV!A:A,CAD_PDV!C:C)</f>
        <v>SP2</v>
      </c>
      <c r="M1685" s="14" t="str">
        <f>IFERROR(_xlfn.XLOOKUP(B1685,repete!A:A,repete!A:A),"-")</f>
        <v>-</v>
      </c>
    </row>
    <row r="1686" spans="1:13" hidden="1">
      <c r="A1686" s="1">
        <v>46174</v>
      </c>
      <c r="B1686" t="s">
        <v>888</v>
      </c>
      <c r="C1686" t="s">
        <v>873</v>
      </c>
      <c r="D1686" t="s">
        <v>224</v>
      </c>
      <c r="E1686" t="s">
        <v>59</v>
      </c>
      <c r="F1686">
        <v>133</v>
      </c>
      <c r="G1686">
        <v>42</v>
      </c>
      <c r="H1686">
        <v>1.39674093781177E-2</v>
      </c>
      <c r="I1686">
        <v>0.31578947368421101</v>
      </c>
      <c r="J1686" s="14" t="str">
        <f>_xlfn.XLOOKUP(B1686,CAD_PDV!A:A,CAD_PDV!B:B)</f>
        <v>CELNET COMERCIO E SERVICOS DE TELEFONIA LTDA ME</v>
      </c>
      <c r="K1686" s="14">
        <f>IF(IFERROR(_xlfn.XLOOKUP(B1686,Planilha2!D:D,Planilha2!H:H),0)="SIM",1,0)</f>
        <v>0</v>
      </c>
      <c r="L1686" s="14" t="str">
        <f>_xlfn.XLOOKUP(B1686,CAD_PDV!A:A,CAD_PDV!C:C)</f>
        <v>CO</v>
      </c>
      <c r="M1686" s="14" t="str">
        <f>IFERROR(_xlfn.XLOOKUP(B1686,repete!A:A,repete!A:A),"-")</f>
        <v>-</v>
      </c>
    </row>
    <row r="1687" spans="1:13" hidden="1">
      <c r="A1687" s="1">
        <v>46174</v>
      </c>
      <c r="B1687" t="s">
        <v>548</v>
      </c>
      <c r="C1687" t="s">
        <v>475</v>
      </c>
      <c r="D1687" t="s">
        <v>228</v>
      </c>
      <c r="E1687" t="s">
        <v>56</v>
      </c>
      <c r="F1687">
        <v>108</v>
      </c>
      <c r="G1687">
        <v>40</v>
      </c>
      <c r="H1687">
        <v>1.33022946458264E-2</v>
      </c>
      <c r="I1687">
        <v>0.37037037037037002</v>
      </c>
      <c r="J1687" s="14" t="str">
        <f>_xlfn.XLOOKUP(B1687,CAD_PDV!A:A,CAD_PDV!B:B)</f>
        <v>FAJULUTI</v>
      </c>
      <c r="K1687" s="14">
        <f>IF(IFERROR(_xlfn.XLOOKUP(B1687,Planilha2!D:D,Planilha2!H:H),0)="SIM",1,0)</f>
        <v>0</v>
      </c>
      <c r="L1687" s="14" t="str">
        <f>_xlfn.XLOOKUP(B1687,CAD_PDV!A:A,CAD_PDV!C:C)</f>
        <v>MG</v>
      </c>
      <c r="M1687" s="14" t="str">
        <f>IFERROR(_xlfn.XLOOKUP(B1687,repete!A:A,repete!A:A),"-")</f>
        <v>-</v>
      </c>
    </row>
    <row r="1688" spans="1:13" hidden="1">
      <c r="A1688" s="1">
        <v>46174</v>
      </c>
      <c r="B1688" t="s">
        <v>1675</v>
      </c>
      <c r="C1688" t="s">
        <v>1676</v>
      </c>
      <c r="D1688" t="s">
        <v>232</v>
      </c>
      <c r="E1688" t="s">
        <v>54</v>
      </c>
      <c r="F1688">
        <v>131</v>
      </c>
      <c r="G1688">
        <v>40</v>
      </c>
      <c r="H1688">
        <v>1.33022946458264E-2</v>
      </c>
      <c r="I1688">
        <v>0.30534351145038202</v>
      </c>
      <c r="J1688" s="14" t="str">
        <f>_xlfn.XLOOKUP(B1688,CAD_PDV!A:A,CAD_PDV!B:B)</f>
        <v>HS TELECOM</v>
      </c>
      <c r="K1688" s="14">
        <f>IF(IFERROR(_xlfn.XLOOKUP(B1688,Planilha2!D:D,Planilha2!H:H),0)="SIM",1,0)</f>
        <v>0</v>
      </c>
      <c r="L1688" s="14" t="str">
        <f>_xlfn.XLOOKUP(B1688,CAD_PDV!A:A,CAD_PDV!C:C)</f>
        <v>SP2</v>
      </c>
      <c r="M1688" s="14" t="str">
        <f>IFERROR(_xlfn.XLOOKUP(B1688,repete!A:A,repete!A:A),"-")</f>
        <v>-</v>
      </c>
    </row>
    <row r="1689" spans="1:13" hidden="1">
      <c r="A1689" s="1">
        <v>46174</v>
      </c>
      <c r="B1689" t="s">
        <v>1571</v>
      </c>
      <c r="C1689" t="s">
        <v>1535</v>
      </c>
      <c r="D1689" t="s">
        <v>232</v>
      </c>
      <c r="E1689" t="s">
        <v>54</v>
      </c>
      <c r="F1689">
        <v>101</v>
      </c>
      <c r="G1689">
        <v>36</v>
      </c>
      <c r="H1689">
        <v>1.19720651812438E-2</v>
      </c>
      <c r="I1689">
        <v>0.35643564356435598</v>
      </c>
      <c r="J1689" s="14" t="str">
        <f>_xlfn.XLOOKUP(B1689,CAD_PDV!A:A,CAD_PDV!B:B)</f>
        <v>HS TELECOM</v>
      </c>
      <c r="K1689" s="14">
        <f>IF(IFERROR(_xlfn.XLOOKUP(B1689,Planilha2!D:D,Planilha2!H:H),0)="SIM",1,0)</f>
        <v>0</v>
      </c>
      <c r="L1689" s="14" t="str">
        <f>_xlfn.XLOOKUP(B1689,CAD_PDV!A:A,CAD_PDV!C:C)</f>
        <v>SP2</v>
      </c>
      <c r="M1689" s="14" t="str">
        <f>IFERROR(_xlfn.XLOOKUP(B1689,repete!A:A,repete!A:A),"-")</f>
        <v>-</v>
      </c>
    </row>
    <row r="1690" spans="1:13" hidden="1">
      <c r="A1690" s="1">
        <v>46174</v>
      </c>
      <c r="B1690" t="s">
        <v>1672</v>
      </c>
      <c r="C1690" t="s">
        <v>1668</v>
      </c>
      <c r="D1690" t="s">
        <v>232</v>
      </c>
      <c r="E1690" t="s">
        <v>54</v>
      </c>
      <c r="F1690">
        <v>159</v>
      </c>
      <c r="G1690">
        <v>36</v>
      </c>
      <c r="H1690">
        <v>1.19720651812438E-2</v>
      </c>
      <c r="I1690">
        <v>0.22641509433962301</v>
      </c>
      <c r="J1690" s="14" t="str">
        <f>_xlfn.XLOOKUP(B1690,CAD_PDV!A:A,CAD_PDV!B:B)</f>
        <v>HS TELECOM</v>
      </c>
      <c r="K1690" s="14">
        <f>IF(IFERROR(_xlfn.XLOOKUP(B1690,Planilha2!D:D,Planilha2!H:H),0)="SIM",1,0)</f>
        <v>0</v>
      </c>
      <c r="L1690" s="14" t="str">
        <f>_xlfn.XLOOKUP(B1690,CAD_PDV!A:A,CAD_PDV!C:C)</f>
        <v>SP2</v>
      </c>
      <c r="M1690" s="14" t="str">
        <f>IFERROR(_xlfn.XLOOKUP(B1690,repete!A:A,repete!A:A),"-")</f>
        <v>-</v>
      </c>
    </row>
    <row r="1691" spans="1:13" hidden="1">
      <c r="A1691" s="1">
        <v>46174</v>
      </c>
      <c r="B1691" t="s">
        <v>1602</v>
      </c>
      <c r="C1691" t="s">
        <v>1489</v>
      </c>
      <c r="D1691" t="s">
        <v>232</v>
      </c>
      <c r="E1691" t="s">
        <v>54</v>
      </c>
      <c r="F1691">
        <v>94</v>
      </c>
      <c r="G1691">
        <v>35</v>
      </c>
      <c r="H1691">
        <v>1.16395078150981E-2</v>
      </c>
      <c r="I1691">
        <v>0.37234042553191499</v>
      </c>
      <c r="J1691" s="14" t="str">
        <f>_xlfn.XLOOKUP(B1691,CAD_PDV!A:A,CAD_PDV!B:B)</f>
        <v>HS TELECOM</v>
      </c>
      <c r="K1691" s="14">
        <f>IF(IFERROR(_xlfn.XLOOKUP(B1691,Planilha2!D:D,Planilha2!H:H),0)="SIM",1,0)</f>
        <v>0</v>
      </c>
      <c r="L1691" s="14" t="str">
        <f>_xlfn.XLOOKUP(B1691,CAD_PDV!A:A,CAD_PDV!C:C)</f>
        <v>SP2</v>
      </c>
      <c r="M1691" s="14" t="str">
        <f>IFERROR(_xlfn.XLOOKUP(B1691,repete!A:A,repete!A:A),"-")</f>
        <v>-</v>
      </c>
    </row>
    <row r="1692" spans="1:13" hidden="1">
      <c r="A1692" s="1">
        <v>46174</v>
      </c>
      <c r="B1692" t="s">
        <v>1660</v>
      </c>
      <c r="C1692" t="s">
        <v>1661</v>
      </c>
      <c r="D1692" t="s">
        <v>232</v>
      </c>
      <c r="E1692" t="s">
        <v>54</v>
      </c>
      <c r="F1692">
        <v>94</v>
      </c>
      <c r="G1692">
        <v>32</v>
      </c>
      <c r="H1692">
        <v>1.0641835716661101E-2</v>
      </c>
      <c r="I1692">
        <v>0.340425531914894</v>
      </c>
      <c r="J1692" s="14" t="str">
        <f>_xlfn.XLOOKUP(B1692,CAD_PDV!A:A,CAD_PDV!B:B)</f>
        <v>HS TELECOM</v>
      </c>
      <c r="K1692" s="14">
        <f>IF(IFERROR(_xlfn.XLOOKUP(B1692,Planilha2!D:D,Planilha2!H:H),0)="SIM",1,0)</f>
        <v>0</v>
      </c>
      <c r="L1692" s="14" t="str">
        <f>_xlfn.XLOOKUP(B1692,CAD_PDV!A:A,CAD_PDV!C:C)</f>
        <v>SP2</v>
      </c>
      <c r="M1692" s="14" t="str">
        <f>IFERROR(_xlfn.XLOOKUP(B1692,repete!A:A,repete!A:A),"-")</f>
        <v>-</v>
      </c>
    </row>
    <row r="1693" spans="1:13" hidden="1">
      <c r="A1693" s="1">
        <v>46174</v>
      </c>
      <c r="B1693" t="s">
        <v>1682</v>
      </c>
      <c r="C1693" t="s">
        <v>1566</v>
      </c>
      <c r="D1693" t="s">
        <v>232</v>
      </c>
      <c r="E1693" t="s">
        <v>54</v>
      </c>
      <c r="F1693">
        <v>131</v>
      </c>
      <c r="G1693">
        <v>32</v>
      </c>
      <c r="H1693">
        <v>1.0641835716661101E-2</v>
      </c>
      <c r="I1693">
        <v>0.244274809160305</v>
      </c>
      <c r="J1693" s="14" t="str">
        <f>_xlfn.XLOOKUP(B1693,CAD_PDV!A:A,CAD_PDV!B:B)</f>
        <v>HS TELECOM</v>
      </c>
      <c r="K1693" s="14">
        <f>IF(IFERROR(_xlfn.XLOOKUP(B1693,Planilha2!D:D,Planilha2!H:H),0)="SIM",1,0)</f>
        <v>0</v>
      </c>
      <c r="L1693" s="14" t="str">
        <f>_xlfn.XLOOKUP(B1693,CAD_PDV!A:A,CAD_PDV!C:C)</f>
        <v>SP2</v>
      </c>
      <c r="M1693" s="14" t="str">
        <f>IFERROR(_xlfn.XLOOKUP(B1693,repete!A:A,repete!A:A),"-")</f>
        <v>-</v>
      </c>
    </row>
    <row r="1694" spans="1:13" hidden="1">
      <c r="A1694" s="1">
        <v>46174</v>
      </c>
      <c r="B1694" t="s">
        <v>1716</v>
      </c>
      <c r="C1694" t="s">
        <v>1663</v>
      </c>
      <c r="D1694" t="s">
        <v>232</v>
      </c>
      <c r="E1694" t="s">
        <v>54</v>
      </c>
      <c r="F1694">
        <v>125</v>
      </c>
      <c r="G1694">
        <v>32</v>
      </c>
      <c r="H1694">
        <v>1.0641835716661101E-2</v>
      </c>
      <c r="I1694">
        <v>0.25600000000000001</v>
      </c>
      <c r="J1694" s="14" t="str">
        <f>_xlfn.XLOOKUP(B1694,CAD_PDV!A:A,CAD_PDV!B:B)</f>
        <v>HS TELECOM</v>
      </c>
      <c r="K1694" s="14">
        <f>IF(IFERROR(_xlfn.XLOOKUP(B1694,Planilha2!D:D,Planilha2!H:H),0)="SIM",1,0)</f>
        <v>0</v>
      </c>
      <c r="L1694" s="14" t="str">
        <f>_xlfn.XLOOKUP(B1694,CAD_PDV!A:A,CAD_PDV!C:C)</f>
        <v>SP2</v>
      </c>
      <c r="M1694" s="14" t="str">
        <f>IFERROR(_xlfn.XLOOKUP(B1694,repete!A:A,repete!A:A),"-")</f>
        <v>-</v>
      </c>
    </row>
    <row r="1695" spans="1:13" hidden="1">
      <c r="A1695" s="1">
        <v>46174</v>
      </c>
      <c r="B1695" t="s">
        <v>1662</v>
      </c>
      <c r="C1695" t="s">
        <v>1663</v>
      </c>
      <c r="D1695" t="s">
        <v>232</v>
      </c>
      <c r="E1695" t="s">
        <v>54</v>
      </c>
      <c r="F1695">
        <v>110</v>
      </c>
      <c r="G1695">
        <v>31</v>
      </c>
      <c r="H1695">
        <v>1.03092783505155E-2</v>
      </c>
      <c r="I1695">
        <v>0.28181818181818202</v>
      </c>
      <c r="J1695" s="14" t="str">
        <f>_xlfn.XLOOKUP(B1695,CAD_PDV!A:A,CAD_PDV!B:B)</f>
        <v>HS TELECOM</v>
      </c>
      <c r="K1695" s="14">
        <f>IF(IFERROR(_xlfn.XLOOKUP(B1695,Planilha2!D:D,Planilha2!H:H),0)="SIM",1,0)</f>
        <v>0</v>
      </c>
      <c r="L1695" s="14" t="str">
        <f>_xlfn.XLOOKUP(B1695,CAD_PDV!A:A,CAD_PDV!C:C)</f>
        <v>SP2</v>
      </c>
      <c r="M1695" s="14" t="str">
        <f>IFERROR(_xlfn.XLOOKUP(B1695,repete!A:A,repete!A:A),"-")</f>
        <v>-</v>
      </c>
    </row>
    <row r="1696" spans="1:13" hidden="1">
      <c r="A1696" s="1">
        <v>46174</v>
      </c>
      <c r="B1696" t="s">
        <v>1689</v>
      </c>
      <c r="C1696" t="s">
        <v>1527</v>
      </c>
      <c r="D1696" t="s">
        <v>232</v>
      </c>
      <c r="E1696" t="s">
        <v>54</v>
      </c>
      <c r="F1696">
        <v>95</v>
      </c>
      <c r="G1696">
        <v>31</v>
      </c>
      <c r="H1696">
        <v>1.03092783505155E-2</v>
      </c>
      <c r="I1696">
        <v>0.326315789473684</v>
      </c>
      <c r="J1696" s="14" t="str">
        <f>_xlfn.XLOOKUP(B1696,CAD_PDV!A:A,CAD_PDV!B:B)</f>
        <v>HS TELECOM</v>
      </c>
      <c r="K1696" s="14">
        <f>IF(IFERROR(_xlfn.XLOOKUP(B1696,Planilha2!D:D,Planilha2!H:H),0)="SIM",1,0)</f>
        <v>0</v>
      </c>
      <c r="L1696" s="14" t="str">
        <f>_xlfn.XLOOKUP(B1696,CAD_PDV!A:A,CAD_PDV!C:C)</f>
        <v>SP2</v>
      </c>
      <c r="M1696" s="14" t="str">
        <f>IFERROR(_xlfn.XLOOKUP(B1696,repete!A:A,repete!A:A),"-")</f>
        <v>-</v>
      </c>
    </row>
    <row r="1697" spans="1:13" hidden="1">
      <c r="A1697" s="1">
        <v>46174</v>
      </c>
      <c r="B1697" t="s">
        <v>1149</v>
      </c>
      <c r="C1697" t="s">
        <v>1152</v>
      </c>
      <c r="D1697" t="s">
        <v>228</v>
      </c>
      <c r="E1697" t="s">
        <v>55</v>
      </c>
      <c r="F1697">
        <v>52</v>
      </c>
      <c r="G1697">
        <v>29</v>
      </c>
      <c r="H1697">
        <v>9.6441636182241393E-3</v>
      </c>
      <c r="I1697">
        <v>0.55769230769230804</v>
      </c>
      <c r="J1697" s="14" t="str">
        <f>_xlfn.XLOOKUP(B1697,CAD_PDV!A:A,CAD_PDV!B:B)</f>
        <v>FAJULUTI</v>
      </c>
      <c r="K1697" s="14">
        <f>IF(IFERROR(_xlfn.XLOOKUP(B1697,Planilha2!D:D,Planilha2!H:H),0)="SIM",1,0)</f>
        <v>0</v>
      </c>
      <c r="L1697" s="14" t="str">
        <f>_xlfn.XLOOKUP(B1697,CAD_PDV!A:A,CAD_PDV!C:C)</f>
        <v>RJ/ES</v>
      </c>
      <c r="M1697" s="14" t="str">
        <f>IFERROR(_xlfn.XLOOKUP(B1697,repete!A:A,repete!A:A),"-")</f>
        <v>-</v>
      </c>
    </row>
    <row r="1698" spans="1:13" hidden="1">
      <c r="A1698" s="1">
        <v>46174</v>
      </c>
      <c r="B1698" t="s">
        <v>1372</v>
      </c>
      <c r="C1698" t="s">
        <v>1313</v>
      </c>
      <c r="D1698" t="s">
        <v>132</v>
      </c>
      <c r="E1698" t="s">
        <v>53</v>
      </c>
      <c r="F1698">
        <v>162</v>
      </c>
      <c r="G1698">
        <v>29</v>
      </c>
      <c r="H1698">
        <v>9.6441636182241393E-3</v>
      </c>
      <c r="I1698">
        <v>0.179012345679012</v>
      </c>
      <c r="J1698" s="14" t="str">
        <f>_xlfn.XLOOKUP(B1698,CAD_PDV!A:A,CAD_PDV!B:B)</f>
        <v>FLEX CELL</v>
      </c>
      <c r="K1698" s="14">
        <f>IF(IFERROR(_xlfn.XLOOKUP(B1698,Planilha2!D:D,Planilha2!H:H),0)="SIM",1,0)</f>
        <v>0</v>
      </c>
      <c r="L1698" s="14" t="str">
        <f>_xlfn.XLOOKUP(B1698,CAD_PDV!A:A,CAD_PDV!C:C)</f>
        <v>SP1</v>
      </c>
      <c r="M1698" s="14" t="str">
        <f>IFERROR(_xlfn.XLOOKUP(B1698,repete!A:A,repete!A:A),"-")</f>
        <v>-</v>
      </c>
    </row>
    <row r="1699" spans="1:13" hidden="1">
      <c r="A1699" s="1">
        <v>46174</v>
      </c>
      <c r="B1699" t="s">
        <v>1611</v>
      </c>
      <c r="C1699" t="s">
        <v>1527</v>
      </c>
      <c r="D1699" t="s">
        <v>232</v>
      </c>
      <c r="E1699" t="s">
        <v>54</v>
      </c>
      <c r="F1699">
        <v>202</v>
      </c>
      <c r="G1699">
        <v>28</v>
      </c>
      <c r="H1699">
        <v>9.3116062520784797E-3</v>
      </c>
      <c r="I1699">
        <v>0.13861386138613899</v>
      </c>
      <c r="J1699" s="14" t="str">
        <f>_xlfn.XLOOKUP(B1699,CAD_PDV!A:A,CAD_PDV!B:B)</f>
        <v>HS TELECOM</v>
      </c>
      <c r="K1699" s="14">
        <f>IF(IFERROR(_xlfn.XLOOKUP(B1699,Planilha2!D:D,Planilha2!H:H),0)="SIM",1,0)</f>
        <v>0</v>
      </c>
      <c r="L1699" s="14" t="str">
        <f>_xlfn.XLOOKUP(B1699,CAD_PDV!A:A,CAD_PDV!C:C)</f>
        <v>SP2</v>
      </c>
      <c r="M1699" s="14" t="str">
        <f>IFERROR(_xlfn.XLOOKUP(B1699,repete!A:A,repete!A:A),"-")</f>
        <v>-</v>
      </c>
    </row>
    <row r="1700" spans="1:13" hidden="1">
      <c r="A1700" s="1">
        <v>46174</v>
      </c>
      <c r="B1700" t="s">
        <v>1756</v>
      </c>
      <c r="C1700" t="s">
        <v>1757</v>
      </c>
      <c r="D1700" t="s">
        <v>124</v>
      </c>
      <c r="E1700" t="s">
        <v>2074</v>
      </c>
      <c r="F1700">
        <v>178</v>
      </c>
      <c r="G1700">
        <v>28</v>
      </c>
      <c r="H1700">
        <v>9.3116062520784797E-3</v>
      </c>
      <c r="I1700">
        <v>0.15730337078651699</v>
      </c>
      <c r="J1700" s="14" t="str">
        <f>_xlfn.XLOOKUP(B1700,CAD_PDV!A:A,CAD_PDV!B:B)</f>
        <v>EDUARDO JUNQUEIRA DA SILVEIRA ADMIN</v>
      </c>
      <c r="K1700" s="14">
        <f>IF(IFERROR(_xlfn.XLOOKUP(B1700,Planilha2!D:D,Planilha2!H:H),0)="SIM",1,0)</f>
        <v>0</v>
      </c>
      <c r="L1700" s="14" t="str">
        <f>_xlfn.XLOOKUP(B1700,CAD_PDV!A:A,CAD_PDV!C:C)</f>
        <v>RS</v>
      </c>
      <c r="M1700" s="14" t="str">
        <f>IFERROR(_xlfn.XLOOKUP(B1700,repete!A:A,repete!A:A),"-")</f>
        <v>-</v>
      </c>
    </row>
    <row r="1701" spans="1:13" hidden="1">
      <c r="A1701" s="1">
        <v>46174</v>
      </c>
      <c r="B1701" t="s">
        <v>552</v>
      </c>
      <c r="C1701" t="s">
        <v>483</v>
      </c>
      <c r="D1701" t="s">
        <v>228</v>
      </c>
      <c r="E1701" t="s">
        <v>56</v>
      </c>
      <c r="F1701">
        <v>92</v>
      </c>
      <c r="G1701">
        <v>27</v>
      </c>
      <c r="H1701">
        <v>8.9790488859328201E-3</v>
      </c>
      <c r="I1701">
        <v>0.29347826086956502</v>
      </c>
      <c r="J1701" s="14" t="str">
        <f>_xlfn.XLOOKUP(B1701,CAD_PDV!A:A,CAD_PDV!B:B)</f>
        <v>FAJULUTI</v>
      </c>
      <c r="K1701" s="14">
        <f>IF(IFERROR(_xlfn.XLOOKUP(B1701,Planilha2!D:D,Planilha2!H:H),0)="SIM",1,0)</f>
        <v>0</v>
      </c>
      <c r="L1701" s="14" t="str">
        <f>_xlfn.XLOOKUP(B1701,CAD_PDV!A:A,CAD_PDV!C:C)</f>
        <v>MG</v>
      </c>
      <c r="M1701" s="14" t="str">
        <f>IFERROR(_xlfn.XLOOKUP(B1701,repete!A:A,repete!A:A),"-")</f>
        <v>-</v>
      </c>
    </row>
    <row r="1702" spans="1:13" hidden="1">
      <c r="A1702" s="1">
        <v>46174</v>
      </c>
      <c r="B1702" t="s">
        <v>1656</v>
      </c>
      <c r="C1702" t="s">
        <v>1657</v>
      </c>
      <c r="D1702" t="s">
        <v>232</v>
      </c>
      <c r="E1702" t="s">
        <v>54</v>
      </c>
      <c r="F1702">
        <v>99</v>
      </c>
      <c r="G1702">
        <v>27</v>
      </c>
      <c r="H1702">
        <v>8.9790488859328201E-3</v>
      </c>
      <c r="I1702">
        <v>0.27272727272727298</v>
      </c>
      <c r="J1702" s="14" t="str">
        <f>_xlfn.XLOOKUP(B1702,CAD_PDV!A:A,CAD_PDV!B:B)</f>
        <v>HS TELECOM</v>
      </c>
      <c r="K1702" s="14">
        <f>IF(IFERROR(_xlfn.XLOOKUP(B1702,Planilha2!D:D,Planilha2!H:H),0)="SIM",1,0)</f>
        <v>0</v>
      </c>
      <c r="L1702" s="14" t="str">
        <f>_xlfn.XLOOKUP(B1702,CAD_PDV!A:A,CAD_PDV!C:C)</f>
        <v>SP2</v>
      </c>
      <c r="M1702" s="14" t="str">
        <f>IFERROR(_xlfn.XLOOKUP(B1702,repete!A:A,repete!A:A),"-")</f>
        <v>-</v>
      </c>
    </row>
    <row r="1703" spans="1:13" hidden="1">
      <c r="A1703" s="1">
        <v>46174</v>
      </c>
      <c r="B1703" t="s">
        <v>1680</v>
      </c>
      <c r="C1703" t="s">
        <v>1676</v>
      </c>
      <c r="D1703" t="s">
        <v>232</v>
      </c>
      <c r="E1703" t="s">
        <v>54</v>
      </c>
      <c r="F1703">
        <v>142</v>
      </c>
      <c r="G1703">
        <v>27</v>
      </c>
      <c r="H1703">
        <v>8.9790488859328201E-3</v>
      </c>
      <c r="I1703">
        <v>0.190140845070423</v>
      </c>
      <c r="J1703" s="14" t="str">
        <f>_xlfn.XLOOKUP(B1703,CAD_PDV!A:A,CAD_PDV!B:B)</f>
        <v>HS TELECOM</v>
      </c>
      <c r="K1703" s="14">
        <f>IF(IFERROR(_xlfn.XLOOKUP(B1703,Planilha2!D:D,Planilha2!H:H),0)="SIM",1,0)</f>
        <v>0</v>
      </c>
      <c r="L1703" s="14" t="str">
        <f>_xlfn.XLOOKUP(B1703,CAD_PDV!A:A,CAD_PDV!C:C)</f>
        <v>SP2</v>
      </c>
      <c r="M1703" s="14" t="str">
        <f>IFERROR(_xlfn.XLOOKUP(B1703,repete!A:A,repete!A:A),"-")</f>
        <v>-</v>
      </c>
    </row>
    <row r="1704" spans="1:13" hidden="1">
      <c r="A1704" s="1">
        <v>46174</v>
      </c>
      <c r="B1704" t="s">
        <v>1548</v>
      </c>
      <c r="C1704" t="s">
        <v>1545</v>
      </c>
      <c r="D1704" t="s">
        <v>232</v>
      </c>
      <c r="E1704" t="s">
        <v>54</v>
      </c>
      <c r="F1704">
        <v>63</v>
      </c>
      <c r="G1704">
        <v>26</v>
      </c>
      <c r="H1704">
        <v>8.6464915197871604E-3</v>
      </c>
      <c r="I1704">
        <v>0.41269841269841301</v>
      </c>
      <c r="J1704" s="14" t="str">
        <f>_xlfn.XLOOKUP(B1704,CAD_PDV!A:A,CAD_PDV!B:B)</f>
        <v>HS TELECOM</v>
      </c>
      <c r="K1704" s="14">
        <f>IF(IFERROR(_xlfn.XLOOKUP(B1704,Planilha2!D:D,Planilha2!H:H),0)="SIM",1,0)</f>
        <v>0</v>
      </c>
      <c r="L1704" s="14" t="str">
        <f>_xlfn.XLOOKUP(B1704,CAD_PDV!A:A,CAD_PDV!C:C)</f>
        <v>SP2</v>
      </c>
      <c r="M1704" s="14" t="str">
        <f>IFERROR(_xlfn.XLOOKUP(B1704,repete!A:A,repete!A:A),"-")</f>
        <v>-</v>
      </c>
    </row>
    <row r="1705" spans="1:13" hidden="1">
      <c r="A1705" s="1">
        <v>46174</v>
      </c>
      <c r="B1705" t="s">
        <v>1246</v>
      </c>
      <c r="C1705" t="s">
        <v>1142</v>
      </c>
      <c r="D1705" t="s">
        <v>228</v>
      </c>
      <c r="E1705" t="s">
        <v>55</v>
      </c>
      <c r="F1705">
        <v>164</v>
      </c>
      <c r="G1705">
        <v>26</v>
      </c>
      <c r="H1705">
        <v>8.6464915197871604E-3</v>
      </c>
      <c r="I1705">
        <v>0.15853658536585399</v>
      </c>
      <c r="J1705" s="14" t="str">
        <f>_xlfn.XLOOKUP(B1705,CAD_PDV!A:A,CAD_PDV!B:B)</f>
        <v>FAJULUTI</v>
      </c>
      <c r="K1705" s="14">
        <f>IF(IFERROR(_xlfn.XLOOKUP(B1705,Planilha2!D:D,Planilha2!H:H),0)="SIM",1,0)</f>
        <v>0</v>
      </c>
      <c r="L1705" s="14" t="str">
        <f>_xlfn.XLOOKUP(B1705,CAD_PDV!A:A,CAD_PDV!C:C)</f>
        <v>RJ/ES</v>
      </c>
      <c r="M1705" s="14" t="str">
        <f>IFERROR(_xlfn.XLOOKUP(B1705,repete!A:A,repete!A:A),"-")</f>
        <v>-</v>
      </c>
    </row>
    <row r="1706" spans="1:13" hidden="1">
      <c r="A1706" s="1">
        <v>46174</v>
      </c>
      <c r="B1706" t="s">
        <v>1284</v>
      </c>
      <c r="C1706" t="s">
        <v>1283</v>
      </c>
      <c r="D1706" t="s">
        <v>228</v>
      </c>
      <c r="E1706" t="s">
        <v>55</v>
      </c>
      <c r="F1706">
        <v>59</v>
      </c>
      <c r="G1706">
        <v>25</v>
      </c>
      <c r="H1706">
        <v>8.3139341536415008E-3</v>
      </c>
      <c r="I1706">
        <v>0.42372881355932202</v>
      </c>
      <c r="J1706" s="14" t="str">
        <f>_xlfn.XLOOKUP(B1706,CAD_PDV!A:A,CAD_PDV!B:B)</f>
        <v>FAJULUTI</v>
      </c>
      <c r="K1706" s="14">
        <f>IF(IFERROR(_xlfn.XLOOKUP(B1706,Planilha2!D:D,Planilha2!H:H),0)="SIM",1,0)</f>
        <v>0</v>
      </c>
      <c r="L1706" s="14" t="str">
        <f>_xlfn.XLOOKUP(B1706,CAD_PDV!A:A,CAD_PDV!C:C)</f>
        <v>RJ/ES</v>
      </c>
      <c r="M1706" s="14" t="str">
        <f>IFERROR(_xlfn.XLOOKUP(B1706,repete!A:A,repete!A:A),"-")</f>
        <v>-</v>
      </c>
    </row>
    <row r="1707" spans="1:13" hidden="1">
      <c r="A1707" s="1">
        <v>46174</v>
      </c>
      <c r="B1707" t="s">
        <v>1139</v>
      </c>
      <c r="C1707" t="s">
        <v>1142</v>
      </c>
      <c r="D1707" t="s">
        <v>228</v>
      </c>
      <c r="E1707" t="s">
        <v>55</v>
      </c>
      <c r="F1707">
        <v>132</v>
      </c>
      <c r="G1707">
        <v>25</v>
      </c>
      <c r="H1707">
        <v>8.3139341536415008E-3</v>
      </c>
      <c r="I1707">
        <v>0.189393939393939</v>
      </c>
      <c r="J1707" s="14" t="str">
        <f>_xlfn.XLOOKUP(B1707,CAD_PDV!A:A,CAD_PDV!B:B)</f>
        <v>FAJULUTI</v>
      </c>
      <c r="K1707" s="14">
        <f>IF(IFERROR(_xlfn.XLOOKUP(B1707,Planilha2!D:D,Planilha2!H:H),0)="SIM",1,0)</f>
        <v>0</v>
      </c>
      <c r="L1707" s="14" t="str">
        <f>_xlfn.XLOOKUP(B1707,CAD_PDV!A:A,CAD_PDV!C:C)</f>
        <v>RJ/ES</v>
      </c>
      <c r="M1707" s="14" t="str">
        <f>IFERROR(_xlfn.XLOOKUP(B1707,repete!A:A,repete!A:A),"-")</f>
        <v>-</v>
      </c>
    </row>
    <row r="1708" spans="1:13" hidden="1">
      <c r="A1708" s="1">
        <v>46174</v>
      </c>
      <c r="B1708" t="s">
        <v>1674</v>
      </c>
      <c r="C1708" t="s">
        <v>1489</v>
      </c>
      <c r="D1708" t="s">
        <v>232</v>
      </c>
      <c r="E1708" t="s">
        <v>54</v>
      </c>
      <c r="F1708">
        <v>59</v>
      </c>
      <c r="G1708">
        <v>25</v>
      </c>
      <c r="H1708">
        <v>8.3139341536415008E-3</v>
      </c>
      <c r="I1708">
        <v>0.42372881355932202</v>
      </c>
      <c r="J1708" s="14" t="str">
        <f>_xlfn.XLOOKUP(B1708,CAD_PDV!A:A,CAD_PDV!B:B)</f>
        <v>HS TELECOM</v>
      </c>
      <c r="K1708" s="14">
        <f>IF(IFERROR(_xlfn.XLOOKUP(B1708,Planilha2!D:D,Planilha2!H:H),0)="SIM",1,0)</f>
        <v>0</v>
      </c>
      <c r="L1708" s="14" t="str">
        <f>_xlfn.XLOOKUP(B1708,CAD_PDV!A:A,CAD_PDV!C:C)</f>
        <v>SP2</v>
      </c>
      <c r="M1708" s="14" t="str">
        <f>IFERROR(_xlfn.XLOOKUP(B1708,repete!A:A,repete!A:A),"-")</f>
        <v>-</v>
      </c>
    </row>
    <row r="1709" spans="1:13" hidden="1">
      <c r="A1709" s="1">
        <v>46174</v>
      </c>
      <c r="B1709" t="s">
        <v>1217</v>
      </c>
      <c r="C1709" t="s">
        <v>1152</v>
      </c>
      <c r="D1709" t="s">
        <v>228</v>
      </c>
      <c r="E1709" t="s">
        <v>55</v>
      </c>
      <c r="F1709">
        <v>73</v>
      </c>
      <c r="G1709">
        <v>24</v>
      </c>
      <c r="H1709">
        <v>7.9813767874958395E-3</v>
      </c>
      <c r="I1709">
        <v>0.32876712328767099</v>
      </c>
      <c r="J1709" s="14" t="str">
        <f>_xlfn.XLOOKUP(B1709,CAD_PDV!A:A,CAD_PDV!B:B)</f>
        <v>FAJULUTI</v>
      </c>
      <c r="K1709" s="14">
        <f>IF(IFERROR(_xlfn.XLOOKUP(B1709,Planilha2!D:D,Planilha2!H:H),0)="SIM",1,0)</f>
        <v>0</v>
      </c>
      <c r="L1709" s="14" t="str">
        <f>_xlfn.XLOOKUP(B1709,CAD_PDV!A:A,CAD_PDV!C:C)</f>
        <v>RJ/ES</v>
      </c>
      <c r="M1709" s="14" t="str">
        <f>IFERROR(_xlfn.XLOOKUP(B1709,repete!A:A,repete!A:A),"-")</f>
        <v>-</v>
      </c>
    </row>
    <row r="1710" spans="1:13" hidden="1">
      <c r="A1710" s="1">
        <v>46174</v>
      </c>
      <c r="B1710" t="s">
        <v>895</v>
      </c>
      <c r="C1710" t="s">
        <v>873</v>
      </c>
      <c r="D1710" t="s">
        <v>224</v>
      </c>
      <c r="E1710" t="s">
        <v>59</v>
      </c>
      <c r="F1710">
        <v>112</v>
      </c>
      <c r="G1710">
        <v>24</v>
      </c>
      <c r="H1710">
        <v>7.9813767874958395E-3</v>
      </c>
      <c r="I1710">
        <v>0.214285714285714</v>
      </c>
      <c r="J1710" s="14" t="str">
        <f>_xlfn.XLOOKUP(B1710,CAD_PDV!A:A,CAD_PDV!B:B)</f>
        <v>CELNET COMERCIO E SERVICOS DE TELEFONIA LTDA ME</v>
      </c>
      <c r="K1710" s="14">
        <f>IF(IFERROR(_xlfn.XLOOKUP(B1710,Planilha2!D:D,Planilha2!H:H),0)="SIM",1,0)</f>
        <v>0</v>
      </c>
      <c r="L1710" s="14" t="str">
        <f>_xlfn.XLOOKUP(B1710,CAD_PDV!A:A,CAD_PDV!C:C)</f>
        <v>CO</v>
      </c>
      <c r="M1710" s="14" t="str">
        <f>IFERROR(_xlfn.XLOOKUP(B1710,repete!A:A,repete!A:A),"-")</f>
        <v>-</v>
      </c>
    </row>
    <row r="1711" spans="1:13" hidden="1">
      <c r="A1711" s="1">
        <v>46174</v>
      </c>
      <c r="B1711" t="s">
        <v>1348</v>
      </c>
      <c r="C1711" t="s">
        <v>1350</v>
      </c>
      <c r="D1711" t="s">
        <v>132</v>
      </c>
      <c r="E1711" t="s">
        <v>53</v>
      </c>
      <c r="F1711">
        <v>110</v>
      </c>
      <c r="G1711">
        <v>23</v>
      </c>
      <c r="H1711">
        <v>7.6488194213501799E-3</v>
      </c>
      <c r="I1711">
        <v>0.20909090909090899</v>
      </c>
      <c r="J1711" s="14" t="str">
        <f>_xlfn.XLOOKUP(B1711,CAD_PDV!A:A,CAD_PDV!B:B)</f>
        <v>FLEX CELL</v>
      </c>
      <c r="K1711" s="14">
        <f>IF(IFERROR(_xlfn.XLOOKUP(B1711,Planilha2!D:D,Planilha2!H:H),0)="SIM",1,0)</f>
        <v>0</v>
      </c>
      <c r="L1711" s="14" t="str">
        <f>_xlfn.XLOOKUP(B1711,CAD_PDV!A:A,CAD_PDV!C:C)</f>
        <v>SP1</v>
      </c>
      <c r="M1711" s="14" t="str">
        <f>IFERROR(_xlfn.XLOOKUP(B1711,repete!A:A,repete!A:A),"-")</f>
        <v>-</v>
      </c>
    </row>
    <row r="1712" spans="1:13" hidden="1">
      <c r="A1712" s="1">
        <v>46174</v>
      </c>
      <c r="B1712" t="s">
        <v>2041</v>
      </c>
      <c r="C1712" t="s">
        <v>2042</v>
      </c>
      <c r="D1712" t="s">
        <v>193</v>
      </c>
      <c r="E1712" t="s">
        <v>2074</v>
      </c>
      <c r="F1712">
        <v>73</v>
      </c>
      <c r="G1712">
        <v>23</v>
      </c>
      <c r="H1712">
        <v>7.6488194213501799E-3</v>
      </c>
      <c r="I1712">
        <v>0.31506849315068503</v>
      </c>
      <c r="J1712" s="14" t="str">
        <f>_xlfn.XLOOKUP(B1712,CAD_PDV!A:A,CAD_PDV!B:B)</f>
        <v>S D COMERCIO DE CELULARES LTDA - ME</v>
      </c>
      <c r="K1712" s="14">
        <f>IF(IFERROR(_xlfn.XLOOKUP(B1712,Planilha2!D:D,Planilha2!H:H),0)="SIM",1,0)</f>
        <v>0</v>
      </c>
      <c r="L1712" s="14" t="str">
        <f>_xlfn.XLOOKUP(B1712,CAD_PDV!A:A,CAD_PDV!C:C)</f>
        <v>RS</v>
      </c>
      <c r="M1712" s="14" t="str">
        <f>IFERROR(_xlfn.XLOOKUP(B1712,repete!A:A,repete!A:A),"-")</f>
        <v>-</v>
      </c>
    </row>
    <row r="1713" spans="1:13" hidden="1">
      <c r="A1713" s="1">
        <v>46174</v>
      </c>
      <c r="B1713" t="s">
        <v>886</v>
      </c>
      <c r="C1713" t="s">
        <v>873</v>
      </c>
      <c r="D1713" t="s">
        <v>224</v>
      </c>
      <c r="E1713" t="s">
        <v>59</v>
      </c>
      <c r="F1713">
        <v>146</v>
      </c>
      <c r="G1713">
        <v>22</v>
      </c>
      <c r="H1713">
        <v>7.3162620552045202E-3</v>
      </c>
      <c r="I1713">
        <v>0.150684931506849</v>
      </c>
      <c r="J1713" s="14" t="str">
        <f>_xlfn.XLOOKUP(B1713,CAD_PDV!A:A,CAD_PDV!B:B)</f>
        <v>CELNET COMERCIO E SERVICOS DE TELEFONIA LTDA ME</v>
      </c>
      <c r="K1713" s="14">
        <f>IF(IFERROR(_xlfn.XLOOKUP(B1713,Planilha2!D:D,Planilha2!H:H),0)="SIM",1,0)</f>
        <v>0</v>
      </c>
      <c r="L1713" s="14" t="str">
        <f>_xlfn.XLOOKUP(B1713,CAD_PDV!A:A,CAD_PDV!C:C)</f>
        <v>CO</v>
      </c>
      <c r="M1713" s="14" t="str">
        <f>IFERROR(_xlfn.XLOOKUP(B1713,repete!A:A,repete!A:A),"-")</f>
        <v>-</v>
      </c>
    </row>
    <row r="1714" spans="1:13" hidden="1">
      <c r="A1714" s="1">
        <v>46174</v>
      </c>
      <c r="B1714" t="s">
        <v>1878</v>
      </c>
      <c r="C1714" t="s">
        <v>1876</v>
      </c>
      <c r="D1714" t="s">
        <v>124</v>
      </c>
      <c r="E1714" t="s">
        <v>2074</v>
      </c>
      <c r="F1714">
        <v>41</v>
      </c>
      <c r="G1714">
        <v>22</v>
      </c>
      <c r="H1714">
        <v>7.3162620552045202E-3</v>
      </c>
      <c r="I1714">
        <v>0.53658536585365901</v>
      </c>
      <c r="J1714" s="14" t="str">
        <f>_xlfn.XLOOKUP(B1714,CAD_PDV!A:A,CAD_PDV!B:B)</f>
        <v>EDUARDO JUNQUEIRA DA SILVEIRA ADMIN</v>
      </c>
      <c r="K1714" s="14">
        <f>IF(IFERROR(_xlfn.XLOOKUP(B1714,Planilha2!D:D,Planilha2!H:H),0)="SIM",1,0)</f>
        <v>0</v>
      </c>
      <c r="L1714" s="14" t="str">
        <f>_xlfn.XLOOKUP(B1714,CAD_PDV!A:A,CAD_PDV!C:C)</f>
        <v>RS</v>
      </c>
      <c r="M1714" s="14" t="str">
        <f>IFERROR(_xlfn.XLOOKUP(B1714,repete!A:A,repete!A:A),"-")</f>
        <v>-</v>
      </c>
    </row>
    <row r="1715" spans="1:13" hidden="1">
      <c r="A1715" s="1">
        <v>46174</v>
      </c>
      <c r="B1715" t="s">
        <v>896</v>
      </c>
      <c r="C1715" t="s">
        <v>873</v>
      </c>
      <c r="D1715" t="s">
        <v>224</v>
      </c>
      <c r="E1715" t="s">
        <v>59</v>
      </c>
      <c r="F1715">
        <v>84</v>
      </c>
      <c r="G1715">
        <v>22</v>
      </c>
      <c r="H1715">
        <v>7.3162620552045202E-3</v>
      </c>
      <c r="I1715">
        <v>0.26190476190476197</v>
      </c>
      <c r="J1715" s="14" t="str">
        <f>_xlfn.XLOOKUP(B1715,CAD_PDV!A:A,CAD_PDV!B:B)</f>
        <v>CELNET COMERCIO E SERVICOS DE TELEFONIA LTDA ME</v>
      </c>
      <c r="K1715" s="14">
        <f>IF(IFERROR(_xlfn.XLOOKUP(B1715,Planilha2!D:D,Planilha2!H:H),0)="SIM",1,0)</f>
        <v>0</v>
      </c>
      <c r="L1715" s="14" t="str">
        <f>_xlfn.XLOOKUP(B1715,CAD_PDV!A:A,CAD_PDV!C:C)</f>
        <v>CO</v>
      </c>
      <c r="M1715" s="14" t="str">
        <f>IFERROR(_xlfn.XLOOKUP(B1715,repete!A:A,repete!A:A),"-")</f>
        <v>-</v>
      </c>
    </row>
    <row r="1716" spans="1:13" hidden="1">
      <c r="A1716" s="1">
        <v>46174</v>
      </c>
      <c r="B1716" t="s">
        <v>286</v>
      </c>
      <c r="C1716" t="s">
        <v>288</v>
      </c>
      <c r="D1716" t="s">
        <v>230</v>
      </c>
      <c r="E1716" t="s">
        <v>61</v>
      </c>
      <c r="F1716">
        <v>103</v>
      </c>
      <c r="G1716">
        <v>22</v>
      </c>
      <c r="H1716">
        <v>7.3162620552045202E-3</v>
      </c>
      <c r="I1716">
        <v>0.213592233009709</v>
      </c>
      <c r="J1716" s="14" t="str">
        <f>_xlfn.XLOOKUP(B1716,CAD_PDV!A:A,CAD_PDV!B:B)</f>
        <v>HARCOS COMERCIO E SERVICOS LTDA - EPP</v>
      </c>
      <c r="K1716" s="14">
        <f>IF(IFERROR(_xlfn.XLOOKUP(B1716,Planilha2!D:D,Planilha2!H:H),0)="SIM",1,0)</f>
        <v>0</v>
      </c>
      <c r="L1716" s="14" t="str">
        <f>_xlfn.XLOOKUP(B1716,CAD_PDV!A:A,CAD_PDV!C:C)</f>
        <v>NE</v>
      </c>
      <c r="M1716" s="14" t="str">
        <f>IFERROR(_xlfn.XLOOKUP(B1716,repete!A:A,repete!A:A),"-")</f>
        <v>-</v>
      </c>
    </row>
    <row r="1717" spans="1:13" hidden="1">
      <c r="A1717" s="1">
        <v>46174</v>
      </c>
      <c r="B1717" t="s">
        <v>377</v>
      </c>
      <c r="C1717" t="s">
        <v>261</v>
      </c>
      <c r="D1717" t="s">
        <v>230</v>
      </c>
      <c r="E1717" t="s">
        <v>61</v>
      </c>
      <c r="F1717">
        <v>81</v>
      </c>
      <c r="G1717">
        <v>22</v>
      </c>
      <c r="H1717">
        <v>7.3162620552045202E-3</v>
      </c>
      <c r="I1717">
        <v>0.27160493827160498</v>
      </c>
      <c r="J1717" s="14" t="str">
        <f>_xlfn.XLOOKUP(B1717,CAD_PDV!A:A,CAD_PDV!B:B)</f>
        <v>HARCOS COMERCIO E SERVICOS LTDA - EPP</v>
      </c>
      <c r="K1717" s="14">
        <f>IF(IFERROR(_xlfn.XLOOKUP(B1717,Planilha2!D:D,Planilha2!H:H),0)="SIM",1,0)</f>
        <v>0</v>
      </c>
      <c r="L1717" s="14" t="str">
        <f>_xlfn.XLOOKUP(B1717,CAD_PDV!A:A,CAD_PDV!C:C)</f>
        <v>NE</v>
      </c>
      <c r="M1717" s="14" t="str">
        <f>IFERROR(_xlfn.XLOOKUP(B1717,repete!A:A,repete!A:A),"-")</f>
        <v>-</v>
      </c>
    </row>
    <row r="1718" spans="1:13" hidden="1">
      <c r="A1718" s="1">
        <v>46174</v>
      </c>
      <c r="B1718" t="s">
        <v>1487</v>
      </c>
      <c r="C1718" t="s">
        <v>1489</v>
      </c>
      <c r="D1718" t="s">
        <v>232</v>
      </c>
      <c r="E1718" t="s">
        <v>54</v>
      </c>
      <c r="F1718">
        <v>59</v>
      </c>
      <c r="G1718">
        <v>21</v>
      </c>
      <c r="H1718">
        <v>6.9837046890588598E-3</v>
      </c>
      <c r="I1718">
        <v>0.355932203389831</v>
      </c>
      <c r="J1718" s="14" t="str">
        <f>_xlfn.XLOOKUP(B1718,CAD_PDV!A:A,CAD_PDV!B:B)</f>
        <v>HS TELECOM</v>
      </c>
      <c r="K1718" s="14">
        <f>IF(IFERROR(_xlfn.XLOOKUP(B1718,Planilha2!D:D,Planilha2!H:H),0)="SIM",1,0)</f>
        <v>0</v>
      </c>
      <c r="L1718" s="14" t="str">
        <f>_xlfn.XLOOKUP(B1718,CAD_PDV!A:A,CAD_PDV!C:C)</f>
        <v>SP2</v>
      </c>
      <c r="M1718" s="14" t="str">
        <f>IFERROR(_xlfn.XLOOKUP(B1718,repete!A:A,repete!A:A),"-")</f>
        <v>-</v>
      </c>
    </row>
    <row r="1719" spans="1:13" hidden="1">
      <c r="A1719" s="1">
        <v>46174</v>
      </c>
      <c r="B1719" t="s">
        <v>279</v>
      </c>
      <c r="C1719" t="s">
        <v>265</v>
      </c>
      <c r="D1719" t="s">
        <v>230</v>
      </c>
      <c r="E1719" t="s">
        <v>61</v>
      </c>
      <c r="F1719">
        <v>87</v>
      </c>
      <c r="G1719">
        <v>20</v>
      </c>
      <c r="H1719">
        <v>6.6511473229132001E-3</v>
      </c>
      <c r="I1719">
        <v>0.229885057471264</v>
      </c>
      <c r="J1719" s="14" t="str">
        <f>_xlfn.XLOOKUP(B1719,CAD_PDV!A:A,CAD_PDV!B:B)</f>
        <v>HARCOS COMERCIO E SERVICOS LTDA - EPP</v>
      </c>
      <c r="K1719" s="14">
        <f>IF(IFERROR(_xlfn.XLOOKUP(B1719,Planilha2!D:D,Planilha2!H:H),0)="SIM",1,0)</f>
        <v>0</v>
      </c>
      <c r="L1719" s="14" t="str">
        <f>_xlfn.XLOOKUP(B1719,CAD_PDV!A:A,CAD_PDV!C:C)</f>
        <v>NE</v>
      </c>
      <c r="M1719" s="14" t="str">
        <f>IFERROR(_xlfn.XLOOKUP(B1719,repete!A:A,repete!A:A),"-")</f>
        <v>-</v>
      </c>
    </row>
    <row r="1720" spans="1:13" hidden="1">
      <c r="A1720" s="1">
        <v>46174</v>
      </c>
      <c r="B1720" t="s">
        <v>747</v>
      </c>
      <c r="C1720" t="s">
        <v>610</v>
      </c>
      <c r="D1720" t="s">
        <v>224</v>
      </c>
      <c r="E1720" t="s">
        <v>59</v>
      </c>
      <c r="F1720">
        <v>65</v>
      </c>
      <c r="G1720">
        <v>20</v>
      </c>
      <c r="H1720">
        <v>6.6511473229132001E-3</v>
      </c>
      <c r="I1720">
        <v>0.30769230769230799</v>
      </c>
      <c r="J1720" s="14" t="str">
        <f>_xlfn.XLOOKUP(B1720,CAD_PDV!A:A,CAD_PDV!B:B)</f>
        <v>CELNET COMERCIO E SERVICOS DE TELEFONIA LTDA ME</v>
      </c>
      <c r="K1720" s="14">
        <f>IF(IFERROR(_xlfn.XLOOKUP(B1720,Planilha2!D:D,Planilha2!H:H),0)="SIM",1,0)</f>
        <v>0</v>
      </c>
      <c r="L1720" s="14" t="str">
        <f>_xlfn.XLOOKUP(B1720,CAD_PDV!A:A,CAD_PDV!C:C)</f>
        <v>CO</v>
      </c>
      <c r="M1720" s="14" t="str">
        <f>IFERROR(_xlfn.XLOOKUP(B1720,repete!A:A,repete!A:A),"-")</f>
        <v>-</v>
      </c>
    </row>
    <row r="1721" spans="1:13" hidden="1">
      <c r="A1721" s="1">
        <v>46174</v>
      </c>
      <c r="B1721" t="s">
        <v>1174</v>
      </c>
      <c r="C1721" t="s">
        <v>1142</v>
      </c>
      <c r="D1721" t="s">
        <v>2072</v>
      </c>
      <c r="E1721" t="s">
        <v>55</v>
      </c>
      <c r="F1721">
        <v>160</v>
      </c>
      <c r="G1721">
        <v>20</v>
      </c>
      <c r="H1721">
        <v>6.6511473229132001E-3</v>
      </c>
      <c r="I1721">
        <v>0.125</v>
      </c>
      <c r="J1721" s="14" t="str">
        <f>_xlfn.XLOOKUP(B1721,CAD_PDV!A:A,CAD_PDV!B:B)</f>
        <v>MEXCELL COMERCIO E SERVICOS DE TELECOMUNICACOES LTDA</v>
      </c>
      <c r="K1721" s="14">
        <f>IF(IFERROR(_xlfn.XLOOKUP(B1721,Planilha2!D:D,Planilha2!H:H),0)="SIM",1,0)</f>
        <v>0</v>
      </c>
      <c r="L1721" s="14" t="str">
        <f>_xlfn.XLOOKUP(B1721,CAD_PDV!A:A,CAD_PDV!C:C)</f>
        <v>RJ/ES</v>
      </c>
      <c r="M1721" s="14" t="str">
        <f>IFERROR(_xlfn.XLOOKUP(B1721,repete!A:A,repete!A:A),"-")</f>
        <v>-</v>
      </c>
    </row>
    <row r="1722" spans="1:13" hidden="1">
      <c r="A1722" s="1">
        <v>46174</v>
      </c>
      <c r="B1722" t="s">
        <v>2028</v>
      </c>
      <c r="C1722" t="s">
        <v>2026</v>
      </c>
      <c r="D1722" t="s">
        <v>193</v>
      </c>
      <c r="E1722" t="s">
        <v>2074</v>
      </c>
      <c r="F1722">
        <v>56</v>
      </c>
      <c r="G1722">
        <v>19</v>
      </c>
      <c r="H1722">
        <v>6.3185899567675397E-3</v>
      </c>
      <c r="I1722">
        <v>0.33928571428571402</v>
      </c>
      <c r="J1722" s="14" t="str">
        <f>_xlfn.XLOOKUP(B1722,CAD_PDV!A:A,CAD_PDV!B:B)</f>
        <v>S D COMERCIO DE CELULARES LTDA - ME</v>
      </c>
      <c r="K1722" s="14">
        <f>IF(IFERROR(_xlfn.XLOOKUP(B1722,Planilha2!D:D,Planilha2!H:H),0)="SIM",1,0)</f>
        <v>0</v>
      </c>
      <c r="L1722" s="14" t="str">
        <f>_xlfn.XLOOKUP(B1722,CAD_PDV!A:A,CAD_PDV!C:C)</f>
        <v>RS</v>
      </c>
      <c r="M1722" s="14" t="str">
        <f>IFERROR(_xlfn.XLOOKUP(B1722,repete!A:A,repete!A:A),"-")</f>
        <v>-</v>
      </c>
    </row>
    <row r="1723" spans="1:13" hidden="1">
      <c r="A1723" s="1">
        <v>46174</v>
      </c>
      <c r="B1723" t="s">
        <v>1364</v>
      </c>
      <c r="C1723" t="s">
        <v>1313</v>
      </c>
      <c r="D1723" t="s">
        <v>132</v>
      </c>
      <c r="E1723" t="s">
        <v>53</v>
      </c>
      <c r="F1723">
        <v>152</v>
      </c>
      <c r="G1723">
        <v>19</v>
      </c>
      <c r="H1723">
        <v>6.3185899567675397E-3</v>
      </c>
      <c r="I1723">
        <v>0.125</v>
      </c>
      <c r="J1723" s="14" t="str">
        <f>_xlfn.XLOOKUP(B1723,CAD_PDV!A:A,CAD_PDV!B:B)</f>
        <v>FLEX CELL</v>
      </c>
      <c r="K1723" s="14">
        <f>IF(IFERROR(_xlfn.XLOOKUP(B1723,Planilha2!D:D,Planilha2!H:H),0)="SIM",1,0)</f>
        <v>0</v>
      </c>
      <c r="L1723" s="14" t="str">
        <f>_xlfn.XLOOKUP(B1723,CAD_PDV!A:A,CAD_PDV!C:C)</f>
        <v>SP1</v>
      </c>
      <c r="M1723" s="14" t="str">
        <f>IFERROR(_xlfn.XLOOKUP(B1723,repete!A:A,repete!A:A),"-")</f>
        <v>-</v>
      </c>
    </row>
    <row r="1724" spans="1:13" hidden="1">
      <c r="A1724" s="1">
        <v>46174</v>
      </c>
      <c r="B1724" t="s">
        <v>1636</v>
      </c>
      <c r="C1724" t="s">
        <v>1484</v>
      </c>
      <c r="D1724" t="s">
        <v>232</v>
      </c>
      <c r="E1724" t="s">
        <v>54</v>
      </c>
      <c r="F1724">
        <v>42</v>
      </c>
      <c r="G1724">
        <v>19</v>
      </c>
      <c r="H1724">
        <v>6.3185899567675397E-3</v>
      </c>
      <c r="I1724">
        <v>0.452380952380952</v>
      </c>
      <c r="J1724" s="14" t="str">
        <f>_xlfn.XLOOKUP(B1724,CAD_PDV!A:A,CAD_PDV!B:B)</f>
        <v>HS TELECOM</v>
      </c>
      <c r="K1724" s="14">
        <f>IF(IFERROR(_xlfn.XLOOKUP(B1724,Planilha2!D:D,Planilha2!H:H),0)="SIM",1,0)</f>
        <v>0</v>
      </c>
      <c r="L1724" s="14" t="str">
        <f>_xlfn.XLOOKUP(B1724,CAD_PDV!A:A,CAD_PDV!C:C)</f>
        <v>SP2</v>
      </c>
      <c r="M1724" s="14" t="str">
        <f>IFERROR(_xlfn.XLOOKUP(B1724,repete!A:A,repete!A:A),"-")</f>
        <v>-</v>
      </c>
    </row>
    <row r="1725" spans="1:13" hidden="1">
      <c r="A1725" s="1">
        <v>46174</v>
      </c>
      <c r="B1725" t="s">
        <v>1641</v>
      </c>
      <c r="C1725" t="s">
        <v>1616</v>
      </c>
      <c r="D1725" t="s">
        <v>132</v>
      </c>
      <c r="E1725" t="s">
        <v>54</v>
      </c>
      <c r="F1725">
        <v>44</v>
      </c>
      <c r="G1725">
        <v>19</v>
      </c>
      <c r="H1725">
        <v>6.3185899567675397E-3</v>
      </c>
      <c r="I1725">
        <v>0.43181818181818199</v>
      </c>
      <c r="J1725" s="14" t="str">
        <f>_xlfn.XLOOKUP(B1725,CAD_PDV!A:A,CAD_PDV!B:B)</f>
        <v>FLEX CELL</v>
      </c>
      <c r="K1725" s="14">
        <f>IF(IFERROR(_xlfn.XLOOKUP(B1725,Planilha2!D:D,Planilha2!H:H),0)="SIM",1,0)</f>
        <v>0</v>
      </c>
      <c r="L1725" s="14" t="str">
        <f>_xlfn.XLOOKUP(B1725,CAD_PDV!A:A,CAD_PDV!C:C)</f>
        <v>SP2</v>
      </c>
      <c r="M1725" s="14" t="str">
        <f>IFERROR(_xlfn.XLOOKUP(B1725,repete!A:A,repete!A:A),"-")</f>
        <v>-</v>
      </c>
    </row>
    <row r="1726" spans="1:13" hidden="1">
      <c r="A1726" s="1">
        <v>46174</v>
      </c>
      <c r="B1726" t="s">
        <v>1171</v>
      </c>
      <c r="C1726" t="s">
        <v>1142</v>
      </c>
      <c r="D1726" t="s">
        <v>228</v>
      </c>
      <c r="E1726" t="s">
        <v>55</v>
      </c>
      <c r="F1726">
        <v>75</v>
      </c>
      <c r="G1726">
        <v>19</v>
      </c>
      <c r="H1726">
        <v>6.3185899567675397E-3</v>
      </c>
      <c r="I1726">
        <v>0.25333333333333302</v>
      </c>
      <c r="J1726" s="14" t="str">
        <f>_xlfn.XLOOKUP(B1726,CAD_PDV!A:A,CAD_PDV!B:B)</f>
        <v>FAJULUTI</v>
      </c>
      <c r="K1726" s="14">
        <f>IF(IFERROR(_xlfn.XLOOKUP(B1726,Planilha2!D:D,Planilha2!H:H),0)="SIM",1,0)</f>
        <v>0</v>
      </c>
      <c r="L1726" s="14" t="str">
        <f>_xlfn.XLOOKUP(B1726,CAD_PDV!A:A,CAD_PDV!C:C)</f>
        <v>RJ/ES</v>
      </c>
      <c r="M1726" s="14" t="str">
        <f>IFERROR(_xlfn.XLOOKUP(B1726,repete!A:A,repete!A:A),"-")</f>
        <v>-</v>
      </c>
    </row>
    <row r="1727" spans="1:13" hidden="1">
      <c r="A1727" s="1">
        <v>46174</v>
      </c>
      <c r="B1727" t="s">
        <v>1719</v>
      </c>
      <c r="C1727" t="s">
        <v>1557</v>
      </c>
      <c r="D1727" t="s">
        <v>106</v>
      </c>
      <c r="E1727" t="s">
        <v>54</v>
      </c>
      <c r="F1727">
        <v>71</v>
      </c>
      <c r="G1727">
        <v>19</v>
      </c>
      <c r="H1727">
        <v>6.3185899567675397E-3</v>
      </c>
      <c r="I1727">
        <v>0.26760563380281699</v>
      </c>
      <c r="J1727" s="14" t="str">
        <f>_xlfn.XLOOKUP(B1727,CAD_PDV!A:A,CAD_PDV!B:B)</f>
        <v>CELLULAR.COM</v>
      </c>
      <c r="K1727" s="14">
        <f>IF(IFERROR(_xlfn.XLOOKUP(B1727,Planilha2!D:D,Planilha2!H:H),0)="SIM",1,0)</f>
        <v>0</v>
      </c>
      <c r="L1727" s="14" t="str">
        <f>_xlfn.XLOOKUP(B1727,CAD_PDV!A:A,CAD_PDV!C:C)</f>
        <v>SP2</v>
      </c>
      <c r="M1727" s="14" t="str">
        <f>IFERROR(_xlfn.XLOOKUP(B1727,repete!A:A,repete!A:A),"-")</f>
        <v>-</v>
      </c>
    </row>
    <row r="1728" spans="1:13" hidden="1">
      <c r="A1728" s="1">
        <v>46174</v>
      </c>
      <c r="B1728" t="s">
        <v>1723</v>
      </c>
      <c r="C1728" t="s">
        <v>1451</v>
      </c>
      <c r="D1728" t="s">
        <v>232</v>
      </c>
      <c r="E1728" t="s">
        <v>54</v>
      </c>
      <c r="F1728">
        <v>119</v>
      </c>
      <c r="G1728">
        <v>19</v>
      </c>
      <c r="H1728">
        <v>6.3185899567675397E-3</v>
      </c>
      <c r="I1728">
        <v>0.159663865546218</v>
      </c>
      <c r="J1728" s="14" t="str">
        <f>_xlfn.XLOOKUP(B1728,CAD_PDV!A:A,CAD_PDV!B:B)</f>
        <v>HS TELECOM</v>
      </c>
      <c r="K1728" s="14">
        <f>IF(IFERROR(_xlfn.XLOOKUP(B1728,Planilha2!D:D,Planilha2!H:H),0)="SIM",1,0)</f>
        <v>0</v>
      </c>
      <c r="L1728" s="14" t="str">
        <f>_xlfn.XLOOKUP(B1728,CAD_PDV!A:A,CAD_PDV!C:C)</f>
        <v>SP2</v>
      </c>
      <c r="M1728" s="14" t="str">
        <f>IFERROR(_xlfn.XLOOKUP(B1728,repete!A:A,repete!A:A),"-")</f>
        <v>-</v>
      </c>
    </row>
    <row r="1729" spans="1:13" hidden="1">
      <c r="A1729" s="1">
        <v>46174</v>
      </c>
      <c r="B1729" t="s">
        <v>1501</v>
      </c>
      <c r="C1729" t="s">
        <v>1503</v>
      </c>
      <c r="D1729" t="s">
        <v>232</v>
      </c>
      <c r="E1729" t="s">
        <v>54</v>
      </c>
      <c r="F1729">
        <v>105</v>
      </c>
      <c r="G1729">
        <v>18</v>
      </c>
      <c r="H1729">
        <v>5.98603259062188E-3</v>
      </c>
      <c r="I1729">
        <v>0.17142857142857101</v>
      </c>
      <c r="J1729" s="14" t="str">
        <f>_xlfn.XLOOKUP(B1729,CAD_PDV!A:A,CAD_PDV!B:B)</f>
        <v>HS TELECOM</v>
      </c>
      <c r="K1729" s="14">
        <f>IF(IFERROR(_xlfn.XLOOKUP(B1729,Planilha2!D:D,Planilha2!H:H),0)="SIM",1,0)</f>
        <v>0</v>
      </c>
      <c r="L1729" s="14" t="str">
        <f>_xlfn.XLOOKUP(B1729,CAD_PDV!A:A,CAD_PDV!C:C)</f>
        <v>SP2</v>
      </c>
      <c r="M1729" s="14" t="str">
        <f>IFERROR(_xlfn.XLOOKUP(B1729,repete!A:A,repete!A:A),"-")</f>
        <v>-</v>
      </c>
    </row>
    <row r="1730" spans="1:13" hidden="1">
      <c r="A1730" s="1">
        <v>46174</v>
      </c>
      <c r="B1730" t="s">
        <v>1282</v>
      </c>
      <c r="C1730" t="s">
        <v>1283</v>
      </c>
      <c r="D1730" t="s">
        <v>228</v>
      </c>
      <c r="E1730" t="s">
        <v>55</v>
      </c>
      <c r="F1730">
        <v>65</v>
      </c>
      <c r="G1730">
        <v>18</v>
      </c>
      <c r="H1730">
        <v>5.98603259062188E-3</v>
      </c>
      <c r="I1730">
        <v>0.27692307692307699</v>
      </c>
      <c r="J1730" s="14" t="str">
        <f>_xlfn.XLOOKUP(B1730,CAD_PDV!A:A,CAD_PDV!B:B)</f>
        <v>FAJULUTI</v>
      </c>
      <c r="K1730" s="14">
        <f>IF(IFERROR(_xlfn.XLOOKUP(B1730,Planilha2!D:D,Planilha2!H:H),0)="SIM",1,0)</f>
        <v>0</v>
      </c>
      <c r="L1730" s="14" t="str">
        <f>_xlfn.XLOOKUP(B1730,CAD_PDV!A:A,CAD_PDV!C:C)</f>
        <v>RJ/ES</v>
      </c>
      <c r="M1730" s="14" t="str">
        <f>IFERROR(_xlfn.XLOOKUP(B1730,repete!A:A,repete!A:A),"-")</f>
        <v>-</v>
      </c>
    </row>
    <row r="1731" spans="1:13" hidden="1">
      <c r="A1731" s="1">
        <v>46174</v>
      </c>
      <c r="B1731" t="s">
        <v>1690</v>
      </c>
      <c r="C1731" t="s">
        <v>1503</v>
      </c>
      <c r="D1731" t="s">
        <v>232</v>
      </c>
      <c r="E1731" t="s">
        <v>54</v>
      </c>
      <c r="F1731">
        <v>88</v>
      </c>
      <c r="G1731">
        <v>18</v>
      </c>
      <c r="H1731">
        <v>5.98603259062188E-3</v>
      </c>
      <c r="I1731">
        <v>0.204545454545455</v>
      </c>
      <c r="J1731" s="14" t="str">
        <f>_xlfn.XLOOKUP(B1731,CAD_PDV!A:A,CAD_PDV!B:B)</f>
        <v>HS TELECOM</v>
      </c>
      <c r="K1731" s="14">
        <f>IF(IFERROR(_xlfn.XLOOKUP(B1731,Planilha2!D:D,Planilha2!H:H),0)="SIM",1,0)</f>
        <v>0</v>
      </c>
      <c r="L1731" s="14" t="str">
        <f>_xlfn.XLOOKUP(B1731,CAD_PDV!A:A,CAD_PDV!C:C)</f>
        <v>SP2</v>
      </c>
      <c r="M1731" s="14" t="str">
        <f>IFERROR(_xlfn.XLOOKUP(B1731,repete!A:A,repete!A:A),"-")</f>
        <v>-</v>
      </c>
    </row>
    <row r="1732" spans="1:13" hidden="1">
      <c r="A1732" s="1">
        <v>46174</v>
      </c>
      <c r="B1732" t="s">
        <v>899</v>
      </c>
      <c r="C1732" t="s">
        <v>873</v>
      </c>
      <c r="D1732" t="s">
        <v>224</v>
      </c>
      <c r="E1732" t="s">
        <v>59</v>
      </c>
      <c r="F1732">
        <v>90</v>
      </c>
      <c r="G1732">
        <v>18</v>
      </c>
      <c r="H1732">
        <v>5.98603259062188E-3</v>
      </c>
      <c r="I1732">
        <v>0.2</v>
      </c>
      <c r="J1732" s="14" t="str">
        <f>_xlfn.XLOOKUP(B1732,CAD_PDV!A:A,CAD_PDV!B:B)</f>
        <v>CELNET COMERCIO E SERVICOS DE TELEFONIA LTDA ME</v>
      </c>
      <c r="K1732" s="14">
        <f>IF(IFERROR(_xlfn.XLOOKUP(B1732,Planilha2!D:D,Planilha2!H:H),0)="SIM",1,0)</f>
        <v>0</v>
      </c>
      <c r="L1732" s="14" t="str">
        <f>_xlfn.XLOOKUP(B1732,CAD_PDV!A:A,CAD_PDV!C:C)</f>
        <v>CO</v>
      </c>
      <c r="M1732" s="14" t="str">
        <f>IFERROR(_xlfn.XLOOKUP(B1732,repete!A:A,repete!A:A),"-")</f>
        <v>-</v>
      </c>
    </row>
    <row r="1733" spans="1:13" hidden="1">
      <c r="A1733" s="1">
        <v>46174</v>
      </c>
      <c r="B1733" t="s">
        <v>2029</v>
      </c>
      <c r="C1733" t="s">
        <v>2026</v>
      </c>
      <c r="D1733" t="s">
        <v>193</v>
      </c>
      <c r="E1733" t="s">
        <v>2074</v>
      </c>
      <c r="F1733">
        <v>56</v>
      </c>
      <c r="G1733">
        <v>18</v>
      </c>
      <c r="H1733">
        <v>5.98603259062188E-3</v>
      </c>
      <c r="I1733">
        <v>0.32142857142857101</v>
      </c>
      <c r="J1733" s="14" t="str">
        <f>_xlfn.XLOOKUP(B1733,CAD_PDV!A:A,CAD_PDV!B:B)</f>
        <v>S D COMERCIO DE CELULARES LTDA - ME</v>
      </c>
      <c r="K1733" s="14">
        <f>IF(IFERROR(_xlfn.XLOOKUP(B1733,Planilha2!D:D,Planilha2!H:H),0)="SIM",1,0)</f>
        <v>0</v>
      </c>
      <c r="L1733" s="14" t="str">
        <f>_xlfn.XLOOKUP(B1733,CAD_PDV!A:A,CAD_PDV!C:C)</f>
        <v>RS</v>
      </c>
      <c r="M1733" s="14" t="str">
        <f>IFERROR(_xlfn.XLOOKUP(B1733,repete!A:A,repete!A:A),"-")</f>
        <v>-</v>
      </c>
    </row>
    <row r="1734" spans="1:13" hidden="1">
      <c r="A1734" s="1">
        <v>46174</v>
      </c>
      <c r="B1734" t="s">
        <v>1285</v>
      </c>
      <c r="C1734" t="s">
        <v>1142</v>
      </c>
      <c r="D1734" t="s">
        <v>237</v>
      </c>
      <c r="E1734" t="s">
        <v>55</v>
      </c>
      <c r="F1734">
        <v>71</v>
      </c>
      <c r="G1734">
        <v>17</v>
      </c>
      <c r="H1734">
        <v>5.6534752244762204E-3</v>
      </c>
      <c r="I1734">
        <v>0.23943661971831001</v>
      </c>
      <c r="J1734" s="14" t="str">
        <f>_xlfn.XLOOKUP(B1734,CAD_PDV!A:A,CAD_PDV!B:B)</f>
        <v>PONTO CERTO COMERCIO E COMUNICAÇÕES LTDA</v>
      </c>
      <c r="K1734" s="14">
        <f>IF(IFERROR(_xlfn.XLOOKUP(B1734,Planilha2!D:D,Planilha2!H:H),0)="SIM",1,0)</f>
        <v>0</v>
      </c>
      <c r="L1734" s="14" t="str">
        <f>_xlfn.XLOOKUP(B1734,CAD_PDV!A:A,CAD_PDV!C:C)</f>
        <v>RJ/ES</v>
      </c>
      <c r="M1734" s="14" t="str">
        <f>IFERROR(_xlfn.XLOOKUP(B1734,repete!A:A,repete!A:A),"-")</f>
        <v>-</v>
      </c>
    </row>
    <row r="1735" spans="1:13" hidden="1">
      <c r="A1735" s="1">
        <v>46174</v>
      </c>
      <c r="B1735" t="s">
        <v>1560</v>
      </c>
      <c r="C1735" t="s">
        <v>1561</v>
      </c>
      <c r="D1735" t="s">
        <v>232</v>
      </c>
      <c r="E1735" t="s">
        <v>54</v>
      </c>
      <c r="F1735">
        <v>50</v>
      </c>
      <c r="G1735">
        <v>17</v>
      </c>
      <c r="H1735">
        <v>5.6534752244762204E-3</v>
      </c>
      <c r="I1735">
        <v>0.34</v>
      </c>
      <c r="J1735" s="14" t="str">
        <f>_xlfn.XLOOKUP(B1735,CAD_PDV!A:A,CAD_PDV!B:B)</f>
        <v>HS TELECOM</v>
      </c>
      <c r="K1735" s="14">
        <f>IF(IFERROR(_xlfn.XLOOKUP(B1735,Planilha2!D:D,Planilha2!H:H),0)="SIM",1,0)</f>
        <v>0</v>
      </c>
      <c r="L1735" s="14" t="str">
        <f>_xlfn.XLOOKUP(B1735,CAD_PDV!A:A,CAD_PDV!C:C)</f>
        <v>SP2</v>
      </c>
      <c r="M1735" s="14" t="str">
        <f>IFERROR(_xlfn.XLOOKUP(B1735,repete!A:A,repete!A:A),"-")</f>
        <v>-</v>
      </c>
    </row>
    <row r="1736" spans="1:13" hidden="1">
      <c r="A1736" s="1">
        <v>46174</v>
      </c>
      <c r="B1736" t="s">
        <v>1670</v>
      </c>
      <c r="C1736" t="s">
        <v>1671</v>
      </c>
      <c r="D1736" t="s">
        <v>232</v>
      </c>
      <c r="E1736" t="s">
        <v>54</v>
      </c>
      <c r="F1736">
        <v>65</v>
      </c>
      <c r="G1736">
        <v>17</v>
      </c>
      <c r="H1736">
        <v>5.6534752244762204E-3</v>
      </c>
      <c r="I1736">
        <v>0.261538461538462</v>
      </c>
      <c r="J1736" s="14" t="str">
        <f>_xlfn.XLOOKUP(B1736,CAD_PDV!A:A,CAD_PDV!B:B)</f>
        <v>HS TELECOM</v>
      </c>
      <c r="K1736" s="14">
        <f>IF(IFERROR(_xlfn.XLOOKUP(B1736,Planilha2!D:D,Planilha2!H:H),0)="SIM",1,0)</f>
        <v>0</v>
      </c>
      <c r="L1736" s="14" t="str">
        <f>_xlfn.XLOOKUP(B1736,CAD_PDV!A:A,CAD_PDV!C:C)</f>
        <v>SP2</v>
      </c>
      <c r="M1736" s="14" t="str">
        <f>IFERROR(_xlfn.XLOOKUP(B1736,repete!A:A,repete!A:A),"-")</f>
        <v>-</v>
      </c>
    </row>
    <row r="1737" spans="1:13" hidden="1">
      <c r="A1737" s="1">
        <v>46174</v>
      </c>
      <c r="B1737" t="s">
        <v>872</v>
      </c>
      <c r="C1737" t="s">
        <v>873</v>
      </c>
      <c r="D1737" t="s">
        <v>239</v>
      </c>
      <c r="E1737" t="s">
        <v>59</v>
      </c>
      <c r="F1737">
        <v>99</v>
      </c>
      <c r="G1737">
        <v>16</v>
      </c>
      <c r="H1737">
        <v>5.3209178583305599E-3</v>
      </c>
      <c r="I1737">
        <v>0.16161616161616199</v>
      </c>
      <c r="J1737" s="14" t="str">
        <f>_xlfn.XLOOKUP(B1737,CAD_PDV!A:A,CAD_PDV!B:B)</f>
        <v>TELECELL TELEFONIA LTDA - ME</v>
      </c>
      <c r="K1737" s="14">
        <f>IF(IFERROR(_xlfn.XLOOKUP(B1737,Planilha2!D:D,Planilha2!H:H),0)="SIM",1,0)</f>
        <v>0</v>
      </c>
      <c r="L1737" s="14" t="str">
        <f>_xlfn.XLOOKUP(B1737,CAD_PDV!A:A,CAD_PDV!C:C)</f>
        <v>CO</v>
      </c>
      <c r="M1737" s="14" t="str">
        <f>IFERROR(_xlfn.XLOOKUP(B1737,repete!A:A,repete!A:A),"-")</f>
        <v>-</v>
      </c>
    </row>
    <row r="1738" spans="1:13" hidden="1">
      <c r="A1738" s="1">
        <v>46174</v>
      </c>
      <c r="B1738" t="s">
        <v>984</v>
      </c>
      <c r="C1738" t="s">
        <v>940</v>
      </c>
      <c r="D1738" t="s">
        <v>232</v>
      </c>
      <c r="E1738" t="s">
        <v>60</v>
      </c>
      <c r="F1738">
        <v>56</v>
      </c>
      <c r="G1738">
        <v>16</v>
      </c>
      <c r="H1738">
        <v>5.3209178583305599E-3</v>
      </c>
      <c r="I1738">
        <v>0.28571428571428598</v>
      </c>
      <c r="J1738" s="14" t="str">
        <f>_xlfn.XLOOKUP(B1738,CAD_PDV!A:A,CAD_PDV!B:B)</f>
        <v>HS TELECOM</v>
      </c>
      <c r="K1738" s="14">
        <f>IF(IFERROR(_xlfn.XLOOKUP(B1738,Planilha2!D:D,Planilha2!H:H),0)="SIM",1,0)</f>
        <v>0</v>
      </c>
      <c r="L1738" s="14" t="str">
        <f>_xlfn.XLOOKUP(B1738,CAD_PDV!A:A,CAD_PDV!C:C)</f>
        <v>BA/SE</v>
      </c>
      <c r="M1738" s="14" t="str">
        <f>IFERROR(_xlfn.XLOOKUP(B1738,repete!A:A,repete!A:A),"-")</f>
        <v>-</v>
      </c>
    </row>
    <row r="1739" spans="1:13" hidden="1">
      <c r="A1739" s="1">
        <v>46174</v>
      </c>
      <c r="B1739" t="s">
        <v>258</v>
      </c>
      <c r="C1739" t="s">
        <v>261</v>
      </c>
      <c r="D1739" t="s">
        <v>230</v>
      </c>
      <c r="E1739" t="s">
        <v>61</v>
      </c>
      <c r="F1739">
        <v>113</v>
      </c>
      <c r="G1739">
        <v>16</v>
      </c>
      <c r="H1739">
        <v>5.3209178583305599E-3</v>
      </c>
      <c r="I1739">
        <v>0.14159292035398199</v>
      </c>
      <c r="J1739" s="14" t="str">
        <f>_xlfn.XLOOKUP(B1739,CAD_PDV!A:A,CAD_PDV!B:B)</f>
        <v>HARCOS COMERCIO E SERVICOS LTDA - EPP</v>
      </c>
      <c r="K1739" s="14">
        <f>IF(IFERROR(_xlfn.XLOOKUP(B1739,Planilha2!D:D,Planilha2!H:H),0)="SIM",1,0)</f>
        <v>0</v>
      </c>
      <c r="L1739" s="14" t="str">
        <f>_xlfn.XLOOKUP(B1739,CAD_PDV!A:A,CAD_PDV!C:C)</f>
        <v>NE</v>
      </c>
      <c r="M1739" s="14" t="str">
        <f>IFERROR(_xlfn.XLOOKUP(B1739,repete!A:A,repete!A:A),"-")</f>
        <v>-</v>
      </c>
    </row>
    <row r="1740" spans="1:13" hidden="1">
      <c r="A1740" s="1">
        <v>46174</v>
      </c>
      <c r="B1740" t="s">
        <v>1181</v>
      </c>
      <c r="C1740" t="s">
        <v>1182</v>
      </c>
      <c r="D1740" t="s">
        <v>228</v>
      </c>
      <c r="E1740" t="s">
        <v>55</v>
      </c>
      <c r="F1740">
        <v>176</v>
      </c>
      <c r="G1740">
        <v>16</v>
      </c>
      <c r="H1740">
        <v>5.3209178583305599E-3</v>
      </c>
      <c r="I1740">
        <v>9.0909090909090898E-2</v>
      </c>
      <c r="J1740" s="14" t="str">
        <f>_xlfn.XLOOKUP(B1740,CAD_PDV!A:A,CAD_PDV!B:B)</f>
        <v>FAJULUTI</v>
      </c>
      <c r="K1740" s="14">
        <f>IF(IFERROR(_xlfn.XLOOKUP(B1740,Planilha2!D:D,Planilha2!H:H),0)="SIM",1,0)</f>
        <v>0</v>
      </c>
      <c r="L1740" s="14" t="str">
        <f>_xlfn.XLOOKUP(B1740,CAD_PDV!A:A,CAD_PDV!C:C)</f>
        <v>RJ/ES</v>
      </c>
      <c r="M1740" s="14" t="str">
        <f>IFERROR(_xlfn.XLOOKUP(B1740,repete!A:A,repete!A:A),"-")</f>
        <v>-</v>
      </c>
    </row>
    <row r="1741" spans="1:13" hidden="1">
      <c r="A1741" s="1">
        <v>46174</v>
      </c>
      <c r="B1741" t="s">
        <v>1319</v>
      </c>
      <c r="C1741" t="s">
        <v>1313</v>
      </c>
      <c r="D1741" t="s">
        <v>225</v>
      </c>
      <c r="E1741" t="s">
        <v>53</v>
      </c>
      <c r="F1741">
        <v>88</v>
      </c>
      <c r="G1741">
        <v>16</v>
      </c>
      <c r="H1741">
        <v>5.3209178583305599E-3</v>
      </c>
      <c r="I1741">
        <v>0.18181818181818199</v>
      </c>
      <c r="J1741" s="14" t="str">
        <f>_xlfn.XLOOKUP(B1741,CAD_PDV!A:A,CAD_PDV!B:B)</f>
        <v>CLARICELL SP1</v>
      </c>
      <c r="K1741" s="14">
        <f>IF(IFERROR(_xlfn.XLOOKUP(B1741,Planilha2!D:D,Planilha2!H:H),0)="SIM",1,0)</f>
        <v>0</v>
      </c>
      <c r="L1741" s="14" t="str">
        <f>_xlfn.XLOOKUP(B1741,CAD_PDV!A:A,CAD_PDV!C:C)</f>
        <v>SP1</v>
      </c>
      <c r="M1741" s="14" t="str">
        <f>IFERROR(_xlfn.XLOOKUP(B1741,repete!A:A,repete!A:A),"-")</f>
        <v>-</v>
      </c>
    </row>
    <row r="1742" spans="1:13" hidden="1">
      <c r="A1742" s="1">
        <v>46174</v>
      </c>
      <c r="B1742" t="s">
        <v>979</v>
      </c>
      <c r="C1742" t="s">
        <v>944</v>
      </c>
      <c r="D1742" t="s">
        <v>232</v>
      </c>
      <c r="E1742" t="s">
        <v>60</v>
      </c>
      <c r="F1742">
        <v>134</v>
      </c>
      <c r="G1742">
        <v>15</v>
      </c>
      <c r="H1742">
        <v>4.9883604921849003E-3</v>
      </c>
      <c r="I1742">
        <v>0.111940298507463</v>
      </c>
      <c r="J1742" s="14" t="str">
        <f>_xlfn.XLOOKUP(B1742,CAD_PDV!A:A,CAD_PDV!B:B)</f>
        <v>HS TELECOM</v>
      </c>
      <c r="K1742" s="14">
        <f>IF(IFERROR(_xlfn.XLOOKUP(B1742,Planilha2!D:D,Planilha2!H:H),0)="SIM",1,0)</f>
        <v>0</v>
      </c>
      <c r="L1742" s="14" t="str">
        <f>_xlfn.XLOOKUP(B1742,CAD_PDV!A:A,CAD_PDV!C:C)</f>
        <v>BA/SE</v>
      </c>
      <c r="M1742" s="14" t="str">
        <f>IFERROR(_xlfn.XLOOKUP(B1742,repete!A:A,repete!A:A),"-")</f>
        <v>-</v>
      </c>
    </row>
    <row r="1743" spans="1:13" hidden="1">
      <c r="A1743" s="1">
        <v>46174</v>
      </c>
      <c r="B1743" t="s">
        <v>1504</v>
      </c>
      <c r="C1743" t="s">
        <v>1505</v>
      </c>
      <c r="D1743" t="s">
        <v>132</v>
      </c>
      <c r="E1743" t="s">
        <v>54</v>
      </c>
      <c r="F1743">
        <v>113</v>
      </c>
      <c r="G1743">
        <v>15</v>
      </c>
      <c r="H1743">
        <v>4.9883604921849003E-3</v>
      </c>
      <c r="I1743">
        <v>0.132743362831858</v>
      </c>
      <c r="J1743" s="14" t="str">
        <f>_xlfn.XLOOKUP(B1743,CAD_PDV!A:A,CAD_PDV!B:B)</f>
        <v>FLEX CELL</v>
      </c>
      <c r="K1743" s="14">
        <f>IF(IFERROR(_xlfn.XLOOKUP(B1743,Planilha2!D:D,Planilha2!H:H),0)="SIM",1,0)</f>
        <v>0</v>
      </c>
      <c r="L1743" s="14" t="str">
        <f>_xlfn.XLOOKUP(B1743,CAD_PDV!A:A,CAD_PDV!C:C)</f>
        <v>SP2</v>
      </c>
      <c r="M1743" s="14" t="str">
        <f>IFERROR(_xlfn.XLOOKUP(B1743,repete!A:A,repete!A:A),"-")</f>
        <v>-</v>
      </c>
    </row>
    <row r="1744" spans="1:13" hidden="1">
      <c r="A1744" s="1">
        <v>46174</v>
      </c>
      <c r="B1744" t="s">
        <v>1516</v>
      </c>
      <c r="C1744" t="s">
        <v>1517</v>
      </c>
      <c r="D1744" t="s">
        <v>232</v>
      </c>
      <c r="E1744" t="s">
        <v>54</v>
      </c>
      <c r="F1744">
        <v>38</v>
      </c>
      <c r="G1744">
        <v>15</v>
      </c>
      <c r="H1744">
        <v>4.9883604921849003E-3</v>
      </c>
      <c r="I1744">
        <v>0.394736842105263</v>
      </c>
      <c r="J1744" s="14" t="str">
        <f>_xlfn.XLOOKUP(B1744,CAD_PDV!A:A,CAD_PDV!B:B)</f>
        <v>HS TELECOM</v>
      </c>
      <c r="K1744" s="14">
        <f>IF(IFERROR(_xlfn.XLOOKUP(B1744,Planilha2!D:D,Planilha2!H:H),0)="SIM",1,0)</f>
        <v>0</v>
      </c>
      <c r="L1744" s="14" t="str">
        <f>_xlfn.XLOOKUP(B1744,CAD_PDV!A:A,CAD_PDV!C:C)</f>
        <v>SP2</v>
      </c>
      <c r="M1744" s="14" t="str">
        <f>IFERROR(_xlfn.XLOOKUP(B1744,repete!A:A,repete!A:A),"-")</f>
        <v>-</v>
      </c>
    </row>
    <row r="1745" spans="1:13" hidden="1">
      <c r="A1745" s="1">
        <v>46174</v>
      </c>
      <c r="B1745" t="s">
        <v>1015</v>
      </c>
      <c r="C1745" t="s">
        <v>1017</v>
      </c>
      <c r="D1745" t="s">
        <v>232</v>
      </c>
      <c r="E1745" t="s">
        <v>60</v>
      </c>
      <c r="F1745">
        <v>45</v>
      </c>
      <c r="G1745">
        <v>15</v>
      </c>
      <c r="H1745">
        <v>4.9883604921849003E-3</v>
      </c>
      <c r="I1745">
        <v>0.33333333333333298</v>
      </c>
      <c r="J1745" s="14" t="str">
        <f>_xlfn.XLOOKUP(B1745,CAD_PDV!A:A,CAD_PDV!B:B)</f>
        <v>HS TELECOM</v>
      </c>
      <c r="K1745" s="14">
        <f>IF(IFERROR(_xlfn.XLOOKUP(B1745,Planilha2!D:D,Planilha2!H:H),0)="SIM",1,0)</f>
        <v>0</v>
      </c>
      <c r="L1745" s="14" t="str">
        <f>_xlfn.XLOOKUP(B1745,CAD_PDV!A:A,CAD_PDV!C:C)</f>
        <v>BA/SE</v>
      </c>
      <c r="M1745" s="14" t="str">
        <f>IFERROR(_xlfn.XLOOKUP(B1745,repete!A:A,repete!A:A),"-")</f>
        <v>-</v>
      </c>
    </row>
    <row r="1746" spans="1:13" hidden="1">
      <c r="A1746" s="1">
        <v>46174</v>
      </c>
      <c r="B1746" t="s">
        <v>1630</v>
      </c>
      <c r="C1746" t="s">
        <v>1632</v>
      </c>
      <c r="D1746" t="s">
        <v>232</v>
      </c>
      <c r="E1746" t="s">
        <v>54</v>
      </c>
      <c r="F1746">
        <v>51</v>
      </c>
      <c r="G1746">
        <v>15</v>
      </c>
      <c r="H1746">
        <v>4.9883604921849003E-3</v>
      </c>
      <c r="I1746">
        <v>0.29411764705882398</v>
      </c>
      <c r="J1746" s="14" t="str">
        <f>_xlfn.XLOOKUP(B1746,CAD_PDV!A:A,CAD_PDV!B:B)</f>
        <v>HS TELECOM</v>
      </c>
      <c r="K1746" s="14">
        <f>IF(IFERROR(_xlfn.XLOOKUP(B1746,Planilha2!D:D,Planilha2!H:H),0)="SIM",1,0)</f>
        <v>0</v>
      </c>
      <c r="L1746" s="14" t="str">
        <f>_xlfn.XLOOKUP(B1746,CAD_PDV!A:A,CAD_PDV!C:C)</f>
        <v>SP2</v>
      </c>
      <c r="M1746" s="14" t="str">
        <f>IFERROR(_xlfn.XLOOKUP(B1746,repete!A:A,repete!A:A),"-")</f>
        <v>-</v>
      </c>
    </row>
    <row r="1747" spans="1:13" hidden="1">
      <c r="A1747" s="1">
        <v>46174</v>
      </c>
      <c r="B1747" t="s">
        <v>1669</v>
      </c>
      <c r="C1747" t="s">
        <v>1661</v>
      </c>
      <c r="D1747" t="s">
        <v>232</v>
      </c>
      <c r="E1747" t="s">
        <v>54</v>
      </c>
      <c r="F1747">
        <v>122</v>
      </c>
      <c r="G1747">
        <v>15</v>
      </c>
      <c r="H1747">
        <v>4.9883604921849003E-3</v>
      </c>
      <c r="I1747">
        <v>0.12295081967213101</v>
      </c>
      <c r="J1747" s="14" t="str">
        <f>_xlfn.XLOOKUP(B1747,CAD_PDV!A:A,CAD_PDV!B:B)</f>
        <v>HS TELECOM</v>
      </c>
      <c r="K1747" s="14">
        <f>IF(IFERROR(_xlfn.XLOOKUP(B1747,Planilha2!D:D,Planilha2!H:H),0)="SIM",1,0)</f>
        <v>0</v>
      </c>
      <c r="L1747" s="14" t="str">
        <f>_xlfn.XLOOKUP(B1747,CAD_PDV!A:A,CAD_PDV!C:C)</f>
        <v>SP2</v>
      </c>
      <c r="M1747" s="14" t="str">
        <f>IFERROR(_xlfn.XLOOKUP(B1747,repete!A:A,repete!A:A),"-")</f>
        <v>-</v>
      </c>
    </row>
    <row r="1748" spans="1:13" hidden="1">
      <c r="A1748" s="1">
        <v>46174</v>
      </c>
      <c r="B1748" t="s">
        <v>1692</v>
      </c>
      <c r="C1748" t="s">
        <v>1693</v>
      </c>
      <c r="D1748" t="s">
        <v>232</v>
      </c>
      <c r="E1748" t="s">
        <v>54</v>
      </c>
      <c r="F1748">
        <v>64</v>
      </c>
      <c r="G1748">
        <v>15</v>
      </c>
      <c r="H1748">
        <v>4.9883604921849003E-3</v>
      </c>
      <c r="I1748">
        <v>0.234375</v>
      </c>
      <c r="J1748" s="14" t="str">
        <f>_xlfn.XLOOKUP(B1748,CAD_PDV!A:A,CAD_PDV!B:B)</f>
        <v>HS TELECOM</v>
      </c>
      <c r="K1748" s="14">
        <f>IF(IFERROR(_xlfn.XLOOKUP(B1748,Planilha2!D:D,Planilha2!H:H),0)="SIM",1,0)</f>
        <v>0</v>
      </c>
      <c r="L1748" s="14" t="str">
        <f>_xlfn.XLOOKUP(B1748,CAD_PDV!A:A,CAD_PDV!C:C)</f>
        <v>SP2</v>
      </c>
      <c r="M1748" s="14" t="str">
        <f>IFERROR(_xlfn.XLOOKUP(B1748,repete!A:A,repete!A:A),"-")</f>
        <v>-</v>
      </c>
    </row>
    <row r="1749" spans="1:13" hidden="1">
      <c r="A1749" s="1">
        <v>46174</v>
      </c>
      <c r="B1749" t="s">
        <v>880</v>
      </c>
      <c r="C1749" t="s">
        <v>875</v>
      </c>
      <c r="D1749" t="s">
        <v>239</v>
      </c>
      <c r="E1749" t="s">
        <v>59</v>
      </c>
      <c r="F1749">
        <v>108</v>
      </c>
      <c r="G1749">
        <v>14</v>
      </c>
      <c r="H1749">
        <v>4.6558031260392398E-3</v>
      </c>
      <c r="I1749">
        <v>0.12962962962963001</v>
      </c>
      <c r="J1749" s="14" t="str">
        <f>_xlfn.XLOOKUP(B1749,CAD_PDV!A:A,CAD_PDV!B:B)</f>
        <v>TELECELL TELEFONIA LTDA - ME</v>
      </c>
      <c r="K1749" s="14">
        <f>IF(IFERROR(_xlfn.XLOOKUP(B1749,Planilha2!D:D,Planilha2!H:H),0)="SIM",1,0)</f>
        <v>0</v>
      </c>
      <c r="L1749" s="14" t="str">
        <f>_xlfn.XLOOKUP(B1749,CAD_PDV!A:A,CAD_PDV!C:C)</f>
        <v>CO</v>
      </c>
      <c r="M1749" s="14" t="str">
        <f>IFERROR(_xlfn.XLOOKUP(B1749,repete!A:A,repete!A:A),"-")</f>
        <v>-</v>
      </c>
    </row>
    <row r="1750" spans="1:13" hidden="1">
      <c r="A1750" s="1">
        <v>46174</v>
      </c>
      <c r="B1750" t="s">
        <v>1012</v>
      </c>
      <c r="C1750" t="s">
        <v>1005</v>
      </c>
      <c r="D1750" t="s">
        <v>232</v>
      </c>
      <c r="E1750" t="s">
        <v>60</v>
      </c>
      <c r="F1750">
        <v>77</v>
      </c>
      <c r="G1750">
        <v>14</v>
      </c>
      <c r="H1750">
        <v>4.6558031260392398E-3</v>
      </c>
      <c r="I1750">
        <v>0.18181818181818199</v>
      </c>
      <c r="J1750" s="14" t="str">
        <f>_xlfn.XLOOKUP(B1750,CAD_PDV!A:A,CAD_PDV!B:B)</f>
        <v>HS TELECOM</v>
      </c>
      <c r="K1750" s="14">
        <f>IF(IFERROR(_xlfn.XLOOKUP(B1750,Planilha2!D:D,Planilha2!H:H),0)="SIM",1,0)</f>
        <v>0</v>
      </c>
      <c r="L1750" s="14" t="str">
        <f>_xlfn.XLOOKUP(B1750,CAD_PDV!A:A,CAD_PDV!C:C)</f>
        <v>BA/SE</v>
      </c>
      <c r="M1750" s="14" t="str">
        <f>IFERROR(_xlfn.XLOOKUP(B1750,repete!A:A,repete!A:A),"-")</f>
        <v>FMBI</v>
      </c>
    </row>
    <row r="1751" spans="1:13" hidden="1">
      <c r="A1751" s="1">
        <v>46174</v>
      </c>
      <c r="B1751" t="s">
        <v>1232</v>
      </c>
      <c r="C1751" t="s">
        <v>1142</v>
      </c>
      <c r="D1751" t="s">
        <v>237</v>
      </c>
      <c r="E1751" t="s">
        <v>55</v>
      </c>
      <c r="F1751">
        <v>83</v>
      </c>
      <c r="G1751">
        <v>14</v>
      </c>
      <c r="H1751">
        <v>4.6558031260392398E-3</v>
      </c>
      <c r="I1751">
        <v>0.16867469879518099</v>
      </c>
      <c r="J1751" s="14" t="str">
        <f>_xlfn.XLOOKUP(B1751,CAD_PDV!A:A,CAD_PDV!B:B)</f>
        <v>PONTO CERTO COMERCIO E COMUNICAÇÕES LTDA</v>
      </c>
      <c r="K1751" s="14">
        <f>IF(IFERROR(_xlfn.XLOOKUP(B1751,Planilha2!D:D,Planilha2!H:H),0)="SIM",1,0)</f>
        <v>0</v>
      </c>
      <c r="L1751" s="14" t="str">
        <f>_xlfn.XLOOKUP(B1751,CAD_PDV!A:A,CAD_PDV!C:C)</f>
        <v>RJ/ES</v>
      </c>
      <c r="M1751" s="14" t="str">
        <f>IFERROR(_xlfn.XLOOKUP(B1751,repete!A:A,repete!A:A),"-")</f>
        <v>-</v>
      </c>
    </row>
    <row r="1752" spans="1:13" hidden="1">
      <c r="A1752" s="1">
        <v>46174</v>
      </c>
      <c r="B1752" t="s">
        <v>1338</v>
      </c>
      <c r="C1752" t="s">
        <v>1313</v>
      </c>
      <c r="D1752" t="s">
        <v>225</v>
      </c>
      <c r="E1752" t="s">
        <v>53</v>
      </c>
      <c r="F1752">
        <v>89</v>
      </c>
      <c r="G1752">
        <v>14</v>
      </c>
      <c r="H1752">
        <v>4.6558031260392398E-3</v>
      </c>
      <c r="I1752">
        <v>0.15730337078651699</v>
      </c>
      <c r="J1752" s="14" t="str">
        <f>_xlfn.XLOOKUP(B1752,CAD_PDV!A:A,CAD_PDV!B:B)</f>
        <v>CLARICELL SP1</v>
      </c>
      <c r="K1752" s="14">
        <f>IF(IFERROR(_xlfn.XLOOKUP(B1752,Planilha2!D:D,Planilha2!H:H),0)="SIM",1,0)</f>
        <v>0</v>
      </c>
      <c r="L1752" s="14" t="str">
        <f>_xlfn.XLOOKUP(B1752,CAD_PDV!A:A,CAD_PDV!C:C)</f>
        <v>SP1</v>
      </c>
      <c r="M1752" s="14" t="str">
        <f>IFERROR(_xlfn.XLOOKUP(B1752,repete!A:A,repete!A:A),"-")</f>
        <v>-</v>
      </c>
    </row>
    <row r="1753" spans="1:13" hidden="1">
      <c r="A1753" s="1">
        <v>46174</v>
      </c>
      <c r="B1753" t="s">
        <v>1685</v>
      </c>
      <c r="C1753" t="s">
        <v>1686</v>
      </c>
      <c r="D1753" t="s">
        <v>232</v>
      </c>
      <c r="E1753" t="s">
        <v>54</v>
      </c>
      <c r="F1753">
        <v>89</v>
      </c>
      <c r="G1753">
        <v>14</v>
      </c>
      <c r="H1753">
        <v>4.6558031260392398E-3</v>
      </c>
      <c r="I1753">
        <v>0.15730337078651699</v>
      </c>
      <c r="J1753" s="14" t="str">
        <f>_xlfn.XLOOKUP(B1753,CAD_PDV!A:A,CAD_PDV!B:B)</f>
        <v>HS TELECOM</v>
      </c>
      <c r="K1753" s="14">
        <f>IF(IFERROR(_xlfn.XLOOKUP(B1753,Planilha2!D:D,Planilha2!H:H),0)="SIM",1,0)</f>
        <v>0</v>
      </c>
      <c r="L1753" s="14" t="str">
        <f>_xlfn.XLOOKUP(B1753,CAD_PDV!A:A,CAD_PDV!C:C)</f>
        <v>SP2</v>
      </c>
      <c r="M1753" s="14" t="str">
        <f>IFERROR(_xlfn.XLOOKUP(B1753,repete!A:A,repete!A:A),"-")</f>
        <v>-</v>
      </c>
    </row>
    <row r="1754" spans="1:13" hidden="1">
      <c r="A1754" s="1">
        <v>46174</v>
      </c>
      <c r="B1754" t="s">
        <v>617</v>
      </c>
      <c r="C1754" t="s">
        <v>616</v>
      </c>
      <c r="D1754" t="s">
        <v>239</v>
      </c>
      <c r="E1754" t="s">
        <v>59</v>
      </c>
      <c r="F1754">
        <v>66</v>
      </c>
      <c r="G1754">
        <v>14</v>
      </c>
      <c r="H1754">
        <v>4.6558031260392398E-3</v>
      </c>
      <c r="I1754">
        <v>0.21212121212121199</v>
      </c>
      <c r="J1754" s="14" t="str">
        <f>_xlfn.XLOOKUP(B1754,CAD_PDV!A:A,CAD_PDV!B:B)</f>
        <v>TELECELL TELEFONIA LTDA - ME</v>
      </c>
      <c r="K1754" s="14">
        <f>IF(IFERROR(_xlfn.XLOOKUP(B1754,Planilha2!D:D,Planilha2!H:H),0)="SIM",1,0)</f>
        <v>0</v>
      </c>
      <c r="L1754" s="14" t="str">
        <f>_xlfn.XLOOKUP(B1754,CAD_PDV!A:A,CAD_PDV!C:C)</f>
        <v>CO</v>
      </c>
      <c r="M1754" s="14" t="str">
        <f>IFERROR(_xlfn.XLOOKUP(B1754,repete!A:A,repete!A:A),"-")</f>
        <v>-</v>
      </c>
    </row>
    <row r="1755" spans="1:13" hidden="1">
      <c r="A1755" s="1">
        <v>46174</v>
      </c>
      <c r="B1755" t="s">
        <v>746</v>
      </c>
      <c r="C1755" t="s">
        <v>610</v>
      </c>
      <c r="D1755" t="s">
        <v>224</v>
      </c>
      <c r="E1755" t="s">
        <v>59</v>
      </c>
      <c r="F1755">
        <v>132</v>
      </c>
      <c r="G1755">
        <v>13</v>
      </c>
      <c r="H1755">
        <v>4.3232457598935802E-3</v>
      </c>
      <c r="I1755">
        <v>9.8484848484848495E-2</v>
      </c>
      <c r="J1755" s="14" t="str">
        <f>_xlfn.XLOOKUP(B1755,CAD_PDV!A:A,CAD_PDV!B:B)</f>
        <v>CELNET COMERCIO E SERVICOS DE TELEFONIA LTDA ME</v>
      </c>
      <c r="K1755" s="14">
        <f>IF(IFERROR(_xlfn.XLOOKUP(B1755,Planilha2!D:D,Planilha2!H:H),0)="SIM",1,0)</f>
        <v>0</v>
      </c>
      <c r="L1755" s="14" t="str">
        <f>_xlfn.XLOOKUP(B1755,CAD_PDV!A:A,CAD_PDV!C:C)</f>
        <v>CO</v>
      </c>
      <c r="M1755" s="14" t="str">
        <f>IFERROR(_xlfn.XLOOKUP(B1755,repete!A:A,repete!A:A),"-")</f>
        <v>-</v>
      </c>
    </row>
    <row r="1756" spans="1:13" hidden="1">
      <c r="A1756" s="1">
        <v>46174</v>
      </c>
      <c r="B1756" t="s">
        <v>1564</v>
      </c>
      <c r="C1756" t="s">
        <v>1566</v>
      </c>
      <c r="D1756" t="s">
        <v>232</v>
      </c>
      <c r="E1756" t="s">
        <v>54</v>
      </c>
      <c r="F1756">
        <v>51</v>
      </c>
      <c r="G1756">
        <v>13</v>
      </c>
      <c r="H1756">
        <v>4.3232457598935802E-3</v>
      </c>
      <c r="I1756">
        <v>0.25490196078431399</v>
      </c>
      <c r="J1756" s="14" t="str">
        <f>_xlfn.XLOOKUP(B1756,CAD_PDV!A:A,CAD_PDV!B:B)</f>
        <v>HS TELECOM</v>
      </c>
      <c r="K1756" s="14">
        <f>IF(IFERROR(_xlfn.XLOOKUP(B1756,Planilha2!D:D,Planilha2!H:H),0)="SIM",1,0)</f>
        <v>0</v>
      </c>
      <c r="L1756" s="14" t="str">
        <f>_xlfn.XLOOKUP(B1756,CAD_PDV!A:A,CAD_PDV!C:C)</f>
        <v>SP2</v>
      </c>
      <c r="M1756" s="14" t="str">
        <f>IFERROR(_xlfn.XLOOKUP(B1756,repete!A:A,repete!A:A),"-")</f>
        <v>-</v>
      </c>
    </row>
    <row r="1757" spans="1:13" hidden="1">
      <c r="A1757" s="1">
        <v>46174</v>
      </c>
      <c r="B1757" t="s">
        <v>777</v>
      </c>
      <c r="C1757" t="s">
        <v>775</v>
      </c>
      <c r="D1757" t="s">
        <v>221</v>
      </c>
      <c r="E1757" t="s">
        <v>59</v>
      </c>
      <c r="F1757">
        <v>58</v>
      </c>
      <c r="G1757">
        <v>13</v>
      </c>
      <c r="H1757">
        <v>4.3232457598935802E-3</v>
      </c>
      <c r="I1757">
        <v>0.22413793103448301</v>
      </c>
      <c r="J1757" s="14" t="str">
        <f>_xlfn.XLOOKUP(B1757,CAD_PDV!A:A,CAD_PDV!B:B)</f>
        <v>AMERICOM COMERCIO DE APARELHOS ELETRONICOS LTDA - EPP</v>
      </c>
      <c r="K1757" s="14">
        <f>IF(IFERROR(_xlfn.XLOOKUP(B1757,Planilha2!D:D,Planilha2!H:H),0)="SIM",1,0)</f>
        <v>0</v>
      </c>
      <c r="L1757" s="14" t="str">
        <f>_xlfn.XLOOKUP(B1757,CAD_PDV!A:A,CAD_PDV!C:C)</f>
        <v>CO</v>
      </c>
      <c r="M1757" s="14" t="str">
        <f>IFERROR(_xlfn.XLOOKUP(B1757,repete!A:A,repete!A:A),"-")</f>
        <v>-</v>
      </c>
    </row>
    <row r="1758" spans="1:13" hidden="1">
      <c r="A1758" s="1">
        <v>46174</v>
      </c>
      <c r="B1758" t="s">
        <v>595</v>
      </c>
      <c r="C1758" t="s">
        <v>596</v>
      </c>
      <c r="D1758" t="s">
        <v>239</v>
      </c>
      <c r="E1758" t="s">
        <v>56</v>
      </c>
      <c r="F1758">
        <v>126</v>
      </c>
      <c r="G1758">
        <v>13</v>
      </c>
      <c r="H1758">
        <v>4.3232457598935802E-3</v>
      </c>
      <c r="I1758">
        <v>0.103174603174603</v>
      </c>
      <c r="J1758" s="14" t="str">
        <f>_xlfn.XLOOKUP(B1758,CAD_PDV!A:A,CAD_PDV!B:B)</f>
        <v>TELECELL TELEFONIA LTDA - ME</v>
      </c>
      <c r="K1758" s="14">
        <f>IF(IFERROR(_xlfn.XLOOKUP(B1758,Planilha2!D:D,Planilha2!H:H),0)="SIM",1,0)</f>
        <v>0</v>
      </c>
      <c r="L1758" s="14" t="str">
        <f>_xlfn.XLOOKUP(B1758,CAD_PDV!A:A,CAD_PDV!C:C)</f>
        <v>MG</v>
      </c>
      <c r="M1758" s="14" t="str">
        <f>IFERROR(_xlfn.XLOOKUP(B1758,repete!A:A,repete!A:A),"-")</f>
        <v>-</v>
      </c>
    </row>
    <row r="1759" spans="1:13" hidden="1">
      <c r="A1759" s="1">
        <v>46174</v>
      </c>
      <c r="B1759" t="s">
        <v>963</v>
      </c>
      <c r="C1759" t="s">
        <v>944</v>
      </c>
      <c r="D1759" t="s">
        <v>232</v>
      </c>
      <c r="E1759" t="s">
        <v>60</v>
      </c>
      <c r="F1759">
        <v>97</v>
      </c>
      <c r="G1759">
        <v>13</v>
      </c>
      <c r="H1759">
        <v>4.3232457598935802E-3</v>
      </c>
      <c r="I1759">
        <v>0.134020618556701</v>
      </c>
      <c r="J1759" s="14" t="str">
        <f>_xlfn.XLOOKUP(B1759,CAD_PDV!A:A,CAD_PDV!B:B)</f>
        <v>HS TELECOM</v>
      </c>
      <c r="K1759" s="14">
        <f>IF(IFERROR(_xlfn.XLOOKUP(B1759,Planilha2!D:D,Planilha2!H:H),0)="SIM",1,0)</f>
        <v>0</v>
      </c>
      <c r="L1759" s="14" t="str">
        <f>_xlfn.XLOOKUP(B1759,CAD_PDV!A:A,CAD_PDV!C:C)</f>
        <v>BA/SE</v>
      </c>
      <c r="M1759" s="14" t="str">
        <f>IFERROR(_xlfn.XLOOKUP(B1759,repete!A:A,repete!A:A),"-")</f>
        <v>-</v>
      </c>
    </row>
    <row r="1760" spans="1:13" hidden="1">
      <c r="A1760" s="1">
        <v>46174</v>
      </c>
      <c r="B1760" t="s">
        <v>1265</v>
      </c>
      <c r="C1760" t="s">
        <v>1266</v>
      </c>
      <c r="D1760" t="s">
        <v>228</v>
      </c>
      <c r="E1760" t="s">
        <v>55</v>
      </c>
      <c r="F1760">
        <v>79</v>
      </c>
      <c r="G1760">
        <v>13</v>
      </c>
      <c r="H1760">
        <v>4.3232457598935802E-3</v>
      </c>
      <c r="I1760">
        <v>0.164556962025316</v>
      </c>
      <c r="J1760" s="14" t="str">
        <f>_xlfn.XLOOKUP(B1760,CAD_PDV!A:A,CAD_PDV!B:B)</f>
        <v>FAJULUTI</v>
      </c>
      <c r="K1760" s="14">
        <f>IF(IFERROR(_xlfn.XLOOKUP(B1760,Planilha2!D:D,Planilha2!H:H),0)="SIM",1,0)</f>
        <v>0</v>
      </c>
      <c r="L1760" s="14" t="str">
        <f>_xlfn.XLOOKUP(B1760,CAD_PDV!A:A,CAD_PDV!C:C)</f>
        <v>RJ/ES</v>
      </c>
      <c r="M1760" s="14" t="str">
        <f>IFERROR(_xlfn.XLOOKUP(B1760,repete!A:A,repete!A:A),"-")</f>
        <v>-</v>
      </c>
    </row>
    <row r="1761" spans="1:13" hidden="1">
      <c r="A1761" s="1">
        <v>46174</v>
      </c>
      <c r="B1761" t="s">
        <v>613</v>
      </c>
      <c r="C1761" t="s">
        <v>610</v>
      </c>
      <c r="D1761" t="s">
        <v>239</v>
      </c>
      <c r="E1761" t="s">
        <v>59</v>
      </c>
      <c r="F1761">
        <v>100</v>
      </c>
      <c r="G1761">
        <v>12</v>
      </c>
      <c r="H1761">
        <v>3.9906883937479197E-3</v>
      </c>
      <c r="I1761">
        <v>0.12</v>
      </c>
      <c r="J1761" s="14" t="str">
        <f>_xlfn.XLOOKUP(B1761,CAD_PDV!A:A,CAD_PDV!B:B)</f>
        <v>TELECELL TELEFONIA LTDA - ME</v>
      </c>
      <c r="K1761" s="14">
        <f>IF(IFERROR(_xlfn.XLOOKUP(B1761,Planilha2!D:D,Planilha2!H:H),0)="SIM",1,0)</f>
        <v>0</v>
      </c>
      <c r="L1761" s="14" t="str">
        <f>_xlfn.XLOOKUP(B1761,CAD_PDV!A:A,CAD_PDV!C:C)</f>
        <v>CO</v>
      </c>
      <c r="M1761" s="14" t="str">
        <f>IFERROR(_xlfn.XLOOKUP(B1761,repete!A:A,repete!A:A),"-")</f>
        <v>-</v>
      </c>
    </row>
    <row r="1762" spans="1:13" hidden="1">
      <c r="A1762" s="1">
        <v>46174</v>
      </c>
      <c r="B1762" t="s">
        <v>645</v>
      </c>
      <c r="C1762" t="s">
        <v>644</v>
      </c>
      <c r="D1762" t="s">
        <v>240</v>
      </c>
      <c r="E1762" t="s">
        <v>59</v>
      </c>
      <c r="F1762">
        <v>32</v>
      </c>
      <c r="G1762">
        <v>12</v>
      </c>
      <c r="H1762">
        <v>3.9906883937479197E-3</v>
      </c>
      <c r="I1762">
        <v>0.375</v>
      </c>
      <c r="J1762" s="14" t="str">
        <f>_xlfn.XLOOKUP(B1762,CAD_PDV!A:A,CAD_PDV!B:B)</f>
        <v>TELEMAIS TELEFONIA LTDA - ME</v>
      </c>
      <c r="K1762" s="14">
        <f>IF(IFERROR(_xlfn.XLOOKUP(B1762,Planilha2!D:D,Planilha2!H:H),0)="SIM",1,0)</f>
        <v>0</v>
      </c>
      <c r="L1762" s="14" t="str">
        <f>_xlfn.XLOOKUP(B1762,CAD_PDV!A:A,CAD_PDV!C:C)</f>
        <v>CO</v>
      </c>
      <c r="M1762" s="14" t="str">
        <f>IFERROR(_xlfn.XLOOKUP(B1762,repete!A:A,repete!A:A),"-")</f>
        <v>-</v>
      </c>
    </row>
    <row r="1763" spans="1:13" hidden="1">
      <c r="A1763" s="1">
        <v>46174</v>
      </c>
      <c r="B1763" t="s">
        <v>912</v>
      </c>
      <c r="C1763" t="s">
        <v>820</v>
      </c>
      <c r="D1763" t="s">
        <v>239</v>
      </c>
      <c r="E1763" t="s">
        <v>59</v>
      </c>
      <c r="F1763">
        <v>37</v>
      </c>
      <c r="G1763">
        <v>12</v>
      </c>
      <c r="H1763">
        <v>3.9906883937479197E-3</v>
      </c>
      <c r="I1763">
        <v>0.32432432432432401</v>
      </c>
      <c r="J1763" s="14" t="str">
        <f>_xlfn.XLOOKUP(B1763,CAD_PDV!A:A,CAD_PDV!B:B)</f>
        <v>TELECELL TELEFONIA LTDA - ME</v>
      </c>
      <c r="K1763" s="14">
        <f>IF(IFERROR(_xlfn.XLOOKUP(B1763,Planilha2!D:D,Planilha2!H:H),0)="SIM",1,0)</f>
        <v>0</v>
      </c>
      <c r="L1763" s="14" t="str">
        <f>_xlfn.XLOOKUP(B1763,CAD_PDV!A:A,CAD_PDV!C:C)</f>
        <v>CO</v>
      </c>
      <c r="M1763" s="14" t="str">
        <f>IFERROR(_xlfn.XLOOKUP(B1763,repete!A:A,repete!A:A),"-")</f>
        <v>-</v>
      </c>
    </row>
    <row r="1764" spans="1:13" hidden="1">
      <c r="A1764" s="1">
        <v>46174</v>
      </c>
      <c r="B1764" t="s">
        <v>2054</v>
      </c>
      <c r="C1764" t="s">
        <v>2053</v>
      </c>
      <c r="D1764" t="s">
        <v>193</v>
      </c>
      <c r="E1764" t="s">
        <v>2074</v>
      </c>
      <c r="F1764">
        <v>52</v>
      </c>
      <c r="G1764">
        <v>12</v>
      </c>
      <c r="H1764">
        <v>3.9906883937479197E-3</v>
      </c>
      <c r="I1764">
        <v>0.230769230769231</v>
      </c>
      <c r="J1764" s="14" t="str">
        <f>_xlfn.XLOOKUP(B1764,CAD_PDV!A:A,CAD_PDV!B:B)</f>
        <v>S D COMERCIO DE CELULARES LTDA - ME</v>
      </c>
      <c r="K1764" s="14">
        <f>IF(IFERROR(_xlfn.XLOOKUP(B1764,Planilha2!D:D,Planilha2!H:H),0)="SIM",1,0)</f>
        <v>0</v>
      </c>
      <c r="L1764" s="14" t="str">
        <f>_xlfn.XLOOKUP(B1764,CAD_PDV!A:A,CAD_PDV!C:C)</f>
        <v>RS</v>
      </c>
      <c r="M1764" s="14" t="str">
        <f>IFERROR(_xlfn.XLOOKUP(B1764,repete!A:A,repete!A:A),"-")</f>
        <v>-</v>
      </c>
    </row>
    <row r="1765" spans="1:13" hidden="1">
      <c r="A1765" s="1">
        <v>46174</v>
      </c>
      <c r="B1765" t="s">
        <v>1363</v>
      </c>
      <c r="C1765" t="s">
        <v>1313</v>
      </c>
      <c r="D1765" t="s">
        <v>132</v>
      </c>
      <c r="E1765" t="s">
        <v>53</v>
      </c>
      <c r="F1765">
        <v>97</v>
      </c>
      <c r="G1765">
        <v>12</v>
      </c>
      <c r="H1765">
        <v>3.9906883937479197E-3</v>
      </c>
      <c r="I1765">
        <v>0.123711340206186</v>
      </c>
      <c r="J1765" s="14" t="str">
        <f>_xlfn.XLOOKUP(B1765,CAD_PDV!A:A,CAD_PDV!B:B)</f>
        <v>FLEX CELL</v>
      </c>
      <c r="K1765" s="14">
        <f>IF(IFERROR(_xlfn.XLOOKUP(B1765,Planilha2!D:D,Planilha2!H:H),0)="SIM",1,0)</f>
        <v>0</v>
      </c>
      <c r="L1765" s="14" t="str">
        <f>_xlfn.XLOOKUP(B1765,CAD_PDV!A:A,CAD_PDV!C:C)</f>
        <v>SP1</v>
      </c>
      <c r="M1765" s="14" t="str">
        <f>IFERROR(_xlfn.XLOOKUP(B1765,repete!A:A,repete!A:A),"-")</f>
        <v>-</v>
      </c>
    </row>
    <row r="1766" spans="1:13" hidden="1">
      <c r="A1766" s="1">
        <v>46174</v>
      </c>
      <c r="B1766" t="s">
        <v>2020</v>
      </c>
      <c r="C1766" t="s">
        <v>2019</v>
      </c>
      <c r="D1766" t="s">
        <v>106</v>
      </c>
      <c r="E1766" t="s">
        <v>2074</v>
      </c>
      <c r="F1766">
        <v>107</v>
      </c>
      <c r="G1766">
        <v>12</v>
      </c>
      <c r="H1766">
        <v>3.9906883937479197E-3</v>
      </c>
      <c r="I1766">
        <v>0.11214953271028</v>
      </c>
      <c r="J1766" s="14" t="str">
        <f>_xlfn.XLOOKUP(B1766,CAD_PDV!A:A,CAD_PDV!B:B)</f>
        <v>CELLULAR.COM</v>
      </c>
      <c r="K1766" s="14">
        <f>IF(IFERROR(_xlfn.XLOOKUP(B1766,Planilha2!D:D,Planilha2!H:H),0)="SIM",1,0)</f>
        <v>0</v>
      </c>
      <c r="L1766" s="14" t="str">
        <f>_xlfn.XLOOKUP(B1766,CAD_PDV!A:A,CAD_PDV!C:C)</f>
        <v>PR/SC</v>
      </c>
      <c r="M1766" s="14" t="str">
        <f>IFERROR(_xlfn.XLOOKUP(B1766,repete!A:A,repete!A:A),"-")</f>
        <v>-</v>
      </c>
    </row>
    <row r="1767" spans="1:13" hidden="1">
      <c r="A1767" s="1">
        <v>46174</v>
      </c>
      <c r="B1767" t="s">
        <v>1877</v>
      </c>
      <c r="C1767" t="s">
        <v>1876</v>
      </c>
      <c r="D1767" t="s">
        <v>124</v>
      </c>
      <c r="E1767" t="s">
        <v>2074</v>
      </c>
      <c r="F1767">
        <v>62</v>
      </c>
      <c r="G1767">
        <v>12</v>
      </c>
      <c r="H1767">
        <v>3.9906883937479197E-3</v>
      </c>
      <c r="I1767">
        <v>0.19354838709677399</v>
      </c>
      <c r="J1767" s="14" t="str">
        <f>_xlfn.XLOOKUP(B1767,CAD_PDV!A:A,CAD_PDV!B:B)</f>
        <v>EDUARDO JUNQUEIRA DA SILVEIRA ADMIN</v>
      </c>
      <c r="K1767" s="14">
        <f>IF(IFERROR(_xlfn.XLOOKUP(B1767,Planilha2!D:D,Planilha2!H:H),0)="SIM",1,0)</f>
        <v>0</v>
      </c>
      <c r="L1767" s="14" t="str">
        <f>_xlfn.XLOOKUP(B1767,CAD_PDV!A:A,CAD_PDV!C:C)</f>
        <v>RS</v>
      </c>
      <c r="M1767" s="14" t="str">
        <f>IFERROR(_xlfn.XLOOKUP(B1767,repete!A:A,repete!A:A),"-")</f>
        <v>-</v>
      </c>
    </row>
    <row r="1768" spans="1:13" hidden="1">
      <c r="A1768" s="1">
        <v>46174</v>
      </c>
      <c r="B1768" t="s">
        <v>1353</v>
      </c>
      <c r="C1768" t="s">
        <v>1313</v>
      </c>
      <c r="D1768" t="s">
        <v>132</v>
      </c>
      <c r="E1768" t="s">
        <v>53</v>
      </c>
      <c r="F1768">
        <v>101</v>
      </c>
      <c r="G1768">
        <v>11</v>
      </c>
      <c r="H1768">
        <v>3.6581310276022601E-3</v>
      </c>
      <c r="I1768">
        <v>0.10891089108910899</v>
      </c>
      <c r="J1768" s="14" t="str">
        <f>_xlfn.XLOOKUP(B1768,CAD_PDV!A:A,CAD_PDV!B:B)</f>
        <v>FLEX CELL</v>
      </c>
      <c r="K1768" s="14">
        <f>IF(IFERROR(_xlfn.XLOOKUP(B1768,Planilha2!D:D,Planilha2!H:H),0)="SIM",1,0)</f>
        <v>0</v>
      </c>
      <c r="L1768" s="14" t="str">
        <f>_xlfn.XLOOKUP(B1768,CAD_PDV!A:A,CAD_PDV!C:C)</f>
        <v>SP1</v>
      </c>
      <c r="M1768" s="14" t="str">
        <f>IFERROR(_xlfn.XLOOKUP(B1768,repete!A:A,repete!A:A),"-")</f>
        <v>-</v>
      </c>
    </row>
    <row r="1769" spans="1:13" hidden="1">
      <c r="A1769" s="1">
        <v>46174</v>
      </c>
      <c r="B1769" t="s">
        <v>262</v>
      </c>
      <c r="C1769" t="s">
        <v>265</v>
      </c>
      <c r="D1769" t="s">
        <v>230</v>
      </c>
      <c r="E1769" t="s">
        <v>61</v>
      </c>
      <c r="F1769">
        <v>70</v>
      </c>
      <c r="G1769">
        <v>11</v>
      </c>
      <c r="H1769">
        <v>3.6581310276022601E-3</v>
      </c>
      <c r="I1769">
        <v>0.157142857142857</v>
      </c>
      <c r="J1769" s="14" t="str">
        <f>_xlfn.XLOOKUP(B1769,CAD_PDV!A:A,CAD_PDV!B:B)</f>
        <v>HARCOS COMERCIO E SERVICOS LTDA - EPP</v>
      </c>
      <c r="K1769" s="14">
        <f>IF(IFERROR(_xlfn.XLOOKUP(B1769,Planilha2!D:D,Planilha2!H:H),0)="SIM",1,0)</f>
        <v>0</v>
      </c>
      <c r="L1769" s="14" t="str">
        <f>_xlfn.XLOOKUP(B1769,CAD_PDV!A:A,CAD_PDV!C:C)</f>
        <v>NE</v>
      </c>
      <c r="M1769" s="14" t="str">
        <f>IFERROR(_xlfn.XLOOKUP(B1769,repete!A:A,repete!A:A),"-")</f>
        <v>-</v>
      </c>
    </row>
    <row r="1770" spans="1:13" hidden="1">
      <c r="A1770" s="1">
        <v>46174</v>
      </c>
      <c r="B1770" t="s">
        <v>848</v>
      </c>
      <c r="C1770" t="s">
        <v>732</v>
      </c>
      <c r="D1770" t="s">
        <v>221</v>
      </c>
      <c r="E1770" t="s">
        <v>59</v>
      </c>
      <c r="F1770">
        <v>48</v>
      </c>
      <c r="G1770">
        <v>11</v>
      </c>
      <c r="H1770">
        <v>3.6581310276022601E-3</v>
      </c>
      <c r="I1770">
        <v>0.22916666666666699</v>
      </c>
      <c r="J1770" s="14" t="str">
        <f>_xlfn.XLOOKUP(B1770,CAD_PDV!A:A,CAD_PDV!B:B)</f>
        <v>AMERICOM COMERCIO DE APARELHOS ELETRONICOS LTDA - EPP</v>
      </c>
      <c r="K1770" s="14">
        <f>IF(IFERROR(_xlfn.XLOOKUP(B1770,Planilha2!D:D,Planilha2!H:H),0)="SIM",1,0)</f>
        <v>0</v>
      </c>
      <c r="L1770" s="14" t="str">
        <f>_xlfn.XLOOKUP(B1770,CAD_PDV!A:A,CAD_PDV!C:C)</f>
        <v>CO</v>
      </c>
      <c r="M1770" s="14" t="str">
        <f>IFERROR(_xlfn.XLOOKUP(B1770,repete!A:A,repete!A:A),"-")</f>
        <v>-</v>
      </c>
    </row>
    <row r="1771" spans="1:13" hidden="1">
      <c r="A1771" s="1">
        <v>46174</v>
      </c>
      <c r="B1771" t="s">
        <v>1167</v>
      </c>
      <c r="C1771" t="s">
        <v>1152</v>
      </c>
      <c r="D1771" t="s">
        <v>237</v>
      </c>
      <c r="E1771" t="s">
        <v>55</v>
      </c>
      <c r="F1771">
        <v>158</v>
      </c>
      <c r="G1771">
        <v>11</v>
      </c>
      <c r="H1771">
        <v>3.6581310276022601E-3</v>
      </c>
      <c r="I1771">
        <v>6.9620253164557E-2</v>
      </c>
      <c r="J1771" s="14" t="str">
        <f>_xlfn.XLOOKUP(B1771,CAD_PDV!A:A,CAD_PDV!B:B)</f>
        <v>PONTO CERTO COMERCIO E COMUNICAÇÕES LTDA</v>
      </c>
      <c r="K1771" s="14">
        <f>IF(IFERROR(_xlfn.XLOOKUP(B1771,Planilha2!D:D,Planilha2!H:H),0)="SIM",1,0)</f>
        <v>0</v>
      </c>
      <c r="L1771" s="14" t="str">
        <f>_xlfn.XLOOKUP(B1771,CAD_PDV!A:A,CAD_PDV!C:C)</f>
        <v>RJ/ES</v>
      </c>
      <c r="M1771" s="14" t="str">
        <f>IFERROR(_xlfn.XLOOKUP(B1771,repete!A:A,repete!A:A),"-")</f>
        <v>-</v>
      </c>
    </row>
    <row r="1772" spans="1:13" hidden="1">
      <c r="A1772" s="1">
        <v>46174</v>
      </c>
      <c r="B1772" t="s">
        <v>831</v>
      </c>
      <c r="C1772" t="s">
        <v>820</v>
      </c>
      <c r="D1772" t="s">
        <v>239</v>
      </c>
      <c r="E1772" t="s">
        <v>59</v>
      </c>
      <c r="F1772">
        <v>66</v>
      </c>
      <c r="G1772">
        <v>11</v>
      </c>
      <c r="H1772">
        <v>3.6581310276022601E-3</v>
      </c>
      <c r="I1772">
        <v>0.16666666666666699</v>
      </c>
      <c r="J1772" s="14" t="str">
        <f>_xlfn.XLOOKUP(B1772,CAD_PDV!A:A,CAD_PDV!B:B)</f>
        <v>TELECELL TELEFONIA LTDA - ME</v>
      </c>
      <c r="K1772" s="14">
        <f>IF(IFERROR(_xlfn.XLOOKUP(B1772,Planilha2!D:D,Planilha2!H:H),0)="SIM",1,0)</f>
        <v>0</v>
      </c>
      <c r="L1772" s="14" t="str">
        <f>_xlfn.XLOOKUP(B1772,CAD_PDV!A:A,CAD_PDV!C:C)</f>
        <v>CO</v>
      </c>
      <c r="M1772" s="14" t="str">
        <f>IFERROR(_xlfn.XLOOKUP(B1772,repete!A:A,repete!A:A),"-")</f>
        <v>-</v>
      </c>
    </row>
    <row r="1773" spans="1:13" hidden="1">
      <c r="A1773" s="1">
        <v>46174</v>
      </c>
      <c r="B1773" t="s">
        <v>371</v>
      </c>
      <c r="C1773" t="s">
        <v>291</v>
      </c>
      <c r="D1773" t="s">
        <v>230</v>
      </c>
      <c r="E1773" t="s">
        <v>61</v>
      </c>
      <c r="F1773">
        <v>99</v>
      </c>
      <c r="G1773">
        <v>11</v>
      </c>
      <c r="H1773">
        <v>3.6581310276022601E-3</v>
      </c>
      <c r="I1773">
        <v>0.11111111111111099</v>
      </c>
      <c r="J1773" s="14" t="str">
        <f>_xlfn.XLOOKUP(B1773,CAD_PDV!A:A,CAD_PDV!B:B)</f>
        <v>HARCOS COMERCIO E SERVICOS LTDA - EPP</v>
      </c>
      <c r="K1773" s="14">
        <f>IF(IFERROR(_xlfn.XLOOKUP(B1773,Planilha2!D:D,Planilha2!H:H),0)="SIM",1,0)</f>
        <v>0</v>
      </c>
      <c r="L1773" s="14" t="str">
        <f>_xlfn.XLOOKUP(B1773,CAD_PDV!A:A,CAD_PDV!C:C)</f>
        <v>NE</v>
      </c>
      <c r="M1773" s="14" t="str">
        <f>IFERROR(_xlfn.XLOOKUP(B1773,repete!A:A,repete!A:A),"-")</f>
        <v>-</v>
      </c>
    </row>
    <row r="1774" spans="1:13" hidden="1">
      <c r="A1774" s="1">
        <v>46174</v>
      </c>
      <c r="B1774" t="s">
        <v>1697</v>
      </c>
      <c r="C1774" t="s">
        <v>1698</v>
      </c>
      <c r="D1774" t="s">
        <v>232</v>
      </c>
      <c r="E1774" t="s">
        <v>54</v>
      </c>
      <c r="F1774">
        <v>60</v>
      </c>
      <c r="G1774">
        <v>11</v>
      </c>
      <c r="H1774">
        <v>3.6581310276022601E-3</v>
      </c>
      <c r="I1774">
        <v>0.18333333333333299</v>
      </c>
      <c r="J1774" s="14" t="str">
        <f>_xlfn.XLOOKUP(B1774,CAD_PDV!A:A,CAD_PDV!B:B)</f>
        <v>HS TELECOM</v>
      </c>
      <c r="K1774" s="14">
        <f>IF(IFERROR(_xlfn.XLOOKUP(B1774,Planilha2!D:D,Planilha2!H:H),0)="SIM",1,0)</f>
        <v>0</v>
      </c>
      <c r="L1774" s="14" t="str">
        <f>_xlfn.XLOOKUP(B1774,CAD_PDV!A:A,CAD_PDV!C:C)</f>
        <v>SP2</v>
      </c>
      <c r="M1774" s="14" t="str">
        <f>IFERROR(_xlfn.XLOOKUP(B1774,repete!A:A,repete!A:A),"-")</f>
        <v>-</v>
      </c>
    </row>
    <row r="1775" spans="1:13" hidden="1">
      <c r="A1775" s="1">
        <v>46174</v>
      </c>
      <c r="B1775" t="s">
        <v>1735</v>
      </c>
      <c r="C1775" t="s">
        <v>1464</v>
      </c>
      <c r="D1775" t="s">
        <v>132</v>
      </c>
      <c r="E1775" t="s">
        <v>54</v>
      </c>
      <c r="F1775">
        <v>23</v>
      </c>
      <c r="G1775">
        <v>11</v>
      </c>
      <c r="H1775">
        <v>3.6581310276022601E-3</v>
      </c>
      <c r="I1775">
        <v>0.47826086956521702</v>
      </c>
      <c r="J1775" s="14" t="str">
        <f>_xlfn.XLOOKUP(B1775,CAD_PDV!A:A,CAD_PDV!B:B)</f>
        <v>FLEX CELL</v>
      </c>
      <c r="K1775" s="14">
        <f>IF(IFERROR(_xlfn.XLOOKUP(B1775,Planilha2!D:D,Planilha2!H:H),0)="SIM",1,0)</f>
        <v>0</v>
      </c>
      <c r="L1775" s="14" t="str">
        <f>_xlfn.XLOOKUP(B1775,CAD_PDV!A:A,CAD_PDV!C:C)</f>
        <v>SP2</v>
      </c>
      <c r="M1775" s="14" t="str">
        <f>IFERROR(_xlfn.XLOOKUP(B1775,repete!A:A,repete!A:A),"-")</f>
        <v>-</v>
      </c>
    </row>
    <row r="1776" spans="1:13" hidden="1">
      <c r="A1776" s="1">
        <v>46174</v>
      </c>
      <c r="B1776" t="s">
        <v>1963</v>
      </c>
      <c r="C1776" t="s">
        <v>1961</v>
      </c>
      <c r="D1776" t="s">
        <v>106</v>
      </c>
      <c r="E1776" t="s">
        <v>2074</v>
      </c>
      <c r="F1776">
        <v>25</v>
      </c>
      <c r="G1776">
        <v>10</v>
      </c>
      <c r="H1776">
        <v>3.3255736614566001E-3</v>
      </c>
      <c r="I1776">
        <v>0.4</v>
      </c>
      <c r="J1776" s="14" t="str">
        <f>_xlfn.XLOOKUP(B1776,CAD_PDV!A:A,CAD_PDV!B:B)</f>
        <v>CELLULAR.COM</v>
      </c>
      <c r="K1776" s="14">
        <f>IF(IFERROR(_xlfn.XLOOKUP(B1776,Planilha2!D:D,Planilha2!H:H),0)="SIM",1,0)</f>
        <v>0</v>
      </c>
      <c r="L1776" s="14" t="str">
        <f>_xlfn.XLOOKUP(B1776,CAD_PDV!A:A,CAD_PDV!C:C)</f>
        <v>PR/SC</v>
      </c>
      <c r="M1776" s="14" t="str">
        <f>IFERROR(_xlfn.XLOOKUP(B1776,repete!A:A,repete!A:A),"-")</f>
        <v>-</v>
      </c>
    </row>
    <row r="1777" spans="1:13" hidden="1">
      <c r="A1777" s="1">
        <v>46174</v>
      </c>
      <c r="B1777" t="s">
        <v>280</v>
      </c>
      <c r="C1777" t="s">
        <v>265</v>
      </c>
      <c r="D1777" t="s">
        <v>230</v>
      </c>
      <c r="E1777" t="s">
        <v>61</v>
      </c>
      <c r="F1777">
        <v>150</v>
      </c>
      <c r="G1777">
        <v>10</v>
      </c>
      <c r="H1777">
        <v>3.3255736614566001E-3</v>
      </c>
      <c r="I1777">
        <v>6.6666666666666693E-2</v>
      </c>
      <c r="J1777" s="14" t="str">
        <f>_xlfn.XLOOKUP(B1777,CAD_PDV!A:A,CAD_PDV!B:B)</f>
        <v>HARCOS COMERCIO E SERVICOS LTDA - EPP</v>
      </c>
      <c r="K1777" s="14">
        <f>IF(IFERROR(_xlfn.XLOOKUP(B1777,Planilha2!D:D,Planilha2!H:H),0)="SIM",1,0)</f>
        <v>0</v>
      </c>
      <c r="L1777" s="14" t="str">
        <f>_xlfn.XLOOKUP(B1777,CAD_PDV!A:A,CAD_PDV!C:C)</f>
        <v>NE</v>
      </c>
      <c r="M1777" s="14" t="str">
        <f>IFERROR(_xlfn.XLOOKUP(B1777,repete!A:A,repete!A:A),"-")</f>
        <v>-</v>
      </c>
    </row>
    <row r="1778" spans="1:13" hidden="1">
      <c r="A1778" s="1">
        <v>46174</v>
      </c>
      <c r="B1778" t="s">
        <v>1289</v>
      </c>
      <c r="C1778" t="s">
        <v>1290</v>
      </c>
      <c r="D1778" t="s">
        <v>232</v>
      </c>
      <c r="E1778" t="s">
        <v>55</v>
      </c>
      <c r="F1778">
        <v>61</v>
      </c>
      <c r="G1778">
        <v>10</v>
      </c>
      <c r="H1778">
        <v>3.3255736614566001E-3</v>
      </c>
      <c r="I1778">
        <v>0.16393442622950799</v>
      </c>
      <c r="J1778" s="14" t="str">
        <f>_xlfn.XLOOKUP(B1778,CAD_PDV!A:A,CAD_PDV!B:B)</f>
        <v>HS TELECOM</v>
      </c>
      <c r="K1778" s="14">
        <f>IF(IFERROR(_xlfn.XLOOKUP(B1778,Planilha2!D:D,Planilha2!H:H),0)="SIM",1,0)</f>
        <v>0</v>
      </c>
      <c r="L1778" s="14" t="str">
        <f>_xlfn.XLOOKUP(B1778,CAD_PDV!A:A,CAD_PDV!C:C)</f>
        <v>RJ/ES</v>
      </c>
      <c r="M1778" s="14" t="str">
        <f>IFERROR(_xlfn.XLOOKUP(B1778,repete!A:A,repete!A:A),"-")</f>
        <v>-</v>
      </c>
    </row>
    <row r="1779" spans="1:13" hidden="1">
      <c r="A1779" s="1">
        <v>46174</v>
      </c>
      <c r="B1779" t="s">
        <v>1646</v>
      </c>
      <c r="C1779" t="s">
        <v>1535</v>
      </c>
      <c r="D1779" t="s">
        <v>232</v>
      </c>
      <c r="E1779" t="s">
        <v>54</v>
      </c>
      <c r="F1779">
        <v>57</v>
      </c>
      <c r="G1779">
        <v>10</v>
      </c>
      <c r="H1779">
        <v>3.3255736614566001E-3</v>
      </c>
      <c r="I1779">
        <v>0.175438596491228</v>
      </c>
      <c r="J1779" s="14" t="str">
        <f>_xlfn.XLOOKUP(B1779,CAD_PDV!A:A,CAD_PDV!B:B)</f>
        <v>HS TELECOM</v>
      </c>
      <c r="K1779" s="14">
        <f>IF(IFERROR(_xlfn.XLOOKUP(B1779,Planilha2!D:D,Planilha2!H:H),0)="SIM",1,0)</f>
        <v>0</v>
      </c>
      <c r="L1779" s="14" t="str">
        <f>_xlfn.XLOOKUP(B1779,CAD_PDV!A:A,CAD_PDV!C:C)</f>
        <v>SP2</v>
      </c>
      <c r="M1779" s="14" t="str">
        <f>IFERROR(_xlfn.XLOOKUP(B1779,repete!A:A,repete!A:A),"-")</f>
        <v>-</v>
      </c>
    </row>
    <row r="1780" spans="1:13" hidden="1">
      <c r="A1780" s="1">
        <v>46174</v>
      </c>
      <c r="B1780" t="s">
        <v>1681</v>
      </c>
      <c r="C1780" t="s">
        <v>1527</v>
      </c>
      <c r="D1780" t="s">
        <v>232</v>
      </c>
      <c r="E1780" t="s">
        <v>54</v>
      </c>
      <c r="F1780">
        <v>115</v>
      </c>
      <c r="G1780">
        <v>10</v>
      </c>
      <c r="H1780">
        <v>3.3255736614566001E-3</v>
      </c>
      <c r="I1780">
        <v>8.6956521739130405E-2</v>
      </c>
      <c r="J1780" s="14" t="str">
        <f>_xlfn.XLOOKUP(B1780,CAD_PDV!A:A,CAD_PDV!B:B)</f>
        <v>HS TELECOM</v>
      </c>
      <c r="K1780" s="14">
        <f>IF(IFERROR(_xlfn.XLOOKUP(B1780,Planilha2!D:D,Planilha2!H:H),0)="SIM",1,0)</f>
        <v>0</v>
      </c>
      <c r="L1780" s="14" t="str">
        <f>_xlfn.XLOOKUP(B1780,CAD_PDV!A:A,CAD_PDV!C:C)</f>
        <v>SP2</v>
      </c>
      <c r="M1780" s="14" t="str">
        <f>IFERROR(_xlfn.XLOOKUP(B1780,repete!A:A,repete!A:A),"-")</f>
        <v>-</v>
      </c>
    </row>
    <row r="1781" spans="1:13" hidden="1">
      <c r="A1781" s="1">
        <v>46174</v>
      </c>
      <c r="B1781" t="s">
        <v>293</v>
      </c>
      <c r="C1781" t="s">
        <v>265</v>
      </c>
      <c r="D1781" t="s">
        <v>230</v>
      </c>
      <c r="E1781" t="s">
        <v>61</v>
      </c>
      <c r="F1781">
        <v>68</v>
      </c>
      <c r="G1781">
        <v>10</v>
      </c>
      <c r="H1781">
        <v>3.3255736614566001E-3</v>
      </c>
      <c r="I1781">
        <v>0.14705882352941199</v>
      </c>
      <c r="J1781" s="14" t="str">
        <f>_xlfn.XLOOKUP(B1781,CAD_PDV!A:A,CAD_PDV!B:B)</f>
        <v>HARCOS COMERCIO E SERVICOS LTDA - EPP</v>
      </c>
      <c r="K1781" s="14">
        <f>IF(IFERROR(_xlfn.XLOOKUP(B1781,Planilha2!D:D,Planilha2!H:H),0)="SIM",1,0)</f>
        <v>0</v>
      </c>
      <c r="L1781" s="14" t="str">
        <f>_xlfn.XLOOKUP(B1781,CAD_PDV!A:A,CAD_PDV!C:C)</f>
        <v>NE</v>
      </c>
      <c r="M1781" s="14" t="str">
        <f>IFERROR(_xlfn.XLOOKUP(B1781,repete!A:A,repete!A:A),"-")</f>
        <v>-</v>
      </c>
    </row>
    <row r="1782" spans="1:13" hidden="1">
      <c r="A1782" s="1">
        <v>46174</v>
      </c>
      <c r="B1782" t="s">
        <v>1976</v>
      </c>
      <c r="C1782" t="s">
        <v>1978</v>
      </c>
      <c r="D1782" t="s">
        <v>97</v>
      </c>
      <c r="E1782" t="s">
        <v>2074</v>
      </c>
      <c r="F1782">
        <v>24</v>
      </c>
      <c r="G1782">
        <v>9</v>
      </c>
      <c r="H1782">
        <v>2.99301629531094E-3</v>
      </c>
      <c r="I1782">
        <v>0.375</v>
      </c>
      <c r="J1782" s="14" t="str">
        <f>_xlfn.XLOOKUP(B1782,CAD_PDV!A:A,CAD_PDV!B:B)</f>
        <v>BANDEIRA</v>
      </c>
      <c r="K1782" s="14">
        <f>IF(IFERROR(_xlfn.XLOOKUP(B1782,Planilha2!D:D,Planilha2!H:H),0)="SIM",1,0)</f>
        <v>0</v>
      </c>
      <c r="L1782" s="14" t="str">
        <f>_xlfn.XLOOKUP(B1782,CAD_PDV!A:A,CAD_PDV!C:C)</f>
        <v>PR/SC</v>
      </c>
      <c r="M1782" s="14" t="str">
        <f>IFERROR(_xlfn.XLOOKUP(B1782,repete!A:A,repete!A:A),"-")</f>
        <v>-</v>
      </c>
    </row>
    <row r="1783" spans="1:13" hidden="1">
      <c r="A1783" s="1">
        <v>46174</v>
      </c>
      <c r="B1783" t="s">
        <v>642</v>
      </c>
      <c r="C1783" t="s">
        <v>644</v>
      </c>
      <c r="D1783" t="s">
        <v>240</v>
      </c>
      <c r="E1783" t="s">
        <v>59</v>
      </c>
      <c r="F1783">
        <v>43</v>
      </c>
      <c r="G1783">
        <v>9</v>
      </c>
      <c r="H1783">
        <v>2.99301629531094E-3</v>
      </c>
      <c r="I1783">
        <v>0.209302325581395</v>
      </c>
      <c r="J1783" s="14" t="str">
        <f>_xlfn.XLOOKUP(B1783,CAD_PDV!A:A,CAD_PDV!B:B)</f>
        <v>TELEMAIS TELEFONIA LTDA - ME</v>
      </c>
      <c r="K1783" s="14">
        <f>IF(IFERROR(_xlfn.XLOOKUP(B1783,Planilha2!D:D,Planilha2!H:H),0)="SIM",1,0)</f>
        <v>0</v>
      </c>
      <c r="L1783" s="14" t="str">
        <f>_xlfn.XLOOKUP(B1783,CAD_PDV!A:A,CAD_PDV!C:C)</f>
        <v>CO</v>
      </c>
      <c r="M1783" s="14" t="str">
        <f>IFERROR(_xlfn.XLOOKUP(B1783,repete!A:A,repete!A:A),"-")</f>
        <v>-</v>
      </c>
    </row>
    <row r="1784" spans="1:13" hidden="1">
      <c r="A1784" s="1">
        <v>46174</v>
      </c>
      <c r="B1784" t="s">
        <v>993</v>
      </c>
      <c r="C1784" t="s">
        <v>992</v>
      </c>
      <c r="D1784" t="s">
        <v>232</v>
      </c>
      <c r="E1784" t="s">
        <v>60</v>
      </c>
      <c r="F1784">
        <v>23</v>
      </c>
      <c r="G1784">
        <v>9</v>
      </c>
      <c r="H1784">
        <v>2.99301629531094E-3</v>
      </c>
      <c r="I1784">
        <v>0.39130434782608697</v>
      </c>
      <c r="J1784" s="14" t="str">
        <f>_xlfn.XLOOKUP(B1784,CAD_PDV!A:A,CAD_PDV!B:B)</f>
        <v>HS TELECOM</v>
      </c>
      <c r="K1784" s="14">
        <f>IF(IFERROR(_xlfn.XLOOKUP(B1784,Planilha2!D:D,Planilha2!H:H),0)="SIM",1,0)</f>
        <v>0</v>
      </c>
      <c r="L1784" s="14" t="str">
        <f>_xlfn.XLOOKUP(B1784,CAD_PDV!A:A,CAD_PDV!C:C)</f>
        <v>BA/SE</v>
      </c>
      <c r="M1784" s="14" t="str">
        <f>IFERROR(_xlfn.XLOOKUP(B1784,repete!A:A,repete!A:A),"-")</f>
        <v>-</v>
      </c>
    </row>
    <row r="1785" spans="1:13" hidden="1">
      <c r="A1785" s="1">
        <v>46174</v>
      </c>
      <c r="B1785" t="s">
        <v>1534</v>
      </c>
      <c r="C1785" t="s">
        <v>1535</v>
      </c>
      <c r="D1785" t="s">
        <v>106</v>
      </c>
      <c r="E1785" t="s">
        <v>54</v>
      </c>
      <c r="F1785">
        <v>34</v>
      </c>
      <c r="G1785">
        <v>9</v>
      </c>
      <c r="H1785">
        <v>2.99301629531094E-3</v>
      </c>
      <c r="I1785">
        <v>0.26470588235294101</v>
      </c>
      <c r="J1785" s="14" t="str">
        <f>_xlfn.XLOOKUP(B1785,CAD_PDV!A:A,CAD_PDV!B:B)</f>
        <v>CELLULAR.COM</v>
      </c>
      <c r="K1785" s="14">
        <f>IF(IFERROR(_xlfn.XLOOKUP(B1785,Planilha2!D:D,Planilha2!H:H),0)="SIM",1,0)</f>
        <v>0</v>
      </c>
      <c r="L1785" s="14" t="str">
        <f>_xlfn.XLOOKUP(B1785,CAD_PDV!A:A,CAD_PDV!C:C)</f>
        <v>SP2</v>
      </c>
      <c r="M1785" s="14" t="str">
        <f>IFERROR(_xlfn.XLOOKUP(B1785,repete!A:A,repete!A:A),"-")</f>
        <v>-</v>
      </c>
    </row>
    <row r="1786" spans="1:13" hidden="1">
      <c r="A1786" s="1">
        <v>46174</v>
      </c>
      <c r="B1786" t="s">
        <v>529</v>
      </c>
      <c r="C1786" t="s">
        <v>530</v>
      </c>
      <c r="D1786" t="s">
        <v>228</v>
      </c>
      <c r="E1786" t="s">
        <v>56</v>
      </c>
      <c r="F1786">
        <v>34</v>
      </c>
      <c r="G1786">
        <v>9</v>
      </c>
      <c r="H1786">
        <v>2.99301629531094E-3</v>
      </c>
      <c r="I1786">
        <v>0.26470588235294101</v>
      </c>
      <c r="J1786" s="14" t="str">
        <f>_xlfn.XLOOKUP(B1786,CAD_PDV!A:A,CAD_PDV!B:B)</f>
        <v>FAJULUTI</v>
      </c>
      <c r="K1786" s="14">
        <f>IF(IFERROR(_xlfn.XLOOKUP(B1786,Planilha2!D:D,Planilha2!H:H),0)="SIM",1,0)</f>
        <v>0</v>
      </c>
      <c r="L1786" s="14" t="str">
        <f>_xlfn.XLOOKUP(B1786,CAD_PDV!A:A,CAD_PDV!C:C)</f>
        <v>MG</v>
      </c>
      <c r="M1786" s="14" t="str">
        <f>IFERROR(_xlfn.XLOOKUP(B1786,repete!A:A,repete!A:A),"-")</f>
        <v>-</v>
      </c>
    </row>
    <row r="1787" spans="1:13" hidden="1">
      <c r="A1787" s="1">
        <v>46174</v>
      </c>
      <c r="B1787" t="s">
        <v>2021</v>
      </c>
      <c r="C1787" t="s">
        <v>2024</v>
      </c>
      <c r="D1787" t="s">
        <v>193</v>
      </c>
      <c r="E1787" t="s">
        <v>2074</v>
      </c>
      <c r="F1787">
        <v>46</v>
      </c>
      <c r="G1787">
        <v>9</v>
      </c>
      <c r="H1787">
        <v>2.99301629531094E-3</v>
      </c>
      <c r="I1787">
        <v>0.19565217391304299</v>
      </c>
      <c r="J1787" s="14" t="str">
        <f>_xlfn.XLOOKUP(B1787,CAD_PDV!A:A,CAD_PDV!B:B)</f>
        <v>S D COMERCIO DE CELULARES LTDA - ME</v>
      </c>
      <c r="K1787" s="14">
        <f>IF(IFERROR(_xlfn.XLOOKUP(B1787,Planilha2!D:D,Planilha2!H:H),0)="SIM",1,0)</f>
        <v>0</v>
      </c>
      <c r="L1787" s="14" t="str">
        <f>_xlfn.XLOOKUP(B1787,CAD_PDV!A:A,CAD_PDV!C:C)</f>
        <v>RS</v>
      </c>
      <c r="M1787" s="14" t="str">
        <f>IFERROR(_xlfn.XLOOKUP(B1787,repete!A:A,repete!A:A),"-")</f>
        <v>-</v>
      </c>
    </row>
    <row r="1788" spans="1:13" hidden="1">
      <c r="A1788" s="1">
        <v>46174</v>
      </c>
      <c r="B1788" t="s">
        <v>1275</v>
      </c>
      <c r="C1788" t="s">
        <v>1188</v>
      </c>
      <c r="D1788" t="s">
        <v>228</v>
      </c>
      <c r="E1788" t="s">
        <v>55</v>
      </c>
      <c r="F1788">
        <v>33</v>
      </c>
      <c r="G1788">
        <v>9</v>
      </c>
      <c r="H1788">
        <v>2.99301629531094E-3</v>
      </c>
      <c r="I1788">
        <v>0.27272727272727298</v>
      </c>
      <c r="J1788" s="14" t="str">
        <f>_xlfn.XLOOKUP(B1788,CAD_PDV!A:A,CAD_PDV!B:B)</f>
        <v>FAJULUTI</v>
      </c>
      <c r="K1788" s="14">
        <f>IF(IFERROR(_xlfn.XLOOKUP(B1788,Planilha2!D:D,Planilha2!H:H),0)="SIM",1,0)</f>
        <v>0</v>
      </c>
      <c r="L1788" s="14" t="str">
        <f>_xlfn.XLOOKUP(B1788,CAD_PDV!A:A,CAD_PDV!C:C)</f>
        <v>RJ/ES</v>
      </c>
      <c r="M1788" s="14" t="str">
        <f>IFERROR(_xlfn.XLOOKUP(B1788,repete!A:A,repete!A:A),"-")</f>
        <v>-</v>
      </c>
    </row>
    <row r="1789" spans="1:13" hidden="1">
      <c r="A1789" s="1">
        <v>46174</v>
      </c>
      <c r="B1789" t="s">
        <v>1362</v>
      </c>
      <c r="C1789" t="s">
        <v>1313</v>
      </c>
      <c r="D1789" t="s">
        <v>132</v>
      </c>
      <c r="E1789" t="s">
        <v>53</v>
      </c>
      <c r="F1789">
        <v>77</v>
      </c>
      <c r="G1789">
        <v>9</v>
      </c>
      <c r="H1789">
        <v>2.99301629531094E-3</v>
      </c>
      <c r="I1789">
        <v>0.11688311688311701</v>
      </c>
      <c r="J1789" s="14" t="str">
        <f>_xlfn.XLOOKUP(B1789,CAD_PDV!A:A,CAD_PDV!B:B)</f>
        <v>FLEX CELL</v>
      </c>
      <c r="K1789" s="14">
        <f>IF(IFERROR(_xlfn.XLOOKUP(B1789,Planilha2!D:D,Planilha2!H:H),0)="SIM",1,0)</f>
        <v>0</v>
      </c>
      <c r="L1789" s="14" t="str">
        <f>_xlfn.XLOOKUP(B1789,CAD_PDV!A:A,CAD_PDV!C:C)</f>
        <v>SP1</v>
      </c>
      <c r="M1789" s="14" t="str">
        <f>IFERROR(_xlfn.XLOOKUP(B1789,repete!A:A,repete!A:A),"-")</f>
        <v>-</v>
      </c>
    </row>
    <row r="1790" spans="1:13" hidden="1">
      <c r="A1790" s="1">
        <v>46174</v>
      </c>
      <c r="B1790" t="s">
        <v>856</v>
      </c>
      <c r="C1790" t="s">
        <v>855</v>
      </c>
      <c r="D1790" t="s">
        <v>2073</v>
      </c>
      <c r="E1790" t="s">
        <v>59</v>
      </c>
      <c r="F1790">
        <v>40</v>
      </c>
      <c r="G1790">
        <v>9</v>
      </c>
      <c r="H1790">
        <v>2.99301629531094E-3</v>
      </c>
      <c r="I1790">
        <v>0.22500000000000001</v>
      </c>
      <c r="J1790" s="14" t="str">
        <f>_xlfn.XLOOKUP(B1790,CAD_PDV!A:A,CAD_PDV!B:B)</f>
        <v xml:space="preserve">CONTACOM COMERCIO DE APARELHOS ELETRONICOS LTDA </v>
      </c>
      <c r="K1790" s="14">
        <f>IF(IFERROR(_xlfn.XLOOKUP(B1790,Planilha2!D:D,Planilha2!H:H),0)="SIM",1,0)</f>
        <v>0</v>
      </c>
      <c r="L1790" s="14" t="str">
        <f>_xlfn.XLOOKUP(B1790,CAD_PDV!A:A,CAD_PDV!C:C)</f>
        <v>CO</v>
      </c>
      <c r="M1790" s="14" t="str">
        <f>IFERROR(_xlfn.XLOOKUP(B1790,repete!A:A,repete!A:A),"-")</f>
        <v>-</v>
      </c>
    </row>
    <row r="1791" spans="1:13" hidden="1">
      <c r="A1791" s="1">
        <v>46174</v>
      </c>
      <c r="B1791" t="s">
        <v>1691</v>
      </c>
      <c r="C1791" t="s">
        <v>1503</v>
      </c>
      <c r="D1791" t="s">
        <v>232</v>
      </c>
      <c r="E1791" t="s">
        <v>54</v>
      </c>
      <c r="F1791">
        <v>79</v>
      </c>
      <c r="G1791">
        <v>9</v>
      </c>
      <c r="H1791">
        <v>2.99301629531094E-3</v>
      </c>
      <c r="I1791">
        <v>0.113924050632911</v>
      </c>
      <c r="J1791" s="14" t="str">
        <f>_xlfn.XLOOKUP(B1791,CAD_PDV!A:A,CAD_PDV!B:B)</f>
        <v>HS TELECOM</v>
      </c>
      <c r="K1791" s="14">
        <f>IF(IFERROR(_xlfn.XLOOKUP(B1791,Planilha2!D:D,Planilha2!H:H),0)="SIM",1,0)</f>
        <v>0</v>
      </c>
      <c r="L1791" s="14" t="str">
        <f>_xlfn.XLOOKUP(B1791,CAD_PDV!A:A,CAD_PDV!C:C)</f>
        <v>SP2</v>
      </c>
      <c r="M1791" s="14" t="str">
        <f>IFERROR(_xlfn.XLOOKUP(B1791,repete!A:A,repete!A:A),"-")</f>
        <v>-</v>
      </c>
    </row>
    <row r="1792" spans="1:13" hidden="1">
      <c r="A1792" s="1">
        <v>46174</v>
      </c>
      <c r="B1792" t="s">
        <v>375</v>
      </c>
      <c r="C1792" t="s">
        <v>376</v>
      </c>
      <c r="D1792" t="s">
        <v>230</v>
      </c>
      <c r="E1792" t="s">
        <v>61</v>
      </c>
      <c r="F1792">
        <v>44</v>
      </c>
      <c r="G1792">
        <v>9</v>
      </c>
      <c r="H1792">
        <v>2.99301629531094E-3</v>
      </c>
      <c r="I1792">
        <v>0.204545454545455</v>
      </c>
      <c r="J1792" s="14" t="str">
        <f>_xlfn.XLOOKUP(B1792,CAD_PDV!A:A,CAD_PDV!B:B)</f>
        <v>HARCOS COMERCIO E SERVICOS LTDA - EPP</v>
      </c>
      <c r="K1792" s="14">
        <f>IF(IFERROR(_xlfn.XLOOKUP(B1792,Planilha2!D:D,Planilha2!H:H),0)="SIM",1,0)</f>
        <v>0</v>
      </c>
      <c r="L1792" s="14" t="str">
        <f>_xlfn.XLOOKUP(B1792,CAD_PDV!A:A,CAD_PDV!C:C)</f>
        <v>NE</v>
      </c>
      <c r="M1792" s="14" t="str">
        <f>IFERROR(_xlfn.XLOOKUP(B1792,repete!A:A,repete!A:A),"-")</f>
        <v>-</v>
      </c>
    </row>
    <row r="1793" spans="1:13" hidden="1">
      <c r="A1793" s="1">
        <v>46174</v>
      </c>
      <c r="B1793" t="s">
        <v>1749</v>
      </c>
      <c r="C1793" t="s">
        <v>1748</v>
      </c>
      <c r="D1793" t="s">
        <v>190</v>
      </c>
      <c r="E1793" t="s">
        <v>2074</v>
      </c>
      <c r="F1793">
        <v>36</v>
      </c>
      <c r="G1793">
        <v>9</v>
      </c>
      <c r="H1793">
        <v>2.99301629531094E-3</v>
      </c>
      <c r="I1793">
        <v>0.25</v>
      </c>
      <c r="J1793" s="14" t="str">
        <f>_xlfn.XLOOKUP(B1793,CAD_PDV!A:A,CAD_PDV!B:B)</f>
        <v>RDJ TELECOMUNICACOES LTDA</v>
      </c>
      <c r="K1793" s="14">
        <f>IF(IFERROR(_xlfn.XLOOKUP(B1793,Planilha2!D:D,Planilha2!H:H),0)="SIM",1,0)</f>
        <v>0</v>
      </c>
      <c r="L1793" s="14" t="str">
        <f>_xlfn.XLOOKUP(B1793,CAD_PDV!A:A,CAD_PDV!C:C)</f>
        <v>PR/SC</v>
      </c>
      <c r="M1793" s="14" t="str">
        <f>IFERROR(_xlfn.XLOOKUP(B1793,repete!A:A,repete!A:A),"-")</f>
        <v>-</v>
      </c>
    </row>
    <row r="1794" spans="1:13" hidden="1">
      <c r="A1794" s="1">
        <v>46174</v>
      </c>
      <c r="B1794" t="s">
        <v>2052</v>
      </c>
      <c r="C1794" t="s">
        <v>2053</v>
      </c>
      <c r="D1794" t="s">
        <v>193</v>
      </c>
      <c r="E1794" t="s">
        <v>2074</v>
      </c>
      <c r="F1794">
        <v>41</v>
      </c>
      <c r="G1794">
        <v>9</v>
      </c>
      <c r="H1794">
        <v>2.99301629531094E-3</v>
      </c>
      <c r="I1794">
        <v>0.219512195121951</v>
      </c>
      <c r="J1794" s="14" t="str">
        <f>_xlfn.XLOOKUP(B1794,CAD_PDV!A:A,CAD_PDV!B:B)</f>
        <v>S D COMERCIO DE CELULARES LTDA - ME</v>
      </c>
      <c r="K1794" s="14">
        <f>IF(IFERROR(_xlfn.XLOOKUP(B1794,Planilha2!D:D,Planilha2!H:H),0)="SIM",1,0)</f>
        <v>0</v>
      </c>
      <c r="L1794" s="14" t="str">
        <f>_xlfn.XLOOKUP(B1794,CAD_PDV!A:A,CAD_PDV!C:C)</f>
        <v>RS</v>
      </c>
      <c r="M1794" s="14" t="str">
        <f>IFERROR(_xlfn.XLOOKUP(B1794,repete!A:A,repete!A:A),"-")</f>
        <v>-</v>
      </c>
    </row>
    <row r="1795" spans="1:13" hidden="1">
      <c r="A1795" s="1">
        <v>46174</v>
      </c>
      <c r="B1795" t="s">
        <v>577</v>
      </c>
      <c r="C1795" t="s">
        <v>578</v>
      </c>
      <c r="D1795" t="s">
        <v>228</v>
      </c>
      <c r="E1795" t="s">
        <v>56</v>
      </c>
      <c r="F1795">
        <v>28</v>
      </c>
      <c r="G1795">
        <v>9</v>
      </c>
      <c r="H1795">
        <v>2.99301629531094E-3</v>
      </c>
      <c r="I1795">
        <v>0.32142857142857101</v>
      </c>
      <c r="J1795" s="14" t="str">
        <f>_xlfn.XLOOKUP(B1795,CAD_PDV!A:A,CAD_PDV!B:B)</f>
        <v>FAJULUTI</v>
      </c>
      <c r="K1795" s="14">
        <f>IF(IFERROR(_xlfn.XLOOKUP(B1795,Planilha2!D:D,Planilha2!H:H),0)="SIM",1,0)</f>
        <v>0</v>
      </c>
      <c r="L1795" s="14" t="str">
        <f>_xlfn.XLOOKUP(B1795,CAD_PDV!A:A,CAD_PDV!C:C)</f>
        <v>MG</v>
      </c>
      <c r="M1795" s="14" t="str">
        <f>IFERROR(_xlfn.XLOOKUP(B1795,repete!A:A,repete!A:A),"-")</f>
        <v>-</v>
      </c>
    </row>
    <row r="1796" spans="1:13" hidden="1">
      <c r="A1796" s="1">
        <v>46174</v>
      </c>
      <c r="B1796" t="s">
        <v>721</v>
      </c>
      <c r="C1796" t="s">
        <v>723</v>
      </c>
      <c r="D1796" t="s">
        <v>239</v>
      </c>
      <c r="E1796" t="s">
        <v>59</v>
      </c>
      <c r="F1796">
        <v>115</v>
      </c>
      <c r="G1796">
        <v>9</v>
      </c>
      <c r="H1796">
        <v>2.99301629531094E-3</v>
      </c>
      <c r="I1796">
        <v>7.8260869565217397E-2</v>
      </c>
      <c r="J1796" s="14" t="str">
        <f>_xlfn.XLOOKUP(B1796,CAD_PDV!A:A,CAD_PDV!B:B)</f>
        <v>TELECELL TELEFONIA LTDA - ME</v>
      </c>
      <c r="K1796" s="14">
        <f>IF(IFERROR(_xlfn.XLOOKUP(B1796,Planilha2!D:D,Planilha2!H:H),0)="SIM",1,0)</f>
        <v>0</v>
      </c>
      <c r="L1796" s="14" t="str">
        <f>_xlfn.XLOOKUP(B1796,CAD_PDV!A:A,CAD_PDV!C:C)</f>
        <v>CO</v>
      </c>
      <c r="M1796" s="14" t="str">
        <f>IFERROR(_xlfn.XLOOKUP(B1796,repete!A:A,repete!A:A),"-")</f>
        <v>-</v>
      </c>
    </row>
    <row r="1797" spans="1:13" hidden="1">
      <c r="A1797" s="1">
        <v>46174</v>
      </c>
      <c r="B1797" t="s">
        <v>1342</v>
      </c>
      <c r="C1797" t="s">
        <v>1313</v>
      </c>
      <c r="D1797" t="s">
        <v>225</v>
      </c>
      <c r="E1797" t="s">
        <v>53</v>
      </c>
      <c r="F1797">
        <v>109</v>
      </c>
      <c r="G1797">
        <v>9</v>
      </c>
      <c r="H1797">
        <v>2.99301629531094E-3</v>
      </c>
      <c r="I1797">
        <v>8.2568807339449504E-2</v>
      </c>
      <c r="J1797" s="14" t="str">
        <f>_xlfn.XLOOKUP(B1797,CAD_PDV!A:A,CAD_PDV!B:B)</f>
        <v>CLARICELL SP1</v>
      </c>
      <c r="K1797" s="14">
        <f>IF(IFERROR(_xlfn.XLOOKUP(B1797,Planilha2!D:D,Planilha2!H:H),0)="SIM",1,0)</f>
        <v>0</v>
      </c>
      <c r="L1797" s="14" t="str">
        <f>_xlfn.XLOOKUP(B1797,CAD_PDV!A:A,CAD_PDV!C:C)</f>
        <v>SP1</v>
      </c>
      <c r="M1797" s="14" t="str">
        <f>IFERROR(_xlfn.XLOOKUP(B1797,repete!A:A,repete!A:A),"-")</f>
        <v>-</v>
      </c>
    </row>
    <row r="1798" spans="1:13" hidden="1">
      <c r="A1798" s="1">
        <v>46174</v>
      </c>
      <c r="B1798" t="s">
        <v>1465</v>
      </c>
      <c r="C1798" t="s">
        <v>1466</v>
      </c>
      <c r="D1798" t="s">
        <v>119</v>
      </c>
      <c r="E1798" t="s">
        <v>54</v>
      </c>
      <c r="F1798">
        <v>38</v>
      </c>
      <c r="G1798">
        <v>8</v>
      </c>
      <c r="H1798">
        <v>2.66045892916528E-3</v>
      </c>
      <c r="I1798">
        <v>0.21052631578947401</v>
      </c>
      <c r="J1798" s="14" t="str">
        <f>_xlfn.XLOOKUP(B1798,CAD_PDV!A:A,CAD_PDV!B:B)</f>
        <v>DOM BARRETO COMERCIAL LTDA - ME</v>
      </c>
      <c r="K1798" s="14">
        <f>IF(IFERROR(_xlfn.XLOOKUP(B1798,Planilha2!D:D,Planilha2!H:H),0)="SIM",1,0)</f>
        <v>0</v>
      </c>
      <c r="L1798" s="14" t="str">
        <f>_xlfn.XLOOKUP(B1798,CAD_PDV!A:A,CAD_PDV!C:C)</f>
        <v>SP2</v>
      </c>
      <c r="M1798" s="14" t="str">
        <f>IFERROR(_xlfn.XLOOKUP(B1798,repete!A:A,repete!A:A),"-")</f>
        <v>-</v>
      </c>
    </row>
    <row r="1799" spans="1:13" hidden="1">
      <c r="A1799" s="1">
        <v>46174</v>
      </c>
      <c r="B1799" t="s">
        <v>1875</v>
      </c>
      <c r="C1799" t="s">
        <v>1876</v>
      </c>
      <c r="D1799" t="s">
        <v>124</v>
      </c>
      <c r="E1799" t="s">
        <v>2074</v>
      </c>
      <c r="F1799">
        <v>64</v>
      </c>
      <c r="G1799">
        <v>8</v>
      </c>
      <c r="H1799">
        <v>2.66045892916528E-3</v>
      </c>
      <c r="I1799">
        <v>0.125</v>
      </c>
      <c r="J1799" s="14" t="str">
        <f>_xlfn.XLOOKUP(B1799,CAD_PDV!A:A,CAD_PDV!B:B)</f>
        <v>EDUARDO JUNQUEIRA DA SILVEIRA ADMIN</v>
      </c>
      <c r="K1799" s="14">
        <f>IF(IFERROR(_xlfn.XLOOKUP(B1799,Planilha2!D:D,Planilha2!H:H),0)="SIM",1,0)</f>
        <v>0</v>
      </c>
      <c r="L1799" s="14" t="str">
        <f>_xlfn.XLOOKUP(B1799,CAD_PDV!A:A,CAD_PDV!C:C)</f>
        <v>RS</v>
      </c>
      <c r="M1799" s="14" t="str">
        <f>IFERROR(_xlfn.XLOOKUP(B1799,repete!A:A,repete!A:A),"-")</f>
        <v>-</v>
      </c>
    </row>
    <row r="1800" spans="1:13" hidden="1">
      <c r="A1800" s="1">
        <v>46174</v>
      </c>
      <c r="B1800" t="s">
        <v>1932</v>
      </c>
      <c r="C1800" t="s">
        <v>1931</v>
      </c>
      <c r="D1800" t="s">
        <v>106</v>
      </c>
      <c r="E1800" t="s">
        <v>2074</v>
      </c>
      <c r="F1800">
        <v>64</v>
      </c>
      <c r="G1800">
        <v>8</v>
      </c>
      <c r="H1800">
        <v>2.66045892916528E-3</v>
      </c>
      <c r="I1800">
        <v>0.125</v>
      </c>
      <c r="J1800" s="14" t="str">
        <f>_xlfn.XLOOKUP(B1800,CAD_PDV!A:A,CAD_PDV!B:B)</f>
        <v>CELLULAR.COM</v>
      </c>
      <c r="K1800" s="14">
        <f>IF(IFERROR(_xlfn.XLOOKUP(B1800,Planilha2!D:D,Planilha2!H:H),0)="SIM",1,0)</f>
        <v>0</v>
      </c>
      <c r="L1800" s="14" t="str">
        <f>_xlfn.XLOOKUP(B1800,CAD_PDV!A:A,CAD_PDV!C:C)</f>
        <v>PR/SC</v>
      </c>
      <c r="M1800" s="14" t="str">
        <f>IFERROR(_xlfn.XLOOKUP(B1800,repete!A:A,repete!A:A),"-")</f>
        <v>-</v>
      </c>
    </row>
    <row r="1801" spans="1:13" hidden="1">
      <c r="A1801" s="1">
        <v>46174</v>
      </c>
      <c r="B1801" t="s">
        <v>1263</v>
      </c>
      <c r="C1801" t="s">
        <v>1142</v>
      </c>
      <c r="D1801" t="s">
        <v>233</v>
      </c>
      <c r="E1801" t="s">
        <v>55</v>
      </c>
      <c r="F1801">
        <v>30</v>
      </c>
      <c r="G1801">
        <v>8</v>
      </c>
      <c r="H1801">
        <v>2.66045892916528E-3</v>
      </c>
      <c r="I1801">
        <v>0.266666666666667</v>
      </c>
      <c r="J1801" s="14" t="str">
        <f>_xlfn.XLOOKUP(B1801,CAD_PDV!A:A,CAD_PDV!B:B)</f>
        <v>LEINAD COMERCIO E SERVICO EIRELI</v>
      </c>
      <c r="K1801" s="14">
        <f>IF(IFERROR(_xlfn.XLOOKUP(B1801,Planilha2!D:D,Planilha2!H:H),0)="SIM",1,0)</f>
        <v>0</v>
      </c>
      <c r="L1801" s="14" t="str">
        <f>_xlfn.XLOOKUP(B1801,CAD_PDV!A:A,CAD_PDV!C:C)</f>
        <v>RJ/ES</v>
      </c>
      <c r="M1801" s="14" t="str">
        <f>IFERROR(_xlfn.XLOOKUP(B1801,repete!A:A,repete!A:A),"-")</f>
        <v>-</v>
      </c>
    </row>
    <row r="1802" spans="1:13" hidden="1">
      <c r="A1802" s="1">
        <v>46174</v>
      </c>
      <c r="B1802" t="s">
        <v>693</v>
      </c>
      <c r="C1802" t="s">
        <v>694</v>
      </c>
      <c r="D1802" t="s">
        <v>239</v>
      </c>
      <c r="E1802" t="s">
        <v>59</v>
      </c>
      <c r="F1802">
        <v>36</v>
      </c>
      <c r="G1802">
        <v>8</v>
      </c>
      <c r="H1802">
        <v>2.66045892916528E-3</v>
      </c>
      <c r="I1802">
        <v>0.22222222222222199</v>
      </c>
      <c r="J1802" s="14" t="str">
        <f>_xlfn.XLOOKUP(B1802,CAD_PDV!A:A,CAD_PDV!B:B)</f>
        <v>TELECELL TELEFONIA LTDA - ME</v>
      </c>
      <c r="K1802" s="14">
        <f>IF(IFERROR(_xlfn.XLOOKUP(B1802,Planilha2!D:D,Planilha2!H:H),0)="SIM",1,0)</f>
        <v>0</v>
      </c>
      <c r="L1802" s="14" t="str">
        <f>_xlfn.XLOOKUP(B1802,CAD_PDV!A:A,CAD_PDV!C:C)</f>
        <v>CO</v>
      </c>
      <c r="M1802" s="14" t="str">
        <f>IFERROR(_xlfn.XLOOKUP(B1802,repete!A:A,repete!A:A),"-")</f>
        <v>-</v>
      </c>
    </row>
    <row r="1803" spans="1:13" hidden="1">
      <c r="A1803" s="1">
        <v>46174</v>
      </c>
      <c r="B1803" t="s">
        <v>525</v>
      </c>
      <c r="C1803" t="s">
        <v>526</v>
      </c>
      <c r="D1803" t="s">
        <v>228</v>
      </c>
      <c r="E1803" t="s">
        <v>56</v>
      </c>
      <c r="F1803">
        <v>21</v>
      </c>
      <c r="G1803">
        <v>8</v>
      </c>
      <c r="H1803">
        <v>2.66045892916528E-3</v>
      </c>
      <c r="I1803">
        <v>0.38095238095238099</v>
      </c>
      <c r="J1803" s="14" t="str">
        <f>_xlfn.XLOOKUP(B1803,CAD_PDV!A:A,CAD_PDV!B:B)</f>
        <v>FAJULUTI</v>
      </c>
      <c r="K1803" s="14">
        <f>IF(IFERROR(_xlfn.XLOOKUP(B1803,Planilha2!D:D,Planilha2!H:H),0)="SIM",1,0)</f>
        <v>0</v>
      </c>
      <c r="L1803" s="14" t="str">
        <f>_xlfn.XLOOKUP(B1803,CAD_PDV!A:A,CAD_PDV!C:C)</f>
        <v>MG</v>
      </c>
      <c r="M1803" s="14" t="str">
        <f>IFERROR(_xlfn.XLOOKUP(B1803,repete!A:A,repete!A:A),"-")</f>
        <v>-</v>
      </c>
    </row>
    <row r="1804" spans="1:13" hidden="1">
      <c r="A1804" s="1">
        <v>46174</v>
      </c>
      <c r="B1804" t="s">
        <v>1574</v>
      </c>
      <c r="C1804" t="s">
        <v>1575</v>
      </c>
      <c r="D1804" t="s">
        <v>132</v>
      </c>
      <c r="E1804" t="s">
        <v>54</v>
      </c>
      <c r="F1804">
        <v>45</v>
      </c>
      <c r="G1804">
        <v>8</v>
      </c>
      <c r="H1804">
        <v>2.66045892916528E-3</v>
      </c>
      <c r="I1804">
        <v>0.17777777777777801</v>
      </c>
      <c r="J1804" s="14" t="str">
        <f>_xlfn.XLOOKUP(B1804,CAD_PDV!A:A,CAD_PDV!B:B)</f>
        <v>FLEX CELL</v>
      </c>
      <c r="K1804" s="14">
        <f>IF(IFERROR(_xlfn.XLOOKUP(B1804,Planilha2!D:D,Planilha2!H:H),0)="SIM",1,0)</f>
        <v>0</v>
      </c>
      <c r="L1804" s="14" t="str">
        <f>_xlfn.XLOOKUP(B1804,CAD_PDV!A:A,CAD_PDV!C:C)</f>
        <v>SP2</v>
      </c>
      <c r="M1804" s="14" t="str">
        <f>IFERROR(_xlfn.XLOOKUP(B1804,repete!A:A,repete!A:A),"-")</f>
        <v>-</v>
      </c>
    </row>
    <row r="1805" spans="1:13" hidden="1">
      <c r="A1805" s="1">
        <v>46174</v>
      </c>
      <c r="B1805" t="s">
        <v>657</v>
      </c>
      <c r="C1805" t="s">
        <v>651</v>
      </c>
      <c r="D1805" t="s">
        <v>239</v>
      </c>
      <c r="E1805" t="s">
        <v>59</v>
      </c>
      <c r="F1805">
        <v>55</v>
      </c>
      <c r="G1805">
        <v>8</v>
      </c>
      <c r="H1805">
        <v>2.66045892916528E-3</v>
      </c>
      <c r="I1805">
        <v>0.145454545454545</v>
      </c>
      <c r="J1805" s="14" t="str">
        <f>_xlfn.XLOOKUP(B1805,CAD_PDV!A:A,CAD_PDV!B:B)</f>
        <v>TELECELL TELEFONIA LTDA - ME</v>
      </c>
      <c r="K1805" s="14">
        <f>IF(IFERROR(_xlfn.XLOOKUP(B1805,Planilha2!D:D,Planilha2!H:H),0)="SIM",1,0)</f>
        <v>0</v>
      </c>
      <c r="L1805" s="14" t="str">
        <f>_xlfn.XLOOKUP(B1805,CAD_PDV!A:A,CAD_PDV!C:C)</f>
        <v>CO</v>
      </c>
      <c r="M1805" s="14" t="str">
        <f>IFERROR(_xlfn.XLOOKUP(B1805,repete!A:A,repete!A:A),"-")</f>
        <v>-</v>
      </c>
    </row>
    <row r="1806" spans="1:13" hidden="1">
      <c r="A1806" s="1">
        <v>46174</v>
      </c>
      <c r="B1806" t="s">
        <v>758</v>
      </c>
      <c r="C1806" t="s">
        <v>616</v>
      </c>
      <c r="D1806" t="s">
        <v>239</v>
      </c>
      <c r="E1806" t="s">
        <v>59</v>
      </c>
      <c r="F1806">
        <v>85</v>
      </c>
      <c r="G1806">
        <v>8</v>
      </c>
      <c r="H1806">
        <v>2.66045892916528E-3</v>
      </c>
      <c r="I1806">
        <v>9.41176470588235E-2</v>
      </c>
      <c r="J1806" s="14" t="str">
        <f>_xlfn.XLOOKUP(B1806,CAD_PDV!A:A,CAD_PDV!B:B)</f>
        <v>TELECELL TELEFONIA LTDA - ME</v>
      </c>
      <c r="K1806" s="14">
        <f>IF(IFERROR(_xlfn.XLOOKUP(B1806,Planilha2!D:D,Planilha2!H:H),0)="SIM",1,0)</f>
        <v>0</v>
      </c>
      <c r="L1806" s="14" t="str">
        <f>_xlfn.XLOOKUP(B1806,CAD_PDV!A:A,CAD_PDV!C:C)</f>
        <v>CO</v>
      </c>
      <c r="M1806" s="14" t="str">
        <f>IFERROR(_xlfn.XLOOKUP(B1806,repete!A:A,repete!A:A),"-")</f>
        <v>-</v>
      </c>
    </row>
    <row r="1807" spans="1:13" hidden="1">
      <c r="A1807" s="1">
        <v>46174</v>
      </c>
      <c r="B1807" t="s">
        <v>352</v>
      </c>
      <c r="C1807" t="s">
        <v>261</v>
      </c>
      <c r="D1807" t="s">
        <v>238</v>
      </c>
      <c r="E1807" t="s">
        <v>61</v>
      </c>
      <c r="F1807">
        <v>86</v>
      </c>
      <c r="G1807">
        <v>8</v>
      </c>
      <c r="H1807">
        <v>2.66045892916528E-3</v>
      </c>
      <c r="I1807">
        <v>9.3023255813953501E-2</v>
      </c>
      <c r="J1807" s="14" t="str">
        <f>_xlfn.XLOOKUP(B1807,CAD_PDV!A:A,CAD_PDV!B:B)</f>
        <v>R &amp; R HIPER COMERCIO LTDA</v>
      </c>
      <c r="K1807" s="14">
        <f>IF(IFERROR(_xlfn.XLOOKUP(B1807,Planilha2!D:D,Planilha2!H:H),0)="SIM",1,0)</f>
        <v>0</v>
      </c>
      <c r="L1807" s="14" t="str">
        <f>_xlfn.XLOOKUP(B1807,CAD_PDV!A:A,CAD_PDV!C:C)</f>
        <v>NE</v>
      </c>
      <c r="M1807" s="14" t="str">
        <f>IFERROR(_xlfn.XLOOKUP(B1807,repete!A:A,repete!A:A),"-")</f>
        <v>-</v>
      </c>
    </row>
    <row r="1808" spans="1:13" hidden="1">
      <c r="A1808" s="1">
        <v>46174</v>
      </c>
      <c r="B1808" t="s">
        <v>1252</v>
      </c>
      <c r="C1808" t="s">
        <v>1142</v>
      </c>
      <c r="D1808" t="s">
        <v>228</v>
      </c>
      <c r="E1808" t="s">
        <v>55</v>
      </c>
      <c r="F1808">
        <v>54</v>
      </c>
      <c r="G1808">
        <v>8</v>
      </c>
      <c r="H1808">
        <v>2.66045892916528E-3</v>
      </c>
      <c r="I1808">
        <v>0.148148148148148</v>
      </c>
      <c r="J1808" s="14" t="str">
        <f>_xlfn.XLOOKUP(B1808,CAD_PDV!A:A,CAD_PDV!B:B)</f>
        <v>FAJULUTI</v>
      </c>
      <c r="K1808" s="14">
        <f>IF(IFERROR(_xlfn.XLOOKUP(B1808,Planilha2!D:D,Planilha2!H:H),0)="SIM",1,0)</f>
        <v>0</v>
      </c>
      <c r="L1808" s="14" t="str">
        <f>_xlfn.XLOOKUP(B1808,CAD_PDV!A:A,CAD_PDV!C:C)</f>
        <v>RJ/ES</v>
      </c>
      <c r="M1808" s="14" t="str">
        <f>IFERROR(_xlfn.XLOOKUP(B1808,repete!A:A,repete!A:A),"-")</f>
        <v>-</v>
      </c>
    </row>
    <row r="1809" spans="1:13" hidden="1">
      <c r="A1809" s="1">
        <v>46174</v>
      </c>
      <c r="B1809" t="s">
        <v>843</v>
      </c>
      <c r="C1809" t="s">
        <v>677</v>
      </c>
      <c r="D1809" t="s">
        <v>239</v>
      </c>
      <c r="E1809" t="s">
        <v>59</v>
      </c>
      <c r="F1809">
        <v>52</v>
      </c>
      <c r="G1809">
        <v>8</v>
      </c>
      <c r="H1809">
        <v>2.66045892916528E-3</v>
      </c>
      <c r="I1809">
        <v>0.15384615384615399</v>
      </c>
      <c r="J1809" s="14" t="str">
        <f>_xlfn.XLOOKUP(B1809,CAD_PDV!A:A,CAD_PDV!B:B)</f>
        <v>TELECELL TELEFONIA LTDA - ME</v>
      </c>
      <c r="K1809" s="14">
        <f>IF(IFERROR(_xlfn.XLOOKUP(B1809,Planilha2!D:D,Planilha2!H:H),0)="SIM",1,0)</f>
        <v>0</v>
      </c>
      <c r="L1809" s="14" t="str">
        <f>_xlfn.XLOOKUP(B1809,CAD_PDV!A:A,CAD_PDV!C:C)</f>
        <v>CO</v>
      </c>
      <c r="M1809" s="14" t="str">
        <f>IFERROR(_xlfn.XLOOKUP(B1809,repete!A:A,repete!A:A),"-")</f>
        <v>-</v>
      </c>
    </row>
    <row r="1810" spans="1:13" hidden="1">
      <c r="A1810" s="1">
        <v>46174</v>
      </c>
      <c r="B1810" t="s">
        <v>1667</v>
      </c>
      <c r="C1810" t="s">
        <v>1668</v>
      </c>
      <c r="D1810" t="s">
        <v>232</v>
      </c>
      <c r="E1810" t="s">
        <v>54</v>
      </c>
      <c r="F1810">
        <v>74</v>
      </c>
      <c r="G1810">
        <v>8</v>
      </c>
      <c r="H1810">
        <v>2.66045892916528E-3</v>
      </c>
      <c r="I1810">
        <v>0.108108108108108</v>
      </c>
      <c r="J1810" s="14" t="str">
        <f>_xlfn.XLOOKUP(B1810,CAD_PDV!A:A,CAD_PDV!B:B)</f>
        <v>HS TELECOM</v>
      </c>
      <c r="K1810" s="14">
        <f>IF(IFERROR(_xlfn.XLOOKUP(B1810,Planilha2!D:D,Planilha2!H:H),0)="SIM",1,0)</f>
        <v>0</v>
      </c>
      <c r="L1810" s="14" t="str">
        <f>_xlfn.XLOOKUP(B1810,CAD_PDV!A:A,CAD_PDV!C:C)</f>
        <v>SP2</v>
      </c>
      <c r="M1810" s="14" t="str">
        <f>IFERROR(_xlfn.XLOOKUP(B1810,repete!A:A,repete!A:A),"-")</f>
        <v>-</v>
      </c>
    </row>
    <row r="1811" spans="1:13" hidden="1">
      <c r="A1811" s="1">
        <v>46174</v>
      </c>
      <c r="B1811" t="s">
        <v>1673</v>
      </c>
      <c r="C1811" t="s">
        <v>1545</v>
      </c>
      <c r="D1811" t="s">
        <v>232</v>
      </c>
      <c r="E1811" t="s">
        <v>54</v>
      </c>
      <c r="F1811">
        <v>68</v>
      </c>
      <c r="G1811">
        <v>8</v>
      </c>
      <c r="H1811">
        <v>2.66045892916528E-3</v>
      </c>
      <c r="I1811">
        <v>0.11764705882352899</v>
      </c>
      <c r="J1811" s="14" t="str">
        <f>_xlfn.XLOOKUP(B1811,CAD_PDV!A:A,CAD_PDV!B:B)</f>
        <v>HS TELECOM</v>
      </c>
      <c r="K1811" s="14">
        <f>IF(IFERROR(_xlfn.XLOOKUP(B1811,Planilha2!D:D,Planilha2!H:H),0)="SIM",1,0)</f>
        <v>0</v>
      </c>
      <c r="L1811" s="14" t="str">
        <f>_xlfn.XLOOKUP(B1811,CAD_PDV!A:A,CAD_PDV!C:C)</f>
        <v>SP2</v>
      </c>
      <c r="M1811" s="14" t="str">
        <f>IFERROR(_xlfn.XLOOKUP(B1811,repete!A:A,repete!A:A),"-")</f>
        <v>-</v>
      </c>
    </row>
    <row r="1812" spans="1:13" hidden="1">
      <c r="A1812" s="1">
        <v>46174</v>
      </c>
      <c r="B1812" t="s">
        <v>1706</v>
      </c>
      <c r="C1812" t="s">
        <v>1693</v>
      </c>
      <c r="D1812" t="s">
        <v>232</v>
      </c>
      <c r="E1812" t="s">
        <v>54</v>
      </c>
      <c r="F1812">
        <v>34</v>
      </c>
      <c r="G1812">
        <v>8</v>
      </c>
      <c r="H1812">
        <v>2.66045892916528E-3</v>
      </c>
      <c r="I1812">
        <v>0.23529411764705899</v>
      </c>
      <c r="J1812" s="14" t="str">
        <f>_xlfn.XLOOKUP(B1812,CAD_PDV!A:A,CAD_PDV!B:B)</f>
        <v>HS TELECOM</v>
      </c>
      <c r="K1812" s="14">
        <f>IF(IFERROR(_xlfn.XLOOKUP(B1812,Planilha2!D:D,Planilha2!H:H),0)="SIM",1,0)</f>
        <v>0</v>
      </c>
      <c r="L1812" s="14" t="str">
        <f>_xlfn.XLOOKUP(B1812,CAD_PDV!A:A,CAD_PDV!C:C)</f>
        <v>SP2</v>
      </c>
      <c r="M1812" s="14" t="str">
        <f>IFERROR(_xlfn.XLOOKUP(B1812,repete!A:A,repete!A:A),"-")</f>
        <v>-</v>
      </c>
    </row>
    <row r="1813" spans="1:13" hidden="1">
      <c r="A1813" s="1">
        <v>46174</v>
      </c>
      <c r="B1813" t="s">
        <v>1710</v>
      </c>
      <c r="C1813" t="s">
        <v>1568</v>
      </c>
      <c r="D1813" t="s">
        <v>119</v>
      </c>
      <c r="E1813" t="s">
        <v>54</v>
      </c>
      <c r="F1813">
        <v>37</v>
      </c>
      <c r="G1813">
        <v>8</v>
      </c>
      <c r="H1813">
        <v>2.66045892916528E-3</v>
      </c>
      <c r="I1813">
        <v>0.21621621621621601</v>
      </c>
      <c r="J1813" s="14" t="str">
        <f>_xlfn.XLOOKUP(B1813,CAD_PDV!A:A,CAD_PDV!B:B)</f>
        <v>DOM BARRETO COMERCIAL LTDA - ME</v>
      </c>
      <c r="K1813" s="14">
        <f>IF(IFERROR(_xlfn.XLOOKUP(B1813,Planilha2!D:D,Planilha2!H:H),0)="SIM",1,0)</f>
        <v>0</v>
      </c>
      <c r="L1813" s="14" t="str">
        <f>_xlfn.XLOOKUP(B1813,CAD_PDV!A:A,CAD_PDV!C:C)</f>
        <v>SP2</v>
      </c>
      <c r="M1813" s="14" t="str">
        <f>IFERROR(_xlfn.XLOOKUP(B1813,repete!A:A,repete!A:A),"-")</f>
        <v>-</v>
      </c>
    </row>
    <row r="1814" spans="1:13" hidden="1">
      <c r="A1814" s="1">
        <v>46174</v>
      </c>
      <c r="B1814" t="s">
        <v>481</v>
      </c>
      <c r="C1814" t="s">
        <v>483</v>
      </c>
      <c r="D1814" t="s">
        <v>228</v>
      </c>
      <c r="E1814" t="s">
        <v>56</v>
      </c>
      <c r="F1814">
        <v>49</v>
      </c>
      <c r="G1814">
        <v>8</v>
      </c>
      <c r="H1814">
        <v>2.66045892916528E-3</v>
      </c>
      <c r="I1814">
        <v>0.16326530612244899</v>
      </c>
      <c r="J1814" s="14" t="str">
        <f>_xlfn.XLOOKUP(B1814,CAD_PDV!A:A,CAD_PDV!B:B)</f>
        <v>FAJULUTI</v>
      </c>
      <c r="K1814" s="14">
        <f>IF(IFERROR(_xlfn.XLOOKUP(B1814,Planilha2!D:D,Planilha2!H:H),0)="SIM",1,0)</f>
        <v>0</v>
      </c>
      <c r="L1814" s="14" t="str">
        <f>_xlfn.XLOOKUP(B1814,CAD_PDV!A:A,CAD_PDV!C:C)</f>
        <v>MG</v>
      </c>
      <c r="M1814" s="14" t="str">
        <f>IFERROR(_xlfn.XLOOKUP(B1814,repete!A:A,repete!A:A),"-")</f>
        <v>-</v>
      </c>
    </row>
    <row r="1815" spans="1:13" hidden="1">
      <c r="A1815" s="1">
        <v>46174</v>
      </c>
      <c r="B1815" t="s">
        <v>874</v>
      </c>
      <c r="C1815" t="s">
        <v>875</v>
      </c>
      <c r="D1815" t="s">
        <v>239</v>
      </c>
      <c r="E1815" t="s">
        <v>59</v>
      </c>
      <c r="F1815">
        <v>49</v>
      </c>
      <c r="G1815">
        <v>7</v>
      </c>
      <c r="H1815">
        <v>2.3279015630196199E-3</v>
      </c>
      <c r="I1815">
        <v>0.14285714285714299</v>
      </c>
      <c r="J1815" s="14" t="str">
        <f>_xlfn.XLOOKUP(B1815,CAD_PDV!A:A,CAD_PDV!B:B)</f>
        <v>TELECELL TELEFONIA LTDA - ME</v>
      </c>
      <c r="K1815" s="14">
        <f>IF(IFERROR(_xlfn.XLOOKUP(B1815,Planilha2!D:D,Planilha2!H:H),0)="SIM",1,0)</f>
        <v>0</v>
      </c>
      <c r="L1815" s="14" t="str">
        <f>_xlfn.XLOOKUP(B1815,CAD_PDV!A:A,CAD_PDV!C:C)</f>
        <v>CO</v>
      </c>
      <c r="M1815" s="14" t="str">
        <f>IFERROR(_xlfn.XLOOKUP(B1815,repete!A:A,repete!A:A),"-")</f>
        <v>-</v>
      </c>
    </row>
    <row r="1816" spans="1:13" hidden="1">
      <c r="A1816" s="1">
        <v>46174</v>
      </c>
      <c r="B1816" t="s">
        <v>1203</v>
      </c>
      <c r="C1816" t="s">
        <v>1204</v>
      </c>
      <c r="D1816" t="s">
        <v>2072</v>
      </c>
      <c r="E1816" t="s">
        <v>55</v>
      </c>
      <c r="F1816">
        <v>37</v>
      </c>
      <c r="G1816">
        <v>7</v>
      </c>
      <c r="H1816">
        <v>2.3279015630196199E-3</v>
      </c>
      <c r="I1816">
        <v>0.18918918918918901</v>
      </c>
      <c r="J1816" s="14" t="str">
        <f>_xlfn.XLOOKUP(B1816,CAD_PDV!A:A,CAD_PDV!B:B)</f>
        <v>MEXCELL COMERCIO E SERVICOS DE TELECOMUNICACOES LTDA</v>
      </c>
      <c r="K1816" s="14">
        <f>IF(IFERROR(_xlfn.XLOOKUP(B1816,Planilha2!D:D,Planilha2!H:H),0)="SIM",1,0)</f>
        <v>0</v>
      </c>
      <c r="L1816" s="14" t="str">
        <f>_xlfn.XLOOKUP(B1816,CAD_PDV!A:A,CAD_PDV!C:C)</f>
        <v>RJ/ES</v>
      </c>
      <c r="M1816" s="14" t="str">
        <f>IFERROR(_xlfn.XLOOKUP(B1816,repete!A:A,repete!A:A),"-")</f>
        <v>-</v>
      </c>
    </row>
    <row r="1817" spans="1:13" hidden="1">
      <c r="A1817" s="1">
        <v>46174</v>
      </c>
      <c r="B1817" t="s">
        <v>1481</v>
      </c>
      <c r="C1817" t="s">
        <v>1482</v>
      </c>
      <c r="D1817" t="s">
        <v>232</v>
      </c>
      <c r="E1817" t="s">
        <v>54</v>
      </c>
      <c r="F1817">
        <v>26</v>
      </c>
      <c r="G1817">
        <v>7</v>
      </c>
      <c r="H1817">
        <v>2.3279015630196199E-3</v>
      </c>
      <c r="I1817">
        <v>0.269230769230769</v>
      </c>
      <c r="J1817" s="14" t="str">
        <f>_xlfn.XLOOKUP(B1817,CAD_PDV!A:A,CAD_PDV!B:B)</f>
        <v>HS TELECOM</v>
      </c>
      <c r="K1817" s="14">
        <f>IF(IFERROR(_xlfn.XLOOKUP(B1817,Planilha2!D:D,Planilha2!H:H),0)="SIM",1,0)</f>
        <v>0</v>
      </c>
      <c r="L1817" s="14" t="str">
        <f>_xlfn.XLOOKUP(B1817,CAD_PDV!A:A,CAD_PDV!C:C)</f>
        <v>SP2</v>
      </c>
      <c r="M1817" s="14" t="str">
        <f>IFERROR(_xlfn.XLOOKUP(B1817,repete!A:A,repete!A:A),"-")</f>
        <v>-</v>
      </c>
    </row>
    <row r="1818" spans="1:13" hidden="1">
      <c r="A1818" s="1">
        <v>46174</v>
      </c>
      <c r="B1818" t="s">
        <v>1210</v>
      </c>
      <c r="C1818" t="s">
        <v>1211</v>
      </c>
      <c r="D1818" t="s">
        <v>228</v>
      </c>
      <c r="E1818" t="s">
        <v>55</v>
      </c>
      <c r="F1818">
        <v>73</v>
      </c>
      <c r="G1818">
        <v>7</v>
      </c>
      <c r="H1818">
        <v>2.3279015630196199E-3</v>
      </c>
      <c r="I1818">
        <v>9.5890410958904104E-2</v>
      </c>
      <c r="J1818" s="14" t="str">
        <f>_xlfn.XLOOKUP(B1818,CAD_PDV!A:A,CAD_PDV!B:B)</f>
        <v>FAJULUTI</v>
      </c>
      <c r="K1818" s="14">
        <f>IF(IFERROR(_xlfn.XLOOKUP(B1818,Planilha2!D:D,Planilha2!H:H),0)="SIM",1,0)</f>
        <v>0</v>
      </c>
      <c r="L1818" s="14" t="str">
        <f>_xlfn.XLOOKUP(B1818,CAD_PDV!A:A,CAD_PDV!C:C)</f>
        <v>RJ/ES</v>
      </c>
      <c r="M1818" s="14" t="str">
        <f>IFERROR(_xlfn.XLOOKUP(B1818,repete!A:A,repete!A:A),"-")</f>
        <v>-</v>
      </c>
    </row>
    <row r="1819" spans="1:13" hidden="1">
      <c r="A1819" s="1">
        <v>46174</v>
      </c>
      <c r="B1819" t="s">
        <v>1531</v>
      </c>
      <c r="C1819" t="s">
        <v>1441</v>
      </c>
      <c r="D1819" t="s">
        <v>132</v>
      </c>
      <c r="E1819" t="s">
        <v>54</v>
      </c>
      <c r="F1819">
        <v>62</v>
      </c>
      <c r="G1819">
        <v>7</v>
      </c>
      <c r="H1819">
        <v>2.3279015630196199E-3</v>
      </c>
      <c r="I1819">
        <v>0.112903225806452</v>
      </c>
      <c r="J1819" s="14" t="str">
        <f>_xlfn.XLOOKUP(B1819,CAD_PDV!A:A,CAD_PDV!B:B)</f>
        <v>FLEX CELL</v>
      </c>
      <c r="K1819" s="14">
        <f>IF(IFERROR(_xlfn.XLOOKUP(B1819,Planilha2!D:D,Planilha2!H:H),0)="SIM",1,0)</f>
        <v>0</v>
      </c>
      <c r="L1819" s="14" t="str">
        <f>_xlfn.XLOOKUP(B1819,CAD_PDV!A:A,CAD_PDV!C:C)</f>
        <v>SP2</v>
      </c>
      <c r="M1819" s="14" t="str">
        <f>IFERROR(_xlfn.XLOOKUP(B1819,repete!A:A,repete!A:A),"-")</f>
        <v>-</v>
      </c>
    </row>
    <row r="1820" spans="1:13" hidden="1">
      <c r="A1820" s="1">
        <v>46174</v>
      </c>
      <c r="B1820" t="s">
        <v>1358</v>
      </c>
      <c r="C1820" t="s">
        <v>1357</v>
      </c>
      <c r="D1820" t="s">
        <v>132</v>
      </c>
      <c r="E1820" t="s">
        <v>53</v>
      </c>
      <c r="F1820">
        <v>74</v>
      </c>
      <c r="G1820">
        <v>7</v>
      </c>
      <c r="H1820">
        <v>2.3279015630196199E-3</v>
      </c>
      <c r="I1820">
        <v>9.45945945945946E-2</v>
      </c>
      <c r="J1820" s="14" t="str">
        <f>_xlfn.XLOOKUP(B1820,CAD_PDV!A:A,CAD_PDV!B:B)</f>
        <v>FLEX CELL</v>
      </c>
      <c r="K1820" s="14">
        <f>IF(IFERROR(_xlfn.XLOOKUP(B1820,Planilha2!D:D,Planilha2!H:H),0)="SIM",1,0)</f>
        <v>0</v>
      </c>
      <c r="L1820" s="14" t="str">
        <f>_xlfn.XLOOKUP(B1820,CAD_PDV!A:A,CAD_PDV!C:C)</f>
        <v>SP1</v>
      </c>
      <c r="M1820" s="14" t="str">
        <f>IFERROR(_xlfn.XLOOKUP(B1820,repete!A:A,repete!A:A),"-")</f>
        <v>-</v>
      </c>
    </row>
    <row r="1821" spans="1:13" hidden="1">
      <c r="A1821" s="1">
        <v>46174</v>
      </c>
      <c r="B1821" t="s">
        <v>1556</v>
      </c>
      <c r="C1821" t="s">
        <v>1557</v>
      </c>
      <c r="D1821" t="s">
        <v>132</v>
      </c>
      <c r="E1821" t="s">
        <v>54</v>
      </c>
      <c r="F1821">
        <v>48</v>
      </c>
      <c r="G1821">
        <v>7</v>
      </c>
      <c r="H1821">
        <v>2.3279015630196199E-3</v>
      </c>
      <c r="I1821">
        <v>0.14583333333333301</v>
      </c>
      <c r="J1821" s="14" t="str">
        <f>_xlfn.XLOOKUP(B1821,CAD_PDV!A:A,CAD_PDV!B:B)</f>
        <v>FLEX CELL</v>
      </c>
      <c r="K1821" s="14">
        <f>IF(IFERROR(_xlfn.XLOOKUP(B1821,Planilha2!D:D,Planilha2!H:H),0)="SIM",1,0)</f>
        <v>0</v>
      </c>
      <c r="L1821" s="14" t="str">
        <f>_xlfn.XLOOKUP(B1821,CAD_PDV!A:A,CAD_PDV!C:C)</f>
        <v>SP2</v>
      </c>
      <c r="M1821" s="14" t="str">
        <f>IFERROR(_xlfn.XLOOKUP(B1821,repete!A:A,repete!A:A),"-")</f>
        <v>-</v>
      </c>
    </row>
    <row r="1822" spans="1:13" hidden="1">
      <c r="A1822" s="1">
        <v>46174</v>
      </c>
      <c r="B1822" t="s">
        <v>1153</v>
      </c>
      <c r="C1822" t="s">
        <v>1155</v>
      </c>
      <c r="D1822" t="s">
        <v>228</v>
      </c>
      <c r="E1822" t="s">
        <v>55</v>
      </c>
      <c r="F1822">
        <v>57</v>
      </c>
      <c r="G1822">
        <v>7</v>
      </c>
      <c r="H1822">
        <v>2.3279015630196199E-3</v>
      </c>
      <c r="I1822">
        <v>0.12280701754386</v>
      </c>
      <c r="J1822" s="14" t="str">
        <f>_xlfn.XLOOKUP(B1822,CAD_PDV!A:A,CAD_PDV!B:B)</f>
        <v>FAJULUTI</v>
      </c>
      <c r="K1822" s="14">
        <f>IF(IFERROR(_xlfn.XLOOKUP(B1822,Planilha2!D:D,Planilha2!H:H),0)="SIM",1,0)</f>
        <v>0</v>
      </c>
      <c r="L1822" s="14" t="str">
        <f>_xlfn.XLOOKUP(B1822,CAD_PDV!A:A,CAD_PDV!C:C)</f>
        <v>RJ/ES</v>
      </c>
      <c r="M1822" s="14" t="str">
        <f>IFERROR(_xlfn.XLOOKUP(B1822,repete!A:A,repete!A:A),"-")</f>
        <v>-</v>
      </c>
    </row>
    <row r="1823" spans="1:13" hidden="1">
      <c r="A1823" s="1">
        <v>46174</v>
      </c>
      <c r="B1823" t="s">
        <v>900</v>
      </c>
      <c r="C1823" t="s">
        <v>873</v>
      </c>
      <c r="D1823" t="s">
        <v>224</v>
      </c>
      <c r="E1823" t="s">
        <v>59</v>
      </c>
      <c r="F1823">
        <v>27</v>
      </c>
      <c r="G1823">
        <v>7</v>
      </c>
      <c r="H1823">
        <v>2.3279015630196199E-3</v>
      </c>
      <c r="I1823">
        <v>0.25925925925925902</v>
      </c>
      <c r="J1823" s="14" t="str">
        <f>_xlfn.XLOOKUP(B1823,CAD_PDV!A:A,CAD_PDV!B:B)</f>
        <v>CELNET COMERCIO E SERVICOS DE TELEFONIA LTDA ME</v>
      </c>
      <c r="K1823" s="14">
        <f>IF(IFERROR(_xlfn.XLOOKUP(B1823,Planilha2!D:D,Planilha2!H:H),0)="SIM",1,0)</f>
        <v>0</v>
      </c>
      <c r="L1823" s="14" t="str">
        <f>_xlfn.XLOOKUP(B1823,CAD_PDV!A:A,CAD_PDV!C:C)</f>
        <v>CO</v>
      </c>
      <c r="M1823" s="14" t="str">
        <f>IFERROR(_xlfn.XLOOKUP(B1823,repete!A:A,repete!A:A),"-")</f>
        <v>-</v>
      </c>
    </row>
    <row r="1824" spans="1:13" hidden="1">
      <c r="A1824" s="1">
        <v>46174</v>
      </c>
      <c r="B1824" t="s">
        <v>1129</v>
      </c>
      <c r="C1824" t="s">
        <v>1102</v>
      </c>
      <c r="D1824" t="s">
        <v>132</v>
      </c>
      <c r="E1824" t="s">
        <v>62</v>
      </c>
      <c r="F1824">
        <v>87</v>
      </c>
      <c r="G1824">
        <v>7</v>
      </c>
      <c r="H1824">
        <v>2.3279015630196199E-3</v>
      </c>
      <c r="I1824">
        <v>8.04597701149425E-2</v>
      </c>
      <c r="J1824" s="14" t="str">
        <f>_xlfn.XLOOKUP(B1824,CAD_PDV!A:A,CAD_PDV!B:B)</f>
        <v>FLEX CELL</v>
      </c>
      <c r="K1824" s="14">
        <f>IF(IFERROR(_xlfn.XLOOKUP(B1824,Planilha2!D:D,Planilha2!H:H),0)="SIM",1,0)</f>
        <v>0</v>
      </c>
      <c r="L1824" s="14" t="str">
        <f>_xlfn.XLOOKUP(B1824,CAD_PDV!A:A,CAD_PDV!C:C)</f>
        <v>NO</v>
      </c>
      <c r="M1824" s="14" t="str">
        <f>IFERROR(_xlfn.XLOOKUP(B1824,repete!A:A,repete!A:A),"-")</f>
        <v>-</v>
      </c>
    </row>
    <row r="1825" spans="1:13" hidden="1">
      <c r="A1825" s="1">
        <v>46174</v>
      </c>
      <c r="B1825" t="s">
        <v>894</v>
      </c>
      <c r="C1825" t="s">
        <v>873</v>
      </c>
      <c r="D1825" t="s">
        <v>224</v>
      </c>
      <c r="E1825" t="s">
        <v>59</v>
      </c>
      <c r="F1825">
        <v>54</v>
      </c>
      <c r="G1825">
        <v>7</v>
      </c>
      <c r="H1825">
        <v>2.3279015630196199E-3</v>
      </c>
      <c r="I1825">
        <v>0.12962962962963001</v>
      </c>
      <c r="J1825" s="14" t="str">
        <f>_xlfn.XLOOKUP(B1825,CAD_PDV!A:A,CAD_PDV!B:B)</f>
        <v>CELNET COMERCIO E SERVICOS DE TELEFONIA LTDA ME</v>
      </c>
      <c r="K1825" s="14">
        <f>IF(IFERROR(_xlfn.XLOOKUP(B1825,Planilha2!D:D,Planilha2!H:H),0)="SIM",1,0)</f>
        <v>0</v>
      </c>
      <c r="L1825" s="14" t="str">
        <f>_xlfn.XLOOKUP(B1825,CAD_PDV!A:A,CAD_PDV!C:C)</f>
        <v>CO</v>
      </c>
      <c r="M1825" s="14" t="str">
        <f>IFERROR(_xlfn.XLOOKUP(B1825,repete!A:A,repete!A:A),"-")</f>
        <v>-</v>
      </c>
    </row>
    <row r="1826" spans="1:13" hidden="1">
      <c r="A1826" s="1">
        <v>46174</v>
      </c>
      <c r="B1826" t="s">
        <v>1281</v>
      </c>
      <c r="C1826" t="s">
        <v>1185</v>
      </c>
      <c r="D1826" t="s">
        <v>228</v>
      </c>
      <c r="E1826" t="s">
        <v>55</v>
      </c>
      <c r="F1826">
        <v>35</v>
      </c>
      <c r="G1826">
        <v>7</v>
      </c>
      <c r="H1826">
        <v>2.3279015630196199E-3</v>
      </c>
      <c r="I1826">
        <v>0.2</v>
      </c>
      <c r="J1826" s="14" t="str">
        <f>_xlfn.XLOOKUP(B1826,CAD_PDV!A:A,CAD_PDV!B:B)</f>
        <v>FAJULUTI</v>
      </c>
      <c r="K1826" s="14">
        <f>IF(IFERROR(_xlfn.XLOOKUP(B1826,Planilha2!D:D,Planilha2!H:H),0)="SIM",1,0)</f>
        <v>0</v>
      </c>
      <c r="L1826" s="14" t="str">
        <f>_xlfn.XLOOKUP(B1826,CAD_PDV!A:A,CAD_PDV!C:C)</f>
        <v>RJ/ES</v>
      </c>
      <c r="M1826" s="14" t="str">
        <f>IFERROR(_xlfn.XLOOKUP(B1826,repete!A:A,repete!A:A),"-")</f>
        <v>-</v>
      </c>
    </row>
    <row r="1827" spans="1:13" hidden="1">
      <c r="A1827" s="1">
        <v>46174</v>
      </c>
      <c r="B1827" t="s">
        <v>841</v>
      </c>
      <c r="C1827" t="s">
        <v>842</v>
      </c>
      <c r="D1827" t="s">
        <v>239</v>
      </c>
      <c r="E1827" t="s">
        <v>59</v>
      </c>
      <c r="F1827">
        <v>57</v>
      </c>
      <c r="G1827">
        <v>6</v>
      </c>
      <c r="H1827">
        <v>1.9953441968739599E-3</v>
      </c>
      <c r="I1827">
        <v>0.105263157894737</v>
      </c>
      <c r="J1827" s="14" t="str">
        <f>_xlfn.XLOOKUP(B1827,CAD_PDV!A:A,CAD_PDV!B:B)</f>
        <v>TELECELL TELEFONIA LTDA - ME</v>
      </c>
      <c r="K1827" s="14">
        <f>IF(IFERROR(_xlfn.XLOOKUP(B1827,Planilha2!D:D,Planilha2!H:H),0)="SIM",1,0)</f>
        <v>0</v>
      </c>
      <c r="L1827" s="14" t="str">
        <f>_xlfn.XLOOKUP(B1827,CAD_PDV!A:A,CAD_PDV!C:C)</f>
        <v>CO</v>
      </c>
      <c r="M1827" s="14" t="str">
        <f>IFERROR(_xlfn.XLOOKUP(B1827,repete!A:A,repete!A:A),"-")</f>
        <v>1NRI</v>
      </c>
    </row>
    <row r="1828" spans="1:13" hidden="1">
      <c r="A1828" s="1">
        <v>46174</v>
      </c>
      <c r="B1828" t="s">
        <v>975</v>
      </c>
      <c r="C1828" t="s">
        <v>976</v>
      </c>
      <c r="D1828" t="s">
        <v>232</v>
      </c>
      <c r="E1828" t="s">
        <v>60</v>
      </c>
      <c r="F1828">
        <v>57</v>
      </c>
      <c r="G1828">
        <v>6</v>
      </c>
      <c r="H1828">
        <v>1.9953441968739599E-3</v>
      </c>
      <c r="I1828">
        <v>0.105263157894737</v>
      </c>
      <c r="J1828" s="14" t="str">
        <f>_xlfn.XLOOKUP(B1828,CAD_PDV!A:A,CAD_PDV!B:B)</f>
        <v>HS TELECOM</v>
      </c>
      <c r="K1828" s="14">
        <f>IF(IFERROR(_xlfn.XLOOKUP(B1828,Planilha2!D:D,Planilha2!H:H),0)="SIM",1,0)</f>
        <v>0</v>
      </c>
      <c r="L1828" s="14" t="str">
        <f>_xlfn.XLOOKUP(B1828,CAD_PDV!A:A,CAD_PDV!C:C)</f>
        <v>BA/SE</v>
      </c>
      <c r="M1828" s="14" t="str">
        <f>IFERROR(_xlfn.XLOOKUP(B1828,repete!A:A,repete!A:A),"-")</f>
        <v>-</v>
      </c>
    </row>
    <row r="1829" spans="1:13" hidden="1">
      <c r="A1829" s="1">
        <v>46174</v>
      </c>
      <c r="B1829" t="s">
        <v>310</v>
      </c>
      <c r="C1829" t="s">
        <v>311</v>
      </c>
      <c r="D1829" t="s">
        <v>230</v>
      </c>
      <c r="E1829" t="s">
        <v>61</v>
      </c>
      <c r="F1829">
        <v>38</v>
      </c>
      <c r="G1829">
        <v>6</v>
      </c>
      <c r="H1829">
        <v>1.9953441968739599E-3</v>
      </c>
      <c r="I1829">
        <v>0.157894736842105</v>
      </c>
      <c r="J1829" s="14" t="str">
        <f>_xlfn.XLOOKUP(B1829,CAD_PDV!A:A,CAD_PDV!B:B)</f>
        <v>HARCOS COMERCIO E SERVICOS LTDA - EPP</v>
      </c>
      <c r="K1829" s="14">
        <f>IF(IFERROR(_xlfn.XLOOKUP(B1829,Planilha2!D:D,Planilha2!H:H),0)="SIM",1,0)</f>
        <v>0</v>
      </c>
      <c r="L1829" s="14" t="str">
        <f>_xlfn.XLOOKUP(B1829,CAD_PDV!A:A,CAD_PDV!C:C)</f>
        <v>NE</v>
      </c>
      <c r="M1829" s="14" t="str">
        <f>IFERROR(_xlfn.XLOOKUP(B1829,repete!A:A,repete!A:A),"-")</f>
        <v>-</v>
      </c>
    </row>
    <row r="1830" spans="1:13" hidden="1">
      <c r="A1830" s="1">
        <v>46174</v>
      </c>
      <c r="B1830" t="s">
        <v>1479</v>
      </c>
      <c r="C1830" t="s">
        <v>1480</v>
      </c>
      <c r="D1830" t="s">
        <v>232</v>
      </c>
      <c r="E1830" t="s">
        <v>54</v>
      </c>
      <c r="F1830">
        <v>48</v>
      </c>
      <c r="G1830">
        <v>6</v>
      </c>
      <c r="H1830">
        <v>1.9953441968739599E-3</v>
      </c>
      <c r="I1830">
        <v>0.125</v>
      </c>
      <c r="J1830" s="14" t="str">
        <f>_xlfn.XLOOKUP(B1830,CAD_PDV!A:A,CAD_PDV!B:B)</f>
        <v>HS TELECOM</v>
      </c>
      <c r="K1830" s="14">
        <f>IF(IFERROR(_xlfn.XLOOKUP(B1830,Planilha2!D:D,Planilha2!H:H),0)="SIM",1,0)</f>
        <v>0</v>
      </c>
      <c r="L1830" s="14" t="str">
        <f>_xlfn.XLOOKUP(B1830,CAD_PDV!A:A,CAD_PDV!C:C)</f>
        <v>SP2</v>
      </c>
      <c r="M1830" s="14" t="str">
        <f>IFERROR(_xlfn.XLOOKUP(B1830,repete!A:A,repete!A:A),"-")</f>
        <v>-</v>
      </c>
    </row>
    <row r="1831" spans="1:13" hidden="1">
      <c r="A1831" s="1">
        <v>46174</v>
      </c>
      <c r="B1831" t="s">
        <v>1400</v>
      </c>
      <c r="C1831" t="s">
        <v>1313</v>
      </c>
      <c r="D1831" t="s">
        <v>106</v>
      </c>
      <c r="E1831" t="s">
        <v>53</v>
      </c>
      <c r="F1831">
        <v>89</v>
      </c>
      <c r="G1831">
        <v>6</v>
      </c>
      <c r="H1831">
        <v>1.9953441968739599E-3</v>
      </c>
      <c r="I1831">
        <v>6.7415730337078594E-2</v>
      </c>
      <c r="J1831" s="14" t="str">
        <f>_xlfn.XLOOKUP(B1831,CAD_PDV!A:A,CAD_PDV!B:B)</f>
        <v>CELLULAR.COM</v>
      </c>
      <c r="K1831" s="14">
        <f>IF(IFERROR(_xlfn.XLOOKUP(B1831,Planilha2!D:D,Planilha2!H:H),0)="SIM",1,0)</f>
        <v>0</v>
      </c>
      <c r="L1831" s="14" t="str">
        <f>_xlfn.XLOOKUP(B1831,CAD_PDV!A:A,CAD_PDV!C:C)</f>
        <v>SP1</v>
      </c>
      <c r="M1831" s="14" t="str">
        <f>IFERROR(_xlfn.XLOOKUP(B1831,repete!A:A,repete!A:A),"-")</f>
        <v>-</v>
      </c>
    </row>
    <row r="1832" spans="1:13" hidden="1">
      <c r="A1832" s="1">
        <v>46174</v>
      </c>
      <c r="B1832" t="s">
        <v>879</v>
      </c>
      <c r="C1832" t="s">
        <v>873</v>
      </c>
      <c r="D1832" t="s">
        <v>239</v>
      </c>
      <c r="E1832" t="s">
        <v>59</v>
      </c>
      <c r="F1832">
        <v>62</v>
      </c>
      <c r="G1832">
        <v>6</v>
      </c>
      <c r="H1832">
        <v>1.9953441968739599E-3</v>
      </c>
      <c r="I1832">
        <v>9.6774193548387094E-2</v>
      </c>
      <c r="J1832" s="14" t="str">
        <f>_xlfn.XLOOKUP(B1832,CAD_PDV!A:A,CAD_PDV!B:B)</f>
        <v>TELECELL TELEFONIA LTDA - ME</v>
      </c>
      <c r="K1832" s="14">
        <f>IF(IFERROR(_xlfn.XLOOKUP(B1832,Planilha2!D:D,Planilha2!H:H),0)="SIM",1,0)</f>
        <v>0</v>
      </c>
      <c r="L1832" s="14" t="str">
        <f>_xlfn.XLOOKUP(B1832,CAD_PDV!A:A,CAD_PDV!C:C)</f>
        <v>CO</v>
      </c>
      <c r="M1832" s="14" t="str">
        <f>IFERROR(_xlfn.XLOOKUP(B1832,repete!A:A,repete!A:A),"-")</f>
        <v>-</v>
      </c>
    </row>
    <row r="1833" spans="1:13" hidden="1">
      <c r="A1833" s="1">
        <v>46174</v>
      </c>
      <c r="B1833" t="s">
        <v>1538</v>
      </c>
      <c r="C1833" t="s">
        <v>1489</v>
      </c>
      <c r="D1833" t="s">
        <v>232</v>
      </c>
      <c r="E1833" t="s">
        <v>54</v>
      </c>
      <c r="F1833">
        <v>68</v>
      </c>
      <c r="G1833">
        <v>6</v>
      </c>
      <c r="H1833">
        <v>1.9953441968739599E-3</v>
      </c>
      <c r="I1833">
        <v>8.8235294117647106E-2</v>
      </c>
      <c r="J1833" s="14" t="str">
        <f>_xlfn.XLOOKUP(B1833,CAD_PDV!A:A,CAD_PDV!B:B)</f>
        <v>HS TELECOM</v>
      </c>
      <c r="K1833" s="14">
        <f>IF(IFERROR(_xlfn.XLOOKUP(B1833,Planilha2!D:D,Planilha2!H:H),0)="SIM",1,0)</f>
        <v>0</v>
      </c>
      <c r="L1833" s="14" t="str">
        <f>_xlfn.XLOOKUP(B1833,CAD_PDV!A:A,CAD_PDV!C:C)</f>
        <v>SP2</v>
      </c>
      <c r="M1833" s="14" t="str">
        <f>IFERROR(_xlfn.XLOOKUP(B1833,repete!A:A,repete!A:A),"-")</f>
        <v>-</v>
      </c>
    </row>
    <row r="1834" spans="1:13" hidden="1">
      <c r="A1834" s="1">
        <v>46174</v>
      </c>
      <c r="B1834" t="s">
        <v>1222</v>
      </c>
      <c r="C1834" t="s">
        <v>1223</v>
      </c>
      <c r="D1834" t="s">
        <v>228</v>
      </c>
      <c r="E1834" t="s">
        <v>55</v>
      </c>
      <c r="F1834">
        <v>72</v>
      </c>
      <c r="G1834">
        <v>6</v>
      </c>
      <c r="H1834">
        <v>1.9953441968739599E-3</v>
      </c>
      <c r="I1834">
        <v>8.3333333333333301E-2</v>
      </c>
      <c r="J1834" s="14" t="str">
        <f>_xlfn.XLOOKUP(B1834,CAD_PDV!A:A,CAD_PDV!B:B)</f>
        <v>FAJULUTI</v>
      </c>
      <c r="K1834" s="14">
        <f>IF(IFERROR(_xlfn.XLOOKUP(B1834,Planilha2!D:D,Planilha2!H:H),0)="SIM",1,0)</f>
        <v>0</v>
      </c>
      <c r="L1834" s="14" t="str">
        <f>_xlfn.XLOOKUP(B1834,CAD_PDV!A:A,CAD_PDV!C:C)</f>
        <v>RJ/ES</v>
      </c>
      <c r="M1834" s="14" t="str">
        <f>IFERROR(_xlfn.XLOOKUP(B1834,repete!A:A,repete!A:A),"-")</f>
        <v>-</v>
      </c>
    </row>
    <row r="1835" spans="1:13" hidden="1">
      <c r="A1835" s="1">
        <v>46174</v>
      </c>
      <c r="B1835" t="s">
        <v>1276</v>
      </c>
      <c r="C1835" t="s">
        <v>1185</v>
      </c>
      <c r="D1835" t="s">
        <v>228</v>
      </c>
      <c r="E1835" t="s">
        <v>55</v>
      </c>
      <c r="F1835">
        <v>32</v>
      </c>
      <c r="G1835">
        <v>6</v>
      </c>
      <c r="H1835">
        <v>1.9953441968739599E-3</v>
      </c>
      <c r="I1835">
        <v>0.1875</v>
      </c>
      <c r="J1835" s="14" t="str">
        <f>_xlfn.XLOOKUP(B1835,CAD_PDV!A:A,CAD_PDV!B:B)</f>
        <v>FAJULUTI</v>
      </c>
      <c r="K1835" s="14">
        <f>IF(IFERROR(_xlfn.XLOOKUP(B1835,Planilha2!D:D,Planilha2!H:H),0)="SIM",1,0)</f>
        <v>0</v>
      </c>
      <c r="L1835" s="14" t="str">
        <f>_xlfn.XLOOKUP(B1835,CAD_PDV!A:A,CAD_PDV!C:C)</f>
        <v>RJ/ES</v>
      </c>
      <c r="M1835" s="14" t="str">
        <f>IFERROR(_xlfn.XLOOKUP(B1835,repete!A:A,repete!A:A),"-")</f>
        <v>-</v>
      </c>
    </row>
    <row r="1836" spans="1:13" hidden="1">
      <c r="A1836" s="1">
        <v>46174</v>
      </c>
      <c r="B1836" t="s">
        <v>1234</v>
      </c>
      <c r="C1836" t="s">
        <v>1142</v>
      </c>
      <c r="D1836" t="s">
        <v>237</v>
      </c>
      <c r="E1836" t="s">
        <v>55</v>
      </c>
      <c r="F1836">
        <v>120</v>
      </c>
      <c r="G1836">
        <v>6</v>
      </c>
      <c r="H1836">
        <v>1.9953441968739599E-3</v>
      </c>
      <c r="I1836">
        <v>0.05</v>
      </c>
      <c r="J1836" s="14" t="str">
        <f>_xlfn.XLOOKUP(B1836,CAD_PDV!A:A,CAD_PDV!B:B)</f>
        <v>PONTO CERTO COMERCIO E COMUNICAÇÕES LTDA</v>
      </c>
      <c r="K1836" s="14">
        <f>IF(IFERROR(_xlfn.XLOOKUP(B1836,Planilha2!D:D,Planilha2!H:H),0)="SIM",1,0)</f>
        <v>0</v>
      </c>
      <c r="L1836" s="14" t="str">
        <f>_xlfn.XLOOKUP(B1836,CAD_PDV!A:A,CAD_PDV!C:C)</f>
        <v>RJ/ES</v>
      </c>
      <c r="M1836" s="14" t="str">
        <f>IFERROR(_xlfn.XLOOKUP(B1836,repete!A:A,repete!A:A),"-")</f>
        <v>-</v>
      </c>
    </row>
    <row r="1837" spans="1:13" hidden="1">
      <c r="A1837" s="1">
        <v>46174</v>
      </c>
      <c r="B1837" t="s">
        <v>447</v>
      </c>
      <c r="C1837" t="s">
        <v>449</v>
      </c>
      <c r="D1837" t="s">
        <v>228</v>
      </c>
      <c r="E1837" t="s">
        <v>56</v>
      </c>
      <c r="F1837">
        <v>38</v>
      </c>
      <c r="G1837">
        <v>6</v>
      </c>
      <c r="H1837">
        <v>1.9953441968739599E-3</v>
      </c>
      <c r="I1837">
        <v>0.157894736842105</v>
      </c>
      <c r="J1837" s="14" t="str">
        <f>_xlfn.XLOOKUP(B1837,CAD_PDV!A:A,CAD_PDV!B:B)</f>
        <v>FAJULUTI</v>
      </c>
      <c r="K1837" s="14">
        <f>IF(IFERROR(_xlfn.XLOOKUP(B1837,Planilha2!D:D,Planilha2!H:H),0)="SIM",1,0)</f>
        <v>0</v>
      </c>
      <c r="L1837" s="14" t="str">
        <f>_xlfn.XLOOKUP(B1837,CAD_PDV!A:A,CAD_PDV!C:C)</f>
        <v>MG</v>
      </c>
      <c r="M1837" s="14" t="str">
        <f>IFERROR(_xlfn.XLOOKUP(B1837,repete!A:A,repete!A:A),"-")</f>
        <v>-</v>
      </c>
    </row>
    <row r="1838" spans="1:13" hidden="1">
      <c r="A1838" s="1">
        <v>46174</v>
      </c>
      <c r="B1838" t="s">
        <v>1849</v>
      </c>
      <c r="C1838" t="s">
        <v>1847</v>
      </c>
      <c r="D1838" t="s">
        <v>106</v>
      </c>
      <c r="E1838" t="s">
        <v>2074</v>
      </c>
      <c r="F1838">
        <v>36</v>
      </c>
      <c r="G1838">
        <v>6</v>
      </c>
      <c r="H1838">
        <v>1.9953441968739599E-3</v>
      </c>
      <c r="I1838">
        <v>0.16666666666666699</v>
      </c>
      <c r="J1838" s="14" t="str">
        <f>_xlfn.XLOOKUP(B1838,CAD_PDV!A:A,CAD_PDV!B:B)</f>
        <v>CELLULAR.COM</v>
      </c>
      <c r="K1838" s="14">
        <f>IF(IFERROR(_xlfn.XLOOKUP(B1838,Planilha2!D:D,Planilha2!H:H),0)="SIM",1,0)</f>
        <v>0</v>
      </c>
      <c r="L1838" s="14" t="str">
        <f>_xlfn.XLOOKUP(B1838,CAD_PDV!A:A,CAD_PDV!C:C)</f>
        <v>PR/SC</v>
      </c>
      <c r="M1838" s="14" t="str">
        <f>IFERROR(_xlfn.XLOOKUP(B1838,repete!A:A,repete!A:A),"-")</f>
        <v>-</v>
      </c>
    </row>
    <row r="1839" spans="1:13" hidden="1">
      <c r="A1839" s="1">
        <v>46174</v>
      </c>
      <c r="B1839" t="s">
        <v>568</v>
      </c>
      <c r="C1839" t="s">
        <v>441</v>
      </c>
      <c r="D1839" t="s">
        <v>228</v>
      </c>
      <c r="E1839" t="s">
        <v>56</v>
      </c>
      <c r="F1839">
        <v>43</v>
      </c>
      <c r="G1839">
        <v>6</v>
      </c>
      <c r="H1839">
        <v>1.9953441968739599E-3</v>
      </c>
      <c r="I1839">
        <v>0.13953488372093001</v>
      </c>
      <c r="J1839" s="14" t="str">
        <f>_xlfn.XLOOKUP(B1839,CAD_PDV!A:A,CAD_PDV!B:B)</f>
        <v>FAJULUTI</v>
      </c>
      <c r="K1839" s="14">
        <f>IF(IFERROR(_xlfn.XLOOKUP(B1839,Planilha2!D:D,Planilha2!H:H),0)="SIM",1,0)</f>
        <v>0</v>
      </c>
      <c r="L1839" s="14" t="str">
        <f>_xlfn.XLOOKUP(B1839,CAD_PDV!A:A,CAD_PDV!C:C)</f>
        <v>MG</v>
      </c>
      <c r="M1839" s="14" t="str">
        <f>IFERROR(_xlfn.XLOOKUP(B1839,repete!A:A,repete!A:A),"-")</f>
        <v>-</v>
      </c>
    </row>
    <row r="1840" spans="1:13" hidden="1">
      <c r="A1840" s="1">
        <v>46174</v>
      </c>
      <c r="B1840" t="s">
        <v>1687</v>
      </c>
      <c r="C1840" t="s">
        <v>1688</v>
      </c>
      <c r="D1840" t="s">
        <v>232</v>
      </c>
      <c r="E1840" t="s">
        <v>54</v>
      </c>
      <c r="F1840">
        <v>65</v>
      </c>
      <c r="G1840">
        <v>6</v>
      </c>
      <c r="H1840">
        <v>1.9953441968739599E-3</v>
      </c>
      <c r="I1840">
        <v>9.2307692307692299E-2</v>
      </c>
      <c r="J1840" s="14" t="str">
        <f>_xlfn.XLOOKUP(B1840,CAD_PDV!A:A,CAD_PDV!B:B)</f>
        <v>HS TELECOM</v>
      </c>
      <c r="K1840" s="14">
        <f>IF(IFERROR(_xlfn.XLOOKUP(B1840,Planilha2!D:D,Planilha2!H:H),0)="SIM",1,0)</f>
        <v>0</v>
      </c>
      <c r="L1840" s="14" t="str">
        <f>_xlfn.XLOOKUP(B1840,CAD_PDV!A:A,CAD_PDV!C:C)</f>
        <v>SP2</v>
      </c>
      <c r="M1840" s="14" t="str">
        <f>IFERROR(_xlfn.XLOOKUP(B1840,repete!A:A,repete!A:A),"-")</f>
        <v>-</v>
      </c>
    </row>
    <row r="1841" spans="1:13" hidden="1">
      <c r="A1841" s="1">
        <v>46174</v>
      </c>
      <c r="B1841" t="s">
        <v>1339</v>
      </c>
      <c r="C1841" t="s">
        <v>1313</v>
      </c>
      <c r="D1841" t="s">
        <v>225</v>
      </c>
      <c r="E1841" t="s">
        <v>53</v>
      </c>
      <c r="F1841">
        <v>125</v>
      </c>
      <c r="G1841">
        <v>6</v>
      </c>
      <c r="H1841">
        <v>1.9953441968739599E-3</v>
      </c>
      <c r="I1841">
        <v>4.8000000000000001E-2</v>
      </c>
      <c r="J1841" s="14" t="str">
        <f>_xlfn.XLOOKUP(B1841,CAD_PDV!A:A,CAD_PDV!B:B)</f>
        <v>CLARICELL SP1</v>
      </c>
      <c r="K1841" s="14">
        <f>IF(IFERROR(_xlfn.XLOOKUP(B1841,Planilha2!D:D,Planilha2!H:H),0)="SIM",1,0)</f>
        <v>0</v>
      </c>
      <c r="L1841" s="14" t="str">
        <f>_xlfn.XLOOKUP(B1841,CAD_PDV!A:A,CAD_PDV!C:C)</f>
        <v>SP1</v>
      </c>
      <c r="M1841" s="14" t="str">
        <f>IFERROR(_xlfn.XLOOKUP(B1841,repete!A:A,repete!A:A),"-")</f>
        <v>-</v>
      </c>
    </row>
    <row r="1842" spans="1:13" hidden="1">
      <c r="A1842" s="1">
        <v>46174</v>
      </c>
      <c r="B1842" t="s">
        <v>1277</v>
      </c>
      <c r="C1842" t="s">
        <v>1278</v>
      </c>
      <c r="D1842" t="s">
        <v>228</v>
      </c>
      <c r="E1842" t="s">
        <v>55</v>
      </c>
      <c r="F1842">
        <v>24</v>
      </c>
      <c r="G1842">
        <v>6</v>
      </c>
      <c r="H1842">
        <v>1.9953441968739599E-3</v>
      </c>
      <c r="I1842">
        <v>0.25</v>
      </c>
      <c r="J1842" s="14" t="str">
        <f>_xlfn.XLOOKUP(B1842,CAD_PDV!A:A,CAD_PDV!B:B)</f>
        <v>FAJULUTI</v>
      </c>
      <c r="K1842" s="14">
        <f>IF(IFERROR(_xlfn.XLOOKUP(B1842,Planilha2!D:D,Planilha2!H:H),0)="SIM",1,0)</f>
        <v>0</v>
      </c>
      <c r="L1842" s="14" t="str">
        <f>_xlfn.XLOOKUP(B1842,CAD_PDV!A:A,CAD_PDV!C:C)</f>
        <v>RJ/ES</v>
      </c>
      <c r="M1842" s="14" t="str">
        <f>IFERROR(_xlfn.XLOOKUP(B1842,repete!A:A,repete!A:A),"-")</f>
        <v>-</v>
      </c>
    </row>
    <row r="1843" spans="1:13" hidden="1">
      <c r="A1843" s="1">
        <v>46174</v>
      </c>
      <c r="B1843" t="s">
        <v>1736</v>
      </c>
      <c r="C1843" t="s">
        <v>1523</v>
      </c>
      <c r="D1843" t="s">
        <v>232</v>
      </c>
      <c r="E1843" t="s">
        <v>54</v>
      </c>
      <c r="F1843">
        <v>55</v>
      </c>
      <c r="G1843">
        <v>6</v>
      </c>
      <c r="H1843">
        <v>1.9953441968739599E-3</v>
      </c>
      <c r="I1843">
        <v>0.109090909090909</v>
      </c>
      <c r="J1843" s="14" t="str">
        <f>_xlfn.XLOOKUP(B1843,CAD_PDV!A:A,CAD_PDV!B:B)</f>
        <v>HS TELECOM</v>
      </c>
      <c r="K1843" s="14">
        <f>IF(IFERROR(_xlfn.XLOOKUP(B1843,Planilha2!D:D,Planilha2!H:H),0)="SIM",1,0)</f>
        <v>0</v>
      </c>
      <c r="L1843" s="14" t="str">
        <f>_xlfn.XLOOKUP(B1843,CAD_PDV!A:A,CAD_PDV!C:C)</f>
        <v>SP2</v>
      </c>
      <c r="M1843" s="14" t="str">
        <f>IFERROR(_xlfn.XLOOKUP(B1843,repete!A:A,repete!A:A),"-")</f>
        <v>-</v>
      </c>
    </row>
    <row r="1844" spans="1:13" hidden="1">
      <c r="A1844" s="1">
        <v>46174</v>
      </c>
      <c r="B1844" t="s">
        <v>1840</v>
      </c>
      <c r="C1844" t="s">
        <v>1839</v>
      </c>
      <c r="D1844" t="s">
        <v>124</v>
      </c>
      <c r="E1844" t="s">
        <v>2074</v>
      </c>
      <c r="F1844">
        <v>35</v>
      </c>
      <c r="G1844">
        <v>5</v>
      </c>
      <c r="H1844">
        <v>1.6627868307283E-3</v>
      </c>
      <c r="I1844">
        <v>0.14285714285714299</v>
      </c>
      <c r="J1844" s="14" t="str">
        <f>_xlfn.XLOOKUP(B1844,CAD_PDV!A:A,CAD_PDV!B:B)</f>
        <v>EDUARDO JUNQUEIRA DA SILVEIRA ADMIN</v>
      </c>
      <c r="K1844" s="14">
        <f>IF(IFERROR(_xlfn.XLOOKUP(B1844,Planilha2!D:D,Planilha2!H:H),0)="SIM",1,0)</f>
        <v>0</v>
      </c>
      <c r="L1844" s="14" t="str">
        <f>_xlfn.XLOOKUP(B1844,CAD_PDV!A:A,CAD_PDV!C:C)</f>
        <v>RS</v>
      </c>
      <c r="M1844" s="14" t="str">
        <f>IFERROR(_xlfn.XLOOKUP(B1844,repete!A:A,repete!A:A),"-")</f>
        <v>-</v>
      </c>
    </row>
    <row r="1845" spans="1:13" hidden="1">
      <c r="A1845" s="1">
        <v>46174</v>
      </c>
      <c r="B1845" t="s">
        <v>974</v>
      </c>
      <c r="C1845" t="s">
        <v>944</v>
      </c>
      <c r="D1845" t="s">
        <v>232</v>
      </c>
      <c r="E1845" t="s">
        <v>60</v>
      </c>
      <c r="F1845">
        <v>32</v>
      </c>
      <c r="G1845">
        <v>5</v>
      </c>
      <c r="H1845">
        <v>1.6627868307283E-3</v>
      </c>
      <c r="I1845">
        <v>0.15625</v>
      </c>
      <c r="J1845" s="14" t="str">
        <f>_xlfn.XLOOKUP(B1845,CAD_PDV!A:A,CAD_PDV!B:B)</f>
        <v>HS TELECOM</v>
      </c>
      <c r="K1845" s="14">
        <f>IF(IFERROR(_xlfn.XLOOKUP(B1845,Planilha2!D:D,Planilha2!H:H),0)="SIM",1,0)</f>
        <v>0</v>
      </c>
      <c r="L1845" s="14" t="str">
        <f>_xlfn.XLOOKUP(B1845,CAD_PDV!A:A,CAD_PDV!C:C)</f>
        <v>BA/SE</v>
      </c>
      <c r="M1845" s="14" t="str">
        <f>IFERROR(_xlfn.XLOOKUP(B1845,repete!A:A,repete!A:A),"-")</f>
        <v>-</v>
      </c>
    </row>
    <row r="1846" spans="1:13" hidden="1">
      <c r="A1846" s="1">
        <v>46174</v>
      </c>
      <c r="B1846" t="s">
        <v>1827</v>
      </c>
      <c r="C1846" t="s">
        <v>1828</v>
      </c>
      <c r="D1846" t="s">
        <v>95</v>
      </c>
      <c r="E1846" t="s">
        <v>2074</v>
      </c>
      <c r="F1846">
        <v>13</v>
      </c>
      <c r="G1846">
        <v>5</v>
      </c>
      <c r="H1846">
        <v>1.6627868307283E-3</v>
      </c>
      <c r="I1846">
        <v>0.38461538461538503</v>
      </c>
      <c r="J1846" s="14" t="str">
        <f>_xlfn.XLOOKUP(B1846,CAD_PDV!A:A,CAD_PDV!B:B)</f>
        <v>AYRES E DEBONI LTDA - ME</v>
      </c>
      <c r="K1846" s="14">
        <f>IF(IFERROR(_xlfn.XLOOKUP(B1846,Planilha2!D:D,Planilha2!H:H),0)="SIM",1,0)</f>
        <v>0</v>
      </c>
      <c r="L1846" s="14" t="str">
        <f>_xlfn.XLOOKUP(B1846,CAD_PDV!A:A,CAD_PDV!C:C)</f>
        <v>RS</v>
      </c>
      <c r="M1846" s="14" t="str">
        <f>IFERROR(_xlfn.XLOOKUP(B1846,repete!A:A,repete!A:A),"-")</f>
        <v>-</v>
      </c>
    </row>
    <row r="1847" spans="1:13" hidden="1">
      <c r="A1847" s="1">
        <v>46174</v>
      </c>
      <c r="B1847" t="s">
        <v>1463</v>
      </c>
      <c r="C1847" t="s">
        <v>1464</v>
      </c>
      <c r="D1847" t="s">
        <v>219</v>
      </c>
      <c r="E1847" t="s">
        <v>54</v>
      </c>
      <c r="F1847">
        <v>112</v>
      </c>
      <c r="G1847">
        <v>5</v>
      </c>
      <c r="H1847">
        <v>1.6627868307283E-3</v>
      </c>
      <c r="I1847">
        <v>4.4642857142857102E-2</v>
      </c>
      <c r="J1847" s="14" t="str">
        <f>_xlfn.XLOOKUP(B1847,CAD_PDV!A:A,CAD_PDV!B:B)</f>
        <v>WCI CELULARES SERVICOS E TELECOMUNICACOES LTDA - EPP</v>
      </c>
      <c r="K1847" s="14">
        <f>IF(IFERROR(_xlfn.XLOOKUP(B1847,Planilha2!D:D,Planilha2!H:H),0)="SIM",1,0)</f>
        <v>0</v>
      </c>
      <c r="L1847" s="14" t="str">
        <f>_xlfn.XLOOKUP(B1847,CAD_PDV!A:A,CAD_PDV!C:C)</f>
        <v>SP2</v>
      </c>
      <c r="M1847" s="14" t="str">
        <f>IFERROR(_xlfn.XLOOKUP(B1847,repete!A:A,repete!A:A),"-")</f>
        <v>-</v>
      </c>
    </row>
    <row r="1848" spans="1:13" hidden="1">
      <c r="A1848" s="1">
        <v>46174</v>
      </c>
      <c r="B1848" t="s">
        <v>1506</v>
      </c>
      <c r="C1848" t="s">
        <v>1507</v>
      </c>
      <c r="D1848" t="s">
        <v>132</v>
      </c>
      <c r="E1848" t="s">
        <v>54</v>
      </c>
      <c r="F1848">
        <v>51</v>
      </c>
      <c r="G1848">
        <v>5</v>
      </c>
      <c r="H1848">
        <v>1.6627868307283E-3</v>
      </c>
      <c r="I1848">
        <v>9.8039215686274495E-2</v>
      </c>
      <c r="J1848" s="14" t="str">
        <f>_xlfn.XLOOKUP(B1848,CAD_PDV!A:A,CAD_PDV!B:B)</f>
        <v>FLEX CELL</v>
      </c>
      <c r="K1848" s="14">
        <f>IF(IFERROR(_xlfn.XLOOKUP(B1848,Planilha2!D:D,Planilha2!H:H),0)="SIM",1,0)</f>
        <v>0</v>
      </c>
      <c r="L1848" s="14" t="str">
        <f>_xlfn.XLOOKUP(B1848,CAD_PDV!A:A,CAD_PDV!C:C)</f>
        <v>SP2</v>
      </c>
      <c r="M1848" s="14" t="str">
        <f>IFERROR(_xlfn.XLOOKUP(B1848,repete!A:A,repete!A:A),"-")</f>
        <v>-</v>
      </c>
    </row>
    <row r="1849" spans="1:13" hidden="1">
      <c r="A1849" s="1">
        <v>46174</v>
      </c>
      <c r="B1849" t="s">
        <v>2038</v>
      </c>
      <c r="C1849" t="s">
        <v>2040</v>
      </c>
      <c r="D1849" t="s">
        <v>193</v>
      </c>
      <c r="E1849" t="s">
        <v>2074</v>
      </c>
      <c r="F1849">
        <v>20</v>
      </c>
      <c r="G1849">
        <v>5</v>
      </c>
      <c r="H1849">
        <v>1.6627868307283E-3</v>
      </c>
      <c r="I1849">
        <v>0.25</v>
      </c>
      <c r="J1849" s="14" t="str">
        <f>_xlfn.XLOOKUP(B1849,CAD_PDV!A:A,CAD_PDV!B:B)</f>
        <v>S D COMERCIO DE CELULARES LTDA - ME</v>
      </c>
      <c r="K1849" s="14">
        <f>IF(IFERROR(_xlfn.XLOOKUP(B1849,Planilha2!D:D,Planilha2!H:H),0)="SIM",1,0)</f>
        <v>0</v>
      </c>
      <c r="L1849" s="14" t="str">
        <f>_xlfn.XLOOKUP(B1849,CAD_PDV!A:A,CAD_PDV!C:C)</f>
        <v>RS</v>
      </c>
      <c r="M1849" s="14" t="str">
        <f>IFERROR(_xlfn.XLOOKUP(B1849,repete!A:A,repete!A:A),"-")</f>
        <v>-</v>
      </c>
    </row>
    <row r="1850" spans="1:13" hidden="1">
      <c r="A1850" s="1">
        <v>46174</v>
      </c>
      <c r="B1850" t="s">
        <v>878</v>
      </c>
      <c r="C1850" t="s">
        <v>873</v>
      </c>
      <c r="D1850" t="s">
        <v>224</v>
      </c>
      <c r="E1850" t="s">
        <v>59</v>
      </c>
      <c r="F1850">
        <v>131</v>
      </c>
      <c r="G1850">
        <v>5</v>
      </c>
      <c r="H1850">
        <v>1.6627868307283E-3</v>
      </c>
      <c r="I1850">
        <v>3.8167938931297697E-2</v>
      </c>
      <c r="J1850" s="14" t="str">
        <f>_xlfn.XLOOKUP(B1850,CAD_PDV!A:A,CAD_PDV!B:B)</f>
        <v>CELNET COMERCIO E SERVICOS DE TELEFONIA LTDA ME</v>
      </c>
      <c r="K1850" s="14">
        <f>IF(IFERROR(_xlfn.XLOOKUP(B1850,Planilha2!D:D,Planilha2!H:H),0)="SIM",1,0)</f>
        <v>0</v>
      </c>
      <c r="L1850" s="14" t="str">
        <f>_xlfn.XLOOKUP(B1850,CAD_PDV!A:A,CAD_PDV!C:C)</f>
        <v>CO</v>
      </c>
      <c r="M1850" s="14" t="str">
        <f>IFERROR(_xlfn.XLOOKUP(B1850,repete!A:A,repete!A:A),"-")</f>
        <v>-</v>
      </c>
    </row>
    <row r="1851" spans="1:13" hidden="1">
      <c r="A1851" s="1">
        <v>46174</v>
      </c>
      <c r="B1851" t="s">
        <v>635</v>
      </c>
      <c r="C1851" t="s">
        <v>637</v>
      </c>
      <c r="D1851" t="s">
        <v>221</v>
      </c>
      <c r="E1851" t="s">
        <v>59</v>
      </c>
      <c r="F1851">
        <v>55</v>
      </c>
      <c r="G1851">
        <v>5</v>
      </c>
      <c r="H1851">
        <v>1.6627868307283E-3</v>
      </c>
      <c r="I1851">
        <v>9.0909090909090898E-2</v>
      </c>
      <c r="J1851" s="14" t="str">
        <f>_xlfn.XLOOKUP(B1851,CAD_PDV!A:A,CAD_PDV!B:B)</f>
        <v>AMERICOM COMERCIO DE APARELHOS ELETRONICOS LTDA - EPP</v>
      </c>
      <c r="K1851" s="14">
        <f>IF(IFERROR(_xlfn.XLOOKUP(B1851,Planilha2!D:D,Planilha2!H:H),0)="SIM",1,0)</f>
        <v>0</v>
      </c>
      <c r="L1851" s="14" t="str">
        <f>_xlfn.XLOOKUP(B1851,CAD_PDV!A:A,CAD_PDV!C:C)</f>
        <v>CO</v>
      </c>
      <c r="M1851" s="14" t="str">
        <f>IFERROR(_xlfn.XLOOKUP(B1851,repete!A:A,repete!A:A),"-")</f>
        <v>-</v>
      </c>
    </row>
    <row r="1852" spans="1:13" hidden="1">
      <c r="A1852" s="1">
        <v>46174</v>
      </c>
      <c r="B1852" t="s">
        <v>1850</v>
      </c>
      <c r="C1852" t="s">
        <v>1847</v>
      </c>
      <c r="D1852" t="s">
        <v>106</v>
      </c>
      <c r="E1852" t="s">
        <v>2074</v>
      </c>
      <c r="F1852">
        <v>17</v>
      </c>
      <c r="G1852">
        <v>5</v>
      </c>
      <c r="H1852">
        <v>1.6627868307283E-3</v>
      </c>
      <c r="I1852">
        <v>0.29411764705882398</v>
      </c>
      <c r="J1852" s="14" t="str">
        <f>_xlfn.XLOOKUP(B1852,CAD_PDV!A:A,CAD_PDV!B:B)</f>
        <v>CELLULAR.COM</v>
      </c>
      <c r="K1852" s="14">
        <f>IF(IFERROR(_xlfn.XLOOKUP(B1852,Planilha2!D:D,Planilha2!H:H),0)="SIM",1,0)</f>
        <v>0</v>
      </c>
      <c r="L1852" s="14" t="str">
        <f>_xlfn.XLOOKUP(B1852,CAD_PDV!A:A,CAD_PDV!C:C)</f>
        <v>PR/SC</v>
      </c>
      <c r="M1852" s="14" t="str">
        <f>IFERROR(_xlfn.XLOOKUP(B1852,repete!A:A,repete!A:A),"-")</f>
        <v>-</v>
      </c>
    </row>
    <row r="1853" spans="1:13" hidden="1">
      <c r="A1853" s="1">
        <v>46174</v>
      </c>
      <c r="B1853" t="s">
        <v>1233</v>
      </c>
      <c r="C1853" t="s">
        <v>1142</v>
      </c>
      <c r="D1853" t="s">
        <v>237</v>
      </c>
      <c r="E1853" t="s">
        <v>55</v>
      </c>
      <c r="F1853">
        <v>84</v>
      </c>
      <c r="G1853">
        <v>5</v>
      </c>
      <c r="H1853">
        <v>1.6627868307283E-3</v>
      </c>
      <c r="I1853">
        <v>5.95238095238095E-2</v>
      </c>
      <c r="J1853" s="14" t="str">
        <f>_xlfn.XLOOKUP(B1853,CAD_PDV!A:A,CAD_PDV!B:B)</f>
        <v>PONTO CERTO COMERCIO E COMUNICAÇÕES LTDA</v>
      </c>
      <c r="K1853" s="14">
        <f>IF(IFERROR(_xlfn.XLOOKUP(B1853,Planilha2!D:D,Planilha2!H:H),0)="SIM",1,0)</f>
        <v>0</v>
      </c>
      <c r="L1853" s="14" t="str">
        <f>_xlfn.XLOOKUP(B1853,CAD_PDV!A:A,CAD_PDV!C:C)</f>
        <v>RJ/ES</v>
      </c>
      <c r="M1853" s="14" t="str">
        <f>IFERROR(_xlfn.XLOOKUP(B1853,repete!A:A,repete!A:A),"-")</f>
        <v>-</v>
      </c>
    </row>
    <row r="1854" spans="1:13" hidden="1">
      <c r="A1854" s="1">
        <v>46174</v>
      </c>
      <c r="B1854" t="s">
        <v>905</v>
      </c>
      <c r="C1854" t="s">
        <v>902</v>
      </c>
      <c r="D1854" t="s">
        <v>215</v>
      </c>
      <c r="E1854" t="s">
        <v>59</v>
      </c>
      <c r="F1854">
        <v>26</v>
      </c>
      <c r="G1854">
        <v>5</v>
      </c>
      <c r="H1854">
        <v>1.6627868307283E-3</v>
      </c>
      <c r="I1854">
        <v>0.19230769230769201</v>
      </c>
      <c r="J1854" s="14" t="str">
        <f>_xlfn.XLOOKUP(B1854,CAD_PDV!A:A,CAD_PDV!B:B)</f>
        <v>VIA SALLUS</v>
      </c>
      <c r="K1854" s="14">
        <f>IF(IFERROR(_xlfn.XLOOKUP(B1854,Planilha2!D:D,Planilha2!H:H),0)="SIM",1,0)</f>
        <v>0</v>
      </c>
      <c r="L1854" s="14" t="str">
        <f>_xlfn.XLOOKUP(B1854,CAD_PDV!A:A,CAD_PDV!C:C)</f>
        <v>CO</v>
      </c>
      <c r="M1854" s="14" t="str">
        <f>IFERROR(_xlfn.XLOOKUP(B1854,repete!A:A,repete!A:A),"-")</f>
        <v>-</v>
      </c>
    </row>
    <row r="1855" spans="1:13" hidden="1">
      <c r="A1855" s="1">
        <v>46174</v>
      </c>
      <c r="B1855" t="s">
        <v>1335</v>
      </c>
      <c r="C1855" t="s">
        <v>1313</v>
      </c>
      <c r="D1855" t="s">
        <v>225</v>
      </c>
      <c r="E1855" t="s">
        <v>53</v>
      </c>
      <c r="F1855">
        <v>52</v>
      </c>
      <c r="G1855">
        <v>5</v>
      </c>
      <c r="H1855">
        <v>1.6627868307283E-3</v>
      </c>
      <c r="I1855">
        <v>9.6153846153846201E-2</v>
      </c>
      <c r="J1855" s="14" t="str">
        <f>_xlfn.XLOOKUP(B1855,CAD_PDV!A:A,CAD_PDV!B:B)</f>
        <v>CLARICELL SP1</v>
      </c>
      <c r="K1855" s="14">
        <f>IF(IFERROR(_xlfn.XLOOKUP(B1855,Planilha2!D:D,Planilha2!H:H),0)="SIM",1,0)</f>
        <v>0</v>
      </c>
      <c r="L1855" s="14" t="str">
        <f>_xlfn.XLOOKUP(B1855,CAD_PDV!A:A,CAD_PDV!C:C)</f>
        <v>SP1</v>
      </c>
      <c r="M1855" s="14" t="str">
        <f>IFERROR(_xlfn.XLOOKUP(B1855,repete!A:A,repete!A:A),"-")</f>
        <v>-</v>
      </c>
    </row>
    <row r="1856" spans="1:13" hidden="1">
      <c r="A1856" s="1">
        <v>46174</v>
      </c>
      <c r="B1856" t="s">
        <v>1626</v>
      </c>
      <c r="C1856" t="s">
        <v>1616</v>
      </c>
      <c r="D1856" t="s">
        <v>220</v>
      </c>
      <c r="E1856" t="s">
        <v>54</v>
      </c>
      <c r="F1856">
        <v>33</v>
      </c>
      <c r="G1856">
        <v>5</v>
      </c>
      <c r="H1856">
        <v>1.6627868307283E-3</v>
      </c>
      <c r="I1856">
        <v>0.15151515151515199</v>
      </c>
      <c r="J1856" s="14" t="str">
        <f>_xlfn.XLOOKUP(B1856,CAD_PDV!A:A,CAD_PDV!B:B)</f>
        <v>ADESIENE NUNES MACHADO - ME</v>
      </c>
      <c r="K1856" s="14">
        <f>IF(IFERROR(_xlfn.XLOOKUP(B1856,Planilha2!D:D,Planilha2!H:H),0)="SIM",1,0)</f>
        <v>0</v>
      </c>
      <c r="L1856" s="14" t="str">
        <f>_xlfn.XLOOKUP(B1856,CAD_PDV!A:A,CAD_PDV!C:C)</f>
        <v>SP2</v>
      </c>
      <c r="M1856" s="14" t="str">
        <f>IFERROR(_xlfn.XLOOKUP(B1856,repete!A:A,repete!A:A),"-")</f>
        <v>-</v>
      </c>
    </row>
    <row r="1857" spans="1:13" hidden="1">
      <c r="A1857" s="1">
        <v>46174</v>
      </c>
      <c r="B1857" t="s">
        <v>438</v>
      </c>
      <c r="C1857" t="s">
        <v>441</v>
      </c>
      <c r="D1857" t="s">
        <v>239</v>
      </c>
      <c r="E1857" t="s">
        <v>56</v>
      </c>
      <c r="F1857">
        <v>30</v>
      </c>
      <c r="G1857">
        <v>5</v>
      </c>
      <c r="H1857">
        <v>1.6627868307283E-3</v>
      </c>
      <c r="I1857">
        <v>0.16666666666666699</v>
      </c>
      <c r="J1857" s="14" t="str">
        <f>_xlfn.XLOOKUP(B1857,CAD_PDV!A:A,CAD_PDV!B:B)</f>
        <v>TELECELL TELEFONIA LTDA - ME</v>
      </c>
      <c r="K1857" s="14">
        <f>IF(IFERROR(_xlfn.XLOOKUP(B1857,Planilha2!D:D,Planilha2!H:H),0)="SIM",1,0)</f>
        <v>0</v>
      </c>
      <c r="L1857" s="14" t="str">
        <f>_xlfn.XLOOKUP(B1857,CAD_PDV!A:A,CAD_PDV!C:C)</f>
        <v>MG</v>
      </c>
      <c r="M1857" s="14" t="str">
        <f>IFERROR(_xlfn.XLOOKUP(B1857,repete!A:A,repete!A:A),"-")</f>
        <v>-</v>
      </c>
    </row>
    <row r="1858" spans="1:13" hidden="1">
      <c r="A1858" s="1">
        <v>46174</v>
      </c>
      <c r="B1858" t="s">
        <v>1367</v>
      </c>
      <c r="C1858" t="s">
        <v>1313</v>
      </c>
      <c r="D1858" t="s">
        <v>132</v>
      </c>
      <c r="E1858" t="s">
        <v>53</v>
      </c>
      <c r="F1858">
        <v>66</v>
      </c>
      <c r="G1858">
        <v>5</v>
      </c>
      <c r="H1858">
        <v>1.6627868307283E-3</v>
      </c>
      <c r="I1858">
        <v>7.5757575757575801E-2</v>
      </c>
      <c r="J1858" s="14" t="str">
        <f>_xlfn.XLOOKUP(B1858,CAD_PDV!A:A,CAD_PDV!B:B)</f>
        <v>FLEX CELL</v>
      </c>
      <c r="K1858" s="14">
        <f>IF(IFERROR(_xlfn.XLOOKUP(B1858,Planilha2!D:D,Planilha2!H:H),0)="SIM",1,0)</f>
        <v>0</v>
      </c>
      <c r="L1858" s="14" t="str">
        <f>_xlfn.XLOOKUP(B1858,CAD_PDV!A:A,CAD_PDV!C:C)</f>
        <v>SP1</v>
      </c>
      <c r="M1858" s="14" t="str">
        <f>IFERROR(_xlfn.XLOOKUP(B1858,repete!A:A,repete!A:A),"-")</f>
        <v>-</v>
      </c>
    </row>
    <row r="1859" spans="1:13" hidden="1">
      <c r="A1859" s="1">
        <v>46174</v>
      </c>
      <c r="B1859" t="s">
        <v>1251</v>
      </c>
      <c r="C1859" t="s">
        <v>1159</v>
      </c>
      <c r="D1859" t="s">
        <v>228</v>
      </c>
      <c r="E1859" t="s">
        <v>55</v>
      </c>
      <c r="F1859">
        <v>82</v>
      </c>
      <c r="G1859">
        <v>5</v>
      </c>
      <c r="H1859">
        <v>1.6627868307283E-3</v>
      </c>
      <c r="I1859">
        <v>6.0975609756097601E-2</v>
      </c>
      <c r="J1859" s="14" t="str">
        <f>_xlfn.XLOOKUP(B1859,CAD_PDV!A:A,CAD_PDV!B:B)</f>
        <v>FAJULUTI</v>
      </c>
      <c r="K1859" s="14">
        <f>IF(IFERROR(_xlfn.XLOOKUP(B1859,Planilha2!D:D,Planilha2!H:H),0)="SIM",1,0)</f>
        <v>0</v>
      </c>
      <c r="L1859" s="14" t="str">
        <f>_xlfn.XLOOKUP(B1859,CAD_PDV!A:A,CAD_PDV!C:C)</f>
        <v>RJ/ES</v>
      </c>
      <c r="M1859" s="14" t="str">
        <f>IFERROR(_xlfn.XLOOKUP(B1859,repete!A:A,repete!A:A),"-")</f>
        <v>-</v>
      </c>
    </row>
    <row r="1860" spans="1:13" hidden="1">
      <c r="A1860" s="1">
        <v>46174</v>
      </c>
      <c r="B1860" t="s">
        <v>1253</v>
      </c>
      <c r="C1860" t="s">
        <v>1142</v>
      </c>
      <c r="D1860" t="s">
        <v>228</v>
      </c>
      <c r="E1860" t="s">
        <v>55</v>
      </c>
      <c r="F1860">
        <v>65</v>
      </c>
      <c r="G1860">
        <v>5</v>
      </c>
      <c r="H1860">
        <v>1.6627868307283E-3</v>
      </c>
      <c r="I1860">
        <v>7.69230769230769E-2</v>
      </c>
      <c r="J1860" s="14" t="str">
        <f>_xlfn.XLOOKUP(B1860,CAD_PDV!A:A,CAD_PDV!B:B)</f>
        <v>FAJULUTI</v>
      </c>
      <c r="K1860" s="14">
        <f>IF(IFERROR(_xlfn.XLOOKUP(B1860,Planilha2!D:D,Planilha2!H:H),0)="SIM",1,0)</f>
        <v>0</v>
      </c>
      <c r="L1860" s="14" t="str">
        <f>_xlfn.XLOOKUP(B1860,CAD_PDV!A:A,CAD_PDV!C:C)</f>
        <v>RJ/ES</v>
      </c>
      <c r="M1860" s="14" t="str">
        <f>IFERROR(_xlfn.XLOOKUP(B1860,repete!A:A,repete!A:A),"-")</f>
        <v>NDTZ</v>
      </c>
    </row>
    <row r="1861" spans="1:13" hidden="1">
      <c r="A1861" s="1">
        <v>46174</v>
      </c>
      <c r="B1861" t="s">
        <v>369</v>
      </c>
      <c r="C1861" t="s">
        <v>370</v>
      </c>
      <c r="D1861" t="s">
        <v>230</v>
      </c>
      <c r="E1861" t="s">
        <v>61</v>
      </c>
      <c r="F1861">
        <v>22</v>
      </c>
      <c r="G1861">
        <v>5</v>
      </c>
      <c r="H1861">
        <v>1.6627868307283E-3</v>
      </c>
      <c r="I1861">
        <v>0.22727272727272699</v>
      </c>
      <c r="J1861" s="14" t="str">
        <f>_xlfn.XLOOKUP(B1861,CAD_PDV!A:A,CAD_PDV!B:B)</f>
        <v>HARCOS COMERCIO E SERVICOS LTDA - EPP</v>
      </c>
      <c r="K1861" s="14">
        <f>IF(IFERROR(_xlfn.XLOOKUP(B1861,Planilha2!D:D,Planilha2!H:H),0)="SIM",1,0)</f>
        <v>0</v>
      </c>
      <c r="L1861" s="14" t="str">
        <f>_xlfn.XLOOKUP(B1861,CAD_PDV!A:A,CAD_PDV!C:C)</f>
        <v>NE</v>
      </c>
      <c r="M1861" s="14" t="str">
        <f>IFERROR(_xlfn.XLOOKUP(B1861,repete!A:A,repete!A:A),"-")</f>
        <v>-</v>
      </c>
    </row>
    <row r="1862" spans="1:13" hidden="1">
      <c r="A1862" s="1">
        <v>46174</v>
      </c>
      <c r="B1862" t="s">
        <v>962</v>
      </c>
      <c r="C1862" t="s">
        <v>950</v>
      </c>
      <c r="D1862" t="s">
        <v>232</v>
      </c>
      <c r="E1862" t="s">
        <v>60</v>
      </c>
      <c r="F1862">
        <v>39</v>
      </c>
      <c r="G1862">
        <v>5</v>
      </c>
      <c r="H1862">
        <v>1.6627868307283E-3</v>
      </c>
      <c r="I1862">
        <v>0.128205128205128</v>
      </c>
      <c r="J1862" s="14" t="str">
        <f>_xlfn.XLOOKUP(B1862,CAD_PDV!A:A,CAD_PDV!B:B)</f>
        <v>HS TELECOM</v>
      </c>
      <c r="K1862" s="14">
        <f>IF(IFERROR(_xlfn.XLOOKUP(B1862,Planilha2!D:D,Planilha2!H:H),0)="SIM",1,0)</f>
        <v>0</v>
      </c>
      <c r="L1862" s="14" t="str">
        <f>_xlfn.XLOOKUP(B1862,CAD_PDV!A:A,CAD_PDV!C:C)</f>
        <v>BA/SE</v>
      </c>
      <c r="M1862" s="14" t="str">
        <f>IFERROR(_xlfn.XLOOKUP(B1862,repete!A:A,repete!A:A),"-")</f>
        <v>-</v>
      </c>
    </row>
    <row r="1863" spans="1:13" hidden="1">
      <c r="A1863" s="1">
        <v>46174</v>
      </c>
      <c r="B1863" t="s">
        <v>901</v>
      </c>
      <c r="C1863" t="s">
        <v>902</v>
      </c>
      <c r="D1863" t="s">
        <v>215</v>
      </c>
      <c r="E1863" t="s">
        <v>59</v>
      </c>
      <c r="F1863">
        <v>81</v>
      </c>
      <c r="G1863">
        <v>5</v>
      </c>
      <c r="H1863">
        <v>1.6627868307283E-3</v>
      </c>
      <c r="I1863">
        <v>6.1728395061728399E-2</v>
      </c>
      <c r="J1863" s="14" t="str">
        <f>_xlfn.XLOOKUP(B1863,CAD_PDV!A:A,CAD_PDV!B:B)</f>
        <v>VIA SALLUS</v>
      </c>
      <c r="K1863" s="14">
        <f>IF(IFERROR(_xlfn.XLOOKUP(B1863,Planilha2!D:D,Planilha2!H:H),0)="SIM",1,0)</f>
        <v>0</v>
      </c>
      <c r="L1863" s="14" t="str">
        <f>_xlfn.XLOOKUP(B1863,CAD_PDV!A:A,CAD_PDV!C:C)</f>
        <v>CO</v>
      </c>
      <c r="M1863" s="14" t="str">
        <f>IFERROR(_xlfn.XLOOKUP(B1863,repete!A:A,repete!A:A),"-")</f>
        <v>-</v>
      </c>
    </row>
    <row r="1864" spans="1:13" hidden="1">
      <c r="A1864" s="1">
        <v>46174</v>
      </c>
      <c r="B1864" t="s">
        <v>1652</v>
      </c>
      <c r="C1864" t="s">
        <v>1653</v>
      </c>
      <c r="D1864" t="s">
        <v>223</v>
      </c>
      <c r="E1864" t="s">
        <v>54</v>
      </c>
      <c r="F1864">
        <v>53</v>
      </c>
      <c r="G1864">
        <v>5</v>
      </c>
      <c r="H1864">
        <v>1.6627868307283E-3</v>
      </c>
      <c r="I1864">
        <v>9.4339622641509399E-2</v>
      </c>
      <c r="J1864" s="14" t="str">
        <f>_xlfn.XLOOKUP(B1864,CAD_PDV!A:A,CAD_PDV!B:B)</f>
        <v>BONELI BIAZI CELULARES EIRELI - ME</v>
      </c>
      <c r="K1864" s="14">
        <f>IF(IFERROR(_xlfn.XLOOKUP(B1864,Planilha2!D:D,Planilha2!H:H),0)="SIM",1,0)</f>
        <v>0</v>
      </c>
      <c r="L1864" s="14" t="str">
        <f>_xlfn.XLOOKUP(B1864,CAD_PDV!A:A,CAD_PDV!C:C)</f>
        <v>SP2</v>
      </c>
      <c r="M1864" s="14" t="str">
        <f>IFERROR(_xlfn.XLOOKUP(B1864,repete!A:A,repete!A:A),"-")</f>
        <v>-</v>
      </c>
    </row>
    <row r="1865" spans="1:13" hidden="1">
      <c r="A1865" s="1">
        <v>46174</v>
      </c>
      <c r="B1865" t="s">
        <v>1658</v>
      </c>
      <c r="C1865" t="s">
        <v>1659</v>
      </c>
      <c r="D1865" t="s">
        <v>232</v>
      </c>
      <c r="E1865" t="s">
        <v>54</v>
      </c>
      <c r="F1865">
        <v>75</v>
      </c>
      <c r="G1865">
        <v>5</v>
      </c>
      <c r="H1865">
        <v>1.6627868307283E-3</v>
      </c>
      <c r="I1865">
        <v>6.6666666666666693E-2</v>
      </c>
      <c r="J1865" s="14" t="str">
        <f>_xlfn.XLOOKUP(B1865,CAD_PDV!A:A,CAD_PDV!B:B)</f>
        <v>HS TELECOM</v>
      </c>
      <c r="K1865" s="14">
        <f>IF(IFERROR(_xlfn.XLOOKUP(B1865,Planilha2!D:D,Planilha2!H:H),0)="SIM",1,0)</f>
        <v>0</v>
      </c>
      <c r="L1865" s="14" t="str">
        <f>_xlfn.XLOOKUP(B1865,CAD_PDV!A:A,CAD_PDV!C:C)</f>
        <v>SP2</v>
      </c>
      <c r="M1865" s="14" t="str">
        <f>IFERROR(_xlfn.XLOOKUP(B1865,repete!A:A,repete!A:A),"-")</f>
        <v>-</v>
      </c>
    </row>
    <row r="1866" spans="1:13" hidden="1">
      <c r="A1866" s="1">
        <v>46174</v>
      </c>
      <c r="B1866" t="s">
        <v>1683</v>
      </c>
      <c r="C1866" t="s">
        <v>1684</v>
      </c>
      <c r="D1866" t="s">
        <v>232</v>
      </c>
      <c r="E1866" t="s">
        <v>54</v>
      </c>
      <c r="F1866">
        <v>64</v>
      </c>
      <c r="G1866">
        <v>5</v>
      </c>
      <c r="H1866">
        <v>1.6627868307283E-3</v>
      </c>
      <c r="I1866">
        <v>7.8125E-2</v>
      </c>
      <c r="J1866" s="14" t="str">
        <f>_xlfn.XLOOKUP(B1866,CAD_PDV!A:A,CAD_PDV!B:B)</f>
        <v>HS TELECOM</v>
      </c>
      <c r="K1866" s="14">
        <f>IF(IFERROR(_xlfn.XLOOKUP(B1866,Planilha2!D:D,Planilha2!H:H),0)="SIM",1,0)</f>
        <v>0</v>
      </c>
      <c r="L1866" s="14" t="str">
        <f>_xlfn.XLOOKUP(B1866,CAD_PDV!A:A,CAD_PDV!C:C)</f>
        <v>SP2</v>
      </c>
      <c r="M1866" s="14" t="str">
        <f>IFERROR(_xlfn.XLOOKUP(B1866,repete!A:A,repete!A:A),"-")</f>
        <v>-</v>
      </c>
    </row>
    <row r="1867" spans="1:13" hidden="1">
      <c r="A1867" s="1">
        <v>46174</v>
      </c>
      <c r="B1867" t="s">
        <v>1370</v>
      </c>
      <c r="C1867" t="s">
        <v>1371</v>
      </c>
      <c r="D1867" t="s">
        <v>132</v>
      </c>
      <c r="E1867" t="s">
        <v>53</v>
      </c>
      <c r="F1867">
        <v>39</v>
      </c>
      <c r="G1867">
        <v>5</v>
      </c>
      <c r="H1867">
        <v>1.6627868307283E-3</v>
      </c>
      <c r="I1867">
        <v>0.128205128205128</v>
      </c>
      <c r="J1867" s="14" t="str">
        <f>_xlfn.XLOOKUP(B1867,CAD_PDV!A:A,CAD_PDV!B:B)</f>
        <v>FLEX CELL</v>
      </c>
      <c r="K1867" s="14">
        <f>IF(IFERROR(_xlfn.XLOOKUP(B1867,Planilha2!D:D,Planilha2!H:H),0)="SIM",1,0)</f>
        <v>0</v>
      </c>
      <c r="L1867" s="14" t="str">
        <f>_xlfn.XLOOKUP(B1867,CAD_PDV!A:A,CAD_PDV!C:C)</f>
        <v>SP1</v>
      </c>
      <c r="M1867" s="14" t="str">
        <f>IFERROR(_xlfn.XLOOKUP(B1867,repete!A:A,repete!A:A),"-")</f>
        <v>-</v>
      </c>
    </row>
    <row r="1868" spans="1:13" hidden="1">
      <c r="A1868" s="1">
        <v>46174</v>
      </c>
      <c r="B1868" t="s">
        <v>658</v>
      </c>
      <c r="C1868" t="s">
        <v>659</v>
      </c>
      <c r="D1868" t="s">
        <v>239</v>
      </c>
      <c r="E1868" t="s">
        <v>59</v>
      </c>
      <c r="F1868">
        <v>37</v>
      </c>
      <c r="G1868">
        <v>5</v>
      </c>
      <c r="H1868">
        <v>1.6627868307283E-3</v>
      </c>
      <c r="I1868">
        <v>0.135135135135135</v>
      </c>
      <c r="J1868" s="14" t="str">
        <f>_xlfn.XLOOKUP(B1868,CAD_PDV!A:A,CAD_PDV!B:B)</f>
        <v>TELECELL TELEFONIA LTDA - ME</v>
      </c>
      <c r="K1868" s="14">
        <f>IF(IFERROR(_xlfn.XLOOKUP(B1868,Planilha2!D:D,Planilha2!H:H),0)="SIM",1,0)</f>
        <v>0</v>
      </c>
      <c r="L1868" s="14" t="str">
        <f>_xlfn.XLOOKUP(B1868,CAD_PDV!A:A,CAD_PDV!C:C)</f>
        <v>CO</v>
      </c>
      <c r="M1868" s="14" t="str">
        <f>IFERROR(_xlfn.XLOOKUP(B1868,repete!A:A,repete!A:A),"-")</f>
        <v>-</v>
      </c>
    </row>
    <row r="1869" spans="1:13" hidden="1">
      <c r="A1869" s="1">
        <v>46174</v>
      </c>
      <c r="B1869" t="s">
        <v>1177</v>
      </c>
      <c r="C1869" t="s">
        <v>1142</v>
      </c>
      <c r="D1869" t="s">
        <v>228</v>
      </c>
      <c r="E1869" t="s">
        <v>55</v>
      </c>
      <c r="F1869">
        <v>50</v>
      </c>
      <c r="G1869">
        <v>5</v>
      </c>
      <c r="H1869">
        <v>1.6627868307283E-3</v>
      </c>
      <c r="I1869">
        <v>0.1</v>
      </c>
      <c r="J1869" s="14" t="str">
        <f>_xlfn.XLOOKUP(B1869,CAD_PDV!A:A,CAD_PDV!B:B)</f>
        <v>FAJULUTI</v>
      </c>
      <c r="K1869" s="14">
        <f>IF(IFERROR(_xlfn.XLOOKUP(B1869,Planilha2!D:D,Planilha2!H:H),0)="SIM",1,0)</f>
        <v>0</v>
      </c>
      <c r="L1869" s="14" t="str">
        <f>_xlfn.XLOOKUP(B1869,CAD_PDV!A:A,CAD_PDV!C:C)</f>
        <v>RJ/ES</v>
      </c>
      <c r="M1869" s="14" t="str">
        <f>IFERROR(_xlfn.XLOOKUP(B1869,repete!A:A,repete!A:A),"-")</f>
        <v>-</v>
      </c>
    </row>
    <row r="1870" spans="1:13" hidden="1">
      <c r="A1870" s="1">
        <v>46174</v>
      </c>
      <c r="B1870" t="s">
        <v>476</v>
      </c>
      <c r="C1870" t="s">
        <v>430</v>
      </c>
      <c r="D1870" t="s">
        <v>106</v>
      </c>
      <c r="E1870" t="s">
        <v>56</v>
      </c>
      <c r="F1870">
        <v>145</v>
      </c>
      <c r="G1870">
        <v>5</v>
      </c>
      <c r="H1870">
        <v>1.6627868307283E-3</v>
      </c>
      <c r="I1870">
        <v>3.4482758620689703E-2</v>
      </c>
      <c r="J1870" s="14" t="str">
        <f>_xlfn.XLOOKUP(B1870,CAD_PDV!A:A,CAD_PDV!B:B)</f>
        <v>CELLULAR.COM</v>
      </c>
      <c r="K1870" s="14">
        <f>IF(IFERROR(_xlfn.XLOOKUP(B1870,Planilha2!D:D,Planilha2!H:H),0)="SIM",1,0)</f>
        <v>0</v>
      </c>
      <c r="L1870" s="14" t="str">
        <f>_xlfn.XLOOKUP(B1870,CAD_PDV!A:A,CAD_PDV!C:C)</f>
        <v>MG</v>
      </c>
      <c r="M1870" s="14" t="str">
        <f>IFERROR(_xlfn.XLOOKUP(B1870,repete!A:A,repete!A:A),"-")</f>
        <v>-</v>
      </c>
    </row>
    <row r="1871" spans="1:13" hidden="1">
      <c r="A1871" s="1">
        <v>46174</v>
      </c>
      <c r="B1871" t="s">
        <v>1410</v>
      </c>
      <c r="C1871" t="s">
        <v>1413</v>
      </c>
      <c r="D1871" t="s">
        <v>220</v>
      </c>
      <c r="E1871" t="s">
        <v>54</v>
      </c>
      <c r="F1871">
        <v>43</v>
      </c>
      <c r="G1871">
        <v>4</v>
      </c>
      <c r="H1871">
        <v>1.33022946458264E-3</v>
      </c>
      <c r="I1871">
        <v>9.3023255813953501E-2</v>
      </c>
      <c r="J1871" s="14" t="str">
        <f>_xlfn.XLOOKUP(B1871,CAD_PDV!A:A,CAD_PDV!B:B)</f>
        <v>ADESIENE NUNES MACHADO - ME</v>
      </c>
      <c r="K1871" s="14">
        <f>IF(IFERROR(_xlfn.XLOOKUP(B1871,Planilha2!D:D,Planilha2!H:H),0)="SIM",1,0)</f>
        <v>0</v>
      </c>
      <c r="L1871" s="14" t="str">
        <f>_xlfn.XLOOKUP(B1871,CAD_PDV!A:A,CAD_PDV!C:C)</f>
        <v>SP2</v>
      </c>
      <c r="M1871" s="14" t="str">
        <f>IFERROR(_xlfn.XLOOKUP(B1871,repete!A:A,repete!A:A),"-")</f>
        <v>-</v>
      </c>
    </row>
    <row r="1872" spans="1:13" hidden="1">
      <c r="A1872" s="1">
        <v>46174</v>
      </c>
      <c r="B1872" t="s">
        <v>653</v>
      </c>
      <c r="C1872" t="s">
        <v>649</v>
      </c>
      <c r="D1872" t="s">
        <v>239</v>
      </c>
      <c r="E1872" t="s">
        <v>59</v>
      </c>
      <c r="F1872">
        <v>49</v>
      </c>
      <c r="G1872">
        <v>4</v>
      </c>
      <c r="H1872">
        <v>1.33022946458264E-3</v>
      </c>
      <c r="I1872">
        <v>8.1632653061224497E-2</v>
      </c>
      <c r="J1872" s="14" t="str">
        <f>_xlfn.XLOOKUP(B1872,CAD_PDV!A:A,CAD_PDV!B:B)</f>
        <v>TELECELL TELEFONIA LTDA - ME</v>
      </c>
      <c r="K1872" s="14">
        <f>IF(IFERROR(_xlfn.XLOOKUP(B1872,Planilha2!D:D,Planilha2!H:H),0)="SIM",1,0)</f>
        <v>0</v>
      </c>
      <c r="L1872" s="14" t="str">
        <f>_xlfn.XLOOKUP(B1872,CAD_PDV!A:A,CAD_PDV!C:C)</f>
        <v>CO</v>
      </c>
      <c r="M1872" s="14" t="str">
        <f>IFERROR(_xlfn.XLOOKUP(B1872,repete!A:A,repete!A:A),"-")</f>
        <v>-</v>
      </c>
    </row>
    <row r="1873" spans="1:13" hidden="1">
      <c r="A1873" s="1">
        <v>46174</v>
      </c>
      <c r="B1873" t="s">
        <v>306</v>
      </c>
      <c r="C1873" t="s">
        <v>308</v>
      </c>
      <c r="D1873" t="s">
        <v>230</v>
      </c>
      <c r="E1873" t="s">
        <v>61</v>
      </c>
      <c r="F1873">
        <v>25</v>
      </c>
      <c r="G1873">
        <v>4</v>
      </c>
      <c r="H1873">
        <v>1.33022946458264E-3</v>
      </c>
      <c r="I1873">
        <v>0.16</v>
      </c>
      <c r="J1873" s="14" t="str">
        <f>_xlfn.XLOOKUP(B1873,CAD_PDV!A:A,CAD_PDV!B:B)</f>
        <v>HARCOS COMERCIO E SERVICOS LTDA - EPP</v>
      </c>
      <c r="K1873" s="14">
        <f>IF(IFERROR(_xlfn.XLOOKUP(B1873,Planilha2!D:D,Planilha2!H:H),0)="SIM",1,0)</f>
        <v>0</v>
      </c>
      <c r="L1873" s="14" t="str">
        <f>_xlfn.XLOOKUP(B1873,CAD_PDV!A:A,CAD_PDV!C:C)</f>
        <v>NE</v>
      </c>
      <c r="M1873" s="14" t="str">
        <f>IFERROR(_xlfn.XLOOKUP(B1873,repete!A:A,repete!A:A),"-")</f>
        <v>-</v>
      </c>
    </row>
    <row r="1874" spans="1:13" hidden="1">
      <c r="A1874" s="1">
        <v>46174</v>
      </c>
      <c r="B1874" t="s">
        <v>309</v>
      </c>
      <c r="C1874" t="s">
        <v>265</v>
      </c>
      <c r="D1874" t="s">
        <v>230</v>
      </c>
      <c r="E1874" t="s">
        <v>61</v>
      </c>
      <c r="F1874">
        <v>142</v>
      </c>
      <c r="G1874">
        <v>4</v>
      </c>
      <c r="H1874">
        <v>1.33022946458264E-3</v>
      </c>
      <c r="I1874">
        <v>2.8169014084507001E-2</v>
      </c>
      <c r="J1874" s="14" t="str">
        <f>_xlfn.XLOOKUP(B1874,CAD_PDV!A:A,CAD_PDV!B:B)</f>
        <v>HARCOS COMERCIO E SERVICOS LTDA - EPP</v>
      </c>
      <c r="K1874" s="14">
        <f>IF(IFERROR(_xlfn.XLOOKUP(B1874,Planilha2!D:D,Planilha2!H:H),0)="SIM",1,0)</f>
        <v>0</v>
      </c>
      <c r="L1874" s="14" t="str">
        <f>_xlfn.XLOOKUP(B1874,CAD_PDV!A:A,CAD_PDV!C:C)</f>
        <v>NE</v>
      </c>
      <c r="M1874" s="14" t="str">
        <f>IFERROR(_xlfn.XLOOKUP(B1874,repete!A:A,repete!A:A),"-")</f>
        <v>-</v>
      </c>
    </row>
    <row r="1875" spans="1:13" hidden="1">
      <c r="A1875" s="1">
        <v>46174</v>
      </c>
      <c r="B1875" t="s">
        <v>495</v>
      </c>
      <c r="C1875" t="s">
        <v>496</v>
      </c>
      <c r="D1875" t="s">
        <v>239</v>
      </c>
      <c r="E1875" t="s">
        <v>56</v>
      </c>
      <c r="F1875">
        <v>36</v>
      </c>
      <c r="G1875">
        <v>4</v>
      </c>
      <c r="H1875">
        <v>1.33022946458264E-3</v>
      </c>
      <c r="I1875">
        <v>0.11111111111111099</v>
      </c>
      <c r="J1875" s="14" t="str">
        <f>_xlfn.XLOOKUP(B1875,CAD_PDV!A:A,CAD_PDV!B:B)</f>
        <v>TELECELL TELEFONIA LTDA - ME</v>
      </c>
      <c r="K1875" s="14">
        <f>IF(IFERROR(_xlfn.XLOOKUP(B1875,Planilha2!D:D,Planilha2!H:H),0)="SIM",1,0)</f>
        <v>0</v>
      </c>
      <c r="L1875" s="14" t="str">
        <f>_xlfn.XLOOKUP(B1875,CAD_PDV!A:A,CAD_PDV!C:C)</f>
        <v>MG</v>
      </c>
      <c r="M1875" s="14" t="str">
        <f>IFERROR(_xlfn.XLOOKUP(B1875,repete!A:A,repete!A:A),"-")</f>
        <v>-</v>
      </c>
    </row>
    <row r="1876" spans="1:13" hidden="1">
      <c r="A1876" s="1">
        <v>46174</v>
      </c>
      <c r="B1876" t="s">
        <v>1478</v>
      </c>
      <c r="C1876" t="s">
        <v>1464</v>
      </c>
      <c r="D1876" t="s">
        <v>106</v>
      </c>
      <c r="E1876" t="s">
        <v>54</v>
      </c>
      <c r="F1876">
        <v>30</v>
      </c>
      <c r="G1876">
        <v>4</v>
      </c>
      <c r="H1876">
        <v>1.33022946458264E-3</v>
      </c>
      <c r="I1876">
        <v>0.133333333333333</v>
      </c>
      <c r="J1876" s="14" t="str">
        <f>_xlfn.XLOOKUP(B1876,CAD_PDV!A:A,CAD_PDV!B:B)</f>
        <v>CELLULAR.COM</v>
      </c>
      <c r="K1876" s="14">
        <f>IF(IFERROR(_xlfn.XLOOKUP(B1876,Planilha2!D:D,Planilha2!H:H),0)="SIM",1,0)</f>
        <v>0</v>
      </c>
      <c r="L1876" s="14" t="str">
        <f>_xlfn.XLOOKUP(B1876,CAD_PDV!A:A,CAD_PDV!C:C)</f>
        <v>SP2</v>
      </c>
      <c r="M1876" s="14" t="str">
        <f>IFERROR(_xlfn.XLOOKUP(B1876,repete!A:A,repete!A:A),"-")</f>
        <v>-</v>
      </c>
    </row>
    <row r="1877" spans="1:13" hidden="1">
      <c r="A1877" s="1">
        <v>46174</v>
      </c>
      <c r="B1877" t="s">
        <v>1920</v>
      </c>
      <c r="C1877" t="s">
        <v>1918</v>
      </c>
      <c r="D1877" t="s">
        <v>106</v>
      </c>
      <c r="E1877" t="s">
        <v>2074</v>
      </c>
      <c r="F1877">
        <v>35</v>
      </c>
      <c r="G1877">
        <v>4</v>
      </c>
      <c r="H1877">
        <v>1.33022946458264E-3</v>
      </c>
      <c r="I1877">
        <v>0.114285714285714</v>
      </c>
      <c r="J1877" s="14" t="str">
        <f>_xlfn.XLOOKUP(B1877,CAD_PDV!A:A,CAD_PDV!B:B)</f>
        <v>CELLULAR.COM</v>
      </c>
      <c r="K1877" s="14">
        <f>IF(IFERROR(_xlfn.XLOOKUP(B1877,Planilha2!D:D,Planilha2!H:H),0)="SIM",1,0)</f>
        <v>0</v>
      </c>
      <c r="L1877" s="14" t="str">
        <f>_xlfn.XLOOKUP(B1877,CAD_PDV!A:A,CAD_PDV!C:C)</f>
        <v>PR/SC</v>
      </c>
      <c r="M1877" s="14" t="str">
        <f>IFERROR(_xlfn.XLOOKUP(B1877,repete!A:A,repete!A:A),"-")</f>
        <v>-</v>
      </c>
    </row>
    <row r="1878" spans="1:13" hidden="1">
      <c r="A1878" s="1">
        <v>46174</v>
      </c>
      <c r="B1878" t="s">
        <v>1497</v>
      </c>
      <c r="C1878" t="s">
        <v>1499</v>
      </c>
      <c r="D1878" t="s">
        <v>132</v>
      </c>
      <c r="E1878" t="s">
        <v>54</v>
      </c>
      <c r="F1878">
        <v>74</v>
      </c>
      <c r="G1878">
        <v>4</v>
      </c>
      <c r="H1878">
        <v>1.33022946458264E-3</v>
      </c>
      <c r="I1878">
        <v>5.4054054054054099E-2</v>
      </c>
      <c r="J1878" s="14" t="str">
        <f>_xlfn.XLOOKUP(B1878,CAD_PDV!A:A,CAD_PDV!B:B)</f>
        <v>FLEX CELL</v>
      </c>
      <c r="K1878" s="14">
        <f>IF(IFERROR(_xlfn.XLOOKUP(B1878,Planilha2!D:D,Planilha2!H:H),0)="SIM",1,0)</f>
        <v>0</v>
      </c>
      <c r="L1878" s="14" t="str">
        <f>_xlfn.XLOOKUP(B1878,CAD_PDV!A:A,CAD_PDV!C:C)</f>
        <v>SP2</v>
      </c>
      <c r="M1878" s="14" t="str">
        <f>IFERROR(_xlfn.XLOOKUP(B1878,repete!A:A,repete!A:A),"-")</f>
        <v>-</v>
      </c>
    </row>
    <row r="1879" spans="1:13" hidden="1">
      <c r="A1879" s="1">
        <v>46174</v>
      </c>
      <c r="B1879" t="s">
        <v>1377</v>
      </c>
      <c r="C1879" t="s">
        <v>1375</v>
      </c>
      <c r="D1879" t="s">
        <v>229</v>
      </c>
      <c r="E1879" t="s">
        <v>53</v>
      </c>
      <c r="F1879">
        <v>101</v>
      </c>
      <c r="G1879">
        <v>4</v>
      </c>
      <c r="H1879">
        <v>1.33022946458264E-3</v>
      </c>
      <c r="I1879">
        <v>3.9603960396039598E-2</v>
      </c>
      <c r="J1879" s="14" t="str">
        <f>_xlfn.XLOOKUP(B1879,CAD_PDV!A:A,CAD_PDV!B:B)</f>
        <v>FW TELEFONIA LTDA - EPP</v>
      </c>
      <c r="K1879" s="14">
        <f>IF(IFERROR(_xlfn.XLOOKUP(B1879,Planilha2!D:D,Planilha2!H:H),0)="SIM",1,0)</f>
        <v>0</v>
      </c>
      <c r="L1879" s="14" t="str">
        <f>_xlfn.XLOOKUP(B1879,CAD_PDV!A:A,CAD_PDV!C:C)</f>
        <v>SP1</v>
      </c>
      <c r="M1879" s="14" t="str">
        <f>IFERROR(_xlfn.XLOOKUP(B1879,repete!A:A,repete!A:A),"-")</f>
        <v>6J3J</v>
      </c>
    </row>
    <row r="1880" spans="1:13" hidden="1">
      <c r="A1880" s="1">
        <v>46174</v>
      </c>
      <c r="B1880" t="s">
        <v>1143</v>
      </c>
      <c r="C1880" t="s">
        <v>1142</v>
      </c>
      <c r="D1880" t="s">
        <v>237</v>
      </c>
      <c r="E1880" t="s">
        <v>55</v>
      </c>
      <c r="F1880">
        <v>144</v>
      </c>
      <c r="G1880">
        <v>4</v>
      </c>
      <c r="H1880">
        <v>1.33022946458264E-3</v>
      </c>
      <c r="I1880">
        <v>2.7777777777777801E-2</v>
      </c>
      <c r="J1880" s="14" t="str">
        <f>_xlfn.XLOOKUP(B1880,CAD_PDV!A:A,CAD_PDV!B:B)</f>
        <v>PONTO CERTO COMERCIO E COMUNICAÇÕES LTDA</v>
      </c>
      <c r="K1880" s="14">
        <f>IF(IFERROR(_xlfn.XLOOKUP(B1880,Planilha2!D:D,Planilha2!H:H),0)="SIM",1,0)</f>
        <v>0</v>
      </c>
      <c r="L1880" s="14" t="str">
        <f>_xlfn.XLOOKUP(B1880,CAD_PDV!A:A,CAD_PDV!C:C)</f>
        <v>RJ/ES</v>
      </c>
      <c r="M1880" s="14" t="str">
        <f>IFERROR(_xlfn.XLOOKUP(B1880,repete!A:A,repete!A:A),"-")</f>
        <v>-</v>
      </c>
    </row>
    <row r="1881" spans="1:13" hidden="1">
      <c r="A1881" s="1">
        <v>46174</v>
      </c>
      <c r="B1881" t="s">
        <v>1216</v>
      </c>
      <c r="C1881" t="s">
        <v>1182</v>
      </c>
      <c r="D1881" t="s">
        <v>228</v>
      </c>
      <c r="E1881" t="s">
        <v>55</v>
      </c>
      <c r="F1881">
        <v>123</v>
      </c>
      <c r="G1881">
        <v>4</v>
      </c>
      <c r="H1881">
        <v>1.33022946458264E-3</v>
      </c>
      <c r="I1881">
        <v>3.2520325203252001E-2</v>
      </c>
      <c r="J1881" s="14" t="str">
        <f>_xlfn.XLOOKUP(B1881,CAD_PDV!A:A,CAD_PDV!B:B)</f>
        <v>FAJULUTI</v>
      </c>
      <c r="K1881" s="14">
        <f>IF(IFERROR(_xlfn.XLOOKUP(B1881,Planilha2!D:D,Planilha2!H:H),0)="SIM",1,0)</f>
        <v>0</v>
      </c>
      <c r="L1881" s="14" t="str">
        <f>_xlfn.XLOOKUP(B1881,CAD_PDV!A:A,CAD_PDV!C:C)</f>
        <v>RJ/ES</v>
      </c>
      <c r="M1881" s="14" t="str">
        <f>IFERROR(_xlfn.XLOOKUP(B1881,repete!A:A,repete!A:A),"-")</f>
        <v>-</v>
      </c>
    </row>
    <row r="1882" spans="1:13" hidden="1">
      <c r="A1882" s="1">
        <v>46174</v>
      </c>
      <c r="B1882" t="s">
        <v>1539</v>
      </c>
      <c r="C1882" t="s">
        <v>1540</v>
      </c>
      <c r="D1882" t="s">
        <v>119</v>
      </c>
      <c r="E1882" t="s">
        <v>54</v>
      </c>
      <c r="F1882">
        <v>22</v>
      </c>
      <c r="G1882">
        <v>4</v>
      </c>
      <c r="H1882">
        <v>1.33022946458264E-3</v>
      </c>
      <c r="I1882">
        <v>0.18181818181818199</v>
      </c>
      <c r="J1882" s="14" t="str">
        <f>_xlfn.XLOOKUP(B1882,CAD_PDV!A:A,CAD_PDV!B:B)</f>
        <v>DOM BARRETO COMERCIAL LTDA - ME</v>
      </c>
      <c r="K1882" s="14">
        <f>IF(IFERROR(_xlfn.XLOOKUP(B1882,Planilha2!D:D,Planilha2!H:H),0)="SIM",1,0)</f>
        <v>0</v>
      </c>
      <c r="L1882" s="14" t="str">
        <f>_xlfn.XLOOKUP(B1882,CAD_PDV!A:A,CAD_PDV!C:C)</f>
        <v>SP2</v>
      </c>
      <c r="M1882" s="14" t="str">
        <f>IFERROR(_xlfn.XLOOKUP(B1882,repete!A:A,repete!A:A),"-")</f>
        <v>-</v>
      </c>
    </row>
    <row r="1883" spans="1:13" hidden="1">
      <c r="A1883" s="1">
        <v>46174</v>
      </c>
      <c r="B1883" t="s">
        <v>2048</v>
      </c>
      <c r="C1883" t="s">
        <v>2049</v>
      </c>
      <c r="D1883" t="s">
        <v>193</v>
      </c>
      <c r="E1883" t="s">
        <v>2074</v>
      </c>
      <c r="F1883">
        <v>15</v>
      </c>
      <c r="G1883">
        <v>4</v>
      </c>
      <c r="H1883">
        <v>1.33022946458264E-3</v>
      </c>
      <c r="I1883">
        <v>0.266666666666667</v>
      </c>
      <c r="J1883" s="14" t="str">
        <f>_xlfn.XLOOKUP(B1883,CAD_PDV!A:A,CAD_PDV!B:B)</f>
        <v>S D COMERCIO DE CELULARES LTDA - ME</v>
      </c>
      <c r="K1883" s="14">
        <f>IF(IFERROR(_xlfn.XLOOKUP(B1883,Planilha2!D:D,Planilha2!H:H),0)="SIM",1,0)</f>
        <v>0</v>
      </c>
      <c r="L1883" s="14" t="str">
        <f>_xlfn.XLOOKUP(B1883,CAD_PDV!A:A,CAD_PDV!C:C)</f>
        <v>RS</v>
      </c>
      <c r="M1883" s="14" t="str">
        <f>IFERROR(_xlfn.XLOOKUP(B1883,repete!A:A,repete!A:A),"-")</f>
        <v>-</v>
      </c>
    </row>
    <row r="1884" spans="1:13" hidden="1">
      <c r="A1884" s="1">
        <v>46174</v>
      </c>
      <c r="B1884" t="s">
        <v>1988</v>
      </c>
      <c r="C1884" t="s">
        <v>1989</v>
      </c>
      <c r="D1884" t="s">
        <v>97</v>
      </c>
      <c r="E1884" t="s">
        <v>2074</v>
      </c>
      <c r="F1884">
        <v>23</v>
      </c>
      <c r="G1884">
        <v>4</v>
      </c>
      <c r="H1884">
        <v>1.33022946458264E-3</v>
      </c>
      <c r="I1884">
        <v>0.173913043478261</v>
      </c>
      <c r="J1884" s="14" t="str">
        <f>_xlfn.XLOOKUP(B1884,CAD_PDV!A:A,CAD_PDV!B:B)</f>
        <v>BANDEIRA</v>
      </c>
      <c r="K1884" s="14">
        <f>IF(IFERROR(_xlfn.XLOOKUP(B1884,Planilha2!D:D,Planilha2!H:H),0)="SIM",1,0)</f>
        <v>0</v>
      </c>
      <c r="L1884" s="14" t="str">
        <f>_xlfn.XLOOKUP(B1884,CAD_PDV!A:A,CAD_PDV!C:C)</f>
        <v>PR/SC</v>
      </c>
      <c r="M1884" s="14" t="str">
        <f>IFERROR(_xlfn.XLOOKUP(B1884,repete!A:A,repete!A:A),"-")</f>
        <v>-</v>
      </c>
    </row>
    <row r="1885" spans="1:13" hidden="1">
      <c r="A1885" s="1">
        <v>46174</v>
      </c>
      <c r="B1885" t="s">
        <v>1906</v>
      </c>
      <c r="C1885" t="s">
        <v>1904</v>
      </c>
      <c r="D1885" t="s">
        <v>97</v>
      </c>
      <c r="E1885" t="s">
        <v>2074</v>
      </c>
      <c r="F1885">
        <v>80</v>
      </c>
      <c r="G1885">
        <v>4</v>
      </c>
      <c r="H1885">
        <v>1.33022946458264E-3</v>
      </c>
      <c r="I1885">
        <v>0.05</v>
      </c>
      <c r="J1885" s="14" t="str">
        <f>_xlfn.XLOOKUP(B1885,CAD_PDV!A:A,CAD_PDV!B:B)</f>
        <v>BANDEIRA</v>
      </c>
      <c r="K1885" s="14">
        <f>IF(IFERROR(_xlfn.XLOOKUP(B1885,Planilha2!D:D,Planilha2!H:H),0)="SIM",1,0)</f>
        <v>0</v>
      </c>
      <c r="L1885" s="14" t="str">
        <f>_xlfn.XLOOKUP(B1885,CAD_PDV!A:A,CAD_PDV!C:C)</f>
        <v>PR/SC</v>
      </c>
      <c r="M1885" s="14" t="str">
        <f>IFERROR(_xlfn.XLOOKUP(B1885,repete!A:A,repete!A:A),"-")</f>
        <v>-</v>
      </c>
    </row>
    <row r="1886" spans="1:13" hidden="1">
      <c r="A1886" s="1">
        <v>46174</v>
      </c>
      <c r="B1886" t="s">
        <v>1551</v>
      </c>
      <c r="C1886" t="s">
        <v>1552</v>
      </c>
      <c r="D1886" t="s">
        <v>232</v>
      </c>
      <c r="E1886" t="s">
        <v>54</v>
      </c>
      <c r="F1886">
        <v>19</v>
      </c>
      <c r="G1886">
        <v>4</v>
      </c>
      <c r="H1886">
        <v>1.33022946458264E-3</v>
      </c>
      <c r="I1886">
        <v>0.21052631578947401</v>
      </c>
      <c r="J1886" s="14" t="str">
        <f>_xlfn.XLOOKUP(B1886,CAD_PDV!A:A,CAD_PDV!B:B)</f>
        <v>HS TELECOM</v>
      </c>
      <c r="K1886" s="14">
        <f>IF(IFERROR(_xlfn.XLOOKUP(B1886,Planilha2!D:D,Planilha2!H:H),0)="SIM",1,0)</f>
        <v>0</v>
      </c>
      <c r="L1886" s="14" t="str">
        <f>_xlfn.XLOOKUP(B1886,CAD_PDV!A:A,CAD_PDV!C:C)</f>
        <v>SP2</v>
      </c>
      <c r="M1886" s="14" t="str">
        <f>IFERROR(_xlfn.XLOOKUP(B1886,repete!A:A,repete!A:A),"-")</f>
        <v>-</v>
      </c>
    </row>
    <row r="1887" spans="1:13" hidden="1">
      <c r="A1887" s="1">
        <v>46174</v>
      </c>
      <c r="B1887" t="s">
        <v>655</v>
      </c>
      <c r="C1887" t="s">
        <v>649</v>
      </c>
      <c r="D1887" t="s">
        <v>239</v>
      </c>
      <c r="E1887" t="s">
        <v>59</v>
      </c>
      <c r="F1887">
        <v>54</v>
      </c>
      <c r="G1887">
        <v>4</v>
      </c>
      <c r="H1887">
        <v>1.33022946458264E-3</v>
      </c>
      <c r="I1887">
        <v>7.4074074074074098E-2</v>
      </c>
      <c r="J1887" s="14" t="str">
        <f>_xlfn.XLOOKUP(B1887,CAD_PDV!A:A,CAD_PDV!B:B)</f>
        <v>TELECELL TELEFONIA LTDA - ME</v>
      </c>
      <c r="K1887" s="14">
        <f>IF(IFERROR(_xlfn.XLOOKUP(B1887,Planilha2!D:D,Planilha2!H:H),0)="SIM",1,0)</f>
        <v>0</v>
      </c>
      <c r="L1887" s="14" t="str">
        <f>_xlfn.XLOOKUP(B1887,CAD_PDV!A:A,CAD_PDV!C:C)</f>
        <v>CO</v>
      </c>
      <c r="M1887" s="14" t="str">
        <f>IFERROR(_xlfn.XLOOKUP(B1887,repete!A:A,repete!A:A),"-")</f>
        <v>-</v>
      </c>
    </row>
    <row r="1888" spans="1:13" hidden="1">
      <c r="A1888" s="1">
        <v>46174</v>
      </c>
      <c r="B1888" t="s">
        <v>1572</v>
      </c>
      <c r="C1888" t="s">
        <v>1535</v>
      </c>
      <c r="D1888" t="s">
        <v>106</v>
      </c>
      <c r="E1888" t="s">
        <v>54</v>
      </c>
      <c r="F1888">
        <v>52</v>
      </c>
      <c r="G1888">
        <v>4</v>
      </c>
      <c r="H1888">
        <v>1.33022946458264E-3</v>
      </c>
      <c r="I1888">
        <v>7.69230769230769E-2</v>
      </c>
      <c r="J1888" s="14" t="str">
        <f>_xlfn.XLOOKUP(B1888,CAD_PDV!A:A,CAD_PDV!B:B)</f>
        <v>CELLULAR.COM</v>
      </c>
      <c r="K1888" s="14">
        <f>IF(IFERROR(_xlfn.XLOOKUP(B1888,Planilha2!D:D,Planilha2!H:H),0)="SIM",1,0)</f>
        <v>0</v>
      </c>
      <c r="L1888" s="14" t="str">
        <f>_xlfn.XLOOKUP(B1888,CAD_PDV!A:A,CAD_PDV!C:C)</f>
        <v>SP2</v>
      </c>
      <c r="M1888" s="14" t="str">
        <f>IFERROR(_xlfn.XLOOKUP(B1888,repete!A:A,repete!A:A),"-")</f>
        <v>-</v>
      </c>
    </row>
    <row r="1889" spans="1:13" hidden="1">
      <c r="A1889" s="1">
        <v>46174</v>
      </c>
      <c r="B1889" t="s">
        <v>1183</v>
      </c>
      <c r="C1889" t="s">
        <v>1185</v>
      </c>
      <c r="D1889" t="s">
        <v>228</v>
      </c>
      <c r="E1889" t="s">
        <v>55</v>
      </c>
      <c r="F1889">
        <v>35</v>
      </c>
      <c r="G1889">
        <v>4</v>
      </c>
      <c r="H1889">
        <v>1.33022946458264E-3</v>
      </c>
      <c r="I1889">
        <v>0.114285714285714</v>
      </c>
      <c r="J1889" s="14" t="str">
        <f>_xlfn.XLOOKUP(B1889,CAD_PDV!A:A,CAD_PDV!B:B)</f>
        <v>FAJULUTI</v>
      </c>
      <c r="K1889" s="14">
        <f>IF(IFERROR(_xlfn.XLOOKUP(B1889,Planilha2!D:D,Planilha2!H:H),0)="SIM",1,0)</f>
        <v>0</v>
      </c>
      <c r="L1889" s="14" t="str">
        <f>_xlfn.XLOOKUP(B1889,CAD_PDV!A:A,CAD_PDV!C:C)</f>
        <v>RJ/ES</v>
      </c>
      <c r="M1889" s="14" t="str">
        <f>IFERROR(_xlfn.XLOOKUP(B1889,repete!A:A,repete!A:A),"-")</f>
        <v>-</v>
      </c>
    </row>
    <row r="1890" spans="1:13" hidden="1">
      <c r="A1890" s="1">
        <v>46174</v>
      </c>
      <c r="B1890" t="s">
        <v>887</v>
      </c>
      <c r="C1890" t="s">
        <v>873</v>
      </c>
      <c r="D1890" t="s">
        <v>224</v>
      </c>
      <c r="E1890" t="s">
        <v>59</v>
      </c>
      <c r="F1890">
        <v>45</v>
      </c>
      <c r="G1890">
        <v>4</v>
      </c>
      <c r="H1890">
        <v>1.33022946458264E-3</v>
      </c>
      <c r="I1890">
        <v>8.8888888888888906E-2</v>
      </c>
      <c r="J1890" s="14" t="str">
        <f>_xlfn.XLOOKUP(B1890,CAD_PDV!A:A,CAD_PDV!B:B)</f>
        <v>CELNET COMERCIO E SERVICOS DE TELEFONIA LTDA ME</v>
      </c>
      <c r="K1890" s="14">
        <f>IF(IFERROR(_xlfn.XLOOKUP(B1890,Planilha2!D:D,Planilha2!H:H),0)="SIM",1,0)</f>
        <v>0</v>
      </c>
      <c r="L1890" s="14" t="str">
        <f>_xlfn.XLOOKUP(B1890,CAD_PDV!A:A,CAD_PDV!C:C)</f>
        <v>CO</v>
      </c>
      <c r="M1890" s="14" t="str">
        <f>IFERROR(_xlfn.XLOOKUP(B1890,repete!A:A,repete!A:A),"-")</f>
        <v>-</v>
      </c>
    </row>
    <row r="1891" spans="1:13" hidden="1">
      <c r="A1891" s="1">
        <v>46174</v>
      </c>
      <c r="B1891" t="s">
        <v>2027</v>
      </c>
      <c r="C1891" t="s">
        <v>2026</v>
      </c>
      <c r="D1891" t="s">
        <v>193</v>
      </c>
      <c r="E1891" t="s">
        <v>2074</v>
      </c>
      <c r="F1891">
        <v>55</v>
      </c>
      <c r="G1891">
        <v>4</v>
      </c>
      <c r="H1891">
        <v>1.33022946458264E-3</v>
      </c>
      <c r="I1891">
        <v>7.2727272727272696E-2</v>
      </c>
      <c r="J1891" s="14" t="str">
        <f>_xlfn.XLOOKUP(B1891,CAD_PDV!A:A,CAD_PDV!B:B)</f>
        <v>S D COMERCIO DE CELULARES LTDA - ME</v>
      </c>
      <c r="K1891" s="14">
        <f>IF(IFERROR(_xlfn.XLOOKUP(B1891,Planilha2!D:D,Planilha2!H:H),0)="SIM",1,0)</f>
        <v>0</v>
      </c>
      <c r="L1891" s="14" t="str">
        <f>_xlfn.XLOOKUP(B1891,CAD_PDV!A:A,CAD_PDV!C:C)</f>
        <v>RS</v>
      </c>
      <c r="M1891" s="14" t="str">
        <f>IFERROR(_xlfn.XLOOKUP(B1891,repete!A:A,repete!A:A),"-")</f>
        <v>-</v>
      </c>
    </row>
    <row r="1892" spans="1:13" hidden="1">
      <c r="A1892" s="1">
        <v>46174</v>
      </c>
      <c r="B1892" t="s">
        <v>1612</v>
      </c>
      <c r="C1892" t="s">
        <v>1547</v>
      </c>
      <c r="D1892" t="s">
        <v>132</v>
      </c>
      <c r="E1892" t="s">
        <v>54</v>
      </c>
      <c r="F1892">
        <v>73</v>
      </c>
      <c r="G1892">
        <v>4</v>
      </c>
      <c r="H1892">
        <v>1.33022946458264E-3</v>
      </c>
      <c r="I1892">
        <v>5.4794520547945202E-2</v>
      </c>
      <c r="J1892" s="14" t="str">
        <f>_xlfn.XLOOKUP(B1892,CAD_PDV!A:A,CAD_PDV!B:B)</f>
        <v>FLEX CELL</v>
      </c>
      <c r="K1892" s="14">
        <f>IF(IFERROR(_xlfn.XLOOKUP(B1892,Planilha2!D:D,Planilha2!H:H),0)="SIM",1,0)</f>
        <v>0</v>
      </c>
      <c r="L1892" s="14" t="str">
        <f>_xlfn.XLOOKUP(B1892,CAD_PDV!A:A,CAD_PDV!C:C)</f>
        <v>SP2</v>
      </c>
      <c r="M1892" s="14" t="str">
        <f>IFERROR(_xlfn.XLOOKUP(B1892,repete!A:A,repete!A:A),"-")</f>
        <v>-</v>
      </c>
    </row>
    <row r="1893" spans="1:13" hidden="1">
      <c r="A1893" s="1">
        <v>46174</v>
      </c>
      <c r="B1893" t="s">
        <v>1615</v>
      </c>
      <c r="C1893" t="s">
        <v>1616</v>
      </c>
      <c r="D1893" t="s">
        <v>132</v>
      </c>
      <c r="E1893" t="s">
        <v>54</v>
      </c>
      <c r="F1893">
        <v>42</v>
      </c>
      <c r="G1893">
        <v>4</v>
      </c>
      <c r="H1893">
        <v>1.33022946458264E-3</v>
      </c>
      <c r="I1893">
        <v>9.5238095238095205E-2</v>
      </c>
      <c r="J1893" s="14" t="str">
        <f>_xlfn.XLOOKUP(B1893,CAD_PDV!A:A,CAD_PDV!B:B)</f>
        <v>FLEX CELL</v>
      </c>
      <c r="K1893" s="14">
        <f>IF(IFERROR(_xlfn.XLOOKUP(B1893,Planilha2!D:D,Planilha2!H:H),0)="SIM",1,0)</f>
        <v>0</v>
      </c>
      <c r="L1893" s="14" t="str">
        <f>_xlfn.XLOOKUP(B1893,CAD_PDV!A:A,CAD_PDV!C:C)</f>
        <v>SP2</v>
      </c>
      <c r="M1893" s="14" t="str">
        <f>IFERROR(_xlfn.XLOOKUP(B1893,repete!A:A,repete!A:A),"-")</f>
        <v>-</v>
      </c>
    </row>
    <row r="1894" spans="1:13" hidden="1">
      <c r="A1894" s="1">
        <v>46174</v>
      </c>
      <c r="B1894" t="s">
        <v>1951</v>
      </c>
      <c r="C1894" t="s">
        <v>1952</v>
      </c>
      <c r="D1894" t="s">
        <v>176</v>
      </c>
      <c r="E1894" t="s">
        <v>2074</v>
      </c>
      <c r="F1894">
        <v>90</v>
      </c>
      <c r="G1894">
        <v>4</v>
      </c>
      <c r="H1894">
        <v>1.33022946458264E-3</v>
      </c>
      <c r="I1894">
        <v>4.4444444444444398E-2</v>
      </c>
      <c r="J1894" s="14" t="str">
        <f>_xlfn.XLOOKUP(B1894,CAD_PDV!A:A,CAD_PDV!B:B)</f>
        <v>NEW POINT CELULAR LTDA - ME</v>
      </c>
      <c r="K1894" s="14">
        <f>IF(IFERROR(_xlfn.XLOOKUP(B1894,Planilha2!D:D,Planilha2!H:H),0)="SIM",1,0)</f>
        <v>0</v>
      </c>
      <c r="L1894" s="14" t="str">
        <f>_xlfn.XLOOKUP(B1894,CAD_PDV!A:A,CAD_PDV!C:C)</f>
        <v>RS</v>
      </c>
      <c r="M1894" s="14" t="str">
        <f>IFERROR(_xlfn.XLOOKUP(B1894,repete!A:A,repete!A:A),"-")</f>
        <v>-</v>
      </c>
    </row>
    <row r="1895" spans="1:13" hidden="1">
      <c r="A1895" s="1">
        <v>46174</v>
      </c>
      <c r="B1895" t="s">
        <v>1365</v>
      </c>
      <c r="C1895" t="s">
        <v>1366</v>
      </c>
      <c r="D1895" t="s">
        <v>132</v>
      </c>
      <c r="E1895" t="s">
        <v>53</v>
      </c>
      <c r="F1895">
        <v>74</v>
      </c>
      <c r="G1895">
        <v>4</v>
      </c>
      <c r="H1895">
        <v>1.33022946458264E-3</v>
      </c>
      <c r="I1895">
        <v>5.4054054054054099E-2</v>
      </c>
      <c r="J1895" s="14" t="str">
        <f>_xlfn.XLOOKUP(B1895,CAD_PDV!A:A,CAD_PDV!B:B)</f>
        <v>FLEX CELL</v>
      </c>
      <c r="K1895" s="14">
        <f>IF(IFERROR(_xlfn.XLOOKUP(B1895,Planilha2!D:D,Planilha2!H:H),0)="SIM",1,0)</f>
        <v>0</v>
      </c>
      <c r="L1895" s="14" t="str">
        <f>_xlfn.XLOOKUP(B1895,CAD_PDV!A:A,CAD_PDV!C:C)</f>
        <v>SP1</v>
      </c>
      <c r="M1895" s="14" t="str">
        <f>IFERROR(_xlfn.XLOOKUP(B1895,repete!A:A,repete!A:A),"-")</f>
        <v>-</v>
      </c>
    </row>
    <row r="1896" spans="1:13" hidden="1">
      <c r="A1896" s="1">
        <v>46174</v>
      </c>
      <c r="B1896" t="s">
        <v>1629</v>
      </c>
      <c r="C1896" t="s">
        <v>1464</v>
      </c>
      <c r="D1896" t="s">
        <v>132</v>
      </c>
      <c r="E1896" t="s">
        <v>54</v>
      </c>
      <c r="F1896">
        <v>34</v>
      </c>
      <c r="G1896">
        <v>4</v>
      </c>
      <c r="H1896">
        <v>1.33022946458264E-3</v>
      </c>
      <c r="I1896">
        <v>0.11764705882352899</v>
      </c>
      <c r="J1896" s="14" t="str">
        <f>_xlfn.XLOOKUP(B1896,CAD_PDV!A:A,CAD_PDV!B:B)</f>
        <v>FLEX CELL</v>
      </c>
      <c r="K1896" s="14">
        <f>IF(IFERROR(_xlfn.XLOOKUP(B1896,Planilha2!D:D,Planilha2!H:H),0)="SIM",1,0)</f>
        <v>0</v>
      </c>
      <c r="L1896" s="14" t="str">
        <f>_xlfn.XLOOKUP(B1896,CAD_PDV!A:A,CAD_PDV!C:C)</f>
        <v>SP2</v>
      </c>
      <c r="M1896" s="14" t="str">
        <f>IFERROR(_xlfn.XLOOKUP(B1896,repete!A:A,repete!A:A),"-")</f>
        <v>-</v>
      </c>
    </row>
    <row r="1897" spans="1:13" hidden="1">
      <c r="A1897" s="1">
        <v>46174</v>
      </c>
      <c r="B1897" t="s">
        <v>1642</v>
      </c>
      <c r="C1897" t="s">
        <v>1643</v>
      </c>
      <c r="D1897" t="s">
        <v>223</v>
      </c>
      <c r="E1897" t="s">
        <v>54</v>
      </c>
      <c r="F1897">
        <v>32</v>
      </c>
      <c r="G1897">
        <v>4</v>
      </c>
      <c r="H1897">
        <v>1.33022946458264E-3</v>
      </c>
      <c r="I1897">
        <v>0.125</v>
      </c>
      <c r="J1897" s="14" t="str">
        <f>_xlfn.XLOOKUP(B1897,CAD_PDV!A:A,CAD_PDV!B:B)</f>
        <v>BONELI BIAZI CELULARES EIRELI - ME</v>
      </c>
      <c r="K1897" s="14">
        <f>IF(IFERROR(_xlfn.XLOOKUP(B1897,Planilha2!D:D,Planilha2!H:H),0)="SIM",1,0)</f>
        <v>0</v>
      </c>
      <c r="L1897" s="14" t="str">
        <f>_xlfn.XLOOKUP(B1897,CAD_PDV!A:A,CAD_PDV!C:C)</f>
        <v>SP2</v>
      </c>
      <c r="M1897" s="14" t="str">
        <f>IFERROR(_xlfn.XLOOKUP(B1897,repete!A:A,repete!A:A),"-")</f>
        <v>-</v>
      </c>
    </row>
    <row r="1898" spans="1:13" hidden="1">
      <c r="A1898" s="1">
        <v>46174</v>
      </c>
      <c r="B1898" t="s">
        <v>2081</v>
      </c>
      <c r="C1898" t="s">
        <v>619</v>
      </c>
      <c r="D1898" t="s">
        <v>224</v>
      </c>
      <c r="E1898" t="s">
        <v>59</v>
      </c>
      <c r="F1898">
        <v>122</v>
      </c>
      <c r="G1898">
        <v>4</v>
      </c>
      <c r="H1898">
        <v>1.33022946458264E-3</v>
      </c>
      <c r="I1898">
        <v>3.2786885245901599E-2</v>
      </c>
      <c r="J1898" s="14" t="str">
        <f>_xlfn.XLOOKUP(B1898,CAD_PDV!A:A,CAD_PDV!B:B)</f>
        <v>CELNET COMERCIO E SERVICOS DE TELEFONIA LTDA ME</v>
      </c>
      <c r="K1898" s="14">
        <f>IF(IFERROR(_xlfn.XLOOKUP(B1898,Planilha2!D:D,Planilha2!H:H),0)="SIM",1,0)</f>
        <v>0</v>
      </c>
      <c r="L1898" s="14" t="str">
        <f>_xlfn.XLOOKUP(B1898,CAD_PDV!A:A,CAD_PDV!C:C)</f>
        <v>CO</v>
      </c>
      <c r="M1898" s="14" t="str">
        <f>IFERROR(_xlfn.XLOOKUP(B1898,repete!A:A,repete!A:A),"-")</f>
        <v>-</v>
      </c>
    </row>
    <row r="1899" spans="1:13" hidden="1">
      <c r="A1899" s="1">
        <v>46174</v>
      </c>
      <c r="B1899" t="s">
        <v>1665</v>
      </c>
      <c r="C1899" t="s">
        <v>1666</v>
      </c>
      <c r="D1899" t="s">
        <v>232</v>
      </c>
      <c r="E1899" t="s">
        <v>54</v>
      </c>
      <c r="F1899">
        <v>54</v>
      </c>
      <c r="G1899">
        <v>4</v>
      </c>
      <c r="H1899">
        <v>1.33022946458264E-3</v>
      </c>
      <c r="I1899">
        <v>7.4074074074074098E-2</v>
      </c>
      <c r="J1899" s="14" t="str">
        <f>_xlfn.XLOOKUP(B1899,CAD_PDV!A:A,CAD_PDV!B:B)</f>
        <v>HS TELECOM</v>
      </c>
      <c r="K1899" s="14">
        <f>IF(IFERROR(_xlfn.XLOOKUP(B1899,Planilha2!D:D,Planilha2!H:H),0)="SIM",1,0)</f>
        <v>0</v>
      </c>
      <c r="L1899" s="14" t="str">
        <f>_xlfn.XLOOKUP(B1899,CAD_PDV!A:A,CAD_PDV!C:C)</f>
        <v>SP2</v>
      </c>
      <c r="M1899" s="14" t="str">
        <f>IFERROR(_xlfn.XLOOKUP(B1899,repete!A:A,repete!A:A),"-")</f>
        <v>-</v>
      </c>
    </row>
    <row r="1900" spans="1:13" hidden="1">
      <c r="A1900" s="1">
        <v>46174</v>
      </c>
      <c r="B1900" t="s">
        <v>539</v>
      </c>
      <c r="C1900" t="s">
        <v>433</v>
      </c>
      <c r="D1900" t="s">
        <v>106</v>
      </c>
      <c r="E1900" t="s">
        <v>56</v>
      </c>
      <c r="F1900">
        <v>39</v>
      </c>
      <c r="G1900">
        <v>4</v>
      </c>
      <c r="H1900">
        <v>1.33022946458264E-3</v>
      </c>
      <c r="I1900">
        <v>0.102564102564103</v>
      </c>
      <c r="J1900" s="14" t="str">
        <f>_xlfn.XLOOKUP(B1900,CAD_PDV!A:A,CAD_PDV!B:B)</f>
        <v>CELLULAR.COM</v>
      </c>
      <c r="K1900" s="14">
        <f>IF(IFERROR(_xlfn.XLOOKUP(B1900,Planilha2!D:D,Planilha2!H:H),0)="SIM",1,0)</f>
        <v>0</v>
      </c>
      <c r="L1900" s="14" t="str">
        <f>_xlfn.XLOOKUP(B1900,CAD_PDV!A:A,CAD_PDV!C:C)</f>
        <v>MG</v>
      </c>
      <c r="M1900" s="14" t="str">
        <f>IFERROR(_xlfn.XLOOKUP(B1900,repete!A:A,repete!A:A),"-")</f>
        <v>-</v>
      </c>
    </row>
    <row r="1901" spans="1:13" hidden="1">
      <c r="A1901" s="1">
        <v>46174</v>
      </c>
      <c r="B1901" t="s">
        <v>1699</v>
      </c>
      <c r="C1901" t="s">
        <v>1700</v>
      </c>
      <c r="D1901" t="s">
        <v>106</v>
      </c>
      <c r="E1901" t="s">
        <v>54</v>
      </c>
      <c r="F1901">
        <v>80</v>
      </c>
      <c r="G1901">
        <v>4</v>
      </c>
      <c r="H1901">
        <v>1.33022946458264E-3</v>
      </c>
      <c r="I1901">
        <v>0.05</v>
      </c>
      <c r="J1901" s="14" t="str">
        <f>_xlfn.XLOOKUP(B1901,CAD_PDV!A:A,CAD_PDV!B:B)</f>
        <v>CELLULAR.COM</v>
      </c>
      <c r="K1901" s="14">
        <f>IF(IFERROR(_xlfn.XLOOKUP(B1901,Planilha2!D:D,Planilha2!H:H),0)="SIM",1,0)</f>
        <v>0</v>
      </c>
      <c r="L1901" s="14" t="str">
        <f>_xlfn.XLOOKUP(B1901,CAD_PDV!A:A,CAD_PDV!C:C)</f>
        <v>SP2</v>
      </c>
      <c r="M1901" s="14" t="str">
        <f>IFERROR(_xlfn.XLOOKUP(B1901,repete!A:A,repete!A:A),"-")</f>
        <v>-</v>
      </c>
    </row>
    <row r="1902" spans="1:13" hidden="1">
      <c r="A1902" s="1">
        <v>46174</v>
      </c>
      <c r="B1902" t="s">
        <v>1707</v>
      </c>
      <c r="C1902" t="s">
        <v>1521</v>
      </c>
      <c r="D1902" t="s">
        <v>132</v>
      </c>
      <c r="E1902" t="s">
        <v>54</v>
      </c>
      <c r="F1902">
        <v>24</v>
      </c>
      <c r="G1902">
        <v>4</v>
      </c>
      <c r="H1902">
        <v>1.33022946458264E-3</v>
      </c>
      <c r="I1902">
        <v>0.16666666666666699</v>
      </c>
      <c r="J1902" s="14" t="str">
        <f>_xlfn.XLOOKUP(B1902,CAD_PDV!A:A,CAD_PDV!B:B)</f>
        <v>FLEX CELL</v>
      </c>
      <c r="K1902" s="14">
        <f>IF(IFERROR(_xlfn.XLOOKUP(B1902,Planilha2!D:D,Planilha2!H:H),0)="SIM",1,0)</f>
        <v>0</v>
      </c>
      <c r="L1902" s="14" t="str">
        <f>_xlfn.XLOOKUP(B1902,CAD_PDV!A:A,CAD_PDV!C:C)</f>
        <v>SP2</v>
      </c>
      <c r="M1902" s="14" t="str">
        <f>IFERROR(_xlfn.XLOOKUP(B1902,repete!A:A,repete!A:A),"-")</f>
        <v>-</v>
      </c>
    </row>
    <row r="1903" spans="1:13" hidden="1">
      <c r="A1903" s="1">
        <v>46174</v>
      </c>
      <c r="B1903" t="s">
        <v>640</v>
      </c>
      <c r="C1903" t="s">
        <v>641</v>
      </c>
      <c r="D1903" t="s">
        <v>221</v>
      </c>
      <c r="E1903" t="s">
        <v>59</v>
      </c>
      <c r="F1903">
        <v>60</v>
      </c>
      <c r="G1903">
        <v>4</v>
      </c>
      <c r="H1903">
        <v>1.33022946458264E-3</v>
      </c>
      <c r="I1903">
        <v>6.6666666666666693E-2</v>
      </c>
      <c r="J1903" s="14" t="str">
        <f>_xlfn.XLOOKUP(B1903,CAD_PDV!A:A,CAD_PDV!B:B)</f>
        <v>AMERICOM COMERCIO DE APARELHOS ELETRONICOS LTDA - EPP</v>
      </c>
      <c r="K1903" s="14">
        <f>IF(IFERROR(_xlfn.XLOOKUP(B1903,Planilha2!D:D,Planilha2!H:H),0)="SIM",1,0)</f>
        <v>0</v>
      </c>
      <c r="L1903" s="14" t="str">
        <f>_xlfn.XLOOKUP(B1903,CAD_PDV!A:A,CAD_PDV!C:C)</f>
        <v>CO</v>
      </c>
      <c r="M1903" s="14" t="str">
        <f>IFERROR(_xlfn.XLOOKUP(B1903,repete!A:A,repete!A:A),"-")</f>
        <v>-</v>
      </c>
    </row>
    <row r="1904" spans="1:13" hidden="1">
      <c r="A1904" s="1">
        <v>46174</v>
      </c>
      <c r="B1904" t="s">
        <v>760</v>
      </c>
      <c r="C1904" t="s">
        <v>616</v>
      </c>
      <c r="D1904" t="s">
        <v>239</v>
      </c>
      <c r="E1904" t="s">
        <v>59</v>
      </c>
      <c r="F1904">
        <v>35</v>
      </c>
      <c r="G1904">
        <v>4</v>
      </c>
      <c r="H1904">
        <v>1.33022946458264E-3</v>
      </c>
      <c r="I1904">
        <v>0.114285714285714</v>
      </c>
      <c r="J1904" s="14" t="str">
        <f>_xlfn.XLOOKUP(B1904,CAD_PDV!A:A,CAD_PDV!B:B)</f>
        <v>TELECELL TELEFONIA LTDA - ME</v>
      </c>
      <c r="K1904" s="14">
        <f>IF(IFERROR(_xlfn.XLOOKUP(B1904,Planilha2!D:D,Planilha2!H:H),0)="SIM",1,0)</f>
        <v>0</v>
      </c>
      <c r="L1904" s="14" t="str">
        <f>_xlfn.XLOOKUP(B1904,CAD_PDV!A:A,CAD_PDV!C:C)</f>
        <v>CO</v>
      </c>
      <c r="M1904" s="14" t="str">
        <f>IFERROR(_xlfn.XLOOKUP(B1904,repete!A:A,repete!A:A),"-")</f>
        <v>-</v>
      </c>
    </row>
    <row r="1905" spans="1:13" hidden="1">
      <c r="A1905" s="1">
        <v>46174</v>
      </c>
      <c r="B1905" t="s">
        <v>472</v>
      </c>
      <c r="C1905" t="s">
        <v>475</v>
      </c>
      <c r="D1905" t="s">
        <v>228</v>
      </c>
      <c r="E1905" t="s">
        <v>56</v>
      </c>
      <c r="F1905">
        <v>37</v>
      </c>
      <c r="G1905">
        <v>4</v>
      </c>
      <c r="H1905">
        <v>1.33022946458264E-3</v>
      </c>
      <c r="I1905">
        <v>0.108108108108108</v>
      </c>
      <c r="J1905" s="14" t="str">
        <f>_xlfn.XLOOKUP(B1905,CAD_PDV!A:A,CAD_PDV!B:B)</f>
        <v>FAJULUTI</v>
      </c>
      <c r="K1905" s="14">
        <f>IF(IFERROR(_xlfn.XLOOKUP(B1905,Planilha2!D:D,Planilha2!H:H),0)="SIM",1,0)</f>
        <v>0</v>
      </c>
      <c r="L1905" s="14" t="str">
        <f>_xlfn.XLOOKUP(B1905,CAD_PDV!A:A,CAD_PDV!C:C)</f>
        <v>MG</v>
      </c>
      <c r="M1905" s="14" t="str">
        <f>IFERROR(_xlfn.XLOOKUP(B1905,repete!A:A,repete!A:A),"-")</f>
        <v>-</v>
      </c>
    </row>
    <row r="1906" spans="1:13" hidden="1">
      <c r="A1906" s="1">
        <v>46174</v>
      </c>
      <c r="B1906" t="s">
        <v>1721</v>
      </c>
      <c r="C1906" t="s">
        <v>1722</v>
      </c>
      <c r="D1906" t="s">
        <v>112</v>
      </c>
      <c r="E1906" t="s">
        <v>54</v>
      </c>
      <c r="F1906">
        <v>42</v>
      </c>
      <c r="G1906">
        <v>4</v>
      </c>
      <c r="H1906">
        <v>1.33022946458264E-3</v>
      </c>
      <c r="I1906">
        <v>9.5238095238095205E-2</v>
      </c>
      <c r="J1906" s="14" t="str">
        <f>_xlfn.XLOOKUP(B1906,CAD_PDV!A:A,CAD_PDV!B:B)</f>
        <v>CONVERGE.NET REPRESENTACOES COMERCIAIS LTDA - EPP</v>
      </c>
      <c r="K1906" s="14">
        <f>IF(IFERROR(_xlfn.XLOOKUP(B1906,Planilha2!D:D,Planilha2!H:H),0)="SIM",1,0)</f>
        <v>0</v>
      </c>
      <c r="L1906" s="14" t="str">
        <f>_xlfn.XLOOKUP(B1906,CAD_PDV!A:A,CAD_PDV!C:C)</f>
        <v>SP2</v>
      </c>
      <c r="M1906" s="14" t="str">
        <f>IFERROR(_xlfn.XLOOKUP(B1906,repete!A:A,repete!A:A),"-")</f>
        <v>-</v>
      </c>
    </row>
    <row r="1907" spans="1:13" hidden="1">
      <c r="A1907" s="1">
        <v>46174</v>
      </c>
      <c r="B1907" t="s">
        <v>1406</v>
      </c>
      <c r="C1907" t="s">
        <v>1366</v>
      </c>
      <c r="D1907" t="s">
        <v>106</v>
      </c>
      <c r="E1907" t="s">
        <v>53</v>
      </c>
      <c r="F1907">
        <v>52</v>
      </c>
      <c r="G1907">
        <v>4</v>
      </c>
      <c r="H1907">
        <v>1.33022946458264E-3</v>
      </c>
      <c r="I1907">
        <v>7.69230769230769E-2</v>
      </c>
      <c r="J1907" s="14" t="str">
        <f>_xlfn.XLOOKUP(B1907,CAD_PDV!A:A,CAD_PDV!B:B)</f>
        <v>CELLULAR.COM</v>
      </c>
      <c r="K1907" s="14">
        <f>IF(IFERROR(_xlfn.XLOOKUP(B1907,Planilha2!D:D,Planilha2!H:H),0)="SIM",1,0)</f>
        <v>0</v>
      </c>
      <c r="L1907" s="14" t="str">
        <f>_xlfn.XLOOKUP(B1907,CAD_PDV!A:A,CAD_PDV!C:C)</f>
        <v>SP1</v>
      </c>
      <c r="M1907" s="14" t="str">
        <f>IFERROR(_xlfn.XLOOKUP(B1907,repete!A:A,repete!A:A),"-")</f>
        <v>-</v>
      </c>
    </row>
    <row r="1908" spans="1:13" hidden="1">
      <c r="A1908" s="1">
        <v>46174</v>
      </c>
      <c r="B1908" t="s">
        <v>937</v>
      </c>
      <c r="C1908" t="s">
        <v>940</v>
      </c>
      <c r="D1908" t="s">
        <v>236</v>
      </c>
      <c r="E1908" t="s">
        <v>60</v>
      </c>
      <c r="F1908">
        <v>26</v>
      </c>
      <c r="G1908">
        <v>3</v>
      </c>
      <c r="H1908">
        <v>9.9767209843697993E-4</v>
      </c>
      <c r="I1908">
        <v>0.115384615384615</v>
      </c>
      <c r="J1908" s="14" t="str">
        <f>_xlfn.XLOOKUP(B1908,CAD_PDV!A:A,CAD_PDV!B:B)</f>
        <v>PAULA C L NIELLA EIRELI</v>
      </c>
      <c r="K1908" s="14">
        <f>IF(IFERROR(_xlfn.XLOOKUP(B1908,Planilha2!D:D,Planilha2!H:H),0)="SIM",1,0)</f>
        <v>0</v>
      </c>
      <c r="L1908" s="14" t="str">
        <f>_xlfn.XLOOKUP(B1908,CAD_PDV!A:A,CAD_PDV!C:C)</f>
        <v>BA/SE</v>
      </c>
      <c r="M1908" s="14" t="str">
        <f>IFERROR(_xlfn.XLOOKUP(B1908,repete!A:A,repete!A:A),"-")</f>
        <v>-</v>
      </c>
    </row>
    <row r="1909" spans="1:13" hidden="1">
      <c r="A1909" s="1">
        <v>46174</v>
      </c>
      <c r="B1909" t="s">
        <v>1816</v>
      </c>
      <c r="C1909" t="s">
        <v>1817</v>
      </c>
      <c r="D1909" t="s">
        <v>95</v>
      </c>
      <c r="E1909" t="s">
        <v>2074</v>
      </c>
      <c r="F1909">
        <v>58</v>
      </c>
      <c r="G1909">
        <v>3</v>
      </c>
      <c r="H1909">
        <v>9.9767209843697993E-4</v>
      </c>
      <c r="I1909">
        <v>5.1724137931034503E-2</v>
      </c>
      <c r="J1909" s="14" t="str">
        <f>_xlfn.XLOOKUP(B1909,CAD_PDV!A:A,CAD_PDV!B:B)</f>
        <v>AYRES E DEBONI LTDA - ME</v>
      </c>
      <c r="K1909" s="14">
        <f>IF(IFERROR(_xlfn.XLOOKUP(B1909,Planilha2!D:D,Planilha2!H:H),0)="SIM",1,0)</f>
        <v>0</v>
      </c>
      <c r="L1909" s="14" t="str">
        <f>_xlfn.XLOOKUP(B1909,CAD_PDV!A:A,CAD_PDV!C:C)</f>
        <v>RS</v>
      </c>
      <c r="M1909" s="14" t="str">
        <f>IFERROR(_xlfn.XLOOKUP(B1909,repete!A:A,repete!A:A),"-")</f>
        <v>-</v>
      </c>
    </row>
    <row r="1910" spans="1:13" hidden="1">
      <c r="A1910" s="1">
        <v>46174</v>
      </c>
      <c r="B1910" t="s">
        <v>1351</v>
      </c>
      <c r="C1910" t="s">
        <v>1313</v>
      </c>
      <c r="D1910" t="s">
        <v>132</v>
      </c>
      <c r="E1910" t="s">
        <v>53</v>
      </c>
      <c r="F1910">
        <v>93</v>
      </c>
      <c r="G1910">
        <v>3</v>
      </c>
      <c r="H1910">
        <v>9.9767209843697993E-4</v>
      </c>
      <c r="I1910">
        <v>3.2258064516128997E-2</v>
      </c>
      <c r="J1910" s="14" t="str">
        <f>_xlfn.XLOOKUP(B1910,CAD_PDV!A:A,CAD_PDV!B:B)</f>
        <v>FLEX CELL</v>
      </c>
      <c r="K1910" s="14">
        <f>IF(IFERROR(_xlfn.XLOOKUP(B1910,Planilha2!D:D,Planilha2!H:H),0)="SIM",1,0)</f>
        <v>0</v>
      </c>
      <c r="L1910" s="14" t="str">
        <f>_xlfn.XLOOKUP(B1910,CAD_PDV!A:A,CAD_PDV!C:C)</f>
        <v>SP1</v>
      </c>
      <c r="M1910" s="14" t="str">
        <f>IFERROR(_xlfn.XLOOKUP(B1910,repete!A:A,repete!A:A),"-")</f>
        <v>-</v>
      </c>
    </row>
    <row r="1911" spans="1:13" hidden="1">
      <c r="A1911" s="1">
        <v>46174</v>
      </c>
      <c r="B1911" t="s">
        <v>2018</v>
      </c>
      <c r="C1911" t="s">
        <v>2019</v>
      </c>
      <c r="D1911" t="s">
        <v>106</v>
      </c>
      <c r="E1911" t="s">
        <v>2074</v>
      </c>
      <c r="F1911">
        <v>21</v>
      </c>
      <c r="G1911">
        <v>3</v>
      </c>
      <c r="H1911">
        <v>9.9767209843697993E-4</v>
      </c>
      <c r="I1911">
        <v>0.14285714285714299</v>
      </c>
      <c r="J1911" s="14" t="str">
        <f>_xlfn.XLOOKUP(B1911,CAD_PDV!A:A,CAD_PDV!B:B)</f>
        <v>CELLULAR.COM</v>
      </c>
      <c r="K1911" s="14">
        <f>IF(IFERROR(_xlfn.XLOOKUP(B1911,Planilha2!D:D,Planilha2!H:H),0)="SIM",1,0)</f>
        <v>0</v>
      </c>
      <c r="L1911" s="14" t="str">
        <f>_xlfn.XLOOKUP(B1911,CAD_PDV!A:A,CAD_PDV!C:C)</f>
        <v>PR/SC</v>
      </c>
      <c r="M1911" s="14" t="str">
        <f>IFERROR(_xlfn.XLOOKUP(B1911,repete!A:A,repete!A:A),"-")</f>
        <v>-</v>
      </c>
    </row>
    <row r="1912" spans="1:13" hidden="1">
      <c r="A1912" s="1">
        <v>46174</v>
      </c>
      <c r="B1912" t="s">
        <v>710</v>
      </c>
      <c r="C1912" t="s">
        <v>711</v>
      </c>
      <c r="D1912" t="s">
        <v>239</v>
      </c>
      <c r="E1912" t="s">
        <v>59</v>
      </c>
      <c r="F1912">
        <v>22</v>
      </c>
      <c r="G1912">
        <v>3</v>
      </c>
      <c r="H1912">
        <v>9.9767209843697993E-4</v>
      </c>
      <c r="I1912">
        <v>0.13636363636363599</v>
      </c>
      <c r="J1912" s="14" t="str">
        <f>_xlfn.XLOOKUP(B1912,CAD_PDV!A:A,CAD_PDV!B:B)</f>
        <v>TELECELL TELEFONIA LTDA - ME</v>
      </c>
      <c r="K1912" s="14">
        <f>IF(IFERROR(_xlfn.XLOOKUP(B1912,Planilha2!D:D,Planilha2!H:H),0)="SIM",1,0)</f>
        <v>0</v>
      </c>
      <c r="L1912" s="14" t="str">
        <f>_xlfn.XLOOKUP(B1912,CAD_PDV!A:A,CAD_PDV!C:C)</f>
        <v>CO</v>
      </c>
      <c r="M1912" s="14" t="str">
        <f>IFERROR(_xlfn.XLOOKUP(B1912,repete!A:A,repete!A:A),"-")</f>
        <v>-</v>
      </c>
    </row>
    <row r="1913" spans="1:13" hidden="1">
      <c r="A1913" s="1">
        <v>46174</v>
      </c>
      <c r="B1913" t="s">
        <v>1788</v>
      </c>
      <c r="C1913" t="s">
        <v>1789</v>
      </c>
      <c r="D1913" t="s">
        <v>103</v>
      </c>
      <c r="E1913" t="s">
        <v>2074</v>
      </c>
      <c r="F1913">
        <v>46</v>
      </c>
      <c r="G1913">
        <v>3</v>
      </c>
      <c r="H1913">
        <v>9.9767209843697993E-4</v>
      </c>
      <c r="I1913">
        <v>6.5217391304347797E-2</v>
      </c>
      <c r="J1913" s="14" t="str">
        <f>_xlfn.XLOOKUP(B1913,CAD_PDV!A:A,CAD_PDV!B:B)</f>
        <v>CARLOS EDUARDO SAVIAN - EPP</v>
      </c>
      <c r="K1913" s="14">
        <f>IF(IFERROR(_xlfn.XLOOKUP(B1913,Planilha2!D:D,Planilha2!H:H),0)="SIM",1,0)</f>
        <v>0</v>
      </c>
      <c r="L1913" s="14" t="str">
        <f>_xlfn.XLOOKUP(B1913,CAD_PDV!A:A,CAD_PDV!C:C)</f>
        <v>PR/SC</v>
      </c>
      <c r="M1913" s="14" t="str">
        <f>IFERROR(_xlfn.XLOOKUP(B1913,repete!A:A,repete!A:A),"-")</f>
        <v>-</v>
      </c>
    </row>
    <row r="1914" spans="1:13" hidden="1">
      <c r="A1914" s="1">
        <v>46174</v>
      </c>
      <c r="B1914" t="s">
        <v>1452</v>
      </c>
      <c r="C1914" t="s">
        <v>1454</v>
      </c>
      <c r="D1914" t="s">
        <v>106</v>
      </c>
      <c r="E1914" t="s">
        <v>54</v>
      </c>
      <c r="F1914">
        <v>56</v>
      </c>
      <c r="G1914">
        <v>3</v>
      </c>
      <c r="H1914">
        <v>9.9767209843697993E-4</v>
      </c>
      <c r="I1914">
        <v>5.3571428571428603E-2</v>
      </c>
      <c r="J1914" s="14" t="str">
        <f>_xlfn.XLOOKUP(B1914,CAD_PDV!A:A,CAD_PDV!B:B)</f>
        <v>CELLULAR.COM</v>
      </c>
      <c r="K1914" s="14">
        <f>IF(IFERROR(_xlfn.XLOOKUP(B1914,Planilha2!D:D,Planilha2!H:H),0)="SIM",1,0)</f>
        <v>0</v>
      </c>
      <c r="L1914" s="14" t="str">
        <f>_xlfn.XLOOKUP(B1914,CAD_PDV!A:A,CAD_PDV!C:C)</f>
        <v>SP2</v>
      </c>
      <c r="M1914" s="14" t="str">
        <f>IFERROR(_xlfn.XLOOKUP(B1914,repete!A:A,repete!A:A),"-")</f>
        <v>-</v>
      </c>
    </row>
    <row r="1915" spans="1:13" hidden="1">
      <c r="A1915" s="1">
        <v>46174</v>
      </c>
      <c r="B1915" t="s">
        <v>743</v>
      </c>
      <c r="C1915" t="s">
        <v>619</v>
      </c>
      <c r="D1915" t="s">
        <v>240</v>
      </c>
      <c r="E1915" t="s">
        <v>59</v>
      </c>
      <c r="F1915">
        <v>25</v>
      </c>
      <c r="G1915">
        <v>3</v>
      </c>
      <c r="H1915">
        <v>9.9767209843697993E-4</v>
      </c>
      <c r="I1915">
        <v>0.12</v>
      </c>
      <c r="J1915" s="14" t="str">
        <f>_xlfn.XLOOKUP(B1915,CAD_PDV!A:A,CAD_PDV!B:B)</f>
        <v>TELEMAIS TELEFONIA LTDA - ME</v>
      </c>
      <c r="K1915" s="14">
        <f>IF(IFERROR(_xlfn.XLOOKUP(B1915,Planilha2!D:D,Planilha2!H:H),0)="SIM",1,0)</f>
        <v>0</v>
      </c>
      <c r="L1915" s="14" t="str">
        <f>_xlfn.XLOOKUP(B1915,CAD_PDV!A:A,CAD_PDV!C:C)</f>
        <v>CO</v>
      </c>
      <c r="M1915" s="14" t="str">
        <f>IFERROR(_xlfn.XLOOKUP(B1915,repete!A:A,repete!A:A),"-")</f>
        <v>-</v>
      </c>
    </row>
    <row r="1916" spans="1:13" hidden="1">
      <c r="A1916" s="1">
        <v>46174</v>
      </c>
      <c r="B1916" t="s">
        <v>1467</v>
      </c>
      <c r="C1916" t="s">
        <v>1469</v>
      </c>
      <c r="D1916" t="s">
        <v>232</v>
      </c>
      <c r="E1916" t="s">
        <v>54</v>
      </c>
      <c r="F1916">
        <v>29</v>
      </c>
      <c r="G1916">
        <v>3</v>
      </c>
      <c r="H1916">
        <v>9.9767209843697993E-4</v>
      </c>
      <c r="I1916">
        <v>0.10344827586206901</v>
      </c>
      <c r="J1916" s="14" t="str">
        <f>_xlfn.XLOOKUP(B1916,CAD_PDV!A:A,CAD_PDV!B:B)</f>
        <v>HS TELECOM</v>
      </c>
      <c r="K1916" s="14">
        <f>IF(IFERROR(_xlfn.XLOOKUP(B1916,Planilha2!D:D,Planilha2!H:H),0)="SIM",1,0)</f>
        <v>0</v>
      </c>
      <c r="L1916" s="14" t="str">
        <f>_xlfn.XLOOKUP(B1916,CAD_PDV!A:A,CAD_PDV!C:C)</f>
        <v>SP2</v>
      </c>
      <c r="M1916" s="14" t="str">
        <f>IFERROR(_xlfn.XLOOKUP(B1916,repete!A:A,repete!A:A),"-")</f>
        <v>-</v>
      </c>
    </row>
    <row r="1917" spans="1:13" hidden="1">
      <c r="A1917" s="1">
        <v>46174</v>
      </c>
      <c r="B1917" t="s">
        <v>1483</v>
      </c>
      <c r="C1917" t="s">
        <v>1484</v>
      </c>
      <c r="D1917" t="s">
        <v>232</v>
      </c>
      <c r="E1917" t="s">
        <v>54</v>
      </c>
      <c r="F1917">
        <v>35</v>
      </c>
      <c r="G1917">
        <v>3</v>
      </c>
      <c r="H1917">
        <v>9.9767209843697993E-4</v>
      </c>
      <c r="I1917">
        <v>8.5714285714285701E-2</v>
      </c>
      <c r="J1917" s="14" t="str">
        <f>_xlfn.XLOOKUP(B1917,CAD_PDV!A:A,CAD_PDV!B:B)</f>
        <v>HS TELECOM</v>
      </c>
      <c r="K1917" s="14">
        <f>IF(IFERROR(_xlfn.XLOOKUP(B1917,Planilha2!D:D,Planilha2!H:H),0)="SIM",1,0)</f>
        <v>0</v>
      </c>
      <c r="L1917" s="14" t="str">
        <f>_xlfn.XLOOKUP(B1917,CAD_PDV!A:A,CAD_PDV!C:C)</f>
        <v>SP2</v>
      </c>
      <c r="M1917" s="14" t="str">
        <f>IFERROR(_xlfn.XLOOKUP(B1917,repete!A:A,repete!A:A),"-")</f>
        <v>-</v>
      </c>
    </row>
    <row r="1918" spans="1:13" hidden="1">
      <c r="A1918" s="1">
        <v>46174</v>
      </c>
      <c r="B1918" t="s">
        <v>1347</v>
      </c>
      <c r="C1918" t="s">
        <v>1346</v>
      </c>
      <c r="D1918" t="s">
        <v>229</v>
      </c>
      <c r="E1918" t="s">
        <v>53</v>
      </c>
      <c r="F1918">
        <v>76</v>
      </c>
      <c r="G1918">
        <v>3</v>
      </c>
      <c r="H1918">
        <v>9.9767209843697993E-4</v>
      </c>
      <c r="I1918">
        <v>3.94736842105263E-2</v>
      </c>
      <c r="J1918" s="14" t="str">
        <f>_xlfn.XLOOKUP(B1918,CAD_PDV!A:A,CAD_PDV!B:B)</f>
        <v>FW TELEFONIA LTDA - EPP</v>
      </c>
      <c r="K1918" s="14">
        <f>IF(IFERROR(_xlfn.XLOOKUP(B1918,Planilha2!D:D,Planilha2!H:H),0)="SIM",1,0)</f>
        <v>0</v>
      </c>
      <c r="L1918" s="14" t="str">
        <f>_xlfn.XLOOKUP(B1918,CAD_PDV!A:A,CAD_PDV!C:C)</f>
        <v>SP1</v>
      </c>
      <c r="M1918" s="14" t="str">
        <f>IFERROR(_xlfn.XLOOKUP(B1918,repete!A:A,repete!A:A),"-")</f>
        <v>-</v>
      </c>
    </row>
    <row r="1919" spans="1:13" hidden="1">
      <c r="A1919" s="1">
        <v>46174</v>
      </c>
      <c r="B1919" t="s">
        <v>753</v>
      </c>
      <c r="C1919" t="s">
        <v>754</v>
      </c>
      <c r="D1919" t="s">
        <v>239</v>
      </c>
      <c r="E1919" t="s">
        <v>59</v>
      </c>
      <c r="F1919">
        <v>42</v>
      </c>
      <c r="G1919">
        <v>3</v>
      </c>
      <c r="H1919">
        <v>9.9767209843697993E-4</v>
      </c>
      <c r="I1919">
        <v>7.1428571428571397E-2</v>
      </c>
      <c r="J1919" s="14" t="str">
        <f>_xlfn.XLOOKUP(B1919,CAD_PDV!A:A,CAD_PDV!B:B)</f>
        <v>TELECELL TELEFONIA LTDA - ME</v>
      </c>
      <c r="K1919" s="14">
        <f>IF(IFERROR(_xlfn.XLOOKUP(B1919,Planilha2!D:D,Planilha2!H:H),0)="SIM",1,0)</f>
        <v>0</v>
      </c>
      <c r="L1919" s="14" t="str">
        <f>_xlfn.XLOOKUP(B1919,CAD_PDV!A:A,CAD_PDV!C:C)</f>
        <v>CO</v>
      </c>
      <c r="M1919" s="14" t="str">
        <f>IFERROR(_xlfn.XLOOKUP(B1919,repete!A:A,repete!A:A),"-")</f>
        <v>-</v>
      </c>
    </row>
    <row r="1920" spans="1:13" hidden="1">
      <c r="A1920" s="1">
        <v>46174</v>
      </c>
      <c r="B1920" t="s">
        <v>1511</v>
      </c>
      <c r="C1920" t="s">
        <v>1512</v>
      </c>
      <c r="D1920" t="s">
        <v>120</v>
      </c>
      <c r="E1920" t="s">
        <v>54</v>
      </c>
      <c r="F1920">
        <v>75</v>
      </c>
      <c r="G1920">
        <v>3</v>
      </c>
      <c r="H1920">
        <v>9.9767209843697993E-4</v>
      </c>
      <c r="I1920">
        <v>0.04</v>
      </c>
      <c r="J1920" s="14" t="str">
        <f>_xlfn.XLOOKUP(B1920,CAD_PDV!A:A,CAD_PDV!B:B)</f>
        <v>DOUGLAS LUIZ ELETRONICOS - ME</v>
      </c>
      <c r="K1920" s="14">
        <f>IF(IFERROR(_xlfn.XLOOKUP(B1920,Planilha2!D:D,Planilha2!H:H),0)="SIM",1,0)</f>
        <v>0</v>
      </c>
      <c r="L1920" s="14" t="str">
        <f>_xlfn.XLOOKUP(B1920,CAD_PDV!A:A,CAD_PDV!C:C)</f>
        <v>SP2</v>
      </c>
      <c r="M1920" s="14" t="str">
        <f>IFERROR(_xlfn.XLOOKUP(B1920,repete!A:A,repete!A:A),"-")</f>
        <v>-</v>
      </c>
    </row>
    <row r="1921" spans="1:13" hidden="1">
      <c r="A1921" s="1">
        <v>46174</v>
      </c>
      <c r="B1921" t="s">
        <v>1984</v>
      </c>
      <c r="C1921" t="s">
        <v>1985</v>
      </c>
      <c r="D1921" t="s">
        <v>97</v>
      </c>
      <c r="E1921" t="s">
        <v>2074</v>
      </c>
      <c r="F1921">
        <v>17</v>
      </c>
      <c r="G1921">
        <v>3</v>
      </c>
      <c r="H1921">
        <v>9.9767209843697993E-4</v>
      </c>
      <c r="I1921">
        <v>0.17647058823529399</v>
      </c>
      <c r="J1921" s="14" t="str">
        <f>_xlfn.XLOOKUP(B1921,CAD_PDV!A:A,CAD_PDV!B:B)</f>
        <v>BANDEIRA</v>
      </c>
      <c r="K1921" s="14">
        <f>IF(IFERROR(_xlfn.XLOOKUP(B1921,Planilha2!D:D,Planilha2!H:H),0)="SIM",1,0)</f>
        <v>0</v>
      </c>
      <c r="L1921" s="14" t="str">
        <f>_xlfn.XLOOKUP(B1921,CAD_PDV!A:A,CAD_PDV!C:C)</f>
        <v>PR/SC</v>
      </c>
      <c r="M1921" s="14" t="str">
        <f>IFERROR(_xlfn.XLOOKUP(B1921,repete!A:A,repete!A:A),"-")</f>
        <v>-</v>
      </c>
    </row>
    <row r="1922" spans="1:13" hidden="1">
      <c r="A1922" s="1">
        <v>46174</v>
      </c>
      <c r="B1922" t="s">
        <v>861</v>
      </c>
      <c r="C1922" t="s">
        <v>694</v>
      </c>
      <c r="D1922" t="s">
        <v>239</v>
      </c>
      <c r="E1922" t="s">
        <v>59</v>
      </c>
      <c r="F1922">
        <v>69</v>
      </c>
      <c r="G1922">
        <v>3</v>
      </c>
      <c r="H1922">
        <v>9.9767209843697993E-4</v>
      </c>
      <c r="I1922">
        <v>4.3478260869565202E-2</v>
      </c>
      <c r="J1922" s="14" t="str">
        <f>_xlfn.XLOOKUP(B1922,CAD_PDV!A:A,CAD_PDV!B:B)</f>
        <v>TELECELL TELEFONIA LTDA - ME</v>
      </c>
      <c r="K1922" s="14">
        <f>IF(IFERROR(_xlfn.XLOOKUP(B1922,Planilha2!D:D,Planilha2!H:H),0)="SIM",1,0)</f>
        <v>0</v>
      </c>
      <c r="L1922" s="14" t="str">
        <f>_xlfn.XLOOKUP(B1922,CAD_PDV!A:A,CAD_PDV!C:C)</f>
        <v>CO</v>
      </c>
      <c r="M1922" s="14" t="str">
        <f>IFERROR(_xlfn.XLOOKUP(B1922,repete!A:A,repete!A:A),"-")</f>
        <v>-</v>
      </c>
    </row>
    <row r="1923" spans="1:13" hidden="1">
      <c r="A1923" s="1">
        <v>46174</v>
      </c>
      <c r="B1923" t="s">
        <v>846</v>
      </c>
      <c r="C1923" t="s">
        <v>732</v>
      </c>
      <c r="D1923" t="s">
        <v>221</v>
      </c>
      <c r="E1923" t="s">
        <v>59</v>
      </c>
      <c r="F1923">
        <v>101</v>
      </c>
      <c r="G1923">
        <v>3</v>
      </c>
      <c r="H1923">
        <v>9.9767209843697993E-4</v>
      </c>
      <c r="I1923">
        <v>2.9702970297029702E-2</v>
      </c>
      <c r="J1923" s="14" t="str">
        <f>_xlfn.XLOOKUP(B1923,CAD_PDV!A:A,CAD_PDV!B:B)</f>
        <v>AMERICOM COMERCIO DE APARELHOS ELETRONICOS LTDA - EPP</v>
      </c>
      <c r="K1923" s="14">
        <f>IF(IFERROR(_xlfn.XLOOKUP(B1923,Planilha2!D:D,Planilha2!H:H),0)="SIM",1,0)</f>
        <v>0</v>
      </c>
      <c r="L1923" s="14" t="str">
        <f>_xlfn.XLOOKUP(B1923,CAD_PDV!A:A,CAD_PDV!C:C)</f>
        <v>CO</v>
      </c>
      <c r="M1923" s="14" t="str">
        <f>IFERROR(_xlfn.XLOOKUP(B1923,repete!A:A,repete!A:A),"-")</f>
        <v>-</v>
      </c>
    </row>
    <row r="1924" spans="1:13" hidden="1">
      <c r="A1924" s="1">
        <v>46174</v>
      </c>
      <c r="B1924" t="s">
        <v>858</v>
      </c>
      <c r="C1924" t="s">
        <v>716</v>
      </c>
      <c r="D1924" t="s">
        <v>2073</v>
      </c>
      <c r="E1924" t="s">
        <v>59</v>
      </c>
      <c r="F1924">
        <v>13</v>
      </c>
      <c r="G1924">
        <v>3</v>
      </c>
      <c r="H1924">
        <v>9.9767209843697993E-4</v>
      </c>
      <c r="I1924">
        <v>0.230769230769231</v>
      </c>
      <c r="J1924" s="14" t="str">
        <f>_xlfn.XLOOKUP(B1924,CAD_PDV!A:A,CAD_PDV!B:B)</f>
        <v xml:space="preserve">CONTACOM COMERCIO DE APARELHOS ELETRONICOS LTDA </v>
      </c>
      <c r="K1924" s="14">
        <f>IF(IFERROR(_xlfn.XLOOKUP(B1924,Planilha2!D:D,Planilha2!H:H),0)="SIM",1,0)</f>
        <v>0</v>
      </c>
      <c r="L1924" s="14" t="str">
        <f>_xlfn.XLOOKUP(B1924,CAD_PDV!A:A,CAD_PDV!C:C)</f>
        <v>CO</v>
      </c>
      <c r="M1924" s="14" t="str">
        <f>IFERROR(_xlfn.XLOOKUP(B1924,repete!A:A,repete!A:A),"-")</f>
        <v>-</v>
      </c>
    </row>
    <row r="1925" spans="1:13" hidden="1">
      <c r="A1925" s="1">
        <v>46174</v>
      </c>
      <c r="B1925" t="s">
        <v>881</v>
      </c>
      <c r="C1925" t="s">
        <v>873</v>
      </c>
      <c r="D1925" t="s">
        <v>239</v>
      </c>
      <c r="E1925" t="s">
        <v>59</v>
      </c>
      <c r="F1925">
        <v>77</v>
      </c>
      <c r="G1925">
        <v>3</v>
      </c>
      <c r="H1925">
        <v>9.9767209843697993E-4</v>
      </c>
      <c r="I1925">
        <v>3.8961038961039002E-2</v>
      </c>
      <c r="J1925" s="14" t="str">
        <f>_xlfn.XLOOKUP(B1925,CAD_PDV!A:A,CAD_PDV!B:B)</f>
        <v>TELECELL TELEFONIA LTDA - ME</v>
      </c>
      <c r="K1925" s="14">
        <f>IF(IFERROR(_xlfn.XLOOKUP(B1925,Planilha2!D:D,Planilha2!H:H),0)="SIM",1,0)</f>
        <v>0</v>
      </c>
      <c r="L1925" s="14" t="str">
        <f>_xlfn.XLOOKUP(B1925,CAD_PDV!A:A,CAD_PDV!C:C)</f>
        <v>CO</v>
      </c>
      <c r="M1925" s="14" t="str">
        <f>IFERROR(_xlfn.XLOOKUP(B1925,repete!A:A,repete!A:A),"-")</f>
        <v>-</v>
      </c>
    </row>
    <row r="1926" spans="1:13" hidden="1">
      <c r="A1926" s="1">
        <v>46174</v>
      </c>
      <c r="B1926" t="s">
        <v>1333</v>
      </c>
      <c r="C1926" t="s">
        <v>1313</v>
      </c>
      <c r="D1926" t="s">
        <v>225</v>
      </c>
      <c r="E1926" t="s">
        <v>53</v>
      </c>
      <c r="F1926">
        <v>57</v>
      </c>
      <c r="G1926">
        <v>3</v>
      </c>
      <c r="H1926">
        <v>9.9767209843697993E-4</v>
      </c>
      <c r="I1926">
        <v>5.2631578947368397E-2</v>
      </c>
      <c r="J1926" s="14" t="str">
        <f>_xlfn.XLOOKUP(B1926,CAD_PDV!A:A,CAD_PDV!B:B)</f>
        <v>CLARICELL SP1</v>
      </c>
      <c r="K1926" s="14">
        <f>IF(IFERROR(_xlfn.XLOOKUP(B1926,Planilha2!D:D,Planilha2!H:H),0)="SIM",1,0)</f>
        <v>0</v>
      </c>
      <c r="L1926" s="14" t="str">
        <f>_xlfn.XLOOKUP(B1926,CAD_PDV!A:A,CAD_PDV!C:C)</f>
        <v>SP1</v>
      </c>
      <c r="M1926" s="14" t="str">
        <f>IFERROR(_xlfn.XLOOKUP(B1926,repete!A:A,repete!A:A),"-")</f>
        <v>-</v>
      </c>
    </row>
    <row r="1927" spans="1:13" hidden="1">
      <c r="A1927" s="1">
        <v>46174</v>
      </c>
      <c r="B1927" t="s">
        <v>925</v>
      </c>
      <c r="C1927" t="s">
        <v>738</v>
      </c>
      <c r="D1927" t="s">
        <v>231</v>
      </c>
      <c r="E1927" t="s">
        <v>59</v>
      </c>
      <c r="F1927">
        <v>30</v>
      </c>
      <c r="G1927">
        <v>3</v>
      </c>
      <c r="H1927">
        <v>9.9767209843697993E-4</v>
      </c>
      <c r="I1927">
        <v>0.1</v>
      </c>
      <c r="J1927" s="14" t="str">
        <f>_xlfn.XLOOKUP(B1927,CAD_PDV!A:A,CAD_PDV!B:B)</f>
        <v>HIROTA &amp; HIROTA LTDA - ME</v>
      </c>
      <c r="K1927" s="14">
        <f>IF(IFERROR(_xlfn.XLOOKUP(B1927,Planilha2!D:D,Planilha2!H:H),0)="SIM",1,0)</f>
        <v>0</v>
      </c>
      <c r="L1927" s="14" t="str">
        <f>_xlfn.XLOOKUP(B1927,CAD_PDV!A:A,CAD_PDV!C:C)</f>
        <v>CO</v>
      </c>
      <c r="M1927" s="14" t="str">
        <f>IFERROR(_xlfn.XLOOKUP(B1927,repete!A:A,repete!A:A),"-")</f>
        <v>-</v>
      </c>
    </row>
    <row r="1928" spans="1:13" hidden="1">
      <c r="A1928" s="1">
        <v>46174</v>
      </c>
      <c r="B1928" t="s">
        <v>797</v>
      </c>
      <c r="C1928" t="s">
        <v>798</v>
      </c>
      <c r="D1928" t="s">
        <v>239</v>
      </c>
      <c r="E1928" t="s">
        <v>59</v>
      </c>
      <c r="F1928">
        <v>41</v>
      </c>
      <c r="G1928">
        <v>3</v>
      </c>
      <c r="H1928">
        <v>9.9767209843697993E-4</v>
      </c>
      <c r="I1928">
        <v>7.3170731707317097E-2</v>
      </c>
      <c r="J1928" s="14" t="str">
        <f>_xlfn.XLOOKUP(B1928,CAD_PDV!A:A,CAD_PDV!B:B)</f>
        <v>TELECELL TELEFONIA LTDA - ME</v>
      </c>
      <c r="K1928" s="14">
        <f>IF(IFERROR(_xlfn.XLOOKUP(B1928,Planilha2!D:D,Planilha2!H:H),0)="SIM",1,0)</f>
        <v>0</v>
      </c>
      <c r="L1928" s="14" t="str">
        <f>_xlfn.XLOOKUP(B1928,CAD_PDV!A:A,CAD_PDV!C:C)</f>
        <v>CO</v>
      </c>
      <c r="M1928" s="14" t="str">
        <f>IFERROR(_xlfn.XLOOKUP(B1928,repete!A:A,repete!A:A),"-")</f>
        <v>-</v>
      </c>
    </row>
    <row r="1929" spans="1:13" hidden="1">
      <c r="A1929" s="1">
        <v>46174</v>
      </c>
      <c r="B1929" t="s">
        <v>1288</v>
      </c>
      <c r="C1929" t="s">
        <v>1188</v>
      </c>
      <c r="D1929" t="s">
        <v>232</v>
      </c>
      <c r="E1929" t="s">
        <v>55</v>
      </c>
      <c r="F1929">
        <v>63</v>
      </c>
      <c r="G1929">
        <v>3</v>
      </c>
      <c r="H1929">
        <v>9.9767209843697993E-4</v>
      </c>
      <c r="I1929">
        <v>4.7619047619047603E-2</v>
      </c>
      <c r="J1929" s="14" t="str">
        <f>_xlfn.XLOOKUP(B1929,CAD_PDV!A:A,CAD_PDV!B:B)</f>
        <v>HS TELECOM</v>
      </c>
      <c r="K1929" s="14">
        <f>IF(IFERROR(_xlfn.XLOOKUP(B1929,Planilha2!D:D,Planilha2!H:H),0)="SIM",1,0)</f>
        <v>0</v>
      </c>
      <c r="L1929" s="14" t="str">
        <f>_xlfn.XLOOKUP(B1929,CAD_PDV!A:A,CAD_PDV!C:C)</f>
        <v>RJ/ES</v>
      </c>
      <c r="M1929" s="14" t="str">
        <f>IFERROR(_xlfn.XLOOKUP(B1929,repete!A:A,repete!A:A),"-")</f>
        <v>-</v>
      </c>
    </row>
    <row r="1930" spans="1:13" hidden="1">
      <c r="A1930" s="1">
        <v>46174</v>
      </c>
      <c r="B1930" t="s">
        <v>1573</v>
      </c>
      <c r="C1930" t="s">
        <v>1464</v>
      </c>
      <c r="D1930" t="s">
        <v>132</v>
      </c>
      <c r="E1930" t="s">
        <v>54</v>
      </c>
      <c r="F1930">
        <v>27</v>
      </c>
      <c r="G1930">
        <v>3</v>
      </c>
      <c r="H1930">
        <v>9.9767209843697993E-4</v>
      </c>
      <c r="I1930">
        <v>0.11111111111111099</v>
      </c>
      <c r="J1930" s="14" t="str">
        <f>_xlfn.XLOOKUP(B1930,CAD_PDV!A:A,CAD_PDV!B:B)</f>
        <v>FLEX CELL</v>
      </c>
      <c r="K1930" s="14">
        <f>IF(IFERROR(_xlfn.XLOOKUP(B1930,Planilha2!D:D,Planilha2!H:H),0)="SIM",1,0)</f>
        <v>0</v>
      </c>
      <c r="L1930" s="14" t="str">
        <f>_xlfn.XLOOKUP(B1930,CAD_PDV!A:A,CAD_PDV!C:C)</f>
        <v>SP2</v>
      </c>
      <c r="M1930" s="14" t="str">
        <f>IFERROR(_xlfn.XLOOKUP(B1930,repete!A:A,repete!A:A),"-")</f>
        <v>-</v>
      </c>
    </row>
    <row r="1931" spans="1:13" hidden="1">
      <c r="A1931" s="1">
        <v>46174</v>
      </c>
      <c r="B1931" t="s">
        <v>1237</v>
      </c>
      <c r="C1931" t="s">
        <v>1142</v>
      </c>
      <c r="D1931" t="s">
        <v>237</v>
      </c>
      <c r="E1931" t="s">
        <v>55</v>
      </c>
      <c r="F1931">
        <v>87</v>
      </c>
      <c r="G1931">
        <v>3</v>
      </c>
      <c r="H1931">
        <v>9.9767209843697993E-4</v>
      </c>
      <c r="I1931">
        <v>3.4482758620689703E-2</v>
      </c>
      <c r="J1931" s="14" t="str">
        <f>_xlfn.XLOOKUP(B1931,CAD_PDV!A:A,CAD_PDV!B:B)</f>
        <v>PONTO CERTO COMERCIO E COMUNICAÇÕES LTDA</v>
      </c>
      <c r="K1931" s="14">
        <f>IF(IFERROR(_xlfn.XLOOKUP(B1931,Planilha2!D:D,Planilha2!H:H),0)="SIM",1,0)</f>
        <v>0</v>
      </c>
      <c r="L1931" s="14" t="str">
        <f>_xlfn.XLOOKUP(B1931,CAD_PDV!A:A,CAD_PDV!C:C)</f>
        <v>RJ/ES</v>
      </c>
      <c r="M1931" s="14" t="str">
        <f>IFERROR(_xlfn.XLOOKUP(B1931,repete!A:A,repete!A:A),"-")</f>
        <v>-</v>
      </c>
    </row>
    <row r="1932" spans="1:13" hidden="1">
      <c r="A1932" s="1">
        <v>46174</v>
      </c>
      <c r="B1932" t="s">
        <v>277</v>
      </c>
      <c r="C1932" t="s">
        <v>261</v>
      </c>
      <c r="D1932" t="s">
        <v>238</v>
      </c>
      <c r="E1932" t="s">
        <v>61</v>
      </c>
      <c r="F1932">
        <v>109</v>
      </c>
      <c r="G1932">
        <v>3</v>
      </c>
      <c r="H1932">
        <v>9.9767209843697993E-4</v>
      </c>
      <c r="I1932">
        <v>2.7522935779816501E-2</v>
      </c>
      <c r="J1932" s="14" t="str">
        <f>_xlfn.XLOOKUP(B1932,CAD_PDV!A:A,CAD_PDV!B:B)</f>
        <v>R &amp; R HIPER COMERCIO LTDA</v>
      </c>
      <c r="K1932" s="14">
        <f>IF(IFERROR(_xlfn.XLOOKUP(B1932,Planilha2!D:D,Planilha2!H:H),0)="SIM",1,0)</f>
        <v>0</v>
      </c>
      <c r="L1932" s="14" t="str">
        <f>_xlfn.XLOOKUP(B1932,CAD_PDV!A:A,CAD_PDV!C:C)</f>
        <v>NE</v>
      </c>
      <c r="M1932" s="14" t="str">
        <f>IFERROR(_xlfn.XLOOKUP(B1932,repete!A:A,repete!A:A),"-")</f>
        <v>-</v>
      </c>
    </row>
    <row r="1933" spans="1:13" hidden="1">
      <c r="A1933" s="1">
        <v>46174</v>
      </c>
      <c r="B1933" t="s">
        <v>759</v>
      </c>
      <c r="C1933" t="s">
        <v>619</v>
      </c>
      <c r="D1933" t="s">
        <v>239</v>
      </c>
      <c r="E1933" t="s">
        <v>59</v>
      </c>
      <c r="F1933">
        <v>53</v>
      </c>
      <c r="G1933">
        <v>3</v>
      </c>
      <c r="H1933">
        <v>9.9767209843697993E-4</v>
      </c>
      <c r="I1933">
        <v>5.6603773584905703E-2</v>
      </c>
      <c r="J1933" s="14" t="str">
        <f>_xlfn.XLOOKUP(B1933,CAD_PDV!A:A,CAD_PDV!B:B)</f>
        <v>TELECELL TELEFONIA LTDA - ME</v>
      </c>
      <c r="K1933" s="14">
        <f>IF(IFERROR(_xlfn.XLOOKUP(B1933,Planilha2!D:D,Planilha2!H:H),0)="SIM",1,0)</f>
        <v>0</v>
      </c>
      <c r="L1933" s="14" t="str">
        <f>_xlfn.XLOOKUP(B1933,CAD_PDV!A:A,CAD_PDV!C:C)</f>
        <v>CO</v>
      </c>
      <c r="M1933" s="14" t="str">
        <f>IFERROR(_xlfn.XLOOKUP(B1933,repete!A:A,repete!A:A),"-")</f>
        <v>-</v>
      </c>
    </row>
    <row r="1934" spans="1:13" hidden="1">
      <c r="A1934" s="1">
        <v>46174</v>
      </c>
      <c r="B1934" t="s">
        <v>778</v>
      </c>
      <c r="C1934" t="s">
        <v>775</v>
      </c>
      <c r="D1934" t="s">
        <v>221</v>
      </c>
      <c r="E1934" t="s">
        <v>59</v>
      </c>
      <c r="F1934">
        <v>32</v>
      </c>
      <c r="G1934">
        <v>3</v>
      </c>
      <c r="H1934">
        <v>9.9767209843697993E-4</v>
      </c>
      <c r="I1934">
        <v>9.375E-2</v>
      </c>
      <c r="J1934" s="14" t="str">
        <f>_xlfn.XLOOKUP(B1934,CAD_PDV!A:A,CAD_PDV!B:B)</f>
        <v>AMERICOM COMERCIO DE APARELHOS ELETRONICOS LTDA - EPP</v>
      </c>
      <c r="K1934" s="14">
        <f>IF(IFERROR(_xlfn.XLOOKUP(B1934,Planilha2!D:D,Planilha2!H:H),0)="SIM",1,0)</f>
        <v>0</v>
      </c>
      <c r="L1934" s="14" t="str">
        <f>_xlfn.XLOOKUP(B1934,CAD_PDV!A:A,CAD_PDV!C:C)</f>
        <v>CO</v>
      </c>
      <c r="M1934" s="14" t="str">
        <f>IFERROR(_xlfn.XLOOKUP(B1934,repete!A:A,repete!A:A),"-")</f>
        <v>-</v>
      </c>
    </row>
    <row r="1935" spans="1:13" hidden="1">
      <c r="A1935" s="1">
        <v>46174</v>
      </c>
      <c r="B1935" t="s">
        <v>1336</v>
      </c>
      <c r="C1935" t="s">
        <v>1313</v>
      </c>
      <c r="D1935" t="s">
        <v>225</v>
      </c>
      <c r="E1935" t="s">
        <v>53</v>
      </c>
      <c r="F1935">
        <v>135</v>
      </c>
      <c r="G1935">
        <v>3</v>
      </c>
      <c r="H1935">
        <v>9.9767209843697993E-4</v>
      </c>
      <c r="I1935">
        <v>2.2222222222222199E-2</v>
      </c>
      <c r="J1935" s="14" t="str">
        <f>_xlfn.XLOOKUP(B1935,CAD_PDV!A:A,CAD_PDV!B:B)</f>
        <v>CLARICELL SP1</v>
      </c>
      <c r="K1935" s="14">
        <f>IF(IFERROR(_xlfn.XLOOKUP(B1935,Planilha2!D:D,Planilha2!H:H),0)="SIM",1,0)</f>
        <v>0</v>
      </c>
      <c r="L1935" s="14" t="str">
        <f>_xlfn.XLOOKUP(B1935,CAD_PDV!A:A,CAD_PDV!C:C)</f>
        <v>SP1</v>
      </c>
      <c r="M1935" s="14" t="str">
        <f>IFERROR(_xlfn.XLOOKUP(B1935,repete!A:A,repete!A:A),"-")</f>
        <v>-</v>
      </c>
    </row>
    <row r="1936" spans="1:13" hidden="1">
      <c r="A1936" s="1">
        <v>46174</v>
      </c>
      <c r="B1936" t="s">
        <v>906</v>
      </c>
      <c r="C1936" t="s">
        <v>902</v>
      </c>
      <c r="D1936" t="s">
        <v>215</v>
      </c>
      <c r="E1936" t="s">
        <v>59</v>
      </c>
      <c r="F1936">
        <v>100</v>
      </c>
      <c r="G1936">
        <v>3</v>
      </c>
      <c r="H1936">
        <v>9.9767209843697993E-4</v>
      </c>
      <c r="I1936">
        <v>0.03</v>
      </c>
      <c r="J1936" s="14" t="str">
        <f>_xlfn.XLOOKUP(B1936,CAD_PDV!A:A,CAD_PDV!B:B)</f>
        <v>VIA SALLUS</v>
      </c>
      <c r="K1936" s="14">
        <f>IF(IFERROR(_xlfn.XLOOKUP(B1936,Planilha2!D:D,Planilha2!H:H),0)="SIM",1,0)</f>
        <v>0</v>
      </c>
      <c r="L1936" s="14" t="str">
        <f>_xlfn.XLOOKUP(B1936,CAD_PDV!A:A,CAD_PDV!C:C)</f>
        <v>CO</v>
      </c>
      <c r="M1936" s="14" t="str">
        <f>IFERROR(_xlfn.XLOOKUP(B1936,repete!A:A,repete!A:A),"-")</f>
        <v>-</v>
      </c>
    </row>
    <row r="1937" spans="1:13" hidden="1">
      <c r="A1937" s="1">
        <v>46174</v>
      </c>
      <c r="B1937" t="s">
        <v>1885</v>
      </c>
      <c r="C1937" t="s">
        <v>1887</v>
      </c>
      <c r="D1937" t="s">
        <v>124</v>
      </c>
      <c r="E1937" t="s">
        <v>2074</v>
      </c>
      <c r="F1937">
        <v>37</v>
      </c>
      <c r="G1937">
        <v>3</v>
      </c>
      <c r="H1937">
        <v>9.9767209843697993E-4</v>
      </c>
      <c r="I1937">
        <v>8.1081081081081099E-2</v>
      </c>
      <c r="J1937" s="14" t="str">
        <f>_xlfn.XLOOKUP(B1937,CAD_PDV!A:A,CAD_PDV!B:B)</f>
        <v>EDUARDO JUNQUEIRA DA SILVEIRA ADMIN</v>
      </c>
      <c r="K1937" s="14">
        <f>IF(IFERROR(_xlfn.XLOOKUP(B1937,Planilha2!D:D,Planilha2!H:H),0)="SIM",1,0)</f>
        <v>0</v>
      </c>
      <c r="L1937" s="14" t="str">
        <f>_xlfn.XLOOKUP(B1937,CAD_PDV!A:A,CAD_PDV!C:C)</f>
        <v>RS</v>
      </c>
      <c r="M1937" s="14" t="str">
        <f>IFERROR(_xlfn.XLOOKUP(B1937,repete!A:A,repete!A:A),"-")</f>
        <v>-</v>
      </c>
    </row>
    <row r="1938" spans="1:13" hidden="1">
      <c r="A1938" s="1">
        <v>46174</v>
      </c>
      <c r="B1938" t="s">
        <v>892</v>
      </c>
      <c r="C1938" t="s">
        <v>893</v>
      </c>
      <c r="D1938" t="s">
        <v>224</v>
      </c>
      <c r="E1938" t="s">
        <v>59</v>
      </c>
      <c r="F1938">
        <v>82</v>
      </c>
      <c r="G1938">
        <v>3</v>
      </c>
      <c r="H1938">
        <v>9.9767209843697993E-4</v>
      </c>
      <c r="I1938">
        <v>3.65853658536585E-2</v>
      </c>
      <c r="J1938" s="14" t="str">
        <f>_xlfn.XLOOKUP(B1938,CAD_PDV!A:A,CAD_PDV!B:B)</f>
        <v>CELNET COMERCIO E SERVICOS DE TELEFONIA LTDA ME</v>
      </c>
      <c r="K1938" s="14">
        <f>IF(IFERROR(_xlfn.XLOOKUP(B1938,Planilha2!D:D,Planilha2!H:H),0)="SIM",1,0)</f>
        <v>0</v>
      </c>
      <c r="L1938" s="14" t="str">
        <f>_xlfn.XLOOKUP(B1938,CAD_PDV!A:A,CAD_PDV!C:C)</f>
        <v>CO</v>
      </c>
      <c r="M1938" s="14" t="str">
        <f>IFERROR(_xlfn.XLOOKUP(B1938,repete!A:A,repete!A:A),"-")</f>
        <v>-</v>
      </c>
    </row>
    <row r="1939" spans="1:13" hidden="1">
      <c r="A1939" s="1">
        <v>46174</v>
      </c>
      <c r="B1939" t="s">
        <v>1868</v>
      </c>
      <c r="C1939" t="s">
        <v>1870</v>
      </c>
      <c r="D1939" t="s">
        <v>124</v>
      </c>
      <c r="E1939" t="s">
        <v>2074</v>
      </c>
      <c r="F1939">
        <v>23</v>
      </c>
      <c r="G1939">
        <v>3</v>
      </c>
      <c r="H1939">
        <v>9.9767209843697993E-4</v>
      </c>
      <c r="I1939">
        <v>0.13043478260869601</v>
      </c>
      <c r="J1939" s="14" t="str">
        <f>_xlfn.XLOOKUP(B1939,CAD_PDV!A:A,CAD_PDV!B:B)</f>
        <v>EDUARDO JUNQUEIRA DA SILVEIRA ADMIN</v>
      </c>
      <c r="K1939" s="14">
        <f>IF(IFERROR(_xlfn.XLOOKUP(B1939,Planilha2!D:D,Planilha2!H:H),0)="SIM",1,0)</f>
        <v>0</v>
      </c>
      <c r="L1939" s="14" t="str">
        <f>_xlfn.XLOOKUP(B1939,CAD_PDV!A:A,CAD_PDV!C:C)</f>
        <v>RS</v>
      </c>
      <c r="M1939" s="14" t="str">
        <f>IFERROR(_xlfn.XLOOKUP(B1939,repete!A:A,repete!A:A),"-")</f>
        <v>-</v>
      </c>
    </row>
    <row r="1940" spans="1:13" hidden="1">
      <c r="A1940" s="1">
        <v>46174</v>
      </c>
      <c r="B1940" t="s">
        <v>799</v>
      </c>
      <c r="C1940" t="s">
        <v>651</v>
      </c>
      <c r="D1940" t="s">
        <v>239</v>
      </c>
      <c r="E1940" t="s">
        <v>59</v>
      </c>
      <c r="F1940">
        <v>68</v>
      </c>
      <c r="G1940">
        <v>3</v>
      </c>
      <c r="H1940">
        <v>9.9767209843697993E-4</v>
      </c>
      <c r="I1940">
        <v>4.4117647058823498E-2</v>
      </c>
      <c r="J1940" s="14" t="str">
        <f>_xlfn.XLOOKUP(B1940,CAD_PDV!A:A,CAD_PDV!B:B)</f>
        <v>TELECELL TELEFONIA LTDA - ME</v>
      </c>
      <c r="K1940" s="14">
        <f>IF(IFERROR(_xlfn.XLOOKUP(B1940,Planilha2!D:D,Planilha2!H:H),0)="SIM",1,0)</f>
        <v>0</v>
      </c>
      <c r="L1940" s="14" t="str">
        <f>_xlfn.XLOOKUP(B1940,CAD_PDV!A:A,CAD_PDV!C:C)</f>
        <v>CO</v>
      </c>
      <c r="M1940" s="14" t="str">
        <f>IFERROR(_xlfn.XLOOKUP(B1940,repete!A:A,repete!A:A),"-")</f>
        <v>-</v>
      </c>
    </row>
    <row r="1941" spans="1:13" hidden="1">
      <c r="A1941" s="1">
        <v>46174</v>
      </c>
      <c r="B1941" t="s">
        <v>365</v>
      </c>
      <c r="C1941" t="s">
        <v>261</v>
      </c>
      <c r="D1941" t="s">
        <v>230</v>
      </c>
      <c r="E1941" t="s">
        <v>61</v>
      </c>
      <c r="F1941">
        <v>132</v>
      </c>
      <c r="G1941">
        <v>3</v>
      </c>
      <c r="H1941">
        <v>9.9767209843697993E-4</v>
      </c>
      <c r="I1941">
        <v>2.27272727272727E-2</v>
      </c>
      <c r="J1941" s="14" t="str">
        <f>_xlfn.XLOOKUP(B1941,CAD_PDV!A:A,CAD_PDV!B:B)</f>
        <v>HARCOS COMERCIO E SERVICOS LTDA - EPP</v>
      </c>
      <c r="K1941" s="14">
        <f>IF(IFERROR(_xlfn.XLOOKUP(B1941,Planilha2!D:D,Planilha2!H:H),0)="SIM",1,0)</f>
        <v>0</v>
      </c>
      <c r="L1941" s="14" t="str">
        <f>_xlfn.XLOOKUP(B1941,CAD_PDV!A:A,CAD_PDV!C:C)</f>
        <v>NE</v>
      </c>
      <c r="M1941" s="14" t="str">
        <f>IFERROR(_xlfn.XLOOKUP(B1941,repete!A:A,repete!A:A),"-")</f>
        <v>-</v>
      </c>
    </row>
    <row r="1942" spans="1:13" hidden="1">
      <c r="A1942" s="1">
        <v>46174</v>
      </c>
      <c r="B1942" t="s">
        <v>1810</v>
      </c>
      <c r="C1942" t="s">
        <v>1813</v>
      </c>
      <c r="D1942" t="s">
        <v>95</v>
      </c>
      <c r="E1942" t="s">
        <v>2074</v>
      </c>
      <c r="F1942">
        <v>49</v>
      </c>
      <c r="G1942">
        <v>3</v>
      </c>
      <c r="H1942">
        <v>9.9767209843697993E-4</v>
      </c>
      <c r="I1942">
        <v>6.1224489795918401E-2</v>
      </c>
      <c r="J1942" s="14" t="str">
        <f>_xlfn.XLOOKUP(B1942,CAD_PDV!A:A,CAD_PDV!B:B)</f>
        <v>AYRES E DEBONI LTDA - ME</v>
      </c>
      <c r="K1942" s="14">
        <f>IF(IFERROR(_xlfn.XLOOKUP(B1942,Planilha2!D:D,Planilha2!H:H),0)="SIM",1,0)</f>
        <v>0</v>
      </c>
      <c r="L1942" s="14" t="str">
        <f>_xlfn.XLOOKUP(B1942,CAD_PDV!A:A,CAD_PDV!C:C)</f>
        <v>RS</v>
      </c>
      <c r="M1942" s="14" t="str">
        <f>IFERROR(_xlfn.XLOOKUP(B1942,repete!A:A,repete!A:A),"-")</f>
        <v>-</v>
      </c>
    </row>
    <row r="1943" spans="1:13" hidden="1">
      <c r="A1943" s="1">
        <v>46174</v>
      </c>
      <c r="B1943" t="s">
        <v>2043</v>
      </c>
      <c r="C1943" t="s">
        <v>2042</v>
      </c>
      <c r="D1943" t="s">
        <v>193</v>
      </c>
      <c r="E1943" t="s">
        <v>2074</v>
      </c>
      <c r="F1943">
        <v>22</v>
      </c>
      <c r="G1943">
        <v>3</v>
      </c>
      <c r="H1943">
        <v>9.9767209843697993E-4</v>
      </c>
      <c r="I1943">
        <v>0.13636363636363599</v>
      </c>
      <c r="J1943" s="14" t="str">
        <f>_xlfn.XLOOKUP(B1943,CAD_PDV!A:A,CAD_PDV!B:B)</f>
        <v>S D COMERCIO DE CELULARES LTDA - ME</v>
      </c>
      <c r="K1943" s="14">
        <f>IF(IFERROR(_xlfn.XLOOKUP(B1943,Planilha2!D:D,Planilha2!H:H),0)="SIM",1,0)</f>
        <v>0</v>
      </c>
      <c r="L1943" s="14" t="str">
        <f>_xlfn.XLOOKUP(B1943,CAD_PDV!A:A,CAD_PDV!C:C)</f>
        <v>RS</v>
      </c>
      <c r="M1943" s="14" t="str">
        <f>IFERROR(_xlfn.XLOOKUP(B1943,repete!A:A,repete!A:A),"-")</f>
        <v>-</v>
      </c>
    </row>
    <row r="1944" spans="1:13" hidden="1">
      <c r="A1944" s="1">
        <v>46174</v>
      </c>
      <c r="B1944" t="s">
        <v>800</v>
      </c>
      <c r="C1944" t="s">
        <v>651</v>
      </c>
      <c r="D1944" t="s">
        <v>239</v>
      </c>
      <c r="E1944" t="s">
        <v>59</v>
      </c>
      <c r="F1944">
        <v>45</v>
      </c>
      <c r="G1944">
        <v>3</v>
      </c>
      <c r="H1944">
        <v>9.9767209843697993E-4</v>
      </c>
      <c r="I1944">
        <v>6.6666666666666693E-2</v>
      </c>
      <c r="J1944" s="14" t="str">
        <f>_xlfn.XLOOKUP(B1944,CAD_PDV!A:A,CAD_PDV!B:B)</f>
        <v>TELECELL TELEFONIA LTDA - ME</v>
      </c>
      <c r="K1944" s="14">
        <f>IF(IFERROR(_xlfn.XLOOKUP(B1944,Planilha2!D:D,Planilha2!H:H),0)="SIM",1,0)</f>
        <v>0</v>
      </c>
      <c r="L1944" s="14" t="str">
        <f>_xlfn.XLOOKUP(B1944,CAD_PDV!A:A,CAD_PDV!C:C)</f>
        <v>CO</v>
      </c>
      <c r="M1944" s="14" t="str">
        <f>IFERROR(_xlfn.XLOOKUP(B1944,repete!A:A,repete!A:A),"-")</f>
        <v>-</v>
      </c>
    </row>
    <row r="1945" spans="1:13" hidden="1">
      <c r="A1945" s="1">
        <v>46174</v>
      </c>
      <c r="B1945" t="s">
        <v>781</v>
      </c>
      <c r="C1945" t="s">
        <v>637</v>
      </c>
      <c r="D1945" t="s">
        <v>221</v>
      </c>
      <c r="E1945" t="s">
        <v>59</v>
      </c>
      <c r="F1945">
        <v>43</v>
      </c>
      <c r="G1945">
        <v>3</v>
      </c>
      <c r="H1945">
        <v>9.9767209843697993E-4</v>
      </c>
      <c r="I1945">
        <v>6.9767441860465101E-2</v>
      </c>
      <c r="J1945" s="14" t="str">
        <f>_xlfn.XLOOKUP(B1945,CAD_PDV!A:A,CAD_PDV!B:B)</f>
        <v>AMERICOM COMERCIO DE APARELHOS ELETRONICOS LTDA - EPP</v>
      </c>
      <c r="K1945" s="14">
        <f>IF(IFERROR(_xlfn.XLOOKUP(B1945,Planilha2!D:D,Planilha2!H:H),0)="SIM",1,0)</f>
        <v>0</v>
      </c>
      <c r="L1945" s="14" t="str">
        <f>_xlfn.XLOOKUP(B1945,CAD_PDV!A:A,CAD_PDV!C:C)</f>
        <v>CO</v>
      </c>
      <c r="M1945" s="14" t="str">
        <f>IFERROR(_xlfn.XLOOKUP(B1945,repete!A:A,repete!A:A),"-")</f>
        <v>-</v>
      </c>
    </row>
    <row r="1946" spans="1:13" hidden="1">
      <c r="A1946" s="1">
        <v>46174</v>
      </c>
      <c r="B1946" t="s">
        <v>660</v>
      </c>
      <c r="C1946" t="s">
        <v>661</v>
      </c>
      <c r="D1946" t="s">
        <v>239</v>
      </c>
      <c r="E1946" t="s">
        <v>59</v>
      </c>
      <c r="F1946">
        <v>33</v>
      </c>
      <c r="G1946">
        <v>3</v>
      </c>
      <c r="H1946">
        <v>9.9767209843697993E-4</v>
      </c>
      <c r="I1946">
        <v>9.0909090909090898E-2</v>
      </c>
      <c r="J1946" s="14" t="str">
        <f>_xlfn.XLOOKUP(B1946,CAD_PDV!A:A,CAD_PDV!B:B)</f>
        <v>TELECELL TELEFONIA LTDA - ME</v>
      </c>
      <c r="K1946" s="14">
        <f>IF(IFERROR(_xlfn.XLOOKUP(B1946,Planilha2!D:D,Planilha2!H:H),0)="SIM",1,0)</f>
        <v>0</v>
      </c>
      <c r="L1946" s="14" t="str">
        <f>_xlfn.XLOOKUP(B1946,CAD_PDV!A:A,CAD_PDV!C:C)</f>
        <v>CO</v>
      </c>
      <c r="M1946" s="14" t="str">
        <f>IFERROR(_xlfn.XLOOKUP(B1946,repete!A:A,repete!A:A),"-")</f>
        <v>-</v>
      </c>
    </row>
    <row r="1947" spans="1:13" hidden="1">
      <c r="A1947" s="1">
        <v>46174</v>
      </c>
      <c r="B1947" t="s">
        <v>851</v>
      </c>
      <c r="C1947" t="s">
        <v>732</v>
      </c>
      <c r="D1947" t="s">
        <v>221</v>
      </c>
      <c r="E1947" t="s">
        <v>59</v>
      </c>
      <c r="F1947">
        <v>74</v>
      </c>
      <c r="G1947">
        <v>3</v>
      </c>
      <c r="H1947">
        <v>9.9767209843697993E-4</v>
      </c>
      <c r="I1947">
        <v>4.0540540540540501E-2</v>
      </c>
      <c r="J1947" s="14" t="str">
        <f>_xlfn.XLOOKUP(B1947,CAD_PDV!A:A,CAD_PDV!B:B)</f>
        <v>AMERICOM COMERCIO DE APARELHOS ELETRONICOS LTDA - EPP</v>
      </c>
      <c r="K1947" s="14">
        <f>IF(IFERROR(_xlfn.XLOOKUP(B1947,Planilha2!D:D,Planilha2!H:H),0)="SIM",1,0)</f>
        <v>0</v>
      </c>
      <c r="L1947" s="14" t="str">
        <f>_xlfn.XLOOKUP(B1947,CAD_PDV!A:A,CAD_PDV!C:C)</f>
        <v>CO</v>
      </c>
      <c r="M1947" s="14" t="str">
        <f>IFERROR(_xlfn.XLOOKUP(B1947,repete!A:A,repete!A:A),"-")</f>
        <v>-</v>
      </c>
    </row>
    <row r="1948" spans="1:13" hidden="1">
      <c r="A1948" s="1">
        <v>46174</v>
      </c>
      <c r="B1948" t="s">
        <v>1262</v>
      </c>
      <c r="C1948" t="s">
        <v>1142</v>
      </c>
      <c r="D1948" t="s">
        <v>237</v>
      </c>
      <c r="E1948" t="s">
        <v>55</v>
      </c>
      <c r="F1948">
        <v>30</v>
      </c>
      <c r="G1948">
        <v>3</v>
      </c>
      <c r="H1948">
        <v>9.9767209843697993E-4</v>
      </c>
      <c r="I1948">
        <v>0.1</v>
      </c>
      <c r="J1948" s="14" t="str">
        <f>_xlfn.XLOOKUP(B1948,CAD_PDV!A:A,CAD_PDV!B:B)</f>
        <v>PONTO CERTO COMERCIO E COMUNICAÇÕES LTDA</v>
      </c>
      <c r="K1948" s="14">
        <f>IF(IFERROR(_xlfn.XLOOKUP(B1948,Planilha2!D:D,Planilha2!H:H),0)="SIM",1,0)</f>
        <v>0</v>
      </c>
      <c r="L1948" s="14" t="str">
        <f>_xlfn.XLOOKUP(B1948,CAD_PDV!A:A,CAD_PDV!C:C)</f>
        <v>RJ/ES</v>
      </c>
      <c r="M1948" s="14" t="str">
        <f>IFERROR(_xlfn.XLOOKUP(B1948,repete!A:A,repete!A:A),"-")</f>
        <v>-</v>
      </c>
    </row>
    <row r="1949" spans="1:13" hidden="1">
      <c r="A1949" s="1">
        <v>46174</v>
      </c>
      <c r="B1949" t="s">
        <v>840</v>
      </c>
      <c r="C1949" t="s">
        <v>837</v>
      </c>
      <c r="D1949" t="s">
        <v>239</v>
      </c>
      <c r="E1949" t="s">
        <v>59</v>
      </c>
      <c r="F1949">
        <v>46</v>
      </c>
      <c r="G1949">
        <v>3</v>
      </c>
      <c r="H1949">
        <v>9.9767209843697993E-4</v>
      </c>
      <c r="I1949">
        <v>6.5217391304347797E-2</v>
      </c>
      <c r="J1949" s="14" t="str">
        <f>_xlfn.XLOOKUP(B1949,CAD_PDV!A:A,CAD_PDV!B:B)</f>
        <v>TELECELL TELEFONIA LTDA - ME</v>
      </c>
      <c r="K1949" s="14">
        <f>IF(IFERROR(_xlfn.XLOOKUP(B1949,Planilha2!D:D,Planilha2!H:H),0)="SIM",1,0)</f>
        <v>0</v>
      </c>
      <c r="L1949" s="14" t="str">
        <f>_xlfn.XLOOKUP(B1949,CAD_PDV!A:A,CAD_PDV!C:C)</f>
        <v>CO</v>
      </c>
      <c r="M1949" s="14" t="str">
        <f>IFERROR(_xlfn.XLOOKUP(B1949,repete!A:A,repete!A:A),"-")</f>
        <v>-</v>
      </c>
    </row>
    <row r="1950" spans="1:13" hidden="1">
      <c r="A1950" s="1">
        <v>46174</v>
      </c>
      <c r="B1950" t="s">
        <v>407</v>
      </c>
      <c r="C1950" t="s">
        <v>288</v>
      </c>
      <c r="D1950" t="s">
        <v>230</v>
      </c>
      <c r="E1950" t="s">
        <v>61</v>
      </c>
      <c r="F1950">
        <v>34</v>
      </c>
      <c r="G1950">
        <v>3</v>
      </c>
      <c r="H1950">
        <v>9.9767209843697993E-4</v>
      </c>
      <c r="I1950">
        <v>8.8235294117647106E-2</v>
      </c>
      <c r="J1950" s="14" t="str">
        <f>_xlfn.XLOOKUP(B1950,CAD_PDV!A:A,CAD_PDV!B:B)</f>
        <v>HARCOS COMERCIO E SERVICOS LTDA - EPP</v>
      </c>
      <c r="K1950" s="14">
        <f>IF(IFERROR(_xlfn.XLOOKUP(B1950,Planilha2!D:D,Planilha2!H:H),0)="SIM",1,0)</f>
        <v>0</v>
      </c>
      <c r="L1950" s="14" t="str">
        <f>_xlfn.XLOOKUP(B1950,CAD_PDV!A:A,CAD_PDV!C:C)</f>
        <v>NE</v>
      </c>
      <c r="M1950" s="14" t="str">
        <f>IFERROR(_xlfn.XLOOKUP(B1950,repete!A:A,repete!A:A),"-")</f>
        <v>-</v>
      </c>
    </row>
    <row r="1951" spans="1:13" hidden="1">
      <c r="A1951" s="1">
        <v>46174</v>
      </c>
      <c r="B1951" t="s">
        <v>965</v>
      </c>
      <c r="C1951" t="s">
        <v>944</v>
      </c>
      <c r="D1951" t="s">
        <v>232</v>
      </c>
      <c r="E1951" t="s">
        <v>60</v>
      </c>
      <c r="F1951">
        <v>60</v>
      </c>
      <c r="G1951">
        <v>3</v>
      </c>
      <c r="H1951">
        <v>9.9767209843697993E-4</v>
      </c>
      <c r="I1951">
        <v>0.05</v>
      </c>
      <c r="J1951" s="14" t="str">
        <f>_xlfn.XLOOKUP(B1951,CAD_PDV!A:A,CAD_PDV!B:B)</f>
        <v>HS TELECOM</v>
      </c>
      <c r="K1951" s="14">
        <f>IF(IFERROR(_xlfn.XLOOKUP(B1951,Planilha2!D:D,Planilha2!H:H),0)="SIM",1,0)</f>
        <v>0</v>
      </c>
      <c r="L1951" s="14" t="str">
        <f>_xlfn.XLOOKUP(B1951,CAD_PDV!A:A,CAD_PDV!C:C)</f>
        <v>BA/SE</v>
      </c>
      <c r="M1951" s="14" t="str">
        <f>IFERROR(_xlfn.XLOOKUP(B1951,repete!A:A,repete!A:A),"-")</f>
        <v>-</v>
      </c>
    </row>
    <row r="1952" spans="1:13" hidden="1">
      <c r="A1952" s="1">
        <v>46174</v>
      </c>
      <c r="B1952" t="s">
        <v>1373</v>
      </c>
      <c r="C1952" t="s">
        <v>1313</v>
      </c>
      <c r="D1952" t="s">
        <v>132</v>
      </c>
      <c r="E1952" t="s">
        <v>53</v>
      </c>
      <c r="F1952">
        <v>86</v>
      </c>
      <c r="G1952">
        <v>3</v>
      </c>
      <c r="H1952">
        <v>9.9767209843697993E-4</v>
      </c>
      <c r="I1952">
        <v>3.4883720930232599E-2</v>
      </c>
      <c r="J1952" s="14" t="str">
        <f>_xlfn.XLOOKUP(B1952,CAD_PDV!A:A,CAD_PDV!B:B)</f>
        <v>FLEX CELL</v>
      </c>
      <c r="K1952" s="14">
        <f>IF(IFERROR(_xlfn.XLOOKUP(B1952,Planilha2!D:D,Planilha2!H:H),0)="SIM",1,0)</f>
        <v>0</v>
      </c>
      <c r="L1952" s="14" t="str">
        <f>_xlfn.XLOOKUP(B1952,CAD_PDV!A:A,CAD_PDV!C:C)</f>
        <v>SP1</v>
      </c>
      <c r="M1952" s="14" t="str">
        <f>IFERROR(_xlfn.XLOOKUP(B1952,repete!A:A,repete!A:A),"-")</f>
        <v>-</v>
      </c>
    </row>
    <row r="1953" spans="1:13" hidden="1">
      <c r="A1953" s="1">
        <v>46174</v>
      </c>
      <c r="B1953" t="s">
        <v>941</v>
      </c>
      <c r="C1953" t="s">
        <v>944</v>
      </c>
      <c r="D1953" t="s">
        <v>232</v>
      </c>
      <c r="E1953" t="s">
        <v>60</v>
      </c>
      <c r="F1953">
        <v>54</v>
      </c>
      <c r="G1953">
        <v>2</v>
      </c>
      <c r="H1953">
        <v>6.6511473229131999E-4</v>
      </c>
      <c r="I1953">
        <v>3.7037037037037E-2</v>
      </c>
      <c r="J1953" s="14" t="str">
        <f>_xlfn.XLOOKUP(B1953,CAD_PDV!A:A,CAD_PDV!B:B)</f>
        <v>HS TELECOM</v>
      </c>
      <c r="K1953" s="14">
        <f>IF(IFERROR(_xlfn.XLOOKUP(B1953,Planilha2!D:D,Planilha2!H:H),0)="SIM",1,0)</f>
        <v>0</v>
      </c>
      <c r="L1953" s="14" t="str">
        <f>_xlfn.XLOOKUP(B1953,CAD_PDV!A:A,CAD_PDV!C:C)</f>
        <v>BA/SE</v>
      </c>
      <c r="M1953" s="14" t="str">
        <f>IFERROR(_xlfn.XLOOKUP(B1953,repete!A:A,repete!A:A),"-")</f>
        <v>-</v>
      </c>
    </row>
    <row r="1954" spans="1:13" hidden="1">
      <c r="A1954" s="1">
        <v>46174</v>
      </c>
      <c r="B1954" t="s">
        <v>1899</v>
      </c>
      <c r="C1954" t="s">
        <v>1900</v>
      </c>
      <c r="D1954" t="s">
        <v>97</v>
      </c>
      <c r="E1954" t="s">
        <v>2074</v>
      </c>
      <c r="F1954">
        <v>38</v>
      </c>
      <c r="G1954">
        <v>2</v>
      </c>
      <c r="H1954">
        <v>6.6511473229131999E-4</v>
      </c>
      <c r="I1954">
        <v>5.2631578947368397E-2</v>
      </c>
      <c r="J1954" s="14" t="str">
        <f>_xlfn.XLOOKUP(B1954,CAD_PDV!A:A,CAD_PDV!B:B)</f>
        <v>BANDEIRA</v>
      </c>
      <c r="K1954" s="14">
        <f>IF(IFERROR(_xlfn.XLOOKUP(B1954,Planilha2!D:D,Planilha2!H:H),0)="SIM",1,0)</f>
        <v>0</v>
      </c>
      <c r="L1954" s="14" t="str">
        <f>_xlfn.XLOOKUP(B1954,CAD_PDV!A:A,CAD_PDV!C:C)</f>
        <v>PR/SC</v>
      </c>
      <c r="M1954" s="14" t="str">
        <f>IFERROR(_xlfn.XLOOKUP(B1954,repete!A:A,repete!A:A),"-")</f>
        <v>-</v>
      </c>
    </row>
    <row r="1955" spans="1:13" hidden="1">
      <c r="A1955" s="1">
        <v>46174</v>
      </c>
      <c r="B1955" t="s">
        <v>1449</v>
      </c>
      <c r="C1955" t="s">
        <v>1451</v>
      </c>
      <c r="D1955" t="s">
        <v>132</v>
      </c>
      <c r="E1955" t="s">
        <v>54</v>
      </c>
      <c r="F1955">
        <v>49</v>
      </c>
      <c r="G1955">
        <v>2</v>
      </c>
      <c r="H1955">
        <v>6.6511473229131999E-4</v>
      </c>
      <c r="I1955">
        <v>4.08163265306122E-2</v>
      </c>
      <c r="J1955" s="14" t="str">
        <f>_xlfn.XLOOKUP(B1955,CAD_PDV!A:A,CAD_PDV!B:B)</f>
        <v>FLEX CELL</v>
      </c>
      <c r="K1955" s="14">
        <f>IF(IFERROR(_xlfn.XLOOKUP(B1955,Planilha2!D:D,Planilha2!H:H),0)="SIM",1,0)</f>
        <v>0</v>
      </c>
      <c r="L1955" s="14" t="str">
        <f>_xlfn.XLOOKUP(B1955,CAD_PDV!A:A,CAD_PDV!C:C)</f>
        <v>SP2</v>
      </c>
      <c r="M1955" s="14" t="str">
        <f>IFERROR(_xlfn.XLOOKUP(B1955,repete!A:A,repete!A:A),"-")</f>
        <v>-</v>
      </c>
    </row>
    <row r="1956" spans="1:13" hidden="1">
      <c r="A1956" s="1">
        <v>46174</v>
      </c>
      <c r="B1956" t="s">
        <v>985</v>
      </c>
      <c r="C1956" t="s">
        <v>944</v>
      </c>
      <c r="D1956" t="s">
        <v>232</v>
      </c>
      <c r="E1956" t="s">
        <v>60</v>
      </c>
      <c r="F1956">
        <v>52</v>
      </c>
      <c r="G1956">
        <v>2</v>
      </c>
      <c r="H1956">
        <v>6.6511473229131999E-4</v>
      </c>
      <c r="I1956">
        <v>3.8461538461538498E-2</v>
      </c>
      <c r="J1956" s="14" t="str">
        <f>_xlfn.XLOOKUP(B1956,CAD_PDV!A:A,CAD_PDV!B:B)</f>
        <v>HS TELECOM</v>
      </c>
      <c r="K1956" s="14">
        <f>IF(IFERROR(_xlfn.XLOOKUP(B1956,Planilha2!D:D,Planilha2!H:H),0)="SIM",1,0)</f>
        <v>0</v>
      </c>
      <c r="L1956" s="14" t="str">
        <f>_xlfn.XLOOKUP(B1956,CAD_PDV!A:A,CAD_PDV!C:C)</f>
        <v>BA/SE</v>
      </c>
      <c r="M1956" s="14" t="str">
        <f>IFERROR(_xlfn.XLOOKUP(B1956,repete!A:A,repete!A:A),"-")</f>
        <v>-</v>
      </c>
    </row>
    <row r="1957" spans="1:13" hidden="1">
      <c r="A1957" s="1">
        <v>46174</v>
      </c>
      <c r="B1957" t="s">
        <v>1330</v>
      </c>
      <c r="C1957" t="s">
        <v>1331</v>
      </c>
      <c r="D1957" t="s">
        <v>225</v>
      </c>
      <c r="E1957" t="s">
        <v>53</v>
      </c>
      <c r="F1957">
        <v>81</v>
      </c>
      <c r="G1957">
        <v>2</v>
      </c>
      <c r="H1957">
        <v>6.6511473229131999E-4</v>
      </c>
      <c r="I1957">
        <v>2.4691358024691398E-2</v>
      </c>
      <c r="J1957" s="14" t="str">
        <f>_xlfn.XLOOKUP(B1957,CAD_PDV!A:A,CAD_PDV!B:B)</f>
        <v>CLARICELL SP1</v>
      </c>
      <c r="K1957" s="14">
        <f>IF(IFERROR(_xlfn.XLOOKUP(B1957,Planilha2!D:D,Planilha2!H:H),0)="SIM",1,0)</f>
        <v>0</v>
      </c>
      <c r="L1957" s="14" t="str">
        <f>_xlfn.XLOOKUP(B1957,CAD_PDV!A:A,CAD_PDV!C:C)</f>
        <v>SP1</v>
      </c>
      <c r="M1957" s="14" t="str">
        <f>IFERROR(_xlfn.XLOOKUP(B1957,repete!A:A,repete!A:A),"-")</f>
        <v>-</v>
      </c>
    </row>
    <row r="1958" spans="1:13" hidden="1">
      <c r="A1958" s="1">
        <v>46174</v>
      </c>
      <c r="B1958" t="s">
        <v>512</v>
      </c>
      <c r="C1958" t="s">
        <v>513</v>
      </c>
      <c r="D1958" t="s">
        <v>228</v>
      </c>
      <c r="E1958" t="s">
        <v>56</v>
      </c>
      <c r="F1958">
        <v>23</v>
      </c>
      <c r="G1958">
        <v>2</v>
      </c>
      <c r="H1958">
        <v>6.6511473229131999E-4</v>
      </c>
      <c r="I1958">
        <v>8.6956521739130405E-2</v>
      </c>
      <c r="J1958" s="14" t="str">
        <f>_xlfn.XLOOKUP(B1958,CAD_PDV!A:A,CAD_PDV!B:B)</f>
        <v>FAJULUTI</v>
      </c>
      <c r="K1958" s="14">
        <f>IF(IFERROR(_xlfn.XLOOKUP(B1958,Planilha2!D:D,Planilha2!H:H),0)="SIM",1,0)</f>
        <v>0</v>
      </c>
      <c r="L1958" s="14" t="str">
        <f>_xlfn.XLOOKUP(B1958,CAD_PDV!A:A,CAD_PDV!C:C)</f>
        <v>MG</v>
      </c>
      <c r="M1958" s="14" t="str">
        <f>IFERROR(_xlfn.XLOOKUP(B1958,repete!A:A,repete!A:A),"-")</f>
        <v>-</v>
      </c>
    </row>
    <row r="1959" spans="1:13" hidden="1">
      <c r="A1959" s="1">
        <v>46174</v>
      </c>
      <c r="B1959" t="s">
        <v>744</v>
      </c>
      <c r="C1959" t="s">
        <v>745</v>
      </c>
      <c r="D1959" t="s">
        <v>224</v>
      </c>
      <c r="E1959" t="s">
        <v>59</v>
      </c>
      <c r="F1959">
        <v>78</v>
      </c>
      <c r="G1959">
        <v>2</v>
      </c>
      <c r="H1959">
        <v>6.6511473229131999E-4</v>
      </c>
      <c r="I1959">
        <v>2.5641025641025599E-2</v>
      </c>
      <c r="J1959" s="14" t="str">
        <f>_xlfn.XLOOKUP(B1959,CAD_PDV!A:A,CAD_PDV!B:B)</f>
        <v>CELNET COMERCIO E SERVICOS DE TELEFONIA LTDA ME</v>
      </c>
      <c r="K1959" s="14">
        <f>IF(IFERROR(_xlfn.XLOOKUP(B1959,Planilha2!D:D,Planilha2!H:H),0)="SIM",1,0)</f>
        <v>0</v>
      </c>
      <c r="L1959" s="14" t="str">
        <f>_xlfn.XLOOKUP(B1959,CAD_PDV!A:A,CAD_PDV!C:C)</f>
        <v>CO</v>
      </c>
      <c r="M1959" s="14" t="str">
        <f>IFERROR(_xlfn.XLOOKUP(B1959,repete!A:A,repete!A:A),"-")</f>
        <v>-</v>
      </c>
    </row>
    <row r="1960" spans="1:13" hidden="1">
      <c r="A1960" s="1">
        <v>46174</v>
      </c>
      <c r="B1960" t="s">
        <v>1522</v>
      </c>
      <c r="C1960" t="s">
        <v>1523</v>
      </c>
      <c r="D1960" t="s">
        <v>232</v>
      </c>
      <c r="E1960" t="s">
        <v>54</v>
      </c>
      <c r="F1960">
        <v>77</v>
      </c>
      <c r="G1960">
        <v>2</v>
      </c>
      <c r="H1960">
        <v>6.6511473229131999E-4</v>
      </c>
      <c r="I1960">
        <v>2.5974025974026E-2</v>
      </c>
      <c r="J1960" s="14" t="str">
        <f>_xlfn.XLOOKUP(B1960,CAD_PDV!A:A,CAD_PDV!B:B)</f>
        <v>HS TELECOM</v>
      </c>
      <c r="K1960" s="14">
        <f>IF(IFERROR(_xlfn.XLOOKUP(B1960,Planilha2!D:D,Planilha2!H:H),0)="SIM",1,0)</f>
        <v>0</v>
      </c>
      <c r="L1960" s="14" t="str">
        <f>_xlfn.XLOOKUP(B1960,CAD_PDV!A:A,CAD_PDV!C:C)</f>
        <v>SP2</v>
      </c>
      <c r="M1960" s="14" t="str">
        <f>IFERROR(_xlfn.XLOOKUP(B1960,repete!A:A,repete!A:A),"-")</f>
        <v>-</v>
      </c>
    </row>
    <row r="1961" spans="1:13" hidden="1">
      <c r="A1961" s="1">
        <v>46174</v>
      </c>
      <c r="B1961" t="s">
        <v>827</v>
      </c>
      <c r="C1961" t="s">
        <v>820</v>
      </c>
      <c r="D1961" t="s">
        <v>239</v>
      </c>
      <c r="E1961" t="s">
        <v>59</v>
      </c>
      <c r="F1961">
        <v>68</v>
      </c>
      <c r="G1961">
        <v>2</v>
      </c>
      <c r="H1961">
        <v>6.6511473229131999E-4</v>
      </c>
      <c r="I1961">
        <v>2.9411764705882401E-2</v>
      </c>
      <c r="J1961" s="14" t="str">
        <f>_xlfn.XLOOKUP(B1961,CAD_PDV!A:A,CAD_PDV!B:B)</f>
        <v>TELECELL TELEFONIA LTDA - ME</v>
      </c>
      <c r="K1961" s="14">
        <f>IF(IFERROR(_xlfn.XLOOKUP(B1961,Planilha2!D:D,Planilha2!H:H),0)="SIM",1,0)</f>
        <v>0</v>
      </c>
      <c r="L1961" s="14" t="str">
        <f>_xlfn.XLOOKUP(B1961,CAD_PDV!A:A,CAD_PDV!C:C)</f>
        <v>CO</v>
      </c>
      <c r="M1961" s="14" t="str">
        <f>IFERROR(_xlfn.XLOOKUP(B1961,repete!A:A,repete!A:A),"-")</f>
        <v>-</v>
      </c>
    </row>
    <row r="1962" spans="1:13" hidden="1">
      <c r="A1962" s="1">
        <v>46174</v>
      </c>
      <c r="B1962" t="s">
        <v>2050</v>
      </c>
      <c r="C1962" t="s">
        <v>2051</v>
      </c>
      <c r="D1962" t="s">
        <v>193</v>
      </c>
      <c r="E1962" t="s">
        <v>2074</v>
      </c>
      <c r="F1962">
        <v>31</v>
      </c>
      <c r="G1962">
        <v>2</v>
      </c>
      <c r="H1962">
        <v>6.6511473229131999E-4</v>
      </c>
      <c r="I1962">
        <v>6.4516129032258104E-2</v>
      </c>
      <c r="J1962" s="14" t="str">
        <f>_xlfn.XLOOKUP(B1962,CAD_PDV!A:A,CAD_PDV!B:B)</f>
        <v>S D COMERCIO DE CELULARES LTDA - ME</v>
      </c>
      <c r="K1962" s="14">
        <f>IF(IFERROR(_xlfn.XLOOKUP(B1962,Planilha2!D:D,Planilha2!H:H),0)="SIM",1,0)</f>
        <v>0</v>
      </c>
      <c r="L1962" s="14" t="str">
        <f>_xlfn.XLOOKUP(B1962,CAD_PDV!A:A,CAD_PDV!C:C)</f>
        <v>RS</v>
      </c>
      <c r="M1962" s="14" t="str">
        <f>IFERROR(_xlfn.XLOOKUP(B1962,repete!A:A,repete!A:A),"-")</f>
        <v>-</v>
      </c>
    </row>
    <row r="1963" spans="1:13" hidden="1">
      <c r="A1963" s="1">
        <v>46174</v>
      </c>
      <c r="B1963" t="s">
        <v>756</v>
      </c>
      <c r="C1963" t="s">
        <v>757</v>
      </c>
      <c r="D1963" t="s">
        <v>239</v>
      </c>
      <c r="E1963" t="s">
        <v>59</v>
      </c>
      <c r="F1963">
        <v>21</v>
      </c>
      <c r="G1963">
        <v>2</v>
      </c>
      <c r="H1963">
        <v>6.6511473229131999E-4</v>
      </c>
      <c r="I1963">
        <v>9.5238095238095205E-2</v>
      </c>
      <c r="J1963" s="14" t="str">
        <f>_xlfn.XLOOKUP(B1963,CAD_PDV!A:A,CAD_PDV!B:B)</f>
        <v>TELECELL TELEFONIA LTDA - ME</v>
      </c>
      <c r="K1963" s="14">
        <f>IF(IFERROR(_xlfn.XLOOKUP(B1963,Planilha2!D:D,Planilha2!H:H),0)="SIM",1,0)</f>
        <v>0</v>
      </c>
      <c r="L1963" s="14" t="str">
        <f>_xlfn.XLOOKUP(B1963,CAD_PDV!A:A,CAD_PDV!C:C)</f>
        <v>CO</v>
      </c>
      <c r="M1963" s="14" t="str">
        <f>IFERROR(_xlfn.XLOOKUP(B1963,repete!A:A,repete!A:A),"-")</f>
        <v>-</v>
      </c>
    </row>
    <row r="1964" spans="1:13" hidden="1">
      <c r="A1964" s="1">
        <v>46174</v>
      </c>
      <c r="B1964" t="s">
        <v>1376</v>
      </c>
      <c r="C1964" t="s">
        <v>1346</v>
      </c>
      <c r="D1964" t="s">
        <v>229</v>
      </c>
      <c r="E1964" t="s">
        <v>53</v>
      </c>
      <c r="F1964">
        <v>67</v>
      </c>
      <c r="G1964">
        <v>2</v>
      </c>
      <c r="H1964">
        <v>6.6511473229131999E-4</v>
      </c>
      <c r="I1964">
        <v>2.9850746268656699E-2</v>
      </c>
      <c r="J1964" s="14" t="str">
        <f>_xlfn.XLOOKUP(B1964,CAD_PDV!A:A,CAD_PDV!B:B)</f>
        <v>FW TELEFONIA LTDA - EPP</v>
      </c>
      <c r="K1964" s="14">
        <f>IF(IFERROR(_xlfn.XLOOKUP(B1964,Planilha2!D:D,Planilha2!H:H),0)="SIM",1,0)</f>
        <v>0</v>
      </c>
      <c r="L1964" s="14" t="str">
        <f>_xlfn.XLOOKUP(B1964,CAD_PDV!A:A,CAD_PDV!C:C)</f>
        <v>SP1</v>
      </c>
      <c r="M1964" s="14" t="str">
        <f>IFERROR(_xlfn.XLOOKUP(B1964,repete!A:A,repete!A:A),"-")</f>
        <v>-</v>
      </c>
    </row>
    <row r="1965" spans="1:13" hidden="1">
      <c r="A1965" s="1">
        <v>46174</v>
      </c>
      <c r="B1965" t="s">
        <v>1546</v>
      </c>
      <c r="C1965" t="s">
        <v>1547</v>
      </c>
      <c r="D1965" t="s">
        <v>132</v>
      </c>
      <c r="E1965" t="s">
        <v>54</v>
      </c>
      <c r="F1965">
        <v>29</v>
      </c>
      <c r="G1965">
        <v>2</v>
      </c>
      <c r="H1965">
        <v>6.6511473229131999E-4</v>
      </c>
      <c r="I1965">
        <v>6.8965517241379296E-2</v>
      </c>
      <c r="J1965" s="14" t="str">
        <f>_xlfn.XLOOKUP(B1965,CAD_PDV!A:A,CAD_PDV!B:B)</f>
        <v>FLEX CELL</v>
      </c>
      <c r="K1965" s="14">
        <f>IF(IFERROR(_xlfn.XLOOKUP(B1965,Planilha2!D:D,Planilha2!H:H),0)="SIM",1,0)</f>
        <v>0</v>
      </c>
      <c r="L1965" s="14" t="str">
        <f>_xlfn.XLOOKUP(B1965,CAD_PDV!A:A,CAD_PDV!C:C)</f>
        <v>SP2</v>
      </c>
      <c r="M1965" s="14" t="str">
        <f>IFERROR(_xlfn.XLOOKUP(B1965,repete!A:A,repete!A:A),"-")</f>
        <v>-</v>
      </c>
    </row>
    <row r="1966" spans="1:13" hidden="1">
      <c r="A1966" s="1">
        <v>46174</v>
      </c>
      <c r="B1966" t="s">
        <v>1286</v>
      </c>
      <c r="C1966" t="s">
        <v>1287</v>
      </c>
      <c r="D1966" t="s">
        <v>232</v>
      </c>
      <c r="E1966" t="s">
        <v>55</v>
      </c>
      <c r="F1966">
        <v>38</v>
      </c>
      <c r="G1966">
        <v>2</v>
      </c>
      <c r="H1966">
        <v>6.6511473229131999E-4</v>
      </c>
      <c r="I1966">
        <v>5.2631578947368397E-2</v>
      </c>
      <c r="J1966" s="14" t="str">
        <f>_xlfn.XLOOKUP(B1966,CAD_PDV!A:A,CAD_PDV!B:B)</f>
        <v>HS TELECOM</v>
      </c>
      <c r="K1966" s="14">
        <f>IF(IFERROR(_xlfn.XLOOKUP(B1966,Planilha2!D:D,Planilha2!H:H),0)="SIM",1,0)</f>
        <v>0</v>
      </c>
      <c r="L1966" s="14" t="str">
        <f>_xlfn.XLOOKUP(B1966,CAD_PDV!A:A,CAD_PDV!C:C)</f>
        <v>RJ/ES</v>
      </c>
      <c r="M1966" s="14" t="str">
        <f>IFERROR(_xlfn.XLOOKUP(B1966,repete!A:A,repete!A:A),"-")</f>
        <v>-</v>
      </c>
    </row>
    <row r="1967" spans="1:13" hidden="1">
      <c r="A1967" s="1">
        <v>46174</v>
      </c>
      <c r="B1967" t="s">
        <v>2032</v>
      </c>
      <c r="C1967" t="s">
        <v>2033</v>
      </c>
      <c r="D1967" t="s">
        <v>193</v>
      </c>
      <c r="E1967" t="s">
        <v>2074</v>
      </c>
      <c r="F1967">
        <v>38</v>
      </c>
      <c r="G1967">
        <v>2</v>
      </c>
      <c r="H1967">
        <v>6.6511473229131999E-4</v>
      </c>
      <c r="I1967">
        <v>5.2631578947368397E-2</v>
      </c>
      <c r="J1967" s="14" t="str">
        <f>_xlfn.XLOOKUP(B1967,CAD_PDV!A:A,CAD_PDV!B:B)</f>
        <v>S D COMERCIO DE CELULARES LTDA - ME</v>
      </c>
      <c r="K1967" s="14">
        <f>IF(IFERROR(_xlfn.XLOOKUP(B1967,Planilha2!D:D,Planilha2!H:H),0)="SIM",1,0)</f>
        <v>0</v>
      </c>
      <c r="L1967" s="14" t="str">
        <f>_xlfn.XLOOKUP(B1967,CAD_PDV!A:A,CAD_PDV!C:C)</f>
        <v>RS</v>
      </c>
      <c r="M1967" s="14" t="str">
        <f>IFERROR(_xlfn.XLOOKUP(B1967,repete!A:A,repete!A:A),"-")</f>
        <v>-</v>
      </c>
    </row>
    <row r="1968" spans="1:13" hidden="1">
      <c r="A1968" s="1">
        <v>46174</v>
      </c>
      <c r="B1968" t="s">
        <v>951</v>
      </c>
      <c r="C1968" t="s">
        <v>953</v>
      </c>
      <c r="D1968" t="s">
        <v>222</v>
      </c>
      <c r="E1968" t="s">
        <v>60</v>
      </c>
      <c r="F1968">
        <v>147</v>
      </c>
      <c r="G1968">
        <v>2</v>
      </c>
      <c r="H1968">
        <v>6.6511473229131999E-4</v>
      </c>
      <c r="I1968">
        <v>1.3605442176870699E-2</v>
      </c>
      <c r="J1968" s="14" t="str">
        <f>_xlfn.XLOOKUP(B1968,CAD_PDV!A:A,CAD_PDV!B:B)</f>
        <v>ANCLA COMERCIO</v>
      </c>
      <c r="K1968" s="14">
        <f>IF(IFERROR(_xlfn.XLOOKUP(B1968,Planilha2!D:D,Planilha2!H:H),0)="SIM",1,0)</f>
        <v>0</v>
      </c>
      <c r="L1968" s="14" t="str">
        <f>_xlfn.XLOOKUP(B1968,CAD_PDV!A:A,CAD_PDV!C:C)</f>
        <v>BA/SE</v>
      </c>
      <c r="M1968" s="14" t="str">
        <f>IFERROR(_xlfn.XLOOKUP(B1968,repete!A:A,repete!A:A),"-")</f>
        <v>-</v>
      </c>
    </row>
    <row r="1969" spans="1:13" hidden="1">
      <c r="A1969" s="1">
        <v>46174</v>
      </c>
      <c r="B1969" t="s">
        <v>733</v>
      </c>
      <c r="C1969" t="s">
        <v>732</v>
      </c>
      <c r="D1969" t="s">
        <v>231</v>
      </c>
      <c r="E1969" t="s">
        <v>59</v>
      </c>
      <c r="F1969">
        <v>28</v>
      </c>
      <c r="G1969">
        <v>2</v>
      </c>
      <c r="H1969">
        <v>6.6511473229131999E-4</v>
      </c>
      <c r="I1969">
        <v>7.1428571428571397E-2</v>
      </c>
      <c r="J1969" s="14" t="str">
        <f>_xlfn.XLOOKUP(B1969,CAD_PDV!A:A,CAD_PDV!B:B)</f>
        <v>HIROTA &amp; HIROTA LTDA - ME</v>
      </c>
      <c r="K1969" s="14">
        <f>IF(IFERROR(_xlfn.XLOOKUP(B1969,Planilha2!D:D,Planilha2!H:H),0)="SIM",1,0)</f>
        <v>0</v>
      </c>
      <c r="L1969" s="14" t="str">
        <f>_xlfn.XLOOKUP(B1969,CAD_PDV!A:A,CAD_PDV!C:C)</f>
        <v>CO</v>
      </c>
      <c r="M1969" s="14" t="str">
        <f>IFERROR(_xlfn.XLOOKUP(B1969,repete!A:A,repete!A:A),"-")</f>
        <v>-</v>
      </c>
    </row>
    <row r="1970" spans="1:13" hidden="1">
      <c r="A1970" s="1">
        <v>46174</v>
      </c>
      <c r="B1970" t="s">
        <v>1334</v>
      </c>
      <c r="C1970" t="s">
        <v>1313</v>
      </c>
      <c r="D1970" t="s">
        <v>225</v>
      </c>
      <c r="E1970" t="s">
        <v>53</v>
      </c>
      <c r="F1970">
        <v>42</v>
      </c>
      <c r="G1970">
        <v>2</v>
      </c>
      <c r="H1970">
        <v>6.6511473229131999E-4</v>
      </c>
      <c r="I1970">
        <v>4.7619047619047603E-2</v>
      </c>
      <c r="J1970" s="14" t="str">
        <f>_xlfn.XLOOKUP(B1970,CAD_PDV!A:A,CAD_PDV!B:B)</f>
        <v>CLARICELL SP1</v>
      </c>
      <c r="K1970" s="14">
        <f>IF(IFERROR(_xlfn.XLOOKUP(B1970,Planilha2!D:D,Planilha2!H:H),0)="SIM",1,0)</f>
        <v>0</v>
      </c>
      <c r="L1970" s="14" t="str">
        <f>_xlfn.XLOOKUP(B1970,CAD_PDV!A:A,CAD_PDV!C:C)</f>
        <v>SP1</v>
      </c>
      <c r="M1970" s="14" t="str">
        <f>IFERROR(_xlfn.XLOOKUP(B1970,repete!A:A,repete!A:A),"-")</f>
        <v>-</v>
      </c>
    </row>
    <row r="1971" spans="1:13" hidden="1">
      <c r="A1971" s="1">
        <v>46174</v>
      </c>
      <c r="B1971" t="s">
        <v>1238</v>
      </c>
      <c r="C1971" t="s">
        <v>1142</v>
      </c>
      <c r="D1971" t="s">
        <v>237</v>
      </c>
      <c r="E1971" t="s">
        <v>55</v>
      </c>
      <c r="F1971">
        <v>105</v>
      </c>
      <c r="G1971">
        <v>2</v>
      </c>
      <c r="H1971">
        <v>6.6511473229131999E-4</v>
      </c>
      <c r="I1971">
        <v>1.9047619047619001E-2</v>
      </c>
      <c r="J1971" s="14" t="str">
        <f>_xlfn.XLOOKUP(B1971,CAD_PDV!A:A,CAD_PDV!B:B)</f>
        <v>PONTO CERTO COMERCIO E COMUNICAÇÕES LTDA</v>
      </c>
      <c r="K1971" s="14">
        <f>IF(IFERROR(_xlfn.XLOOKUP(B1971,Planilha2!D:D,Planilha2!H:H),0)="SIM",1,0)</f>
        <v>0</v>
      </c>
      <c r="L1971" s="14" t="str">
        <f>_xlfn.XLOOKUP(B1971,CAD_PDV!A:A,CAD_PDV!C:C)</f>
        <v>RJ/ES</v>
      </c>
      <c r="M1971" s="14" t="str">
        <f>IFERROR(_xlfn.XLOOKUP(B1971,repete!A:A,repete!A:A),"-")</f>
        <v>-</v>
      </c>
    </row>
    <row r="1972" spans="1:13" hidden="1">
      <c r="A1972" s="1">
        <v>46174</v>
      </c>
      <c r="B1972" t="s">
        <v>1239</v>
      </c>
      <c r="C1972" t="s">
        <v>1142</v>
      </c>
      <c r="D1972" t="s">
        <v>237</v>
      </c>
      <c r="E1972" t="s">
        <v>55</v>
      </c>
      <c r="F1972">
        <v>80</v>
      </c>
      <c r="G1972">
        <v>2</v>
      </c>
      <c r="H1972">
        <v>6.6511473229131999E-4</v>
      </c>
      <c r="I1972">
        <v>2.5000000000000001E-2</v>
      </c>
      <c r="J1972" s="14" t="str">
        <f>_xlfn.XLOOKUP(B1972,CAD_PDV!A:A,CAD_PDV!B:B)</f>
        <v>PONTO CERTO COMERCIO E COMUNICAÇÕES LTDA</v>
      </c>
      <c r="K1972" s="14">
        <f>IF(IFERROR(_xlfn.XLOOKUP(B1972,Planilha2!D:D,Planilha2!H:H),0)="SIM",1,0)</f>
        <v>0</v>
      </c>
      <c r="L1972" s="14" t="str">
        <f>_xlfn.XLOOKUP(B1972,CAD_PDV!A:A,CAD_PDV!C:C)</f>
        <v>RJ/ES</v>
      </c>
      <c r="M1972" s="14" t="str">
        <f>IFERROR(_xlfn.XLOOKUP(B1972,repete!A:A,repete!A:A),"-")</f>
        <v>-</v>
      </c>
    </row>
    <row r="1973" spans="1:13" hidden="1">
      <c r="A1973" s="1">
        <v>46174</v>
      </c>
      <c r="B1973" t="s">
        <v>1168</v>
      </c>
      <c r="C1973" t="s">
        <v>1142</v>
      </c>
      <c r="D1973" t="s">
        <v>237</v>
      </c>
      <c r="E1973" t="s">
        <v>55</v>
      </c>
      <c r="F1973">
        <v>104</v>
      </c>
      <c r="G1973">
        <v>2</v>
      </c>
      <c r="H1973">
        <v>6.6511473229131999E-4</v>
      </c>
      <c r="I1973">
        <v>1.9230769230769201E-2</v>
      </c>
      <c r="J1973" s="14" t="str">
        <f>_xlfn.XLOOKUP(B1973,CAD_PDV!A:A,CAD_PDV!B:B)</f>
        <v>PONTO CERTO COMERCIO E COMUNICAÇÕES LTDA</v>
      </c>
      <c r="K1973" s="14">
        <f>IF(IFERROR(_xlfn.XLOOKUP(B1973,Planilha2!D:D,Planilha2!H:H),0)="SIM",1,0)</f>
        <v>0</v>
      </c>
      <c r="L1973" s="14" t="str">
        <f>_xlfn.XLOOKUP(B1973,CAD_PDV!A:A,CAD_PDV!C:C)</f>
        <v>RJ/ES</v>
      </c>
      <c r="M1973" s="14" t="str">
        <f>IFERROR(_xlfn.XLOOKUP(B1973,repete!A:A,repete!A:A),"-")</f>
        <v>-</v>
      </c>
    </row>
    <row r="1974" spans="1:13" hidden="1">
      <c r="A1974" s="1">
        <v>46174</v>
      </c>
      <c r="B1974" t="s">
        <v>1588</v>
      </c>
      <c r="C1974" t="s">
        <v>1589</v>
      </c>
      <c r="D1974" t="s">
        <v>106</v>
      </c>
      <c r="E1974" t="s">
        <v>54</v>
      </c>
      <c r="F1974">
        <v>36</v>
      </c>
      <c r="G1974">
        <v>2</v>
      </c>
      <c r="H1974">
        <v>6.6511473229131999E-4</v>
      </c>
      <c r="I1974">
        <v>5.5555555555555601E-2</v>
      </c>
      <c r="J1974" s="14" t="str">
        <f>_xlfn.XLOOKUP(B1974,CAD_PDV!A:A,CAD_PDV!B:B)</f>
        <v>CELLULAR.COM</v>
      </c>
      <c r="K1974" s="14">
        <f>IF(IFERROR(_xlfn.XLOOKUP(B1974,Planilha2!D:D,Planilha2!H:H),0)="SIM",1,0)</f>
        <v>0</v>
      </c>
      <c r="L1974" s="14" t="str">
        <f>_xlfn.XLOOKUP(B1974,CAD_PDV!A:A,CAD_PDV!C:C)</f>
        <v>SP2</v>
      </c>
      <c r="M1974" s="14" t="str">
        <f>IFERROR(_xlfn.XLOOKUP(B1974,repete!A:A,repete!A:A),"-")</f>
        <v>H83T</v>
      </c>
    </row>
    <row r="1975" spans="1:13" hidden="1">
      <c r="A1975" s="1">
        <v>46174</v>
      </c>
      <c r="B1975" t="s">
        <v>1821</v>
      </c>
      <c r="C1975" t="s">
        <v>1822</v>
      </c>
      <c r="D1975" t="s">
        <v>95</v>
      </c>
      <c r="E1975" t="s">
        <v>2074</v>
      </c>
      <c r="F1975">
        <v>20</v>
      </c>
      <c r="G1975">
        <v>2</v>
      </c>
      <c r="H1975">
        <v>6.6511473229131999E-4</v>
      </c>
      <c r="I1975">
        <v>0.1</v>
      </c>
      <c r="J1975" s="14" t="str">
        <f>_xlfn.XLOOKUP(B1975,CAD_PDV!A:A,CAD_PDV!B:B)</f>
        <v>AYRES E DEBONI LTDA - ME</v>
      </c>
      <c r="K1975" s="14">
        <f>IF(IFERROR(_xlfn.XLOOKUP(B1975,Planilha2!D:D,Planilha2!H:H),0)="SIM",1,0)</f>
        <v>0</v>
      </c>
      <c r="L1975" s="14" t="str">
        <f>_xlfn.XLOOKUP(B1975,CAD_PDV!A:A,CAD_PDV!C:C)</f>
        <v>RS</v>
      </c>
      <c r="M1975" s="14" t="str">
        <f>IFERROR(_xlfn.XLOOKUP(B1975,repete!A:A,repete!A:A),"-")</f>
        <v>-</v>
      </c>
    </row>
    <row r="1976" spans="1:13" hidden="1">
      <c r="A1976" s="1">
        <v>46174</v>
      </c>
      <c r="B1976" t="s">
        <v>1592</v>
      </c>
      <c r="C1976" t="s">
        <v>1593</v>
      </c>
      <c r="D1976" t="s">
        <v>106</v>
      </c>
      <c r="E1976" t="s">
        <v>54</v>
      </c>
      <c r="F1976">
        <v>34</v>
      </c>
      <c r="G1976">
        <v>2</v>
      </c>
      <c r="H1976">
        <v>6.6511473229131999E-4</v>
      </c>
      <c r="I1976">
        <v>5.8823529411764698E-2</v>
      </c>
      <c r="J1976" s="14" t="str">
        <f>_xlfn.XLOOKUP(B1976,CAD_PDV!A:A,CAD_PDV!B:B)</f>
        <v>CELLULAR.COM</v>
      </c>
      <c r="K1976" s="14">
        <f>IF(IFERROR(_xlfn.XLOOKUP(B1976,Planilha2!D:D,Planilha2!H:H),0)="SIM",1,0)</f>
        <v>0</v>
      </c>
      <c r="L1976" s="14" t="str">
        <f>_xlfn.XLOOKUP(B1976,CAD_PDV!A:A,CAD_PDV!C:C)</f>
        <v>SP2</v>
      </c>
      <c r="M1976" s="14" t="str">
        <f>IFERROR(_xlfn.XLOOKUP(B1976,repete!A:A,repete!A:A),"-")</f>
        <v>-</v>
      </c>
    </row>
    <row r="1977" spans="1:13" hidden="1">
      <c r="A1977" s="1">
        <v>46174</v>
      </c>
      <c r="B1977" t="s">
        <v>889</v>
      </c>
      <c r="C1977" t="s">
        <v>873</v>
      </c>
      <c r="D1977" t="s">
        <v>239</v>
      </c>
      <c r="E1977" t="s">
        <v>59</v>
      </c>
      <c r="F1977">
        <v>60</v>
      </c>
      <c r="G1977">
        <v>2</v>
      </c>
      <c r="H1977">
        <v>6.6511473229131999E-4</v>
      </c>
      <c r="I1977">
        <v>3.3333333333333298E-2</v>
      </c>
      <c r="J1977" s="14" t="str">
        <f>_xlfn.XLOOKUP(B1977,CAD_PDV!A:A,CAD_PDV!B:B)</f>
        <v>TELECELL TELEFONIA LTDA - ME</v>
      </c>
      <c r="K1977" s="14">
        <f>IF(IFERROR(_xlfn.XLOOKUP(B1977,Planilha2!D:D,Planilha2!H:H),0)="SIM",1,0)</f>
        <v>0</v>
      </c>
      <c r="L1977" s="14" t="str">
        <f>_xlfn.XLOOKUP(B1977,CAD_PDV!A:A,CAD_PDV!C:C)</f>
        <v>CO</v>
      </c>
      <c r="M1977" s="14" t="str">
        <f>IFERROR(_xlfn.XLOOKUP(B1977,repete!A:A,repete!A:A),"-")</f>
        <v>-</v>
      </c>
    </row>
    <row r="1978" spans="1:13" hidden="1">
      <c r="A1978" s="1">
        <v>46174</v>
      </c>
      <c r="B1978" t="s">
        <v>926</v>
      </c>
      <c r="C1978" t="s">
        <v>738</v>
      </c>
      <c r="D1978" t="s">
        <v>231</v>
      </c>
      <c r="E1978" t="s">
        <v>59</v>
      </c>
      <c r="F1978">
        <v>19</v>
      </c>
      <c r="G1978">
        <v>2</v>
      </c>
      <c r="H1978">
        <v>6.6511473229131999E-4</v>
      </c>
      <c r="I1978">
        <v>0.105263157894737</v>
      </c>
      <c r="J1978" s="14" t="str">
        <f>_xlfn.XLOOKUP(B1978,CAD_PDV!A:A,CAD_PDV!B:B)</f>
        <v>HIROTA &amp; HIROTA LTDA - ME</v>
      </c>
      <c r="K1978" s="14">
        <f>IF(IFERROR(_xlfn.XLOOKUP(B1978,Planilha2!D:D,Planilha2!H:H),0)="SIM",1,0)</f>
        <v>0</v>
      </c>
      <c r="L1978" s="14" t="str">
        <f>_xlfn.XLOOKUP(B1978,CAD_PDV!A:A,CAD_PDV!C:C)</f>
        <v>CO</v>
      </c>
      <c r="M1978" s="14" t="str">
        <f>IFERROR(_xlfn.XLOOKUP(B1978,repete!A:A,repete!A:A),"-")</f>
        <v>-</v>
      </c>
    </row>
    <row r="1979" spans="1:13" hidden="1">
      <c r="A1979" s="1">
        <v>46174</v>
      </c>
      <c r="B1979" t="s">
        <v>404</v>
      </c>
      <c r="C1979" t="s">
        <v>288</v>
      </c>
      <c r="D1979" t="s">
        <v>230</v>
      </c>
      <c r="E1979" t="s">
        <v>61</v>
      </c>
      <c r="F1979">
        <v>117</v>
      </c>
      <c r="G1979">
        <v>2</v>
      </c>
      <c r="H1979">
        <v>6.6511473229131999E-4</v>
      </c>
      <c r="I1979">
        <v>1.7094017094017099E-2</v>
      </c>
      <c r="J1979" s="14" t="str">
        <f>_xlfn.XLOOKUP(B1979,CAD_PDV!A:A,CAD_PDV!B:B)</f>
        <v>HARCOS COMERCIO E SERVICOS LTDA - EPP</v>
      </c>
      <c r="K1979" s="14">
        <f>IF(IFERROR(_xlfn.XLOOKUP(B1979,Planilha2!D:D,Planilha2!H:H),0)="SIM",1,0)</f>
        <v>0</v>
      </c>
      <c r="L1979" s="14" t="str">
        <f>_xlfn.XLOOKUP(B1979,CAD_PDV!A:A,CAD_PDV!C:C)</f>
        <v>NE</v>
      </c>
      <c r="M1979" s="14" t="str">
        <f>IFERROR(_xlfn.XLOOKUP(B1979,repete!A:A,repete!A:A),"-")</f>
        <v>-</v>
      </c>
    </row>
    <row r="1980" spans="1:13" hidden="1">
      <c r="A1980" s="1">
        <v>46174</v>
      </c>
      <c r="B1980" t="s">
        <v>565</v>
      </c>
      <c r="C1980" t="s">
        <v>478</v>
      </c>
      <c r="D1980" t="s">
        <v>228</v>
      </c>
      <c r="E1980" t="s">
        <v>56</v>
      </c>
      <c r="F1980">
        <v>23</v>
      </c>
      <c r="G1980">
        <v>2</v>
      </c>
      <c r="H1980">
        <v>6.6511473229131999E-4</v>
      </c>
      <c r="I1980">
        <v>8.6956521739130405E-2</v>
      </c>
      <c r="J1980" s="14" t="str">
        <f>_xlfn.XLOOKUP(B1980,CAD_PDV!A:A,CAD_PDV!B:B)</f>
        <v>FAJULUTI</v>
      </c>
      <c r="K1980" s="14">
        <f>IF(IFERROR(_xlfn.XLOOKUP(B1980,Planilha2!D:D,Planilha2!H:H),0)="SIM",1,0)</f>
        <v>0</v>
      </c>
      <c r="L1980" s="14" t="str">
        <f>_xlfn.XLOOKUP(B1980,CAD_PDV!A:A,CAD_PDV!C:C)</f>
        <v>MG</v>
      </c>
      <c r="M1980" s="14" t="str">
        <f>IFERROR(_xlfn.XLOOKUP(B1980,repete!A:A,repete!A:A),"-")</f>
        <v>-</v>
      </c>
    </row>
    <row r="1981" spans="1:13" hidden="1">
      <c r="A1981" s="1">
        <v>46174</v>
      </c>
      <c r="B1981" t="s">
        <v>1862</v>
      </c>
      <c r="C1981" t="s">
        <v>1861</v>
      </c>
      <c r="D1981" t="s">
        <v>106</v>
      </c>
      <c r="E1981" t="s">
        <v>2074</v>
      </c>
      <c r="F1981">
        <v>74</v>
      </c>
      <c r="G1981">
        <v>2</v>
      </c>
      <c r="H1981">
        <v>6.6511473229131999E-4</v>
      </c>
      <c r="I1981">
        <v>2.7027027027027001E-2</v>
      </c>
      <c r="J1981" s="14" t="str">
        <f>_xlfn.XLOOKUP(B1981,CAD_PDV!A:A,CAD_PDV!B:B)</f>
        <v>CELLULAR.COM</v>
      </c>
      <c r="K1981" s="14">
        <f>IF(IFERROR(_xlfn.XLOOKUP(B1981,Planilha2!D:D,Planilha2!H:H),0)="SIM",1,0)</f>
        <v>0</v>
      </c>
      <c r="L1981" s="14" t="str">
        <f>_xlfn.XLOOKUP(B1981,CAD_PDV!A:A,CAD_PDV!C:C)</f>
        <v>PR/SC</v>
      </c>
      <c r="M1981" s="14" t="str">
        <f>IFERROR(_xlfn.XLOOKUP(B1981,repete!A:A,repete!A:A),"-")</f>
        <v>-</v>
      </c>
    </row>
    <row r="1982" spans="1:13" hidden="1">
      <c r="A1982" s="1">
        <v>46174</v>
      </c>
      <c r="B1982" t="s">
        <v>614</v>
      </c>
      <c r="C1982" t="s">
        <v>616</v>
      </c>
      <c r="D1982" t="s">
        <v>239</v>
      </c>
      <c r="E1982" t="s">
        <v>59</v>
      </c>
      <c r="F1982">
        <v>25</v>
      </c>
      <c r="G1982">
        <v>2</v>
      </c>
      <c r="H1982">
        <v>6.6511473229131999E-4</v>
      </c>
      <c r="I1982">
        <v>0.08</v>
      </c>
      <c r="J1982" s="14" t="str">
        <f>_xlfn.XLOOKUP(B1982,CAD_PDV!A:A,CAD_PDV!B:B)</f>
        <v>TELECELL TELEFONIA LTDA - ME</v>
      </c>
      <c r="K1982" s="14">
        <f>IF(IFERROR(_xlfn.XLOOKUP(B1982,Planilha2!D:D,Planilha2!H:H),0)="SIM",1,0)</f>
        <v>0</v>
      </c>
      <c r="L1982" s="14" t="str">
        <f>_xlfn.XLOOKUP(B1982,CAD_PDV!A:A,CAD_PDV!C:C)</f>
        <v>CO</v>
      </c>
      <c r="M1982" s="14" t="str">
        <f>IFERROR(_xlfn.XLOOKUP(B1982,repete!A:A,repete!A:A),"-")</f>
        <v>-</v>
      </c>
    </row>
    <row r="1983" spans="1:13" hidden="1">
      <c r="A1983" s="1">
        <v>46174</v>
      </c>
      <c r="B1983" t="s">
        <v>1654</v>
      </c>
      <c r="C1983" t="s">
        <v>1655</v>
      </c>
      <c r="D1983" t="s">
        <v>241</v>
      </c>
      <c r="E1983" t="s">
        <v>54</v>
      </c>
      <c r="F1983">
        <v>34</v>
      </c>
      <c r="G1983">
        <v>2</v>
      </c>
      <c r="H1983">
        <v>6.6511473229131999E-4</v>
      </c>
      <c r="I1983">
        <v>5.8823529411764698E-2</v>
      </c>
      <c r="J1983" s="14" t="str">
        <f>_xlfn.XLOOKUP(B1983,CAD_PDV!A:A,CAD_PDV!B:B)</f>
        <v>VIRACLARO</v>
      </c>
      <c r="K1983" s="14">
        <f>IF(IFERROR(_xlfn.XLOOKUP(B1983,Planilha2!D:D,Planilha2!H:H),0)="SIM",1,0)</f>
        <v>0</v>
      </c>
      <c r="L1983" s="14" t="str">
        <f>_xlfn.XLOOKUP(B1983,CAD_PDV!A:A,CAD_PDV!C:C)</f>
        <v>SP2</v>
      </c>
      <c r="M1983" s="14" t="str">
        <f>IFERROR(_xlfn.XLOOKUP(B1983,repete!A:A,repete!A:A),"-")</f>
        <v>-</v>
      </c>
    </row>
    <row r="1984" spans="1:13" hidden="1">
      <c r="A1984" s="1">
        <v>46174</v>
      </c>
      <c r="B1984" t="s">
        <v>1664</v>
      </c>
      <c r="C1984" t="s">
        <v>1659</v>
      </c>
      <c r="D1984" t="s">
        <v>232</v>
      </c>
      <c r="E1984" t="s">
        <v>54</v>
      </c>
      <c r="F1984">
        <v>43</v>
      </c>
      <c r="G1984">
        <v>2</v>
      </c>
      <c r="H1984">
        <v>6.6511473229131999E-4</v>
      </c>
      <c r="I1984">
        <v>4.6511627906976702E-2</v>
      </c>
      <c r="J1984" s="14" t="str">
        <f>_xlfn.XLOOKUP(B1984,CAD_PDV!A:A,CAD_PDV!B:B)</f>
        <v>HS TELECOM</v>
      </c>
      <c r="K1984" s="14">
        <f>IF(IFERROR(_xlfn.XLOOKUP(B1984,Planilha2!D:D,Planilha2!H:H),0)="SIM",1,0)</f>
        <v>0</v>
      </c>
      <c r="L1984" s="14" t="str">
        <f>_xlfn.XLOOKUP(B1984,CAD_PDV!A:A,CAD_PDV!C:C)</f>
        <v>SP2</v>
      </c>
      <c r="M1984" s="14" t="str">
        <f>IFERROR(_xlfn.XLOOKUP(B1984,repete!A:A,repete!A:A),"-")</f>
        <v>-</v>
      </c>
    </row>
    <row r="1985" spans="1:13" hidden="1">
      <c r="A1985" s="1">
        <v>46174</v>
      </c>
      <c r="B1985" t="s">
        <v>1679</v>
      </c>
      <c r="C1985" t="s">
        <v>1451</v>
      </c>
      <c r="D1985" t="s">
        <v>232</v>
      </c>
      <c r="E1985" t="s">
        <v>54</v>
      </c>
      <c r="F1985">
        <v>17</v>
      </c>
      <c r="G1985">
        <v>2</v>
      </c>
      <c r="H1985">
        <v>6.6511473229131999E-4</v>
      </c>
      <c r="I1985">
        <v>0.11764705882352899</v>
      </c>
      <c r="J1985" s="14" t="str">
        <f>_xlfn.XLOOKUP(B1985,CAD_PDV!A:A,CAD_PDV!B:B)</f>
        <v>HS TELECOM</v>
      </c>
      <c r="K1985" s="14">
        <f>IF(IFERROR(_xlfn.XLOOKUP(B1985,Planilha2!D:D,Planilha2!H:H),0)="SIM",1,0)</f>
        <v>0</v>
      </c>
      <c r="L1985" s="14" t="str">
        <f>_xlfn.XLOOKUP(B1985,CAD_PDV!A:A,CAD_PDV!C:C)</f>
        <v>SP2</v>
      </c>
      <c r="M1985" s="14" t="str">
        <f>IFERROR(_xlfn.XLOOKUP(B1985,repete!A:A,repete!A:A),"-")</f>
        <v>-</v>
      </c>
    </row>
    <row r="1986" spans="1:13" hidden="1">
      <c r="A1986" s="1">
        <v>46174</v>
      </c>
      <c r="B1986" t="s">
        <v>1694</v>
      </c>
      <c r="C1986" t="s">
        <v>1695</v>
      </c>
      <c r="D1986" t="s">
        <v>232</v>
      </c>
      <c r="E1986" t="s">
        <v>54</v>
      </c>
      <c r="F1986">
        <v>26</v>
      </c>
      <c r="G1986">
        <v>2</v>
      </c>
      <c r="H1986">
        <v>6.6511473229131999E-4</v>
      </c>
      <c r="I1986">
        <v>7.69230769230769E-2</v>
      </c>
      <c r="J1986" s="14" t="str">
        <f>_xlfn.XLOOKUP(B1986,CAD_PDV!A:A,CAD_PDV!B:B)</f>
        <v>HS TELECOM</v>
      </c>
      <c r="K1986" s="14">
        <f>IF(IFERROR(_xlfn.XLOOKUP(B1986,Planilha2!D:D,Planilha2!H:H),0)="SIM",1,0)</f>
        <v>0</v>
      </c>
      <c r="L1986" s="14" t="str">
        <f>_xlfn.XLOOKUP(B1986,CAD_PDV!A:A,CAD_PDV!C:C)</f>
        <v>SP2</v>
      </c>
      <c r="M1986" s="14" t="str">
        <f>IFERROR(_xlfn.XLOOKUP(B1986,repete!A:A,repete!A:A),"-")</f>
        <v>-</v>
      </c>
    </row>
    <row r="1987" spans="1:13" hidden="1">
      <c r="A1987" s="1">
        <v>46174</v>
      </c>
      <c r="B1987" t="s">
        <v>1696</v>
      </c>
      <c r="C1987" t="s">
        <v>1499</v>
      </c>
      <c r="D1987" t="s">
        <v>132</v>
      </c>
      <c r="E1987" t="s">
        <v>54</v>
      </c>
      <c r="F1987">
        <v>35</v>
      </c>
      <c r="G1987">
        <v>2</v>
      </c>
      <c r="H1987">
        <v>6.6511473229131999E-4</v>
      </c>
      <c r="I1987">
        <v>5.7142857142857099E-2</v>
      </c>
      <c r="J1987" s="14" t="str">
        <f>_xlfn.XLOOKUP(B1987,CAD_PDV!A:A,CAD_PDV!B:B)</f>
        <v>FLEX CELL</v>
      </c>
      <c r="K1987" s="14">
        <f>IF(IFERROR(_xlfn.XLOOKUP(B1987,Planilha2!D:D,Planilha2!H:H),0)="SIM",1,0)</f>
        <v>0</v>
      </c>
      <c r="L1987" s="14" t="str">
        <f>_xlfn.XLOOKUP(B1987,CAD_PDV!A:A,CAD_PDV!C:C)</f>
        <v>SP2</v>
      </c>
      <c r="M1987" s="14" t="str">
        <f>IFERROR(_xlfn.XLOOKUP(B1987,repete!A:A,repete!A:A),"-")</f>
        <v>-</v>
      </c>
    </row>
    <row r="1988" spans="1:13" hidden="1">
      <c r="A1988" s="1">
        <v>46174</v>
      </c>
      <c r="B1988" t="s">
        <v>1172</v>
      </c>
      <c r="C1988" t="s">
        <v>1142</v>
      </c>
      <c r="D1988" t="s">
        <v>2072</v>
      </c>
      <c r="E1988" t="s">
        <v>55</v>
      </c>
      <c r="F1988">
        <v>52</v>
      </c>
      <c r="G1988">
        <v>2</v>
      </c>
      <c r="H1988">
        <v>6.6511473229131999E-4</v>
      </c>
      <c r="I1988">
        <v>3.8461538461538498E-2</v>
      </c>
      <c r="J1988" s="14" t="str">
        <f>_xlfn.XLOOKUP(B1988,CAD_PDV!A:A,CAD_PDV!B:B)</f>
        <v>MEXCELL COMERCIO E SERVICOS DE TELECOMUNICACOES LTDA</v>
      </c>
      <c r="K1988" s="14">
        <f>IF(IFERROR(_xlfn.XLOOKUP(B1988,Planilha2!D:D,Planilha2!H:H),0)="SIM",1,0)</f>
        <v>0</v>
      </c>
      <c r="L1988" s="14" t="str">
        <f>_xlfn.XLOOKUP(B1988,CAD_PDV!A:A,CAD_PDV!C:C)</f>
        <v>RJ/ES</v>
      </c>
      <c r="M1988" s="14" t="str">
        <f>IFERROR(_xlfn.XLOOKUP(B1988,repete!A:A,repete!A:A),"-")</f>
        <v>-</v>
      </c>
    </row>
    <row r="1989" spans="1:13" hidden="1">
      <c r="A1989" s="1">
        <v>46174</v>
      </c>
      <c r="B1989" t="s">
        <v>1704</v>
      </c>
      <c r="C1989" t="s">
        <v>1705</v>
      </c>
      <c r="D1989" t="s">
        <v>132</v>
      </c>
      <c r="E1989" t="s">
        <v>54</v>
      </c>
      <c r="F1989">
        <v>19</v>
      </c>
      <c r="G1989">
        <v>2</v>
      </c>
      <c r="H1989">
        <v>6.6511473229131999E-4</v>
      </c>
      <c r="I1989">
        <v>0.105263157894737</v>
      </c>
      <c r="J1989" s="14" t="str">
        <f>_xlfn.XLOOKUP(B1989,CAD_PDV!A:A,CAD_PDV!B:B)</f>
        <v>FLEX CELL</v>
      </c>
      <c r="K1989" s="14">
        <f>IF(IFERROR(_xlfn.XLOOKUP(B1989,Planilha2!D:D,Planilha2!H:H),0)="SIM",1,0)</f>
        <v>0</v>
      </c>
      <c r="L1989" s="14" t="str">
        <f>_xlfn.XLOOKUP(B1989,CAD_PDV!A:A,CAD_PDV!C:C)</f>
        <v>SP2</v>
      </c>
      <c r="M1989" s="14" t="str">
        <f>IFERROR(_xlfn.XLOOKUP(B1989,repete!A:A,repete!A:A),"-")</f>
        <v>-</v>
      </c>
    </row>
    <row r="1990" spans="1:13" hidden="1">
      <c r="A1990" s="1">
        <v>46174</v>
      </c>
      <c r="B1990" t="s">
        <v>1708</v>
      </c>
      <c r="C1990" t="s">
        <v>1505</v>
      </c>
      <c r="D1990" t="s">
        <v>132</v>
      </c>
      <c r="E1990" t="s">
        <v>54</v>
      </c>
      <c r="F1990">
        <v>34</v>
      </c>
      <c r="G1990">
        <v>2</v>
      </c>
      <c r="H1990">
        <v>6.6511473229131999E-4</v>
      </c>
      <c r="I1990">
        <v>5.8823529411764698E-2</v>
      </c>
      <c r="J1990" s="14" t="str">
        <f>_xlfn.XLOOKUP(B1990,CAD_PDV!A:A,CAD_PDV!B:B)</f>
        <v>FLEX CELL</v>
      </c>
      <c r="K1990" s="14">
        <f>IF(IFERROR(_xlfn.XLOOKUP(B1990,Planilha2!D:D,Planilha2!H:H),0)="SIM",1,0)</f>
        <v>0</v>
      </c>
      <c r="L1990" s="14" t="str">
        <f>_xlfn.XLOOKUP(B1990,CAD_PDV!A:A,CAD_PDV!C:C)</f>
        <v>SP2</v>
      </c>
      <c r="M1990" s="14" t="str">
        <f>IFERROR(_xlfn.XLOOKUP(B1990,repete!A:A,repete!A:A),"-")</f>
        <v>-</v>
      </c>
    </row>
    <row r="1991" spans="1:13" hidden="1">
      <c r="A1991" s="1">
        <v>46174</v>
      </c>
      <c r="B1991" t="s">
        <v>852</v>
      </c>
      <c r="C1991" t="s">
        <v>732</v>
      </c>
      <c r="D1991" t="s">
        <v>221</v>
      </c>
      <c r="E1991" t="s">
        <v>59</v>
      </c>
      <c r="F1991">
        <v>47</v>
      </c>
      <c r="G1991">
        <v>2</v>
      </c>
      <c r="H1991">
        <v>6.6511473229131999E-4</v>
      </c>
      <c r="I1991">
        <v>4.2553191489361701E-2</v>
      </c>
      <c r="J1991" s="14" t="str">
        <f>_xlfn.XLOOKUP(B1991,CAD_PDV!A:A,CAD_PDV!B:B)</f>
        <v>AMERICOM COMERCIO DE APARELHOS ELETRONICOS LTDA - EPP</v>
      </c>
      <c r="K1991" s="14">
        <f>IF(IFERROR(_xlfn.XLOOKUP(B1991,Planilha2!D:D,Planilha2!H:H),0)="SIM",1,0)</f>
        <v>0</v>
      </c>
      <c r="L1991" s="14" t="str">
        <f>_xlfn.XLOOKUP(B1991,CAD_PDV!A:A,CAD_PDV!C:C)</f>
        <v>CO</v>
      </c>
      <c r="M1991" s="14" t="str">
        <f>IFERROR(_xlfn.XLOOKUP(B1991,repete!A:A,repete!A:A),"-")</f>
        <v>-</v>
      </c>
    </row>
    <row r="1992" spans="1:13" hidden="1">
      <c r="A1992" s="1">
        <v>46174</v>
      </c>
      <c r="B1992" t="s">
        <v>1264</v>
      </c>
      <c r="C1992" t="s">
        <v>1142</v>
      </c>
      <c r="D1992" t="s">
        <v>233</v>
      </c>
      <c r="E1992" t="s">
        <v>55</v>
      </c>
      <c r="F1992">
        <v>71</v>
      </c>
      <c r="G1992">
        <v>2</v>
      </c>
      <c r="H1992">
        <v>6.6511473229131999E-4</v>
      </c>
      <c r="I1992">
        <v>2.8169014084507001E-2</v>
      </c>
      <c r="J1992" s="14" t="str">
        <f>_xlfn.XLOOKUP(B1992,CAD_PDV!A:A,CAD_PDV!B:B)</f>
        <v>LEINAD COMERCIO E SERVICO EIRELI</v>
      </c>
      <c r="K1992" s="14">
        <f>IF(IFERROR(_xlfn.XLOOKUP(B1992,Planilha2!D:D,Planilha2!H:H),0)="SIM",1,0)</f>
        <v>0</v>
      </c>
      <c r="L1992" s="14" t="str">
        <f>_xlfn.XLOOKUP(B1992,CAD_PDV!A:A,CAD_PDV!C:C)</f>
        <v>RJ/ES</v>
      </c>
      <c r="M1992" s="14" t="str">
        <f>IFERROR(_xlfn.XLOOKUP(B1992,repete!A:A,repete!A:A),"-")</f>
        <v>-</v>
      </c>
    </row>
    <row r="1993" spans="1:13" hidden="1">
      <c r="A1993" s="1">
        <v>46174</v>
      </c>
      <c r="B1993" t="s">
        <v>2059</v>
      </c>
      <c r="C1993" t="s">
        <v>2060</v>
      </c>
      <c r="D1993" t="s">
        <v>193</v>
      </c>
      <c r="E1993" t="s">
        <v>2074</v>
      </c>
      <c r="F1993">
        <v>30</v>
      </c>
      <c r="G1993">
        <v>2</v>
      </c>
      <c r="H1993">
        <v>6.6511473229131999E-4</v>
      </c>
      <c r="I1993">
        <v>6.6666666666666693E-2</v>
      </c>
      <c r="J1993" s="14" t="str">
        <f>_xlfn.XLOOKUP(B1993,CAD_PDV!A:A,CAD_PDV!B:B)</f>
        <v>S D COMERCIO DE CELULARES LTDA - ME</v>
      </c>
      <c r="K1993" s="14">
        <f>IF(IFERROR(_xlfn.XLOOKUP(B1993,Planilha2!D:D,Planilha2!H:H),0)="SIM",1,0)</f>
        <v>0</v>
      </c>
      <c r="L1993" s="14" t="str">
        <f>_xlfn.XLOOKUP(B1993,CAD_PDV!A:A,CAD_PDV!C:C)</f>
        <v>RS</v>
      </c>
      <c r="M1993" s="14" t="str">
        <f>IFERROR(_xlfn.XLOOKUP(B1993,repete!A:A,repete!A:A),"-")</f>
        <v>-</v>
      </c>
    </row>
    <row r="1994" spans="1:13" hidden="1">
      <c r="A1994" s="1">
        <v>46174</v>
      </c>
      <c r="B1994" t="s">
        <v>1713</v>
      </c>
      <c r="C1994" t="s">
        <v>1540</v>
      </c>
      <c r="D1994" t="s">
        <v>232</v>
      </c>
      <c r="E1994" t="s">
        <v>54</v>
      </c>
      <c r="F1994">
        <v>36</v>
      </c>
      <c r="G1994">
        <v>2</v>
      </c>
      <c r="H1994">
        <v>6.6511473229131999E-4</v>
      </c>
      <c r="I1994">
        <v>5.5555555555555601E-2</v>
      </c>
      <c r="J1994" s="14" t="str">
        <f>_xlfn.XLOOKUP(B1994,CAD_PDV!A:A,CAD_PDV!B:B)</f>
        <v>HS TELECOM</v>
      </c>
      <c r="K1994" s="14">
        <f>IF(IFERROR(_xlfn.XLOOKUP(B1994,Planilha2!D:D,Planilha2!H:H),0)="SIM",1,0)</f>
        <v>0</v>
      </c>
      <c r="L1994" s="14" t="str">
        <f>_xlfn.XLOOKUP(B1994,CAD_PDV!A:A,CAD_PDV!C:C)</f>
        <v>SP2</v>
      </c>
      <c r="M1994" s="14" t="str">
        <f>IFERROR(_xlfn.XLOOKUP(B1994,repete!A:A,repete!A:A),"-")</f>
        <v>-</v>
      </c>
    </row>
    <row r="1995" spans="1:13" hidden="1">
      <c r="A1995" s="1">
        <v>46174</v>
      </c>
      <c r="B1995" t="s">
        <v>964</v>
      </c>
      <c r="C1995" t="s">
        <v>940</v>
      </c>
      <c r="D1995" t="s">
        <v>236</v>
      </c>
      <c r="E1995" t="s">
        <v>60</v>
      </c>
      <c r="F1995">
        <v>54</v>
      </c>
      <c r="G1995">
        <v>2</v>
      </c>
      <c r="H1995">
        <v>6.6511473229131999E-4</v>
      </c>
      <c r="I1995">
        <v>3.7037037037037E-2</v>
      </c>
      <c r="J1995" s="14" t="str">
        <f>_xlfn.XLOOKUP(B1995,CAD_PDV!A:A,CAD_PDV!B:B)</f>
        <v>PAULA C L NIELLA EIRELI</v>
      </c>
      <c r="K1995" s="14">
        <f>IF(IFERROR(_xlfn.XLOOKUP(B1995,Planilha2!D:D,Planilha2!H:H),0)="SIM",1,0)</f>
        <v>0</v>
      </c>
      <c r="L1995" s="14" t="str">
        <f>_xlfn.XLOOKUP(B1995,CAD_PDV!A:A,CAD_PDV!C:C)</f>
        <v>BA/SE</v>
      </c>
      <c r="M1995" s="14" t="str">
        <f>IFERROR(_xlfn.XLOOKUP(B1995,repete!A:A,repete!A:A),"-")</f>
        <v>-</v>
      </c>
    </row>
    <row r="1996" spans="1:13" hidden="1">
      <c r="A1996" s="1">
        <v>46174</v>
      </c>
      <c r="B1996" t="s">
        <v>857</v>
      </c>
      <c r="C1996" t="s">
        <v>855</v>
      </c>
      <c r="D1996" t="s">
        <v>2073</v>
      </c>
      <c r="E1996" t="s">
        <v>59</v>
      </c>
      <c r="F1996">
        <v>20</v>
      </c>
      <c r="G1996">
        <v>2</v>
      </c>
      <c r="H1996">
        <v>6.6511473229131999E-4</v>
      </c>
      <c r="I1996">
        <v>0.1</v>
      </c>
      <c r="J1996" s="14" t="str">
        <f>_xlfn.XLOOKUP(B1996,CAD_PDV!A:A,CAD_PDV!B:B)</f>
        <v xml:space="preserve">CONTACOM COMERCIO DE APARELHOS ELETRONICOS LTDA </v>
      </c>
      <c r="K1996" s="14">
        <f>IF(IFERROR(_xlfn.XLOOKUP(B1996,Planilha2!D:D,Planilha2!H:H),0)="SIM",1,0)</f>
        <v>0</v>
      </c>
      <c r="L1996" s="14" t="str">
        <f>_xlfn.XLOOKUP(B1996,CAD_PDV!A:A,CAD_PDV!C:C)</f>
        <v>CO</v>
      </c>
      <c r="M1996" s="14" t="str">
        <f>IFERROR(_xlfn.XLOOKUP(B1996,repete!A:A,repete!A:A),"-")</f>
        <v>-</v>
      </c>
    </row>
    <row r="1997" spans="1:13" hidden="1">
      <c r="A1997" s="1">
        <v>46174</v>
      </c>
      <c r="B1997" t="s">
        <v>607</v>
      </c>
      <c r="C1997" t="s">
        <v>610</v>
      </c>
      <c r="D1997" t="s">
        <v>224</v>
      </c>
      <c r="E1997" t="s">
        <v>59</v>
      </c>
      <c r="F1997">
        <v>34</v>
      </c>
      <c r="G1997">
        <v>2</v>
      </c>
      <c r="H1997">
        <v>6.6511473229131999E-4</v>
      </c>
      <c r="I1997">
        <v>5.8823529411764698E-2</v>
      </c>
      <c r="J1997" s="14" t="str">
        <f>_xlfn.XLOOKUP(B1997,CAD_PDV!A:A,CAD_PDV!B:B)</f>
        <v>CELNET COMERCIO E SERVICOS DE TELEFONIA LTDA ME</v>
      </c>
      <c r="K1997" s="14">
        <f>IF(IFERROR(_xlfn.XLOOKUP(B1997,Planilha2!D:D,Planilha2!H:H),0)="SIM",1,0)</f>
        <v>0</v>
      </c>
      <c r="L1997" s="14" t="str">
        <f>_xlfn.XLOOKUP(B1997,CAD_PDV!A:A,CAD_PDV!C:C)</f>
        <v>CO</v>
      </c>
      <c r="M1997" s="14" t="str">
        <f>IFERROR(_xlfn.XLOOKUP(B1997,repete!A:A,repete!A:A),"-")</f>
        <v>-</v>
      </c>
    </row>
    <row r="1998" spans="1:13" hidden="1">
      <c r="A1998" s="1">
        <v>46174</v>
      </c>
      <c r="B1998" t="s">
        <v>749</v>
      </c>
      <c r="C1998" t="s">
        <v>750</v>
      </c>
      <c r="D1998" t="s">
        <v>224</v>
      </c>
      <c r="E1998" t="s">
        <v>59</v>
      </c>
      <c r="F1998">
        <v>42</v>
      </c>
      <c r="G1998">
        <v>2</v>
      </c>
      <c r="H1998">
        <v>6.6511473229131999E-4</v>
      </c>
      <c r="I1998">
        <v>4.7619047619047603E-2</v>
      </c>
      <c r="J1998" s="14" t="str">
        <f>_xlfn.XLOOKUP(B1998,CAD_PDV!A:A,CAD_PDV!B:B)</f>
        <v>CELNET COMERCIO E SERVICOS DE TELEFONIA LTDA ME</v>
      </c>
      <c r="K1998" s="14">
        <f>IF(IFERROR(_xlfn.XLOOKUP(B1998,Planilha2!D:D,Planilha2!H:H),0)="SIM",1,0)</f>
        <v>0</v>
      </c>
      <c r="L1998" s="14" t="str">
        <f>_xlfn.XLOOKUP(B1998,CAD_PDV!A:A,CAD_PDV!C:C)</f>
        <v>CO</v>
      </c>
      <c r="M1998" s="14" t="str">
        <f>IFERROR(_xlfn.XLOOKUP(B1998,repete!A:A,repete!A:A),"-")</f>
        <v>-</v>
      </c>
    </row>
    <row r="1999" spans="1:13" hidden="1">
      <c r="A1999" s="1">
        <v>46174</v>
      </c>
      <c r="B1999" t="s">
        <v>1818</v>
      </c>
      <c r="C1999" t="s">
        <v>1817</v>
      </c>
      <c r="D1999" t="s">
        <v>95</v>
      </c>
      <c r="E1999" t="s">
        <v>2074</v>
      </c>
      <c r="F1999">
        <v>14</v>
      </c>
      <c r="G1999">
        <v>2</v>
      </c>
      <c r="H1999">
        <v>6.6511473229131999E-4</v>
      </c>
      <c r="I1999">
        <v>0.14285714285714299</v>
      </c>
      <c r="J1999" s="14" t="str">
        <f>_xlfn.XLOOKUP(B1999,CAD_PDV!A:A,CAD_PDV!B:B)</f>
        <v>AYRES E DEBONI LTDA - ME</v>
      </c>
      <c r="K1999" s="14">
        <f>IF(IFERROR(_xlfn.XLOOKUP(B1999,Planilha2!D:D,Planilha2!H:H),0)="SIM",1,0)</f>
        <v>0</v>
      </c>
      <c r="L1999" s="14" t="str">
        <f>_xlfn.XLOOKUP(B1999,CAD_PDV!A:A,CAD_PDV!C:C)</f>
        <v>RS</v>
      </c>
      <c r="M1999" s="14" t="str">
        <f>IFERROR(_xlfn.XLOOKUP(B1999,repete!A:A,repete!A:A),"-")</f>
        <v>-</v>
      </c>
    </row>
    <row r="2000" spans="1:13" hidden="1">
      <c r="A2000" s="1">
        <v>46174</v>
      </c>
      <c r="B2000" t="s">
        <v>1970</v>
      </c>
      <c r="C2000" t="s">
        <v>1971</v>
      </c>
      <c r="D2000" t="s">
        <v>124</v>
      </c>
      <c r="E2000" t="s">
        <v>2074</v>
      </c>
      <c r="F2000">
        <v>23</v>
      </c>
      <c r="G2000">
        <v>2</v>
      </c>
      <c r="H2000">
        <v>6.6511473229131999E-4</v>
      </c>
      <c r="I2000">
        <v>8.6956521739130405E-2</v>
      </c>
      <c r="J2000" s="14" t="str">
        <f>_xlfn.XLOOKUP(B2000,CAD_PDV!A:A,CAD_PDV!B:B)</f>
        <v>EDUARDO JUNQUEIRA DA SILVEIRA ADMIN</v>
      </c>
      <c r="K2000" s="14">
        <f>IF(IFERROR(_xlfn.XLOOKUP(B2000,Planilha2!D:D,Planilha2!H:H),0)="SIM",1,0)</f>
        <v>0</v>
      </c>
      <c r="L2000" s="14" t="str">
        <f>_xlfn.XLOOKUP(B2000,CAD_PDV!A:A,CAD_PDV!C:C)</f>
        <v>PR/SC</v>
      </c>
      <c r="M2000" s="14" t="str">
        <f>IFERROR(_xlfn.XLOOKUP(B2000,repete!A:A,repete!A:A),"-")</f>
        <v>-</v>
      </c>
    </row>
    <row r="2001" spans="1:13" hidden="1">
      <c r="A2001" s="1">
        <v>46174</v>
      </c>
      <c r="B2001" t="s">
        <v>1042</v>
      </c>
      <c r="C2001" t="s">
        <v>1017</v>
      </c>
      <c r="D2001" t="s">
        <v>232</v>
      </c>
      <c r="E2001" t="s">
        <v>60</v>
      </c>
      <c r="F2001">
        <v>53</v>
      </c>
      <c r="G2001">
        <v>2</v>
      </c>
      <c r="H2001">
        <v>6.6511473229131999E-4</v>
      </c>
      <c r="I2001">
        <v>3.77358490566038E-2</v>
      </c>
      <c r="J2001" s="14" t="str">
        <f>_xlfn.XLOOKUP(B2001,CAD_PDV!A:A,CAD_PDV!B:B)</f>
        <v>HS TELECOM</v>
      </c>
      <c r="K2001" s="14">
        <f>IF(IFERROR(_xlfn.XLOOKUP(B2001,Planilha2!D:D,Planilha2!H:H),0)="SIM",1,0)</f>
        <v>0</v>
      </c>
      <c r="L2001" s="14" t="str">
        <f>_xlfn.XLOOKUP(B2001,CAD_PDV!A:A,CAD_PDV!C:C)</f>
        <v>BA/SE</v>
      </c>
      <c r="M2001" s="14" t="str">
        <f>IFERROR(_xlfn.XLOOKUP(B2001,repete!A:A,repete!A:A),"-")</f>
        <v>-</v>
      </c>
    </row>
    <row r="2002" spans="1:13" hidden="1">
      <c r="A2002" s="1">
        <v>46174</v>
      </c>
      <c r="B2002" t="s">
        <v>762</v>
      </c>
      <c r="C2002" t="s">
        <v>763</v>
      </c>
      <c r="D2002" t="s">
        <v>239</v>
      </c>
      <c r="E2002" t="s">
        <v>59</v>
      </c>
      <c r="F2002">
        <v>20</v>
      </c>
      <c r="G2002">
        <v>2</v>
      </c>
      <c r="H2002">
        <v>6.6511473229131999E-4</v>
      </c>
      <c r="I2002">
        <v>0.1</v>
      </c>
      <c r="J2002" s="14" t="str">
        <f>_xlfn.XLOOKUP(B2002,CAD_PDV!A:A,CAD_PDV!B:B)</f>
        <v>TELECELL TELEFONIA LTDA - ME</v>
      </c>
      <c r="K2002" s="14">
        <f>IF(IFERROR(_xlfn.XLOOKUP(B2002,Planilha2!D:D,Planilha2!H:H),0)="SIM",1,0)</f>
        <v>0</v>
      </c>
      <c r="L2002" s="14" t="str">
        <f>_xlfn.XLOOKUP(B2002,CAD_PDV!A:A,CAD_PDV!C:C)</f>
        <v>CO</v>
      </c>
      <c r="M2002" s="14" t="str">
        <f>IFERROR(_xlfn.XLOOKUP(B2002,repete!A:A,repete!A:A),"-")</f>
        <v>-</v>
      </c>
    </row>
    <row r="2003" spans="1:13" hidden="1">
      <c r="A2003" s="1">
        <v>46174</v>
      </c>
      <c r="B2003" t="s">
        <v>1322</v>
      </c>
      <c r="C2003" t="s">
        <v>1324</v>
      </c>
      <c r="D2003" t="s">
        <v>225</v>
      </c>
      <c r="E2003" t="s">
        <v>53</v>
      </c>
      <c r="F2003">
        <v>39</v>
      </c>
      <c r="G2003">
        <v>1</v>
      </c>
      <c r="H2003">
        <v>3.3255736614566E-4</v>
      </c>
      <c r="I2003">
        <v>2.5641025641025599E-2</v>
      </c>
      <c r="J2003" s="14" t="str">
        <f>_xlfn.XLOOKUP(B2003,CAD_PDV!A:A,CAD_PDV!B:B)</f>
        <v>CLARICELL SP1</v>
      </c>
      <c r="K2003" s="14">
        <f>IF(IFERROR(_xlfn.XLOOKUP(B2003,Planilha2!D:D,Planilha2!H:H),0)="SIM",1,0)</f>
        <v>0</v>
      </c>
      <c r="L2003" s="14" t="str">
        <f>_xlfn.XLOOKUP(B2003,CAD_PDV!A:A,CAD_PDV!C:C)</f>
        <v>SP1</v>
      </c>
      <c r="M2003" s="14" t="str">
        <f>IFERROR(_xlfn.XLOOKUP(B2003,repete!A:A,repete!A:A),"-")</f>
        <v>-</v>
      </c>
    </row>
    <row r="2004" spans="1:13" hidden="1">
      <c r="A2004" s="1">
        <v>46174</v>
      </c>
      <c r="B2004" t="s">
        <v>2013</v>
      </c>
      <c r="C2004" t="s">
        <v>1744</v>
      </c>
      <c r="D2004" t="s">
        <v>106</v>
      </c>
      <c r="E2004" t="s">
        <v>2074</v>
      </c>
      <c r="F2004">
        <v>95</v>
      </c>
      <c r="G2004">
        <v>1</v>
      </c>
      <c r="H2004">
        <v>3.3255736614566E-4</v>
      </c>
      <c r="I2004">
        <v>1.05263157894737E-2</v>
      </c>
      <c r="J2004" s="14" t="str">
        <f>_xlfn.XLOOKUP(B2004,CAD_PDV!A:A,CAD_PDV!B:B)</f>
        <v>CELLULAR.COM</v>
      </c>
      <c r="K2004" s="14">
        <f>IF(IFERROR(_xlfn.XLOOKUP(B2004,Planilha2!D:D,Planilha2!H:H),0)="SIM",1,0)</f>
        <v>0</v>
      </c>
      <c r="L2004" s="14" t="str">
        <f>_xlfn.XLOOKUP(B2004,CAD_PDV!A:A,CAD_PDV!C:C)</f>
        <v>PR/SC</v>
      </c>
      <c r="M2004" s="14" t="str">
        <f>IFERROR(_xlfn.XLOOKUP(B2004,repete!A:A,repete!A:A),"-")</f>
        <v>-</v>
      </c>
    </row>
    <row r="2005" spans="1:13" hidden="1">
      <c r="A2005" s="1">
        <v>46174</v>
      </c>
      <c r="B2005" t="s">
        <v>1945</v>
      </c>
      <c r="C2005" t="s">
        <v>1946</v>
      </c>
      <c r="D2005" t="s">
        <v>124</v>
      </c>
      <c r="E2005" t="s">
        <v>2074</v>
      </c>
      <c r="F2005">
        <v>16</v>
      </c>
      <c r="G2005">
        <v>1</v>
      </c>
      <c r="H2005">
        <v>3.3255736614566E-4</v>
      </c>
      <c r="I2005">
        <v>6.25E-2</v>
      </c>
      <c r="J2005" s="14" t="str">
        <f>_xlfn.XLOOKUP(B2005,CAD_PDV!A:A,CAD_PDV!B:B)</f>
        <v>EDUARDO JUNQUEIRA DA SILVEIRA ADMIN</v>
      </c>
      <c r="K2005" s="14">
        <f>IF(IFERROR(_xlfn.XLOOKUP(B2005,Planilha2!D:D,Planilha2!H:H),0)="SIM",1,0)</f>
        <v>0</v>
      </c>
      <c r="L2005" s="14" t="str">
        <f>_xlfn.XLOOKUP(B2005,CAD_PDV!A:A,CAD_PDV!C:C)</f>
        <v>RS</v>
      </c>
      <c r="M2005" s="14" t="str">
        <f>IFERROR(_xlfn.XLOOKUP(B2005,repete!A:A,repete!A:A),"-")</f>
        <v>-</v>
      </c>
    </row>
    <row r="2006" spans="1:13" hidden="1">
      <c r="A2006" s="1">
        <v>46174</v>
      </c>
      <c r="B2006" t="s">
        <v>1326</v>
      </c>
      <c r="C2006" t="s">
        <v>1313</v>
      </c>
      <c r="D2006" t="s">
        <v>225</v>
      </c>
      <c r="E2006" t="s">
        <v>53</v>
      </c>
      <c r="F2006">
        <v>88</v>
      </c>
      <c r="G2006">
        <v>1</v>
      </c>
      <c r="H2006">
        <v>3.3255736614566E-4</v>
      </c>
      <c r="I2006">
        <v>1.13636363636364E-2</v>
      </c>
      <c r="J2006" s="14" t="str">
        <f>_xlfn.XLOOKUP(B2006,CAD_PDV!A:A,CAD_PDV!B:B)</f>
        <v>CLARICELL SP1</v>
      </c>
      <c r="K2006" s="14">
        <f>IF(IFERROR(_xlfn.XLOOKUP(B2006,Planilha2!D:D,Planilha2!H:H),0)="SIM",1,0)</f>
        <v>0</v>
      </c>
      <c r="L2006" s="14" t="str">
        <f>_xlfn.XLOOKUP(B2006,CAD_PDV!A:A,CAD_PDV!C:C)</f>
        <v>SP1</v>
      </c>
      <c r="M2006" s="14" t="str">
        <f>IFERROR(_xlfn.XLOOKUP(B2006,repete!A:A,repete!A:A),"-")</f>
        <v>-</v>
      </c>
    </row>
    <row r="2007" spans="1:13" hidden="1">
      <c r="A2007" s="1">
        <v>46174</v>
      </c>
      <c r="B2007" t="s">
        <v>299</v>
      </c>
      <c r="C2007" t="s">
        <v>300</v>
      </c>
      <c r="D2007" t="s">
        <v>238</v>
      </c>
      <c r="E2007" t="s">
        <v>61</v>
      </c>
      <c r="F2007">
        <v>30</v>
      </c>
      <c r="G2007">
        <v>1</v>
      </c>
      <c r="H2007">
        <v>3.3255736614566E-4</v>
      </c>
      <c r="I2007">
        <v>3.3333333333333298E-2</v>
      </c>
      <c r="J2007" s="14" t="str">
        <f>_xlfn.XLOOKUP(B2007,CAD_PDV!A:A,CAD_PDV!B:B)</f>
        <v>R &amp; R HIPER COMERCIO LTDA</v>
      </c>
      <c r="K2007" s="14">
        <f>IF(IFERROR(_xlfn.XLOOKUP(B2007,Planilha2!D:D,Planilha2!H:H),0)="SIM",1,0)</f>
        <v>0</v>
      </c>
      <c r="L2007" s="14" t="str">
        <f>_xlfn.XLOOKUP(B2007,CAD_PDV!A:A,CAD_PDV!C:C)</f>
        <v>NE</v>
      </c>
      <c r="M2007" s="14" t="str">
        <f>IFERROR(_xlfn.XLOOKUP(B2007,repete!A:A,repete!A:A),"-")</f>
        <v>-</v>
      </c>
    </row>
    <row r="2008" spans="1:13" hidden="1">
      <c r="A2008" s="1">
        <v>46174</v>
      </c>
      <c r="B2008" t="s">
        <v>1273</v>
      </c>
      <c r="C2008" t="s">
        <v>1204</v>
      </c>
      <c r="D2008" t="s">
        <v>2072</v>
      </c>
      <c r="E2008" t="s">
        <v>55</v>
      </c>
      <c r="F2008">
        <v>48</v>
      </c>
      <c r="G2008">
        <v>1</v>
      </c>
      <c r="H2008">
        <v>3.3255736614566E-4</v>
      </c>
      <c r="I2008">
        <v>2.0833333333333301E-2</v>
      </c>
      <c r="J2008" s="14" t="str">
        <f>_xlfn.XLOOKUP(B2008,CAD_PDV!A:A,CAD_PDV!B:B)</f>
        <v>MEXCELL COMERCIO E SERVICOS DE TELECOMUNICACOES LTDA</v>
      </c>
      <c r="K2008" s="14">
        <f>IF(IFERROR(_xlfn.XLOOKUP(B2008,Planilha2!D:D,Planilha2!H:H),0)="SIM",1,0)</f>
        <v>0</v>
      </c>
      <c r="L2008" s="14" t="str">
        <f>_xlfn.XLOOKUP(B2008,CAD_PDV!A:A,CAD_PDV!C:C)</f>
        <v>RJ/ES</v>
      </c>
      <c r="M2008" s="14" t="str">
        <f>IFERROR(_xlfn.XLOOKUP(B2008,repete!A:A,repete!A:A),"-")</f>
        <v>-</v>
      </c>
    </row>
    <row r="2009" spans="1:13" hidden="1">
      <c r="A2009" s="1">
        <v>46174</v>
      </c>
      <c r="B2009" t="s">
        <v>1191</v>
      </c>
      <c r="C2009" t="s">
        <v>1194</v>
      </c>
      <c r="D2009" t="s">
        <v>2072</v>
      </c>
      <c r="E2009" t="s">
        <v>55</v>
      </c>
      <c r="F2009">
        <v>8</v>
      </c>
      <c r="G2009">
        <v>1</v>
      </c>
      <c r="H2009">
        <v>3.3255736614566E-4</v>
      </c>
      <c r="I2009">
        <v>0.125</v>
      </c>
      <c r="J2009" s="14" t="str">
        <f>_xlfn.XLOOKUP(B2009,CAD_PDV!A:A,CAD_PDV!B:B)</f>
        <v>MEXCELL COMERCIO E SERVICOS DE TELECOMUNICACOES LTDA</v>
      </c>
      <c r="K2009" s="14">
        <f>IF(IFERROR(_xlfn.XLOOKUP(B2009,Planilha2!D:D,Planilha2!H:H),0)="SIM",1,0)</f>
        <v>0</v>
      </c>
      <c r="L2009" s="14" t="str">
        <f>_xlfn.XLOOKUP(B2009,CAD_PDV!A:A,CAD_PDV!C:C)</f>
        <v>RJ/ES</v>
      </c>
      <c r="M2009" s="14" t="str">
        <f>IFERROR(_xlfn.XLOOKUP(B2009,repete!A:A,repete!A:A),"-")</f>
        <v>-</v>
      </c>
    </row>
    <row r="2010" spans="1:13" hidden="1">
      <c r="A2010" s="1">
        <v>46174</v>
      </c>
      <c r="B2010" t="s">
        <v>2034</v>
      </c>
      <c r="C2010" t="s">
        <v>2035</v>
      </c>
      <c r="D2010" t="s">
        <v>193</v>
      </c>
      <c r="E2010" t="s">
        <v>2074</v>
      </c>
      <c r="F2010">
        <v>24</v>
      </c>
      <c r="G2010">
        <v>1</v>
      </c>
      <c r="H2010">
        <v>3.3255736614566E-4</v>
      </c>
      <c r="I2010">
        <v>4.1666666666666699E-2</v>
      </c>
      <c r="J2010" s="14" t="str">
        <f>_xlfn.XLOOKUP(B2010,CAD_PDV!A:A,CAD_PDV!B:B)</f>
        <v>S D COMERCIO DE CELULARES LTDA - ME</v>
      </c>
      <c r="K2010" s="14">
        <f>IF(IFERROR(_xlfn.XLOOKUP(B2010,Planilha2!D:D,Planilha2!H:H),0)="SIM",1,0)</f>
        <v>0</v>
      </c>
      <c r="L2010" s="14" t="str">
        <f>_xlfn.XLOOKUP(B2010,CAD_PDV!A:A,CAD_PDV!C:C)</f>
        <v>RS</v>
      </c>
      <c r="M2010" s="14" t="str">
        <f>IFERROR(_xlfn.XLOOKUP(B2010,repete!A:A,repete!A:A),"-")</f>
        <v>-</v>
      </c>
    </row>
    <row r="2011" spans="1:13" hidden="1">
      <c r="A2011" s="1">
        <v>46174</v>
      </c>
      <c r="B2011" t="s">
        <v>1427</v>
      </c>
      <c r="C2011" t="s">
        <v>1429</v>
      </c>
      <c r="D2011" t="s">
        <v>232</v>
      </c>
      <c r="E2011" t="s">
        <v>54</v>
      </c>
      <c r="F2011">
        <v>31</v>
      </c>
      <c r="G2011">
        <v>1</v>
      </c>
      <c r="H2011">
        <v>3.3255736614566E-4</v>
      </c>
      <c r="I2011">
        <v>3.2258064516128997E-2</v>
      </c>
      <c r="J2011" s="14" t="str">
        <f>_xlfn.XLOOKUP(B2011,CAD_PDV!A:A,CAD_PDV!B:B)</f>
        <v>HS TELECOM</v>
      </c>
      <c r="K2011" s="14">
        <f>IF(IFERROR(_xlfn.XLOOKUP(B2011,Planilha2!D:D,Planilha2!H:H),0)="SIM",1,0)</f>
        <v>0</v>
      </c>
      <c r="L2011" s="14" t="str">
        <f>_xlfn.XLOOKUP(B2011,CAD_PDV!A:A,CAD_PDV!C:C)</f>
        <v>SP2</v>
      </c>
      <c r="M2011" s="14" t="str">
        <f>IFERROR(_xlfn.XLOOKUP(B2011,repete!A:A,repete!A:A),"-")</f>
        <v>-</v>
      </c>
    </row>
    <row r="2012" spans="1:13" hidden="1">
      <c r="A2012" s="1">
        <v>46174</v>
      </c>
      <c r="B2012" t="s">
        <v>1197</v>
      </c>
      <c r="C2012" t="s">
        <v>1142</v>
      </c>
      <c r="D2012" t="s">
        <v>237</v>
      </c>
      <c r="E2012" t="s">
        <v>55</v>
      </c>
      <c r="F2012">
        <v>68</v>
      </c>
      <c r="G2012">
        <v>1</v>
      </c>
      <c r="H2012">
        <v>3.3255736614566E-4</v>
      </c>
      <c r="I2012">
        <v>1.4705882352941201E-2</v>
      </c>
      <c r="J2012" s="14" t="str">
        <f>_xlfn.XLOOKUP(B2012,CAD_PDV!A:A,CAD_PDV!B:B)</f>
        <v>PONTO CERTO COMERCIO E COMUNICAÇÕES LTDA</v>
      </c>
      <c r="K2012" s="14">
        <f>IF(IFERROR(_xlfn.XLOOKUP(B2012,Planilha2!D:D,Planilha2!H:H),0)="SIM",1,0)</f>
        <v>0</v>
      </c>
      <c r="L2012" s="14" t="str">
        <f>_xlfn.XLOOKUP(B2012,CAD_PDV!A:A,CAD_PDV!C:C)</f>
        <v>RJ/ES</v>
      </c>
      <c r="M2012" s="14" t="str">
        <f>IFERROR(_xlfn.XLOOKUP(B2012,repete!A:A,repete!A:A),"-")</f>
        <v>-</v>
      </c>
    </row>
    <row r="2013" spans="1:13" hidden="1">
      <c r="A2013" s="1">
        <v>46174</v>
      </c>
      <c r="B2013" t="s">
        <v>1436</v>
      </c>
      <c r="C2013" t="s">
        <v>1439</v>
      </c>
      <c r="D2013" t="s">
        <v>120</v>
      </c>
      <c r="E2013" t="s">
        <v>54</v>
      </c>
      <c r="F2013">
        <v>71</v>
      </c>
      <c r="G2013">
        <v>1</v>
      </c>
      <c r="H2013">
        <v>3.3255736614566E-4</v>
      </c>
      <c r="I2013">
        <v>1.4084507042253501E-2</v>
      </c>
      <c r="J2013" s="14" t="str">
        <f>_xlfn.XLOOKUP(B2013,CAD_PDV!A:A,CAD_PDV!B:B)</f>
        <v>DOUGLAS LUIZ ELETRONICOS - ME</v>
      </c>
      <c r="K2013" s="14">
        <f>IF(IFERROR(_xlfn.XLOOKUP(B2013,Planilha2!D:D,Planilha2!H:H),0)="SIM",1,0)</f>
        <v>0</v>
      </c>
      <c r="L2013" s="14" t="str">
        <f>_xlfn.XLOOKUP(B2013,CAD_PDV!A:A,CAD_PDV!C:C)</f>
        <v>SP2</v>
      </c>
      <c r="M2013" s="14" t="str">
        <f>IFERROR(_xlfn.XLOOKUP(B2013,repete!A:A,repete!A:A),"-")</f>
        <v>-</v>
      </c>
    </row>
    <row r="2014" spans="1:13" hidden="1">
      <c r="A2014" s="1">
        <v>46174</v>
      </c>
      <c r="B2014" t="s">
        <v>1460</v>
      </c>
      <c r="C2014" t="s">
        <v>1462</v>
      </c>
      <c r="D2014" t="s">
        <v>106</v>
      </c>
      <c r="E2014" t="s">
        <v>54</v>
      </c>
      <c r="F2014">
        <v>50</v>
      </c>
      <c r="G2014">
        <v>1</v>
      </c>
      <c r="H2014">
        <v>3.3255736614566E-4</v>
      </c>
      <c r="I2014">
        <v>0.02</v>
      </c>
      <c r="J2014" s="14" t="str">
        <f>_xlfn.XLOOKUP(B2014,CAD_PDV!A:A,CAD_PDV!B:B)</f>
        <v>CELLULAR.COM</v>
      </c>
      <c r="K2014" s="14">
        <f>IF(IFERROR(_xlfn.XLOOKUP(B2014,Planilha2!D:D,Planilha2!H:H),0)="SIM",1,0)</f>
        <v>0</v>
      </c>
      <c r="L2014" s="14" t="str">
        <f>_xlfn.XLOOKUP(B2014,CAD_PDV!A:A,CAD_PDV!C:C)</f>
        <v>SP2</v>
      </c>
      <c r="M2014" s="14" t="str">
        <f>IFERROR(_xlfn.XLOOKUP(B2014,repete!A:A,repete!A:A),"-")</f>
        <v>-</v>
      </c>
    </row>
    <row r="2015" spans="1:13" hidden="1">
      <c r="A2015" s="1">
        <v>46174</v>
      </c>
      <c r="B2015" t="s">
        <v>488</v>
      </c>
      <c r="C2015" t="s">
        <v>489</v>
      </c>
      <c r="D2015" t="s">
        <v>228</v>
      </c>
      <c r="E2015" t="s">
        <v>56</v>
      </c>
      <c r="F2015">
        <v>13</v>
      </c>
      <c r="G2015">
        <v>1</v>
      </c>
      <c r="H2015">
        <v>3.3255736614566E-4</v>
      </c>
      <c r="I2015">
        <v>7.69230769230769E-2</v>
      </c>
      <c r="J2015" s="14" t="str">
        <f>_xlfn.XLOOKUP(B2015,CAD_PDV!A:A,CAD_PDV!B:B)</f>
        <v>FAJULUTI</v>
      </c>
      <c r="K2015" s="14">
        <f>IF(IFERROR(_xlfn.XLOOKUP(B2015,Planilha2!D:D,Planilha2!H:H),0)="SIM",1,0)</f>
        <v>0</v>
      </c>
      <c r="L2015" s="14" t="str">
        <f>_xlfn.XLOOKUP(B2015,CAD_PDV!A:A,CAD_PDV!C:C)</f>
        <v>MG</v>
      </c>
      <c r="M2015" s="14" t="str">
        <f>IFERROR(_xlfn.XLOOKUP(B2015,repete!A:A,repete!A:A),"-")</f>
        <v>-</v>
      </c>
    </row>
    <row r="2016" spans="1:13" hidden="1">
      <c r="A2016" s="1">
        <v>46174</v>
      </c>
      <c r="B2016" t="s">
        <v>611</v>
      </c>
      <c r="C2016" t="s">
        <v>610</v>
      </c>
      <c r="D2016" t="s">
        <v>239</v>
      </c>
      <c r="E2016" t="s">
        <v>59</v>
      </c>
      <c r="F2016">
        <v>20</v>
      </c>
      <c r="G2016">
        <v>1</v>
      </c>
      <c r="H2016">
        <v>3.3255736614566E-4</v>
      </c>
      <c r="I2016">
        <v>0.05</v>
      </c>
      <c r="J2016" s="14" t="str">
        <f>_xlfn.XLOOKUP(B2016,CAD_PDV!A:A,CAD_PDV!B:B)</f>
        <v>TELECELL TELEFONIA LTDA - ME</v>
      </c>
      <c r="K2016" s="14">
        <f>IF(IFERROR(_xlfn.XLOOKUP(B2016,Planilha2!D:D,Planilha2!H:H),0)="SIM",1,0)</f>
        <v>0</v>
      </c>
      <c r="L2016" s="14" t="str">
        <f>_xlfn.XLOOKUP(B2016,CAD_PDV!A:A,CAD_PDV!C:C)</f>
        <v>CO</v>
      </c>
      <c r="M2016" s="14" t="str">
        <f>IFERROR(_xlfn.XLOOKUP(B2016,repete!A:A,repete!A:A),"-")</f>
        <v>-</v>
      </c>
    </row>
    <row r="2017" spans="1:13" hidden="1">
      <c r="A2017" s="1">
        <v>46174</v>
      </c>
      <c r="B2017" t="s">
        <v>1520</v>
      </c>
      <c r="C2017" t="s">
        <v>1521</v>
      </c>
      <c r="D2017" t="s">
        <v>106</v>
      </c>
      <c r="E2017" t="s">
        <v>54</v>
      </c>
      <c r="F2017">
        <v>58</v>
      </c>
      <c r="G2017">
        <v>1</v>
      </c>
      <c r="H2017">
        <v>3.3255736614566E-4</v>
      </c>
      <c r="I2017">
        <v>1.72413793103448E-2</v>
      </c>
      <c r="J2017" s="14" t="str">
        <f>_xlfn.XLOOKUP(B2017,CAD_PDV!A:A,CAD_PDV!B:B)</f>
        <v>CELLULAR.COM</v>
      </c>
      <c r="K2017" s="14">
        <f>IF(IFERROR(_xlfn.XLOOKUP(B2017,Planilha2!D:D,Planilha2!H:H),0)="SIM",1,0)</f>
        <v>0</v>
      </c>
      <c r="L2017" s="14" t="str">
        <f>_xlfn.XLOOKUP(B2017,CAD_PDV!A:A,CAD_PDV!C:C)</f>
        <v>SP2</v>
      </c>
      <c r="M2017" s="14" t="str">
        <f>IFERROR(_xlfn.XLOOKUP(B2017,repete!A:A,repete!A:A),"-")</f>
        <v>-</v>
      </c>
    </row>
    <row r="2018" spans="1:13" hidden="1">
      <c r="A2018" s="1">
        <v>46174</v>
      </c>
      <c r="B2018" t="s">
        <v>1905</v>
      </c>
      <c r="C2018" t="s">
        <v>1904</v>
      </c>
      <c r="D2018" t="s">
        <v>106</v>
      </c>
      <c r="E2018" t="s">
        <v>2074</v>
      </c>
      <c r="F2018">
        <v>40</v>
      </c>
      <c r="G2018">
        <v>1</v>
      </c>
      <c r="H2018">
        <v>3.3255736614566E-4</v>
      </c>
      <c r="I2018">
        <v>2.5000000000000001E-2</v>
      </c>
      <c r="J2018" s="14" t="str">
        <f>_xlfn.XLOOKUP(B2018,CAD_PDV!A:A,CAD_PDV!B:B)</f>
        <v>CELLULAR.COM</v>
      </c>
      <c r="K2018" s="14">
        <f>IF(IFERROR(_xlfn.XLOOKUP(B2018,Planilha2!D:D,Planilha2!H:H),0)="SIM",1,0)</f>
        <v>0</v>
      </c>
      <c r="L2018" s="14" t="str">
        <f>_xlfn.XLOOKUP(B2018,CAD_PDV!A:A,CAD_PDV!C:C)</f>
        <v>PR/SC</v>
      </c>
      <c r="M2018" s="14" t="str">
        <f>IFERROR(_xlfn.XLOOKUP(B2018,repete!A:A,repete!A:A),"-")</f>
        <v>-</v>
      </c>
    </row>
    <row r="2019" spans="1:13" hidden="1">
      <c r="A2019" s="1">
        <v>46174</v>
      </c>
      <c r="B2019" t="s">
        <v>1528</v>
      </c>
      <c r="C2019" t="s">
        <v>1454</v>
      </c>
      <c r="D2019" t="s">
        <v>132</v>
      </c>
      <c r="E2019" t="s">
        <v>54</v>
      </c>
      <c r="F2019">
        <v>32</v>
      </c>
      <c r="G2019">
        <v>1</v>
      </c>
      <c r="H2019">
        <v>3.3255736614566E-4</v>
      </c>
      <c r="I2019">
        <v>3.125E-2</v>
      </c>
      <c r="J2019" s="14" t="str">
        <f>_xlfn.XLOOKUP(B2019,CAD_PDV!A:A,CAD_PDV!B:B)</f>
        <v>FLEX CELL</v>
      </c>
      <c r="K2019" s="14">
        <f>IF(IFERROR(_xlfn.XLOOKUP(B2019,Planilha2!D:D,Planilha2!H:H),0)="SIM",1,0)</f>
        <v>0</v>
      </c>
      <c r="L2019" s="14" t="str">
        <f>_xlfn.XLOOKUP(B2019,CAD_PDV!A:A,CAD_PDV!C:C)</f>
        <v>SP2</v>
      </c>
      <c r="M2019" s="14" t="str">
        <f>IFERROR(_xlfn.XLOOKUP(B2019,repete!A:A,repete!A:A),"-")</f>
        <v>-</v>
      </c>
    </row>
    <row r="2020" spans="1:13" hidden="1">
      <c r="A2020" s="1">
        <v>46174</v>
      </c>
      <c r="B2020" t="s">
        <v>519</v>
      </c>
      <c r="C2020" t="s">
        <v>520</v>
      </c>
      <c r="D2020" t="s">
        <v>235</v>
      </c>
      <c r="E2020" t="s">
        <v>56</v>
      </c>
      <c r="F2020">
        <v>18</v>
      </c>
      <c r="G2020">
        <v>1</v>
      </c>
      <c r="H2020">
        <v>3.3255736614566E-4</v>
      </c>
      <c r="I2020">
        <v>5.5555555555555601E-2</v>
      </c>
      <c r="J2020" s="14" t="str">
        <f>_xlfn.XLOOKUP(B2020,CAD_PDV!A:A,CAD_PDV!B:B)</f>
        <v>P.G.L CELULARES LTDA</v>
      </c>
      <c r="K2020" s="14">
        <f>IF(IFERROR(_xlfn.XLOOKUP(B2020,Planilha2!D:D,Planilha2!H:H),0)="SIM",1,0)</f>
        <v>0</v>
      </c>
      <c r="L2020" s="14" t="str">
        <f>_xlfn.XLOOKUP(B2020,CAD_PDV!A:A,CAD_PDV!C:C)</f>
        <v>MG</v>
      </c>
      <c r="M2020" s="14" t="str">
        <f>IFERROR(_xlfn.XLOOKUP(B2020,repete!A:A,repete!A:A),"-")</f>
        <v>-</v>
      </c>
    </row>
    <row r="2021" spans="1:13" hidden="1">
      <c r="A2021" s="1">
        <v>46174</v>
      </c>
      <c r="B2021" t="s">
        <v>854</v>
      </c>
      <c r="C2021" t="s">
        <v>855</v>
      </c>
      <c r="D2021" t="s">
        <v>2073</v>
      </c>
      <c r="E2021" t="s">
        <v>59</v>
      </c>
      <c r="F2021">
        <v>15</v>
      </c>
      <c r="G2021">
        <v>1</v>
      </c>
      <c r="H2021">
        <v>3.3255736614566E-4</v>
      </c>
      <c r="I2021">
        <v>6.6666666666666693E-2</v>
      </c>
      <c r="J2021" s="14" t="str">
        <f>_xlfn.XLOOKUP(B2021,CAD_PDV!A:A,CAD_PDV!B:B)</f>
        <v xml:space="preserve">CONTACOM COMERCIO DE APARELHOS ELETRONICOS LTDA </v>
      </c>
      <c r="K2021" s="14">
        <f>IF(IFERROR(_xlfn.XLOOKUP(B2021,Planilha2!D:D,Planilha2!H:H),0)="SIM",1,0)</f>
        <v>0</v>
      </c>
      <c r="L2021" s="14" t="str">
        <f>_xlfn.XLOOKUP(B2021,CAD_PDV!A:A,CAD_PDV!C:C)</f>
        <v>CO</v>
      </c>
      <c r="M2021" s="14" t="str">
        <f>IFERROR(_xlfn.XLOOKUP(B2021,repete!A:A,repete!A:A),"-")</f>
        <v>-</v>
      </c>
    </row>
    <row r="2022" spans="1:13" hidden="1">
      <c r="A2022" s="1">
        <v>46174</v>
      </c>
      <c r="B2022" t="s">
        <v>1356</v>
      </c>
      <c r="C2022" t="s">
        <v>1357</v>
      </c>
      <c r="D2022" t="s">
        <v>132</v>
      </c>
      <c r="E2022" t="s">
        <v>53</v>
      </c>
      <c r="F2022">
        <v>51</v>
      </c>
      <c r="G2022">
        <v>1</v>
      </c>
      <c r="H2022">
        <v>3.3255736614566E-4</v>
      </c>
      <c r="I2022">
        <v>1.9607843137254902E-2</v>
      </c>
      <c r="J2022" s="14" t="str">
        <f>_xlfn.XLOOKUP(B2022,CAD_PDV!A:A,CAD_PDV!B:B)</f>
        <v>FLEX CELL</v>
      </c>
      <c r="K2022" s="14">
        <f>IF(IFERROR(_xlfn.XLOOKUP(B2022,Planilha2!D:D,Planilha2!H:H),0)="SIM",1,0)</f>
        <v>0</v>
      </c>
      <c r="L2022" s="14" t="str">
        <f>_xlfn.XLOOKUP(B2022,CAD_PDV!A:A,CAD_PDV!C:C)</f>
        <v>SP1</v>
      </c>
      <c r="M2022" s="14" t="str">
        <f>IFERROR(_xlfn.XLOOKUP(B2022,repete!A:A,repete!A:A),"-")</f>
        <v>-</v>
      </c>
    </row>
    <row r="2023" spans="1:13" hidden="1">
      <c r="A2023" s="1">
        <v>46174</v>
      </c>
      <c r="B2023" t="s">
        <v>1049</v>
      </c>
      <c r="C2023" t="s">
        <v>1050</v>
      </c>
      <c r="D2023" t="s">
        <v>232</v>
      </c>
      <c r="E2023" t="s">
        <v>60</v>
      </c>
      <c r="F2023">
        <v>34</v>
      </c>
      <c r="G2023">
        <v>1</v>
      </c>
      <c r="H2023">
        <v>3.3255736614566E-4</v>
      </c>
      <c r="I2023">
        <v>2.9411764705882401E-2</v>
      </c>
      <c r="J2023" s="14" t="str">
        <f>_xlfn.XLOOKUP(B2023,CAD_PDV!A:A,CAD_PDV!B:B)</f>
        <v>HS TELECOM</v>
      </c>
      <c r="K2023" s="14">
        <f>IF(IFERROR(_xlfn.XLOOKUP(B2023,Planilha2!D:D,Planilha2!H:H),0)="SIM",1,0)</f>
        <v>0</v>
      </c>
      <c r="L2023" s="14" t="str">
        <f>_xlfn.XLOOKUP(B2023,CAD_PDV!A:A,CAD_PDV!C:C)</f>
        <v>BA/SE</v>
      </c>
      <c r="M2023" s="14" t="str">
        <f>IFERROR(_xlfn.XLOOKUP(B2023,repete!A:A,repete!A:A),"-")</f>
        <v>-</v>
      </c>
    </row>
    <row r="2024" spans="1:13" hidden="1">
      <c r="A2024" s="1">
        <v>46174</v>
      </c>
      <c r="B2024" t="s">
        <v>1212</v>
      </c>
      <c r="C2024" t="s">
        <v>1142</v>
      </c>
      <c r="D2024" t="s">
        <v>237</v>
      </c>
      <c r="E2024" t="s">
        <v>55</v>
      </c>
      <c r="F2024">
        <v>28</v>
      </c>
      <c r="G2024">
        <v>1</v>
      </c>
      <c r="H2024">
        <v>3.3255736614566E-4</v>
      </c>
      <c r="I2024">
        <v>3.5714285714285698E-2</v>
      </c>
      <c r="J2024" s="14" t="str">
        <f>_xlfn.XLOOKUP(B2024,CAD_PDV!A:A,CAD_PDV!B:B)</f>
        <v>PONTO CERTO COMERCIO E COMUNICAÇÕES LTDA</v>
      </c>
      <c r="K2024" s="14">
        <f>IF(IFERROR(_xlfn.XLOOKUP(B2024,Planilha2!D:D,Planilha2!H:H),0)="SIM",1,0)</f>
        <v>0</v>
      </c>
      <c r="L2024" s="14" t="str">
        <f>_xlfn.XLOOKUP(B2024,CAD_PDV!A:A,CAD_PDV!C:C)</f>
        <v>RJ/ES</v>
      </c>
      <c r="M2024" s="14" t="str">
        <f>IFERROR(_xlfn.XLOOKUP(B2024,repete!A:A,repete!A:A),"-")</f>
        <v>-</v>
      </c>
    </row>
    <row r="2025" spans="1:13" hidden="1">
      <c r="A2025" s="1">
        <v>46174</v>
      </c>
      <c r="B2025" t="s">
        <v>1214</v>
      </c>
      <c r="C2025" t="s">
        <v>1215</v>
      </c>
      <c r="D2025" t="s">
        <v>2072</v>
      </c>
      <c r="E2025" t="s">
        <v>55</v>
      </c>
      <c r="F2025">
        <v>16</v>
      </c>
      <c r="G2025">
        <v>1</v>
      </c>
      <c r="H2025">
        <v>3.3255736614566E-4</v>
      </c>
      <c r="I2025">
        <v>6.25E-2</v>
      </c>
      <c r="J2025" s="14" t="str">
        <f>_xlfn.XLOOKUP(B2025,CAD_PDV!A:A,CAD_PDV!B:B)</f>
        <v>MEXCELL COMERCIO E SERVICOS DE TELECOMUNICACOES LTDA</v>
      </c>
      <c r="K2025" s="14">
        <f>IF(IFERROR(_xlfn.XLOOKUP(B2025,Planilha2!D:D,Planilha2!H:H),0)="SIM",1,0)</f>
        <v>0</v>
      </c>
      <c r="L2025" s="14" t="str">
        <f>_xlfn.XLOOKUP(B2025,CAD_PDV!A:A,CAD_PDV!C:C)</f>
        <v>RJ/ES</v>
      </c>
      <c r="M2025" s="14" t="str">
        <f>IFERROR(_xlfn.XLOOKUP(B2025,repete!A:A,repete!A:A),"-")</f>
        <v>-</v>
      </c>
    </row>
    <row r="2026" spans="1:13" hidden="1">
      <c r="A2026" s="1">
        <v>46174</v>
      </c>
      <c r="B2026" t="s">
        <v>597</v>
      </c>
      <c r="C2026" t="s">
        <v>598</v>
      </c>
      <c r="D2026" t="s">
        <v>228</v>
      </c>
      <c r="E2026" t="s">
        <v>56</v>
      </c>
      <c r="F2026">
        <v>29</v>
      </c>
      <c r="G2026">
        <v>1</v>
      </c>
      <c r="H2026">
        <v>3.3255736614566E-4</v>
      </c>
      <c r="I2026">
        <v>3.4482758620689703E-2</v>
      </c>
      <c r="J2026" s="14" t="str">
        <f>_xlfn.XLOOKUP(B2026,CAD_PDV!A:A,CAD_PDV!B:B)</f>
        <v>FAJULUTI</v>
      </c>
      <c r="K2026" s="14">
        <f>IF(IFERROR(_xlfn.XLOOKUP(B2026,Planilha2!D:D,Planilha2!H:H),0)="SIM",1,0)</f>
        <v>0</v>
      </c>
      <c r="L2026" s="14" t="str">
        <f>_xlfn.XLOOKUP(B2026,CAD_PDV!A:A,CAD_PDV!C:C)</f>
        <v>MG</v>
      </c>
      <c r="M2026" s="14" t="str">
        <f>IFERROR(_xlfn.XLOOKUP(B2026,repete!A:A,repete!A:A),"-")</f>
        <v>-</v>
      </c>
    </row>
    <row r="2027" spans="1:13" hidden="1">
      <c r="A2027" s="1">
        <v>46174</v>
      </c>
      <c r="B2027" t="s">
        <v>1189</v>
      </c>
      <c r="C2027" t="s">
        <v>1190</v>
      </c>
      <c r="D2027" t="s">
        <v>232</v>
      </c>
      <c r="E2027" t="s">
        <v>55</v>
      </c>
      <c r="F2027">
        <v>61</v>
      </c>
      <c r="G2027">
        <v>1</v>
      </c>
      <c r="H2027">
        <v>3.3255736614566E-4</v>
      </c>
      <c r="I2027">
        <v>1.63934426229508E-2</v>
      </c>
      <c r="J2027" s="14" t="str">
        <f>_xlfn.XLOOKUP(B2027,CAD_PDV!A:A,CAD_PDV!B:B)</f>
        <v>HS TELECOM</v>
      </c>
      <c r="K2027" s="14">
        <f>IF(IFERROR(_xlfn.XLOOKUP(B2027,Planilha2!D:D,Planilha2!H:H),0)="SIM",1,0)</f>
        <v>0</v>
      </c>
      <c r="L2027" s="14" t="str">
        <f>_xlfn.XLOOKUP(B2027,CAD_PDV!A:A,CAD_PDV!C:C)</f>
        <v>RJ/ES</v>
      </c>
      <c r="M2027" s="14" t="str">
        <f>IFERROR(_xlfn.XLOOKUP(B2027,repete!A:A,repete!A:A),"-")</f>
        <v>-</v>
      </c>
    </row>
    <row r="2028" spans="1:13" hidden="1">
      <c r="A2028" s="1">
        <v>46174</v>
      </c>
      <c r="B2028" t="s">
        <v>528</v>
      </c>
      <c r="C2028" t="s">
        <v>430</v>
      </c>
      <c r="D2028" t="s">
        <v>106</v>
      </c>
      <c r="E2028" t="s">
        <v>56</v>
      </c>
      <c r="F2028">
        <v>67</v>
      </c>
      <c r="G2028">
        <v>1</v>
      </c>
      <c r="H2028">
        <v>3.3255736614566E-4</v>
      </c>
      <c r="I2028">
        <v>1.49253731343284E-2</v>
      </c>
      <c r="J2028" s="14" t="str">
        <f>_xlfn.XLOOKUP(B2028,CAD_PDV!A:A,CAD_PDV!B:B)</f>
        <v>CELLULAR.COM</v>
      </c>
      <c r="K2028" s="14">
        <f>IF(IFERROR(_xlfn.XLOOKUP(B2028,Planilha2!D:D,Planilha2!H:H),0)="SIM",1,0)</f>
        <v>0</v>
      </c>
      <c r="L2028" s="14" t="str">
        <f>_xlfn.XLOOKUP(B2028,CAD_PDV!A:A,CAD_PDV!C:C)</f>
        <v>MG</v>
      </c>
      <c r="M2028" s="14" t="str">
        <f>IFERROR(_xlfn.XLOOKUP(B2028,repete!A:A,repete!A:A),"-")</f>
        <v>-</v>
      </c>
    </row>
    <row r="2029" spans="1:13" hidden="1">
      <c r="A2029" s="1">
        <v>46174</v>
      </c>
      <c r="B2029" t="s">
        <v>1332</v>
      </c>
      <c r="C2029" t="s">
        <v>1313</v>
      </c>
      <c r="D2029" t="s">
        <v>225</v>
      </c>
      <c r="E2029" t="s">
        <v>53</v>
      </c>
      <c r="F2029">
        <v>56</v>
      </c>
      <c r="G2029">
        <v>1</v>
      </c>
      <c r="H2029">
        <v>3.3255736614566E-4</v>
      </c>
      <c r="I2029">
        <v>1.7857142857142901E-2</v>
      </c>
      <c r="J2029" s="14" t="str">
        <f>_xlfn.XLOOKUP(B2029,CAD_PDV!A:A,CAD_PDV!B:B)</f>
        <v>CLARICELL SP1</v>
      </c>
      <c r="K2029" s="14">
        <f>IF(IFERROR(_xlfn.XLOOKUP(B2029,Planilha2!D:D,Planilha2!H:H),0)="SIM",1,0)</f>
        <v>0</v>
      </c>
      <c r="L2029" s="14" t="str">
        <f>_xlfn.XLOOKUP(B2029,CAD_PDV!A:A,CAD_PDV!C:C)</f>
        <v>SP1</v>
      </c>
      <c r="M2029" s="14" t="str">
        <f>IFERROR(_xlfn.XLOOKUP(B2029,repete!A:A,repete!A:A),"-")</f>
        <v>-</v>
      </c>
    </row>
    <row r="2030" spans="1:13" hidden="1">
      <c r="A2030" s="1">
        <v>46174</v>
      </c>
      <c r="B2030" t="s">
        <v>2086</v>
      </c>
      <c r="C2030" t="s">
        <v>902</v>
      </c>
      <c r="D2030" t="s">
        <v>215</v>
      </c>
      <c r="E2030" t="s">
        <v>59</v>
      </c>
      <c r="F2030">
        <v>46</v>
      </c>
      <c r="G2030">
        <v>1</v>
      </c>
      <c r="H2030">
        <v>3.3255736614566E-4</v>
      </c>
      <c r="I2030">
        <v>2.1739130434782601E-2</v>
      </c>
      <c r="J2030" s="14" t="str">
        <f>_xlfn.XLOOKUP(B2030,CAD_PDV!A:A,CAD_PDV!B:B)</f>
        <v>VIA SALLUS</v>
      </c>
      <c r="K2030" s="14">
        <f>IF(IFERROR(_xlfn.XLOOKUP(B2030,Planilha2!D:D,Planilha2!H:H),0)="SIM",1,0)</f>
        <v>0</v>
      </c>
      <c r="L2030" s="14" t="str">
        <f>_xlfn.XLOOKUP(B2030,CAD_PDV!A:A,CAD_PDV!C:C)</f>
        <v>CO</v>
      </c>
      <c r="M2030" s="14" t="str">
        <f>IFERROR(_xlfn.XLOOKUP(B2030,repete!A:A,repete!A:A),"-")</f>
        <v>-</v>
      </c>
    </row>
    <row r="2031" spans="1:13" hidden="1">
      <c r="A2031" s="1">
        <v>46174</v>
      </c>
      <c r="B2031" t="s">
        <v>672</v>
      </c>
      <c r="C2031" t="s">
        <v>673</v>
      </c>
      <c r="D2031" t="s">
        <v>239</v>
      </c>
      <c r="E2031" t="s">
        <v>59</v>
      </c>
      <c r="F2031">
        <v>39</v>
      </c>
      <c r="G2031">
        <v>1</v>
      </c>
      <c r="H2031">
        <v>3.3255736614566E-4</v>
      </c>
      <c r="I2031">
        <v>2.5641025641025599E-2</v>
      </c>
      <c r="J2031" s="14" t="str">
        <f>_xlfn.XLOOKUP(B2031,CAD_PDV!A:A,CAD_PDV!B:B)</f>
        <v>TELECELL TELEFONIA LTDA - ME</v>
      </c>
      <c r="K2031" s="14">
        <f>IF(IFERROR(_xlfn.XLOOKUP(B2031,Planilha2!D:D,Planilha2!H:H),0)="SIM",1,0)</f>
        <v>0</v>
      </c>
      <c r="L2031" s="14" t="str">
        <f>_xlfn.XLOOKUP(B2031,CAD_PDV!A:A,CAD_PDV!C:C)</f>
        <v>CO</v>
      </c>
      <c r="M2031" s="14" t="str">
        <f>IFERROR(_xlfn.XLOOKUP(B2031,repete!A:A,repete!A:A),"-")</f>
        <v>-</v>
      </c>
    </row>
    <row r="2032" spans="1:13" hidden="1">
      <c r="A2032" s="1">
        <v>46174</v>
      </c>
      <c r="B2032" t="s">
        <v>883</v>
      </c>
      <c r="C2032" t="s">
        <v>873</v>
      </c>
      <c r="D2032" t="s">
        <v>224</v>
      </c>
      <c r="E2032" t="s">
        <v>59</v>
      </c>
      <c r="F2032">
        <v>83</v>
      </c>
      <c r="G2032">
        <v>1</v>
      </c>
      <c r="H2032">
        <v>3.3255736614566E-4</v>
      </c>
      <c r="I2032">
        <v>1.20481927710843E-2</v>
      </c>
      <c r="J2032" s="14" t="str">
        <f>_xlfn.XLOOKUP(B2032,CAD_PDV!A:A,CAD_PDV!B:B)</f>
        <v>CELNET COMERCIO E SERVICOS DE TELEFONIA LTDA ME</v>
      </c>
      <c r="K2032" s="14">
        <f>IF(IFERROR(_xlfn.XLOOKUP(B2032,Planilha2!D:D,Planilha2!H:H),0)="SIM",1,0)</f>
        <v>0</v>
      </c>
      <c r="L2032" s="14" t="str">
        <f>_xlfn.XLOOKUP(B2032,CAD_PDV!A:A,CAD_PDV!C:C)</f>
        <v>CO</v>
      </c>
      <c r="M2032" s="14" t="str">
        <f>IFERROR(_xlfn.XLOOKUP(B2032,repete!A:A,repete!A:A),"-")</f>
        <v>-</v>
      </c>
    </row>
    <row r="2033" spans="1:13" hidden="1">
      <c r="A2033" s="1">
        <v>46174</v>
      </c>
      <c r="B2033" t="s">
        <v>2036</v>
      </c>
      <c r="C2033" t="s">
        <v>2037</v>
      </c>
      <c r="D2033" t="s">
        <v>193</v>
      </c>
      <c r="E2033" t="s">
        <v>2074</v>
      </c>
      <c r="F2033">
        <v>36</v>
      </c>
      <c r="G2033">
        <v>1</v>
      </c>
      <c r="H2033">
        <v>3.3255736614566E-4</v>
      </c>
      <c r="I2033">
        <v>2.7777777777777801E-2</v>
      </c>
      <c r="J2033" s="14" t="str">
        <f>_xlfn.XLOOKUP(B2033,CAD_PDV!A:A,CAD_PDV!B:B)</f>
        <v>S D COMERCIO DE CELULARES LTDA - ME</v>
      </c>
      <c r="K2033" s="14">
        <f>IF(IFERROR(_xlfn.XLOOKUP(B2033,Planilha2!D:D,Planilha2!H:H),0)="SIM",1,0)</f>
        <v>0</v>
      </c>
      <c r="L2033" s="14" t="str">
        <f>_xlfn.XLOOKUP(B2033,CAD_PDV!A:A,CAD_PDV!C:C)</f>
        <v>RS</v>
      </c>
      <c r="M2033" s="14" t="str">
        <f>IFERROR(_xlfn.XLOOKUP(B2033,repete!A:A,repete!A:A),"-")</f>
        <v>-</v>
      </c>
    </row>
    <row r="2034" spans="1:13" hidden="1">
      <c r="A2034" s="1">
        <v>46174</v>
      </c>
      <c r="B2034" t="s">
        <v>490</v>
      </c>
      <c r="C2034" t="s">
        <v>491</v>
      </c>
      <c r="D2034" t="s">
        <v>235</v>
      </c>
      <c r="E2034" t="s">
        <v>56</v>
      </c>
      <c r="F2034">
        <v>37</v>
      </c>
      <c r="G2034">
        <v>1</v>
      </c>
      <c r="H2034">
        <v>3.3255736614566E-4</v>
      </c>
      <c r="I2034">
        <v>2.7027027027027001E-2</v>
      </c>
      <c r="J2034" s="14" t="str">
        <f>_xlfn.XLOOKUP(B2034,CAD_PDV!A:A,CAD_PDV!B:B)</f>
        <v>P.G.L CELULARES LTDA</v>
      </c>
      <c r="K2034" s="14">
        <f>IF(IFERROR(_xlfn.XLOOKUP(B2034,Planilha2!D:D,Planilha2!H:H),0)="SIM",1,0)</f>
        <v>0</v>
      </c>
      <c r="L2034" s="14" t="str">
        <f>_xlfn.XLOOKUP(B2034,CAD_PDV!A:A,CAD_PDV!C:C)</f>
        <v>MG</v>
      </c>
      <c r="M2034" s="14" t="str">
        <f>IFERROR(_xlfn.XLOOKUP(B2034,repete!A:A,repete!A:A),"-")</f>
        <v>-</v>
      </c>
    </row>
    <row r="2035" spans="1:13" hidden="1">
      <c r="A2035" s="1">
        <v>46174</v>
      </c>
      <c r="B2035" t="s">
        <v>1569</v>
      </c>
      <c r="C2035" t="s">
        <v>1570</v>
      </c>
      <c r="D2035" t="s">
        <v>132</v>
      </c>
      <c r="E2035" t="s">
        <v>54</v>
      </c>
      <c r="F2035">
        <v>27</v>
      </c>
      <c r="G2035">
        <v>1</v>
      </c>
      <c r="H2035">
        <v>3.3255736614566E-4</v>
      </c>
      <c r="I2035">
        <v>3.7037037037037E-2</v>
      </c>
      <c r="J2035" s="14" t="str">
        <f>_xlfn.XLOOKUP(B2035,CAD_PDV!A:A,CAD_PDV!B:B)</f>
        <v>FLEX CELL</v>
      </c>
      <c r="K2035" s="14">
        <f>IF(IFERROR(_xlfn.XLOOKUP(B2035,Planilha2!D:D,Planilha2!H:H),0)="SIM",1,0)</f>
        <v>0</v>
      </c>
      <c r="L2035" s="14" t="str">
        <f>_xlfn.XLOOKUP(B2035,CAD_PDV!A:A,CAD_PDV!C:C)</f>
        <v>SP2</v>
      </c>
      <c r="M2035" s="14" t="str">
        <f>IFERROR(_xlfn.XLOOKUP(B2035,repete!A:A,repete!A:A),"-")</f>
        <v>-</v>
      </c>
    </row>
    <row r="2036" spans="1:13" hidden="1">
      <c r="A2036" s="1">
        <v>46174</v>
      </c>
      <c r="B2036" t="s">
        <v>787</v>
      </c>
      <c r="C2036" t="s">
        <v>649</v>
      </c>
      <c r="D2036" t="s">
        <v>240</v>
      </c>
      <c r="E2036" t="s">
        <v>59</v>
      </c>
      <c r="F2036">
        <v>27</v>
      </c>
      <c r="G2036">
        <v>1</v>
      </c>
      <c r="H2036">
        <v>3.3255736614566E-4</v>
      </c>
      <c r="I2036">
        <v>3.7037037037037E-2</v>
      </c>
      <c r="J2036" s="14" t="str">
        <f>_xlfn.XLOOKUP(B2036,CAD_PDV!A:A,CAD_PDV!B:B)</f>
        <v>TELEMAIS TELEFONIA LTDA - ME</v>
      </c>
      <c r="K2036" s="14">
        <f>IF(IFERROR(_xlfn.XLOOKUP(B2036,Planilha2!D:D,Planilha2!H:H),0)="SIM",1,0)</f>
        <v>0</v>
      </c>
      <c r="L2036" s="14" t="str">
        <f>_xlfn.XLOOKUP(B2036,CAD_PDV!A:A,CAD_PDV!C:C)</f>
        <v>CO</v>
      </c>
      <c r="M2036" s="14" t="str">
        <f>IFERROR(_xlfn.XLOOKUP(B2036,repete!A:A,repete!A:A),"-")</f>
        <v>-</v>
      </c>
    </row>
    <row r="2037" spans="1:13" hidden="1">
      <c r="A2037" s="1">
        <v>46174</v>
      </c>
      <c r="B2037" t="s">
        <v>656</v>
      </c>
      <c r="C2037" t="s">
        <v>649</v>
      </c>
      <c r="D2037" t="s">
        <v>239</v>
      </c>
      <c r="E2037" t="s">
        <v>59</v>
      </c>
      <c r="F2037">
        <v>49</v>
      </c>
      <c r="G2037">
        <v>1</v>
      </c>
      <c r="H2037">
        <v>3.3255736614566E-4</v>
      </c>
      <c r="I2037">
        <v>2.04081632653061E-2</v>
      </c>
      <c r="J2037" s="14" t="str">
        <f>_xlfn.XLOOKUP(B2037,CAD_PDV!A:A,CAD_PDV!B:B)</f>
        <v>TELECELL TELEFONIA LTDA - ME</v>
      </c>
      <c r="K2037" s="14">
        <f>IF(IFERROR(_xlfn.XLOOKUP(B2037,Planilha2!D:D,Planilha2!H:H),0)="SIM",1,0)</f>
        <v>0</v>
      </c>
      <c r="L2037" s="14" t="str">
        <f>_xlfn.XLOOKUP(B2037,CAD_PDV!A:A,CAD_PDV!C:C)</f>
        <v>CO</v>
      </c>
      <c r="M2037" s="14" t="str">
        <f>IFERROR(_xlfn.XLOOKUP(B2037,repete!A:A,repete!A:A),"-")</f>
        <v>-</v>
      </c>
    </row>
    <row r="2038" spans="1:13" hidden="1">
      <c r="A2038" s="1">
        <v>46174</v>
      </c>
      <c r="B2038" t="s">
        <v>1940</v>
      </c>
      <c r="C2038" t="s">
        <v>1939</v>
      </c>
      <c r="D2038" t="s">
        <v>176</v>
      </c>
      <c r="E2038" t="s">
        <v>2074</v>
      </c>
      <c r="F2038">
        <v>65</v>
      </c>
      <c r="G2038">
        <v>1</v>
      </c>
      <c r="H2038">
        <v>3.3255736614566E-4</v>
      </c>
      <c r="I2038">
        <v>1.5384615384615399E-2</v>
      </c>
      <c r="J2038" s="14" t="str">
        <f>_xlfn.XLOOKUP(B2038,CAD_PDV!A:A,CAD_PDV!B:B)</f>
        <v>NEW POINT CELULAR LTDA - ME</v>
      </c>
      <c r="K2038" s="14">
        <f>IF(IFERROR(_xlfn.XLOOKUP(B2038,Planilha2!D:D,Planilha2!H:H),0)="SIM",1,0)</f>
        <v>0</v>
      </c>
      <c r="L2038" s="14" t="str">
        <f>_xlfn.XLOOKUP(B2038,CAD_PDV!A:A,CAD_PDV!C:C)</f>
        <v>RS</v>
      </c>
      <c r="M2038" s="14" t="str">
        <f>IFERROR(_xlfn.XLOOKUP(B2038,repete!A:A,repete!A:A),"-")</f>
        <v>-</v>
      </c>
    </row>
    <row r="2039" spans="1:13" hidden="1">
      <c r="A2039" s="1">
        <v>46174</v>
      </c>
      <c r="B2039" t="s">
        <v>1224</v>
      </c>
      <c r="C2039" t="s">
        <v>1225</v>
      </c>
      <c r="D2039" t="s">
        <v>138</v>
      </c>
      <c r="E2039" t="s">
        <v>55</v>
      </c>
      <c r="F2039">
        <v>50</v>
      </c>
      <c r="G2039">
        <v>1</v>
      </c>
      <c r="H2039">
        <v>3.3255736614566E-4</v>
      </c>
      <c r="I2039">
        <v>0.02</v>
      </c>
      <c r="J2039" s="14" t="str">
        <f>_xlfn.XLOOKUP(B2039,CAD_PDV!A:A,CAD_PDV!B:B)</f>
        <v>GSM FREE</v>
      </c>
      <c r="K2039" s="14">
        <f>IF(IFERROR(_xlfn.XLOOKUP(B2039,Planilha2!D:D,Planilha2!H:H),0)="SIM",1,0)</f>
        <v>0</v>
      </c>
      <c r="L2039" s="14" t="str">
        <f>_xlfn.XLOOKUP(B2039,CAD_PDV!A:A,CAD_PDV!C:C)</f>
        <v>RJ/ES</v>
      </c>
      <c r="M2039" s="14" t="str">
        <f>IFERROR(_xlfn.XLOOKUP(B2039,repete!A:A,repete!A:A),"-")</f>
        <v>-</v>
      </c>
    </row>
    <row r="2040" spans="1:13" hidden="1">
      <c r="A2040" s="1">
        <v>46174</v>
      </c>
      <c r="B2040" t="s">
        <v>1291</v>
      </c>
      <c r="C2040" t="s">
        <v>1292</v>
      </c>
      <c r="D2040" t="s">
        <v>232</v>
      </c>
      <c r="E2040" t="s">
        <v>55</v>
      </c>
      <c r="F2040">
        <v>54</v>
      </c>
      <c r="G2040">
        <v>1</v>
      </c>
      <c r="H2040">
        <v>3.3255736614566E-4</v>
      </c>
      <c r="I2040">
        <v>1.85185185185185E-2</v>
      </c>
      <c r="J2040" s="14" t="str">
        <f>_xlfn.XLOOKUP(B2040,CAD_PDV!A:A,CAD_PDV!B:B)</f>
        <v>HS TELECOM</v>
      </c>
      <c r="K2040" s="14">
        <f>IF(IFERROR(_xlfn.XLOOKUP(B2040,Planilha2!D:D,Planilha2!H:H),0)="SIM",1,0)</f>
        <v>0</v>
      </c>
      <c r="L2040" s="14" t="str">
        <f>_xlfn.XLOOKUP(B2040,CAD_PDV!A:A,CAD_PDV!C:C)</f>
        <v>RJ/ES</v>
      </c>
      <c r="M2040" s="14" t="str">
        <f>IFERROR(_xlfn.XLOOKUP(B2040,repete!A:A,repete!A:A),"-")</f>
        <v>-</v>
      </c>
    </row>
    <row r="2041" spans="1:13" hidden="1">
      <c r="A2041" s="1">
        <v>46174</v>
      </c>
      <c r="B2041" t="s">
        <v>2096</v>
      </c>
      <c r="C2041" t="s">
        <v>1757</v>
      </c>
      <c r="D2041" t="s">
        <v>2080</v>
      </c>
      <c r="E2041" t="s">
        <v>2074</v>
      </c>
      <c r="F2041">
        <v>21</v>
      </c>
      <c r="G2041">
        <v>1</v>
      </c>
      <c r="H2041">
        <v>3.3255736614566E-4</v>
      </c>
      <c r="I2041">
        <v>4.7619047619047603E-2</v>
      </c>
      <c r="J2041" s="14" t="e">
        <f>_xlfn.XLOOKUP(B2041,CAD_PDV!A:A,CAD_PDV!B:B)</f>
        <v>#N/A</v>
      </c>
      <c r="K2041" s="14">
        <f>IF(IFERROR(_xlfn.XLOOKUP(B2041,Planilha2!D:D,Planilha2!H:H),0)="SIM",1,0)</f>
        <v>0</v>
      </c>
      <c r="L2041" s="14" t="e">
        <f>_xlfn.XLOOKUP(B2041,CAD_PDV!A:A,CAD_PDV!C:C)</f>
        <v>#N/A</v>
      </c>
      <c r="M2041" s="14" t="str">
        <f>IFERROR(_xlfn.XLOOKUP(B2041,repete!A:A,repete!A:A),"-")</f>
        <v>-</v>
      </c>
    </row>
    <row r="2042" spans="1:13" hidden="1">
      <c r="A2042" s="1">
        <v>46174</v>
      </c>
      <c r="B2042" t="s">
        <v>1935</v>
      </c>
      <c r="C2042" t="s">
        <v>1937</v>
      </c>
      <c r="D2042" t="s">
        <v>176</v>
      </c>
      <c r="E2042" t="s">
        <v>2074</v>
      </c>
      <c r="F2042">
        <v>25</v>
      </c>
      <c r="G2042">
        <v>1</v>
      </c>
      <c r="H2042">
        <v>3.3255736614566E-4</v>
      </c>
      <c r="I2042">
        <v>0.04</v>
      </c>
      <c r="J2042" s="14" t="str">
        <f>_xlfn.XLOOKUP(B2042,CAD_PDV!A:A,CAD_PDV!B:B)</f>
        <v>NEW POINT CELULAR LTDA - ME</v>
      </c>
      <c r="K2042" s="14">
        <f>IF(IFERROR(_xlfn.XLOOKUP(B2042,Planilha2!D:D,Planilha2!H:H),0)="SIM",1,0)</f>
        <v>0</v>
      </c>
      <c r="L2042" s="14" t="str">
        <f>_xlfn.XLOOKUP(B2042,CAD_PDV!A:A,CAD_PDV!C:C)</f>
        <v>RS</v>
      </c>
      <c r="M2042" s="14" t="str">
        <f>IFERROR(_xlfn.XLOOKUP(B2042,repete!A:A,repete!A:A),"-")</f>
        <v>-</v>
      </c>
    </row>
    <row r="2043" spans="1:13" hidden="1">
      <c r="A2043" s="1">
        <v>46174</v>
      </c>
      <c r="B2043" t="s">
        <v>1236</v>
      </c>
      <c r="C2043" t="s">
        <v>1161</v>
      </c>
      <c r="D2043" t="s">
        <v>138</v>
      </c>
      <c r="E2043" t="s">
        <v>55</v>
      </c>
      <c r="F2043">
        <v>17</v>
      </c>
      <c r="G2043">
        <v>1</v>
      </c>
      <c r="H2043">
        <v>3.3255736614566E-4</v>
      </c>
      <c r="I2043">
        <v>5.8823529411764698E-2</v>
      </c>
      <c r="J2043" s="14" t="str">
        <f>_xlfn.XLOOKUP(B2043,CAD_PDV!A:A,CAD_PDV!B:B)</f>
        <v>GSM FREE</v>
      </c>
      <c r="K2043" s="14">
        <f>IF(IFERROR(_xlfn.XLOOKUP(B2043,Planilha2!D:D,Planilha2!H:H),0)="SIM",1,0)</f>
        <v>0</v>
      </c>
      <c r="L2043" s="14" t="str">
        <f>_xlfn.XLOOKUP(B2043,CAD_PDV!A:A,CAD_PDV!C:C)</f>
        <v>RJ/ES</v>
      </c>
      <c r="M2043" s="14" t="str">
        <f>IFERROR(_xlfn.XLOOKUP(B2043,repete!A:A,repete!A:A),"-")</f>
        <v>-</v>
      </c>
    </row>
    <row r="2044" spans="1:13" hidden="1">
      <c r="A2044" s="1">
        <v>46174</v>
      </c>
      <c r="B2044" t="s">
        <v>419</v>
      </c>
      <c r="C2044" t="s">
        <v>411</v>
      </c>
      <c r="D2044" t="s">
        <v>238</v>
      </c>
      <c r="E2044" t="s">
        <v>61</v>
      </c>
      <c r="F2044">
        <v>13</v>
      </c>
      <c r="G2044">
        <v>1</v>
      </c>
      <c r="H2044">
        <v>3.3255736614566E-4</v>
      </c>
      <c r="I2044">
        <v>7.69230769230769E-2</v>
      </c>
      <c r="J2044" s="14" t="str">
        <f>_xlfn.XLOOKUP(B2044,CAD_PDV!A:A,CAD_PDV!B:B)</f>
        <v>R &amp; R HIPER COMERCIO LTDA</v>
      </c>
      <c r="K2044" s="14">
        <f>IF(IFERROR(_xlfn.XLOOKUP(B2044,Planilha2!D:D,Planilha2!H:H),0)="SIM",1,0)</f>
        <v>0</v>
      </c>
      <c r="L2044" s="14" t="str">
        <f>_xlfn.XLOOKUP(B2044,CAD_PDV!A:A,CAD_PDV!C:C)</f>
        <v>NE</v>
      </c>
      <c r="M2044" s="14" t="str">
        <f>IFERROR(_xlfn.XLOOKUP(B2044,repete!A:A,repete!A:A),"-")</f>
        <v>-</v>
      </c>
    </row>
    <row r="2045" spans="1:13" hidden="1">
      <c r="A2045" s="1">
        <v>46174</v>
      </c>
      <c r="B2045" t="s">
        <v>737</v>
      </c>
      <c r="C2045" t="s">
        <v>738</v>
      </c>
      <c r="D2045" t="s">
        <v>231</v>
      </c>
      <c r="E2045" t="s">
        <v>59</v>
      </c>
      <c r="F2045">
        <v>34</v>
      </c>
      <c r="G2045">
        <v>1</v>
      </c>
      <c r="H2045">
        <v>3.3255736614566E-4</v>
      </c>
      <c r="I2045">
        <v>2.9411764705882401E-2</v>
      </c>
      <c r="J2045" s="14" t="str">
        <f>_xlfn.XLOOKUP(B2045,CAD_PDV!A:A,CAD_PDV!B:B)</f>
        <v>HIROTA &amp; HIROTA LTDA - ME</v>
      </c>
      <c r="K2045" s="14">
        <f>IF(IFERROR(_xlfn.XLOOKUP(B2045,Planilha2!D:D,Planilha2!H:H),0)="SIM",1,0)</f>
        <v>0</v>
      </c>
      <c r="L2045" s="14" t="str">
        <f>_xlfn.XLOOKUP(B2045,CAD_PDV!A:A,CAD_PDV!C:C)</f>
        <v>CO</v>
      </c>
      <c r="M2045" s="14" t="str">
        <f>IFERROR(_xlfn.XLOOKUP(B2045,repete!A:A,repete!A:A),"-")</f>
        <v>-</v>
      </c>
    </row>
    <row r="2046" spans="1:13" hidden="1">
      <c r="A2046" s="1">
        <v>46174</v>
      </c>
      <c r="B2046" t="s">
        <v>1584</v>
      </c>
      <c r="C2046" t="s">
        <v>1585</v>
      </c>
      <c r="D2046" t="s">
        <v>106</v>
      </c>
      <c r="E2046" t="s">
        <v>54</v>
      </c>
      <c r="F2046">
        <v>73</v>
      </c>
      <c r="G2046">
        <v>1</v>
      </c>
      <c r="H2046">
        <v>3.3255736614566E-4</v>
      </c>
      <c r="I2046">
        <v>1.3698630136986301E-2</v>
      </c>
      <c r="J2046" s="14" t="str">
        <f>_xlfn.XLOOKUP(B2046,CAD_PDV!A:A,CAD_PDV!B:B)</f>
        <v>CELLULAR.COM</v>
      </c>
      <c r="K2046" s="14">
        <f>IF(IFERROR(_xlfn.XLOOKUP(B2046,Planilha2!D:D,Planilha2!H:H),0)="SIM",1,0)</f>
        <v>0</v>
      </c>
      <c r="L2046" s="14" t="str">
        <f>_xlfn.XLOOKUP(B2046,CAD_PDV!A:A,CAD_PDV!C:C)</f>
        <v>SP2</v>
      </c>
      <c r="M2046" s="14" t="str">
        <f>IFERROR(_xlfn.XLOOKUP(B2046,repete!A:A,repete!A:A),"-")</f>
        <v>-</v>
      </c>
    </row>
    <row r="2047" spans="1:13" hidden="1">
      <c r="A2047" s="1">
        <v>46174</v>
      </c>
      <c r="B2047" t="s">
        <v>1949</v>
      </c>
      <c r="C2047" t="s">
        <v>1950</v>
      </c>
      <c r="D2047" t="s">
        <v>176</v>
      </c>
      <c r="E2047" t="s">
        <v>2074</v>
      </c>
      <c r="F2047">
        <v>55</v>
      </c>
      <c r="G2047">
        <v>1</v>
      </c>
      <c r="H2047">
        <v>3.3255736614566E-4</v>
      </c>
      <c r="I2047">
        <v>1.8181818181818198E-2</v>
      </c>
      <c r="J2047" s="14" t="str">
        <f>_xlfn.XLOOKUP(B2047,CAD_PDV!A:A,CAD_PDV!B:B)</f>
        <v>NEW POINT CELULAR LTDA - ME</v>
      </c>
      <c r="K2047" s="14">
        <f>IF(IFERROR(_xlfn.XLOOKUP(B2047,Planilha2!D:D,Planilha2!H:H),0)="SIM",1,0)</f>
        <v>0</v>
      </c>
      <c r="L2047" s="14" t="str">
        <f>_xlfn.XLOOKUP(B2047,CAD_PDV!A:A,CAD_PDV!C:C)</f>
        <v>RS</v>
      </c>
      <c r="M2047" s="14" t="str">
        <f>IFERROR(_xlfn.XLOOKUP(B2047,repete!A:A,repete!A:A),"-")</f>
        <v>-</v>
      </c>
    </row>
    <row r="2048" spans="1:13" hidden="1">
      <c r="A2048" s="1">
        <v>46174</v>
      </c>
      <c r="B2048" t="s">
        <v>1930</v>
      </c>
      <c r="C2048" t="s">
        <v>1931</v>
      </c>
      <c r="D2048" t="s">
        <v>106</v>
      </c>
      <c r="E2048" t="s">
        <v>2074</v>
      </c>
      <c r="F2048">
        <v>27</v>
      </c>
      <c r="G2048">
        <v>1</v>
      </c>
      <c r="H2048">
        <v>3.3255736614566E-4</v>
      </c>
      <c r="I2048">
        <v>3.7037037037037E-2</v>
      </c>
      <c r="J2048" s="14" t="str">
        <f>_xlfn.XLOOKUP(B2048,CAD_PDV!A:A,CAD_PDV!B:B)</f>
        <v>CELLULAR.COM</v>
      </c>
      <c r="K2048" s="14">
        <f>IF(IFERROR(_xlfn.XLOOKUP(B2048,Planilha2!D:D,Planilha2!H:H),0)="SIM",1,0)</f>
        <v>0</v>
      </c>
      <c r="L2048" s="14" t="str">
        <f>_xlfn.XLOOKUP(B2048,CAD_PDV!A:A,CAD_PDV!C:C)</f>
        <v>PR/SC</v>
      </c>
      <c r="M2048" s="14" t="str">
        <f>IFERROR(_xlfn.XLOOKUP(B2048,repete!A:A,repete!A:A),"-")</f>
        <v>-</v>
      </c>
    </row>
    <row r="2049" spans="1:13" hidden="1">
      <c r="A2049" s="1">
        <v>46174</v>
      </c>
      <c r="B2049" t="s">
        <v>1848</v>
      </c>
      <c r="C2049" t="s">
        <v>1847</v>
      </c>
      <c r="D2049" t="s">
        <v>106</v>
      </c>
      <c r="E2049" t="s">
        <v>2074</v>
      </c>
      <c r="F2049">
        <v>77</v>
      </c>
      <c r="G2049">
        <v>1</v>
      </c>
      <c r="H2049">
        <v>3.3255736614566E-4</v>
      </c>
      <c r="I2049">
        <v>1.2987012987013E-2</v>
      </c>
      <c r="J2049" s="14" t="str">
        <f>_xlfn.XLOOKUP(B2049,CAD_PDV!A:A,CAD_PDV!B:B)</f>
        <v>CELLULAR.COM</v>
      </c>
      <c r="K2049" s="14">
        <f>IF(IFERROR(_xlfn.XLOOKUP(B2049,Planilha2!D:D,Planilha2!H:H),0)="SIM",1,0)</f>
        <v>0</v>
      </c>
      <c r="L2049" s="14" t="str">
        <f>_xlfn.XLOOKUP(B2049,CAD_PDV!A:A,CAD_PDV!C:C)</f>
        <v>PR/SC</v>
      </c>
      <c r="M2049" s="14" t="str">
        <f>IFERROR(_xlfn.XLOOKUP(B2049,repete!A:A,repete!A:A),"-")</f>
        <v>-</v>
      </c>
    </row>
    <row r="2050" spans="1:13" hidden="1">
      <c r="A2050" s="1">
        <v>46174</v>
      </c>
      <c r="B2050" t="s">
        <v>2014</v>
      </c>
      <c r="C2050" t="s">
        <v>1744</v>
      </c>
      <c r="D2050" t="s">
        <v>106</v>
      </c>
      <c r="E2050" t="s">
        <v>2074</v>
      </c>
      <c r="F2050">
        <v>67</v>
      </c>
      <c r="G2050">
        <v>1</v>
      </c>
      <c r="H2050">
        <v>3.3255736614566E-4</v>
      </c>
      <c r="I2050">
        <v>1.49253731343284E-2</v>
      </c>
      <c r="J2050" s="14" t="str">
        <f>_xlfn.XLOOKUP(B2050,CAD_PDV!A:A,CAD_PDV!B:B)</f>
        <v>CELLULAR.COM</v>
      </c>
      <c r="K2050" s="14">
        <f>IF(IFERROR(_xlfn.XLOOKUP(B2050,Planilha2!D:D,Planilha2!H:H),0)="SIM",1,0)</f>
        <v>0</v>
      </c>
      <c r="L2050" s="14" t="str">
        <f>_xlfn.XLOOKUP(B2050,CAD_PDV!A:A,CAD_PDV!C:C)</f>
        <v>PR/SC</v>
      </c>
      <c r="M2050" s="14" t="str">
        <f>IFERROR(_xlfn.XLOOKUP(B2050,repete!A:A,repete!A:A),"-")</f>
        <v>-</v>
      </c>
    </row>
    <row r="2051" spans="1:13" hidden="1">
      <c r="A2051" s="1">
        <v>46174</v>
      </c>
      <c r="B2051" t="s">
        <v>1603</v>
      </c>
      <c r="C2051" t="s">
        <v>1557</v>
      </c>
      <c r="D2051" t="s">
        <v>119</v>
      </c>
      <c r="E2051" t="s">
        <v>54</v>
      </c>
      <c r="F2051">
        <v>18</v>
      </c>
      <c r="G2051">
        <v>1</v>
      </c>
      <c r="H2051">
        <v>3.3255736614566E-4</v>
      </c>
      <c r="I2051">
        <v>5.5555555555555601E-2</v>
      </c>
      <c r="J2051" s="14" t="str">
        <f>_xlfn.XLOOKUP(B2051,CAD_PDV!A:A,CAD_PDV!B:B)</f>
        <v>DOM BARRETO COMERCIAL LTDA - ME</v>
      </c>
      <c r="K2051" s="14">
        <f>IF(IFERROR(_xlfn.XLOOKUP(B2051,Planilha2!D:D,Planilha2!H:H),0)="SIM",1,0)</f>
        <v>0</v>
      </c>
      <c r="L2051" s="14" t="str">
        <f>_xlfn.XLOOKUP(B2051,CAD_PDV!A:A,CAD_PDV!C:C)</f>
        <v>SP2</v>
      </c>
      <c r="M2051" s="14" t="str">
        <f>IFERROR(_xlfn.XLOOKUP(B2051,repete!A:A,repete!A:A),"-")</f>
        <v>-</v>
      </c>
    </row>
    <row r="2052" spans="1:13" hidden="1">
      <c r="A2052" s="1">
        <v>46174</v>
      </c>
      <c r="B2052" t="s">
        <v>553</v>
      </c>
      <c r="C2052" t="s">
        <v>554</v>
      </c>
      <c r="D2052" t="s">
        <v>235</v>
      </c>
      <c r="E2052" t="s">
        <v>56</v>
      </c>
      <c r="F2052">
        <v>34</v>
      </c>
      <c r="G2052">
        <v>1</v>
      </c>
      <c r="H2052">
        <v>3.3255736614566E-4</v>
      </c>
      <c r="I2052">
        <v>2.9411764705882401E-2</v>
      </c>
      <c r="J2052" s="14" t="str">
        <f>_xlfn.XLOOKUP(B2052,CAD_PDV!A:A,CAD_PDV!B:B)</f>
        <v>P.G.L CELULARES LTDA</v>
      </c>
      <c r="K2052" s="14">
        <f>IF(IFERROR(_xlfn.XLOOKUP(B2052,Planilha2!D:D,Planilha2!H:H),0)="SIM",1,0)</f>
        <v>0</v>
      </c>
      <c r="L2052" s="14" t="str">
        <f>_xlfn.XLOOKUP(B2052,CAD_PDV!A:A,CAD_PDV!C:C)</f>
        <v>MG</v>
      </c>
      <c r="M2052" s="14" t="str">
        <f>IFERROR(_xlfn.XLOOKUP(B2052,repete!A:A,repete!A:A),"-")</f>
        <v>-</v>
      </c>
    </row>
    <row r="2053" spans="1:13" hidden="1">
      <c r="A2053" s="1">
        <v>46174</v>
      </c>
      <c r="B2053" t="s">
        <v>1863</v>
      </c>
      <c r="C2053" t="s">
        <v>1864</v>
      </c>
      <c r="D2053" t="s">
        <v>97</v>
      </c>
      <c r="E2053" t="s">
        <v>2074</v>
      </c>
      <c r="F2053">
        <v>21</v>
      </c>
      <c r="G2053">
        <v>1</v>
      </c>
      <c r="H2053">
        <v>3.3255736614566E-4</v>
      </c>
      <c r="I2053">
        <v>4.7619047619047603E-2</v>
      </c>
      <c r="J2053" s="14" t="str">
        <f>_xlfn.XLOOKUP(B2053,CAD_PDV!A:A,CAD_PDV!B:B)</f>
        <v>BANDEIRA</v>
      </c>
      <c r="K2053" s="14">
        <f>IF(IFERROR(_xlfn.XLOOKUP(B2053,Planilha2!D:D,Planilha2!H:H),0)="SIM",1,0)</f>
        <v>0</v>
      </c>
      <c r="L2053" s="14" t="str">
        <f>_xlfn.XLOOKUP(B2053,CAD_PDV!A:A,CAD_PDV!C:C)</f>
        <v>PR/SC</v>
      </c>
      <c r="M2053" s="14" t="str">
        <f>IFERROR(_xlfn.XLOOKUP(B2053,repete!A:A,repete!A:A),"-")</f>
        <v>-</v>
      </c>
    </row>
    <row r="2054" spans="1:13" hidden="1">
      <c r="A2054" s="1">
        <v>46174</v>
      </c>
      <c r="B2054" t="s">
        <v>1851</v>
      </c>
      <c r="C2054" t="s">
        <v>1852</v>
      </c>
      <c r="D2054" t="s">
        <v>106</v>
      </c>
      <c r="E2054" t="s">
        <v>2074</v>
      </c>
      <c r="F2054">
        <v>128</v>
      </c>
      <c r="G2054">
        <v>1</v>
      </c>
      <c r="H2054">
        <v>3.3255736614566E-4</v>
      </c>
      <c r="I2054">
        <v>7.8125E-3</v>
      </c>
      <c r="J2054" s="14" t="str">
        <f>_xlfn.XLOOKUP(B2054,CAD_PDV!A:A,CAD_PDV!B:B)</f>
        <v>CELLULAR.COM</v>
      </c>
      <c r="K2054" s="14">
        <f>IF(IFERROR(_xlfn.XLOOKUP(B2054,Planilha2!D:D,Planilha2!H:H),0)="SIM",1,0)</f>
        <v>0</v>
      </c>
      <c r="L2054" s="14" t="str">
        <f>_xlfn.XLOOKUP(B2054,CAD_PDV!A:A,CAD_PDV!C:C)</f>
        <v>PR/SC</v>
      </c>
      <c r="M2054" s="14" t="str">
        <f>IFERROR(_xlfn.XLOOKUP(B2054,repete!A:A,repete!A:A),"-")</f>
        <v>-</v>
      </c>
    </row>
    <row r="2055" spans="1:13" hidden="1">
      <c r="A2055" s="1">
        <v>46174</v>
      </c>
      <c r="B2055" t="s">
        <v>1624</v>
      </c>
      <c r="C2055" t="s">
        <v>1625</v>
      </c>
      <c r="D2055" t="s">
        <v>232</v>
      </c>
      <c r="E2055" t="s">
        <v>54</v>
      </c>
      <c r="F2055">
        <v>22</v>
      </c>
      <c r="G2055">
        <v>1</v>
      </c>
      <c r="H2055">
        <v>3.3255736614566E-4</v>
      </c>
      <c r="I2055">
        <v>4.5454545454545497E-2</v>
      </c>
      <c r="J2055" s="14" t="str">
        <f>_xlfn.XLOOKUP(B2055,CAD_PDV!A:A,CAD_PDV!B:B)</f>
        <v>HS TELECOM</v>
      </c>
      <c r="K2055" s="14">
        <f>IF(IFERROR(_xlfn.XLOOKUP(B2055,Planilha2!D:D,Planilha2!H:H),0)="SIM",1,0)</f>
        <v>0</v>
      </c>
      <c r="L2055" s="14" t="str">
        <f>_xlfn.XLOOKUP(B2055,CAD_PDV!A:A,CAD_PDV!C:C)</f>
        <v>SP2</v>
      </c>
      <c r="M2055" s="14" t="str">
        <f>IFERROR(_xlfn.XLOOKUP(B2055,repete!A:A,repete!A:A),"-")</f>
        <v>-</v>
      </c>
    </row>
    <row r="2056" spans="1:13" hidden="1">
      <c r="A2056" s="1">
        <v>46174</v>
      </c>
      <c r="B2056" t="s">
        <v>2088</v>
      </c>
      <c r="C2056" t="s">
        <v>1757</v>
      </c>
      <c r="D2056" t="s">
        <v>2080</v>
      </c>
      <c r="E2056" t="s">
        <v>2074</v>
      </c>
      <c r="F2056">
        <v>61</v>
      </c>
      <c r="G2056">
        <v>1</v>
      </c>
      <c r="H2056">
        <v>3.3255736614566E-4</v>
      </c>
      <c r="I2056">
        <v>1.63934426229508E-2</v>
      </c>
      <c r="J2056" s="14" t="e">
        <f>_xlfn.XLOOKUP(B2056,CAD_PDV!A:A,CAD_PDV!B:B)</f>
        <v>#N/A</v>
      </c>
      <c r="K2056" s="14">
        <f>IF(IFERROR(_xlfn.XLOOKUP(B2056,Planilha2!D:D,Planilha2!H:H),0)="SIM",1,0)</f>
        <v>0</v>
      </c>
      <c r="L2056" s="14" t="e">
        <f>_xlfn.XLOOKUP(B2056,CAD_PDV!A:A,CAD_PDV!C:C)</f>
        <v>#N/A</v>
      </c>
      <c r="M2056" s="14" t="str">
        <f>IFERROR(_xlfn.XLOOKUP(B2056,repete!A:A,repete!A:A),"-")</f>
        <v>-</v>
      </c>
    </row>
    <row r="2057" spans="1:13" hidden="1">
      <c r="A2057" s="1">
        <v>46174</v>
      </c>
      <c r="B2057" t="s">
        <v>562</v>
      </c>
      <c r="C2057" t="s">
        <v>507</v>
      </c>
      <c r="D2057" t="s">
        <v>106</v>
      </c>
      <c r="E2057" t="s">
        <v>56</v>
      </c>
      <c r="F2057">
        <v>53</v>
      </c>
      <c r="G2057">
        <v>1</v>
      </c>
      <c r="H2057">
        <v>3.3255736614566E-4</v>
      </c>
      <c r="I2057">
        <v>1.88679245283019E-2</v>
      </c>
      <c r="J2057" s="14" t="str">
        <f>_xlfn.XLOOKUP(B2057,CAD_PDV!A:A,CAD_PDV!B:B)</f>
        <v>CELLULAR.COM</v>
      </c>
      <c r="K2057" s="14">
        <f>IF(IFERROR(_xlfn.XLOOKUP(B2057,Planilha2!D:D,Planilha2!H:H),0)="SIM",1,0)</f>
        <v>0</v>
      </c>
      <c r="L2057" s="14" t="str">
        <f>_xlfn.XLOOKUP(B2057,CAD_PDV!A:A,CAD_PDV!C:C)</f>
        <v>MG</v>
      </c>
      <c r="M2057" s="14" t="str">
        <f>IFERROR(_xlfn.XLOOKUP(B2057,repete!A:A,repete!A:A),"-")</f>
        <v>MHRS</v>
      </c>
    </row>
    <row r="2058" spans="1:13" hidden="1">
      <c r="A2058" s="1">
        <v>46174</v>
      </c>
      <c r="B2058" t="s">
        <v>703</v>
      </c>
      <c r="C2058" t="s">
        <v>694</v>
      </c>
      <c r="D2058" t="s">
        <v>239</v>
      </c>
      <c r="E2058" t="s">
        <v>59</v>
      </c>
      <c r="F2058">
        <v>29</v>
      </c>
      <c r="G2058">
        <v>1</v>
      </c>
      <c r="H2058">
        <v>3.3255736614566E-4</v>
      </c>
      <c r="I2058">
        <v>3.4482758620689703E-2</v>
      </c>
      <c r="J2058" s="14" t="str">
        <f>_xlfn.XLOOKUP(B2058,CAD_PDV!A:A,CAD_PDV!B:B)</f>
        <v>TELECELL TELEFONIA LTDA - ME</v>
      </c>
      <c r="K2058" s="14">
        <f>IF(IFERROR(_xlfn.XLOOKUP(B2058,Planilha2!D:D,Planilha2!H:H),0)="SIM",1,0)</f>
        <v>0</v>
      </c>
      <c r="L2058" s="14" t="str">
        <f>_xlfn.XLOOKUP(B2058,CAD_PDV!A:A,CAD_PDV!C:C)</f>
        <v>CO</v>
      </c>
      <c r="M2058" s="14" t="str">
        <f>IFERROR(_xlfn.XLOOKUP(B2058,repete!A:A,repete!A:A),"-")</f>
        <v>-</v>
      </c>
    </row>
    <row r="2059" spans="1:13" hidden="1">
      <c r="A2059" s="1">
        <v>46174</v>
      </c>
      <c r="B2059" t="s">
        <v>675</v>
      </c>
      <c r="C2059" t="s">
        <v>677</v>
      </c>
      <c r="D2059" t="s">
        <v>239</v>
      </c>
      <c r="E2059" t="s">
        <v>59</v>
      </c>
      <c r="F2059">
        <v>34</v>
      </c>
      <c r="G2059">
        <v>1</v>
      </c>
      <c r="H2059">
        <v>3.3255736614566E-4</v>
      </c>
      <c r="I2059">
        <v>2.9411764705882401E-2</v>
      </c>
      <c r="J2059" s="14" t="str">
        <f>_xlfn.XLOOKUP(B2059,CAD_PDV!A:A,CAD_PDV!B:B)</f>
        <v>TELECELL TELEFONIA LTDA - ME</v>
      </c>
      <c r="K2059" s="14">
        <f>IF(IFERROR(_xlfn.XLOOKUP(B2059,Planilha2!D:D,Planilha2!H:H),0)="SIM",1,0)</f>
        <v>0</v>
      </c>
      <c r="L2059" s="14" t="str">
        <f>_xlfn.XLOOKUP(B2059,CAD_PDV!A:A,CAD_PDV!C:C)</f>
        <v>CO</v>
      </c>
      <c r="M2059" s="14" t="str">
        <f>IFERROR(_xlfn.XLOOKUP(B2059,repete!A:A,repete!A:A),"-")</f>
        <v>-</v>
      </c>
    </row>
    <row r="2060" spans="1:13" hidden="1">
      <c r="A2060" s="1">
        <v>46174</v>
      </c>
      <c r="B2060" t="s">
        <v>2100</v>
      </c>
      <c r="C2060" t="s">
        <v>1757</v>
      </c>
      <c r="D2060" t="s">
        <v>2080</v>
      </c>
      <c r="E2060" t="s">
        <v>2074</v>
      </c>
      <c r="F2060">
        <v>17</v>
      </c>
      <c r="G2060">
        <v>1</v>
      </c>
      <c r="H2060">
        <v>3.3255736614566E-4</v>
      </c>
      <c r="I2060">
        <v>5.8823529411764698E-2</v>
      </c>
      <c r="J2060" s="14" t="e">
        <f>_xlfn.XLOOKUP(B2060,CAD_PDV!A:A,CAD_PDV!B:B)</f>
        <v>#N/A</v>
      </c>
      <c r="K2060" s="14">
        <f>IF(IFERROR(_xlfn.XLOOKUP(B2060,Planilha2!D:D,Planilha2!H:H),0)="SIM",1,0)</f>
        <v>0</v>
      </c>
      <c r="L2060" s="14" t="e">
        <f>_xlfn.XLOOKUP(B2060,CAD_PDV!A:A,CAD_PDV!C:C)</f>
        <v>#N/A</v>
      </c>
      <c r="M2060" s="14" t="str">
        <f>IFERROR(_xlfn.XLOOKUP(B2060,repete!A:A,repete!A:A),"-")</f>
        <v>-</v>
      </c>
    </row>
    <row r="2061" spans="1:13" hidden="1">
      <c r="A2061" s="1">
        <v>46174</v>
      </c>
      <c r="B2061" t="s">
        <v>523</v>
      </c>
      <c r="C2061" t="s">
        <v>524</v>
      </c>
      <c r="D2061" t="s">
        <v>239</v>
      </c>
      <c r="E2061" t="s">
        <v>56</v>
      </c>
      <c r="F2061">
        <v>20</v>
      </c>
      <c r="G2061">
        <v>1</v>
      </c>
      <c r="H2061">
        <v>3.3255736614566E-4</v>
      </c>
      <c r="I2061">
        <v>0.05</v>
      </c>
      <c r="J2061" s="14" t="str">
        <f>_xlfn.XLOOKUP(B2061,CAD_PDV!A:A,CAD_PDV!B:B)</f>
        <v>TELECELL TELEFONIA LTDA - ME</v>
      </c>
      <c r="K2061" s="14">
        <f>IF(IFERROR(_xlfn.XLOOKUP(B2061,Planilha2!D:D,Planilha2!H:H),0)="SIM",1,0)</f>
        <v>0</v>
      </c>
      <c r="L2061" s="14" t="str">
        <f>_xlfn.XLOOKUP(B2061,CAD_PDV!A:A,CAD_PDV!C:C)</f>
        <v>MG</v>
      </c>
      <c r="M2061" s="14" t="str">
        <f>IFERROR(_xlfn.XLOOKUP(B2061,repete!A:A,repete!A:A),"-")</f>
        <v>-</v>
      </c>
    </row>
    <row r="2062" spans="1:13" hidden="1">
      <c r="A2062" s="1">
        <v>46174</v>
      </c>
      <c r="B2062" t="s">
        <v>459</v>
      </c>
      <c r="C2062" t="s">
        <v>460</v>
      </c>
      <c r="D2062" t="s">
        <v>115</v>
      </c>
      <c r="E2062" t="s">
        <v>56</v>
      </c>
      <c r="F2062">
        <v>12</v>
      </c>
      <c r="G2062">
        <v>1</v>
      </c>
      <c r="H2062">
        <v>3.3255736614566E-4</v>
      </c>
      <c r="I2062">
        <v>8.3333333333333301E-2</v>
      </c>
      <c r="J2062" s="14" t="str">
        <f>_xlfn.XLOOKUP(B2062,CAD_PDV!A:A,CAD_PDV!B:B)</f>
        <v>DIANA CARLA MOREIRA</v>
      </c>
      <c r="K2062" s="14">
        <f>IF(IFERROR(_xlfn.XLOOKUP(B2062,Planilha2!D:D,Planilha2!H:H),0)="SIM",1,0)</f>
        <v>0</v>
      </c>
      <c r="L2062" s="14" t="str">
        <f>_xlfn.XLOOKUP(B2062,CAD_PDV!A:A,CAD_PDV!C:C)</f>
        <v>MG</v>
      </c>
      <c r="M2062" s="14" t="str">
        <f>IFERROR(_xlfn.XLOOKUP(B2062,repete!A:A,repete!A:A),"-")</f>
        <v>-</v>
      </c>
    </row>
    <row r="2063" spans="1:13" hidden="1">
      <c r="A2063" s="1">
        <v>46174</v>
      </c>
      <c r="B2063" t="s">
        <v>829</v>
      </c>
      <c r="C2063" t="s">
        <v>820</v>
      </c>
      <c r="D2063" t="s">
        <v>239</v>
      </c>
      <c r="E2063" t="s">
        <v>59</v>
      </c>
      <c r="F2063">
        <v>63</v>
      </c>
      <c r="G2063">
        <v>1</v>
      </c>
      <c r="H2063">
        <v>3.3255736614566E-4</v>
      </c>
      <c r="I2063">
        <v>1.58730158730159E-2</v>
      </c>
      <c r="J2063" s="14" t="str">
        <f>_xlfn.XLOOKUP(B2063,CAD_PDV!A:A,CAD_PDV!B:B)</f>
        <v>TELECELL TELEFONIA LTDA - ME</v>
      </c>
      <c r="K2063" s="14">
        <f>IF(IFERROR(_xlfn.XLOOKUP(B2063,Planilha2!D:D,Planilha2!H:H),0)="SIM",1,0)</f>
        <v>0</v>
      </c>
      <c r="L2063" s="14" t="str">
        <f>_xlfn.XLOOKUP(B2063,CAD_PDV!A:A,CAD_PDV!C:C)</f>
        <v>CO</v>
      </c>
      <c r="M2063" s="14" t="str">
        <f>IFERROR(_xlfn.XLOOKUP(B2063,repete!A:A,repete!A:A),"-")</f>
        <v>-</v>
      </c>
    </row>
    <row r="2064" spans="1:13" hidden="1">
      <c r="A2064" s="1">
        <v>46174</v>
      </c>
      <c r="B2064" t="s">
        <v>1279</v>
      </c>
      <c r="C2064" t="s">
        <v>1280</v>
      </c>
      <c r="D2064" t="s">
        <v>228</v>
      </c>
      <c r="E2064" t="s">
        <v>55</v>
      </c>
      <c r="F2064">
        <v>15</v>
      </c>
      <c r="G2064">
        <v>1</v>
      </c>
      <c r="H2064">
        <v>3.3255736614566E-4</v>
      </c>
      <c r="I2064">
        <v>6.6666666666666693E-2</v>
      </c>
      <c r="J2064" s="14" t="str">
        <f>_xlfn.XLOOKUP(B2064,CAD_PDV!A:A,CAD_PDV!B:B)</f>
        <v>FAJULUTI</v>
      </c>
      <c r="K2064" s="14">
        <f>IF(IFERROR(_xlfn.XLOOKUP(B2064,Planilha2!D:D,Planilha2!H:H),0)="SIM",1,0)</f>
        <v>0</v>
      </c>
      <c r="L2064" s="14" t="str">
        <f>_xlfn.XLOOKUP(B2064,CAD_PDV!A:A,CAD_PDV!C:C)</f>
        <v>RJ/ES</v>
      </c>
      <c r="M2064" s="14" t="str">
        <f>IFERROR(_xlfn.XLOOKUP(B2064,repete!A:A,repete!A:A),"-")</f>
        <v>-</v>
      </c>
    </row>
    <row r="2065" spans="1:13" hidden="1">
      <c r="A2065" s="1">
        <v>46174</v>
      </c>
      <c r="B2065" t="s">
        <v>289</v>
      </c>
      <c r="C2065" t="s">
        <v>291</v>
      </c>
      <c r="D2065" t="s">
        <v>230</v>
      </c>
      <c r="E2065" t="s">
        <v>61</v>
      </c>
      <c r="F2065">
        <v>105</v>
      </c>
      <c r="G2065">
        <v>1</v>
      </c>
      <c r="H2065">
        <v>3.3255736614566E-4</v>
      </c>
      <c r="I2065">
        <v>9.5238095238095195E-3</v>
      </c>
      <c r="J2065" s="14" t="str">
        <f>_xlfn.XLOOKUP(B2065,CAD_PDV!A:A,CAD_PDV!B:B)</f>
        <v>HARCOS COMERCIO E SERVICOS LTDA - EPP</v>
      </c>
      <c r="K2065" s="14">
        <f>IF(IFERROR(_xlfn.XLOOKUP(B2065,Planilha2!D:D,Planilha2!H:H),0)="SIM",1,0)</f>
        <v>0</v>
      </c>
      <c r="L2065" s="14" t="str">
        <f>_xlfn.XLOOKUP(B2065,CAD_PDV!A:A,CAD_PDV!C:C)</f>
        <v>NE</v>
      </c>
      <c r="M2065" s="14" t="str">
        <f>IFERROR(_xlfn.XLOOKUP(B2065,repete!A:A,repete!A:A),"-")</f>
        <v>-</v>
      </c>
    </row>
    <row r="2066" spans="1:13" hidden="1">
      <c r="A2066" s="1">
        <v>46174</v>
      </c>
      <c r="B2066" t="s">
        <v>1701</v>
      </c>
      <c r="C2066" t="s">
        <v>1702</v>
      </c>
      <c r="D2066" t="s">
        <v>106</v>
      </c>
      <c r="E2066" t="s">
        <v>54</v>
      </c>
      <c r="F2066">
        <v>35</v>
      </c>
      <c r="G2066">
        <v>1</v>
      </c>
      <c r="H2066">
        <v>3.3255736614566E-4</v>
      </c>
      <c r="I2066">
        <v>2.8571428571428598E-2</v>
      </c>
      <c r="J2066" s="14" t="str">
        <f>_xlfn.XLOOKUP(B2066,CAD_PDV!A:A,CAD_PDV!B:B)</f>
        <v>CELLULAR.COM</v>
      </c>
      <c r="K2066" s="14">
        <f>IF(IFERROR(_xlfn.XLOOKUP(B2066,Planilha2!D:D,Planilha2!H:H),0)="SIM",1,0)</f>
        <v>0</v>
      </c>
      <c r="L2066" s="14" t="str">
        <f>_xlfn.XLOOKUP(B2066,CAD_PDV!A:A,CAD_PDV!C:C)</f>
        <v>SP2</v>
      </c>
      <c r="M2066" s="14" t="str">
        <f>IFERROR(_xlfn.XLOOKUP(B2066,repete!A:A,repete!A:A),"-")</f>
        <v>-</v>
      </c>
    </row>
    <row r="2067" spans="1:13" hidden="1">
      <c r="A2067" s="1">
        <v>46174</v>
      </c>
      <c r="B2067" t="s">
        <v>1257</v>
      </c>
      <c r="C2067" t="s">
        <v>1255</v>
      </c>
      <c r="D2067" t="s">
        <v>228</v>
      </c>
      <c r="E2067" t="s">
        <v>55</v>
      </c>
      <c r="F2067">
        <v>27</v>
      </c>
      <c r="G2067">
        <v>1</v>
      </c>
      <c r="H2067">
        <v>3.3255736614566E-4</v>
      </c>
      <c r="I2067">
        <v>3.7037037037037E-2</v>
      </c>
      <c r="J2067" s="14" t="str">
        <f>_xlfn.XLOOKUP(B2067,CAD_PDV!A:A,CAD_PDV!B:B)</f>
        <v>FAJULUTI</v>
      </c>
      <c r="K2067" s="14">
        <f>IF(IFERROR(_xlfn.XLOOKUP(B2067,Planilha2!D:D,Planilha2!H:H),0)="SIM",1,0)</f>
        <v>0</v>
      </c>
      <c r="L2067" s="14" t="str">
        <f>_xlfn.XLOOKUP(B2067,CAD_PDV!A:A,CAD_PDV!C:C)</f>
        <v>RJ/ES</v>
      </c>
      <c r="M2067" s="14" t="str">
        <f>IFERROR(_xlfn.XLOOKUP(B2067,repete!A:A,repete!A:A),"-")</f>
        <v>-</v>
      </c>
    </row>
    <row r="2068" spans="1:13" hidden="1">
      <c r="A2068" s="1">
        <v>46174</v>
      </c>
      <c r="B2068" t="s">
        <v>853</v>
      </c>
      <c r="C2068" t="s">
        <v>732</v>
      </c>
      <c r="D2068" t="s">
        <v>221</v>
      </c>
      <c r="E2068" t="s">
        <v>59</v>
      </c>
      <c r="F2068">
        <v>18</v>
      </c>
      <c r="G2068">
        <v>1</v>
      </c>
      <c r="H2068">
        <v>3.3255736614566E-4</v>
      </c>
      <c r="I2068">
        <v>5.5555555555555601E-2</v>
      </c>
      <c r="J2068" s="14" t="str">
        <f>_xlfn.XLOOKUP(B2068,CAD_PDV!A:A,CAD_PDV!B:B)</f>
        <v>AMERICOM COMERCIO DE APARELHOS ELETRONICOS LTDA - EPP</v>
      </c>
      <c r="K2068" s="14">
        <f>IF(IFERROR(_xlfn.XLOOKUP(B2068,Planilha2!D:D,Planilha2!H:H),0)="SIM",1,0)</f>
        <v>0</v>
      </c>
      <c r="L2068" s="14" t="str">
        <f>_xlfn.XLOOKUP(B2068,CAD_PDV!A:A,CAD_PDV!C:C)</f>
        <v>CO</v>
      </c>
      <c r="M2068" s="14" t="str">
        <f>IFERROR(_xlfn.XLOOKUP(B2068,repete!A:A,repete!A:A),"-")</f>
        <v>-</v>
      </c>
    </row>
    <row r="2069" spans="1:13" hidden="1">
      <c r="A2069" s="1">
        <v>46174</v>
      </c>
      <c r="B2069" t="s">
        <v>1032</v>
      </c>
      <c r="C2069" t="s">
        <v>944</v>
      </c>
      <c r="D2069" t="s">
        <v>222</v>
      </c>
      <c r="E2069" t="s">
        <v>60</v>
      </c>
      <c r="F2069">
        <v>36</v>
      </c>
      <c r="G2069">
        <v>1</v>
      </c>
      <c r="H2069">
        <v>3.3255736614566E-4</v>
      </c>
      <c r="I2069">
        <v>2.7777777777777801E-2</v>
      </c>
      <c r="J2069" s="14" t="str">
        <f>_xlfn.XLOOKUP(B2069,CAD_PDV!A:A,CAD_PDV!B:B)</f>
        <v>ANCLA COMERCIO</v>
      </c>
      <c r="K2069" s="14">
        <f>IF(IFERROR(_xlfn.XLOOKUP(B2069,Planilha2!D:D,Planilha2!H:H),0)="SIM",1,0)</f>
        <v>0</v>
      </c>
      <c r="L2069" s="14" t="str">
        <f>_xlfn.XLOOKUP(B2069,CAD_PDV!A:A,CAD_PDV!C:C)</f>
        <v>BA/SE</v>
      </c>
      <c r="M2069" s="14" t="str">
        <f>IFERROR(_xlfn.XLOOKUP(B2069,repete!A:A,repete!A:A),"-")</f>
        <v>-</v>
      </c>
    </row>
    <row r="2070" spans="1:13" hidden="1">
      <c r="A2070" s="1">
        <v>46174</v>
      </c>
      <c r="B2070" t="s">
        <v>1374</v>
      </c>
      <c r="C2070" t="s">
        <v>1375</v>
      </c>
      <c r="D2070" t="s">
        <v>229</v>
      </c>
      <c r="E2070" t="s">
        <v>53</v>
      </c>
      <c r="F2070">
        <v>44</v>
      </c>
      <c r="G2070">
        <v>1</v>
      </c>
      <c r="H2070">
        <v>3.3255736614566E-4</v>
      </c>
      <c r="I2070">
        <v>2.27272727272727E-2</v>
      </c>
      <c r="J2070" s="14" t="str">
        <f>_xlfn.XLOOKUP(B2070,CAD_PDV!A:A,CAD_PDV!B:B)</f>
        <v>FW TELEFONIA LTDA - EPP</v>
      </c>
      <c r="K2070" s="14">
        <f>IF(IFERROR(_xlfn.XLOOKUP(B2070,Planilha2!D:D,Planilha2!H:H),0)="SIM",1,0)</f>
        <v>0</v>
      </c>
      <c r="L2070" s="14" t="str">
        <f>_xlfn.XLOOKUP(B2070,CAD_PDV!A:A,CAD_PDV!C:C)</f>
        <v>SP1</v>
      </c>
      <c r="M2070" s="14" t="str">
        <f>IFERROR(_xlfn.XLOOKUP(B2070,repete!A:A,repete!A:A),"-")</f>
        <v>-</v>
      </c>
    </row>
    <row r="2071" spans="1:13" hidden="1">
      <c r="A2071" s="1">
        <v>46174</v>
      </c>
      <c r="B2071" t="s">
        <v>1368</v>
      </c>
      <c r="C2071" t="s">
        <v>1357</v>
      </c>
      <c r="D2071" t="s">
        <v>132</v>
      </c>
      <c r="E2071" t="s">
        <v>53</v>
      </c>
      <c r="F2071">
        <v>88</v>
      </c>
      <c r="G2071">
        <v>1</v>
      </c>
      <c r="H2071">
        <v>3.3255736614566E-4</v>
      </c>
      <c r="I2071">
        <v>1.13636363636364E-2</v>
      </c>
      <c r="J2071" s="14" t="str">
        <f>_xlfn.XLOOKUP(B2071,CAD_PDV!A:A,CAD_PDV!B:B)</f>
        <v>FLEX CELL</v>
      </c>
      <c r="K2071" s="14">
        <f>IF(IFERROR(_xlfn.XLOOKUP(B2071,Planilha2!D:D,Planilha2!H:H),0)="SIM",1,0)</f>
        <v>0</v>
      </c>
      <c r="L2071" s="14" t="str">
        <f>_xlfn.XLOOKUP(B2071,CAD_PDV!A:A,CAD_PDV!C:C)</f>
        <v>SP1</v>
      </c>
      <c r="M2071" s="14" t="str">
        <f>IFERROR(_xlfn.XLOOKUP(B2071,repete!A:A,repete!A:A),"-")</f>
        <v>-</v>
      </c>
    </row>
    <row r="2072" spans="1:13" hidden="1">
      <c r="A2072" s="1">
        <v>46174</v>
      </c>
      <c r="B2072" t="s">
        <v>1378</v>
      </c>
      <c r="C2072" t="s">
        <v>1308</v>
      </c>
      <c r="D2072" t="s">
        <v>229</v>
      </c>
      <c r="E2072" t="s">
        <v>53</v>
      </c>
      <c r="F2072">
        <v>59</v>
      </c>
      <c r="G2072">
        <v>1</v>
      </c>
      <c r="H2072">
        <v>3.3255736614566E-4</v>
      </c>
      <c r="I2072">
        <v>1.6949152542372899E-2</v>
      </c>
      <c r="J2072" s="14" t="str">
        <f>_xlfn.XLOOKUP(B2072,CAD_PDV!A:A,CAD_PDV!B:B)</f>
        <v>FW TELEFONIA LTDA - EPP</v>
      </c>
      <c r="K2072" s="14">
        <f>IF(IFERROR(_xlfn.XLOOKUP(B2072,Planilha2!D:D,Planilha2!H:H),0)="SIM",1,0)</f>
        <v>0</v>
      </c>
      <c r="L2072" s="14" t="str">
        <f>_xlfn.XLOOKUP(B2072,CAD_PDV!A:A,CAD_PDV!C:C)</f>
        <v>SP1</v>
      </c>
      <c r="M2072" s="14" t="str">
        <f>IFERROR(_xlfn.XLOOKUP(B2072,repete!A:A,repete!A:A),"-")</f>
        <v>-</v>
      </c>
    </row>
    <row r="2073" spans="1:13" hidden="1">
      <c r="A2073" s="1">
        <v>46174</v>
      </c>
      <c r="B2073" t="s">
        <v>1711</v>
      </c>
      <c r="C2073" t="s">
        <v>1712</v>
      </c>
      <c r="D2073" t="s">
        <v>220</v>
      </c>
      <c r="E2073" t="s">
        <v>54</v>
      </c>
      <c r="F2073">
        <v>31</v>
      </c>
      <c r="G2073">
        <v>1</v>
      </c>
      <c r="H2073">
        <v>3.3255736614566E-4</v>
      </c>
      <c r="I2073">
        <v>3.2258064516128997E-2</v>
      </c>
      <c r="J2073" s="14" t="str">
        <f>_xlfn.XLOOKUP(B2073,CAD_PDV!A:A,CAD_PDV!B:B)</f>
        <v>ADESIENE NUNES MACHADO - ME</v>
      </c>
      <c r="K2073" s="14">
        <f>IF(IFERROR(_xlfn.XLOOKUP(B2073,Planilha2!D:D,Planilha2!H:H),0)="SIM",1,0)</f>
        <v>0</v>
      </c>
      <c r="L2073" s="14" t="str">
        <f>_xlfn.XLOOKUP(B2073,CAD_PDV!A:A,CAD_PDV!C:C)</f>
        <v>SP2</v>
      </c>
      <c r="M2073" s="14" t="str">
        <f>IFERROR(_xlfn.XLOOKUP(B2073,repete!A:A,repete!A:A),"-")</f>
        <v>-</v>
      </c>
    </row>
    <row r="2074" spans="1:13" hidden="1">
      <c r="A2074" s="1">
        <v>46174</v>
      </c>
      <c r="B2074" t="s">
        <v>1838</v>
      </c>
      <c r="C2074" t="s">
        <v>1839</v>
      </c>
      <c r="D2074" t="s">
        <v>124</v>
      </c>
      <c r="E2074" t="s">
        <v>2074</v>
      </c>
      <c r="F2074">
        <v>36</v>
      </c>
      <c r="G2074">
        <v>1</v>
      </c>
      <c r="H2074">
        <v>3.3255736614566E-4</v>
      </c>
      <c r="I2074">
        <v>2.7777777777777801E-2</v>
      </c>
      <c r="J2074" s="14" t="str">
        <f>_xlfn.XLOOKUP(B2074,CAD_PDV!A:A,CAD_PDV!B:B)</f>
        <v>EDUARDO JUNQUEIRA DA SILVEIRA ADMIN</v>
      </c>
      <c r="K2074" s="14">
        <f>IF(IFERROR(_xlfn.XLOOKUP(B2074,Planilha2!D:D,Planilha2!H:H),0)="SIM",1,0)</f>
        <v>0</v>
      </c>
      <c r="L2074" s="14" t="str">
        <f>_xlfn.XLOOKUP(B2074,CAD_PDV!A:A,CAD_PDV!C:C)</f>
        <v>RS</v>
      </c>
      <c r="M2074" s="14" t="str">
        <f>IFERROR(_xlfn.XLOOKUP(B2074,repete!A:A,repete!A:A),"-")</f>
        <v>-</v>
      </c>
    </row>
    <row r="2075" spans="1:13" hidden="1">
      <c r="A2075" s="1">
        <v>46174</v>
      </c>
      <c r="B2075" t="s">
        <v>1717</v>
      </c>
      <c r="C2075" t="s">
        <v>1718</v>
      </c>
      <c r="D2075" t="s">
        <v>232</v>
      </c>
      <c r="E2075" t="s">
        <v>54</v>
      </c>
      <c r="F2075">
        <v>18</v>
      </c>
      <c r="G2075">
        <v>1</v>
      </c>
      <c r="H2075">
        <v>3.3255736614566E-4</v>
      </c>
      <c r="I2075">
        <v>5.5555555555555601E-2</v>
      </c>
      <c r="J2075" s="14" t="str">
        <f>_xlfn.XLOOKUP(B2075,CAD_PDV!A:A,CAD_PDV!B:B)</f>
        <v>HS TELECOM</v>
      </c>
      <c r="K2075" s="14">
        <f>IF(IFERROR(_xlfn.XLOOKUP(B2075,Planilha2!D:D,Planilha2!H:H),0)="SIM",1,0)</f>
        <v>0</v>
      </c>
      <c r="L2075" s="14" t="str">
        <f>_xlfn.XLOOKUP(B2075,CAD_PDV!A:A,CAD_PDV!C:C)</f>
        <v>SP2</v>
      </c>
      <c r="M2075" s="14" t="str">
        <f>IFERROR(_xlfn.XLOOKUP(B2075,repete!A:A,repete!A:A),"-")</f>
        <v>WD3T</v>
      </c>
    </row>
    <row r="2076" spans="1:13" hidden="1">
      <c r="A2076" s="1">
        <v>46174</v>
      </c>
      <c r="B2076" t="s">
        <v>1881</v>
      </c>
      <c r="C2076" t="s">
        <v>1882</v>
      </c>
      <c r="D2076" t="s">
        <v>124</v>
      </c>
      <c r="E2076" t="s">
        <v>2074</v>
      </c>
      <c r="F2076">
        <v>16</v>
      </c>
      <c r="G2076">
        <v>1</v>
      </c>
      <c r="H2076">
        <v>3.3255736614566E-4</v>
      </c>
      <c r="I2076">
        <v>6.25E-2</v>
      </c>
      <c r="J2076" s="14" t="str">
        <f>_xlfn.XLOOKUP(B2076,CAD_PDV!A:A,CAD_PDV!B:B)</f>
        <v>EDUARDO JUNQUEIRA DA SILVEIRA ADMIN</v>
      </c>
      <c r="K2076" s="14">
        <f>IF(IFERROR(_xlfn.XLOOKUP(B2076,Planilha2!D:D,Planilha2!H:H),0)="SIM",1,0)</f>
        <v>0</v>
      </c>
      <c r="L2076" s="14" t="str">
        <f>_xlfn.XLOOKUP(B2076,CAD_PDV!A:A,CAD_PDV!C:C)</f>
        <v>RS</v>
      </c>
      <c r="M2076" s="14" t="str">
        <f>IFERROR(_xlfn.XLOOKUP(B2076,repete!A:A,repete!A:A),"-")</f>
        <v>-</v>
      </c>
    </row>
    <row r="2077" spans="1:13" hidden="1">
      <c r="A2077" s="1">
        <v>46174</v>
      </c>
      <c r="B2077" t="s">
        <v>1267</v>
      </c>
      <c r="C2077" t="s">
        <v>1268</v>
      </c>
      <c r="D2077" t="s">
        <v>228</v>
      </c>
      <c r="E2077" t="s">
        <v>55</v>
      </c>
      <c r="F2077">
        <v>45</v>
      </c>
      <c r="G2077">
        <v>1</v>
      </c>
      <c r="H2077">
        <v>3.3255736614566E-4</v>
      </c>
      <c r="I2077">
        <v>2.2222222222222199E-2</v>
      </c>
      <c r="J2077" s="14" t="str">
        <f>_xlfn.XLOOKUP(B2077,CAD_PDV!A:A,CAD_PDV!B:B)</f>
        <v>FAJULUTI</v>
      </c>
      <c r="K2077" s="14">
        <f>IF(IFERROR(_xlfn.XLOOKUP(B2077,Planilha2!D:D,Planilha2!H:H),0)="SIM",1,0)</f>
        <v>0</v>
      </c>
      <c r="L2077" s="14" t="str">
        <f>_xlfn.XLOOKUP(B2077,CAD_PDV!A:A,CAD_PDV!C:C)</f>
        <v>RJ/ES</v>
      </c>
      <c r="M2077" s="14" t="str">
        <f>IFERROR(_xlfn.XLOOKUP(B2077,repete!A:A,repete!A:A),"-")</f>
        <v>-</v>
      </c>
    </row>
    <row r="2078" spans="1:13" hidden="1">
      <c r="A2078" s="1">
        <v>46174</v>
      </c>
      <c r="B2078" t="s">
        <v>1732</v>
      </c>
      <c r="C2078" t="s">
        <v>1593</v>
      </c>
      <c r="D2078" t="s">
        <v>106</v>
      </c>
      <c r="E2078" t="s">
        <v>54</v>
      </c>
      <c r="F2078">
        <v>35</v>
      </c>
      <c r="G2078">
        <v>1</v>
      </c>
      <c r="H2078">
        <v>3.3255736614566E-4</v>
      </c>
      <c r="I2078">
        <v>2.8571428571428598E-2</v>
      </c>
      <c r="J2078" s="14" t="str">
        <f>_xlfn.XLOOKUP(B2078,CAD_PDV!A:A,CAD_PDV!B:B)</f>
        <v>CELLULAR.COM</v>
      </c>
      <c r="K2078" s="14">
        <f>IF(IFERROR(_xlfn.XLOOKUP(B2078,Planilha2!D:D,Planilha2!H:H),0)="SIM",1,0)</f>
        <v>0</v>
      </c>
      <c r="L2078" s="14" t="str">
        <f>_xlfn.XLOOKUP(B2078,CAD_PDV!A:A,CAD_PDV!C:C)</f>
        <v>SP2</v>
      </c>
      <c r="M2078" s="14" t="str">
        <f>IFERROR(_xlfn.XLOOKUP(B2078,repete!A:A,repete!A:A),"-")</f>
        <v>-</v>
      </c>
    </row>
    <row r="2079" spans="1:13" hidden="1">
      <c r="A2079" s="1">
        <v>46174</v>
      </c>
      <c r="B2079" t="s">
        <v>1271</v>
      </c>
      <c r="C2079" t="s">
        <v>1142</v>
      </c>
      <c r="D2079" t="s">
        <v>233</v>
      </c>
      <c r="E2079" t="s">
        <v>55</v>
      </c>
      <c r="F2079">
        <v>26</v>
      </c>
      <c r="G2079">
        <v>1</v>
      </c>
      <c r="H2079">
        <v>3.3255736614566E-4</v>
      </c>
      <c r="I2079">
        <v>3.8461538461538498E-2</v>
      </c>
      <c r="J2079" s="14" t="str">
        <f>_xlfn.XLOOKUP(B2079,CAD_PDV!A:A,CAD_PDV!B:B)</f>
        <v>LEINAD COMERCIO E SERVICO EIRELI</v>
      </c>
      <c r="K2079" s="14">
        <f>IF(IFERROR(_xlfn.XLOOKUP(B2079,Planilha2!D:D,Planilha2!H:H),0)="SIM",1,0)</f>
        <v>0</v>
      </c>
      <c r="L2079" s="14" t="str">
        <f>_xlfn.XLOOKUP(B2079,CAD_PDV!A:A,CAD_PDV!C:C)</f>
        <v>RJ/ES</v>
      </c>
      <c r="M2079" s="14" t="str">
        <f>IFERROR(_xlfn.XLOOKUP(B2079,repete!A:A,repete!A:A),"-")</f>
        <v>-</v>
      </c>
    </row>
    <row r="2080" spans="1:13" hidden="1">
      <c r="A2080" s="1">
        <v>46204</v>
      </c>
      <c r="B2080" t="s">
        <v>1496</v>
      </c>
      <c r="C2080" t="s">
        <v>1464</v>
      </c>
      <c r="D2080" t="s">
        <v>132</v>
      </c>
      <c r="E2080" t="s">
        <v>54</v>
      </c>
      <c r="F2080">
        <v>121</v>
      </c>
      <c r="G2080">
        <v>75</v>
      </c>
      <c r="H2080">
        <v>1.4937263493327999E-2</v>
      </c>
      <c r="I2080">
        <v>0.61983471074380203</v>
      </c>
      <c r="J2080" s="14" t="str">
        <f>_xlfn.XLOOKUP(B2080,CAD_PDV!A:A,CAD_PDV!B:B)</f>
        <v>FLEX CELL</v>
      </c>
      <c r="K2080" s="14">
        <f>IF(IFERROR(_xlfn.XLOOKUP(B2080,Planilha2!D:D,Planilha2!H:H),0)="SIM",1,0)</f>
        <v>0</v>
      </c>
      <c r="L2080" s="14" t="str">
        <f>_xlfn.XLOOKUP(B2080,CAD_PDV!A:A,CAD_PDV!C:C)</f>
        <v>SP2</v>
      </c>
      <c r="M2080" s="14" t="str">
        <f>IFERROR(_xlfn.XLOOKUP(B2080,repete!A:A,repete!A:A),"-")</f>
        <v>-</v>
      </c>
    </row>
    <row r="2081" spans="1:13" hidden="1">
      <c r="A2081" s="1">
        <v>46204</v>
      </c>
      <c r="B2081" t="s">
        <v>888</v>
      </c>
      <c r="C2081" t="s">
        <v>873</v>
      </c>
      <c r="D2081" t="s">
        <v>224</v>
      </c>
      <c r="E2081" t="s">
        <v>59</v>
      </c>
      <c r="F2081">
        <v>170</v>
      </c>
      <c r="G2081">
        <v>72</v>
      </c>
      <c r="H2081">
        <v>1.43397729535949E-2</v>
      </c>
      <c r="I2081">
        <v>0.42352941176470599</v>
      </c>
      <c r="J2081" s="14" t="str">
        <f>_xlfn.XLOOKUP(B2081,CAD_PDV!A:A,CAD_PDV!B:B)</f>
        <v>CELNET COMERCIO E SERVICOS DE TELEFONIA LTDA ME</v>
      </c>
      <c r="K2081" s="14">
        <f>IF(IFERROR(_xlfn.XLOOKUP(B2081,Planilha2!D:D,Planilha2!H:H),0)="SIM",1,0)</f>
        <v>0</v>
      </c>
      <c r="L2081" s="14" t="str">
        <f>_xlfn.XLOOKUP(B2081,CAD_PDV!A:A,CAD_PDV!C:C)</f>
        <v>CO</v>
      </c>
      <c r="M2081" s="14" t="str">
        <f>IFERROR(_xlfn.XLOOKUP(B2081,repete!A:A,repete!A:A),"-")</f>
        <v>-</v>
      </c>
    </row>
    <row r="2082" spans="1:13" hidden="1">
      <c r="A2082" s="1">
        <v>46204</v>
      </c>
      <c r="B2082" t="s">
        <v>1372</v>
      </c>
      <c r="C2082" t="s">
        <v>1313</v>
      </c>
      <c r="D2082" t="s">
        <v>132</v>
      </c>
      <c r="E2082" t="s">
        <v>53</v>
      </c>
      <c r="F2082">
        <v>175</v>
      </c>
      <c r="G2082">
        <v>72</v>
      </c>
      <c r="H2082">
        <v>1.43397729535949E-2</v>
      </c>
      <c r="I2082">
        <v>0.41142857142857098</v>
      </c>
      <c r="J2082" s="14" t="str">
        <f>_xlfn.XLOOKUP(B2082,CAD_PDV!A:A,CAD_PDV!B:B)</f>
        <v>FLEX CELL</v>
      </c>
      <c r="K2082" s="14">
        <f>IF(IFERROR(_xlfn.XLOOKUP(B2082,Planilha2!D:D,Planilha2!H:H),0)="SIM",1,0)</f>
        <v>0</v>
      </c>
      <c r="L2082" s="14" t="str">
        <f>_xlfn.XLOOKUP(B2082,CAD_PDV!A:A,CAD_PDV!C:C)</f>
        <v>SP1</v>
      </c>
      <c r="M2082" s="14" t="str">
        <f>IFERROR(_xlfn.XLOOKUP(B2082,repete!A:A,repete!A:A),"-")</f>
        <v>-</v>
      </c>
    </row>
    <row r="2083" spans="1:13" hidden="1">
      <c r="A2083" s="1">
        <v>46204</v>
      </c>
      <c r="B2083" t="s">
        <v>897</v>
      </c>
      <c r="C2083" t="s">
        <v>873</v>
      </c>
      <c r="D2083" t="s">
        <v>224</v>
      </c>
      <c r="E2083" t="s">
        <v>59</v>
      </c>
      <c r="F2083">
        <v>146</v>
      </c>
      <c r="G2083">
        <v>63</v>
      </c>
      <c r="H2083">
        <v>1.2547301334395499E-2</v>
      </c>
      <c r="I2083">
        <v>0.431506849315068</v>
      </c>
      <c r="J2083" s="14" t="str">
        <f>_xlfn.XLOOKUP(B2083,CAD_PDV!A:A,CAD_PDV!B:B)</f>
        <v>CELNET COMERCIO E SERVICOS DE TELEFONIA LTDA ME</v>
      </c>
      <c r="K2083" s="14">
        <f>IF(IFERROR(_xlfn.XLOOKUP(B2083,Planilha2!D:D,Planilha2!H:H),0)="SIM",1,0)</f>
        <v>0</v>
      </c>
      <c r="L2083" s="14" t="str">
        <f>_xlfn.XLOOKUP(B2083,CAD_PDV!A:A,CAD_PDV!C:C)</f>
        <v>CO</v>
      </c>
      <c r="M2083" s="14" t="str">
        <f>IFERROR(_xlfn.XLOOKUP(B2083,repete!A:A,repete!A:A),"-")</f>
        <v>-</v>
      </c>
    </row>
    <row r="2084" spans="1:13" hidden="1">
      <c r="A2084" s="1">
        <v>46204</v>
      </c>
      <c r="B2084" t="s">
        <v>552</v>
      </c>
      <c r="C2084" t="s">
        <v>483</v>
      </c>
      <c r="D2084" t="s">
        <v>228</v>
      </c>
      <c r="E2084" t="s">
        <v>56</v>
      </c>
      <c r="F2084">
        <v>98</v>
      </c>
      <c r="G2084">
        <v>55</v>
      </c>
      <c r="H2084">
        <v>1.09539932284405E-2</v>
      </c>
      <c r="I2084">
        <v>0.56122448979591799</v>
      </c>
      <c r="J2084" s="14" t="str">
        <f>_xlfn.XLOOKUP(B2084,CAD_PDV!A:A,CAD_PDV!B:B)</f>
        <v>FAJULUTI</v>
      </c>
      <c r="K2084" s="14">
        <f>IF(IFERROR(_xlfn.XLOOKUP(B2084,Planilha2!D:D,Planilha2!H:H),0)="SIM",1,0)</f>
        <v>0</v>
      </c>
      <c r="L2084" s="14" t="str">
        <f>_xlfn.XLOOKUP(B2084,CAD_PDV!A:A,CAD_PDV!C:C)</f>
        <v>MG</v>
      </c>
      <c r="M2084" s="14" t="str">
        <f>IFERROR(_xlfn.XLOOKUP(B2084,repete!A:A,repete!A:A),"-")</f>
        <v>-</v>
      </c>
    </row>
    <row r="2085" spans="1:13" hidden="1">
      <c r="A2085" s="1">
        <v>46204</v>
      </c>
      <c r="B2085" t="s">
        <v>1756</v>
      </c>
      <c r="C2085" t="s">
        <v>1757</v>
      </c>
      <c r="D2085" t="s">
        <v>124</v>
      </c>
      <c r="E2085" t="s">
        <v>2074</v>
      </c>
      <c r="F2085">
        <v>205</v>
      </c>
      <c r="G2085">
        <v>55</v>
      </c>
      <c r="H2085">
        <v>1.09539932284405E-2</v>
      </c>
      <c r="I2085">
        <v>0.26829268292682901</v>
      </c>
      <c r="J2085" s="14" t="str">
        <f>_xlfn.XLOOKUP(B2085,CAD_PDV!A:A,CAD_PDV!B:B)</f>
        <v>EDUARDO JUNQUEIRA DA SILVEIRA ADMIN</v>
      </c>
      <c r="K2085" s="14">
        <f>IF(IFERROR(_xlfn.XLOOKUP(B2085,Planilha2!D:D,Planilha2!H:H),0)="SIM",1,0)</f>
        <v>0</v>
      </c>
      <c r="L2085" s="14" t="str">
        <f>_xlfn.XLOOKUP(B2085,CAD_PDV!A:A,CAD_PDV!C:C)</f>
        <v>RS</v>
      </c>
      <c r="M2085" s="14" t="str">
        <f>IFERROR(_xlfn.XLOOKUP(B2085,repete!A:A,repete!A:A),"-")</f>
        <v>-</v>
      </c>
    </row>
    <row r="2086" spans="1:13" hidden="1">
      <c r="A2086" s="1">
        <v>46204</v>
      </c>
      <c r="B2086" t="s">
        <v>1571</v>
      </c>
      <c r="C2086" t="s">
        <v>1535</v>
      </c>
      <c r="D2086" t="s">
        <v>232</v>
      </c>
      <c r="E2086" t="s">
        <v>54</v>
      </c>
      <c r="F2086">
        <v>143</v>
      </c>
      <c r="G2086">
        <v>54</v>
      </c>
      <c r="H2086">
        <v>1.07548297151962E-2</v>
      </c>
      <c r="I2086">
        <v>0.37762237762237799</v>
      </c>
      <c r="J2086" s="14" t="str">
        <f>_xlfn.XLOOKUP(B2086,CAD_PDV!A:A,CAD_PDV!B:B)</f>
        <v>HS TELECOM</v>
      </c>
      <c r="K2086" s="14">
        <f>IF(IFERROR(_xlfn.XLOOKUP(B2086,Planilha2!D:D,Planilha2!H:H),0)="SIM",1,0)</f>
        <v>0</v>
      </c>
      <c r="L2086" s="14" t="str">
        <f>_xlfn.XLOOKUP(B2086,CAD_PDV!A:A,CAD_PDV!C:C)</f>
        <v>SP2</v>
      </c>
      <c r="M2086" s="14" t="str">
        <f>IFERROR(_xlfn.XLOOKUP(B2086,repete!A:A,repete!A:A),"-")</f>
        <v>-</v>
      </c>
    </row>
    <row r="2087" spans="1:13" hidden="1">
      <c r="A2087" s="1">
        <v>46204</v>
      </c>
      <c r="B2087" t="s">
        <v>1611</v>
      </c>
      <c r="C2087" t="s">
        <v>1527</v>
      </c>
      <c r="D2087" t="s">
        <v>232</v>
      </c>
      <c r="E2087" t="s">
        <v>54</v>
      </c>
      <c r="F2087">
        <v>240</v>
      </c>
      <c r="G2087">
        <v>54</v>
      </c>
      <c r="H2087">
        <v>1.07548297151962E-2</v>
      </c>
      <c r="I2087">
        <v>0.22500000000000001</v>
      </c>
      <c r="J2087" s="14" t="str">
        <f>_xlfn.XLOOKUP(B2087,CAD_PDV!A:A,CAD_PDV!B:B)</f>
        <v>HS TELECOM</v>
      </c>
      <c r="K2087" s="14">
        <f>IF(IFERROR(_xlfn.XLOOKUP(B2087,Planilha2!D:D,Planilha2!H:H),0)="SIM",1,0)</f>
        <v>0</v>
      </c>
      <c r="L2087" s="14" t="str">
        <f>_xlfn.XLOOKUP(B2087,CAD_PDV!A:A,CAD_PDV!C:C)</f>
        <v>SP2</v>
      </c>
      <c r="M2087" s="14" t="str">
        <f>IFERROR(_xlfn.XLOOKUP(B2087,repete!A:A,repete!A:A),"-")</f>
        <v>-</v>
      </c>
    </row>
    <row r="2088" spans="1:13" hidden="1">
      <c r="A2088" s="1">
        <v>46204</v>
      </c>
      <c r="B2088" t="s">
        <v>1662</v>
      </c>
      <c r="C2088" t="s">
        <v>1663</v>
      </c>
      <c r="D2088" t="s">
        <v>232</v>
      </c>
      <c r="E2088" t="s">
        <v>54</v>
      </c>
      <c r="F2088">
        <v>133</v>
      </c>
      <c r="G2088">
        <v>53</v>
      </c>
      <c r="H2088">
        <v>1.0555666201951801E-2</v>
      </c>
      <c r="I2088">
        <v>0.39849624060150401</v>
      </c>
      <c r="J2088" s="14" t="str">
        <f>_xlfn.XLOOKUP(B2088,CAD_PDV!A:A,CAD_PDV!B:B)</f>
        <v>HS TELECOM</v>
      </c>
      <c r="K2088" s="14">
        <f>IF(IFERROR(_xlfn.XLOOKUP(B2088,Planilha2!D:D,Planilha2!H:H),0)="SIM",1,0)</f>
        <v>0</v>
      </c>
      <c r="L2088" s="14" t="str">
        <f>_xlfn.XLOOKUP(B2088,CAD_PDV!A:A,CAD_PDV!C:C)</f>
        <v>SP2</v>
      </c>
      <c r="M2088" s="14" t="str">
        <f>IFERROR(_xlfn.XLOOKUP(B2088,repete!A:A,repete!A:A),"-")</f>
        <v>-</v>
      </c>
    </row>
    <row r="2089" spans="1:13" hidden="1">
      <c r="A2089" s="1">
        <v>46204</v>
      </c>
      <c r="B2089" t="s">
        <v>1672</v>
      </c>
      <c r="C2089" t="s">
        <v>1668</v>
      </c>
      <c r="D2089" t="s">
        <v>232</v>
      </c>
      <c r="E2089" t="s">
        <v>54</v>
      </c>
      <c r="F2089">
        <v>170</v>
      </c>
      <c r="G2089">
        <v>52</v>
      </c>
      <c r="H2089">
        <v>1.03565026887074E-2</v>
      </c>
      <c r="I2089">
        <v>0.30588235294117599</v>
      </c>
      <c r="J2089" s="14" t="str">
        <f>_xlfn.XLOOKUP(B2089,CAD_PDV!A:A,CAD_PDV!B:B)</f>
        <v>HS TELECOM</v>
      </c>
      <c r="K2089" s="14">
        <f>IF(IFERROR(_xlfn.XLOOKUP(B2089,Planilha2!D:D,Planilha2!H:H),0)="SIM",1,0)</f>
        <v>0</v>
      </c>
      <c r="L2089" s="14" t="str">
        <f>_xlfn.XLOOKUP(B2089,CAD_PDV!A:A,CAD_PDV!C:C)</f>
        <v>SP2</v>
      </c>
      <c r="M2089" s="14" t="str">
        <f>IFERROR(_xlfn.XLOOKUP(B2089,repete!A:A,repete!A:A),"-")</f>
        <v>-</v>
      </c>
    </row>
    <row r="2090" spans="1:13" hidden="1">
      <c r="A2090" s="1">
        <v>46204</v>
      </c>
      <c r="B2090" t="s">
        <v>1716</v>
      </c>
      <c r="C2090" t="s">
        <v>1663</v>
      </c>
      <c r="D2090" t="s">
        <v>232</v>
      </c>
      <c r="E2090" t="s">
        <v>54</v>
      </c>
      <c r="F2090">
        <v>152</v>
      </c>
      <c r="G2090">
        <v>52</v>
      </c>
      <c r="H2090">
        <v>1.03565026887074E-2</v>
      </c>
      <c r="I2090">
        <v>0.34210526315789502</v>
      </c>
      <c r="J2090" s="14" t="str">
        <f>_xlfn.XLOOKUP(B2090,CAD_PDV!A:A,CAD_PDV!B:B)</f>
        <v>HS TELECOM</v>
      </c>
      <c r="K2090" s="14">
        <f>IF(IFERROR(_xlfn.XLOOKUP(B2090,Planilha2!D:D,Planilha2!H:H),0)="SIM",1,0)</f>
        <v>0</v>
      </c>
      <c r="L2090" s="14" t="str">
        <f>_xlfn.XLOOKUP(B2090,CAD_PDV!A:A,CAD_PDV!C:C)</f>
        <v>SP2</v>
      </c>
      <c r="M2090" s="14" t="str">
        <f>IFERROR(_xlfn.XLOOKUP(B2090,repete!A:A,repete!A:A),"-")</f>
        <v>-</v>
      </c>
    </row>
    <row r="2091" spans="1:13" hidden="1">
      <c r="A2091" s="1">
        <v>46204</v>
      </c>
      <c r="B2091" t="s">
        <v>747</v>
      </c>
      <c r="C2091" t="s">
        <v>610</v>
      </c>
      <c r="D2091" t="s">
        <v>224</v>
      </c>
      <c r="E2091" t="s">
        <v>59</v>
      </c>
      <c r="F2091">
        <v>104</v>
      </c>
      <c r="G2091">
        <v>47</v>
      </c>
      <c r="H2091">
        <v>9.3606851224855604E-3</v>
      </c>
      <c r="I2091">
        <v>0.45192307692307698</v>
      </c>
      <c r="J2091" s="14" t="str">
        <f>_xlfn.XLOOKUP(B2091,CAD_PDV!A:A,CAD_PDV!B:B)</f>
        <v>CELNET COMERCIO E SERVICOS DE TELEFONIA LTDA ME</v>
      </c>
      <c r="K2091" s="14">
        <f>IF(IFERROR(_xlfn.XLOOKUP(B2091,Planilha2!D:D,Planilha2!H:H),0)="SIM",1,0)</f>
        <v>0</v>
      </c>
      <c r="L2091" s="14" t="str">
        <f>_xlfn.XLOOKUP(B2091,CAD_PDV!A:A,CAD_PDV!C:C)</f>
        <v>CO</v>
      </c>
      <c r="M2091" s="14" t="str">
        <f>IFERROR(_xlfn.XLOOKUP(B2091,repete!A:A,repete!A:A),"-")</f>
        <v>-</v>
      </c>
    </row>
    <row r="2092" spans="1:13" hidden="1">
      <c r="A2092" s="1">
        <v>46204</v>
      </c>
      <c r="B2092" t="s">
        <v>2041</v>
      </c>
      <c r="C2092" t="s">
        <v>2042</v>
      </c>
      <c r="D2092" t="s">
        <v>193</v>
      </c>
      <c r="E2092" t="s">
        <v>2074</v>
      </c>
      <c r="F2092">
        <v>75</v>
      </c>
      <c r="G2092">
        <v>47</v>
      </c>
      <c r="H2092">
        <v>9.3606851224855604E-3</v>
      </c>
      <c r="I2092">
        <v>0.62666666666666704</v>
      </c>
      <c r="J2092" s="14" t="str">
        <f>_xlfn.XLOOKUP(B2092,CAD_PDV!A:A,CAD_PDV!B:B)</f>
        <v>S D COMERCIO DE CELULARES LTDA - ME</v>
      </c>
      <c r="K2092" s="14">
        <f>IF(IFERROR(_xlfn.XLOOKUP(B2092,Planilha2!D:D,Planilha2!H:H),0)="SIM",1,0)</f>
        <v>0</v>
      </c>
      <c r="L2092" s="14" t="str">
        <f>_xlfn.XLOOKUP(B2092,CAD_PDV!A:A,CAD_PDV!C:C)</f>
        <v>RS</v>
      </c>
      <c r="M2092" s="14" t="str">
        <f>IFERROR(_xlfn.XLOOKUP(B2092,repete!A:A,repete!A:A),"-")</f>
        <v>-</v>
      </c>
    </row>
    <row r="2093" spans="1:13" hidden="1">
      <c r="A2093" s="1">
        <v>46204</v>
      </c>
      <c r="B2093" t="s">
        <v>1674</v>
      </c>
      <c r="C2093" t="s">
        <v>1489</v>
      </c>
      <c r="D2093" t="s">
        <v>232</v>
      </c>
      <c r="E2093" t="s">
        <v>54</v>
      </c>
      <c r="F2093">
        <v>82</v>
      </c>
      <c r="G2093">
        <v>46</v>
      </c>
      <c r="H2093">
        <v>9.1615216092411893E-3</v>
      </c>
      <c r="I2093">
        <v>0.56097560975609795</v>
      </c>
      <c r="J2093" s="14" t="str">
        <f>_xlfn.XLOOKUP(B2093,CAD_PDV!A:A,CAD_PDV!B:B)</f>
        <v>HS TELECOM</v>
      </c>
      <c r="K2093" s="14">
        <f>IF(IFERROR(_xlfn.XLOOKUP(B2093,Planilha2!D:D,Planilha2!H:H),0)="SIM",1,0)</f>
        <v>0</v>
      </c>
      <c r="L2093" s="14" t="str">
        <f>_xlfn.XLOOKUP(B2093,CAD_PDV!A:A,CAD_PDV!C:C)</f>
        <v>SP2</v>
      </c>
      <c r="M2093" s="14" t="str">
        <f>IFERROR(_xlfn.XLOOKUP(B2093,repete!A:A,repete!A:A),"-")</f>
        <v>-</v>
      </c>
    </row>
    <row r="2094" spans="1:13" hidden="1">
      <c r="A2094" s="1">
        <v>46204</v>
      </c>
      <c r="B2094" t="s">
        <v>1602</v>
      </c>
      <c r="C2094" t="s">
        <v>1489</v>
      </c>
      <c r="D2094" t="s">
        <v>232</v>
      </c>
      <c r="E2094" t="s">
        <v>54</v>
      </c>
      <c r="F2094">
        <v>104</v>
      </c>
      <c r="G2094">
        <v>45</v>
      </c>
      <c r="H2094">
        <v>8.9623580959968096E-3</v>
      </c>
      <c r="I2094">
        <v>0.43269230769230799</v>
      </c>
      <c r="J2094" s="14" t="str">
        <f>_xlfn.XLOOKUP(B2094,CAD_PDV!A:A,CAD_PDV!B:B)</f>
        <v>HS TELECOM</v>
      </c>
      <c r="K2094" s="14">
        <f>IF(IFERROR(_xlfn.XLOOKUP(B2094,Planilha2!D:D,Planilha2!H:H),0)="SIM",1,0)</f>
        <v>0</v>
      </c>
      <c r="L2094" s="14" t="str">
        <f>_xlfn.XLOOKUP(B2094,CAD_PDV!A:A,CAD_PDV!C:C)</f>
        <v>SP2</v>
      </c>
      <c r="M2094" s="14" t="str">
        <f>IFERROR(_xlfn.XLOOKUP(B2094,repete!A:A,repete!A:A),"-")</f>
        <v>-</v>
      </c>
    </row>
    <row r="2095" spans="1:13" hidden="1">
      <c r="A2095" s="1">
        <v>46204</v>
      </c>
      <c r="B2095" t="s">
        <v>1689</v>
      </c>
      <c r="C2095" t="s">
        <v>1527</v>
      </c>
      <c r="D2095" t="s">
        <v>232</v>
      </c>
      <c r="E2095" t="s">
        <v>54</v>
      </c>
      <c r="F2095">
        <v>115</v>
      </c>
      <c r="G2095">
        <v>45</v>
      </c>
      <c r="H2095">
        <v>8.9623580959968096E-3</v>
      </c>
      <c r="I2095">
        <v>0.39130434782608697</v>
      </c>
      <c r="J2095" s="14" t="str">
        <f>_xlfn.XLOOKUP(B2095,CAD_PDV!A:A,CAD_PDV!B:B)</f>
        <v>HS TELECOM</v>
      </c>
      <c r="K2095" s="14">
        <f>IF(IFERROR(_xlfn.XLOOKUP(B2095,Planilha2!D:D,Planilha2!H:H),0)="SIM",1,0)</f>
        <v>0</v>
      </c>
      <c r="L2095" s="14" t="str">
        <f>_xlfn.XLOOKUP(B2095,CAD_PDV!A:A,CAD_PDV!C:C)</f>
        <v>SP2</v>
      </c>
      <c r="M2095" s="14" t="str">
        <f>IFERROR(_xlfn.XLOOKUP(B2095,repete!A:A,repete!A:A),"-")</f>
        <v>-</v>
      </c>
    </row>
    <row r="2096" spans="1:13" hidden="1">
      <c r="A2096" s="1">
        <v>46204</v>
      </c>
      <c r="B2096" t="s">
        <v>548</v>
      </c>
      <c r="C2096" t="s">
        <v>475</v>
      </c>
      <c r="D2096" t="s">
        <v>228</v>
      </c>
      <c r="E2096" t="s">
        <v>56</v>
      </c>
      <c r="F2096">
        <v>98</v>
      </c>
      <c r="G2096">
        <v>43</v>
      </c>
      <c r="H2096">
        <v>8.5640310695080692E-3</v>
      </c>
      <c r="I2096">
        <v>0.43877551020408201</v>
      </c>
      <c r="J2096" s="14" t="str">
        <f>_xlfn.XLOOKUP(B2096,CAD_PDV!A:A,CAD_PDV!B:B)</f>
        <v>FAJULUTI</v>
      </c>
      <c r="K2096" s="14">
        <f>IF(IFERROR(_xlfn.XLOOKUP(B2096,Planilha2!D:D,Planilha2!H:H),0)="SIM",1,0)</f>
        <v>0</v>
      </c>
      <c r="L2096" s="14" t="str">
        <f>_xlfn.XLOOKUP(B2096,CAD_PDV!A:A,CAD_PDV!C:C)</f>
        <v>MG</v>
      </c>
      <c r="M2096" s="14" t="str">
        <f>IFERROR(_xlfn.XLOOKUP(B2096,repete!A:A,repete!A:A),"-")</f>
        <v>-</v>
      </c>
    </row>
    <row r="2097" spans="1:13" hidden="1">
      <c r="A2097" s="1">
        <v>46204</v>
      </c>
      <c r="B2097" t="s">
        <v>1139</v>
      </c>
      <c r="C2097" t="s">
        <v>1142</v>
      </c>
      <c r="D2097" t="s">
        <v>228</v>
      </c>
      <c r="E2097" t="s">
        <v>55</v>
      </c>
      <c r="F2097">
        <v>140</v>
      </c>
      <c r="G2097">
        <v>42</v>
      </c>
      <c r="H2097">
        <v>8.3648675562636894E-3</v>
      </c>
      <c r="I2097">
        <v>0.3</v>
      </c>
      <c r="J2097" s="14" t="str">
        <f>_xlfn.XLOOKUP(B2097,CAD_PDV!A:A,CAD_PDV!B:B)</f>
        <v>FAJULUTI</v>
      </c>
      <c r="K2097" s="14">
        <f>IF(IFERROR(_xlfn.XLOOKUP(B2097,Planilha2!D:D,Planilha2!H:H),0)="SIM",1,0)</f>
        <v>0</v>
      </c>
      <c r="L2097" s="14" t="str">
        <f>_xlfn.XLOOKUP(B2097,CAD_PDV!A:A,CAD_PDV!C:C)</f>
        <v>RJ/ES</v>
      </c>
      <c r="M2097" s="14" t="str">
        <f>IFERROR(_xlfn.XLOOKUP(B2097,repete!A:A,repete!A:A),"-")</f>
        <v>-</v>
      </c>
    </row>
    <row r="2098" spans="1:13" hidden="1">
      <c r="A2098" s="1">
        <v>46204</v>
      </c>
      <c r="B2098" t="s">
        <v>1217</v>
      </c>
      <c r="C2098" t="s">
        <v>1152</v>
      </c>
      <c r="D2098" t="s">
        <v>228</v>
      </c>
      <c r="E2098" t="s">
        <v>55</v>
      </c>
      <c r="F2098">
        <v>102</v>
      </c>
      <c r="G2098">
        <v>41</v>
      </c>
      <c r="H2098">
        <v>8.1657040430193201E-3</v>
      </c>
      <c r="I2098">
        <v>0.40196078431372601</v>
      </c>
      <c r="J2098" s="14" t="str">
        <f>_xlfn.XLOOKUP(B2098,CAD_PDV!A:A,CAD_PDV!B:B)</f>
        <v>FAJULUTI</v>
      </c>
      <c r="K2098" s="14">
        <f>IF(IFERROR(_xlfn.XLOOKUP(B2098,Planilha2!D:D,Planilha2!H:H),0)="SIM",1,0)</f>
        <v>0</v>
      </c>
      <c r="L2098" s="14" t="str">
        <f>_xlfn.XLOOKUP(B2098,CAD_PDV!A:A,CAD_PDV!C:C)</f>
        <v>RJ/ES</v>
      </c>
      <c r="M2098" s="14" t="str">
        <f>IFERROR(_xlfn.XLOOKUP(B2098,repete!A:A,repete!A:A),"-")</f>
        <v>-</v>
      </c>
    </row>
    <row r="2099" spans="1:13" hidden="1">
      <c r="A2099" s="1">
        <v>46204</v>
      </c>
      <c r="B2099" t="s">
        <v>1548</v>
      </c>
      <c r="C2099" t="s">
        <v>1545</v>
      </c>
      <c r="D2099" t="s">
        <v>232</v>
      </c>
      <c r="E2099" t="s">
        <v>54</v>
      </c>
      <c r="F2099">
        <v>82</v>
      </c>
      <c r="G2099">
        <v>39</v>
      </c>
      <c r="H2099">
        <v>7.7673770165305701E-3</v>
      </c>
      <c r="I2099">
        <v>0.47560975609756101</v>
      </c>
      <c r="J2099" s="14" t="str">
        <f>_xlfn.XLOOKUP(B2099,CAD_PDV!A:A,CAD_PDV!B:B)</f>
        <v>HS TELECOM</v>
      </c>
      <c r="K2099" s="14">
        <f>IF(IFERROR(_xlfn.XLOOKUP(B2099,Planilha2!D:D,Planilha2!H:H),0)="SIM",1,0)</f>
        <v>0</v>
      </c>
      <c r="L2099" s="14" t="str">
        <f>_xlfn.XLOOKUP(B2099,CAD_PDV!A:A,CAD_PDV!C:C)</f>
        <v>SP2</v>
      </c>
      <c r="M2099" s="14" t="str">
        <f>IFERROR(_xlfn.XLOOKUP(B2099,repete!A:A,repete!A:A),"-")</f>
        <v>-</v>
      </c>
    </row>
    <row r="2100" spans="1:13" hidden="1">
      <c r="A2100" s="1">
        <v>46204</v>
      </c>
      <c r="B2100" t="s">
        <v>1675</v>
      </c>
      <c r="C2100" t="s">
        <v>1676</v>
      </c>
      <c r="D2100" t="s">
        <v>232</v>
      </c>
      <c r="E2100" t="s">
        <v>54</v>
      </c>
      <c r="F2100">
        <v>122</v>
      </c>
      <c r="G2100">
        <v>39</v>
      </c>
      <c r="H2100">
        <v>7.7673770165305701E-3</v>
      </c>
      <c r="I2100">
        <v>0.31967213114754101</v>
      </c>
      <c r="J2100" s="14" t="str">
        <f>_xlfn.XLOOKUP(B2100,CAD_PDV!A:A,CAD_PDV!B:B)</f>
        <v>HS TELECOM</v>
      </c>
      <c r="K2100" s="14">
        <f>IF(IFERROR(_xlfn.XLOOKUP(B2100,Planilha2!D:D,Planilha2!H:H),0)="SIM",1,0)</f>
        <v>0</v>
      </c>
      <c r="L2100" s="14" t="str">
        <f>_xlfn.XLOOKUP(B2100,CAD_PDV!A:A,CAD_PDV!C:C)</f>
        <v>SP2</v>
      </c>
      <c r="M2100" s="14" t="str">
        <f>IFERROR(_xlfn.XLOOKUP(B2100,repete!A:A,repete!A:A),"-")</f>
        <v>-</v>
      </c>
    </row>
    <row r="2101" spans="1:13" hidden="1">
      <c r="A2101" s="1">
        <v>46204</v>
      </c>
      <c r="B2101" t="s">
        <v>1682</v>
      </c>
      <c r="C2101" t="s">
        <v>1566</v>
      </c>
      <c r="D2101" t="s">
        <v>232</v>
      </c>
      <c r="E2101" t="s">
        <v>54</v>
      </c>
      <c r="F2101">
        <v>151</v>
      </c>
      <c r="G2101">
        <v>39</v>
      </c>
      <c r="H2101">
        <v>7.7673770165305701E-3</v>
      </c>
      <c r="I2101">
        <v>0.258278145695364</v>
      </c>
      <c r="J2101" s="14" t="str">
        <f>_xlfn.XLOOKUP(B2101,CAD_PDV!A:A,CAD_PDV!B:B)</f>
        <v>HS TELECOM</v>
      </c>
      <c r="K2101" s="14">
        <f>IF(IFERROR(_xlfn.XLOOKUP(B2101,Planilha2!D:D,Planilha2!H:H),0)="SIM",1,0)</f>
        <v>0</v>
      </c>
      <c r="L2101" s="14" t="str">
        <f>_xlfn.XLOOKUP(B2101,CAD_PDV!A:A,CAD_PDV!C:C)</f>
        <v>SP2</v>
      </c>
      <c r="M2101" s="14" t="str">
        <f>IFERROR(_xlfn.XLOOKUP(B2101,repete!A:A,repete!A:A),"-")</f>
        <v>-</v>
      </c>
    </row>
    <row r="2102" spans="1:13" hidden="1">
      <c r="A2102" s="1">
        <v>46204</v>
      </c>
      <c r="B2102" t="s">
        <v>1504</v>
      </c>
      <c r="C2102" t="s">
        <v>1505</v>
      </c>
      <c r="D2102" t="s">
        <v>132</v>
      </c>
      <c r="E2102" t="s">
        <v>54</v>
      </c>
      <c r="F2102">
        <v>116</v>
      </c>
      <c r="G2102">
        <v>38</v>
      </c>
      <c r="H2102">
        <v>7.5682135032861999E-3</v>
      </c>
      <c r="I2102">
        <v>0.32758620689655199</v>
      </c>
      <c r="J2102" s="14" t="str">
        <f>_xlfn.XLOOKUP(B2102,CAD_PDV!A:A,CAD_PDV!B:B)</f>
        <v>FLEX CELL</v>
      </c>
      <c r="K2102" s="14">
        <f>IF(IFERROR(_xlfn.XLOOKUP(B2102,Planilha2!D:D,Planilha2!H:H),0)="SIM",1,0)</f>
        <v>0</v>
      </c>
      <c r="L2102" s="14" t="str">
        <f>_xlfn.XLOOKUP(B2102,CAD_PDV!A:A,CAD_PDV!C:C)</f>
        <v>SP2</v>
      </c>
      <c r="M2102" s="14" t="str">
        <f>IFERROR(_xlfn.XLOOKUP(B2102,repete!A:A,repete!A:A),"-")</f>
        <v>-</v>
      </c>
    </row>
    <row r="2103" spans="1:13" hidden="1">
      <c r="A2103" s="1">
        <v>46204</v>
      </c>
      <c r="B2103" t="s">
        <v>899</v>
      </c>
      <c r="C2103" t="s">
        <v>873</v>
      </c>
      <c r="D2103" t="s">
        <v>224</v>
      </c>
      <c r="E2103" t="s">
        <v>59</v>
      </c>
      <c r="F2103">
        <v>103</v>
      </c>
      <c r="G2103">
        <v>38</v>
      </c>
      <c r="H2103">
        <v>7.5682135032861999E-3</v>
      </c>
      <c r="I2103">
        <v>0.36893203883495101</v>
      </c>
      <c r="J2103" s="14" t="str">
        <f>_xlfn.XLOOKUP(B2103,CAD_PDV!A:A,CAD_PDV!B:B)</f>
        <v>CELNET COMERCIO E SERVICOS DE TELEFONIA LTDA ME</v>
      </c>
      <c r="K2103" s="14">
        <f>IF(IFERROR(_xlfn.XLOOKUP(B2103,Planilha2!D:D,Planilha2!H:H),0)="SIM",1,0)</f>
        <v>0</v>
      </c>
      <c r="L2103" s="14" t="str">
        <f>_xlfn.XLOOKUP(B2103,CAD_PDV!A:A,CAD_PDV!C:C)</f>
        <v>CO</v>
      </c>
      <c r="M2103" s="14" t="str">
        <f>IFERROR(_xlfn.XLOOKUP(B2103,repete!A:A,repete!A:A),"-")</f>
        <v>-</v>
      </c>
    </row>
    <row r="2104" spans="1:13" hidden="1">
      <c r="A2104" s="1">
        <v>46204</v>
      </c>
      <c r="B2104" t="s">
        <v>984</v>
      </c>
      <c r="C2104" t="s">
        <v>940</v>
      </c>
      <c r="D2104" t="s">
        <v>232</v>
      </c>
      <c r="E2104" t="s">
        <v>60</v>
      </c>
      <c r="F2104">
        <v>67</v>
      </c>
      <c r="G2104">
        <v>37</v>
      </c>
      <c r="H2104">
        <v>7.3690499900418201E-3</v>
      </c>
      <c r="I2104">
        <v>0.55223880597014896</v>
      </c>
      <c r="J2104" s="14" t="str">
        <f>_xlfn.XLOOKUP(B2104,CAD_PDV!A:A,CAD_PDV!B:B)</f>
        <v>HS TELECOM</v>
      </c>
      <c r="K2104" s="14">
        <f>IF(IFERROR(_xlfn.XLOOKUP(B2104,Planilha2!D:D,Planilha2!H:H),0)="SIM",1,0)</f>
        <v>0</v>
      </c>
      <c r="L2104" s="14" t="str">
        <f>_xlfn.XLOOKUP(B2104,CAD_PDV!A:A,CAD_PDV!C:C)</f>
        <v>BA/SE</v>
      </c>
      <c r="M2104" s="14" t="str">
        <f>IFERROR(_xlfn.XLOOKUP(B2104,repete!A:A,repete!A:A),"-")</f>
        <v>-</v>
      </c>
    </row>
    <row r="2105" spans="1:13" hidden="1">
      <c r="A2105" s="1">
        <v>46204</v>
      </c>
      <c r="B2105" t="s">
        <v>886</v>
      </c>
      <c r="C2105" t="s">
        <v>873</v>
      </c>
      <c r="D2105" t="s">
        <v>224</v>
      </c>
      <c r="E2105" t="s">
        <v>59</v>
      </c>
      <c r="F2105">
        <v>147</v>
      </c>
      <c r="G2105">
        <v>36</v>
      </c>
      <c r="H2105">
        <v>7.1698864767974499E-3</v>
      </c>
      <c r="I2105">
        <v>0.24489795918367299</v>
      </c>
      <c r="J2105" s="14" t="str">
        <f>_xlfn.XLOOKUP(B2105,CAD_PDV!A:A,CAD_PDV!B:B)</f>
        <v>CELNET COMERCIO E SERVICOS DE TELEFONIA LTDA ME</v>
      </c>
      <c r="K2105" s="14">
        <f>IF(IFERROR(_xlfn.XLOOKUP(B2105,Planilha2!D:D,Planilha2!H:H),0)="SIM",1,0)</f>
        <v>0</v>
      </c>
      <c r="L2105" s="14" t="str">
        <f>_xlfn.XLOOKUP(B2105,CAD_PDV!A:A,CAD_PDV!C:C)</f>
        <v>CO</v>
      </c>
      <c r="M2105" s="14" t="str">
        <f>IFERROR(_xlfn.XLOOKUP(B2105,repete!A:A,repete!A:A),"-")</f>
        <v>-</v>
      </c>
    </row>
    <row r="2106" spans="1:13" hidden="1">
      <c r="A2106" s="1">
        <v>46204</v>
      </c>
      <c r="B2106" t="s">
        <v>1660</v>
      </c>
      <c r="C2106" t="s">
        <v>1661</v>
      </c>
      <c r="D2106" t="s">
        <v>232</v>
      </c>
      <c r="E2106" t="s">
        <v>54</v>
      </c>
      <c r="F2106">
        <v>102</v>
      </c>
      <c r="G2106">
        <v>36</v>
      </c>
      <c r="H2106">
        <v>7.1698864767974499E-3</v>
      </c>
      <c r="I2106">
        <v>0.35294117647058798</v>
      </c>
      <c r="J2106" s="14" t="str">
        <f>_xlfn.XLOOKUP(B2106,CAD_PDV!A:A,CAD_PDV!B:B)</f>
        <v>HS TELECOM</v>
      </c>
      <c r="K2106" s="14">
        <f>IF(IFERROR(_xlfn.XLOOKUP(B2106,Planilha2!D:D,Planilha2!H:H),0)="SIM",1,0)</f>
        <v>0</v>
      </c>
      <c r="L2106" s="14" t="str">
        <f>_xlfn.XLOOKUP(B2106,CAD_PDV!A:A,CAD_PDV!C:C)</f>
        <v>SP2</v>
      </c>
      <c r="M2106" s="14" t="str">
        <f>IFERROR(_xlfn.XLOOKUP(B2106,repete!A:A,repete!A:A),"-")</f>
        <v>-</v>
      </c>
    </row>
    <row r="2107" spans="1:13" hidden="1">
      <c r="A2107" s="1">
        <v>46204</v>
      </c>
      <c r="B2107" t="s">
        <v>1181</v>
      </c>
      <c r="C2107" t="s">
        <v>1182</v>
      </c>
      <c r="D2107" t="s">
        <v>228</v>
      </c>
      <c r="E2107" t="s">
        <v>55</v>
      </c>
      <c r="F2107">
        <v>187</v>
      </c>
      <c r="G2107">
        <v>35</v>
      </c>
      <c r="H2107">
        <v>6.9707229635530797E-3</v>
      </c>
      <c r="I2107">
        <v>0.18716577540106999</v>
      </c>
      <c r="J2107" s="14" t="str">
        <f>_xlfn.XLOOKUP(B2107,CAD_PDV!A:A,CAD_PDV!B:B)</f>
        <v>FAJULUTI</v>
      </c>
      <c r="K2107" s="14">
        <f>IF(IFERROR(_xlfn.XLOOKUP(B2107,Planilha2!D:D,Planilha2!H:H),0)="SIM",1,0)</f>
        <v>0</v>
      </c>
      <c r="L2107" s="14" t="str">
        <f>_xlfn.XLOOKUP(B2107,CAD_PDV!A:A,CAD_PDV!C:C)</f>
        <v>RJ/ES</v>
      </c>
      <c r="M2107" s="14" t="str">
        <f>IFERROR(_xlfn.XLOOKUP(B2107,repete!A:A,repete!A:A),"-")</f>
        <v>-</v>
      </c>
    </row>
    <row r="2108" spans="1:13" hidden="1">
      <c r="A2108" s="1">
        <v>46204</v>
      </c>
      <c r="B2108" t="s">
        <v>1364</v>
      </c>
      <c r="C2108" t="s">
        <v>1313</v>
      </c>
      <c r="D2108" t="s">
        <v>132</v>
      </c>
      <c r="E2108" t="s">
        <v>53</v>
      </c>
      <c r="F2108">
        <v>135</v>
      </c>
      <c r="G2108">
        <v>34</v>
      </c>
      <c r="H2108">
        <v>6.7715594503087E-3</v>
      </c>
      <c r="I2108">
        <v>0.25185185185185199</v>
      </c>
      <c r="J2108" s="14" t="str">
        <f>_xlfn.XLOOKUP(B2108,CAD_PDV!A:A,CAD_PDV!B:B)</f>
        <v>FLEX CELL</v>
      </c>
      <c r="K2108" s="14">
        <f>IF(IFERROR(_xlfn.XLOOKUP(B2108,Planilha2!D:D,Planilha2!H:H),0)="SIM",1,0)</f>
        <v>0</v>
      </c>
      <c r="L2108" s="14" t="str">
        <f>_xlfn.XLOOKUP(B2108,CAD_PDV!A:A,CAD_PDV!C:C)</f>
        <v>SP1</v>
      </c>
      <c r="M2108" s="14" t="str">
        <f>IFERROR(_xlfn.XLOOKUP(B2108,repete!A:A,repete!A:A),"-")</f>
        <v>-</v>
      </c>
    </row>
    <row r="2109" spans="1:13" hidden="1">
      <c r="A2109" s="1">
        <v>46204</v>
      </c>
      <c r="B2109" t="s">
        <v>1501</v>
      </c>
      <c r="C2109" t="s">
        <v>1503</v>
      </c>
      <c r="D2109" t="s">
        <v>232</v>
      </c>
      <c r="E2109" t="s">
        <v>54</v>
      </c>
      <c r="F2109">
        <v>110</v>
      </c>
      <c r="G2109">
        <v>33</v>
      </c>
      <c r="H2109">
        <v>6.5723959370643298E-3</v>
      </c>
      <c r="I2109">
        <v>0.3</v>
      </c>
      <c r="J2109" s="14" t="str">
        <f>_xlfn.XLOOKUP(B2109,CAD_PDV!A:A,CAD_PDV!B:B)</f>
        <v>HS TELECOM</v>
      </c>
      <c r="K2109" s="14">
        <f>IF(IFERROR(_xlfn.XLOOKUP(B2109,Planilha2!D:D,Planilha2!H:H),0)="SIM",1,0)</f>
        <v>0</v>
      </c>
      <c r="L2109" s="14" t="str">
        <f>_xlfn.XLOOKUP(B2109,CAD_PDV!A:A,CAD_PDV!C:C)</f>
        <v>SP2</v>
      </c>
      <c r="M2109" s="14" t="str">
        <f>IFERROR(_xlfn.XLOOKUP(B2109,repete!A:A,repete!A:A),"-")</f>
        <v>-</v>
      </c>
    </row>
    <row r="2110" spans="1:13" hidden="1">
      <c r="A2110" s="1">
        <v>46204</v>
      </c>
      <c r="B2110" t="s">
        <v>912</v>
      </c>
      <c r="C2110" t="s">
        <v>820</v>
      </c>
      <c r="D2110" t="s">
        <v>239</v>
      </c>
      <c r="E2110" t="s">
        <v>59</v>
      </c>
      <c r="F2110">
        <v>60</v>
      </c>
      <c r="G2110">
        <v>33</v>
      </c>
      <c r="H2110">
        <v>6.5723959370643298E-3</v>
      </c>
      <c r="I2110">
        <v>0.55000000000000004</v>
      </c>
      <c r="J2110" s="14" t="str">
        <f>_xlfn.XLOOKUP(B2110,CAD_PDV!A:A,CAD_PDV!B:B)</f>
        <v>TELECELL TELEFONIA LTDA - ME</v>
      </c>
      <c r="K2110" s="14">
        <f>IF(IFERROR(_xlfn.XLOOKUP(B2110,Planilha2!D:D,Planilha2!H:H),0)="SIM",1,0)</f>
        <v>0</v>
      </c>
      <c r="L2110" s="14" t="str">
        <f>_xlfn.XLOOKUP(B2110,CAD_PDV!A:A,CAD_PDV!C:C)</f>
        <v>CO</v>
      </c>
      <c r="M2110" s="14" t="str">
        <f>IFERROR(_xlfn.XLOOKUP(B2110,repete!A:A,repete!A:A),"-")</f>
        <v>-</v>
      </c>
    </row>
    <row r="2111" spans="1:13" hidden="1">
      <c r="A2111" s="1">
        <v>46204</v>
      </c>
      <c r="B2111" t="s">
        <v>1719</v>
      </c>
      <c r="C2111" t="s">
        <v>1557</v>
      </c>
      <c r="D2111" t="s">
        <v>106</v>
      </c>
      <c r="E2111" t="s">
        <v>54</v>
      </c>
      <c r="F2111">
        <v>80</v>
      </c>
      <c r="G2111">
        <v>33</v>
      </c>
      <c r="H2111">
        <v>6.5723959370643298E-3</v>
      </c>
      <c r="I2111">
        <v>0.41249999999999998</v>
      </c>
      <c r="J2111" s="14" t="str">
        <f>_xlfn.XLOOKUP(B2111,CAD_PDV!A:A,CAD_PDV!B:B)</f>
        <v>CELLULAR.COM</v>
      </c>
      <c r="K2111" s="14">
        <f>IF(IFERROR(_xlfn.XLOOKUP(B2111,Planilha2!D:D,Planilha2!H:H),0)="SIM",1,0)</f>
        <v>0</v>
      </c>
      <c r="L2111" s="14" t="str">
        <f>_xlfn.XLOOKUP(B2111,CAD_PDV!A:A,CAD_PDV!C:C)</f>
        <v>SP2</v>
      </c>
      <c r="M2111" s="14" t="str">
        <f>IFERROR(_xlfn.XLOOKUP(B2111,repete!A:A,repete!A:A),"-")</f>
        <v>-</v>
      </c>
    </row>
    <row r="2112" spans="1:13" hidden="1">
      <c r="A2112" s="1">
        <v>46204</v>
      </c>
      <c r="B2112" t="s">
        <v>1516</v>
      </c>
      <c r="C2112" t="s">
        <v>1517</v>
      </c>
      <c r="D2112" t="s">
        <v>232</v>
      </c>
      <c r="E2112" t="s">
        <v>54</v>
      </c>
      <c r="F2112">
        <v>67</v>
      </c>
      <c r="G2112">
        <v>32</v>
      </c>
      <c r="H2112">
        <v>6.3732324238199604E-3</v>
      </c>
      <c r="I2112">
        <v>0.47761194029850701</v>
      </c>
      <c r="J2112" s="14" t="str">
        <f>_xlfn.XLOOKUP(B2112,CAD_PDV!A:A,CAD_PDV!B:B)</f>
        <v>HS TELECOM</v>
      </c>
      <c r="K2112" s="14">
        <f>IF(IFERROR(_xlfn.XLOOKUP(B2112,Planilha2!D:D,Planilha2!H:H),0)="SIM",1,0)</f>
        <v>0</v>
      </c>
      <c r="L2112" s="14" t="str">
        <f>_xlfn.XLOOKUP(B2112,CAD_PDV!A:A,CAD_PDV!C:C)</f>
        <v>SP2</v>
      </c>
      <c r="M2112" s="14" t="str">
        <f>IFERROR(_xlfn.XLOOKUP(B2112,repete!A:A,repete!A:A),"-")</f>
        <v>-</v>
      </c>
    </row>
    <row r="2113" spans="1:13" hidden="1">
      <c r="A2113" s="1">
        <v>46204</v>
      </c>
      <c r="B2113" t="s">
        <v>1487</v>
      </c>
      <c r="C2113" t="s">
        <v>1489</v>
      </c>
      <c r="D2113" t="s">
        <v>232</v>
      </c>
      <c r="E2113" t="s">
        <v>54</v>
      </c>
      <c r="F2113">
        <v>62</v>
      </c>
      <c r="G2113">
        <v>31</v>
      </c>
      <c r="H2113">
        <v>6.1740689105755798E-3</v>
      </c>
      <c r="I2113">
        <v>0.5</v>
      </c>
      <c r="J2113" s="14" t="str">
        <f>_xlfn.XLOOKUP(B2113,CAD_PDV!A:A,CAD_PDV!B:B)</f>
        <v>HS TELECOM</v>
      </c>
      <c r="K2113" s="14">
        <f>IF(IFERROR(_xlfn.XLOOKUP(B2113,Planilha2!D:D,Planilha2!H:H),0)="SIM",1,0)</f>
        <v>0</v>
      </c>
      <c r="L2113" s="14" t="str">
        <f>_xlfn.XLOOKUP(B2113,CAD_PDV!A:A,CAD_PDV!C:C)</f>
        <v>SP2</v>
      </c>
      <c r="M2113" s="14" t="str">
        <f>IFERROR(_xlfn.XLOOKUP(B2113,repete!A:A,repete!A:A),"-")</f>
        <v>-</v>
      </c>
    </row>
    <row r="2114" spans="1:13" hidden="1">
      <c r="A2114" s="1">
        <v>46204</v>
      </c>
      <c r="B2114" t="s">
        <v>1246</v>
      </c>
      <c r="C2114" t="s">
        <v>1142</v>
      </c>
      <c r="D2114" t="s">
        <v>228</v>
      </c>
      <c r="E2114" t="s">
        <v>55</v>
      </c>
      <c r="F2114">
        <v>177</v>
      </c>
      <c r="G2114">
        <v>30</v>
      </c>
      <c r="H2114">
        <v>5.9749053973312096E-3</v>
      </c>
      <c r="I2114">
        <v>0.169491525423729</v>
      </c>
      <c r="J2114" s="14" t="str">
        <f>_xlfn.XLOOKUP(B2114,CAD_PDV!A:A,CAD_PDV!B:B)</f>
        <v>FAJULUTI</v>
      </c>
      <c r="K2114" s="14">
        <f>IF(IFERROR(_xlfn.XLOOKUP(B2114,Planilha2!D:D,Planilha2!H:H),0)="SIM",1,0)</f>
        <v>0</v>
      </c>
      <c r="L2114" s="14" t="str">
        <f>_xlfn.XLOOKUP(B2114,CAD_PDV!A:A,CAD_PDV!C:C)</f>
        <v>RJ/ES</v>
      </c>
      <c r="M2114" s="14" t="str">
        <f>IFERROR(_xlfn.XLOOKUP(B2114,repete!A:A,repete!A:A),"-")</f>
        <v>-</v>
      </c>
    </row>
    <row r="2115" spans="1:13" hidden="1">
      <c r="A2115" s="1">
        <v>46204</v>
      </c>
      <c r="B2115" t="s">
        <v>1656</v>
      </c>
      <c r="C2115" t="s">
        <v>1657</v>
      </c>
      <c r="D2115" t="s">
        <v>232</v>
      </c>
      <c r="E2115" t="s">
        <v>54</v>
      </c>
      <c r="F2115">
        <v>78</v>
      </c>
      <c r="G2115">
        <v>30</v>
      </c>
      <c r="H2115">
        <v>5.9749053973312096E-3</v>
      </c>
      <c r="I2115">
        <v>0.38461538461538503</v>
      </c>
      <c r="J2115" s="14" t="str">
        <f>_xlfn.XLOOKUP(B2115,CAD_PDV!A:A,CAD_PDV!B:B)</f>
        <v>HS TELECOM</v>
      </c>
      <c r="K2115" s="14">
        <f>IF(IFERROR(_xlfn.XLOOKUP(B2115,Planilha2!D:D,Planilha2!H:H),0)="SIM",1,0)</f>
        <v>0</v>
      </c>
      <c r="L2115" s="14" t="str">
        <f>_xlfn.XLOOKUP(B2115,CAD_PDV!A:A,CAD_PDV!C:C)</f>
        <v>SP2</v>
      </c>
      <c r="M2115" s="14" t="str">
        <f>IFERROR(_xlfn.XLOOKUP(B2115,repete!A:A,repete!A:A),"-")</f>
        <v>-</v>
      </c>
    </row>
    <row r="2116" spans="1:13" hidden="1">
      <c r="A2116" s="1">
        <v>46204</v>
      </c>
      <c r="B2116" t="s">
        <v>1265</v>
      </c>
      <c r="C2116" t="s">
        <v>1266</v>
      </c>
      <c r="D2116" t="s">
        <v>228</v>
      </c>
      <c r="E2116" t="s">
        <v>55</v>
      </c>
      <c r="F2116">
        <v>84</v>
      </c>
      <c r="G2116">
        <v>30</v>
      </c>
      <c r="H2116">
        <v>5.9749053973312096E-3</v>
      </c>
      <c r="I2116">
        <v>0.35714285714285698</v>
      </c>
      <c r="J2116" s="14" t="str">
        <f>_xlfn.XLOOKUP(B2116,CAD_PDV!A:A,CAD_PDV!B:B)</f>
        <v>FAJULUTI</v>
      </c>
      <c r="K2116" s="14">
        <f>IF(IFERROR(_xlfn.XLOOKUP(B2116,Planilha2!D:D,Planilha2!H:H),0)="SIM",1,0)</f>
        <v>0</v>
      </c>
      <c r="L2116" s="14" t="str">
        <f>_xlfn.XLOOKUP(B2116,CAD_PDV!A:A,CAD_PDV!C:C)</f>
        <v>RJ/ES</v>
      </c>
      <c r="M2116" s="14" t="str">
        <f>IFERROR(_xlfn.XLOOKUP(B2116,repete!A:A,repete!A:A),"-")</f>
        <v>-</v>
      </c>
    </row>
    <row r="2117" spans="1:13" hidden="1">
      <c r="A2117" s="1">
        <v>46204</v>
      </c>
      <c r="B2117" t="s">
        <v>258</v>
      </c>
      <c r="C2117" t="s">
        <v>261</v>
      </c>
      <c r="D2117" t="s">
        <v>230</v>
      </c>
      <c r="E2117" t="s">
        <v>61</v>
      </c>
      <c r="F2117">
        <v>131</v>
      </c>
      <c r="G2117">
        <v>29</v>
      </c>
      <c r="H2117">
        <v>5.7757418840868402E-3</v>
      </c>
      <c r="I2117">
        <v>0.221374045801527</v>
      </c>
      <c r="J2117" s="14" t="str">
        <f>_xlfn.XLOOKUP(B2117,CAD_PDV!A:A,CAD_PDV!B:B)</f>
        <v>HARCOS COMERCIO E SERVICOS LTDA - EPP</v>
      </c>
      <c r="K2117" s="14">
        <f>IF(IFERROR(_xlfn.XLOOKUP(B2117,Planilha2!D:D,Planilha2!H:H),0)="SIM",1,0)</f>
        <v>0</v>
      </c>
      <c r="L2117" s="14" t="str">
        <f>_xlfn.XLOOKUP(B2117,CAD_PDV!A:A,CAD_PDV!C:C)</f>
        <v>NE</v>
      </c>
      <c r="M2117" s="14" t="str">
        <f>IFERROR(_xlfn.XLOOKUP(B2117,repete!A:A,repete!A:A),"-")</f>
        <v>-</v>
      </c>
    </row>
    <row r="2118" spans="1:13" hidden="1">
      <c r="A2118" s="1">
        <v>46204</v>
      </c>
      <c r="B2118" t="s">
        <v>979</v>
      </c>
      <c r="C2118" t="s">
        <v>944</v>
      </c>
      <c r="D2118" t="s">
        <v>232</v>
      </c>
      <c r="E2118" t="s">
        <v>60</v>
      </c>
      <c r="F2118">
        <v>151</v>
      </c>
      <c r="G2118">
        <v>28</v>
      </c>
      <c r="H2118">
        <v>5.5765783708424596E-3</v>
      </c>
      <c r="I2118">
        <v>0.185430463576159</v>
      </c>
      <c r="J2118" s="14" t="str">
        <f>_xlfn.XLOOKUP(B2118,CAD_PDV!A:A,CAD_PDV!B:B)</f>
        <v>HS TELECOM</v>
      </c>
      <c r="K2118" s="14">
        <f>IF(IFERROR(_xlfn.XLOOKUP(B2118,Planilha2!D:D,Planilha2!H:H),0)="SIM",1,0)</f>
        <v>0</v>
      </c>
      <c r="L2118" s="14" t="str">
        <f>_xlfn.XLOOKUP(B2118,CAD_PDV!A:A,CAD_PDV!C:C)</f>
        <v>BA/SE</v>
      </c>
      <c r="M2118" s="14" t="str">
        <f>IFERROR(_xlfn.XLOOKUP(B2118,repete!A:A,repete!A:A),"-")</f>
        <v>-</v>
      </c>
    </row>
    <row r="2119" spans="1:13" hidden="1">
      <c r="A2119" s="1">
        <v>46204</v>
      </c>
      <c r="B2119" t="s">
        <v>1282</v>
      </c>
      <c r="C2119" t="s">
        <v>1283</v>
      </c>
      <c r="D2119" t="s">
        <v>228</v>
      </c>
      <c r="E2119" t="s">
        <v>55</v>
      </c>
      <c r="F2119">
        <v>68</v>
      </c>
      <c r="G2119">
        <v>28</v>
      </c>
      <c r="H2119">
        <v>5.5765783708424596E-3</v>
      </c>
      <c r="I2119">
        <v>0.41176470588235298</v>
      </c>
      <c r="J2119" s="14" t="str">
        <f>_xlfn.XLOOKUP(B2119,CAD_PDV!A:A,CAD_PDV!B:B)</f>
        <v>FAJULUTI</v>
      </c>
      <c r="K2119" s="14">
        <f>IF(IFERROR(_xlfn.XLOOKUP(B2119,Planilha2!D:D,Planilha2!H:H),0)="SIM",1,0)</f>
        <v>0</v>
      </c>
      <c r="L2119" s="14" t="str">
        <f>_xlfn.XLOOKUP(B2119,CAD_PDV!A:A,CAD_PDV!C:C)</f>
        <v>RJ/ES</v>
      </c>
      <c r="M2119" s="14" t="str">
        <f>IFERROR(_xlfn.XLOOKUP(B2119,repete!A:A,repete!A:A),"-")</f>
        <v>-</v>
      </c>
    </row>
    <row r="2120" spans="1:13" hidden="1">
      <c r="A2120" s="1">
        <v>46204</v>
      </c>
      <c r="B2120" t="s">
        <v>1878</v>
      </c>
      <c r="C2120" t="s">
        <v>1876</v>
      </c>
      <c r="D2120" t="s">
        <v>124</v>
      </c>
      <c r="E2120" t="s">
        <v>2074</v>
      </c>
      <c r="F2120">
        <v>63</v>
      </c>
      <c r="G2120">
        <v>28</v>
      </c>
      <c r="H2120">
        <v>5.5765783708424596E-3</v>
      </c>
      <c r="I2120">
        <v>0.44444444444444398</v>
      </c>
      <c r="J2120" s="14" t="str">
        <f>_xlfn.XLOOKUP(B2120,CAD_PDV!A:A,CAD_PDV!B:B)</f>
        <v>EDUARDO JUNQUEIRA DA SILVEIRA ADMIN</v>
      </c>
      <c r="K2120" s="14">
        <f>IF(IFERROR(_xlfn.XLOOKUP(B2120,Planilha2!D:D,Planilha2!H:H),0)="SIM",1,0)</f>
        <v>0</v>
      </c>
      <c r="L2120" s="14" t="str">
        <f>_xlfn.XLOOKUP(B2120,CAD_PDV!A:A,CAD_PDV!C:C)</f>
        <v>RS</v>
      </c>
      <c r="M2120" s="14" t="str">
        <f>IFERROR(_xlfn.XLOOKUP(B2120,repete!A:A,repete!A:A),"-")</f>
        <v>-</v>
      </c>
    </row>
    <row r="2121" spans="1:13" hidden="1">
      <c r="A2121" s="1">
        <v>46204</v>
      </c>
      <c r="B2121" t="s">
        <v>1685</v>
      </c>
      <c r="C2121" t="s">
        <v>1686</v>
      </c>
      <c r="D2121" t="s">
        <v>232</v>
      </c>
      <c r="E2121" t="s">
        <v>54</v>
      </c>
      <c r="F2121">
        <v>100</v>
      </c>
      <c r="G2121">
        <v>28</v>
      </c>
      <c r="H2121">
        <v>5.5765783708424596E-3</v>
      </c>
      <c r="I2121">
        <v>0.28000000000000003</v>
      </c>
      <c r="J2121" s="14" t="str">
        <f>_xlfn.XLOOKUP(B2121,CAD_PDV!A:A,CAD_PDV!B:B)</f>
        <v>HS TELECOM</v>
      </c>
      <c r="K2121" s="14">
        <f>IF(IFERROR(_xlfn.XLOOKUP(B2121,Planilha2!D:D,Planilha2!H:H),0)="SIM",1,0)</f>
        <v>0</v>
      </c>
      <c r="L2121" s="14" t="str">
        <f>_xlfn.XLOOKUP(B2121,CAD_PDV!A:A,CAD_PDV!C:C)</f>
        <v>SP2</v>
      </c>
      <c r="M2121" s="14" t="str">
        <f>IFERROR(_xlfn.XLOOKUP(B2121,repete!A:A,repete!A:A),"-")</f>
        <v>-</v>
      </c>
    </row>
    <row r="2122" spans="1:13" hidden="1">
      <c r="A2122" s="1">
        <v>46204</v>
      </c>
      <c r="B2122" t="s">
        <v>1697</v>
      </c>
      <c r="C2122" t="s">
        <v>1698</v>
      </c>
      <c r="D2122" t="s">
        <v>232</v>
      </c>
      <c r="E2122" t="s">
        <v>54</v>
      </c>
      <c r="F2122">
        <v>102</v>
      </c>
      <c r="G2122">
        <v>28</v>
      </c>
      <c r="H2122">
        <v>5.5765783708424596E-3</v>
      </c>
      <c r="I2122">
        <v>0.27450980392156898</v>
      </c>
      <c r="J2122" s="14" t="str">
        <f>_xlfn.XLOOKUP(B2122,CAD_PDV!A:A,CAD_PDV!B:B)</f>
        <v>HS TELECOM</v>
      </c>
      <c r="K2122" s="14">
        <f>IF(IFERROR(_xlfn.XLOOKUP(B2122,Planilha2!D:D,Planilha2!H:H),0)="SIM",1,0)</f>
        <v>0</v>
      </c>
      <c r="L2122" s="14" t="str">
        <f>_xlfn.XLOOKUP(B2122,CAD_PDV!A:A,CAD_PDV!C:C)</f>
        <v>SP2</v>
      </c>
      <c r="M2122" s="14" t="str">
        <f>IFERROR(_xlfn.XLOOKUP(B2122,repete!A:A,repete!A:A),"-")</f>
        <v>-</v>
      </c>
    </row>
    <row r="2123" spans="1:13" hidden="1">
      <c r="A2123" s="1">
        <v>46204</v>
      </c>
      <c r="B2123" t="s">
        <v>1735</v>
      </c>
      <c r="C2123" t="s">
        <v>1464</v>
      </c>
      <c r="D2123" t="s">
        <v>132</v>
      </c>
      <c r="E2123" t="s">
        <v>54</v>
      </c>
      <c r="F2123">
        <v>44</v>
      </c>
      <c r="G2123">
        <v>28</v>
      </c>
      <c r="H2123">
        <v>5.5765783708424596E-3</v>
      </c>
      <c r="I2123">
        <v>0.63636363636363602</v>
      </c>
      <c r="J2123" s="14" t="str">
        <f>_xlfn.XLOOKUP(B2123,CAD_PDV!A:A,CAD_PDV!B:B)</f>
        <v>FLEX CELL</v>
      </c>
      <c r="K2123" s="14">
        <f>IF(IFERROR(_xlfn.XLOOKUP(B2123,Planilha2!D:D,Planilha2!H:H),0)="SIM",1,0)</f>
        <v>0</v>
      </c>
      <c r="L2123" s="14" t="str">
        <f>_xlfn.XLOOKUP(B2123,CAD_PDV!A:A,CAD_PDV!C:C)</f>
        <v>SP2</v>
      </c>
      <c r="M2123" s="14" t="str">
        <f>IFERROR(_xlfn.XLOOKUP(B2123,repete!A:A,repete!A:A),"-")</f>
        <v>-</v>
      </c>
    </row>
    <row r="2124" spans="1:13" hidden="1">
      <c r="A2124" s="1">
        <v>46204</v>
      </c>
      <c r="B2124" t="s">
        <v>1284</v>
      </c>
      <c r="C2124" t="s">
        <v>1283</v>
      </c>
      <c r="D2124" t="s">
        <v>228</v>
      </c>
      <c r="E2124" t="s">
        <v>55</v>
      </c>
      <c r="F2124">
        <v>72</v>
      </c>
      <c r="G2124">
        <v>27</v>
      </c>
      <c r="H2124">
        <v>5.3774148575980903E-3</v>
      </c>
      <c r="I2124">
        <v>0.375</v>
      </c>
      <c r="J2124" s="14" t="str">
        <f>_xlfn.XLOOKUP(B2124,CAD_PDV!A:A,CAD_PDV!B:B)</f>
        <v>FAJULUTI</v>
      </c>
      <c r="K2124" s="14">
        <f>IF(IFERROR(_xlfn.XLOOKUP(B2124,Planilha2!D:D,Planilha2!H:H),0)="SIM",1,0)</f>
        <v>0</v>
      </c>
      <c r="L2124" s="14" t="str">
        <f>_xlfn.XLOOKUP(B2124,CAD_PDV!A:A,CAD_PDV!C:C)</f>
        <v>RJ/ES</v>
      </c>
      <c r="M2124" s="14" t="str">
        <f>IFERROR(_xlfn.XLOOKUP(B2124,repete!A:A,repete!A:A),"-")</f>
        <v>-</v>
      </c>
    </row>
    <row r="2125" spans="1:13" hidden="1">
      <c r="A2125" s="1">
        <v>46204</v>
      </c>
      <c r="B2125" t="s">
        <v>1012</v>
      </c>
      <c r="C2125" t="s">
        <v>1005</v>
      </c>
      <c r="D2125" t="s">
        <v>232</v>
      </c>
      <c r="E2125" t="s">
        <v>60</v>
      </c>
      <c r="F2125">
        <v>78</v>
      </c>
      <c r="G2125">
        <v>27</v>
      </c>
      <c r="H2125">
        <v>5.3774148575980903E-3</v>
      </c>
      <c r="I2125">
        <v>0.34615384615384598</v>
      </c>
      <c r="J2125" s="14" t="str">
        <f>_xlfn.XLOOKUP(B2125,CAD_PDV!A:A,CAD_PDV!B:B)</f>
        <v>HS TELECOM</v>
      </c>
      <c r="K2125" s="14">
        <f>IF(IFERROR(_xlfn.XLOOKUP(B2125,Planilha2!D:D,Planilha2!H:H),0)="SIM",1,0)</f>
        <v>0</v>
      </c>
      <c r="L2125" s="14" t="str">
        <f>_xlfn.XLOOKUP(B2125,CAD_PDV!A:A,CAD_PDV!C:C)</f>
        <v>BA/SE</v>
      </c>
      <c r="M2125" s="14" t="str">
        <f>IFERROR(_xlfn.XLOOKUP(B2125,repete!A:A,repete!A:A),"-")</f>
        <v>FMBI</v>
      </c>
    </row>
    <row r="2126" spans="1:13" hidden="1">
      <c r="A2126" s="1">
        <v>46204</v>
      </c>
      <c r="B2126" t="s">
        <v>1692</v>
      </c>
      <c r="C2126" t="s">
        <v>1693</v>
      </c>
      <c r="D2126" t="s">
        <v>232</v>
      </c>
      <c r="E2126" t="s">
        <v>54</v>
      </c>
      <c r="F2126">
        <v>85</v>
      </c>
      <c r="G2126">
        <v>27</v>
      </c>
      <c r="H2126">
        <v>5.3774148575980903E-3</v>
      </c>
      <c r="I2126">
        <v>0.317647058823529</v>
      </c>
      <c r="J2126" s="14" t="str">
        <f>_xlfn.XLOOKUP(B2126,CAD_PDV!A:A,CAD_PDV!B:B)</f>
        <v>HS TELECOM</v>
      </c>
      <c r="K2126" s="14">
        <f>IF(IFERROR(_xlfn.XLOOKUP(B2126,Planilha2!D:D,Planilha2!H:H),0)="SIM",1,0)</f>
        <v>0</v>
      </c>
      <c r="L2126" s="14" t="str">
        <f>_xlfn.XLOOKUP(B2126,CAD_PDV!A:A,CAD_PDV!C:C)</f>
        <v>SP2</v>
      </c>
      <c r="M2126" s="14" t="str">
        <f>IFERROR(_xlfn.XLOOKUP(B2126,repete!A:A,repete!A:A),"-")</f>
        <v>-</v>
      </c>
    </row>
    <row r="2127" spans="1:13" hidden="1">
      <c r="A2127" s="1">
        <v>46204</v>
      </c>
      <c r="B2127" t="s">
        <v>377</v>
      </c>
      <c r="C2127" t="s">
        <v>261</v>
      </c>
      <c r="D2127" t="s">
        <v>230</v>
      </c>
      <c r="E2127" t="s">
        <v>61</v>
      </c>
      <c r="F2127">
        <v>88</v>
      </c>
      <c r="G2127">
        <v>27</v>
      </c>
      <c r="H2127">
        <v>5.3774148575980903E-3</v>
      </c>
      <c r="I2127">
        <v>0.30681818181818199</v>
      </c>
      <c r="J2127" s="14" t="str">
        <f>_xlfn.XLOOKUP(B2127,CAD_PDV!A:A,CAD_PDV!B:B)</f>
        <v>HARCOS COMERCIO E SERVICOS LTDA - EPP</v>
      </c>
      <c r="K2127" s="14">
        <f>IF(IFERROR(_xlfn.XLOOKUP(B2127,Planilha2!D:D,Planilha2!H:H),0)="SIM",1,0)</f>
        <v>0</v>
      </c>
      <c r="L2127" s="14" t="str">
        <f>_xlfn.XLOOKUP(B2127,CAD_PDV!A:A,CAD_PDV!C:C)</f>
        <v>NE</v>
      </c>
      <c r="M2127" s="14" t="str">
        <f>IFERROR(_xlfn.XLOOKUP(B2127,repete!A:A,repete!A:A),"-")</f>
        <v>-</v>
      </c>
    </row>
    <row r="2128" spans="1:13" hidden="1">
      <c r="A2128" s="1">
        <v>46204</v>
      </c>
      <c r="B2128" t="s">
        <v>1710</v>
      </c>
      <c r="C2128" t="s">
        <v>1568</v>
      </c>
      <c r="D2128" t="s">
        <v>119</v>
      </c>
      <c r="E2128" t="s">
        <v>54</v>
      </c>
      <c r="F2128">
        <v>41</v>
      </c>
      <c r="G2128">
        <v>27</v>
      </c>
      <c r="H2128">
        <v>5.3774148575980903E-3</v>
      </c>
      <c r="I2128">
        <v>0.65853658536585402</v>
      </c>
      <c r="J2128" s="14" t="str">
        <f>_xlfn.XLOOKUP(B2128,CAD_PDV!A:A,CAD_PDV!B:B)</f>
        <v>DOM BARRETO COMERCIAL LTDA - ME</v>
      </c>
      <c r="K2128" s="14">
        <f>IF(IFERROR(_xlfn.XLOOKUP(B2128,Planilha2!D:D,Planilha2!H:H),0)="SIM",1,0)</f>
        <v>0</v>
      </c>
      <c r="L2128" s="14" t="str">
        <f>_xlfn.XLOOKUP(B2128,CAD_PDV!A:A,CAD_PDV!C:C)</f>
        <v>SP2</v>
      </c>
      <c r="M2128" s="14" t="str">
        <f>IFERROR(_xlfn.XLOOKUP(B2128,repete!A:A,repete!A:A),"-")</f>
        <v>-</v>
      </c>
    </row>
    <row r="2129" spans="1:13" hidden="1">
      <c r="A2129" s="1">
        <v>46204</v>
      </c>
      <c r="B2129" t="s">
        <v>872</v>
      </c>
      <c r="C2129" t="s">
        <v>873</v>
      </c>
      <c r="D2129" t="s">
        <v>239</v>
      </c>
      <c r="E2129" t="s">
        <v>59</v>
      </c>
      <c r="F2129">
        <v>90</v>
      </c>
      <c r="G2129">
        <v>26</v>
      </c>
      <c r="H2129">
        <v>5.1782513443537096E-3</v>
      </c>
      <c r="I2129">
        <v>0.28888888888888897</v>
      </c>
      <c r="J2129" s="14" t="str">
        <f>_xlfn.XLOOKUP(B2129,CAD_PDV!A:A,CAD_PDV!B:B)</f>
        <v>TELECELL TELEFONIA LTDA - ME</v>
      </c>
      <c r="K2129" s="14">
        <f>IF(IFERROR(_xlfn.XLOOKUP(B2129,Planilha2!D:D,Planilha2!H:H),0)="SIM",1,0)</f>
        <v>0</v>
      </c>
      <c r="L2129" s="14" t="str">
        <f>_xlfn.XLOOKUP(B2129,CAD_PDV!A:A,CAD_PDV!C:C)</f>
        <v>CO</v>
      </c>
      <c r="M2129" s="14" t="str">
        <f>IFERROR(_xlfn.XLOOKUP(B2129,repete!A:A,repete!A:A),"-")</f>
        <v>-</v>
      </c>
    </row>
    <row r="2130" spans="1:13" hidden="1">
      <c r="A2130" s="1">
        <v>46204</v>
      </c>
      <c r="B2130" t="s">
        <v>1348</v>
      </c>
      <c r="C2130" t="s">
        <v>1350</v>
      </c>
      <c r="D2130" t="s">
        <v>132</v>
      </c>
      <c r="E2130" t="s">
        <v>53</v>
      </c>
      <c r="F2130">
        <v>103</v>
      </c>
      <c r="G2130">
        <v>26</v>
      </c>
      <c r="H2130">
        <v>5.1782513443537096E-3</v>
      </c>
      <c r="I2130">
        <v>0.25242718446601897</v>
      </c>
      <c r="J2130" s="14" t="str">
        <f>_xlfn.XLOOKUP(B2130,CAD_PDV!A:A,CAD_PDV!B:B)</f>
        <v>FLEX CELL</v>
      </c>
      <c r="K2130" s="14">
        <f>IF(IFERROR(_xlfn.XLOOKUP(B2130,Planilha2!D:D,Planilha2!H:H),0)="SIM",1,0)</f>
        <v>0</v>
      </c>
      <c r="L2130" s="14" t="str">
        <f>_xlfn.XLOOKUP(B2130,CAD_PDV!A:A,CAD_PDV!C:C)</f>
        <v>SP1</v>
      </c>
      <c r="M2130" s="14" t="str">
        <f>IFERROR(_xlfn.XLOOKUP(B2130,repete!A:A,repete!A:A),"-")</f>
        <v>-</v>
      </c>
    </row>
    <row r="2131" spans="1:13" hidden="1">
      <c r="A2131" s="1">
        <v>46204</v>
      </c>
      <c r="B2131" t="s">
        <v>2028</v>
      </c>
      <c r="C2131" t="s">
        <v>2026</v>
      </c>
      <c r="D2131" t="s">
        <v>193</v>
      </c>
      <c r="E2131" t="s">
        <v>2074</v>
      </c>
      <c r="F2131">
        <v>97</v>
      </c>
      <c r="G2131">
        <v>25</v>
      </c>
      <c r="H2131">
        <v>4.9790878311093403E-3</v>
      </c>
      <c r="I2131">
        <v>0.25773195876288701</v>
      </c>
      <c r="J2131" s="14" t="str">
        <f>_xlfn.XLOOKUP(B2131,CAD_PDV!A:A,CAD_PDV!B:B)</f>
        <v>S D COMERCIO DE CELULARES LTDA - ME</v>
      </c>
      <c r="K2131" s="14">
        <f>IF(IFERROR(_xlfn.XLOOKUP(B2131,Planilha2!D:D,Planilha2!H:H),0)="SIM",1,0)</f>
        <v>0</v>
      </c>
      <c r="L2131" s="14" t="str">
        <f>_xlfn.XLOOKUP(B2131,CAD_PDV!A:A,CAD_PDV!C:C)</f>
        <v>RS</v>
      </c>
      <c r="M2131" s="14" t="str">
        <f>IFERROR(_xlfn.XLOOKUP(B2131,repete!A:A,repete!A:A),"-")</f>
        <v>-</v>
      </c>
    </row>
    <row r="2132" spans="1:13" hidden="1">
      <c r="A2132" s="1">
        <v>46204</v>
      </c>
      <c r="B2132" t="s">
        <v>1171</v>
      </c>
      <c r="C2132" t="s">
        <v>1142</v>
      </c>
      <c r="D2132" t="s">
        <v>228</v>
      </c>
      <c r="E2132" t="s">
        <v>55</v>
      </c>
      <c r="F2132">
        <v>80</v>
      </c>
      <c r="G2132">
        <v>25</v>
      </c>
      <c r="H2132">
        <v>4.9790878311093403E-3</v>
      </c>
      <c r="I2132">
        <v>0.3125</v>
      </c>
      <c r="J2132" s="14" t="str">
        <f>_xlfn.XLOOKUP(B2132,CAD_PDV!A:A,CAD_PDV!B:B)</f>
        <v>FAJULUTI</v>
      </c>
      <c r="K2132" s="14">
        <f>IF(IFERROR(_xlfn.XLOOKUP(B2132,Planilha2!D:D,Planilha2!H:H),0)="SIM",1,0)</f>
        <v>0</v>
      </c>
      <c r="L2132" s="14" t="str">
        <f>_xlfn.XLOOKUP(B2132,CAD_PDV!A:A,CAD_PDV!C:C)</f>
        <v>RJ/ES</v>
      </c>
      <c r="M2132" s="14" t="str">
        <f>IFERROR(_xlfn.XLOOKUP(B2132,repete!A:A,repete!A:A),"-")</f>
        <v>-</v>
      </c>
    </row>
    <row r="2133" spans="1:13" hidden="1">
      <c r="A2133" s="1">
        <v>46204</v>
      </c>
      <c r="B2133" t="s">
        <v>1149</v>
      </c>
      <c r="C2133" t="s">
        <v>1152</v>
      </c>
      <c r="D2133" t="s">
        <v>228</v>
      </c>
      <c r="E2133" t="s">
        <v>55</v>
      </c>
      <c r="F2133">
        <v>65</v>
      </c>
      <c r="G2133">
        <v>24</v>
      </c>
      <c r="H2133">
        <v>4.7799243178649701E-3</v>
      </c>
      <c r="I2133">
        <v>0.36923076923076897</v>
      </c>
      <c r="J2133" s="14" t="str">
        <f>_xlfn.XLOOKUP(B2133,CAD_PDV!A:A,CAD_PDV!B:B)</f>
        <v>FAJULUTI</v>
      </c>
      <c r="K2133" s="14">
        <f>IF(IFERROR(_xlfn.XLOOKUP(B2133,Planilha2!D:D,Planilha2!H:H),0)="SIM",1,0)</f>
        <v>0</v>
      </c>
      <c r="L2133" s="14" t="str">
        <f>_xlfn.XLOOKUP(B2133,CAD_PDV!A:A,CAD_PDV!C:C)</f>
        <v>RJ/ES</v>
      </c>
      <c r="M2133" s="14" t="str">
        <f>IFERROR(_xlfn.XLOOKUP(B2133,repete!A:A,repete!A:A),"-")</f>
        <v>-</v>
      </c>
    </row>
    <row r="2134" spans="1:13" hidden="1">
      <c r="A2134" s="1">
        <v>46204</v>
      </c>
      <c r="B2134" t="s">
        <v>1319</v>
      </c>
      <c r="C2134" t="s">
        <v>1313</v>
      </c>
      <c r="D2134" t="s">
        <v>225</v>
      </c>
      <c r="E2134" t="s">
        <v>53</v>
      </c>
      <c r="F2134">
        <v>86</v>
      </c>
      <c r="G2134">
        <v>24</v>
      </c>
      <c r="H2134">
        <v>4.7799243178649701E-3</v>
      </c>
      <c r="I2134">
        <v>0.27906976744186002</v>
      </c>
      <c r="J2134" s="14" t="str">
        <f>_xlfn.XLOOKUP(B2134,CAD_PDV!A:A,CAD_PDV!B:B)</f>
        <v>CLARICELL SP1</v>
      </c>
      <c r="K2134" s="14">
        <f>IF(IFERROR(_xlfn.XLOOKUP(B2134,Planilha2!D:D,Planilha2!H:H),0)="SIM",1,0)</f>
        <v>0</v>
      </c>
      <c r="L2134" s="14" t="str">
        <f>_xlfn.XLOOKUP(B2134,CAD_PDV!A:A,CAD_PDV!C:C)</f>
        <v>SP1</v>
      </c>
      <c r="M2134" s="14" t="str">
        <f>IFERROR(_xlfn.XLOOKUP(B2134,repete!A:A,repete!A:A),"-")</f>
        <v>-</v>
      </c>
    </row>
    <row r="2135" spans="1:13" hidden="1">
      <c r="A2135" s="1">
        <v>46204</v>
      </c>
      <c r="B2135" t="s">
        <v>1680</v>
      </c>
      <c r="C2135" t="s">
        <v>1676</v>
      </c>
      <c r="D2135" t="s">
        <v>232</v>
      </c>
      <c r="E2135" t="s">
        <v>54</v>
      </c>
      <c r="F2135">
        <v>152</v>
      </c>
      <c r="G2135">
        <v>24</v>
      </c>
      <c r="H2135">
        <v>4.7799243178649701E-3</v>
      </c>
      <c r="I2135">
        <v>0.157894736842105</v>
      </c>
      <c r="J2135" s="14" t="str">
        <f>_xlfn.XLOOKUP(B2135,CAD_PDV!A:A,CAD_PDV!B:B)</f>
        <v>HS TELECOM</v>
      </c>
      <c r="K2135" s="14">
        <f>IF(IFERROR(_xlfn.XLOOKUP(B2135,Planilha2!D:D,Planilha2!H:H),0)="SIM",1,0)</f>
        <v>0</v>
      </c>
      <c r="L2135" s="14" t="str">
        <f>_xlfn.XLOOKUP(B2135,CAD_PDV!A:A,CAD_PDV!C:C)</f>
        <v>SP2</v>
      </c>
      <c r="M2135" s="14" t="str">
        <f>IFERROR(_xlfn.XLOOKUP(B2135,repete!A:A,repete!A:A),"-")</f>
        <v>-</v>
      </c>
    </row>
    <row r="2136" spans="1:13" hidden="1">
      <c r="A2136" s="1">
        <v>46204</v>
      </c>
      <c r="B2136" t="s">
        <v>1690</v>
      </c>
      <c r="C2136" t="s">
        <v>1503</v>
      </c>
      <c r="D2136" t="s">
        <v>232</v>
      </c>
      <c r="E2136" t="s">
        <v>54</v>
      </c>
      <c r="F2136">
        <v>104</v>
      </c>
      <c r="G2136">
        <v>24</v>
      </c>
      <c r="H2136">
        <v>4.7799243178649701E-3</v>
      </c>
      <c r="I2136">
        <v>0.230769230769231</v>
      </c>
      <c r="J2136" s="14" t="str">
        <f>_xlfn.XLOOKUP(B2136,CAD_PDV!A:A,CAD_PDV!B:B)</f>
        <v>HS TELECOM</v>
      </c>
      <c r="K2136" s="14">
        <f>IF(IFERROR(_xlfn.XLOOKUP(B2136,Planilha2!D:D,Planilha2!H:H),0)="SIM",1,0)</f>
        <v>0</v>
      </c>
      <c r="L2136" s="14" t="str">
        <f>_xlfn.XLOOKUP(B2136,CAD_PDV!A:A,CAD_PDV!C:C)</f>
        <v>SP2</v>
      </c>
      <c r="M2136" s="14" t="str">
        <f>IFERROR(_xlfn.XLOOKUP(B2136,repete!A:A,repete!A:A),"-")</f>
        <v>-</v>
      </c>
    </row>
    <row r="2137" spans="1:13" hidden="1">
      <c r="A2137" s="1">
        <v>46204</v>
      </c>
      <c r="B2137" t="s">
        <v>286</v>
      </c>
      <c r="C2137" t="s">
        <v>288</v>
      </c>
      <c r="D2137" t="s">
        <v>230</v>
      </c>
      <c r="E2137" t="s">
        <v>61</v>
      </c>
      <c r="F2137">
        <v>89</v>
      </c>
      <c r="G2137">
        <v>24</v>
      </c>
      <c r="H2137">
        <v>4.7799243178649701E-3</v>
      </c>
      <c r="I2137">
        <v>0.26966292134831499</v>
      </c>
      <c r="J2137" s="14" t="str">
        <f>_xlfn.XLOOKUP(B2137,CAD_PDV!A:A,CAD_PDV!B:B)</f>
        <v>HARCOS COMERCIO E SERVICOS LTDA - EPP</v>
      </c>
      <c r="K2137" s="14">
        <f>IF(IFERROR(_xlfn.XLOOKUP(B2137,Planilha2!D:D,Planilha2!H:H),0)="SIM",1,0)</f>
        <v>0</v>
      </c>
      <c r="L2137" s="14" t="str">
        <f>_xlfn.XLOOKUP(B2137,CAD_PDV!A:A,CAD_PDV!C:C)</f>
        <v>NE</v>
      </c>
      <c r="M2137" s="14" t="str">
        <f>IFERROR(_xlfn.XLOOKUP(B2137,repete!A:A,repete!A:A),"-")</f>
        <v>-</v>
      </c>
    </row>
    <row r="2138" spans="1:13" hidden="1">
      <c r="A2138" s="1">
        <v>46204</v>
      </c>
      <c r="B2138" t="s">
        <v>1281</v>
      </c>
      <c r="C2138" t="s">
        <v>1185</v>
      </c>
      <c r="D2138" t="s">
        <v>228</v>
      </c>
      <c r="E2138" t="s">
        <v>55</v>
      </c>
      <c r="F2138">
        <v>54</v>
      </c>
      <c r="G2138">
        <v>24</v>
      </c>
      <c r="H2138">
        <v>4.7799243178649701E-3</v>
      </c>
      <c r="I2138">
        <v>0.44444444444444398</v>
      </c>
      <c r="J2138" s="14" t="str">
        <f>_xlfn.XLOOKUP(B2138,CAD_PDV!A:A,CAD_PDV!B:B)</f>
        <v>FAJULUTI</v>
      </c>
      <c r="K2138" s="14">
        <f>IF(IFERROR(_xlfn.XLOOKUP(B2138,Planilha2!D:D,Planilha2!H:H),0)="SIM",1,0)</f>
        <v>0</v>
      </c>
      <c r="L2138" s="14" t="str">
        <f>_xlfn.XLOOKUP(B2138,CAD_PDV!A:A,CAD_PDV!C:C)</f>
        <v>RJ/ES</v>
      </c>
      <c r="M2138" s="14" t="str">
        <f>IFERROR(_xlfn.XLOOKUP(B2138,repete!A:A,repete!A:A),"-")</f>
        <v>-</v>
      </c>
    </row>
    <row r="2139" spans="1:13" hidden="1">
      <c r="A2139" s="1">
        <v>46204</v>
      </c>
      <c r="B2139" t="s">
        <v>874</v>
      </c>
      <c r="C2139" t="s">
        <v>875</v>
      </c>
      <c r="D2139" t="s">
        <v>239</v>
      </c>
      <c r="E2139" t="s">
        <v>59</v>
      </c>
      <c r="F2139">
        <v>57</v>
      </c>
      <c r="G2139">
        <v>23</v>
      </c>
      <c r="H2139">
        <v>4.5807608046205903E-3</v>
      </c>
      <c r="I2139">
        <v>0.40350877192982498</v>
      </c>
      <c r="J2139" s="14" t="str">
        <f>_xlfn.XLOOKUP(B2139,CAD_PDV!A:A,CAD_PDV!B:B)</f>
        <v>TELECELL TELEFONIA LTDA - ME</v>
      </c>
      <c r="K2139" s="14">
        <f>IF(IFERROR(_xlfn.XLOOKUP(B2139,Planilha2!D:D,Planilha2!H:H),0)="SIM",1,0)</f>
        <v>0</v>
      </c>
      <c r="L2139" s="14" t="str">
        <f>_xlfn.XLOOKUP(B2139,CAD_PDV!A:A,CAD_PDV!C:C)</f>
        <v>CO</v>
      </c>
      <c r="M2139" s="14" t="str">
        <f>IFERROR(_xlfn.XLOOKUP(B2139,repete!A:A,repete!A:A),"-")</f>
        <v>-</v>
      </c>
    </row>
    <row r="2140" spans="1:13" hidden="1">
      <c r="A2140" s="1">
        <v>46204</v>
      </c>
      <c r="B2140" t="s">
        <v>1574</v>
      </c>
      <c r="C2140" t="s">
        <v>1575</v>
      </c>
      <c r="D2140" t="s">
        <v>132</v>
      </c>
      <c r="E2140" t="s">
        <v>54</v>
      </c>
      <c r="F2140">
        <v>62</v>
      </c>
      <c r="G2140">
        <v>23</v>
      </c>
      <c r="H2140">
        <v>4.5807608046205903E-3</v>
      </c>
      <c r="I2140">
        <v>0.37096774193548399</v>
      </c>
      <c r="J2140" s="14" t="str">
        <f>_xlfn.XLOOKUP(B2140,CAD_PDV!A:A,CAD_PDV!B:B)</f>
        <v>FLEX CELL</v>
      </c>
      <c r="K2140" s="14">
        <f>IF(IFERROR(_xlfn.XLOOKUP(B2140,Planilha2!D:D,Planilha2!H:H),0)="SIM",1,0)</f>
        <v>0</v>
      </c>
      <c r="L2140" s="14" t="str">
        <f>_xlfn.XLOOKUP(B2140,CAD_PDV!A:A,CAD_PDV!C:C)</f>
        <v>SP2</v>
      </c>
      <c r="M2140" s="14" t="str">
        <f>IFERROR(_xlfn.XLOOKUP(B2140,repete!A:A,repete!A:A),"-")</f>
        <v>-</v>
      </c>
    </row>
    <row r="2141" spans="1:13" hidden="1">
      <c r="A2141" s="1">
        <v>46204</v>
      </c>
      <c r="B2141" t="s">
        <v>279</v>
      </c>
      <c r="C2141" t="s">
        <v>265</v>
      </c>
      <c r="D2141" t="s">
        <v>230</v>
      </c>
      <c r="E2141" t="s">
        <v>61</v>
      </c>
      <c r="F2141">
        <v>101</v>
      </c>
      <c r="G2141">
        <v>23</v>
      </c>
      <c r="H2141">
        <v>4.5807608046205903E-3</v>
      </c>
      <c r="I2141">
        <v>0.22772277227722801</v>
      </c>
      <c r="J2141" s="14" t="str">
        <f>_xlfn.XLOOKUP(B2141,CAD_PDV!A:A,CAD_PDV!B:B)</f>
        <v>HARCOS COMERCIO E SERVICOS LTDA - EPP</v>
      </c>
      <c r="K2141" s="14">
        <f>IF(IFERROR(_xlfn.XLOOKUP(B2141,Planilha2!D:D,Planilha2!H:H),0)="SIM",1,0)</f>
        <v>0</v>
      </c>
      <c r="L2141" s="14" t="str">
        <f>_xlfn.XLOOKUP(B2141,CAD_PDV!A:A,CAD_PDV!C:C)</f>
        <v>NE</v>
      </c>
      <c r="M2141" s="14" t="str">
        <f>IFERROR(_xlfn.XLOOKUP(B2141,repete!A:A,repete!A:A),"-")</f>
        <v>-</v>
      </c>
    </row>
    <row r="2142" spans="1:13" hidden="1">
      <c r="A2142" s="1">
        <v>46204</v>
      </c>
      <c r="B2142" t="s">
        <v>447</v>
      </c>
      <c r="C2142" t="s">
        <v>449</v>
      </c>
      <c r="D2142" t="s">
        <v>228</v>
      </c>
      <c r="E2142" t="s">
        <v>56</v>
      </c>
      <c r="F2142">
        <v>40</v>
      </c>
      <c r="G2142">
        <v>23</v>
      </c>
      <c r="H2142">
        <v>4.5807608046205903E-3</v>
      </c>
      <c r="I2142">
        <v>0.57499999999999996</v>
      </c>
      <c r="J2142" s="14" t="str">
        <f>_xlfn.XLOOKUP(B2142,CAD_PDV!A:A,CAD_PDV!B:B)</f>
        <v>FAJULUTI</v>
      </c>
      <c r="K2142" s="14">
        <f>IF(IFERROR(_xlfn.XLOOKUP(B2142,Planilha2!D:D,Planilha2!H:H),0)="SIM",1,0)</f>
        <v>0</v>
      </c>
      <c r="L2142" s="14" t="str">
        <f>_xlfn.XLOOKUP(B2142,CAD_PDV!A:A,CAD_PDV!C:C)</f>
        <v>MG</v>
      </c>
      <c r="M2142" s="14" t="str">
        <f>IFERROR(_xlfn.XLOOKUP(B2142,repete!A:A,repete!A:A),"-")</f>
        <v>-</v>
      </c>
    </row>
    <row r="2143" spans="1:13" hidden="1">
      <c r="A2143" s="1">
        <v>46204</v>
      </c>
      <c r="B2143" t="s">
        <v>1636</v>
      </c>
      <c r="C2143" t="s">
        <v>1484</v>
      </c>
      <c r="D2143" t="s">
        <v>232</v>
      </c>
      <c r="E2143" t="s">
        <v>54</v>
      </c>
      <c r="F2143">
        <v>56</v>
      </c>
      <c r="G2143">
        <v>23</v>
      </c>
      <c r="H2143">
        <v>4.5807608046205903E-3</v>
      </c>
      <c r="I2143">
        <v>0.41071428571428598</v>
      </c>
      <c r="J2143" s="14" t="str">
        <f>_xlfn.XLOOKUP(B2143,CAD_PDV!A:A,CAD_PDV!B:B)</f>
        <v>HS TELECOM</v>
      </c>
      <c r="K2143" s="14">
        <f>IF(IFERROR(_xlfn.XLOOKUP(B2143,Planilha2!D:D,Planilha2!H:H),0)="SIM",1,0)</f>
        <v>0</v>
      </c>
      <c r="L2143" s="14" t="str">
        <f>_xlfn.XLOOKUP(B2143,CAD_PDV!A:A,CAD_PDV!C:C)</f>
        <v>SP2</v>
      </c>
      <c r="M2143" s="14" t="str">
        <f>IFERROR(_xlfn.XLOOKUP(B2143,repete!A:A,repete!A:A),"-")</f>
        <v>-</v>
      </c>
    </row>
    <row r="2144" spans="1:13" hidden="1">
      <c r="A2144" s="1">
        <v>46204</v>
      </c>
      <c r="B2144" t="s">
        <v>1342</v>
      </c>
      <c r="C2144" t="s">
        <v>1313</v>
      </c>
      <c r="D2144" t="s">
        <v>225</v>
      </c>
      <c r="E2144" t="s">
        <v>53</v>
      </c>
      <c r="F2144">
        <v>129</v>
      </c>
      <c r="G2144">
        <v>23</v>
      </c>
      <c r="H2144">
        <v>4.5807608046205903E-3</v>
      </c>
      <c r="I2144">
        <v>0.178294573643411</v>
      </c>
      <c r="J2144" s="14" t="str">
        <f>_xlfn.XLOOKUP(B2144,CAD_PDV!A:A,CAD_PDV!B:B)</f>
        <v>CLARICELL SP1</v>
      </c>
      <c r="K2144" s="14">
        <f>IF(IFERROR(_xlfn.XLOOKUP(B2144,Planilha2!D:D,Planilha2!H:H),0)="SIM",1,0)</f>
        <v>0</v>
      </c>
      <c r="L2144" s="14" t="str">
        <f>_xlfn.XLOOKUP(B2144,CAD_PDV!A:A,CAD_PDV!C:C)</f>
        <v>SP1</v>
      </c>
      <c r="M2144" s="14" t="str">
        <f>IFERROR(_xlfn.XLOOKUP(B2144,repete!A:A,repete!A:A),"-")</f>
        <v>-</v>
      </c>
    </row>
    <row r="2145" spans="1:13" hidden="1">
      <c r="A2145" s="1">
        <v>46204</v>
      </c>
      <c r="B2145" t="s">
        <v>613</v>
      </c>
      <c r="C2145" t="s">
        <v>610</v>
      </c>
      <c r="D2145" t="s">
        <v>239</v>
      </c>
      <c r="E2145" t="s">
        <v>59</v>
      </c>
      <c r="F2145">
        <v>96</v>
      </c>
      <c r="G2145">
        <v>22</v>
      </c>
      <c r="H2145">
        <v>4.3815972913762201E-3</v>
      </c>
      <c r="I2145">
        <v>0.22916666666666699</v>
      </c>
      <c r="J2145" s="14" t="str">
        <f>_xlfn.XLOOKUP(B2145,CAD_PDV!A:A,CAD_PDV!B:B)</f>
        <v>TELECELL TELEFONIA LTDA - ME</v>
      </c>
      <c r="K2145" s="14">
        <f>IF(IFERROR(_xlfn.XLOOKUP(B2145,Planilha2!D:D,Planilha2!H:H),0)="SIM",1,0)</f>
        <v>0</v>
      </c>
      <c r="L2145" s="14" t="str">
        <f>_xlfn.XLOOKUP(B2145,CAD_PDV!A:A,CAD_PDV!C:C)</f>
        <v>CO</v>
      </c>
      <c r="M2145" s="14" t="str">
        <f>IFERROR(_xlfn.XLOOKUP(B2145,repete!A:A,repete!A:A),"-")</f>
        <v>-</v>
      </c>
    </row>
    <row r="2146" spans="1:13" hidden="1">
      <c r="A2146" s="1">
        <v>46204</v>
      </c>
      <c r="B2146" t="s">
        <v>900</v>
      </c>
      <c r="C2146" t="s">
        <v>873</v>
      </c>
      <c r="D2146" t="s">
        <v>224</v>
      </c>
      <c r="E2146" t="s">
        <v>59</v>
      </c>
      <c r="F2146">
        <v>54</v>
      </c>
      <c r="G2146">
        <v>22</v>
      </c>
      <c r="H2146">
        <v>4.3815972913762201E-3</v>
      </c>
      <c r="I2146">
        <v>0.407407407407407</v>
      </c>
      <c r="J2146" s="14" t="str">
        <f>_xlfn.XLOOKUP(B2146,CAD_PDV!A:A,CAD_PDV!B:B)</f>
        <v>CELNET COMERCIO E SERVICOS DE TELEFONIA LTDA ME</v>
      </c>
      <c r="K2146" s="14">
        <f>IF(IFERROR(_xlfn.XLOOKUP(B2146,Planilha2!D:D,Planilha2!H:H),0)="SIM",1,0)</f>
        <v>0</v>
      </c>
      <c r="L2146" s="14" t="str">
        <f>_xlfn.XLOOKUP(B2146,CAD_PDV!A:A,CAD_PDV!C:C)</f>
        <v>CO</v>
      </c>
      <c r="M2146" s="14" t="str">
        <f>IFERROR(_xlfn.XLOOKUP(B2146,repete!A:A,repete!A:A),"-")</f>
        <v>-</v>
      </c>
    </row>
    <row r="2147" spans="1:13" hidden="1">
      <c r="A2147" s="1">
        <v>46204</v>
      </c>
      <c r="B2147" t="s">
        <v>371</v>
      </c>
      <c r="C2147" t="s">
        <v>291</v>
      </c>
      <c r="D2147" t="s">
        <v>230</v>
      </c>
      <c r="E2147" t="s">
        <v>61</v>
      </c>
      <c r="F2147">
        <v>111</v>
      </c>
      <c r="G2147">
        <v>22</v>
      </c>
      <c r="H2147">
        <v>4.3815972913762201E-3</v>
      </c>
      <c r="I2147">
        <v>0.19819819819819801</v>
      </c>
      <c r="J2147" s="14" t="str">
        <f>_xlfn.XLOOKUP(B2147,CAD_PDV!A:A,CAD_PDV!B:B)</f>
        <v>HARCOS COMERCIO E SERVICOS LTDA - EPP</v>
      </c>
      <c r="K2147" s="14">
        <f>IF(IFERROR(_xlfn.XLOOKUP(B2147,Planilha2!D:D,Planilha2!H:H),0)="SIM",1,0)</f>
        <v>0</v>
      </c>
      <c r="L2147" s="14" t="str">
        <f>_xlfn.XLOOKUP(B2147,CAD_PDV!A:A,CAD_PDV!C:C)</f>
        <v>NE</v>
      </c>
      <c r="M2147" s="14" t="str">
        <f>IFERROR(_xlfn.XLOOKUP(B2147,repete!A:A,repete!A:A),"-")</f>
        <v>-</v>
      </c>
    </row>
    <row r="2148" spans="1:13" hidden="1">
      <c r="A2148" s="1">
        <v>46204</v>
      </c>
      <c r="B2148" t="s">
        <v>878</v>
      </c>
      <c r="C2148" t="s">
        <v>873</v>
      </c>
      <c r="D2148" t="s">
        <v>224</v>
      </c>
      <c r="E2148" t="s">
        <v>59</v>
      </c>
      <c r="F2148">
        <v>162</v>
      </c>
      <c r="G2148">
        <v>21</v>
      </c>
      <c r="H2148">
        <v>4.1824337781318499E-3</v>
      </c>
      <c r="I2148">
        <v>0.12962962962963001</v>
      </c>
      <c r="J2148" s="14" t="str">
        <f>_xlfn.XLOOKUP(B2148,CAD_PDV!A:A,CAD_PDV!B:B)</f>
        <v>CELNET COMERCIO E SERVICOS DE TELEFONIA LTDA ME</v>
      </c>
      <c r="K2148" s="14">
        <f>IF(IFERROR(_xlfn.XLOOKUP(B2148,Planilha2!D:D,Planilha2!H:H),0)="SIM",1,0)</f>
        <v>0</v>
      </c>
      <c r="L2148" s="14" t="str">
        <f>_xlfn.XLOOKUP(B2148,CAD_PDV!A:A,CAD_PDV!C:C)</f>
        <v>CO</v>
      </c>
      <c r="M2148" s="14" t="str">
        <f>IFERROR(_xlfn.XLOOKUP(B2148,repete!A:A,repete!A:A),"-")</f>
        <v>-</v>
      </c>
    </row>
    <row r="2149" spans="1:13" hidden="1">
      <c r="A2149" s="1">
        <v>46204</v>
      </c>
      <c r="B2149" t="s">
        <v>777</v>
      </c>
      <c r="C2149" t="s">
        <v>775</v>
      </c>
      <c r="D2149" t="s">
        <v>221</v>
      </c>
      <c r="E2149" t="s">
        <v>59</v>
      </c>
      <c r="F2149">
        <v>66</v>
      </c>
      <c r="G2149">
        <v>21</v>
      </c>
      <c r="H2149">
        <v>4.1824337781318499E-3</v>
      </c>
      <c r="I2149">
        <v>0.31818181818181801</v>
      </c>
      <c r="J2149" s="14" t="str">
        <f>_xlfn.XLOOKUP(B2149,CAD_PDV!A:A,CAD_PDV!B:B)</f>
        <v>AMERICOM COMERCIO DE APARELHOS ELETRONICOS LTDA - EPP</v>
      </c>
      <c r="K2149" s="14">
        <f>IF(IFERROR(_xlfn.XLOOKUP(B2149,Planilha2!D:D,Planilha2!H:H),0)="SIM",1,0)</f>
        <v>0</v>
      </c>
      <c r="L2149" s="14" t="str">
        <f>_xlfn.XLOOKUP(B2149,CAD_PDV!A:A,CAD_PDV!C:C)</f>
        <v>CO</v>
      </c>
      <c r="M2149" s="14" t="str">
        <f>IFERROR(_xlfn.XLOOKUP(B2149,repete!A:A,repete!A:A),"-")</f>
        <v>-</v>
      </c>
    </row>
    <row r="2150" spans="1:13" hidden="1">
      <c r="A2150" s="1">
        <v>46204</v>
      </c>
      <c r="B2150" t="s">
        <v>352</v>
      </c>
      <c r="C2150" t="s">
        <v>261</v>
      </c>
      <c r="D2150" t="s">
        <v>238</v>
      </c>
      <c r="E2150" t="s">
        <v>61</v>
      </c>
      <c r="F2150">
        <v>107</v>
      </c>
      <c r="G2150">
        <v>21</v>
      </c>
      <c r="H2150">
        <v>4.1824337781318499E-3</v>
      </c>
      <c r="I2150">
        <v>0.19626168224299101</v>
      </c>
      <c r="J2150" s="14" t="str">
        <f>_xlfn.XLOOKUP(B2150,CAD_PDV!A:A,CAD_PDV!B:B)</f>
        <v>R &amp; R HIPER COMERCIO LTDA</v>
      </c>
      <c r="K2150" s="14">
        <f>IF(IFERROR(_xlfn.XLOOKUP(B2150,Planilha2!D:D,Planilha2!H:H),0)="SIM",1,0)</f>
        <v>0</v>
      </c>
      <c r="L2150" s="14" t="str">
        <f>_xlfn.XLOOKUP(B2150,CAD_PDV!A:A,CAD_PDV!C:C)</f>
        <v>NE</v>
      </c>
      <c r="M2150" s="14" t="str">
        <f>IFERROR(_xlfn.XLOOKUP(B2150,repete!A:A,repete!A:A),"-")</f>
        <v>-</v>
      </c>
    </row>
    <row r="2151" spans="1:13" hidden="1">
      <c r="A2151" s="1">
        <v>46204</v>
      </c>
      <c r="B2151" t="s">
        <v>2020</v>
      </c>
      <c r="C2151" t="s">
        <v>2019</v>
      </c>
      <c r="D2151" t="s">
        <v>106</v>
      </c>
      <c r="E2151" t="s">
        <v>2074</v>
      </c>
      <c r="F2151">
        <v>137</v>
      </c>
      <c r="G2151">
        <v>21</v>
      </c>
      <c r="H2151">
        <v>4.1824337781318499E-3</v>
      </c>
      <c r="I2151">
        <v>0.153284671532847</v>
      </c>
      <c r="J2151" s="14" t="str">
        <f>_xlfn.XLOOKUP(B2151,CAD_PDV!A:A,CAD_PDV!B:B)</f>
        <v>CELLULAR.COM</v>
      </c>
      <c r="K2151" s="14">
        <f>IF(IFERROR(_xlfn.XLOOKUP(B2151,Planilha2!D:D,Planilha2!H:H),0)="SIM",1,0)</f>
        <v>0</v>
      </c>
      <c r="L2151" s="14" t="str">
        <f>_xlfn.XLOOKUP(B2151,CAD_PDV!A:A,CAD_PDV!C:C)</f>
        <v>PR/SC</v>
      </c>
      <c r="M2151" s="14" t="str">
        <f>IFERROR(_xlfn.XLOOKUP(B2151,repete!A:A,repete!A:A),"-")</f>
        <v>-</v>
      </c>
    </row>
    <row r="2152" spans="1:13" hidden="1">
      <c r="A2152" s="1">
        <v>46204</v>
      </c>
      <c r="B2152" t="s">
        <v>895</v>
      </c>
      <c r="C2152" t="s">
        <v>873</v>
      </c>
      <c r="D2152" t="s">
        <v>224</v>
      </c>
      <c r="E2152" t="s">
        <v>59</v>
      </c>
      <c r="F2152">
        <v>105</v>
      </c>
      <c r="G2152">
        <v>21</v>
      </c>
      <c r="H2152">
        <v>4.1824337781318499E-3</v>
      </c>
      <c r="I2152">
        <v>0.2</v>
      </c>
      <c r="J2152" s="14" t="str">
        <f>_xlfn.XLOOKUP(B2152,CAD_PDV!A:A,CAD_PDV!B:B)</f>
        <v>CELNET COMERCIO E SERVICOS DE TELEFONIA LTDA ME</v>
      </c>
      <c r="K2152" s="14">
        <f>IF(IFERROR(_xlfn.XLOOKUP(B2152,Planilha2!D:D,Planilha2!H:H),0)="SIM",1,0)</f>
        <v>0</v>
      </c>
      <c r="L2152" s="14" t="str">
        <f>_xlfn.XLOOKUP(B2152,CAD_PDV!A:A,CAD_PDV!C:C)</f>
        <v>CO</v>
      </c>
      <c r="M2152" s="14" t="str">
        <f>IFERROR(_xlfn.XLOOKUP(B2152,repete!A:A,repete!A:A),"-")</f>
        <v>-</v>
      </c>
    </row>
    <row r="2153" spans="1:13" hidden="1">
      <c r="A2153" s="1">
        <v>46204</v>
      </c>
      <c r="B2153" t="s">
        <v>1174</v>
      </c>
      <c r="C2153" t="s">
        <v>1142</v>
      </c>
      <c r="D2153" t="s">
        <v>2072</v>
      </c>
      <c r="E2153" t="s">
        <v>55</v>
      </c>
      <c r="F2153">
        <v>175</v>
      </c>
      <c r="G2153">
        <v>21</v>
      </c>
      <c r="H2153">
        <v>4.1824337781318499E-3</v>
      </c>
      <c r="I2153">
        <v>0.12</v>
      </c>
      <c r="J2153" s="14" t="str">
        <f>_xlfn.XLOOKUP(B2153,CAD_PDV!A:A,CAD_PDV!B:B)</f>
        <v>MEXCELL COMERCIO E SERVICOS DE TELECOMUNICACOES LTDA</v>
      </c>
      <c r="K2153" s="14">
        <f>IF(IFERROR(_xlfn.XLOOKUP(B2153,Planilha2!D:D,Planilha2!H:H),0)="SIM",1,0)</f>
        <v>0</v>
      </c>
      <c r="L2153" s="14" t="str">
        <f>_xlfn.XLOOKUP(B2153,CAD_PDV!A:A,CAD_PDV!C:C)</f>
        <v>RJ/ES</v>
      </c>
      <c r="M2153" s="14" t="str">
        <f>IFERROR(_xlfn.XLOOKUP(B2153,repete!A:A,repete!A:A),"-")</f>
        <v>-</v>
      </c>
    </row>
    <row r="2154" spans="1:13" hidden="1">
      <c r="A2154" s="1">
        <v>46204</v>
      </c>
      <c r="B2154" t="s">
        <v>1723</v>
      </c>
      <c r="C2154" t="s">
        <v>1451</v>
      </c>
      <c r="D2154" t="s">
        <v>232</v>
      </c>
      <c r="E2154" t="s">
        <v>54</v>
      </c>
      <c r="F2154">
        <v>139</v>
      </c>
      <c r="G2154">
        <v>21</v>
      </c>
      <c r="H2154">
        <v>4.1824337781318499E-3</v>
      </c>
      <c r="I2154">
        <v>0.15107913669064699</v>
      </c>
      <c r="J2154" s="14" t="str">
        <f>_xlfn.XLOOKUP(B2154,CAD_PDV!A:A,CAD_PDV!B:B)</f>
        <v>HS TELECOM</v>
      </c>
      <c r="K2154" s="14">
        <f>IF(IFERROR(_xlfn.XLOOKUP(B2154,Planilha2!D:D,Planilha2!H:H),0)="SIM",1,0)</f>
        <v>0</v>
      </c>
      <c r="L2154" s="14" t="str">
        <f>_xlfn.XLOOKUP(B2154,CAD_PDV!A:A,CAD_PDV!C:C)</f>
        <v>SP2</v>
      </c>
      <c r="M2154" s="14" t="str">
        <f>IFERROR(_xlfn.XLOOKUP(B2154,repete!A:A,repete!A:A),"-")</f>
        <v>-</v>
      </c>
    </row>
    <row r="2155" spans="1:13" hidden="1">
      <c r="A2155" s="1">
        <v>46204</v>
      </c>
      <c r="B2155" t="s">
        <v>1353</v>
      </c>
      <c r="C2155" t="s">
        <v>1313</v>
      </c>
      <c r="D2155" t="s">
        <v>132</v>
      </c>
      <c r="E2155" t="s">
        <v>53</v>
      </c>
      <c r="F2155">
        <v>95</v>
      </c>
      <c r="G2155">
        <v>20</v>
      </c>
      <c r="H2155">
        <v>3.9832702648874702E-3</v>
      </c>
      <c r="I2155">
        <v>0.21052631578947401</v>
      </c>
      <c r="J2155" s="14" t="str">
        <f>_xlfn.XLOOKUP(B2155,CAD_PDV!A:A,CAD_PDV!B:B)</f>
        <v>FLEX CELL</v>
      </c>
      <c r="K2155" s="14">
        <f>IF(IFERROR(_xlfn.XLOOKUP(B2155,Planilha2!D:D,Planilha2!H:H),0)="SIM",1,0)</f>
        <v>0</v>
      </c>
      <c r="L2155" s="14" t="str">
        <f>_xlfn.XLOOKUP(B2155,CAD_PDV!A:A,CAD_PDV!C:C)</f>
        <v>SP1</v>
      </c>
      <c r="M2155" s="14" t="str">
        <f>IFERROR(_xlfn.XLOOKUP(B2155,repete!A:A,repete!A:A),"-")</f>
        <v>-</v>
      </c>
    </row>
    <row r="2156" spans="1:13" hidden="1">
      <c r="A2156" s="1">
        <v>46204</v>
      </c>
      <c r="B2156" t="s">
        <v>1465</v>
      </c>
      <c r="C2156" t="s">
        <v>1466</v>
      </c>
      <c r="D2156" t="s">
        <v>119</v>
      </c>
      <c r="E2156" t="s">
        <v>54</v>
      </c>
      <c r="F2156">
        <v>39</v>
      </c>
      <c r="G2156">
        <v>20</v>
      </c>
      <c r="H2156">
        <v>3.9832702648874702E-3</v>
      </c>
      <c r="I2156">
        <v>0.512820512820513</v>
      </c>
      <c r="J2156" s="14" t="str">
        <f>_xlfn.XLOOKUP(B2156,CAD_PDV!A:A,CAD_PDV!B:B)</f>
        <v>DOM BARRETO COMERCIAL LTDA - ME</v>
      </c>
      <c r="K2156" s="14">
        <f>IF(IFERROR(_xlfn.XLOOKUP(B2156,Planilha2!D:D,Planilha2!H:H),0)="SIM",1,0)</f>
        <v>0</v>
      </c>
      <c r="L2156" s="14" t="str">
        <f>_xlfn.XLOOKUP(B2156,CAD_PDV!A:A,CAD_PDV!C:C)</f>
        <v>SP2</v>
      </c>
      <c r="M2156" s="14" t="str">
        <f>IFERROR(_xlfn.XLOOKUP(B2156,repete!A:A,repete!A:A),"-")</f>
        <v>-</v>
      </c>
    </row>
    <row r="2157" spans="1:13" hidden="1">
      <c r="A2157" s="1">
        <v>46204</v>
      </c>
      <c r="B2157" t="s">
        <v>262</v>
      </c>
      <c r="C2157" t="s">
        <v>265</v>
      </c>
      <c r="D2157" t="s">
        <v>230</v>
      </c>
      <c r="E2157" t="s">
        <v>61</v>
      </c>
      <c r="F2157">
        <v>79</v>
      </c>
      <c r="G2157">
        <v>20</v>
      </c>
      <c r="H2157">
        <v>3.9832702648874702E-3</v>
      </c>
      <c r="I2157">
        <v>0.253164556962025</v>
      </c>
      <c r="J2157" s="14" t="str">
        <f>_xlfn.XLOOKUP(B2157,CAD_PDV!A:A,CAD_PDV!B:B)</f>
        <v>HARCOS COMERCIO E SERVICOS LTDA - EPP</v>
      </c>
      <c r="K2157" s="14">
        <f>IF(IFERROR(_xlfn.XLOOKUP(B2157,Planilha2!D:D,Planilha2!H:H),0)="SIM",1,0)</f>
        <v>0</v>
      </c>
      <c r="L2157" s="14" t="str">
        <f>_xlfn.XLOOKUP(B2157,CAD_PDV!A:A,CAD_PDV!C:C)</f>
        <v>NE</v>
      </c>
      <c r="M2157" s="14" t="str">
        <f>IFERROR(_xlfn.XLOOKUP(B2157,repete!A:A,repete!A:A),"-")</f>
        <v>-</v>
      </c>
    </row>
    <row r="2158" spans="1:13" hidden="1">
      <c r="A2158" s="1">
        <v>46204</v>
      </c>
      <c r="B2158" t="s">
        <v>280</v>
      </c>
      <c r="C2158" t="s">
        <v>265</v>
      </c>
      <c r="D2158" t="s">
        <v>230</v>
      </c>
      <c r="E2158" t="s">
        <v>61</v>
      </c>
      <c r="F2158">
        <v>177</v>
      </c>
      <c r="G2158">
        <v>20</v>
      </c>
      <c r="H2158">
        <v>3.9832702648874702E-3</v>
      </c>
      <c r="I2158">
        <v>0.112994350282486</v>
      </c>
      <c r="J2158" s="14" t="str">
        <f>_xlfn.XLOOKUP(B2158,CAD_PDV!A:A,CAD_PDV!B:B)</f>
        <v>HARCOS COMERCIO E SERVICOS LTDA - EPP</v>
      </c>
      <c r="K2158" s="14">
        <f>IF(IFERROR(_xlfn.XLOOKUP(B2158,Planilha2!D:D,Planilha2!H:H),0)="SIM",1,0)</f>
        <v>0</v>
      </c>
      <c r="L2158" s="14" t="str">
        <f>_xlfn.XLOOKUP(B2158,CAD_PDV!A:A,CAD_PDV!C:C)</f>
        <v>NE</v>
      </c>
      <c r="M2158" s="14" t="str">
        <f>IFERROR(_xlfn.XLOOKUP(B2158,repete!A:A,repete!A:A),"-")</f>
        <v>-</v>
      </c>
    </row>
    <row r="2159" spans="1:13" hidden="1">
      <c r="A2159" s="1">
        <v>46204</v>
      </c>
      <c r="B2159" t="s">
        <v>1670</v>
      </c>
      <c r="C2159" t="s">
        <v>1671</v>
      </c>
      <c r="D2159" t="s">
        <v>232</v>
      </c>
      <c r="E2159" t="s">
        <v>54</v>
      </c>
      <c r="F2159">
        <v>84</v>
      </c>
      <c r="G2159">
        <v>20</v>
      </c>
      <c r="H2159">
        <v>3.9832702648874702E-3</v>
      </c>
      <c r="I2159">
        <v>0.238095238095238</v>
      </c>
      <c r="J2159" s="14" t="str">
        <f>_xlfn.XLOOKUP(B2159,CAD_PDV!A:A,CAD_PDV!B:B)</f>
        <v>HS TELECOM</v>
      </c>
      <c r="K2159" s="14">
        <f>IF(IFERROR(_xlfn.XLOOKUP(B2159,Planilha2!D:D,Planilha2!H:H),0)="SIM",1,0)</f>
        <v>0</v>
      </c>
      <c r="L2159" s="14" t="str">
        <f>_xlfn.XLOOKUP(B2159,CAD_PDV!A:A,CAD_PDV!C:C)</f>
        <v>SP2</v>
      </c>
      <c r="M2159" s="14" t="str">
        <f>IFERROR(_xlfn.XLOOKUP(B2159,repete!A:A,repete!A:A),"-")</f>
        <v>-</v>
      </c>
    </row>
    <row r="2160" spans="1:13" hidden="1">
      <c r="A2160" s="1">
        <v>46204</v>
      </c>
      <c r="B2160" t="s">
        <v>1736</v>
      </c>
      <c r="C2160" t="s">
        <v>1523</v>
      </c>
      <c r="D2160" t="s">
        <v>232</v>
      </c>
      <c r="E2160" t="s">
        <v>54</v>
      </c>
      <c r="F2160">
        <v>75</v>
      </c>
      <c r="G2160">
        <v>20</v>
      </c>
      <c r="H2160">
        <v>3.9832702648874702E-3</v>
      </c>
      <c r="I2160">
        <v>0.266666666666667</v>
      </c>
      <c r="J2160" s="14" t="str">
        <f>_xlfn.XLOOKUP(B2160,CAD_PDV!A:A,CAD_PDV!B:B)</f>
        <v>HS TELECOM</v>
      </c>
      <c r="K2160" s="14">
        <f>IF(IFERROR(_xlfn.XLOOKUP(B2160,Planilha2!D:D,Planilha2!H:H),0)="SIM",1,0)</f>
        <v>0</v>
      </c>
      <c r="L2160" s="14" t="str">
        <f>_xlfn.XLOOKUP(B2160,CAD_PDV!A:A,CAD_PDV!C:C)</f>
        <v>SP2</v>
      </c>
      <c r="M2160" s="14" t="str">
        <f>IFERROR(_xlfn.XLOOKUP(B2160,repete!A:A,repete!A:A),"-")</f>
        <v>-</v>
      </c>
    </row>
    <row r="2161" spans="1:13" hidden="1">
      <c r="A2161" s="1">
        <v>46204</v>
      </c>
      <c r="B2161" t="s">
        <v>1481</v>
      </c>
      <c r="C2161" t="s">
        <v>1482</v>
      </c>
      <c r="D2161" t="s">
        <v>232</v>
      </c>
      <c r="E2161" t="s">
        <v>54</v>
      </c>
      <c r="F2161">
        <v>56</v>
      </c>
      <c r="G2161">
        <v>19</v>
      </c>
      <c r="H2161">
        <v>3.7841067516430999E-3</v>
      </c>
      <c r="I2161">
        <v>0.33928571428571402</v>
      </c>
      <c r="J2161" s="14" t="str">
        <f>_xlfn.XLOOKUP(B2161,CAD_PDV!A:A,CAD_PDV!B:B)</f>
        <v>HS TELECOM</v>
      </c>
      <c r="K2161" s="14">
        <f>IF(IFERROR(_xlfn.XLOOKUP(B2161,Planilha2!D:D,Planilha2!H:H),0)="SIM",1,0)</f>
        <v>0</v>
      </c>
      <c r="L2161" s="14" t="str">
        <f>_xlfn.XLOOKUP(B2161,CAD_PDV!A:A,CAD_PDV!C:C)</f>
        <v>SP2</v>
      </c>
      <c r="M2161" s="14" t="str">
        <f>IFERROR(_xlfn.XLOOKUP(B2161,repete!A:A,repete!A:A),"-")</f>
        <v>-</v>
      </c>
    </row>
    <row r="2162" spans="1:13" hidden="1">
      <c r="A2162" s="1">
        <v>46204</v>
      </c>
      <c r="B2162" t="s">
        <v>1560</v>
      </c>
      <c r="C2162" t="s">
        <v>1561</v>
      </c>
      <c r="D2162" t="s">
        <v>232</v>
      </c>
      <c r="E2162" t="s">
        <v>54</v>
      </c>
      <c r="F2162">
        <v>56</v>
      </c>
      <c r="G2162">
        <v>19</v>
      </c>
      <c r="H2162">
        <v>3.7841067516430999E-3</v>
      </c>
      <c r="I2162">
        <v>0.33928571428571402</v>
      </c>
      <c r="J2162" s="14" t="str">
        <f>_xlfn.XLOOKUP(B2162,CAD_PDV!A:A,CAD_PDV!B:B)</f>
        <v>HS TELECOM</v>
      </c>
      <c r="K2162" s="14">
        <f>IF(IFERROR(_xlfn.XLOOKUP(B2162,Planilha2!D:D,Planilha2!H:H),0)="SIM",1,0)</f>
        <v>0</v>
      </c>
      <c r="L2162" s="14" t="str">
        <f>_xlfn.XLOOKUP(B2162,CAD_PDV!A:A,CAD_PDV!C:C)</f>
        <v>SP2</v>
      </c>
      <c r="M2162" s="14" t="str">
        <f>IFERROR(_xlfn.XLOOKUP(B2162,repete!A:A,repete!A:A),"-")</f>
        <v>-</v>
      </c>
    </row>
    <row r="2163" spans="1:13" hidden="1">
      <c r="A2163" s="1">
        <v>46204</v>
      </c>
      <c r="B2163" t="s">
        <v>906</v>
      </c>
      <c r="C2163" t="s">
        <v>902</v>
      </c>
      <c r="D2163" t="s">
        <v>215</v>
      </c>
      <c r="E2163" t="s">
        <v>59</v>
      </c>
      <c r="F2163">
        <v>138</v>
      </c>
      <c r="G2163">
        <v>19</v>
      </c>
      <c r="H2163">
        <v>3.7841067516430999E-3</v>
      </c>
      <c r="I2163">
        <v>0.13768115942028999</v>
      </c>
      <c r="J2163" s="14" t="str">
        <f>_xlfn.XLOOKUP(B2163,CAD_PDV!A:A,CAD_PDV!B:B)</f>
        <v>VIA SALLUS</v>
      </c>
      <c r="K2163" s="14">
        <f>IF(IFERROR(_xlfn.XLOOKUP(B2163,Planilha2!D:D,Planilha2!H:H),0)="SIM",1,0)</f>
        <v>0</v>
      </c>
      <c r="L2163" s="14" t="str">
        <f>_xlfn.XLOOKUP(B2163,CAD_PDV!A:A,CAD_PDV!C:C)</f>
        <v>CO</v>
      </c>
      <c r="M2163" s="14" t="str">
        <f>IFERROR(_xlfn.XLOOKUP(B2163,repete!A:A,repete!A:A),"-")</f>
        <v>-</v>
      </c>
    </row>
    <row r="2164" spans="1:13" hidden="1">
      <c r="A2164" s="1">
        <v>46204</v>
      </c>
      <c r="B2164" t="s">
        <v>963</v>
      </c>
      <c r="C2164" t="s">
        <v>944</v>
      </c>
      <c r="D2164" t="s">
        <v>232</v>
      </c>
      <c r="E2164" t="s">
        <v>60</v>
      </c>
      <c r="F2164">
        <v>101</v>
      </c>
      <c r="G2164">
        <v>19</v>
      </c>
      <c r="H2164">
        <v>3.7841067516430999E-3</v>
      </c>
      <c r="I2164">
        <v>0.18811881188118801</v>
      </c>
      <c r="J2164" s="14" t="str">
        <f>_xlfn.XLOOKUP(B2164,CAD_PDV!A:A,CAD_PDV!B:B)</f>
        <v>HS TELECOM</v>
      </c>
      <c r="K2164" s="14">
        <f>IF(IFERROR(_xlfn.XLOOKUP(B2164,Planilha2!D:D,Planilha2!H:H),0)="SIM",1,0)</f>
        <v>0</v>
      </c>
      <c r="L2164" s="14" t="str">
        <f>_xlfn.XLOOKUP(B2164,CAD_PDV!A:A,CAD_PDV!C:C)</f>
        <v>BA/SE</v>
      </c>
      <c r="M2164" s="14" t="str">
        <f>IFERROR(_xlfn.XLOOKUP(B2164,repete!A:A,repete!A:A),"-")</f>
        <v>-</v>
      </c>
    </row>
    <row r="2165" spans="1:13" hidden="1">
      <c r="A2165" s="1">
        <v>46204</v>
      </c>
      <c r="B2165" t="s">
        <v>1285</v>
      </c>
      <c r="C2165" t="s">
        <v>1142</v>
      </c>
      <c r="D2165" t="s">
        <v>237</v>
      </c>
      <c r="E2165" t="s">
        <v>55</v>
      </c>
      <c r="F2165">
        <v>58</v>
      </c>
      <c r="G2165">
        <v>18</v>
      </c>
      <c r="H2165">
        <v>3.5849432383987302E-3</v>
      </c>
      <c r="I2165">
        <v>0.31034482758620702</v>
      </c>
      <c r="J2165" s="14" t="str">
        <f>_xlfn.XLOOKUP(B2165,CAD_PDV!A:A,CAD_PDV!B:B)</f>
        <v>PONTO CERTO COMERCIO E COMUNICAÇÕES LTDA</v>
      </c>
      <c r="K2165" s="14">
        <f>IF(IFERROR(_xlfn.XLOOKUP(B2165,Planilha2!D:D,Planilha2!H:H),0)="SIM",1,0)</f>
        <v>0</v>
      </c>
      <c r="L2165" s="14" t="str">
        <f>_xlfn.XLOOKUP(B2165,CAD_PDV!A:A,CAD_PDV!C:C)</f>
        <v>RJ/ES</v>
      </c>
      <c r="M2165" s="14" t="str">
        <f>IFERROR(_xlfn.XLOOKUP(B2165,repete!A:A,repete!A:A),"-")</f>
        <v>-</v>
      </c>
    </row>
    <row r="2166" spans="1:13" hidden="1">
      <c r="A2166" s="1">
        <v>46204</v>
      </c>
      <c r="B2166" t="s">
        <v>746</v>
      </c>
      <c r="C2166" t="s">
        <v>610</v>
      </c>
      <c r="D2166" t="s">
        <v>224</v>
      </c>
      <c r="E2166" t="s">
        <v>59</v>
      </c>
      <c r="F2166">
        <v>114</v>
      </c>
      <c r="G2166">
        <v>18</v>
      </c>
      <c r="H2166">
        <v>3.5849432383987302E-3</v>
      </c>
      <c r="I2166">
        <v>0.157894736842105</v>
      </c>
      <c r="J2166" s="14" t="str">
        <f>_xlfn.XLOOKUP(B2166,CAD_PDV!A:A,CAD_PDV!B:B)</f>
        <v>CELNET COMERCIO E SERVICOS DE TELEFONIA LTDA ME</v>
      </c>
      <c r="K2166" s="14">
        <f>IF(IFERROR(_xlfn.XLOOKUP(B2166,Planilha2!D:D,Planilha2!H:H),0)="SIM",1,0)</f>
        <v>0</v>
      </c>
      <c r="L2166" s="14" t="str">
        <f>_xlfn.XLOOKUP(B2166,CAD_PDV!A:A,CAD_PDV!C:C)</f>
        <v>CO</v>
      </c>
      <c r="M2166" s="14" t="str">
        <f>IFERROR(_xlfn.XLOOKUP(B2166,repete!A:A,repete!A:A),"-")</f>
        <v>-</v>
      </c>
    </row>
    <row r="2167" spans="1:13" hidden="1">
      <c r="A2167" s="1">
        <v>46204</v>
      </c>
      <c r="B2167" t="s">
        <v>1641</v>
      </c>
      <c r="C2167" t="s">
        <v>1616</v>
      </c>
      <c r="D2167" t="s">
        <v>132</v>
      </c>
      <c r="E2167" t="s">
        <v>54</v>
      </c>
      <c r="F2167">
        <v>59</v>
      </c>
      <c r="G2167">
        <v>18</v>
      </c>
      <c r="H2167">
        <v>3.5849432383987302E-3</v>
      </c>
      <c r="I2167">
        <v>0.305084745762712</v>
      </c>
      <c r="J2167" s="14" t="str">
        <f>_xlfn.XLOOKUP(B2167,CAD_PDV!A:A,CAD_PDV!B:B)</f>
        <v>FLEX CELL</v>
      </c>
      <c r="K2167" s="14">
        <f>IF(IFERROR(_xlfn.XLOOKUP(B2167,Planilha2!D:D,Planilha2!H:H),0)="SIM",1,0)</f>
        <v>0</v>
      </c>
      <c r="L2167" s="14" t="str">
        <f>_xlfn.XLOOKUP(B2167,CAD_PDV!A:A,CAD_PDV!C:C)</f>
        <v>SP2</v>
      </c>
      <c r="M2167" s="14" t="str">
        <f>IFERROR(_xlfn.XLOOKUP(B2167,repete!A:A,repete!A:A),"-")</f>
        <v>-</v>
      </c>
    </row>
    <row r="2168" spans="1:13" hidden="1">
      <c r="A2168" s="1">
        <v>46204</v>
      </c>
      <c r="B2168" t="s">
        <v>375</v>
      </c>
      <c r="C2168" t="s">
        <v>376</v>
      </c>
      <c r="D2168" t="s">
        <v>230</v>
      </c>
      <c r="E2168" t="s">
        <v>61</v>
      </c>
      <c r="F2168">
        <v>48</v>
      </c>
      <c r="G2168">
        <v>18</v>
      </c>
      <c r="H2168">
        <v>3.5849432383987302E-3</v>
      </c>
      <c r="I2168">
        <v>0.375</v>
      </c>
      <c r="J2168" s="14" t="str">
        <f>_xlfn.XLOOKUP(B2168,CAD_PDV!A:A,CAD_PDV!B:B)</f>
        <v>HARCOS COMERCIO E SERVICOS LTDA - EPP</v>
      </c>
      <c r="K2168" s="14">
        <f>IF(IFERROR(_xlfn.XLOOKUP(B2168,Planilha2!D:D,Planilha2!H:H),0)="SIM",1,0)</f>
        <v>0</v>
      </c>
      <c r="L2168" s="14" t="str">
        <f>_xlfn.XLOOKUP(B2168,CAD_PDV!A:A,CAD_PDV!C:C)</f>
        <v>NE</v>
      </c>
      <c r="M2168" s="14" t="str">
        <f>IFERROR(_xlfn.XLOOKUP(B2168,repete!A:A,repete!A:A),"-")</f>
        <v>-</v>
      </c>
    </row>
    <row r="2169" spans="1:13" hidden="1">
      <c r="A2169" s="1">
        <v>46204</v>
      </c>
      <c r="B2169" t="s">
        <v>1338</v>
      </c>
      <c r="C2169" t="s">
        <v>1313</v>
      </c>
      <c r="D2169" t="s">
        <v>225</v>
      </c>
      <c r="E2169" t="s">
        <v>53</v>
      </c>
      <c r="F2169">
        <v>70</v>
      </c>
      <c r="G2169">
        <v>17</v>
      </c>
      <c r="H2169">
        <v>3.38577972515435E-3</v>
      </c>
      <c r="I2169">
        <v>0.24285714285714299</v>
      </c>
      <c r="J2169" s="14" t="str">
        <f>_xlfn.XLOOKUP(B2169,CAD_PDV!A:A,CAD_PDV!B:B)</f>
        <v>CLARICELL SP1</v>
      </c>
      <c r="K2169" s="14">
        <f>IF(IFERROR(_xlfn.XLOOKUP(B2169,Planilha2!D:D,Planilha2!H:H),0)="SIM",1,0)</f>
        <v>0</v>
      </c>
      <c r="L2169" s="14" t="str">
        <f>_xlfn.XLOOKUP(B2169,CAD_PDV!A:A,CAD_PDV!C:C)</f>
        <v>SP1</v>
      </c>
      <c r="M2169" s="14" t="str">
        <f>IFERROR(_xlfn.XLOOKUP(B2169,repete!A:A,repete!A:A),"-")</f>
        <v>-</v>
      </c>
    </row>
    <row r="2170" spans="1:13" hidden="1">
      <c r="A2170" s="1">
        <v>46204</v>
      </c>
      <c r="B2170" t="s">
        <v>1673</v>
      </c>
      <c r="C2170" t="s">
        <v>1545</v>
      </c>
      <c r="D2170" t="s">
        <v>232</v>
      </c>
      <c r="E2170" t="s">
        <v>54</v>
      </c>
      <c r="F2170">
        <v>75</v>
      </c>
      <c r="G2170">
        <v>17</v>
      </c>
      <c r="H2170">
        <v>3.38577972515435E-3</v>
      </c>
      <c r="I2170">
        <v>0.22666666666666699</v>
      </c>
      <c r="J2170" s="14" t="str">
        <f>_xlfn.XLOOKUP(B2170,CAD_PDV!A:A,CAD_PDV!B:B)</f>
        <v>HS TELECOM</v>
      </c>
      <c r="K2170" s="14">
        <f>IF(IFERROR(_xlfn.XLOOKUP(B2170,Planilha2!D:D,Planilha2!H:H),0)="SIM",1,0)</f>
        <v>0</v>
      </c>
      <c r="L2170" s="14" t="str">
        <f>_xlfn.XLOOKUP(B2170,CAD_PDV!A:A,CAD_PDV!C:C)</f>
        <v>SP2</v>
      </c>
      <c r="M2170" s="14" t="str">
        <f>IFERROR(_xlfn.XLOOKUP(B2170,repete!A:A,repete!A:A),"-")</f>
        <v>-</v>
      </c>
    </row>
    <row r="2171" spans="1:13" hidden="1">
      <c r="A2171" s="1">
        <v>46204</v>
      </c>
      <c r="B2171" t="s">
        <v>856</v>
      </c>
      <c r="C2171" t="s">
        <v>855</v>
      </c>
      <c r="D2171" t="s">
        <v>2073</v>
      </c>
      <c r="E2171" t="s">
        <v>59</v>
      </c>
      <c r="F2171">
        <v>62</v>
      </c>
      <c r="G2171">
        <v>17</v>
      </c>
      <c r="H2171">
        <v>3.38577972515435E-3</v>
      </c>
      <c r="I2171">
        <v>0.27419354838709697</v>
      </c>
      <c r="J2171" s="14" t="str">
        <f>_xlfn.XLOOKUP(B2171,CAD_PDV!A:A,CAD_PDV!B:B)</f>
        <v xml:space="preserve">CONTACOM COMERCIO DE APARELHOS ELETRONICOS LTDA </v>
      </c>
      <c r="K2171" s="14">
        <f>IF(IFERROR(_xlfn.XLOOKUP(B2171,Planilha2!D:D,Planilha2!H:H),0)="SIM",1,0)</f>
        <v>0</v>
      </c>
      <c r="L2171" s="14" t="str">
        <f>_xlfn.XLOOKUP(B2171,CAD_PDV!A:A,CAD_PDV!C:C)</f>
        <v>CO</v>
      </c>
      <c r="M2171" s="14" t="str">
        <f>IFERROR(_xlfn.XLOOKUP(B2171,repete!A:A,repete!A:A),"-")</f>
        <v>-</v>
      </c>
    </row>
    <row r="2172" spans="1:13" hidden="1">
      <c r="A2172" s="1">
        <v>46204</v>
      </c>
      <c r="B2172" t="s">
        <v>1257</v>
      </c>
      <c r="C2172" t="s">
        <v>1255</v>
      </c>
      <c r="D2172" t="s">
        <v>228</v>
      </c>
      <c r="E2172" t="s">
        <v>55</v>
      </c>
      <c r="F2172">
        <v>37</v>
      </c>
      <c r="G2172">
        <v>17</v>
      </c>
      <c r="H2172">
        <v>3.38577972515435E-3</v>
      </c>
      <c r="I2172">
        <v>0.45945945945945899</v>
      </c>
      <c r="J2172" s="14" t="str">
        <f>_xlfn.XLOOKUP(B2172,CAD_PDV!A:A,CAD_PDV!B:B)</f>
        <v>FAJULUTI</v>
      </c>
      <c r="K2172" s="14">
        <f>IF(IFERROR(_xlfn.XLOOKUP(B2172,Planilha2!D:D,Planilha2!H:H),0)="SIM",1,0)</f>
        <v>0</v>
      </c>
      <c r="L2172" s="14" t="str">
        <f>_xlfn.XLOOKUP(B2172,CAD_PDV!A:A,CAD_PDV!C:C)</f>
        <v>RJ/ES</v>
      </c>
      <c r="M2172" s="14" t="str">
        <f>IFERROR(_xlfn.XLOOKUP(B2172,repete!A:A,repete!A:A),"-")</f>
        <v>-</v>
      </c>
    </row>
    <row r="2173" spans="1:13" hidden="1">
      <c r="A2173" s="1">
        <v>46204</v>
      </c>
      <c r="B2173" t="s">
        <v>1368</v>
      </c>
      <c r="C2173" t="s">
        <v>1357</v>
      </c>
      <c r="D2173" t="s">
        <v>132</v>
      </c>
      <c r="E2173" t="s">
        <v>53</v>
      </c>
      <c r="F2173">
        <v>108</v>
      </c>
      <c r="G2173">
        <v>17</v>
      </c>
      <c r="H2173">
        <v>3.38577972515435E-3</v>
      </c>
      <c r="I2173">
        <v>0.157407407407407</v>
      </c>
      <c r="J2173" s="14" t="str">
        <f>_xlfn.XLOOKUP(B2173,CAD_PDV!A:A,CAD_PDV!B:B)</f>
        <v>FLEX CELL</v>
      </c>
      <c r="K2173" s="14">
        <f>IF(IFERROR(_xlfn.XLOOKUP(B2173,Planilha2!D:D,Planilha2!H:H),0)="SIM",1,0)</f>
        <v>0</v>
      </c>
      <c r="L2173" s="14" t="str">
        <f>_xlfn.XLOOKUP(B2173,CAD_PDV!A:A,CAD_PDV!C:C)</f>
        <v>SP1</v>
      </c>
      <c r="M2173" s="14" t="str">
        <f>IFERROR(_xlfn.XLOOKUP(B2173,repete!A:A,repete!A:A),"-")</f>
        <v>-</v>
      </c>
    </row>
    <row r="2174" spans="1:13" hidden="1">
      <c r="A2174" s="1">
        <v>46204</v>
      </c>
      <c r="B2174" t="s">
        <v>617</v>
      </c>
      <c r="C2174" t="s">
        <v>616</v>
      </c>
      <c r="D2174" t="s">
        <v>239</v>
      </c>
      <c r="E2174" t="s">
        <v>59</v>
      </c>
      <c r="F2174">
        <v>58</v>
      </c>
      <c r="G2174">
        <v>17</v>
      </c>
      <c r="H2174">
        <v>3.38577972515435E-3</v>
      </c>
      <c r="I2174">
        <v>0.29310344827586199</v>
      </c>
      <c r="J2174" s="14" t="str">
        <f>_xlfn.XLOOKUP(B2174,CAD_PDV!A:A,CAD_PDV!B:B)</f>
        <v>TELECELL TELEFONIA LTDA - ME</v>
      </c>
      <c r="K2174" s="14">
        <f>IF(IFERROR(_xlfn.XLOOKUP(B2174,Planilha2!D:D,Planilha2!H:H),0)="SIM",1,0)</f>
        <v>0</v>
      </c>
      <c r="L2174" s="14" t="str">
        <f>_xlfn.XLOOKUP(B2174,CAD_PDV!A:A,CAD_PDV!C:C)</f>
        <v>CO</v>
      </c>
      <c r="M2174" s="14" t="str">
        <f>IFERROR(_xlfn.XLOOKUP(B2174,repete!A:A,repete!A:A),"-")</f>
        <v>-</v>
      </c>
    </row>
    <row r="2175" spans="1:13" hidden="1">
      <c r="A2175" s="1">
        <v>46204</v>
      </c>
      <c r="B2175" t="s">
        <v>693</v>
      </c>
      <c r="C2175" t="s">
        <v>694</v>
      </c>
      <c r="D2175" t="s">
        <v>239</v>
      </c>
      <c r="E2175" t="s">
        <v>59</v>
      </c>
      <c r="F2175">
        <v>43</v>
      </c>
      <c r="G2175">
        <v>16</v>
      </c>
      <c r="H2175">
        <v>3.1866162119099802E-3</v>
      </c>
      <c r="I2175">
        <v>0.372093023255814</v>
      </c>
      <c r="J2175" s="14" t="str">
        <f>_xlfn.XLOOKUP(B2175,CAD_PDV!A:A,CAD_PDV!B:B)</f>
        <v>TELECELL TELEFONIA LTDA - ME</v>
      </c>
      <c r="K2175" s="14">
        <f>IF(IFERROR(_xlfn.XLOOKUP(B2175,Planilha2!D:D,Planilha2!H:H),0)="SIM",1,0)</f>
        <v>0</v>
      </c>
      <c r="L2175" s="14" t="str">
        <f>_xlfn.XLOOKUP(B2175,CAD_PDV!A:A,CAD_PDV!C:C)</f>
        <v>CO</v>
      </c>
      <c r="M2175" s="14" t="str">
        <f>IFERROR(_xlfn.XLOOKUP(B2175,repete!A:A,repete!A:A),"-")</f>
        <v>-</v>
      </c>
    </row>
    <row r="2176" spans="1:13" hidden="1">
      <c r="A2176" s="1">
        <v>46204</v>
      </c>
      <c r="B2176" t="s">
        <v>1216</v>
      </c>
      <c r="C2176" t="s">
        <v>1182</v>
      </c>
      <c r="D2176" t="s">
        <v>228</v>
      </c>
      <c r="E2176" t="s">
        <v>55</v>
      </c>
      <c r="F2176">
        <v>126</v>
      </c>
      <c r="G2176">
        <v>16</v>
      </c>
      <c r="H2176">
        <v>3.1866162119099802E-3</v>
      </c>
      <c r="I2176">
        <v>0.126984126984127</v>
      </c>
      <c r="J2176" s="14" t="str">
        <f>_xlfn.XLOOKUP(B2176,CAD_PDV!A:A,CAD_PDV!B:B)</f>
        <v>FAJULUTI</v>
      </c>
      <c r="K2176" s="14">
        <f>IF(IFERROR(_xlfn.XLOOKUP(B2176,Planilha2!D:D,Planilha2!H:H),0)="SIM",1,0)</f>
        <v>0</v>
      </c>
      <c r="L2176" s="14" t="str">
        <f>_xlfn.XLOOKUP(B2176,CAD_PDV!A:A,CAD_PDV!C:C)</f>
        <v>RJ/ES</v>
      </c>
      <c r="M2176" s="14" t="str">
        <f>IFERROR(_xlfn.XLOOKUP(B2176,repete!A:A,repete!A:A),"-")</f>
        <v>-</v>
      </c>
    </row>
    <row r="2177" spans="1:13" hidden="1">
      <c r="A2177" s="1">
        <v>46204</v>
      </c>
      <c r="B2177" t="s">
        <v>1564</v>
      </c>
      <c r="C2177" t="s">
        <v>1566</v>
      </c>
      <c r="D2177" t="s">
        <v>232</v>
      </c>
      <c r="E2177" t="s">
        <v>54</v>
      </c>
      <c r="F2177">
        <v>41</v>
      </c>
      <c r="G2177">
        <v>16</v>
      </c>
      <c r="H2177">
        <v>3.1866162119099802E-3</v>
      </c>
      <c r="I2177">
        <v>0.39024390243902402</v>
      </c>
      <c r="J2177" s="14" t="str">
        <f>_xlfn.XLOOKUP(B2177,CAD_PDV!A:A,CAD_PDV!B:B)</f>
        <v>HS TELECOM</v>
      </c>
      <c r="K2177" s="14">
        <f>IF(IFERROR(_xlfn.XLOOKUP(B2177,Planilha2!D:D,Planilha2!H:H),0)="SIM",1,0)</f>
        <v>0</v>
      </c>
      <c r="L2177" s="14" t="str">
        <f>_xlfn.XLOOKUP(B2177,CAD_PDV!A:A,CAD_PDV!C:C)</f>
        <v>SP2</v>
      </c>
      <c r="M2177" s="14" t="str">
        <f>IFERROR(_xlfn.XLOOKUP(B2177,repete!A:A,repete!A:A),"-")</f>
        <v>-</v>
      </c>
    </row>
    <row r="2178" spans="1:13" hidden="1">
      <c r="A2178" s="1">
        <v>46204</v>
      </c>
      <c r="B2178" t="s">
        <v>277</v>
      </c>
      <c r="C2178" t="s">
        <v>261</v>
      </c>
      <c r="D2178" t="s">
        <v>238</v>
      </c>
      <c r="E2178" t="s">
        <v>61</v>
      </c>
      <c r="F2178">
        <v>122</v>
      </c>
      <c r="G2178">
        <v>16</v>
      </c>
      <c r="H2178">
        <v>3.1866162119099802E-3</v>
      </c>
      <c r="I2178">
        <v>0.13114754098360701</v>
      </c>
      <c r="J2178" s="14" t="str">
        <f>_xlfn.XLOOKUP(B2178,CAD_PDV!A:A,CAD_PDV!B:B)</f>
        <v>R &amp; R HIPER COMERCIO LTDA</v>
      </c>
      <c r="K2178" s="14">
        <f>IF(IFERROR(_xlfn.XLOOKUP(B2178,Planilha2!D:D,Planilha2!H:H),0)="SIM",1,0)</f>
        <v>0</v>
      </c>
      <c r="L2178" s="14" t="str">
        <f>_xlfn.XLOOKUP(B2178,CAD_PDV!A:A,CAD_PDV!C:C)</f>
        <v>NE</v>
      </c>
      <c r="M2178" s="14" t="str">
        <f>IFERROR(_xlfn.XLOOKUP(B2178,repete!A:A,repete!A:A),"-")</f>
        <v>-</v>
      </c>
    </row>
    <row r="2179" spans="1:13" hidden="1">
      <c r="A2179" s="1">
        <v>46204</v>
      </c>
      <c r="B2179" t="s">
        <v>1646</v>
      </c>
      <c r="C2179" t="s">
        <v>1535</v>
      </c>
      <c r="D2179" t="s">
        <v>232</v>
      </c>
      <c r="E2179" t="s">
        <v>54</v>
      </c>
      <c r="F2179">
        <v>70</v>
      </c>
      <c r="G2179">
        <v>16</v>
      </c>
      <c r="H2179">
        <v>3.1866162119099802E-3</v>
      </c>
      <c r="I2179">
        <v>0.22857142857142901</v>
      </c>
      <c r="J2179" s="14" t="str">
        <f>_xlfn.XLOOKUP(B2179,CAD_PDV!A:A,CAD_PDV!B:B)</f>
        <v>HS TELECOM</v>
      </c>
      <c r="K2179" s="14">
        <f>IF(IFERROR(_xlfn.XLOOKUP(B2179,Planilha2!D:D,Planilha2!H:H),0)="SIM",1,0)</f>
        <v>0</v>
      </c>
      <c r="L2179" s="14" t="str">
        <f>_xlfn.XLOOKUP(B2179,CAD_PDV!A:A,CAD_PDV!C:C)</f>
        <v>SP2</v>
      </c>
      <c r="M2179" s="14" t="str">
        <f>IFERROR(_xlfn.XLOOKUP(B2179,repete!A:A,repete!A:A),"-")</f>
        <v>-</v>
      </c>
    </row>
    <row r="2180" spans="1:13" hidden="1">
      <c r="A2180" s="1">
        <v>46204</v>
      </c>
      <c r="B2180" t="s">
        <v>896</v>
      </c>
      <c r="C2180" t="s">
        <v>873</v>
      </c>
      <c r="D2180" t="s">
        <v>224</v>
      </c>
      <c r="E2180" t="s">
        <v>59</v>
      </c>
      <c r="F2180">
        <v>91</v>
      </c>
      <c r="G2180">
        <v>16</v>
      </c>
      <c r="H2180">
        <v>3.1866162119099802E-3</v>
      </c>
      <c r="I2180">
        <v>0.175824175824176</v>
      </c>
      <c r="J2180" s="14" t="str">
        <f>_xlfn.XLOOKUP(B2180,CAD_PDV!A:A,CAD_PDV!B:B)</f>
        <v>CELNET COMERCIO E SERVICOS DE TELEFONIA LTDA ME</v>
      </c>
      <c r="K2180" s="14">
        <f>IF(IFERROR(_xlfn.XLOOKUP(B2180,Planilha2!D:D,Planilha2!H:H),0)="SIM",1,0)</f>
        <v>0</v>
      </c>
      <c r="L2180" s="14" t="str">
        <f>_xlfn.XLOOKUP(B2180,CAD_PDV!A:A,CAD_PDV!C:C)</f>
        <v>CO</v>
      </c>
      <c r="M2180" s="14" t="str">
        <f>IFERROR(_xlfn.XLOOKUP(B2180,repete!A:A,repete!A:A),"-")</f>
        <v>-</v>
      </c>
    </row>
    <row r="2181" spans="1:13" hidden="1">
      <c r="A2181" s="1">
        <v>46204</v>
      </c>
      <c r="B2181" t="s">
        <v>1669</v>
      </c>
      <c r="C2181" t="s">
        <v>1661</v>
      </c>
      <c r="D2181" t="s">
        <v>232</v>
      </c>
      <c r="E2181" t="s">
        <v>54</v>
      </c>
      <c r="F2181">
        <v>121</v>
      </c>
      <c r="G2181">
        <v>16</v>
      </c>
      <c r="H2181">
        <v>3.1866162119099802E-3</v>
      </c>
      <c r="I2181">
        <v>0.13223140495867799</v>
      </c>
      <c r="J2181" s="14" t="str">
        <f>_xlfn.XLOOKUP(B2181,CAD_PDV!A:A,CAD_PDV!B:B)</f>
        <v>HS TELECOM</v>
      </c>
      <c r="K2181" s="14">
        <f>IF(IFERROR(_xlfn.XLOOKUP(B2181,Planilha2!D:D,Planilha2!H:H),0)="SIM",1,0)</f>
        <v>0</v>
      </c>
      <c r="L2181" s="14" t="str">
        <f>_xlfn.XLOOKUP(B2181,CAD_PDV!A:A,CAD_PDV!C:C)</f>
        <v>SP2</v>
      </c>
      <c r="M2181" s="14" t="str">
        <f>IFERROR(_xlfn.XLOOKUP(B2181,repete!A:A,repete!A:A),"-")</f>
        <v>-</v>
      </c>
    </row>
    <row r="2182" spans="1:13" hidden="1">
      <c r="A2182" s="1">
        <v>46204</v>
      </c>
      <c r="B2182" t="s">
        <v>481</v>
      </c>
      <c r="C2182" t="s">
        <v>483</v>
      </c>
      <c r="D2182" t="s">
        <v>228</v>
      </c>
      <c r="E2182" t="s">
        <v>56</v>
      </c>
      <c r="F2182">
        <v>48</v>
      </c>
      <c r="G2182">
        <v>16</v>
      </c>
      <c r="H2182">
        <v>3.1866162119099802E-3</v>
      </c>
      <c r="I2182">
        <v>0.33333333333333298</v>
      </c>
      <c r="J2182" s="14" t="str">
        <f>_xlfn.XLOOKUP(B2182,CAD_PDV!A:A,CAD_PDV!B:B)</f>
        <v>FAJULUTI</v>
      </c>
      <c r="K2182" s="14">
        <f>IF(IFERROR(_xlfn.XLOOKUP(B2182,Planilha2!D:D,Planilha2!H:H),0)="SIM",1,0)</f>
        <v>0</v>
      </c>
      <c r="L2182" s="14" t="str">
        <f>_xlfn.XLOOKUP(B2182,CAD_PDV!A:A,CAD_PDV!C:C)</f>
        <v>MG</v>
      </c>
      <c r="M2182" s="14" t="str">
        <f>IFERROR(_xlfn.XLOOKUP(B2182,repete!A:A,repete!A:A),"-")</f>
        <v>-</v>
      </c>
    </row>
    <row r="2183" spans="1:13" hidden="1">
      <c r="A2183" s="1">
        <v>46204</v>
      </c>
      <c r="B2183" t="s">
        <v>642</v>
      </c>
      <c r="C2183" t="s">
        <v>644</v>
      </c>
      <c r="D2183" t="s">
        <v>240</v>
      </c>
      <c r="E2183" t="s">
        <v>59</v>
      </c>
      <c r="F2183">
        <v>70</v>
      </c>
      <c r="G2183">
        <v>15</v>
      </c>
      <c r="H2183">
        <v>2.9874526986656E-3</v>
      </c>
      <c r="I2183">
        <v>0.214285714285714</v>
      </c>
      <c r="J2183" s="14" t="str">
        <f>_xlfn.XLOOKUP(B2183,CAD_PDV!A:A,CAD_PDV!B:B)</f>
        <v>TELEMAIS TELEFONIA LTDA - ME</v>
      </c>
      <c r="K2183" s="14">
        <f>IF(IFERROR(_xlfn.XLOOKUP(B2183,Planilha2!D:D,Planilha2!H:H),0)="SIM",1,0)</f>
        <v>0</v>
      </c>
      <c r="L2183" s="14" t="str">
        <f>_xlfn.XLOOKUP(B2183,CAD_PDV!A:A,CAD_PDV!C:C)</f>
        <v>CO</v>
      </c>
      <c r="M2183" s="14" t="str">
        <f>IFERROR(_xlfn.XLOOKUP(B2183,repete!A:A,repete!A:A),"-")</f>
        <v>-</v>
      </c>
    </row>
    <row r="2184" spans="1:13" hidden="1">
      <c r="A2184" s="1">
        <v>46204</v>
      </c>
      <c r="B2184" t="s">
        <v>993</v>
      </c>
      <c r="C2184" t="s">
        <v>992</v>
      </c>
      <c r="D2184" t="s">
        <v>232</v>
      </c>
      <c r="E2184" t="s">
        <v>60</v>
      </c>
      <c r="F2184">
        <v>36</v>
      </c>
      <c r="G2184">
        <v>15</v>
      </c>
      <c r="H2184">
        <v>2.9874526986656E-3</v>
      </c>
      <c r="I2184">
        <v>0.41666666666666702</v>
      </c>
      <c r="J2184" s="14" t="str">
        <f>_xlfn.XLOOKUP(B2184,CAD_PDV!A:A,CAD_PDV!B:B)</f>
        <v>HS TELECOM</v>
      </c>
      <c r="K2184" s="14">
        <f>IF(IFERROR(_xlfn.XLOOKUP(B2184,Planilha2!D:D,Planilha2!H:H),0)="SIM",1,0)</f>
        <v>0</v>
      </c>
      <c r="L2184" s="14" t="str">
        <f>_xlfn.XLOOKUP(B2184,CAD_PDV!A:A,CAD_PDV!C:C)</f>
        <v>BA/SE</v>
      </c>
      <c r="M2184" s="14" t="str">
        <f>IFERROR(_xlfn.XLOOKUP(B2184,repete!A:A,repete!A:A),"-")</f>
        <v>-</v>
      </c>
    </row>
    <row r="2185" spans="1:13" hidden="1">
      <c r="A2185" s="1">
        <v>46204</v>
      </c>
      <c r="B2185" t="s">
        <v>879</v>
      </c>
      <c r="C2185" t="s">
        <v>873</v>
      </c>
      <c r="D2185" t="s">
        <v>239</v>
      </c>
      <c r="E2185" t="s">
        <v>59</v>
      </c>
      <c r="F2185">
        <v>58</v>
      </c>
      <c r="G2185">
        <v>15</v>
      </c>
      <c r="H2185">
        <v>2.9874526986656E-3</v>
      </c>
      <c r="I2185">
        <v>0.25862068965517199</v>
      </c>
      <c r="J2185" s="14" t="str">
        <f>_xlfn.XLOOKUP(B2185,CAD_PDV!A:A,CAD_PDV!B:B)</f>
        <v>TELECELL TELEFONIA LTDA - ME</v>
      </c>
      <c r="K2185" s="14">
        <f>IF(IFERROR(_xlfn.XLOOKUP(B2185,Planilha2!D:D,Planilha2!H:H),0)="SIM",1,0)</f>
        <v>0</v>
      </c>
      <c r="L2185" s="14" t="str">
        <f>_xlfn.XLOOKUP(B2185,CAD_PDV!A:A,CAD_PDV!C:C)</f>
        <v>CO</v>
      </c>
      <c r="M2185" s="14" t="str">
        <f>IFERROR(_xlfn.XLOOKUP(B2185,repete!A:A,repete!A:A),"-")</f>
        <v>-</v>
      </c>
    </row>
    <row r="2186" spans="1:13" hidden="1">
      <c r="A2186" s="1">
        <v>46204</v>
      </c>
      <c r="B2186" t="s">
        <v>1963</v>
      </c>
      <c r="C2186" t="s">
        <v>1961</v>
      </c>
      <c r="D2186" t="s">
        <v>106</v>
      </c>
      <c r="E2186" t="s">
        <v>2074</v>
      </c>
      <c r="F2186">
        <v>42</v>
      </c>
      <c r="G2186">
        <v>15</v>
      </c>
      <c r="H2186">
        <v>2.9874526986656E-3</v>
      </c>
      <c r="I2186">
        <v>0.35714285714285698</v>
      </c>
      <c r="J2186" s="14" t="str">
        <f>_xlfn.XLOOKUP(B2186,CAD_PDV!A:A,CAD_PDV!B:B)</f>
        <v>CELLULAR.COM</v>
      </c>
      <c r="K2186" s="14">
        <f>IF(IFERROR(_xlfn.XLOOKUP(B2186,Planilha2!D:D,Planilha2!H:H),0)="SIM",1,0)</f>
        <v>0</v>
      </c>
      <c r="L2186" s="14" t="str">
        <f>_xlfn.XLOOKUP(B2186,CAD_PDV!A:A,CAD_PDV!C:C)</f>
        <v>PR/SC</v>
      </c>
      <c r="M2186" s="14" t="str">
        <f>IFERROR(_xlfn.XLOOKUP(B2186,repete!A:A,repete!A:A),"-")</f>
        <v>-</v>
      </c>
    </row>
    <row r="2187" spans="1:13" hidden="1">
      <c r="A2187" s="1">
        <v>46204</v>
      </c>
      <c r="B2187" t="s">
        <v>1153</v>
      </c>
      <c r="C2187" t="s">
        <v>1155</v>
      </c>
      <c r="D2187" t="s">
        <v>228</v>
      </c>
      <c r="E2187" t="s">
        <v>55</v>
      </c>
      <c r="F2187">
        <v>76</v>
      </c>
      <c r="G2187">
        <v>15</v>
      </c>
      <c r="H2187">
        <v>2.9874526986656E-3</v>
      </c>
      <c r="I2187">
        <v>0.197368421052632</v>
      </c>
      <c r="J2187" s="14" t="str">
        <f>_xlfn.XLOOKUP(B2187,CAD_PDV!A:A,CAD_PDV!B:B)</f>
        <v>FAJULUTI</v>
      </c>
      <c r="K2187" s="14">
        <f>IF(IFERROR(_xlfn.XLOOKUP(B2187,Planilha2!D:D,Planilha2!H:H),0)="SIM",1,0)</f>
        <v>0</v>
      </c>
      <c r="L2187" s="14" t="str">
        <f>_xlfn.XLOOKUP(B2187,CAD_PDV!A:A,CAD_PDV!C:C)</f>
        <v>RJ/ES</v>
      </c>
      <c r="M2187" s="14" t="str">
        <f>IFERROR(_xlfn.XLOOKUP(B2187,repete!A:A,repete!A:A),"-")</f>
        <v>-</v>
      </c>
    </row>
    <row r="2188" spans="1:13" hidden="1">
      <c r="A2188" s="1">
        <v>46204</v>
      </c>
      <c r="B2188" t="s">
        <v>1233</v>
      </c>
      <c r="C2188" t="s">
        <v>1142</v>
      </c>
      <c r="D2188" t="s">
        <v>237</v>
      </c>
      <c r="E2188" t="s">
        <v>55</v>
      </c>
      <c r="F2188">
        <v>119</v>
      </c>
      <c r="G2188">
        <v>15</v>
      </c>
      <c r="H2188">
        <v>2.9874526986656E-3</v>
      </c>
      <c r="I2188">
        <v>0.126050420168067</v>
      </c>
      <c r="J2188" s="14" t="str">
        <f>_xlfn.XLOOKUP(B2188,CAD_PDV!A:A,CAD_PDV!B:B)</f>
        <v>PONTO CERTO COMERCIO E COMUNICAÇÕES LTDA</v>
      </c>
      <c r="K2188" s="14">
        <f>IF(IFERROR(_xlfn.XLOOKUP(B2188,Planilha2!D:D,Planilha2!H:H),0)="SIM",1,0)</f>
        <v>0</v>
      </c>
      <c r="L2188" s="14" t="str">
        <f>_xlfn.XLOOKUP(B2188,CAD_PDV!A:A,CAD_PDV!C:C)</f>
        <v>RJ/ES</v>
      </c>
      <c r="M2188" s="14" t="str">
        <f>IFERROR(_xlfn.XLOOKUP(B2188,repete!A:A,repete!A:A),"-")</f>
        <v>-</v>
      </c>
    </row>
    <row r="2189" spans="1:13" hidden="1">
      <c r="A2189" s="1">
        <v>46204</v>
      </c>
      <c r="B2189" t="s">
        <v>657</v>
      </c>
      <c r="C2189" t="s">
        <v>651</v>
      </c>
      <c r="D2189" t="s">
        <v>239</v>
      </c>
      <c r="E2189" t="s">
        <v>59</v>
      </c>
      <c r="F2189">
        <v>46</v>
      </c>
      <c r="G2189">
        <v>15</v>
      </c>
      <c r="H2189">
        <v>2.9874526986656E-3</v>
      </c>
      <c r="I2189">
        <v>0.32608695652173902</v>
      </c>
      <c r="J2189" s="14" t="str">
        <f>_xlfn.XLOOKUP(B2189,CAD_PDV!A:A,CAD_PDV!B:B)</f>
        <v>TELECELL TELEFONIA LTDA - ME</v>
      </c>
      <c r="K2189" s="14">
        <f>IF(IFERROR(_xlfn.XLOOKUP(B2189,Planilha2!D:D,Planilha2!H:H),0)="SIM",1,0)</f>
        <v>0</v>
      </c>
      <c r="L2189" s="14" t="str">
        <f>_xlfn.XLOOKUP(B2189,CAD_PDV!A:A,CAD_PDV!C:C)</f>
        <v>CO</v>
      </c>
      <c r="M2189" s="14" t="str">
        <f>IFERROR(_xlfn.XLOOKUP(B2189,repete!A:A,repete!A:A),"-")</f>
        <v>-</v>
      </c>
    </row>
    <row r="2190" spans="1:13" hidden="1">
      <c r="A2190" s="1">
        <v>46204</v>
      </c>
      <c r="B2190" t="s">
        <v>1362</v>
      </c>
      <c r="C2190" t="s">
        <v>1313</v>
      </c>
      <c r="D2190" t="s">
        <v>132</v>
      </c>
      <c r="E2190" t="s">
        <v>53</v>
      </c>
      <c r="F2190">
        <v>77</v>
      </c>
      <c r="G2190">
        <v>15</v>
      </c>
      <c r="H2190">
        <v>2.9874526986656E-3</v>
      </c>
      <c r="I2190">
        <v>0.19480519480519501</v>
      </c>
      <c r="J2190" s="14" t="str">
        <f>_xlfn.XLOOKUP(B2190,CAD_PDV!A:A,CAD_PDV!B:B)</f>
        <v>FLEX CELL</v>
      </c>
      <c r="K2190" s="14">
        <f>IF(IFERROR(_xlfn.XLOOKUP(B2190,Planilha2!D:D,Planilha2!H:H),0)="SIM",1,0)</f>
        <v>0</v>
      </c>
      <c r="L2190" s="14" t="str">
        <f>_xlfn.XLOOKUP(B2190,CAD_PDV!A:A,CAD_PDV!C:C)</f>
        <v>SP1</v>
      </c>
      <c r="M2190" s="14" t="str">
        <f>IFERROR(_xlfn.XLOOKUP(B2190,repete!A:A,repete!A:A),"-")</f>
        <v>-</v>
      </c>
    </row>
    <row r="2191" spans="1:13" hidden="1">
      <c r="A2191" s="1">
        <v>46204</v>
      </c>
      <c r="B2191" t="s">
        <v>831</v>
      </c>
      <c r="C2191" t="s">
        <v>820</v>
      </c>
      <c r="D2191" t="s">
        <v>239</v>
      </c>
      <c r="E2191" t="s">
        <v>59</v>
      </c>
      <c r="F2191">
        <v>87</v>
      </c>
      <c r="G2191">
        <v>15</v>
      </c>
      <c r="H2191">
        <v>2.9874526986656E-3</v>
      </c>
      <c r="I2191">
        <v>0.17241379310344801</v>
      </c>
      <c r="J2191" s="14" t="str">
        <f>_xlfn.XLOOKUP(B2191,CAD_PDV!A:A,CAD_PDV!B:B)</f>
        <v>TELECELL TELEFONIA LTDA - ME</v>
      </c>
      <c r="K2191" s="14">
        <f>IF(IFERROR(_xlfn.XLOOKUP(B2191,Planilha2!D:D,Planilha2!H:H),0)="SIM",1,0)</f>
        <v>0</v>
      </c>
      <c r="L2191" s="14" t="str">
        <f>_xlfn.XLOOKUP(B2191,CAD_PDV!A:A,CAD_PDV!C:C)</f>
        <v>CO</v>
      </c>
      <c r="M2191" s="14" t="str">
        <f>IFERROR(_xlfn.XLOOKUP(B2191,repete!A:A,repete!A:A),"-")</f>
        <v>-</v>
      </c>
    </row>
    <row r="2192" spans="1:13" hidden="1">
      <c r="A2192" s="1">
        <v>46204</v>
      </c>
      <c r="B2192" t="s">
        <v>568</v>
      </c>
      <c r="C2192" t="s">
        <v>441</v>
      </c>
      <c r="D2192" t="s">
        <v>228</v>
      </c>
      <c r="E2192" t="s">
        <v>56</v>
      </c>
      <c r="F2192">
        <v>54</v>
      </c>
      <c r="G2192">
        <v>15</v>
      </c>
      <c r="H2192">
        <v>2.9874526986656E-3</v>
      </c>
      <c r="I2192">
        <v>0.27777777777777801</v>
      </c>
      <c r="J2192" s="14" t="str">
        <f>_xlfn.XLOOKUP(B2192,CAD_PDV!A:A,CAD_PDV!B:B)</f>
        <v>FAJULUTI</v>
      </c>
      <c r="K2192" s="14">
        <f>IF(IFERROR(_xlfn.XLOOKUP(B2192,Planilha2!D:D,Planilha2!H:H),0)="SIM",1,0)</f>
        <v>0</v>
      </c>
      <c r="L2192" s="14" t="str">
        <f>_xlfn.XLOOKUP(B2192,CAD_PDV!A:A,CAD_PDV!C:C)</f>
        <v>MG</v>
      </c>
      <c r="M2192" s="14" t="str">
        <f>IFERROR(_xlfn.XLOOKUP(B2192,repete!A:A,repete!A:A),"-")</f>
        <v>-</v>
      </c>
    </row>
    <row r="2193" spans="1:13" hidden="1">
      <c r="A2193" s="1">
        <v>46204</v>
      </c>
      <c r="B2193" t="s">
        <v>1706</v>
      </c>
      <c r="C2193" t="s">
        <v>1693</v>
      </c>
      <c r="D2193" t="s">
        <v>232</v>
      </c>
      <c r="E2193" t="s">
        <v>54</v>
      </c>
      <c r="F2193">
        <v>45</v>
      </c>
      <c r="G2193">
        <v>15</v>
      </c>
      <c r="H2193">
        <v>2.9874526986656E-3</v>
      </c>
      <c r="I2193">
        <v>0.33333333333333298</v>
      </c>
      <c r="J2193" s="14" t="str">
        <f>_xlfn.XLOOKUP(B2193,CAD_PDV!A:A,CAD_PDV!B:B)</f>
        <v>HS TELECOM</v>
      </c>
      <c r="K2193" s="14">
        <f>IF(IFERROR(_xlfn.XLOOKUP(B2193,Planilha2!D:D,Planilha2!H:H),0)="SIM",1,0)</f>
        <v>0</v>
      </c>
      <c r="L2193" s="14" t="str">
        <f>_xlfn.XLOOKUP(B2193,CAD_PDV!A:A,CAD_PDV!C:C)</f>
        <v>SP2</v>
      </c>
      <c r="M2193" s="14" t="str">
        <f>IFERROR(_xlfn.XLOOKUP(B2193,repete!A:A,repete!A:A),"-")</f>
        <v>-</v>
      </c>
    </row>
    <row r="2194" spans="1:13" hidden="1">
      <c r="A2194" s="1">
        <v>46204</v>
      </c>
      <c r="B2194" t="s">
        <v>640</v>
      </c>
      <c r="C2194" t="s">
        <v>641</v>
      </c>
      <c r="D2194" t="s">
        <v>221</v>
      </c>
      <c r="E2194" t="s">
        <v>59</v>
      </c>
      <c r="F2194">
        <v>61</v>
      </c>
      <c r="G2194">
        <v>15</v>
      </c>
      <c r="H2194">
        <v>2.9874526986656E-3</v>
      </c>
      <c r="I2194">
        <v>0.24590163934426201</v>
      </c>
      <c r="J2194" s="14" t="str">
        <f>_xlfn.XLOOKUP(B2194,CAD_PDV!A:A,CAD_PDV!B:B)</f>
        <v>AMERICOM COMERCIO DE APARELHOS ELETRONICOS LTDA - EPP</v>
      </c>
      <c r="K2194" s="14">
        <f>IF(IFERROR(_xlfn.XLOOKUP(B2194,Planilha2!D:D,Planilha2!H:H),0)="SIM",1,0)</f>
        <v>0</v>
      </c>
      <c r="L2194" s="14" t="str">
        <f>_xlfn.XLOOKUP(B2194,CAD_PDV!A:A,CAD_PDV!C:C)</f>
        <v>CO</v>
      </c>
      <c r="M2194" s="14" t="str">
        <f>IFERROR(_xlfn.XLOOKUP(B2194,repete!A:A,repete!A:A),"-")</f>
        <v>-</v>
      </c>
    </row>
    <row r="2195" spans="1:13" hidden="1">
      <c r="A2195" s="1">
        <v>46204</v>
      </c>
      <c r="B2195" t="s">
        <v>472</v>
      </c>
      <c r="C2195" t="s">
        <v>475</v>
      </c>
      <c r="D2195" t="s">
        <v>228</v>
      </c>
      <c r="E2195" t="s">
        <v>56</v>
      </c>
      <c r="F2195">
        <v>51</v>
      </c>
      <c r="G2195">
        <v>15</v>
      </c>
      <c r="H2195">
        <v>2.9874526986656E-3</v>
      </c>
      <c r="I2195">
        <v>0.29411764705882398</v>
      </c>
      <c r="J2195" s="14" t="str">
        <f>_xlfn.XLOOKUP(B2195,CAD_PDV!A:A,CAD_PDV!B:B)</f>
        <v>FAJULUTI</v>
      </c>
      <c r="K2195" s="14">
        <f>IF(IFERROR(_xlfn.XLOOKUP(B2195,Planilha2!D:D,Planilha2!H:H),0)="SIM",1,0)</f>
        <v>0</v>
      </c>
      <c r="L2195" s="14" t="str">
        <f>_xlfn.XLOOKUP(B2195,CAD_PDV!A:A,CAD_PDV!C:C)</f>
        <v>MG</v>
      </c>
      <c r="M2195" s="14" t="str">
        <f>IFERROR(_xlfn.XLOOKUP(B2195,repete!A:A,repete!A:A),"-")</f>
        <v>-</v>
      </c>
    </row>
    <row r="2196" spans="1:13" hidden="1">
      <c r="A2196" s="1">
        <v>46204</v>
      </c>
      <c r="B2196" t="s">
        <v>2029</v>
      </c>
      <c r="C2196" t="s">
        <v>2026</v>
      </c>
      <c r="D2196" t="s">
        <v>193</v>
      </c>
      <c r="E2196" t="s">
        <v>2074</v>
      </c>
      <c r="F2196">
        <v>48</v>
      </c>
      <c r="G2196">
        <v>15</v>
      </c>
      <c r="H2196">
        <v>2.9874526986656E-3</v>
      </c>
      <c r="I2196">
        <v>0.3125</v>
      </c>
      <c r="J2196" s="14" t="str">
        <f>_xlfn.XLOOKUP(B2196,CAD_PDV!A:A,CAD_PDV!B:B)</f>
        <v>S D COMERCIO DE CELULARES LTDA - ME</v>
      </c>
      <c r="K2196" s="14">
        <f>IF(IFERROR(_xlfn.XLOOKUP(B2196,Planilha2!D:D,Planilha2!H:H),0)="SIM",1,0)</f>
        <v>0</v>
      </c>
      <c r="L2196" s="14" t="str">
        <f>_xlfn.XLOOKUP(B2196,CAD_PDV!A:A,CAD_PDV!C:C)</f>
        <v>RS</v>
      </c>
      <c r="M2196" s="14" t="str">
        <f>IFERROR(_xlfn.XLOOKUP(B2196,repete!A:A,repete!A:A),"-")</f>
        <v>-</v>
      </c>
    </row>
    <row r="2197" spans="1:13" hidden="1">
      <c r="A2197" s="1">
        <v>46204</v>
      </c>
      <c r="B2197" t="s">
        <v>975</v>
      </c>
      <c r="C2197" t="s">
        <v>976</v>
      </c>
      <c r="D2197" t="s">
        <v>232</v>
      </c>
      <c r="E2197" t="s">
        <v>60</v>
      </c>
      <c r="F2197">
        <v>68</v>
      </c>
      <c r="G2197">
        <v>14</v>
      </c>
      <c r="H2197">
        <v>2.7882891854212298E-3</v>
      </c>
      <c r="I2197">
        <v>0.20588235294117599</v>
      </c>
      <c r="J2197" s="14" t="str">
        <f>_xlfn.XLOOKUP(B2197,CAD_PDV!A:A,CAD_PDV!B:B)</f>
        <v>HS TELECOM</v>
      </c>
      <c r="K2197" s="14">
        <f>IF(IFERROR(_xlfn.XLOOKUP(B2197,Planilha2!D:D,Planilha2!H:H),0)="SIM",1,0)</f>
        <v>0</v>
      </c>
      <c r="L2197" s="14" t="str">
        <f>_xlfn.XLOOKUP(B2197,CAD_PDV!A:A,CAD_PDV!C:C)</f>
        <v>BA/SE</v>
      </c>
      <c r="M2197" s="14" t="str">
        <f>IFERROR(_xlfn.XLOOKUP(B2197,repete!A:A,repete!A:A),"-")</f>
        <v>-</v>
      </c>
    </row>
    <row r="2198" spans="1:13" hidden="1">
      <c r="A2198" s="1">
        <v>46204</v>
      </c>
      <c r="B2198" t="s">
        <v>827</v>
      </c>
      <c r="C2198" t="s">
        <v>820</v>
      </c>
      <c r="D2198" t="s">
        <v>239</v>
      </c>
      <c r="E2198" t="s">
        <v>59</v>
      </c>
      <c r="F2198">
        <v>71</v>
      </c>
      <c r="G2198">
        <v>14</v>
      </c>
      <c r="H2198">
        <v>2.7882891854212298E-3</v>
      </c>
      <c r="I2198">
        <v>0.19718309859154901</v>
      </c>
      <c r="J2198" s="14" t="str">
        <f>_xlfn.XLOOKUP(B2198,CAD_PDV!A:A,CAD_PDV!B:B)</f>
        <v>TELECELL TELEFONIA LTDA - ME</v>
      </c>
      <c r="K2198" s="14">
        <f>IF(IFERROR(_xlfn.XLOOKUP(B2198,Planilha2!D:D,Planilha2!H:H),0)="SIM",1,0)</f>
        <v>0</v>
      </c>
      <c r="L2198" s="14" t="str">
        <f>_xlfn.XLOOKUP(B2198,CAD_PDV!A:A,CAD_PDV!C:C)</f>
        <v>CO</v>
      </c>
      <c r="M2198" s="14" t="str">
        <f>IFERROR(_xlfn.XLOOKUP(B2198,repete!A:A,repete!A:A),"-")</f>
        <v>-</v>
      </c>
    </row>
    <row r="2199" spans="1:13" hidden="1">
      <c r="A2199" s="1">
        <v>46204</v>
      </c>
      <c r="B2199" t="s">
        <v>1015</v>
      </c>
      <c r="C2199" t="s">
        <v>1017</v>
      </c>
      <c r="D2199" t="s">
        <v>232</v>
      </c>
      <c r="E2199" t="s">
        <v>60</v>
      </c>
      <c r="F2199">
        <v>40</v>
      </c>
      <c r="G2199">
        <v>14</v>
      </c>
      <c r="H2199">
        <v>2.7882891854212298E-3</v>
      </c>
      <c r="I2199">
        <v>0.35</v>
      </c>
      <c r="J2199" s="14" t="str">
        <f>_xlfn.XLOOKUP(B2199,CAD_PDV!A:A,CAD_PDV!B:B)</f>
        <v>HS TELECOM</v>
      </c>
      <c r="K2199" s="14">
        <f>IF(IFERROR(_xlfn.XLOOKUP(B2199,Planilha2!D:D,Planilha2!H:H),0)="SIM",1,0)</f>
        <v>0</v>
      </c>
      <c r="L2199" s="14" t="str">
        <f>_xlfn.XLOOKUP(B2199,CAD_PDV!A:A,CAD_PDV!C:C)</f>
        <v>BA/SE</v>
      </c>
      <c r="M2199" s="14" t="str">
        <f>IFERROR(_xlfn.XLOOKUP(B2199,repete!A:A,repete!A:A),"-")</f>
        <v>-</v>
      </c>
    </row>
    <row r="2200" spans="1:13" hidden="1">
      <c r="A2200" s="1">
        <v>46204</v>
      </c>
      <c r="B2200" t="s">
        <v>1708</v>
      </c>
      <c r="C2200" t="s">
        <v>1505</v>
      </c>
      <c r="D2200" t="s">
        <v>132</v>
      </c>
      <c r="E2200" t="s">
        <v>54</v>
      </c>
      <c r="F2200">
        <v>54</v>
      </c>
      <c r="G2200">
        <v>14</v>
      </c>
      <c r="H2200">
        <v>2.7882891854212298E-3</v>
      </c>
      <c r="I2200">
        <v>0.25925925925925902</v>
      </c>
      <c r="J2200" s="14" t="str">
        <f>_xlfn.XLOOKUP(B2200,CAD_PDV!A:A,CAD_PDV!B:B)</f>
        <v>FLEX CELL</v>
      </c>
      <c r="K2200" s="14">
        <f>IF(IFERROR(_xlfn.XLOOKUP(B2200,Planilha2!D:D,Planilha2!H:H),0)="SIM",1,0)</f>
        <v>0</v>
      </c>
      <c r="L2200" s="14" t="str">
        <f>_xlfn.XLOOKUP(B2200,CAD_PDV!A:A,CAD_PDV!C:C)</f>
        <v>SP2</v>
      </c>
      <c r="M2200" s="14" t="str">
        <f>IFERROR(_xlfn.XLOOKUP(B2200,repete!A:A,repete!A:A),"-")</f>
        <v>-</v>
      </c>
    </row>
    <row r="2201" spans="1:13" hidden="1">
      <c r="A2201" s="1">
        <v>46204</v>
      </c>
      <c r="B2201" t="s">
        <v>293</v>
      </c>
      <c r="C2201" t="s">
        <v>265</v>
      </c>
      <c r="D2201" t="s">
        <v>230</v>
      </c>
      <c r="E2201" t="s">
        <v>61</v>
      </c>
      <c r="F2201">
        <v>77</v>
      </c>
      <c r="G2201">
        <v>14</v>
      </c>
      <c r="H2201">
        <v>2.7882891854212298E-3</v>
      </c>
      <c r="I2201">
        <v>0.18181818181818199</v>
      </c>
      <c r="J2201" s="14" t="str">
        <f>_xlfn.XLOOKUP(B2201,CAD_PDV!A:A,CAD_PDV!B:B)</f>
        <v>HARCOS COMERCIO E SERVICOS LTDA - EPP</v>
      </c>
      <c r="K2201" s="14">
        <f>IF(IFERROR(_xlfn.XLOOKUP(B2201,Planilha2!D:D,Planilha2!H:H),0)="SIM",1,0)</f>
        <v>0</v>
      </c>
      <c r="L2201" s="14" t="str">
        <f>_xlfn.XLOOKUP(B2201,CAD_PDV!A:A,CAD_PDV!C:C)</f>
        <v>NE</v>
      </c>
      <c r="M2201" s="14" t="str">
        <f>IFERROR(_xlfn.XLOOKUP(B2201,repete!A:A,repete!A:A),"-")</f>
        <v>-</v>
      </c>
    </row>
    <row r="2202" spans="1:13" hidden="1">
      <c r="A2202" s="1">
        <v>46204</v>
      </c>
      <c r="B2202" t="s">
        <v>1749</v>
      </c>
      <c r="C2202" t="s">
        <v>1748</v>
      </c>
      <c r="D2202" t="s">
        <v>190</v>
      </c>
      <c r="E2202" t="s">
        <v>2074</v>
      </c>
      <c r="F2202">
        <v>61</v>
      </c>
      <c r="G2202">
        <v>14</v>
      </c>
      <c r="H2202">
        <v>2.7882891854212298E-3</v>
      </c>
      <c r="I2202">
        <v>0.22950819672131101</v>
      </c>
      <c r="J2202" s="14" t="str">
        <f>_xlfn.XLOOKUP(B2202,CAD_PDV!A:A,CAD_PDV!B:B)</f>
        <v>RDJ TELECOMUNICACOES LTDA</v>
      </c>
      <c r="K2202" s="14">
        <f>IF(IFERROR(_xlfn.XLOOKUP(B2202,Planilha2!D:D,Planilha2!H:H),0)="SIM",1,0)</f>
        <v>0</v>
      </c>
      <c r="L2202" s="14" t="str">
        <f>_xlfn.XLOOKUP(B2202,CAD_PDV!A:A,CAD_PDV!C:C)</f>
        <v>PR/SC</v>
      </c>
      <c r="M2202" s="14" t="str">
        <f>IFERROR(_xlfn.XLOOKUP(B2202,repete!A:A,repete!A:A),"-")</f>
        <v>-</v>
      </c>
    </row>
    <row r="2203" spans="1:13" hidden="1">
      <c r="A2203" s="1">
        <v>46204</v>
      </c>
      <c r="B2203" t="s">
        <v>1902</v>
      </c>
      <c r="C2203" t="s">
        <v>1900</v>
      </c>
      <c r="D2203" t="s">
        <v>97</v>
      </c>
      <c r="E2203" t="s">
        <v>2074</v>
      </c>
      <c r="F2203">
        <v>45</v>
      </c>
      <c r="G2203">
        <v>14</v>
      </c>
      <c r="H2203">
        <v>2.7882891854212298E-3</v>
      </c>
      <c r="I2203">
        <v>0.31111111111111101</v>
      </c>
      <c r="J2203" s="14" t="str">
        <f>_xlfn.XLOOKUP(B2203,CAD_PDV!A:A,CAD_PDV!B:B)</f>
        <v>BANDEIRA</v>
      </c>
      <c r="K2203" s="14">
        <f>IF(IFERROR(_xlfn.XLOOKUP(B2203,Planilha2!D:D,Planilha2!H:H),0)="SIM",1,0)</f>
        <v>0</v>
      </c>
      <c r="L2203" s="14" t="str">
        <f>_xlfn.XLOOKUP(B2203,CAD_PDV!A:A,CAD_PDV!C:C)</f>
        <v>PR/SC</v>
      </c>
      <c r="M2203" s="14" t="str">
        <f>IFERROR(_xlfn.XLOOKUP(B2203,repete!A:A,repete!A:A),"-")</f>
        <v>-</v>
      </c>
    </row>
    <row r="2204" spans="1:13" hidden="1">
      <c r="A2204" s="1">
        <v>46204</v>
      </c>
      <c r="B2204" t="s">
        <v>1840</v>
      </c>
      <c r="C2204" t="s">
        <v>1839</v>
      </c>
      <c r="D2204" t="s">
        <v>124</v>
      </c>
      <c r="E2204" t="s">
        <v>2074</v>
      </c>
      <c r="F2204">
        <v>50</v>
      </c>
      <c r="G2204">
        <v>13</v>
      </c>
      <c r="H2204">
        <v>2.58912567217686E-3</v>
      </c>
      <c r="I2204">
        <v>0.26</v>
      </c>
      <c r="J2204" s="14" t="str">
        <f>_xlfn.XLOOKUP(B2204,CAD_PDV!A:A,CAD_PDV!B:B)</f>
        <v>EDUARDO JUNQUEIRA DA SILVEIRA ADMIN</v>
      </c>
      <c r="K2204" s="14">
        <f>IF(IFERROR(_xlfn.XLOOKUP(B2204,Planilha2!D:D,Planilha2!H:H),0)="SIM",1,0)</f>
        <v>0</v>
      </c>
      <c r="L2204" s="14" t="str">
        <f>_xlfn.XLOOKUP(B2204,CAD_PDV!A:A,CAD_PDV!C:C)</f>
        <v>RS</v>
      </c>
      <c r="M2204" s="14" t="str">
        <f>IFERROR(_xlfn.XLOOKUP(B2204,repete!A:A,repete!A:A),"-")</f>
        <v>-</v>
      </c>
    </row>
    <row r="2205" spans="1:13" hidden="1">
      <c r="A2205" s="1">
        <v>46204</v>
      </c>
      <c r="B2205" t="s">
        <v>1976</v>
      </c>
      <c r="C2205" t="s">
        <v>1978</v>
      </c>
      <c r="D2205" t="s">
        <v>97</v>
      </c>
      <c r="E2205" t="s">
        <v>2074</v>
      </c>
      <c r="F2205">
        <v>36</v>
      </c>
      <c r="G2205">
        <v>13</v>
      </c>
      <c r="H2205">
        <v>2.58912567217686E-3</v>
      </c>
      <c r="I2205">
        <v>0.36111111111111099</v>
      </c>
      <c r="J2205" s="14" t="str">
        <f>_xlfn.XLOOKUP(B2205,CAD_PDV!A:A,CAD_PDV!B:B)</f>
        <v>BANDEIRA</v>
      </c>
      <c r="K2205" s="14">
        <f>IF(IFERROR(_xlfn.XLOOKUP(B2205,Planilha2!D:D,Planilha2!H:H),0)="SIM",1,0)</f>
        <v>0</v>
      </c>
      <c r="L2205" s="14" t="str">
        <f>_xlfn.XLOOKUP(B2205,CAD_PDV!A:A,CAD_PDV!C:C)</f>
        <v>PR/SC</v>
      </c>
      <c r="M2205" s="14" t="str">
        <f>IFERROR(_xlfn.XLOOKUP(B2205,repete!A:A,repete!A:A),"-")</f>
        <v>-</v>
      </c>
    </row>
    <row r="2206" spans="1:13" hidden="1">
      <c r="A2206" s="1">
        <v>46204</v>
      </c>
      <c r="B2206" t="s">
        <v>525</v>
      </c>
      <c r="C2206" t="s">
        <v>526</v>
      </c>
      <c r="D2206" t="s">
        <v>228</v>
      </c>
      <c r="E2206" t="s">
        <v>56</v>
      </c>
      <c r="F2206">
        <v>29</v>
      </c>
      <c r="G2206">
        <v>13</v>
      </c>
      <c r="H2206">
        <v>2.58912567217686E-3</v>
      </c>
      <c r="I2206">
        <v>0.44827586206896602</v>
      </c>
      <c r="J2206" s="14" t="str">
        <f>_xlfn.XLOOKUP(B2206,CAD_PDV!A:A,CAD_PDV!B:B)</f>
        <v>FAJULUTI</v>
      </c>
      <c r="K2206" s="14">
        <f>IF(IFERROR(_xlfn.XLOOKUP(B2206,Planilha2!D:D,Planilha2!H:H),0)="SIM",1,0)</f>
        <v>0</v>
      </c>
      <c r="L2206" s="14" t="str">
        <f>_xlfn.XLOOKUP(B2206,CAD_PDV!A:A,CAD_PDV!C:C)</f>
        <v>MG</v>
      </c>
      <c r="M2206" s="14" t="str">
        <f>IFERROR(_xlfn.XLOOKUP(B2206,repete!A:A,repete!A:A),"-")</f>
        <v>-</v>
      </c>
    </row>
    <row r="2207" spans="1:13" hidden="1">
      <c r="A2207" s="1">
        <v>46204</v>
      </c>
      <c r="B2207" t="s">
        <v>655</v>
      </c>
      <c r="C2207" t="s">
        <v>649</v>
      </c>
      <c r="D2207" t="s">
        <v>239</v>
      </c>
      <c r="E2207" t="s">
        <v>59</v>
      </c>
      <c r="F2207">
        <v>55</v>
      </c>
      <c r="G2207">
        <v>13</v>
      </c>
      <c r="H2207">
        <v>2.58912567217686E-3</v>
      </c>
      <c r="I2207">
        <v>0.236363636363636</v>
      </c>
      <c r="J2207" s="14" t="str">
        <f>_xlfn.XLOOKUP(B2207,CAD_PDV!A:A,CAD_PDV!B:B)</f>
        <v>TELECELL TELEFONIA LTDA - ME</v>
      </c>
      <c r="K2207" s="14">
        <f>IF(IFERROR(_xlfn.XLOOKUP(B2207,Planilha2!D:D,Planilha2!H:H),0)="SIM",1,0)</f>
        <v>0</v>
      </c>
      <c r="L2207" s="14" t="str">
        <f>_xlfn.XLOOKUP(B2207,CAD_PDV!A:A,CAD_PDV!C:C)</f>
        <v>CO</v>
      </c>
      <c r="M2207" s="14" t="str">
        <f>IFERROR(_xlfn.XLOOKUP(B2207,repete!A:A,repete!A:A),"-")</f>
        <v>-</v>
      </c>
    </row>
    <row r="2208" spans="1:13" hidden="1">
      <c r="A2208" s="1">
        <v>46204</v>
      </c>
      <c r="B2208" t="s">
        <v>1164</v>
      </c>
      <c r="C2208" t="s">
        <v>1142</v>
      </c>
      <c r="D2208" t="s">
        <v>237</v>
      </c>
      <c r="E2208" t="s">
        <v>55</v>
      </c>
      <c r="F2208">
        <v>93</v>
      </c>
      <c r="G2208">
        <v>13</v>
      </c>
      <c r="H2208">
        <v>2.58912567217686E-3</v>
      </c>
      <c r="I2208">
        <v>0.13978494623655899</v>
      </c>
      <c r="J2208" s="14" t="str">
        <f>_xlfn.XLOOKUP(B2208,CAD_PDV!A:A,CAD_PDV!B:B)</f>
        <v>PONTO CERTO COMERCIO E COMUNICAÇÕES LTDA</v>
      </c>
      <c r="K2208" s="14">
        <f>IF(IFERROR(_xlfn.XLOOKUP(B2208,Planilha2!D:D,Planilha2!H:H),0)="SIM",1,0)</f>
        <v>0</v>
      </c>
      <c r="L2208" s="14" t="str">
        <f>_xlfn.XLOOKUP(B2208,CAD_PDV!A:A,CAD_PDV!C:C)</f>
        <v>RJ/ES</v>
      </c>
      <c r="M2208" s="14" t="str">
        <f>IFERROR(_xlfn.XLOOKUP(B2208,repete!A:A,repete!A:A),"-")</f>
        <v>-</v>
      </c>
    </row>
    <row r="2209" spans="1:13" hidden="1">
      <c r="A2209" s="1">
        <v>46204</v>
      </c>
      <c r="B2209" t="s">
        <v>1167</v>
      </c>
      <c r="C2209" t="s">
        <v>1152</v>
      </c>
      <c r="D2209" t="s">
        <v>237</v>
      </c>
      <c r="E2209" t="s">
        <v>55</v>
      </c>
      <c r="F2209">
        <v>134</v>
      </c>
      <c r="G2209">
        <v>13</v>
      </c>
      <c r="H2209">
        <v>2.58912567217686E-3</v>
      </c>
      <c r="I2209">
        <v>9.7014925373134303E-2</v>
      </c>
      <c r="J2209" s="14" t="str">
        <f>_xlfn.XLOOKUP(B2209,CAD_PDV!A:A,CAD_PDV!B:B)</f>
        <v>PONTO CERTO COMERCIO E COMUNICAÇÕES LTDA</v>
      </c>
      <c r="K2209" s="14">
        <f>IF(IFERROR(_xlfn.XLOOKUP(B2209,Planilha2!D:D,Planilha2!H:H),0)="SIM",1,0)</f>
        <v>0</v>
      </c>
      <c r="L2209" s="14" t="str">
        <f>_xlfn.XLOOKUP(B2209,CAD_PDV!A:A,CAD_PDV!C:C)</f>
        <v>RJ/ES</v>
      </c>
      <c r="M2209" s="14" t="str">
        <f>IFERROR(_xlfn.XLOOKUP(B2209,repete!A:A,repete!A:A),"-")</f>
        <v>-</v>
      </c>
    </row>
    <row r="2210" spans="1:13" hidden="1">
      <c r="A2210" s="1">
        <v>46204</v>
      </c>
      <c r="B2210" t="s">
        <v>758</v>
      </c>
      <c r="C2210" t="s">
        <v>616</v>
      </c>
      <c r="D2210" t="s">
        <v>239</v>
      </c>
      <c r="E2210" t="s">
        <v>59</v>
      </c>
      <c r="F2210">
        <v>64</v>
      </c>
      <c r="G2210">
        <v>13</v>
      </c>
      <c r="H2210">
        <v>2.58912567217686E-3</v>
      </c>
      <c r="I2210">
        <v>0.203125</v>
      </c>
      <c r="J2210" s="14" t="str">
        <f>_xlfn.XLOOKUP(B2210,CAD_PDV!A:A,CAD_PDV!B:B)</f>
        <v>TELECELL TELEFONIA LTDA - ME</v>
      </c>
      <c r="K2210" s="14">
        <f>IF(IFERROR(_xlfn.XLOOKUP(B2210,Planilha2!D:D,Planilha2!H:H),0)="SIM",1,0)</f>
        <v>0</v>
      </c>
      <c r="L2210" s="14" t="str">
        <f>_xlfn.XLOOKUP(B2210,CAD_PDV!A:A,CAD_PDV!C:C)</f>
        <v>CO</v>
      </c>
      <c r="M2210" s="14" t="str">
        <f>IFERROR(_xlfn.XLOOKUP(B2210,repete!A:A,repete!A:A),"-")</f>
        <v>-</v>
      </c>
    </row>
    <row r="2211" spans="1:13" hidden="1">
      <c r="A2211" s="1">
        <v>46204</v>
      </c>
      <c r="B2211" t="s">
        <v>1363</v>
      </c>
      <c r="C2211" t="s">
        <v>1313</v>
      </c>
      <c r="D2211" t="s">
        <v>132</v>
      </c>
      <c r="E2211" t="s">
        <v>53</v>
      </c>
      <c r="F2211">
        <v>103</v>
      </c>
      <c r="G2211">
        <v>13</v>
      </c>
      <c r="H2211">
        <v>2.58912567217686E-3</v>
      </c>
      <c r="I2211">
        <v>0.12621359223301001</v>
      </c>
      <c r="J2211" s="14" t="str">
        <f>_xlfn.XLOOKUP(B2211,CAD_PDV!A:A,CAD_PDV!B:B)</f>
        <v>FLEX CELL</v>
      </c>
      <c r="K2211" s="14">
        <f>IF(IFERROR(_xlfn.XLOOKUP(B2211,Planilha2!D:D,Planilha2!H:H),0)="SIM",1,0)</f>
        <v>0</v>
      </c>
      <c r="L2211" s="14" t="str">
        <f>_xlfn.XLOOKUP(B2211,CAD_PDV!A:A,CAD_PDV!C:C)</f>
        <v>SP1</v>
      </c>
      <c r="M2211" s="14" t="str">
        <f>IFERROR(_xlfn.XLOOKUP(B2211,repete!A:A,repete!A:A),"-")</f>
        <v>-</v>
      </c>
    </row>
    <row r="2212" spans="1:13" hidden="1">
      <c r="A2212" s="1">
        <v>46204</v>
      </c>
      <c r="B2212" t="s">
        <v>1365</v>
      </c>
      <c r="C2212" t="s">
        <v>1366</v>
      </c>
      <c r="D2212" t="s">
        <v>132</v>
      </c>
      <c r="E2212" t="s">
        <v>53</v>
      </c>
      <c r="F2212">
        <v>76</v>
      </c>
      <c r="G2212">
        <v>13</v>
      </c>
      <c r="H2212">
        <v>2.58912567217686E-3</v>
      </c>
      <c r="I2212">
        <v>0.17105263157894701</v>
      </c>
      <c r="J2212" s="14" t="str">
        <f>_xlfn.XLOOKUP(B2212,CAD_PDV!A:A,CAD_PDV!B:B)</f>
        <v>FLEX CELL</v>
      </c>
      <c r="K2212" s="14">
        <f>IF(IFERROR(_xlfn.XLOOKUP(B2212,Planilha2!D:D,Planilha2!H:H),0)="SIM",1,0)</f>
        <v>0</v>
      </c>
      <c r="L2212" s="14" t="str">
        <f>_xlfn.XLOOKUP(B2212,CAD_PDV!A:A,CAD_PDV!C:C)</f>
        <v>SP1</v>
      </c>
      <c r="M2212" s="14" t="str">
        <f>IFERROR(_xlfn.XLOOKUP(B2212,repete!A:A,repete!A:A),"-")</f>
        <v>-</v>
      </c>
    </row>
    <row r="2213" spans="1:13" hidden="1">
      <c r="A2213" s="1">
        <v>46204</v>
      </c>
      <c r="B2213" t="s">
        <v>1289</v>
      </c>
      <c r="C2213" t="s">
        <v>1290</v>
      </c>
      <c r="D2213" t="s">
        <v>232</v>
      </c>
      <c r="E2213" t="s">
        <v>55</v>
      </c>
      <c r="F2213">
        <v>64</v>
      </c>
      <c r="G2213">
        <v>13</v>
      </c>
      <c r="H2213">
        <v>2.58912567217686E-3</v>
      </c>
      <c r="I2213">
        <v>0.203125</v>
      </c>
      <c r="J2213" s="14" t="str">
        <f>_xlfn.XLOOKUP(B2213,CAD_PDV!A:A,CAD_PDV!B:B)</f>
        <v>HS TELECOM</v>
      </c>
      <c r="K2213" s="14">
        <f>IF(IFERROR(_xlfn.XLOOKUP(B2213,Planilha2!D:D,Planilha2!H:H),0)="SIM",1,0)</f>
        <v>0</v>
      </c>
      <c r="L2213" s="14" t="str">
        <f>_xlfn.XLOOKUP(B2213,CAD_PDV!A:A,CAD_PDV!C:C)</f>
        <v>RJ/ES</v>
      </c>
      <c r="M2213" s="14" t="str">
        <f>IFERROR(_xlfn.XLOOKUP(B2213,repete!A:A,repete!A:A),"-")</f>
        <v>-</v>
      </c>
    </row>
    <row r="2214" spans="1:13" hidden="1">
      <c r="A2214" s="1">
        <v>46204</v>
      </c>
      <c r="B2214" t="s">
        <v>595</v>
      </c>
      <c r="C2214" t="s">
        <v>596</v>
      </c>
      <c r="D2214" t="s">
        <v>239</v>
      </c>
      <c r="E2214" t="s">
        <v>56</v>
      </c>
      <c r="F2214">
        <v>107</v>
      </c>
      <c r="G2214">
        <v>13</v>
      </c>
      <c r="H2214">
        <v>2.58912567217686E-3</v>
      </c>
      <c r="I2214">
        <v>0.121495327102804</v>
      </c>
      <c r="J2214" s="14" t="str">
        <f>_xlfn.XLOOKUP(B2214,CAD_PDV!A:A,CAD_PDV!B:B)</f>
        <v>TELECELL TELEFONIA LTDA - ME</v>
      </c>
      <c r="K2214" s="14">
        <f>IF(IFERROR(_xlfn.XLOOKUP(B2214,Planilha2!D:D,Planilha2!H:H),0)="SIM",1,0)</f>
        <v>0</v>
      </c>
      <c r="L2214" s="14" t="str">
        <f>_xlfn.XLOOKUP(B2214,CAD_PDV!A:A,CAD_PDV!C:C)</f>
        <v>MG</v>
      </c>
      <c r="M2214" s="14" t="str">
        <f>IFERROR(_xlfn.XLOOKUP(B2214,repete!A:A,repete!A:A),"-")</f>
        <v>-</v>
      </c>
    </row>
    <row r="2215" spans="1:13" hidden="1">
      <c r="A2215" s="1">
        <v>46204</v>
      </c>
      <c r="B2215" t="s">
        <v>1687</v>
      </c>
      <c r="C2215" t="s">
        <v>1688</v>
      </c>
      <c r="D2215" t="s">
        <v>232</v>
      </c>
      <c r="E2215" t="s">
        <v>54</v>
      </c>
      <c r="F2215">
        <v>76</v>
      </c>
      <c r="G2215">
        <v>13</v>
      </c>
      <c r="H2215">
        <v>2.58912567217686E-3</v>
      </c>
      <c r="I2215">
        <v>0.17105263157894701</v>
      </c>
      <c r="J2215" s="14" t="str">
        <f>_xlfn.XLOOKUP(B2215,CAD_PDV!A:A,CAD_PDV!B:B)</f>
        <v>HS TELECOM</v>
      </c>
      <c r="K2215" s="14">
        <f>IF(IFERROR(_xlfn.XLOOKUP(B2215,Planilha2!D:D,Planilha2!H:H),0)="SIM",1,0)</f>
        <v>0</v>
      </c>
      <c r="L2215" s="14" t="str">
        <f>_xlfn.XLOOKUP(B2215,CAD_PDV!A:A,CAD_PDV!C:C)</f>
        <v>SP2</v>
      </c>
      <c r="M2215" s="14" t="str">
        <f>IFERROR(_xlfn.XLOOKUP(B2215,repete!A:A,repete!A:A),"-")</f>
        <v>-</v>
      </c>
    </row>
    <row r="2216" spans="1:13" hidden="1">
      <c r="A2216" s="1">
        <v>46204</v>
      </c>
      <c r="B2216" t="s">
        <v>476</v>
      </c>
      <c r="C2216" t="s">
        <v>430</v>
      </c>
      <c r="D2216" t="s">
        <v>106</v>
      </c>
      <c r="E2216" t="s">
        <v>56</v>
      </c>
      <c r="F2216">
        <v>162</v>
      </c>
      <c r="G2216">
        <v>13</v>
      </c>
      <c r="H2216">
        <v>2.58912567217686E-3</v>
      </c>
      <c r="I2216">
        <v>8.0246913580246895E-2</v>
      </c>
      <c r="J2216" s="14" t="str">
        <f>_xlfn.XLOOKUP(B2216,CAD_PDV!A:A,CAD_PDV!B:B)</f>
        <v>CELLULAR.COM</v>
      </c>
      <c r="K2216" s="14">
        <f>IF(IFERROR(_xlfn.XLOOKUP(B2216,Planilha2!D:D,Planilha2!H:H),0)="SIM",1,0)</f>
        <v>0</v>
      </c>
      <c r="L2216" s="14" t="str">
        <f>_xlfn.XLOOKUP(B2216,CAD_PDV!A:A,CAD_PDV!C:C)</f>
        <v>MG</v>
      </c>
      <c r="M2216" s="14" t="str">
        <f>IFERROR(_xlfn.XLOOKUP(B2216,repete!A:A,repete!A:A),"-")</f>
        <v>-</v>
      </c>
    </row>
    <row r="2217" spans="1:13" hidden="1">
      <c r="A2217" s="1">
        <v>46204</v>
      </c>
      <c r="B2217" t="s">
        <v>1875</v>
      </c>
      <c r="C2217" t="s">
        <v>1876</v>
      </c>
      <c r="D2217" t="s">
        <v>124</v>
      </c>
      <c r="E2217" t="s">
        <v>2074</v>
      </c>
      <c r="F2217">
        <v>52</v>
      </c>
      <c r="G2217">
        <v>12</v>
      </c>
      <c r="H2217">
        <v>2.3899621589324798E-3</v>
      </c>
      <c r="I2217">
        <v>0.230769230769231</v>
      </c>
      <c r="J2217" s="14" t="str">
        <f>_xlfn.XLOOKUP(B2217,CAD_PDV!A:A,CAD_PDV!B:B)</f>
        <v>EDUARDO JUNQUEIRA DA SILVEIRA ADMIN</v>
      </c>
      <c r="K2217" s="14">
        <f>IF(IFERROR(_xlfn.XLOOKUP(B2217,Planilha2!D:D,Planilha2!H:H),0)="SIM",1,0)</f>
        <v>0</v>
      </c>
      <c r="L2217" s="14" t="str">
        <f>_xlfn.XLOOKUP(B2217,CAD_PDV!A:A,CAD_PDV!C:C)</f>
        <v>RS</v>
      </c>
      <c r="M2217" s="14" t="str">
        <f>IFERROR(_xlfn.XLOOKUP(B2217,repete!A:A,repete!A:A),"-")</f>
        <v>-</v>
      </c>
    </row>
    <row r="2218" spans="1:13" hidden="1">
      <c r="A2218" s="1">
        <v>46204</v>
      </c>
      <c r="B2218" t="s">
        <v>1556</v>
      </c>
      <c r="C2218" t="s">
        <v>1557</v>
      </c>
      <c r="D2218" t="s">
        <v>132</v>
      </c>
      <c r="E2218" t="s">
        <v>54</v>
      </c>
      <c r="F2218">
        <v>46</v>
      </c>
      <c r="G2218">
        <v>12</v>
      </c>
      <c r="H2218">
        <v>2.3899621589324798E-3</v>
      </c>
      <c r="I2218">
        <v>0.26086956521739102</v>
      </c>
      <c r="J2218" s="14" t="str">
        <f>_xlfn.XLOOKUP(B2218,CAD_PDV!A:A,CAD_PDV!B:B)</f>
        <v>FLEX CELL</v>
      </c>
      <c r="K2218" s="14">
        <f>IF(IFERROR(_xlfn.XLOOKUP(B2218,Planilha2!D:D,Planilha2!H:H),0)="SIM",1,0)</f>
        <v>0</v>
      </c>
      <c r="L2218" s="14" t="str">
        <f>_xlfn.XLOOKUP(B2218,CAD_PDV!A:A,CAD_PDV!C:C)</f>
        <v>SP2</v>
      </c>
      <c r="M2218" s="14" t="str">
        <f>IFERROR(_xlfn.XLOOKUP(B2218,repete!A:A,repete!A:A),"-")</f>
        <v>-</v>
      </c>
    </row>
    <row r="2219" spans="1:13" hidden="1">
      <c r="A2219" s="1">
        <v>46204</v>
      </c>
      <c r="B2219" t="s">
        <v>635</v>
      </c>
      <c r="C2219" t="s">
        <v>637</v>
      </c>
      <c r="D2219" t="s">
        <v>221</v>
      </c>
      <c r="E2219" t="s">
        <v>59</v>
      </c>
      <c r="F2219">
        <v>100</v>
      </c>
      <c r="G2219">
        <v>12</v>
      </c>
      <c r="H2219">
        <v>2.3899621589324798E-3</v>
      </c>
      <c r="I2219">
        <v>0.12</v>
      </c>
      <c r="J2219" s="14" t="str">
        <f>_xlfn.XLOOKUP(B2219,CAD_PDV!A:A,CAD_PDV!B:B)</f>
        <v>AMERICOM COMERCIO DE APARELHOS ELETRONICOS LTDA - EPP</v>
      </c>
      <c r="K2219" s="14">
        <f>IF(IFERROR(_xlfn.XLOOKUP(B2219,Planilha2!D:D,Planilha2!H:H),0)="SIM",1,0)</f>
        <v>0</v>
      </c>
      <c r="L2219" s="14" t="str">
        <f>_xlfn.XLOOKUP(B2219,CAD_PDV!A:A,CAD_PDV!C:C)</f>
        <v>CO</v>
      </c>
      <c r="M2219" s="14" t="str">
        <f>IFERROR(_xlfn.XLOOKUP(B2219,repete!A:A,repete!A:A),"-")</f>
        <v>-</v>
      </c>
    </row>
    <row r="2220" spans="1:13" hidden="1">
      <c r="A2220" s="1">
        <v>46204</v>
      </c>
      <c r="B2220" t="s">
        <v>894</v>
      </c>
      <c r="C2220" t="s">
        <v>873</v>
      </c>
      <c r="D2220" t="s">
        <v>224</v>
      </c>
      <c r="E2220" t="s">
        <v>59</v>
      </c>
      <c r="F2220">
        <v>57</v>
      </c>
      <c r="G2220">
        <v>12</v>
      </c>
      <c r="H2220">
        <v>2.3899621589324798E-3</v>
      </c>
      <c r="I2220">
        <v>0.21052631578947401</v>
      </c>
      <c r="J2220" s="14" t="str">
        <f>_xlfn.XLOOKUP(B2220,CAD_PDV!A:A,CAD_PDV!B:B)</f>
        <v>CELNET COMERCIO E SERVICOS DE TELEFONIA LTDA ME</v>
      </c>
      <c r="K2220" s="14">
        <f>IF(IFERROR(_xlfn.XLOOKUP(B2220,Planilha2!D:D,Planilha2!H:H),0)="SIM",1,0)</f>
        <v>0</v>
      </c>
      <c r="L2220" s="14" t="str">
        <f>_xlfn.XLOOKUP(B2220,CAD_PDV!A:A,CAD_PDV!C:C)</f>
        <v>CO</v>
      </c>
      <c r="M2220" s="14" t="str">
        <f>IFERROR(_xlfn.XLOOKUP(B2220,repete!A:A,repete!A:A),"-")</f>
        <v>-</v>
      </c>
    </row>
    <row r="2221" spans="1:13" hidden="1">
      <c r="A2221" s="1">
        <v>46204</v>
      </c>
      <c r="B2221" t="s">
        <v>1252</v>
      </c>
      <c r="C2221" t="s">
        <v>1142</v>
      </c>
      <c r="D2221" t="s">
        <v>228</v>
      </c>
      <c r="E2221" t="s">
        <v>55</v>
      </c>
      <c r="F2221">
        <v>58</v>
      </c>
      <c r="G2221">
        <v>12</v>
      </c>
      <c r="H2221">
        <v>2.3899621589324798E-3</v>
      </c>
      <c r="I2221">
        <v>0.20689655172413801</v>
      </c>
      <c r="J2221" s="14" t="str">
        <f>_xlfn.XLOOKUP(B2221,CAD_PDV!A:A,CAD_PDV!B:B)</f>
        <v>FAJULUTI</v>
      </c>
      <c r="K2221" s="14">
        <f>IF(IFERROR(_xlfn.XLOOKUP(B2221,Planilha2!D:D,Planilha2!H:H),0)="SIM",1,0)</f>
        <v>0</v>
      </c>
      <c r="L2221" s="14" t="str">
        <f>_xlfn.XLOOKUP(B2221,CAD_PDV!A:A,CAD_PDV!C:C)</f>
        <v>RJ/ES</v>
      </c>
      <c r="M2221" s="14" t="str">
        <f>IFERROR(_xlfn.XLOOKUP(B2221,repete!A:A,repete!A:A),"-")</f>
        <v>-</v>
      </c>
    </row>
    <row r="2222" spans="1:13" hidden="1">
      <c r="A2222" s="1">
        <v>46204</v>
      </c>
      <c r="B2222" t="s">
        <v>1681</v>
      </c>
      <c r="C2222" t="s">
        <v>1527</v>
      </c>
      <c r="D2222" t="s">
        <v>232</v>
      </c>
      <c r="E2222" t="s">
        <v>54</v>
      </c>
      <c r="F2222">
        <v>127</v>
      </c>
      <c r="G2222">
        <v>12</v>
      </c>
      <c r="H2222">
        <v>2.3899621589324798E-3</v>
      </c>
      <c r="I2222">
        <v>9.4488188976377993E-2</v>
      </c>
      <c r="J2222" s="14" t="str">
        <f>_xlfn.XLOOKUP(B2222,CAD_PDV!A:A,CAD_PDV!B:B)</f>
        <v>HS TELECOM</v>
      </c>
      <c r="K2222" s="14">
        <f>IF(IFERROR(_xlfn.XLOOKUP(B2222,Planilha2!D:D,Planilha2!H:H),0)="SIM",1,0)</f>
        <v>0</v>
      </c>
      <c r="L2222" s="14" t="str">
        <f>_xlfn.XLOOKUP(B2222,CAD_PDV!A:A,CAD_PDV!C:C)</f>
        <v>SP2</v>
      </c>
      <c r="M2222" s="14" t="str">
        <f>IFERROR(_xlfn.XLOOKUP(B2222,repete!A:A,repete!A:A),"-")</f>
        <v>-</v>
      </c>
    </row>
    <row r="2223" spans="1:13" hidden="1">
      <c r="A2223" s="1">
        <v>46204</v>
      </c>
      <c r="B2223" t="s">
        <v>573</v>
      </c>
      <c r="C2223" t="s">
        <v>574</v>
      </c>
      <c r="D2223" t="s">
        <v>228</v>
      </c>
      <c r="E2223" t="s">
        <v>56</v>
      </c>
      <c r="F2223">
        <v>33</v>
      </c>
      <c r="G2223">
        <v>12</v>
      </c>
      <c r="H2223">
        <v>2.3899621589324798E-3</v>
      </c>
      <c r="I2223">
        <v>0.36363636363636398</v>
      </c>
      <c r="J2223" s="14" t="str">
        <f>_xlfn.XLOOKUP(B2223,CAD_PDV!A:A,CAD_PDV!B:B)</f>
        <v>FAJULUTI</v>
      </c>
      <c r="K2223" s="14">
        <f>IF(IFERROR(_xlfn.XLOOKUP(B2223,Planilha2!D:D,Planilha2!H:H),0)="SIM",1,0)</f>
        <v>0</v>
      </c>
      <c r="L2223" s="14" t="str">
        <f>_xlfn.XLOOKUP(B2223,CAD_PDV!A:A,CAD_PDV!C:C)</f>
        <v>MG</v>
      </c>
      <c r="M2223" s="14" t="str">
        <f>IFERROR(_xlfn.XLOOKUP(B2223,repete!A:A,repete!A:A),"-")</f>
        <v>-</v>
      </c>
    </row>
    <row r="2224" spans="1:13" hidden="1">
      <c r="A2224" s="1">
        <v>46204</v>
      </c>
      <c r="B2224" t="s">
        <v>1339</v>
      </c>
      <c r="C2224" t="s">
        <v>1313</v>
      </c>
      <c r="D2224" t="s">
        <v>225</v>
      </c>
      <c r="E2224" t="s">
        <v>53</v>
      </c>
      <c r="F2224">
        <v>152</v>
      </c>
      <c r="G2224">
        <v>12</v>
      </c>
      <c r="H2224">
        <v>2.3899621589324798E-3</v>
      </c>
      <c r="I2224">
        <v>7.8947368421052599E-2</v>
      </c>
      <c r="J2224" s="14" t="str">
        <f>_xlfn.XLOOKUP(B2224,CAD_PDV!A:A,CAD_PDV!B:B)</f>
        <v>CLARICELL SP1</v>
      </c>
      <c r="K2224" s="14">
        <f>IF(IFERROR(_xlfn.XLOOKUP(B2224,Planilha2!D:D,Planilha2!H:H),0)="SIM",1,0)</f>
        <v>0</v>
      </c>
      <c r="L2224" s="14" t="str">
        <f>_xlfn.XLOOKUP(B2224,CAD_PDV!A:A,CAD_PDV!C:C)</f>
        <v>SP1</v>
      </c>
      <c r="M2224" s="14" t="str">
        <f>IFERROR(_xlfn.XLOOKUP(B2224,repete!A:A,repete!A:A),"-")</f>
        <v>-</v>
      </c>
    </row>
    <row r="2225" spans="1:13" hidden="1">
      <c r="A2225" s="1">
        <v>46204</v>
      </c>
      <c r="B2225" t="s">
        <v>1410</v>
      </c>
      <c r="C2225" t="s">
        <v>1413</v>
      </c>
      <c r="D2225" t="s">
        <v>220</v>
      </c>
      <c r="E2225" t="s">
        <v>54</v>
      </c>
      <c r="F2225">
        <v>41</v>
      </c>
      <c r="G2225">
        <v>11</v>
      </c>
      <c r="H2225">
        <v>2.1907986456881101E-3</v>
      </c>
      <c r="I2225">
        <v>0.26829268292682901</v>
      </c>
      <c r="J2225" s="14" t="str">
        <f>_xlfn.XLOOKUP(B2225,CAD_PDV!A:A,CAD_PDV!B:B)</f>
        <v>ADESIENE NUNES MACHADO - ME</v>
      </c>
      <c r="K2225" s="14">
        <f>IF(IFERROR(_xlfn.XLOOKUP(B2225,Planilha2!D:D,Planilha2!H:H),0)="SIM",1,0)</f>
        <v>0</v>
      </c>
      <c r="L2225" s="14" t="str">
        <f>_xlfn.XLOOKUP(B2225,CAD_PDV!A:A,CAD_PDV!C:C)</f>
        <v>SP2</v>
      </c>
      <c r="M2225" s="14" t="str">
        <f>IFERROR(_xlfn.XLOOKUP(B2225,repete!A:A,repete!A:A),"-")</f>
        <v>-</v>
      </c>
    </row>
    <row r="2226" spans="1:13" hidden="1">
      <c r="A2226" s="1">
        <v>46204</v>
      </c>
      <c r="B2226" t="s">
        <v>495</v>
      </c>
      <c r="C2226" t="s">
        <v>496</v>
      </c>
      <c r="D2226" t="s">
        <v>239</v>
      </c>
      <c r="E2226" t="s">
        <v>56</v>
      </c>
      <c r="F2226">
        <v>42</v>
      </c>
      <c r="G2226">
        <v>11</v>
      </c>
      <c r="H2226">
        <v>2.1907986456881101E-3</v>
      </c>
      <c r="I2226">
        <v>0.26190476190476197</v>
      </c>
      <c r="J2226" s="14" t="str">
        <f>_xlfn.XLOOKUP(B2226,CAD_PDV!A:A,CAD_PDV!B:B)</f>
        <v>TELECELL TELEFONIA LTDA - ME</v>
      </c>
      <c r="K2226" s="14">
        <f>IF(IFERROR(_xlfn.XLOOKUP(B2226,Planilha2!D:D,Planilha2!H:H),0)="SIM",1,0)</f>
        <v>0</v>
      </c>
      <c r="L2226" s="14" t="str">
        <f>_xlfn.XLOOKUP(B2226,CAD_PDV!A:A,CAD_PDV!C:C)</f>
        <v>MG</v>
      </c>
      <c r="M2226" s="14" t="str">
        <f>IFERROR(_xlfn.XLOOKUP(B2226,repete!A:A,repete!A:A),"-")</f>
        <v>-</v>
      </c>
    </row>
    <row r="2227" spans="1:13" hidden="1">
      <c r="A2227" s="1">
        <v>46204</v>
      </c>
      <c r="B2227" t="s">
        <v>512</v>
      </c>
      <c r="C2227" t="s">
        <v>513</v>
      </c>
      <c r="D2227" t="s">
        <v>228</v>
      </c>
      <c r="E2227" t="s">
        <v>56</v>
      </c>
      <c r="F2227">
        <v>32</v>
      </c>
      <c r="G2227">
        <v>11</v>
      </c>
      <c r="H2227">
        <v>2.1907986456881101E-3</v>
      </c>
      <c r="I2227">
        <v>0.34375</v>
      </c>
      <c r="J2227" s="14" t="str">
        <f>_xlfn.XLOOKUP(B2227,CAD_PDV!A:A,CAD_PDV!B:B)</f>
        <v>FAJULUTI</v>
      </c>
      <c r="K2227" s="14">
        <f>IF(IFERROR(_xlfn.XLOOKUP(B2227,Planilha2!D:D,Planilha2!H:H),0)="SIM",1,0)</f>
        <v>0</v>
      </c>
      <c r="L2227" s="14" t="str">
        <f>_xlfn.XLOOKUP(B2227,CAD_PDV!A:A,CAD_PDV!C:C)</f>
        <v>MG</v>
      </c>
      <c r="M2227" s="14" t="str">
        <f>IFERROR(_xlfn.XLOOKUP(B2227,repete!A:A,repete!A:A),"-")</f>
        <v>-</v>
      </c>
    </row>
    <row r="2228" spans="1:13" hidden="1">
      <c r="A2228" s="1">
        <v>46204</v>
      </c>
      <c r="B2228" t="s">
        <v>876</v>
      </c>
      <c r="C2228" t="s">
        <v>873</v>
      </c>
      <c r="D2228" t="s">
        <v>224</v>
      </c>
      <c r="E2228" t="s">
        <v>59</v>
      </c>
      <c r="F2228">
        <v>49</v>
      </c>
      <c r="G2228">
        <v>11</v>
      </c>
      <c r="H2228">
        <v>2.1907986456881101E-3</v>
      </c>
      <c r="I2228">
        <v>0.22448979591836701</v>
      </c>
      <c r="J2228" s="14" t="str">
        <f>_xlfn.XLOOKUP(B2228,CAD_PDV!A:A,CAD_PDV!B:B)</f>
        <v>CELNET COMERCIO E SERVICOS DE TELEFONIA LTDA ME</v>
      </c>
      <c r="K2228" s="14">
        <f>IF(IFERROR(_xlfn.XLOOKUP(B2228,Planilha2!D:D,Planilha2!H:H),0)="SIM",1,0)</f>
        <v>0</v>
      </c>
      <c r="L2228" s="14" t="str">
        <f>_xlfn.XLOOKUP(B2228,CAD_PDV!A:A,CAD_PDV!C:C)</f>
        <v>CO</v>
      </c>
      <c r="M2228" s="14" t="str">
        <f>IFERROR(_xlfn.XLOOKUP(B2228,repete!A:A,repete!A:A),"-")</f>
        <v>-</v>
      </c>
    </row>
    <row r="2229" spans="1:13" hidden="1">
      <c r="A2229" s="1">
        <v>46204</v>
      </c>
      <c r="B2229" t="s">
        <v>880</v>
      </c>
      <c r="C2229" t="s">
        <v>875</v>
      </c>
      <c r="D2229" t="s">
        <v>239</v>
      </c>
      <c r="E2229" t="s">
        <v>59</v>
      </c>
      <c r="F2229">
        <v>101</v>
      </c>
      <c r="G2229">
        <v>11</v>
      </c>
      <c r="H2229">
        <v>2.1907986456881101E-3</v>
      </c>
      <c r="I2229">
        <v>0.10891089108910899</v>
      </c>
      <c r="J2229" s="14" t="str">
        <f>_xlfn.XLOOKUP(B2229,CAD_PDV!A:A,CAD_PDV!B:B)</f>
        <v>TELECELL TELEFONIA LTDA - ME</v>
      </c>
      <c r="K2229" s="14">
        <f>IF(IFERROR(_xlfn.XLOOKUP(B2229,Planilha2!D:D,Planilha2!H:H),0)="SIM",1,0)</f>
        <v>0</v>
      </c>
      <c r="L2229" s="14" t="str">
        <f>_xlfn.XLOOKUP(B2229,CAD_PDV!A:A,CAD_PDV!C:C)</f>
        <v>CO</v>
      </c>
      <c r="M2229" s="14" t="str">
        <f>IFERROR(_xlfn.XLOOKUP(B2229,repete!A:A,repete!A:A),"-")</f>
        <v>-</v>
      </c>
    </row>
    <row r="2230" spans="1:13" hidden="1">
      <c r="A2230" s="1">
        <v>46204</v>
      </c>
      <c r="B2230" t="s">
        <v>656</v>
      </c>
      <c r="C2230" t="s">
        <v>649</v>
      </c>
      <c r="D2230" t="s">
        <v>239</v>
      </c>
      <c r="E2230" t="s">
        <v>59</v>
      </c>
      <c r="F2230">
        <v>55</v>
      </c>
      <c r="G2230">
        <v>11</v>
      </c>
      <c r="H2230">
        <v>2.1907986456881101E-3</v>
      </c>
      <c r="I2230">
        <v>0.2</v>
      </c>
      <c r="J2230" s="14" t="str">
        <f>_xlfn.XLOOKUP(B2230,CAD_PDV!A:A,CAD_PDV!B:B)</f>
        <v>TELECELL TELEFONIA LTDA - ME</v>
      </c>
      <c r="K2230" s="14">
        <f>IF(IFERROR(_xlfn.XLOOKUP(B2230,Planilha2!D:D,Planilha2!H:H),0)="SIM",1,0)</f>
        <v>0</v>
      </c>
      <c r="L2230" s="14" t="str">
        <f>_xlfn.XLOOKUP(B2230,CAD_PDV!A:A,CAD_PDV!C:C)</f>
        <v>CO</v>
      </c>
      <c r="M2230" s="14" t="str">
        <f>IFERROR(_xlfn.XLOOKUP(B2230,repete!A:A,repete!A:A),"-")</f>
        <v>-</v>
      </c>
    </row>
    <row r="2231" spans="1:13" hidden="1">
      <c r="A2231" s="1">
        <v>46204</v>
      </c>
      <c r="B2231" t="s">
        <v>2054</v>
      </c>
      <c r="C2231" t="s">
        <v>2053</v>
      </c>
      <c r="D2231" t="s">
        <v>193</v>
      </c>
      <c r="E2231" t="s">
        <v>2074</v>
      </c>
      <c r="F2231">
        <v>55</v>
      </c>
      <c r="G2231">
        <v>11</v>
      </c>
      <c r="H2231">
        <v>2.1907986456881101E-3</v>
      </c>
      <c r="I2231">
        <v>0.2</v>
      </c>
      <c r="J2231" s="14" t="str">
        <f>_xlfn.XLOOKUP(B2231,CAD_PDV!A:A,CAD_PDV!B:B)</f>
        <v>S D COMERCIO DE CELULARES LTDA - ME</v>
      </c>
      <c r="K2231" s="14">
        <f>IF(IFERROR(_xlfn.XLOOKUP(B2231,Planilha2!D:D,Planilha2!H:H),0)="SIM",1,0)</f>
        <v>0</v>
      </c>
      <c r="L2231" s="14" t="str">
        <f>_xlfn.XLOOKUP(B2231,CAD_PDV!A:A,CAD_PDV!C:C)</f>
        <v>RS</v>
      </c>
      <c r="M2231" s="14" t="str">
        <f>IFERROR(_xlfn.XLOOKUP(B2231,repete!A:A,repete!A:A),"-")</f>
        <v>-</v>
      </c>
    </row>
    <row r="2232" spans="1:13" hidden="1">
      <c r="A2232" s="1">
        <v>46204</v>
      </c>
      <c r="B2232" t="s">
        <v>1862</v>
      </c>
      <c r="C2232" t="s">
        <v>1861</v>
      </c>
      <c r="D2232" t="s">
        <v>106</v>
      </c>
      <c r="E2232" t="s">
        <v>2074</v>
      </c>
      <c r="F2232">
        <v>86</v>
      </c>
      <c r="G2232">
        <v>11</v>
      </c>
      <c r="H2232">
        <v>2.1907986456881101E-3</v>
      </c>
      <c r="I2232">
        <v>0.127906976744186</v>
      </c>
      <c r="J2232" s="14" t="str">
        <f>_xlfn.XLOOKUP(B2232,CAD_PDV!A:A,CAD_PDV!B:B)</f>
        <v>CELLULAR.COM</v>
      </c>
      <c r="K2232" s="14">
        <f>IF(IFERROR(_xlfn.XLOOKUP(B2232,Planilha2!D:D,Planilha2!H:H),0)="SIM",1,0)</f>
        <v>0</v>
      </c>
      <c r="L2232" s="14" t="str">
        <f>_xlfn.XLOOKUP(B2232,CAD_PDV!A:A,CAD_PDV!C:C)</f>
        <v>PR/SC</v>
      </c>
      <c r="M2232" s="14" t="str">
        <f>IFERROR(_xlfn.XLOOKUP(B2232,repete!A:A,repete!A:A),"-")</f>
        <v>-</v>
      </c>
    </row>
    <row r="2233" spans="1:13" hidden="1">
      <c r="A2233" s="1">
        <v>46204</v>
      </c>
      <c r="B2233" t="s">
        <v>1667</v>
      </c>
      <c r="C2233" t="s">
        <v>1668</v>
      </c>
      <c r="D2233" t="s">
        <v>232</v>
      </c>
      <c r="E2233" t="s">
        <v>54</v>
      </c>
      <c r="F2233">
        <v>70</v>
      </c>
      <c r="G2233">
        <v>11</v>
      </c>
      <c r="H2233">
        <v>2.1907986456881101E-3</v>
      </c>
      <c r="I2233">
        <v>0.157142857142857</v>
      </c>
      <c r="J2233" s="14" t="str">
        <f>_xlfn.XLOOKUP(B2233,CAD_PDV!A:A,CAD_PDV!B:B)</f>
        <v>HS TELECOM</v>
      </c>
      <c r="K2233" s="14">
        <f>IF(IFERROR(_xlfn.XLOOKUP(B2233,Planilha2!D:D,Planilha2!H:H),0)="SIM",1,0)</f>
        <v>0</v>
      </c>
      <c r="L2233" s="14" t="str">
        <f>_xlfn.XLOOKUP(B2233,CAD_PDV!A:A,CAD_PDV!C:C)</f>
        <v>SP2</v>
      </c>
      <c r="M2233" s="14" t="str">
        <f>IFERROR(_xlfn.XLOOKUP(B2233,repete!A:A,repete!A:A),"-")</f>
        <v>-</v>
      </c>
    </row>
    <row r="2234" spans="1:13" hidden="1">
      <c r="A2234" s="1">
        <v>46204</v>
      </c>
      <c r="B2234" t="s">
        <v>539</v>
      </c>
      <c r="C2234" t="s">
        <v>433</v>
      </c>
      <c r="D2234" t="s">
        <v>106</v>
      </c>
      <c r="E2234" t="s">
        <v>56</v>
      </c>
      <c r="F2234">
        <v>52</v>
      </c>
      <c r="G2234">
        <v>11</v>
      </c>
      <c r="H2234">
        <v>2.1907986456881101E-3</v>
      </c>
      <c r="I2234">
        <v>0.21153846153846201</v>
      </c>
      <c r="J2234" s="14" t="str">
        <f>_xlfn.XLOOKUP(B2234,CAD_PDV!A:A,CAD_PDV!B:B)</f>
        <v>CELLULAR.COM</v>
      </c>
      <c r="K2234" s="14">
        <f>IF(IFERROR(_xlfn.XLOOKUP(B2234,Planilha2!D:D,Planilha2!H:H),0)="SIM",1,0)</f>
        <v>0</v>
      </c>
      <c r="L2234" s="14" t="str">
        <f>_xlfn.XLOOKUP(B2234,CAD_PDV!A:A,CAD_PDV!C:C)</f>
        <v>MG</v>
      </c>
      <c r="M2234" s="14" t="str">
        <f>IFERROR(_xlfn.XLOOKUP(B2234,repete!A:A,repete!A:A),"-")</f>
        <v>-</v>
      </c>
    </row>
    <row r="2235" spans="1:13" hidden="1">
      <c r="A2235" s="1">
        <v>46204</v>
      </c>
      <c r="B2235" t="s">
        <v>577</v>
      </c>
      <c r="C2235" t="s">
        <v>578</v>
      </c>
      <c r="D2235" t="s">
        <v>228</v>
      </c>
      <c r="E2235" t="s">
        <v>56</v>
      </c>
      <c r="F2235">
        <v>17</v>
      </c>
      <c r="G2235">
        <v>11</v>
      </c>
      <c r="H2235">
        <v>2.1907986456881101E-3</v>
      </c>
      <c r="I2235">
        <v>0.64705882352941202</v>
      </c>
      <c r="J2235" s="14" t="str">
        <f>_xlfn.XLOOKUP(B2235,CAD_PDV!A:A,CAD_PDV!B:B)</f>
        <v>FAJULUTI</v>
      </c>
      <c r="K2235" s="14">
        <f>IF(IFERROR(_xlfn.XLOOKUP(B2235,Planilha2!D:D,Planilha2!H:H),0)="SIM",1,0)</f>
        <v>0</v>
      </c>
      <c r="L2235" s="14" t="str">
        <f>_xlfn.XLOOKUP(B2235,CAD_PDV!A:A,CAD_PDV!C:C)</f>
        <v>MG</v>
      </c>
      <c r="M2235" s="14" t="str">
        <f>IFERROR(_xlfn.XLOOKUP(B2235,repete!A:A,repete!A:A),"-")</f>
        <v>-</v>
      </c>
    </row>
    <row r="2236" spans="1:13" hidden="1">
      <c r="A2236" s="1">
        <v>46204</v>
      </c>
      <c r="B2236" t="s">
        <v>2013</v>
      </c>
      <c r="C2236" t="s">
        <v>1744</v>
      </c>
      <c r="D2236" t="s">
        <v>106</v>
      </c>
      <c r="E2236" t="s">
        <v>2074</v>
      </c>
      <c r="F2236">
        <v>105</v>
      </c>
      <c r="G2236">
        <v>10</v>
      </c>
      <c r="H2236">
        <v>1.9916351324437398E-3</v>
      </c>
      <c r="I2236">
        <v>9.5238095238095205E-2</v>
      </c>
      <c r="J2236" s="14" t="str">
        <f>_xlfn.XLOOKUP(B2236,CAD_PDV!A:A,CAD_PDV!B:B)</f>
        <v>CELLULAR.COM</v>
      </c>
      <c r="K2236" s="14">
        <f>IF(IFERROR(_xlfn.XLOOKUP(B2236,Planilha2!D:D,Planilha2!H:H),0)="SIM",1,0)</f>
        <v>0</v>
      </c>
      <c r="L2236" s="14" t="str">
        <f>_xlfn.XLOOKUP(B2236,CAD_PDV!A:A,CAD_PDV!C:C)</f>
        <v>PR/SC</v>
      </c>
      <c r="M2236" s="14" t="str">
        <f>IFERROR(_xlfn.XLOOKUP(B2236,repete!A:A,repete!A:A),"-")</f>
        <v>-</v>
      </c>
    </row>
    <row r="2237" spans="1:13" hidden="1">
      <c r="A2237" s="1">
        <v>46204</v>
      </c>
      <c r="B2237" t="s">
        <v>1203</v>
      </c>
      <c r="C2237" t="s">
        <v>1204</v>
      </c>
      <c r="D2237" t="s">
        <v>2072</v>
      </c>
      <c r="E2237" t="s">
        <v>55</v>
      </c>
      <c r="F2237">
        <v>42</v>
      </c>
      <c r="G2237">
        <v>10</v>
      </c>
      <c r="H2237">
        <v>1.9916351324437398E-3</v>
      </c>
      <c r="I2237">
        <v>0.238095238095238</v>
      </c>
      <c r="J2237" s="14" t="str">
        <f>_xlfn.XLOOKUP(B2237,CAD_PDV!A:A,CAD_PDV!B:B)</f>
        <v>MEXCELL COMERCIO E SERVICOS DE TELECOMUNICACOES LTDA</v>
      </c>
      <c r="K2237" s="14">
        <f>IF(IFERROR(_xlfn.XLOOKUP(B2237,Planilha2!D:D,Planilha2!H:H),0)="SIM",1,0)</f>
        <v>0</v>
      </c>
      <c r="L2237" s="14" t="str">
        <f>_xlfn.XLOOKUP(B2237,CAD_PDV!A:A,CAD_PDV!C:C)</f>
        <v>RJ/ES</v>
      </c>
      <c r="M2237" s="14" t="str">
        <f>IFERROR(_xlfn.XLOOKUP(B2237,repete!A:A,repete!A:A),"-")</f>
        <v>-</v>
      </c>
    </row>
    <row r="2238" spans="1:13" hidden="1">
      <c r="A2238" s="1">
        <v>46204</v>
      </c>
      <c r="B2238" t="s">
        <v>1528</v>
      </c>
      <c r="C2238" t="s">
        <v>1454</v>
      </c>
      <c r="D2238" t="s">
        <v>132</v>
      </c>
      <c r="E2238" t="s">
        <v>54</v>
      </c>
      <c r="F2238">
        <v>32</v>
      </c>
      <c r="G2238">
        <v>10</v>
      </c>
      <c r="H2238">
        <v>1.9916351324437398E-3</v>
      </c>
      <c r="I2238">
        <v>0.3125</v>
      </c>
      <c r="J2238" s="14" t="str">
        <f>_xlfn.XLOOKUP(B2238,CAD_PDV!A:A,CAD_PDV!B:B)</f>
        <v>FLEX CELL</v>
      </c>
      <c r="K2238" s="14">
        <f>IF(IFERROR(_xlfn.XLOOKUP(B2238,Planilha2!D:D,Planilha2!H:H),0)="SIM",1,0)</f>
        <v>0</v>
      </c>
      <c r="L2238" s="14" t="str">
        <f>_xlfn.XLOOKUP(B2238,CAD_PDV!A:A,CAD_PDV!C:C)</f>
        <v>SP2</v>
      </c>
      <c r="M2238" s="14" t="str">
        <f>IFERROR(_xlfn.XLOOKUP(B2238,repete!A:A,repete!A:A),"-")</f>
        <v>-</v>
      </c>
    </row>
    <row r="2239" spans="1:13" hidden="1">
      <c r="A2239" s="1">
        <v>46204</v>
      </c>
      <c r="B2239" t="s">
        <v>787</v>
      </c>
      <c r="C2239" t="s">
        <v>649</v>
      </c>
      <c r="D2239" t="s">
        <v>240</v>
      </c>
      <c r="E2239" t="s">
        <v>59</v>
      </c>
      <c r="F2239">
        <v>29</v>
      </c>
      <c r="G2239">
        <v>10</v>
      </c>
      <c r="H2239">
        <v>1.9916351324437398E-3</v>
      </c>
      <c r="I2239">
        <v>0.34482758620689702</v>
      </c>
      <c r="J2239" s="14" t="str">
        <f>_xlfn.XLOOKUP(B2239,CAD_PDV!A:A,CAD_PDV!B:B)</f>
        <v>TELEMAIS TELEFONIA LTDA - ME</v>
      </c>
      <c r="K2239" s="14">
        <f>IF(IFERROR(_xlfn.XLOOKUP(B2239,Planilha2!D:D,Planilha2!H:H),0)="SIM",1,0)</f>
        <v>0</v>
      </c>
      <c r="L2239" s="14" t="str">
        <f>_xlfn.XLOOKUP(B2239,CAD_PDV!A:A,CAD_PDV!C:C)</f>
        <v>CO</v>
      </c>
      <c r="M2239" s="14" t="str">
        <f>IFERROR(_xlfn.XLOOKUP(B2239,repete!A:A,repete!A:A),"-")</f>
        <v>-</v>
      </c>
    </row>
    <row r="2240" spans="1:13" hidden="1">
      <c r="A2240" s="1">
        <v>46204</v>
      </c>
      <c r="B2240" t="s">
        <v>1222</v>
      </c>
      <c r="C2240" t="s">
        <v>1223</v>
      </c>
      <c r="D2240" t="s">
        <v>228</v>
      </c>
      <c r="E2240" t="s">
        <v>55</v>
      </c>
      <c r="F2240">
        <v>71</v>
      </c>
      <c r="G2240">
        <v>10</v>
      </c>
      <c r="H2240">
        <v>1.9916351324437398E-3</v>
      </c>
      <c r="I2240">
        <v>0.140845070422535</v>
      </c>
      <c r="J2240" s="14" t="str">
        <f>_xlfn.XLOOKUP(B2240,CAD_PDV!A:A,CAD_PDV!B:B)</f>
        <v>FAJULUTI</v>
      </c>
      <c r="K2240" s="14">
        <f>IF(IFERROR(_xlfn.XLOOKUP(B2240,Planilha2!D:D,Planilha2!H:H),0)="SIM",1,0)</f>
        <v>0</v>
      </c>
      <c r="L2240" s="14" t="str">
        <f>_xlfn.XLOOKUP(B2240,CAD_PDV!A:A,CAD_PDV!C:C)</f>
        <v>RJ/ES</v>
      </c>
      <c r="M2240" s="14" t="str">
        <f>IFERROR(_xlfn.XLOOKUP(B2240,repete!A:A,repete!A:A),"-")</f>
        <v>-</v>
      </c>
    </row>
    <row r="2241" spans="1:13" hidden="1">
      <c r="A2241" s="1">
        <v>46204</v>
      </c>
      <c r="B2241" t="s">
        <v>1288</v>
      </c>
      <c r="C2241" t="s">
        <v>1188</v>
      </c>
      <c r="D2241" t="s">
        <v>232</v>
      </c>
      <c r="E2241" t="s">
        <v>55</v>
      </c>
      <c r="F2241">
        <v>88</v>
      </c>
      <c r="G2241">
        <v>10</v>
      </c>
      <c r="H2241">
        <v>1.9916351324437398E-3</v>
      </c>
      <c r="I2241">
        <v>0.11363636363636399</v>
      </c>
      <c r="J2241" s="14" t="str">
        <f>_xlfn.XLOOKUP(B2241,CAD_PDV!A:A,CAD_PDV!B:B)</f>
        <v>HS TELECOM</v>
      </c>
      <c r="K2241" s="14">
        <f>IF(IFERROR(_xlfn.XLOOKUP(B2241,Planilha2!D:D,Planilha2!H:H),0)="SIM",1,0)</f>
        <v>0</v>
      </c>
      <c r="L2241" s="14" t="str">
        <f>_xlfn.XLOOKUP(B2241,CAD_PDV!A:A,CAD_PDV!C:C)</f>
        <v>RJ/ES</v>
      </c>
      <c r="M2241" s="14" t="str">
        <f>IFERROR(_xlfn.XLOOKUP(B2241,repete!A:A,repete!A:A),"-")</f>
        <v>-</v>
      </c>
    </row>
    <row r="2242" spans="1:13" hidden="1">
      <c r="A2242" s="1">
        <v>46204</v>
      </c>
      <c r="B2242" t="s">
        <v>1334</v>
      </c>
      <c r="C2242" t="s">
        <v>1313</v>
      </c>
      <c r="D2242" t="s">
        <v>225</v>
      </c>
      <c r="E2242" t="s">
        <v>53</v>
      </c>
      <c r="F2242">
        <v>43</v>
      </c>
      <c r="G2242">
        <v>10</v>
      </c>
      <c r="H2242">
        <v>1.9916351324437398E-3</v>
      </c>
      <c r="I2242">
        <v>0.232558139534884</v>
      </c>
      <c r="J2242" s="14" t="str">
        <f>_xlfn.XLOOKUP(B2242,CAD_PDV!A:A,CAD_PDV!B:B)</f>
        <v>CLARICELL SP1</v>
      </c>
      <c r="K2242" s="14">
        <f>IF(IFERROR(_xlfn.XLOOKUP(B2242,Planilha2!D:D,Planilha2!H:H),0)="SIM",1,0)</f>
        <v>0</v>
      </c>
      <c r="L2242" s="14" t="str">
        <f>_xlfn.XLOOKUP(B2242,CAD_PDV!A:A,CAD_PDV!C:C)</f>
        <v>SP1</v>
      </c>
      <c r="M2242" s="14" t="str">
        <f>IFERROR(_xlfn.XLOOKUP(B2242,repete!A:A,repete!A:A),"-")</f>
        <v>-</v>
      </c>
    </row>
    <row r="2243" spans="1:13" hidden="1">
      <c r="A2243" s="1">
        <v>46204</v>
      </c>
      <c r="B2243" t="s">
        <v>369</v>
      </c>
      <c r="C2243" t="s">
        <v>370</v>
      </c>
      <c r="D2243" t="s">
        <v>230</v>
      </c>
      <c r="E2243" t="s">
        <v>61</v>
      </c>
      <c r="F2243">
        <v>27</v>
      </c>
      <c r="G2243">
        <v>10</v>
      </c>
      <c r="H2243">
        <v>1.9916351324437398E-3</v>
      </c>
      <c r="I2243">
        <v>0.37037037037037002</v>
      </c>
      <c r="J2243" s="14" t="str">
        <f>_xlfn.XLOOKUP(B2243,CAD_PDV!A:A,CAD_PDV!B:B)</f>
        <v>HARCOS COMERCIO E SERVICOS LTDA - EPP</v>
      </c>
      <c r="K2243" s="14">
        <f>IF(IFERROR(_xlfn.XLOOKUP(B2243,Planilha2!D:D,Planilha2!H:H),0)="SIM",1,0)</f>
        <v>0</v>
      </c>
      <c r="L2243" s="14" t="str">
        <f>_xlfn.XLOOKUP(B2243,CAD_PDV!A:A,CAD_PDV!C:C)</f>
        <v>NE</v>
      </c>
      <c r="M2243" s="14" t="str">
        <f>IFERROR(_xlfn.XLOOKUP(B2243,repete!A:A,repete!A:A),"-")</f>
        <v>-</v>
      </c>
    </row>
    <row r="2244" spans="1:13" hidden="1">
      <c r="A2244" s="1">
        <v>46204</v>
      </c>
      <c r="B2244" t="s">
        <v>800</v>
      </c>
      <c r="C2244" t="s">
        <v>651</v>
      </c>
      <c r="D2244" t="s">
        <v>239</v>
      </c>
      <c r="E2244" t="s">
        <v>59</v>
      </c>
      <c r="F2244">
        <v>69</v>
      </c>
      <c r="G2244">
        <v>10</v>
      </c>
      <c r="H2244">
        <v>1.9916351324437398E-3</v>
      </c>
      <c r="I2244">
        <v>0.14492753623188401</v>
      </c>
      <c r="J2244" s="14" t="str">
        <f>_xlfn.XLOOKUP(B2244,CAD_PDV!A:A,CAD_PDV!B:B)</f>
        <v>TELECELL TELEFONIA LTDA - ME</v>
      </c>
      <c r="K2244" s="14">
        <f>IF(IFERROR(_xlfn.XLOOKUP(B2244,Planilha2!D:D,Planilha2!H:H),0)="SIM",1,0)</f>
        <v>0</v>
      </c>
      <c r="L2244" s="14" t="str">
        <f>_xlfn.XLOOKUP(B2244,CAD_PDV!A:A,CAD_PDV!C:C)</f>
        <v>CO</v>
      </c>
      <c r="M2244" s="14" t="str">
        <f>IFERROR(_xlfn.XLOOKUP(B2244,repete!A:A,repete!A:A),"-")</f>
        <v>-</v>
      </c>
    </row>
    <row r="2245" spans="1:13" hidden="1">
      <c r="A2245" s="1">
        <v>46204</v>
      </c>
      <c r="B2245" t="s">
        <v>781</v>
      </c>
      <c r="C2245" t="s">
        <v>637</v>
      </c>
      <c r="D2245" t="s">
        <v>221</v>
      </c>
      <c r="E2245" t="s">
        <v>59</v>
      </c>
      <c r="F2245">
        <v>73</v>
      </c>
      <c r="G2245">
        <v>10</v>
      </c>
      <c r="H2245">
        <v>1.9916351324437398E-3</v>
      </c>
      <c r="I2245">
        <v>0.13698630136986301</v>
      </c>
      <c r="J2245" s="14" t="str">
        <f>_xlfn.XLOOKUP(B2245,CAD_PDV!A:A,CAD_PDV!B:B)</f>
        <v>AMERICOM COMERCIO DE APARELHOS ELETRONICOS LTDA - EPP</v>
      </c>
      <c r="K2245" s="14">
        <f>IF(IFERROR(_xlfn.XLOOKUP(B2245,Planilha2!D:D,Planilha2!H:H),0)="SIM",1,0)</f>
        <v>0</v>
      </c>
      <c r="L2245" s="14" t="str">
        <f>_xlfn.XLOOKUP(B2245,CAD_PDV!A:A,CAD_PDV!C:C)</f>
        <v>CO</v>
      </c>
      <c r="M2245" s="14" t="str">
        <f>IFERROR(_xlfn.XLOOKUP(B2245,repete!A:A,repete!A:A),"-")</f>
        <v>-</v>
      </c>
    </row>
    <row r="2246" spans="1:13" hidden="1">
      <c r="A2246" s="1">
        <v>46204</v>
      </c>
      <c r="B2246" t="s">
        <v>962</v>
      </c>
      <c r="C2246" t="s">
        <v>950</v>
      </c>
      <c r="D2246" t="s">
        <v>232</v>
      </c>
      <c r="E2246" t="s">
        <v>60</v>
      </c>
      <c r="F2246">
        <v>55</v>
      </c>
      <c r="G2246">
        <v>10</v>
      </c>
      <c r="H2246">
        <v>1.9916351324437398E-3</v>
      </c>
      <c r="I2246">
        <v>0.18181818181818199</v>
      </c>
      <c r="J2246" s="14" t="str">
        <f>_xlfn.XLOOKUP(B2246,CAD_PDV!A:A,CAD_PDV!B:B)</f>
        <v>HS TELECOM</v>
      </c>
      <c r="K2246" s="14">
        <f>IF(IFERROR(_xlfn.XLOOKUP(B2246,Planilha2!D:D,Planilha2!H:H),0)="SIM",1,0)</f>
        <v>0</v>
      </c>
      <c r="L2246" s="14" t="str">
        <f>_xlfn.XLOOKUP(B2246,CAD_PDV!A:A,CAD_PDV!C:C)</f>
        <v>BA/SE</v>
      </c>
      <c r="M2246" s="14" t="str">
        <f>IFERROR(_xlfn.XLOOKUP(B2246,repete!A:A,repete!A:A),"-")</f>
        <v>-</v>
      </c>
    </row>
    <row r="2247" spans="1:13" hidden="1">
      <c r="A2247" s="1">
        <v>46204</v>
      </c>
      <c r="B2247" t="s">
        <v>2063</v>
      </c>
      <c r="C2247" t="s">
        <v>2064</v>
      </c>
      <c r="D2247" t="s">
        <v>240</v>
      </c>
      <c r="E2247" t="s">
        <v>59</v>
      </c>
      <c r="F2247">
        <v>41</v>
      </c>
      <c r="G2247">
        <v>10</v>
      </c>
      <c r="H2247">
        <v>1.9916351324437398E-3</v>
      </c>
      <c r="I2247">
        <v>0.24390243902438999</v>
      </c>
      <c r="J2247" s="14" t="str">
        <f>_xlfn.XLOOKUP(B2247,CAD_PDV!A:A,CAD_PDV!B:B)</f>
        <v>TELEMAIS TELEFONIA LTDA - ME</v>
      </c>
      <c r="K2247" s="14">
        <f>IF(IFERROR(_xlfn.XLOOKUP(B2247,Planilha2!D:D,Planilha2!H:H),0)="SIM",1,0)</f>
        <v>0</v>
      </c>
      <c r="L2247" s="14" t="str">
        <f>_xlfn.XLOOKUP(B2247,CAD_PDV!A:A,CAD_PDV!C:C)</f>
        <v>CO</v>
      </c>
      <c r="M2247" s="14" t="str">
        <f>IFERROR(_xlfn.XLOOKUP(B2247,repete!A:A,repete!A:A),"-")</f>
        <v>-</v>
      </c>
    </row>
    <row r="2248" spans="1:13" hidden="1">
      <c r="A2248" s="1">
        <v>46204</v>
      </c>
      <c r="B2248" t="s">
        <v>1177</v>
      </c>
      <c r="C2248" t="s">
        <v>1142</v>
      </c>
      <c r="D2248" t="s">
        <v>228</v>
      </c>
      <c r="E2248" t="s">
        <v>55</v>
      </c>
      <c r="F2248">
        <v>66</v>
      </c>
      <c r="G2248">
        <v>10</v>
      </c>
      <c r="H2248">
        <v>1.9916351324437398E-3</v>
      </c>
      <c r="I2248">
        <v>0.15151515151515199</v>
      </c>
      <c r="J2248" s="14" t="str">
        <f>_xlfn.XLOOKUP(B2248,CAD_PDV!A:A,CAD_PDV!B:B)</f>
        <v>FAJULUTI</v>
      </c>
      <c r="K2248" s="14">
        <f>IF(IFERROR(_xlfn.XLOOKUP(B2248,Planilha2!D:D,Planilha2!H:H),0)="SIM",1,0)</f>
        <v>0</v>
      </c>
      <c r="L2248" s="14" t="str">
        <f>_xlfn.XLOOKUP(B2248,CAD_PDV!A:A,CAD_PDV!C:C)</f>
        <v>RJ/ES</v>
      </c>
      <c r="M2248" s="14" t="str">
        <f>IFERROR(_xlfn.XLOOKUP(B2248,repete!A:A,repete!A:A),"-")</f>
        <v>-</v>
      </c>
    </row>
    <row r="2249" spans="1:13" hidden="1">
      <c r="A2249" s="1">
        <v>46204</v>
      </c>
      <c r="B2249" t="s">
        <v>1269</v>
      </c>
      <c r="C2249" t="s">
        <v>1142</v>
      </c>
      <c r="D2249" t="s">
        <v>237</v>
      </c>
      <c r="E2249" t="s">
        <v>55</v>
      </c>
      <c r="F2249">
        <v>223</v>
      </c>
      <c r="G2249">
        <v>10</v>
      </c>
      <c r="H2249">
        <v>1.9916351324437398E-3</v>
      </c>
      <c r="I2249">
        <v>4.4843049327354299E-2</v>
      </c>
      <c r="J2249" s="14" t="str">
        <f>_xlfn.XLOOKUP(B2249,CAD_PDV!A:A,CAD_PDV!B:B)</f>
        <v>PONTO CERTO COMERCIO E COMUNICAÇÕES LTDA</v>
      </c>
      <c r="K2249" s="14">
        <f>IF(IFERROR(_xlfn.XLOOKUP(B2249,Planilha2!D:D,Planilha2!H:H),0)="SIM",1,0)</f>
        <v>0</v>
      </c>
      <c r="L2249" s="14" t="str">
        <f>_xlfn.XLOOKUP(B2249,CAD_PDV!A:A,CAD_PDV!C:C)</f>
        <v>RJ/ES</v>
      </c>
      <c r="M2249" s="14" t="str">
        <f>IFERROR(_xlfn.XLOOKUP(B2249,repete!A:A,repete!A:A),"-")</f>
        <v>-</v>
      </c>
    </row>
    <row r="2250" spans="1:13" hidden="1">
      <c r="A2250" s="1">
        <v>46204</v>
      </c>
      <c r="B2250" t="s">
        <v>941</v>
      </c>
      <c r="C2250" t="s">
        <v>944</v>
      </c>
      <c r="D2250" t="s">
        <v>232</v>
      </c>
      <c r="E2250" t="s">
        <v>60</v>
      </c>
      <c r="F2250">
        <v>77</v>
      </c>
      <c r="G2250">
        <v>9</v>
      </c>
      <c r="H2250">
        <v>1.7924716191993601E-3</v>
      </c>
      <c r="I2250">
        <v>0.11688311688311701</v>
      </c>
      <c r="J2250" s="14" t="str">
        <f>_xlfn.XLOOKUP(B2250,CAD_PDV!A:A,CAD_PDV!B:B)</f>
        <v>HS TELECOM</v>
      </c>
      <c r="K2250" s="14">
        <f>IF(IFERROR(_xlfn.XLOOKUP(B2250,Planilha2!D:D,Planilha2!H:H),0)="SIM",1,0)</f>
        <v>0</v>
      </c>
      <c r="L2250" s="14" t="str">
        <f>_xlfn.XLOOKUP(B2250,CAD_PDV!A:A,CAD_PDV!C:C)</f>
        <v>BA/SE</v>
      </c>
      <c r="M2250" s="14" t="str">
        <f>IFERROR(_xlfn.XLOOKUP(B2250,repete!A:A,repete!A:A),"-")</f>
        <v>-</v>
      </c>
    </row>
    <row r="2251" spans="1:13" hidden="1">
      <c r="A2251" s="1">
        <v>46204</v>
      </c>
      <c r="B2251" t="s">
        <v>306</v>
      </c>
      <c r="C2251" t="s">
        <v>308</v>
      </c>
      <c r="D2251" t="s">
        <v>230</v>
      </c>
      <c r="E2251" t="s">
        <v>61</v>
      </c>
      <c r="F2251">
        <v>22</v>
      </c>
      <c r="G2251">
        <v>9</v>
      </c>
      <c r="H2251">
        <v>1.7924716191993601E-3</v>
      </c>
      <c r="I2251">
        <v>0.40909090909090901</v>
      </c>
      <c r="J2251" s="14" t="str">
        <f>_xlfn.XLOOKUP(B2251,CAD_PDV!A:A,CAD_PDV!B:B)</f>
        <v>HARCOS COMERCIO E SERVICOS LTDA - EPP</v>
      </c>
      <c r="K2251" s="14">
        <f>IF(IFERROR(_xlfn.XLOOKUP(B2251,Planilha2!D:D,Planilha2!H:H),0)="SIM",1,0)</f>
        <v>0</v>
      </c>
      <c r="L2251" s="14" t="str">
        <f>_xlfn.XLOOKUP(B2251,CAD_PDV!A:A,CAD_PDV!C:C)</f>
        <v>NE</v>
      </c>
      <c r="M2251" s="14" t="str">
        <f>IFERROR(_xlfn.XLOOKUP(B2251,repete!A:A,repete!A:A),"-")</f>
        <v>-</v>
      </c>
    </row>
    <row r="2252" spans="1:13" hidden="1">
      <c r="A2252" s="1">
        <v>46204</v>
      </c>
      <c r="B2252" t="s">
        <v>1263</v>
      </c>
      <c r="C2252" t="s">
        <v>1142</v>
      </c>
      <c r="D2252" t="s">
        <v>233</v>
      </c>
      <c r="E2252" t="s">
        <v>55</v>
      </c>
      <c r="F2252">
        <v>54</v>
      </c>
      <c r="G2252">
        <v>9</v>
      </c>
      <c r="H2252">
        <v>1.7924716191993601E-3</v>
      </c>
      <c r="I2252">
        <v>0.16666666666666699</v>
      </c>
      <c r="J2252" s="14" t="str">
        <f>_xlfn.XLOOKUP(B2252,CAD_PDV!A:A,CAD_PDV!B:B)</f>
        <v>LEINAD COMERCIO E SERVICO EIRELI</v>
      </c>
      <c r="K2252" s="14">
        <f>IF(IFERROR(_xlfn.XLOOKUP(B2252,Planilha2!D:D,Planilha2!H:H),0)="SIM",1,0)</f>
        <v>0</v>
      </c>
      <c r="L2252" s="14" t="str">
        <f>_xlfn.XLOOKUP(B2252,CAD_PDV!A:A,CAD_PDV!C:C)</f>
        <v>RJ/ES</v>
      </c>
      <c r="M2252" s="14" t="str">
        <f>IFERROR(_xlfn.XLOOKUP(B2252,repete!A:A,repete!A:A),"-")</f>
        <v>-</v>
      </c>
    </row>
    <row r="2253" spans="1:13" hidden="1">
      <c r="A2253" s="1">
        <v>46204</v>
      </c>
      <c r="B2253" t="s">
        <v>1143</v>
      </c>
      <c r="C2253" t="s">
        <v>1142</v>
      </c>
      <c r="D2253" t="s">
        <v>237</v>
      </c>
      <c r="E2253" t="s">
        <v>55</v>
      </c>
      <c r="F2253">
        <v>116</v>
      </c>
      <c r="G2253">
        <v>9</v>
      </c>
      <c r="H2253">
        <v>1.7924716191993601E-3</v>
      </c>
      <c r="I2253">
        <v>7.7586206896551699E-2</v>
      </c>
      <c r="J2253" s="14" t="str">
        <f>_xlfn.XLOOKUP(B2253,CAD_PDV!A:A,CAD_PDV!B:B)</f>
        <v>PONTO CERTO COMERCIO E COMUNICAÇÕES LTDA</v>
      </c>
      <c r="K2253" s="14">
        <f>IF(IFERROR(_xlfn.XLOOKUP(B2253,Planilha2!D:D,Planilha2!H:H),0)="SIM",1,0)</f>
        <v>0</v>
      </c>
      <c r="L2253" s="14" t="str">
        <f>_xlfn.XLOOKUP(B2253,CAD_PDV!A:A,CAD_PDV!C:C)</f>
        <v>RJ/ES</v>
      </c>
      <c r="M2253" s="14" t="str">
        <f>IFERROR(_xlfn.XLOOKUP(B2253,repete!A:A,repete!A:A),"-")</f>
        <v>-</v>
      </c>
    </row>
    <row r="2254" spans="1:13" hidden="1">
      <c r="A2254" s="1">
        <v>46204</v>
      </c>
      <c r="B2254" t="s">
        <v>1538</v>
      </c>
      <c r="C2254" t="s">
        <v>1489</v>
      </c>
      <c r="D2254" t="s">
        <v>232</v>
      </c>
      <c r="E2254" t="s">
        <v>54</v>
      </c>
      <c r="F2254">
        <v>62</v>
      </c>
      <c r="G2254">
        <v>9</v>
      </c>
      <c r="H2254">
        <v>1.7924716191993601E-3</v>
      </c>
      <c r="I2254">
        <v>0.14516129032258099</v>
      </c>
      <c r="J2254" s="14" t="str">
        <f>_xlfn.XLOOKUP(B2254,CAD_PDV!A:A,CAD_PDV!B:B)</f>
        <v>HS TELECOM</v>
      </c>
      <c r="K2254" s="14">
        <f>IF(IFERROR(_xlfn.XLOOKUP(B2254,Planilha2!D:D,Planilha2!H:H),0)="SIM",1,0)</f>
        <v>0</v>
      </c>
      <c r="L2254" s="14" t="str">
        <f>_xlfn.XLOOKUP(B2254,CAD_PDV!A:A,CAD_PDV!C:C)</f>
        <v>SP2</v>
      </c>
      <c r="M2254" s="14" t="str">
        <f>IFERROR(_xlfn.XLOOKUP(B2254,repete!A:A,repete!A:A),"-")</f>
        <v>-</v>
      </c>
    </row>
    <row r="2255" spans="1:13" hidden="1">
      <c r="A2255" s="1">
        <v>46204</v>
      </c>
      <c r="B2255" t="s">
        <v>1358</v>
      </c>
      <c r="C2255" t="s">
        <v>1357</v>
      </c>
      <c r="D2255" t="s">
        <v>132</v>
      </c>
      <c r="E2255" t="s">
        <v>53</v>
      </c>
      <c r="F2255">
        <v>80</v>
      </c>
      <c r="G2255">
        <v>9</v>
      </c>
      <c r="H2255">
        <v>1.7924716191993601E-3</v>
      </c>
      <c r="I2255">
        <v>0.1125</v>
      </c>
      <c r="J2255" s="14" t="str">
        <f>_xlfn.XLOOKUP(B2255,CAD_PDV!A:A,CAD_PDV!B:B)</f>
        <v>FLEX CELL</v>
      </c>
      <c r="K2255" s="14">
        <f>IF(IFERROR(_xlfn.XLOOKUP(B2255,Planilha2!D:D,Planilha2!H:H),0)="SIM",1,0)</f>
        <v>0</v>
      </c>
      <c r="L2255" s="14" t="str">
        <f>_xlfn.XLOOKUP(B2255,CAD_PDV!A:A,CAD_PDV!C:C)</f>
        <v>SP1</v>
      </c>
      <c r="M2255" s="14" t="str">
        <f>IFERROR(_xlfn.XLOOKUP(B2255,repete!A:A,repete!A:A),"-")</f>
        <v>-</v>
      </c>
    </row>
    <row r="2256" spans="1:13" hidden="1">
      <c r="A2256" s="1">
        <v>46204</v>
      </c>
      <c r="B2256" t="s">
        <v>1551</v>
      </c>
      <c r="C2256" t="s">
        <v>1552</v>
      </c>
      <c r="D2256" t="s">
        <v>232</v>
      </c>
      <c r="E2256" t="s">
        <v>54</v>
      </c>
      <c r="F2256">
        <v>24</v>
      </c>
      <c r="G2256">
        <v>9</v>
      </c>
      <c r="H2256">
        <v>1.7924716191993601E-3</v>
      </c>
      <c r="I2256">
        <v>0.375</v>
      </c>
      <c r="J2256" s="14" t="str">
        <f>_xlfn.XLOOKUP(B2256,CAD_PDV!A:A,CAD_PDV!B:B)</f>
        <v>HS TELECOM</v>
      </c>
      <c r="K2256" s="14">
        <f>IF(IFERROR(_xlfn.XLOOKUP(B2256,Planilha2!D:D,Planilha2!H:H),0)="SIM",1,0)</f>
        <v>0</v>
      </c>
      <c r="L2256" s="14" t="str">
        <f>_xlfn.XLOOKUP(B2256,CAD_PDV!A:A,CAD_PDV!C:C)</f>
        <v>SP2</v>
      </c>
      <c r="M2256" s="14" t="str">
        <f>IFERROR(_xlfn.XLOOKUP(B2256,repete!A:A,repete!A:A),"-")</f>
        <v>-</v>
      </c>
    </row>
    <row r="2257" spans="1:13" hidden="1">
      <c r="A2257" s="1">
        <v>46204</v>
      </c>
      <c r="B2257" t="s">
        <v>797</v>
      </c>
      <c r="C2257" t="s">
        <v>798</v>
      </c>
      <c r="D2257" t="s">
        <v>239</v>
      </c>
      <c r="E2257" t="s">
        <v>59</v>
      </c>
      <c r="F2257">
        <v>43</v>
      </c>
      <c r="G2257">
        <v>9</v>
      </c>
      <c r="H2257">
        <v>1.7924716191993601E-3</v>
      </c>
      <c r="I2257">
        <v>0.209302325581395</v>
      </c>
      <c r="J2257" s="14" t="str">
        <f>_xlfn.XLOOKUP(B2257,CAD_PDV!A:A,CAD_PDV!B:B)</f>
        <v>TELECELL TELEFONIA LTDA - ME</v>
      </c>
      <c r="K2257" s="14">
        <f>IF(IFERROR(_xlfn.XLOOKUP(B2257,Planilha2!D:D,Planilha2!H:H),0)="SIM",1,0)</f>
        <v>0</v>
      </c>
      <c r="L2257" s="14" t="str">
        <f>_xlfn.XLOOKUP(B2257,CAD_PDV!A:A,CAD_PDV!C:C)</f>
        <v>CO</v>
      </c>
      <c r="M2257" s="14" t="str">
        <f>IFERROR(_xlfn.XLOOKUP(B2257,repete!A:A,repete!A:A),"-")</f>
        <v>-</v>
      </c>
    </row>
    <row r="2258" spans="1:13" hidden="1">
      <c r="A2258" s="1">
        <v>46204</v>
      </c>
      <c r="B2258" t="s">
        <v>2021</v>
      </c>
      <c r="C2258" t="s">
        <v>2024</v>
      </c>
      <c r="D2258" t="s">
        <v>193</v>
      </c>
      <c r="E2258" t="s">
        <v>2074</v>
      </c>
      <c r="F2258">
        <v>42</v>
      </c>
      <c r="G2258">
        <v>9</v>
      </c>
      <c r="H2258">
        <v>1.7924716191993601E-3</v>
      </c>
      <c r="I2258">
        <v>0.214285714285714</v>
      </c>
      <c r="J2258" s="14" t="str">
        <f>_xlfn.XLOOKUP(B2258,CAD_PDV!A:A,CAD_PDV!B:B)</f>
        <v>S D COMERCIO DE CELULARES LTDA - ME</v>
      </c>
      <c r="K2258" s="14">
        <f>IF(IFERROR(_xlfn.XLOOKUP(B2258,Planilha2!D:D,Planilha2!H:H),0)="SIM",1,0)</f>
        <v>0</v>
      </c>
      <c r="L2258" s="14" t="str">
        <f>_xlfn.XLOOKUP(B2258,CAD_PDV!A:A,CAD_PDV!C:C)</f>
        <v>RS</v>
      </c>
      <c r="M2258" s="14" t="str">
        <f>IFERROR(_xlfn.XLOOKUP(B2258,repete!A:A,repete!A:A),"-")</f>
        <v>-</v>
      </c>
    </row>
    <row r="2259" spans="1:13" hidden="1">
      <c r="A2259" s="1">
        <v>46204</v>
      </c>
      <c r="B2259" t="s">
        <v>1234</v>
      </c>
      <c r="C2259" t="s">
        <v>1142</v>
      </c>
      <c r="D2259" t="s">
        <v>237</v>
      </c>
      <c r="E2259" t="s">
        <v>55</v>
      </c>
      <c r="F2259">
        <v>143</v>
      </c>
      <c r="G2259">
        <v>9</v>
      </c>
      <c r="H2259">
        <v>1.7924716191993601E-3</v>
      </c>
      <c r="I2259">
        <v>6.2937062937062901E-2</v>
      </c>
      <c r="J2259" s="14" t="str">
        <f>_xlfn.XLOOKUP(B2259,CAD_PDV!A:A,CAD_PDV!B:B)</f>
        <v>PONTO CERTO COMERCIO E COMUNICAÇÕES LTDA</v>
      </c>
      <c r="K2259" s="14">
        <f>IF(IFERROR(_xlfn.XLOOKUP(B2259,Planilha2!D:D,Planilha2!H:H),0)="SIM",1,0)</f>
        <v>0</v>
      </c>
      <c r="L2259" s="14" t="str">
        <f>_xlfn.XLOOKUP(B2259,CAD_PDV!A:A,CAD_PDV!C:C)</f>
        <v>RJ/ES</v>
      </c>
      <c r="M2259" s="14" t="str">
        <f>IFERROR(_xlfn.XLOOKUP(B2259,repete!A:A,repete!A:A),"-")</f>
        <v>-</v>
      </c>
    </row>
    <row r="2260" spans="1:13" hidden="1">
      <c r="A2260" s="1">
        <v>46204</v>
      </c>
      <c r="B2260" t="s">
        <v>778</v>
      </c>
      <c r="C2260" t="s">
        <v>775</v>
      </c>
      <c r="D2260" t="s">
        <v>221</v>
      </c>
      <c r="E2260" t="s">
        <v>59</v>
      </c>
      <c r="F2260">
        <v>41</v>
      </c>
      <c r="G2260">
        <v>9</v>
      </c>
      <c r="H2260">
        <v>1.7924716191993601E-3</v>
      </c>
      <c r="I2260">
        <v>0.219512195121951</v>
      </c>
      <c r="J2260" s="14" t="str">
        <f>_xlfn.XLOOKUP(B2260,CAD_PDV!A:A,CAD_PDV!B:B)</f>
        <v>AMERICOM COMERCIO DE APARELHOS ELETRONICOS LTDA - EPP</v>
      </c>
      <c r="K2260" s="14">
        <f>IF(IFERROR(_xlfn.XLOOKUP(B2260,Planilha2!D:D,Planilha2!H:H),0)="SIM",1,0)</f>
        <v>0</v>
      </c>
      <c r="L2260" s="14" t="str">
        <f>_xlfn.XLOOKUP(B2260,CAD_PDV!A:A,CAD_PDV!C:C)</f>
        <v>CO</v>
      </c>
      <c r="M2260" s="14" t="str">
        <f>IFERROR(_xlfn.XLOOKUP(B2260,repete!A:A,repete!A:A),"-")</f>
        <v>-</v>
      </c>
    </row>
    <row r="2261" spans="1:13" hidden="1">
      <c r="A2261" s="1">
        <v>46204</v>
      </c>
      <c r="B2261" t="s">
        <v>1863</v>
      </c>
      <c r="C2261" t="s">
        <v>1864</v>
      </c>
      <c r="D2261" t="s">
        <v>97</v>
      </c>
      <c r="E2261" t="s">
        <v>2074</v>
      </c>
      <c r="F2261">
        <v>32</v>
      </c>
      <c r="G2261">
        <v>9</v>
      </c>
      <c r="H2261">
        <v>1.7924716191993601E-3</v>
      </c>
      <c r="I2261">
        <v>0.28125</v>
      </c>
      <c r="J2261" s="14" t="str">
        <f>_xlfn.XLOOKUP(B2261,CAD_PDV!A:A,CAD_PDV!B:B)</f>
        <v>BANDEIRA</v>
      </c>
      <c r="K2261" s="14">
        <f>IF(IFERROR(_xlfn.XLOOKUP(B2261,Planilha2!D:D,Planilha2!H:H),0)="SIM",1,0)</f>
        <v>0</v>
      </c>
      <c r="L2261" s="14" t="str">
        <f>_xlfn.XLOOKUP(B2261,CAD_PDV!A:A,CAD_PDV!C:C)</f>
        <v>PR/SC</v>
      </c>
      <c r="M2261" s="14" t="str">
        <f>IFERROR(_xlfn.XLOOKUP(B2261,repete!A:A,repete!A:A),"-")</f>
        <v>-</v>
      </c>
    </row>
    <row r="2262" spans="1:13" hidden="1">
      <c r="A2262" s="1">
        <v>46204</v>
      </c>
      <c r="B2262" t="s">
        <v>438</v>
      </c>
      <c r="C2262" t="s">
        <v>441</v>
      </c>
      <c r="D2262" t="s">
        <v>239</v>
      </c>
      <c r="E2262" t="s">
        <v>56</v>
      </c>
      <c r="F2262">
        <v>29</v>
      </c>
      <c r="G2262">
        <v>9</v>
      </c>
      <c r="H2262">
        <v>1.7924716191993601E-3</v>
      </c>
      <c r="I2262">
        <v>0.31034482758620702</v>
      </c>
      <c r="J2262" s="14" t="str">
        <f>_xlfn.XLOOKUP(B2262,CAD_PDV!A:A,CAD_PDV!B:B)</f>
        <v>TELECELL TELEFONIA LTDA - ME</v>
      </c>
      <c r="K2262" s="14">
        <f>IF(IFERROR(_xlfn.XLOOKUP(B2262,Planilha2!D:D,Planilha2!H:H),0)="SIM",1,0)</f>
        <v>0</v>
      </c>
      <c r="L2262" s="14" t="str">
        <f>_xlfn.XLOOKUP(B2262,CAD_PDV!A:A,CAD_PDV!C:C)</f>
        <v>MG</v>
      </c>
      <c r="M2262" s="14" t="str">
        <f>IFERROR(_xlfn.XLOOKUP(B2262,repete!A:A,repete!A:A),"-")</f>
        <v>-</v>
      </c>
    </row>
    <row r="2263" spans="1:13" hidden="1">
      <c r="A2263" s="1">
        <v>46204</v>
      </c>
      <c r="B2263" t="s">
        <v>1251</v>
      </c>
      <c r="C2263" t="s">
        <v>1159</v>
      </c>
      <c r="D2263" t="s">
        <v>228</v>
      </c>
      <c r="E2263" t="s">
        <v>55</v>
      </c>
      <c r="F2263">
        <v>107</v>
      </c>
      <c r="G2263">
        <v>9</v>
      </c>
      <c r="H2263">
        <v>1.7924716191993601E-3</v>
      </c>
      <c r="I2263">
        <v>8.4112149532710304E-2</v>
      </c>
      <c r="J2263" s="14" t="str">
        <f>_xlfn.XLOOKUP(B2263,CAD_PDV!A:A,CAD_PDV!B:B)</f>
        <v>FAJULUTI</v>
      </c>
      <c r="K2263" s="14">
        <f>IF(IFERROR(_xlfn.XLOOKUP(B2263,Planilha2!D:D,Planilha2!H:H),0)="SIM",1,0)</f>
        <v>0</v>
      </c>
      <c r="L2263" s="14" t="str">
        <f>_xlfn.XLOOKUP(B2263,CAD_PDV!A:A,CAD_PDV!C:C)</f>
        <v>RJ/ES</v>
      </c>
      <c r="M2263" s="14" t="str">
        <f>IFERROR(_xlfn.XLOOKUP(B2263,repete!A:A,repete!A:A),"-")</f>
        <v>-</v>
      </c>
    </row>
    <row r="2264" spans="1:13" hidden="1">
      <c r="A2264" s="1">
        <v>46204</v>
      </c>
      <c r="B2264" t="s">
        <v>1664</v>
      </c>
      <c r="C2264" t="s">
        <v>1659</v>
      </c>
      <c r="D2264" t="s">
        <v>232</v>
      </c>
      <c r="E2264" t="s">
        <v>54</v>
      </c>
      <c r="F2264">
        <v>77</v>
      </c>
      <c r="G2264">
        <v>9</v>
      </c>
      <c r="H2264">
        <v>1.7924716191993601E-3</v>
      </c>
      <c r="I2264">
        <v>0.11688311688311701</v>
      </c>
      <c r="J2264" s="14" t="str">
        <f>_xlfn.XLOOKUP(B2264,CAD_PDV!A:A,CAD_PDV!B:B)</f>
        <v>HS TELECOM</v>
      </c>
      <c r="K2264" s="14">
        <f>IF(IFERROR(_xlfn.XLOOKUP(B2264,Planilha2!D:D,Planilha2!H:H),0)="SIM",1,0)</f>
        <v>0</v>
      </c>
      <c r="L2264" s="14" t="str">
        <f>_xlfn.XLOOKUP(B2264,CAD_PDV!A:A,CAD_PDV!C:C)</f>
        <v>SP2</v>
      </c>
      <c r="M2264" s="14" t="str">
        <f>IFERROR(_xlfn.XLOOKUP(B2264,repete!A:A,repete!A:A),"-")</f>
        <v>-</v>
      </c>
    </row>
    <row r="2265" spans="1:13" hidden="1">
      <c r="A2265" s="1">
        <v>46204</v>
      </c>
      <c r="B2265" t="s">
        <v>1679</v>
      </c>
      <c r="C2265" t="s">
        <v>1451</v>
      </c>
      <c r="D2265" t="s">
        <v>232</v>
      </c>
      <c r="E2265" t="s">
        <v>54</v>
      </c>
      <c r="F2265">
        <v>58</v>
      </c>
      <c r="G2265">
        <v>9</v>
      </c>
      <c r="H2265">
        <v>1.7924716191993601E-3</v>
      </c>
      <c r="I2265">
        <v>0.15517241379310301</v>
      </c>
      <c r="J2265" s="14" t="str">
        <f>_xlfn.XLOOKUP(B2265,CAD_PDV!A:A,CAD_PDV!B:B)</f>
        <v>HS TELECOM</v>
      </c>
      <c r="K2265" s="14">
        <f>IF(IFERROR(_xlfn.XLOOKUP(B2265,Planilha2!D:D,Planilha2!H:H),0)="SIM",1,0)</f>
        <v>0</v>
      </c>
      <c r="L2265" s="14" t="str">
        <f>_xlfn.XLOOKUP(B2265,CAD_PDV!A:A,CAD_PDV!C:C)</f>
        <v>SP2</v>
      </c>
      <c r="M2265" s="14" t="str">
        <f>IFERROR(_xlfn.XLOOKUP(B2265,repete!A:A,repete!A:A),"-")</f>
        <v>-</v>
      </c>
    </row>
    <row r="2266" spans="1:13" hidden="1">
      <c r="A2266" s="1">
        <v>46204</v>
      </c>
      <c r="B2266" t="s">
        <v>1691</v>
      </c>
      <c r="C2266" t="s">
        <v>1503</v>
      </c>
      <c r="D2266" t="s">
        <v>232</v>
      </c>
      <c r="E2266" t="s">
        <v>54</v>
      </c>
      <c r="F2266">
        <v>81</v>
      </c>
      <c r="G2266">
        <v>9</v>
      </c>
      <c r="H2266">
        <v>1.7924716191993601E-3</v>
      </c>
      <c r="I2266">
        <v>0.11111111111111099</v>
      </c>
      <c r="J2266" s="14" t="str">
        <f>_xlfn.XLOOKUP(B2266,CAD_PDV!A:A,CAD_PDV!B:B)</f>
        <v>HS TELECOM</v>
      </c>
      <c r="K2266" s="14">
        <f>IF(IFERROR(_xlfn.XLOOKUP(B2266,Planilha2!D:D,Planilha2!H:H),0)="SIM",1,0)</f>
        <v>0</v>
      </c>
      <c r="L2266" s="14" t="str">
        <f>_xlfn.XLOOKUP(B2266,CAD_PDV!A:A,CAD_PDV!C:C)</f>
        <v>SP2</v>
      </c>
      <c r="M2266" s="14" t="str">
        <f>IFERROR(_xlfn.XLOOKUP(B2266,repete!A:A,repete!A:A),"-")</f>
        <v>-</v>
      </c>
    </row>
    <row r="2267" spans="1:13" hidden="1">
      <c r="A2267" s="1">
        <v>46204</v>
      </c>
      <c r="B2267" t="s">
        <v>1694</v>
      </c>
      <c r="C2267" t="s">
        <v>1695</v>
      </c>
      <c r="D2267" t="s">
        <v>232</v>
      </c>
      <c r="E2267" t="s">
        <v>54</v>
      </c>
      <c r="F2267">
        <v>41</v>
      </c>
      <c r="G2267">
        <v>9</v>
      </c>
      <c r="H2267">
        <v>1.7924716191993601E-3</v>
      </c>
      <c r="I2267">
        <v>0.219512195121951</v>
      </c>
      <c r="J2267" s="14" t="str">
        <f>_xlfn.XLOOKUP(B2267,CAD_PDV!A:A,CAD_PDV!B:B)</f>
        <v>HS TELECOM</v>
      </c>
      <c r="K2267" s="14">
        <f>IF(IFERROR(_xlfn.XLOOKUP(B2267,Planilha2!D:D,Planilha2!H:H),0)="SIM",1,0)</f>
        <v>0</v>
      </c>
      <c r="L2267" s="14" t="str">
        <f>_xlfn.XLOOKUP(B2267,CAD_PDV!A:A,CAD_PDV!C:C)</f>
        <v>SP2</v>
      </c>
      <c r="M2267" s="14" t="str">
        <f>IFERROR(_xlfn.XLOOKUP(B2267,repete!A:A,repete!A:A),"-")</f>
        <v>-</v>
      </c>
    </row>
    <row r="2268" spans="1:13" hidden="1">
      <c r="A2268" s="1">
        <v>46204</v>
      </c>
      <c r="B2268" t="s">
        <v>407</v>
      </c>
      <c r="C2268" t="s">
        <v>288</v>
      </c>
      <c r="D2268" t="s">
        <v>230</v>
      </c>
      <c r="E2268" t="s">
        <v>61</v>
      </c>
      <c r="F2268">
        <v>33</v>
      </c>
      <c r="G2268">
        <v>9</v>
      </c>
      <c r="H2268">
        <v>1.7924716191993601E-3</v>
      </c>
      <c r="I2268">
        <v>0.27272727272727298</v>
      </c>
      <c r="J2268" s="14" t="str">
        <f>_xlfn.XLOOKUP(B2268,CAD_PDV!A:A,CAD_PDV!B:B)</f>
        <v>HARCOS COMERCIO E SERVICOS LTDA - EPP</v>
      </c>
      <c r="K2268" s="14">
        <f>IF(IFERROR(_xlfn.XLOOKUP(B2268,Planilha2!D:D,Planilha2!H:H),0)="SIM",1,0)</f>
        <v>0</v>
      </c>
      <c r="L2268" s="14" t="str">
        <f>_xlfn.XLOOKUP(B2268,CAD_PDV!A:A,CAD_PDV!C:C)</f>
        <v>NE</v>
      </c>
      <c r="M2268" s="14" t="str">
        <f>IFERROR(_xlfn.XLOOKUP(B2268,repete!A:A,repete!A:A),"-")</f>
        <v>-</v>
      </c>
    </row>
    <row r="2269" spans="1:13" hidden="1">
      <c r="A2269" s="1">
        <v>46204</v>
      </c>
      <c r="B2269" t="s">
        <v>501</v>
      </c>
      <c r="C2269" t="s">
        <v>503</v>
      </c>
      <c r="D2269" t="s">
        <v>239</v>
      </c>
      <c r="E2269" t="s">
        <v>56</v>
      </c>
      <c r="F2269">
        <v>25</v>
      </c>
      <c r="G2269">
        <v>9</v>
      </c>
      <c r="H2269">
        <v>1.7924716191993601E-3</v>
      </c>
      <c r="I2269">
        <v>0.36</v>
      </c>
      <c r="J2269" s="14" t="str">
        <f>_xlfn.XLOOKUP(B2269,CAD_PDV!A:A,CAD_PDV!B:B)</f>
        <v>TELECELL TELEFONIA LTDA - ME</v>
      </c>
      <c r="K2269" s="14">
        <f>IF(IFERROR(_xlfn.XLOOKUP(B2269,Planilha2!D:D,Planilha2!H:H),0)="SIM",1,0)</f>
        <v>0</v>
      </c>
      <c r="L2269" s="14" t="str">
        <f>_xlfn.XLOOKUP(B2269,CAD_PDV!A:A,CAD_PDV!C:C)</f>
        <v>MG</v>
      </c>
      <c r="M2269" s="14" t="str">
        <f>IFERROR(_xlfn.XLOOKUP(B2269,repete!A:A,repete!A:A),"-")</f>
        <v>-</v>
      </c>
    </row>
    <row r="2270" spans="1:13" hidden="1">
      <c r="A2270" s="1">
        <v>46204</v>
      </c>
      <c r="B2270" t="s">
        <v>1721</v>
      </c>
      <c r="C2270" t="s">
        <v>1722</v>
      </c>
      <c r="D2270" t="s">
        <v>112</v>
      </c>
      <c r="E2270" t="s">
        <v>54</v>
      </c>
      <c r="F2270">
        <v>54</v>
      </c>
      <c r="G2270">
        <v>9</v>
      </c>
      <c r="H2270">
        <v>1.7924716191993601E-3</v>
      </c>
      <c r="I2270">
        <v>0.16666666666666699</v>
      </c>
      <c r="J2270" s="14" t="str">
        <f>_xlfn.XLOOKUP(B2270,CAD_PDV!A:A,CAD_PDV!B:B)</f>
        <v>CONVERGE.NET REPRESENTACOES COMERCIAIS LTDA - EPP</v>
      </c>
      <c r="K2270" s="14">
        <f>IF(IFERROR(_xlfn.XLOOKUP(B2270,Planilha2!D:D,Planilha2!H:H),0)="SIM",1,0)</f>
        <v>0</v>
      </c>
      <c r="L2270" s="14" t="str">
        <f>_xlfn.XLOOKUP(B2270,CAD_PDV!A:A,CAD_PDV!C:C)</f>
        <v>SP2</v>
      </c>
      <c r="M2270" s="14" t="str">
        <f>IFERROR(_xlfn.XLOOKUP(B2270,repete!A:A,repete!A:A),"-")</f>
        <v>-</v>
      </c>
    </row>
    <row r="2271" spans="1:13" hidden="1">
      <c r="A2271" s="1">
        <v>46204</v>
      </c>
      <c r="B2271" t="s">
        <v>1893</v>
      </c>
      <c r="C2271" t="s">
        <v>1894</v>
      </c>
      <c r="D2271" t="s">
        <v>124</v>
      </c>
      <c r="E2271" t="s">
        <v>2074</v>
      </c>
      <c r="F2271">
        <v>104</v>
      </c>
      <c r="G2271">
        <v>9</v>
      </c>
      <c r="H2271">
        <v>1.7924716191993601E-3</v>
      </c>
      <c r="I2271">
        <v>8.6538461538461495E-2</v>
      </c>
      <c r="J2271" s="14" t="str">
        <f>_xlfn.XLOOKUP(B2271,CAD_PDV!A:A,CAD_PDV!B:B)</f>
        <v>EDUARDO JUNQUEIRA DA SILVEIRA ADMIN</v>
      </c>
      <c r="K2271" s="14">
        <f>IF(IFERROR(_xlfn.XLOOKUP(B2271,Planilha2!D:D,Planilha2!H:H),0)="SIM",1,0)</f>
        <v>0</v>
      </c>
      <c r="L2271" s="14" t="str">
        <f>_xlfn.XLOOKUP(B2271,CAD_PDV!A:A,CAD_PDV!C:C)</f>
        <v>RS</v>
      </c>
      <c r="M2271" s="14" t="str">
        <f>IFERROR(_xlfn.XLOOKUP(B2271,repete!A:A,repete!A:A),"-")</f>
        <v>-</v>
      </c>
    </row>
    <row r="2272" spans="1:13" hidden="1">
      <c r="A2272" s="1">
        <v>46204</v>
      </c>
      <c r="B2272" t="s">
        <v>1326</v>
      </c>
      <c r="C2272" t="s">
        <v>1313</v>
      </c>
      <c r="D2272" t="s">
        <v>225</v>
      </c>
      <c r="E2272" t="s">
        <v>53</v>
      </c>
      <c r="F2272">
        <v>91</v>
      </c>
      <c r="G2272">
        <v>8</v>
      </c>
      <c r="H2272">
        <v>1.5933081059549901E-3</v>
      </c>
      <c r="I2272">
        <v>8.7912087912087905E-2</v>
      </c>
      <c r="J2272" s="14" t="str">
        <f>_xlfn.XLOOKUP(B2272,CAD_PDV!A:A,CAD_PDV!B:B)</f>
        <v>CLARICELL SP1</v>
      </c>
      <c r="K2272" s="14">
        <f>IF(IFERROR(_xlfn.XLOOKUP(B2272,Planilha2!D:D,Planilha2!H:H),0)="SIM",1,0)</f>
        <v>0</v>
      </c>
      <c r="L2272" s="14" t="str">
        <f>_xlfn.XLOOKUP(B2272,CAD_PDV!A:A,CAD_PDV!C:C)</f>
        <v>SP1</v>
      </c>
      <c r="M2272" s="14" t="str">
        <f>IFERROR(_xlfn.XLOOKUP(B2272,repete!A:A,repete!A:A),"-")</f>
        <v>-</v>
      </c>
    </row>
    <row r="2273" spans="1:13" hidden="1">
      <c r="A2273" s="1">
        <v>46204</v>
      </c>
      <c r="B2273" t="s">
        <v>309</v>
      </c>
      <c r="C2273" t="s">
        <v>265</v>
      </c>
      <c r="D2273" t="s">
        <v>230</v>
      </c>
      <c r="E2273" t="s">
        <v>61</v>
      </c>
      <c r="F2273">
        <v>153</v>
      </c>
      <c r="G2273">
        <v>8</v>
      </c>
      <c r="H2273">
        <v>1.5933081059549901E-3</v>
      </c>
      <c r="I2273">
        <v>5.22875816993464E-2</v>
      </c>
      <c r="J2273" s="14" t="str">
        <f>_xlfn.XLOOKUP(B2273,CAD_PDV!A:A,CAD_PDV!B:B)</f>
        <v>HARCOS COMERCIO E SERVICOS LTDA - EPP</v>
      </c>
      <c r="K2273" s="14">
        <f>IF(IFERROR(_xlfn.XLOOKUP(B2273,Planilha2!D:D,Planilha2!H:H),0)="SIM",1,0)</f>
        <v>0</v>
      </c>
      <c r="L2273" s="14" t="str">
        <f>_xlfn.XLOOKUP(B2273,CAD_PDV!A:A,CAD_PDV!C:C)</f>
        <v>NE</v>
      </c>
      <c r="M2273" s="14" t="str">
        <f>IFERROR(_xlfn.XLOOKUP(B2273,repete!A:A,repete!A:A),"-")</f>
        <v>-</v>
      </c>
    </row>
    <row r="2274" spans="1:13" hidden="1">
      <c r="A2274" s="1">
        <v>46204</v>
      </c>
      <c r="B2274" t="s">
        <v>1452</v>
      </c>
      <c r="C2274" t="s">
        <v>1454</v>
      </c>
      <c r="D2274" t="s">
        <v>106</v>
      </c>
      <c r="E2274" t="s">
        <v>54</v>
      </c>
      <c r="F2274">
        <v>35</v>
      </c>
      <c r="G2274">
        <v>8</v>
      </c>
      <c r="H2274">
        <v>1.5933081059549901E-3</v>
      </c>
      <c r="I2274">
        <v>0.22857142857142901</v>
      </c>
      <c r="J2274" s="14" t="str">
        <f>_xlfn.XLOOKUP(B2274,CAD_PDV!A:A,CAD_PDV!B:B)</f>
        <v>CELLULAR.COM</v>
      </c>
      <c r="K2274" s="14">
        <f>IF(IFERROR(_xlfn.XLOOKUP(B2274,Planilha2!D:D,Planilha2!H:H),0)="SIM",1,0)</f>
        <v>0</v>
      </c>
      <c r="L2274" s="14" t="str">
        <f>_xlfn.XLOOKUP(B2274,CAD_PDV!A:A,CAD_PDV!C:C)</f>
        <v>SP2</v>
      </c>
      <c r="M2274" s="14" t="str">
        <f>IFERROR(_xlfn.XLOOKUP(B2274,repete!A:A,repete!A:A),"-")</f>
        <v>-</v>
      </c>
    </row>
    <row r="2275" spans="1:13" hidden="1">
      <c r="A2275" s="1">
        <v>46204</v>
      </c>
      <c r="B2275" t="s">
        <v>1463</v>
      </c>
      <c r="C2275" t="s">
        <v>1464</v>
      </c>
      <c r="D2275" t="s">
        <v>219</v>
      </c>
      <c r="E2275" t="s">
        <v>54</v>
      </c>
      <c r="F2275">
        <v>113</v>
      </c>
      <c r="G2275">
        <v>8</v>
      </c>
      <c r="H2275">
        <v>1.5933081059549901E-3</v>
      </c>
      <c r="I2275">
        <v>7.0796460176991094E-2</v>
      </c>
      <c r="J2275" s="14" t="str">
        <f>_xlfn.XLOOKUP(B2275,CAD_PDV!A:A,CAD_PDV!B:B)</f>
        <v>WCI CELULARES SERVICOS E TELECOMUNICACOES LTDA - EPP</v>
      </c>
      <c r="K2275" s="14">
        <f>IF(IFERROR(_xlfn.XLOOKUP(B2275,Planilha2!D:D,Planilha2!H:H),0)="SIM",1,0)</f>
        <v>0</v>
      </c>
      <c r="L2275" s="14" t="str">
        <f>_xlfn.XLOOKUP(B2275,CAD_PDV!A:A,CAD_PDV!C:C)</f>
        <v>SP2</v>
      </c>
      <c r="M2275" s="14" t="str">
        <f>IFERROR(_xlfn.XLOOKUP(B2275,repete!A:A,repete!A:A),"-")</f>
        <v>-</v>
      </c>
    </row>
    <row r="2276" spans="1:13" hidden="1">
      <c r="A2276" s="1">
        <v>46204</v>
      </c>
      <c r="B2276" t="s">
        <v>488</v>
      </c>
      <c r="C2276" t="s">
        <v>489</v>
      </c>
      <c r="D2276" t="s">
        <v>228</v>
      </c>
      <c r="E2276" t="s">
        <v>56</v>
      </c>
      <c r="F2276">
        <v>22</v>
      </c>
      <c r="G2276">
        <v>8</v>
      </c>
      <c r="H2276">
        <v>1.5933081059549901E-3</v>
      </c>
      <c r="I2276">
        <v>0.36363636363636398</v>
      </c>
      <c r="J2276" s="14" t="str">
        <f>_xlfn.XLOOKUP(B2276,CAD_PDV!A:A,CAD_PDV!B:B)</f>
        <v>FAJULUTI</v>
      </c>
      <c r="K2276" s="14">
        <f>IF(IFERROR(_xlfn.XLOOKUP(B2276,Planilha2!D:D,Planilha2!H:H),0)="SIM",1,0)</f>
        <v>0</v>
      </c>
      <c r="L2276" s="14" t="str">
        <f>_xlfn.XLOOKUP(B2276,CAD_PDV!A:A,CAD_PDV!C:C)</f>
        <v>MG</v>
      </c>
      <c r="M2276" s="14" t="str">
        <f>IFERROR(_xlfn.XLOOKUP(B2276,repete!A:A,repete!A:A),"-")</f>
        <v>-</v>
      </c>
    </row>
    <row r="2277" spans="1:13" hidden="1">
      <c r="A2277" s="1">
        <v>46204</v>
      </c>
      <c r="B2277" t="s">
        <v>1932</v>
      </c>
      <c r="C2277" t="s">
        <v>1931</v>
      </c>
      <c r="D2277" t="s">
        <v>106</v>
      </c>
      <c r="E2277" t="s">
        <v>2074</v>
      </c>
      <c r="F2277">
        <v>66</v>
      </c>
      <c r="G2277">
        <v>8</v>
      </c>
      <c r="H2277">
        <v>1.5933081059549901E-3</v>
      </c>
      <c r="I2277">
        <v>0.12121212121212099</v>
      </c>
      <c r="J2277" s="14" t="str">
        <f>_xlfn.XLOOKUP(B2277,CAD_PDV!A:A,CAD_PDV!B:B)</f>
        <v>CELLULAR.COM</v>
      </c>
      <c r="K2277" s="14">
        <f>IF(IFERROR(_xlfn.XLOOKUP(B2277,Planilha2!D:D,Planilha2!H:H),0)="SIM",1,0)</f>
        <v>0</v>
      </c>
      <c r="L2277" s="14" t="str">
        <f>_xlfn.XLOOKUP(B2277,CAD_PDV!A:A,CAD_PDV!C:C)</f>
        <v>PR/SC</v>
      </c>
      <c r="M2277" s="14" t="str">
        <f>IFERROR(_xlfn.XLOOKUP(B2277,repete!A:A,repete!A:A),"-")</f>
        <v>-</v>
      </c>
    </row>
    <row r="2278" spans="1:13" hidden="1">
      <c r="A2278" s="1">
        <v>46204</v>
      </c>
      <c r="B2278" t="s">
        <v>1534</v>
      </c>
      <c r="C2278" t="s">
        <v>1535</v>
      </c>
      <c r="D2278" t="s">
        <v>106</v>
      </c>
      <c r="E2278" t="s">
        <v>54</v>
      </c>
      <c r="F2278">
        <v>43</v>
      </c>
      <c r="G2278">
        <v>8</v>
      </c>
      <c r="H2278">
        <v>1.5933081059549901E-3</v>
      </c>
      <c r="I2278">
        <v>0.186046511627907</v>
      </c>
      <c r="J2278" s="14" t="str">
        <f>_xlfn.XLOOKUP(B2278,CAD_PDV!A:A,CAD_PDV!B:B)</f>
        <v>CELLULAR.COM</v>
      </c>
      <c r="K2278" s="14">
        <f>IF(IFERROR(_xlfn.XLOOKUP(B2278,Planilha2!D:D,Planilha2!H:H),0)="SIM",1,0)</f>
        <v>0</v>
      </c>
      <c r="L2278" s="14" t="str">
        <f>_xlfn.XLOOKUP(B2278,CAD_PDV!A:A,CAD_PDV!C:C)</f>
        <v>SP2</v>
      </c>
      <c r="M2278" s="14" t="str">
        <f>IFERROR(_xlfn.XLOOKUP(B2278,repete!A:A,repete!A:A),"-")</f>
        <v>-</v>
      </c>
    </row>
    <row r="2279" spans="1:13" hidden="1">
      <c r="A2279" s="1">
        <v>46204</v>
      </c>
      <c r="B2279" t="s">
        <v>645</v>
      </c>
      <c r="C2279" t="s">
        <v>644</v>
      </c>
      <c r="D2279" t="s">
        <v>240</v>
      </c>
      <c r="E2279" t="s">
        <v>59</v>
      </c>
      <c r="F2279">
        <v>46</v>
      </c>
      <c r="G2279">
        <v>8</v>
      </c>
      <c r="H2279">
        <v>1.5933081059549901E-3</v>
      </c>
      <c r="I2279">
        <v>0.173913043478261</v>
      </c>
      <c r="J2279" s="14" t="str">
        <f>_xlfn.XLOOKUP(B2279,CAD_PDV!A:A,CAD_PDV!B:B)</f>
        <v>TELEMAIS TELEFONIA LTDA - ME</v>
      </c>
      <c r="K2279" s="14">
        <f>IF(IFERROR(_xlfn.XLOOKUP(B2279,Planilha2!D:D,Planilha2!H:H),0)="SIM",1,0)</f>
        <v>0</v>
      </c>
      <c r="L2279" s="14" t="str">
        <f>_xlfn.XLOOKUP(B2279,CAD_PDV!A:A,CAD_PDV!C:C)</f>
        <v>CO</v>
      </c>
      <c r="M2279" s="14" t="str">
        <f>IFERROR(_xlfn.XLOOKUP(B2279,repete!A:A,repete!A:A),"-")</f>
        <v>-</v>
      </c>
    </row>
    <row r="2280" spans="1:13" hidden="1">
      <c r="A2280" s="1">
        <v>46204</v>
      </c>
      <c r="B2280" t="s">
        <v>883</v>
      </c>
      <c r="C2280" t="s">
        <v>873</v>
      </c>
      <c r="D2280" t="s">
        <v>224</v>
      </c>
      <c r="E2280" t="s">
        <v>59</v>
      </c>
      <c r="F2280">
        <v>102</v>
      </c>
      <c r="G2280">
        <v>8</v>
      </c>
      <c r="H2280">
        <v>1.5933081059549901E-3</v>
      </c>
      <c r="I2280">
        <v>7.8431372549019607E-2</v>
      </c>
      <c r="J2280" s="14" t="str">
        <f>_xlfn.XLOOKUP(B2280,CAD_PDV!A:A,CAD_PDV!B:B)</f>
        <v>CELNET COMERCIO E SERVICOS DE TELEFONIA LTDA ME</v>
      </c>
      <c r="K2280" s="14">
        <f>IF(IFERROR(_xlfn.XLOOKUP(B2280,Planilha2!D:D,Planilha2!H:H),0)="SIM",1,0)</f>
        <v>0</v>
      </c>
      <c r="L2280" s="14" t="str">
        <f>_xlfn.XLOOKUP(B2280,CAD_PDV!A:A,CAD_PDV!C:C)</f>
        <v>CO</v>
      </c>
      <c r="M2280" s="14" t="str">
        <f>IFERROR(_xlfn.XLOOKUP(B2280,repete!A:A,repete!A:A),"-")</f>
        <v>-</v>
      </c>
    </row>
    <row r="2281" spans="1:13" hidden="1">
      <c r="A2281" s="1">
        <v>46204</v>
      </c>
      <c r="B2281" t="s">
        <v>1276</v>
      </c>
      <c r="C2281" t="s">
        <v>1185</v>
      </c>
      <c r="D2281" t="s">
        <v>228</v>
      </c>
      <c r="E2281" t="s">
        <v>55</v>
      </c>
      <c r="F2281">
        <v>33</v>
      </c>
      <c r="G2281">
        <v>8</v>
      </c>
      <c r="H2281">
        <v>1.5933081059549901E-3</v>
      </c>
      <c r="I2281">
        <v>0.24242424242424199</v>
      </c>
      <c r="J2281" s="14" t="str">
        <f>_xlfn.XLOOKUP(B2281,CAD_PDV!A:A,CAD_PDV!B:B)</f>
        <v>FAJULUTI</v>
      </c>
      <c r="K2281" s="14">
        <f>IF(IFERROR(_xlfn.XLOOKUP(B2281,Planilha2!D:D,Planilha2!H:H),0)="SIM",1,0)</f>
        <v>0</v>
      </c>
      <c r="L2281" s="14" t="str">
        <f>_xlfn.XLOOKUP(B2281,CAD_PDV!A:A,CAD_PDV!C:C)</f>
        <v>RJ/ES</v>
      </c>
      <c r="M2281" s="14" t="str">
        <f>IFERROR(_xlfn.XLOOKUP(B2281,repete!A:A,repete!A:A),"-")</f>
        <v>-</v>
      </c>
    </row>
    <row r="2282" spans="1:13" hidden="1">
      <c r="A2282" s="1">
        <v>46204</v>
      </c>
      <c r="B2282" t="s">
        <v>1232</v>
      </c>
      <c r="C2282" t="s">
        <v>1142</v>
      </c>
      <c r="D2282" t="s">
        <v>237</v>
      </c>
      <c r="E2282" t="s">
        <v>55</v>
      </c>
      <c r="F2282">
        <v>84</v>
      </c>
      <c r="G2282">
        <v>8</v>
      </c>
      <c r="H2282">
        <v>1.5933081059549901E-3</v>
      </c>
      <c r="I2282">
        <v>9.5238095238095205E-2</v>
      </c>
      <c r="J2282" s="14" t="str">
        <f>_xlfn.XLOOKUP(B2282,CAD_PDV!A:A,CAD_PDV!B:B)</f>
        <v>PONTO CERTO COMERCIO E COMUNICAÇÕES LTDA</v>
      </c>
      <c r="K2282" s="14">
        <f>IF(IFERROR(_xlfn.XLOOKUP(B2282,Planilha2!D:D,Planilha2!H:H),0)="SIM",1,0)</f>
        <v>0</v>
      </c>
      <c r="L2282" s="14" t="str">
        <f>_xlfn.XLOOKUP(B2282,CAD_PDV!A:A,CAD_PDV!C:C)</f>
        <v>RJ/ES</v>
      </c>
      <c r="M2282" s="14" t="str">
        <f>IFERROR(_xlfn.XLOOKUP(B2282,repete!A:A,repete!A:A),"-")</f>
        <v>-</v>
      </c>
    </row>
    <row r="2283" spans="1:13" hidden="1">
      <c r="A2283" s="1">
        <v>46204</v>
      </c>
      <c r="B2283" t="s">
        <v>1237</v>
      </c>
      <c r="C2283" t="s">
        <v>1142</v>
      </c>
      <c r="D2283" t="s">
        <v>237</v>
      </c>
      <c r="E2283" t="s">
        <v>55</v>
      </c>
      <c r="F2283">
        <v>98</v>
      </c>
      <c r="G2283">
        <v>8</v>
      </c>
      <c r="H2283">
        <v>1.5933081059549901E-3</v>
      </c>
      <c r="I2283">
        <v>8.1632653061224497E-2</v>
      </c>
      <c r="J2283" s="14" t="str">
        <f>_xlfn.XLOOKUP(B2283,CAD_PDV!A:A,CAD_PDV!B:B)</f>
        <v>PONTO CERTO COMERCIO E COMUNICAÇÕES LTDA</v>
      </c>
      <c r="K2283" s="14">
        <f>IF(IFERROR(_xlfn.XLOOKUP(B2283,Planilha2!D:D,Planilha2!H:H),0)="SIM",1,0)</f>
        <v>0</v>
      </c>
      <c r="L2283" s="14" t="str">
        <f>_xlfn.XLOOKUP(B2283,CAD_PDV!A:A,CAD_PDV!C:C)</f>
        <v>RJ/ES</v>
      </c>
      <c r="M2283" s="14" t="str">
        <f>IFERROR(_xlfn.XLOOKUP(B2283,repete!A:A,repete!A:A),"-")</f>
        <v>-</v>
      </c>
    </row>
    <row r="2284" spans="1:13" hidden="1">
      <c r="A2284" s="1">
        <v>46204</v>
      </c>
      <c r="B2284" t="s">
        <v>2027</v>
      </c>
      <c r="C2284" t="s">
        <v>2026</v>
      </c>
      <c r="D2284" t="s">
        <v>193</v>
      </c>
      <c r="E2284" t="s">
        <v>2074</v>
      </c>
      <c r="F2284">
        <v>41</v>
      </c>
      <c r="G2284">
        <v>8</v>
      </c>
      <c r="H2284">
        <v>1.5933081059549901E-3</v>
      </c>
      <c r="I2284">
        <v>0.19512195121951201</v>
      </c>
      <c r="J2284" s="14" t="str">
        <f>_xlfn.XLOOKUP(B2284,CAD_PDV!A:A,CAD_PDV!B:B)</f>
        <v>S D COMERCIO DE CELULARES LTDA - ME</v>
      </c>
      <c r="K2284" s="14">
        <f>IF(IFERROR(_xlfn.XLOOKUP(B2284,Planilha2!D:D,Planilha2!H:H),0)="SIM",1,0)</f>
        <v>0</v>
      </c>
      <c r="L2284" s="14" t="str">
        <f>_xlfn.XLOOKUP(B2284,CAD_PDV!A:A,CAD_PDV!C:C)</f>
        <v>RS</v>
      </c>
      <c r="M2284" s="14" t="str">
        <f>IFERROR(_xlfn.XLOOKUP(B2284,repete!A:A,repete!A:A),"-")</f>
        <v>-</v>
      </c>
    </row>
    <row r="2285" spans="1:13" hidden="1">
      <c r="A2285" s="1">
        <v>46204</v>
      </c>
      <c r="B2285" t="s">
        <v>1336</v>
      </c>
      <c r="C2285" t="s">
        <v>1313</v>
      </c>
      <c r="D2285" t="s">
        <v>225</v>
      </c>
      <c r="E2285" t="s">
        <v>53</v>
      </c>
      <c r="F2285">
        <v>156</v>
      </c>
      <c r="G2285">
        <v>8</v>
      </c>
      <c r="H2285">
        <v>1.5933081059549901E-3</v>
      </c>
      <c r="I2285">
        <v>5.1282051282051301E-2</v>
      </c>
      <c r="J2285" s="14" t="str">
        <f>_xlfn.XLOOKUP(B2285,CAD_PDV!A:A,CAD_PDV!B:B)</f>
        <v>CLARICELL SP1</v>
      </c>
      <c r="K2285" s="14">
        <f>IF(IFERROR(_xlfn.XLOOKUP(B2285,Planilha2!D:D,Planilha2!H:H),0)="SIM",1,0)</f>
        <v>0</v>
      </c>
      <c r="L2285" s="14" t="str">
        <f>_xlfn.XLOOKUP(B2285,CAD_PDV!A:A,CAD_PDV!C:C)</f>
        <v>SP1</v>
      </c>
      <c r="M2285" s="14" t="str">
        <f>IFERROR(_xlfn.XLOOKUP(B2285,repete!A:A,repete!A:A),"-")</f>
        <v>-</v>
      </c>
    </row>
    <row r="2286" spans="1:13" hidden="1">
      <c r="A2286" s="1">
        <v>46204</v>
      </c>
      <c r="B2286" t="s">
        <v>892</v>
      </c>
      <c r="C2286" t="s">
        <v>893</v>
      </c>
      <c r="D2286" t="s">
        <v>224</v>
      </c>
      <c r="E2286" t="s">
        <v>59</v>
      </c>
      <c r="F2286">
        <v>81</v>
      </c>
      <c r="G2286">
        <v>8</v>
      </c>
      <c r="H2286">
        <v>1.5933081059549901E-3</v>
      </c>
      <c r="I2286">
        <v>9.8765432098765399E-2</v>
      </c>
      <c r="J2286" s="14" t="str">
        <f>_xlfn.XLOOKUP(B2286,CAD_PDV!A:A,CAD_PDV!B:B)</f>
        <v>CELNET COMERCIO E SERVICOS DE TELEFONIA LTDA ME</v>
      </c>
      <c r="K2286" s="14">
        <f>IF(IFERROR(_xlfn.XLOOKUP(B2286,Planilha2!D:D,Planilha2!H:H),0)="SIM",1,0)</f>
        <v>0</v>
      </c>
      <c r="L2286" s="14" t="str">
        <f>_xlfn.XLOOKUP(B2286,CAD_PDV!A:A,CAD_PDV!C:C)</f>
        <v>CO</v>
      </c>
      <c r="M2286" s="14" t="str">
        <f>IFERROR(_xlfn.XLOOKUP(B2286,repete!A:A,repete!A:A),"-")</f>
        <v>-</v>
      </c>
    </row>
    <row r="2287" spans="1:13" hidden="1">
      <c r="A2287" s="1">
        <v>46204</v>
      </c>
      <c r="B2287" t="s">
        <v>1774</v>
      </c>
      <c r="C2287" t="s">
        <v>1775</v>
      </c>
      <c r="D2287" t="s">
        <v>124</v>
      </c>
      <c r="E2287" t="s">
        <v>2074</v>
      </c>
      <c r="F2287">
        <v>76</v>
      </c>
      <c r="G2287">
        <v>8</v>
      </c>
      <c r="H2287">
        <v>1.5933081059549901E-3</v>
      </c>
      <c r="I2287">
        <v>0.105263157894737</v>
      </c>
      <c r="J2287" s="14" t="str">
        <f>_xlfn.XLOOKUP(B2287,CAD_PDV!A:A,CAD_PDV!B:B)</f>
        <v>EDUARDO JUNQUEIRA DA SILVEIRA ADMIN</v>
      </c>
      <c r="K2287" s="14">
        <f>IF(IFERROR(_xlfn.XLOOKUP(B2287,Planilha2!D:D,Planilha2!H:H),0)="SIM",1,0)</f>
        <v>0</v>
      </c>
      <c r="L2287" s="14" t="str">
        <f>_xlfn.XLOOKUP(B2287,CAD_PDV!A:A,CAD_PDV!C:C)</f>
        <v>RS</v>
      </c>
      <c r="M2287" s="14" t="str">
        <f>IFERROR(_xlfn.XLOOKUP(B2287,repete!A:A,repete!A:A),"-")</f>
        <v>-</v>
      </c>
    </row>
    <row r="2288" spans="1:13" hidden="1">
      <c r="A2288" s="1">
        <v>46204</v>
      </c>
      <c r="B2288" t="s">
        <v>1624</v>
      </c>
      <c r="C2288" t="s">
        <v>1625</v>
      </c>
      <c r="D2288" t="s">
        <v>232</v>
      </c>
      <c r="E2288" t="s">
        <v>54</v>
      </c>
      <c r="F2288">
        <v>38</v>
      </c>
      <c r="G2288">
        <v>8</v>
      </c>
      <c r="H2288">
        <v>1.5933081059549901E-3</v>
      </c>
      <c r="I2288">
        <v>0.21052631578947401</v>
      </c>
      <c r="J2288" s="14" t="str">
        <f>_xlfn.XLOOKUP(B2288,CAD_PDV!A:A,CAD_PDV!B:B)</f>
        <v>HS TELECOM</v>
      </c>
      <c r="K2288" s="14">
        <f>IF(IFERROR(_xlfn.XLOOKUP(B2288,Planilha2!D:D,Planilha2!H:H),0)="SIM",1,0)</f>
        <v>0</v>
      </c>
      <c r="L2288" s="14" t="str">
        <f>_xlfn.XLOOKUP(B2288,CAD_PDV!A:A,CAD_PDV!C:C)</f>
        <v>SP2</v>
      </c>
      <c r="M2288" s="14" t="str">
        <f>IFERROR(_xlfn.XLOOKUP(B2288,repete!A:A,repete!A:A),"-")</f>
        <v>-</v>
      </c>
    </row>
    <row r="2289" spans="1:13" hidden="1">
      <c r="A2289" s="1">
        <v>46204</v>
      </c>
      <c r="B2289" t="s">
        <v>565</v>
      </c>
      <c r="C2289" t="s">
        <v>478</v>
      </c>
      <c r="D2289" t="s">
        <v>228</v>
      </c>
      <c r="E2289" t="s">
        <v>56</v>
      </c>
      <c r="F2289">
        <v>26</v>
      </c>
      <c r="G2289">
        <v>8</v>
      </c>
      <c r="H2289">
        <v>1.5933081059549901E-3</v>
      </c>
      <c r="I2289">
        <v>0.30769230769230799</v>
      </c>
      <c r="J2289" s="14" t="str">
        <f>_xlfn.XLOOKUP(B2289,CAD_PDV!A:A,CAD_PDV!B:B)</f>
        <v>FAJULUTI</v>
      </c>
      <c r="K2289" s="14">
        <f>IF(IFERROR(_xlfn.XLOOKUP(B2289,Planilha2!D:D,Planilha2!H:H),0)="SIM",1,0)</f>
        <v>0</v>
      </c>
      <c r="L2289" s="14" t="str">
        <f>_xlfn.XLOOKUP(B2289,CAD_PDV!A:A,CAD_PDV!C:C)</f>
        <v>MG</v>
      </c>
      <c r="M2289" s="14" t="str">
        <f>IFERROR(_xlfn.XLOOKUP(B2289,repete!A:A,repete!A:A),"-")</f>
        <v>-</v>
      </c>
    </row>
    <row r="2290" spans="1:13" hidden="1">
      <c r="A2290" s="1">
        <v>46204</v>
      </c>
      <c r="B2290" t="s">
        <v>1658</v>
      </c>
      <c r="C2290" t="s">
        <v>1659</v>
      </c>
      <c r="D2290" t="s">
        <v>232</v>
      </c>
      <c r="E2290" t="s">
        <v>54</v>
      </c>
      <c r="F2290">
        <v>75</v>
      </c>
      <c r="G2290">
        <v>8</v>
      </c>
      <c r="H2290">
        <v>1.5933081059549901E-3</v>
      </c>
      <c r="I2290">
        <v>0.10666666666666701</v>
      </c>
      <c r="J2290" s="14" t="str">
        <f>_xlfn.XLOOKUP(B2290,CAD_PDV!A:A,CAD_PDV!B:B)</f>
        <v>HS TELECOM</v>
      </c>
      <c r="K2290" s="14">
        <f>IF(IFERROR(_xlfn.XLOOKUP(B2290,Planilha2!D:D,Planilha2!H:H),0)="SIM",1,0)</f>
        <v>0</v>
      </c>
      <c r="L2290" s="14" t="str">
        <f>_xlfn.XLOOKUP(B2290,CAD_PDV!A:A,CAD_PDV!C:C)</f>
        <v>SP2</v>
      </c>
      <c r="M2290" s="14" t="str">
        <f>IFERROR(_xlfn.XLOOKUP(B2290,repete!A:A,repete!A:A),"-")</f>
        <v>-</v>
      </c>
    </row>
    <row r="2291" spans="1:13" hidden="1">
      <c r="A2291" s="1">
        <v>46204</v>
      </c>
      <c r="B2291" t="s">
        <v>1699</v>
      </c>
      <c r="C2291" t="s">
        <v>1700</v>
      </c>
      <c r="D2291" t="s">
        <v>106</v>
      </c>
      <c r="E2291" t="s">
        <v>54</v>
      </c>
      <c r="F2291">
        <v>104</v>
      </c>
      <c r="G2291">
        <v>8</v>
      </c>
      <c r="H2291">
        <v>1.5933081059549901E-3</v>
      </c>
      <c r="I2291">
        <v>7.69230769230769E-2</v>
      </c>
      <c r="J2291" s="14" t="str">
        <f>_xlfn.XLOOKUP(B2291,CAD_PDV!A:A,CAD_PDV!B:B)</f>
        <v>CELLULAR.COM</v>
      </c>
      <c r="K2291" s="14">
        <f>IF(IFERROR(_xlfn.XLOOKUP(B2291,Planilha2!D:D,Planilha2!H:H),0)="SIM",1,0)</f>
        <v>0</v>
      </c>
      <c r="L2291" s="14" t="str">
        <f>_xlfn.XLOOKUP(B2291,CAD_PDV!A:A,CAD_PDV!C:C)</f>
        <v>SP2</v>
      </c>
      <c r="M2291" s="14" t="str">
        <f>IFERROR(_xlfn.XLOOKUP(B2291,repete!A:A,repete!A:A),"-")</f>
        <v>-</v>
      </c>
    </row>
    <row r="2292" spans="1:13" hidden="1">
      <c r="A2292" s="1">
        <v>46204</v>
      </c>
      <c r="B2292" t="s">
        <v>1259</v>
      </c>
      <c r="C2292" t="s">
        <v>1255</v>
      </c>
      <c r="D2292" t="s">
        <v>237</v>
      </c>
      <c r="E2292" t="s">
        <v>55</v>
      </c>
      <c r="F2292">
        <v>103</v>
      </c>
      <c r="G2292">
        <v>8</v>
      </c>
      <c r="H2292">
        <v>1.5933081059549901E-3</v>
      </c>
      <c r="I2292">
        <v>7.7669902912621394E-2</v>
      </c>
      <c r="J2292" s="14" t="str">
        <f>_xlfn.XLOOKUP(B2292,CAD_PDV!A:A,CAD_PDV!B:B)</f>
        <v>PONTO CERTO COMERCIO E COMUNICAÇÕES LTDA</v>
      </c>
      <c r="K2292" s="14">
        <f>IF(IFERROR(_xlfn.XLOOKUP(B2292,Planilha2!D:D,Planilha2!H:H),0)="SIM",1,0)</f>
        <v>0</v>
      </c>
      <c r="L2292" s="14" t="str">
        <f>_xlfn.XLOOKUP(B2292,CAD_PDV!A:A,CAD_PDV!C:C)</f>
        <v>RJ/ES</v>
      </c>
      <c r="M2292" s="14" t="str">
        <f>IFERROR(_xlfn.XLOOKUP(B2292,repete!A:A,repete!A:A),"-")</f>
        <v>-</v>
      </c>
    </row>
    <row r="2293" spans="1:13" hidden="1">
      <c r="A2293" s="1">
        <v>46204</v>
      </c>
      <c r="B2293" t="s">
        <v>2052</v>
      </c>
      <c r="C2293" t="s">
        <v>2053</v>
      </c>
      <c r="D2293" t="s">
        <v>193</v>
      </c>
      <c r="E2293" t="s">
        <v>2074</v>
      </c>
      <c r="F2293">
        <v>34</v>
      </c>
      <c r="G2293">
        <v>8</v>
      </c>
      <c r="H2293">
        <v>1.5933081059549901E-3</v>
      </c>
      <c r="I2293">
        <v>0.23529411764705899</v>
      </c>
      <c r="J2293" s="14" t="str">
        <f>_xlfn.XLOOKUP(B2293,CAD_PDV!A:A,CAD_PDV!B:B)</f>
        <v>S D COMERCIO DE CELULARES LTDA - ME</v>
      </c>
      <c r="K2293" s="14">
        <f>IF(IFERROR(_xlfn.XLOOKUP(B2293,Planilha2!D:D,Planilha2!H:H),0)="SIM",1,0)</f>
        <v>0</v>
      </c>
      <c r="L2293" s="14" t="str">
        <f>_xlfn.XLOOKUP(B2293,CAD_PDV!A:A,CAD_PDV!C:C)</f>
        <v>RS</v>
      </c>
      <c r="M2293" s="14" t="str">
        <f>IFERROR(_xlfn.XLOOKUP(B2293,repete!A:A,repete!A:A),"-")</f>
        <v>-</v>
      </c>
    </row>
    <row r="2294" spans="1:13" hidden="1">
      <c r="A2294" s="1">
        <v>46204</v>
      </c>
      <c r="B2294" t="s">
        <v>653</v>
      </c>
      <c r="C2294" t="s">
        <v>649</v>
      </c>
      <c r="D2294" t="s">
        <v>239</v>
      </c>
      <c r="E2294" t="s">
        <v>59</v>
      </c>
      <c r="F2294">
        <v>48</v>
      </c>
      <c r="G2294">
        <v>7</v>
      </c>
      <c r="H2294">
        <v>1.3941445927106201E-3</v>
      </c>
      <c r="I2294">
        <v>0.14583333333333301</v>
      </c>
      <c r="J2294" s="14" t="str">
        <f>_xlfn.XLOOKUP(B2294,CAD_PDV!A:A,CAD_PDV!B:B)</f>
        <v>TELECELL TELEFONIA LTDA - ME</v>
      </c>
      <c r="K2294" s="14">
        <f>IF(IFERROR(_xlfn.XLOOKUP(B2294,Planilha2!D:D,Planilha2!H:H),0)="SIM",1,0)</f>
        <v>0</v>
      </c>
      <c r="L2294" s="14" t="str">
        <f>_xlfn.XLOOKUP(B2294,CAD_PDV!A:A,CAD_PDV!C:C)</f>
        <v>CO</v>
      </c>
      <c r="M2294" s="14" t="str">
        <f>IFERROR(_xlfn.XLOOKUP(B2294,repete!A:A,repete!A:A),"-")</f>
        <v>-</v>
      </c>
    </row>
    <row r="2295" spans="1:13" hidden="1">
      <c r="A2295" s="1">
        <v>46204</v>
      </c>
      <c r="B2295" t="s">
        <v>753</v>
      </c>
      <c r="C2295" t="s">
        <v>754</v>
      </c>
      <c r="D2295" t="s">
        <v>239</v>
      </c>
      <c r="E2295" t="s">
        <v>59</v>
      </c>
      <c r="F2295">
        <v>62</v>
      </c>
      <c r="G2295">
        <v>7</v>
      </c>
      <c r="H2295">
        <v>1.3941445927106201E-3</v>
      </c>
      <c r="I2295">
        <v>0.112903225806452</v>
      </c>
      <c r="J2295" s="14" t="str">
        <f>_xlfn.XLOOKUP(B2295,CAD_PDV!A:A,CAD_PDV!B:B)</f>
        <v>TELECELL TELEFONIA LTDA - ME</v>
      </c>
      <c r="K2295" s="14">
        <f>IF(IFERROR(_xlfn.XLOOKUP(B2295,Planilha2!D:D,Planilha2!H:H),0)="SIM",1,0)</f>
        <v>0</v>
      </c>
      <c r="L2295" s="14" t="str">
        <f>_xlfn.XLOOKUP(B2295,CAD_PDV!A:A,CAD_PDV!C:C)</f>
        <v>CO</v>
      </c>
      <c r="M2295" s="14" t="str">
        <f>IFERROR(_xlfn.XLOOKUP(B2295,repete!A:A,repete!A:A),"-")</f>
        <v>-</v>
      </c>
    </row>
    <row r="2296" spans="1:13" hidden="1">
      <c r="A2296" s="1">
        <v>46204</v>
      </c>
      <c r="B2296" t="s">
        <v>1531</v>
      </c>
      <c r="C2296" t="s">
        <v>1441</v>
      </c>
      <c r="D2296" t="s">
        <v>132</v>
      </c>
      <c r="E2296" t="s">
        <v>54</v>
      </c>
      <c r="F2296">
        <v>74</v>
      </c>
      <c r="G2296">
        <v>7</v>
      </c>
      <c r="H2296">
        <v>1.3941445927106201E-3</v>
      </c>
      <c r="I2296">
        <v>9.45945945945946E-2</v>
      </c>
      <c r="J2296" s="14" t="str">
        <f>_xlfn.XLOOKUP(B2296,CAD_PDV!A:A,CAD_PDV!B:B)</f>
        <v>FLEX CELL</v>
      </c>
      <c r="K2296" s="14">
        <f>IF(IFERROR(_xlfn.XLOOKUP(B2296,Planilha2!D:D,Planilha2!H:H),0)="SIM",1,0)</f>
        <v>0</v>
      </c>
      <c r="L2296" s="14" t="str">
        <f>_xlfn.XLOOKUP(B2296,CAD_PDV!A:A,CAD_PDV!C:C)</f>
        <v>SP2</v>
      </c>
      <c r="M2296" s="14" t="str">
        <f>IFERROR(_xlfn.XLOOKUP(B2296,repete!A:A,repete!A:A),"-")</f>
        <v>-</v>
      </c>
    </row>
    <row r="2297" spans="1:13" hidden="1">
      <c r="A2297" s="1">
        <v>46204</v>
      </c>
      <c r="B2297" t="s">
        <v>1356</v>
      </c>
      <c r="C2297" t="s">
        <v>1357</v>
      </c>
      <c r="D2297" t="s">
        <v>132</v>
      </c>
      <c r="E2297" t="s">
        <v>53</v>
      </c>
      <c r="F2297">
        <v>57</v>
      </c>
      <c r="G2297">
        <v>7</v>
      </c>
      <c r="H2297">
        <v>1.3941445927106201E-3</v>
      </c>
      <c r="I2297">
        <v>0.12280701754386</v>
      </c>
      <c r="J2297" s="14" t="str">
        <f>_xlfn.XLOOKUP(B2297,CAD_PDV!A:A,CAD_PDV!B:B)</f>
        <v>FLEX CELL</v>
      </c>
      <c r="K2297" s="14">
        <f>IF(IFERROR(_xlfn.XLOOKUP(B2297,Planilha2!D:D,Planilha2!H:H),0)="SIM",1,0)</f>
        <v>0</v>
      </c>
      <c r="L2297" s="14" t="str">
        <f>_xlfn.XLOOKUP(B2297,CAD_PDV!A:A,CAD_PDV!C:C)</f>
        <v>SP1</v>
      </c>
      <c r="M2297" s="14" t="str">
        <f>IFERROR(_xlfn.XLOOKUP(B2297,repete!A:A,repete!A:A),"-")</f>
        <v>-</v>
      </c>
    </row>
    <row r="2298" spans="1:13" hidden="1">
      <c r="A2298" s="1">
        <v>46204</v>
      </c>
      <c r="B2298" t="s">
        <v>1189</v>
      </c>
      <c r="C2298" t="s">
        <v>1190</v>
      </c>
      <c r="D2298" t="s">
        <v>232</v>
      </c>
      <c r="E2298" t="s">
        <v>55</v>
      </c>
      <c r="F2298">
        <v>60</v>
      </c>
      <c r="G2298">
        <v>7</v>
      </c>
      <c r="H2298">
        <v>1.3941445927106201E-3</v>
      </c>
      <c r="I2298">
        <v>0.116666666666667</v>
      </c>
      <c r="J2298" s="14" t="str">
        <f>_xlfn.XLOOKUP(B2298,CAD_PDV!A:A,CAD_PDV!B:B)</f>
        <v>HS TELECOM</v>
      </c>
      <c r="K2298" s="14">
        <f>IF(IFERROR(_xlfn.XLOOKUP(B2298,Planilha2!D:D,Planilha2!H:H),0)="SIM",1,0)</f>
        <v>0</v>
      </c>
      <c r="L2298" s="14" t="str">
        <f>_xlfn.XLOOKUP(B2298,CAD_PDV!A:A,CAD_PDV!C:C)</f>
        <v>RJ/ES</v>
      </c>
      <c r="M2298" s="14" t="str">
        <f>IFERROR(_xlfn.XLOOKUP(B2298,repete!A:A,repete!A:A),"-")</f>
        <v>-</v>
      </c>
    </row>
    <row r="2299" spans="1:13" hidden="1">
      <c r="A2299" s="1">
        <v>46204</v>
      </c>
      <c r="B2299" t="s">
        <v>905</v>
      </c>
      <c r="C2299" t="s">
        <v>902</v>
      </c>
      <c r="D2299" t="s">
        <v>215</v>
      </c>
      <c r="E2299" t="s">
        <v>59</v>
      </c>
      <c r="F2299">
        <v>36</v>
      </c>
      <c r="G2299">
        <v>7</v>
      </c>
      <c r="H2299">
        <v>1.3941445927106201E-3</v>
      </c>
      <c r="I2299">
        <v>0.194444444444444</v>
      </c>
      <c r="J2299" s="14" t="str">
        <f>_xlfn.XLOOKUP(B2299,CAD_PDV!A:A,CAD_PDV!B:B)</f>
        <v>VIA SALLUS</v>
      </c>
      <c r="K2299" s="14">
        <f>IF(IFERROR(_xlfn.XLOOKUP(B2299,Planilha2!D:D,Planilha2!H:H),0)="SIM",1,0)</f>
        <v>0</v>
      </c>
      <c r="L2299" s="14" t="str">
        <f>_xlfn.XLOOKUP(B2299,CAD_PDV!A:A,CAD_PDV!C:C)</f>
        <v>CO</v>
      </c>
      <c r="M2299" s="14" t="str">
        <f>IFERROR(_xlfn.XLOOKUP(B2299,repete!A:A,repete!A:A),"-")</f>
        <v>-</v>
      </c>
    </row>
    <row r="2300" spans="1:13" hidden="1">
      <c r="A2300" s="1">
        <v>46204</v>
      </c>
      <c r="B2300" t="s">
        <v>1337</v>
      </c>
      <c r="C2300" t="s">
        <v>1313</v>
      </c>
      <c r="D2300" t="s">
        <v>225</v>
      </c>
      <c r="E2300" t="s">
        <v>53</v>
      </c>
      <c r="F2300">
        <v>43</v>
      </c>
      <c r="G2300">
        <v>7</v>
      </c>
      <c r="H2300">
        <v>1.3941445927106201E-3</v>
      </c>
      <c r="I2300">
        <v>0.162790697674419</v>
      </c>
      <c r="J2300" s="14" t="str">
        <f>_xlfn.XLOOKUP(B2300,CAD_PDV!A:A,CAD_PDV!B:B)</f>
        <v>CLARICELL SP1</v>
      </c>
      <c r="K2300" s="14">
        <f>IF(IFERROR(_xlfn.XLOOKUP(B2300,Planilha2!D:D,Planilha2!H:H),0)="SIM",1,0)</f>
        <v>0</v>
      </c>
      <c r="L2300" s="14" t="str">
        <f>_xlfn.XLOOKUP(B2300,CAD_PDV!A:A,CAD_PDV!C:C)</f>
        <v>SP1</v>
      </c>
      <c r="M2300" s="14" t="str">
        <f>IFERROR(_xlfn.XLOOKUP(B2300,repete!A:A,repete!A:A),"-")</f>
        <v>-</v>
      </c>
    </row>
    <row r="2301" spans="1:13" hidden="1">
      <c r="A2301" s="1">
        <v>46204</v>
      </c>
      <c r="B2301" t="s">
        <v>1629</v>
      </c>
      <c r="C2301" t="s">
        <v>1464</v>
      </c>
      <c r="D2301" t="s">
        <v>132</v>
      </c>
      <c r="E2301" t="s">
        <v>54</v>
      </c>
      <c r="F2301">
        <v>29</v>
      </c>
      <c r="G2301">
        <v>7</v>
      </c>
      <c r="H2301">
        <v>1.3941445927106201E-3</v>
      </c>
      <c r="I2301">
        <v>0.24137931034482801</v>
      </c>
      <c r="J2301" s="14" t="str">
        <f>_xlfn.XLOOKUP(B2301,CAD_PDV!A:A,CAD_PDV!B:B)</f>
        <v>FLEX CELL</v>
      </c>
      <c r="K2301" s="14">
        <f>IF(IFERROR(_xlfn.XLOOKUP(B2301,Planilha2!D:D,Planilha2!H:H),0)="SIM",1,0)</f>
        <v>0</v>
      </c>
      <c r="L2301" s="14" t="str">
        <f>_xlfn.XLOOKUP(B2301,CAD_PDV!A:A,CAD_PDV!C:C)</f>
        <v>SP2</v>
      </c>
      <c r="M2301" s="14" t="str">
        <f>IFERROR(_xlfn.XLOOKUP(B2301,repete!A:A,repete!A:A),"-")</f>
        <v>-</v>
      </c>
    </row>
    <row r="2302" spans="1:13" hidden="1">
      <c r="A2302" s="1">
        <v>46204</v>
      </c>
      <c r="B2302" t="s">
        <v>1630</v>
      </c>
      <c r="C2302" t="s">
        <v>1632</v>
      </c>
      <c r="D2302" t="s">
        <v>232</v>
      </c>
      <c r="E2302" t="s">
        <v>54</v>
      </c>
      <c r="F2302">
        <v>45</v>
      </c>
      <c r="G2302">
        <v>7</v>
      </c>
      <c r="H2302">
        <v>1.3941445927106201E-3</v>
      </c>
      <c r="I2302">
        <v>0.155555555555556</v>
      </c>
      <c r="J2302" s="14" t="str">
        <f>_xlfn.XLOOKUP(B2302,CAD_PDV!A:A,CAD_PDV!B:B)</f>
        <v>HS TELECOM</v>
      </c>
      <c r="K2302" s="14">
        <f>IF(IFERROR(_xlfn.XLOOKUP(B2302,Planilha2!D:D,Planilha2!H:H),0)="SIM",1,0)</f>
        <v>0</v>
      </c>
      <c r="L2302" s="14" t="str">
        <f>_xlfn.XLOOKUP(B2302,CAD_PDV!A:A,CAD_PDV!C:C)</f>
        <v>SP2</v>
      </c>
      <c r="M2302" s="14" t="str">
        <f>IFERROR(_xlfn.XLOOKUP(B2302,repete!A:A,repete!A:A),"-")</f>
        <v>-</v>
      </c>
    </row>
    <row r="2303" spans="1:13" hidden="1">
      <c r="A2303" s="1">
        <v>46204</v>
      </c>
      <c r="B2303" t="s">
        <v>2043</v>
      </c>
      <c r="C2303" t="s">
        <v>2042</v>
      </c>
      <c r="D2303" t="s">
        <v>193</v>
      </c>
      <c r="E2303" t="s">
        <v>2074</v>
      </c>
      <c r="F2303">
        <v>31</v>
      </c>
      <c r="G2303">
        <v>7</v>
      </c>
      <c r="H2303">
        <v>1.3941445927106201E-3</v>
      </c>
      <c r="I2303">
        <v>0.225806451612903</v>
      </c>
      <c r="J2303" s="14" t="str">
        <f>_xlfn.XLOOKUP(B2303,CAD_PDV!A:A,CAD_PDV!B:B)</f>
        <v>S D COMERCIO DE CELULARES LTDA - ME</v>
      </c>
      <c r="K2303" s="14">
        <f>IF(IFERROR(_xlfn.XLOOKUP(B2303,Planilha2!D:D,Planilha2!H:H),0)="SIM",1,0)</f>
        <v>0</v>
      </c>
      <c r="L2303" s="14" t="str">
        <f>_xlfn.XLOOKUP(B2303,CAD_PDV!A:A,CAD_PDV!C:C)</f>
        <v>RS</v>
      </c>
      <c r="M2303" s="14" t="str">
        <f>IFERROR(_xlfn.XLOOKUP(B2303,repete!A:A,repete!A:A),"-")</f>
        <v>-</v>
      </c>
    </row>
    <row r="2304" spans="1:13" hidden="1">
      <c r="A2304" s="1">
        <v>46204</v>
      </c>
      <c r="B2304" t="s">
        <v>660</v>
      </c>
      <c r="C2304" t="s">
        <v>661</v>
      </c>
      <c r="D2304" t="s">
        <v>239</v>
      </c>
      <c r="E2304" t="s">
        <v>59</v>
      </c>
      <c r="F2304">
        <v>34</v>
      </c>
      <c r="G2304">
        <v>7</v>
      </c>
      <c r="H2304">
        <v>1.3941445927106201E-3</v>
      </c>
      <c r="I2304">
        <v>0.20588235294117599</v>
      </c>
      <c r="J2304" s="14" t="str">
        <f>_xlfn.XLOOKUP(B2304,CAD_PDV!A:A,CAD_PDV!B:B)</f>
        <v>TELECELL TELEFONIA LTDA - ME</v>
      </c>
      <c r="K2304" s="14">
        <f>IF(IFERROR(_xlfn.XLOOKUP(B2304,Planilha2!D:D,Planilha2!H:H),0)="SIM",1,0)</f>
        <v>0</v>
      </c>
      <c r="L2304" s="14" t="str">
        <f>_xlfn.XLOOKUP(B2304,CAD_PDV!A:A,CAD_PDV!C:C)</f>
        <v>CO</v>
      </c>
      <c r="M2304" s="14" t="str">
        <f>IFERROR(_xlfn.XLOOKUP(B2304,repete!A:A,repete!A:A),"-")</f>
        <v>-</v>
      </c>
    </row>
    <row r="2305" spans="1:13" hidden="1">
      <c r="A2305" s="1">
        <v>46204</v>
      </c>
      <c r="B2305" t="s">
        <v>1703</v>
      </c>
      <c r="C2305" t="s">
        <v>1519</v>
      </c>
      <c r="D2305" t="s">
        <v>132</v>
      </c>
      <c r="E2305" t="s">
        <v>54</v>
      </c>
      <c r="F2305">
        <v>37</v>
      </c>
      <c r="G2305">
        <v>7</v>
      </c>
      <c r="H2305">
        <v>1.3941445927106201E-3</v>
      </c>
      <c r="I2305">
        <v>0.18918918918918901</v>
      </c>
      <c r="J2305" s="14" t="str">
        <f>_xlfn.XLOOKUP(B2305,CAD_PDV!A:A,CAD_PDV!B:B)</f>
        <v>FLEX CELL</v>
      </c>
      <c r="K2305" s="14">
        <f>IF(IFERROR(_xlfn.XLOOKUP(B2305,Planilha2!D:D,Planilha2!H:H),0)="SIM",1,0)</f>
        <v>0</v>
      </c>
      <c r="L2305" s="14" t="str">
        <f>_xlfn.XLOOKUP(B2305,CAD_PDV!A:A,CAD_PDV!C:C)</f>
        <v>SP2</v>
      </c>
      <c r="M2305" s="14" t="str">
        <f>IFERROR(_xlfn.XLOOKUP(B2305,repete!A:A,repete!A:A),"-")</f>
        <v>QLEQ</v>
      </c>
    </row>
    <row r="2306" spans="1:13" hidden="1">
      <c r="A2306" s="1">
        <v>46204</v>
      </c>
      <c r="B2306" t="s">
        <v>1816</v>
      </c>
      <c r="C2306" t="s">
        <v>1817</v>
      </c>
      <c r="D2306" t="s">
        <v>95</v>
      </c>
      <c r="E2306" t="s">
        <v>2074</v>
      </c>
      <c r="F2306">
        <v>85</v>
      </c>
      <c r="G2306">
        <v>6</v>
      </c>
      <c r="H2306">
        <v>1.1949810794662399E-3</v>
      </c>
      <c r="I2306">
        <v>7.0588235294117604E-2</v>
      </c>
      <c r="J2306" s="14" t="str">
        <f>_xlfn.XLOOKUP(B2306,CAD_PDV!A:A,CAD_PDV!B:B)</f>
        <v>AYRES E DEBONI LTDA - ME</v>
      </c>
      <c r="K2306" s="14">
        <f>IF(IFERROR(_xlfn.XLOOKUP(B2306,Planilha2!D:D,Planilha2!H:H),0)="SIM",1,0)</f>
        <v>0</v>
      </c>
      <c r="L2306" s="14" t="str">
        <f>_xlfn.XLOOKUP(B2306,CAD_PDV!A:A,CAD_PDV!C:C)</f>
        <v>RS</v>
      </c>
      <c r="M2306" s="14" t="str">
        <f>IFERROR(_xlfn.XLOOKUP(B2306,repete!A:A,repete!A:A),"-")</f>
        <v>-</v>
      </c>
    </row>
    <row r="2307" spans="1:13" hidden="1">
      <c r="A2307" s="1">
        <v>46204</v>
      </c>
      <c r="B2307" t="s">
        <v>841</v>
      </c>
      <c r="C2307" t="s">
        <v>842</v>
      </c>
      <c r="D2307" t="s">
        <v>239</v>
      </c>
      <c r="E2307" t="s">
        <v>59</v>
      </c>
      <c r="F2307">
        <v>71</v>
      </c>
      <c r="G2307">
        <v>6</v>
      </c>
      <c r="H2307">
        <v>1.1949810794662399E-3</v>
      </c>
      <c r="I2307">
        <v>8.4507042253521097E-2</v>
      </c>
      <c r="J2307" s="14" t="str">
        <f>_xlfn.XLOOKUP(B2307,CAD_PDV!A:A,CAD_PDV!B:B)</f>
        <v>TELECELL TELEFONIA LTDA - ME</v>
      </c>
      <c r="K2307" s="14">
        <f>IF(IFERROR(_xlfn.XLOOKUP(B2307,Planilha2!D:D,Planilha2!H:H),0)="SIM",1,0)</f>
        <v>0</v>
      </c>
      <c r="L2307" s="14" t="str">
        <f>_xlfn.XLOOKUP(B2307,CAD_PDV!A:A,CAD_PDV!C:C)</f>
        <v>CO</v>
      </c>
      <c r="M2307" s="14" t="str">
        <f>IFERROR(_xlfn.XLOOKUP(B2307,repete!A:A,repete!A:A),"-")</f>
        <v>1NRI</v>
      </c>
    </row>
    <row r="2308" spans="1:13" hidden="1">
      <c r="A2308" s="1">
        <v>46204</v>
      </c>
      <c r="B2308" t="s">
        <v>1873</v>
      </c>
      <c r="C2308" t="s">
        <v>1874</v>
      </c>
      <c r="D2308" t="s">
        <v>124</v>
      </c>
      <c r="E2308" t="s">
        <v>2074</v>
      </c>
      <c r="F2308">
        <v>56</v>
      </c>
      <c r="G2308">
        <v>6</v>
      </c>
      <c r="H2308">
        <v>1.1949810794662399E-3</v>
      </c>
      <c r="I2308">
        <v>0.107142857142857</v>
      </c>
      <c r="J2308" s="14" t="str">
        <f>_xlfn.XLOOKUP(B2308,CAD_PDV!A:A,CAD_PDV!B:B)</f>
        <v>EDUARDO JUNQUEIRA DA SILVEIRA ADMIN</v>
      </c>
      <c r="K2308" s="14">
        <f>IF(IFERROR(_xlfn.XLOOKUP(B2308,Planilha2!D:D,Planilha2!H:H),0)="SIM",1,0)</f>
        <v>1</v>
      </c>
      <c r="L2308" s="14" t="str">
        <f>_xlfn.XLOOKUP(B2308,CAD_PDV!A:A,CAD_PDV!C:C)</f>
        <v>RS</v>
      </c>
      <c r="M2308" s="14" t="str">
        <f>IFERROR(_xlfn.XLOOKUP(B2308,repete!A:A,repete!A:A),"-")</f>
        <v>-</v>
      </c>
    </row>
    <row r="2309" spans="1:13" hidden="1">
      <c r="A2309" s="1">
        <v>46204</v>
      </c>
      <c r="B2309" t="s">
        <v>1483</v>
      </c>
      <c r="C2309" t="s">
        <v>1484</v>
      </c>
      <c r="D2309" t="s">
        <v>232</v>
      </c>
      <c r="E2309" t="s">
        <v>54</v>
      </c>
      <c r="F2309">
        <v>47</v>
      </c>
      <c r="G2309">
        <v>6</v>
      </c>
      <c r="H2309">
        <v>1.1949810794662399E-3</v>
      </c>
      <c r="I2309">
        <v>0.12765957446808501</v>
      </c>
      <c r="J2309" s="14" t="str">
        <f>_xlfn.XLOOKUP(B2309,CAD_PDV!A:A,CAD_PDV!B:B)</f>
        <v>HS TELECOM</v>
      </c>
      <c r="K2309" s="14">
        <f>IF(IFERROR(_xlfn.XLOOKUP(B2309,Planilha2!D:D,Planilha2!H:H),0)="SIM",1,0)</f>
        <v>0</v>
      </c>
      <c r="L2309" s="14" t="str">
        <f>_xlfn.XLOOKUP(B2309,CAD_PDV!A:A,CAD_PDV!C:C)</f>
        <v>SP2</v>
      </c>
      <c r="M2309" s="14" t="str">
        <f>IFERROR(_xlfn.XLOOKUP(B2309,repete!A:A,repete!A:A),"-")</f>
        <v>-</v>
      </c>
    </row>
    <row r="2310" spans="1:13" hidden="1">
      <c r="A2310" s="1">
        <v>46204</v>
      </c>
      <c r="B2310" t="s">
        <v>1520</v>
      </c>
      <c r="C2310" t="s">
        <v>1521</v>
      </c>
      <c r="D2310" t="s">
        <v>106</v>
      </c>
      <c r="E2310" t="s">
        <v>54</v>
      </c>
      <c r="F2310">
        <v>67</v>
      </c>
      <c r="G2310">
        <v>6</v>
      </c>
      <c r="H2310">
        <v>1.1949810794662399E-3</v>
      </c>
      <c r="I2310">
        <v>8.9552238805970102E-2</v>
      </c>
      <c r="J2310" s="14" t="str">
        <f>_xlfn.XLOOKUP(B2310,CAD_PDV!A:A,CAD_PDV!B:B)</f>
        <v>CELLULAR.COM</v>
      </c>
      <c r="K2310" s="14">
        <f>IF(IFERROR(_xlfn.XLOOKUP(B2310,Planilha2!D:D,Planilha2!H:H),0)="SIM",1,0)</f>
        <v>0</v>
      </c>
      <c r="L2310" s="14" t="str">
        <f>_xlfn.XLOOKUP(B2310,CAD_PDV!A:A,CAD_PDV!C:C)</f>
        <v>SP2</v>
      </c>
      <c r="M2310" s="14" t="str">
        <f>IFERROR(_xlfn.XLOOKUP(B2310,repete!A:A,repete!A:A),"-")</f>
        <v>-</v>
      </c>
    </row>
    <row r="2311" spans="1:13" hidden="1">
      <c r="A2311" s="1">
        <v>46204</v>
      </c>
      <c r="B2311" t="s">
        <v>529</v>
      </c>
      <c r="C2311" t="s">
        <v>530</v>
      </c>
      <c r="D2311" t="s">
        <v>228</v>
      </c>
      <c r="E2311" t="s">
        <v>56</v>
      </c>
      <c r="F2311">
        <v>50</v>
      </c>
      <c r="G2311">
        <v>6</v>
      </c>
      <c r="H2311">
        <v>1.1949810794662399E-3</v>
      </c>
      <c r="I2311">
        <v>0.12</v>
      </c>
      <c r="J2311" s="14" t="str">
        <f>_xlfn.XLOOKUP(B2311,CAD_PDV!A:A,CAD_PDV!B:B)</f>
        <v>FAJULUTI</v>
      </c>
      <c r="K2311" s="14">
        <f>IF(IFERROR(_xlfn.XLOOKUP(B2311,Planilha2!D:D,Planilha2!H:H),0)="SIM",1,0)</f>
        <v>0</v>
      </c>
      <c r="L2311" s="14" t="str">
        <f>_xlfn.XLOOKUP(B2311,CAD_PDV!A:A,CAD_PDV!C:C)</f>
        <v>MG</v>
      </c>
      <c r="M2311" s="14" t="str">
        <f>IFERROR(_xlfn.XLOOKUP(B2311,repete!A:A,repete!A:A),"-")</f>
        <v>-</v>
      </c>
    </row>
    <row r="2312" spans="1:13" hidden="1">
      <c r="A2312" s="1">
        <v>46204</v>
      </c>
      <c r="B2312" t="s">
        <v>1850</v>
      </c>
      <c r="C2312" t="s">
        <v>1847</v>
      </c>
      <c r="D2312" t="s">
        <v>106</v>
      </c>
      <c r="E2312" t="s">
        <v>2074</v>
      </c>
      <c r="F2312">
        <v>29</v>
      </c>
      <c r="G2312">
        <v>6</v>
      </c>
      <c r="H2312">
        <v>1.1949810794662399E-3</v>
      </c>
      <c r="I2312">
        <v>0.20689655172413801</v>
      </c>
      <c r="J2312" s="14" t="str">
        <f>_xlfn.XLOOKUP(B2312,CAD_PDV!A:A,CAD_PDV!B:B)</f>
        <v>CELLULAR.COM</v>
      </c>
      <c r="K2312" s="14">
        <f>IF(IFERROR(_xlfn.XLOOKUP(B2312,Planilha2!D:D,Planilha2!H:H),0)="SIM",1,0)</f>
        <v>0</v>
      </c>
      <c r="L2312" s="14" t="str">
        <f>_xlfn.XLOOKUP(B2312,CAD_PDV!A:A,CAD_PDV!C:C)</f>
        <v>PR/SC</v>
      </c>
      <c r="M2312" s="14" t="str">
        <f>IFERROR(_xlfn.XLOOKUP(B2312,repete!A:A,repete!A:A),"-")</f>
        <v>-</v>
      </c>
    </row>
    <row r="2313" spans="1:13" hidden="1">
      <c r="A2313" s="1">
        <v>46204</v>
      </c>
      <c r="B2313" t="s">
        <v>796</v>
      </c>
      <c r="C2313" t="s">
        <v>649</v>
      </c>
      <c r="D2313" t="s">
        <v>239</v>
      </c>
      <c r="E2313" t="s">
        <v>59</v>
      </c>
      <c r="F2313">
        <v>63</v>
      </c>
      <c r="G2313">
        <v>6</v>
      </c>
      <c r="H2313">
        <v>1.1949810794662399E-3</v>
      </c>
      <c r="I2313">
        <v>9.5238095238095205E-2</v>
      </c>
      <c r="J2313" s="14" t="str">
        <f>_xlfn.XLOOKUP(B2313,CAD_PDV!A:A,CAD_PDV!B:B)</f>
        <v>TELECELL TELEFONIA LTDA - ME</v>
      </c>
      <c r="K2313" s="14">
        <f>IF(IFERROR(_xlfn.XLOOKUP(B2313,Planilha2!D:D,Planilha2!H:H),0)="SIM",1,0)</f>
        <v>0</v>
      </c>
      <c r="L2313" s="14" t="str">
        <f>_xlfn.XLOOKUP(B2313,CAD_PDV!A:A,CAD_PDV!C:C)</f>
        <v>CO</v>
      </c>
      <c r="M2313" s="14" t="str">
        <f>IFERROR(_xlfn.XLOOKUP(B2313,repete!A:A,repete!A:A),"-")</f>
        <v>-</v>
      </c>
    </row>
    <row r="2314" spans="1:13" hidden="1">
      <c r="A2314" s="1">
        <v>46204</v>
      </c>
      <c r="B2314" t="s">
        <v>887</v>
      </c>
      <c r="C2314" t="s">
        <v>873</v>
      </c>
      <c r="D2314" t="s">
        <v>224</v>
      </c>
      <c r="E2314" t="s">
        <v>59</v>
      </c>
      <c r="F2314">
        <v>38</v>
      </c>
      <c r="G2314">
        <v>6</v>
      </c>
      <c r="H2314">
        <v>1.1949810794662399E-3</v>
      </c>
      <c r="I2314">
        <v>0.157894736842105</v>
      </c>
      <c r="J2314" s="14" t="str">
        <f>_xlfn.XLOOKUP(B2314,CAD_PDV!A:A,CAD_PDV!B:B)</f>
        <v>CELNET COMERCIO E SERVICOS DE TELEFONIA LTDA ME</v>
      </c>
      <c r="K2314" s="14">
        <f>IF(IFERROR(_xlfn.XLOOKUP(B2314,Planilha2!D:D,Planilha2!H:H),0)="SIM",1,0)</f>
        <v>0</v>
      </c>
      <c r="L2314" s="14" t="str">
        <f>_xlfn.XLOOKUP(B2314,CAD_PDV!A:A,CAD_PDV!C:C)</f>
        <v>CO</v>
      </c>
      <c r="M2314" s="14" t="str">
        <f>IFERROR(_xlfn.XLOOKUP(B2314,repete!A:A,repete!A:A),"-")</f>
        <v>-</v>
      </c>
    </row>
    <row r="2315" spans="1:13" hidden="1">
      <c r="A2315" s="1">
        <v>46204</v>
      </c>
      <c r="B2315" t="s">
        <v>357</v>
      </c>
      <c r="C2315" t="s">
        <v>358</v>
      </c>
      <c r="D2315" t="s">
        <v>230</v>
      </c>
      <c r="E2315" t="s">
        <v>61</v>
      </c>
      <c r="F2315">
        <v>49</v>
      </c>
      <c r="G2315">
        <v>6</v>
      </c>
      <c r="H2315">
        <v>1.1949810794662399E-3</v>
      </c>
      <c r="I2315">
        <v>0.122448979591837</v>
      </c>
      <c r="J2315" s="14" t="str">
        <f>_xlfn.XLOOKUP(B2315,CAD_PDV!A:A,CAD_PDV!B:B)</f>
        <v>HARCOS COMERCIO E SERVICOS LTDA - EPP</v>
      </c>
      <c r="K2315" s="14">
        <f>IF(IFERROR(_xlfn.XLOOKUP(B2315,Planilha2!D:D,Planilha2!H:H),0)="SIM",1,0)</f>
        <v>0</v>
      </c>
      <c r="L2315" s="14" t="str">
        <f>_xlfn.XLOOKUP(B2315,CAD_PDV!A:A,CAD_PDV!C:C)</f>
        <v>NE</v>
      </c>
      <c r="M2315" s="14" t="str">
        <f>IFERROR(_xlfn.XLOOKUP(B2315,repete!A:A,repete!A:A),"-")</f>
        <v>-</v>
      </c>
    </row>
    <row r="2316" spans="1:13" hidden="1">
      <c r="A2316" s="1">
        <v>46204</v>
      </c>
      <c r="B2316" t="s">
        <v>1868</v>
      </c>
      <c r="C2316" t="s">
        <v>1870</v>
      </c>
      <c r="D2316" t="s">
        <v>124</v>
      </c>
      <c r="E2316" t="s">
        <v>2074</v>
      </c>
      <c r="F2316">
        <v>28</v>
      </c>
      <c r="G2316">
        <v>6</v>
      </c>
      <c r="H2316">
        <v>1.1949810794662399E-3</v>
      </c>
      <c r="I2316">
        <v>0.214285714285714</v>
      </c>
      <c r="J2316" s="14" t="str">
        <f>_xlfn.XLOOKUP(B2316,CAD_PDV!A:A,CAD_PDV!B:B)</f>
        <v>EDUARDO JUNQUEIRA DA SILVEIRA ADMIN</v>
      </c>
      <c r="K2316" s="14">
        <f>IF(IFERROR(_xlfn.XLOOKUP(B2316,Planilha2!D:D,Planilha2!H:H),0)="SIM",1,0)</f>
        <v>0</v>
      </c>
      <c r="L2316" s="14" t="str">
        <f>_xlfn.XLOOKUP(B2316,CAD_PDV!A:A,CAD_PDV!C:C)</f>
        <v>RS</v>
      </c>
      <c r="M2316" s="14" t="str">
        <f>IFERROR(_xlfn.XLOOKUP(B2316,repete!A:A,repete!A:A),"-")</f>
        <v>-</v>
      </c>
    </row>
    <row r="2317" spans="1:13" hidden="1">
      <c r="A2317" s="1">
        <v>46204</v>
      </c>
      <c r="B2317" t="s">
        <v>562</v>
      </c>
      <c r="C2317" t="s">
        <v>507</v>
      </c>
      <c r="D2317" t="s">
        <v>106</v>
      </c>
      <c r="E2317" t="s">
        <v>56</v>
      </c>
      <c r="F2317">
        <v>68</v>
      </c>
      <c r="G2317">
        <v>6</v>
      </c>
      <c r="H2317">
        <v>1.1949810794662399E-3</v>
      </c>
      <c r="I2317">
        <v>8.8235294117647106E-2</v>
      </c>
      <c r="J2317" s="14" t="str">
        <f>_xlfn.XLOOKUP(B2317,CAD_PDV!A:A,CAD_PDV!B:B)</f>
        <v>CELLULAR.COM</v>
      </c>
      <c r="K2317" s="14">
        <f>IF(IFERROR(_xlfn.XLOOKUP(B2317,Planilha2!D:D,Planilha2!H:H),0)="SIM",1,0)</f>
        <v>0</v>
      </c>
      <c r="L2317" s="14" t="str">
        <f>_xlfn.XLOOKUP(B2317,CAD_PDV!A:A,CAD_PDV!C:C)</f>
        <v>MG</v>
      </c>
      <c r="M2317" s="14" t="str">
        <f>IFERROR(_xlfn.XLOOKUP(B2317,repete!A:A,repete!A:A),"-")</f>
        <v>MHRS</v>
      </c>
    </row>
    <row r="2318" spans="1:13" hidden="1">
      <c r="A2318" s="1">
        <v>46204</v>
      </c>
      <c r="B2318" t="s">
        <v>703</v>
      </c>
      <c r="C2318" t="s">
        <v>694</v>
      </c>
      <c r="D2318" t="s">
        <v>239</v>
      </c>
      <c r="E2318" t="s">
        <v>59</v>
      </c>
      <c r="F2318">
        <v>42</v>
      </c>
      <c r="G2318">
        <v>6</v>
      </c>
      <c r="H2318">
        <v>1.1949810794662399E-3</v>
      </c>
      <c r="I2318">
        <v>0.14285714285714299</v>
      </c>
      <c r="J2318" s="14" t="str">
        <f>_xlfn.XLOOKUP(B2318,CAD_PDV!A:A,CAD_PDV!B:B)</f>
        <v>TELECELL TELEFONIA LTDA - ME</v>
      </c>
      <c r="K2318" s="14">
        <f>IF(IFERROR(_xlfn.XLOOKUP(B2318,Planilha2!D:D,Planilha2!H:H),0)="SIM",1,0)</f>
        <v>0</v>
      </c>
      <c r="L2318" s="14" t="str">
        <f>_xlfn.XLOOKUP(B2318,CAD_PDV!A:A,CAD_PDV!C:C)</f>
        <v>CO</v>
      </c>
      <c r="M2318" s="14" t="str">
        <f>IFERROR(_xlfn.XLOOKUP(B2318,repete!A:A,repete!A:A),"-")</f>
        <v>-</v>
      </c>
    </row>
    <row r="2319" spans="1:13" hidden="1">
      <c r="A2319" s="1">
        <v>46204</v>
      </c>
      <c r="B2319" t="s">
        <v>843</v>
      </c>
      <c r="C2319" t="s">
        <v>677</v>
      </c>
      <c r="D2319" t="s">
        <v>239</v>
      </c>
      <c r="E2319" t="s">
        <v>59</v>
      </c>
      <c r="F2319">
        <v>33</v>
      </c>
      <c r="G2319">
        <v>6</v>
      </c>
      <c r="H2319">
        <v>1.1949810794662399E-3</v>
      </c>
      <c r="I2319">
        <v>0.18181818181818199</v>
      </c>
      <c r="J2319" s="14" t="str">
        <f>_xlfn.XLOOKUP(B2319,CAD_PDV!A:A,CAD_PDV!B:B)</f>
        <v>TELECELL TELEFONIA LTDA - ME</v>
      </c>
      <c r="K2319" s="14">
        <f>IF(IFERROR(_xlfn.XLOOKUP(B2319,Planilha2!D:D,Planilha2!H:H),0)="SIM",1,0)</f>
        <v>0</v>
      </c>
      <c r="L2319" s="14" t="str">
        <f>_xlfn.XLOOKUP(B2319,CAD_PDV!A:A,CAD_PDV!C:C)</f>
        <v>CO</v>
      </c>
      <c r="M2319" s="14" t="str">
        <f>IFERROR(_xlfn.XLOOKUP(B2319,repete!A:A,repete!A:A),"-")</f>
        <v>-</v>
      </c>
    </row>
    <row r="2320" spans="1:13" hidden="1">
      <c r="A2320" s="1">
        <v>46204</v>
      </c>
      <c r="B2320" t="s">
        <v>1665</v>
      </c>
      <c r="C2320" t="s">
        <v>1666</v>
      </c>
      <c r="D2320" t="s">
        <v>232</v>
      </c>
      <c r="E2320" t="s">
        <v>54</v>
      </c>
      <c r="F2320">
        <v>55</v>
      </c>
      <c r="G2320">
        <v>6</v>
      </c>
      <c r="H2320">
        <v>1.1949810794662399E-3</v>
      </c>
      <c r="I2320">
        <v>0.109090909090909</v>
      </c>
      <c r="J2320" s="14" t="str">
        <f>_xlfn.XLOOKUP(B2320,CAD_PDV!A:A,CAD_PDV!B:B)</f>
        <v>HS TELECOM</v>
      </c>
      <c r="K2320" s="14">
        <f>IF(IFERROR(_xlfn.XLOOKUP(B2320,Planilha2!D:D,Planilha2!H:H),0)="SIM",1,0)</f>
        <v>0</v>
      </c>
      <c r="L2320" s="14" t="str">
        <f>_xlfn.XLOOKUP(B2320,CAD_PDV!A:A,CAD_PDV!C:C)</f>
        <v>SP2</v>
      </c>
      <c r="M2320" s="14" t="str">
        <f>IFERROR(_xlfn.XLOOKUP(B2320,repete!A:A,repete!A:A),"-")</f>
        <v>-</v>
      </c>
    </row>
    <row r="2321" spans="1:13" hidden="1">
      <c r="A2321" s="1">
        <v>46204</v>
      </c>
      <c r="B2321" t="s">
        <v>2005</v>
      </c>
      <c r="C2321" t="s">
        <v>1744</v>
      </c>
      <c r="D2321" t="s">
        <v>106</v>
      </c>
      <c r="E2321" t="s">
        <v>2074</v>
      </c>
      <c r="F2321">
        <v>72</v>
      </c>
      <c r="G2321">
        <v>6</v>
      </c>
      <c r="H2321">
        <v>1.1949810794662399E-3</v>
      </c>
      <c r="I2321">
        <v>8.3333333333333301E-2</v>
      </c>
      <c r="J2321" s="14" t="str">
        <f>_xlfn.XLOOKUP(B2321,CAD_PDV!A:A,CAD_PDV!B:B)</f>
        <v>CELLULAR.COM</v>
      </c>
      <c r="K2321" s="14">
        <f>IF(IFERROR(_xlfn.XLOOKUP(B2321,Planilha2!D:D,Planilha2!H:H),0)="SIM",1,0)</f>
        <v>0</v>
      </c>
      <c r="L2321" s="14" t="str">
        <f>_xlfn.XLOOKUP(B2321,CAD_PDV!A:A,CAD_PDV!C:C)</f>
        <v>PR/SC</v>
      </c>
      <c r="M2321" s="14" t="str">
        <f>IFERROR(_xlfn.XLOOKUP(B2321,repete!A:A,repete!A:A),"-")</f>
        <v>-</v>
      </c>
    </row>
    <row r="2322" spans="1:13" hidden="1">
      <c r="A2322" s="1">
        <v>46204</v>
      </c>
      <c r="B2322" t="s">
        <v>1701</v>
      </c>
      <c r="C2322" t="s">
        <v>1702</v>
      </c>
      <c r="D2322" t="s">
        <v>106</v>
      </c>
      <c r="E2322" t="s">
        <v>54</v>
      </c>
      <c r="F2322">
        <v>44</v>
      </c>
      <c r="G2322">
        <v>6</v>
      </c>
      <c r="H2322">
        <v>1.1949810794662399E-3</v>
      </c>
      <c r="I2322">
        <v>0.13636363636363599</v>
      </c>
      <c r="J2322" s="14" t="str">
        <f>_xlfn.XLOOKUP(B2322,CAD_PDV!A:A,CAD_PDV!B:B)</f>
        <v>CELLULAR.COM</v>
      </c>
      <c r="K2322" s="14">
        <f>IF(IFERROR(_xlfn.XLOOKUP(B2322,Planilha2!D:D,Planilha2!H:H),0)="SIM",1,0)</f>
        <v>0</v>
      </c>
      <c r="L2322" s="14" t="str">
        <f>_xlfn.XLOOKUP(B2322,CAD_PDV!A:A,CAD_PDV!C:C)</f>
        <v>SP2</v>
      </c>
      <c r="M2322" s="14" t="str">
        <f>IFERROR(_xlfn.XLOOKUP(B2322,repete!A:A,repete!A:A),"-")</f>
        <v>-</v>
      </c>
    </row>
    <row r="2323" spans="1:13" hidden="1">
      <c r="A2323" s="1">
        <v>46204</v>
      </c>
      <c r="B2323" t="s">
        <v>1877</v>
      </c>
      <c r="C2323" t="s">
        <v>1876</v>
      </c>
      <c r="D2323" t="s">
        <v>124</v>
      </c>
      <c r="E2323" t="s">
        <v>2074</v>
      </c>
      <c r="F2323">
        <v>36</v>
      </c>
      <c r="G2323">
        <v>6</v>
      </c>
      <c r="H2323">
        <v>1.1949810794662399E-3</v>
      </c>
      <c r="I2323">
        <v>0.16666666666666699</v>
      </c>
      <c r="J2323" s="14" t="str">
        <f>_xlfn.XLOOKUP(B2323,CAD_PDV!A:A,CAD_PDV!B:B)</f>
        <v>EDUARDO JUNQUEIRA DA SILVEIRA ADMIN</v>
      </c>
      <c r="K2323" s="14">
        <f>IF(IFERROR(_xlfn.XLOOKUP(B2323,Planilha2!D:D,Planilha2!H:H),0)="SIM",1,0)</f>
        <v>0</v>
      </c>
      <c r="L2323" s="14" t="str">
        <f>_xlfn.XLOOKUP(B2323,CAD_PDV!A:A,CAD_PDV!C:C)</f>
        <v>RS</v>
      </c>
      <c r="M2323" s="14" t="str">
        <f>IFERROR(_xlfn.XLOOKUP(B2323,repete!A:A,repete!A:A),"-")</f>
        <v>-</v>
      </c>
    </row>
    <row r="2324" spans="1:13" hidden="1">
      <c r="A2324" s="1">
        <v>46204</v>
      </c>
      <c r="B2324" t="s">
        <v>1264</v>
      </c>
      <c r="C2324" t="s">
        <v>1142</v>
      </c>
      <c r="D2324" t="s">
        <v>233</v>
      </c>
      <c r="E2324" t="s">
        <v>55</v>
      </c>
      <c r="F2324">
        <v>83</v>
      </c>
      <c r="G2324">
        <v>6</v>
      </c>
      <c r="H2324">
        <v>1.1949810794662399E-3</v>
      </c>
      <c r="I2324">
        <v>7.2289156626505993E-2</v>
      </c>
      <c r="J2324" s="14" t="str">
        <f>_xlfn.XLOOKUP(B2324,CAD_PDV!A:A,CAD_PDV!B:B)</f>
        <v>LEINAD COMERCIO E SERVICO EIRELI</v>
      </c>
      <c r="K2324" s="14">
        <f>IF(IFERROR(_xlfn.XLOOKUP(B2324,Planilha2!D:D,Planilha2!H:H),0)="SIM",1,0)</f>
        <v>0</v>
      </c>
      <c r="L2324" s="14" t="str">
        <f>_xlfn.XLOOKUP(B2324,CAD_PDV!A:A,CAD_PDV!C:C)</f>
        <v>RJ/ES</v>
      </c>
      <c r="M2324" s="14" t="str">
        <f>IFERROR(_xlfn.XLOOKUP(B2324,repete!A:A,repete!A:A),"-")</f>
        <v>-</v>
      </c>
    </row>
    <row r="2325" spans="1:13" hidden="1">
      <c r="A2325" s="1">
        <v>46204</v>
      </c>
      <c r="B2325" t="s">
        <v>840</v>
      </c>
      <c r="C2325" t="s">
        <v>837</v>
      </c>
      <c r="D2325" t="s">
        <v>239</v>
      </c>
      <c r="E2325" t="s">
        <v>59</v>
      </c>
      <c r="F2325">
        <v>37</v>
      </c>
      <c r="G2325">
        <v>6</v>
      </c>
      <c r="H2325">
        <v>1.1949810794662399E-3</v>
      </c>
      <c r="I2325">
        <v>0.162162162162162</v>
      </c>
      <c r="J2325" s="14" t="str">
        <f>_xlfn.XLOOKUP(B2325,CAD_PDV!A:A,CAD_PDV!B:B)</f>
        <v>TELECELL TELEFONIA LTDA - ME</v>
      </c>
      <c r="K2325" s="14">
        <f>IF(IFERROR(_xlfn.XLOOKUP(B2325,Planilha2!D:D,Planilha2!H:H),0)="SIM",1,0)</f>
        <v>0</v>
      </c>
      <c r="L2325" s="14" t="str">
        <f>_xlfn.XLOOKUP(B2325,CAD_PDV!A:A,CAD_PDV!C:C)</f>
        <v>CO</v>
      </c>
      <c r="M2325" s="14" t="str">
        <f>IFERROR(_xlfn.XLOOKUP(B2325,repete!A:A,repete!A:A),"-")</f>
        <v>-</v>
      </c>
    </row>
    <row r="2326" spans="1:13" hidden="1">
      <c r="A2326" s="1">
        <v>46204</v>
      </c>
      <c r="B2326" t="s">
        <v>1838</v>
      </c>
      <c r="C2326" t="s">
        <v>1839</v>
      </c>
      <c r="D2326" t="s">
        <v>124</v>
      </c>
      <c r="E2326" t="s">
        <v>2074</v>
      </c>
      <c r="F2326">
        <v>67</v>
      </c>
      <c r="G2326">
        <v>6</v>
      </c>
      <c r="H2326">
        <v>1.1949810794662399E-3</v>
      </c>
      <c r="I2326">
        <v>8.9552238805970102E-2</v>
      </c>
      <c r="J2326" s="14" t="str">
        <f>_xlfn.XLOOKUP(B2326,CAD_PDV!A:A,CAD_PDV!B:B)</f>
        <v>EDUARDO JUNQUEIRA DA SILVEIRA ADMIN</v>
      </c>
      <c r="K2326" s="14">
        <f>IF(IFERROR(_xlfn.XLOOKUP(B2326,Planilha2!D:D,Planilha2!H:H),0)="SIM",1,0)</f>
        <v>0</v>
      </c>
      <c r="L2326" s="14" t="str">
        <f>_xlfn.XLOOKUP(B2326,CAD_PDV!A:A,CAD_PDV!C:C)</f>
        <v>RS</v>
      </c>
      <c r="M2326" s="14" t="str">
        <f>IFERROR(_xlfn.XLOOKUP(B2326,repete!A:A,repete!A:A),"-")</f>
        <v>-</v>
      </c>
    </row>
    <row r="2327" spans="1:13" hidden="1">
      <c r="A2327" s="1">
        <v>46204</v>
      </c>
      <c r="B2327" t="s">
        <v>1293</v>
      </c>
      <c r="C2327" t="s">
        <v>1188</v>
      </c>
      <c r="D2327" t="s">
        <v>232</v>
      </c>
      <c r="E2327" t="s">
        <v>55</v>
      </c>
      <c r="F2327">
        <v>30</v>
      </c>
      <c r="G2327">
        <v>6</v>
      </c>
      <c r="H2327">
        <v>1.1949810794662399E-3</v>
      </c>
      <c r="I2327">
        <v>0.2</v>
      </c>
      <c r="J2327" s="14" t="str">
        <f>_xlfn.XLOOKUP(B2327,CAD_PDV!A:A,CAD_PDV!B:B)</f>
        <v>HS TELECOM</v>
      </c>
      <c r="K2327" s="14">
        <f>IF(IFERROR(_xlfn.XLOOKUP(B2327,Planilha2!D:D,Planilha2!H:H),0)="SIM",1,0)</f>
        <v>0</v>
      </c>
      <c r="L2327" s="14" t="str">
        <f>_xlfn.XLOOKUP(B2327,CAD_PDV!A:A,CAD_PDV!C:C)</f>
        <v>RJ/ES</v>
      </c>
      <c r="M2327" s="14" t="str">
        <f>IFERROR(_xlfn.XLOOKUP(B2327,repete!A:A,repete!A:A),"-")</f>
        <v>-</v>
      </c>
    </row>
    <row r="2328" spans="1:13" hidden="1">
      <c r="A2328" s="1">
        <v>46204</v>
      </c>
      <c r="B2328" t="s">
        <v>1277</v>
      </c>
      <c r="C2328" t="s">
        <v>1278</v>
      </c>
      <c r="D2328" t="s">
        <v>228</v>
      </c>
      <c r="E2328" t="s">
        <v>55</v>
      </c>
      <c r="F2328">
        <v>23</v>
      </c>
      <c r="G2328">
        <v>6</v>
      </c>
      <c r="H2328">
        <v>1.1949810794662399E-3</v>
      </c>
      <c r="I2328">
        <v>0.26086956521739102</v>
      </c>
      <c r="J2328" s="14" t="str">
        <f>_xlfn.XLOOKUP(B2328,CAD_PDV!A:A,CAD_PDV!B:B)</f>
        <v>FAJULUTI</v>
      </c>
      <c r="K2328" s="14">
        <f>IF(IFERROR(_xlfn.XLOOKUP(B2328,Planilha2!D:D,Planilha2!H:H),0)="SIM",1,0)</f>
        <v>0</v>
      </c>
      <c r="L2328" s="14" t="str">
        <f>_xlfn.XLOOKUP(B2328,CAD_PDV!A:A,CAD_PDV!C:C)</f>
        <v>RJ/ES</v>
      </c>
      <c r="M2328" s="14" t="str">
        <f>IFERROR(_xlfn.XLOOKUP(B2328,repete!A:A,repete!A:A),"-")</f>
        <v>-</v>
      </c>
    </row>
    <row r="2329" spans="1:13" hidden="1">
      <c r="A2329" s="1">
        <v>46204</v>
      </c>
      <c r="B2329" t="s">
        <v>492</v>
      </c>
      <c r="C2329" t="s">
        <v>494</v>
      </c>
      <c r="D2329" t="s">
        <v>239</v>
      </c>
      <c r="E2329" t="s">
        <v>56</v>
      </c>
      <c r="F2329">
        <v>22</v>
      </c>
      <c r="G2329">
        <v>5</v>
      </c>
      <c r="H2329">
        <v>9.9581756622186797E-4</v>
      </c>
      <c r="I2329">
        <v>0.22727272727272699</v>
      </c>
      <c r="J2329" s="14" t="str">
        <f>_xlfn.XLOOKUP(B2329,CAD_PDV!A:A,CAD_PDV!B:B)</f>
        <v>TELECELL TELEFONIA LTDA - ME</v>
      </c>
      <c r="K2329" s="14">
        <f>IF(IFERROR(_xlfn.XLOOKUP(B2329,Planilha2!D:D,Planilha2!H:H),0)="SIM",1,0)</f>
        <v>0</v>
      </c>
      <c r="L2329" s="14" t="str">
        <f>_xlfn.XLOOKUP(B2329,CAD_PDV!A:A,CAD_PDV!C:C)</f>
        <v>MG</v>
      </c>
      <c r="M2329" s="14" t="str">
        <f>IFERROR(_xlfn.XLOOKUP(B2329,repete!A:A,repete!A:A),"-")</f>
        <v>-</v>
      </c>
    </row>
    <row r="2330" spans="1:13" hidden="1">
      <c r="A2330" s="1">
        <v>46204</v>
      </c>
      <c r="B2330" t="s">
        <v>870</v>
      </c>
      <c r="C2330" t="s">
        <v>871</v>
      </c>
      <c r="D2330" t="s">
        <v>224</v>
      </c>
      <c r="E2330" t="s">
        <v>59</v>
      </c>
      <c r="F2330">
        <v>95</v>
      </c>
      <c r="G2330">
        <v>5</v>
      </c>
      <c r="H2330">
        <v>9.9581756622186797E-4</v>
      </c>
      <c r="I2330">
        <v>5.2631578947368397E-2</v>
      </c>
      <c r="J2330" s="14" t="str">
        <f>_xlfn.XLOOKUP(B2330,CAD_PDV!A:A,CAD_PDV!B:B)</f>
        <v>CELNET COMERCIO E SERVICOS DE TELEFONIA LTDA ME</v>
      </c>
      <c r="K2330" s="14">
        <f>IF(IFERROR(_xlfn.XLOOKUP(B2330,Planilha2!D:D,Planilha2!H:H),0)="SIM",1,0)</f>
        <v>0</v>
      </c>
      <c r="L2330" s="14" t="str">
        <f>_xlfn.XLOOKUP(B2330,CAD_PDV!A:A,CAD_PDV!C:C)</f>
        <v>CO</v>
      </c>
      <c r="M2330" s="14" t="str">
        <f>IFERROR(_xlfn.XLOOKUP(B2330,repete!A:A,repete!A:A),"-")</f>
        <v>-</v>
      </c>
    </row>
    <row r="2331" spans="1:13" hidden="1">
      <c r="A2331" s="1">
        <v>46204</v>
      </c>
      <c r="B2331" t="s">
        <v>1478</v>
      </c>
      <c r="C2331" t="s">
        <v>1464</v>
      </c>
      <c r="D2331" t="s">
        <v>106</v>
      </c>
      <c r="E2331" t="s">
        <v>54</v>
      </c>
      <c r="F2331">
        <v>26</v>
      </c>
      <c r="G2331">
        <v>5</v>
      </c>
      <c r="H2331">
        <v>9.9581756622186797E-4</v>
      </c>
      <c r="I2331">
        <v>0.19230769230769201</v>
      </c>
      <c r="J2331" s="14" t="str">
        <f>_xlfn.XLOOKUP(B2331,CAD_PDV!A:A,CAD_PDV!B:B)</f>
        <v>CELLULAR.COM</v>
      </c>
      <c r="K2331" s="14">
        <f>IF(IFERROR(_xlfn.XLOOKUP(B2331,Planilha2!D:D,Planilha2!H:H),0)="SIM",1,0)</f>
        <v>0</v>
      </c>
      <c r="L2331" s="14" t="str">
        <f>_xlfn.XLOOKUP(B2331,CAD_PDV!A:A,CAD_PDV!C:C)</f>
        <v>SP2</v>
      </c>
      <c r="M2331" s="14" t="str">
        <f>IFERROR(_xlfn.XLOOKUP(B2331,repete!A:A,repete!A:A),"-")</f>
        <v>-</v>
      </c>
    </row>
    <row r="2332" spans="1:13" hidden="1">
      <c r="A2332" s="1">
        <v>46204</v>
      </c>
      <c r="B2332" t="s">
        <v>985</v>
      </c>
      <c r="C2332" t="s">
        <v>944</v>
      </c>
      <c r="D2332" t="s">
        <v>232</v>
      </c>
      <c r="E2332" t="s">
        <v>60</v>
      </c>
      <c r="F2332">
        <v>70</v>
      </c>
      <c r="G2332">
        <v>5</v>
      </c>
      <c r="H2332">
        <v>9.9581756622186797E-4</v>
      </c>
      <c r="I2332">
        <v>7.1428571428571397E-2</v>
      </c>
      <c r="J2332" s="14" t="str">
        <f>_xlfn.XLOOKUP(B2332,CAD_PDV!A:A,CAD_PDV!B:B)</f>
        <v>HS TELECOM</v>
      </c>
      <c r="K2332" s="14">
        <f>IF(IFERROR(_xlfn.XLOOKUP(B2332,Planilha2!D:D,Planilha2!H:H),0)="SIM",1,0)</f>
        <v>0</v>
      </c>
      <c r="L2332" s="14" t="str">
        <f>_xlfn.XLOOKUP(B2332,CAD_PDV!A:A,CAD_PDV!C:C)</f>
        <v>BA/SE</v>
      </c>
      <c r="M2332" s="14" t="str">
        <f>IFERROR(_xlfn.XLOOKUP(B2332,repete!A:A,repete!A:A),"-")</f>
        <v>-</v>
      </c>
    </row>
    <row r="2333" spans="1:13" hidden="1">
      <c r="A2333" s="1">
        <v>46204</v>
      </c>
      <c r="B2333" t="s">
        <v>1479</v>
      </c>
      <c r="C2333" t="s">
        <v>1480</v>
      </c>
      <c r="D2333" t="s">
        <v>232</v>
      </c>
      <c r="E2333" t="s">
        <v>54</v>
      </c>
      <c r="F2333">
        <v>50</v>
      </c>
      <c r="G2333">
        <v>5</v>
      </c>
      <c r="H2333">
        <v>9.9581756622186797E-4</v>
      </c>
      <c r="I2333">
        <v>0.1</v>
      </c>
      <c r="J2333" s="14" t="str">
        <f>_xlfn.XLOOKUP(B2333,CAD_PDV!A:A,CAD_PDV!B:B)</f>
        <v>HS TELECOM</v>
      </c>
      <c r="K2333" s="14">
        <f>IF(IFERROR(_xlfn.XLOOKUP(B2333,Planilha2!D:D,Planilha2!H:H),0)="SIM",1,0)</f>
        <v>0</v>
      </c>
      <c r="L2333" s="14" t="str">
        <f>_xlfn.XLOOKUP(B2333,CAD_PDV!A:A,CAD_PDV!C:C)</f>
        <v>SP2</v>
      </c>
      <c r="M2333" s="14" t="str">
        <f>IFERROR(_xlfn.XLOOKUP(B2333,repete!A:A,repete!A:A),"-")</f>
        <v>-</v>
      </c>
    </row>
    <row r="2334" spans="1:13" hidden="1">
      <c r="A2334" s="1">
        <v>46204</v>
      </c>
      <c r="B2334" t="s">
        <v>1377</v>
      </c>
      <c r="C2334" t="s">
        <v>1375</v>
      </c>
      <c r="D2334" t="s">
        <v>229</v>
      </c>
      <c r="E2334" t="s">
        <v>53</v>
      </c>
      <c r="F2334">
        <v>127</v>
      </c>
      <c r="G2334">
        <v>5</v>
      </c>
      <c r="H2334">
        <v>9.9581756622186797E-4</v>
      </c>
      <c r="I2334">
        <v>3.9370078740157501E-2</v>
      </c>
      <c r="J2334" s="14" t="str">
        <f>_xlfn.XLOOKUP(B2334,CAD_PDV!A:A,CAD_PDV!B:B)</f>
        <v>FW TELEFONIA LTDA - EPP</v>
      </c>
      <c r="K2334" s="14">
        <f>IF(IFERROR(_xlfn.XLOOKUP(B2334,Planilha2!D:D,Planilha2!H:H),0)="SIM",1,0)</f>
        <v>0</v>
      </c>
      <c r="L2334" s="14" t="str">
        <f>_xlfn.XLOOKUP(B2334,CAD_PDV!A:A,CAD_PDV!C:C)</f>
        <v>SP1</v>
      </c>
      <c r="M2334" s="14" t="str">
        <f>IFERROR(_xlfn.XLOOKUP(B2334,repete!A:A,repete!A:A),"-")</f>
        <v>6J3J</v>
      </c>
    </row>
    <row r="2335" spans="1:13" hidden="1">
      <c r="A2335" s="1">
        <v>46204</v>
      </c>
      <c r="B2335" t="s">
        <v>1210</v>
      </c>
      <c r="C2335" t="s">
        <v>1211</v>
      </c>
      <c r="D2335" t="s">
        <v>228</v>
      </c>
      <c r="E2335" t="s">
        <v>55</v>
      </c>
      <c r="F2335">
        <v>59</v>
      </c>
      <c r="G2335">
        <v>5</v>
      </c>
      <c r="H2335">
        <v>9.9581756622186797E-4</v>
      </c>
      <c r="I2335">
        <v>8.4745762711864403E-2</v>
      </c>
      <c r="J2335" s="14" t="str">
        <f>_xlfn.XLOOKUP(B2335,CAD_PDV!A:A,CAD_PDV!B:B)</f>
        <v>FAJULUTI</v>
      </c>
      <c r="K2335" s="14">
        <f>IF(IFERROR(_xlfn.XLOOKUP(B2335,Planilha2!D:D,Planilha2!H:H),0)="SIM",1,0)</f>
        <v>0</v>
      </c>
      <c r="L2335" s="14" t="str">
        <f>_xlfn.XLOOKUP(B2335,CAD_PDV!A:A,CAD_PDV!C:C)</f>
        <v>RJ/ES</v>
      </c>
      <c r="M2335" s="14" t="str">
        <f>IFERROR(_xlfn.XLOOKUP(B2335,repete!A:A,repete!A:A),"-")</f>
        <v>-</v>
      </c>
    </row>
    <row r="2336" spans="1:13" hidden="1">
      <c r="A2336" s="1">
        <v>46204</v>
      </c>
      <c r="B2336" t="s">
        <v>2038</v>
      </c>
      <c r="C2336" t="s">
        <v>2040</v>
      </c>
      <c r="D2336" t="s">
        <v>193</v>
      </c>
      <c r="E2336" t="s">
        <v>2074</v>
      </c>
      <c r="F2336">
        <v>31</v>
      </c>
      <c r="G2336">
        <v>5</v>
      </c>
      <c r="H2336">
        <v>9.9581756622186797E-4</v>
      </c>
      <c r="I2336">
        <v>0.16129032258064499</v>
      </c>
      <c r="J2336" s="14" t="str">
        <f>_xlfn.XLOOKUP(B2336,CAD_PDV!A:A,CAD_PDV!B:B)</f>
        <v>S D COMERCIO DE CELULARES LTDA - ME</v>
      </c>
      <c r="K2336" s="14">
        <f>IF(IFERROR(_xlfn.XLOOKUP(B2336,Planilha2!D:D,Planilha2!H:H),0)="SIM",1,0)</f>
        <v>0</v>
      </c>
      <c r="L2336" s="14" t="str">
        <f>_xlfn.XLOOKUP(B2336,CAD_PDV!A:A,CAD_PDV!C:C)</f>
        <v>RS</v>
      </c>
      <c r="M2336" s="14" t="str">
        <f>IFERROR(_xlfn.XLOOKUP(B2336,repete!A:A,repete!A:A),"-")</f>
        <v>-</v>
      </c>
    </row>
    <row r="2337" spans="1:13" hidden="1">
      <c r="A2337" s="1">
        <v>46204</v>
      </c>
      <c r="B2337" t="s">
        <v>861</v>
      </c>
      <c r="C2337" t="s">
        <v>694</v>
      </c>
      <c r="D2337" t="s">
        <v>239</v>
      </c>
      <c r="E2337" t="s">
        <v>59</v>
      </c>
      <c r="F2337">
        <v>59</v>
      </c>
      <c r="G2337">
        <v>5</v>
      </c>
      <c r="H2337">
        <v>9.9581756622186797E-4</v>
      </c>
      <c r="I2337">
        <v>8.4745762711864403E-2</v>
      </c>
      <c r="J2337" s="14" t="str">
        <f>_xlfn.XLOOKUP(B2337,CAD_PDV!A:A,CAD_PDV!B:B)</f>
        <v>TELECELL TELEFONIA LTDA - ME</v>
      </c>
      <c r="K2337" s="14">
        <f>IF(IFERROR(_xlfn.XLOOKUP(B2337,Planilha2!D:D,Planilha2!H:H),0)="SIM",1,0)</f>
        <v>0</v>
      </c>
      <c r="L2337" s="14" t="str">
        <f>_xlfn.XLOOKUP(B2337,CAD_PDV!A:A,CAD_PDV!C:C)</f>
        <v>CO</v>
      </c>
      <c r="M2337" s="14" t="str">
        <f>IFERROR(_xlfn.XLOOKUP(B2337,repete!A:A,repete!A:A),"-")</f>
        <v>-</v>
      </c>
    </row>
    <row r="2338" spans="1:13" hidden="1">
      <c r="A2338" s="1">
        <v>46204</v>
      </c>
      <c r="B2338" t="s">
        <v>846</v>
      </c>
      <c r="C2338" t="s">
        <v>732</v>
      </c>
      <c r="D2338" t="s">
        <v>221</v>
      </c>
      <c r="E2338" t="s">
        <v>59</v>
      </c>
      <c r="F2338">
        <v>82</v>
      </c>
      <c r="G2338">
        <v>5</v>
      </c>
      <c r="H2338">
        <v>9.9581756622186797E-4</v>
      </c>
      <c r="I2338">
        <v>6.0975609756097601E-2</v>
      </c>
      <c r="J2338" s="14" t="str">
        <f>_xlfn.XLOOKUP(B2338,CAD_PDV!A:A,CAD_PDV!B:B)</f>
        <v>AMERICOM COMERCIO DE APARELHOS ELETRONICOS LTDA - EPP</v>
      </c>
      <c r="K2338" s="14">
        <f>IF(IFERROR(_xlfn.XLOOKUP(B2338,Planilha2!D:D,Planilha2!H:H),0)="SIM",1,0)</f>
        <v>0</v>
      </c>
      <c r="L2338" s="14" t="str">
        <f>_xlfn.XLOOKUP(B2338,CAD_PDV!A:A,CAD_PDV!C:C)</f>
        <v>CO</v>
      </c>
      <c r="M2338" s="14" t="str">
        <f>IFERROR(_xlfn.XLOOKUP(B2338,repete!A:A,repete!A:A),"-")</f>
        <v>-</v>
      </c>
    </row>
    <row r="2339" spans="1:13" hidden="1">
      <c r="A2339" s="1">
        <v>46204</v>
      </c>
      <c r="B2339" t="s">
        <v>1906</v>
      </c>
      <c r="C2339" t="s">
        <v>1904</v>
      </c>
      <c r="D2339" t="s">
        <v>97</v>
      </c>
      <c r="E2339" t="s">
        <v>2074</v>
      </c>
      <c r="F2339">
        <v>97</v>
      </c>
      <c r="G2339">
        <v>5</v>
      </c>
      <c r="H2339">
        <v>9.9581756622186797E-4</v>
      </c>
      <c r="I2339">
        <v>5.1546391752577303E-2</v>
      </c>
      <c r="J2339" s="14" t="str">
        <f>_xlfn.XLOOKUP(B2339,CAD_PDV!A:A,CAD_PDV!B:B)</f>
        <v>BANDEIRA</v>
      </c>
      <c r="K2339" s="14">
        <f>IF(IFERROR(_xlfn.XLOOKUP(B2339,Planilha2!D:D,Planilha2!H:H),0)="SIM",1,0)</f>
        <v>0</v>
      </c>
      <c r="L2339" s="14" t="str">
        <f>_xlfn.XLOOKUP(B2339,CAD_PDV!A:A,CAD_PDV!C:C)</f>
        <v>PR/SC</v>
      </c>
      <c r="M2339" s="14" t="str">
        <f>IFERROR(_xlfn.XLOOKUP(B2339,repete!A:A,repete!A:A),"-")</f>
        <v>-</v>
      </c>
    </row>
    <row r="2340" spans="1:13" hidden="1">
      <c r="A2340" s="1">
        <v>46204</v>
      </c>
      <c r="B2340" t="s">
        <v>2036</v>
      </c>
      <c r="C2340" t="s">
        <v>2037</v>
      </c>
      <c r="D2340" t="s">
        <v>193</v>
      </c>
      <c r="E2340" t="s">
        <v>2074</v>
      </c>
      <c r="F2340">
        <v>37</v>
      </c>
      <c r="G2340">
        <v>5</v>
      </c>
      <c r="H2340">
        <v>9.9581756622186797E-4</v>
      </c>
      <c r="I2340">
        <v>0.135135135135135</v>
      </c>
      <c r="J2340" s="14" t="str">
        <f>_xlfn.XLOOKUP(B2340,CAD_PDV!A:A,CAD_PDV!B:B)</f>
        <v>S D COMERCIO DE CELULARES LTDA - ME</v>
      </c>
      <c r="K2340" s="14">
        <f>IF(IFERROR(_xlfn.XLOOKUP(B2340,Planilha2!D:D,Planilha2!H:H),0)="SIM",1,0)</f>
        <v>0</v>
      </c>
      <c r="L2340" s="14" t="str">
        <f>_xlfn.XLOOKUP(B2340,CAD_PDV!A:A,CAD_PDV!C:C)</f>
        <v>RS</v>
      </c>
      <c r="M2340" s="14" t="str">
        <f>IFERROR(_xlfn.XLOOKUP(B2340,repete!A:A,repete!A:A),"-")</f>
        <v>-</v>
      </c>
    </row>
    <row r="2341" spans="1:13" hidden="1">
      <c r="A2341" s="1">
        <v>46204</v>
      </c>
      <c r="B2341" t="s">
        <v>848</v>
      </c>
      <c r="C2341" t="s">
        <v>732</v>
      </c>
      <c r="D2341" t="s">
        <v>221</v>
      </c>
      <c r="E2341" t="s">
        <v>59</v>
      </c>
      <c r="F2341">
        <v>41</v>
      </c>
      <c r="G2341">
        <v>5</v>
      </c>
      <c r="H2341">
        <v>9.9581756622186797E-4</v>
      </c>
      <c r="I2341">
        <v>0.12195121951219499</v>
      </c>
      <c r="J2341" s="14" t="str">
        <f>_xlfn.XLOOKUP(B2341,CAD_PDV!A:A,CAD_PDV!B:B)</f>
        <v>AMERICOM COMERCIO DE APARELHOS ELETRONICOS LTDA - EPP</v>
      </c>
      <c r="K2341" s="14">
        <f>IF(IFERROR(_xlfn.XLOOKUP(B2341,Planilha2!D:D,Planilha2!H:H),0)="SIM",1,0)</f>
        <v>0</v>
      </c>
      <c r="L2341" s="14" t="str">
        <f>_xlfn.XLOOKUP(B2341,CAD_PDV!A:A,CAD_PDV!C:C)</f>
        <v>CO</v>
      </c>
      <c r="M2341" s="14" t="str">
        <f>IFERROR(_xlfn.XLOOKUP(B2341,repete!A:A,repete!A:A),"-")</f>
        <v>-</v>
      </c>
    </row>
    <row r="2342" spans="1:13" hidden="1">
      <c r="A2342" s="1">
        <v>46204</v>
      </c>
      <c r="B2342" t="s">
        <v>1361</v>
      </c>
      <c r="C2342" t="s">
        <v>1350</v>
      </c>
      <c r="D2342" t="s">
        <v>132</v>
      </c>
      <c r="E2342" t="s">
        <v>53</v>
      </c>
      <c r="F2342">
        <v>22</v>
      </c>
      <c r="G2342">
        <v>5</v>
      </c>
      <c r="H2342">
        <v>9.9581756622186797E-4</v>
      </c>
      <c r="I2342">
        <v>0.22727272727272699</v>
      </c>
      <c r="J2342" s="14" t="str">
        <f>_xlfn.XLOOKUP(B2342,CAD_PDV!A:A,CAD_PDV!B:B)</f>
        <v>FLEX CELL</v>
      </c>
      <c r="K2342" s="14">
        <f>IF(IFERROR(_xlfn.XLOOKUP(B2342,Planilha2!D:D,Planilha2!H:H),0)="SIM",1,0)</f>
        <v>0</v>
      </c>
      <c r="L2342" s="14" t="str">
        <f>_xlfn.XLOOKUP(B2342,CAD_PDV!A:A,CAD_PDV!C:C)</f>
        <v>SP1</v>
      </c>
      <c r="M2342" s="14" t="str">
        <f>IFERROR(_xlfn.XLOOKUP(B2342,repete!A:A,repete!A:A),"-")</f>
        <v>-</v>
      </c>
    </row>
    <row r="2343" spans="1:13" hidden="1">
      <c r="A2343" s="1">
        <v>46204</v>
      </c>
      <c r="B2343" t="s">
        <v>2025</v>
      </c>
      <c r="C2343" t="s">
        <v>2026</v>
      </c>
      <c r="D2343" t="s">
        <v>193</v>
      </c>
      <c r="E2343" t="s">
        <v>2074</v>
      </c>
      <c r="F2343">
        <v>31</v>
      </c>
      <c r="G2343">
        <v>5</v>
      </c>
      <c r="H2343">
        <v>9.9581756622186797E-4</v>
      </c>
      <c r="I2343">
        <v>0.16129032258064499</v>
      </c>
      <c r="J2343" s="14" t="str">
        <f>_xlfn.XLOOKUP(B2343,CAD_PDV!A:A,CAD_PDV!B:B)</f>
        <v>S D COMERCIO DE CELULARES LTDA - ME</v>
      </c>
      <c r="K2343" s="14">
        <f>IF(IFERROR(_xlfn.XLOOKUP(B2343,Planilha2!D:D,Planilha2!H:H),0)="SIM",1,0)</f>
        <v>0</v>
      </c>
      <c r="L2343" s="14" t="str">
        <f>_xlfn.XLOOKUP(B2343,CAD_PDV!A:A,CAD_PDV!C:C)</f>
        <v>RS</v>
      </c>
      <c r="M2343" s="14" t="str">
        <f>IFERROR(_xlfn.XLOOKUP(B2343,repete!A:A,repete!A:A),"-")</f>
        <v>-</v>
      </c>
    </row>
    <row r="2344" spans="1:13" hidden="1">
      <c r="A2344" s="1">
        <v>46204</v>
      </c>
      <c r="B2344" t="s">
        <v>1871</v>
      </c>
      <c r="C2344" t="s">
        <v>1872</v>
      </c>
      <c r="D2344" t="s">
        <v>124</v>
      </c>
      <c r="E2344" t="s">
        <v>2074</v>
      </c>
      <c r="F2344">
        <v>32</v>
      </c>
      <c r="G2344">
        <v>5</v>
      </c>
      <c r="H2344">
        <v>9.9581756622186797E-4</v>
      </c>
      <c r="I2344">
        <v>0.15625</v>
      </c>
      <c r="J2344" s="14" t="str">
        <f>_xlfn.XLOOKUP(B2344,CAD_PDV!A:A,CAD_PDV!B:B)</f>
        <v>EDUARDO JUNQUEIRA DA SILVEIRA ADMIN</v>
      </c>
      <c r="K2344" s="14">
        <f>IF(IFERROR(_xlfn.XLOOKUP(B2344,Planilha2!D:D,Planilha2!H:H),0)="SIM",1,0)</f>
        <v>0</v>
      </c>
      <c r="L2344" s="14" t="str">
        <f>_xlfn.XLOOKUP(B2344,CAD_PDV!A:A,CAD_PDV!C:C)</f>
        <v>RS</v>
      </c>
      <c r="M2344" s="14" t="str">
        <f>IFERROR(_xlfn.XLOOKUP(B2344,repete!A:A,repete!A:A),"-")</f>
        <v>-</v>
      </c>
    </row>
    <row r="2345" spans="1:13" hidden="1">
      <c r="A2345" s="1">
        <v>46204</v>
      </c>
      <c r="B2345" t="s">
        <v>1335</v>
      </c>
      <c r="C2345" t="s">
        <v>1313</v>
      </c>
      <c r="D2345" t="s">
        <v>225</v>
      </c>
      <c r="E2345" t="s">
        <v>53</v>
      </c>
      <c r="F2345">
        <v>41</v>
      </c>
      <c r="G2345">
        <v>5</v>
      </c>
      <c r="H2345">
        <v>9.9581756622186797E-4</v>
      </c>
      <c r="I2345">
        <v>0.12195121951219499</v>
      </c>
      <c r="J2345" s="14" t="str">
        <f>_xlfn.XLOOKUP(B2345,CAD_PDV!A:A,CAD_PDV!B:B)</f>
        <v>CLARICELL SP1</v>
      </c>
      <c r="K2345" s="14">
        <f>IF(IFERROR(_xlfn.XLOOKUP(B2345,Planilha2!D:D,Planilha2!H:H),0)="SIM",1,0)</f>
        <v>0</v>
      </c>
      <c r="L2345" s="14" t="str">
        <f>_xlfn.XLOOKUP(B2345,CAD_PDV!A:A,CAD_PDV!C:C)</f>
        <v>SP1</v>
      </c>
      <c r="M2345" s="14" t="str">
        <f>IFERROR(_xlfn.XLOOKUP(B2345,repete!A:A,repete!A:A),"-")</f>
        <v>-</v>
      </c>
    </row>
    <row r="2346" spans="1:13" hidden="1">
      <c r="A2346" s="1">
        <v>46204</v>
      </c>
      <c r="B2346" t="s">
        <v>1275</v>
      </c>
      <c r="C2346" t="s">
        <v>1188</v>
      </c>
      <c r="D2346" t="s">
        <v>228</v>
      </c>
      <c r="E2346" t="s">
        <v>55</v>
      </c>
      <c r="F2346">
        <v>33</v>
      </c>
      <c r="G2346">
        <v>5</v>
      </c>
      <c r="H2346">
        <v>9.9581756622186797E-4</v>
      </c>
      <c r="I2346">
        <v>0.15151515151515199</v>
      </c>
      <c r="J2346" s="14" t="str">
        <f>_xlfn.XLOOKUP(B2346,CAD_PDV!A:A,CAD_PDV!B:B)</f>
        <v>FAJULUTI</v>
      </c>
      <c r="K2346" s="14">
        <f>IF(IFERROR(_xlfn.XLOOKUP(B2346,Planilha2!D:D,Planilha2!H:H),0)="SIM",1,0)</f>
        <v>0</v>
      </c>
      <c r="L2346" s="14" t="str">
        <f>_xlfn.XLOOKUP(B2346,CAD_PDV!A:A,CAD_PDV!C:C)</f>
        <v>RJ/ES</v>
      </c>
      <c r="M2346" s="14" t="str">
        <f>IFERROR(_xlfn.XLOOKUP(B2346,repete!A:A,repete!A:A),"-")</f>
        <v>-</v>
      </c>
    </row>
    <row r="2347" spans="1:13" hidden="1">
      <c r="A2347" s="1">
        <v>46204</v>
      </c>
      <c r="B2347" t="s">
        <v>890</v>
      </c>
      <c r="C2347" t="s">
        <v>891</v>
      </c>
      <c r="D2347" t="s">
        <v>239</v>
      </c>
      <c r="E2347" t="s">
        <v>59</v>
      </c>
      <c r="F2347">
        <v>104</v>
      </c>
      <c r="G2347">
        <v>5</v>
      </c>
      <c r="H2347">
        <v>9.9581756622186797E-4</v>
      </c>
      <c r="I2347">
        <v>4.80769230769231E-2</v>
      </c>
      <c r="J2347" s="14" t="str">
        <f>_xlfn.XLOOKUP(B2347,CAD_PDV!A:A,CAD_PDV!B:B)</f>
        <v>TELECELL TELEFONIA LTDA - ME</v>
      </c>
      <c r="K2347" s="14">
        <f>IF(IFERROR(_xlfn.XLOOKUP(B2347,Planilha2!D:D,Planilha2!H:H),0)="SIM",1,0)</f>
        <v>0</v>
      </c>
      <c r="L2347" s="14" t="str">
        <f>_xlfn.XLOOKUP(B2347,CAD_PDV!A:A,CAD_PDV!C:C)</f>
        <v>CO</v>
      </c>
      <c r="M2347" s="14" t="str">
        <f>IFERROR(_xlfn.XLOOKUP(B2347,repete!A:A,repete!A:A),"-")</f>
        <v>-</v>
      </c>
    </row>
    <row r="2348" spans="1:13" hidden="1">
      <c r="A2348" s="1">
        <v>46204</v>
      </c>
      <c r="B2348" t="s">
        <v>1615</v>
      </c>
      <c r="C2348" t="s">
        <v>1616</v>
      </c>
      <c r="D2348" t="s">
        <v>132</v>
      </c>
      <c r="E2348" t="s">
        <v>54</v>
      </c>
      <c r="F2348">
        <v>38</v>
      </c>
      <c r="G2348">
        <v>5</v>
      </c>
      <c r="H2348">
        <v>9.9581756622186797E-4</v>
      </c>
      <c r="I2348">
        <v>0.13157894736842099</v>
      </c>
      <c r="J2348" s="14" t="str">
        <f>_xlfn.XLOOKUP(B2348,CAD_PDV!A:A,CAD_PDV!B:B)</f>
        <v>FLEX CELL</v>
      </c>
      <c r="K2348" s="14">
        <f>IF(IFERROR(_xlfn.XLOOKUP(B2348,Planilha2!D:D,Planilha2!H:H),0)="SIM",1,0)</f>
        <v>0</v>
      </c>
      <c r="L2348" s="14" t="str">
        <f>_xlfn.XLOOKUP(B2348,CAD_PDV!A:A,CAD_PDV!C:C)</f>
        <v>SP2</v>
      </c>
      <c r="M2348" s="14" t="str">
        <f>IFERROR(_xlfn.XLOOKUP(B2348,repete!A:A,repete!A:A),"-")</f>
        <v>-</v>
      </c>
    </row>
    <row r="2349" spans="1:13" hidden="1">
      <c r="A2349" s="1">
        <v>46204</v>
      </c>
      <c r="B2349" t="s">
        <v>1849</v>
      </c>
      <c r="C2349" t="s">
        <v>1847</v>
      </c>
      <c r="D2349" t="s">
        <v>106</v>
      </c>
      <c r="E2349" t="s">
        <v>2074</v>
      </c>
      <c r="F2349">
        <v>21</v>
      </c>
      <c r="G2349">
        <v>5</v>
      </c>
      <c r="H2349">
        <v>9.9581756622186797E-4</v>
      </c>
      <c r="I2349">
        <v>0.238095238095238</v>
      </c>
      <c r="J2349" s="14" t="str">
        <f>_xlfn.XLOOKUP(B2349,CAD_PDV!A:A,CAD_PDV!B:B)</f>
        <v>CELLULAR.COM</v>
      </c>
      <c r="K2349" s="14">
        <f>IF(IFERROR(_xlfn.XLOOKUP(B2349,Planilha2!D:D,Planilha2!H:H),0)="SIM",1,0)</f>
        <v>0</v>
      </c>
      <c r="L2349" s="14" t="str">
        <f>_xlfn.XLOOKUP(B2349,CAD_PDV!A:A,CAD_PDV!C:C)</f>
        <v>PR/SC</v>
      </c>
      <c r="M2349" s="14" t="str">
        <f>IFERROR(_xlfn.XLOOKUP(B2349,repete!A:A,repete!A:A),"-")</f>
        <v>-</v>
      </c>
    </row>
    <row r="2350" spans="1:13" hidden="1">
      <c r="A2350" s="1">
        <v>46204</v>
      </c>
      <c r="B2350" t="s">
        <v>1129</v>
      </c>
      <c r="C2350" t="s">
        <v>1102</v>
      </c>
      <c r="D2350" t="s">
        <v>132</v>
      </c>
      <c r="E2350" t="s">
        <v>62</v>
      </c>
      <c r="F2350">
        <v>97</v>
      </c>
      <c r="G2350">
        <v>5</v>
      </c>
      <c r="H2350">
        <v>9.9581756622186797E-4</v>
      </c>
      <c r="I2350">
        <v>5.1546391752577303E-2</v>
      </c>
      <c r="J2350" s="14" t="str">
        <f>_xlfn.XLOOKUP(B2350,CAD_PDV!A:A,CAD_PDV!B:B)</f>
        <v>FLEX CELL</v>
      </c>
      <c r="K2350" s="14">
        <f>IF(IFERROR(_xlfn.XLOOKUP(B2350,Planilha2!D:D,Planilha2!H:H),0)="SIM",1,0)</f>
        <v>0</v>
      </c>
      <c r="L2350" s="14" t="str">
        <f>_xlfn.XLOOKUP(B2350,CAD_PDV!A:A,CAD_PDV!C:C)</f>
        <v>NO</v>
      </c>
      <c r="M2350" s="14" t="str">
        <f>IFERROR(_xlfn.XLOOKUP(B2350,repete!A:A,repete!A:A),"-")</f>
        <v>-</v>
      </c>
    </row>
    <row r="2351" spans="1:13" hidden="1">
      <c r="A2351" s="1">
        <v>46204</v>
      </c>
      <c r="B2351" t="s">
        <v>404</v>
      </c>
      <c r="C2351" t="s">
        <v>288</v>
      </c>
      <c r="D2351" t="s">
        <v>230</v>
      </c>
      <c r="E2351" t="s">
        <v>61</v>
      </c>
      <c r="F2351">
        <v>142</v>
      </c>
      <c r="G2351">
        <v>5</v>
      </c>
      <c r="H2351">
        <v>9.9581756622186797E-4</v>
      </c>
      <c r="I2351">
        <v>3.5211267605633798E-2</v>
      </c>
      <c r="J2351" s="14" t="str">
        <f>_xlfn.XLOOKUP(B2351,CAD_PDV!A:A,CAD_PDV!B:B)</f>
        <v>HARCOS COMERCIO E SERVICOS LTDA - EPP</v>
      </c>
      <c r="K2351" s="14">
        <f>IF(IFERROR(_xlfn.XLOOKUP(B2351,Planilha2!D:D,Planilha2!H:H),0)="SIM",1,0)</f>
        <v>0</v>
      </c>
      <c r="L2351" s="14" t="str">
        <f>_xlfn.XLOOKUP(B2351,CAD_PDV!A:A,CAD_PDV!C:C)</f>
        <v>NE</v>
      </c>
      <c r="M2351" s="14" t="str">
        <f>IFERROR(_xlfn.XLOOKUP(B2351,repete!A:A,repete!A:A),"-")</f>
        <v>-</v>
      </c>
    </row>
    <row r="2352" spans="1:13" hidden="1">
      <c r="A2352" s="1">
        <v>46204</v>
      </c>
      <c r="B2352" t="s">
        <v>1279</v>
      </c>
      <c r="C2352" t="s">
        <v>1280</v>
      </c>
      <c r="D2352" t="s">
        <v>228</v>
      </c>
      <c r="E2352" t="s">
        <v>55</v>
      </c>
      <c r="F2352">
        <v>15</v>
      </c>
      <c r="G2352">
        <v>5</v>
      </c>
      <c r="H2352">
        <v>9.9581756622186797E-4</v>
      </c>
      <c r="I2352">
        <v>0.33333333333333298</v>
      </c>
      <c r="J2352" s="14" t="str">
        <f>_xlfn.XLOOKUP(B2352,CAD_PDV!A:A,CAD_PDV!B:B)</f>
        <v>FAJULUTI</v>
      </c>
      <c r="K2352" s="14">
        <f>IF(IFERROR(_xlfn.XLOOKUP(B2352,Planilha2!D:D,Planilha2!H:H),0)="SIM",1,0)</f>
        <v>0</v>
      </c>
      <c r="L2352" s="14" t="str">
        <f>_xlfn.XLOOKUP(B2352,CAD_PDV!A:A,CAD_PDV!C:C)</f>
        <v>RJ/ES</v>
      </c>
      <c r="M2352" s="14" t="str">
        <f>IFERROR(_xlfn.XLOOKUP(B2352,repete!A:A,repete!A:A),"-")</f>
        <v>-</v>
      </c>
    </row>
    <row r="2353" spans="1:13" hidden="1">
      <c r="A2353" s="1">
        <v>46204</v>
      </c>
      <c r="B2353" t="s">
        <v>1683</v>
      </c>
      <c r="C2353" t="s">
        <v>1684</v>
      </c>
      <c r="D2353" t="s">
        <v>232</v>
      </c>
      <c r="E2353" t="s">
        <v>54</v>
      </c>
      <c r="F2353">
        <v>64</v>
      </c>
      <c r="G2353">
        <v>5</v>
      </c>
      <c r="H2353">
        <v>9.9581756622186797E-4</v>
      </c>
      <c r="I2353">
        <v>7.8125E-2</v>
      </c>
      <c r="J2353" s="14" t="str">
        <f>_xlfn.XLOOKUP(B2353,CAD_PDV!A:A,CAD_PDV!B:B)</f>
        <v>HS TELECOM</v>
      </c>
      <c r="K2353" s="14">
        <f>IF(IFERROR(_xlfn.XLOOKUP(B2353,Planilha2!D:D,Planilha2!H:H),0)="SIM",1,0)</f>
        <v>0</v>
      </c>
      <c r="L2353" s="14" t="str">
        <f>_xlfn.XLOOKUP(B2353,CAD_PDV!A:A,CAD_PDV!C:C)</f>
        <v>SP2</v>
      </c>
      <c r="M2353" s="14" t="str">
        <f>IFERROR(_xlfn.XLOOKUP(B2353,repete!A:A,repete!A:A),"-")</f>
        <v>-</v>
      </c>
    </row>
    <row r="2354" spans="1:13" hidden="1">
      <c r="A2354" s="1">
        <v>46204</v>
      </c>
      <c r="B2354" t="s">
        <v>289</v>
      </c>
      <c r="C2354" t="s">
        <v>291</v>
      </c>
      <c r="D2354" t="s">
        <v>230</v>
      </c>
      <c r="E2354" t="s">
        <v>61</v>
      </c>
      <c r="F2354">
        <v>84</v>
      </c>
      <c r="G2354">
        <v>5</v>
      </c>
      <c r="H2354">
        <v>9.9581756622186797E-4</v>
      </c>
      <c r="I2354">
        <v>5.95238095238095E-2</v>
      </c>
      <c r="J2354" s="14" t="str">
        <f>_xlfn.XLOOKUP(B2354,CAD_PDV!A:A,CAD_PDV!B:B)</f>
        <v>HARCOS COMERCIO E SERVICOS LTDA - EPP</v>
      </c>
      <c r="K2354" s="14">
        <f>IF(IFERROR(_xlfn.XLOOKUP(B2354,Planilha2!D:D,Planilha2!H:H),0)="SIM",1,0)</f>
        <v>0</v>
      </c>
      <c r="L2354" s="14" t="str">
        <f>_xlfn.XLOOKUP(B2354,CAD_PDV!A:A,CAD_PDV!C:C)</f>
        <v>NE</v>
      </c>
      <c r="M2354" s="14" t="str">
        <f>IFERROR(_xlfn.XLOOKUP(B2354,repete!A:A,repete!A:A),"-")</f>
        <v>-</v>
      </c>
    </row>
    <row r="2355" spans="1:13" hidden="1">
      <c r="A2355" s="1">
        <v>46204</v>
      </c>
      <c r="B2355" t="s">
        <v>714</v>
      </c>
      <c r="C2355" t="s">
        <v>713</v>
      </c>
      <c r="D2355" t="s">
        <v>239</v>
      </c>
      <c r="E2355" t="s">
        <v>59</v>
      </c>
      <c r="F2355">
        <v>34</v>
      </c>
      <c r="G2355">
        <v>5</v>
      </c>
      <c r="H2355">
        <v>9.9581756622186797E-4</v>
      </c>
      <c r="I2355">
        <v>0.14705882352941199</v>
      </c>
      <c r="J2355" s="14" t="str">
        <f>_xlfn.XLOOKUP(B2355,CAD_PDV!A:A,CAD_PDV!B:B)</f>
        <v>TELECELL TELEFONIA LTDA - ME</v>
      </c>
      <c r="K2355" s="14">
        <f>IF(IFERROR(_xlfn.XLOOKUP(B2355,Planilha2!D:D,Planilha2!H:H),0)="SIM",1,0)</f>
        <v>0</v>
      </c>
      <c r="L2355" s="14" t="str">
        <f>_xlfn.XLOOKUP(B2355,CAD_PDV!A:A,CAD_PDV!C:C)</f>
        <v>CO</v>
      </c>
      <c r="M2355" s="14" t="str">
        <f>IFERROR(_xlfn.XLOOKUP(B2355,repete!A:A,repete!A:A),"-")</f>
        <v>-</v>
      </c>
    </row>
    <row r="2356" spans="1:13" hidden="1">
      <c r="A2356" s="1">
        <v>46204</v>
      </c>
      <c r="B2356" t="s">
        <v>760</v>
      </c>
      <c r="C2356" t="s">
        <v>616</v>
      </c>
      <c r="D2356" t="s">
        <v>239</v>
      </c>
      <c r="E2356" t="s">
        <v>59</v>
      </c>
      <c r="F2356">
        <v>34</v>
      </c>
      <c r="G2356">
        <v>5</v>
      </c>
      <c r="H2356">
        <v>9.9581756622186797E-4</v>
      </c>
      <c r="I2356">
        <v>0.14705882352941199</v>
      </c>
      <c r="J2356" s="14" t="str">
        <f>_xlfn.XLOOKUP(B2356,CAD_PDV!A:A,CAD_PDV!B:B)</f>
        <v>TELECELL TELEFONIA LTDA - ME</v>
      </c>
      <c r="K2356" s="14">
        <f>IF(IFERROR(_xlfn.XLOOKUP(B2356,Planilha2!D:D,Planilha2!H:H),0)="SIM",1,0)</f>
        <v>0</v>
      </c>
      <c r="L2356" s="14" t="str">
        <f>_xlfn.XLOOKUP(B2356,CAD_PDV!A:A,CAD_PDV!C:C)</f>
        <v>CO</v>
      </c>
      <c r="M2356" s="14" t="str">
        <f>IFERROR(_xlfn.XLOOKUP(B2356,repete!A:A,repete!A:A),"-")</f>
        <v>-</v>
      </c>
    </row>
    <row r="2357" spans="1:13" hidden="1">
      <c r="A2357" s="1">
        <v>46204</v>
      </c>
      <c r="B2357" t="s">
        <v>658</v>
      </c>
      <c r="C2357" t="s">
        <v>659</v>
      </c>
      <c r="D2357" t="s">
        <v>239</v>
      </c>
      <c r="E2357" t="s">
        <v>59</v>
      </c>
      <c r="F2357">
        <v>41</v>
      </c>
      <c r="G2357">
        <v>5</v>
      </c>
      <c r="H2357">
        <v>9.9581756622186797E-4</v>
      </c>
      <c r="I2357">
        <v>0.12195121951219499</v>
      </c>
      <c r="J2357" s="14" t="str">
        <f>_xlfn.XLOOKUP(B2357,CAD_PDV!A:A,CAD_PDV!B:B)</f>
        <v>TELECELL TELEFONIA LTDA - ME</v>
      </c>
      <c r="K2357" s="14">
        <f>IF(IFERROR(_xlfn.XLOOKUP(B2357,Planilha2!D:D,Planilha2!H:H),0)="SIM",1,0)</f>
        <v>0</v>
      </c>
      <c r="L2357" s="14" t="str">
        <f>_xlfn.XLOOKUP(B2357,CAD_PDV!A:A,CAD_PDV!C:C)</f>
        <v>CO</v>
      </c>
      <c r="M2357" s="14" t="str">
        <f>IFERROR(_xlfn.XLOOKUP(B2357,repete!A:A,repete!A:A),"-")</f>
        <v>-</v>
      </c>
    </row>
    <row r="2358" spans="1:13" hidden="1">
      <c r="A2358" s="1">
        <v>46204</v>
      </c>
      <c r="B2358" t="s">
        <v>2018</v>
      </c>
      <c r="C2358" t="s">
        <v>2019</v>
      </c>
      <c r="D2358" t="s">
        <v>106</v>
      </c>
      <c r="E2358" t="s">
        <v>2074</v>
      </c>
      <c r="F2358">
        <v>13</v>
      </c>
      <c r="G2358">
        <v>4</v>
      </c>
      <c r="H2358">
        <v>7.9665405297749505E-4</v>
      </c>
      <c r="I2358">
        <v>0.30769230769230799</v>
      </c>
      <c r="J2358" s="14" t="str">
        <f>_xlfn.XLOOKUP(B2358,CAD_PDV!A:A,CAD_PDV!B:B)</f>
        <v>CELLULAR.COM</v>
      </c>
      <c r="K2358" s="14">
        <f>IF(IFERROR(_xlfn.XLOOKUP(B2358,Planilha2!D:D,Planilha2!H:H),0)="SIM",1,0)</f>
        <v>0</v>
      </c>
      <c r="L2358" s="14" t="str">
        <f>_xlfn.XLOOKUP(B2358,CAD_PDV!A:A,CAD_PDV!C:C)</f>
        <v>PR/SC</v>
      </c>
      <c r="M2358" s="14" t="str">
        <f>IFERROR(_xlfn.XLOOKUP(B2358,repete!A:A,repete!A:A),"-")</f>
        <v>-</v>
      </c>
    </row>
    <row r="2359" spans="1:13" hidden="1">
      <c r="A2359" s="1">
        <v>46204</v>
      </c>
      <c r="B2359" t="s">
        <v>1191</v>
      </c>
      <c r="C2359" t="s">
        <v>1194</v>
      </c>
      <c r="D2359" t="s">
        <v>2072</v>
      </c>
      <c r="E2359" t="s">
        <v>55</v>
      </c>
      <c r="F2359">
        <v>9</v>
      </c>
      <c r="G2359">
        <v>4</v>
      </c>
      <c r="H2359">
        <v>7.9665405297749505E-4</v>
      </c>
      <c r="I2359">
        <v>0.44444444444444398</v>
      </c>
      <c r="J2359" s="14" t="str">
        <f>_xlfn.XLOOKUP(B2359,CAD_PDV!A:A,CAD_PDV!B:B)</f>
        <v>MEXCELL COMERCIO E SERVICOS DE TELECOMUNICACOES LTDA</v>
      </c>
      <c r="K2359" s="14">
        <f>IF(IFERROR(_xlfn.XLOOKUP(B2359,Planilha2!D:D,Planilha2!H:H),0)="SIM",1,0)</f>
        <v>0</v>
      </c>
      <c r="L2359" s="14" t="str">
        <f>_xlfn.XLOOKUP(B2359,CAD_PDV!A:A,CAD_PDV!C:C)</f>
        <v>RJ/ES</v>
      </c>
      <c r="M2359" s="14" t="str">
        <f>IFERROR(_xlfn.XLOOKUP(B2359,repete!A:A,repete!A:A),"-")</f>
        <v>-</v>
      </c>
    </row>
    <row r="2360" spans="1:13" hidden="1">
      <c r="A2360" s="1">
        <v>46204</v>
      </c>
      <c r="B2360" t="s">
        <v>1899</v>
      </c>
      <c r="C2360" t="s">
        <v>1900</v>
      </c>
      <c r="D2360" t="s">
        <v>97</v>
      </c>
      <c r="E2360" t="s">
        <v>2074</v>
      </c>
      <c r="F2360">
        <v>30</v>
      </c>
      <c r="G2360">
        <v>4</v>
      </c>
      <c r="H2360">
        <v>7.9665405297749505E-4</v>
      </c>
      <c r="I2360">
        <v>0.133333333333333</v>
      </c>
      <c r="J2360" s="14" t="str">
        <f>_xlfn.XLOOKUP(B2360,CAD_PDV!A:A,CAD_PDV!B:B)</f>
        <v>BANDEIRA</v>
      </c>
      <c r="K2360" s="14">
        <f>IF(IFERROR(_xlfn.XLOOKUP(B2360,Planilha2!D:D,Planilha2!H:H),0)="SIM",1,0)</f>
        <v>0</v>
      </c>
      <c r="L2360" s="14" t="str">
        <f>_xlfn.XLOOKUP(B2360,CAD_PDV!A:A,CAD_PDV!C:C)</f>
        <v>PR/SC</v>
      </c>
      <c r="M2360" s="14" t="str">
        <f>IFERROR(_xlfn.XLOOKUP(B2360,repete!A:A,repete!A:A),"-")</f>
        <v>-</v>
      </c>
    </row>
    <row r="2361" spans="1:13" hidden="1">
      <c r="A2361" s="1">
        <v>46204</v>
      </c>
      <c r="B2361" t="s">
        <v>982</v>
      </c>
      <c r="C2361" t="s">
        <v>983</v>
      </c>
      <c r="D2361" t="s">
        <v>232</v>
      </c>
      <c r="E2361" t="s">
        <v>60</v>
      </c>
      <c r="F2361">
        <v>29</v>
      </c>
      <c r="G2361">
        <v>4</v>
      </c>
      <c r="H2361">
        <v>7.9665405297749505E-4</v>
      </c>
      <c r="I2361">
        <v>0.13793103448275901</v>
      </c>
      <c r="J2361" s="14" t="str">
        <f>_xlfn.XLOOKUP(B2361,CAD_PDV!A:A,CAD_PDV!B:B)</f>
        <v>HS TELECOM</v>
      </c>
      <c r="K2361" s="14">
        <f>IF(IFERROR(_xlfn.XLOOKUP(B2361,Planilha2!D:D,Planilha2!H:H),0)="SIM",1,0)</f>
        <v>0</v>
      </c>
      <c r="L2361" s="14" t="str">
        <f>_xlfn.XLOOKUP(B2361,CAD_PDV!A:A,CAD_PDV!C:C)</f>
        <v>BA/SE</v>
      </c>
      <c r="M2361" s="14" t="str">
        <f>IFERROR(_xlfn.XLOOKUP(B2361,repete!A:A,repete!A:A),"-")</f>
        <v>-</v>
      </c>
    </row>
    <row r="2362" spans="1:13" hidden="1">
      <c r="A2362" s="1">
        <v>46204</v>
      </c>
      <c r="B2362" t="s">
        <v>1758</v>
      </c>
      <c r="C2362" t="s">
        <v>1757</v>
      </c>
      <c r="D2362" t="s">
        <v>124</v>
      </c>
      <c r="E2362" t="s">
        <v>2074</v>
      </c>
      <c r="F2362">
        <v>66</v>
      </c>
      <c r="G2362">
        <v>4</v>
      </c>
      <c r="H2362">
        <v>7.9665405297749505E-4</v>
      </c>
      <c r="I2362">
        <v>6.0606060606060601E-2</v>
      </c>
      <c r="J2362" s="14" t="str">
        <f>_xlfn.XLOOKUP(B2362,CAD_PDV!A:A,CAD_PDV!B:B)</f>
        <v>EDUARDO JUNQUEIRA DA SILVEIRA ADMIN</v>
      </c>
      <c r="K2362" s="14">
        <f>IF(IFERROR(_xlfn.XLOOKUP(B2362,Planilha2!D:D,Planilha2!H:H),0)="SIM",1,0)</f>
        <v>0</v>
      </c>
      <c r="L2362" s="14" t="str">
        <f>_xlfn.XLOOKUP(B2362,CAD_PDV!A:A,CAD_PDV!C:C)</f>
        <v>RS</v>
      </c>
      <c r="M2362" s="14" t="str">
        <f>IFERROR(_xlfn.XLOOKUP(B2362,repete!A:A,repete!A:A),"-")</f>
        <v>5D78</v>
      </c>
    </row>
    <row r="2363" spans="1:13" hidden="1">
      <c r="A2363" s="1">
        <v>46204</v>
      </c>
      <c r="B2363" t="s">
        <v>1497</v>
      </c>
      <c r="C2363" t="s">
        <v>1499</v>
      </c>
      <c r="D2363" t="s">
        <v>132</v>
      </c>
      <c r="E2363" t="s">
        <v>54</v>
      </c>
      <c r="F2363">
        <v>60</v>
      </c>
      <c r="G2363">
        <v>4</v>
      </c>
      <c r="H2363">
        <v>7.9665405297749505E-4</v>
      </c>
      <c r="I2363">
        <v>6.6666666666666693E-2</v>
      </c>
      <c r="J2363" s="14" t="str">
        <f>_xlfn.XLOOKUP(B2363,CAD_PDV!A:A,CAD_PDV!B:B)</f>
        <v>FLEX CELL</v>
      </c>
      <c r="K2363" s="14">
        <f>IF(IFERROR(_xlfn.XLOOKUP(B2363,Planilha2!D:D,Planilha2!H:H),0)="SIM",1,0)</f>
        <v>0</v>
      </c>
      <c r="L2363" s="14" t="str">
        <f>_xlfn.XLOOKUP(B2363,CAD_PDV!A:A,CAD_PDV!C:C)</f>
        <v>SP2</v>
      </c>
      <c r="M2363" s="14" t="str">
        <f>IFERROR(_xlfn.XLOOKUP(B2363,repete!A:A,repete!A:A),"-")</f>
        <v>-</v>
      </c>
    </row>
    <row r="2364" spans="1:13" hidden="1">
      <c r="A2364" s="1">
        <v>46204</v>
      </c>
      <c r="B2364" t="s">
        <v>1522</v>
      </c>
      <c r="C2364" t="s">
        <v>1523</v>
      </c>
      <c r="D2364" t="s">
        <v>232</v>
      </c>
      <c r="E2364" t="s">
        <v>54</v>
      </c>
      <c r="F2364">
        <v>61</v>
      </c>
      <c r="G2364">
        <v>4</v>
      </c>
      <c r="H2364">
        <v>7.9665405297749505E-4</v>
      </c>
      <c r="I2364">
        <v>6.5573770491803296E-2</v>
      </c>
      <c r="J2364" s="14" t="str">
        <f>_xlfn.XLOOKUP(B2364,CAD_PDV!A:A,CAD_PDV!B:B)</f>
        <v>HS TELECOM</v>
      </c>
      <c r="K2364" s="14">
        <f>IF(IFERROR(_xlfn.XLOOKUP(B2364,Planilha2!D:D,Planilha2!H:H),0)="SIM",1,0)</f>
        <v>0</v>
      </c>
      <c r="L2364" s="14" t="str">
        <f>_xlfn.XLOOKUP(B2364,CAD_PDV!A:A,CAD_PDV!C:C)</f>
        <v>SP2</v>
      </c>
      <c r="M2364" s="14" t="str">
        <f>IFERROR(_xlfn.XLOOKUP(B2364,repete!A:A,repete!A:A),"-")</f>
        <v>-</v>
      </c>
    </row>
    <row r="2365" spans="1:13" hidden="1">
      <c r="A2365" s="1">
        <v>46204</v>
      </c>
      <c r="B2365" t="s">
        <v>597</v>
      </c>
      <c r="C2365" t="s">
        <v>598</v>
      </c>
      <c r="D2365" t="s">
        <v>228</v>
      </c>
      <c r="E2365" t="s">
        <v>56</v>
      </c>
      <c r="F2365">
        <v>34</v>
      </c>
      <c r="G2365">
        <v>4</v>
      </c>
      <c r="H2365">
        <v>7.9665405297749505E-4</v>
      </c>
      <c r="I2365">
        <v>0.11764705882352899</v>
      </c>
      <c r="J2365" s="14" t="str">
        <f>_xlfn.XLOOKUP(B2365,CAD_PDV!A:A,CAD_PDV!B:B)</f>
        <v>FAJULUTI</v>
      </c>
      <c r="K2365" s="14">
        <f>IF(IFERROR(_xlfn.XLOOKUP(B2365,Planilha2!D:D,Planilha2!H:H),0)="SIM",1,0)</f>
        <v>0</v>
      </c>
      <c r="L2365" s="14" t="str">
        <f>_xlfn.XLOOKUP(B2365,CAD_PDV!A:A,CAD_PDV!C:C)</f>
        <v>MG</v>
      </c>
      <c r="M2365" s="14" t="str">
        <f>IFERROR(_xlfn.XLOOKUP(B2365,repete!A:A,repete!A:A),"-")</f>
        <v>-</v>
      </c>
    </row>
    <row r="2366" spans="1:13" hidden="1">
      <c r="A2366" s="1">
        <v>46204</v>
      </c>
      <c r="B2366" t="s">
        <v>2048</v>
      </c>
      <c r="C2366" t="s">
        <v>2049</v>
      </c>
      <c r="D2366" t="s">
        <v>193</v>
      </c>
      <c r="E2366" t="s">
        <v>2074</v>
      </c>
      <c r="F2366">
        <v>27</v>
      </c>
      <c r="G2366">
        <v>4</v>
      </c>
      <c r="H2366">
        <v>7.9665405297749505E-4</v>
      </c>
      <c r="I2366">
        <v>0.148148148148148</v>
      </c>
      <c r="J2366" s="14" t="str">
        <f>_xlfn.XLOOKUP(B2366,CAD_PDV!A:A,CAD_PDV!B:B)</f>
        <v>S D COMERCIO DE CELULARES LTDA - ME</v>
      </c>
      <c r="K2366" s="14">
        <f>IF(IFERROR(_xlfn.XLOOKUP(B2366,Planilha2!D:D,Planilha2!H:H),0)="SIM",1,0)</f>
        <v>0</v>
      </c>
      <c r="L2366" s="14" t="str">
        <f>_xlfn.XLOOKUP(B2366,CAD_PDV!A:A,CAD_PDV!C:C)</f>
        <v>RS</v>
      </c>
      <c r="M2366" s="14" t="str">
        <f>IFERROR(_xlfn.XLOOKUP(B2366,repete!A:A,repete!A:A),"-")</f>
        <v>-</v>
      </c>
    </row>
    <row r="2367" spans="1:13" hidden="1">
      <c r="A2367" s="1">
        <v>46204</v>
      </c>
      <c r="B2367" t="s">
        <v>768</v>
      </c>
      <c r="C2367" t="s">
        <v>610</v>
      </c>
      <c r="D2367" t="s">
        <v>224</v>
      </c>
      <c r="E2367" t="s">
        <v>59</v>
      </c>
      <c r="F2367">
        <v>16</v>
      </c>
      <c r="G2367">
        <v>4</v>
      </c>
      <c r="H2367">
        <v>7.9665405297749505E-4</v>
      </c>
      <c r="I2367">
        <v>0.25</v>
      </c>
      <c r="J2367" s="14" t="str">
        <f>_xlfn.XLOOKUP(B2367,CAD_PDV!A:A,CAD_PDV!B:B)</f>
        <v>CELNET COMERCIO E SERVICOS DE TELEFONIA LTDA ME</v>
      </c>
      <c r="K2367" s="14">
        <f>IF(IFERROR(_xlfn.XLOOKUP(B2367,Planilha2!D:D,Planilha2!H:H),0)="SIM",1,0)</f>
        <v>0</v>
      </c>
      <c r="L2367" s="14" t="str">
        <f>_xlfn.XLOOKUP(B2367,CAD_PDV!A:A,CAD_PDV!C:C)</f>
        <v>CO</v>
      </c>
      <c r="M2367" s="14" t="str">
        <f>IFERROR(_xlfn.XLOOKUP(B2367,repete!A:A,repete!A:A),"-")</f>
        <v>-</v>
      </c>
    </row>
    <row r="2368" spans="1:13" hidden="1">
      <c r="A2368" s="1">
        <v>46204</v>
      </c>
      <c r="B2368" t="s">
        <v>1332</v>
      </c>
      <c r="C2368" t="s">
        <v>1313</v>
      </c>
      <c r="D2368" t="s">
        <v>225</v>
      </c>
      <c r="E2368" t="s">
        <v>53</v>
      </c>
      <c r="F2368">
        <v>67</v>
      </c>
      <c r="G2368">
        <v>4</v>
      </c>
      <c r="H2368">
        <v>7.9665405297749505E-4</v>
      </c>
      <c r="I2368">
        <v>5.9701492537313397E-2</v>
      </c>
      <c r="J2368" s="14" t="str">
        <f>_xlfn.XLOOKUP(B2368,CAD_PDV!A:A,CAD_PDV!B:B)</f>
        <v>CLARICELL SP1</v>
      </c>
      <c r="K2368" s="14">
        <f>IF(IFERROR(_xlfn.XLOOKUP(B2368,Planilha2!D:D,Planilha2!H:H),0)="SIM",1,0)</f>
        <v>0</v>
      </c>
      <c r="L2368" s="14" t="str">
        <f>_xlfn.XLOOKUP(B2368,CAD_PDV!A:A,CAD_PDV!C:C)</f>
        <v>SP1</v>
      </c>
      <c r="M2368" s="14" t="str">
        <f>IFERROR(_xlfn.XLOOKUP(B2368,repete!A:A,repete!A:A),"-")</f>
        <v>-</v>
      </c>
    </row>
    <row r="2369" spans="1:13" hidden="1">
      <c r="A2369" s="1">
        <v>46204</v>
      </c>
      <c r="B2369" t="s">
        <v>672</v>
      </c>
      <c r="C2369" t="s">
        <v>673</v>
      </c>
      <c r="D2369" t="s">
        <v>239</v>
      </c>
      <c r="E2369" t="s">
        <v>59</v>
      </c>
      <c r="F2369">
        <v>31</v>
      </c>
      <c r="G2369">
        <v>4</v>
      </c>
      <c r="H2369">
        <v>7.9665405297749505E-4</v>
      </c>
      <c r="I2369">
        <v>0.12903225806451599</v>
      </c>
      <c r="J2369" s="14" t="str">
        <f>_xlfn.XLOOKUP(B2369,CAD_PDV!A:A,CAD_PDV!B:B)</f>
        <v>TELECELL TELEFONIA LTDA - ME</v>
      </c>
      <c r="K2369" s="14">
        <f>IF(IFERROR(_xlfn.XLOOKUP(B2369,Planilha2!D:D,Planilha2!H:H),0)="SIM",1,0)</f>
        <v>0</v>
      </c>
      <c r="L2369" s="14" t="str">
        <f>_xlfn.XLOOKUP(B2369,CAD_PDV!A:A,CAD_PDV!C:C)</f>
        <v>CO</v>
      </c>
      <c r="M2369" s="14" t="str">
        <f>IFERROR(_xlfn.XLOOKUP(B2369,repete!A:A,repete!A:A),"-")</f>
        <v>-</v>
      </c>
    </row>
    <row r="2370" spans="1:13" hidden="1">
      <c r="A2370" s="1">
        <v>46204</v>
      </c>
      <c r="B2370" t="s">
        <v>859</v>
      </c>
      <c r="C2370" t="s">
        <v>860</v>
      </c>
      <c r="D2370" t="s">
        <v>239</v>
      </c>
      <c r="E2370" t="s">
        <v>59</v>
      </c>
      <c r="F2370">
        <v>36</v>
      </c>
      <c r="G2370">
        <v>4</v>
      </c>
      <c r="H2370">
        <v>7.9665405297749505E-4</v>
      </c>
      <c r="I2370">
        <v>0.11111111111111099</v>
      </c>
      <c r="J2370" s="14" t="str">
        <f>_xlfn.XLOOKUP(B2370,CAD_PDV!A:A,CAD_PDV!B:B)</f>
        <v>TELECELL TELEFONIA LTDA - ME</v>
      </c>
      <c r="K2370" s="14">
        <f>IF(IFERROR(_xlfn.XLOOKUP(B2370,Planilha2!D:D,Planilha2!H:H),0)="SIM",1,0)</f>
        <v>0</v>
      </c>
      <c r="L2370" s="14" t="str">
        <f>_xlfn.XLOOKUP(B2370,CAD_PDV!A:A,CAD_PDV!C:C)</f>
        <v>CO</v>
      </c>
      <c r="M2370" s="14" t="str">
        <f>IFERROR(_xlfn.XLOOKUP(B2370,repete!A:A,repete!A:A),"-")</f>
        <v>-</v>
      </c>
    </row>
    <row r="2371" spans="1:13" hidden="1">
      <c r="A2371" s="1">
        <v>46204</v>
      </c>
      <c r="B2371" t="s">
        <v>849</v>
      </c>
      <c r="C2371" t="s">
        <v>732</v>
      </c>
      <c r="D2371" t="s">
        <v>221</v>
      </c>
      <c r="E2371" t="s">
        <v>59</v>
      </c>
      <c r="F2371">
        <v>11</v>
      </c>
      <c r="G2371">
        <v>4</v>
      </c>
      <c r="H2371">
        <v>7.9665405297749505E-4</v>
      </c>
      <c r="I2371">
        <v>0.36363636363636398</v>
      </c>
      <c r="J2371" s="14" t="str">
        <f>_xlfn.XLOOKUP(B2371,CAD_PDV!A:A,CAD_PDV!B:B)</f>
        <v>AMERICOM COMERCIO DE APARELHOS ELETRONICOS LTDA - EPP</v>
      </c>
      <c r="K2371" s="14">
        <f>IF(IFERROR(_xlfn.XLOOKUP(B2371,Planilha2!D:D,Planilha2!H:H),0)="SIM",1,0)</f>
        <v>0</v>
      </c>
      <c r="L2371" s="14" t="str">
        <f>_xlfn.XLOOKUP(B2371,CAD_PDV!A:A,CAD_PDV!C:C)</f>
        <v>CO</v>
      </c>
      <c r="M2371" s="14" t="str">
        <f>IFERROR(_xlfn.XLOOKUP(B2371,repete!A:A,repete!A:A),"-")</f>
        <v>-</v>
      </c>
    </row>
    <row r="2372" spans="1:13" hidden="1">
      <c r="A2372" s="1">
        <v>46204</v>
      </c>
      <c r="B2372" t="s">
        <v>499</v>
      </c>
      <c r="C2372" t="s">
        <v>500</v>
      </c>
      <c r="D2372" t="s">
        <v>239</v>
      </c>
      <c r="E2372" t="s">
        <v>56</v>
      </c>
      <c r="F2372">
        <v>34</v>
      </c>
      <c r="G2372">
        <v>4</v>
      </c>
      <c r="H2372">
        <v>7.9665405297749505E-4</v>
      </c>
      <c r="I2372">
        <v>0.11764705882352899</v>
      </c>
      <c r="J2372" s="14" t="str">
        <f>_xlfn.XLOOKUP(B2372,CAD_PDV!A:A,CAD_PDV!B:B)</f>
        <v>TELECELL TELEFONIA LTDA - ME</v>
      </c>
      <c r="K2372" s="14">
        <f>IF(IFERROR(_xlfn.XLOOKUP(B2372,Planilha2!D:D,Planilha2!H:H),0)="SIM",1,0)</f>
        <v>0</v>
      </c>
      <c r="L2372" s="14" t="str">
        <f>_xlfn.XLOOKUP(B2372,CAD_PDV!A:A,CAD_PDV!C:C)</f>
        <v>MG</v>
      </c>
      <c r="M2372" s="14" t="str">
        <f>IFERROR(_xlfn.XLOOKUP(B2372,repete!A:A,repete!A:A),"-")</f>
        <v>-</v>
      </c>
    </row>
    <row r="2373" spans="1:13" hidden="1">
      <c r="A2373" s="1">
        <v>46204</v>
      </c>
      <c r="B2373" t="s">
        <v>1851</v>
      </c>
      <c r="C2373" t="s">
        <v>1852</v>
      </c>
      <c r="D2373" t="s">
        <v>106</v>
      </c>
      <c r="E2373" t="s">
        <v>2074</v>
      </c>
      <c r="F2373">
        <v>132</v>
      </c>
      <c r="G2373">
        <v>4</v>
      </c>
      <c r="H2373">
        <v>7.9665405297749505E-4</v>
      </c>
      <c r="I2373">
        <v>3.03030303030303E-2</v>
      </c>
      <c r="J2373" s="14" t="str">
        <f>_xlfn.XLOOKUP(B2373,CAD_PDV!A:A,CAD_PDV!B:B)</f>
        <v>CELLULAR.COM</v>
      </c>
      <c r="K2373" s="14">
        <f>IF(IFERROR(_xlfn.XLOOKUP(B2373,Planilha2!D:D,Planilha2!H:H),0)="SIM",1,0)</f>
        <v>0</v>
      </c>
      <c r="L2373" s="14" t="str">
        <f>_xlfn.XLOOKUP(B2373,CAD_PDV!A:A,CAD_PDV!C:C)</f>
        <v>PR/SC</v>
      </c>
      <c r="M2373" s="14" t="str">
        <f>IFERROR(_xlfn.XLOOKUP(B2373,repete!A:A,repete!A:A),"-")</f>
        <v>-</v>
      </c>
    </row>
    <row r="2374" spans="1:13" hidden="1">
      <c r="A2374" s="1">
        <v>46204</v>
      </c>
      <c r="B2374" t="s">
        <v>1626</v>
      </c>
      <c r="C2374" t="s">
        <v>1616</v>
      </c>
      <c r="D2374" t="s">
        <v>220</v>
      </c>
      <c r="E2374" t="s">
        <v>54</v>
      </c>
      <c r="F2374">
        <v>42</v>
      </c>
      <c r="G2374">
        <v>4</v>
      </c>
      <c r="H2374">
        <v>7.9665405297749505E-4</v>
      </c>
      <c r="I2374">
        <v>9.5238095238095205E-2</v>
      </c>
      <c r="J2374" s="14" t="str">
        <f>_xlfn.XLOOKUP(B2374,CAD_PDV!A:A,CAD_PDV!B:B)</f>
        <v>ADESIENE NUNES MACHADO - ME</v>
      </c>
      <c r="K2374" s="14">
        <f>IF(IFERROR(_xlfn.XLOOKUP(B2374,Planilha2!D:D,Planilha2!H:H),0)="SIM",1,0)</f>
        <v>0</v>
      </c>
      <c r="L2374" s="14" t="str">
        <f>_xlfn.XLOOKUP(B2374,CAD_PDV!A:A,CAD_PDV!C:C)</f>
        <v>SP2</v>
      </c>
      <c r="M2374" s="14" t="str">
        <f>IFERROR(_xlfn.XLOOKUP(B2374,repete!A:A,repete!A:A),"-")</f>
        <v>-</v>
      </c>
    </row>
    <row r="2375" spans="1:13" hidden="1">
      <c r="A2375" s="1">
        <v>46204</v>
      </c>
      <c r="B2375" t="s">
        <v>1652</v>
      </c>
      <c r="C2375" t="s">
        <v>1653</v>
      </c>
      <c r="D2375" t="s">
        <v>223</v>
      </c>
      <c r="E2375" t="s">
        <v>54</v>
      </c>
      <c r="F2375">
        <v>54</v>
      </c>
      <c r="G2375">
        <v>4</v>
      </c>
      <c r="H2375">
        <v>7.9665405297749505E-4</v>
      </c>
      <c r="I2375">
        <v>7.4074074074074098E-2</v>
      </c>
      <c r="J2375" s="14" t="str">
        <f>_xlfn.XLOOKUP(B2375,CAD_PDV!A:A,CAD_PDV!B:B)</f>
        <v>BONELI BIAZI CELULARES EIRELI - ME</v>
      </c>
      <c r="K2375" s="14">
        <f>IF(IFERROR(_xlfn.XLOOKUP(B2375,Planilha2!D:D,Planilha2!H:H),0)="SIM",1,0)</f>
        <v>0</v>
      </c>
      <c r="L2375" s="14" t="str">
        <f>_xlfn.XLOOKUP(B2375,CAD_PDV!A:A,CAD_PDV!C:C)</f>
        <v>SP2</v>
      </c>
      <c r="M2375" s="14" t="str">
        <f>IFERROR(_xlfn.XLOOKUP(B2375,repete!A:A,repete!A:A),"-")</f>
        <v>-</v>
      </c>
    </row>
    <row r="2376" spans="1:13" hidden="1">
      <c r="A2376" s="1">
        <v>46204</v>
      </c>
      <c r="B2376" t="s">
        <v>1696</v>
      </c>
      <c r="C2376" t="s">
        <v>1499</v>
      </c>
      <c r="D2376" t="s">
        <v>132</v>
      </c>
      <c r="E2376" t="s">
        <v>54</v>
      </c>
      <c r="F2376">
        <v>38</v>
      </c>
      <c r="G2376">
        <v>4</v>
      </c>
      <c r="H2376">
        <v>7.9665405297749505E-4</v>
      </c>
      <c r="I2376">
        <v>0.105263157894737</v>
      </c>
      <c r="J2376" s="14" t="str">
        <f>_xlfn.XLOOKUP(B2376,CAD_PDV!A:A,CAD_PDV!B:B)</f>
        <v>FLEX CELL</v>
      </c>
      <c r="K2376" s="14">
        <f>IF(IFERROR(_xlfn.XLOOKUP(B2376,Planilha2!D:D,Planilha2!H:H),0)="SIM",1,0)</f>
        <v>0</v>
      </c>
      <c r="L2376" s="14" t="str">
        <f>_xlfn.XLOOKUP(B2376,CAD_PDV!A:A,CAD_PDV!C:C)</f>
        <v>SP2</v>
      </c>
      <c r="M2376" s="14" t="str">
        <f>IFERROR(_xlfn.XLOOKUP(B2376,repete!A:A,repete!A:A),"-")</f>
        <v>-</v>
      </c>
    </row>
    <row r="2377" spans="1:13" hidden="1">
      <c r="A2377" s="1">
        <v>46204</v>
      </c>
      <c r="B2377" t="s">
        <v>1707</v>
      </c>
      <c r="C2377" t="s">
        <v>1521</v>
      </c>
      <c r="D2377" t="s">
        <v>132</v>
      </c>
      <c r="E2377" t="s">
        <v>54</v>
      </c>
      <c r="F2377">
        <v>24</v>
      </c>
      <c r="G2377">
        <v>4</v>
      </c>
      <c r="H2377">
        <v>7.9665405297749505E-4</v>
      </c>
      <c r="I2377">
        <v>0.16666666666666699</v>
      </c>
      <c r="J2377" s="14" t="str">
        <f>_xlfn.XLOOKUP(B2377,CAD_PDV!A:A,CAD_PDV!B:B)</f>
        <v>FLEX CELL</v>
      </c>
      <c r="K2377" s="14">
        <f>IF(IFERROR(_xlfn.XLOOKUP(B2377,Planilha2!D:D,Planilha2!H:H),0)="SIM",1,0)</f>
        <v>0</v>
      </c>
      <c r="L2377" s="14" t="str">
        <f>_xlfn.XLOOKUP(B2377,CAD_PDV!A:A,CAD_PDV!C:C)</f>
        <v>SP2</v>
      </c>
      <c r="M2377" s="14" t="str">
        <f>IFERROR(_xlfn.XLOOKUP(B2377,repete!A:A,repete!A:A),"-")</f>
        <v>-</v>
      </c>
    </row>
    <row r="2378" spans="1:13" hidden="1">
      <c r="A2378" s="1">
        <v>46204</v>
      </c>
      <c r="B2378" t="s">
        <v>2030</v>
      </c>
      <c r="C2378" t="s">
        <v>2031</v>
      </c>
      <c r="D2378" t="s">
        <v>193</v>
      </c>
      <c r="E2378" t="s">
        <v>2074</v>
      </c>
      <c r="F2378">
        <v>14</v>
      </c>
      <c r="G2378">
        <v>4</v>
      </c>
      <c r="H2378">
        <v>7.9665405297749505E-4</v>
      </c>
      <c r="I2378">
        <v>0.28571428571428598</v>
      </c>
      <c r="J2378" s="14" t="str">
        <f>_xlfn.XLOOKUP(B2378,CAD_PDV!A:A,CAD_PDV!B:B)</f>
        <v>S D COMERCIO DE CELULARES LTDA - ME</v>
      </c>
      <c r="K2378" s="14">
        <f>IF(IFERROR(_xlfn.XLOOKUP(B2378,Planilha2!D:D,Planilha2!H:H),0)="SIM",1,0)</f>
        <v>0</v>
      </c>
      <c r="L2378" s="14" t="str">
        <f>_xlfn.XLOOKUP(B2378,CAD_PDV!A:A,CAD_PDV!C:C)</f>
        <v>RS</v>
      </c>
      <c r="M2378" s="14" t="str">
        <f>IFERROR(_xlfn.XLOOKUP(B2378,repete!A:A,repete!A:A),"-")</f>
        <v>-</v>
      </c>
    </row>
    <row r="2379" spans="1:13" hidden="1">
      <c r="A2379" s="1">
        <v>46204</v>
      </c>
      <c r="B2379" t="s">
        <v>1262</v>
      </c>
      <c r="C2379" t="s">
        <v>1142</v>
      </c>
      <c r="D2379" t="s">
        <v>237</v>
      </c>
      <c r="E2379" t="s">
        <v>55</v>
      </c>
      <c r="F2379">
        <v>26</v>
      </c>
      <c r="G2379">
        <v>4</v>
      </c>
      <c r="H2379">
        <v>7.9665405297749505E-4</v>
      </c>
      <c r="I2379">
        <v>0.15384615384615399</v>
      </c>
      <c r="J2379" s="14" t="str">
        <f>_xlfn.XLOOKUP(B2379,CAD_PDV!A:A,CAD_PDV!B:B)</f>
        <v>PONTO CERTO COMERCIO E COMUNICAÇÕES LTDA</v>
      </c>
      <c r="K2379" s="14">
        <f>IF(IFERROR(_xlfn.XLOOKUP(B2379,Planilha2!D:D,Planilha2!H:H),0)="SIM",1,0)</f>
        <v>0</v>
      </c>
      <c r="L2379" s="14" t="str">
        <f>_xlfn.XLOOKUP(B2379,CAD_PDV!A:A,CAD_PDV!C:C)</f>
        <v>RJ/ES</v>
      </c>
      <c r="M2379" s="14" t="str">
        <f>IFERROR(_xlfn.XLOOKUP(B2379,repete!A:A,repete!A:A),"-")</f>
        <v>-</v>
      </c>
    </row>
    <row r="2380" spans="1:13" hidden="1">
      <c r="A2380" s="1">
        <v>46204</v>
      </c>
      <c r="B2380" t="s">
        <v>1711</v>
      </c>
      <c r="C2380" t="s">
        <v>1712</v>
      </c>
      <c r="D2380" t="s">
        <v>220</v>
      </c>
      <c r="E2380" t="s">
        <v>54</v>
      </c>
      <c r="F2380">
        <v>30</v>
      </c>
      <c r="G2380">
        <v>4</v>
      </c>
      <c r="H2380">
        <v>7.9665405297749505E-4</v>
      </c>
      <c r="I2380">
        <v>0.133333333333333</v>
      </c>
      <c r="J2380" s="14" t="str">
        <f>_xlfn.XLOOKUP(B2380,CAD_PDV!A:A,CAD_PDV!B:B)</f>
        <v>ADESIENE NUNES MACHADO - ME</v>
      </c>
      <c r="K2380" s="14">
        <f>IF(IFERROR(_xlfn.XLOOKUP(B2380,Planilha2!D:D,Planilha2!H:H),0)="SIM",1,0)</f>
        <v>0</v>
      </c>
      <c r="L2380" s="14" t="str">
        <f>_xlfn.XLOOKUP(B2380,CAD_PDV!A:A,CAD_PDV!C:C)</f>
        <v>SP2</v>
      </c>
      <c r="M2380" s="14" t="str">
        <f>IFERROR(_xlfn.XLOOKUP(B2380,repete!A:A,repete!A:A),"-")</f>
        <v>-</v>
      </c>
    </row>
    <row r="2381" spans="1:13" hidden="1">
      <c r="A2381" s="1">
        <v>46204</v>
      </c>
      <c r="B2381" t="s">
        <v>1370</v>
      </c>
      <c r="C2381" t="s">
        <v>1371</v>
      </c>
      <c r="D2381" t="s">
        <v>132</v>
      </c>
      <c r="E2381" t="s">
        <v>53</v>
      </c>
      <c r="F2381">
        <v>37</v>
      </c>
      <c r="G2381">
        <v>4</v>
      </c>
      <c r="H2381">
        <v>7.9665405297749505E-4</v>
      </c>
      <c r="I2381">
        <v>0.108108108108108</v>
      </c>
      <c r="J2381" s="14" t="str">
        <f>_xlfn.XLOOKUP(B2381,CAD_PDV!A:A,CAD_PDV!B:B)</f>
        <v>FLEX CELL</v>
      </c>
      <c r="K2381" s="14">
        <f>IF(IFERROR(_xlfn.XLOOKUP(B2381,Planilha2!D:D,Planilha2!H:H),0)="SIM",1,0)</f>
        <v>0</v>
      </c>
      <c r="L2381" s="14" t="str">
        <f>_xlfn.XLOOKUP(B2381,CAD_PDV!A:A,CAD_PDV!C:C)</f>
        <v>SP1</v>
      </c>
      <c r="M2381" s="14" t="str">
        <f>IFERROR(_xlfn.XLOOKUP(B2381,repete!A:A,repete!A:A),"-")</f>
        <v>-</v>
      </c>
    </row>
    <row r="2382" spans="1:13" hidden="1">
      <c r="A2382" s="1">
        <v>46204</v>
      </c>
      <c r="B2382" t="s">
        <v>857</v>
      </c>
      <c r="C2382" t="s">
        <v>855</v>
      </c>
      <c r="D2382" t="s">
        <v>2073</v>
      </c>
      <c r="E2382" t="s">
        <v>59</v>
      </c>
      <c r="F2382">
        <v>26</v>
      </c>
      <c r="G2382">
        <v>4</v>
      </c>
      <c r="H2382">
        <v>7.9665405297749505E-4</v>
      </c>
      <c r="I2382">
        <v>0.15384615384615399</v>
      </c>
      <c r="J2382" s="14" t="str">
        <f>_xlfn.XLOOKUP(B2382,CAD_PDV!A:A,CAD_PDV!B:B)</f>
        <v xml:space="preserve">CONTACOM COMERCIO DE APARELHOS ELETRONICOS LTDA </v>
      </c>
      <c r="K2382" s="14">
        <f>IF(IFERROR(_xlfn.XLOOKUP(B2382,Planilha2!D:D,Planilha2!H:H),0)="SIM",1,0)</f>
        <v>0</v>
      </c>
      <c r="L2382" s="14" t="str">
        <f>_xlfn.XLOOKUP(B2382,CAD_PDV!A:A,CAD_PDV!C:C)</f>
        <v>CO</v>
      </c>
      <c r="M2382" s="14" t="str">
        <f>IFERROR(_xlfn.XLOOKUP(B2382,repete!A:A,repete!A:A),"-")</f>
        <v>-</v>
      </c>
    </row>
    <row r="2383" spans="1:13" hidden="1">
      <c r="A2383" s="1">
        <v>46204</v>
      </c>
      <c r="B2383" t="s">
        <v>1933</v>
      </c>
      <c r="C2383" t="s">
        <v>1934</v>
      </c>
      <c r="D2383" t="s">
        <v>103</v>
      </c>
      <c r="E2383" t="s">
        <v>2074</v>
      </c>
      <c r="F2383">
        <v>46</v>
      </c>
      <c r="G2383">
        <v>4</v>
      </c>
      <c r="H2383">
        <v>7.9665405297749505E-4</v>
      </c>
      <c r="I2383">
        <v>8.6956521739130405E-2</v>
      </c>
      <c r="J2383" s="14" t="str">
        <f>_xlfn.XLOOKUP(B2383,CAD_PDV!A:A,CAD_PDV!B:B)</f>
        <v>CARLOS EDUARDO SAVIAN - EPP</v>
      </c>
      <c r="K2383" s="14">
        <f>IF(IFERROR(_xlfn.XLOOKUP(B2383,Planilha2!D:D,Planilha2!H:H),0)="SIM",1,0)</f>
        <v>0</v>
      </c>
      <c r="L2383" s="14" t="str">
        <f>_xlfn.XLOOKUP(B2383,CAD_PDV!A:A,CAD_PDV!C:C)</f>
        <v>PR/SC</v>
      </c>
      <c r="M2383" s="14" t="str">
        <f>IFERROR(_xlfn.XLOOKUP(B2383,repete!A:A,repete!A:A),"-")</f>
        <v>-</v>
      </c>
    </row>
    <row r="2384" spans="1:13" hidden="1">
      <c r="A2384" s="1">
        <v>46204</v>
      </c>
      <c r="B2384" t="s">
        <v>965</v>
      </c>
      <c r="C2384" t="s">
        <v>944</v>
      </c>
      <c r="D2384" t="s">
        <v>232</v>
      </c>
      <c r="E2384" t="s">
        <v>60</v>
      </c>
      <c r="F2384">
        <v>63</v>
      </c>
      <c r="G2384">
        <v>4</v>
      </c>
      <c r="H2384">
        <v>7.9665405297749505E-4</v>
      </c>
      <c r="I2384">
        <v>6.3492063492063502E-2</v>
      </c>
      <c r="J2384" s="14" t="str">
        <f>_xlfn.XLOOKUP(B2384,CAD_PDV!A:A,CAD_PDV!B:B)</f>
        <v>HS TELECOM</v>
      </c>
      <c r="K2384" s="14">
        <f>IF(IFERROR(_xlfn.XLOOKUP(B2384,Planilha2!D:D,Planilha2!H:H),0)="SIM",1,0)</f>
        <v>0</v>
      </c>
      <c r="L2384" s="14" t="str">
        <f>_xlfn.XLOOKUP(B2384,CAD_PDV!A:A,CAD_PDV!C:C)</f>
        <v>BA/SE</v>
      </c>
      <c r="M2384" s="14" t="str">
        <f>IFERROR(_xlfn.XLOOKUP(B2384,repete!A:A,repete!A:A),"-")</f>
        <v>-</v>
      </c>
    </row>
    <row r="2385" spans="1:13" hidden="1">
      <c r="A2385" s="1">
        <v>46204</v>
      </c>
      <c r="B2385" t="s">
        <v>749</v>
      </c>
      <c r="C2385" t="s">
        <v>750</v>
      </c>
      <c r="D2385" t="s">
        <v>224</v>
      </c>
      <c r="E2385" t="s">
        <v>59</v>
      </c>
      <c r="F2385">
        <v>44</v>
      </c>
      <c r="G2385">
        <v>4</v>
      </c>
      <c r="H2385">
        <v>7.9665405297749505E-4</v>
      </c>
      <c r="I2385">
        <v>9.0909090909090898E-2</v>
      </c>
      <c r="J2385" s="14" t="str">
        <f>_xlfn.XLOOKUP(B2385,CAD_PDV!A:A,CAD_PDV!B:B)</f>
        <v>CELNET COMERCIO E SERVICOS DE TELEFONIA LTDA ME</v>
      </c>
      <c r="K2385" s="14">
        <f>IF(IFERROR(_xlfn.XLOOKUP(B2385,Planilha2!D:D,Planilha2!H:H),0)="SIM",1,0)</f>
        <v>0</v>
      </c>
      <c r="L2385" s="14" t="str">
        <f>_xlfn.XLOOKUP(B2385,CAD_PDV!A:A,CAD_PDV!C:C)</f>
        <v>CO</v>
      </c>
      <c r="M2385" s="14" t="str">
        <f>IFERROR(_xlfn.XLOOKUP(B2385,repete!A:A,repete!A:A),"-")</f>
        <v>-</v>
      </c>
    </row>
    <row r="2386" spans="1:13" hidden="1">
      <c r="A2386" s="1">
        <v>46204</v>
      </c>
      <c r="B2386" t="s">
        <v>2046</v>
      </c>
      <c r="C2386" t="s">
        <v>2047</v>
      </c>
      <c r="D2386" t="s">
        <v>193</v>
      </c>
      <c r="E2386" t="s">
        <v>2074</v>
      </c>
      <c r="F2386">
        <v>17</v>
      </c>
      <c r="G2386">
        <v>4</v>
      </c>
      <c r="H2386">
        <v>7.9665405297749505E-4</v>
      </c>
      <c r="I2386">
        <v>0.23529411764705899</v>
      </c>
      <c r="J2386" s="14" t="str">
        <f>_xlfn.XLOOKUP(B2386,CAD_PDV!A:A,CAD_PDV!B:B)</f>
        <v>S D COMERCIO DE CELULARES LTDA - ME</v>
      </c>
      <c r="K2386" s="14">
        <f>IF(IFERROR(_xlfn.XLOOKUP(B2386,Planilha2!D:D,Planilha2!H:H),0)="SIM",1,0)</f>
        <v>0</v>
      </c>
      <c r="L2386" s="14" t="str">
        <f>_xlfn.XLOOKUP(B2386,CAD_PDV!A:A,CAD_PDV!C:C)</f>
        <v>RS</v>
      </c>
      <c r="M2386" s="14" t="str">
        <f>IFERROR(_xlfn.XLOOKUP(B2386,repete!A:A,repete!A:A),"-")</f>
        <v>-</v>
      </c>
    </row>
    <row r="2387" spans="1:13" hidden="1">
      <c r="A2387" s="1">
        <v>46204</v>
      </c>
      <c r="B2387" t="s">
        <v>1393</v>
      </c>
      <c r="C2387" t="s">
        <v>1313</v>
      </c>
      <c r="D2387" t="s">
        <v>106</v>
      </c>
      <c r="E2387" t="s">
        <v>53</v>
      </c>
      <c r="F2387">
        <v>89</v>
      </c>
      <c r="G2387">
        <v>3</v>
      </c>
      <c r="H2387">
        <v>5.9749053973312104E-4</v>
      </c>
      <c r="I2387">
        <v>3.3707865168539297E-2</v>
      </c>
      <c r="J2387" s="14" t="str">
        <f>_xlfn.XLOOKUP(B2387,CAD_PDV!A:A,CAD_PDV!B:B)</f>
        <v>CELLULAR.COM</v>
      </c>
      <c r="K2387" s="14">
        <f>IF(IFERROR(_xlfn.XLOOKUP(B2387,Planilha2!D:D,Planilha2!H:H),0)="SIM",1,0)</f>
        <v>0</v>
      </c>
      <c r="L2387" s="14" t="str">
        <f>_xlfn.XLOOKUP(B2387,CAD_PDV!A:A,CAD_PDV!C:C)</f>
        <v>SP1</v>
      </c>
      <c r="M2387" s="14" t="str">
        <f>IFERROR(_xlfn.XLOOKUP(B2387,repete!A:A,repete!A:A),"-")</f>
        <v>-</v>
      </c>
    </row>
    <row r="2388" spans="1:13" hidden="1">
      <c r="A2388" s="1">
        <v>46204</v>
      </c>
      <c r="B2388" t="s">
        <v>1351</v>
      </c>
      <c r="C2388" t="s">
        <v>1313</v>
      </c>
      <c r="D2388" t="s">
        <v>132</v>
      </c>
      <c r="E2388" t="s">
        <v>53</v>
      </c>
      <c r="F2388">
        <v>92</v>
      </c>
      <c r="G2388">
        <v>3</v>
      </c>
      <c r="H2388">
        <v>5.9749053973312104E-4</v>
      </c>
      <c r="I2388">
        <v>3.2608695652173898E-2</v>
      </c>
      <c r="J2388" s="14" t="str">
        <f>_xlfn.XLOOKUP(B2388,CAD_PDV!A:A,CAD_PDV!B:B)</f>
        <v>FLEX CELL</v>
      </c>
      <c r="K2388" s="14">
        <f>IF(IFERROR(_xlfn.XLOOKUP(B2388,Planilha2!D:D,Planilha2!H:H),0)="SIM",1,0)</f>
        <v>0</v>
      </c>
      <c r="L2388" s="14" t="str">
        <f>_xlfn.XLOOKUP(B2388,CAD_PDV!A:A,CAD_PDV!C:C)</f>
        <v>SP1</v>
      </c>
      <c r="M2388" s="14" t="str">
        <f>IFERROR(_xlfn.XLOOKUP(B2388,repete!A:A,repete!A:A),"-")</f>
        <v>-</v>
      </c>
    </row>
    <row r="2389" spans="1:13" hidden="1">
      <c r="A2389" s="1">
        <v>46204</v>
      </c>
      <c r="B2389" t="s">
        <v>710</v>
      </c>
      <c r="C2389" t="s">
        <v>711</v>
      </c>
      <c r="D2389" t="s">
        <v>239</v>
      </c>
      <c r="E2389" t="s">
        <v>59</v>
      </c>
      <c r="F2389">
        <v>34</v>
      </c>
      <c r="G2389">
        <v>3</v>
      </c>
      <c r="H2389">
        <v>5.9749053973312104E-4</v>
      </c>
      <c r="I2389">
        <v>8.8235294117647106E-2</v>
      </c>
      <c r="J2389" s="14" t="str">
        <f>_xlfn.XLOOKUP(B2389,CAD_PDV!A:A,CAD_PDV!B:B)</f>
        <v>TELECELL TELEFONIA LTDA - ME</v>
      </c>
      <c r="K2389" s="14">
        <f>IF(IFERROR(_xlfn.XLOOKUP(B2389,Planilha2!D:D,Planilha2!H:H),0)="SIM",1,0)</f>
        <v>0</v>
      </c>
      <c r="L2389" s="14" t="str">
        <f>_xlfn.XLOOKUP(B2389,CAD_PDV!A:A,CAD_PDV!C:C)</f>
        <v>CO</v>
      </c>
      <c r="M2389" s="14" t="str">
        <f>IFERROR(_xlfn.XLOOKUP(B2389,repete!A:A,repete!A:A),"-")</f>
        <v>-</v>
      </c>
    </row>
    <row r="2390" spans="1:13" hidden="1">
      <c r="A2390" s="1">
        <v>46204</v>
      </c>
      <c r="B2390" t="s">
        <v>299</v>
      </c>
      <c r="C2390" t="s">
        <v>300</v>
      </c>
      <c r="D2390" t="s">
        <v>238</v>
      </c>
      <c r="E2390" t="s">
        <v>61</v>
      </c>
      <c r="F2390">
        <v>35</v>
      </c>
      <c r="G2390">
        <v>3</v>
      </c>
      <c r="H2390">
        <v>5.9749053973312104E-4</v>
      </c>
      <c r="I2390">
        <v>8.5714285714285701E-2</v>
      </c>
      <c r="J2390" s="14" t="str">
        <f>_xlfn.XLOOKUP(B2390,CAD_PDV!A:A,CAD_PDV!B:B)</f>
        <v>R &amp; R HIPER COMERCIO LTDA</v>
      </c>
      <c r="K2390" s="14">
        <f>IF(IFERROR(_xlfn.XLOOKUP(B2390,Planilha2!D:D,Planilha2!H:H),0)="SIM",1,0)</f>
        <v>0</v>
      </c>
      <c r="L2390" s="14" t="str">
        <f>_xlfn.XLOOKUP(B2390,CAD_PDV!A:A,CAD_PDV!C:C)</f>
        <v>NE</v>
      </c>
      <c r="M2390" s="14" t="str">
        <f>IFERROR(_xlfn.XLOOKUP(B2390,repete!A:A,repete!A:A),"-")</f>
        <v>-</v>
      </c>
    </row>
    <row r="2391" spans="1:13" hidden="1">
      <c r="A2391" s="1">
        <v>46204</v>
      </c>
      <c r="B2391" t="s">
        <v>1195</v>
      </c>
      <c r="C2391" t="s">
        <v>1196</v>
      </c>
      <c r="D2391" t="s">
        <v>228</v>
      </c>
      <c r="E2391" t="s">
        <v>55</v>
      </c>
      <c r="F2391">
        <v>36</v>
      </c>
      <c r="G2391">
        <v>3</v>
      </c>
      <c r="H2391">
        <v>5.9749053973312104E-4</v>
      </c>
      <c r="I2391">
        <v>8.3333333333333301E-2</v>
      </c>
      <c r="J2391" s="14" t="str">
        <f>_xlfn.XLOOKUP(B2391,CAD_PDV!A:A,CAD_PDV!B:B)</f>
        <v>FAJULUTI</v>
      </c>
      <c r="K2391" s="14">
        <f>IF(IFERROR(_xlfn.XLOOKUP(B2391,Planilha2!D:D,Planilha2!H:H),0)="SIM",1,0)</f>
        <v>0</v>
      </c>
      <c r="L2391" s="14" t="str">
        <f>_xlfn.XLOOKUP(B2391,CAD_PDV!A:A,CAD_PDV!C:C)</f>
        <v>RJ/ES</v>
      </c>
      <c r="M2391" s="14" t="str">
        <f>IFERROR(_xlfn.XLOOKUP(B2391,repete!A:A,repete!A:A),"-")</f>
        <v>-</v>
      </c>
    </row>
    <row r="2392" spans="1:13" hidden="1">
      <c r="A2392" s="1">
        <v>46204</v>
      </c>
      <c r="B2392" t="s">
        <v>1835</v>
      </c>
      <c r="C2392" t="s">
        <v>1837</v>
      </c>
      <c r="D2392" t="s">
        <v>124</v>
      </c>
      <c r="E2392" t="s">
        <v>2074</v>
      </c>
      <c r="F2392">
        <v>53</v>
      </c>
      <c r="G2392">
        <v>3</v>
      </c>
      <c r="H2392">
        <v>5.9749053973312104E-4</v>
      </c>
      <c r="I2392">
        <v>5.6603773584905703E-2</v>
      </c>
      <c r="J2392" s="14" t="str">
        <f>_xlfn.XLOOKUP(B2392,CAD_PDV!A:A,CAD_PDV!B:B)</f>
        <v>EDUARDO JUNQUEIRA DA SILVEIRA ADMIN</v>
      </c>
      <c r="K2392" s="14">
        <f>IF(IFERROR(_xlfn.XLOOKUP(B2392,Planilha2!D:D,Planilha2!H:H),0)="SIM",1,0)</f>
        <v>0</v>
      </c>
      <c r="L2392" s="14" t="str">
        <f>_xlfn.XLOOKUP(B2392,CAD_PDV!A:A,CAD_PDV!C:C)</f>
        <v>RS</v>
      </c>
      <c r="M2392" s="14" t="str">
        <f>IFERROR(_xlfn.XLOOKUP(B2392,repete!A:A,repete!A:A),"-")</f>
        <v>-</v>
      </c>
    </row>
    <row r="2393" spans="1:13" hidden="1">
      <c r="A2393" s="1">
        <v>46204</v>
      </c>
      <c r="B2393" t="s">
        <v>974</v>
      </c>
      <c r="C2393" t="s">
        <v>944</v>
      </c>
      <c r="D2393" t="s">
        <v>232</v>
      </c>
      <c r="E2393" t="s">
        <v>60</v>
      </c>
      <c r="F2393">
        <v>42</v>
      </c>
      <c r="G2393">
        <v>3</v>
      </c>
      <c r="H2393">
        <v>5.9749053973312104E-4</v>
      </c>
      <c r="I2393">
        <v>7.1428571428571397E-2</v>
      </c>
      <c r="J2393" s="14" t="str">
        <f>_xlfn.XLOOKUP(B2393,CAD_PDV!A:A,CAD_PDV!B:B)</f>
        <v>HS TELECOM</v>
      </c>
      <c r="K2393" s="14">
        <f>IF(IFERROR(_xlfn.XLOOKUP(B2393,Planilha2!D:D,Planilha2!H:H),0)="SIM",1,0)</f>
        <v>0</v>
      </c>
      <c r="L2393" s="14" t="str">
        <f>_xlfn.XLOOKUP(B2393,CAD_PDV!A:A,CAD_PDV!C:C)</f>
        <v>BA/SE</v>
      </c>
      <c r="M2393" s="14" t="str">
        <f>IFERROR(_xlfn.XLOOKUP(B2393,repete!A:A,repete!A:A),"-")</f>
        <v>-</v>
      </c>
    </row>
    <row r="2394" spans="1:13" hidden="1">
      <c r="A2394" s="1">
        <v>46204</v>
      </c>
      <c r="B2394" t="s">
        <v>1449</v>
      </c>
      <c r="C2394" t="s">
        <v>1451</v>
      </c>
      <c r="D2394" t="s">
        <v>132</v>
      </c>
      <c r="E2394" t="s">
        <v>54</v>
      </c>
      <c r="F2394">
        <v>45</v>
      </c>
      <c r="G2394">
        <v>3</v>
      </c>
      <c r="H2394">
        <v>5.9749053973312104E-4</v>
      </c>
      <c r="I2394">
        <v>6.6666666666666693E-2</v>
      </c>
      <c r="J2394" s="14" t="str">
        <f>_xlfn.XLOOKUP(B2394,CAD_PDV!A:A,CAD_PDV!B:B)</f>
        <v>FLEX CELL</v>
      </c>
      <c r="K2394" s="14">
        <f>IF(IFERROR(_xlfn.XLOOKUP(B2394,Planilha2!D:D,Planilha2!H:H),0)="SIM",1,0)</f>
        <v>0</v>
      </c>
      <c r="L2394" s="14" t="str">
        <f>_xlfn.XLOOKUP(B2394,CAD_PDV!A:A,CAD_PDV!C:C)</f>
        <v>SP2</v>
      </c>
      <c r="M2394" s="14" t="str">
        <f>IFERROR(_xlfn.XLOOKUP(B2394,repete!A:A,repete!A:A),"-")</f>
        <v>-</v>
      </c>
    </row>
    <row r="2395" spans="1:13" hidden="1">
      <c r="A2395" s="1">
        <v>46204</v>
      </c>
      <c r="B2395" t="s">
        <v>1467</v>
      </c>
      <c r="C2395" t="s">
        <v>1469</v>
      </c>
      <c r="D2395" t="s">
        <v>232</v>
      </c>
      <c r="E2395" t="s">
        <v>54</v>
      </c>
      <c r="F2395">
        <v>52</v>
      </c>
      <c r="G2395">
        <v>3</v>
      </c>
      <c r="H2395">
        <v>5.9749053973312104E-4</v>
      </c>
      <c r="I2395">
        <v>5.7692307692307702E-2</v>
      </c>
      <c r="J2395" s="14" t="str">
        <f>_xlfn.XLOOKUP(B2395,CAD_PDV!A:A,CAD_PDV!B:B)</f>
        <v>HS TELECOM</v>
      </c>
      <c r="K2395" s="14">
        <f>IF(IFERROR(_xlfn.XLOOKUP(B2395,Planilha2!D:D,Planilha2!H:H),0)="SIM",1,0)</f>
        <v>0</v>
      </c>
      <c r="L2395" s="14" t="str">
        <f>_xlfn.XLOOKUP(B2395,CAD_PDV!A:A,CAD_PDV!C:C)</f>
        <v>SP2</v>
      </c>
      <c r="M2395" s="14" t="str">
        <f>IFERROR(_xlfn.XLOOKUP(B2395,repete!A:A,repete!A:A),"-")</f>
        <v>-</v>
      </c>
    </row>
    <row r="2396" spans="1:13" hidden="1">
      <c r="A2396" s="1">
        <v>46204</v>
      </c>
      <c r="B2396" t="s">
        <v>310</v>
      </c>
      <c r="C2396" t="s">
        <v>311</v>
      </c>
      <c r="D2396" t="s">
        <v>230</v>
      </c>
      <c r="E2396" t="s">
        <v>61</v>
      </c>
      <c r="F2396">
        <v>41</v>
      </c>
      <c r="G2396">
        <v>3</v>
      </c>
      <c r="H2396">
        <v>5.9749053973312104E-4</v>
      </c>
      <c r="I2396">
        <v>7.3170731707317097E-2</v>
      </c>
      <c r="J2396" s="14" t="str">
        <f>_xlfn.XLOOKUP(B2396,CAD_PDV!A:A,CAD_PDV!B:B)</f>
        <v>HARCOS COMERCIO E SERVICOS LTDA - EPP</v>
      </c>
      <c r="K2396" s="14">
        <f>IF(IFERROR(_xlfn.XLOOKUP(B2396,Planilha2!D:D,Planilha2!H:H),0)="SIM",1,0)</f>
        <v>0</v>
      </c>
      <c r="L2396" s="14" t="str">
        <f>_xlfn.XLOOKUP(B2396,CAD_PDV!A:A,CAD_PDV!C:C)</f>
        <v>NE</v>
      </c>
      <c r="M2396" s="14" t="str">
        <f>IFERROR(_xlfn.XLOOKUP(B2396,repete!A:A,repete!A:A),"-")</f>
        <v>-</v>
      </c>
    </row>
    <row r="2397" spans="1:13" hidden="1">
      <c r="A2397" s="1">
        <v>46204</v>
      </c>
      <c r="B2397" t="s">
        <v>744</v>
      </c>
      <c r="C2397" t="s">
        <v>745</v>
      </c>
      <c r="D2397" t="s">
        <v>224</v>
      </c>
      <c r="E2397" t="s">
        <v>59</v>
      </c>
      <c r="F2397">
        <v>65</v>
      </c>
      <c r="G2397">
        <v>3</v>
      </c>
      <c r="H2397">
        <v>5.9749053973312104E-4</v>
      </c>
      <c r="I2397">
        <v>4.6153846153846198E-2</v>
      </c>
      <c r="J2397" s="14" t="str">
        <f>_xlfn.XLOOKUP(B2397,CAD_PDV!A:A,CAD_PDV!B:B)</f>
        <v>CELNET COMERCIO E SERVICOS DE TELEFONIA LTDA ME</v>
      </c>
      <c r="K2397" s="14">
        <f>IF(IFERROR(_xlfn.XLOOKUP(B2397,Planilha2!D:D,Planilha2!H:H),0)="SIM",1,0)</f>
        <v>0</v>
      </c>
      <c r="L2397" s="14" t="str">
        <f>_xlfn.XLOOKUP(B2397,CAD_PDV!A:A,CAD_PDV!C:C)</f>
        <v>CO</v>
      </c>
      <c r="M2397" s="14" t="str">
        <f>IFERROR(_xlfn.XLOOKUP(B2397,repete!A:A,repete!A:A),"-")</f>
        <v>-</v>
      </c>
    </row>
    <row r="2398" spans="1:13" hidden="1">
      <c r="A2398" s="1">
        <v>46204</v>
      </c>
      <c r="B2398" t="s">
        <v>1500</v>
      </c>
      <c r="C2398" t="s">
        <v>1454</v>
      </c>
      <c r="D2398" t="s">
        <v>132</v>
      </c>
      <c r="E2398" t="s">
        <v>54</v>
      </c>
      <c r="F2398">
        <v>21</v>
      </c>
      <c r="G2398">
        <v>3</v>
      </c>
      <c r="H2398">
        <v>5.9749053973312104E-4</v>
      </c>
      <c r="I2398">
        <v>0.14285714285714299</v>
      </c>
      <c r="J2398" s="14" t="str">
        <f>_xlfn.XLOOKUP(B2398,CAD_PDV!A:A,CAD_PDV!B:B)</f>
        <v>FLEX CELL</v>
      </c>
      <c r="K2398" s="14">
        <f>IF(IFERROR(_xlfn.XLOOKUP(B2398,Planilha2!D:D,Planilha2!H:H),0)="SIM",1,0)</f>
        <v>0</v>
      </c>
      <c r="L2398" s="14" t="str">
        <f>_xlfn.XLOOKUP(B2398,CAD_PDV!A:A,CAD_PDV!C:C)</f>
        <v>SP2</v>
      </c>
      <c r="M2398" s="14" t="str">
        <f>IFERROR(_xlfn.XLOOKUP(B2398,repete!A:A,repete!A:A),"-")</f>
        <v>-</v>
      </c>
    </row>
    <row r="2399" spans="1:13" hidden="1">
      <c r="A2399" s="1">
        <v>46204</v>
      </c>
      <c r="B2399" t="s">
        <v>1506</v>
      </c>
      <c r="C2399" t="s">
        <v>1507</v>
      </c>
      <c r="D2399" t="s">
        <v>132</v>
      </c>
      <c r="E2399" t="s">
        <v>54</v>
      </c>
      <c r="F2399">
        <v>30</v>
      </c>
      <c r="G2399">
        <v>3</v>
      </c>
      <c r="H2399">
        <v>5.9749053973312104E-4</v>
      </c>
      <c r="I2399">
        <v>0.1</v>
      </c>
      <c r="J2399" s="14" t="str">
        <f>_xlfn.XLOOKUP(B2399,CAD_PDV!A:A,CAD_PDV!B:B)</f>
        <v>FLEX CELL</v>
      </c>
      <c r="K2399" s="14">
        <f>IF(IFERROR(_xlfn.XLOOKUP(B2399,Planilha2!D:D,Planilha2!H:H),0)="SIM",1,0)</f>
        <v>0</v>
      </c>
      <c r="L2399" s="14" t="str">
        <f>_xlfn.XLOOKUP(B2399,CAD_PDV!A:A,CAD_PDV!C:C)</f>
        <v>SP2</v>
      </c>
      <c r="M2399" s="14" t="str">
        <f>IFERROR(_xlfn.XLOOKUP(B2399,repete!A:A,repete!A:A),"-")</f>
        <v>-</v>
      </c>
    </row>
    <row r="2400" spans="1:13" hidden="1">
      <c r="A2400" s="1">
        <v>46204</v>
      </c>
      <c r="B2400" t="s">
        <v>2061</v>
      </c>
      <c r="C2400" t="s">
        <v>2062</v>
      </c>
      <c r="D2400" t="s">
        <v>193</v>
      </c>
      <c r="E2400" t="s">
        <v>2074</v>
      </c>
      <c r="F2400">
        <v>12</v>
      </c>
      <c r="G2400">
        <v>3</v>
      </c>
      <c r="H2400">
        <v>5.9749053973312104E-4</v>
      </c>
      <c r="I2400">
        <v>0.25</v>
      </c>
      <c r="J2400" s="14" t="str">
        <f>_xlfn.XLOOKUP(B2400,CAD_PDV!A:A,CAD_PDV!B:B)</f>
        <v>S D COMERCIO DE CELULARES LTDA - ME</v>
      </c>
      <c r="K2400" s="14">
        <f>IF(IFERROR(_xlfn.XLOOKUP(B2400,Planilha2!D:D,Planilha2!H:H),0)="SIM",1,0)</f>
        <v>0</v>
      </c>
      <c r="L2400" s="14" t="str">
        <f>_xlfn.XLOOKUP(B2400,CAD_PDV!A:A,CAD_PDV!C:C)</f>
        <v>RS</v>
      </c>
      <c r="M2400" s="14" t="str">
        <f>IFERROR(_xlfn.XLOOKUP(B2400,repete!A:A,repete!A:A),"-")</f>
        <v>-</v>
      </c>
    </row>
    <row r="2401" spans="1:13" hidden="1">
      <c r="A2401" s="1">
        <v>46204</v>
      </c>
      <c r="B2401" t="s">
        <v>1984</v>
      </c>
      <c r="C2401" t="s">
        <v>1985</v>
      </c>
      <c r="D2401" t="s">
        <v>97</v>
      </c>
      <c r="E2401" t="s">
        <v>2074</v>
      </c>
      <c r="F2401">
        <v>23</v>
      </c>
      <c r="G2401">
        <v>3</v>
      </c>
      <c r="H2401">
        <v>5.9749053973312104E-4</v>
      </c>
      <c r="I2401">
        <v>0.13043478260869601</v>
      </c>
      <c r="J2401" s="14" t="str">
        <f>_xlfn.XLOOKUP(B2401,CAD_PDV!A:A,CAD_PDV!B:B)</f>
        <v>BANDEIRA</v>
      </c>
      <c r="K2401" s="14">
        <f>IF(IFERROR(_xlfn.XLOOKUP(B2401,Planilha2!D:D,Planilha2!H:H),0)="SIM",1,0)</f>
        <v>0</v>
      </c>
      <c r="L2401" s="14" t="str">
        <f>_xlfn.XLOOKUP(B2401,CAD_PDV!A:A,CAD_PDV!C:C)</f>
        <v>PR/SC</v>
      </c>
      <c r="M2401" s="14" t="str">
        <f>IFERROR(_xlfn.XLOOKUP(B2401,repete!A:A,repete!A:A),"-")</f>
        <v>-</v>
      </c>
    </row>
    <row r="2402" spans="1:13" hidden="1">
      <c r="A2402" s="1">
        <v>46204</v>
      </c>
      <c r="B2402" t="s">
        <v>881</v>
      </c>
      <c r="C2402" t="s">
        <v>873</v>
      </c>
      <c r="D2402" t="s">
        <v>239</v>
      </c>
      <c r="E2402" t="s">
        <v>59</v>
      </c>
      <c r="F2402">
        <v>85</v>
      </c>
      <c r="G2402">
        <v>3</v>
      </c>
      <c r="H2402">
        <v>5.9749053973312104E-4</v>
      </c>
      <c r="I2402">
        <v>3.5294117647058802E-2</v>
      </c>
      <c r="J2402" s="14" t="str">
        <f>_xlfn.XLOOKUP(B2402,CAD_PDV!A:A,CAD_PDV!B:B)</f>
        <v>TELECELL TELEFONIA LTDA - ME</v>
      </c>
      <c r="K2402" s="14">
        <f>IF(IFERROR(_xlfn.XLOOKUP(B2402,Planilha2!D:D,Planilha2!H:H),0)="SIM",1,0)</f>
        <v>0</v>
      </c>
      <c r="L2402" s="14" t="str">
        <f>_xlfn.XLOOKUP(B2402,CAD_PDV!A:A,CAD_PDV!C:C)</f>
        <v>CO</v>
      </c>
      <c r="M2402" s="14" t="str">
        <f>IFERROR(_xlfn.XLOOKUP(B2402,repete!A:A,repete!A:A),"-")</f>
        <v>-</v>
      </c>
    </row>
    <row r="2403" spans="1:13" hidden="1">
      <c r="A2403" s="1">
        <v>46204</v>
      </c>
      <c r="B2403" t="s">
        <v>490</v>
      </c>
      <c r="C2403" t="s">
        <v>491</v>
      </c>
      <c r="D2403" t="s">
        <v>235</v>
      </c>
      <c r="E2403" t="s">
        <v>56</v>
      </c>
      <c r="F2403">
        <v>29</v>
      </c>
      <c r="G2403">
        <v>3</v>
      </c>
      <c r="H2403">
        <v>5.9749053973312104E-4</v>
      </c>
      <c r="I2403">
        <v>0.10344827586206901</v>
      </c>
      <c r="J2403" s="14" t="str">
        <f>_xlfn.XLOOKUP(B2403,CAD_PDV!A:A,CAD_PDV!B:B)</f>
        <v>P.G.L CELULARES LTDA</v>
      </c>
      <c r="K2403" s="14">
        <f>IF(IFERROR(_xlfn.XLOOKUP(B2403,Planilha2!D:D,Planilha2!H:H),0)="SIM",1,0)</f>
        <v>0</v>
      </c>
      <c r="L2403" s="14" t="str">
        <f>_xlfn.XLOOKUP(B2403,CAD_PDV!A:A,CAD_PDV!C:C)</f>
        <v>MG</v>
      </c>
      <c r="M2403" s="14" t="str">
        <f>IFERROR(_xlfn.XLOOKUP(B2403,repete!A:A,repete!A:A),"-")</f>
        <v>-</v>
      </c>
    </row>
    <row r="2404" spans="1:13" hidden="1">
      <c r="A2404" s="1">
        <v>46204</v>
      </c>
      <c r="B2404" t="s">
        <v>884</v>
      </c>
      <c r="C2404" t="s">
        <v>885</v>
      </c>
      <c r="D2404" t="s">
        <v>239</v>
      </c>
      <c r="E2404" t="s">
        <v>59</v>
      </c>
      <c r="F2404">
        <v>71</v>
      </c>
      <c r="G2404">
        <v>3</v>
      </c>
      <c r="H2404">
        <v>5.9749053973312104E-4</v>
      </c>
      <c r="I2404">
        <v>4.2253521126760597E-2</v>
      </c>
      <c r="J2404" s="14" t="str">
        <f>_xlfn.XLOOKUP(B2404,CAD_PDV!A:A,CAD_PDV!B:B)</f>
        <v>TELECELL TELEFONIA LTDA - ME</v>
      </c>
      <c r="K2404" s="14">
        <f>IF(IFERROR(_xlfn.XLOOKUP(B2404,Planilha2!D:D,Planilha2!H:H),0)="SIM",1,0)</f>
        <v>0</v>
      </c>
      <c r="L2404" s="14" t="str">
        <f>_xlfn.XLOOKUP(B2404,CAD_PDV!A:A,CAD_PDV!C:C)</f>
        <v>CO</v>
      </c>
      <c r="M2404" s="14" t="str">
        <f>IFERROR(_xlfn.XLOOKUP(B2404,repete!A:A,repete!A:A),"-")</f>
        <v>-</v>
      </c>
    </row>
    <row r="2405" spans="1:13" hidden="1">
      <c r="A2405" s="1">
        <v>46204</v>
      </c>
      <c r="B2405" t="s">
        <v>925</v>
      </c>
      <c r="C2405" t="s">
        <v>738</v>
      </c>
      <c r="D2405" t="s">
        <v>231</v>
      </c>
      <c r="E2405" t="s">
        <v>59</v>
      </c>
      <c r="F2405">
        <v>28</v>
      </c>
      <c r="G2405">
        <v>3</v>
      </c>
      <c r="H2405">
        <v>5.9749053973312104E-4</v>
      </c>
      <c r="I2405">
        <v>0.107142857142857</v>
      </c>
      <c r="J2405" s="14" t="str">
        <f>_xlfn.XLOOKUP(B2405,CAD_PDV!A:A,CAD_PDV!B:B)</f>
        <v>HIROTA &amp; HIROTA LTDA - ME</v>
      </c>
      <c r="K2405" s="14">
        <f>IF(IFERROR(_xlfn.XLOOKUP(B2405,Planilha2!D:D,Planilha2!H:H),0)="SIM",1,0)</f>
        <v>0</v>
      </c>
      <c r="L2405" s="14" t="str">
        <f>_xlfn.XLOOKUP(B2405,CAD_PDV!A:A,CAD_PDV!C:C)</f>
        <v>CO</v>
      </c>
      <c r="M2405" s="14" t="str">
        <f>IFERROR(_xlfn.XLOOKUP(B2405,repete!A:A,repete!A:A),"-")</f>
        <v>-</v>
      </c>
    </row>
    <row r="2406" spans="1:13" hidden="1">
      <c r="A2406" s="1">
        <v>46204</v>
      </c>
      <c r="B2406" t="s">
        <v>776</v>
      </c>
      <c r="C2406" t="s">
        <v>637</v>
      </c>
      <c r="D2406" t="s">
        <v>221</v>
      </c>
      <c r="E2406" t="s">
        <v>59</v>
      </c>
      <c r="F2406">
        <v>57</v>
      </c>
      <c r="G2406">
        <v>3</v>
      </c>
      <c r="H2406">
        <v>5.9749053973312104E-4</v>
      </c>
      <c r="I2406">
        <v>5.2631578947368397E-2</v>
      </c>
      <c r="J2406" s="14" t="str">
        <f>_xlfn.XLOOKUP(B2406,CAD_PDV!A:A,CAD_PDV!B:B)</f>
        <v>AMERICOM COMERCIO DE APARELHOS ELETRONICOS LTDA - EPP</v>
      </c>
      <c r="K2406" s="14">
        <f>IF(IFERROR(_xlfn.XLOOKUP(B2406,Planilha2!D:D,Planilha2!H:H),0)="SIM",1,0)</f>
        <v>0</v>
      </c>
      <c r="L2406" s="14" t="str">
        <f>_xlfn.XLOOKUP(B2406,CAD_PDV!A:A,CAD_PDV!C:C)</f>
        <v>CO</v>
      </c>
      <c r="M2406" s="14" t="str">
        <f>IFERROR(_xlfn.XLOOKUP(B2406,repete!A:A,repete!A:A),"-")</f>
        <v>-</v>
      </c>
    </row>
    <row r="2407" spans="1:13" hidden="1">
      <c r="A2407" s="1">
        <v>46204</v>
      </c>
      <c r="B2407" t="s">
        <v>1168</v>
      </c>
      <c r="C2407" t="s">
        <v>1142</v>
      </c>
      <c r="D2407" t="s">
        <v>237</v>
      </c>
      <c r="E2407" t="s">
        <v>55</v>
      </c>
      <c r="F2407">
        <v>103</v>
      </c>
      <c r="G2407">
        <v>3</v>
      </c>
      <c r="H2407">
        <v>5.9749053973312104E-4</v>
      </c>
      <c r="I2407">
        <v>2.9126213592233E-2</v>
      </c>
      <c r="J2407" s="14" t="str">
        <f>_xlfn.XLOOKUP(B2407,CAD_PDV!A:A,CAD_PDV!B:B)</f>
        <v>PONTO CERTO COMERCIO E COMUNICAÇÕES LTDA</v>
      </c>
      <c r="K2407" s="14">
        <f>IF(IFERROR(_xlfn.XLOOKUP(B2407,Planilha2!D:D,Planilha2!H:H),0)="SIM",1,0)</f>
        <v>0</v>
      </c>
      <c r="L2407" s="14" t="str">
        <f>_xlfn.XLOOKUP(B2407,CAD_PDV!A:A,CAD_PDV!C:C)</f>
        <v>RJ/ES</v>
      </c>
      <c r="M2407" s="14" t="str">
        <f>IFERROR(_xlfn.XLOOKUP(B2407,repete!A:A,repete!A:A),"-")</f>
        <v>-</v>
      </c>
    </row>
    <row r="2408" spans="1:13" hidden="1">
      <c r="A2408" s="1">
        <v>46204</v>
      </c>
      <c r="B2408" t="s">
        <v>889</v>
      </c>
      <c r="C2408" t="s">
        <v>873</v>
      </c>
      <c r="D2408" t="s">
        <v>239</v>
      </c>
      <c r="E2408" t="s">
        <v>59</v>
      </c>
      <c r="F2408">
        <v>77</v>
      </c>
      <c r="G2408">
        <v>3</v>
      </c>
      <c r="H2408">
        <v>5.9749053973312104E-4</v>
      </c>
      <c r="I2408">
        <v>3.8961038961039002E-2</v>
      </c>
      <c r="J2408" s="14" t="str">
        <f>_xlfn.XLOOKUP(B2408,CAD_PDV!A:A,CAD_PDV!B:B)</f>
        <v>TELECELL TELEFONIA LTDA - ME</v>
      </c>
      <c r="K2408" s="14">
        <f>IF(IFERROR(_xlfn.XLOOKUP(B2408,Planilha2!D:D,Planilha2!H:H),0)="SIM",1,0)</f>
        <v>0</v>
      </c>
      <c r="L2408" s="14" t="str">
        <f>_xlfn.XLOOKUP(B2408,CAD_PDV!A:A,CAD_PDV!C:C)</f>
        <v>CO</v>
      </c>
      <c r="M2408" s="14" t="str">
        <f>IFERROR(_xlfn.XLOOKUP(B2408,repete!A:A,repete!A:A),"-")</f>
        <v>-</v>
      </c>
    </row>
    <row r="2409" spans="1:13" hidden="1">
      <c r="A2409" s="1">
        <v>46204</v>
      </c>
      <c r="B2409" t="s">
        <v>2014</v>
      </c>
      <c r="C2409" t="s">
        <v>1744</v>
      </c>
      <c r="D2409" t="s">
        <v>106</v>
      </c>
      <c r="E2409" t="s">
        <v>2074</v>
      </c>
      <c r="F2409">
        <v>103</v>
      </c>
      <c r="G2409">
        <v>3</v>
      </c>
      <c r="H2409">
        <v>5.9749053973312104E-4</v>
      </c>
      <c r="I2409">
        <v>2.9126213592233E-2</v>
      </c>
      <c r="J2409" s="14" t="str">
        <f>_xlfn.XLOOKUP(B2409,CAD_PDV!A:A,CAD_PDV!B:B)</f>
        <v>CELLULAR.COM</v>
      </c>
      <c r="K2409" s="14">
        <f>IF(IFERROR(_xlfn.XLOOKUP(B2409,Planilha2!D:D,Planilha2!H:H),0)="SIM",1,0)</f>
        <v>0</v>
      </c>
      <c r="L2409" s="14" t="str">
        <f>_xlfn.XLOOKUP(B2409,CAD_PDV!A:A,CAD_PDV!C:C)</f>
        <v>PR/SC</v>
      </c>
      <c r="M2409" s="14" t="str">
        <f>IFERROR(_xlfn.XLOOKUP(B2409,repete!A:A,repete!A:A),"-")</f>
        <v>-</v>
      </c>
    </row>
    <row r="2410" spans="1:13" hidden="1">
      <c r="A2410" s="1">
        <v>46204</v>
      </c>
      <c r="B2410" t="s">
        <v>365</v>
      </c>
      <c r="C2410" t="s">
        <v>261</v>
      </c>
      <c r="D2410" t="s">
        <v>230</v>
      </c>
      <c r="E2410" t="s">
        <v>61</v>
      </c>
      <c r="F2410">
        <v>111</v>
      </c>
      <c r="G2410">
        <v>3</v>
      </c>
      <c r="H2410">
        <v>5.9749053973312104E-4</v>
      </c>
      <c r="I2410">
        <v>2.7027027027027001E-2</v>
      </c>
      <c r="J2410" s="14" t="str">
        <f>_xlfn.XLOOKUP(B2410,CAD_PDV!A:A,CAD_PDV!B:B)</f>
        <v>HARCOS COMERCIO E SERVICOS LTDA - EPP</v>
      </c>
      <c r="K2410" s="14">
        <f>IF(IFERROR(_xlfn.XLOOKUP(B2410,Planilha2!D:D,Planilha2!H:H),0)="SIM",1,0)</f>
        <v>0</v>
      </c>
      <c r="L2410" s="14" t="str">
        <f>_xlfn.XLOOKUP(B2410,CAD_PDV!A:A,CAD_PDV!C:C)</f>
        <v>NE</v>
      </c>
      <c r="M2410" s="14" t="str">
        <f>IFERROR(_xlfn.XLOOKUP(B2410,repete!A:A,repete!A:A),"-")</f>
        <v>-</v>
      </c>
    </row>
    <row r="2411" spans="1:13" hidden="1">
      <c r="A2411" s="1">
        <v>46204</v>
      </c>
      <c r="B2411" t="s">
        <v>1253</v>
      </c>
      <c r="C2411" t="s">
        <v>1142</v>
      </c>
      <c r="D2411" t="s">
        <v>228</v>
      </c>
      <c r="E2411" t="s">
        <v>55</v>
      </c>
      <c r="F2411">
        <v>58</v>
      </c>
      <c r="G2411">
        <v>3</v>
      </c>
      <c r="H2411">
        <v>5.9749053973312104E-4</v>
      </c>
      <c r="I2411">
        <v>5.1724137931034503E-2</v>
      </c>
      <c r="J2411" s="14" t="str">
        <f>_xlfn.XLOOKUP(B2411,CAD_PDV!A:A,CAD_PDV!B:B)</f>
        <v>FAJULUTI</v>
      </c>
      <c r="K2411" s="14">
        <f>IF(IFERROR(_xlfn.XLOOKUP(B2411,Planilha2!D:D,Planilha2!H:H),0)="SIM",1,0)</f>
        <v>0</v>
      </c>
      <c r="L2411" s="14" t="str">
        <f>_xlfn.XLOOKUP(B2411,CAD_PDV!A:A,CAD_PDV!C:C)</f>
        <v>RJ/ES</v>
      </c>
      <c r="M2411" s="14" t="str">
        <f>IFERROR(_xlfn.XLOOKUP(B2411,repete!A:A,repete!A:A),"-")</f>
        <v>NDTZ</v>
      </c>
    </row>
    <row r="2412" spans="1:13" hidden="1">
      <c r="A2412" s="1">
        <v>46204</v>
      </c>
      <c r="B2412" t="s">
        <v>2081</v>
      </c>
      <c r="C2412" t="s">
        <v>619</v>
      </c>
      <c r="D2412" t="s">
        <v>224</v>
      </c>
      <c r="E2412" t="s">
        <v>59</v>
      </c>
      <c r="F2412">
        <v>56</v>
      </c>
      <c r="G2412">
        <v>3</v>
      </c>
      <c r="H2412">
        <v>5.9749053973312104E-4</v>
      </c>
      <c r="I2412">
        <v>5.3571428571428603E-2</v>
      </c>
      <c r="J2412" s="14" t="str">
        <f>_xlfn.XLOOKUP(B2412,CAD_PDV!A:A,CAD_PDV!B:B)</f>
        <v>CELNET COMERCIO E SERVICOS DE TELEFONIA LTDA ME</v>
      </c>
      <c r="K2412" s="14">
        <f>IF(IFERROR(_xlfn.XLOOKUP(B2412,Planilha2!D:D,Planilha2!H:H),0)="SIM",1,0)</f>
        <v>0</v>
      </c>
      <c r="L2412" s="14" t="str">
        <f>_xlfn.XLOOKUP(B2412,CAD_PDV!A:A,CAD_PDV!C:C)</f>
        <v>CO</v>
      </c>
      <c r="M2412" s="14" t="str">
        <f>IFERROR(_xlfn.XLOOKUP(B2412,repete!A:A,repete!A:A),"-")</f>
        <v>-</v>
      </c>
    </row>
    <row r="2413" spans="1:13" hidden="1">
      <c r="A2413" s="1">
        <v>46204</v>
      </c>
      <c r="B2413" t="s">
        <v>829</v>
      </c>
      <c r="C2413" t="s">
        <v>820</v>
      </c>
      <c r="D2413" t="s">
        <v>239</v>
      </c>
      <c r="E2413" t="s">
        <v>59</v>
      </c>
      <c r="F2413">
        <v>57</v>
      </c>
      <c r="G2413">
        <v>3</v>
      </c>
      <c r="H2413">
        <v>5.9749053973312104E-4</v>
      </c>
      <c r="I2413">
        <v>5.2631578947368397E-2</v>
      </c>
      <c r="J2413" s="14" t="str">
        <f>_xlfn.XLOOKUP(B2413,CAD_PDV!A:A,CAD_PDV!B:B)</f>
        <v>TELECELL TELEFONIA LTDA - ME</v>
      </c>
      <c r="K2413" s="14">
        <f>IF(IFERROR(_xlfn.XLOOKUP(B2413,Planilha2!D:D,Planilha2!H:H),0)="SIM",1,0)</f>
        <v>0</v>
      </c>
      <c r="L2413" s="14" t="str">
        <f>_xlfn.XLOOKUP(B2413,CAD_PDV!A:A,CAD_PDV!C:C)</f>
        <v>CO</v>
      </c>
      <c r="M2413" s="14" t="str">
        <f>IFERROR(_xlfn.XLOOKUP(B2413,repete!A:A,repete!A:A),"-")</f>
        <v>-</v>
      </c>
    </row>
    <row r="2414" spans="1:13" hidden="1">
      <c r="A2414" s="1">
        <v>46204</v>
      </c>
      <c r="B2414" t="s">
        <v>851</v>
      </c>
      <c r="C2414" t="s">
        <v>732</v>
      </c>
      <c r="D2414" t="s">
        <v>221</v>
      </c>
      <c r="E2414" t="s">
        <v>59</v>
      </c>
      <c r="F2414">
        <v>69</v>
      </c>
      <c r="G2414">
        <v>3</v>
      </c>
      <c r="H2414">
        <v>5.9749053973312104E-4</v>
      </c>
      <c r="I2414">
        <v>4.3478260869565202E-2</v>
      </c>
      <c r="J2414" s="14" t="str">
        <f>_xlfn.XLOOKUP(B2414,CAD_PDV!A:A,CAD_PDV!B:B)</f>
        <v>AMERICOM COMERCIO DE APARELHOS ELETRONICOS LTDA - EPP</v>
      </c>
      <c r="K2414" s="14">
        <f>IF(IFERROR(_xlfn.XLOOKUP(B2414,Planilha2!D:D,Planilha2!H:H),0)="SIM",1,0)</f>
        <v>0</v>
      </c>
      <c r="L2414" s="14" t="str">
        <f>_xlfn.XLOOKUP(B2414,CAD_PDV!A:A,CAD_PDV!C:C)</f>
        <v>CO</v>
      </c>
      <c r="M2414" s="14" t="str">
        <f>IFERROR(_xlfn.XLOOKUP(B2414,repete!A:A,repete!A:A),"-")</f>
        <v>-</v>
      </c>
    </row>
    <row r="2415" spans="1:13" hidden="1">
      <c r="A2415" s="1">
        <v>46204</v>
      </c>
      <c r="B2415" t="s">
        <v>852</v>
      </c>
      <c r="C2415" t="s">
        <v>732</v>
      </c>
      <c r="D2415" t="s">
        <v>221</v>
      </c>
      <c r="E2415" t="s">
        <v>59</v>
      </c>
      <c r="F2415">
        <v>48</v>
      </c>
      <c r="G2415">
        <v>3</v>
      </c>
      <c r="H2415">
        <v>5.9749053973312104E-4</v>
      </c>
      <c r="I2415">
        <v>6.25E-2</v>
      </c>
      <c r="J2415" s="14" t="str">
        <f>_xlfn.XLOOKUP(B2415,CAD_PDV!A:A,CAD_PDV!B:B)</f>
        <v>AMERICOM COMERCIO DE APARELHOS ELETRONICOS LTDA - EPP</v>
      </c>
      <c r="K2415" s="14">
        <f>IF(IFERROR(_xlfn.XLOOKUP(B2415,Planilha2!D:D,Planilha2!H:H),0)="SIM",1,0)</f>
        <v>0</v>
      </c>
      <c r="L2415" s="14" t="str">
        <f>_xlfn.XLOOKUP(B2415,CAD_PDV!A:A,CAD_PDV!C:C)</f>
        <v>CO</v>
      </c>
      <c r="M2415" s="14" t="str">
        <f>IFERROR(_xlfn.XLOOKUP(B2415,repete!A:A,repete!A:A),"-")</f>
        <v>-</v>
      </c>
    </row>
    <row r="2416" spans="1:13" hidden="1">
      <c r="A2416" s="1">
        <v>46204</v>
      </c>
      <c r="B2416" t="s">
        <v>1032</v>
      </c>
      <c r="C2416" t="s">
        <v>944</v>
      </c>
      <c r="D2416" t="s">
        <v>222</v>
      </c>
      <c r="E2416" t="s">
        <v>60</v>
      </c>
      <c r="F2416">
        <v>49</v>
      </c>
      <c r="G2416">
        <v>3</v>
      </c>
      <c r="H2416">
        <v>5.9749053973312104E-4</v>
      </c>
      <c r="I2416">
        <v>6.1224489795918401E-2</v>
      </c>
      <c r="J2416" s="14" t="str">
        <f>_xlfn.XLOOKUP(B2416,CAD_PDV!A:A,CAD_PDV!B:B)</f>
        <v>ANCLA COMERCIO</v>
      </c>
      <c r="K2416" s="14">
        <f>IF(IFERROR(_xlfn.XLOOKUP(B2416,Planilha2!D:D,Planilha2!H:H),0)="SIM",1,0)</f>
        <v>0</v>
      </c>
      <c r="L2416" s="14" t="str">
        <f>_xlfn.XLOOKUP(B2416,CAD_PDV!A:A,CAD_PDV!C:C)</f>
        <v>BA/SE</v>
      </c>
      <c r="M2416" s="14" t="str">
        <f>IFERROR(_xlfn.XLOOKUP(B2416,repete!A:A,repete!A:A),"-")</f>
        <v>-</v>
      </c>
    </row>
    <row r="2417" spans="1:13" hidden="1">
      <c r="A2417" s="1">
        <v>46204</v>
      </c>
      <c r="B2417" t="s">
        <v>1374</v>
      </c>
      <c r="C2417" t="s">
        <v>1375</v>
      </c>
      <c r="D2417" t="s">
        <v>229</v>
      </c>
      <c r="E2417" t="s">
        <v>53</v>
      </c>
      <c r="F2417">
        <v>62</v>
      </c>
      <c r="G2417">
        <v>3</v>
      </c>
      <c r="H2417">
        <v>5.9749053973312104E-4</v>
      </c>
      <c r="I2417">
        <v>4.8387096774193498E-2</v>
      </c>
      <c r="J2417" s="14" t="str">
        <f>_xlfn.XLOOKUP(B2417,CAD_PDV!A:A,CAD_PDV!B:B)</f>
        <v>FW TELEFONIA LTDA - EPP</v>
      </c>
      <c r="K2417" s="14">
        <f>IF(IFERROR(_xlfn.XLOOKUP(B2417,Planilha2!D:D,Planilha2!H:H),0)="SIM",1,0)</f>
        <v>0</v>
      </c>
      <c r="L2417" s="14" t="str">
        <f>_xlfn.XLOOKUP(B2417,CAD_PDV!A:A,CAD_PDV!C:C)</f>
        <v>SP1</v>
      </c>
      <c r="M2417" s="14" t="str">
        <f>IFERROR(_xlfn.XLOOKUP(B2417,repete!A:A,repete!A:A),"-")</f>
        <v>-</v>
      </c>
    </row>
    <row r="2418" spans="1:13" hidden="1">
      <c r="A2418" s="1">
        <v>46204</v>
      </c>
      <c r="B2418" t="s">
        <v>1378</v>
      </c>
      <c r="C2418" t="s">
        <v>1308</v>
      </c>
      <c r="D2418" t="s">
        <v>229</v>
      </c>
      <c r="E2418" t="s">
        <v>53</v>
      </c>
      <c r="F2418">
        <v>42</v>
      </c>
      <c r="G2418">
        <v>3</v>
      </c>
      <c r="H2418">
        <v>5.9749053973312104E-4</v>
      </c>
      <c r="I2418">
        <v>7.1428571428571397E-2</v>
      </c>
      <c r="J2418" s="14" t="str">
        <f>_xlfn.XLOOKUP(B2418,CAD_PDV!A:A,CAD_PDV!B:B)</f>
        <v>FW TELEFONIA LTDA - EPP</v>
      </c>
      <c r="K2418" s="14">
        <f>IF(IFERROR(_xlfn.XLOOKUP(B2418,Planilha2!D:D,Planilha2!H:H),0)="SIM",1,0)</f>
        <v>0</v>
      </c>
      <c r="L2418" s="14" t="str">
        <f>_xlfn.XLOOKUP(B2418,CAD_PDV!A:A,CAD_PDV!C:C)</f>
        <v>SP1</v>
      </c>
      <c r="M2418" s="14" t="str">
        <f>IFERROR(_xlfn.XLOOKUP(B2418,repete!A:A,repete!A:A),"-")</f>
        <v>-</v>
      </c>
    </row>
    <row r="2419" spans="1:13" hidden="1">
      <c r="A2419" s="1">
        <v>46204</v>
      </c>
      <c r="B2419" t="s">
        <v>1713</v>
      </c>
      <c r="C2419" t="s">
        <v>1540</v>
      </c>
      <c r="D2419" t="s">
        <v>232</v>
      </c>
      <c r="E2419" t="s">
        <v>54</v>
      </c>
      <c r="F2419">
        <v>35</v>
      </c>
      <c r="G2419">
        <v>3</v>
      </c>
      <c r="H2419">
        <v>5.9749053973312104E-4</v>
      </c>
      <c r="I2419">
        <v>8.5714285714285701E-2</v>
      </c>
      <c r="J2419" s="14" t="str">
        <f>_xlfn.XLOOKUP(B2419,CAD_PDV!A:A,CAD_PDV!B:B)</f>
        <v>HS TELECOM</v>
      </c>
      <c r="K2419" s="14">
        <f>IF(IFERROR(_xlfn.XLOOKUP(B2419,Planilha2!D:D,Planilha2!H:H),0)="SIM",1,0)</f>
        <v>0</v>
      </c>
      <c r="L2419" s="14" t="str">
        <f>_xlfn.XLOOKUP(B2419,CAD_PDV!A:A,CAD_PDV!C:C)</f>
        <v>SP2</v>
      </c>
      <c r="M2419" s="14" t="str">
        <f>IFERROR(_xlfn.XLOOKUP(B2419,repete!A:A,repete!A:A),"-")</f>
        <v>-</v>
      </c>
    </row>
    <row r="2420" spans="1:13" hidden="1">
      <c r="A2420" s="1">
        <v>46204</v>
      </c>
      <c r="B2420" t="s">
        <v>761</v>
      </c>
      <c r="C2420" t="s">
        <v>616</v>
      </c>
      <c r="D2420" t="s">
        <v>239</v>
      </c>
      <c r="E2420" t="s">
        <v>59</v>
      </c>
      <c r="F2420">
        <v>26</v>
      </c>
      <c r="G2420">
        <v>3</v>
      </c>
      <c r="H2420">
        <v>5.9749053973312104E-4</v>
      </c>
      <c r="I2420">
        <v>0.115384615384615</v>
      </c>
      <c r="J2420" s="14" t="str">
        <f>_xlfn.XLOOKUP(B2420,CAD_PDV!A:A,CAD_PDV!B:B)</f>
        <v>TELECELL TELEFONIA LTDA - ME</v>
      </c>
      <c r="K2420" s="14">
        <f>IF(IFERROR(_xlfn.XLOOKUP(B2420,Planilha2!D:D,Planilha2!H:H),0)="SIM",1,0)</f>
        <v>0</v>
      </c>
      <c r="L2420" s="14" t="str">
        <f>_xlfn.XLOOKUP(B2420,CAD_PDV!A:A,CAD_PDV!C:C)</f>
        <v>CO</v>
      </c>
      <c r="M2420" s="14" t="str">
        <f>IFERROR(_xlfn.XLOOKUP(B2420,repete!A:A,repete!A:A),"-")</f>
        <v>-</v>
      </c>
    </row>
    <row r="2421" spans="1:13" hidden="1">
      <c r="A2421" s="1">
        <v>46204</v>
      </c>
      <c r="B2421" t="s">
        <v>1881</v>
      </c>
      <c r="C2421" t="s">
        <v>1882</v>
      </c>
      <c r="D2421" t="s">
        <v>124</v>
      </c>
      <c r="E2421" t="s">
        <v>2074</v>
      </c>
      <c r="F2421">
        <v>34</v>
      </c>
      <c r="G2421">
        <v>3</v>
      </c>
      <c r="H2421">
        <v>5.9749053973312104E-4</v>
      </c>
      <c r="I2421">
        <v>8.8235294117647106E-2</v>
      </c>
      <c r="J2421" s="14" t="str">
        <f>_xlfn.XLOOKUP(B2421,CAD_PDV!A:A,CAD_PDV!B:B)</f>
        <v>EDUARDO JUNQUEIRA DA SILVEIRA ADMIN</v>
      </c>
      <c r="K2421" s="14">
        <f>IF(IFERROR(_xlfn.XLOOKUP(B2421,Planilha2!D:D,Planilha2!H:H),0)="SIM",1,0)</f>
        <v>0</v>
      </c>
      <c r="L2421" s="14" t="str">
        <f>_xlfn.XLOOKUP(B2421,CAD_PDV!A:A,CAD_PDV!C:C)</f>
        <v>RS</v>
      </c>
      <c r="M2421" s="14" t="str">
        <f>IFERROR(_xlfn.XLOOKUP(B2421,repete!A:A,repete!A:A),"-")</f>
        <v>-</v>
      </c>
    </row>
    <row r="2422" spans="1:13" hidden="1">
      <c r="A2422" s="1">
        <v>46204</v>
      </c>
      <c r="B2422" t="s">
        <v>1042</v>
      </c>
      <c r="C2422" t="s">
        <v>1017</v>
      </c>
      <c r="D2422" t="s">
        <v>232</v>
      </c>
      <c r="E2422" t="s">
        <v>60</v>
      </c>
      <c r="F2422">
        <v>67</v>
      </c>
      <c r="G2422">
        <v>3</v>
      </c>
      <c r="H2422">
        <v>5.9749053973312104E-4</v>
      </c>
      <c r="I2422">
        <v>4.47761194029851E-2</v>
      </c>
      <c r="J2422" s="14" t="str">
        <f>_xlfn.XLOOKUP(B2422,CAD_PDV!A:A,CAD_PDV!B:B)</f>
        <v>HS TELECOM</v>
      </c>
      <c r="K2422" s="14">
        <f>IF(IFERROR(_xlfn.XLOOKUP(B2422,Planilha2!D:D,Planilha2!H:H),0)="SIM",1,0)</f>
        <v>0</v>
      </c>
      <c r="L2422" s="14" t="str">
        <f>_xlfn.XLOOKUP(B2422,CAD_PDV!A:A,CAD_PDV!C:C)</f>
        <v>BA/SE</v>
      </c>
      <c r="M2422" s="14" t="str">
        <f>IFERROR(_xlfn.XLOOKUP(B2422,repete!A:A,repete!A:A),"-")</f>
        <v>-</v>
      </c>
    </row>
    <row r="2423" spans="1:13" hidden="1">
      <c r="A2423" s="1">
        <v>46204</v>
      </c>
      <c r="B2423" t="s">
        <v>1273</v>
      </c>
      <c r="C2423" t="s">
        <v>1204</v>
      </c>
      <c r="D2423" t="s">
        <v>2072</v>
      </c>
      <c r="E2423" t="s">
        <v>55</v>
      </c>
      <c r="F2423">
        <v>41</v>
      </c>
      <c r="G2423">
        <v>2</v>
      </c>
      <c r="H2423">
        <v>3.9832702648874698E-4</v>
      </c>
      <c r="I2423">
        <v>4.8780487804878099E-2</v>
      </c>
      <c r="J2423" s="14" t="str">
        <f>_xlfn.XLOOKUP(B2423,CAD_PDV!A:A,CAD_PDV!B:B)</f>
        <v>MEXCELL COMERCIO E SERVICOS DE TELECOMUNICACOES LTDA</v>
      </c>
      <c r="K2423" s="14">
        <f>IF(IFERROR(_xlfn.XLOOKUP(B2423,Planilha2!D:D,Planilha2!H:H),0)="SIM",1,0)</f>
        <v>0</v>
      </c>
      <c r="L2423" s="14" t="str">
        <f>_xlfn.XLOOKUP(B2423,CAD_PDV!A:A,CAD_PDV!C:C)</f>
        <v>RJ/ES</v>
      </c>
      <c r="M2423" s="14" t="str">
        <f>IFERROR(_xlfn.XLOOKUP(B2423,repete!A:A,repete!A:A),"-")</f>
        <v>-</v>
      </c>
    </row>
    <row r="2424" spans="1:13" hidden="1">
      <c r="A2424" s="1">
        <v>46204</v>
      </c>
      <c r="B2424" t="s">
        <v>1197</v>
      </c>
      <c r="C2424" t="s">
        <v>1142</v>
      </c>
      <c r="D2424" t="s">
        <v>237</v>
      </c>
      <c r="E2424" t="s">
        <v>55</v>
      </c>
      <c r="F2424">
        <v>104</v>
      </c>
      <c r="G2424">
        <v>2</v>
      </c>
      <c r="H2424">
        <v>3.9832702648874698E-4</v>
      </c>
      <c r="I2424">
        <v>1.9230769230769201E-2</v>
      </c>
      <c r="J2424" s="14" t="str">
        <f>_xlfn.XLOOKUP(B2424,CAD_PDV!A:A,CAD_PDV!B:B)</f>
        <v>PONTO CERTO COMERCIO E COMUNICAÇÕES LTDA</v>
      </c>
      <c r="K2424" s="14">
        <f>IF(IFERROR(_xlfn.XLOOKUP(B2424,Planilha2!D:D,Planilha2!H:H),0)="SIM",1,0)</f>
        <v>0</v>
      </c>
      <c r="L2424" s="14" t="str">
        <f>_xlfn.XLOOKUP(B2424,CAD_PDV!A:A,CAD_PDV!C:C)</f>
        <v>RJ/ES</v>
      </c>
      <c r="M2424" s="14" t="str">
        <f>IFERROR(_xlfn.XLOOKUP(B2424,repete!A:A,repete!A:A),"-")</f>
        <v>-</v>
      </c>
    </row>
    <row r="2425" spans="1:13" hidden="1">
      <c r="A2425" s="1">
        <v>46204</v>
      </c>
      <c r="B2425" t="s">
        <v>1788</v>
      </c>
      <c r="C2425" t="s">
        <v>1789</v>
      </c>
      <c r="D2425" t="s">
        <v>103</v>
      </c>
      <c r="E2425" t="s">
        <v>2074</v>
      </c>
      <c r="F2425">
        <v>78</v>
      </c>
      <c r="G2425">
        <v>2</v>
      </c>
      <c r="H2425">
        <v>3.9832702648874698E-4</v>
      </c>
      <c r="I2425">
        <v>2.5641025641025599E-2</v>
      </c>
      <c r="J2425" s="14" t="str">
        <f>_xlfn.XLOOKUP(B2425,CAD_PDV!A:A,CAD_PDV!B:B)</f>
        <v>CARLOS EDUARDO SAVIAN - EPP</v>
      </c>
      <c r="K2425" s="14">
        <f>IF(IFERROR(_xlfn.XLOOKUP(B2425,Planilha2!D:D,Planilha2!H:H),0)="SIM",1,0)</f>
        <v>0</v>
      </c>
      <c r="L2425" s="14" t="str">
        <f>_xlfn.XLOOKUP(B2425,CAD_PDV!A:A,CAD_PDV!C:C)</f>
        <v>PR/SC</v>
      </c>
      <c r="M2425" s="14" t="str">
        <f>IFERROR(_xlfn.XLOOKUP(B2425,repete!A:A,repete!A:A),"-")</f>
        <v>-</v>
      </c>
    </row>
    <row r="2426" spans="1:13" hidden="1">
      <c r="A2426" s="1">
        <v>46204</v>
      </c>
      <c r="B2426" t="s">
        <v>1436</v>
      </c>
      <c r="C2426" t="s">
        <v>1439</v>
      </c>
      <c r="D2426" t="s">
        <v>120</v>
      </c>
      <c r="E2426" t="s">
        <v>54</v>
      </c>
      <c r="F2426">
        <v>71</v>
      </c>
      <c r="G2426">
        <v>2</v>
      </c>
      <c r="H2426">
        <v>3.9832702648874698E-4</v>
      </c>
      <c r="I2426">
        <v>2.8169014084507001E-2</v>
      </c>
      <c r="J2426" s="14" t="str">
        <f>_xlfn.XLOOKUP(B2426,CAD_PDV!A:A,CAD_PDV!B:B)</f>
        <v>DOUGLAS LUIZ ELETRONICOS - ME</v>
      </c>
      <c r="K2426" s="14">
        <f>IF(IFERROR(_xlfn.XLOOKUP(B2426,Planilha2!D:D,Planilha2!H:H),0)="SIM",1,0)</f>
        <v>0</v>
      </c>
      <c r="L2426" s="14" t="str">
        <f>_xlfn.XLOOKUP(B2426,CAD_PDV!A:A,CAD_PDV!C:C)</f>
        <v>SP2</v>
      </c>
      <c r="M2426" s="14" t="str">
        <f>IFERROR(_xlfn.XLOOKUP(B2426,repete!A:A,repete!A:A),"-")</f>
        <v>-</v>
      </c>
    </row>
    <row r="2427" spans="1:13" hidden="1">
      <c r="A2427" s="1">
        <v>46204</v>
      </c>
      <c r="B2427" t="s">
        <v>1890</v>
      </c>
      <c r="C2427" t="s">
        <v>1891</v>
      </c>
      <c r="D2427" t="s">
        <v>124</v>
      </c>
      <c r="E2427" t="s">
        <v>2074</v>
      </c>
      <c r="F2427">
        <v>54</v>
      </c>
      <c r="G2427">
        <v>2</v>
      </c>
      <c r="H2427">
        <v>3.9832702648874698E-4</v>
      </c>
      <c r="I2427">
        <v>3.7037037037037E-2</v>
      </c>
      <c r="J2427" s="14" t="str">
        <f>_xlfn.XLOOKUP(B2427,CAD_PDV!A:A,CAD_PDV!B:B)</f>
        <v>EDUARDO JUNQUEIRA DA SILVEIRA ADMIN</v>
      </c>
      <c r="K2427" s="14">
        <f>IF(IFERROR(_xlfn.XLOOKUP(B2427,Planilha2!D:D,Planilha2!H:H),0)="SIM",1,0)</f>
        <v>0</v>
      </c>
      <c r="L2427" s="14" t="str">
        <f>_xlfn.XLOOKUP(B2427,CAD_PDV!A:A,CAD_PDV!C:C)</f>
        <v>RS</v>
      </c>
      <c r="M2427" s="14" t="str">
        <f>IFERROR(_xlfn.XLOOKUP(B2427,repete!A:A,repete!A:A),"-")</f>
        <v>-</v>
      </c>
    </row>
    <row r="2428" spans="1:13" hidden="1">
      <c r="A2428" s="1">
        <v>46204</v>
      </c>
      <c r="B2428" t="s">
        <v>1841</v>
      </c>
      <c r="C2428" t="s">
        <v>1842</v>
      </c>
      <c r="D2428" t="s">
        <v>124</v>
      </c>
      <c r="E2428" t="s">
        <v>2074</v>
      </c>
      <c r="F2428">
        <v>44</v>
      </c>
      <c r="G2428">
        <v>2</v>
      </c>
      <c r="H2428">
        <v>3.9832702648874698E-4</v>
      </c>
      <c r="I2428">
        <v>4.5454545454545497E-2</v>
      </c>
      <c r="J2428" s="14" t="str">
        <f>_xlfn.XLOOKUP(B2428,CAD_PDV!A:A,CAD_PDV!B:B)</f>
        <v>EDUARDO JUNQUEIRA DA SILVEIRA ADMIN</v>
      </c>
      <c r="K2428" s="14">
        <f>IF(IFERROR(_xlfn.XLOOKUP(B2428,Planilha2!D:D,Planilha2!H:H),0)="SIM",1,0)</f>
        <v>0</v>
      </c>
      <c r="L2428" s="14" t="str">
        <f>_xlfn.XLOOKUP(B2428,CAD_PDV!A:A,CAD_PDV!C:C)</f>
        <v>RS</v>
      </c>
      <c r="M2428" s="14" t="str">
        <f>IFERROR(_xlfn.XLOOKUP(B2428,repete!A:A,repete!A:A),"-")</f>
        <v>-</v>
      </c>
    </row>
    <row r="2429" spans="1:13" hidden="1">
      <c r="A2429" s="1">
        <v>46204</v>
      </c>
      <c r="B2429" t="s">
        <v>611</v>
      </c>
      <c r="C2429" t="s">
        <v>610</v>
      </c>
      <c r="D2429" t="s">
        <v>239</v>
      </c>
      <c r="E2429" t="s">
        <v>59</v>
      </c>
      <c r="F2429">
        <v>57</v>
      </c>
      <c r="G2429">
        <v>2</v>
      </c>
      <c r="H2429">
        <v>3.9832702648874698E-4</v>
      </c>
      <c r="I2429">
        <v>3.5087719298245598E-2</v>
      </c>
      <c r="J2429" s="14" t="str">
        <f>_xlfn.XLOOKUP(B2429,CAD_PDV!A:A,CAD_PDV!B:B)</f>
        <v>TELECELL TELEFONIA LTDA - ME</v>
      </c>
      <c r="K2429" s="14">
        <f>IF(IFERROR(_xlfn.XLOOKUP(B2429,Planilha2!D:D,Planilha2!H:H),0)="SIM",1,0)</f>
        <v>0</v>
      </c>
      <c r="L2429" s="14" t="str">
        <f>_xlfn.XLOOKUP(B2429,CAD_PDV!A:A,CAD_PDV!C:C)</f>
        <v>CO</v>
      </c>
      <c r="M2429" s="14" t="str">
        <f>IFERROR(_xlfn.XLOOKUP(B2429,repete!A:A,repete!A:A),"-")</f>
        <v>-</v>
      </c>
    </row>
    <row r="2430" spans="1:13" hidden="1">
      <c r="A2430" s="1">
        <v>46204</v>
      </c>
      <c r="B2430" t="s">
        <v>1330</v>
      </c>
      <c r="C2430" t="s">
        <v>1331</v>
      </c>
      <c r="D2430" t="s">
        <v>225</v>
      </c>
      <c r="E2430" t="s">
        <v>53</v>
      </c>
      <c r="F2430">
        <v>77</v>
      </c>
      <c r="G2430">
        <v>2</v>
      </c>
      <c r="H2430">
        <v>3.9832702648874698E-4</v>
      </c>
      <c r="I2430">
        <v>2.5974025974026E-2</v>
      </c>
      <c r="J2430" s="14" t="str">
        <f>_xlfn.XLOOKUP(B2430,CAD_PDV!A:A,CAD_PDV!B:B)</f>
        <v>CLARICELL SP1</v>
      </c>
      <c r="K2430" s="14">
        <f>IF(IFERROR(_xlfn.XLOOKUP(B2430,Planilha2!D:D,Planilha2!H:H),0)="SIM",1,0)</f>
        <v>0</v>
      </c>
      <c r="L2430" s="14" t="str">
        <f>_xlfn.XLOOKUP(B2430,CAD_PDV!A:A,CAD_PDV!C:C)</f>
        <v>SP1</v>
      </c>
      <c r="M2430" s="14" t="str">
        <f>IFERROR(_xlfn.XLOOKUP(B2430,repete!A:A,repete!A:A),"-")</f>
        <v>-</v>
      </c>
    </row>
    <row r="2431" spans="1:13" hidden="1">
      <c r="A2431" s="1">
        <v>46204</v>
      </c>
      <c r="B2431" t="s">
        <v>1347</v>
      </c>
      <c r="C2431" t="s">
        <v>1346</v>
      </c>
      <c r="D2431" t="s">
        <v>229</v>
      </c>
      <c r="E2431" t="s">
        <v>53</v>
      </c>
      <c r="F2431">
        <v>81</v>
      </c>
      <c r="G2431">
        <v>2</v>
      </c>
      <c r="H2431">
        <v>3.9832702648874698E-4</v>
      </c>
      <c r="I2431">
        <v>2.4691358024691398E-2</v>
      </c>
      <c r="J2431" s="14" t="str">
        <f>_xlfn.XLOOKUP(B2431,CAD_PDV!A:A,CAD_PDV!B:B)</f>
        <v>FW TELEFONIA LTDA - EPP</v>
      </c>
      <c r="K2431" s="14">
        <f>IF(IFERROR(_xlfn.XLOOKUP(B2431,Planilha2!D:D,Planilha2!H:H),0)="SIM",1,0)</f>
        <v>0</v>
      </c>
      <c r="L2431" s="14" t="str">
        <f>_xlfn.XLOOKUP(B2431,CAD_PDV!A:A,CAD_PDV!C:C)</f>
        <v>SP1</v>
      </c>
      <c r="M2431" s="14" t="str">
        <f>IFERROR(_xlfn.XLOOKUP(B2431,repete!A:A,repete!A:A),"-")</f>
        <v>-</v>
      </c>
    </row>
    <row r="2432" spans="1:13" hidden="1">
      <c r="A2432" s="1">
        <v>46204</v>
      </c>
      <c r="B2432" t="s">
        <v>1920</v>
      </c>
      <c r="C2432" t="s">
        <v>1918</v>
      </c>
      <c r="D2432" t="s">
        <v>106</v>
      </c>
      <c r="E2432" t="s">
        <v>2074</v>
      </c>
      <c r="F2432">
        <v>29</v>
      </c>
      <c r="G2432">
        <v>2</v>
      </c>
      <c r="H2432">
        <v>3.9832702648874698E-4</v>
      </c>
      <c r="I2432">
        <v>6.8965517241379296E-2</v>
      </c>
      <c r="J2432" s="14" t="str">
        <f>_xlfn.XLOOKUP(B2432,CAD_PDV!A:A,CAD_PDV!B:B)</f>
        <v>CELLULAR.COM</v>
      </c>
      <c r="K2432" s="14">
        <f>IF(IFERROR(_xlfn.XLOOKUP(B2432,Planilha2!D:D,Planilha2!H:H),0)="SIM",1,0)</f>
        <v>0</v>
      </c>
      <c r="L2432" s="14" t="str">
        <f>_xlfn.XLOOKUP(B2432,CAD_PDV!A:A,CAD_PDV!C:C)</f>
        <v>PR/SC</v>
      </c>
      <c r="M2432" s="14" t="str">
        <f>IFERROR(_xlfn.XLOOKUP(B2432,repete!A:A,repete!A:A),"-")</f>
        <v>-</v>
      </c>
    </row>
    <row r="2433" spans="1:13" hidden="1">
      <c r="A2433" s="1">
        <v>46204</v>
      </c>
      <c r="B2433" t="s">
        <v>1511</v>
      </c>
      <c r="C2433" t="s">
        <v>1512</v>
      </c>
      <c r="D2433" t="s">
        <v>120</v>
      </c>
      <c r="E2433" t="s">
        <v>54</v>
      </c>
      <c r="F2433">
        <v>128</v>
      </c>
      <c r="G2433">
        <v>2</v>
      </c>
      <c r="H2433">
        <v>3.9832702648874698E-4</v>
      </c>
      <c r="I2433">
        <v>1.5625E-2</v>
      </c>
      <c r="J2433" s="14" t="str">
        <f>_xlfn.XLOOKUP(B2433,CAD_PDV!A:A,CAD_PDV!B:B)</f>
        <v>DOUGLAS LUIZ ELETRONICOS - ME</v>
      </c>
      <c r="K2433" s="14">
        <f>IF(IFERROR(_xlfn.XLOOKUP(B2433,Planilha2!D:D,Planilha2!H:H),0)="SIM",1,0)</f>
        <v>0</v>
      </c>
      <c r="L2433" s="14" t="str">
        <f>_xlfn.XLOOKUP(B2433,CAD_PDV!A:A,CAD_PDV!C:C)</f>
        <v>SP2</v>
      </c>
      <c r="M2433" s="14" t="str">
        <f>IFERROR(_xlfn.XLOOKUP(B2433,repete!A:A,repete!A:A),"-")</f>
        <v>-</v>
      </c>
    </row>
    <row r="2434" spans="1:13" hidden="1">
      <c r="A2434" s="1">
        <v>46204</v>
      </c>
      <c r="B2434" t="s">
        <v>1905</v>
      </c>
      <c r="C2434" t="s">
        <v>1904</v>
      </c>
      <c r="D2434" t="s">
        <v>106</v>
      </c>
      <c r="E2434" t="s">
        <v>2074</v>
      </c>
      <c r="F2434">
        <v>63</v>
      </c>
      <c r="G2434">
        <v>2</v>
      </c>
      <c r="H2434">
        <v>3.9832702648874698E-4</v>
      </c>
      <c r="I2434">
        <v>3.1746031746031703E-2</v>
      </c>
      <c r="J2434" s="14" t="str">
        <f>_xlfn.XLOOKUP(B2434,CAD_PDV!A:A,CAD_PDV!B:B)</f>
        <v>CELLULAR.COM</v>
      </c>
      <c r="K2434" s="14">
        <f>IF(IFERROR(_xlfn.XLOOKUP(B2434,Planilha2!D:D,Planilha2!H:H),0)="SIM",1,0)</f>
        <v>0</v>
      </c>
      <c r="L2434" s="14" t="str">
        <f>_xlfn.XLOOKUP(B2434,CAD_PDV!A:A,CAD_PDV!C:C)</f>
        <v>PR/SC</v>
      </c>
      <c r="M2434" s="14" t="str">
        <f>IFERROR(_xlfn.XLOOKUP(B2434,repete!A:A,repete!A:A),"-")</f>
        <v>-</v>
      </c>
    </row>
    <row r="2435" spans="1:13" hidden="1">
      <c r="A2435" s="1">
        <v>46204</v>
      </c>
      <c r="B2435" t="s">
        <v>519</v>
      </c>
      <c r="C2435" t="s">
        <v>520</v>
      </c>
      <c r="D2435" t="s">
        <v>235</v>
      </c>
      <c r="E2435" t="s">
        <v>56</v>
      </c>
      <c r="F2435">
        <v>21</v>
      </c>
      <c r="G2435">
        <v>2</v>
      </c>
      <c r="H2435">
        <v>3.9832702648874698E-4</v>
      </c>
      <c r="I2435">
        <v>9.5238095238095205E-2</v>
      </c>
      <c r="J2435" s="14" t="str">
        <f>_xlfn.XLOOKUP(B2435,CAD_PDV!A:A,CAD_PDV!B:B)</f>
        <v>P.G.L CELULARES LTDA</v>
      </c>
      <c r="K2435" s="14">
        <f>IF(IFERROR(_xlfn.XLOOKUP(B2435,Planilha2!D:D,Planilha2!H:H),0)="SIM",1,0)</f>
        <v>0</v>
      </c>
      <c r="L2435" s="14" t="str">
        <f>_xlfn.XLOOKUP(B2435,CAD_PDV!A:A,CAD_PDV!C:C)</f>
        <v>MG</v>
      </c>
      <c r="M2435" s="14" t="str">
        <f>IFERROR(_xlfn.XLOOKUP(B2435,repete!A:A,repete!A:A),"-")</f>
        <v>-</v>
      </c>
    </row>
    <row r="2436" spans="1:13" hidden="1">
      <c r="A2436" s="1">
        <v>46204</v>
      </c>
      <c r="B2436" t="s">
        <v>2050</v>
      </c>
      <c r="C2436" t="s">
        <v>2051</v>
      </c>
      <c r="D2436" t="s">
        <v>193</v>
      </c>
      <c r="E2436" t="s">
        <v>2074</v>
      </c>
      <c r="F2436">
        <v>22</v>
      </c>
      <c r="G2436">
        <v>2</v>
      </c>
      <c r="H2436">
        <v>3.9832702648874698E-4</v>
      </c>
      <c r="I2436">
        <v>9.0909090909090898E-2</v>
      </c>
      <c r="J2436" s="14" t="str">
        <f>_xlfn.XLOOKUP(B2436,CAD_PDV!A:A,CAD_PDV!B:B)</f>
        <v>S D COMERCIO DE CELULARES LTDA - ME</v>
      </c>
      <c r="K2436" s="14">
        <f>IF(IFERROR(_xlfn.XLOOKUP(B2436,Planilha2!D:D,Planilha2!H:H),0)="SIM",1,0)</f>
        <v>0</v>
      </c>
      <c r="L2436" s="14" t="str">
        <f>_xlfn.XLOOKUP(B2436,CAD_PDV!A:A,CAD_PDV!C:C)</f>
        <v>RS</v>
      </c>
      <c r="M2436" s="14" t="str">
        <f>IFERROR(_xlfn.XLOOKUP(B2436,repete!A:A,repete!A:A),"-")</f>
        <v>-</v>
      </c>
    </row>
    <row r="2437" spans="1:13" hidden="1">
      <c r="A2437" s="1">
        <v>46204</v>
      </c>
      <c r="B2437" t="s">
        <v>999</v>
      </c>
      <c r="C2437" t="s">
        <v>1002</v>
      </c>
      <c r="D2437" t="s">
        <v>232</v>
      </c>
      <c r="E2437" t="s">
        <v>60</v>
      </c>
      <c r="F2437">
        <v>42</v>
      </c>
      <c r="G2437">
        <v>2</v>
      </c>
      <c r="H2437">
        <v>3.9832702648874698E-4</v>
      </c>
      <c r="I2437">
        <v>4.7619047619047603E-2</v>
      </c>
      <c r="J2437" s="14" t="str">
        <f>_xlfn.XLOOKUP(B2437,CAD_PDV!A:A,CAD_PDV!B:B)</f>
        <v>HS TELECOM</v>
      </c>
      <c r="K2437" s="14">
        <f>IF(IFERROR(_xlfn.XLOOKUP(B2437,Planilha2!D:D,Planilha2!H:H),0)="SIM",1,0)</f>
        <v>0</v>
      </c>
      <c r="L2437" s="14" t="str">
        <f>_xlfn.XLOOKUP(B2437,CAD_PDV!A:A,CAD_PDV!C:C)</f>
        <v>BA/SE</v>
      </c>
      <c r="M2437" s="14" t="str">
        <f>IFERROR(_xlfn.XLOOKUP(B2437,repete!A:A,repete!A:A),"-")</f>
        <v>-</v>
      </c>
    </row>
    <row r="2438" spans="1:13" hidden="1">
      <c r="A2438" s="1">
        <v>46204</v>
      </c>
      <c r="B2438" t="s">
        <v>1988</v>
      </c>
      <c r="C2438" t="s">
        <v>1989</v>
      </c>
      <c r="D2438" t="s">
        <v>97</v>
      </c>
      <c r="E2438" t="s">
        <v>2074</v>
      </c>
      <c r="F2438">
        <v>29</v>
      </c>
      <c r="G2438">
        <v>2</v>
      </c>
      <c r="H2438">
        <v>3.9832702648874698E-4</v>
      </c>
      <c r="I2438">
        <v>6.8965517241379296E-2</v>
      </c>
      <c r="J2438" s="14" t="str">
        <f>_xlfn.XLOOKUP(B2438,CAD_PDV!A:A,CAD_PDV!B:B)</f>
        <v>BANDEIRA</v>
      </c>
      <c r="K2438" s="14">
        <f>IF(IFERROR(_xlfn.XLOOKUP(B2438,Planilha2!D:D,Planilha2!H:H),0)="SIM",1,0)</f>
        <v>0</v>
      </c>
      <c r="L2438" s="14" t="str">
        <f>_xlfn.XLOOKUP(B2438,CAD_PDV!A:A,CAD_PDV!C:C)</f>
        <v>PR/SC</v>
      </c>
      <c r="M2438" s="14" t="str">
        <f>IFERROR(_xlfn.XLOOKUP(B2438,repete!A:A,repete!A:A),"-")</f>
        <v>-</v>
      </c>
    </row>
    <row r="2439" spans="1:13" hidden="1">
      <c r="A2439" s="1">
        <v>46204</v>
      </c>
      <c r="B2439" t="s">
        <v>785</v>
      </c>
      <c r="C2439" t="s">
        <v>786</v>
      </c>
      <c r="D2439" t="s">
        <v>240</v>
      </c>
      <c r="E2439" t="s">
        <v>59</v>
      </c>
      <c r="F2439">
        <v>50</v>
      </c>
      <c r="G2439">
        <v>2</v>
      </c>
      <c r="H2439">
        <v>3.9832702648874698E-4</v>
      </c>
      <c r="I2439">
        <v>0.04</v>
      </c>
      <c r="J2439" s="14" t="str">
        <f>_xlfn.XLOOKUP(B2439,CAD_PDV!A:A,CAD_PDV!B:B)</f>
        <v>TELEMAIS TELEFONIA LTDA - ME</v>
      </c>
      <c r="K2439" s="14">
        <f>IF(IFERROR(_xlfn.XLOOKUP(B2439,Planilha2!D:D,Planilha2!H:H),0)="SIM",1,0)</f>
        <v>0</v>
      </c>
      <c r="L2439" s="14" t="str">
        <f>_xlfn.XLOOKUP(B2439,CAD_PDV!A:A,CAD_PDV!C:C)</f>
        <v>CO</v>
      </c>
      <c r="M2439" s="14" t="str">
        <f>IFERROR(_xlfn.XLOOKUP(B2439,repete!A:A,repete!A:A),"-")</f>
        <v>-</v>
      </c>
    </row>
    <row r="2440" spans="1:13" hidden="1">
      <c r="A2440" s="1">
        <v>46204</v>
      </c>
      <c r="B2440" t="s">
        <v>1546</v>
      </c>
      <c r="C2440" t="s">
        <v>1547</v>
      </c>
      <c r="D2440" t="s">
        <v>132</v>
      </c>
      <c r="E2440" t="s">
        <v>54</v>
      </c>
      <c r="F2440">
        <v>35</v>
      </c>
      <c r="G2440">
        <v>2</v>
      </c>
      <c r="H2440">
        <v>3.9832702648874698E-4</v>
      </c>
      <c r="I2440">
        <v>5.7142857142857099E-2</v>
      </c>
      <c r="J2440" s="14" t="str">
        <f>_xlfn.XLOOKUP(B2440,CAD_PDV!A:A,CAD_PDV!B:B)</f>
        <v>FLEX CELL</v>
      </c>
      <c r="K2440" s="14">
        <f>IF(IFERROR(_xlfn.XLOOKUP(B2440,Planilha2!D:D,Planilha2!H:H),0)="SIM",1,0)</f>
        <v>0</v>
      </c>
      <c r="L2440" s="14" t="str">
        <f>_xlfn.XLOOKUP(B2440,CAD_PDV!A:A,CAD_PDV!C:C)</f>
        <v>SP2</v>
      </c>
      <c r="M2440" s="14" t="str">
        <f>IFERROR(_xlfn.XLOOKUP(B2440,repete!A:A,repete!A:A),"-")</f>
        <v>-</v>
      </c>
    </row>
    <row r="2441" spans="1:13" hidden="1">
      <c r="A2441" s="1">
        <v>46204</v>
      </c>
      <c r="B2441" t="s">
        <v>1359</v>
      </c>
      <c r="C2441" t="s">
        <v>1360</v>
      </c>
      <c r="D2441" t="s">
        <v>132</v>
      </c>
      <c r="E2441" t="s">
        <v>53</v>
      </c>
      <c r="F2441">
        <v>60</v>
      </c>
      <c r="G2441">
        <v>2</v>
      </c>
      <c r="H2441">
        <v>3.9832702648874698E-4</v>
      </c>
      <c r="I2441">
        <v>3.3333333333333298E-2</v>
      </c>
      <c r="J2441" s="14" t="str">
        <f>_xlfn.XLOOKUP(B2441,CAD_PDV!A:A,CAD_PDV!B:B)</f>
        <v>FLEX CELL</v>
      </c>
      <c r="K2441" s="14">
        <f>IF(IFERROR(_xlfn.XLOOKUP(B2441,Planilha2!D:D,Planilha2!H:H),0)="SIM",1,0)</f>
        <v>0</v>
      </c>
      <c r="L2441" s="14" t="str">
        <f>_xlfn.XLOOKUP(B2441,CAD_PDV!A:A,CAD_PDV!C:C)</f>
        <v>SP1</v>
      </c>
      <c r="M2441" s="14" t="str">
        <f>IFERROR(_xlfn.XLOOKUP(B2441,repete!A:A,repete!A:A),"-")</f>
        <v>-</v>
      </c>
    </row>
    <row r="2442" spans="1:13" hidden="1">
      <c r="A2442" s="1">
        <v>46204</v>
      </c>
      <c r="B2442" t="s">
        <v>951</v>
      </c>
      <c r="C2442" t="s">
        <v>953</v>
      </c>
      <c r="D2442" t="s">
        <v>222</v>
      </c>
      <c r="E2442" t="s">
        <v>60</v>
      </c>
      <c r="F2442">
        <v>91</v>
      </c>
      <c r="G2442">
        <v>2</v>
      </c>
      <c r="H2442">
        <v>3.9832702648874698E-4</v>
      </c>
      <c r="I2442">
        <v>2.1978021978022001E-2</v>
      </c>
      <c r="J2442" s="14" t="str">
        <f>_xlfn.XLOOKUP(B2442,CAD_PDV!A:A,CAD_PDV!B:B)</f>
        <v>ANCLA COMERCIO</v>
      </c>
      <c r="K2442" s="14">
        <f>IF(IFERROR(_xlfn.XLOOKUP(B2442,Planilha2!D:D,Planilha2!H:H),0)="SIM",1,0)</f>
        <v>0</v>
      </c>
      <c r="L2442" s="14" t="str">
        <f>_xlfn.XLOOKUP(B2442,CAD_PDV!A:A,CAD_PDV!C:C)</f>
        <v>BA/SE</v>
      </c>
      <c r="M2442" s="14" t="str">
        <f>IFERROR(_xlfn.XLOOKUP(B2442,repete!A:A,repete!A:A),"-")</f>
        <v>-</v>
      </c>
    </row>
    <row r="2443" spans="1:13" hidden="1">
      <c r="A2443" s="1">
        <v>46204</v>
      </c>
      <c r="B2443" t="s">
        <v>1956</v>
      </c>
      <c r="C2443" t="s">
        <v>1957</v>
      </c>
      <c r="D2443" t="s">
        <v>106</v>
      </c>
      <c r="E2443" t="s">
        <v>2074</v>
      </c>
      <c r="F2443">
        <v>42</v>
      </c>
      <c r="G2443">
        <v>2</v>
      </c>
      <c r="H2443">
        <v>3.9832702648874698E-4</v>
      </c>
      <c r="I2443">
        <v>4.7619047619047603E-2</v>
      </c>
      <c r="J2443" s="14" t="str">
        <f>_xlfn.XLOOKUP(B2443,CAD_PDV!A:A,CAD_PDV!B:B)</f>
        <v>CELLULAR.COM</v>
      </c>
      <c r="K2443" s="14">
        <f>IF(IFERROR(_xlfn.XLOOKUP(B2443,Planilha2!D:D,Planilha2!H:H),0)="SIM",1,0)</f>
        <v>0</v>
      </c>
      <c r="L2443" s="14" t="str">
        <f>_xlfn.XLOOKUP(B2443,CAD_PDV!A:A,CAD_PDV!C:C)</f>
        <v>PR/SC</v>
      </c>
      <c r="M2443" s="14" t="str">
        <f>IFERROR(_xlfn.XLOOKUP(B2443,repete!A:A,repete!A:A),"-")</f>
        <v>-</v>
      </c>
    </row>
    <row r="2444" spans="1:13" hidden="1">
      <c r="A2444" s="1">
        <v>46204</v>
      </c>
      <c r="B2444" t="s">
        <v>1183</v>
      </c>
      <c r="C2444" t="s">
        <v>1185</v>
      </c>
      <c r="D2444" t="s">
        <v>228</v>
      </c>
      <c r="E2444" t="s">
        <v>55</v>
      </c>
      <c r="F2444">
        <v>43</v>
      </c>
      <c r="G2444">
        <v>2</v>
      </c>
      <c r="H2444">
        <v>3.9832702648874698E-4</v>
      </c>
      <c r="I2444">
        <v>4.6511627906976702E-2</v>
      </c>
      <c r="J2444" s="14" t="str">
        <f>_xlfn.XLOOKUP(B2444,CAD_PDV!A:A,CAD_PDV!B:B)</f>
        <v>FAJULUTI</v>
      </c>
      <c r="K2444" s="14">
        <f>IF(IFERROR(_xlfn.XLOOKUP(B2444,Planilha2!D:D,Planilha2!H:H),0)="SIM",1,0)</f>
        <v>0</v>
      </c>
      <c r="L2444" s="14" t="str">
        <f>_xlfn.XLOOKUP(B2444,CAD_PDV!A:A,CAD_PDV!C:C)</f>
        <v>RJ/ES</v>
      </c>
      <c r="M2444" s="14" t="str">
        <f>IFERROR(_xlfn.XLOOKUP(B2444,repete!A:A,repete!A:A),"-")</f>
        <v>-</v>
      </c>
    </row>
    <row r="2445" spans="1:13" hidden="1">
      <c r="A2445" s="1">
        <v>46204</v>
      </c>
      <c r="B2445" t="s">
        <v>1747</v>
      </c>
      <c r="C2445" t="s">
        <v>1748</v>
      </c>
      <c r="D2445" t="s">
        <v>190</v>
      </c>
      <c r="E2445" t="s">
        <v>2074</v>
      </c>
      <c r="F2445">
        <v>32</v>
      </c>
      <c r="G2445">
        <v>2</v>
      </c>
      <c r="H2445">
        <v>3.9832702648874698E-4</v>
      </c>
      <c r="I2445">
        <v>6.25E-2</v>
      </c>
      <c r="J2445" s="14" t="str">
        <f>_xlfn.XLOOKUP(B2445,CAD_PDV!A:A,CAD_PDV!B:B)</f>
        <v>RDJ TELECOMUNICACOES LTDA</v>
      </c>
      <c r="K2445" s="14">
        <f>IF(IFERROR(_xlfn.XLOOKUP(B2445,Planilha2!D:D,Planilha2!H:H),0)="SIM",1,0)</f>
        <v>0</v>
      </c>
      <c r="L2445" s="14" t="str">
        <f>_xlfn.XLOOKUP(B2445,CAD_PDV!A:A,CAD_PDV!C:C)</f>
        <v>PR/SC</v>
      </c>
      <c r="M2445" s="14" t="str">
        <f>IFERROR(_xlfn.XLOOKUP(B2445,repete!A:A,repete!A:A),"-")</f>
        <v>-</v>
      </c>
    </row>
    <row r="2446" spans="1:13" hidden="1">
      <c r="A2446" s="1">
        <v>46204</v>
      </c>
      <c r="B2446" t="s">
        <v>1291</v>
      </c>
      <c r="C2446" t="s">
        <v>1292</v>
      </c>
      <c r="D2446" t="s">
        <v>232</v>
      </c>
      <c r="E2446" t="s">
        <v>55</v>
      </c>
      <c r="F2446">
        <v>65</v>
      </c>
      <c r="G2446">
        <v>2</v>
      </c>
      <c r="H2446">
        <v>3.9832702648874698E-4</v>
      </c>
      <c r="I2446">
        <v>3.0769230769230799E-2</v>
      </c>
      <c r="J2446" s="14" t="str">
        <f>_xlfn.XLOOKUP(B2446,CAD_PDV!A:A,CAD_PDV!B:B)</f>
        <v>HS TELECOM</v>
      </c>
      <c r="K2446" s="14">
        <f>IF(IFERROR(_xlfn.XLOOKUP(B2446,Planilha2!D:D,Planilha2!H:H),0)="SIM",1,0)</f>
        <v>0</v>
      </c>
      <c r="L2446" s="14" t="str">
        <f>_xlfn.XLOOKUP(B2446,CAD_PDV!A:A,CAD_PDV!C:C)</f>
        <v>RJ/ES</v>
      </c>
      <c r="M2446" s="14" t="str">
        <f>IFERROR(_xlfn.XLOOKUP(B2446,repete!A:A,repete!A:A),"-")</f>
        <v>-</v>
      </c>
    </row>
    <row r="2447" spans="1:13" hidden="1">
      <c r="A2447" s="1">
        <v>46204</v>
      </c>
      <c r="B2447" t="s">
        <v>601</v>
      </c>
      <c r="C2447" t="s">
        <v>602</v>
      </c>
      <c r="D2447" t="s">
        <v>239</v>
      </c>
      <c r="E2447" t="s">
        <v>56</v>
      </c>
      <c r="F2447">
        <v>25</v>
      </c>
      <c r="G2447">
        <v>2</v>
      </c>
      <c r="H2447">
        <v>3.9832702648874698E-4</v>
      </c>
      <c r="I2447">
        <v>0.08</v>
      </c>
      <c r="J2447" s="14" t="str">
        <f>_xlfn.XLOOKUP(B2447,CAD_PDV!A:A,CAD_PDV!B:B)</f>
        <v>TELECELL TELEFONIA LTDA - ME</v>
      </c>
      <c r="K2447" s="14">
        <f>IF(IFERROR(_xlfn.XLOOKUP(B2447,Planilha2!D:D,Planilha2!H:H),0)="SIM",1,0)</f>
        <v>0</v>
      </c>
      <c r="L2447" s="14" t="str">
        <f>_xlfn.XLOOKUP(B2447,CAD_PDV!A:A,CAD_PDV!C:C)</f>
        <v>MG</v>
      </c>
      <c r="M2447" s="14" t="str">
        <f>IFERROR(_xlfn.XLOOKUP(B2447,repete!A:A,repete!A:A),"-")</f>
        <v>-</v>
      </c>
    </row>
    <row r="2448" spans="1:13" hidden="1">
      <c r="A2448" s="1">
        <v>46204</v>
      </c>
      <c r="B2448" t="s">
        <v>1603</v>
      </c>
      <c r="C2448" t="s">
        <v>1557</v>
      </c>
      <c r="D2448" t="s">
        <v>119</v>
      </c>
      <c r="E2448" t="s">
        <v>54</v>
      </c>
      <c r="F2448">
        <v>18</v>
      </c>
      <c r="G2448">
        <v>2</v>
      </c>
      <c r="H2448">
        <v>3.9832702648874698E-4</v>
      </c>
      <c r="I2448">
        <v>0.11111111111111099</v>
      </c>
      <c r="J2448" s="14" t="str">
        <f>_xlfn.XLOOKUP(B2448,CAD_PDV!A:A,CAD_PDV!B:B)</f>
        <v>DOM BARRETO COMERCIAL LTDA - ME</v>
      </c>
      <c r="K2448" s="14">
        <f>IF(IFERROR(_xlfn.XLOOKUP(B2448,Planilha2!D:D,Planilha2!H:H),0)="SIM",1,0)</f>
        <v>0</v>
      </c>
      <c r="L2448" s="14" t="str">
        <f>_xlfn.XLOOKUP(B2448,CAD_PDV!A:A,CAD_PDV!C:C)</f>
        <v>SP2</v>
      </c>
      <c r="M2448" s="14" t="str">
        <f>IFERROR(_xlfn.XLOOKUP(B2448,repete!A:A,repete!A:A),"-")</f>
        <v>-</v>
      </c>
    </row>
    <row r="2449" spans="1:13" hidden="1">
      <c r="A2449" s="1">
        <v>46204</v>
      </c>
      <c r="B2449" t="s">
        <v>514</v>
      </c>
      <c r="C2449" t="s">
        <v>515</v>
      </c>
      <c r="D2449" t="s">
        <v>239</v>
      </c>
      <c r="E2449" t="s">
        <v>56</v>
      </c>
      <c r="F2449">
        <v>27</v>
      </c>
      <c r="G2449">
        <v>2</v>
      </c>
      <c r="H2449">
        <v>3.9832702648874698E-4</v>
      </c>
      <c r="I2449">
        <v>7.4074074074074098E-2</v>
      </c>
      <c r="J2449" s="14" t="str">
        <f>_xlfn.XLOOKUP(B2449,CAD_PDV!A:A,CAD_PDV!B:B)</f>
        <v>TELECELL TELEFONIA LTDA - ME</v>
      </c>
      <c r="K2449" s="14">
        <f>IF(IFERROR(_xlfn.XLOOKUP(B2449,Planilha2!D:D,Planilha2!H:H),0)="SIM",1,0)</f>
        <v>0</v>
      </c>
      <c r="L2449" s="14" t="str">
        <f>_xlfn.XLOOKUP(B2449,CAD_PDV!A:A,CAD_PDV!C:C)</f>
        <v>MG</v>
      </c>
      <c r="M2449" s="14" t="str">
        <f>IFERROR(_xlfn.XLOOKUP(B2449,repete!A:A,repete!A:A),"-")</f>
        <v>-</v>
      </c>
    </row>
    <row r="2450" spans="1:13" hidden="1">
      <c r="A2450" s="1">
        <v>46204</v>
      </c>
      <c r="B2450" t="s">
        <v>1247</v>
      </c>
      <c r="C2450" t="s">
        <v>1180</v>
      </c>
      <c r="D2450" t="s">
        <v>237</v>
      </c>
      <c r="E2450" t="s">
        <v>55</v>
      </c>
      <c r="F2450">
        <v>147</v>
      </c>
      <c r="G2450">
        <v>2</v>
      </c>
      <c r="H2450">
        <v>3.9832702648874698E-4</v>
      </c>
      <c r="I2450">
        <v>1.3605442176870699E-2</v>
      </c>
      <c r="J2450" s="14" t="str">
        <f>_xlfn.XLOOKUP(B2450,CAD_PDV!A:A,CAD_PDV!B:B)</f>
        <v>PONTO CERTO COMERCIO E COMUNICAÇÕES LTDA</v>
      </c>
      <c r="K2450" s="14">
        <f>IF(IFERROR(_xlfn.XLOOKUP(B2450,Planilha2!D:D,Planilha2!H:H),0)="SIM",1,0)</f>
        <v>0</v>
      </c>
      <c r="L2450" s="14" t="str">
        <f>_xlfn.XLOOKUP(B2450,CAD_PDV!A:A,CAD_PDV!C:C)</f>
        <v>RJ/ES</v>
      </c>
      <c r="M2450" s="14" t="str">
        <f>IFERROR(_xlfn.XLOOKUP(B2450,repete!A:A,repete!A:A),"-")</f>
        <v>-</v>
      </c>
    </row>
    <row r="2451" spans="1:13" hidden="1">
      <c r="A2451" s="1">
        <v>46204</v>
      </c>
      <c r="B2451" t="s">
        <v>958</v>
      </c>
      <c r="C2451" t="s">
        <v>944</v>
      </c>
      <c r="D2451" t="s">
        <v>232</v>
      </c>
      <c r="E2451" t="s">
        <v>60</v>
      </c>
      <c r="F2451">
        <v>76</v>
      </c>
      <c r="G2451">
        <v>2</v>
      </c>
      <c r="H2451">
        <v>3.9832702648874698E-4</v>
      </c>
      <c r="I2451">
        <v>2.6315789473684199E-2</v>
      </c>
      <c r="J2451" s="14" t="str">
        <f>_xlfn.XLOOKUP(B2451,CAD_PDV!A:A,CAD_PDV!B:B)</f>
        <v>HS TELECOM</v>
      </c>
      <c r="K2451" s="14">
        <f>IF(IFERROR(_xlfn.XLOOKUP(B2451,Planilha2!D:D,Planilha2!H:H),0)="SIM",1,0)</f>
        <v>0</v>
      </c>
      <c r="L2451" s="14" t="str">
        <f>_xlfn.XLOOKUP(B2451,CAD_PDV!A:A,CAD_PDV!C:C)</f>
        <v>BA/SE</v>
      </c>
      <c r="M2451" s="14" t="str">
        <f>IFERROR(_xlfn.XLOOKUP(B2451,repete!A:A,repete!A:A),"-")</f>
        <v>-</v>
      </c>
    </row>
    <row r="2452" spans="1:13" hidden="1">
      <c r="A2452" s="1">
        <v>46204</v>
      </c>
      <c r="B2452" t="s">
        <v>1999</v>
      </c>
      <c r="C2452" t="s">
        <v>2000</v>
      </c>
      <c r="D2452" t="s">
        <v>124</v>
      </c>
      <c r="E2452" t="s">
        <v>2074</v>
      </c>
      <c r="F2452">
        <v>45</v>
      </c>
      <c r="G2452">
        <v>2</v>
      </c>
      <c r="H2452">
        <v>3.9832702648874698E-4</v>
      </c>
      <c r="I2452">
        <v>4.4444444444444398E-2</v>
      </c>
      <c r="J2452" s="14" t="str">
        <f>_xlfn.XLOOKUP(B2452,CAD_PDV!A:A,CAD_PDV!B:B)</f>
        <v>EDUARDO JUNQUEIRA DA SILVEIRA ADMIN</v>
      </c>
      <c r="K2452" s="14">
        <f>IF(IFERROR(_xlfn.XLOOKUP(B2452,Planilha2!D:D,Planilha2!H:H),0)="SIM",1,0)</f>
        <v>0</v>
      </c>
      <c r="L2452" s="14" t="str">
        <f>_xlfn.XLOOKUP(B2452,CAD_PDV!A:A,CAD_PDV!C:C)</f>
        <v>RS</v>
      </c>
      <c r="M2452" s="14" t="str">
        <f>IFERROR(_xlfn.XLOOKUP(B2452,repete!A:A,repete!A:A),"-")</f>
        <v>-</v>
      </c>
    </row>
    <row r="2453" spans="1:13" hidden="1">
      <c r="A2453" s="1">
        <v>46204</v>
      </c>
      <c r="B2453" t="s">
        <v>1810</v>
      </c>
      <c r="C2453" t="s">
        <v>1813</v>
      </c>
      <c r="D2453" t="s">
        <v>95</v>
      </c>
      <c r="E2453" t="s">
        <v>2074</v>
      </c>
      <c r="F2453">
        <v>43</v>
      </c>
      <c r="G2453">
        <v>2</v>
      </c>
      <c r="H2453">
        <v>3.9832702648874698E-4</v>
      </c>
      <c r="I2453">
        <v>4.6511627906976702E-2</v>
      </c>
      <c r="J2453" s="14" t="str">
        <f>_xlfn.XLOOKUP(B2453,CAD_PDV!A:A,CAD_PDV!B:B)</f>
        <v>AYRES E DEBONI LTDA - ME</v>
      </c>
      <c r="K2453" s="14">
        <f>IF(IFERROR(_xlfn.XLOOKUP(B2453,Planilha2!D:D,Planilha2!H:H),0)="SIM",1,0)</f>
        <v>0</v>
      </c>
      <c r="L2453" s="14" t="str">
        <f>_xlfn.XLOOKUP(B2453,CAD_PDV!A:A,CAD_PDV!C:C)</f>
        <v>RS</v>
      </c>
      <c r="M2453" s="14" t="str">
        <f>IFERROR(_xlfn.XLOOKUP(B2453,repete!A:A,repete!A:A),"-")</f>
        <v>-</v>
      </c>
    </row>
    <row r="2454" spans="1:13" hidden="1">
      <c r="A2454" s="1">
        <v>46204</v>
      </c>
      <c r="B2454" t="s">
        <v>1642</v>
      </c>
      <c r="C2454" t="s">
        <v>1643</v>
      </c>
      <c r="D2454" t="s">
        <v>223</v>
      </c>
      <c r="E2454" t="s">
        <v>54</v>
      </c>
      <c r="F2454">
        <v>42</v>
      </c>
      <c r="G2454">
        <v>2</v>
      </c>
      <c r="H2454">
        <v>3.9832702648874698E-4</v>
      </c>
      <c r="I2454">
        <v>4.7619047619047603E-2</v>
      </c>
      <c r="J2454" s="14" t="str">
        <f>_xlfn.XLOOKUP(B2454,CAD_PDV!A:A,CAD_PDV!B:B)</f>
        <v>BONELI BIAZI CELULARES EIRELI - ME</v>
      </c>
      <c r="K2454" s="14">
        <f>IF(IFERROR(_xlfn.XLOOKUP(B2454,Planilha2!D:D,Planilha2!H:H),0)="SIM",1,0)</f>
        <v>0</v>
      </c>
      <c r="L2454" s="14" t="str">
        <f>_xlfn.XLOOKUP(B2454,CAD_PDV!A:A,CAD_PDV!C:C)</f>
        <v>SP2</v>
      </c>
      <c r="M2454" s="14" t="str">
        <f>IFERROR(_xlfn.XLOOKUP(B2454,repete!A:A,repete!A:A),"-")</f>
        <v>-</v>
      </c>
    </row>
    <row r="2455" spans="1:13" hidden="1">
      <c r="A2455" s="1">
        <v>46204</v>
      </c>
      <c r="B2455" t="s">
        <v>523</v>
      </c>
      <c r="C2455" t="s">
        <v>524</v>
      </c>
      <c r="D2455" t="s">
        <v>239</v>
      </c>
      <c r="E2455" t="s">
        <v>56</v>
      </c>
      <c r="F2455">
        <v>30</v>
      </c>
      <c r="G2455">
        <v>2</v>
      </c>
      <c r="H2455">
        <v>3.9832702648874698E-4</v>
      </c>
      <c r="I2455">
        <v>6.6666666666666693E-2</v>
      </c>
      <c r="J2455" s="14" t="str">
        <f>_xlfn.XLOOKUP(B2455,CAD_PDV!A:A,CAD_PDV!B:B)</f>
        <v>TELECELL TELEFONIA LTDA - ME</v>
      </c>
      <c r="K2455" s="14">
        <f>IF(IFERROR(_xlfn.XLOOKUP(B2455,Planilha2!D:D,Planilha2!H:H),0)="SIM",1,0)</f>
        <v>0</v>
      </c>
      <c r="L2455" s="14" t="str">
        <f>_xlfn.XLOOKUP(B2455,CAD_PDV!A:A,CAD_PDV!C:C)</f>
        <v>MG</v>
      </c>
      <c r="M2455" s="14" t="str">
        <f>IFERROR(_xlfn.XLOOKUP(B2455,repete!A:A,repete!A:A),"-")</f>
        <v>-</v>
      </c>
    </row>
    <row r="2456" spans="1:13" hidden="1">
      <c r="A2456" s="1">
        <v>46204</v>
      </c>
      <c r="B2456" t="s">
        <v>901</v>
      </c>
      <c r="C2456" t="s">
        <v>902</v>
      </c>
      <c r="D2456" t="s">
        <v>215</v>
      </c>
      <c r="E2456" t="s">
        <v>59</v>
      </c>
      <c r="F2456">
        <v>100</v>
      </c>
      <c r="G2456">
        <v>2</v>
      </c>
      <c r="H2456">
        <v>3.9832702648874698E-4</v>
      </c>
      <c r="I2456">
        <v>0.02</v>
      </c>
      <c r="J2456" s="14" t="str">
        <f>_xlfn.XLOOKUP(B2456,CAD_PDV!A:A,CAD_PDV!B:B)</f>
        <v>VIA SALLUS</v>
      </c>
      <c r="K2456" s="14">
        <f>IF(IFERROR(_xlfn.XLOOKUP(B2456,Planilha2!D:D,Planilha2!H:H),0)="SIM",1,0)</f>
        <v>0</v>
      </c>
      <c r="L2456" s="14" t="str">
        <f>_xlfn.XLOOKUP(B2456,CAD_PDV!A:A,CAD_PDV!C:C)</f>
        <v>CO</v>
      </c>
      <c r="M2456" s="14" t="str">
        <f>IFERROR(_xlfn.XLOOKUP(B2456,repete!A:A,repete!A:A),"-")</f>
        <v>-</v>
      </c>
    </row>
    <row r="2457" spans="1:13" hidden="1">
      <c r="A2457" s="1">
        <v>46204</v>
      </c>
      <c r="B2457" t="s">
        <v>1654</v>
      </c>
      <c r="C2457" t="s">
        <v>1655</v>
      </c>
      <c r="D2457" t="s">
        <v>241</v>
      </c>
      <c r="E2457" t="s">
        <v>54</v>
      </c>
      <c r="F2457">
        <v>44</v>
      </c>
      <c r="G2457">
        <v>2</v>
      </c>
      <c r="H2457">
        <v>3.9832702648874698E-4</v>
      </c>
      <c r="I2457">
        <v>4.5454545454545497E-2</v>
      </c>
      <c r="J2457" s="14" t="str">
        <f>_xlfn.XLOOKUP(B2457,CAD_PDV!A:A,CAD_PDV!B:B)</f>
        <v>VIRACLARO</v>
      </c>
      <c r="K2457" s="14">
        <f>IF(IFERROR(_xlfn.XLOOKUP(B2457,Planilha2!D:D,Planilha2!H:H),0)="SIM",1,0)</f>
        <v>0</v>
      </c>
      <c r="L2457" s="14" t="str">
        <f>_xlfn.XLOOKUP(B2457,CAD_PDV!A:A,CAD_PDV!C:C)</f>
        <v>SP2</v>
      </c>
      <c r="M2457" s="14" t="str">
        <f>IFERROR(_xlfn.XLOOKUP(B2457,repete!A:A,repete!A:A),"-")</f>
        <v>-</v>
      </c>
    </row>
    <row r="2458" spans="1:13" hidden="1">
      <c r="A2458" s="1">
        <v>46204</v>
      </c>
      <c r="B2458" t="s">
        <v>1172</v>
      </c>
      <c r="C2458" t="s">
        <v>1142</v>
      </c>
      <c r="D2458" t="s">
        <v>2072</v>
      </c>
      <c r="E2458" t="s">
        <v>55</v>
      </c>
      <c r="F2458">
        <v>44</v>
      </c>
      <c r="G2458">
        <v>2</v>
      </c>
      <c r="H2458">
        <v>3.9832702648874698E-4</v>
      </c>
      <c r="I2458">
        <v>4.5454545454545497E-2</v>
      </c>
      <c r="J2458" s="14" t="str">
        <f>_xlfn.XLOOKUP(B2458,CAD_PDV!A:A,CAD_PDV!B:B)</f>
        <v>MEXCELL COMERCIO E SERVICOS DE TELECOMUNICACOES LTDA</v>
      </c>
      <c r="K2458" s="14">
        <f>IF(IFERROR(_xlfn.XLOOKUP(B2458,Planilha2!D:D,Planilha2!H:H),0)="SIM",1,0)</f>
        <v>0</v>
      </c>
      <c r="L2458" s="14" t="str">
        <f>_xlfn.XLOOKUP(B2458,CAD_PDV!A:A,CAD_PDV!C:C)</f>
        <v>RJ/ES</v>
      </c>
      <c r="M2458" s="14" t="str">
        <f>IFERROR(_xlfn.XLOOKUP(B2458,repete!A:A,repete!A:A),"-")</f>
        <v>-</v>
      </c>
    </row>
    <row r="2459" spans="1:13" hidden="1">
      <c r="A2459" s="1">
        <v>46204</v>
      </c>
      <c r="B2459" t="s">
        <v>2059</v>
      </c>
      <c r="C2459" t="s">
        <v>2060</v>
      </c>
      <c r="D2459" t="s">
        <v>193</v>
      </c>
      <c r="E2459" t="s">
        <v>2074</v>
      </c>
      <c r="F2459">
        <v>35</v>
      </c>
      <c r="G2459">
        <v>2</v>
      </c>
      <c r="H2459">
        <v>3.9832702648874698E-4</v>
      </c>
      <c r="I2459">
        <v>5.7142857142857099E-2</v>
      </c>
      <c r="J2459" s="14" t="str">
        <f>_xlfn.XLOOKUP(B2459,CAD_PDV!A:A,CAD_PDV!B:B)</f>
        <v>S D COMERCIO DE CELULARES LTDA - ME</v>
      </c>
      <c r="K2459" s="14">
        <f>IF(IFERROR(_xlfn.XLOOKUP(B2459,Planilha2!D:D,Planilha2!H:H),0)="SIM",1,0)</f>
        <v>0</v>
      </c>
      <c r="L2459" s="14" t="str">
        <f>_xlfn.XLOOKUP(B2459,CAD_PDV!A:A,CAD_PDV!C:C)</f>
        <v>RS</v>
      </c>
      <c r="M2459" s="14" t="str">
        <f>IFERROR(_xlfn.XLOOKUP(B2459,repete!A:A,repete!A:A),"-")</f>
        <v>-</v>
      </c>
    </row>
    <row r="2460" spans="1:13" hidden="1">
      <c r="A2460" s="1">
        <v>46204</v>
      </c>
      <c r="B2460" t="s">
        <v>607</v>
      </c>
      <c r="C2460" t="s">
        <v>610</v>
      </c>
      <c r="D2460" t="s">
        <v>224</v>
      </c>
      <c r="E2460" t="s">
        <v>59</v>
      </c>
      <c r="F2460">
        <v>50</v>
      </c>
      <c r="G2460">
        <v>2</v>
      </c>
      <c r="H2460">
        <v>3.9832702648874698E-4</v>
      </c>
      <c r="I2460">
        <v>0.04</v>
      </c>
      <c r="J2460" s="14" t="str">
        <f>_xlfn.XLOOKUP(B2460,CAD_PDV!A:A,CAD_PDV!B:B)</f>
        <v>CELNET COMERCIO E SERVICOS DE TELEFONIA LTDA ME</v>
      </c>
      <c r="K2460" s="14">
        <f>IF(IFERROR(_xlfn.XLOOKUP(B2460,Planilha2!D:D,Planilha2!H:H),0)="SIM",1,0)</f>
        <v>0</v>
      </c>
      <c r="L2460" s="14" t="str">
        <f>_xlfn.XLOOKUP(B2460,CAD_PDV!A:A,CAD_PDV!C:C)</f>
        <v>CO</v>
      </c>
      <c r="M2460" s="14" t="str">
        <f>IFERROR(_xlfn.XLOOKUP(B2460,repete!A:A,repete!A:A),"-")</f>
        <v>-</v>
      </c>
    </row>
    <row r="2461" spans="1:13" hidden="1">
      <c r="A2461" s="1">
        <v>46204</v>
      </c>
      <c r="B2461" t="s">
        <v>1717</v>
      </c>
      <c r="C2461" t="s">
        <v>1718</v>
      </c>
      <c r="D2461" t="s">
        <v>232</v>
      </c>
      <c r="E2461" t="s">
        <v>54</v>
      </c>
      <c r="F2461">
        <v>29</v>
      </c>
      <c r="G2461">
        <v>2</v>
      </c>
      <c r="H2461">
        <v>3.9832702648874698E-4</v>
      </c>
      <c r="I2461">
        <v>6.8965517241379296E-2</v>
      </c>
      <c r="J2461" s="14" t="str">
        <f>_xlfn.XLOOKUP(B2461,CAD_PDV!A:A,CAD_PDV!B:B)</f>
        <v>HS TELECOM</v>
      </c>
      <c r="K2461" s="14">
        <f>IF(IFERROR(_xlfn.XLOOKUP(B2461,Planilha2!D:D,Planilha2!H:H),0)="SIM",1,0)</f>
        <v>0</v>
      </c>
      <c r="L2461" s="14" t="str">
        <f>_xlfn.XLOOKUP(B2461,CAD_PDV!A:A,CAD_PDV!C:C)</f>
        <v>SP2</v>
      </c>
      <c r="M2461" s="14" t="str">
        <f>IFERROR(_xlfn.XLOOKUP(B2461,repete!A:A,repete!A:A),"-")</f>
        <v>WD3T</v>
      </c>
    </row>
    <row r="2462" spans="1:13" hidden="1">
      <c r="A2462" s="1">
        <v>46204</v>
      </c>
      <c r="B2462" t="s">
        <v>1406</v>
      </c>
      <c r="C2462" t="s">
        <v>1366</v>
      </c>
      <c r="D2462" t="s">
        <v>106</v>
      </c>
      <c r="E2462" t="s">
        <v>53</v>
      </c>
      <c r="F2462">
        <v>58</v>
      </c>
      <c r="G2462">
        <v>2</v>
      </c>
      <c r="H2462">
        <v>3.9832702648874698E-4</v>
      </c>
      <c r="I2462">
        <v>3.4482758620689703E-2</v>
      </c>
      <c r="J2462" s="14" t="str">
        <f>_xlfn.XLOOKUP(B2462,CAD_PDV!A:A,CAD_PDV!B:B)</f>
        <v>CELLULAR.COM</v>
      </c>
      <c r="K2462" s="14">
        <f>IF(IFERROR(_xlfn.XLOOKUP(B2462,Planilha2!D:D,Planilha2!H:H),0)="SIM",1,0)</f>
        <v>0</v>
      </c>
      <c r="L2462" s="14" t="str">
        <f>_xlfn.XLOOKUP(B2462,CAD_PDV!A:A,CAD_PDV!C:C)</f>
        <v>SP1</v>
      </c>
      <c r="M2462" s="14" t="str">
        <f>IFERROR(_xlfn.XLOOKUP(B2462,repete!A:A,repete!A:A),"-")</f>
        <v>-</v>
      </c>
    </row>
    <row r="2463" spans="1:13" hidden="1">
      <c r="A2463" s="1">
        <v>46204</v>
      </c>
      <c r="B2463" t="s">
        <v>1178</v>
      </c>
      <c r="C2463" t="s">
        <v>1180</v>
      </c>
      <c r="D2463" t="s">
        <v>228</v>
      </c>
      <c r="E2463" t="s">
        <v>55</v>
      </c>
      <c r="F2463">
        <v>87</v>
      </c>
      <c r="G2463">
        <v>2</v>
      </c>
      <c r="H2463">
        <v>3.9832702648874698E-4</v>
      </c>
      <c r="I2463">
        <v>2.2988505747126398E-2</v>
      </c>
      <c r="J2463" s="14" t="str">
        <f>_xlfn.XLOOKUP(B2463,CAD_PDV!A:A,CAD_PDV!B:B)</f>
        <v>FAJULUTI</v>
      </c>
      <c r="K2463" s="14">
        <f>IF(IFERROR(_xlfn.XLOOKUP(B2463,Planilha2!D:D,Planilha2!H:H),0)="SIM",1,0)</f>
        <v>0</v>
      </c>
      <c r="L2463" s="14" t="str">
        <f>_xlfn.XLOOKUP(B2463,CAD_PDV!A:A,CAD_PDV!C:C)</f>
        <v>RJ/ES</v>
      </c>
      <c r="M2463" s="14" t="str">
        <f>IFERROR(_xlfn.XLOOKUP(B2463,repete!A:A,repete!A:A),"-")</f>
        <v>-</v>
      </c>
    </row>
    <row r="2464" spans="1:13" hidden="1">
      <c r="A2464" s="1">
        <v>46204</v>
      </c>
      <c r="B2464" t="s">
        <v>1373</v>
      </c>
      <c r="C2464" t="s">
        <v>1313</v>
      </c>
      <c r="D2464" t="s">
        <v>132</v>
      </c>
      <c r="E2464" t="s">
        <v>53</v>
      </c>
      <c r="F2464">
        <v>70</v>
      </c>
      <c r="G2464">
        <v>2</v>
      </c>
      <c r="H2464">
        <v>3.9832702648874698E-4</v>
      </c>
      <c r="I2464">
        <v>2.8571428571428598E-2</v>
      </c>
      <c r="J2464" s="14" t="str">
        <f>_xlfn.XLOOKUP(B2464,CAD_PDV!A:A,CAD_PDV!B:B)</f>
        <v>FLEX CELL</v>
      </c>
      <c r="K2464" s="14">
        <f>IF(IFERROR(_xlfn.XLOOKUP(B2464,Planilha2!D:D,Planilha2!H:H),0)="SIM",1,0)</f>
        <v>0</v>
      </c>
      <c r="L2464" s="14" t="str">
        <f>_xlfn.XLOOKUP(B2464,CAD_PDV!A:A,CAD_PDV!C:C)</f>
        <v>SP1</v>
      </c>
      <c r="M2464" s="14" t="str">
        <f>IFERROR(_xlfn.XLOOKUP(B2464,repete!A:A,repete!A:A),"-")</f>
        <v>-</v>
      </c>
    </row>
    <row r="2465" spans="1:13" hidden="1">
      <c r="A2465" s="1">
        <v>46204</v>
      </c>
      <c r="B2465" t="s">
        <v>933</v>
      </c>
      <c r="C2465" t="s">
        <v>934</v>
      </c>
      <c r="D2465" t="s">
        <v>221</v>
      </c>
      <c r="E2465" t="s">
        <v>59</v>
      </c>
      <c r="F2465">
        <v>9</v>
      </c>
      <c r="G2465">
        <v>2</v>
      </c>
      <c r="H2465">
        <v>3.9832702648874698E-4</v>
      </c>
      <c r="I2465">
        <v>0.22222222222222199</v>
      </c>
      <c r="J2465" s="14" t="str">
        <f>_xlfn.XLOOKUP(B2465,CAD_PDV!A:A,CAD_PDV!B:B)</f>
        <v>AMERICOM COMERCIO DE APARELHOS ELETRONICOS LTDA - EPP</v>
      </c>
      <c r="K2465" s="14">
        <f>IF(IFERROR(_xlfn.XLOOKUP(B2465,Planilha2!D:D,Planilha2!H:H),0)="SIM",1,0)</f>
        <v>0</v>
      </c>
      <c r="L2465" s="14" t="str">
        <f>_xlfn.XLOOKUP(B2465,CAD_PDV!A:A,CAD_PDV!C:C)</f>
        <v>CO</v>
      </c>
      <c r="M2465" s="14" t="str">
        <f>IFERROR(_xlfn.XLOOKUP(B2465,repete!A:A,repete!A:A),"-")</f>
        <v>-</v>
      </c>
    </row>
    <row r="2466" spans="1:13" hidden="1">
      <c r="A2466" s="1">
        <v>46204</v>
      </c>
      <c r="B2466" t="s">
        <v>2009</v>
      </c>
      <c r="C2466" t="s">
        <v>2010</v>
      </c>
      <c r="D2466" t="s">
        <v>190</v>
      </c>
      <c r="E2466" t="s">
        <v>2074</v>
      </c>
      <c r="F2466">
        <v>92</v>
      </c>
      <c r="G2466">
        <v>2</v>
      </c>
      <c r="H2466">
        <v>3.9832702648874698E-4</v>
      </c>
      <c r="I2466">
        <v>2.1739130434782601E-2</v>
      </c>
      <c r="J2466" s="14" t="str">
        <f>_xlfn.XLOOKUP(B2466,CAD_PDV!A:A,CAD_PDV!B:B)</f>
        <v>RDJ TELECOMUNICACOES LTDA</v>
      </c>
      <c r="K2466" s="14">
        <f>IF(IFERROR(_xlfn.XLOOKUP(B2466,Planilha2!D:D,Planilha2!H:H),0)="SIM",1,0)</f>
        <v>0</v>
      </c>
      <c r="L2466" s="14" t="str">
        <f>_xlfn.XLOOKUP(B2466,CAD_PDV!A:A,CAD_PDV!C:C)</f>
        <v>PR/SC</v>
      </c>
      <c r="M2466" s="14" t="str">
        <f>IFERROR(_xlfn.XLOOKUP(B2466,repete!A:A,repete!A:A),"-")</f>
        <v>-</v>
      </c>
    </row>
    <row r="2467" spans="1:13" hidden="1">
      <c r="A2467" s="1">
        <v>46204</v>
      </c>
      <c r="B2467" t="s">
        <v>721</v>
      </c>
      <c r="C2467" t="s">
        <v>723</v>
      </c>
      <c r="D2467" t="s">
        <v>239</v>
      </c>
      <c r="E2467" t="s">
        <v>59</v>
      </c>
      <c r="F2467">
        <v>94</v>
      </c>
      <c r="G2467">
        <v>2</v>
      </c>
      <c r="H2467">
        <v>3.9832702648874698E-4</v>
      </c>
      <c r="I2467">
        <v>2.1276595744680899E-2</v>
      </c>
      <c r="J2467" s="14" t="str">
        <f>_xlfn.XLOOKUP(B2467,CAD_PDV!A:A,CAD_PDV!B:B)</f>
        <v>TELECELL TELEFONIA LTDA - ME</v>
      </c>
      <c r="K2467" s="14">
        <f>IF(IFERROR(_xlfn.XLOOKUP(B2467,Planilha2!D:D,Planilha2!H:H),0)="SIM",1,0)</f>
        <v>0</v>
      </c>
      <c r="L2467" s="14" t="str">
        <f>_xlfn.XLOOKUP(B2467,CAD_PDV!A:A,CAD_PDV!C:C)</f>
        <v>CO</v>
      </c>
      <c r="M2467" s="14" t="str">
        <f>IFERROR(_xlfn.XLOOKUP(B2467,repete!A:A,repete!A:A),"-")</f>
        <v>-</v>
      </c>
    </row>
    <row r="2468" spans="1:13" hidden="1">
      <c r="A2468" s="1">
        <v>46204</v>
      </c>
      <c r="B2468" t="s">
        <v>762</v>
      </c>
      <c r="C2468" t="s">
        <v>763</v>
      </c>
      <c r="D2468" t="s">
        <v>239</v>
      </c>
      <c r="E2468" t="s">
        <v>59</v>
      </c>
      <c r="F2468">
        <v>28</v>
      </c>
      <c r="G2468">
        <v>2</v>
      </c>
      <c r="H2468">
        <v>3.9832702648874698E-4</v>
      </c>
      <c r="I2468">
        <v>7.1428571428571397E-2</v>
      </c>
      <c r="J2468" s="14" t="str">
        <f>_xlfn.XLOOKUP(B2468,CAD_PDV!A:A,CAD_PDV!B:B)</f>
        <v>TELECELL TELEFONIA LTDA - ME</v>
      </c>
      <c r="K2468" s="14">
        <f>IF(IFERROR(_xlfn.XLOOKUP(B2468,Planilha2!D:D,Planilha2!H:H),0)="SIM",1,0)</f>
        <v>0</v>
      </c>
      <c r="L2468" s="14" t="str">
        <f>_xlfn.XLOOKUP(B2468,CAD_PDV!A:A,CAD_PDV!C:C)</f>
        <v>CO</v>
      </c>
      <c r="M2468" s="14" t="str">
        <f>IFERROR(_xlfn.XLOOKUP(B2468,repete!A:A,repete!A:A),"-")</f>
        <v>-</v>
      </c>
    </row>
    <row r="2469" spans="1:13" hidden="1">
      <c r="A2469" s="1">
        <v>46204</v>
      </c>
      <c r="B2469" t="s">
        <v>937</v>
      </c>
      <c r="C2469" t="s">
        <v>940</v>
      </c>
      <c r="D2469" t="s">
        <v>236</v>
      </c>
      <c r="E2469" t="s">
        <v>60</v>
      </c>
      <c r="F2469">
        <v>36</v>
      </c>
      <c r="G2469">
        <v>1</v>
      </c>
      <c r="H2469">
        <v>1.9916351324437401E-4</v>
      </c>
      <c r="I2469">
        <v>2.7777777777777801E-2</v>
      </c>
      <c r="J2469" s="14" t="str">
        <f>_xlfn.XLOOKUP(B2469,CAD_PDV!A:A,CAD_PDV!B:B)</f>
        <v>PAULA C L NIELLA EIRELI</v>
      </c>
      <c r="K2469" s="14">
        <f>IF(IFERROR(_xlfn.XLOOKUP(B2469,Planilha2!D:D,Planilha2!H:H),0)="SIM",1,0)</f>
        <v>0</v>
      </c>
      <c r="L2469" s="14" t="str">
        <f>_xlfn.XLOOKUP(B2469,CAD_PDV!A:A,CAD_PDV!C:C)</f>
        <v>BA/SE</v>
      </c>
      <c r="M2469" s="14" t="str">
        <f>IFERROR(_xlfn.XLOOKUP(B2469,repete!A:A,repete!A:A),"-")</f>
        <v>-</v>
      </c>
    </row>
    <row r="2470" spans="1:13" hidden="1">
      <c r="A2470" s="1">
        <v>46204</v>
      </c>
      <c r="B2470" t="s">
        <v>1945</v>
      </c>
      <c r="C2470" t="s">
        <v>1946</v>
      </c>
      <c r="D2470" t="s">
        <v>124</v>
      </c>
      <c r="E2470" t="s">
        <v>2074</v>
      </c>
      <c r="F2470">
        <v>19</v>
      </c>
      <c r="G2470">
        <v>1</v>
      </c>
      <c r="H2470">
        <v>1.9916351324437401E-4</v>
      </c>
      <c r="I2470">
        <v>5.2631578947368397E-2</v>
      </c>
      <c r="J2470" s="14" t="str">
        <f>_xlfn.XLOOKUP(B2470,CAD_PDV!A:A,CAD_PDV!B:B)</f>
        <v>EDUARDO JUNQUEIRA DA SILVEIRA ADMIN</v>
      </c>
      <c r="K2470" s="14">
        <f>IF(IFERROR(_xlfn.XLOOKUP(B2470,Planilha2!D:D,Planilha2!H:H),0)="SIM",1,0)</f>
        <v>0</v>
      </c>
      <c r="L2470" s="14" t="str">
        <f>_xlfn.XLOOKUP(B2470,CAD_PDV!A:A,CAD_PDV!C:C)</f>
        <v>RS</v>
      </c>
      <c r="M2470" s="14" t="str">
        <f>IFERROR(_xlfn.XLOOKUP(B2470,repete!A:A,repete!A:A),"-")</f>
        <v>-</v>
      </c>
    </row>
    <row r="2471" spans="1:13" hidden="1">
      <c r="A2471" s="1">
        <v>46204</v>
      </c>
      <c r="B2471" t="s">
        <v>1325</v>
      </c>
      <c r="C2471" t="s">
        <v>1313</v>
      </c>
      <c r="D2471" t="s">
        <v>225</v>
      </c>
      <c r="E2471" t="s">
        <v>53</v>
      </c>
      <c r="F2471">
        <v>74</v>
      </c>
      <c r="G2471">
        <v>1</v>
      </c>
      <c r="H2471">
        <v>1.9916351324437401E-4</v>
      </c>
      <c r="I2471">
        <v>1.35135135135135E-2</v>
      </c>
      <c r="J2471" s="14" t="str">
        <f>_xlfn.XLOOKUP(B2471,CAD_PDV!A:A,CAD_PDV!B:B)</f>
        <v>CLARICELL SP1</v>
      </c>
      <c r="K2471" s="14">
        <f>IF(IFERROR(_xlfn.XLOOKUP(B2471,Planilha2!D:D,Planilha2!H:H),0)="SIM",1,0)</f>
        <v>0</v>
      </c>
      <c r="L2471" s="14" t="str">
        <f>_xlfn.XLOOKUP(B2471,CAD_PDV!A:A,CAD_PDV!C:C)</f>
        <v>SP1</v>
      </c>
      <c r="M2471" s="14" t="str">
        <f>IFERROR(_xlfn.XLOOKUP(B2471,repete!A:A,repete!A:A),"-")</f>
        <v>-</v>
      </c>
    </row>
    <row r="2472" spans="1:13" hidden="1">
      <c r="A2472" s="1">
        <v>46204</v>
      </c>
      <c r="B2472" t="s">
        <v>1108</v>
      </c>
      <c r="C2472" t="s">
        <v>1110</v>
      </c>
      <c r="D2472" t="s">
        <v>143</v>
      </c>
      <c r="E2472" t="s">
        <v>62</v>
      </c>
      <c r="F2472">
        <v>11</v>
      </c>
      <c r="G2472">
        <v>1</v>
      </c>
      <c r="H2472">
        <v>1.9916351324437401E-4</v>
      </c>
      <c r="I2472">
        <v>9.0909090909090898E-2</v>
      </c>
      <c r="J2472" s="14" t="str">
        <f>_xlfn.XLOOKUP(B2472,CAD_PDV!A:A,CAD_PDV!B:B)</f>
        <v>INOVACELL LTDA</v>
      </c>
      <c r="K2472" s="14">
        <f>IF(IFERROR(_xlfn.XLOOKUP(B2472,Planilha2!D:D,Planilha2!H:H),0)="SIM",1,0)</f>
        <v>0</v>
      </c>
      <c r="L2472" s="14" t="str">
        <f>_xlfn.XLOOKUP(B2472,CAD_PDV!A:A,CAD_PDV!C:C)</f>
        <v>NO</v>
      </c>
      <c r="M2472" s="14" t="str">
        <f>IFERROR(_xlfn.XLOOKUP(B2472,repete!A:A,repete!A:A),"-")</f>
        <v>-</v>
      </c>
    </row>
    <row r="2473" spans="1:13" hidden="1">
      <c r="A2473" s="1">
        <v>46204</v>
      </c>
      <c r="B2473" t="s">
        <v>1418</v>
      </c>
      <c r="C2473" t="s">
        <v>1420</v>
      </c>
      <c r="D2473" t="s">
        <v>106</v>
      </c>
      <c r="E2473" t="s">
        <v>54</v>
      </c>
      <c r="F2473">
        <v>39</v>
      </c>
      <c r="G2473">
        <v>1</v>
      </c>
      <c r="H2473">
        <v>1.9916351324437401E-4</v>
      </c>
      <c r="I2473">
        <v>2.5641025641025599E-2</v>
      </c>
      <c r="J2473" s="14" t="str">
        <f>_xlfn.XLOOKUP(B2473,CAD_PDV!A:A,CAD_PDV!B:B)</f>
        <v>CELLULAR.COM</v>
      </c>
      <c r="K2473" s="14">
        <f>IF(IFERROR(_xlfn.XLOOKUP(B2473,Planilha2!D:D,Planilha2!H:H),0)="SIM",1,0)</f>
        <v>0</v>
      </c>
      <c r="L2473" s="14" t="str">
        <f>_xlfn.XLOOKUP(B2473,CAD_PDV!A:A,CAD_PDV!C:C)</f>
        <v>SP2</v>
      </c>
      <c r="M2473" s="14" t="str">
        <f>IFERROR(_xlfn.XLOOKUP(B2473,repete!A:A,repete!A:A),"-")</f>
        <v>-</v>
      </c>
    </row>
    <row r="2474" spans="1:13" hidden="1">
      <c r="A2474" s="1">
        <v>46204</v>
      </c>
      <c r="B2474" t="s">
        <v>2034</v>
      </c>
      <c r="C2474" t="s">
        <v>2035</v>
      </c>
      <c r="D2474" t="s">
        <v>193</v>
      </c>
      <c r="E2474" t="s">
        <v>2074</v>
      </c>
      <c r="F2474">
        <v>9</v>
      </c>
      <c r="G2474">
        <v>1</v>
      </c>
      <c r="H2474">
        <v>1.9916351324437401E-4</v>
      </c>
      <c r="I2474">
        <v>0.11111111111111099</v>
      </c>
      <c r="J2474" s="14" t="str">
        <f>_xlfn.XLOOKUP(B2474,CAD_PDV!A:A,CAD_PDV!B:B)</f>
        <v>S D COMERCIO DE CELULARES LTDA - ME</v>
      </c>
      <c r="K2474" s="14">
        <f>IF(IFERROR(_xlfn.XLOOKUP(B2474,Planilha2!D:D,Planilha2!H:H),0)="SIM",1,0)</f>
        <v>0</v>
      </c>
      <c r="L2474" s="14" t="str">
        <f>_xlfn.XLOOKUP(B2474,CAD_PDV!A:A,CAD_PDV!C:C)</f>
        <v>RS</v>
      </c>
      <c r="M2474" s="14" t="str">
        <f>IFERROR(_xlfn.XLOOKUP(B2474,repete!A:A,repete!A:A),"-")</f>
        <v>-</v>
      </c>
    </row>
    <row r="2475" spans="1:13" hidden="1">
      <c r="A2475" s="1">
        <v>46204</v>
      </c>
      <c r="B2475" t="s">
        <v>1427</v>
      </c>
      <c r="C2475" t="s">
        <v>1429</v>
      </c>
      <c r="D2475" t="s">
        <v>232</v>
      </c>
      <c r="E2475" t="s">
        <v>54</v>
      </c>
      <c r="F2475">
        <v>29</v>
      </c>
      <c r="G2475">
        <v>1</v>
      </c>
      <c r="H2475">
        <v>1.9916351324437401E-4</v>
      </c>
      <c r="I2475">
        <v>3.4482758620689703E-2</v>
      </c>
      <c r="J2475" s="14" t="str">
        <f>_xlfn.XLOOKUP(B2475,CAD_PDV!A:A,CAD_PDV!B:B)</f>
        <v>HS TELECOM</v>
      </c>
      <c r="K2475" s="14">
        <f>IF(IFERROR(_xlfn.XLOOKUP(B2475,Planilha2!D:D,Planilha2!H:H),0)="SIM",1,0)</f>
        <v>0</v>
      </c>
      <c r="L2475" s="14" t="str">
        <f>_xlfn.XLOOKUP(B2475,CAD_PDV!A:A,CAD_PDV!C:C)</f>
        <v>SP2</v>
      </c>
      <c r="M2475" s="14" t="str">
        <f>IFERROR(_xlfn.XLOOKUP(B2475,repete!A:A,repete!A:A),"-")</f>
        <v>-</v>
      </c>
    </row>
    <row r="2476" spans="1:13" hidden="1">
      <c r="A2476" s="1">
        <v>46204</v>
      </c>
      <c r="B2476" t="s">
        <v>1430</v>
      </c>
      <c r="C2476" t="s">
        <v>1432</v>
      </c>
      <c r="D2476" t="s">
        <v>223</v>
      </c>
      <c r="E2476" t="s">
        <v>54</v>
      </c>
      <c r="F2476">
        <v>47</v>
      </c>
      <c r="G2476">
        <v>1</v>
      </c>
      <c r="H2476">
        <v>1.9916351324437401E-4</v>
      </c>
      <c r="I2476">
        <v>2.1276595744680899E-2</v>
      </c>
      <c r="J2476" s="14" t="str">
        <f>_xlfn.XLOOKUP(B2476,CAD_PDV!A:A,CAD_PDV!B:B)</f>
        <v>BONELI BIAZI CELULARES EIRELI - ME</v>
      </c>
      <c r="K2476" s="14">
        <f>IF(IFERROR(_xlfn.XLOOKUP(B2476,Planilha2!D:D,Planilha2!H:H),0)="SIM",1,0)</f>
        <v>0</v>
      </c>
      <c r="L2476" s="14" t="str">
        <f>_xlfn.XLOOKUP(B2476,CAD_PDV!A:A,CAD_PDV!C:C)</f>
        <v>SP2</v>
      </c>
      <c r="M2476" s="14" t="str">
        <f>IFERROR(_xlfn.XLOOKUP(B2476,repete!A:A,repete!A:A),"-")</f>
        <v>-</v>
      </c>
    </row>
    <row r="2477" spans="1:13" hidden="1">
      <c r="A2477" s="1">
        <v>46204</v>
      </c>
      <c r="B2477" t="s">
        <v>1445</v>
      </c>
      <c r="C2477" t="s">
        <v>1446</v>
      </c>
      <c r="D2477" t="s">
        <v>132</v>
      </c>
      <c r="E2477" t="s">
        <v>54</v>
      </c>
      <c r="F2477">
        <v>23</v>
      </c>
      <c r="G2477">
        <v>1</v>
      </c>
      <c r="H2477">
        <v>1.9916351324437401E-4</v>
      </c>
      <c r="I2477">
        <v>4.3478260869565202E-2</v>
      </c>
      <c r="J2477" s="14" t="str">
        <f>_xlfn.XLOOKUP(B2477,CAD_PDV!A:A,CAD_PDV!B:B)</f>
        <v>FLEX CELL</v>
      </c>
      <c r="K2477" s="14">
        <f>IF(IFERROR(_xlfn.XLOOKUP(B2477,Planilha2!D:D,Planilha2!H:H),0)="SIM",1,0)</f>
        <v>0</v>
      </c>
      <c r="L2477" s="14" t="str">
        <f>_xlfn.XLOOKUP(B2477,CAD_PDV!A:A,CAD_PDV!C:C)</f>
        <v>SP2</v>
      </c>
      <c r="M2477" s="14" t="str">
        <f>IFERROR(_xlfn.XLOOKUP(B2477,repete!A:A,repete!A:A),"-")</f>
        <v>-</v>
      </c>
    </row>
    <row r="2478" spans="1:13" hidden="1">
      <c r="A2478" s="1">
        <v>46204</v>
      </c>
      <c r="B2478" t="s">
        <v>743</v>
      </c>
      <c r="C2478" t="s">
        <v>619</v>
      </c>
      <c r="D2478" t="s">
        <v>240</v>
      </c>
      <c r="E2478" t="s">
        <v>59</v>
      </c>
      <c r="F2478">
        <v>18</v>
      </c>
      <c r="G2478">
        <v>1</v>
      </c>
      <c r="H2478">
        <v>1.9916351324437401E-4</v>
      </c>
      <c r="I2478">
        <v>5.5555555555555601E-2</v>
      </c>
      <c r="J2478" s="14" t="str">
        <f>_xlfn.XLOOKUP(B2478,CAD_PDV!A:A,CAD_PDV!B:B)</f>
        <v>TELEMAIS TELEFONIA LTDA - ME</v>
      </c>
      <c r="K2478" s="14">
        <f>IF(IFERROR(_xlfn.XLOOKUP(B2478,Planilha2!D:D,Planilha2!H:H),0)="SIM",1,0)</f>
        <v>0</v>
      </c>
      <c r="L2478" s="14" t="str">
        <f>_xlfn.XLOOKUP(B2478,CAD_PDV!A:A,CAD_PDV!C:C)</f>
        <v>CO</v>
      </c>
      <c r="M2478" s="14" t="str">
        <f>IFERROR(_xlfn.XLOOKUP(B2478,repete!A:A,repete!A:A),"-")</f>
        <v>-</v>
      </c>
    </row>
    <row r="2479" spans="1:13" hidden="1">
      <c r="A2479" s="1">
        <v>46204</v>
      </c>
      <c r="B2479" t="s">
        <v>1395</v>
      </c>
      <c r="C2479" t="s">
        <v>1313</v>
      </c>
      <c r="D2479" t="s">
        <v>106</v>
      </c>
      <c r="E2479" t="s">
        <v>53</v>
      </c>
      <c r="F2479">
        <v>120</v>
      </c>
      <c r="G2479">
        <v>1</v>
      </c>
      <c r="H2479">
        <v>1.9916351324437401E-4</v>
      </c>
      <c r="I2479">
        <v>8.3333333333333297E-3</v>
      </c>
      <c r="J2479" s="14" t="str">
        <f>_xlfn.XLOOKUP(B2479,CAD_PDV!A:A,CAD_PDV!B:B)</f>
        <v>CELLULAR.COM</v>
      </c>
      <c r="K2479" s="14">
        <f>IF(IFERROR(_xlfn.XLOOKUP(B2479,Planilha2!D:D,Planilha2!H:H),0)="SIM",1,0)</f>
        <v>0</v>
      </c>
      <c r="L2479" s="14" t="str">
        <f>_xlfn.XLOOKUP(B2479,CAD_PDV!A:A,CAD_PDV!C:C)</f>
        <v>SP1</v>
      </c>
      <c r="M2479" s="14" t="str">
        <f>IFERROR(_xlfn.XLOOKUP(B2479,repete!A:A,repete!A:A),"-")</f>
        <v>-</v>
      </c>
    </row>
    <row r="2480" spans="1:13" hidden="1">
      <c r="A2480" s="1">
        <v>46204</v>
      </c>
      <c r="B2480" t="s">
        <v>1460</v>
      </c>
      <c r="C2480" t="s">
        <v>1462</v>
      </c>
      <c r="D2480" t="s">
        <v>106</v>
      </c>
      <c r="E2480" t="s">
        <v>54</v>
      </c>
      <c r="F2480">
        <v>63</v>
      </c>
      <c r="G2480">
        <v>1</v>
      </c>
      <c r="H2480">
        <v>1.9916351324437401E-4</v>
      </c>
      <c r="I2480">
        <v>1.58730158730159E-2</v>
      </c>
      <c r="J2480" s="14" t="str">
        <f>_xlfn.XLOOKUP(B2480,CAD_PDV!A:A,CAD_PDV!B:B)</f>
        <v>CELLULAR.COM</v>
      </c>
      <c r="K2480" s="14">
        <f>IF(IFERROR(_xlfn.XLOOKUP(B2480,Planilha2!D:D,Planilha2!H:H),0)="SIM",1,0)</f>
        <v>0</v>
      </c>
      <c r="L2480" s="14" t="str">
        <f>_xlfn.XLOOKUP(B2480,CAD_PDV!A:A,CAD_PDV!C:C)</f>
        <v>SP2</v>
      </c>
      <c r="M2480" s="14" t="str">
        <f>IFERROR(_xlfn.XLOOKUP(B2480,repete!A:A,repete!A:A),"-")</f>
        <v>-</v>
      </c>
    </row>
    <row r="2481" spans="1:13" hidden="1">
      <c r="A2481" s="1">
        <v>46204</v>
      </c>
      <c r="B2481" t="s">
        <v>1396</v>
      </c>
      <c r="C2481" t="s">
        <v>1366</v>
      </c>
      <c r="D2481" t="s">
        <v>106</v>
      </c>
      <c r="E2481" t="s">
        <v>53</v>
      </c>
      <c r="F2481">
        <v>79</v>
      </c>
      <c r="G2481">
        <v>1</v>
      </c>
      <c r="H2481">
        <v>1.9916351324437401E-4</v>
      </c>
      <c r="I2481">
        <v>1.26582278481013E-2</v>
      </c>
      <c r="J2481" s="14" t="str">
        <f>_xlfn.XLOOKUP(B2481,CAD_PDV!A:A,CAD_PDV!B:B)</f>
        <v>CELLULAR.COM</v>
      </c>
      <c r="K2481" s="14">
        <f>IF(IFERROR(_xlfn.XLOOKUP(B2481,Planilha2!D:D,Planilha2!H:H),0)="SIM",1,0)</f>
        <v>0</v>
      </c>
      <c r="L2481" s="14" t="str">
        <f>_xlfn.XLOOKUP(B2481,CAD_PDV!A:A,CAD_PDV!C:C)</f>
        <v>SP1</v>
      </c>
      <c r="M2481" s="14" t="str">
        <f>IFERROR(_xlfn.XLOOKUP(B2481,repete!A:A,repete!A:A),"-")</f>
        <v>-</v>
      </c>
    </row>
    <row r="2482" spans="1:13" hidden="1">
      <c r="A2482" s="1">
        <v>46204</v>
      </c>
      <c r="B2482" t="s">
        <v>1205</v>
      </c>
      <c r="C2482" t="s">
        <v>1207</v>
      </c>
      <c r="D2482" t="s">
        <v>228</v>
      </c>
      <c r="E2482" t="s">
        <v>55</v>
      </c>
      <c r="F2482">
        <v>53</v>
      </c>
      <c r="G2482">
        <v>1</v>
      </c>
      <c r="H2482">
        <v>1.9916351324437401E-4</v>
      </c>
      <c r="I2482">
        <v>1.88679245283019E-2</v>
      </c>
      <c r="J2482" s="14" t="str">
        <f>_xlfn.XLOOKUP(B2482,CAD_PDV!A:A,CAD_PDV!B:B)</f>
        <v>FAJULUTI</v>
      </c>
      <c r="K2482" s="14">
        <f>IF(IFERROR(_xlfn.XLOOKUP(B2482,Planilha2!D:D,Planilha2!H:H),0)="SIM",1,0)</f>
        <v>0</v>
      </c>
      <c r="L2482" s="14" t="str">
        <f>_xlfn.XLOOKUP(B2482,CAD_PDV!A:A,CAD_PDV!C:C)</f>
        <v>RJ/ES</v>
      </c>
      <c r="M2482" s="14" t="str">
        <f>IFERROR(_xlfn.XLOOKUP(B2482,repete!A:A,repete!A:A),"-")</f>
        <v>-</v>
      </c>
    </row>
    <row r="2483" spans="1:13" hidden="1">
      <c r="A2483" s="1">
        <v>46204</v>
      </c>
      <c r="B2483" t="s">
        <v>1329</v>
      </c>
      <c r="C2483" t="s">
        <v>1313</v>
      </c>
      <c r="D2483" t="s">
        <v>225</v>
      </c>
      <c r="E2483" t="s">
        <v>53</v>
      </c>
      <c r="F2483">
        <v>48</v>
      </c>
      <c r="G2483">
        <v>1</v>
      </c>
      <c r="H2483">
        <v>1.9916351324437401E-4</v>
      </c>
      <c r="I2483">
        <v>2.0833333333333301E-2</v>
      </c>
      <c r="J2483" s="14" t="str">
        <f>_xlfn.XLOOKUP(B2483,CAD_PDV!A:A,CAD_PDV!B:B)</f>
        <v>CLARICELL SP1</v>
      </c>
      <c r="K2483" s="14">
        <f>IF(IFERROR(_xlfn.XLOOKUP(B2483,Planilha2!D:D,Planilha2!H:H),0)="SIM",1,0)</f>
        <v>0</v>
      </c>
      <c r="L2483" s="14" t="str">
        <f>_xlfn.XLOOKUP(B2483,CAD_PDV!A:A,CAD_PDV!C:C)</f>
        <v>SP1</v>
      </c>
      <c r="M2483" s="14" t="str">
        <f>IFERROR(_xlfn.XLOOKUP(B2483,repete!A:A,repete!A:A),"-")</f>
        <v>-</v>
      </c>
    </row>
    <row r="2484" spans="1:13" hidden="1">
      <c r="A2484" s="1">
        <v>46204</v>
      </c>
      <c r="B2484" t="s">
        <v>1784</v>
      </c>
      <c r="C2484" t="s">
        <v>1785</v>
      </c>
      <c r="D2484" t="s">
        <v>103</v>
      </c>
      <c r="E2484" t="s">
        <v>2074</v>
      </c>
      <c r="F2484">
        <v>18</v>
      </c>
      <c r="G2484">
        <v>1</v>
      </c>
      <c r="H2484">
        <v>1.9916351324437401E-4</v>
      </c>
      <c r="I2484">
        <v>5.5555555555555601E-2</v>
      </c>
      <c r="J2484" s="14" t="str">
        <f>_xlfn.XLOOKUP(B2484,CAD_PDV!A:A,CAD_PDV!B:B)</f>
        <v>CARLOS EDUARDO SAVIAN - EPP</v>
      </c>
      <c r="K2484" s="14">
        <f>IF(IFERROR(_xlfn.XLOOKUP(B2484,Planilha2!D:D,Planilha2!H:H),0)="SIM",1,0)</f>
        <v>0</v>
      </c>
      <c r="L2484" s="14" t="str">
        <f>_xlfn.XLOOKUP(B2484,CAD_PDV!A:A,CAD_PDV!C:C)</f>
        <v>PR/SC</v>
      </c>
      <c r="M2484" s="14" t="str">
        <f>IFERROR(_xlfn.XLOOKUP(B2484,repete!A:A,repete!A:A),"-")</f>
        <v>-</v>
      </c>
    </row>
    <row r="2485" spans="1:13" hidden="1">
      <c r="A2485" s="1">
        <v>46204</v>
      </c>
      <c r="B2485" t="s">
        <v>730</v>
      </c>
      <c r="C2485" t="s">
        <v>732</v>
      </c>
      <c r="D2485" t="s">
        <v>231</v>
      </c>
      <c r="E2485" t="s">
        <v>59</v>
      </c>
      <c r="F2485">
        <v>30</v>
      </c>
      <c r="G2485">
        <v>1</v>
      </c>
      <c r="H2485">
        <v>1.9916351324437401E-4</v>
      </c>
      <c r="I2485">
        <v>3.3333333333333298E-2</v>
      </c>
      <c r="J2485" s="14" t="str">
        <f>_xlfn.XLOOKUP(B2485,CAD_PDV!A:A,CAD_PDV!B:B)</f>
        <v>HIROTA &amp; HIROTA LTDA - ME</v>
      </c>
      <c r="K2485" s="14">
        <f>IF(IFERROR(_xlfn.XLOOKUP(B2485,Planilha2!D:D,Planilha2!H:H),0)="SIM",1,0)</f>
        <v>0</v>
      </c>
      <c r="L2485" s="14" t="str">
        <f>_xlfn.XLOOKUP(B2485,CAD_PDV!A:A,CAD_PDV!C:C)</f>
        <v>CO</v>
      </c>
      <c r="M2485" s="14" t="str">
        <f>IFERROR(_xlfn.XLOOKUP(B2485,repete!A:A,repete!A:A),"-")</f>
        <v>-</v>
      </c>
    </row>
    <row r="2486" spans="1:13" hidden="1">
      <c r="A2486" s="1">
        <v>46204</v>
      </c>
      <c r="B2486" t="s">
        <v>1400</v>
      </c>
      <c r="C2486" t="s">
        <v>1313</v>
      </c>
      <c r="D2486" t="s">
        <v>106</v>
      </c>
      <c r="E2486" t="s">
        <v>53</v>
      </c>
      <c r="F2486">
        <v>135</v>
      </c>
      <c r="G2486">
        <v>1</v>
      </c>
      <c r="H2486">
        <v>1.9916351324437401E-4</v>
      </c>
      <c r="I2486">
        <v>7.4074074074074103E-3</v>
      </c>
      <c r="J2486" s="14" t="str">
        <f>_xlfn.XLOOKUP(B2486,CAD_PDV!A:A,CAD_PDV!B:B)</f>
        <v>CELLULAR.COM</v>
      </c>
      <c r="K2486" s="14">
        <f>IF(IFERROR(_xlfn.XLOOKUP(B2486,Planilha2!D:D,Planilha2!H:H),0)="SIM",1,0)</f>
        <v>0</v>
      </c>
      <c r="L2486" s="14" t="str">
        <f>_xlfn.XLOOKUP(B2486,CAD_PDV!A:A,CAD_PDV!C:C)</f>
        <v>SP1</v>
      </c>
      <c r="M2486" s="14" t="str">
        <f>IFERROR(_xlfn.XLOOKUP(B2486,repete!A:A,repete!A:A),"-")</f>
        <v>-</v>
      </c>
    </row>
    <row r="2487" spans="1:13" hidden="1">
      <c r="A2487" s="1">
        <v>46204</v>
      </c>
      <c r="B2487" t="s">
        <v>424</v>
      </c>
      <c r="C2487" t="s">
        <v>269</v>
      </c>
      <c r="D2487" t="s">
        <v>227</v>
      </c>
      <c r="E2487" t="s">
        <v>61</v>
      </c>
      <c r="F2487">
        <v>26</v>
      </c>
      <c r="G2487">
        <v>1</v>
      </c>
      <c r="H2487">
        <v>1.9916351324437401E-4</v>
      </c>
      <c r="I2487">
        <v>3.8461538461538498E-2</v>
      </c>
      <c r="J2487" s="14" t="str">
        <f>_xlfn.XLOOKUP(B2487,CAD_PDV!A:A,CAD_PDV!B:B)</f>
        <v>E-MEAN SERVICOS DE MARKETING DIRETO LTDA</v>
      </c>
      <c r="K2487" s="14">
        <f>IF(IFERROR(_xlfn.XLOOKUP(B2487,Planilha2!D:D,Planilha2!H:H),0)="SIM",1,0)</f>
        <v>0</v>
      </c>
      <c r="L2487" s="14" t="str">
        <f>_xlfn.XLOOKUP(B2487,CAD_PDV!A:A,CAD_PDV!C:C)</f>
        <v>NE</v>
      </c>
      <c r="M2487" s="14" t="str">
        <f>IFERROR(_xlfn.XLOOKUP(B2487,repete!A:A,repete!A:A),"-")</f>
        <v>-</v>
      </c>
    </row>
    <row r="2488" spans="1:13" hidden="1">
      <c r="A2488" s="1">
        <v>46204</v>
      </c>
      <c r="B2488" t="s">
        <v>1214</v>
      </c>
      <c r="C2488" t="s">
        <v>1215</v>
      </c>
      <c r="D2488" t="s">
        <v>2072</v>
      </c>
      <c r="E2488" t="s">
        <v>55</v>
      </c>
      <c r="F2488">
        <v>26</v>
      </c>
      <c r="G2488">
        <v>1</v>
      </c>
      <c r="H2488">
        <v>1.9916351324437401E-4</v>
      </c>
      <c r="I2488">
        <v>3.8461538461538498E-2</v>
      </c>
      <c r="J2488" s="14" t="str">
        <f>_xlfn.XLOOKUP(B2488,CAD_PDV!A:A,CAD_PDV!B:B)</f>
        <v>MEXCELL COMERCIO E SERVICOS DE TELECOMUNICACOES LTDA</v>
      </c>
      <c r="K2488" s="14">
        <f>IF(IFERROR(_xlfn.XLOOKUP(B2488,Planilha2!D:D,Planilha2!H:H),0)="SIM",1,0)</f>
        <v>0</v>
      </c>
      <c r="L2488" s="14" t="str">
        <f>_xlfn.XLOOKUP(B2488,CAD_PDV!A:A,CAD_PDV!C:C)</f>
        <v>RJ/ES</v>
      </c>
      <c r="M2488" s="14" t="str">
        <f>IFERROR(_xlfn.XLOOKUP(B2488,repete!A:A,repete!A:A),"-")</f>
        <v>-</v>
      </c>
    </row>
    <row r="2489" spans="1:13" hidden="1">
      <c r="A2489" s="1">
        <v>46204</v>
      </c>
      <c r="B2489" t="s">
        <v>1979</v>
      </c>
      <c r="C2489" t="s">
        <v>1978</v>
      </c>
      <c r="D2489" t="s">
        <v>97</v>
      </c>
      <c r="E2489" t="s">
        <v>2074</v>
      </c>
      <c r="F2489">
        <v>15</v>
      </c>
      <c r="G2489">
        <v>1</v>
      </c>
      <c r="H2489">
        <v>1.9916351324437401E-4</v>
      </c>
      <c r="I2489">
        <v>6.6666666666666693E-2</v>
      </c>
      <c r="J2489" s="14" t="str">
        <f>_xlfn.XLOOKUP(B2489,CAD_PDV!A:A,CAD_PDV!B:B)</f>
        <v>BANDEIRA</v>
      </c>
      <c r="K2489" s="14">
        <f>IF(IFERROR(_xlfn.XLOOKUP(B2489,Planilha2!D:D,Planilha2!H:H),0)="SIM",1,0)</f>
        <v>0</v>
      </c>
      <c r="L2489" s="14" t="str">
        <f>_xlfn.XLOOKUP(B2489,CAD_PDV!A:A,CAD_PDV!C:C)</f>
        <v>PR/SC</v>
      </c>
      <c r="M2489" s="14" t="str">
        <f>IFERROR(_xlfn.XLOOKUP(B2489,repete!A:A,repete!A:A),"-")</f>
        <v>-</v>
      </c>
    </row>
    <row r="2490" spans="1:13" hidden="1">
      <c r="A2490" s="1">
        <v>46204</v>
      </c>
      <c r="B2490" t="s">
        <v>1539</v>
      </c>
      <c r="C2490" t="s">
        <v>1540</v>
      </c>
      <c r="D2490" t="s">
        <v>119</v>
      </c>
      <c r="E2490" t="s">
        <v>54</v>
      </c>
      <c r="F2490">
        <v>14</v>
      </c>
      <c r="G2490">
        <v>1</v>
      </c>
      <c r="H2490">
        <v>1.9916351324437401E-4</v>
      </c>
      <c r="I2490">
        <v>7.1428571428571397E-2</v>
      </c>
      <c r="J2490" s="14" t="str">
        <f>_xlfn.XLOOKUP(B2490,CAD_PDV!A:A,CAD_PDV!B:B)</f>
        <v>DOM BARRETO COMERCIAL LTDA - ME</v>
      </c>
      <c r="K2490" s="14">
        <f>IF(IFERROR(_xlfn.XLOOKUP(B2490,Planilha2!D:D,Planilha2!H:H),0)="SIM",1,0)</f>
        <v>0</v>
      </c>
      <c r="L2490" s="14" t="str">
        <f>_xlfn.XLOOKUP(B2490,CAD_PDV!A:A,CAD_PDV!C:C)</f>
        <v>SP2</v>
      </c>
      <c r="M2490" s="14" t="str">
        <f>IFERROR(_xlfn.XLOOKUP(B2490,repete!A:A,repete!A:A),"-")</f>
        <v>-</v>
      </c>
    </row>
    <row r="2491" spans="1:13" hidden="1">
      <c r="A2491" s="1">
        <v>46204</v>
      </c>
      <c r="B2491" t="s">
        <v>858</v>
      </c>
      <c r="C2491" t="s">
        <v>716</v>
      </c>
      <c r="D2491" t="s">
        <v>2073</v>
      </c>
      <c r="E2491" t="s">
        <v>59</v>
      </c>
      <c r="F2491">
        <v>8</v>
      </c>
      <c r="G2491">
        <v>1</v>
      </c>
      <c r="H2491">
        <v>1.9916351324437401E-4</v>
      </c>
      <c r="I2491">
        <v>0.125</v>
      </c>
      <c r="J2491" s="14" t="str">
        <f>_xlfn.XLOOKUP(B2491,CAD_PDV!A:A,CAD_PDV!B:B)</f>
        <v xml:space="preserve">CONTACOM COMERCIO DE APARELHOS ELETRONICOS LTDA </v>
      </c>
      <c r="K2491" s="14">
        <f>IF(IFERROR(_xlfn.XLOOKUP(B2491,Planilha2!D:D,Planilha2!H:H),0)="SIM",1,0)</f>
        <v>0</v>
      </c>
      <c r="L2491" s="14" t="str">
        <f>_xlfn.XLOOKUP(B2491,CAD_PDV!A:A,CAD_PDV!C:C)</f>
        <v>CO</v>
      </c>
      <c r="M2491" s="14" t="str">
        <f>IFERROR(_xlfn.XLOOKUP(B2491,repete!A:A,repete!A:A),"-")</f>
        <v>-</v>
      </c>
    </row>
    <row r="2492" spans="1:13" hidden="1">
      <c r="A2492" s="1">
        <v>46204</v>
      </c>
      <c r="B2492" t="s">
        <v>1901</v>
      </c>
      <c r="C2492" t="s">
        <v>1900</v>
      </c>
      <c r="D2492" t="s">
        <v>97</v>
      </c>
      <c r="E2492" t="s">
        <v>2074</v>
      </c>
      <c r="F2492">
        <v>78</v>
      </c>
      <c r="G2492">
        <v>1</v>
      </c>
      <c r="H2492">
        <v>1.9916351324437401E-4</v>
      </c>
      <c r="I2492">
        <v>1.2820512820512799E-2</v>
      </c>
      <c r="J2492" s="14" t="str">
        <f>_xlfn.XLOOKUP(B2492,CAD_PDV!A:A,CAD_PDV!B:B)</f>
        <v>BANDEIRA</v>
      </c>
      <c r="K2492" s="14">
        <f>IF(IFERROR(_xlfn.XLOOKUP(B2492,Planilha2!D:D,Planilha2!H:H),0)="SIM",1,0)</f>
        <v>0</v>
      </c>
      <c r="L2492" s="14" t="str">
        <f>_xlfn.XLOOKUP(B2492,CAD_PDV!A:A,CAD_PDV!C:C)</f>
        <v>PR/SC</v>
      </c>
      <c r="M2492" s="14" t="str">
        <f>IFERROR(_xlfn.XLOOKUP(B2492,repete!A:A,repete!A:A),"-")</f>
        <v>-</v>
      </c>
    </row>
    <row r="2493" spans="1:13" hidden="1">
      <c r="A2493" s="1">
        <v>46204</v>
      </c>
      <c r="B2493" t="s">
        <v>756</v>
      </c>
      <c r="C2493" t="s">
        <v>757</v>
      </c>
      <c r="D2493" t="s">
        <v>239</v>
      </c>
      <c r="E2493" t="s">
        <v>59</v>
      </c>
      <c r="F2493">
        <v>23</v>
      </c>
      <c r="G2493">
        <v>1</v>
      </c>
      <c r="H2493">
        <v>1.9916351324437401E-4</v>
      </c>
      <c r="I2493">
        <v>4.3478260869565202E-2</v>
      </c>
      <c r="J2493" s="14" t="str">
        <f>_xlfn.XLOOKUP(B2493,CAD_PDV!A:A,CAD_PDV!B:B)</f>
        <v>TELECELL TELEFONIA LTDA - ME</v>
      </c>
      <c r="K2493" s="14">
        <f>IF(IFERROR(_xlfn.XLOOKUP(B2493,Planilha2!D:D,Planilha2!H:H),0)="SIM",1,0)</f>
        <v>0</v>
      </c>
      <c r="L2493" s="14" t="str">
        <f>_xlfn.XLOOKUP(B2493,CAD_PDV!A:A,CAD_PDV!C:C)</f>
        <v>CO</v>
      </c>
      <c r="M2493" s="14" t="str">
        <f>IFERROR(_xlfn.XLOOKUP(B2493,repete!A:A,repete!A:A),"-")</f>
        <v>-</v>
      </c>
    </row>
    <row r="2494" spans="1:13" hidden="1">
      <c r="A2494" s="1">
        <v>46204</v>
      </c>
      <c r="B2494" t="s">
        <v>2086</v>
      </c>
      <c r="C2494" t="s">
        <v>902</v>
      </c>
      <c r="D2494" t="s">
        <v>215</v>
      </c>
      <c r="E2494" t="s">
        <v>59</v>
      </c>
      <c r="F2494">
        <v>38</v>
      </c>
      <c r="G2494">
        <v>1</v>
      </c>
      <c r="H2494">
        <v>1.9916351324437401E-4</v>
      </c>
      <c r="I2494">
        <v>2.6315789473684199E-2</v>
      </c>
      <c r="J2494" s="14" t="str">
        <f>_xlfn.XLOOKUP(B2494,CAD_PDV!A:A,CAD_PDV!B:B)</f>
        <v>VIA SALLUS</v>
      </c>
      <c r="K2494" s="14">
        <f>IF(IFERROR(_xlfn.XLOOKUP(B2494,Planilha2!D:D,Planilha2!H:H),0)="SIM",1,0)</f>
        <v>0</v>
      </c>
      <c r="L2494" s="14" t="str">
        <f>_xlfn.XLOOKUP(B2494,CAD_PDV!A:A,CAD_PDV!C:C)</f>
        <v>CO</v>
      </c>
      <c r="M2494" s="14" t="str">
        <f>IFERROR(_xlfn.XLOOKUP(B2494,repete!A:A,repete!A:A),"-")</f>
        <v>-</v>
      </c>
    </row>
    <row r="2495" spans="1:13" hidden="1">
      <c r="A2495" s="1">
        <v>46204</v>
      </c>
      <c r="B2495" t="s">
        <v>620</v>
      </c>
      <c r="C2495" t="s">
        <v>619</v>
      </c>
      <c r="D2495" t="s">
        <v>224</v>
      </c>
      <c r="E2495" t="s">
        <v>59</v>
      </c>
      <c r="F2495">
        <v>41</v>
      </c>
      <c r="G2495">
        <v>1</v>
      </c>
      <c r="H2495">
        <v>1.9916351324437401E-4</v>
      </c>
      <c r="I2495">
        <v>2.4390243902439001E-2</v>
      </c>
      <c r="J2495" s="14" t="str">
        <f>_xlfn.XLOOKUP(B2495,CAD_PDV!A:A,CAD_PDV!B:B)</f>
        <v>CELNET COMERCIO E SERVICOS DE TELEFONIA LTDA ME</v>
      </c>
      <c r="K2495" s="14">
        <f>IF(IFERROR(_xlfn.XLOOKUP(B2495,Planilha2!D:D,Planilha2!H:H),0)="SIM",1,0)</f>
        <v>0</v>
      </c>
      <c r="L2495" s="14" t="str">
        <f>_xlfn.XLOOKUP(B2495,CAD_PDV!A:A,CAD_PDV!C:C)</f>
        <v>CO</v>
      </c>
      <c r="M2495" s="14" t="str">
        <f>IFERROR(_xlfn.XLOOKUP(B2495,repete!A:A,repete!A:A),"-")</f>
        <v>-</v>
      </c>
    </row>
    <row r="2496" spans="1:13" hidden="1">
      <c r="A2496" s="1">
        <v>46204</v>
      </c>
      <c r="B2496" t="s">
        <v>1333</v>
      </c>
      <c r="C2496" t="s">
        <v>1313</v>
      </c>
      <c r="D2496" t="s">
        <v>225</v>
      </c>
      <c r="E2496" t="s">
        <v>53</v>
      </c>
      <c r="F2496">
        <v>57</v>
      </c>
      <c r="G2496">
        <v>1</v>
      </c>
      <c r="H2496">
        <v>1.9916351324437401E-4</v>
      </c>
      <c r="I2496">
        <v>1.7543859649122799E-2</v>
      </c>
      <c r="J2496" s="14" t="str">
        <f>_xlfn.XLOOKUP(B2496,CAD_PDV!A:A,CAD_PDV!B:B)</f>
        <v>CLARICELL SP1</v>
      </c>
      <c r="K2496" s="14">
        <f>IF(IFERROR(_xlfn.XLOOKUP(B2496,Planilha2!D:D,Planilha2!H:H),0)="SIM",1,0)</f>
        <v>0</v>
      </c>
      <c r="L2496" s="14" t="str">
        <f>_xlfn.XLOOKUP(B2496,CAD_PDV!A:A,CAD_PDV!C:C)</f>
        <v>SP1</v>
      </c>
      <c r="M2496" s="14" t="str">
        <f>IFERROR(_xlfn.XLOOKUP(B2496,repete!A:A,repete!A:A),"-")</f>
        <v>-</v>
      </c>
    </row>
    <row r="2497" spans="1:13" hidden="1">
      <c r="A2497" s="1">
        <v>46204</v>
      </c>
      <c r="B2497" t="s">
        <v>1903</v>
      </c>
      <c r="C2497" t="s">
        <v>1904</v>
      </c>
      <c r="D2497" t="s">
        <v>106</v>
      </c>
      <c r="E2497" t="s">
        <v>2074</v>
      </c>
      <c r="F2497">
        <v>12</v>
      </c>
      <c r="G2497">
        <v>1</v>
      </c>
      <c r="H2497">
        <v>1.9916351324437401E-4</v>
      </c>
      <c r="I2497">
        <v>8.3333333333333301E-2</v>
      </c>
      <c r="J2497" s="14" t="str">
        <f>_xlfn.XLOOKUP(B2497,CAD_PDV!A:A,CAD_PDV!B:B)</f>
        <v>CELLULAR.COM</v>
      </c>
      <c r="K2497" s="14">
        <f>IF(IFERROR(_xlfn.XLOOKUP(B2497,Planilha2!D:D,Planilha2!H:H),0)="SIM",1,0)</f>
        <v>0</v>
      </c>
      <c r="L2497" s="14" t="str">
        <f>_xlfn.XLOOKUP(B2497,CAD_PDV!A:A,CAD_PDV!C:C)</f>
        <v>PR/SC</v>
      </c>
      <c r="M2497" s="14" t="str">
        <f>IFERROR(_xlfn.XLOOKUP(B2497,repete!A:A,repete!A:A),"-")</f>
        <v>-</v>
      </c>
    </row>
    <row r="2498" spans="1:13" hidden="1">
      <c r="A2498" s="1">
        <v>46204</v>
      </c>
      <c r="B2498" t="s">
        <v>766</v>
      </c>
      <c r="C2498" t="s">
        <v>767</v>
      </c>
      <c r="D2498" t="s">
        <v>224</v>
      </c>
      <c r="E2498" t="s">
        <v>59</v>
      </c>
      <c r="F2498">
        <v>16</v>
      </c>
      <c r="G2498">
        <v>1</v>
      </c>
      <c r="H2498">
        <v>1.9916351324437401E-4</v>
      </c>
      <c r="I2498">
        <v>6.25E-2</v>
      </c>
      <c r="J2498" s="14" t="str">
        <f>_xlfn.XLOOKUP(B2498,CAD_PDV!A:A,CAD_PDV!B:B)</f>
        <v>CELNET COMERCIO E SERVICOS DE TELEFONIA LTDA ME</v>
      </c>
      <c r="K2498" s="14">
        <f>IF(IFERROR(_xlfn.XLOOKUP(B2498,Planilha2!D:D,Planilha2!H:H),0)="SIM",1,0)</f>
        <v>0</v>
      </c>
      <c r="L2498" s="14" t="str">
        <f>_xlfn.XLOOKUP(B2498,CAD_PDV!A:A,CAD_PDV!C:C)</f>
        <v>CO</v>
      </c>
      <c r="M2498" s="14" t="str">
        <f>IFERROR(_xlfn.XLOOKUP(B2498,repete!A:A,repete!A:A),"-")</f>
        <v>-</v>
      </c>
    </row>
    <row r="2499" spans="1:13" hidden="1">
      <c r="A2499" s="1">
        <v>46204</v>
      </c>
      <c r="B2499" t="s">
        <v>2032</v>
      </c>
      <c r="C2499" t="s">
        <v>2033</v>
      </c>
      <c r="D2499" t="s">
        <v>193</v>
      </c>
      <c r="E2499" t="s">
        <v>2074</v>
      </c>
      <c r="F2499">
        <v>31</v>
      </c>
      <c r="G2499">
        <v>1</v>
      </c>
      <c r="H2499">
        <v>1.9916351324437401E-4</v>
      </c>
      <c r="I2499">
        <v>3.2258064516128997E-2</v>
      </c>
      <c r="J2499" s="14" t="str">
        <f>_xlfn.XLOOKUP(B2499,CAD_PDV!A:A,CAD_PDV!B:B)</f>
        <v>S D COMERCIO DE CELULARES LTDA - ME</v>
      </c>
      <c r="K2499" s="14">
        <f>IF(IFERROR(_xlfn.XLOOKUP(B2499,Planilha2!D:D,Planilha2!H:H),0)="SIM",1,0)</f>
        <v>0</v>
      </c>
      <c r="L2499" s="14" t="str">
        <f>_xlfn.XLOOKUP(B2499,CAD_PDV!A:A,CAD_PDV!C:C)</f>
        <v>RS</v>
      </c>
      <c r="M2499" s="14" t="str">
        <f>IFERROR(_xlfn.XLOOKUP(B2499,repete!A:A,repete!A:A),"-")</f>
        <v>-</v>
      </c>
    </row>
    <row r="2500" spans="1:13" hidden="1">
      <c r="A2500" s="1">
        <v>46204</v>
      </c>
      <c r="B2500" t="s">
        <v>1558</v>
      </c>
      <c r="C2500" t="s">
        <v>1559</v>
      </c>
      <c r="D2500" t="s">
        <v>219</v>
      </c>
      <c r="E2500" t="s">
        <v>54</v>
      </c>
      <c r="F2500">
        <v>30</v>
      </c>
      <c r="G2500">
        <v>1</v>
      </c>
      <c r="H2500">
        <v>1.9916351324437401E-4</v>
      </c>
      <c r="I2500">
        <v>3.3333333333333298E-2</v>
      </c>
      <c r="J2500" s="14" t="str">
        <f>_xlfn.XLOOKUP(B2500,CAD_PDV!A:A,CAD_PDV!B:B)</f>
        <v>WCI CELULARES SERVICOS E TELECOMUNICACOES LTDA - EPP</v>
      </c>
      <c r="K2500" s="14">
        <f>IF(IFERROR(_xlfn.XLOOKUP(B2500,Planilha2!D:D,Planilha2!H:H),0)="SIM",1,0)</f>
        <v>0</v>
      </c>
      <c r="L2500" s="14" t="str">
        <f>_xlfn.XLOOKUP(B2500,CAD_PDV!A:A,CAD_PDV!C:C)</f>
        <v>SP2</v>
      </c>
      <c r="M2500" s="14" t="str">
        <f>IFERROR(_xlfn.XLOOKUP(B2500,repete!A:A,repete!A:A),"-")</f>
        <v>-</v>
      </c>
    </row>
    <row r="2501" spans="1:13" hidden="1">
      <c r="A2501" s="1">
        <v>46204</v>
      </c>
      <c r="B2501" t="s">
        <v>1567</v>
      </c>
      <c r="C2501" t="s">
        <v>1568</v>
      </c>
      <c r="D2501" t="s">
        <v>119</v>
      </c>
      <c r="E2501" t="s">
        <v>54</v>
      </c>
      <c r="F2501">
        <v>32</v>
      </c>
      <c r="G2501">
        <v>1</v>
      </c>
      <c r="H2501">
        <v>1.9916351324437401E-4</v>
      </c>
      <c r="I2501">
        <v>3.125E-2</v>
      </c>
      <c r="J2501" s="14" t="str">
        <f>_xlfn.XLOOKUP(B2501,CAD_PDV!A:A,CAD_PDV!B:B)</f>
        <v>DOM BARRETO COMERCIAL LTDA - ME</v>
      </c>
      <c r="K2501" s="14">
        <f>IF(IFERROR(_xlfn.XLOOKUP(B2501,Planilha2!D:D,Planilha2!H:H),0)="SIM",1,0)</f>
        <v>0</v>
      </c>
      <c r="L2501" s="14" t="str">
        <f>_xlfn.XLOOKUP(B2501,CAD_PDV!A:A,CAD_PDV!C:C)</f>
        <v>SP2</v>
      </c>
      <c r="M2501" s="14" t="str">
        <f>IFERROR(_xlfn.XLOOKUP(B2501,repete!A:A,repete!A:A),"-")</f>
        <v>-</v>
      </c>
    </row>
    <row r="2502" spans="1:13" hidden="1">
      <c r="A2502" s="1">
        <v>46204</v>
      </c>
      <c r="B2502" t="s">
        <v>1935</v>
      </c>
      <c r="C2502" t="s">
        <v>1937</v>
      </c>
      <c r="D2502" t="s">
        <v>176</v>
      </c>
      <c r="E2502" t="s">
        <v>2074</v>
      </c>
      <c r="F2502">
        <v>26</v>
      </c>
      <c r="G2502">
        <v>1</v>
      </c>
      <c r="H2502">
        <v>1.9916351324437401E-4</v>
      </c>
      <c r="I2502">
        <v>3.8461538461538498E-2</v>
      </c>
      <c r="J2502" s="14" t="str">
        <f>_xlfn.XLOOKUP(B2502,CAD_PDV!A:A,CAD_PDV!B:B)</f>
        <v>NEW POINT CELULAR LTDA - ME</v>
      </c>
      <c r="K2502" s="14">
        <f>IF(IFERROR(_xlfn.XLOOKUP(B2502,Planilha2!D:D,Planilha2!H:H),0)="SIM",1,0)</f>
        <v>0</v>
      </c>
      <c r="L2502" s="14" t="str">
        <f>_xlfn.XLOOKUP(B2502,CAD_PDV!A:A,CAD_PDV!C:C)</f>
        <v>RS</v>
      </c>
      <c r="M2502" s="14" t="str">
        <f>IFERROR(_xlfn.XLOOKUP(B2502,repete!A:A,repete!A:A),"-")</f>
        <v>-</v>
      </c>
    </row>
    <row r="2503" spans="1:13" hidden="1">
      <c r="A2503" s="1">
        <v>46204</v>
      </c>
      <c r="B2503" t="s">
        <v>1236</v>
      </c>
      <c r="C2503" t="s">
        <v>1161</v>
      </c>
      <c r="D2503" t="s">
        <v>138</v>
      </c>
      <c r="E2503" t="s">
        <v>55</v>
      </c>
      <c r="F2503">
        <v>20</v>
      </c>
      <c r="G2503">
        <v>1</v>
      </c>
      <c r="H2503">
        <v>1.9916351324437401E-4</v>
      </c>
      <c r="I2503">
        <v>0.05</v>
      </c>
      <c r="J2503" s="14" t="str">
        <f>_xlfn.XLOOKUP(B2503,CAD_PDV!A:A,CAD_PDV!B:B)</f>
        <v>GSM FREE</v>
      </c>
      <c r="K2503" s="14">
        <f>IF(IFERROR(_xlfn.XLOOKUP(B2503,Planilha2!D:D,Planilha2!H:H),0)="SIM",1,0)</f>
        <v>0</v>
      </c>
      <c r="L2503" s="14" t="str">
        <f>_xlfn.XLOOKUP(B2503,CAD_PDV!A:A,CAD_PDV!C:C)</f>
        <v>RJ/ES</v>
      </c>
      <c r="M2503" s="14" t="str">
        <f>IFERROR(_xlfn.XLOOKUP(B2503,repete!A:A,repete!A:A),"-")</f>
        <v>-</v>
      </c>
    </row>
    <row r="2504" spans="1:13" hidden="1">
      <c r="A2504" s="1">
        <v>46204</v>
      </c>
      <c r="B2504" t="s">
        <v>419</v>
      </c>
      <c r="C2504" t="s">
        <v>411</v>
      </c>
      <c r="D2504" t="s">
        <v>238</v>
      </c>
      <c r="E2504" t="s">
        <v>61</v>
      </c>
      <c r="F2504">
        <v>9</v>
      </c>
      <c r="G2504">
        <v>1</v>
      </c>
      <c r="H2504">
        <v>1.9916351324437401E-4</v>
      </c>
      <c r="I2504">
        <v>0.11111111111111099</v>
      </c>
      <c r="J2504" s="14" t="str">
        <f>_xlfn.XLOOKUP(B2504,CAD_PDV!A:A,CAD_PDV!B:B)</f>
        <v>R &amp; R HIPER COMERCIO LTDA</v>
      </c>
      <c r="K2504" s="14">
        <f>IF(IFERROR(_xlfn.XLOOKUP(B2504,Planilha2!D:D,Planilha2!H:H),0)="SIM",1,0)</f>
        <v>0</v>
      </c>
      <c r="L2504" s="14" t="str">
        <f>_xlfn.XLOOKUP(B2504,CAD_PDV!A:A,CAD_PDV!C:C)</f>
        <v>NE</v>
      </c>
      <c r="M2504" s="14" t="str">
        <f>IFERROR(_xlfn.XLOOKUP(B2504,repete!A:A,repete!A:A),"-")</f>
        <v>-</v>
      </c>
    </row>
    <row r="2505" spans="1:13" hidden="1">
      <c r="A2505" s="1">
        <v>46204</v>
      </c>
      <c r="B2505" t="s">
        <v>1238</v>
      </c>
      <c r="C2505" t="s">
        <v>1142</v>
      </c>
      <c r="D2505" t="s">
        <v>237</v>
      </c>
      <c r="E2505" t="s">
        <v>55</v>
      </c>
      <c r="F2505">
        <v>139</v>
      </c>
      <c r="G2505">
        <v>1</v>
      </c>
      <c r="H2505">
        <v>1.9916351324437401E-4</v>
      </c>
      <c r="I2505">
        <v>7.1942446043165497E-3</v>
      </c>
      <c r="J2505" s="14" t="str">
        <f>_xlfn.XLOOKUP(B2505,CAD_PDV!A:A,CAD_PDV!B:B)</f>
        <v>PONTO CERTO COMERCIO E COMUNICAÇÕES LTDA</v>
      </c>
      <c r="K2505" s="14">
        <f>IF(IFERROR(_xlfn.XLOOKUP(B2505,Planilha2!D:D,Planilha2!H:H),0)="SIM",1,0)</f>
        <v>0</v>
      </c>
      <c r="L2505" s="14" t="str">
        <f>_xlfn.XLOOKUP(B2505,CAD_PDV!A:A,CAD_PDV!C:C)</f>
        <v>RJ/ES</v>
      </c>
      <c r="M2505" s="14" t="str">
        <f>IFERROR(_xlfn.XLOOKUP(B2505,repete!A:A,repete!A:A),"-")</f>
        <v>-</v>
      </c>
    </row>
    <row r="2506" spans="1:13" hidden="1">
      <c r="A2506" s="1">
        <v>46204</v>
      </c>
      <c r="B2506" t="s">
        <v>1166</v>
      </c>
      <c r="C2506" t="s">
        <v>1142</v>
      </c>
      <c r="D2506" t="s">
        <v>237</v>
      </c>
      <c r="E2506" t="s">
        <v>55</v>
      </c>
      <c r="F2506">
        <v>209</v>
      </c>
      <c r="G2506">
        <v>1</v>
      </c>
      <c r="H2506">
        <v>1.9916351324437401E-4</v>
      </c>
      <c r="I2506">
        <v>4.78468899521531E-3</v>
      </c>
      <c r="J2506" s="14" t="str">
        <f>_xlfn.XLOOKUP(B2506,CAD_PDV!A:A,CAD_PDV!B:B)</f>
        <v>PONTO CERTO COMERCIO E COMUNICAÇÕES LTDA</v>
      </c>
      <c r="K2506" s="14">
        <f>IF(IFERROR(_xlfn.XLOOKUP(B2506,Planilha2!D:D,Planilha2!H:H),0)="SIM",1,0)</f>
        <v>0</v>
      </c>
      <c r="L2506" s="14" t="str">
        <f>_xlfn.XLOOKUP(B2506,CAD_PDV!A:A,CAD_PDV!C:C)</f>
        <v>RJ/ES</v>
      </c>
      <c r="M2506" s="14" t="str">
        <f>IFERROR(_xlfn.XLOOKUP(B2506,repete!A:A,repete!A:A),"-")</f>
        <v>-</v>
      </c>
    </row>
    <row r="2507" spans="1:13" hidden="1">
      <c r="A2507" s="1">
        <v>46204</v>
      </c>
      <c r="B2507" t="s">
        <v>1584</v>
      </c>
      <c r="C2507" t="s">
        <v>1585</v>
      </c>
      <c r="D2507" t="s">
        <v>106</v>
      </c>
      <c r="E2507" t="s">
        <v>54</v>
      </c>
      <c r="F2507">
        <v>101</v>
      </c>
      <c r="G2507">
        <v>1</v>
      </c>
      <c r="H2507">
        <v>1.9916351324437401E-4</v>
      </c>
      <c r="I2507">
        <v>9.9009900990098994E-3</v>
      </c>
      <c r="J2507" s="14" t="str">
        <f>_xlfn.XLOOKUP(B2507,CAD_PDV!A:A,CAD_PDV!B:B)</f>
        <v>CELLULAR.COM</v>
      </c>
      <c r="K2507" s="14">
        <f>IF(IFERROR(_xlfn.XLOOKUP(B2507,Planilha2!D:D,Planilha2!H:H),0)="SIM",1,0)</f>
        <v>0</v>
      </c>
      <c r="L2507" s="14" t="str">
        <f>_xlfn.XLOOKUP(B2507,CAD_PDV!A:A,CAD_PDV!C:C)</f>
        <v>SP2</v>
      </c>
      <c r="M2507" s="14" t="str">
        <f>IFERROR(_xlfn.XLOOKUP(B2507,repete!A:A,repete!A:A),"-")</f>
        <v>-</v>
      </c>
    </row>
    <row r="2508" spans="1:13" hidden="1">
      <c r="A2508" s="1">
        <v>46204</v>
      </c>
      <c r="B2508" t="s">
        <v>1949</v>
      </c>
      <c r="C2508" t="s">
        <v>1950</v>
      </c>
      <c r="D2508" t="s">
        <v>176</v>
      </c>
      <c r="E2508" t="s">
        <v>2074</v>
      </c>
      <c r="F2508">
        <v>66</v>
      </c>
      <c r="G2508">
        <v>1</v>
      </c>
      <c r="H2508">
        <v>1.9916351324437401E-4</v>
      </c>
      <c r="I2508">
        <v>1.5151515151515201E-2</v>
      </c>
      <c r="J2508" s="14" t="str">
        <f>_xlfn.XLOOKUP(B2508,CAD_PDV!A:A,CAD_PDV!B:B)</f>
        <v>NEW POINT CELULAR LTDA - ME</v>
      </c>
      <c r="K2508" s="14">
        <f>IF(IFERROR(_xlfn.XLOOKUP(B2508,Planilha2!D:D,Planilha2!H:H),0)="SIM",1,0)</f>
        <v>0</v>
      </c>
      <c r="L2508" s="14" t="str">
        <f>_xlfn.XLOOKUP(B2508,CAD_PDV!A:A,CAD_PDV!C:C)</f>
        <v>RS</v>
      </c>
      <c r="M2508" s="14" t="str">
        <f>IFERROR(_xlfn.XLOOKUP(B2508,repete!A:A,repete!A:A),"-")</f>
        <v>-</v>
      </c>
    </row>
    <row r="2509" spans="1:13" hidden="1">
      <c r="A2509" s="1">
        <v>46204</v>
      </c>
      <c r="B2509" t="s">
        <v>759</v>
      </c>
      <c r="C2509" t="s">
        <v>619</v>
      </c>
      <c r="D2509" t="s">
        <v>239</v>
      </c>
      <c r="E2509" t="s">
        <v>59</v>
      </c>
      <c r="F2509">
        <v>46</v>
      </c>
      <c r="G2509">
        <v>1</v>
      </c>
      <c r="H2509">
        <v>1.9916351324437401E-4</v>
      </c>
      <c r="I2509">
        <v>2.1739130434782601E-2</v>
      </c>
      <c r="J2509" s="14" t="str">
        <f>_xlfn.XLOOKUP(B2509,CAD_PDV!A:A,CAD_PDV!B:B)</f>
        <v>TELECELL TELEFONIA LTDA - ME</v>
      </c>
      <c r="K2509" s="14">
        <f>IF(IFERROR(_xlfn.XLOOKUP(B2509,Planilha2!D:D,Planilha2!H:H),0)="SIM",1,0)</f>
        <v>0</v>
      </c>
      <c r="L2509" s="14" t="str">
        <f>_xlfn.XLOOKUP(B2509,CAD_PDV!A:A,CAD_PDV!C:C)</f>
        <v>CO</v>
      </c>
      <c r="M2509" s="14" t="str">
        <f>IFERROR(_xlfn.XLOOKUP(B2509,repete!A:A,repete!A:A),"-")</f>
        <v>-</v>
      </c>
    </row>
    <row r="2510" spans="1:13" hidden="1">
      <c r="A2510" s="1">
        <v>46204</v>
      </c>
      <c r="B2510" t="s">
        <v>926</v>
      </c>
      <c r="C2510" t="s">
        <v>738</v>
      </c>
      <c r="D2510" t="s">
        <v>231</v>
      </c>
      <c r="E2510" t="s">
        <v>59</v>
      </c>
      <c r="F2510">
        <v>27</v>
      </c>
      <c r="G2510">
        <v>1</v>
      </c>
      <c r="H2510">
        <v>1.9916351324437401E-4</v>
      </c>
      <c r="I2510">
        <v>3.7037037037037E-2</v>
      </c>
      <c r="J2510" s="14" t="str">
        <f>_xlfn.XLOOKUP(B2510,CAD_PDV!A:A,CAD_PDV!B:B)</f>
        <v>HIROTA &amp; HIROTA LTDA - ME</v>
      </c>
      <c r="K2510" s="14">
        <f>IF(IFERROR(_xlfn.XLOOKUP(B2510,Planilha2!D:D,Planilha2!H:H),0)="SIM",1,0)</f>
        <v>0</v>
      </c>
      <c r="L2510" s="14" t="str">
        <f>_xlfn.XLOOKUP(B2510,CAD_PDV!A:A,CAD_PDV!C:C)</f>
        <v>CO</v>
      </c>
      <c r="M2510" s="14" t="str">
        <f>IFERROR(_xlfn.XLOOKUP(B2510,repete!A:A,repete!A:A),"-")</f>
        <v>-</v>
      </c>
    </row>
    <row r="2511" spans="1:13" hidden="1">
      <c r="A2511" s="1">
        <v>46204</v>
      </c>
      <c r="B2511" t="s">
        <v>1951</v>
      </c>
      <c r="C2511" t="s">
        <v>1952</v>
      </c>
      <c r="D2511" t="s">
        <v>176</v>
      </c>
      <c r="E2511" t="s">
        <v>2074</v>
      </c>
      <c r="F2511">
        <v>163</v>
      </c>
      <c r="G2511">
        <v>1</v>
      </c>
      <c r="H2511">
        <v>1.9916351324437401E-4</v>
      </c>
      <c r="I2511">
        <v>6.13496932515337E-3</v>
      </c>
      <c r="J2511" s="14" t="str">
        <f>_xlfn.XLOOKUP(B2511,CAD_PDV!A:A,CAD_PDV!B:B)</f>
        <v>NEW POINT CELULAR LTDA - ME</v>
      </c>
      <c r="K2511" s="14">
        <f>IF(IFERROR(_xlfn.XLOOKUP(B2511,Planilha2!D:D,Planilha2!H:H),0)="SIM",1,0)</f>
        <v>0</v>
      </c>
      <c r="L2511" s="14" t="str">
        <f>_xlfn.XLOOKUP(B2511,CAD_PDV!A:A,CAD_PDV!C:C)</f>
        <v>RS</v>
      </c>
      <c r="M2511" s="14" t="str">
        <f>IFERROR(_xlfn.XLOOKUP(B2511,repete!A:A,repete!A:A),"-")</f>
        <v>-</v>
      </c>
    </row>
    <row r="2512" spans="1:13" hidden="1">
      <c r="A2512" s="1">
        <v>46204</v>
      </c>
      <c r="B2512" t="s">
        <v>1245</v>
      </c>
      <c r="C2512" t="s">
        <v>1152</v>
      </c>
      <c r="D2512" t="s">
        <v>2072</v>
      </c>
      <c r="E2512" t="s">
        <v>55</v>
      </c>
      <c r="F2512">
        <v>53</v>
      </c>
      <c r="G2512">
        <v>1</v>
      </c>
      <c r="H2512">
        <v>1.9916351324437401E-4</v>
      </c>
      <c r="I2512">
        <v>1.88679245283019E-2</v>
      </c>
      <c r="J2512" s="14" t="str">
        <f>_xlfn.XLOOKUP(B2512,CAD_PDV!A:A,CAD_PDV!B:B)</f>
        <v>MEXCELL COMERCIO E SERVICOS DE TELECOMUNICACOES LTDA</v>
      </c>
      <c r="K2512" s="14">
        <f>IF(IFERROR(_xlfn.XLOOKUP(B2512,Planilha2!D:D,Planilha2!H:H),0)="SIM",1,0)</f>
        <v>0</v>
      </c>
      <c r="L2512" s="14" t="str">
        <f>_xlfn.XLOOKUP(B2512,CAD_PDV!A:A,CAD_PDV!C:C)</f>
        <v>RJ/ES</v>
      </c>
      <c r="M2512" s="14" t="str">
        <f>IFERROR(_xlfn.XLOOKUP(B2512,repete!A:A,repete!A:A),"-")</f>
        <v>-</v>
      </c>
    </row>
    <row r="2513" spans="1:13" hidden="1">
      <c r="A2513" s="1">
        <v>46204</v>
      </c>
      <c r="B2513" t="s">
        <v>1892</v>
      </c>
      <c r="C2513" t="s">
        <v>1891</v>
      </c>
      <c r="D2513" t="s">
        <v>124</v>
      </c>
      <c r="E2513" t="s">
        <v>2074</v>
      </c>
      <c r="F2513">
        <v>52</v>
      </c>
      <c r="G2513">
        <v>1</v>
      </c>
      <c r="H2513">
        <v>1.9916351324437401E-4</v>
      </c>
      <c r="I2513">
        <v>1.9230769230769201E-2</v>
      </c>
      <c r="J2513" s="14" t="str">
        <f>_xlfn.XLOOKUP(B2513,CAD_PDV!A:A,CAD_PDV!B:B)</f>
        <v>EDUARDO JUNQUEIRA DA SILVEIRA ADMIN</v>
      </c>
      <c r="K2513" s="14">
        <f>IF(IFERROR(_xlfn.XLOOKUP(B2513,Planilha2!D:D,Planilha2!H:H),0)="SIM",1,0)</f>
        <v>0</v>
      </c>
      <c r="L2513" s="14" t="str">
        <f>_xlfn.XLOOKUP(B2513,CAD_PDV!A:A,CAD_PDV!C:C)</f>
        <v>RS</v>
      </c>
      <c r="M2513" s="14" t="str">
        <f>IFERROR(_xlfn.XLOOKUP(B2513,repete!A:A,repete!A:A),"-")</f>
        <v>-</v>
      </c>
    </row>
    <row r="2514" spans="1:13" hidden="1">
      <c r="A2514" s="1">
        <v>46204</v>
      </c>
      <c r="B2514" t="s">
        <v>1627</v>
      </c>
      <c r="C2514" t="s">
        <v>1628</v>
      </c>
      <c r="D2514" t="s">
        <v>106</v>
      </c>
      <c r="E2514" t="s">
        <v>54</v>
      </c>
      <c r="F2514">
        <v>42</v>
      </c>
      <c r="G2514">
        <v>1</v>
      </c>
      <c r="H2514">
        <v>1.9916351324437401E-4</v>
      </c>
      <c r="I2514">
        <v>2.3809523809523801E-2</v>
      </c>
      <c r="J2514" s="14" t="str">
        <f>_xlfn.XLOOKUP(B2514,CAD_PDV!A:A,CAD_PDV!B:B)</f>
        <v>CELLULAR.COM</v>
      </c>
      <c r="K2514" s="14">
        <f>IF(IFERROR(_xlfn.XLOOKUP(B2514,Planilha2!D:D,Planilha2!H:H),0)="SIM",1,0)</f>
        <v>0</v>
      </c>
      <c r="L2514" s="14" t="str">
        <f>_xlfn.XLOOKUP(B2514,CAD_PDV!A:A,CAD_PDV!C:C)</f>
        <v>SP2</v>
      </c>
      <c r="M2514" s="14" t="str">
        <f>IFERROR(_xlfn.XLOOKUP(B2514,repete!A:A,repete!A:A),"-")</f>
        <v>-</v>
      </c>
    </row>
    <row r="2515" spans="1:13" hidden="1">
      <c r="A2515" s="1">
        <v>46204</v>
      </c>
      <c r="B2515" t="s">
        <v>1367</v>
      </c>
      <c r="C2515" t="s">
        <v>1313</v>
      </c>
      <c r="D2515" t="s">
        <v>132</v>
      </c>
      <c r="E2515" t="s">
        <v>53</v>
      </c>
      <c r="F2515">
        <v>79</v>
      </c>
      <c r="G2515">
        <v>1</v>
      </c>
      <c r="H2515">
        <v>1.9916351324437401E-4</v>
      </c>
      <c r="I2515">
        <v>1.26582278481013E-2</v>
      </c>
      <c r="J2515" s="14" t="str">
        <f>_xlfn.XLOOKUP(B2515,CAD_PDV!A:A,CAD_PDV!B:B)</f>
        <v>FLEX CELL</v>
      </c>
      <c r="K2515" s="14">
        <f>IF(IFERROR(_xlfn.XLOOKUP(B2515,Planilha2!D:D,Planilha2!H:H),0)="SIM",1,0)</f>
        <v>0</v>
      </c>
      <c r="L2515" s="14" t="str">
        <f>_xlfn.XLOOKUP(B2515,CAD_PDV!A:A,CAD_PDV!C:C)</f>
        <v>SP1</v>
      </c>
      <c r="M2515" s="14" t="str">
        <f>IFERROR(_xlfn.XLOOKUP(B2515,repete!A:A,repete!A:A),"-")</f>
        <v>-</v>
      </c>
    </row>
    <row r="2516" spans="1:13" hidden="1">
      <c r="A2516" s="1">
        <v>46204</v>
      </c>
      <c r="B2516" t="s">
        <v>1829</v>
      </c>
      <c r="C2516" t="s">
        <v>1830</v>
      </c>
      <c r="D2516" t="s">
        <v>95</v>
      </c>
      <c r="E2516" t="s">
        <v>2074</v>
      </c>
      <c r="F2516">
        <v>18</v>
      </c>
      <c r="G2516">
        <v>1</v>
      </c>
      <c r="H2516">
        <v>1.9916351324437401E-4</v>
      </c>
      <c r="I2516">
        <v>5.5555555555555601E-2</v>
      </c>
      <c r="J2516" s="14" t="str">
        <f>_xlfn.XLOOKUP(B2516,CAD_PDV!A:A,CAD_PDV!B:B)</f>
        <v>AYRES E DEBONI LTDA - ME</v>
      </c>
      <c r="K2516" s="14">
        <f>IF(IFERROR(_xlfn.XLOOKUP(B2516,Planilha2!D:D,Planilha2!H:H),0)="SIM",1,0)</f>
        <v>0</v>
      </c>
      <c r="L2516" s="14" t="str">
        <f>_xlfn.XLOOKUP(B2516,CAD_PDV!A:A,CAD_PDV!C:C)</f>
        <v>RS</v>
      </c>
      <c r="M2516" s="14" t="str">
        <f>IFERROR(_xlfn.XLOOKUP(B2516,repete!A:A,repete!A:A),"-")</f>
        <v>-</v>
      </c>
    </row>
    <row r="2517" spans="1:13" hidden="1">
      <c r="A2517" s="1">
        <v>46204</v>
      </c>
      <c r="B2517" t="s">
        <v>1254</v>
      </c>
      <c r="C2517" t="s">
        <v>1255</v>
      </c>
      <c r="D2517" t="s">
        <v>2072</v>
      </c>
      <c r="E2517" t="s">
        <v>55</v>
      </c>
      <c r="F2517">
        <v>60</v>
      </c>
      <c r="G2517">
        <v>1</v>
      </c>
      <c r="H2517">
        <v>1.9916351324437401E-4</v>
      </c>
      <c r="I2517">
        <v>1.6666666666666701E-2</v>
      </c>
      <c r="J2517" s="14" t="str">
        <f>_xlfn.XLOOKUP(B2517,CAD_PDV!A:A,CAD_PDV!B:B)</f>
        <v>MEXCELL COMERCIO E SERVICOS DE TELECOMUNICACOES LTDA</v>
      </c>
      <c r="K2517" s="14">
        <f>IF(IFERROR(_xlfn.XLOOKUP(B2517,Planilha2!D:D,Planilha2!H:H),0)="SIM",1,0)</f>
        <v>0</v>
      </c>
      <c r="L2517" s="14" t="str">
        <f>_xlfn.XLOOKUP(B2517,CAD_PDV!A:A,CAD_PDV!C:C)</f>
        <v>RJ/ES</v>
      </c>
      <c r="M2517" s="14" t="str">
        <f>IFERROR(_xlfn.XLOOKUP(B2517,repete!A:A,repete!A:A),"-")</f>
        <v>-</v>
      </c>
    </row>
    <row r="2518" spans="1:13" hidden="1">
      <c r="A2518" s="1">
        <v>46204</v>
      </c>
      <c r="B2518" t="s">
        <v>1746</v>
      </c>
      <c r="C2518" t="s">
        <v>1744</v>
      </c>
      <c r="D2518" t="s">
        <v>190</v>
      </c>
      <c r="E2518" t="s">
        <v>2074</v>
      </c>
      <c r="F2518">
        <v>10</v>
      </c>
      <c r="G2518">
        <v>1</v>
      </c>
      <c r="H2518">
        <v>1.9916351324437401E-4</v>
      </c>
      <c r="I2518">
        <v>0.1</v>
      </c>
      <c r="J2518" s="14" t="str">
        <f>_xlfn.XLOOKUP(B2518,CAD_PDV!A:A,CAD_PDV!B:B)</f>
        <v>RDJ TELECOMUNICACOES LTDA</v>
      </c>
      <c r="K2518" s="14">
        <f>IF(IFERROR(_xlfn.XLOOKUP(B2518,Planilha2!D:D,Planilha2!H:H),0)="SIM",1,0)</f>
        <v>0</v>
      </c>
      <c r="L2518" s="14" t="str">
        <f>_xlfn.XLOOKUP(B2518,CAD_PDV!A:A,CAD_PDV!C:C)</f>
        <v>PR/SC</v>
      </c>
      <c r="M2518" s="14" t="str">
        <f>IFERROR(_xlfn.XLOOKUP(B2518,repete!A:A,repete!A:A),"-")</f>
        <v>-</v>
      </c>
    </row>
    <row r="2519" spans="1:13" hidden="1">
      <c r="A2519" s="1">
        <v>46204</v>
      </c>
      <c r="B2519" t="s">
        <v>571</v>
      </c>
      <c r="C2519" t="s">
        <v>572</v>
      </c>
      <c r="D2519" t="s">
        <v>106</v>
      </c>
      <c r="E2519" t="s">
        <v>56</v>
      </c>
      <c r="F2519">
        <v>22</v>
      </c>
      <c r="G2519">
        <v>1</v>
      </c>
      <c r="H2519">
        <v>1.9916351324437401E-4</v>
      </c>
      <c r="I2519">
        <v>4.5454545454545497E-2</v>
      </c>
      <c r="J2519" s="14" t="str">
        <f>_xlfn.XLOOKUP(B2519,CAD_PDV!A:A,CAD_PDV!B:B)</f>
        <v>CELLULAR.COM</v>
      </c>
      <c r="K2519" s="14">
        <f>IF(IFERROR(_xlfn.XLOOKUP(B2519,Planilha2!D:D,Planilha2!H:H),0)="SIM",1,0)</f>
        <v>0</v>
      </c>
      <c r="L2519" s="14" t="str">
        <f>_xlfn.XLOOKUP(B2519,CAD_PDV!A:A,CAD_PDV!C:C)</f>
        <v>MG</v>
      </c>
      <c r="M2519" s="14" t="str">
        <f>IFERROR(_xlfn.XLOOKUP(B2519,repete!A:A,repete!A:A),"-")</f>
        <v>-</v>
      </c>
    </row>
    <row r="2520" spans="1:13" hidden="1">
      <c r="A2520" s="1">
        <v>46204</v>
      </c>
      <c r="B2520" t="s">
        <v>832</v>
      </c>
      <c r="C2520" t="s">
        <v>833</v>
      </c>
      <c r="D2520" t="s">
        <v>239</v>
      </c>
      <c r="E2520" t="s">
        <v>59</v>
      </c>
      <c r="F2520">
        <v>18</v>
      </c>
      <c r="G2520">
        <v>1</v>
      </c>
      <c r="H2520">
        <v>1.9916351324437401E-4</v>
      </c>
      <c r="I2520">
        <v>5.5555555555555601E-2</v>
      </c>
      <c r="J2520" s="14" t="str">
        <f>_xlfn.XLOOKUP(B2520,CAD_PDV!A:A,CAD_PDV!B:B)</f>
        <v>TELECELL TELEFONIA LTDA - ME</v>
      </c>
      <c r="K2520" s="14">
        <f>IF(IFERROR(_xlfn.XLOOKUP(B2520,Planilha2!D:D,Planilha2!H:H),0)="SIM",1,0)</f>
        <v>0</v>
      </c>
      <c r="L2520" s="14" t="str">
        <f>_xlfn.XLOOKUP(B2520,CAD_PDV!A:A,CAD_PDV!C:C)</f>
        <v>CO</v>
      </c>
      <c r="M2520" s="14" t="str">
        <f>IFERROR(_xlfn.XLOOKUP(B2520,repete!A:A,repete!A:A),"-")</f>
        <v>-</v>
      </c>
    </row>
    <row r="2521" spans="1:13" hidden="1">
      <c r="A2521" s="1">
        <v>46204</v>
      </c>
      <c r="B2521" t="s">
        <v>1843</v>
      </c>
      <c r="C2521" t="s">
        <v>1844</v>
      </c>
      <c r="D2521" t="s">
        <v>124</v>
      </c>
      <c r="E2521" t="s">
        <v>2074</v>
      </c>
      <c r="F2521">
        <v>25</v>
      </c>
      <c r="G2521">
        <v>1</v>
      </c>
      <c r="H2521">
        <v>1.9916351324437401E-4</v>
      </c>
      <c r="I2521">
        <v>0.04</v>
      </c>
      <c r="J2521" s="14" t="str">
        <f>_xlfn.XLOOKUP(B2521,CAD_PDV!A:A,CAD_PDV!B:B)</f>
        <v>EDUARDO JUNQUEIRA DA SILVEIRA ADMIN</v>
      </c>
      <c r="K2521" s="14">
        <f>IF(IFERROR(_xlfn.XLOOKUP(B2521,Planilha2!D:D,Planilha2!H:H),0)="SIM",1,0)</f>
        <v>0</v>
      </c>
      <c r="L2521" s="14" t="str">
        <f>_xlfn.XLOOKUP(B2521,CAD_PDV!A:A,CAD_PDV!C:C)</f>
        <v>RS</v>
      </c>
      <c r="M2521" s="14" t="str">
        <f>IFERROR(_xlfn.XLOOKUP(B2521,repete!A:A,repete!A:A),"-")</f>
        <v>-</v>
      </c>
    </row>
    <row r="2522" spans="1:13" hidden="1">
      <c r="A2522" s="1">
        <v>46204</v>
      </c>
      <c r="B2522" t="s">
        <v>850</v>
      </c>
      <c r="C2522" t="s">
        <v>732</v>
      </c>
      <c r="D2522" t="s">
        <v>221</v>
      </c>
      <c r="E2522" t="s">
        <v>59</v>
      </c>
      <c r="F2522">
        <v>48</v>
      </c>
      <c r="G2522">
        <v>1</v>
      </c>
      <c r="H2522">
        <v>1.9916351324437401E-4</v>
      </c>
      <c r="I2522">
        <v>2.0833333333333301E-2</v>
      </c>
      <c r="J2522" s="14" t="str">
        <f>_xlfn.XLOOKUP(B2522,CAD_PDV!A:A,CAD_PDV!B:B)</f>
        <v>AMERICOM COMERCIO DE APARELHOS ELETRONICOS LTDA - EPP</v>
      </c>
      <c r="K2522" s="14">
        <f>IF(IFERROR(_xlfn.XLOOKUP(B2522,Planilha2!D:D,Planilha2!H:H),0)="SIM",1,0)</f>
        <v>0</v>
      </c>
      <c r="L2522" s="14" t="str">
        <f>_xlfn.XLOOKUP(B2522,CAD_PDV!A:A,CAD_PDV!C:C)</f>
        <v>CO</v>
      </c>
      <c r="M2522" s="14" t="str">
        <f>IFERROR(_xlfn.XLOOKUP(B2522,repete!A:A,repete!A:A),"-")</f>
        <v>-</v>
      </c>
    </row>
    <row r="2523" spans="1:13" hidden="1">
      <c r="A2523" s="1">
        <v>46204</v>
      </c>
      <c r="B2523" t="s">
        <v>1776</v>
      </c>
      <c r="C2523" t="s">
        <v>1777</v>
      </c>
      <c r="D2523" t="s">
        <v>124</v>
      </c>
      <c r="E2523" t="s">
        <v>2074</v>
      </c>
      <c r="F2523">
        <v>13</v>
      </c>
      <c r="G2523">
        <v>1</v>
      </c>
      <c r="H2523">
        <v>1.9916351324437401E-4</v>
      </c>
      <c r="I2523">
        <v>7.69230769230769E-2</v>
      </c>
      <c r="J2523" s="14" t="str">
        <f>_xlfn.XLOOKUP(B2523,CAD_PDV!A:A,CAD_PDV!B:B)</f>
        <v>EDUARDO JUNQUEIRA DA SILVEIRA ADMIN</v>
      </c>
      <c r="K2523" s="14">
        <f>IF(IFERROR(_xlfn.XLOOKUP(B2523,Planilha2!D:D,Planilha2!H:H),0)="SIM",1,0)</f>
        <v>0</v>
      </c>
      <c r="L2523" s="14" t="str">
        <f>_xlfn.XLOOKUP(B2523,CAD_PDV!A:A,CAD_PDV!C:C)</f>
        <v>RS</v>
      </c>
      <c r="M2523" s="14" t="str">
        <f>IFERROR(_xlfn.XLOOKUP(B2523,repete!A:A,repete!A:A),"-")</f>
        <v>-</v>
      </c>
    </row>
    <row r="2524" spans="1:13" hidden="1">
      <c r="A2524" s="1">
        <v>46204</v>
      </c>
      <c r="B2524" t="s">
        <v>1980</v>
      </c>
      <c r="C2524" t="s">
        <v>1981</v>
      </c>
      <c r="D2524" t="s">
        <v>97</v>
      </c>
      <c r="E2524" t="s">
        <v>2074</v>
      </c>
      <c r="F2524">
        <v>41</v>
      </c>
      <c r="G2524">
        <v>1</v>
      </c>
      <c r="H2524">
        <v>1.9916351324437401E-4</v>
      </c>
      <c r="I2524">
        <v>2.4390243902439001E-2</v>
      </c>
      <c r="J2524" s="14" t="str">
        <f>_xlfn.XLOOKUP(B2524,CAD_PDV!A:A,CAD_PDV!B:B)</f>
        <v>BANDEIRA</v>
      </c>
      <c r="K2524" s="14">
        <f>IF(IFERROR(_xlfn.XLOOKUP(B2524,Planilha2!D:D,Planilha2!H:H),0)="SIM",1,0)</f>
        <v>0</v>
      </c>
      <c r="L2524" s="14" t="str">
        <f>_xlfn.XLOOKUP(B2524,CAD_PDV!A:A,CAD_PDV!C:C)</f>
        <v>PR/SC</v>
      </c>
      <c r="M2524" s="14" t="str">
        <f>IFERROR(_xlfn.XLOOKUP(B2524,repete!A:A,repete!A:A),"-")</f>
        <v>-</v>
      </c>
    </row>
    <row r="2525" spans="1:13" hidden="1">
      <c r="A2525" s="1">
        <v>46204</v>
      </c>
      <c r="B2525" t="s">
        <v>1053</v>
      </c>
      <c r="C2525" t="s">
        <v>944</v>
      </c>
      <c r="D2525" t="s">
        <v>222</v>
      </c>
      <c r="E2525" t="s">
        <v>60</v>
      </c>
      <c r="F2525">
        <v>83</v>
      </c>
      <c r="G2525">
        <v>1</v>
      </c>
      <c r="H2525">
        <v>1.9916351324437401E-4</v>
      </c>
      <c r="I2525">
        <v>1.20481927710843E-2</v>
      </c>
      <c r="J2525" s="14" t="str">
        <f>_xlfn.XLOOKUP(B2525,CAD_PDV!A:A,CAD_PDV!B:B)</f>
        <v>ANCLA COMERCIO</v>
      </c>
      <c r="K2525" s="14">
        <f>IF(IFERROR(_xlfn.XLOOKUP(B2525,Planilha2!D:D,Planilha2!H:H),0)="SIM",1,0)</f>
        <v>0</v>
      </c>
      <c r="L2525" s="14" t="str">
        <f>_xlfn.XLOOKUP(B2525,CAD_PDV!A:A,CAD_PDV!C:C)</f>
        <v>BA/SE</v>
      </c>
      <c r="M2525" s="14" t="str">
        <f>IFERROR(_xlfn.XLOOKUP(B2525,repete!A:A,repete!A:A),"-")</f>
        <v>-</v>
      </c>
    </row>
    <row r="2526" spans="1:13" hidden="1">
      <c r="A2526" s="1">
        <v>46204</v>
      </c>
      <c r="B2526" t="s">
        <v>425</v>
      </c>
      <c r="C2526" t="s">
        <v>269</v>
      </c>
      <c r="D2526" t="s">
        <v>227</v>
      </c>
      <c r="E2526" t="s">
        <v>61</v>
      </c>
      <c r="F2526">
        <v>13</v>
      </c>
      <c r="G2526">
        <v>1</v>
      </c>
      <c r="H2526">
        <v>1.9916351324437401E-4</v>
      </c>
      <c r="I2526">
        <v>7.69230769230769E-2</v>
      </c>
      <c r="J2526" s="14" t="str">
        <f>_xlfn.XLOOKUP(B2526,CAD_PDV!A:A,CAD_PDV!B:B)</f>
        <v>E-MEAN SERVICOS DE MARKETING DIRETO LTDA</v>
      </c>
      <c r="K2526" s="14">
        <f>IF(IFERROR(_xlfn.XLOOKUP(B2526,Planilha2!D:D,Planilha2!H:H),0)="SIM",1,0)</f>
        <v>0</v>
      </c>
      <c r="L2526" s="14" t="str">
        <f>_xlfn.XLOOKUP(B2526,CAD_PDV!A:A,CAD_PDV!C:C)</f>
        <v>NE</v>
      </c>
      <c r="M2526" s="14" t="str">
        <f>IFERROR(_xlfn.XLOOKUP(B2526,repete!A:A,repete!A:A),"-")</f>
        <v>-</v>
      </c>
    </row>
    <row r="2527" spans="1:13" hidden="1">
      <c r="A2527" s="1">
        <v>46204</v>
      </c>
      <c r="B2527" t="s">
        <v>964</v>
      </c>
      <c r="C2527" t="s">
        <v>940</v>
      </c>
      <c r="D2527" t="s">
        <v>236</v>
      </c>
      <c r="E2527" t="s">
        <v>60</v>
      </c>
      <c r="F2527">
        <v>49</v>
      </c>
      <c r="G2527">
        <v>1</v>
      </c>
      <c r="H2527">
        <v>1.9916351324437401E-4</v>
      </c>
      <c r="I2527">
        <v>2.04081632653061E-2</v>
      </c>
      <c r="J2527" s="14" t="str">
        <f>_xlfn.XLOOKUP(B2527,CAD_PDV!A:A,CAD_PDV!B:B)</f>
        <v>PAULA C L NIELLA EIRELI</v>
      </c>
      <c r="K2527" s="14">
        <f>IF(IFERROR(_xlfn.XLOOKUP(B2527,Planilha2!D:D,Planilha2!H:H),0)="SIM",1,0)</f>
        <v>0</v>
      </c>
      <c r="L2527" s="14" t="str">
        <f>_xlfn.XLOOKUP(B2527,CAD_PDV!A:A,CAD_PDV!C:C)</f>
        <v>BA/SE</v>
      </c>
      <c r="M2527" s="14" t="str">
        <f>IFERROR(_xlfn.XLOOKUP(B2527,repete!A:A,repete!A:A),"-")</f>
        <v>-</v>
      </c>
    </row>
    <row r="2528" spans="1:13" hidden="1">
      <c r="A2528" s="1">
        <v>46204</v>
      </c>
      <c r="B2528" t="s">
        <v>1883</v>
      </c>
      <c r="C2528" t="s">
        <v>1884</v>
      </c>
      <c r="D2528" t="s">
        <v>124</v>
      </c>
      <c r="E2528" t="s">
        <v>2074</v>
      </c>
      <c r="F2528">
        <v>47</v>
      </c>
      <c r="G2528">
        <v>1</v>
      </c>
      <c r="H2528">
        <v>1.9916351324437401E-4</v>
      </c>
      <c r="I2528">
        <v>2.1276595744680899E-2</v>
      </c>
      <c r="J2528" s="14" t="str">
        <f>_xlfn.XLOOKUP(B2528,CAD_PDV!A:A,CAD_PDV!B:B)</f>
        <v>EDUARDO JUNQUEIRA DA SILVEIRA ADMIN</v>
      </c>
      <c r="K2528" s="14">
        <f>IF(IFERROR(_xlfn.XLOOKUP(B2528,Planilha2!D:D,Planilha2!H:H),0)="SIM",1,0)</f>
        <v>1</v>
      </c>
      <c r="L2528" s="14" t="str">
        <f>_xlfn.XLOOKUP(B2528,CAD_PDV!A:A,CAD_PDV!C:C)</f>
        <v>RS</v>
      </c>
      <c r="M2528" s="14" t="str">
        <f>IFERROR(_xlfn.XLOOKUP(B2528,repete!A:A,repete!A:A),"-")</f>
        <v>-</v>
      </c>
    </row>
    <row r="2529" spans="1:13" hidden="1">
      <c r="A2529" s="1">
        <v>46204</v>
      </c>
      <c r="B2529" t="s">
        <v>402</v>
      </c>
      <c r="C2529" t="s">
        <v>269</v>
      </c>
      <c r="D2529" t="s">
        <v>227</v>
      </c>
      <c r="E2529" t="s">
        <v>61</v>
      </c>
      <c r="F2529">
        <v>71</v>
      </c>
      <c r="G2529">
        <v>1</v>
      </c>
      <c r="H2529">
        <v>1.9916351324437401E-4</v>
      </c>
      <c r="I2529">
        <v>1.4084507042253501E-2</v>
      </c>
      <c r="J2529" s="14" t="str">
        <f>_xlfn.XLOOKUP(B2529,CAD_PDV!A:A,CAD_PDV!B:B)</f>
        <v>E-MEAN SERVICOS DE MARKETING DIRETO LTDA</v>
      </c>
      <c r="K2529" s="14">
        <f>IF(IFERROR(_xlfn.XLOOKUP(B2529,Planilha2!D:D,Planilha2!H:H),0)="SIM",1,0)</f>
        <v>0</v>
      </c>
      <c r="L2529" s="14" t="str">
        <f>_xlfn.XLOOKUP(B2529,CAD_PDV!A:A,CAD_PDV!C:C)</f>
        <v>NE</v>
      </c>
      <c r="M2529" s="14" t="str">
        <f>IFERROR(_xlfn.XLOOKUP(B2529,repete!A:A,repete!A:A),"-")</f>
        <v>-</v>
      </c>
    </row>
    <row r="2530" spans="1:13" hidden="1">
      <c r="A2530" s="1">
        <v>46204</v>
      </c>
      <c r="B2530" t="s">
        <v>1818</v>
      </c>
      <c r="C2530" t="s">
        <v>1817</v>
      </c>
      <c r="D2530" t="s">
        <v>95</v>
      </c>
      <c r="E2530" t="s">
        <v>2074</v>
      </c>
      <c r="F2530">
        <v>18</v>
      </c>
      <c r="G2530">
        <v>1</v>
      </c>
      <c r="H2530">
        <v>1.9916351324437401E-4</v>
      </c>
      <c r="I2530">
        <v>5.5555555555555601E-2</v>
      </c>
      <c r="J2530" s="14" t="str">
        <f>_xlfn.XLOOKUP(B2530,CAD_PDV!A:A,CAD_PDV!B:B)</f>
        <v>AYRES E DEBONI LTDA - ME</v>
      </c>
      <c r="K2530" s="14">
        <f>IF(IFERROR(_xlfn.XLOOKUP(B2530,Planilha2!D:D,Planilha2!H:H),0)="SIM",1,0)</f>
        <v>0</v>
      </c>
      <c r="L2530" s="14" t="str">
        <f>_xlfn.XLOOKUP(B2530,CAD_PDV!A:A,CAD_PDV!C:C)</f>
        <v>RS</v>
      </c>
      <c r="M2530" s="14" t="str">
        <f>IFERROR(_xlfn.XLOOKUP(B2530,repete!A:A,repete!A:A),"-")</f>
        <v>-</v>
      </c>
    </row>
    <row r="2531" spans="1:13" hidden="1">
      <c r="A2531" s="1">
        <v>46204</v>
      </c>
      <c r="B2531" t="s">
        <v>1267</v>
      </c>
      <c r="C2531" t="s">
        <v>1268</v>
      </c>
      <c r="D2531" t="s">
        <v>228</v>
      </c>
      <c r="E2531" t="s">
        <v>55</v>
      </c>
      <c r="F2531">
        <v>67</v>
      </c>
      <c r="G2531">
        <v>1</v>
      </c>
      <c r="H2531">
        <v>1.9916351324437401E-4</v>
      </c>
      <c r="I2531">
        <v>1.49253731343284E-2</v>
      </c>
      <c r="J2531" s="14" t="str">
        <f>_xlfn.XLOOKUP(B2531,CAD_PDV!A:A,CAD_PDV!B:B)</f>
        <v>FAJULUTI</v>
      </c>
      <c r="K2531" s="14">
        <f>IF(IFERROR(_xlfn.XLOOKUP(B2531,Planilha2!D:D,Planilha2!H:H),0)="SIM",1,0)</f>
        <v>0</v>
      </c>
      <c r="L2531" s="14" t="str">
        <f>_xlfn.XLOOKUP(B2531,CAD_PDV!A:A,CAD_PDV!C:C)</f>
        <v>RJ/ES</v>
      </c>
      <c r="M2531" s="14" t="str">
        <f>IFERROR(_xlfn.XLOOKUP(B2531,repete!A:A,repete!A:A),"-")</f>
        <v>-</v>
      </c>
    </row>
    <row r="2532" spans="1:13" hidden="1">
      <c r="A2532" s="1">
        <v>46204</v>
      </c>
      <c r="B2532" t="s">
        <v>1982</v>
      </c>
      <c r="C2532" t="s">
        <v>1983</v>
      </c>
      <c r="D2532" t="s">
        <v>97</v>
      </c>
      <c r="E2532" t="s">
        <v>2074</v>
      </c>
      <c r="F2532">
        <v>14</v>
      </c>
      <c r="G2532">
        <v>1</v>
      </c>
      <c r="H2532">
        <v>1.9916351324437401E-4</v>
      </c>
      <c r="I2532">
        <v>7.1428571428571397E-2</v>
      </c>
      <c r="J2532" s="14" t="str">
        <f>_xlfn.XLOOKUP(B2532,CAD_PDV!A:A,CAD_PDV!B:B)</f>
        <v>BANDEIRA</v>
      </c>
      <c r="K2532" s="14">
        <f>IF(IFERROR(_xlfn.XLOOKUP(B2532,Planilha2!D:D,Planilha2!H:H),0)="SIM",1,0)</f>
        <v>0</v>
      </c>
      <c r="L2532" s="14" t="str">
        <f>_xlfn.XLOOKUP(B2532,CAD_PDV!A:A,CAD_PDV!C:C)</f>
        <v>PR/SC</v>
      </c>
      <c r="M2532" s="14" t="str">
        <f>IFERROR(_xlfn.XLOOKUP(B2532,repete!A:A,repete!A:A),"-")</f>
        <v>-</v>
      </c>
    </row>
    <row r="2533" spans="1:13" hidden="1">
      <c r="A2533" s="1">
        <v>46204</v>
      </c>
      <c r="B2533" t="s">
        <v>1732</v>
      </c>
      <c r="C2533" t="s">
        <v>1593</v>
      </c>
      <c r="D2533" t="s">
        <v>106</v>
      </c>
      <c r="E2533" t="s">
        <v>54</v>
      </c>
      <c r="F2533">
        <v>45</v>
      </c>
      <c r="G2533">
        <v>1</v>
      </c>
      <c r="H2533">
        <v>1.9916351324437401E-4</v>
      </c>
      <c r="I2533">
        <v>2.2222222222222199E-2</v>
      </c>
      <c r="J2533" s="14" t="str">
        <f>_xlfn.XLOOKUP(B2533,CAD_PDV!A:A,CAD_PDV!B:B)</f>
        <v>CELLULAR.COM</v>
      </c>
      <c r="K2533" s="14">
        <f>IF(IFERROR(_xlfn.XLOOKUP(B2533,Planilha2!D:D,Planilha2!H:H),0)="SIM",1,0)</f>
        <v>0</v>
      </c>
      <c r="L2533" s="14" t="str">
        <f>_xlfn.XLOOKUP(B2533,CAD_PDV!A:A,CAD_PDV!C:C)</f>
        <v>SP2</v>
      </c>
      <c r="M2533" s="14" t="str">
        <f>IFERROR(_xlfn.XLOOKUP(B2533,repete!A:A,repete!A:A),"-")</f>
        <v>-</v>
      </c>
    </row>
    <row r="2534" spans="1:13" hidden="1">
      <c r="A2534" s="1">
        <v>46204</v>
      </c>
      <c r="B2534" t="s">
        <v>1270</v>
      </c>
      <c r="C2534" t="s">
        <v>1142</v>
      </c>
      <c r="D2534" t="s">
        <v>237</v>
      </c>
      <c r="E2534" t="s">
        <v>55</v>
      </c>
      <c r="F2534">
        <v>71</v>
      </c>
      <c r="G2534">
        <v>1</v>
      </c>
      <c r="H2534">
        <v>1.9916351324437401E-4</v>
      </c>
      <c r="I2534">
        <v>1.4084507042253501E-2</v>
      </c>
      <c r="J2534" s="14" t="str">
        <f>_xlfn.XLOOKUP(B2534,CAD_PDV!A:A,CAD_PDV!B:B)</f>
        <v>PONTO CERTO COMERCIO E COMUNICAÇÕES LTDA</v>
      </c>
      <c r="K2534" s="14">
        <f>IF(IFERROR(_xlfn.XLOOKUP(B2534,Planilha2!D:D,Planilha2!H:H),0)="SIM",1,0)</f>
        <v>0</v>
      </c>
      <c r="L2534" s="14" t="str">
        <f>_xlfn.XLOOKUP(B2534,CAD_PDV!A:A,CAD_PDV!C:C)</f>
        <v>RJ/ES</v>
      </c>
      <c r="M2534" s="14" t="str">
        <f>IFERROR(_xlfn.XLOOKUP(B2534,repete!A:A,repete!A:A),"-")</f>
        <v>-</v>
      </c>
    </row>
    <row r="2535" spans="1:13" hidden="1">
      <c r="A2535" s="1">
        <v>46204</v>
      </c>
      <c r="B2535" t="s">
        <v>1970</v>
      </c>
      <c r="C2535" t="s">
        <v>1971</v>
      </c>
      <c r="D2535" t="s">
        <v>124</v>
      </c>
      <c r="E2535" t="s">
        <v>2074</v>
      </c>
      <c r="F2535">
        <v>30</v>
      </c>
      <c r="G2535">
        <v>1</v>
      </c>
      <c r="H2535">
        <v>1.9916351324437401E-4</v>
      </c>
      <c r="I2535">
        <v>3.3333333333333298E-2</v>
      </c>
      <c r="J2535" s="14" t="str">
        <f>_xlfn.XLOOKUP(B2535,CAD_PDV!A:A,CAD_PDV!B:B)</f>
        <v>EDUARDO JUNQUEIRA DA SILVEIRA ADMIN</v>
      </c>
      <c r="K2535" s="14">
        <f>IF(IFERROR(_xlfn.XLOOKUP(B2535,Planilha2!D:D,Planilha2!H:H),0)="SIM",1,0)</f>
        <v>0</v>
      </c>
      <c r="L2535" s="14" t="str">
        <f>_xlfn.XLOOKUP(B2535,CAD_PDV!A:A,CAD_PDV!C:C)</f>
        <v>PR/SC</v>
      </c>
      <c r="M2535" s="14" t="str">
        <f>IFERROR(_xlfn.XLOOKUP(B2535,repete!A:A,repete!A:A),"-")</f>
        <v>-</v>
      </c>
    </row>
    <row r="2536" spans="1:13">
      <c r="A2536" s="1">
        <v>46235</v>
      </c>
      <c r="B2536" t="s">
        <v>1611</v>
      </c>
      <c r="C2536" t="s">
        <v>1527</v>
      </c>
      <c r="D2536" t="s">
        <v>232</v>
      </c>
      <c r="E2536" t="s">
        <v>54</v>
      </c>
      <c r="F2536">
        <v>147</v>
      </c>
      <c r="G2536">
        <v>50</v>
      </c>
      <c r="H2536">
        <v>1.3007284079084301E-2</v>
      </c>
      <c r="I2536">
        <v>0.36231884057970998</v>
      </c>
      <c r="J2536" s="14" t="str">
        <f>_xlfn.XLOOKUP(B2536,CAD_PDV!A:A,CAD_PDV!B:B)</f>
        <v>HS TELECOM</v>
      </c>
      <c r="K2536" s="14">
        <f>IF(IFERROR(_xlfn.XLOOKUP(B2536,Planilha2!D:D,Planilha2!H:H),0)="SIM",1,0)</f>
        <v>0</v>
      </c>
      <c r="L2536" s="14" t="str">
        <f>_xlfn.XLOOKUP(B2536,CAD_PDV!A:A,CAD_PDV!C:C)</f>
        <v>SP2</v>
      </c>
      <c r="M2536" s="14" t="str">
        <f>IFERROR(_xlfn.XLOOKUP(B2536,repete!A:A,repete!A:A),"-")</f>
        <v>-</v>
      </c>
    </row>
    <row r="2537" spans="1:13">
      <c r="A2537" s="1">
        <v>46235</v>
      </c>
      <c r="B2537" t="s">
        <v>548</v>
      </c>
      <c r="C2537" t="s">
        <v>475</v>
      </c>
      <c r="D2537" t="s">
        <v>228</v>
      </c>
      <c r="E2537" t="s">
        <v>56</v>
      </c>
      <c r="F2537">
        <v>82</v>
      </c>
      <c r="G2537">
        <v>46</v>
      </c>
      <c r="H2537">
        <v>1.19667013527575E-2</v>
      </c>
      <c r="I2537">
        <v>0.59740259740259705</v>
      </c>
      <c r="J2537" s="14" t="str">
        <f>_xlfn.XLOOKUP(B2537,CAD_PDV!A:A,CAD_PDV!B:B)</f>
        <v>FAJULUTI</v>
      </c>
      <c r="K2537" s="14">
        <f>IF(IFERROR(_xlfn.XLOOKUP(B2537,Planilha2!D:D,Planilha2!H:H),0)="SIM",1,0)</f>
        <v>0</v>
      </c>
      <c r="L2537" s="14" t="str">
        <f>_xlfn.XLOOKUP(B2537,CAD_PDV!A:A,CAD_PDV!C:C)</f>
        <v>MG</v>
      </c>
      <c r="M2537" s="14" t="str">
        <f>IFERROR(_xlfn.XLOOKUP(B2537,repete!A:A,repete!A:A),"-")</f>
        <v>-</v>
      </c>
    </row>
    <row r="2538" spans="1:13">
      <c r="A2538" s="1">
        <v>46235</v>
      </c>
      <c r="B2538" t="s">
        <v>897</v>
      </c>
      <c r="C2538" t="s">
        <v>873</v>
      </c>
      <c r="D2538" t="s">
        <v>224</v>
      </c>
      <c r="E2538" t="s">
        <v>59</v>
      </c>
      <c r="F2538">
        <v>120</v>
      </c>
      <c r="G2538">
        <v>39</v>
      </c>
      <c r="H2538">
        <v>1.01456815816857E-2</v>
      </c>
      <c r="I2538">
        <v>0.35779816513761498</v>
      </c>
      <c r="J2538" s="14" t="str">
        <f>_xlfn.XLOOKUP(B2538,CAD_PDV!A:A,CAD_PDV!B:B)</f>
        <v>CELNET COMERCIO E SERVICOS DE TELEFONIA LTDA ME</v>
      </c>
      <c r="K2538" s="14">
        <f>IF(IFERROR(_xlfn.XLOOKUP(B2538,Planilha2!D:D,Planilha2!H:H),0)="SIM",1,0)</f>
        <v>0</v>
      </c>
      <c r="L2538" s="14" t="str">
        <f>_xlfn.XLOOKUP(B2538,CAD_PDV!A:A,CAD_PDV!C:C)</f>
        <v>CO</v>
      </c>
      <c r="M2538" s="14" t="str">
        <f>IFERROR(_xlfn.XLOOKUP(B2538,repete!A:A,repete!A:A),"-")</f>
        <v>-</v>
      </c>
    </row>
    <row r="2539" spans="1:13">
      <c r="A2539" s="1">
        <v>46235</v>
      </c>
      <c r="B2539" t="s">
        <v>1496</v>
      </c>
      <c r="C2539" t="s">
        <v>1464</v>
      </c>
      <c r="D2539" t="s">
        <v>132</v>
      </c>
      <c r="E2539" t="s">
        <v>54</v>
      </c>
      <c r="F2539">
        <v>90</v>
      </c>
      <c r="G2539">
        <v>38</v>
      </c>
      <c r="H2539">
        <v>9.8855359001040598E-3</v>
      </c>
      <c r="I2539">
        <v>0.43181818181818199</v>
      </c>
      <c r="J2539" s="14" t="str">
        <f>_xlfn.XLOOKUP(B2539,CAD_PDV!A:A,CAD_PDV!B:B)</f>
        <v>FLEX CELL</v>
      </c>
      <c r="K2539" s="14">
        <f>IF(IFERROR(_xlfn.XLOOKUP(B2539,Planilha2!D:D,Planilha2!H:H),0)="SIM",1,0)</f>
        <v>0</v>
      </c>
      <c r="L2539" s="14" t="str">
        <f>_xlfn.XLOOKUP(B2539,CAD_PDV!A:A,CAD_PDV!C:C)</f>
        <v>SP2</v>
      </c>
      <c r="M2539" s="14" t="str">
        <f>IFERROR(_xlfn.XLOOKUP(B2539,repete!A:A,repete!A:A),"-")</f>
        <v>-</v>
      </c>
    </row>
    <row r="2540" spans="1:13">
      <c r="A2540" s="1">
        <v>46235</v>
      </c>
      <c r="B2540" t="s">
        <v>1672</v>
      </c>
      <c r="C2540" t="s">
        <v>1668</v>
      </c>
      <c r="D2540" t="s">
        <v>232</v>
      </c>
      <c r="E2540" t="s">
        <v>54</v>
      </c>
      <c r="F2540">
        <v>93</v>
      </c>
      <c r="G2540">
        <v>37</v>
      </c>
      <c r="H2540">
        <v>9.6253902185223696E-3</v>
      </c>
      <c r="I2540">
        <v>0.435294117647059</v>
      </c>
      <c r="J2540" s="14" t="str">
        <f>_xlfn.XLOOKUP(B2540,CAD_PDV!A:A,CAD_PDV!B:B)</f>
        <v>HS TELECOM</v>
      </c>
      <c r="K2540" s="14">
        <f>IF(IFERROR(_xlfn.XLOOKUP(B2540,Planilha2!D:D,Planilha2!H:H),0)="SIM",1,0)</f>
        <v>0</v>
      </c>
      <c r="L2540" s="14" t="str">
        <f>_xlfn.XLOOKUP(B2540,CAD_PDV!A:A,CAD_PDV!C:C)</f>
        <v>SP2</v>
      </c>
      <c r="M2540" s="14" t="str">
        <f>IFERROR(_xlfn.XLOOKUP(B2540,repete!A:A,repete!A:A),"-")</f>
        <v>-</v>
      </c>
    </row>
    <row r="2541" spans="1:13">
      <c r="A2541" s="1">
        <v>46235</v>
      </c>
      <c r="B2541" t="s">
        <v>1372</v>
      </c>
      <c r="C2541" t="s">
        <v>1313</v>
      </c>
      <c r="D2541" t="s">
        <v>132</v>
      </c>
      <c r="E2541" t="s">
        <v>53</v>
      </c>
      <c r="F2541">
        <v>145</v>
      </c>
      <c r="G2541">
        <v>37</v>
      </c>
      <c r="H2541">
        <v>9.6253902185223696E-3</v>
      </c>
      <c r="I2541">
        <v>0.27611940298507498</v>
      </c>
      <c r="J2541" s="14" t="str">
        <f>_xlfn.XLOOKUP(B2541,CAD_PDV!A:A,CAD_PDV!B:B)</f>
        <v>FLEX CELL</v>
      </c>
      <c r="K2541" s="14">
        <f>IF(IFERROR(_xlfn.XLOOKUP(B2541,Planilha2!D:D,Planilha2!H:H),0)="SIM",1,0)</f>
        <v>0</v>
      </c>
      <c r="L2541" s="14" t="str">
        <f>_xlfn.XLOOKUP(B2541,CAD_PDV!A:A,CAD_PDV!C:C)</f>
        <v>SP1</v>
      </c>
      <c r="M2541" s="14" t="str">
        <f>IFERROR(_xlfn.XLOOKUP(B2541,repete!A:A,repete!A:A),"-")</f>
        <v>-</v>
      </c>
    </row>
    <row r="2542" spans="1:13">
      <c r="A2542" s="1">
        <v>46235</v>
      </c>
      <c r="B2542" t="s">
        <v>1689</v>
      </c>
      <c r="C2542" t="s">
        <v>1527</v>
      </c>
      <c r="D2542" t="s">
        <v>232</v>
      </c>
      <c r="E2542" t="s">
        <v>54</v>
      </c>
      <c r="F2542">
        <v>79</v>
      </c>
      <c r="G2542">
        <v>36</v>
      </c>
      <c r="H2542">
        <v>9.3652445369406898E-3</v>
      </c>
      <c r="I2542">
        <v>0.49315068493150699</v>
      </c>
      <c r="J2542" s="14" t="str">
        <f>_xlfn.XLOOKUP(B2542,CAD_PDV!A:A,CAD_PDV!B:B)</f>
        <v>HS TELECOM</v>
      </c>
      <c r="K2542" s="14">
        <f>IF(IFERROR(_xlfn.XLOOKUP(B2542,Planilha2!D:D,Planilha2!H:H),0)="SIM",1,0)</f>
        <v>0</v>
      </c>
      <c r="L2542" s="14" t="str">
        <f>_xlfn.XLOOKUP(B2542,CAD_PDV!A:A,CAD_PDV!C:C)</f>
        <v>SP2</v>
      </c>
      <c r="M2542" s="14" t="str">
        <f>IFERROR(_xlfn.XLOOKUP(B2542,repete!A:A,repete!A:A),"-")</f>
        <v>-</v>
      </c>
    </row>
    <row r="2543" spans="1:13">
      <c r="A2543" s="1">
        <v>46235</v>
      </c>
      <c r="B2543" t="s">
        <v>1571</v>
      </c>
      <c r="C2543" t="s">
        <v>1535</v>
      </c>
      <c r="D2543" t="s">
        <v>232</v>
      </c>
      <c r="E2543" t="s">
        <v>54</v>
      </c>
      <c r="F2543">
        <v>73</v>
      </c>
      <c r="G2543">
        <v>35</v>
      </c>
      <c r="H2543">
        <v>9.1050988553589996E-3</v>
      </c>
      <c r="I2543">
        <v>0.48611111111111099</v>
      </c>
      <c r="J2543" s="14" t="str">
        <f>_xlfn.XLOOKUP(B2543,CAD_PDV!A:A,CAD_PDV!B:B)</f>
        <v>HS TELECOM</v>
      </c>
      <c r="K2543" s="14">
        <f>IF(IFERROR(_xlfn.XLOOKUP(B2543,Planilha2!D:D,Planilha2!H:H),0)="SIM",1,0)</f>
        <v>0</v>
      </c>
      <c r="L2543" s="14" t="str">
        <f>_xlfn.XLOOKUP(B2543,CAD_PDV!A:A,CAD_PDV!C:C)</f>
        <v>SP2</v>
      </c>
      <c r="M2543" s="14" t="str">
        <f>IFERROR(_xlfn.XLOOKUP(B2543,repete!A:A,repete!A:A),"-")</f>
        <v>-</v>
      </c>
    </row>
    <row r="2544" spans="1:13">
      <c r="A2544" s="1">
        <v>46235</v>
      </c>
      <c r="B2544" t="s">
        <v>1662</v>
      </c>
      <c r="C2544" t="s">
        <v>1663</v>
      </c>
      <c r="D2544" t="s">
        <v>232</v>
      </c>
      <c r="E2544" t="s">
        <v>54</v>
      </c>
      <c r="F2544">
        <v>76</v>
      </c>
      <c r="G2544">
        <v>35</v>
      </c>
      <c r="H2544">
        <v>9.1050988553589996E-3</v>
      </c>
      <c r="I2544">
        <v>0.49295774647887303</v>
      </c>
      <c r="J2544" s="14" t="str">
        <f>_xlfn.XLOOKUP(B2544,CAD_PDV!A:A,CAD_PDV!B:B)</f>
        <v>HS TELECOM</v>
      </c>
      <c r="K2544" s="14">
        <f>IF(IFERROR(_xlfn.XLOOKUP(B2544,Planilha2!D:D,Planilha2!H:H),0)="SIM",1,0)</f>
        <v>0</v>
      </c>
      <c r="L2544" s="14" t="str">
        <f>_xlfn.XLOOKUP(B2544,CAD_PDV!A:A,CAD_PDV!C:C)</f>
        <v>SP2</v>
      </c>
      <c r="M2544" s="14" t="str">
        <f>IFERROR(_xlfn.XLOOKUP(B2544,repete!A:A,repete!A:A),"-")</f>
        <v>-</v>
      </c>
    </row>
    <row r="2545" spans="1:13">
      <c r="A2545" s="1">
        <v>46235</v>
      </c>
      <c r="B2545" t="s">
        <v>1716</v>
      </c>
      <c r="C2545" t="s">
        <v>1663</v>
      </c>
      <c r="D2545" t="s">
        <v>232</v>
      </c>
      <c r="E2545" t="s">
        <v>54</v>
      </c>
      <c r="F2545">
        <v>102</v>
      </c>
      <c r="G2545">
        <v>34</v>
      </c>
      <c r="H2545">
        <v>8.8449531737773094E-3</v>
      </c>
      <c r="I2545">
        <v>0.34343434343434298</v>
      </c>
      <c r="J2545" s="14" t="str">
        <f>_xlfn.XLOOKUP(B2545,CAD_PDV!A:A,CAD_PDV!B:B)</f>
        <v>HS TELECOM</v>
      </c>
      <c r="K2545" s="14">
        <f>IF(IFERROR(_xlfn.XLOOKUP(B2545,Planilha2!D:D,Planilha2!H:H),0)="SIM",1,0)</f>
        <v>0</v>
      </c>
      <c r="L2545" s="14" t="str">
        <f>_xlfn.XLOOKUP(B2545,CAD_PDV!A:A,CAD_PDV!C:C)</f>
        <v>SP2</v>
      </c>
      <c r="M2545" s="14" t="str">
        <f>IFERROR(_xlfn.XLOOKUP(B2545,repete!A:A,repete!A:A),"-")</f>
        <v>-</v>
      </c>
    </row>
    <row r="2546" spans="1:13">
      <c r="A2546" s="1">
        <v>46235</v>
      </c>
      <c r="B2546" t="s">
        <v>1181</v>
      </c>
      <c r="C2546" t="s">
        <v>1182</v>
      </c>
      <c r="D2546" t="s">
        <v>228</v>
      </c>
      <c r="E2546" t="s">
        <v>55</v>
      </c>
      <c r="F2546">
        <v>140</v>
      </c>
      <c r="G2546">
        <v>32</v>
      </c>
      <c r="H2546">
        <v>8.3246618106139394E-3</v>
      </c>
      <c r="I2546">
        <v>0.23529411764705899</v>
      </c>
      <c r="J2546" s="14" t="str">
        <f>_xlfn.XLOOKUP(B2546,CAD_PDV!A:A,CAD_PDV!B:B)</f>
        <v>FAJULUTI</v>
      </c>
      <c r="K2546" s="14">
        <f>IF(IFERROR(_xlfn.XLOOKUP(B2546,Planilha2!D:D,Planilha2!H:H),0)="SIM",1,0)</f>
        <v>0</v>
      </c>
      <c r="L2546" s="14" t="str">
        <f>_xlfn.XLOOKUP(B2546,CAD_PDV!A:A,CAD_PDV!C:C)</f>
        <v>RJ/ES</v>
      </c>
      <c r="M2546" s="14" t="str">
        <f>IFERROR(_xlfn.XLOOKUP(B2546,repete!A:A,repete!A:A),"-")</f>
        <v>-</v>
      </c>
    </row>
    <row r="2547" spans="1:13">
      <c r="A2547" s="1">
        <v>46235</v>
      </c>
      <c r="B2547" t="s">
        <v>552</v>
      </c>
      <c r="C2547" t="s">
        <v>483</v>
      </c>
      <c r="D2547" t="s">
        <v>228</v>
      </c>
      <c r="E2547" t="s">
        <v>56</v>
      </c>
      <c r="F2547">
        <v>49</v>
      </c>
      <c r="G2547">
        <v>32</v>
      </c>
      <c r="H2547">
        <v>8.3246618106139394E-3</v>
      </c>
      <c r="I2547">
        <v>0.680851063829787</v>
      </c>
      <c r="J2547" s="14" t="str">
        <f>_xlfn.XLOOKUP(B2547,CAD_PDV!A:A,CAD_PDV!B:B)</f>
        <v>FAJULUTI</v>
      </c>
      <c r="K2547" s="14">
        <f>IF(IFERROR(_xlfn.XLOOKUP(B2547,Planilha2!D:D,Planilha2!H:H),0)="SIM",1,0)</f>
        <v>0</v>
      </c>
      <c r="L2547" s="14" t="str">
        <f>_xlfn.XLOOKUP(B2547,CAD_PDV!A:A,CAD_PDV!C:C)</f>
        <v>MG</v>
      </c>
      <c r="M2547" s="14" t="str">
        <f>IFERROR(_xlfn.XLOOKUP(B2547,repete!A:A,repete!A:A),"-")</f>
        <v>-</v>
      </c>
    </row>
    <row r="2548" spans="1:13">
      <c r="A2548" s="1">
        <v>46235</v>
      </c>
      <c r="B2548" t="s">
        <v>1139</v>
      </c>
      <c r="C2548" t="s">
        <v>1142</v>
      </c>
      <c r="D2548" t="s">
        <v>228</v>
      </c>
      <c r="E2548" t="s">
        <v>55</v>
      </c>
      <c r="F2548">
        <v>97</v>
      </c>
      <c r="G2548">
        <v>31</v>
      </c>
      <c r="H2548">
        <v>8.0645161290322596E-3</v>
      </c>
      <c r="I2548">
        <v>0.340659340659341</v>
      </c>
      <c r="J2548" s="14" t="str">
        <f>_xlfn.XLOOKUP(B2548,CAD_PDV!A:A,CAD_PDV!B:B)</f>
        <v>FAJULUTI</v>
      </c>
      <c r="K2548" s="14">
        <f>IF(IFERROR(_xlfn.XLOOKUP(B2548,Planilha2!D:D,Planilha2!H:H),0)="SIM",1,0)</f>
        <v>0</v>
      </c>
      <c r="L2548" s="14" t="str">
        <f>_xlfn.XLOOKUP(B2548,CAD_PDV!A:A,CAD_PDV!C:C)</f>
        <v>RJ/ES</v>
      </c>
      <c r="M2548" s="14" t="str">
        <f>IFERROR(_xlfn.XLOOKUP(B2548,repete!A:A,repete!A:A),"-")</f>
        <v>-</v>
      </c>
    </row>
    <row r="2549" spans="1:13">
      <c r="A2549" s="1">
        <v>46235</v>
      </c>
      <c r="B2549" t="s">
        <v>1602</v>
      </c>
      <c r="C2549" t="s">
        <v>1489</v>
      </c>
      <c r="D2549" t="s">
        <v>232</v>
      </c>
      <c r="E2549" t="s">
        <v>54</v>
      </c>
      <c r="F2549">
        <v>59</v>
      </c>
      <c r="G2549">
        <v>31</v>
      </c>
      <c r="H2549">
        <v>8.0645161290322596E-3</v>
      </c>
      <c r="I2549">
        <v>0.53448275862068995</v>
      </c>
      <c r="J2549" s="14" t="str">
        <f>_xlfn.XLOOKUP(B2549,CAD_PDV!A:A,CAD_PDV!B:B)</f>
        <v>HS TELECOM</v>
      </c>
      <c r="K2549" s="14">
        <f>IF(IFERROR(_xlfn.XLOOKUP(B2549,Planilha2!D:D,Planilha2!H:H),0)="SIM",1,0)</f>
        <v>0</v>
      </c>
      <c r="L2549" s="14" t="str">
        <f>_xlfn.XLOOKUP(B2549,CAD_PDV!A:A,CAD_PDV!C:C)</f>
        <v>SP2</v>
      </c>
      <c r="M2549" s="14" t="str">
        <f>IFERROR(_xlfn.XLOOKUP(B2549,repete!A:A,repete!A:A),"-")</f>
        <v>-</v>
      </c>
    </row>
    <row r="2550" spans="1:13">
      <c r="A2550" s="1">
        <v>46235</v>
      </c>
      <c r="B2550" t="s">
        <v>1756</v>
      </c>
      <c r="C2550" t="s">
        <v>1757</v>
      </c>
      <c r="D2550" t="s">
        <v>124</v>
      </c>
      <c r="E2550" t="s">
        <v>2074</v>
      </c>
      <c r="F2550">
        <v>100</v>
      </c>
      <c r="G2550">
        <v>31</v>
      </c>
      <c r="H2550">
        <v>8.0645161290322596E-3</v>
      </c>
      <c r="I2550">
        <v>0.326315789473684</v>
      </c>
      <c r="J2550" s="14" t="str">
        <f>_xlfn.XLOOKUP(B2550,CAD_PDV!A:A,CAD_PDV!B:B)</f>
        <v>EDUARDO JUNQUEIRA DA SILVEIRA ADMIN</v>
      </c>
      <c r="K2550" s="14">
        <f>IF(IFERROR(_xlfn.XLOOKUP(B2550,Planilha2!D:D,Planilha2!H:H),0)="SIM",1,0)</f>
        <v>0</v>
      </c>
      <c r="L2550" s="14" t="str">
        <f>_xlfn.XLOOKUP(B2550,CAD_PDV!A:A,CAD_PDV!C:C)</f>
        <v>RS</v>
      </c>
      <c r="M2550" s="14" t="str">
        <f>IFERROR(_xlfn.XLOOKUP(B2550,repete!A:A,repete!A:A),"-")</f>
        <v>-</v>
      </c>
    </row>
    <row r="2551" spans="1:13">
      <c r="A2551" s="1">
        <v>46235</v>
      </c>
      <c r="B2551" t="s">
        <v>1217</v>
      </c>
      <c r="C2551" t="s">
        <v>1152</v>
      </c>
      <c r="D2551" t="s">
        <v>228</v>
      </c>
      <c r="E2551" t="s">
        <v>55</v>
      </c>
      <c r="F2551">
        <v>72</v>
      </c>
      <c r="G2551">
        <v>30</v>
      </c>
      <c r="H2551">
        <v>7.8043704474505702E-3</v>
      </c>
      <c r="I2551">
        <v>0.46875</v>
      </c>
      <c r="J2551" s="14" t="str">
        <f>_xlfn.XLOOKUP(B2551,CAD_PDV!A:A,CAD_PDV!B:B)</f>
        <v>FAJULUTI</v>
      </c>
      <c r="K2551" s="14">
        <f>IF(IFERROR(_xlfn.XLOOKUP(B2551,Planilha2!D:D,Planilha2!H:H),0)="SIM",1,0)</f>
        <v>0</v>
      </c>
      <c r="L2551" s="14" t="str">
        <f>_xlfn.XLOOKUP(B2551,CAD_PDV!A:A,CAD_PDV!C:C)</f>
        <v>RJ/ES</v>
      </c>
      <c r="M2551" s="14" t="str">
        <f>IFERROR(_xlfn.XLOOKUP(B2551,repete!A:A,repete!A:A),"-")</f>
        <v>-</v>
      </c>
    </row>
    <row r="2552" spans="1:13">
      <c r="A2552" s="1">
        <v>46235</v>
      </c>
      <c r="B2552" t="s">
        <v>888</v>
      </c>
      <c r="C2552" t="s">
        <v>873</v>
      </c>
      <c r="D2552" t="s">
        <v>224</v>
      </c>
      <c r="E2552" t="s">
        <v>59</v>
      </c>
      <c r="F2552">
        <v>105</v>
      </c>
      <c r="G2552">
        <v>30</v>
      </c>
      <c r="H2552">
        <v>7.8043704474505702E-3</v>
      </c>
      <c r="I2552">
        <v>0.29411764705882398</v>
      </c>
      <c r="J2552" s="14" t="str">
        <f>_xlfn.XLOOKUP(B2552,CAD_PDV!A:A,CAD_PDV!B:B)</f>
        <v>CELNET COMERCIO E SERVICOS DE TELEFONIA LTDA ME</v>
      </c>
      <c r="K2552" s="14">
        <f>IF(IFERROR(_xlfn.XLOOKUP(B2552,Planilha2!D:D,Planilha2!H:H),0)="SIM",1,0)</f>
        <v>0</v>
      </c>
      <c r="L2552" s="14" t="str">
        <f>_xlfn.XLOOKUP(B2552,CAD_PDV!A:A,CAD_PDV!C:C)</f>
        <v>CO</v>
      </c>
      <c r="M2552" s="14" t="str">
        <f>IFERROR(_xlfn.XLOOKUP(B2552,repete!A:A,repete!A:A),"-")</f>
        <v>-</v>
      </c>
    </row>
    <row r="2553" spans="1:13">
      <c r="A2553" s="1">
        <v>46235</v>
      </c>
      <c r="B2553" t="s">
        <v>352</v>
      </c>
      <c r="C2553" t="s">
        <v>261</v>
      </c>
      <c r="D2553" t="s">
        <v>238</v>
      </c>
      <c r="E2553" t="s">
        <v>61</v>
      </c>
      <c r="F2553">
        <v>72</v>
      </c>
      <c r="G2553">
        <v>30</v>
      </c>
      <c r="H2553">
        <v>7.8043704474505702E-3</v>
      </c>
      <c r="I2553">
        <v>0.441176470588235</v>
      </c>
      <c r="J2553" s="14" t="str">
        <f>_xlfn.XLOOKUP(B2553,CAD_PDV!A:A,CAD_PDV!B:B)</f>
        <v>R &amp; R HIPER COMERCIO LTDA</v>
      </c>
      <c r="K2553" s="14">
        <f>IF(IFERROR(_xlfn.XLOOKUP(B2553,Planilha2!D:D,Planilha2!H:H),0)="SIM",1,0)</f>
        <v>0</v>
      </c>
      <c r="L2553" s="14" t="str">
        <f>_xlfn.XLOOKUP(B2553,CAD_PDV!A:A,CAD_PDV!C:C)</f>
        <v>NE</v>
      </c>
      <c r="M2553" s="14" t="str">
        <f>IFERROR(_xlfn.XLOOKUP(B2553,repete!A:A,repete!A:A),"-")</f>
        <v>-</v>
      </c>
    </row>
    <row r="2554" spans="1:13">
      <c r="A2554" s="1">
        <v>46235</v>
      </c>
      <c r="B2554" t="s">
        <v>1660</v>
      </c>
      <c r="C2554" t="s">
        <v>1661</v>
      </c>
      <c r="D2554" t="s">
        <v>232</v>
      </c>
      <c r="E2554" t="s">
        <v>54</v>
      </c>
      <c r="F2554">
        <v>48</v>
      </c>
      <c r="G2554">
        <v>30</v>
      </c>
      <c r="H2554">
        <v>7.8043704474505702E-3</v>
      </c>
      <c r="I2554">
        <v>0.66666666666666696</v>
      </c>
      <c r="J2554" s="14" t="str">
        <f>_xlfn.XLOOKUP(B2554,CAD_PDV!A:A,CAD_PDV!B:B)</f>
        <v>HS TELECOM</v>
      </c>
      <c r="K2554" s="14">
        <f>IF(IFERROR(_xlfn.XLOOKUP(B2554,Planilha2!D:D,Planilha2!H:H),0)="SIM",1,0)</f>
        <v>0</v>
      </c>
      <c r="L2554" s="14" t="str">
        <f>_xlfn.XLOOKUP(B2554,CAD_PDV!A:A,CAD_PDV!C:C)</f>
        <v>SP2</v>
      </c>
      <c r="M2554" s="14" t="str">
        <f>IFERROR(_xlfn.XLOOKUP(B2554,repete!A:A,repete!A:A),"-")</f>
        <v>-</v>
      </c>
    </row>
    <row r="2555" spans="1:13">
      <c r="A2555" s="1">
        <v>46235</v>
      </c>
      <c r="B2555" t="s">
        <v>1675</v>
      </c>
      <c r="C2555" t="s">
        <v>1676</v>
      </c>
      <c r="D2555" t="s">
        <v>232</v>
      </c>
      <c r="E2555" t="s">
        <v>54</v>
      </c>
      <c r="F2555">
        <v>72</v>
      </c>
      <c r="G2555">
        <v>30</v>
      </c>
      <c r="H2555">
        <v>7.8043704474505702E-3</v>
      </c>
      <c r="I2555">
        <v>0.44776119402985098</v>
      </c>
      <c r="J2555" s="14" t="str">
        <f>_xlfn.XLOOKUP(B2555,CAD_PDV!A:A,CAD_PDV!B:B)</f>
        <v>HS TELECOM</v>
      </c>
      <c r="K2555" s="14">
        <f>IF(IFERROR(_xlfn.XLOOKUP(B2555,Planilha2!D:D,Planilha2!H:H),0)="SIM",1,0)</f>
        <v>0</v>
      </c>
      <c r="L2555" s="14" t="str">
        <f>_xlfn.XLOOKUP(B2555,CAD_PDV!A:A,CAD_PDV!C:C)</f>
        <v>SP2</v>
      </c>
      <c r="M2555" s="14" t="str">
        <f>IFERROR(_xlfn.XLOOKUP(B2555,repete!A:A,repete!A:A),"-")</f>
        <v>-</v>
      </c>
    </row>
    <row r="2556" spans="1:13">
      <c r="A2556" s="1">
        <v>46235</v>
      </c>
      <c r="B2556" t="s">
        <v>1680</v>
      </c>
      <c r="C2556" t="s">
        <v>1676</v>
      </c>
      <c r="D2556" t="s">
        <v>232</v>
      </c>
      <c r="E2556" t="s">
        <v>54</v>
      </c>
      <c r="F2556">
        <v>90</v>
      </c>
      <c r="G2556">
        <v>29</v>
      </c>
      <c r="H2556">
        <v>7.5442247658688904E-3</v>
      </c>
      <c r="I2556">
        <v>0.353658536585366</v>
      </c>
      <c r="J2556" s="14" t="str">
        <f>_xlfn.XLOOKUP(B2556,CAD_PDV!A:A,CAD_PDV!B:B)</f>
        <v>HS TELECOM</v>
      </c>
      <c r="K2556" s="14">
        <f>IF(IFERROR(_xlfn.XLOOKUP(B2556,Planilha2!D:D,Planilha2!H:H),0)="SIM",1,0)</f>
        <v>0</v>
      </c>
      <c r="L2556" s="14" t="str">
        <f>_xlfn.XLOOKUP(B2556,CAD_PDV!A:A,CAD_PDV!C:C)</f>
        <v>SP2</v>
      </c>
      <c r="M2556" s="14" t="str">
        <f>IFERROR(_xlfn.XLOOKUP(B2556,repete!A:A,repete!A:A),"-")</f>
        <v>-</v>
      </c>
    </row>
    <row r="2557" spans="1:13">
      <c r="A2557" s="1">
        <v>46235</v>
      </c>
      <c r="B2557" t="s">
        <v>984</v>
      </c>
      <c r="C2557" t="s">
        <v>940</v>
      </c>
      <c r="D2557" t="s">
        <v>232</v>
      </c>
      <c r="E2557" t="s">
        <v>60</v>
      </c>
      <c r="F2557">
        <v>58</v>
      </c>
      <c r="G2557">
        <v>28</v>
      </c>
      <c r="H2557">
        <v>7.2840790842872002E-3</v>
      </c>
      <c r="I2557">
        <v>0.50909090909090904</v>
      </c>
      <c r="J2557" s="14" t="str">
        <f>_xlfn.XLOOKUP(B2557,CAD_PDV!A:A,CAD_PDV!B:B)</f>
        <v>HS TELECOM</v>
      </c>
      <c r="K2557" s="14">
        <f>IF(IFERROR(_xlfn.XLOOKUP(B2557,Planilha2!D:D,Planilha2!H:H),0)="SIM",1,0)</f>
        <v>0</v>
      </c>
      <c r="L2557" s="14" t="str">
        <f>_xlfn.XLOOKUP(B2557,CAD_PDV!A:A,CAD_PDV!C:C)</f>
        <v>BA/SE</v>
      </c>
      <c r="M2557" s="14" t="str">
        <f>IFERROR(_xlfn.XLOOKUP(B2557,repete!A:A,repete!A:A),"-")</f>
        <v>-</v>
      </c>
    </row>
    <row r="2558" spans="1:13">
      <c r="A2558" s="1">
        <v>46235</v>
      </c>
      <c r="B2558" t="s">
        <v>1564</v>
      </c>
      <c r="C2558" t="s">
        <v>1566</v>
      </c>
      <c r="D2558" t="s">
        <v>232</v>
      </c>
      <c r="E2558" t="s">
        <v>54</v>
      </c>
      <c r="F2558">
        <v>49</v>
      </c>
      <c r="G2558">
        <v>28</v>
      </c>
      <c r="H2558">
        <v>7.2840790842872002E-3</v>
      </c>
      <c r="I2558">
        <v>0.58333333333333304</v>
      </c>
      <c r="J2558" s="14" t="str">
        <f>_xlfn.XLOOKUP(B2558,CAD_PDV!A:A,CAD_PDV!B:B)</f>
        <v>HS TELECOM</v>
      </c>
      <c r="K2558" s="14">
        <f>IF(IFERROR(_xlfn.XLOOKUP(B2558,Planilha2!D:D,Planilha2!H:H),0)="SIM",1,0)</f>
        <v>0</v>
      </c>
      <c r="L2558" s="14" t="str">
        <f>_xlfn.XLOOKUP(B2558,CAD_PDV!A:A,CAD_PDV!C:C)</f>
        <v>SP2</v>
      </c>
      <c r="M2558" s="14" t="str">
        <f>IFERROR(_xlfn.XLOOKUP(B2558,repete!A:A,repete!A:A),"-")</f>
        <v>-</v>
      </c>
    </row>
    <row r="2559" spans="1:13">
      <c r="A2559" s="1">
        <v>46235</v>
      </c>
      <c r="B2559" t="s">
        <v>1164</v>
      </c>
      <c r="C2559" t="s">
        <v>1142</v>
      </c>
      <c r="D2559" t="s">
        <v>237</v>
      </c>
      <c r="E2559" t="s">
        <v>55</v>
      </c>
      <c r="F2559">
        <v>70</v>
      </c>
      <c r="G2559">
        <v>28</v>
      </c>
      <c r="H2559">
        <v>7.2840790842872002E-3</v>
      </c>
      <c r="I2559">
        <v>0.405797101449275</v>
      </c>
      <c r="J2559" s="14" t="str">
        <f>_xlfn.XLOOKUP(B2559,CAD_PDV!A:A,CAD_PDV!B:B)</f>
        <v>PONTO CERTO COMERCIO E COMUNICAÇÕES LTDA</v>
      </c>
      <c r="K2559" s="14">
        <f>IF(IFERROR(_xlfn.XLOOKUP(B2559,Planilha2!D:D,Planilha2!H:H),0)="SIM",1,0)</f>
        <v>0</v>
      </c>
      <c r="L2559" s="14" t="str">
        <f>_xlfn.XLOOKUP(B2559,CAD_PDV!A:A,CAD_PDV!C:C)</f>
        <v>RJ/ES</v>
      </c>
      <c r="M2559" s="14" t="str">
        <f>IFERROR(_xlfn.XLOOKUP(B2559,repete!A:A,repete!A:A),"-")</f>
        <v>-</v>
      </c>
    </row>
    <row r="2560" spans="1:13">
      <c r="A2560" s="1">
        <v>46235</v>
      </c>
      <c r="B2560" t="s">
        <v>1171</v>
      </c>
      <c r="C2560" t="s">
        <v>1142</v>
      </c>
      <c r="D2560" t="s">
        <v>228</v>
      </c>
      <c r="E2560" t="s">
        <v>55</v>
      </c>
      <c r="F2560">
        <v>54</v>
      </c>
      <c r="G2560">
        <v>28</v>
      </c>
      <c r="H2560">
        <v>7.2840790842872002E-3</v>
      </c>
      <c r="I2560">
        <v>0.56000000000000005</v>
      </c>
      <c r="J2560" s="14" t="str">
        <f>_xlfn.XLOOKUP(B2560,CAD_PDV!A:A,CAD_PDV!B:B)</f>
        <v>FAJULUTI</v>
      </c>
      <c r="K2560" s="14">
        <f>IF(IFERROR(_xlfn.XLOOKUP(B2560,Planilha2!D:D,Planilha2!H:H),0)="SIM",1,0)</f>
        <v>0</v>
      </c>
      <c r="L2560" s="14" t="str">
        <f>_xlfn.XLOOKUP(B2560,CAD_PDV!A:A,CAD_PDV!C:C)</f>
        <v>RJ/ES</v>
      </c>
      <c r="M2560" s="14" t="str">
        <f>IFERROR(_xlfn.XLOOKUP(B2560,repete!A:A,repete!A:A),"-")</f>
        <v>-</v>
      </c>
    </row>
    <row r="2561" spans="1:13">
      <c r="A2561" s="1">
        <v>46235</v>
      </c>
      <c r="B2561" t="s">
        <v>279</v>
      </c>
      <c r="C2561" t="s">
        <v>265</v>
      </c>
      <c r="D2561" t="s">
        <v>230</v>
      </c>
      <c r="E2561" t="s">
        <v>61</v>
      </c>
      <c r="F2561">
        <v>68</v>
      </c>
      <c r="G2561">
        <v>27</v>
      </c>
      <c r="H2561">
        <v>7.0239334027055204E-3</v>
      </c>
      <c r="I2561">
        <v>0.41538461538461502</v>
      </c>
      <c r="J2561" s="14" t="str">
        <f>_xlfn.XLOOKUP(B2561,CAD_PDV!A:A,CAD_PDV!B:B)</f>
        <v>HARCOS COMERCIO E SERVICOS LTDA - EPP</v>
      </c>
      <c r="K2561" s="14">
        <f>IF(IFERROR(_xlfn.XLOOKUP(B2561,Planilha2!D:D,Planilha2!H:H),0)="SIM",1,0)</f>
        <v>0</v>
      </c>
      <c r="L2561" s="14" t="str">
        <f>_xlfn.XLOOKUP(B2561,CAD_PDV!A:A,CAD_PDV!C:C)</f>
        <v>NE</v>
      </c>
      <c r="M2561" s="14" t="str">
        <f>IFERROR(_xlfn.XLOOKUP(B2561,repete!A:A,repete!A:A),"-")</f>
        <v>-</v>
      </c>
    </row>
    <row r="2562" spans="1:13">
      <c r="A2562" s="1">
        <v>46235</v>
      </c>
      <c r="B2562" t="s">
        <v>1548</v>
      </c>
      <c r="C2562" t="s">
        <v>1545</v>
      </c>
      <c r="D2562" t="s">
        <v>232</v>
      </c>
      <c r="E2562" t="s">
        <v>54</v>
      </c>
      <c r="F2562">
        <v>46</v>
      </c>
      <c r="G2562">
        <v>26</v>
      </c>
      <c r="H2562">
        <v>6.7637877211238302E-3</v>
      </c>
      <c r="I2562">
        <v>0.59090909090909105</v>
      </c>
      <c r="J2562" s="14" t="str">
        <f>_xlfn.XLOOKUP(B2562,CAD_PDV!A:A,CAD_PDV!B:B)</f>
        <v>HS TELECOM</v>
      </c>
      <c r="K2562" s="14">
        <f>IF(IFERROR(_xlfn.XLOOKUP(B2562,Planilha2!D:D,Planilha2!H:H),0)="SIM",1,0)</f>
        <v>0</v>
      </c>
      <c r="L2562" s="14" t="str">
        <f>_xlfn.XLOOKUP(B2562,CAD_PDV!A:A,CAD_PDV!C:C)</f>
        <v>SP2</v>
      </c>
      <c r="M2562" s="14" t="str">
        <f>IFERROR(_xlfn.XLOOKUP(B2562,repete!A:A,repete!A:A),"-")</f>
        <v>-</v>
      </c>
    </row>
    <row r="2563" spans="1:13">
      <c r="A2563" s="1">
        <v>46235</v>
      </c>
      <c r="B2563" t="s">
        <v>280</v>
      </c>
      <c r="C2563" t="s">
        <v>265</v>
      </c>
      <c r="D2563" t="s">
        <v>230</v>
      </c>
      <c r="E2563" t="s">
        <v>61</v>
      </c>
      <c r="F2563">
        <v>104</v>
      </c>
      <c r="G2563">
        <v>26</v>
      </c>
      <c r="H2563">
        <v>6.7637877211238302E-3</v>
      </c>
      <c r="I2563">
        <v>0.25242718446601897</v>
      </c>
      <c r="J2563" s="14" t="str">
        <f>_xlfn.XLOOKUP(B2563,CAD_PDV!A:A,CAD_PDV!B:B)</f>
        <v>HARCOS COMERCIO E SERVICOS LTDA - EPP</v>
      </c>
      <c r="K2563" s="14">
        <f>IF(IFERROR(_xlfn.XLOOKUP(B2563,Planilha2!D:D,Planilha2!H:H),0)="SIM",1,0)</f>
        <v>0</v>
      </c>
      <c r="L2563" s="14" t="str">
        <f>_xlfn.XLOOKUP(B2563,CAD_PDV!A:A,CAD_PDV!C:C)</f>
        <v>NE</v>
      </c>
      <c r="M2563" s="14" t="str">
        <f>IFERROR(_xlfn.XLOOKUP(B2563,repete!A:A,repete!A:A),"-")</f>
        <v>-</v>
      </c>
    </row>
    <row r="2564" spans="1:13">
      <c r="A2564" s="1">
        <v>46235</v>
      </c>
      <c r="B2564" t="s">
        <v>1174</v>
      </c>
      <c r="C2564" t="s">
        <v>1142</v>
      </c>
      <c r="D2564" t="s">
        <v>2072</v>
      </c>
      <c r="E2564" t="s">
        <v>55</v>
      </c>
      <c r="F2564">
        <v>100</v>
      </c>
      <c r="G2564">
        <v>26</v>
      </c>
      <c r="H2564">
        <v>6.7637877211238302E-3</v>
      </c>
      <c r="I2564">
        <v>0.27659574468085102</v>
      </c>
      <c r="J2564" s="14" t="str">
        <f>_xlfn.XLOOKUP(B2564,CAD_PDV!A:A,CAD_PDV!B:B)</f>
        <v>MEXCELL COMERCIO E SERVICOS DE TELECOMUNICACOES LTDA</v>
      </c>
      <c r="K2564" s="14">
        <f>IF(IFERROR(_xlfn.XLOOKUP(B2564,Planilha2!D:D,Planilha2!H:H),0)="SIM",1,0)</f>
        <v>0</v>
      </c>
      <c r="L2564" s="14" t="str">
        <f>_xlfn.XLOOKUP(B2564,CAD_PDV!A:A,CAD_PDV!C:C)</f>
        <v>RJ/ES</v>
      </c>
      <c r="M2564" s="14" t="str">
        <f>IFERROR(_xlfn.XLOOKUP(B2564,repete!A:A,repete!A:A),"-")</f>
        <v>-</v>
      </c>
    </row>
    <row r="2565" spans="1:13">
      <c r="A2565" s="1">
        <v>46235</v>
      </c>
      <c r="B2565" t="s">
        <v>286</v>
      </c>
      <c r="C2565" t="s">
        <v>288</v>
      </c>
      <c r="D2565" t="s">
        <v>230</v>
      </c>
      <c r="E2565" t="s">
        <v>61</v>
      </c>
      <c r="F2565">
        <v>65</v>
      </c>
      <c r="G2565">
        <v>25</v>
      </c>
      <c r="H2565">
        <v>6.50364203954214E-3</v>
      </c>
      <c r="I2565">
        <v>0.390625</v>
      </c>
      <c r="J2565" s="14" t="str">
        <f>_xlfn.XLOOKUP(B2565,CAD_PDV!A:A,CAD_PDV!B:B)</f>
        <v>HARCOS COMERCIO E SERVICOS LTDA - EPP</v>
      </c>
      <c r="K2565" s="14">
        <f>IF(IFERROR(_xlfn.XLOOKUP(B2565,Planilha2!D:D,Planilha2!H:H),0)="SIM",1,0)</f>
        <v>0</v>
      </c>
      <c r="L2565" s="14" t="str">
        <f>_xlfn.XLOOKUP(B2565,CAD_PDV!A:A,CAD_PDV!C:C)</f>
        <v>NE</v>
      </c>
      <c r="M2565" s="14" t="str">
        <f>IFERROR(_xlfn.XLOOKUP(B2565,repete!A:A,repete!A:A),"-")</f>
        <v>-</v>
      </c>
    </row>
    <row r="2566" spans="1:13">
      <c r="A2566" s="1">
        <v>46235</v>
      </c>
      <c r="B2566" t="s">
        <v>1697</v>
      </c>
      <c r="C2566" t="s">
        <v>1698</v>
      </c>
      <c r="D2566" t="s">
        <v>232</v>
      </c>
      <c r="E2566" t="s">
        <v>54</v>
      </c>
      <c r="F2566">
        <v>44</v>
      </c>
      <c r="G2566">
        <v>25</v>
      </c>
      <c r="H2566">
        <v>6.50364203954214E-3</v>
      </c>
      <c r="I2566">
        <v>0.60975609756097604</v>
      </c>
      <c r="J2566" s="14" t="str">
        <f>_xlfn.XLOOKUP(B2566,CAD_PDV!A:A,CAD_PDV!B:B)</f>
        <v>HS TELECOM</v>
      </c>
      <c r="K2566" s="14">
        <f>IF(IFERROR(_xlfn.XLOOKUP(B2566,Planilha2!D:D,Planilha2!H:H),0)="SIM",1,0)</f>
        <v>0</v>
      </c>
      <c r="L2566" s="14" t="str">
        <f>_xlfn.XLOOKUP(B2566,CAD_PDV!A:A,CAD_PDV!C:C)</f>
        <v>SP2</v>
      </c>
      <c r="M2566" s="14" t="str">
        <f>IFERROR(_xlfn.XLOOKUP(B2566,repete!A:A,repete!A:A),"-")</f>
        <v>-</v>
      </c>
    </row>
    <row r="2567" spans="1:13">
      <c r="A2567" s="1">
        <v>46235</v>
      </c>
      <c r="B2567" t="s">
        <v>1353</v>
      </c>
      <c r="C2567" t="s">
        <v>1313</v>
      </c>
      <c r="D2567" t="s">
        <v>132</v>
      </c>
      <c r="E2567" t="s">
        <v>53</v>
      </c>
      <c r="F2567">
        <v>104</v>
      </c>
      <c r="G2567">
        <v>23</v>
      </c>
      <c r="H2567">
        <v>5.98335067637877E-3</v>
      </c>
      <c r="I2567">
        <v>0.22772277227722801</v>
      </c>
      <c r="J2567" s="14" t="str">
        <f>_xlfn.XLOOKUP(B2567,CAD_PDV!A:A,CAD_PDV!B:B)</f>
        <v>FLEX CELL</v>
      </c>
      <c r="K2567" s="14">
        <f>IF(IFERROR(_xlfn.XLOOKUP(B2567,Planilha2!D:D,Planilha2!H:H),0)="SIM",1,0)</f>
        <v>0</v>
      </c>
      <c r="L2567" s="14" t="str">
        <f>_xlfn.XLOOKUP(B2567,CAD_PDV!A:A,CAD_PDV!C:C)</f>
        <v>SP1</v>
      </c>
      <c r="M2567" s="14" t="str">
        <f>IFERROR(_xlfn.XLOOKUP(B2567,repete!A:A,repete!A:A),"-")</f>
        <v>-</v>
      </c>
    </row>
    <row r="2568" spans="1:13">
      <c r="A2568" s="1">
        <v>46235</v>
      </c>
      <c r="B2568" t="s">
        <v>1363</v>
      </c>
      <c r="C2568" t="s">
        <v>1313</v>
      </c>
      <c r="D2568" t="s">
        <v>132</v>
      </c>
      <c r="E2568" t="s">
        <v>53</v>
      </c>
      <c r="F2568">
        <v>83</v>
      </c>
      <c r="G2568">
        <v>23</v>
      </c>
      <c r="H2568">
        <v>5.98335067637877E-3</v>
      </c>
      <c r="I2568">
        <v>0.28749999999999998</v>
      </c>
      <c r="J2568" s="14" t="str">
        <f>_xlfn.XLOOKUP(B2568,CAD_PDV!A:A,CAD_PDV!B:B)</f>
        <v>FLEX CELL</v>
      </c>
      <c r="K2568" s="14">
        <f>IF(IFERROR(_xlfn.XLOOKUP(B2568,Planilha2!D:D,Planilha2!H:H),0)="SIM",1,0)</f>
        <v>0</v>
      </c>
      <c r="L2568" s="14" t="str">
        <f>_xlfn.XLOOKUP(B2568,CAD_PDV!A:A,CAD_PDV!C:C)</f>
        <v>SP1</v>
      </c>
      <c r="M2568" s="14" t="str">
        <f>IFERROR(_xlfn.XLOOKUP(B2568,repete!A:A,repete!A:A),"-")</f>
        <v>-</v>
      </c>
    </row>
    <row r="2569" spans="1:13">
      <c r="A2569" s="1">
        <v>46235</v>
      </c>
      <c r="B2569" t="s">
        <v>899</v>
      </c>
      <c r="C2569" t="s">
        <v>873</v>
      </c>
      <c r="D2569" t="s">
        <v>224</v>
      </c>
      <c r="E2569" t="s">
        <v>59</v>
      </c>
      <c r="F2569">
        <v>64</v>
      </c>
      <c r="G2569">
        <v>23</v>
      </c>
      <c r="H2569">
        <v>5.98335067637877E-3</v>
      </c>
      <c r="I2569">
        <v>0.38333333333333303</v>
      </c>
      <c r="J2569" s="14" t="str">
        <f>_xlfn.XLOOKUP(B2569,CAD_PDV!A:A,CAD_PDV!B:B)</f>
        <v>CELNET COMERCIO E SERVICOS DE TELEFONIA LTDA ME</v>
      </c>
      <c r="K2569" s="14">
        <f>IF(IFERROR(_xlfn.XLOOKUP(B2569,Planilha2!D:D,Planilha2!H:H),0)="SIM",1,0)</f>
        <v>0</v>
      </c>
      <c r="L2569" s="14" t="str">
        <f>_xlfn.XLOOKUP(B2569,CAD_PDV!A:A,CAD_PDV!C:C)</f>
        <v>CO</v>
      </c>
      <c r="M2569" s="14" t="str">
        <f>IFERROR(_xlfn.XLOOKUP(B2569,repete!A:A,repete!A:A),"-")</f>
        <v>-</v>
      </c>
    </row>
    <row r="2570" spans="1:13">
      <c r="A2570" s="1">
        <v>46235</v>
      </c>
      <c r="B2570" t="s">
        <v>1285</v>
      </c>
      <c r="C2570" t="s">
        <v>1142</v>
      </c>
      <c r="D2570" t="s">
        <v>237</v>
      </c>
      <c r="E2570" t="s">
        <v>55</v>
      </c>
      <c r="F2570">
        <v>46</v>
      </c>
      <c r="G2570">
        <v>22</v>
      </c>
      <c r="H2570">
        <v>5.7232049947970902E-3</v>
      </c>
      <c r="I2570">
        <v>0.52380952380952395</v>
      </c>
      <c r="J2570" s="14" t="str">
        <f>_xlfn.XLOOKUP(B2570,CAD_PDV!A:A,CAD_PDV!B:B)</f>
        <v>PONTO CERTO COMERCIO E COMUNICAÇÕES LTDA</v>
      </c>
      <c r="K2570" s="14">
        <f>IF(IFERROR(_xlfn.XLOOKUP(B2570,Planilha2!D:D,Planilha2!H:H),0)="SIM",1,0)</f>
        <v>0</v>
      </c>
      <c r="L2570" s="14" t="str">
        <f>_xlfn.XLOOKUP(B2570,CAD_PDV!A:A,CAD_PDV!C:C)</f>
        <v>RJ/ES</v>
      </c>
      <c r="M2570" s="14" t="str">
        <f>IFERROR(_xlfn.XLOOKUP(B2570,repete!A:A,repete!A:A),"-")</f>
        <v>-</v>
      </c>
    </row>
    <row r="2571" spans="1:13">
      <c r="A2571" s="1">
        <v>46235</v>
      </c>
      <c r="B2571" t="s">
        <v>747</v>
      </c>
      <c r="C2571" t="s">
        <v>610</v>
      </c>
      <c r="D2571" t="s">
        <v>224</v>
      </c>
      <c r="E2571" t="s">
        <v>59</v>
      </c>
      <c r="F2571">
        <v>46</v>
      </c>
      <c r="G2571">
        <v>22</v>
      </c>
      <c r="H2571">
        <v>5.7232049947970902E-3</v>
      </c>
      <c r="I2571">
        <v>0.51162790697674398</v>
      </c>
      <c r="J2571" s="14" t="str">
        <f>_xlfn.XLOOKUP(B2571,CAD_PDV!A:A,CAD_PDV!B:B)</f>
        <v>CELNET COMERCIO E SERVICOS DE TELEFONIA LTDA ME</v>
      </c>
      <c r="K2571" s="14">
        <f>IF(IFERROR(_xlfn.XLOOKUP(B2571,Planilha2!D:D,Planilha2!H:H),0)="SIM",1,0)</f>
        <v>0</v>
      </c>
      <c r="L2571" s="14" t="str">
        <f>_xlfn.XLOOKUP(B2571,CAD_PDV!A:A,CAD_PDV!C:C)</f>
        <v>CO</v>
      </c>
      <c r="M2571" s="14" t="str">
        <f>IFERROR(_xlfn.XLOOKUP(B2571,repete!A:A,repete!A:A),"-")</f>
        <v>-</v>
      </c>
    </row>
    <row r="2572" spans="1:13">
      <c r="A2572" s="1">
        <v>46235</v>
      </c>
      <c r="B2572" t="s">
        <v>1269</v>
      </c>
      <c r="C2572" t="s">
        <v>1142</v>
      </c>
      <c r="D2572" t="s">
        <v>237</v>
      </c>
      <c r="E2572" t="s">
        <v>55</v>
      </c>
      <c r="F2572">
        <v>172</v>
      </c>
      <c r="G2572">
        <v>22</v>
      </c>
      <c r="H2572">
        <v>5.7232049947970902E-3</v>
      </c>
      <c r="I2572">
        <v>0.134146341463415</v>
      </c>
      <c r="J2572" s="14" t="str">
        <f>_xlfn.XLOOKUP(B2572,CAD_PDV!A:A,CAD_PDV!B:B)</f>
        <v>PONTO CERTO COMERCIO E COMUNICAÇÕES LTDA</v>
      </c>
      <c r="K2572" s="14">
        <f>IF(IFERROR(_xlfn.XLOOKUP(B2572,Planilha2!D:D,Planilha2!H:H),0)="SIM",1,0)</f>
        <v>0</v>
      </c>
      <c r="L2572" s="14" t="str">
        <f>_xlfn.XLOOKUP(B2572,CAD_PDV!A:A,CAD_PDV!C:C)</f>
        <v>RJ/ES</v>
      </c>
      <c r="M2572" s="14" t="str">
        <f>IFERROR(_xlfn.XLOOKUP(B2572,repete!A:A,repete!A:A),"-")</f>
        <v>-</v>
      </c>
    </row>
    <row r="2573" spans="1:13">
      <c r="A2573" s="1">
        <v>46235</v>
      </c>
      <c r="B2573" t="s">
        <v>979</v>
      </c>
      <c r="C2573" t="s">
        <v>944</v>
      </c>
      <c r="D2573" t="s">
        <v>232</v>
      </c>
      <c r="E2573" t="s">
        <v>60</v>
      </c>
      <c r="F2573">
        <v>78</v>
      </c>
      <c r="G2573">
        <v>21</v>
      </c>
      <c r="H2573">
        <v>5.4630593132153999E-3</v>
      </c>
      <c r="I2573">
        <v>0.28000000000000003</v>
      </c>
      <c r="J2573" s="14" t="str">
        <f>_xlfn.XLOOKUP(B2573,CAD_PDV!A:A,CAD_PDV!B:B)</f>
        <v>HS TELECOM</v>
      </c>
      <c r="K2573" s="14">
        <f>IF(IFERROR(_xlfn.XLOOKUP(B2573,Planilha2!D:D,Planilha2!H:H),0)="SIM",1,0)</f>
        <v>0</v>
      </c>
      <c r="L2573" s="14" t="str">
        <f>_xlfn.XLOOKUP(B2573,CAD_PDV!A:A,CAD_PDV!C:C)</f>
        <v>BA/SE</v>
      </c>
      <c r="M2573" s="14" t="str">
        <f>IFERROR(_xlfn.XLOOKUP(B2573,repete!A:A,repete!A:A),"-")</f>
        <v>-</v>
      </c>
    </row>
    <row r="2574" spans="1:13">
      <c r="A2574" s="1">
        <v>46235</v>
      </c>
      <c r="B2574" t="s">
        <v>1636</v>
      </c>
      <c r="C2574" t="s">
        <v>1484</v>
      </c>
      <c r="D2574" t="s">
        <v>232</v>
      </c>
      <c r="E2574" t="s">
        <v>54</v>
      </c>
      <c r="F2574">
        <v>42</v>
      </c>
      <c r="G2574">
        <v>21</v>
      </c>
      <c r="H2574">
        <v>5.4630593132153999E-3</v>
      </c>
      <c r="I2574">
        <v>0.52500000000000002</v>
      </c>
      <c r="J2574" s="14" t="str">
        <f>_xlfn.XLOOKUP(B2574,CAD_PDV!A:A,CAD_PDV!B:B)</f>
        <v>HS TELECOM</v>
      </c>
      <c r="K2574" s="14">
        <f>IF(IFERROR(_xlfn.XLOOKUP(B2574,Planilha2!D:D,Planilha2!H:H),0)="SIM",1,0)</f>
        <v>0</v>
      </c>
      <c r="L2574" s="14" t="str">
        <f>_xlfn.XLOOKUP(B2574,CAD_PDV!A:A,CAD_PDV!C:C)</f>
        <v>SP2</v>
      </c>
      <c r="M2574" s="14" t="str">
        <f>IFERROR(_xlfn.XLOOKUP(B2574,repete!A:A,repete!A:A),"-")</f>
        <v>-</v>
      </c>
    </row>
    <row r="2575" spans="1:13">
      <c r="A2575" s="1">
        <v>46235</v>
      </c>
      <c r="B2575" t="s">
        <v>1669</v>
      </c>
      <c r="C2575" t="s">
        <v>1661</v>
      </c>
      <c r="D2575" t="s">
        <v>232</v>
      </c>
      <c r="E2575" t="s">
        <v>54</v>
      </c>
      <c r="F2575">
        <v>63</v>
      </c>
      <c r="G2575">
        <v>21</v>
      </c>
      <c r="H2575">
        <v>5.4630593132153999E-3</v>
      </c>
      <c r="I2575">
        <v>0.355932203389831</v>
      </c>
      <c r="J2575" s="14" t="str">
        <f>_xlfn.XLOOKUP(B2575,CAD_PDV!A:A,CAD_PDV!B:B)</f>
        <v>HS TELECOM</v>
      </c>
      <c r="K2575" s="14">
        <f>IF(IFERROR(_xlfn.XLOOKUP(B2575,Planilha2!D:D,Planilha2!H:H),0)="SIM",1,0)</f>
        <v>0</v>
      </c>
      <c r="L2575" s="14" t="str">
        <f>_xlfn.XLOOKUP(B2575,CAD_PDV!A:A,CAD_PDV!C:C)</f>
        <v>SP2</v>
      </c>
      <c r="M2575" s="14" t="str">
        <f>IFERROR(_xlfn.XLOOKUP(B2575,repete!A:A,repete!A:A),"-")</f>
        <v>-</v>
      </c>
    </row>
    <row r="2576" spans="1:13">
      <c r="A2576" s="1">
        <v>46235</v>
      </c>
      <c r="B2576" t="s">
        <v>1682</v>
      </c>
      <c r="C2576" t="s">
        <v>1566</v>
      </c>
      <c r="D2576" t="s">
        <v>232</v>
      </c>
      <c r="E2576" t="s">
        <v>54</v>
      </c>
      <c r="F2576">
        <v>66</v>
      </c>
      <c r="G2576">
        <v>21</v>
      </c>
      <c r="H2576">
        <v>5.4630593132153999E-3</v>
      </c>
      <c r="I2576">
        <v>0.33333333333333298</v>
      </c>
      <c r="J2576" s="14" t="str">
        <f>_xlfn.XLOOKUP(B2576,CAD_PDV!A:A,CAD_PDV!B:B)</f>
        <v>HS TELECOM</v>
      </c>
      <c r="K2576" s="14">
        <f>IF(IFERROR(_xlfn.XLOOKUP(B2576,Planilha2!D:D,Planilha2!H:H),0)="SIM",1,0)</f>
        <v>0</v>
      </c>
      <c r="L2576" s="14" t="str">
        <f>_xlfn.XLOOKUP(B2576,CAD_PDV!A:A,CAD_PDV!C:C)</f>
        <v>SP2</v>
      </c>
      <c r="M2576" s="14" t="str">
        <f>IFERROR(_xlfn.XLOOKUP(B2576,repete!A:A,repete!A:A),"-")</f>
        <v>-</v>
      </c>
    </row>
    <row r="2577" spans="1:13">
      <c r="A2577" s="1">
        <v>46235</v>
      </c>
      <c r="B2577" t="s">
        <v>1685</v>
      </c>
      <c r="C2577" t="s">
        <v>1686</v>
      </c>
      <c r="D2577" t="s">
        <v>232</v>
      </c>
      <c r="E2577" t="s">
        <v>54</v>
      </c>
      <c r="F2577">
        <v>60</v>
      </c>
      <c r="G2577">
        <v>21</v>
      </c>
      <c r="H2577">
        <v>5.4630593132153999E-3</v>
      </c>
      <c r="I2577">
        <v>0.35</v>
      </c>
      <c r="J2577" s="14" t="str">
        <f>_xlfn.XLOOKUP(B2577,CAD_PDV!A:A,CAD_PDV!B:B)</f>
        <v>HS TELECOM</v>
      </c>
      <c r="K2577" s="14">
        <f>IF(IFERROR(_xlfn.XLOOKUP(B2577,Planilha2!D:D,Planilha2!H:H),0)="SIM",1,0)</f>
        <v>0</v>
      </c>
      <c r="L2577" s="14" t="str">
        <f>_xlfn.XLOOKUP(B2577,CAD_PDV!A:A,CAD_PDV!C:C)</f>
        <v>SP2</v>
      </c>
      <c r="M2577" s="14" t="str">
        <f>IFERROR(_xlfn.XLOOKUP(B2577,repete!A:A,repete!A:A),"-")</f>
        <v>-</v>
      </c>
    </row>
    <row r="2578" spans="1:13">
      <c r="A2578" s="1">
        <v>46235</v>
      </c>
      <c r="B2578" t="s">
        <v>1560</v>
      </c>
      <c r="C2578" t="s">
        <v>1561</v>
      </c>
      <c r="D2578" t="s">
        <v>232</v>
      </c>
      <c r="E2578" t="s">
        <v>54</v>
      </c>
      <c r="F2578">
        <v>33</v>
      </c>
      <c r="G2578">
        <v>20</v>
      </c>
      <c r="H2578">
        <v>5.2029136316337097E-3</v>
      </c>
      <c r="I2578">
        <v>0.625</v>
      </c>
      <c r="J2578" s="14" t="str">
        <f>_xlfn.XLOOKUP(B2578,CAD_PDV!A:A,CAD_PDV!B:B)</f>
        <v>HS TELECOM</v>
      </c>
      <c r="K2578" s="14">
        <f>IF(IFERROR(_xlfn.XLOOKUP(B2578,Planilha2!D:D,Planilha2!H:H),0)="SIM",1,0)</f>
        <v>0</v>
      </c>
      <c r="L2578" s="14" t="str">
        <f>_xlfn.XLOOKUP(B2578,CAD_PDV!A:A,CAD_PDV!C:C)</f>
        <v>SP2</v>
      </c>
      <c r="M2578" s="14" t="str">
        <f>IFERROR(_xlfn.XLOOKUP(B2578,repete!A:A,repete!A:A),"-")</f>
        <v>-</v>
      </c>
    </row>
    <row r="2579" spans="1:13">
      <c r="A2579" s="1">
        <v>46235</v>
      </c>
      <c r="B2579" t="s">
        <v>1487</v>
      </c>
      <c r="C2579" t="s">
        <v>1489</v>
      </c>
      <c r="D2579" t="s">
        <v>232</v>
      </c>
      <c r="E2579" t="s">
        <v>54</v>
      </c>
      <c r="F2579">
        <v>36</v>
      </c>
      <c r="G2579">
        <v>19</v>
      </c>
      <c r="H2579">
        <v>4.9427679500520299E-3</v>
      </c>
      <c r="I2579">
        <v>0.54285714285714304</v>
      </c>
      <c r="J2579" s="14" t="str">
        <f>_xlfn.XLOOKUP(B2579,CAD_PDV!A:A,CAD_PDV!B:B)</f>
        <v>HS TELECOM</v>
      </c>
      <c r="K2579" s="14">
        <f>IF(IFERROR(_xlfn.XLOOKUP(B2579,Planilha2!D:D,Planilha2!H:H),0)="SIM",1,0)</f>
        <v>0</v>
      </c>
      <c r="L2579" s="14" t="str">
        <f>_xlfn.XLOOKUP(B2579,CAD_PDV!A:A,CAD_PDV!C:C)</f>
        <v>SP2</v>
      </c>
      <c r="M2579" s="14" t="str">
        <f>IFERROR(_xlfn.XLOOKUP(B2579,repete!A:A,repete!A:A),"-")</f>
        <v>-</v>
      </c>
    </row>
    <row r="2580" spans="1:13">
      <c r="A2580" s="1">
        <v>46235</v>
      </c>
      <c r="B2580" t="s">
        <v>258</v>
      </c>
      <c r="C2580" t="s">
        <v>261</v>
      </c>
      <c r="D2580" t="s">
        <v>230</v>
      </c>
      <c r="E2580" t="s">
        <v>61</v>
      </c>
      <c r="F2580">
        <v>95</v>
      </c>
      <c r="G2580">
        <v>19</v>
      </c>
      <c r="H2580">
        <v>4.9427679500520299E-3</v>
      </c>
      <c r="I2580">
        <v>0.20212765957446799</v>
      </c>
      <c r="J2580" s="14" t="str">
        <f>_xlfn.XLOOKUP(B2580,CAD_PDV!A:A,CAD_PDV!B:B)</f>
        <v>HARCOS COMERCIO E SERVICOS LTDA - EPP</v>
      </c>
      <c r="K2580" s="14">
        <f>IF(IFERROR(_xlfn.XLOOKUP(B2580,Planilha2!D:D,Planilha2!H:H),0)="SIM",1,0)</f>
        <v>0</v>
      </c>
      <c r="L2580" s="14" t="str">
        <f>_xlfn.XLOOKUP(B2580,CAD_PDV!A:A,CAD_PDV!C:C)</f>
        <v>NE</v>
      </c>
      <c r="M2580" s="14" t="str">
        <f>IFERROR(_xlfn.XLOOKUP(B2580,repete!A:A,repete!A:A),"-")</f>
        <v>-</v>
      </c>
    </row>
    <row r="2581" spans="1:13">
      <c r="A2581" s="1">
        <v>46235</v>
      </c>
      <c r="B2581" t="s">
        <v>1501</v>
      </c>
      <c r="C2581" t="s">
        <v>1503</v>
      </c>
      <c r="D2581" t="s">
        <v>232</v>
      </c>
      <c r="E2581" t="s">
        <v>54</v>
      </c>
      <c r="F2581">
        <v>67</v>
      </c>
      <c r="G2581">
        <v>19</v>
      </c>
      <c r="H2581">
        <v>4.9427679500520299E-3</v>
      </c>
      <c r="I2581">
        <v>0.29230769230769199</v>
      </c>
      <c r="J2581" s="14" t="str">
        <f>_xlfn.XLOOKUP(B2581,CAD_PDV!A:A,CAD_PDV!B:B)</f>
        <v>HS TELECOM</v>
      </c>
      <c r="K2581" s="14">
        <f>IF(IFERROR(_xlfn.XLOOKUP(B2581,Planilha2!D:D,Planilha2!H:H),0)="SIM",1,0)</f>
        <v>0</v>
      </c>
      <c r="L2581" s="14" t="str">
        <f>_xlfn.XLOOKUP(B2581,CAD_PDV!A:A,CAD_PDV!C:C)</f>
        <v>SP2</v>
      </c>
      <c r="M2581" s="14" t="str">
        <f>IFERROR(_xlfn.XLOOKUP(B2581,repete!A:A,repete!A:A),"-")</f>
        <v>-</v>
      </c>
    </row>
    <row r="2582" spans="1:13">
      <c r="A2582" s="1">
        <v>46235</v>
      </c>
      <c r="B2582" t="s">
        <v>1143</v>
      </c>
      <c r="C2582" t="s">
        <v>1142</v>
      </c>
      <c r="D2582" t="s">
        <v>237</v>
      </c>
      <c r="E2582" t="s">
        <v>55</v>
      </c>
      <c r="F2582">
        <v>78</v>
      </c>
      <c r="G2582">
        <v>19</v>
      </c>
      <c r="H2582">
        <v>4.9427679500520299E-3</v>
      </c>
      <c r="I2582">
        <v>0.25333333333333302</v>
      </c>
      <c r="J2582" s="14" t="str">
        <f>_xlfn.XLOOKUP(B2582,CAD_PDV!A:A,CAD_PDV!B:B)</f>
        <v>PONTO CERTO COMERCIO E COMUNICAÇÕES LTDA</v>
      </c>
      <c r="K2582" s="14">
        <f>IF(IFERROR(_xlfn.XLOOKUP(B2582,Planilha2!D:D,Planilha2!H:H),0)="SIM",1,0)</f>
        <v>0</v>
      </c>
      <c r="L2582" s="14" t="str">
        <f>_xlfn.XLOOKUP(B2582,CAD_PDV!A:A,CAD_PDV!C:C)</f>
        <v>RJ/ES</v>
      </c>
      <c r="M2582" s="14" t="str">
        <f>IFERROR(_xlfn.XLOOKUP(B2582,repete!A:A,repete!A:A),"-")</f>
        <v>-</v>
      </c>
    </row>
    <row r="2583" spans="1:13">
      <c r="A2583" s="1">
        <v>46235</v>
      </c>
      <c r="B2583" t="s">
        <v>1906</v>
      </c>
      <c r="C2583" t="s">
        <v>1904</v>
      </c>
      <c r="D2583" t="s">
        <v>97</v>
      </c>
      <c r="E2583" t="s">
        <v>2074</v>
      </c>
      <c r="F2583">
        <v>72</v>
      </c>
      <c r="G2583">
        <v>19</v>
      </c>
      <c r="H2583">
        <v>4.9427679500520299E-3</v>
      </c>
      <c r="I2583">
        <v>0.296875</v>
      </c>
      <c r="J2583" s="14" t="str">
        <f>_xlfn.XLOOKUP(B2583,CAD_PDV!A:A,CAD_PDV!B:B)</f>
        <v>BANDEIRA</v>
      </c>
      <c r="K2583" s="14">
        <f>IF(IFERROR(_xlfn.XLOOKUP(B2583,Planilha2!D:D,Planilha2!H:H),0)="SIM",1,0)</f>
        <v>0</v>
      </c>
      <c r="L2583" s="14" t="str">
        <f>_xlfn.XLOOKUP(B2583,CAD_PDV!A:A,CAD_PDV!C:C)</f>
        <v>PR/SC</v>
      </c>
      <c r="M2583" s="14" t="str">
        <f>IFERROR(_xlfn.XLOOKUP(B2583,repete!A:A,repete!A:A),"-")</f>
        <v>-</v>
      </c>
    </row>
    <row r="2584" spans="1:13">
      <c r="A2584" s="1">
        <v>46235</v>
      </c>
      <c r="B2584" t="s">
        <v>886</v>
      </c>
      <c r="C2584" t="s">
        <v>873</v>
      </c>
      <c r="D2584" t="s">
        <v>224</v>
      </c>
      <c r="E2584" t="s">
        <v>59</v>
      </c>
      <c r="F2584">
        <v>71</v>
      </c>
      <c r="G2584">
        <v>19</v>
      </c>
      <c r="H2584">
        <v>4.9427679500520299E-3</v>
      </c>
      <c r="I2584">
        <v>0.27941176470588203</v>
      </c>
      <c r="J2584" s="14" t="str">
        <f>_xlfn.XLOOKUP(B2584,CAD_PDV!A:A,CAD_PDV!B:B)</f>
        <v>CELNET COMERCIO E SERVICOS DE TELEFONIA LTDA ME</v>
      </c>
      <c r="K2584" s="14">
        <f>IF(IFERROR(_xlfn.XLOOKUP(B2584,Planilha2!D:D,Planilha2!H:H),0)="SIM",1,0)</f>
        <v>0</v>
      </c>
      <c r="L2584" s="14" t="str">
        <f>_xlfn.XLOOKUP(B2584,CAD_PDV!A:A,CAD_PDV!C:C)</f>
        <v>CO</v>
      </c>
      <c r="M2584" s="14" t="str">
        <f>IFERROR(_xlfn.XLOOKUP(B2584,repete!A:A,repete!A:A),"-")</f>
        <v>-</v>
      </c>
    </row>
    <row r="2585" spans="1:13">
      <c r="A2585" s="1">
        <v>46235</v>
      </c>
      <c r="B2585" t="s">
        <v>1348</v>
      </c>
      <c r="C2585" t="s">
        <v>1350</v>
      </c>
      <c r="D2585" t="s">
        <v>132</v>
      </c>
      <c r="E2585" t="s">
        <v>53</v>
      </c>
      <c r="F2585">
        <v>84</v>
      </c>
      <c r="G2585">
        <v>19</v>
      </c>
      <c r="H2585">
        <v>4.9427679500520299E-3</v>
      </c>
      <c r="I2585">
        <v>0.25</v>
      </c>
      <c r="J2585" s="14" t="str">
        <f>_xlfn.XLOOKUP(B2585,CAD_PDV!A:A,CAD_PDV!B:B)</f>
        <v>FLEX CELL</v>
      </c>
      <c r="K2585" s="14">
        <f>IF(IFERROR(_xlfn.XLOOKUP(B2585,Planilha2!D:D,Planilha2!H:H),0)="SIM",1,0)</f>
        <v>0</v>
      </c>
      <c r="L2585" s="14" t="str">
        <f>_xlfn.XLOOKUP(B2585,CAD_PDV!A:A,CAD_PDV!C:C)</f>
        <v>SP1</v>
      </c>
      <c r="M2585" s="14" t="str">
        <f>IFERROR(_xlfn.XLOOKUP(B2585,repete!A:A,repete!A:A),"-")</f>
        <v>-</v>
      </c>
    </row>
    <row r="2586" spans="1:13">
      <c r="A2586" s="1">
        <v>46235</v>
      </c>
      <c r="B2586" t="s">
        <v>1282</v>
      </c>
      <c r="C2586" t="s">
        <v>1283</v>
      </c>
      <c r="D2586" t="s">
        <v>228</v>
      </c>
      <c r="E2586" t="s">
        <v>55</v>
      </c>
      <c r="F2586">
        <v>34</v>
      </c>
      <c r="G2586">
        <v>19</v>
      </c>
      <c r="H2586">
        <v>4.9427679500520299E-3</v>
      </c>
      <c r="I2586">
        <v>0.65517241379310298</v>
      </c>
      <c r="J2586" s="14" t="str">
        <f>_xlfn.XLOOKUP(B2586,CAD_PDV!A:A,CAD_PDV!B:B)</f>
        <v>FAJULUTI</v>
      </c>
      <c r="K2586" s="14">
        <f>IF(IFERROR(_xlfn.XLOOKUP(B2586,Planilha2!D:D,Planilha2!H:H),0)="SIM",1,0)</f>
        <v>0</v>
      </c>
      <c r="L2586" s="14" t="str">
        <f>_xlfn.XLOOKUP(B2586,CAD_PDV!A:A,CAD_PDV!C:C)</f>
        <v>RJ/ES</v>
      </c>
      <c r="M2586" s="14" t="str">
        <f>IFERROR(_xlfn.XLOOKUP(B2586,repete!A:A,repete!A:A),"-")</f>
        <v>-</v>
      </c>
    </row>
    <row r="2587" spans="1:13">
      <c r="A2587" s="1">
        <v>46235</v>
      </c>
      <c r="B2587" t="s">
        <v>1246</v>
      </c>
      <c r="C2587" t="s">
        <v>1142</v>
      </c>
      <c r="D2587" t="s">
        <v>228</v>
      </c>
      <c r="E2587" t="s">
        <v>55</v>
      </c>
      <c r="F2587">
        <v>104</v>
      </c>
      <c r="G2587">
        <v>19</v>
      </c>
      <c r="H2587">
        <v>4.9427679500520299E-3</v>
      </c>
      <c r="I2587">
        <v>0.20212765957446799</v>
      </c>
      <c r="J2587" s="14" t="str">
        <f>_xlfn.XLOOKUP(B2587,CAD_PDV!A:A,CAD_PDV!B:B)</f>
        <v>FAJULUTI</v>
      </c>
      <c r="K2587" s="14">
        <f>IF(IFERROR(_xlfn.XLOOKUP(B2587,Planilha2!D:D,Planilha2!H:H),0)="SIM",1,0)</f>
        <v>0</v>
      </c>
      <c r="L2587" s="14" t="str">
        <f>_xlfn.XLOOKUP(B2587,CAD_PDV!A:A,CAD_PDV!C:C)</f>
        <v>RJ/ES</v>
      </c>
      <c r="M2587" s="14" t="str">
        <f>IFERROR(_xlfn.XLOOKUP(B2587,repete!A:A,repete!A:A),"-")</f>
        <v>-</v>
      </c>
    </row>
    <row r="2588" spans="1:13">
      <c r="A2588" s="1">
        <v>46235</v>
      </c>
      <c r="B2588" t="s">
        <v>1015</v>
      </c>
      <c r="C2588" t="s">
        <v>1017</v>
      </c>
      <c r="D2588" t="s">
        <v>232</v>
      </c>
      <c r="E2588" t="s">
        <v>60</v>
      </c>
      <c r="F2588">
        <v>44</v>
      </c>
      <c r="G2588">
        <v>18</v>
      </c>
      <c r="H2588">
        <v>4.6826222684703397E-3</v>
      </c>
      <c r="I2588">
        <v>0.42857142857142899</v>
      </c>
      <c r="J2588" s="14" t="str">
        <f>_xlfn.XLOOKUP(B2588,CAD_PDV!A:A,CAD_PDV!B:B)</f>
        <v>HS TELECOM</v>
      </c>
      <c r="K2588" s="14">
        <f>IF(IFERROR(_xlfn.XLOOKUP(B2588,Planilha2!D:D,Planilha2!H:H),0)="SIM",1,0)</f>
        <v>0</v>
      </c>
      <c r="L2588" s="14" t="str">
        <f>_xlfn.XLOOKUP(B2588,CAD_PDV!A:A,CAD_PDV!C:C)</f>
        <v>BA/SE</v>
      </c>
      <c r="M2588" s="14" t="str">
        <f>IFERROR(_xlfn.XLOOKUP(B2588,repete!A:A,repete!A:A),"-")</f>
        <v>-</v>
      </c>
    </row>
    <row r="2589" spans="1:13">
      <c r="A2589" s="1">
        <v>46235</v>
      </c>
      <c r="B2589" t="s">
        <v>1319</v>
      </c>
      <c r="C2589" t="s">
        <v>1313</v>
      </c>
      <c r="D2589" t="s">
        <v>225</v>
      </c>
      <c r="E2589" t="s">
        <v>53</v>
      </c>
      <c r="F2589">
        <v>64</v>
      </c>
      <c r="G2589">
        <v>18</v>
      </c>
      <c r="H2589">
        <v>4.6826222684703397E-3</v>
      </c>
      <c r="I2589">
        <v>0.3</v>
      </c>
      <c r="J2589" s="14" t="str">
        <f>_xlfn.XLOOKUP(B2589,CAD_PDV!A:A,CAD_PDV!B:B)</f>
        <v>CLARICELL SP1</v>
      </c>
      <c r="K2589" s="14">
        <f>IF(IFERROR(_xlfn.XLOOKUP(B2589,Planilha2!D:D,Planilha2!H:H),0)="SIM",1,0)</f>
        <v>0</v>
      </c>
      <c r="L2589" s="14" t="str">
        <f>_xlfn.XLOOKUP(B2589,CAD_PDV!A:A,CAD_PDV!C:C)</f>
        <v>SP1</v>
      </c>
      <c r="M2589" s="14" t="str">
        <f>IFERROR(_xlfn.XLOOKUP(B2589,repete!A:A,repete!A:A),"-")</f>
        <v>-</v>
      </c>
    </row>
    <row r="2590" spans="1:13">
      <c r="A2590" s="1">
        <v>46235</v>
      </c>
      <c r="B2590" t="s">
        <v>1670</v>
      </c>
      <c r="C2590" t="s">
        <v>1671</v>
      </c>
      <c r="D2590" t="s">
        <v>232</v>
      </c>
      <c r="E2590" t="s">
        <v>54</v>
      </c>
      <c r="F2590">
        <v>39</v>
      </c>
      <c r="G2590">
        <v>18</v>
      </c>
      <c r="H2590">
        <v>4.6826222684703397E-3</v>
      </c>
      <c r="I2590">
        <v>0.51428571428571401</v>
      </c>
      <c r="J2590" s="14" t="str">
        <f>_xlfn.XLOOKUP(B2590,CAD_PDV!A:A,CAD_PDV!B:B)</f>
        <v>HS TELECOM</v>
      </c>
      <c r="K2590" s="14">
        <f>IF(IFERROR(_xlfn.XLOOKUP(B2590,Planilha2!D:D,Planilha2!H:H),0)="SIM",1,0)</f>
        <v>0</v>
      </c>
      <c r="L2590" s="14" t="str">
        <f>_xlfn.XLOOKUP(B2590,CAD_PDV!A:A,CAD_PDV!C:C)</f>
        <v>SP2</v>
      </c>
      <c r="M2590" s="14" t="str">
        <f>IFERROR(_xlfn.XLOOKUP(B2590,repete!A:A,repete!A:A),"-")</f>
        <v>-</v>
      </c>
    </row>
    <row r="2591" spans="1:13">
      <c r="A2591" s="1">
        <v>46235</v>
      </c>
      <c r="B2591" t="s">
        <v>1674</v>
      </c>
      <c r="C2591" t="s">
        <v>1489</v>
      </c>
      <c r="D2591" t="s">
        <v>232</v>
      </c>
      <c r="E2591" t="s">
        <v>54</v>
      </c>
      <c r="F2591">
        <v>43</v>
      </c>
      <c r="G2591">
        <v>18</v>
      </c>
      <c r="H2591">
        <v>4.6826222684703397E-3</v>
      </c>
      <c r="I2591">
        <v>0.439024390243902</v>
      </c>
      <c r="J2591" s="14" t="str">
        <f>_xlfn.XLOOKUP(B2591,CAD_PDV!A:A,CAD_PDV!B:B)</f>
        <v>HS TELECOM</v>
      </c>
      <c r="K2591" s="14">
        <f>IF(IFERROR(_xlfn.XLOOKUP(B2591,Planilha2!D:D,Planilha2!H:H),0)="SIM",1,0)</f>
        <v>0</v>
      </c>
      <c r="L2591" s="14" t="str">
        <f>_xlfn.XLOOKUP(B2591,CAD_PDV!A:A,CAD_PDV!C:C)</f>
        <v>SP2</v>
      </c>
      <c r="M2591" s="14" t="str">
        <f>IFERROR(_xlfn.XLOOKUP(B2591,repete!A:A,repete!A:A),"-")</f>
        <v>-</v>
      </c>
    </row>
    <row r="2592" spans="1:13">
      <c r="A2592" s="1">
        <v>46235</v>
      </c>
      <c r="B2592" t="s">
        <v>375</v>
      </c>
      <c r="C2592" t="s">
        <v>376</v>
      </c>
      <c r="D2592" t="s">
        <v>230</v>
      </c>
      <c r="E2592" t="s">
        <v>61</v>
      </c>
      <c r="F2592">
        <v>39</v>
      </c>
      <c r="G2592">
        <v>18</v>
      </c>
      <c r="H2592">
        <v>4.6826222684703397E-3</v>
      </c>
      <c r="I2592">
        <v>0.46153846153846201</v>
      </c>
      <c r="J2592" s="14" t="str">
        <f>_xlfn.XLOOKUP(B2592,CAD_PDV!A:A,CAD_PDV!B:B)</f>
        <v>HARCOS COMERCIO E SERVICOS LTDA - EPP</v>
      </c>
      <c r="K2592" s="14">
        <f>IF(IFERROR(_xlfn.XLOOKUP(B2592,Planilha2!D:D,Planilha2!H:H),0)="SIM",1,0)</f>
        <v>0</v>
      </c>
      <c r="L2592" s="14" t="str">
        <f>_xlfn.XLOOKUP(B2592,CAD_PDV!A:A,CAD_PDV!C:C)</f>
        <v>NE</v>
      </c>
      <c r="M2592" s="14" t="str">
        <f>IFERROR(_xlfn.XLOOKUP(B2592,repete!A:A,repete!A:A),"-")</f>
        <v>-</v>
      </c>
    </row>
    <row r="2593" spans="1:13">
      <c r="A2593" s="1">
        <v>46235</v>
      </c>
      <c r="B2593" t="s">
        <v>1368</v>
      </c>
      <c r="C2593" t="s">
        <v>1357</v>
      </c>
      <c r="D2593" t="s">
        <v>132</v>
      </c>
      <c r="E2593" t="s">
        <v>53</v>
      </c>
      <c r="F2593">
        <v>73</v>
      </c>
      <c r="G2593">
        <v>18</v>
      </c>
      <c r="H2593">
        <v>4.6826222684703397E-3</v>
      </c>
      <c r="I2593">
        <v>0.26086956521739102</v>
      </c>
      <c r="J2593" s="14" t="str">
        <f>_xlfn.XLOOKUP(B2593,CAD_PDV!A:A,CAD_PDV!B:B)</f>
        <v>FLEX CELL</v>
      </c>
      <c r="K2593" s="14">
        <f>IF(IFERROR(_xlfn.XLOOKUP(B2593,Planilha2!D:D,Planilha2!H:H),0)="SIM",1,0)</f>
        <v>0</v>
      </c>
      <c r="L2593" s="14" t="str">
        <f>_xlfn.XLOOKUP(B2593,CAD_PDV!A:A,CAD_PDV!C:C)</f>
        <v>SP1</v>
      </c>
      <c r="M2593" s="14" t="str">
        <f>IFERROR(_xlfn.XLOOKUP(B2593,repete!A:A,repete!A:A),"-")</f>
        <v>-</v>
      </c>
    </row>
    <row r="2594" spans="1:13">
      <c r="A2594" s="1">
        <v>46235</v>
      </c>
      <c r="B2594" t="s">
        <v>1719</v>
      </c>
      <c r="C2594" t="s">
        <v>1557</v>
      </c>
      <c r="D2594" t="s">
        <v>106</v>
      </c>
      <c r="E2594" t="s">
        <v>54</v>
      </c>
      <c r="F2594">
        <v>44</v>
      </c>
      <c r="G2594">
        <v>18</v>
      </c>
      <c r="H2594">
        <v>4.6826222684703397E-3</v>
      </c>
      <c r="I2594">
        <v>0.40909090909090901</v>
      </c>
      <c r="J2594" s="14" t="str">
        <f>_xlfn.XLOOKUP(B2594,CAD_PDV!A:A,CAD_PDV!B:B)</f>
        <v>CELLULAR.COM</v>
      </c>
      <c r="K2594" s="14">
        <f>IF(IFERROR(_xlfn.XLOOKUP(B2594,Planilha2!D:D,Planilha2!H:H),0)="SIM",1,0)</f>
        <v>0</v>
      </c>
      <c r="L2594" s="14" t="str">
        <f>_xlfn.XLOOKUP(B2594,CAD_PDV!A:A,CAD_PDV!C:C)</f>
        <v>SP2</v>
      </c>
      <c r="M2594" s="14" t="str">
        <f>IFERROR(_xlfn.XLOOKUP(B2594,repete!A:A,repete!A:A),"-")</f>
        <v>-</v>
      </c>
    </row>
    <row r="2595" spans="1:13">
      <c r="A2595" s="1">
        <v>46235</v>
      </c>
      <c r="B2595" t="s">
        <v>872</v>
      </c>
      <c r="C2595" t="s">
        <v>873</v>
      </c>
      <c r="D2595" t="s">
        <v>239</v>
      </c>
      <c r="E2595" t="s">
        <v>59</v>
      </c>
      <c r="F2595">
        <v>60</v>
      </c>
      <c r="G2595">
        <v>17</v>
      </c>
      <c r="H2595">
        <v>4.4224765868886599E-3</v>
      </c>
      <c r="I2595">
        <v>0.29824561403508798</v>
      </c>
      <c r="J2595" s="14" t="str">
        <f>_xlfn.XLOOKUP(B2595,CAD_PDV!A:A,CAD_PDV!B:B)</f>
        <v>TELECELL TELEFONIA LTDA - ME</v>
      </c>
      <c r="K2595" s="14">
        <f>IF(IFERROR(_xlfn.XLOOKUP(B2595,Planilha2!D:D,Planilha2!H:H),0)="SIM",1,0)</f>
        <v>0</v>
      </c>
      <c r="L2595" s="14" t="str">
        <f>_xlfn.XLOOKUP(B2595,CAD_PDV!A:A,CAD_PDV!C:C)</f>
        <v>CO</v>
      </c>
      <c r="M2595" s="14" t="str">
        <f>IFERROR(_xlfn.XLOOKUP(B2595,repete!A:A,repete!A:A),"-")</f>
        <v>-</v>
      </c>
    </row>
    <row r="2596" spans="1:13">
      <c r="A2596" s="1">
        <v>46235</v>
      </c>
      <c r="B2596" t="s">
        <v>1646</v>
      </c>
      <c r="C2596" t="s">
        <v>1535</v>
      </c>
      <c r="D2596" t="s">
        <v>232</v>
      </c>
      <c r="E2596" t="s">
        <v>54</v>
      </c>
      <c r="F2596">
        <v>56</v>
      </c>
      <c r="G2596">
        <v>17</v>
      </c>
      <c r="H2596">
        <v>4.4224765868886599E-3</v>
      </c>
      <c r="I2596">
        <v>0.320754716981132</v>
      </c>
      <c r="J2596" s="14" t="str">
        <f>_xlfn.XLOOKUP(B2596,CAD_PDV!A:A,CAD_PDV!B:B)</f>
        <v>HS TELECOM</v>
      </c>
      <c r="K2596" s="14">
        <f>IF(IFERROR(_xlfn.XLOOKUP(B2596,Planilha2!D:D,Planilha2!H:H),0)="SIM",1,0)</f>
        <v>0</v>
      </c>
      <c r="L2596" s="14" t="str">
        <f>_xlfn.XLOOKUP(B2596,CAD_PDV!A:A,CAD_PDV!C:C)</f>
        <v>SP2</v>
      </c>
      <c r="M2596" s="14" t="str">
        <f>IFERROR(_xlfn.XLOOKUP(B2596,repete!A:A,repete!A:A),"-")</f>
        <v>-</v>
      </c>
    </row>
    <row r="2597" spans="1:13">
      <c r="A2597" s="1">
        <v>46235</v>
      </c>
      <c r="B2597" t="s">
        <v>1658</v>
      </c>
      <c r="C2597" t="s">
        <v>1659</v>
      </c>
      <c r="D2597" t="s">
        <v>232</v>
      </c>
      <c r="E2597" t="s">
        <v>54</v>
      </c>
      <c r="F2597">
        <v>61</v>
      </c>
      <c r="G2597">
        <v>17</v>
      </c>
      <c r="H2597">
        <v>4.4224765868886599E-3</v>
      </c>
      <c r="I2597">
        <v>0.30909090909090903</v>
      </c>
      <c r="J2597" s="14" t="str">
        <f>_xlfn.XLOOKUP(B2597,CAD_PDV!A:A,CAD_PDV!B:B)</f>
        <v>HS TELECOM</v>
      </c>
      <c r="K2597" s="14">
        <f>IF(IFERROR(_xlfn.XLOOKUP(B2597,Planilha2!D:D,Planilha2!H:H),0)="SIM",1,0)</f>
        <v>0</v>
      </c>
      <c r="L2597" s="14" t="str">
        <f>_xlfn.XLOOKUP(B2597,CAD_PDV!A:A,CAD_PDV!C:C)</f>
        <v>SP2</v>
      </c>
      <c r="M2597" s="14" t="str">
        <f>IFERROR(_xlfn.XLOOKUP(B2597,repete!A:A,repete!A:A),"-")</f>
        <v>-</v>
      </c>
    </row>
    <row r="2598" spans="1:13">
      <c r="A2598" s="1">
        <v>46235</v>
      </c>
      <c r="B2598" t="s">
        <v>1339</v>
      </c>
      <c r="C2598" t="s">
        <v>1313</v>
      </c>
      <c r="D2598" t="s">
        <v>225</v>
      </c>
      <c r="E2598" t="s">
        <v>53</v>
      </c>
      <c r="F2598">
        <v>108</v>
      </c>
      <c r="G2598">
        <v>17</v>
      </c>
      <c r="H2598">
        <v>4.4224765868886599E-3</v>
      </c>
      <c r="I2598">
        <v>0.17894736842105299</v>
      </c>
      <c r="J2598" s="14" t="str">
        <f>_xlfn.XLOOKUP(B2598,CAD_PDV!A:A,CAD_PDV!B:B)</f>
        <v>CLARICELL SP1</v>
      </c>
      <c r="K2598" s="14">
        <f>IF(IFERROR(_xlfn.XLOOKUP(B2598,Planilha2!D:D,Planilha2!H:H),0)="SIM",1,0)</f>
        <v>0</v>
      </c>
      <c r="L2598" s="14" t="str">
        <f>_xlfn.XLOOKUP(B2598,CAD_PDV!A:A,CAD_PDV!C:C)</f>
        <v>SP1</v>
      </c>
      <c r="M2598" s="14" t="str">
        <f>IFERROR(_xlfn.XLOOKUP(B2598,repete!A:A,repete!A:A),"-")</f>
        <v>-</v>
      </c>
    </row>
    <row r="2599" spans="1:13">
      <c r="A2599" s="1">
        <v>46235</v>
      </c>
      <c r="B2599" t="s">
        <v>1216</v>
      </c>
      <c r="C2599" t="s">
        <v>1182</v>
      </c>
      <c r="D2599" t="s">
        <v>228</v>
      </c>
      <c r="E2599" t="s">
        <v>55</v>
      </c>
      <c r="F2599">
        <v>68</v>
      </c>
      <c r="G2599">
        <v>16</v>
      </c>
      <c r="H2599">
        <v>4.1623309053069697E-3</v>
      </c>
      <c r="I2599">
        <v>0.238805970149254</v>
      </c>
      <c r="J2599" s="14" t="str">
        <f>_xlfn.XLOOKUP(B2599,CAD_PDV!A:A,CAD_PDV!B:B)</f>
        <v>FAJULUTI</v>
      </c>
      <c r="K2599" s="14">
        <f>IF(IFERROR(_xlfn.XLOOKUP(B2599,Planilha2!D:D,Planilha2!H:H),0)="SIM",1,0)</f>
        <v>0</v>
      </c>
      <c r="L2599" s="14" t="str">
        <f>_xlfn.XLOOKUP(B2599,CAD_PDV!A:A,CAD_PDV!C:C)</f>
        <v>RJ/ES</v>
      </c>
      <c r="M2599" s="14" t="str">
        <f>IFERROR(_xlfn.XLOOKUP(B2599,repete!A:A,repete!A:A),"-")</f>
        <v>-</v>
      </c>
    </row>
    <row r="2600" spans="1:13">
      <c r="A2600" s="1">
        <v>46235</v>
      </c>
      <c r="B2600" t="s">
        <v>1364</v>
      </c>
      <c r="C2600" t="s">
        <v>1313</v>
      </c>
      <c r="D2600" t="s">
        <v>132</v>
      </c>
      <c r="E2600" t="s">
        <v>53</v>
      </c>
      <c r="F2600">
        <v>103</v>
      </c>
      <c r="G2600">
        <v>16</v>
      </c>
      <c r="H2600">
        <v>4.1623309053069697E-3</v>
      </c>
      <c r="I2600">
        <v>0.16326530612244899</v>
      </c>
      <c r="J2600" s="14" t="str">
        <f>_xlfn.XLOOKUP(B2600,CAD_PDV!A:A,CAD_PDV!B:B)</f>
        <v>FLEX CELL</v>
      </c>
      <c r="K2600" s="14">
        <f>IF(IFERROR(_xlfn.XLOOKUP(B2600,Planilha2!D:D,Planilha2!H:H),0)="SIM",1,0)</f>
        <v>0</v>
      </c>
      <c r="L2600" s="14" t="str">
        <f>_xlfn.XLOOKUP(B2600,CAD_PDV!A:A,CAD_PDV!C:C)</f>
        <v>SP1</v>
      </c>
      <c r="M2600" s="14" t="str">
        <f>IFERROR(_xlfn.XLOOKUP(B2600,repete!A:A,repete!A:A),"-")</f>
        <v>-</v>
      </c>
    </row>
    <row r="2601" spans="1:13">
      <c r="A2601" s="1">
        <v>46235</v>
      </c>
      <c r="B2601" t="s">
        <v>2020</v>
      </c>
      <c r="C2601" t="s">
        <v>2019</v>
      </c>
      <c r="D2601" t="s">
        <v>106</v>
      </c>
      <c r="E2601" t="s">
        <v>2074</v>
      </c>
      <c r="F2601">
        <v>92</v>
      </c>
      <c r="G2601">
        <v>16</v>
      </c>
      <c r="H2601">
        <v>4.1623309053069697E-3</v>
      </c>
      <c r="I2601">
        <v>0.173913043478261</v>
      </c>
      <c r="J2601" s="14" t="str">
        <f>_xlfn.XLOOKUP(B2601,CAD_PDV!A:A,CAD_PDV!B:B)</f>
        <v>CELLULAR.COM</v>
      </c>
      <c r="K2601" s="14">
        <f>IF(IFERROR(_xlfn.XLOOKUP(B2601,Planilha2!D:D,Planilha2!H:H),0)="SIM",1,0)</f>
        <v>0</v>
      </c>
      <c r="L2601" s="14" t="str">
        <f>_xlfn.XLOOKUP(B2601,CAD_PDV!A:A,CAD_PDV!C:C)</f>
        <v>PR/SC</v>
      </c>
      <c r="M2601" s="14" t="str">
        <f>IFERROR(_xlfn.XLOOKUP(B2601,repete!A:A,repete!A:A),"-")</f>
        <v>-</v>
      </c>
    </row>
    <row r="2602" spans="1:13">
      <c r="A2602" s="1">
        <v>46235</v>
      </c>
      <c r="B2602" t="s">
        <v>1862</v>
      </c>
      <c r="C2602" t="s">
        <v>1861</v>
      </c>
      <c r="D2602" t="s">
        <v>106</v>
      </c>
      <c r="E2602" t="s">
        <v>2074</v>
      </c>
      <c r="F2602">
        <v>56</v>
      </c>
      <c r="G2602">
        <v>16</v>
      </c>
      <c r="H2602">
        <v>4.1623309053069697E-3</v>
      </c>
      <c r="I2602">
        <v>0.29090909090909101</v>
      </c>
      <c r="J2602" s="14" t="str">
        <f>_xlfn.XLOOKUP(B2602,CAD_PDV!A:A,CAD_PDV!B:B)</f>
        <v>CELLULAR.COM</v>
      </c>
      <c r="K2602" s="14">
        <f>IF(IFERROR(_xlfn.XLOOKUP(B2602,Planilha2!D:D,Planilha2!H:H),0)="SIM",1,0)</f>
        <v>0</v>
      </c>
      <c r="L2602" s="14" t="str">
        <f>_xlfn.XLOOKUP(B2602,CAD_PDV!A:A,CAD_PDV!C:C)</f>
        <v>PR/SC</v>
      </c>
      <c r="M2602" s="14" t="str">
        <f>IFERROR(_xlfn.XLOOKUP(B2602,repete!A:A,repete!A:A),"-")</f>
        <v>-</v>
      </c>
    </row>
    <row r="2603" spans="1:13">
      <c r="A2603" s="1">
        <v>46235</v>
      </c>
      <c r="B2603" t="s">
        <v>1265</v>
      </c>
      <c r="C2603" t="s">
        <v>1266</v>
      </c>
      <c r="D2603" t="s">
        <v>228</v>
      </c>
      <c r="E2603" t="s">
        <v>55</v>
      </c>
      <c r="F2603">
        <v>36</v>
      </c>
      <c r="G2603">
        <v>16</v>
      </c>
      <c r="H2603">
        <v>4.1623309053069697E-3</v>
      </c>
      <c r="I2603">
        <v>0.45714285714285702</v>
      </c>
      <c r="J2603" s="14" t="str">
        <f>_xlfn.XLOOKUP(B2603,CAD_PDV!A:A,CAD_PDV!B:B)</f>
        <v>FAJULUTI</v>
      </c>
      <c r="K2603" s="14">
        <f>IF(IFERROR(_xlfn.XLOOKUP(B2603,Planilha2!D:D,Planilha2!H:H),0)="SIM",1,0)</f>
        <v>0</v>
      </c>
      <c r="L2603" s="14" t="str">
        <f>_xlfn.XLOOKUP(B2603,CAD_PDV!A:A,CAD_PDV!C:C)</f>
        <v>RJ/ES</v>
      </c>
      <c r="M2603" s="14" t="str">
        <f>IFERROR(_xlfn.XLOOKUP(B2603,repete!A:A,repete!A:A),"-")</f>
        <v>-</v>
      </c>
    </row>
    <row r="2604" spans="1:13">
      <c r="A2604" s="1">
        <v>46235</v>
      </c>
      <c r="B2604" t="s">
        <v>1342</v>
      </c>
      <c r="C2604" t="s">
        <v>1313</v>
      </c>
      <c r="D2604" t="s">
        <v>225</v>
      </c>
      <c r="E2604" t="s">
        <v>53</v>
      </c>
      <c r="F2604">
        <v>104</v>
      </c>
      <c r="G2604">
        <v>16</v>
      </c>
      <c r="H2604">
        <v>4.1623309053069697E-3</v>
      </c>
      <c r="I2604">
        <v>0.164948453608247</v>
      </c>
      <c r="J2604" s="14" t="str">
        <f>_xlfn.XLOOKUP(B2604,CAD_PDV!A:A,CAD_PDV!B:B)</f>
        <v>CLARICELL SP1</v>
      </c>
      <c r="K2604" s="14">
        <f>IF(IFERROR(_xlfn.XLOOKUP(B2604,Planilha2!D:D,Planilha2!H:H),0)="SIM",1,0)</f>
        <v>0</v>
      </c>
      <c r="L2604" s="14" t="str">
        <f>_xlfn.XLOOKUP(B2604,CAD_PDV!A:A,CAD_PDV!C:C)</f>
        <v>SP1</v>
      </c>
      <c r="M2604" s="14" t="str">
        <f>IFERROR(_xlfn.XLOOKUP(B2604,repete!A:A,repete!A:A),"-")</f>
        <v>-</v>
      </c>
    </row>
    <row r="2605" spans="1:13">
      <c r="A2605" s="1">
        <v>46235</v>
      </c>
      <c r="B2605" t="s">
        <v>1481</v>
      </c>
      <c r="C2605" t="s">
        <v>1482</v>
      </c>
      <c r="D2605" t="s">
        <v>232</v>
      </c>
      <c r="E2605" t="s">
        <v>54</v>
      </c>
      <c r="F2605">
        <v>45</v>
      </c>
      <c r="G2605">
        <v>15</v>
      </c>
      <c r="H2605">
        <v>3.9021852237252899E-3</v>
      </c>
      <c r="I2605">
        <v>0.34883720930232598</v>
      </c>
      <c r="J2605" s="14" t="str">
        <f>_xlfn.XLOOKUP(B2605,CAD_PDV!A:A,CAD_PDV!B:B)</f>
        <v>HS TELECOM</v>
      </c>
      <c r="K2605" s="14">
        <f>IF(IFERROR(_xlfn.XLOOKUP(B2605,Planilha2!D:D,Planilha2!H:H),0)="SIM",1,0)</f>
        <v>0</v>
      </c>
      <c r="L2605" s="14" t="str">
        <f>_xlfn.XLOOKUP(B2605,CAD_PDV!A:A,CAD_PDV!C:C)</f>
        <v>SP2</v>
      </c>
      <c r="M2605" s="14" t="str">
        <f>IFERROR(_xlfn.XLOOKUP(B2605,repete!A:A,repete!A:A),"-")</f>
        <v>-</v>
      </c>
    </row>
    <row r="2606" spans="1:13">
      <c r="A2606" s="1">
        <v>46235</v>
      </c>
      <c r="B2606" t="s">
        <v>1012</v>
      </c>
      <c r="C2606" t="s">
        <v>1005</v>
      </c>
      <c r="D2606" t="s">
        <v>232</v>
      </c>
      <c r="E2606" t="s">
        <v>60</v>
      </c>
      <c r="F2606">
        <v>52</v>
      </c>
      <c r="G2606">
        <v>15</v>
      </c>
      <c r="H2606">
        <v>3.9021852237252899E-3</v>
      </c>
      <c r="I2606">
        <v>0.3</v>
      </c>
      <c r="J2606" s="14" t="str">
        <f>_xlfn.XLOOKUP(B2606,CAD_PDV!A:A,CAD_PDV!B:B)</f>
        <v>HS TELECOM</v>
      </c>
      <c r="K2606" s="14">
        <f>IF(IFERROR(_xlfn.XLOOKUP(B2606,Planilha2!D:D,Planilha2!H:H),0)="SIM",1,0)</f>
        <v>0</v>
      </c>
      <c r="L2606" s="14" t="str">
        <f>_xlfn.XLOOKUP(B2606,CAD_PDV!A:A,CAD_PDV!C:C)</f>
        <v>BA/SE</v>
      </c>
      <c r="M2606" s="14" t="str">
        <f>IFERROR(_xlfn.XLOOKUP(B2606,repete!A:A,repete!A:A),"-")</f>
        <v>FMBI</v>
      </c>
    </row>
    <row r="2607" spans="1:13">
      <c r="A2607" s="1">
        <v>46235</v>
      </c>
      <c r="B2607" t="s">
        <v>277</v>
      </c>
      <c r="C2607" t="s">
        <v>261</v>
      </c>
      <c r="D2607" t="s">
        <v>238</v>
      </c>
      <c r="E2607" t="s">
        <v>61</v>
      </c>
      <c r="F2607">
        <v>77</v>
      </c>
      <c r="G2607">
        <v>15</v>
      </c>
      <c r="H2607">
        <v>3.9021852237252899E-3</v>
      </c>
      <c r="I2607">
        <v>0.20833333333333301</v>
      </c>
      <c r="J2607" s="14" t="str">
        <f>_xlfn.XLOOKUP(B2607,CAD_PDV!A:A,CAD_PDV!B:B)</f>
        <v>R &amp; R HIPER COMERCIO LTDA</v>
      </c>
      <c r="K2607" s="14">
        <f>IF(IFERROR(_xlfn.XLOOKUP(B2607,Planilha2!D:D,Planilha2!H:H),0)="SIM",1,0)</f>
        <v>0</v>
      </c>
      <c r="L2607" s="14" t="str">
        <f>_xlfn.XLOOKUP(B2607,CAD_PDV!A:A,CAD_PDV!C:C)</f>
        <v>NE</v>
      </c>
      <c r="M2607" s="14" t="str">
        <f>IFERROR(_xlfn.XLOOKUP(B2607,repete!A:A,repete!A:A),"-")</f>
        <v>-</v>
      </c>
    </row>
    <row r="2608" spans="1:13">
      <c r="A2608" s="1">
        <v>46235</v>
      </c>
      <c r="B2608" t="s">
        <v>447</v>
      </c>
      <c r="C2608" t="s">
        <v>449</v>
      </c>
      <c r="D2608" t="s">
        <v>228</v>
      </c>
      <c r="E2608" t="s">
        <v>56</v>
      </c>
      <c r="F2608">
        <v>28</v>
      </c>
      <c r="G2608">
        <v>15</v>
      </c>
      <c r="H2608">
        <v>3.9021852237252899E-3</v>
      </c>
      <c r="I2608">
        <v>0.6</v>
      </c>
      <c r="J2608" s="14" t="str">
        <f>_xlfn.XLOOKUP(B2608,CAD_PDV!A:A,CAD_PDV!B:B)</f>
        <v>FAJULUTI</v>
      </c>
      <c r="K2608" s="14">
        <f>IF(IFERROR(_xlfn.XLOOKUP(B2608,Planilha2!D:D,Planilha2!H:H),0)="SIM",1,0)</f>
        <v>0</v>
      </c>
      <c r="L2608" s="14" t="str">
        <f>_xlfn.XLOOKUP(B2608,CAD_PDV!A:A,CAD_PDV!C:C)</f>
        <v>MG</v>
      </c>
      <c r="M2608" s="14" t="str">
        <f>IFERROR(_xlfn.XLOOKUP(B2608,repete!A:A,repete!A:A),"-")</f>
        <v>-</v>
      </c>
    </row>
    <row r="2609" spans="1:13">
      <c r="A2609" s="1">
        <v>46235</v>
      </c>
      <c r="B2609" t="s">
        <v>369</v>
      </c>
      <c r="C2609" t="s">
        <v>370</v>
      </c>
      <c r="D2609" t="s">
        <v>230</v>
      </c>
      <c r="E2609" t="s">
        <v>61</v>
      </c>
      <c r="F2609">
        <v>25</v>
      </c>
      <c r="G2609">
        <v>15</v>
      </c>
      <c r="H2609">
        <v>3.9021852237252899E-3</v>
      </c>
      <c r="I2609">
        <v>0.65217391304347805</v>
      </c>
      <c r="J2609" s="14" t="str">
        <f>_xlfn.XLOOKUP(B2609,CAD_PDV!A:A,CAD_PDV!B:B)</f>
        <v>HARCOS COMERCIO E SERVICOS LTDA - EPP</v>
      </c>
      <c r="K2609" s="14">
        <f>IF(IFERROR(_xlfn.XLOOKUP(B2609,Planilha2!D:D,Planilha2!H:H),0)="SIM",1,0)</f>
        <v>0</v>
      </c>
      <c r="L2609" s="14" t="str">
        <f>_xlfn.XLOOKUP(B2609,CAD_PDV!A:A,CAD_PDV!C:C)</f>
        <v>NE</v>
      </c>
      <c r="M2609" s="14" t="str">
        <f>IFERROR(_xlfn.XLOOKUP(B2609,repete!A:A,repete!A:A),"-")</f>
        <v>-</v>
      </c>
    </row>
    <row r="2610" spans="1:13">
      <c r="A2610" s="1">
        <v>46235</v>
      </c>
      <c r="B2610" t="s">
        <v>1723</v>
      </c>
      <c r="C2610" t="s">
        <v>1451</v>
      </c>
      <c r="D2610" t="s">
        <v>232</v>
      </c>
      <c r="E2610" t="s">
        <v>54</v>
      </c>
      <c r="F2610">
        <v>77</v>
      </c>
      <c r="G2610">
        <v>15</v>
      </c>
      <c r="H2610">
        <v>3.9021852237252899E-3</v>
      </c>
      <c r="I2610">
        <v>0.20270270270270299</v>
      </c>
      <c r="J2610" s="14" t="str">
        <f>_xlfn.XLOOKUP(B2610,CAD_PDV!A:A,CAD_PDV!B:B)</f>
        <v>HS TELECOM</v>
      </c>
      <c r="K2610" s="14">
        <f>IF(IFERROR(_xlfn.XLOOKUP(B2610,Planilha2!D:D,Planilha2!H:H),0)="SIM",1,0)</f>
        <v>0</v>
      </c>
      <c r="L2610" s="14" t="str">
        <f>_xlfn.XLOOKUP(B2610,CAD_PDV!A:A,CAD_PDV!C:C)</f>
        <v>SP2</v>
      </c>
      <c r="M2610" s="14" t="str">
        <f>IFERROR(_xlfn.XLOOKUP(B2610,repete!A:A,repete!A:A),"-")</f>
        <v>-</v>
      </c>
    </row>
    <row r="2611" spans="1:13">
      <c r="A2611" s="1">
        <v>46235</v>
      </c>
      <c r="B2611" t="s">
        <v>512</v>
      </c>
      <c r="C2611" t="s">
        <v>513</v>
      </c>
      <c r="D2611" t="s">
        <v>228</v>
      </c>
      <c r="E2611" t="s">
        <v>56</v>
      </c>
      <c r="F2611">
        <v>24</v>
      </c>
      <c r="G2611">
        <v>14</v>
      </c>
      <c r="H2611">
        <v>3.6420395421436001E-3</v>
      </c>
      <c r="I2611">
        <v>0.63636363636363602</v>
      </c>
      <c r="J2611" s="14" t="str">
        <f>_xlfn.XLOOKUP(B2611,CAD_PDV!A:A,CAD_PDV!B:B)</f>
        <v>FAJULUTI</v>
      </c>
      <c r="K2611" s="14">
        <f>IF(IFERROR(_xlfn.XLOOKUP(B2611,Planilha2!D:D,Planilha2!H:H),0)="SIM",1,0)</f>
        <v>0</v>
      </c>
      <c r="L2611" s="14" t="str">
        <f>_xlfn.XLOOKUP(B2611,CAD_PDV!A:A,CAD_PDV!C:C)</f>
        <v>MG</v>
      </c>
      <c r="M2611" s="14" t="str">
        <f>IFERROR(_xlfn.XLOOKUP(B2611,repete!A:A,repete!A:A),"-")</f>
        <v>-</v>
      </c>
    </row>
    <row r="2612" spans="1:13">
      <c r="A2612" s="1">
        <v>46235</v>
      </c>
      <c r="B2612" t="s">
        <v>1149</v>
      </c>
      <c r="C2612" t="s">
        <v>1152</v>
      </c>
      <c r="D2612" t="s">
        <v>228</v>
      </c>
      <c r="E2612" t="s">
        <v>55</v>
      </c>
      <c r="F2612">
        <v>38</v>
      </c>
      <c r="G2612">
        <v>14</v>
      </c>
      <c r="H2612">
        <v>3.6420395421436001E-3</v>
      </c>
      <c r="I2612">
        <v>0.36842105263157898</v>
      </c>
      <c r="J2612" s="14" t="str">
        <f>_xlfn.XLOOKUP(B2612,CAD_PDV!A:A,CAD_PDV!B:B)</f>
        <v>FAJULUTI</v>
      </c>
      <c r="K2612" s="14">
        <f>IF(IFERROR(_xlfn.XLOOKUP(B2612,Planilha2!D:D,Planilha2!H:H),0)="SIM",1,0)</f>
        <v>0</v>
      </c>
      <c r="L2612" s="14" t="str">
        <f>_xlfn.XLOOKUP(B2612,CAD_PDV!A:A,CAD_PDV!C:C)</f>
        <v>RJ/ES</v>
      </c>
      <c r="M2612" s="14" t="str">
        <f>IFERROR(_xlfn.XLOOKUP(B2612,repete!A:A,repete!A:A),"-")</f>
        <v>-</v>
      </c>
    </row>
    <row r="2613" spans="1:13">
      <c r="A2613" s="1">
        <v>46235</v>
      </c>
      <c r="B2613" t="s">
        <v>912</v>
      </c>
      <c r="C2613" t="s">
        <v>820</v>
      </c>
      <c r="D2613" t="s">
        <v>239</v>
      </c>
      <c r="E2613" t="s">
        <v>59</v>
      </c>
      <c r="F2613">
        <v>41</v>
      </c>
      <c r="G2613">
        <v>14</v>
      </c>
      <c r="H2613">
        <v>3.6420395421436001E-3</v>
      </c>
      <c r="I2613">
        <v>0.34146341463414598</v>
      </c>
      <c r="J2613" s="14" t="str">
        <f>_xlfn.XLOOKUP(B2613,CAD_PDV!A:A,CAD_PDV!B:B)</f>
        <v>TELECELL TELEFONIA LTDA - ME</v>
      </c>
      <c r="K2613" s="14">
        <f>IF(IFERROR(_xlfn.XLOOKUP(B2613,Planilha2!D:D,Planilha2!H:H),0)="SIM",1,0)</f>
        <v>0</v>
      </c>
      <c r="L2613" s="14" t="str">
        <f>_xlfn.XLOOKUP(B2613,CAD_PDV!A:A,CAD_PDV!C:C)</f>
        <v>CO</v>
      </c>
      <c r="M2613" s="14" t="str">
        <f>IFERROR(_xlfn.XLOOKUP(B2613,repete!A:A,repete!A:A),"-")</f>
        <v>-</v>
      </c>
    </row>
    <row r="2614" spans="1:13">
      <c r="A2614" s="1">
        <v>46235</v>
      </c>
      <c r="B2614" t="s">
        <v>1233</v>
      </c>
      <c r="C2614" t="s">
        <v>1142</v>
      </c>
      <c r="D2614" t="s">
        <v>237</v>
      </c>
      <c r="E2614" t="s">
        <v>55</v>
      </c>
      <c r="F2614">
        <v>95</v>
      </c>
      <c r="G2614">
        <v>14</v>
      </c>
      <c r="H2614">
        <v>3.6420395421436001E-3</v>
      </c>
      <c r="I2614">
        <v>0.15217391304347799</v>
      </c>
      <c r="J2614" s="14" t="str">
        <f>_xlfn.XLOOKUP(B2614,CAD_PDV!A:A,CAD_PDV!B:B)</f>
        <v>PONTO CERTO COMERCIO E COMUNICAÇÕES LTDA</v>
      </c>
      <c r="K2614" s="14">
        <f>IF(IFERROR(_xlfn.XLOOKUP(B2614,Planilha2!D:D,Planilha2!H:H),0)="SIM",1,0)</f>
        <v>0</v>
      </c>
      <c r="L2614" s="14" t="str">
        <f>_xlfn.XLOOKUP(B2614,CAD_PDV!A:A,CAD_PDV!C:C)</f>
        <v>RJ/ES</v>
      </c>
      <c r="M2614" s="14" t="str">
        <f>IFERROR(_xlfn.XLOOKUP(B2614,repete!A:A,repete!A:A),"-")</f>
        <v>-</v>
      </c>
    </row>
    <row r="2615" spans="1:13">
      <c r="A2615" s="1">
        <v>46235</v>
      </c>
      <c r="B2615" t="s">
        <v>758</v>
      </c>
      <c r="C2615" t="s">
        <v>616</v>
      </c>
      <c r="D2615" t="s">
        <v>239</v>
      </c>
      <c r="E2615" t="s">
        <v>59</v>
      </c>
      <c r="F2615">
        <v>69</v>
      </c>
      <c r="G2615">
        <v>14</v>
      </c>
      <c r="H2615">
        <v>3.6420395421436001E-3</v>
      </c>
      <c r="I2615">
        <v>0.21212121212121199</v>
      </c>
      <c r="J2615" s="14" t="str">
        <f>_xlfn.XLOOKUP(B2615,CAD_PDV!A:A,CAD_PDV!B:B)</f>
        <v>TELECELL TELEFONIA LTDA - ME</v>
      </c>
      <c r="K2615" s="14">
        <f>IF(IFERROR(_xlfn.XLOOKUP(B2615,Planilha2!D:D,Planilha2!H:H),0)="SIM",1,0)</f>
        <v>0</v>
      </c>
      <c r="L2615" s="14" t="str">
        <f>_xlfn.XLOOKUP(B2615,CAD_PDV!A:A,CAD_PDV!C:C)</f>
        <v>CO</v>
      </c>
      <c r="M2615" s="14" t="str">
        <f>IFERROR(_xlfn.XLOOKUP(B2615,repete!A:A,repete!A:A),"-")</f>
        <v>-</v>
      </c>
    </row>
    <row r="2616" spans="1:13">
      <c r="A2616" s="1">
        <v>46235</v>
      </c>
      <c r="B2616" t="s">
        <v>1289</v>
      </c>
      <c r="C2616" t="s">
        <v>1290</v>
      </c>
      <c r="D2616" t="s">
        <v>232</v>
      </c>
      <c r="E2616" t="s">
        <v>55</v>
      </c>
      <c r="F2616">
        <v>43</v>
      </c>
      <c r="G2616">
        <v>14</v>
      </c>
      <c r="H2616">
        <v>3.6420395421436001E-3</v>
      </c>
      <c r="I2616">
        <v>0.32558139534883701</v>
      </c>
      <c r="J2616" s="14" t="str">
        <f>_xlfn.XLOOKUP(B2616,CAD_PDV!A:A,CAD_PDV!B:B)</f>
        <v>HS TELECOM</v>
      </c>
      <c r="K2616" s="14">
        <f>IF(IFERROR(_xlfn.XLOOKUP(B2616,Planilha2!D:D,Planilha2!H:H),0)="SIM",1,0)</f>
        <v>0</v>
      </c>
      <c r="L2616" s="14" t="str">
        <f>_xlfn.XLOOKUP(B2616,CAD_PDV!A:A,CAD_PDV!C:C)</f>
        <v>RJ/ES</v>
      </c>
      <c r="M2616" s="14" t="str">
        <f>IFERROR(_xlfn.XLOOKUP(B2616,repete!A:A,repete!A:A),"-")</f>
        <v>-</v>
      </c>
    </row>
    <row r="2617" spans="1:13">
      <c r="A2617" s="1">
        <v>46235</v>
      </c>
      <c r="B2617" t="s">
        <v>2041</v>
      </c>
      <c r="C2617" t="s">
        <v>2042</v>
      </c>
      <c r="D2617" t="s">
        <v>193</v>
      </c>
      <c r="E2617" t="s">
        <v>2074</v>
      </c>
      <c r="F2617">
        <v>59</v>
      </c>
      <c r="G2617">
        <v>14</v>
      </c>
      <c r="H2617">
        <v>3.6420395421436001E-3</v>
      </c>
      <c r="I2617">
        <v>0.25454545454545502</v>
      </c>
      <c r="J2617" s="14" t="str">
        <f>_xlfn.XLOOKUP(B2617,CAD_PDV!A:A,CAD_PDV!B:B)</f>
        <v>S D COMERCIO DE CELULARES LTDA - ME</v>
      </c>
      <c r="K2617" s="14">
        <f>IF(IFERROR(_xlfn.XLOOKUP(B2617,Planilha2!D:D,Planilha2!H:H),0)="SIM",1,0)</f>
        <v>0</v>
      </c>
      <c r="L2617" s="14" t="str">
        <f>_xlfn.XLOOKUP(B2617,CAD_PDV!A:A,CAD_PDV!C:C)</f>
        <v>RS</v>
      </c>
      <c r="M2617" s="14" t="str">
        <f>IFERROR(_xlfn.XLOOKUP(B2617,repete!A:A,repete!A:A),"-")</f>
        <v>-</v>
      </c>
    </row>
    <row r="2618" spans="1:13">
      <c r="A2618" s="1">
        <v>46235</v>
      </c>
      <c r="B2618" t="s">
        <v>1656</v>
      </c>
      <c r="C2618" t="s">
        <v>1657</v>
      </c>
      <c r="D2618" t="s">
        <v>232</v>
      </c>
      <c r="E2618" t="s">
        <v>54</v>
      </c>
      <c r="F2618">
        <v>36</v>
      </c>
      <c r="G2618">
        <v>14</v>
      </c>
      <c r="H2618">
        <v>3.6420395421436001E-3</v>
      </c>
      <c r="I2618">
        <v>0.4</v>
      </c>
      <c r="J2618" s="14" t="str">
        <f>_xlfn.XLOOKUP(B2618,CAD_PDV!A:A,CAD_PDV!B:B)</f>
        <v>HS TELECOM</v>
      </c>
      <c r="K2618" s="14">
        <f>IF(IFERROR(_xlfn.XLOOKUP(B2618,Planilha2!D:D,Planilha2!H:H),0)="SIM",1,0)</f>
        <v>0</v>
      </c>
      <c r="L2618" s="14" t="str">
        <f>_xlfn.XLOOKUP(B2618,CAD_PDV!A:A,CAD_PDV!C:C)</f>
        <v>SP2</v>
      </c>
      <c r="M2618" s="14" t="str">
        <f>IFERROR(_xlfn.XLOOKUP(B2618,repete!A:A,repete!A:A),"-")</f>
        <v>-</v>
      </c>
    </row>
    <row r="2619" spans="1:13">
      <c r="A2619" s="1">
        <v>46235</v>
      </c>
      <c r="B2619" t="s">
        <v>1692</v>
      </c>
      <c r="C2619" t="s">
        <v>1693</v>
      </c>
      <c r="D2619" t="s">
        <v>232</v>
      </c>
      <c r="E2619" t="s">
        <v>54</v>
      </c>
      <c r="F2619">
        <v>42</v>
      </c>
      <c r="G2619">
        <v>14</v>
      </c>
      <c r="H2619">
        <v>3.6420395421436001E-3</v>
      </c>
      <c r="I2619">
        <v>0.4</v>
      </c>
      <c r="J2619" s="14" t="str">
        <f>_xlfn.XLOOKUP(B2619,CAD_PDV!A:A,CAD_PDV!B:B)</f>
        <v>HS TELECOM</v>
      </c>
      <c r="K2619" s="14">
        <f>IF(IFERROR(_xlfn.XLOOKUP(B2619,Planilha2!D:D,Planilha2!H:H),0)="SIM",1,0)</f>
        <v>0</v>
      </c>
      <c r="L2619" s="14" t="str">
        <f>_xlfn.XLOOKUP(B2619,CAD_PDV!A:A,CAD_PDV!C:C)</f>
        <v>SP2</v>
      </c>
      <c r="M2619" s="14" t="str">
        <f>IFERROR(_xlfn.XLOOKUP(B2619,repete!A:A,repete!A:A),"-")</f>
        <v>-</v>
      </c>
    </row>
    <row r="2620" spans="1:13">
      <c r="A2620" s="1">
        <v>46235</v>
      </c>
      <c r="B2620" t="s">
        <v>1699</v>
      </c>
      <c r="C2620" t="s">
        <v>1700</v>
      </c>
      <c r="D2620" t="s">
        <v>106</v>
      </c>
      <c r="E2620" t="s">
        <v>54</v>
      </c>
      <c r="F2620">
        <v>57</v>
      </c>
      <c r="G2620">
        <v>14</v>
      </c>
      <c r="H2620">
        <v>3.6420395421436001E-3</v>
      </c>
      <c r="I2620">
        <v>0.269230769230769</v>
      </c>
      <c r="J2620" s="14" t="str">
        <f>_xlfn.XLOOKUP(B2620,CAD_PDV!A:A,CAD_PDV!B:B)</f>
        <v>CELLULAR.COM</v>
      </c>
      <c r="K2620" s="14">
        <f>IF(IFERROR(_xlfn.XLOOKUP(B2620,Planilha2!D:D,Planilha2!H:H),0)="SIM",1,0)</f>
        <v>0</v>
      </c>
      <c r="L2620" s="14" t="str">
        <f>_xlfn.XLOOKUP(B2620,CAD_PDV!A:A,CAD_PDV!C:C)</f>
        <v>SP2</v>
      </c>
      <c r="M2620" s="14" t="str">
        <f>IFERROR(_xlfn.XLOOKUP(B2620,repete!A:A,repete!A:A),"-")</f>
        <v>-</v>
      </c>
    </row>
    <row r="2621" spans="1:13">
      <c r="A2621" s="1">
        <v>46235</v>
      </c>
      <c r="B2621" t="s">
        <v>617</v>
      </c>
      <c r="C2621" t="s">
        <v>616</v>
      </c>
      <c r="D2621" t="s">
        <v>239</v>
      </c>
      <c r="E2621" t="s">
        <v>59</v>
      </c>
      <c r="F2621">
        <v>42</v>
      </c>
      <c r="G2621">
        <v>14</v>
      </c>
      <c r="H2621">
        <v>3.6420395421436001E-3</v>
      </c>
      <c r="I2621">
        <v>0.34146341463414598</v>
      </c>
      <c r="J2621" s="14" t="str">
        <f>_xlfn.XLOOKUP(B2621,CAD_PDV!A:A,CAD_PDV!B:B)</f>
        <v>TELECELL TELEFONIA LTDA - ME</v>
      </c>
      <c r="K2621" s="14">
        <f>IF(IFERROR(_xlfn.XLOOKUP(B2621,Planilha2!D:D,Planilha2!H:H),0)="SIM",1,0)</f>
        <v>0</v>
      </c>
      <c r="L2621" s="14" t="str">
        <f>_xlfn.XLOOKUP(B2621,CAD_PDV!A:A,CAD_PDV!C:C)</f>
        <v>CO</v>
      </c>
      <c r="M2621" s="14" t="str">
        <f>IFERROR(_xlfn.XLOOKUP(B2621,repete!A:A,repete!A:A),"-")</f>
        <v>-</v>
      </c>
    </row>
    <row r="2622" spans="1:13">
      <c r="A2622" s="1">
        <v>46235</v>
      </c>
      <c r="B2622" t="s">
        <v>1284</v>
      </c>
      <c r="C2622" t="s">
        <v>1283</v>
      </c>
      <c r="D2622" t="s">
        <v>228</v>
      </c>
      <c r="E2622" t="s">
        <v>55</v>
      </c>
      <c r="F2622">
        <v>31</v>
      </c>
      <c r="G2622">
        <v>13</v>
      </c>
      <c r="H2622">
        <v>3.3818938605619099E-3</v>
      </c>
      <c r="I2622">
        <v>0.41935483870967699</v>
      </c>
      <c r="J2622" s="14" t="str">
        <f>_xlfn.XLOOKUP(B2622,CAD_PDV!A:A,CAD_PDV!B:B)</f>
        <v>FAJULUTI</v>
      </c>
      <c r="K2622" s="14">
        <f>IF(IFERROR(_xlfn.XLOOKUP(B2622,Planilha2!D:D,Planilha2!H:H),0)="SIM",1,0)</f>
        <v>0</v>
      </c>
      <c r="L2622" s="14" t="str">
        <f>_xlfn.XLOOKUP(B2622,CAD_PDV!A:A,CAD_PDV!C:C)</f>
        <v>RJ/ES</v>
      </c>
      <c r="M2622" s="14" t="str">
        <f>IFERROR(_xlfn.XLOOKUP(B2622,repete!A:A,repete!A:A),"-")</f>
        <v>-</v>
      </c>
    </row>
    <row r="2623" spans="1:13">
      <c r="A2623" s="1">
        <v>46235</v>
      </c>
      <c r="B2623" t="s">
        <v>993</v>
      </c>
      <c r="C2623" t="s">
        <v>992</v>
      </c>
      <c r="D2623" t="s">
        <v>232</v>
      </c>
      <c r="E2623" t="s">
        <v>60</v>
      </c>
      <c r="F2623">
        <v>23</v>
      </c>
      <c r="G2623">
        <v>13</v>
      </c>
      <c r="H2623">
        <v>3.3818938605619099E-3</v>
      </c>
      <c r="I2623">
        <v>0.59090909090909105</v>
      </c>
      <c r="J2623" s="14" t="str">
        <f>_xlfn.XLOOKUP(B2623,CAD_PDV!A:A,CAD_PDV!B:B)</f>
        <v>HS TELECOM</v>
      </c>
      <c r="K2623" s="14">
        <f>IF(IFERROR(_xlfn.XLOOKUP(B2623,Planilha2!D:D,Planilha2!H:H),0)="SIM",1,0)</f>
        <v>0</v>
      </c>
      <c r="L2623" s="14" t="str">
        <f>_xlfn.XLOOKUP(B2623,CAD_PDV!A:A,CAD_PDV!C:C)</f>
        <v>BA/SE</v>
      </c>
      <c r="M2623" s="14" t="str">
        <f>IFERROR(_xlfn.XLOOKUP(B2623,repete!A:A,repete!A:A),"-")</f>
        <v>-</v>
      </c>
    </row>
    <row r="2624" spans="1:13">
      <c r="A2624" s="1">
        <v>46235</v>
      </c>
      <c r="B2624" t="s">
        <v>2028</v>
      </c>
      <c r="C2624" t="s">
        <v>2026</v>
      </c>
      <c r="D2624" t="s">
        <v>193</v>
      </c>
      <c r="E2624" t="s">
        <v>2074</v>
      </c>
      <c r="F2624">
        <v>59</v>
      </c>
      <c r="G2624">
        <v>13</v>
      </c>
      <c r="H2624">
        <v>3.3818938605619099E-3</v>
      </c>
      <c r="I2624">
        <v>0.240740740740741</v>
      </c>
      <c r="J2624" s="14" t="str">
        <f>_xlfn.XLOOKUP(B2624,CAD_PDV!A:A,CAD_PDV!B:B)</f>
        <v>S D COMERCIO DE CELULARES LTDA - ME</v>
      </c>
      <c r="K2624" s="14">
        <f>IF(IFERROR(_xlfn.XLOOKUP(B2624,Planilha2!D:D,Planilha2!H:H),0)="SIM",1,0)</f>
        <v>0</v>
      </c>
      <c r="L2624" s="14" t="str">
        <f>_xlfn.XLOOKUP(B2624,CAD_PDV!A:A,CAD_PDV!C:C)</f>
        <v>RS</v>
      </c>
      <c r="M2624" s="14" t="str">
        <f>IFERROR(_xlfn.XLOOKUP(B2624,repete!A:A,repete!A:A),"-")</f>
        <v>-</v>
      </c>
    </row>
    <row r="2625" spans="1:13">
      <c r="A2625" s="1">
        <v>46235</v>
      </c>
      <c r="B2625" t="s">
        <v>1963</v>
      </c>
      <c r="C2625" t="s">
        <v>1961</v>
      </c>
      <c r="D2625" t="s">
        <v>106</v>
      </c>
      <c r="E2625" t="s">
        <v>2074</v>
      </c>
      <c r="F2625">
        <v>32</v>
      </c>
      <c r="G2625">
        <v>13</v>
      </c>
      <c r="H2625">
        <v>3.3818938605619099E-3</v>
      </c>
      <c r="I2625">
        <v>0.40625</v>
      </c>
      <c r="J2625" s="14" t="str">
        <f>_xlfn.XLOOKUP(B2625,CAD_PDV!A:A,CAD_PDV!B:B)</f>
        <v>CELLULAR.COM</v>
      </c>
      <c r="K2625" s="14">
        <f>IF(IFERROR(_xlfn.XLOOKUP(B2625,Planilha2!D:D,Planilha2!H:H),0)="SIM",1,0)</f>
        <v>0</v>
      </c>
      <c r="L2625" s="14" t="str">
        <f>_xlfn.XLOOKUP(B2625,CAD_PDV!A:A,CAD_PDV!C:C)</f>
        <v>PR/SC</v>
      </c>
      <c r="M2625" s="14" t="str">
        <f>IFERROR(_xlfn.XLOOKUP(B2625,repete!A:A,repete!A:A),"-")</f>
        <v>-</v>
      </c>
    </row>
    <row r="2626" spans="1:13">
      <c r="A2626" s="1">
        <v>46235</v>
      </c>
      <c r="B2626" t="s">
        <v>1167</v>
      </c>
      <c r="C2626" t="s">
        <v>1152</v>
      </c>
      <c r="D2626" t="s">
        <v>237</v>
      </c>
      <c r="E2626" t="s">
        <v>55</v>
      </c>
      <c r="F2626">
        <v>95</v>
      </c>
      <c r="G2626">
        <v>13</v>
      </c>
      <c r="H2626">
        <v>3.3818938605619099E-3</v>
      </c>
      <c r="I2626">
        <v>0.13829787234042601</v>
      </c>
      <c r="J2626" s="14" t="str">
        <f>_xlfn.XLOOKUP(B2626,CAD_PDV!A:A,CAD_PDV!B:B)</f>
        <v>PONTO CERTO COMERCIO E COMUNICAÇÕES LTDA</v>
      </c>
      <c r="K2626" s="14">
        <f>IF(IFERROR(_xlfn.XLOOKUP(B2626,Planilha2!D:D,Planilha2!H:H),0)="SIM",1,0)</f>
        <v>0</v>
      </c>
      <c r="L2626" s="14" t="str">
        <f>_xlfn.XLOOKUP(B2626,CAD_PDV!A:A,CAD_PDV!C:C)</f>
        <v>RJ/ES</v>
      </c>
      <c r="M2626" s="14" t="str">
        <f>IFERROR(_xlfn.XLOOKUP(B2626,repete!A:A,repete!A:A),"-")</f>
        <v>-</v>
      </c>
    </row>
    <row r="2627" spans="1:13">
      <c r="A2627" s="1">
        <v>46235</v>
      </c>
      <c r="B2627" t="s">
        <v>1848</v>
      </c>
      <c r="C2627" t="s">
        <v>1847</v>
      </c>
      <c r="D2627" t="s">
        <v>106</v>
      </c>
      <c r="E2627" t="s">
        <v>2074</v>
      </c>
      <c r="F2627">
        <v>73</v>
      </c>
      <c r="G2627">
        <v>13</v>
      </c>
      <c r="H2627">
        <v>3.3818938605619099E-3</v>
      </c>
      <c r="I2627">
        <v>0.19402985074626899</v>
      </c>
      <c r="J2627" s="14" t="str">
        <f>_xlfn.XLOOKUP(B2627,CAD_PDV!A:A,CAD_PDV!B:B)</f>
        <v>CELLULAR.COM</v>
      </c>
      <c r="K2627" s="14">
        <f>IF(IFERROR(_xlfn.XLOOKUP(B2627,Planilha2!D:D,Planilha2!H:H),0)="SIM",1,0)</f>
        <v>0</v>
      </c>
      <c r="L2627" s="14" t="str">
        <f>_xlfn.XLOOKUP(B2627,CAD_PDV!A:A,CAD_PDV!C:C)</f>
        <v>PR/SC</v>
      </c>
      <c r="M2627" s="14" t="str">
        <f>IFERROR(_xlfn.XLOOKUP(B2627,repete!A:A,repete!A:A),"-")</f>
        <v>-</v>
      </c>
    </row>
    <row r="2628" spans="1:13">
      <c r="A2628" s="1">
        <v>46235</v>
      </c>
      <c r="B2628" t="s">
        <v>1362</v>
      </c>
      <c r="C2628" t="s">
        <v>1313</v>
      </c>
      <c r="D2628" t="s">
        <v>132</v>
      </c>
      <c r="E2628" t="s">
        <v>53</v>
      </c>
      <c r="F2628">
        <v>45</v>
      </c>
      <c r="G2628">
        <v>13</v>
      </c>
      <c r="H2628">
        <v>3.3818938605619099E-3</v>
      </c>
      <c r="I2628">
        <v>0.30232558139534899</v>
      </c>
      <c r="J2628" s="14" t="str">
        <f>_xlfn.XLOOKUP(B2628,CAD_PDV!A:A,CAD_PDV!B:B)</f>
        <v>FLEX CELL</v>
      </c>
      <c r="K2628" s="14">
        <f>IF(IFERROR(_xlfn.XLOOKUP(B2628,Planilha2!D:D,Planilha2!H:H),0)="SIM",1,0)</f>
        <v>0</v>
      </c>
      <c r="L2628" s="14" t="str">
        <f>_xlfn.XLOOKUP(B2628,CAD_PDV!A:A,CAD_PDV!C:C)</f>
        <v>SP1</v>
      </c>
      <c r="M2628" s="14" t="str">
        <f>IFERROR(_xlfn.XLOOKUP(B2628,repete!A:A,repete!A:A),"-")</f>
        <v>-</v>
      </c>
    </row>
    <row r="2629" spans="1:13">
      <c r="A2629" s="1">
        <v>46235</v>
      </c>
      <c r="B2629" t="s">
        <v>896</v>
      </c>
      <c r="C2629" t="s">
        <v>873</v>
      </c>
      <c r="D2629" t="s">
        <v>224</v>
      </c>
      <c r="E2629" t="s">
        <v>59</v>
      </c>
      <c r="F2629">
        <v>72</v>
      </c>
      <c r="G2629">
        <v>13</v>
      </c>
      <c r="H2629">
        <v>3.3818938605619099E-3</v>
      </c>
      <c r="I2629">
        <v>0.185714285714286</v>
      </c>
      <c r="J2629" s="14" t="str">
        <f>_xlfn.XLOOKUP(B2629,CAD_PDV!A:A,CAD_PDV!B:B)</f>
        <v>CELNET COMERCIO E SERVICOS DE TELEFONIA LTDA ME</v>
      </c>
      <c r="K2629" s="14">
        <f>IF(IFERROR(_xlfn.XLOOKUP(B2629,Planilha2!D:D,Planilha2!H:H),0)="SIM",1,0)</f>
        <v>0</v>
      </c>
      <c r="L2629" s="14" t="str">
        <f>_xlfn.XLOOKUP(B2629,CAD_PDV!A:A,CAD_PDV!C:C)</f>
        <v>CO</v>
      </c>
      <c r="M2629" s="14" t="str">
        <f>IFERROR(_xlfn.XLOOKUP(B2629,repete!A:A,repete!A:A),"-")</f>
        <v>-</v>
      </c>
    </row>
    <row r="2630" spans="1:13">
      <c r="A2630" s="1">
        <v>46235</v>
      </c>
      <c r="B2630" t="s">
        <v>1667</v>
      </c>
      <c r="C2630" t="s">
        <v>1668</v>
      </c>
      <c r="D2630" t="s">
        <v>232</v>
      </c>
      <c r="E2630" t="s">
        <v>54</v>
      </c>
      <c r="F2630">
        <v>49</v>
      </c>
      <c r="G2630">
        <v>13</v>
      </c>
      <c r="H2630">
        <v>3.3818938605619099E-3</v>
      </c>
      <c r="I2630">
        <v>0.282608695652174</v>
      </c>
      <c r="J2630" s="14" t="str">
        <f>_xlfn.XLOOKUP(B2630,CAD_PDV!A:A,CAD_PDV!B:B)</f>
        <v>HS TELECOM</v>
      </c>
      <c r="K2630" s="14">
        <f>IF(IFERROR(_xlfn.XLOOKUP(B2630,Planilha2!D:D,Planilha2!H:H),0)="SIM",1,0)</f>
        <v>0</v>
      </c>
      <c r="L2630" s="14" t="str">
        <f>_xlfn.XLOOKUP(B2630,CAD_PDV!A:A,CAD_PDV!C:C)</f>
        <v>SP2</v>
      </c>
      <c r="M2630" s="14" t="str">
        <f>IFERROR(_xlfn.XLOOKUP(B2630,repete!A:A,repete!A:A),"-")</f>
        <v>-</v>
      </c>
    </row>
    <row r="2631" spans="1:13">
      <c r="A2631" s="1">
        <v>46235</v>
      </c>
      <c r="B2631" t="s">
        <v>1681</v>
      </c>
      <c r="C2631" t="s">
        <v>1527</v>
      </c>
      <c r="D2631" t="s">
        <v>232</v>
      </c>
      <c r="E2631" t="s">
        <v>54</v>
      </c>
      <c r="F2631">
        <v>93</v>
      </c>
      <c r="G2631">
        <v>13</v>
      </c>
      <c r="H2631">
        <v>3.3818938605619099E-3</v>
      </c>
      <c r="I2631">
        <v>0.14942528735632199</v>
      </c>
      <c r="J2631" s="14" t="str">
        <f>_xlfn.XLOOKUP(B2631,CAD_PDV!A:A,CAD_PDV!B:B)</f>
        <v>HS TELECOM</v>
      </c>
      <c r="K2631" s="14">
        <f>IF(IFERROR(_xlfn.XLOOKUP(B2631,Planilha2!D:D,Planilha2!H:H),0)="SIM",1,0)</f>
        <v>0</v>
      </c>
      <c r="L2631" s="14" t="str">
        <f>_xlfn.XLOOKUP(B2631,CAD_PDV!A:A,CAD_PDV!C:C)</f>
        <v>SP2</v>
      </c>
      <c r="M2631" s="14" t="str">
        <f>IFERROR(_xlfn.XLOOKUP(B2631,repete!A:A,repete!A:A),"-")</f>
        <v>-</v>
      </c>
    </row>
    <row r="2632" spans="1:13">
      <c r="A2632" s="1">
        <v>46235</v>
      </c>
      <c r="B2632" t="s">
        <v>2005</v>
      </c>
      <c r="C2632" t="s">
        <v>1744</v>
      </c>
      <c r="D2632" t="s">
        <v>106</v>
      </c>
      <c r="E2632" t="s">
        <v>2074</v>
      </c>
      <c r="F2632">
        <v>56</v>
      </c>
      <c r="G2632">
        <v>13</v>
      </c>
      <c r="H2632">
        <v>3.3818938605619099E-3</v>
      </c>
      <c r="I2632">
        <v>0.25</v>
      </c>
      <c r="J2632" s="14" t="str">
        <f>_xlfn.XLOOKUP(B2632,CAD_PDV!A:A,CAD_PDV!B:B)</f>
        <v>CELLULAR.COM</v>
      </c>
      <c r="K2632" s="14">
        <f>IF(IFERROR(_xlfn.XLOOKUP(B2632,Planilha2!D:D,Planilha2!H:H),0)="SIM",1,0)</f>
        <v>0</v>
      </c>
      <c r="L2632" s="14" t="str">
        <f>_xlfn.XLOOKUP(B2632,CAD_PDV!A:A,CAD_PDV!C:C)</f>
        <v>PR/SC</v>
      </c>
      <c r="M2632" s="14" t="str">
        <f>IFERROR(_xlfn.XLOOKUP(B2632,repete!A:A,repete!A:A),"-")</f>
        <v>-</v>
      </c>
    </row>
    <row r="2633" spans="1:13">
      <c r="A2633" s="1">
        <v>46235</v>
      </c>
      <c r="B2633" t="s">
        <v>1706</v>
      </c>
      <c r="C2633" t="s">
        <v>1693</v>
      </c>
      <c r="D2633" t="s">
        <v>232</v>
      </c>
      <c r="E2633" t="s">
        <v>54</v>
      </c>
      <c r="F2633">
        <v>40</v>
      </c>
      <c r="G2633">
        <v>13</v>
      </c>
      <c r="H2633">
        <v>3.3818938605619099E-3</v>
      </c>
      <c r="I2633">
        <v>0.34210526315789502</v>
      </c>
      <c r="J2633" s="14" t="str">
        <f>_xlfn.XLOOKUP(B2633,CAD_PDV!A:A,CAD_PDV!B:B)</f>
        <v>HS TELECOM</v>
      </c>
      <c r="K2633" s="14">
        <f>IF(IFERROR(_xlfn.XLOOKUP(B2633,Planilha2!D:D,Planilha2!H:H),0)="SIM",1,0)</f>
        <v>0</v>
      </c>
      <c r="L2633" s="14" t="str">
        <f>_xlfn.XLOOKUP(B2633,CAD_PDV!A:A,CAD_PDV!C:C)</f>
        <v>SP2</v>
      </c>
      <c r="M2633" s="14" t="str">
        <f>IFERROR(_xlfn.XLOOKUP(B2633,repete!A:A,repete!A:A),"-")</f>
        <v>-</v>
      </c>
    </row>
    <row r="2634" spans="1:13">
      <c r="A2634" s="1">
        <v>46235</v>
      </c>
      <c r="B2634" t="s">
        <v>1281</v>
      </c>
      <c r="C2634" t="s">
        <v>1185</v>
      </c>
      <c r="D2634" t="s">
        <v>228</v>
      </c>
      <c r="E2634" t="s">
        <v>55</v>
      </c>
      <c r="F2634">
        <v>26</v>
      </c>
      <c r="G2634">
        <v>13</v>
      </c>
      <c r="H2634">
        <v>3.3818938605619099E-3</v>
      </c>
      <c r="I2634">
        <v>0.5</v>
      </c>
      <c r="J2634" s="14" t="str">
        <f>_xlfn.XLOOKUP(B2634,CAD_PDV!A:A,CAD_PDV!B:B)</f>
        <v>FAJULUTI</v>
      </c>
      <c r="K2634" s="14">
        <f>IF(IFERROR(_xlfn.XLOOKUP(B2634,Planilha2!D:D,Planilha2!H:H),0)="SIM",1,0)</f>
        <v>0</v>
      </c>
      <c r="L2634" s="14" t="str">
        <f>_xlfn.XLOOKUP(B2634,CAD_PDV!A:A,CAD_PDV!C:C)</f>
        <v>RJ/ES</v>
      </c>
      <c r="M2634" s="14" t="str">
        <f>IFERROR(_xlfn.XLOOKUP(B2634,repete!A:A,repete!A:A),"-")</f>
        <v>-</v>
      </c>
    </row>
    <row r="2635" spans="1:13">
      <c r="A2635" s="1">
        <v>46235</v>
      </c>
      <c r="B2635" t="s">
        <v>1976</v>
      </c>
      <c r="C2635" t="s">
        <v>1978</v>
      </c>
      <c r="D2635" t="s">
        <v>97</v>
      </c>
      <c r="E2635" t="s">
        <v>2074</v>
      </c>
      <c r="F2635">
        <v>22</v>
      </c>
      <c r="G2635">
        <v>12</v>
      </c>
      <c r="H2635">
        <v>3.1217481789802301E-3</v>
      </c>
      <c r="I2635">
        <v>0.57142857142857095</v>
      </c>
      <c r="J2635" s="14" t="str">
        <f>_xlfn.XLOOKUP(B2635,CAD_PDV!A:A,CAD_PDV!B:B)</f>
        <v>BANDEIRA</v>
      </c>
      <c r="K2635" s="14">
        <f>IF(IFERROR(_xlfn.XLOOKUP(B2635,Planilha2!D:D,Planilha2!H:H),0)="SIM",1,0)</f>
        <v>0</v>
      </c>
      <c r="L2635" s="14" t="str">
        <f>_xlfn.XLOOKUP(B2635,CAD_PDV!A:A,CAD_PDV!C:C)</f>
        <v>PR/SC</v>
      </c>
      <c r="M2635" s="14" t="str">
        <f>IFERROR(_xlfn.XLOOKUP(B2635,repete!A:A,repete!A:A),"-")</f>
        <v>-</v>
      </c>
    </row>
    <row r="2636" spans="1:13">
      <c r="A2636" s="1">
        <v>46235</v>
      </c>
      <c r="B2636" t="s">
        <v>1504</v>
      </c>
      <c r="C2636" t="s">
        <v>1505</v>
      </c>
      <c r="D2636" t="s">
        <v>132</v>
      </c>
      <c r="E2636" t="s">
        <v>54</v>
      </c>
      <c r="F2636">
        <v>55</v>
      </c>
      <c r="G2636">
        <v>12</v>
      </c>
      <c r="H2636">
        <v>3.1217481789802301E-3</v>
      </c>
      <c r="I2636">
        <v>0.24</v>
      </c>
      <c r="J2636" s="14" t="str">
        <f>_xlfn.XLOOKUP(B2636,CAD_PDV!A:A,CAD_PDV!B:B)</f>
        <v>FLEX CELL</v>
      </c>
      <c r="K2636" s="14">
        <f>IF(IFERROR(_xlfn.XLOOKUP(B2636,Planilha2!D:D,Planilha2!H:H),0)="SIM",1,0)</f>
        <v>0</v>
      </c>
      <c r="L2636" s="14" t="str">
        <f>_xlfn.XLOOKUP(B2636,CAD_PDV!A:A,CAD_PDV!C:C)</f>
        <v>SP2</v>
      </c>
      <c r="M2636" s="14" t="str">
        <f>IFERROR(_xlfn.XLOOKUP(B2636,repete!A:A,repete!A:A),"-")</f>
        <v>-</v>
      </c>
    </row>
    <row r="2637" spans="1:13">
      <c r="A2637" s="1">
        <v>46235</v>
      </c>
      <c r="B2637" t="s">
        <v>879</v>
      </c>
      <c r="C2637" t="s">
        <v>873</v>
      </c>
      <c r="D2637" t="s">
        <v>239</v>
      </c>
      <c r="E2637" t="s">
        <v>59</v>
      </c>
      <c r="F2637">
        <v>45</v>
      </c>
      <c r="G2637">
        <v>12</v>
      </c>
      <c r="H2637">
        <v>3.1217481789802301E-3</v>
      </c>
      <c r="I2637">
        <v>0.292682926829268</v>
      </c>
      <c r="J2637" s="14" t="str">
        <f>_xlfn.XLOOKUP(B2637,CAD_PDV!A:A,CAD_PDV!B:B)</f>
        <v>TELECELL TELEFONIA LTDA - ME</v>
      </c>
      <c r="K2637" s="14">
        <f>IF(IFERROR(_xlfn.XLOOKUP(B2637,Planilha2!D:D,Planilha2!H:H),0)="SIM",1,0)</f>
        <v>0</v>
      </c>
      <c r="L2637" s="14" t="str">
        <f>_xlfn.XLOOKUP(B2637,CAD_PDV!A:A,CAD_PDV!C:C)</f>
        <v>CO</v>
      </c>
      <c r="M2637" s="14" t="str">
        <f>IFERROR(_xlfn.XLOOKUP(B2637,repete!A:A,repete!A:A),"-")</f>
        <v>-</v>
      </c>
    </row>
    <row r="2638" spans="1:13">
      <c r="A2638" s="1">
        <v>46235</v>
      </c>
      <c r="B2638" t="s">
        <v>1574</v>
      </c>
      <c r="C2638" t="s">
        <v>1575</v>
      </c>
      <c r="D2638" t="s">
        <v>132</v>
      </c>
      <c r="E2638" t="s">
        <v>54</v>
      </c>
      <c r="F2638">
        <v>35</v>
      </c>
      <c r="G2638">
        <v>12</v>
      </c>
      <c r="H2638">
        <v>3.1217481789802301E-3</v>
      </c>
      <c r="I2638">
        <v>0.38709677419354799</v>
      </c>
      <c r="J2638" s="14" t="str">
        <f>_xlfn.XLOOKUP(B2638,CAD_PDV!A:A,CAD_PDV!B:B)</f>
        <v>FLEX CELL</v>
      </c>
      <c r="K2638" s="14">
        <f>IF(IFERROR(_xlfn.XLOOKUP(B2638,Planilha2!D:D,Planilha2!H:H),0)="SIM",1,0)</f>
        <v>0</v>
      </c>
      <c r="L2638" s="14" t="str">
        <f>_xlfn.XLOOKUP(B2638,CAD_PDV!A:A,CAD_PDV!C:C)</f>
        <v>SP2</v>
      </c>
      <c r="M2638" s="14" t="str">
        <f>IFERROR(_xlfn.XLOOKUP(B2638,repete!A:A,repete!A:A),"-")</f>
        <v>-</v>
      </c>
    </row>
    <row r="2639" spans="1:13">
      <c r="A2639" s="1">
        <v>46235</v>
      </c>
      <c r="B2639" t="s">
        <v>1334</v>
      </c>
      <c r="C2639" t="s">
        <v>1313</v>
      </c>
      <c r="D2639" t="s">
        <v>225</v>
      </c>
      <c r="E2639" t="s">
        <v>53</v>
      </c>
      <c r="F2639">
        <v>34</v>
      </c>
      <c r="G2639">
        <v>12</v>
      </c>
      <c r="H2639">
        <v>3.1217481789802301E-3</v>
      </c>
      <c r="I2639">
        <v>0.38709677419354799</v>
      </c>
      <c r="J2639" s="14" t="str">
        <f>_xlfn.XLOOKUP(B2639,CAD_PDV!A:A,CAD_PDV!B:B)</f>
        <v>CLARICELL SP1</v>
      </c>
      <c r="K2639" s="14">
        <f>IF(IFERROR(_xlfn.XLOOKUP(B2639,Planilha2!D:D,Planilha2!H:H),0)="SIM",1,0)</f>
        <v>0</v>
      </c>
      <c r="L2639" s="14" t="str">
        <f>_xlfn.XLOOKUP(B2639,CAD_PDV!A:A,CAD_PDV!C:C)</f>
        <v>SP1</v>
      </c>
      <c r="M2639" s="14" t="str">
        <f>IFERROR(_xlfn.XLOOKUP(B2639,repete!A:A,repete!A:A),"-")</f>
        <v>-</v>
      </c>
    </row>
    <row r="2640" spans="1:13">
      <c r="A2640" s="1">
        <v>46235</v>
      </c>
      <c r="B2640" t="s">
        <v>657</v>
      </c>
      <c r="C2640" t="s">
        <v>651</v>
      </c>
      <c r="D2640" t="s">
        <v>239</v>
      </c>
      <c r="E2640" t="s">
        <v>59</v>
      </c>
      <c r="F2640">
        <v>49</v>
      </c>
      <c r="G2640">
        <v>12</v>
      </c>
      <c r="H2640">
        <v>3.1217481789802301E-3</v>
      </c>
      <c r="I2640">
        <v>0.25531914893617003</v>
      </c>
      <c r="J2640" s="14" t="str">
        <f>_xlfn.XLOOKUP(B2640,CAD_PDV!A:A,CAD_PDV!B:B)</f>
        <v>TELECELL TELEFONIA LTDA - ME</v>
      </c>
      <c r="K2640" s="14">
        <f>IF(IFERROR(_xlfn.XLOOKUP(B2640,Planilha2!D:D,Planilha2!H:H),0)="SIM",1,0)</f>
        <v>0</v>
      </c>
      <c r="L2640" s="14" t="str">
        <f>_xlfn.XLOOKUP(B2640,CAD_PDV!A:A,CAD_PDV!C:C)</f>
        <v>CO</v>
      </c>
      <c r="M2640" s="14" t="str">
        <f>IFERROR(_xlfn.XLOOKUP(B2640,repete!A:A,repete!A:A),"-")</f>
        <v>-</v>
      </c>
    </row>
    <row r="2641" spans="1:13">
      <c r="A2641" s="1">
        <v>46235</v>
      </c>
      <c r="B2641" t="s">
        <v>1337</v>
      </c>
      <c r="C2641" t="s">
        <v>1313</v>
      </c>
      <c r="D2641" t="s">
        <v>225</v>
      </c>
      <c r="E2641" t="s">
        <v>53</v>
      </c>
      <c r="F2641">
        <v>34</v>
      </c>
      <c r="G2641">
        <v>12</v>
      </c>
      <c r="H2641">
        <v>3.1217481789802301E-3</v>
      </c>
      <c r="I2641">
        <v>0.35294117647058798</v>
      </c>
      <c r="J2641" s="14" t="str">
        <f>_xlfn.XLOOKUP(B2641,CAD_PDV!A:A,CAD_PDV!B:B)</f>
        <v>CLARICELL SP1</v>
      </c>
      <c r="K2641" s="14">
        <f>IF(IFERROR(_xlfn.XLOOKUP(B2641,Planilha2!D:D,Planilha2!H:H),0)="SIM",1,0)</f>
        <v>0</v>
      </c>
      <c r="L2641" s="14" t="str">
        <f>_xlfn.XLOOKUP(B2641,CAD_PDV!A:A,CAD_PDV!C:C)</f>
        <v>SP1</v>
      </c>
      <c r="M2641" s="14" t="str">
        <f>IFERROR(_xlfn.XLOOKUP(B2641,repete!A:A,repete!A:A),"-")</f>
        <v>-</v>
      </c>
    </row>
    <row r="2642" spans="1:13">
      <c r="A2642" s="1">
        <v>46235</v>
      </c>
      <c r="B2642" t="s">
        <v>895</v>
      </c>
      <c r="C2642" t="s">
        <v>873</v>
      </c>
      <c r="D2642" t="s">
        <v>224</v>
      </c>
      <c r="E2642" t="s">
        <v>59</v>
      </c>
      <c r="F2642">
        <v>66</v>
      </c>
      <c r="G2642">
        <v>12</v>
      </c>
      <c r="H2642">
        <v>3.1217481789802301E-3</v>
      </c>
      <c r="I2642">
        <v>0.18461538461538499</v>
      </c>
      <c r="J2642" s="14" t="str">
        <f>_xlfn.XLOOKUP(B2642,CAD_PDV!A:A,CAD_PDV!B:B)</f>
        <v>CELNET COMERCIO E SERVICOS DE TELEFONIA LTDA ME</v>
      </c>
      <c r="K2642" s="14">
        <f>IF(IFERROR(_xlfn.XLOOKUP(B2642,Planilha2!D:D,Planilha2!H:H),0)="SIM",1,0)</f>
        <v>0</v>
      </c>
      <c r="L2642" s="14" t="str">
        <f>_xlfn.XLOOKUP(B2642,CAD_PDV!A:A,CAD_PDV!C:C)</f>
        <v>CO</v>
      </c>
      <c r="M2642" s="14" t="str">
        <f>IFERROR(_xlfn.XLOOKUP(B2642,repete!A:A,repete!A:A),"-")</f>
        <v>-</v>
      </c>
    </row>
    <row r="2643" spans="1:13">
      <c r="A2643" s="1">
        <v>46235</v>
      </c>
      <c r="B2643" t="s">
        <v>371</v>
      </c>
      <c r="C2643" t="s">
        <v>291</v>
      </c>
      <c r="D2643" t="s">
        <v>230</v>
      </c>
      <c r="E2643" t="s">
        <v>61</v>
      </c>
      <c r="F2643">
        <v>75</v>
      </c>
      <c r="G2643">
        <v>12</v>
      </c>
      <c r="H2643">
        <v>3.1217481789802301E-3</v>
      </c>
      <c r="I2643">
        <v>0.16666666666666699</v>
      </c>
      <c r="J2643" s="14" t="str">
        <f>_xlfn.XLOOKUP(B2643,CAD_PDV!A:A,CAD_PDV!B:B)</f>
        <v>HARCOS COMERCIO E SERVICOS LTDA - EPP</v>
      </c>
      <c r="K2643" s="14">
        <f>IF(IFERROR(_xlfn.XLOOKUP(B2643,Planilha2!D:D,Planilha2!H:H),0)="SIM",1,0)</f>
        <v>0</v>
      </c>
      <c r="L2643" s="14" t="str">
        <f>_xlfn.XLOOKUP(B2643,CAD_PDV!A:A,CAD_PDV!C:C)</f>
        <v>NE</v>
      </c>
      <c r="M2643" s="14" t="str">
        <f>IFERROR(_xlfn.XLOOKUP(B2643,repete!A:A,repete!A:A),"-")</f>
        <v>-</v>
      </c>
    </row>
    <row r="2644" spans="1:13">
      <c r="A2644" s="1">
        <v>46235</v>
      </c>
      <c r="B2644" t="s">
        <v>1690</v>
      </c>
      <c r="C2644" t="s">
        <v>1503</v>
      </c>
      <c r="D2644" t="s">
        <v>232</v>
      </c>
      <c r="E2644" t="s">
        <v>54</v>
      </c>
      <c r="F2644">
        <v>67</v>
      </c>
      <c r="G2644">
        <v>12</v>
      </c>
      <c r="H2644">
        <v>3.1217481789802301E-3</v>
      </c>
      <c r="I2644">
        <v>0.1875</v>
      </c>
      <c r="J2644" s="14" t="str">
        <f>_xlfn.XLOOKUP(B2644,CAD_PDV!A:A,CAD_PDV!B:B)</f>
        <v>HS TELECOM</v>
      </c>
      <c r="K2644" s="14">
        <f>IF(IFERROR(_xlfn.XLOOKUP(B2644,Planilha2!D:D,Planilha2!H:H),0)="SIM",1,0)</f>
        <v>0</v>
      </c>
      <c r="L2644" s="14" t="str">
        <f>_xlfn.XLOOKUP(B2644,CAD_PDV!A:A,CAD_PDV!C:C)</f>
        <v>SP2</v>
      </c>
      <c r="M2644" s="14" t="str">
        <f>IFERROR(_xlfn.XLOOKUP(B2644,repete!A:A,repete!A:A),"-")</f>
        <v>-</v>
      </c>
    </row>
    <row r="2645" spans="1:13">
      <c r="A2645" s="1">
        <v>46235</v>
      </c>
      <c r="B2645" t="s">
        <v>1691</v>
      </c>
      <c r="C2645" t="s">
        <v>1503</v>
      </c>
      <c r="D2645" t="s">
        <v>232</v>
      </c>
      <c r="E2645" t="s">
        <v>54</v>
      </c>
      <c r="F2645">
        <v>47</v>
      </c>
      <c r="G2645">
        <v>12</v>
      </c>
      <c r="H2645">
        <v>3.1217481789802301E-3</v>
      </c>
      <c r="I2645">
        <v>0.28571428571428598</v>
      </c>
      <c r="J2645" s="14" t="str">
        <f>_xlfn.XLOOKUP(B2645,CAD_PDV!A:A,CAD_PDV!B:B)</f>
        <v>HS TELECOM</v>
      </c>
      <c r="K2645" s="14">
        <f>IF(IFERROR(_xlfn.XLOOKUP(B2645,Planilha2!D:D,Planilha2!H:H),0)="SIM",1,0)</f>
        <v>0</v>
      </c>
      <c r="L2645" s="14" t="str">
        <f>_xlfn.XLOOKUP(B2645,CAD_PDV!A:A,CAD_PDV!C:C)</f>
        <v>SP2</v>
      </c>
      <c r="M2645" s="14" t="str">
        <f>IFERROR(_xlfn.XLOOKUP(B2645,repete!A:A,repete!A:A),"-")</f>
        <v>-</v>
      </c>
    </row>
    <row r="2646" spans="1:13">
      <c r="A2646" s="1">
        <v>46235</v>
      </c>
      <c r="B2646" t="s">
        <v>293</v>
      </c>
      <c r="C2646" t="s">
        <v>265</v>
      </c>
      <c r="D2646" t="s">
        <v>230</v>
      </c>
      <c r="E2646" t="s">
        <v>61</v>
      </c>
      <c r="F2646">
        <v>53</v>
      </c>
      <c r="G2646">
        <v>12</v>
      </c>
      <c r="H2646">
        <v>3.1217481789802301E-3</v>
      </c>
      <c r="I2646">
        <v>0.26086956521739102</v>
      </c>
      <c r="J2646" s="14" t="str">
        <f>_xlfn.XLOOKUP(B2646,CAD_PDV!A:A,CAD_PDV!B:B)</f>
        <v>HARCOS COMERCIO E SERVICOS LTDA - EPP</v>
      </c>
      <c r="K2646" s="14">
        <f>IF(IFERROR(_xlfn.XLOOKUP(B2646,Planilha2!D:D,Planilha2!H:H),0)="SIM",1,0)</f>
        <v>0</v>
      </c>
      <c r="L2646" s="14" t="str">
        <f>_xlfn.XLOOKUP(B2646,CAD_PDV!A:A,CAD_PDV!C:C)</f>
        <v>NE</v>
      </c>
      <c r="M2646" s="14" t="str">
        <f>IFERROR(_xlfn.XLOOKUP(B2646,repete!A:A,repete!A:A),"-")</f>
        <v>-</v>
      </c>
    </row>
    <row r="2647" spans="1:13">
      <c r="A2647" s="1">
        <v>46235</v>
      </c>
      <c r="B2647" t="s">
        <v>1902</v>
      </c>
      <c r="C2647" t="s">
        <v>1900</v>
      </c>
      <c r="D2647" t="s">
        <v>97</v>
      </c>
      <c r="E2647" t="s">
        <v>2074</v>
      </c>
      <c r="F2647">
        <v>39</v>
      </c>
      <c r="G2647">
        <v>12</v>
      </c>
      <c r="H2647">
        <v>3.1217481789802301E-3</v>
      </c>
      <c r="I2647">
        <v>0.31578947368421101</v>
      </c>
      <c r="J2647" s="14" t="str">
        <f>_xlfn.XLOOKUP(B2647,CAD_PDV!A:A,CAD_PDV!B:B)</f>
        <v>BANDEIRA</v>
      </c>
      <c r="K2647" s="14">
        <f>IF(IFERROR(_xlfn.XLOOKUP(B2647,Planilha2!D:D,Planilha2!H:H),0)="SIM",1,0)</f>
        <v>0</v>
      </c>
      <c r="L2647" s="14" t="str">
        <f>_xlfn.XLOOKUP(B2647,CAD_PDV!A:A,CAD_PDV!C:C)</f>
        <v>PR/SC</v>
      </c>
      <c r="M2647" s="14" t="str">
        <f>IFERROR(_xlfn.XLOOKUP(B2647,repete!A:A,repete!A:A),"-")</f>
        <v>-</v>
      </c>
    </row>
    <row r="2648" spans="1:13">
      <c r="A2648" s="1">
        <v>46235</v>
      </c>
      <c r="B2648" t="s">
        <v>2013</v>
      </c>
      <c r="C2648" t="s">
        <v>1744</v>
      </c>
      <c r="D2648" t="s">
        <v>106</v>
      </c>
      <c r="E2648" t="s">
        <v>2074</v>
      </c>
      <c r="F2648">
        <v>55</v>
      </c>
      <c r="G2648">
        <v>11</v>
      </c>
      <c r="H2648">
        <v>2.8616024973985399E-3</v>
      </c>
      <c r="I2648">
        <v>0.21153846153846201</v>
      </c>
      <c r="J2648" s="14" t="str">
        <f>_xlfn.XLOOKUP(B2648,CAD_PDV!A:A,CAD_PDV!B:B)</f>
        <v>CELLULAR.COM</v>
      </c>
      <c r="K2648" s="14">
        <f>IF(IFERROR(_xlfn.XLOOKUP(B2648,Planilha2!D:D,Planilha2!H:H),0)="SIM",1,0)</f>
        <v>0</v>
      </c>
      <c r="L2648" s="14" t="str">
        <f>_xlfn.XLOOKUP(B2648,CAD_PDV!A:A,CAD_PDV!C:C)</f>
        <v>PR/SC</v>
      </c>
      <c r="M2648" s="14" t="str">
        <f>IFERROR(_xlfn.XLOOKUP(B2648,repete!A:A,repete!A:A),"-")</f>
        <v>-</v>
      </c>
    </row>
    <row r="2649" spans="1:13">
      <c r="A2649" s="1">
        <v>46235</v>
      </c>
      <c r="B2649" t="s">
        <v>1452</v>
      </c>
      <c r="C2649" t="s">
        <v>1454</v>
      </c>
      <c r="D2649" t="s">
        <v>106</v>
      </c>
      <c r="E2649" t="s">
        <v>54</v>
      </c>
      <c r="F2649">
        <v>32</v>
      </c>
      <c r="G2649">
        <v>11</v>
      </c>
      <c r="H2649">
        <v>2.8616024973985399E-3</v>
      </c>
      <c r="I2649">
        <v>0.35483870967741898</v>
      </c>
      <c r="J2649" s="14" t="str">
        <f>_xlfn.XLOOKUP(B2649,CAD_PDV!A:A,CAD_PDV!B:B)</f>
        <v>CELLULAR.COM</v>
      </c>
      <c r="K2649" s="14">
        <f>IF(IFERROR(_xlfn.XLOOKUP(B2649,Planilha2!D:D,Planilha2!H:H),0)="SIM",1,0)</f>
        <v>0</v>
      </c>
      <c r="L2649" s="14" t="str">
        <f>_xlfn.XLOOKUP(B2649,CAD_PDV!A:A,CAD_PDV!C:C)</f>
        <v>SP2</v>
      </c>
      <c r="M2649" s="14" t="str">
        <f>IFERROR(_xlfn.XLOOKUP(B2649,repete!A:A,repete!A:A),"-")</f>
        <v>-</v>
      </c>
    </row>
    <row r="2650" spans="1:13">
      <c r="A2650" s="1">
        <v>46235</v>
      </c>
      <c r="B2650" t="s">
        <v>1516</v>
      </c>
      <c r="C2650" t="s">
        <v>1517</v>
      </c>
      <c r="D2650" t="s">
        <v>232</v>
      </c>
      <c r="E2650" t="s">
        <v>54</v>
      </c>
      <c r="F2650">
        <v>23</v>
      </c>
      <c r="G2650">
        <v>11</v>
      </c>
      <c r="H2650">
        <v>2.8616024973985399E-3</v>
      </c>
      <c r="I2650">
        <v>0.5</v>
      </c>
      <c r="J2650" s="14" t="str">
        <f>_xlfn.XLOOKUP(B2650,CAD_PDV!A:A,CAD_PDV!B:B)</f>
        <v>HS TELECOM</v>
      </c>
      <c r="K2650" s="14">
        <f>IF(IFERROR(_xlfn.XLOOKUP(B2650,Planilha2!D:D,Planilha2!H:H),0)="SIM",1,0)</f>
        <v>0</v>
      </c>
      <c r="L2650" s="14" t="str">
        <f>_xlfn.XLOOKUP(B2650,CAD_PDV!A:A,CAD_PDV!C:C)</f>
        <v>SP2</v>
      </c>
      <c r="M2650" s="14" t="str">
        <f>IFERROR(_xlfn.XLOOKUP(B2650,repete!A:A,repete!A:A),"-")</f>
        <v>-</v>
      </c>
    </row>
    <row r="2651" spans="1:13">
      <c r="A2651" s="1">
        <v>46235</v>
      </c>
      <c r="B2651" t="s">
        <v>1153</v>
      </c>
      <c r="C2651" t="s">
        <v>1155</v>
      </c>
      <c r="D2651" t="s">
        <v>228</v>
      </c>
      <c r="E2651" t="s">
        <v>55</v>
      </c>
      <c r="F2651">
        <v>44</v>
      </c>
      <c r="G2651">
        <v>11</v>
      </c>
      <c r="H2651">
        <v>2.8616024973985399E-3</v>
      </c>
      <c r="I2651">
        <v>0.25581395348837199</v>
      </c>
      <c r="J2651" s="14" t="str">
        <f>_xlfn.XLOOKUP(B2651,CAD_PDV!A:A,CAD_PDV!B:B)</f>
        <v>FAJULUTI</v>
      </c>
      <c r="K2651" s="14">
        <f>IF(IFERROR(_xlfn.XLOOKUP(B2651,Planilha2!D:D,Planilha2!H:H),0)="SIM",1,0)</f>
        <v>0</v>
      </c>
      <c r="L2651" s="14" t="str">
        <f>_xlfn.XLOOKUP(B2651,CAD_PDV!A:A,CAD_PDV!C:C)</f>
        <v>RJ/ES</v>
      </c>
      <c r="M2651" s="14" t="str">
        <f>IFERROR(_xlfn.XLOOKUP(B2651,repete!A:A,repete!A:A),"-")</f>
        <v>-</v>
      </c>
    </row>
    <row r="2652" spans="1:13">
      <c r="A2652" s="1">
        <v>46235</v>
      </c>
      <c r="B2652" t="s">
        <v>1336</v>
      </c>
      <c r="C2652" t="s">
        <v>1313</v>
      </c>
      <c r="D2652" t="s">
        <v>225</v>
      </c>
      <c r="E2652" t="s">
        <v>53</v>
      </c>
      <c r="F2652">
        <v>103</v>
      </c>
      <c r="G2652">
        <v>11</v>
      </c>
      <c r="H2652">
        <v>2.8616024973985399E-3</v>
      </c>
      <c r="I2652">
        <v>0.11224489795918401</v>
      </c>
      <c r="J2652" s="14" t="str">
        <f>_xlfn.XLOOKUP(B2652,CAD_PDV!A:A,CAD_PDV!B:B)</f>
        <v>CLARICELL SP1</v>
      </c>
      <c r="K2652" s="14">
        <f>IF(IFERROR(_xlfn.XLOOKUP(B2652,Planilha2!D:D,Planilha2!H:H),0)="SIM",1,0)</f>
        <v>0</v>
      </c>
      <c r="L2652" s="14" t="str">
        <f>_xlfn.XLOOKUP(B2652,CAD_PDV!A:A,CAD_PDV!C:C)</f>
        <v>SP1</v>
      </c>
      <c r="M2652" s="14" t="str">
        <f>IFERROR(_xlfn.XLOOKUP(B2652,repete!A:A,repete!A:A),"-")</f>
        <v>-</v>
      </c>
    </row>
    <row r="2653" spans="1:13">
      <c r="A2653" s="1">
        <v>46235</v>
      </c>
      <c r="B2653" t="s">
        <v>831</v>
      </c>
      <c r="C2653" t="s">
        <v>820</v>
      </c>
      <c r="D2653" t="s">
        <v>239</v>
      </c>
      <c r="E2653" t="s">
        <v>59</v>
      </c>
      <c r="F2653">
        <v>66</v>
      </c>
      <c r="G2653">
        <v>11</v>
      </c>
      <c r="H2653">
        <v>2.8616024973985399E-3</v>
      </c>
      <c r="I2653">
        <v>0.16923076923076899</v>
      </c>
      <c r="J2653" s="14" t="str">
        <f>_xlfn.XLOOKUP(B2653,CAD_PDV!A:A,CAD_PDV!B:B)</f>
        <v>TELECELL TELEFONIA LTDA - ME</v>
      </c>
      <c r="K2653" s="14">
        <f>IF(IFERROR(_xlfn.XLOOKUP(B2653,Planilha2!D:D,Planilha2!H:H),0)="SIM",1,0)</f>
        <v>0</v>
      </c>
      <c r="L2653" s="14" t="str">
        <f>_xlfn.XLOOKUP(B2653,CAD_PDV!A:A,CAD_PDV!C:C)</f>
        <v>CO</v>
      </c>
      <c r="M2653" s="14" t="str">
        <f>IFERROR(_xlfn.XLOOKUP(B2653,repete!A:A,repete!A:A),"-")</f>
        <v>-</v>
      </c>
    </row>
    <row r="2654" spans="1:13">
      <c r="A2654" s="1">
        <v>46235</v>
      </c>
      <c r="B2654" t="s">
        <v>365</v>
      </c>
      <c r="C2654" t="s">
        <v>261</v>
      </c>
      <c r="D2654" t="s">
        <v>230</v>
      </c>
      <c r="E2654" t="s">
        <v>61</v>
      </c>
      <c r="F2654">
        <v>84</v>
      </c>
      <c r="G2654">
        <v>11</v>
      </c>
      <c r="H2654">
        <v>2.8616024973985399E-3</v>
      </c>
      <c r="I2654">
        <v>0.141025641025641</v>
      </c>
      <c r="J2654" s="14" t="str">
        <f>_xlfn.XLOOKUP(B2654,CAD_PDV!A:A,CAD_PDV!B:B)</f>
        <v>HARCOS COMERCIO E SERVICOS LTDA - EPP</v>
      </c>
      <c r="K2654" s="14">
        <f>IF(IFERROR(_xlfn.XLOOKUP(B2654,Planilha2!D:D,Planilha2!H:H),0)="SIM",1,0)</f>
        <v>0</v>
      </c>
      <c r="L2654" s="14" t="str">
        <f>_xlfn.XLOOKUP(B2654,CAD_PDV!A:A,CAD_PDV!C:C)</f>
        <v>NE</v>
      </c>
      <c r="M2654" s="14" t="str">
        <f>IFERROR(_xlfn.XLOOKUP(B2654,repete!A:A,repete!A:A),"-")</f>
        <v>-</v>
      </c>
    </row>
    <row r="2655" spans="1:13">
      <c r="A2655" s="1">
        <v>46235</v>
      </c>
      <c r="B2655" t="s">
        <v>1641</v>
      </c>
      <c r="C2655" t="s">
        <v>1616</v>
      </c>
      <c r="D2655" t="s">
        <v>132</v>
      </c>
      <c r="E2655" t="s">
        <v>54</v>
      </c>
      <c r="F2655">
        <v>40</v>
      </c>
      <c r="G2655">
        <v>11</v>
      </c>
      <c r="H2655">
        <v>2.8616024973985399E-3</v>
      </c>
      <c r="I2655">
        <v>0.27500000000000002</v>
      </c>
      <c r="J2655" s="14" t="str">
        <f>_xlfn.XLOOKUP(B2655,CAD_PDV!A:A,CAD_PDV!B:B)</f>
        <v>FLEX CELL</v>
      </c>
      <c r="K2655" s="14">
        <f>IF(IFERROR(_xlfn.XLOOKUP(B2655,Planilha2!D:D,Planilha2!H:H),0)="SIM",1,0)</f>
        <v>0</v>
      </c>
      <c r="L2655" s="14" t="str">
        <f>_xlfn.XLOOKUP(B2655,CAD_PDV!A:A,CAD_PDV!C:C)</f>
        <v>SP2</v>
      </c>
      <c r="M2655" s="14" t="str">
        <f>IFERROR(_xlfn.XLOOKUP(B2655,repete!A:A,repete!A:A),"-")</f>
        <v>-</v>
      </c>
    </row>
    <row r="2656" spans="1:13">
      <c r="A2656" s="1">
        <v>46235</v>
      </c>
      <c r="B2656" t="s">
        <v>1338</v>
      </c>
      <c r="C2656" t="s">
        <v>1313</v>
      </c>
      <c r="D2656" t="s">
        <v>225</v>
      </c>
      <c r="E2656" t="s">
        <v>53</v>
      </c>
      <c r="F2656">
        <v>50</v>
      </c>
      <c r="G2656">
        <v>11</v>
      </c>
      <c r="H2656">
        <v>2.8616024973985399E-3</v>
      </c>
      <c r="I2656">
        <v>0.22</v>
      </c>
      <c r="J2656" s="14" t="str">
        <f>_xlfn.XLOOKUP(B2656,CAD_PDV!A:A,CAD_PDV!B:B)</f>
        <v>CLARICELL SP1</v>
      </c>
      <c r="K2656" s="14">
        <f>IF(IFERROR(_xlfn.XLOOKUP(B2656,Planilha2!D:D,Planilha2!H:H),0)="SIM",1,0)</f>
        <v>0</v>
      </c>
      <c r="L2656" s="14" t="str">
        <f>_xlfn.XLOOKUP(B2656,CAD_PDV!A:A,CAD_PDV!C:C)</f>
        <v>SP1</v>
      </c>
      <c r="M2656" s="14" t="str">
        <f>IFERROR(_xlfn.XLOOKUP(B2656,repete!A:A,repete!A:A),"-")</f>
        <v>-</v>
      </c>
    </row>
    <row r="2657" spans="1:13">
      <c r="A2657" s="1">
        <v>46235</v>
      </c>
      <c r="B2657" t="s">
        <v>962</v>
      </c>
      <c r="C2657" t="s">
        <v>950</v>
      </c>
      <c r="D2657" t="s">
        <v>232</v>
      </c>
      <c r="E2657" t="s">
        <v>60</v>
      </c>
      <c r="F2657">
        <v>35</v>
      </c>
      <c r="G2657">
        <v>11</v>
      </c>
      <c r="H2657">
        <v>2.8616024973985399E-3</v>
      </c>
      <c r="I2657">
        <v>0.33333333333333298</v>
      </c>
      <c r="J2657" s="14" t="str">
        <f>_xlfn.XLOOKUP(B2657,CAD_PDV!A:A,CAD_PDV!B:B)</f>
        <v>HS TELECOM</v>
      </c>
      <c r="K2657" s="14">
        <f>IF(IFERROR(_xlfn.XLOOKUP(B2657,Planilha2!D:D,Planilha2!H:H),0)="SIM",1,0)</f>
        <v>0</v>
      </c>
      <c r="L2657" s="14" t="str">
        <f>_xlfn.XLOOKUP(B2657,CAD_PDV!A:A,CAD_PDV!C:C)</f>
        <v>BA/SE</v>
      </c>
      <c r="M2657" s="14" t="str">
        <f>IFERROR(_xlfn.XLOOKUP(B2657,repete!A:A,repete!A:A),"-")</f>
        <v>-</v>
      </c>
    </row>
    <row r="2658" spans="1:13">
      <c r="A2658" s="1">
        <v>46235</v>
      </c>
      <c r="B2658" t="s">
        <v>568</v>
      </c>
      <c r="C2658" t="s">
        <v>441</v>
      </c>
      <c r="D2658" t="s">
        <v>228</v>
      </c>
      <c r="E2658" t="s">
        <v>56</v>
      </c>
      <c r="F2658">
        <v>44</v>
      </c>
      <c r="G2658">
        <v>11</v>
      </c>
      <c r="H2658">
        <v>2.8616024973985399E-3</v>
      </c>
      <c r="I2658">
        <v>0.27500000000000002</v>
      </c>
      <c r="J2658" s="14" t="str">
        <f>_xlfn.XLOOKUP(B2658,CAD_PDV!A:A,CAD_PDV!B:B)</f>
        <v>FAJULUTI</v>
      </c>
      <c r="K2658" s="14">
        <f>IF(IFERROR(_xlfn.XLOOKUP(B2658,Planilha2!D:D,Planilha2!H:H),0)="SIM",1,0)</f>
        <v>0</v>
      </c>
      <c r="L2658" s="14" t="str">
        <f>_xlfn.XLOOKUP(B2658,CAD_PDV!A:A,CAD_PDV!C:C)</f>
        <v>MG</v>
      </c>
      <c r="M2658" s="14" t="str">
        <f>IFERROR(_xlfn.XLOOKUP(B2658,repete!A:A,repete!A:A),"-")</f>
        <v>-</v>
      </c>
    </row>
    <row r="2659" spans="1:13">
      <c r="A2659" s="1">
        <v>46235</v>
      </c>
      <c r="B2659" t="s">
        <v>1687</v>
      </c>
      <c r="C2659" t="s">
        <v>1688</v>
      </c>
      <c r="D2659" t="s">
        <v>232</v>
      </c>
      <c r="E2659" t="s">
        <v>54</v>
      </c>
      <c r="F2659">
        <v>43</v>
      </c>
      <c r="G2659">
        <v>11</v>
      </c>
      <c r="H2659">
        <v>2.8616024973985399E-3</v>
      </c>
      <c r="I2659">
        <v>0.25581395348837199</v>
      </c>
      <c r="J2659" s="14" t="str">
        <f>_xlfn.XLOOKUP(B2659,CAD_PDV!A:A,CAD_PDV!B:B)</f>
        <v>HS TELECOM</v>
      </c>
      <c r="K2659" s="14">
        <f>IF(IFERROR(_xlfn.XLOOKUP(B2659,Planilha2!D:D,Planilha2!H:H),0)="SIM",1,0)</f>
        <v>0</v>
      </c>
      <c r="L2659" s="14" t="str">
        <f>_xlfn.XLOOKUP(B2659,CAD_PDV!A:A,CAD_PDV!C:C)</f>
        <v>SP2</v>
      </c>
      <c r="M2659" s="14" t="str">
        <f>IFERROR(_xlfn.XLOOKUP(B2659,repete!A:A,repete!A:A),"-")</f>
        <v>-</v>
      </c>
    </row>
    <row r="2660" spans="1:13">
      <c r="A2660" s="1">
        <v>46235</v>
      </c>
      <c r="B2660" t="s">
        <v>377</v>
      </c>
      <c r="C2660" t="s">
        <v>261</v>
      </c>
      <c r="D2660" t="s">
        <v>230</v>
      </c>
      <c r="E2660" t="s">
        <v>61</v>
      </c>
      <c r="F2660">
        <v>54</v>
      </c>
      <c r="G2660">
        <v>11</v>
      </c>
      <c r="H2660">
        <v>2.8616024973985399E-3</v>
      </c>
      <c r="I2660">
        <v>0.20754716981132099</v>
      </c>
      <c r="J2660" s="14" t="str">
        <f>_xlfn.XLOOKUP(B2660,CAD_PDV!A:A,CAD_PDV!B:B)</f>
        <v>HARCOS COMERCIO E SERVICOS LTDA - EPP</v>
      </c>
      <c r="K2660" s="14">
        <f>IF(IFERROR(_xlfn.XLOOKUP(B2660,Planilha2!D:D,Planilha2!H:H),0)="SIM",1,0)</f>
        <v>0</v>
      </c>
      <c r="L2660" s="14" t="str">
        <f>_xlfn.XLOOKUP(B2660,CAD_PDV!A:A,CAD_PDV!C:C)</f>
        <v>NE</v>
      </c>
      <c r="M2660" s="14" t="str">
        <f>IFERROR(_xlfn.XLOOKUP(B2660,repete!A:A,repete!A:A),"-")</f>
        <v>-</v>
      </c>
    </row>
    <row r="2661" spans="1:13">
      <c r="A2661" s="1">
        <v>46235</v>
      </c>
      <c r="B2661" t="s">
        <v>1177</v>
      </c>
      <c r="C2661" t="s">
        <v>1142</v>
      </c>
      <c r="D2661" t="s">
        <v>228</v>
      </c>
      <c r="E2661" t="s">
        <v>55</v>
      </c>
      <c r="F2661">
        <v>37</v>
      </c>
      <c r="G2661">
        <v>11</v>
      </c>
      <c r="H2661">
        <v>2.8616024973985399E-3</v>
      </c>
      <c r="I2661">
        <v>0.32352941176470601</v>
      </c>
      <c r="J2661" s="14" t="str">
        <f>_xlfn.XLOOKUP(B2661,CAD_PDV!A:A,CAD_PDV!B:B)</f>
        <v>FAJULUTI</v>
      </c>
      <c r="K2661" s="14">
        <f>IF(IFERROR(_xlfn.XLOOKUP(B2661,Planilha2!D:D,Planilha2!H:H),0)="SIM",1,0)</f>
        <v>0</v>
      </c>
      <c r="L2661" s="14" t="str">
        <f>_xlfn.XLOOKUP(B2661,CAD_PDV!A:A,CAD_PDV!C:C)</f>
        <v>RJ/ES</v>
      </c>
      <c r="M2661" s="14" t="str">
        <f>IFERROR(_xlfn.XLOOKUP(B2661,repete!A:A,repete!A:A),"-")</f>
        <v>-</v>
      </c>
    </row>
    <row r="2662" spans="1:13">
      <c r="A2662" s="1">
        <v>46235</v>
      </c>
      <c r="B2662" t="s">
        <v>642</v>
      </c>
      <c r="C2662" t="s">
        <v>644</v>
      </c>
      <c r="D2662" t="s">
        <v>240</v>
      </c>
      <c r="E2662" t="s">
        <v>59</v>
      </c>
      <c r="F2662">
        <v>44</v>
      </c>
      <c r="G2662">
        <v>10</v>
      </c>
      <c r="H2662">
        <v>2.6014568158168601E-3</v>
      </c>
      <c r="I2662">
        <v>0.256410256410256</v>
      </c>
      <c r="J2662" s="14" t="str">
        <f>_xlfn.XLOOKUP(B2662,CAD_PDV!A:A,CAD_PDV!B:B)</f>
        <v>TELEMAIS TELEFONIA LTDA - ME</v>
      </c>
      <c r="K2662" s="14">
        <f>IF(IFERROR(_xlfn.XLOOKUP(B2662,Planilha2!D:D,Planilha2!H:H),0)="SIM",1,0)</f>
        <v>0</v>
      </c>
      <c r="L2662" s="14" t="str">
        <f>_xlfn.XLOOKUP(B2662,CAD_PDV!A:A,CAD_PDV!C:C)</f>
        <v>CO</v>
      </c>
      <c r="M2662" s="14" t="str">
        <f>IFERROR(_xlfn.XLOOKUP(B2662,repete!A:A,repete!A:A),"-")</f>
        <v>-</v>
      </c>
    </row>
    <row r="2663" spans="1:13">
      <c r="A2663" s="1">
        <v>46235</v>
      </c>
      <c r="B2663" t="s">
        <v>309</v>
      </c>
      <c r="C2663" t="s">
        <v>265</v>
      </c>
      <c r="D2663" t="s">
        <v>230</v>
      </c>
      <c r="E2663" t="s">
        <v>61</v>
      </c>
      <c r="F2663">
        <v>110</v>
      </c>
      <c r="G2663">
        <v>10</v>
      </c>
      <c r="H2663">
        <v>2.6014568158168601E-3</v>
      </c>
      <c r="I2663">
        <v>9.4339622641509399E-2</v>
      </c>
      <c r="J2663" s="14" t="str">
        <f>_xlfn.XLOOKUP(B2663,CAD_PDV!A:A,CAD_PDV!B:B)</f>
        <v>HARCOS COMERCIO E SERVICOS LTDA - EPP</v>
      </c>
      <c r="K2663" s="14">
        <f>IF(IFERROR(_xlfn.XLOOKUP(B2663,Planilha2!D:D,Planilha2!H:H),0)="SIM",1,0)</f>
        <v>0</v>
      </c>
      <c r="L2663" s="14" t="str">
        <f>_xlfn.XLOOKUP(B2663,CAD_PDV!A:A,CAD_PDV!C:C)</f>
        <v>NE</v>
      </c>
      <c r="M2663" s="14" t="str">
        <f>IFERROR(_xlfn.XLOOKUP(B2663,repete!A:A,repete!A:A),"-")</f>
        <v>-</v>
      </c>
    </row>
    <row r="2664" spans="1:13">
      <c r="A2664" s="1">
        <v>46235</v>
      </c>
      <c r="B2664" t="s">
        <v>693</v>
      </c>
      <c r="C2664" t="s">
        <v>694</v>
      </c>
      <c r="D2664" t="s">
        <v>239</v>
      </c>
      <c r="E2664" t="s">
        <v>59</v>
      </c>
      <c r="F2664">
        <v>39</v>
      </c>
      <c r="G2664">
        <v>10</v>
      </c>
      <c r="H2664">
        <v>2.6014568158168601E-3</v>
      </c>
      <c r="I2664">
        <v>0.256410256410256</v>
      </c>
      <c r="J2664" s="14" t="str">
        <f>_xlfn.XLOOKUP(B2664,CAD_PDV!A:A,CAD_PDV!B:B)</f>
        <v>TELECELL TELEFONIA LTDA - ME</v>
      </c>
      <c r="K2664" s="14">
        <f>IF(IFERROR(_xlfn.XLOOKUP(B2664,Planilha2!D:D,Planilha2!H:H),0)="SIM",1,0)</f>
        <v>0</v>
      </c>
      <c r="L2664" s="14" t="str">
        <f>_xlfn.XLOOKUP(B2664,CAD_PDV!A:A,CAD_PDV!C:C)</f>
        <v>CO</v>
      </c>
      <c r="M2664" s="14" t="str">
        <f>IFERROR(_xlfn.XLOOKUP(B2664,repete!A:A,repete!A:A),"-")</f>
        <v>-</v>
      </c>
    </row>
    <row r="2665" spans="1:13">
      <c r="A2665" s="1">
        <v>46235</v>
      </c>
      <c r="B2665" t="s">
        <v>1522</v>
      </c>
      <c r="C2665" t="s">
        <v>1523</v>
      </c>
      <c r="D2665" t="s">
        <v>232</v>
      </c>
      <c r="E2665" t="s">
        <v>54</v>
      </c>
      <c r="F2665">
        <v>47</v>
      </c>
      <c r="G2665">
        <v>10</v>
      </c>
      <c r="H2665">
        <v>2.6014568158168601E-3</v>
      </c>
      <c r="I2665">
        <v>0.22222222222222199</v>
      </c>
      <c r="J2665" s="14" t="str">
        <f>_xlfn.XLOOKUP(B2665,CAD_PDV!A:A,CAD_PDV!B:B)</f>
        <v>HS TELECOM</v>
      </c>
      <c r="K2665" s="14">
        <f>IF(IFERROR(_xlfn.XLOOKUP(B2665,Planilha2!D:D,Planilha2!H:H),0)="SIM",1,0)</f>
        <v>0</v>
      </c>
      <c r="L2665" s="14" t="str">
        <f>_xlfn.XLOOKUP(B2665,CAD_PDV!A:A,CAD_PDV!C:C)</f>
        <v>SP2</v>
      </c>
      <c r="M2665" s="14" t="str">
        <f>IFERROR(_xlfn.XLOOKUP(B2665,repete!A:A,repete!A:A),"-")</f>
        <v>-</v>
      </c>
    </row>
    <row r="2666" spans="1:13">
      <c r="A2666" s="1">
        <v>46235</v>
      </c>
      <c r="B2666" t="s">
        <v>613</v>
      </c>
      <c r="C2666" t="s">
        <v>610</v>
      </c>
      <c r="D2666" t="s">
        <v>239</v>
      </c>
      <c r="E2666" t="s">
        <v>59</v>
      </c>
      <c r="F2666">
        <v>69</v>
      </c>
      <c r="G2666">
        <v>10</v>
      </c>
      <c r="H2666">
        <v>2.6014568158168601E-3</v>
      </c>
      <c r="I2666">
        <v>0.15625</v>
      </c>
      <c r="J2666" s="14" t="str">
        <f>_xlfn.XLOOKUP(B2666,CAD_PDV!A:A,CAD_PDV!B:B)</f>
        <v>TELECELL TELEFONIA LTDA - ME</v>
      </c>
      <c r="K2666" s="14">
        <f>IF(IFERROR(_xlfn.XLOOKUP(B2666,Planilha2!D:D,Planilha2!H:H),0)="SIM",1,0)</f>
        <v>0</v>
      </c>
      <c r="L2666" s="14" t="str">
        <f>_xlfn.XLOOKUP(B2666,CAD_PDV!A:A,CAD_PDV!C:C)</f>
        <v>CO</v>
      </c>
      <c r="M2666" s="14" t="str">
        <f>IFERROR(_xlfn.XLOOKUP(B2666,repete!A:A,repete!A:A),"-")</f>
        <v>-</v>
      </c>
    </row>
    <row r="2667" spans="1:13">
      <c r="A2667" s="1">
        <v>46235</v>
      </c>
      <c r="B2667" t="s">
        <v>878</v>
      </c>
      <c r="C2667" t="s">
        <v>873</v>
      </c>
      <c r="D2667" t="s">
        <v>224</v>
      </c>
      <c r="E2667" t="s">
        <v>59</v>
      </c>
      <c r="F2667">
        <v>75</v>
      </c>
      <c r="G2667">
        <v>10</v>
      </c>
      <c r="H2667">
        <v>2.6014568158168601E-3</v>
      </c>
      <c r="I2667">
        <v>0.13888888888888901</v>
      </c>
      <c r="J2667" s="14" t="str">
        <f>_xlfn.XLOOKUP(B2667,CAD_PDV!A:A,CAD_PDV!B:B)</f>
        <v>CELNET COMERCIO E SERVICOS DE TELEFONIA LTDA ME</v>
      </c>
      <c r="K2667" s="14">
        <f>IF(IFERROR(_xlfn.XLOOKUP(B2667,Planilha2!D:D,Planilha2!H:H),0)="SIM",1,0)</f>
        <v>0</v>
      </c>
      <c r="L2667" s="14" t="str">
        <f>_xlfn.XLOOKUP(B2667,CAD_PDV!A:A,CAD_PDV!C:C)</f>
        <v>CO</v>
      </c>
      <c r="M2667" s="14" t="str">
        <f>IFERROR(_xlfn.XLOOKUP(B2667,repete!A:A,repete!A:A),"-")</f>
        <v>-</v>
      </c>
    </row>
    <row r="2668" spans="1:13">
      <c r="A2668" s="1">
        <v>46235</v>
      </c>
      <c r="B2668" t="s">
        <v>827</v>
      </c>
      <c r="C2668" t="s">
        <v>820</v>
      </c>
      <c r="D2668" t="s">
        <v>239</v>
      </c>
      <c r="E2668" t="s">
        <v>59</v>
      </c>
      <c r="F2668">
        <v>43</v>
      </c>
      <c r="G2668">
        <v>10</v>
      </c>
      <c r="H2668">
        <v>2.6014568158168601E-3</v>
      </c>
      <c r="I2668">
        <v>0.26315789473684198</v>
      </c>
      <c r="J2668" s="14" t="str">
        <f>_xlfn.XLOOKUP(B2668,CAD_PDV!A:A,CAD_PDV!B:B)</f>
        <v>TELECELL TELEFONIA LTDA - ME</v>
      </c>
      <c r="K2668" s="14">
        <f>IF(IFERROR(_xlfn.XLOOKUP(B2668,Planilha2!D:D,Planilha2!H:H),0)="SIM",1,0)</f>
        <v>0</v>
      </c>
      <c r="L2668" s="14" t="str">
        <f>_xlfn.XLOOKUP(B2668,CAD_PDV!A:A,CAD_PDV!C:C)</f>
        <v>CO</v>
      </c>
      <c r="M2668" s="14" t="str">
        <f>IFERROR(_xlfn.XLOOKUP(B2668,repete!A:A,repete!A:A),"-")</f>
        <v>-</v>
      </c>
    </row>
    <row r="2669" spans="1:13">
      <c r="A2669" s="1">
        <v>46235</v>
      </c>
      <c r="B2669" t="s">
        <v>900</v>
      </c>
      <c r="C2669" t="s">
        <v>873</v>
      </c>
      <c r="D2669" t="s">
        <v>224</v>
      </c>
      <c r="E2669" t="s">
        <v>59</v>
      </c>
      <c r="F2669">
        <v>35</v>
      </c>
      <c r="G2669">
        <v>10</v>
      </c>
      <c r="H2669">
        <v>2.6014568158168601E-3</v>
      </c>
      <c r="I2669">
        <v>0.28571428571428598</v>
      </c>
      <c r="J2669" s="14" t="str">
        <f>_xlfn.XLOOKUP(B2669,CAD_PDV!A:A,CAD_PDV!B:B)</f>
        <v>CELNET COMERCIO E SERVICOS DE TELEFONIA LTDA ME</v>
      </c>
      <c r="K2669" s="14">
        <f>IF(IFERROR(_xlfn.XLOOKUP(B2669,Planilha2!D:D,Planilha2!H:H),0)="SIM",1,0)</f>
        <v>0</v>
      </c>
      <c r="L2669" s="14" t="str">
        <f>_xlfn.XLOOKUP(B2669,CAD_PDV!A:A,CAD_PDV!C:C)</f>
        <v>CO</v>
      </c>
      <c r="M2669" s="14" t="str">
        <f>IFERROR(_xlfn.XLOOKUP(B2669,repete!A:A,repete!A:A),"-")</f>
        <v>-</v>
      </c>
    </row>
    <row r="2670" spans="1:13">
      <c r="A2670" s="1">
        <v>46235</v>
      </c>
      <c r="B2670" t="s">
        <v>777</v>
      </c>
      <c r="C2670" t="s">
        <v>775</v>
      </c>
      <c r="D2670" t="s">
        <v>221</v>
      </c>
      <c r="E2670" t="s">
        <v>59</v>
      </c>
      <c r="F2670">
        <v>39</v>
      </c>
      <c r="G2670">
        <v>10</v>
      </c>
      <c r="H2670">
        <v>2.6014568158168601E-3</v>
      </c>
      <c r="I2670">
        <v>0.27777777777777801</v>
      </c>
      <c r="J2670" s="14" t="str">
        <f>_xlfn.XLOOKUP(B2670,CAD_PDV!A:A,CAD_PDV!B:B)</f>
        <v>AMERICOM COMERCIO DE APARELHOS ELETRONICOS LTDA - EPP</v>
      </c>
      <c r="K2670" s="14">
        <f>IF(IFERROR(_xlfn.XLOOKUP(B2670,Planilha2!D:D,Planilha2!H:H),0)="SIM",1,0)</f>
        <v>0</v>
      </c>
      <c r="L2670" s="14" t="str">
        <f>_xlfn.XLOOKUP(B2670,CAD_PDV!A:A,CAD_PDV!C:C)</f>
        <v>CO</v>
      </c>
      <c r="M2670" s="14" t="str">
        <f>IFERROR(_xlfn.XLOOKUP(B2670,repete!A:A,repete!A:A),"-")</f>
        <v>-</v>
      </c>
    </row>
    <row r="2671" spans="1:13">
      <c r="A2671" s="1">
        <v>46235</v>
      </c>
      <c r="B2671" t="s">
        <v>404</v>
      </c>
      <c r="C2671" t="s">
        <v>288</v>
      </c>
      <c r="D2671" t="s">
        <v>230</v>
      </c>
      <c r="E2671" t="s">
        <v>61</v>
      </c>
      <c r="F2671">
        <v>89</v>
      </c>
      <c r="G2671">
        <v>10</v>
      </c>
      <c r="H2671">
        <v>2.6014568158168601E-3</v>
      </c>
      <c r="I2671">
        <v>0.116279069767442</v>
      </c>
      <c r="J2671" s="14" t="str">
        <f>_xlfn.XLOOKUP(B2671,CAD_PDV!A:A,CAD_PDV!B:B)</f>
        <v>HARCOS COMERCIO E SERVICOS LTDA - EPP</v>
      </c>
      <c r="K2671" s="14">
        <f>IF(IFERROR(_xlfn.XLOOKUP(B2671,Planilha2!D:D,Planilha2!H:H),0)="SIM",1,0)</f>
        <v>0</v>
      </c>
      <c r="L2671" s="14" t="str">
        <f>_xlfn.XLOOKUP(B2671,CAD_PDV!A:A,CAD_PDV!C:C)</f>
        <v>NE</v>
      </c>
      <c r="M2671" s="14" t="str">
        <f>IFERROR(_xlfn.XLOOKUP(B2671,repete!A:A,repete!A:A),"-")</f>
        <v>-</v>
      </c>
    </row>
    <row r="2672" spans="1:13">
      <c r="A2672" s="1">
        <v>46235</v>
      </c>
      <c r="B2672" t="s">
        <v>1252</v>
      </c>
      <c r="C2672" t="s">
        <v>1142</v>
      </c>
      <c r="D2672" t="s">
        <v>228</v>
      </c>
      <c r="E2672" t="s">
        <v>55</v>
      </c>
      <c r="F2672">
        <v>34</v>
      </c>
      <c r="G2672">
        <v>10</v>
      </c>
      <c r="H2672">
        <v>2.6014568158168601E-3</v>
      </c>
      <c r="I2672">
        <v>0.30303030303030298</v>
      </c>
      <c r="J2672" s="14" t="str">
        <f>_xlfn.XLOOKUP(B2672,CAD_PDV!A:A,CAD_PDV!B:B)</f>
        <v>FAJULUTI</v>
      </c>
      <c r="K2672" s="14">
        <f>IF(IFERROR(_xlfn.XLOOKUP(B2672,Planilha2!D:D,Planilha2!H:H),0)="SIM",1,0)</f>
        <v>0</v>
      </c>
      <c r="L2672" s="14" t="str">
        <f>_xlfn.XLOOKUP(B2672,CAD_PDV!A:A,CAD_PDV!C:C)</f>
        <v>RJ/ES</v>
      </c>
      <c r="M2672" s="14" t="str">
        <f>IFERROR(_xlfn.XLOOKUP(B2672,repete!A:A,repete!A:A),"-")</f>
        <v>-</v>
      </c>
    </row>
    <row r="2673" spans="1:13">
      <c r="A2673" s="1">
        <v>46235</v>
      </c>
      <c r="B2673" t="s">
        <v>781</v>
      </c>
      <c r="C2673" t="s">
        <v>637</v>
      </c>
      <c r="D2673" t="s">
        <v>221</v>
      </c>
      <c r="E2673" t="s">
        <v>59</v>
      </c>
      <c r="F2673">
        <v>47</v>
      </c>
      <c r="G2673">
        <v>10</v>
      </c>
      <c r="H2673">
        <v>2.6014568158168601E-3</v>
      </c>
      <c r="I2673">
        <v>0.22727272727272699</v>
      </c>
      <c r="J2673" s="14" t="str">
        <f>_xlfn.XLOOKUP(B2673,CAD_PDV!A:A,CAD_PDV!B:B)</f>
        <v>AMERICOM COMERCIO DE APARELHOS ELETRONICOS LTDA - EPP</v>
      </c>
      <c r="K2673" s="14">
        <f>IF(IFERROR(_xlfn.XLOOKUP(B2673,Planilha2!D:D,Planilha2!H:H),0)="SIM",1,0)</f>
        <v>0</v>
      </c>
      <c r="L2673" s="14" t="str">
        <f>_xlfn.XLOOKUP(B2673,CAD_PDV!A:A,CAD_PDV!C:C)</f>
        <v>CO</v>
      </c>
      <c r="M2673" s="14" t="str">
        <f>IFERROR(_xlfn.XLOOKUP(B2673,repete!A:A,repete!A:A),"-")</f>
        <v>-</v>
      </c>
    </row>
    <row r="2674" spans="1:13">
      <c r="A2674" s="1">
        <v>46235</v>
      </c>
      <c r="B2674" t="s">
        <v>1679</v>
      </c>
      <c r="C2674" t="s">
        <v>1451</v>
      </c>
      <c r="D2674" t="s">
        <v>232</v>
      </c>
      <c r="E2674" t="s">
        <v>54</v>
      </c>
      <c r="F2674">
        <v>38</v>
      </c>
      <c r="G2674">
        <v>10</v>
      </c>
      <c r="H2674">
        <v>2.6014568158168601E-3</v>
      </c>
      <c r="I2674">
        <v>0.27027027027027001</v>
      </c>
      <c r="J2674" s="14" t="str">
        <f>_xlfn.XLOOKUP(B2674,CAD_PDV!A:A,CAD_PDV!B:B)</f>
        <v>HS TELECOM</v>
      </c>
      <c r="K2674" s="14">
        <f>IF(IFERROR(_xlfn.XLOOKUP(B2674,Planilha2!D:D,Planilha2!H:H),0)="SIM",1,0)</f>
        <v>0</v>
      </c>
      <c r="L2674" s="14" t="str">
        <f>_xlfn.XLOOKUP(B2674,CAD_PDV!A:A,CAD_PDV!C:C)</f>
        <v>SP2</v>
      </c>
      <c r="M2674" s="14" t="str">
        <f>IFERROR(_xlfn.XLOOKUP(B2674,repete!A:A,repete!A:A),"-")</f>
        <v>-</v>
      </c>
    </row>
    <row r="2675" spans="1:13">
      <c r="A2675" s="1">
        <v>46235</v>
      </c>
      <c r="B2675" t="s">
        <v>476</v>
      </c>
      <c r="C2675" t="s">
        <v>430</v>
      </c>
      <c r="D2675" t="s">
        <v>106</v>
      </c>
      <c r="E2675" t="s">
        <v>56</v>
      </c>
      <c r="F2675">
        <v>99</v>
      </c>
      <c r="G2675">
        <v>10</v>
      </c>
      <c r="H2675">
        <v>2.6014568158168601E-3</v>
      </c>
      <c r="I2675">
        <v>0.116279069767442</v>
      </c>
      <c r="J2675" s="14" t="str">
        <f>_xlfn.XLOOKUP(B2675,CAD_PDV!A:A,CAD_PDV!B:B)</f>
        <v>CELLULAR.COM</v>
      </c>
      <c r="K2675" s="14">
        <f>IF(IFERROR(_xlfn.XLOOKUP(B2675,Planilha2!D:D,Planilha2!H:H),0)="SIM",1,0)</f>
        <v>0</v>
      </c>
      <c r="L2675" s="14" t="str">
        <f>_xlfn.XLOOKUP(B2675,CAD_PDV!A:A,CAD_PDV!C:C)</f>
        <v>MG</v>
      </c>
      <c r="M2675" s="14" t="str">
        <f>IFERROR(_xlfn.XLOOKUP(B2675,repete!A:A,repete!A:A),"-")</f>
        <v>-</v>
      </c>
    </row>
    <row r="2676" spans="1:13">
      <c r="A2676" s="1">
        <v>46235</v>
      </c>
      <c r="B2676" t="s">
        <v>1735</v>
      </c>
      <c r="C2676" t="s">
        <v>1464</v>
      </c>
      <c r="D2676" t="s">
        <v>132</v>
      </c>
      <c r="E2676" t="s">
        <v>54</v>
      </c>
      <c r="F2676">
        <v>23</v>
      </c>
      <c r="G2676">
        <v>10</v>
      </c>
      <c r="H2676">
        <v>2.6014568158168601E-3</v>
      </c>
      <c r="I2676">
        <v>0.45454545454545497</v>
      </c>
      <c r="J2676" s="14" t="str">
        <f>_xlfn.XLOOKUP(B2676,CAD_PDV!A:A,CAD_PDV!B:B)</f>
        <v>FLEX CELL</v>
      </c>
      <c r="K2676" s="14">
        <f>IF(IFERROR(_xlfn.XLOOKUP(B2676,Planilha2!D:D,Planilha2!H:H),0)="SIM",1,0)</f>
        <v>0</v>
      </c>
      <c r="L2676" s="14" t="str">
        <f>_xlfn.XLOOKUP(B2676,CAD_PDV!A:A,CAD_PDV!C:C)</f>
        <v>SP2</v>
      </c>
      <c r="M2676" s="14" t="str">
        <f>IFERROR(_xlfn.XLOOKUP(B2676,repete!A:A,repete!A:A),"-")</f>
        <v>-</v>
      </c>
    </row>
    <row r="2677" spans="1:13">
      <c r="A2677" s="1">
        <v>46235</v>
      </c>
      <c r="B2677" t="s">
        <v>1210</v>
      </c>
      <c r="C2677" t="s">
        <v>1211</v>
      </c>
      <c r="D2677" t="s">
        <v>228</v>
      </c>
      <c r="E2677" t="s">
        <v>55</v>
      </c>
      <c r="F2677">
        <v>53</v>
      </c>
      <c r="G2677">
        <v>9</v>
      </c>
      <c r="H2677">
        <v>2.3413111342351699E-3</v>
      </c>
      <c r="I2677">
        <v>0.17647058823529399</v>
      </c>
      <c r="J2677" s="14" t="str">
        <f>_xlfn.XLOOKUP(B2677,CAD_PDV!A:A,CAD_PDV!B:B)</f>
        <v>FAJULUTI</v>
      </c>
      <c r="K2677" s="14">
        <f>IF(IFERROR(_xlfn.XLOOKUP(B2677,Planilha2!D:D,Planilha2!H:H),0)="SIM",1,0)</f>
        <v>0</v>
      </c>
      <c r="L2677" s="14" t="str">
        <f>_xlfn.XLOOKUP(B2677,CAD_PDV!A:A,CAD_PDV!C:C)</f>
        <v>RJ/ES</v>
      </c>
      <c r="M2677" s="14" t="str">
        <f>IFERROR(_xlfn.XLOOKUP(B2677,repete!A:A,repete!A:A),"-")</f>
        <v>-</v>
      </c>
    </row>
    <row r="2678" spans="1:13">
      <c r="A2678" s="1">
        <v>46235</v>
      </c>
      <c r="B2678" t="s">
        <v>1534</v>
      </c>
      <c r="C2678" t="s">
        <v>1535</v>
      </c>
      <c r="D2678" t="s">
        <v>106</v>
      </c>
      <c r="E2678" t="s">
        <v>54</v>
      </c>
      <c r="F2678">
        <v>29</v>
      </c>
      <c r="G2678">
        <v>9</v>
      </c>
      <c r="H2678">
        <v>2.3413111342351699E-3</v>
      </c>
      <c r="I2678">
        <v>0.32142857142857101</v>
      </c>
      <c r="J2678" s="14" t="str">
        <f>_xlfn.XLOOKUP(B2678,CAD_PDV!A:A,CAD_PDV!B:B)</f>
        <v>CELLULAR.COM</v>
      </c>
      <c r="K2678" s="14">
        <f>IF(IFERROR(_xlfn.XLOOKUP(B2678,Planilha2!D:D,Planilha2!H:H),0)="SIM",1,0)</f>
        <v>0</v>
      </c>
      <c r="L2678" s="14" t="str">
        <f>_xlfn.XLOOKUP(B2678,CAD_PDV!A:A,CAD_PDV!C:C)</f>
        <v>SP2</v>
      </c>
      <c r="M2678" s="14" t="str">
        <f>IFERROR(_xlfn.XLOOKUP(B2678,repete!A:A,repete!A:A),"-")</f>
        <v>-</v>
      </c>
    </row>
    <row r="2679" spans="1:13">
      <c r="A2679" s="1">
        <v>46235</v>
      </c>
      <c r="B2679" t="s">
        <v>1572</v>
      </c>
      <c r="C2679" t="s">
        <v>1535</v>
      </c>
      <c r="D2679" t="s">
        <v>106</v>
      </c>
      <c r="E2679" t="s">
        <v>54</v>
      </c>
      <c r="F2679">
        <v>45</v>
      </c>
      <c r="G2679">
        <v>9</v>
      </c>
      <c r="H2679">
        <v>2.3413111342351699E-3</v>
      </c>
      <c r="I2679">
        <v>0.214285714285714</v>
      </c>
      <c r="J2679" s="14" t="str">
        <f>_xlfn.XLOOKUP(B2679,CAD_PDV!A:A,CAD_PDV!B:B)</f>
        <v>CELLULAR.COM</v>
      </c>
      <c r="K2679" s="14">
        <f>IF(IFERROR(_xlfn.XLOOKUP(B2679,Planilha2!D:D,Planilha2!H:H),0)="SIM",1,0)</f>
        <v>0</v>
      </c>
      <c r="L2679" s="14" t="str">
        <f>_xlfn.XLOOKUP(B2679,CAD_PDV!A:A,CAD_PDV!C:C)</f>
        <v>SP2</v>
      </c>
      <c r="M2679" s="14" t="str">
        <f>IFERROR(_xlfn.XLOOKUP(B2679,repete!A:A,repete!A:A),"-")</f>
        <v>-</v>
      </c>
    </row>
    <row r="2680" spans="1:13">
      <c r="A2680" s="1">
        <v>46235</v>
      </c>
      <c r="B2680" t="s">
        <v>1291</v>
      </c>
      <c r="C2680" t="s">
        <v>1292</v>
      </c>
      <c r="D2680" t="s">
        <v>232</v>
      </c>
      <c r="E2680" t="s">
        <v>55</v>
      </c>
      <c r="F2680">
        <v>41</v>
      </c>
      <c r="G2680">
        <v>9</v>
      </c>
      <c r="H2680">
        <v>2.3413111342351699E-3</v>
      </c>
      <c r="I2680">
        <v>0.230769230769231</v>
      </c>
      <c r="J2680" s="14" t="str">
        <f>_xlfn.XLOOKUP(B2680,CAD_PDV!A:A,CAD_PDV!B:B)</f>
        <v>HS TELECOM</v>
      </c>
      <c r="K2680" s="14">
        <f>IF(IFERROR(_xlfn.XLOOKUP(B2680,Planilha2!D:D,Planilha2!H:H),0)="SIM",1,0)</f>
        <v>0</v>
      </c>
      <c r="L2680" s="14" t="str">
        <f>_xlfn.XLOOKUP(B2680,CAD_PDV!A:A,CAD_PDV!C:C)</f>
        <v>RJ/ES</v>
      </c>
      <c r="M2680" s="14" t="str">
        <f>IFERROR(_xlfn.XLOOKUP(B2680,repete!A:A,repete!A:A),"-")</f>
        <v>-</v>
      </c>
    </row>
    <row r="2681" spans="1:13">
      <c r="A2681" s="1">
        <v>46235</v>
      </c>
      <c r="B2681" t="s">
        <v>1665</v>
      </c>
      <c r="C2681" t="s">
        <v>1666</v>
      </c>
      <c r="D2681" t="s">
        <v>232</v>
      </c>
      <c r="E2681" t="s">
        <v>54</v>
      </c>
      <c r="F2681">
        <v>43</v>
      </c>
      <c r="G2681">
        <v>9</v>
      </c>
      <c r="H2681">
        <v>2.3413111342351699E-3</v>
      </c>
      <c r="I2681">
        <v>0.219512195121951</v>
      </c>
      <c r="J2681" s="14" t="str">
        <f>_xlfn.XLOOKUP(B2681,CAD_PDV!A:A,CAD_PDV!B:B)</f>
        <v>HS TELECOM</v>
      </c>
      <c r="K2681" s="14">
        <f>IF(IFERROR(_xlfn.XLOOKUP(B2681,Planilha2!D:D,Planilha2!H:H),0)="SIM",1,0)</f>
        <v>0</v>
      </c>
      <c r="L2681" s="14" t="str">
        <f>_xlfn.XLOOKUP(B2681,CAD_PDV!A:A,CAD_PDV!C:C)</f>
        <v>SP2</v>
      </c>
      <c r="M2681" s="14" t="str">
        <f>IFERROR(_xlfn.XLOOKUP(B2681,repete!A:A,repete!A:A),"-")</f>
        <v>-</v>
      </c>
    </row>
    <row r="2682" spans="1:13">
      <c r="A2682" s="1">
        <v>46235</v>
      </c>
      <c r="B2682" t="s">
        <v>1673</v>
      </c>
      <c r="C2682" t="s">
        <v>1545</v>
      </c>
      <c r="D2682" t="s">
        <v>232</v>
      </c>
      <c r="E2682" t="s">
        <v>54</v>
      </c>
      <c r="F2682">
        <v>55</v>
      </c>
      <c r="G2682">
        <v>9</v>
      </c>
      <c r="H2682">
        <v>2.3413111342351699E-3</v>
      </c>
      <c r="I2682">
        <v>0.169811320754717</v>
      </c>
      <c r="J2682" s="14" t="str">
        <f>_xlfn.XLOOKUP(B2682,CAD_PDV!A:A,CAD_PDV!B:B)</f>
        <v>HS TELECOM</v>
      </c>
      <c r="K2682" s="14">
        <f>IF(IFERROR(_xlfn.XLOOKUP(B2682,Planilha2!D:D,Planilha2!H:H),0)="SIM",1,0)</f>
        <v>0</v>
      </c>
      <c r="L2682" s="14" t="str">
        <f>_xlfn.XLOOKUP(B2682,CAD_PDV!A:A,CAD_PDV!C:C)</f>
        <v>SP2</v>
      </c>
      <c r="M2682" s="14" t="str">
        <f>IFERROR(_xlfn.XLOOKUP(B2682,repete!A:A,repete!A:A),"-")</f>
        <v>-</v>
      </c>
    </row>
    <row r="2683" spans="1:13">
      <c r="A2683" s="1">
        <v>46235</v>
      </c>
      <c r="B2683" t="s">
        <v>660</v>
      </c>
      <c r="C2683" t="s">
        <v>661</v>
      </c>
      <c r="D2683" t="s">
        <v>239</v>
      </c>
      <c r="E2683" t="s">
        <v>59</v>
      </c>
      <c r="F2683">
        <v>36</v>
      </c>
      <c r="G2683">
        <v>9</v>
      </c>
      <c r="H2683">
        <v>2.3413111342351699E-3</v>
      </c>
      <c r="I2683">
        <v>0.27272727272727298</v>
      </c>
      <c r="J2683" s="14" t="str">
        <f>_xlfn.XLOOKUP(B2683,CAD_PDV!A:A,CAD_PDV!B:B)</f>
        <v>TELECELL TELEFONIA LTDA - ME</v>
      </c>
      <c r="K2683" s="14">
        <f>IF(IFERROR(_xlfn.XLOOKUP(B2683,Planilha2!D:D,Planilha2!H:H),0)="SIM",1,0)</f>
        <v>0</v>
      </c>
      <c r="L2683" s="14" t="str">
        <f>_xlfn.XLOOKUP(B2683,CAD_PDV!A:A,CAD_PDV!C:C)</f>
        <v>CO</v>
      </c>
      <c r="M2683" s="14" t="str">
        <f>IFERROR(_xlfn.XLOOKUP(B2683,repete!A:A,repete!A:A),"-")</f>
        <v>-</v>
      </c>
    </row>
    <row r="2684" spans="1:13">
      <c r="A2684" s="1">
        <v>46235</v>
      </c>
      <c r="B2684" t="s">
        <v>1703</v>
      </c>
      <c r="C2684" t="s">
        <v>1519</v>
      </c>
      <c r="D2684" t="s">
        <v>132</v>
      </c>
      <c r="E2684" t="s">
        <v>54</v>
      </c>
      <c r="F2684">
        <v>25</v>
      </c>
      <c r="G2684">
        <v>9</v>
      </c>
      <c r="H2684">
        <v>2.3413111342351699E-3</v>
      </c>
      <c r="I2684">
        <v>0.36</v>
      </c>
      <c r="J2684" s="14" t="str">
        <f>_xlfn.XLOOKUP(B2684,CAD_PDV!A:A,CAD_PDV!B:B)</f>
        <v>FLEX CELL</v>
      </c>
      <c r="K2684" s="14">
        <f>IF(IFERROR(_xlfn.XLOOKUP(B2684,Planilha2!D:D,Planilha2!H:H),0)="SIM",1,0)</f>
        <v>0</v>
      </c>
      <c r="L2684" s="14" t="str">
        <f>_xlfn.XLOOKUP(B2684,CAD_PDV!A:A,CAD_PDV!C:C)</f>
        <v>SP2</v>
      </c>
      <c r="M2684" s="14" t="str">
        <f>IFERROR(_xlfn.XLOOKUP(B2684,repete!A:A,repete!A:A),"-")</f>
        <v>QLEQ</v>
      </c>
    </row>
    <row r="2685" spans="1:13">
      <c r="A2685" s="1">
        <v>46235</v>
      </c>
      <c r="B2685" t="s">
        <v>963</v>
      </c>
      <c r="C2685" t="s">
        <v>944</v>
      </c>
      <c r="D2685" t="s">
        <v>232</v>
      </c>
      <c r="E2685" t="s">
        <v>60</v>
      </c>
      <c r="F2685">
        <v>69</v>
      </c>
      <c r="G2685">
        <v>9</v>
      </c>
      <c r="H2685">
        <v>2.3413111342351699E-3</v>
      </c>
      <c r="I2685">
        <v>0.13636363636363599</v>
      </c>
      <c r="J2685" s="14" t="str">
        <f>_xlfn.XLOOKUP(B2685,CAD_PDV!A:A,CAD_PDV!B:B)</f>
        <v>HS TELECOM</v>
      </c>
      <c r="K2685" s="14">
        <f>IF(IFERROR(_xlfn.XLOOKUP(B2685,Planilha2!D:D,Planilha2!H:H),0)="SIM",1,0)</f>
        <v>0</v>
      </c>
      <c r="L2685" s="14" t="str">
        <f>_xlfn.XLOOKUP(B2685,CAD_PDV!A:A,CAD_PDV!C:C)</f>
        <v>BA/SE</v>
      </c>
      <c r="M2685" s="14" t="str">
        <f>IFERROR(_xlfn.XLOOKUP(B2685,repete!A:A,repete!A:A),"-")</f>
        <v>-</v>
      </c>
    </row>
    <row r="2686" spans="1:13">
      <c r="A2686" s="1">
        <v>46235</v>
      </c>
      <c r="B2686" t="s">
        <v>573</v>
      </c>
      <c r="C2686" t="s">
        <v>574</v>
      </c>
      <c r="D2686" t="s">
        <v>228</v>
      </c>
      <c r="E2686" t="s">
        <v>56</v>
      </c>
      <c r="F2686">
        <v>18</v>
      </c>
      <c r="G2686">
        <v>9</v>
      </c>
      <c r="H2686">
        <v>2.3413111342351699E-3</v>
      </c>
      <c r="I2686">
        <v>0.5</v>
      </c>
      <c r="J2686" s="14" t="str">
        <f>_xlfn.XLOOKUP(B2686,CAD_PDV!A:A,CAD_PDV!B:B)</f>
        <v>FAJULUTI</v>
      </c>
      <c r="K2686" s="14">
        <f>IF(IFERROR(_xlfn.XLOOKUP(B2686,Planilha2!D:D,Planilha2!H:H),0)="SIM",1,0)</f>
        <v>0</v>
      </c>
      <c r="L2686" s="14" t="str">
        <f>_xlfn.XLOOKUP(B2686,CAD_PDV!A:A,CAD_PDV!C:C)</f>
        <v>MG</v>
      </c>
      <c r="M2686" s="14" t="str">
        <f>IFERROR(_xlfn.XLOOKUP(B2686,repete!A:A,repete!A:A),"-")</f>
        <v>-</v>
      </c>
    </row>
    <row r="2687" spans="1:13">
      <c r="A2687" s="1">
        <v>46235</v>
      </c>
      <c r="B2687" t="s">
        <v>1710</v>
      </c>
      <c r="C2687" t="s">
        <v>1568</v>
      </c>
      <c r="D2687" t="s">
        <v>119</v>
      </c>
      <c r="E2687" t="s">
        <v>54</v>
      </c>
      <c r="F2687">
        <v>17</v>
      </c>
      <c r="G2687">
        <v>9</v>
      </c>
      <c r="H2687">
        <v>2.3413111342351699E-3</v>
      </c>
      <c r="I2687">
        <v>0.5625</v>
      </c>
      <c r="J2687" s="14" t="str">
        <f>_xlfn.XLOOKUP(B2687,CAD_PDV!A:A,CAD_PDV!B:B)</f>
        <v>DOM BARRETO COMERCIAL LTDA - ME</v>
      </c>
      <c r="K2687" s="14">
        <f>IF(IFERROR(_xlfn.XLOOKUP(B2687,Planilha2!D:D,Planilha2!H:H),0)="SIM",1,0)</f>
        <v>0</v>
      </c>
      <c r="L2687" s="14" t="str">
        <f>_xlfn.XLOOKUP(B2687,CAD_PDV!A:A,CAD_PDV!C:C)</f>
        <v>SP2</v>
      </c>
      <c r="M2687" s="14" t="str">
        <f>IFERROR(_xlfn.XLOOKUP(B2687,repete!A:A,repete!A:A),"-")</f>
        <v>-</v>
      </c>
    </row>
    <row r="2688" spans="1:13">
      <c r="A2688" s="1">
        <v>46235</v>
      </c>
      <c r="B2688" t="s">
        <v>1741</v>
      </c>
      <c r="C2688" t="s">
        <v>1744</v>
      </c>
      <c r="D2688" t="s">
        <v>190</v>
      </c>
      <c r="E2688" t="s">
        <v>2074</v>
      </c>
      <c r="F2688">
        <v>67</v>
      </c>
      <c r="G2688">
        <v>9</v>
      </c>
      <c r="H2688">
        <v>2.3413111342351699E-3</v>
      </c>
      <c r="I2688">
        <v>0.14285714285714299</v>
      </c>
      <c r="J2688" s="14" t="str">
        <f>_xlfn.XLOOKUP(B2688,CAD_PDV!A:A,CAD_PDV!B:B)</f>
        <v>RDJ TELECOMUNICACOES LTDA</v>
      </c>
      <c r="K2688" s="14">
        <f>IF(IFERROR(_xlfn.XLOOKUP(B2688,Planilha2!D:D,Planilha2!H:H),0)="SIM",1,0)</f>
        <v>0</v>
      </c>
      <c r="L2688" s="14" t="str">
        <f>_xlfn.XLOOKUP(B2688,CAD_PDV!A:A,CAD_PDV!C:C)</f>
        <v>PR/SC</v>
      </c>
      <c r="M2688" s="14" t="str">
        <f>IFERROR(_xlfn.XLOOKUP(B2688,repete!A:A,repete!A:A),"-")</f>
        <v>-</v>
      </c>
    </row>
    <row r="2689" spans="1:13">
      <c r="A2689" s="1">
        <v>46235</v>
      </c>
      <c r="B2689" t="s">
        <v>1838</v>
      </c>
      <c r="C2689" t="s">
        <v>1839</v>
      </c>
      <c r="D2689" t="s">
        <v>124</v>
      </c>
      <c r="E2689" t="s">
        <v>2074</v>
      </c>
      <c r="F2689">
        <v>55</v>
      </c>
      <c r="G2689">
        <v>9</v>
      </c>
      <c r="H2689">
        <v>2.3413111342351699E-3</v>
      </c>
      <c r="I2689">
        <v>0.17647058823529399</v>
      </c>
      <c r="J2689" s="14" t="str">
        <f>_xlfn.XLOOKUP(B2689,CAD_PDV!A:A,CAD_PDV!B:B)</f>
        <v>EDUARDO JUNQUEIRA DA SILVEIRA ADMIN</v>
      </c>
      <c r="K2689" s="14">
        <f>IF(IFERROR(_xlfn.XLOOKUP(B2689,Planilha2!D:D,Planilha2!H:H),0)="SIM",1,0)</f>
        <v>0</v>
      </c>
      <c r="L2689" s="14" t="str">
        <f>_xlfn.XLOOKUP(B2689,CAD_PDV!A:A,CAD_PDV!C:C)</f>
        <v>RS</v>
      </c>
      <c r="M2689" s="14" t="str">
        <f>IFERROR(_xlfn.XLOOKUP(B2689,repete!A:A,repete!A:A),"-")</f>
        <v>-</v>
      </c>
    </row>
    <row r="2690" spans="1:13">
      <c r="A2690" s="1">
        <v>46235</v>
      </c>
      <c r="B2690" t="s">
        <v>1736</v>
      </c>
      <c r="C2690" t="s">
        <v>1523</v>
      </c>
      <c r="D2690" t="s">
        <v>232</v>
      </c>
      <c r="E2690" t="s">
        <v>54</v>
      </c>
      <c r="F2690">
        <v>53</v>
      </c>
      <c r="G2690">
        <v>9</v>
      </c>
      <c r="H2690">
        <v>2.3413111342351699E-3</v>
      </c>
      <c r="I2690">
        <v>0.1875</v>
      </c>
      <c r="J2690" s="14" t="str">
        <f>_xlfn.XLOOKUP(B2690,CAD_PDV!A:A,CAD_PDV!B:B)</f>
        <v>HS TELECOM</v>
      </c>
      <c r="K2690" s="14">
        <f>IF(IFERROR(_xlfn.XLOOKUP(B2690,Planilha2!D:D,Planilha2!H:H),0)="SIM",1,0)</f>
        <v>0</v>
      </c>
      <c r="L2690" s="14" t="str">
        <f>_xlfn.XLOOKUP(B2690,CAD_PDV!A:A,CAD_PDV!C:C)</f>
        <v>SP2</v>
      </c>
      <c r="M2690" s="14" t="str">
        <f>IFERROR(_xlfn.XLOOKUP(B2690,repete!A:A,repete!A:A),"-")</f>
        <v>-</v>
      </c>
    </row>
    <row r="2691" spans="1:13">
      <c r="A2691" s="1">
        <v>46235</v>
      </c>
      <c r="B2691" t="s">
        <v>1816</v>
      </c>
      <c r="C2691" t="s">
        <v>1817</v>
      </c>
      <c r="D2691" t="s">
        <v>95</v>
      </c>
      <c r="E2691" t="s">
        <v>2074</v>
      </c>
      <c r="F2691">
        <v>49</v>
      </c>
      <c r="G2691">
        <v>8</v>
      </c>
      <c r="H2691">
        <v>2.08116545265349E-3</v>
      </c>
      <c r="I2691">
        <v>0.173913043478261</v>
      </c>
      <c r="J2691" s="14" t="str">
        <f>_xlfn.XLOOKUP(B2691,CAD_PDV!A:A,CAD_PDV!B:B)</f>
        <v>AYRES E DEBONI LTDA - ME</v>
      </c>
      <c r="K2691" s="14">
        <f>IF(IFERROR(_xlfn.XLOOKUP(B2691,Planilha2!D:D,Planilha2!H:H),0)="SIM",1,0)</f>
        <v>0</v>
      </c>
      <c r="L2691" s="14" t="str">
        <f>_xlfn.XLOOKUP(B2691,CAD_PDV!A:A,CAD_PDV!C:C)</f>
        <v>RS</v>
      </c>
      <c r="M2691" s="14" t="str">
        <f>IFERROR(_xlfn.XLOOKUP(B2691,repete!A:A,repete!A:A),"-")</f>
        <v>-</v>
      </c>
    </row>
    <row r="2692" spans="1:13">
      <c r="A2692" s="1">
        <v>46235</v>
      </c>
      <c r="B2692" t="s">
        <v>1463</v>
      </c>
      <c r="C2692" t="s">
        <v>1464</v>
      </c>
      <c r="D2692" t="s">
        <v>219</v>
      </c>
      <c r="E2692" t="s">
        <v>54</v>
      </c>
      <c r="F2692">
        <v>61</v>
      </c>
      <c r="G2692">
        <v>8</v>
      </c>
      <c r="H2692">
        <v>2.08116545265349E-3</v>
      </c>
      <c r="I2692">
        <v>0.140350877192982</v>
      </c>
      <c r="J2692" s="14" t="str">
        <f>_xlfn.XLOOKUP(B2692,CAD_PDV!A:A,CAD_PDV!B:B)</f>
        <v>WCI CELULARES SERVICOS E TELECOMUNICACOES LTDA - EPP</v>
      </c>
      <c r="K2692" s="14">
        <f>IF(IFERROR(_xlfn.XLOOKUP(B2692,Planilha2!D:D,Planilha2!H:H),0)="SIM",1,0)</f>
        <v>0</v>
      </c>
      <c r="L2692" s="14" t="str">
        <f>_xlfn.XLOOKUP(B2692,CAD_PDV!A:A,CAD_PDV!C:C)</f>
        <v>SP2</v>
      </c>
      <c r="M2692" s="14" t="str">
        <f>IFERROR(_xlfn.XLOOKUP(B2692,repete!A:A,repete!A:A),"-")</f>
        <v>-</v>
      </c>
    </row>
    <row r="2693" spans="1:13">
      <c r="A2693" s="1">
        <v>46235</v>
      </c>
      <c r="B2693" t="s">
        <v>1465</v>
      </c>
      <c r="C2693" t="s">
        <v>1466</v>
      </c>
      <c r="D2693" t="s">
        <v>119</v>
      </c>
      <c r="E2693" t="s">
        <v>54</v>
      </c>
      <c r="F2693">
        <v>23</v>
      </c>
      <c r="G2693">
        <v>8</v>
      </c>
      <c r="H2693">
        <v>2.08116545265349E-3</v>
      </c>
      <c r="I2693">
        <v>0.36363636363636398</v>
      </c>
      <c r="J2693" s="14" t="str">
        <f>_xlfn.XLOOKUP(B2693,CAD_PDV!A:A,CAD_PDV!B:B)</f>
        <v>DOM BARRETO COMERCIAL LTDA - ME</v>
      </c>
      <c r="K2693" s="14">
        <f>IF(IFERROR(_xlfn.XLOOKUP(B2693,Planilha2!D:D,Planilha2!H:H),0)="SIM",1,0)</f>
        <v>0</v>
      </c>
      <c r="L2693" s="14" t="str">
        <f>_xlfn.XLOOKUP(B2693,CAD_PDV!A:A,CAD_PDV!C:C)</f>
        <v>SP2</v>
      </c>
      <c r="M2693" s="14" t="str">
        <f>IFERROR(_xlfn.XLOOKUP(B2693,repete!A:A,repete!A:A),"-")</f>
        <v>-</v>
      </c>
    </row>
    <row r="2694" spans="1:13">
      <c r="A2694" s="1">
        <v>46235</v>
      </c>
      <c r="B2694" t="s">
        <v>1467</v>
      </c>
      <c r="C2694" t="s">
        <v>1469</v>
      </c>
      <c r="D2694" t="s">
        <v>232</v>
      </c>
      <c r="E2694" t="s">
        <v>54</v>
      </c>
      <c r="F2694">
        <v>29</v>
      </c>
      <c r="G2694">
        <v>8</v>
      </c>
      <c r="H2694">
        <v>2.08116545265349E-3</v>
      </c>
      <c r="I2694">
        <v>0.296296296296296</v>
      </c>
      <c r="J2694" s="14" t="str">
        <f>_xlfn.XLOOKUP(B2694,CAD_PDV!A:A,CAD_PDV!B:B)</f>
        <v>HS TELECOM</v>
      </c>
      <c r="K2694" s="14">
        <f>IF(IFERROR(_xlfn.XLOOKUP(B2694,Planilha2!D:D,Planilha2!H:H),0)="SIM",1,0)</f>
        <v>0</v>
      </c>
      <c r="L2694" s="14" t="str">
        <f>_xlfn.XLOOKUP(B2694,CAD_PDV!A:A,CAD_PDV!C:C)</f>
        <v>SP2</v>
      </c>
      <c r="M2694" s="14" t="str">
        <f>IFERROR(_xlfn.XLOOKUP(B2694,repete!A:A,repete!A:A),"-")</f>
        <v>-</v>
      </c>
    </row>
    <row r="2695" spans="1:13">
      <c r="A2695" s="1">
        <v>46235</v>
      </c>
      <c r="B2695" t="s">
        <v>874</v>
      </c>
      <c r="C2695" t="s">
        <v>875</v>
      </c>
      <c r="D2695" t="s">
        <v>239</v>
      </c>
      <c r="E2695" t="s">
        <v>59</v>
      </c>
      <c r="F2695">
        <v>31</v>
      </c>
      <c r="G2695">
        <v>8</v>
      </c>
      <c r="H2695">
        <v>2.08116545265349E-3</v>
      </c>
      <c r="I2695">
        <v>0.27586206896551702</v>
      </c>
      <c r="J2695" s="14" t="str">
        <f>_xlfn.XLOOKUP(B2695,CAD_PDV!A:A,CAD_PDV!B:B)</f>
        <v>TELECELL TELEFONIA LTDA - ME</v>
      </c>
      <c r="K2695" s="14">
        <f>IF(IFERROR(_xlfn.XLOOKUP(B2695,Planilha2!D:D,Planilha2!H:H),0)="SIM",1,0)</f>
        <v>0</v>
      </c>
      <c r="L2695" s="14" t="str">
        <f>_xlfn.XLOOKUP(B2695,CAD_PDV!A:A,CAD_PDV!C:C)</f>
        <v>CO</v>
      </c>
      <c r="M2695" s="14" t="str">
        <f>IFERROR(_xlfn.XLOOKUP(B2695,repete!A:A,repete!A:A),"-")</f>
        <v>-</v>
      </c>
    </row>
    <row r="2696" spans="1:13">
      <c r="A2696" s="1">
        <v>46235</v>
      </c>
      <c r="B2696" t="s">
        <v>1932</v>
      </c>
      <c r="C2696" t="s">
        <v>1931</v>
      </c>
      <c r="D2696" t="s">
        <v>106</v>
      </c>
      <c r="E2696" t="s">
        <v>2074</v>
      </c>
      <c r="F2696">
        <v>37</v>
      </c>
      <c r="G2696">
        <v>8</v>
      </c>
      <c r="H2696">
        <v>2.08116545265349E-3</v>
      </c>
      <c r="I2696">
        <v>0.23529411764705899</v>
      </c>
      <c r="J2696" s="14" t="str">
        <f>_xlfn.XLOOKUP(B2696,CAD_PDV!A:A,CAD_PDV!B:B)</f>
        <v>CELLULAR.COM</v>
      </c>
      <c r="K2696" s="14">
        <f>IF(IFERROR(_xlfn.XLOOKUP(B2696,Planilha2!D:D,Planilha2!H:H),0)="SIM",1,0)</f>
        <v>0</v>
      </c>
      <c r="L2696" s="14" t="str">
        <f>_xlfn.XLOOKUP(B2696,CAD_PDV!A:A,CAD_PDV!C:C)</f>
        <v>PR/SC</v>
      </c>
      <c r="M2696" s="14" t="str">
        <f>IFERROR(_xlfn.XLOOKUP(B2696,repete!A:A,repete!A:A),"-")</f>
        <v>-</v>
      </c>
    </row>
    <row r="2697" spans="1:13">
      <c r="A2697" s="1">
        <v>46235</v>
      </c>
      <c r="B2697" t="s">
        <v>1377</v>
      </c>
      <c r="C2697" t="s">
        <v>1375</v>
      </c>
      <c r="D2697" t="s">
        <v>229</v>
      </c>
      <c r="E2697" t="s">
        <v>53</v>
      </c>
      <c r="F2697">
        <v>71</v>
      </c>
      <c r="G2697">
        <v>8</v>
      </c>
      <c r="H2697">
        <v>2.08116545265349E-3</v>
      </c>
      <c r="I2697">
        <v>0.114285714285714</v>
      </c>
      <c r="J2697" s="14" t="str">
        <f>_xlfn.XLOOKUP(B2697,CAD_PDV!A:A,CAD_PDV!B:B)</f>
        <v>FW TELEFONIA LTDA - EPP</v>
      </c>
      <c r="K2697" s="14">
        <f>IF(IFERROR(_xlfn.XLOOKUP(B2697,Planilha2!D:D,Planilha2!H:H),0)="SIM",1,0)</f>
        <v>0</v>
      </c>
      <c r="L2697" s="14" t="str">
        <f>_xlfn.XLOOKUP(B2697,CAD_PDV!A:A,CAD_PDV!C:C)</f>
        <v>SP1</v>
      </c>
      <c r="M2697" s="14" t="str">
        <f>IFERROR(_xlfn.XLOOKUP(B2697,repete!A:A,repete!A:A),"-")</f>
        <v>6J3J</v>
      </c>
    </row>
    <row r="2698" spans="1:13">
      <c r="A2698" s="1">
        <v>46235</v>
      </c>
      <c r="B2698" t="s">
        <v>880</v>
      </c>
      <c r="C2698" t="s">
        <v>875</v>
      </c>
      <c r="D2698" t="s">
        <v>239</v>
      </c>
      <c r="E2698" t="s">
        <v>59</v>
      </c>
      <c r="F2698">
        <v>66</v>
      </c>
      <c r="G2698">
        <v>8</v>
      </c>
      <c r="H2698">
        <v>2.08116545265349E-3</v>
      </c>
      <c r="I2698">
        <v>0.133333333333333</v>
      </c>
      <c r="J2698" s="14" t="str">
        <f>_xlfn.XLOOKUP(B2698,CAD_PDV!A:A,CAD_PDV!B:B)</f>
        <v>TELECELL TELEFONIA LTDA - ME</v>
      </c>
      <c r="K2698" s="14">
        <f>IF(IFERROR(_xlfn.XLOOKUP(B2698,Planilha2!D:D,Planilha2!H:H),0)="SIM",1,0)</f>
        <v>0</v>
      </c>
      <c r="L2698" s="14" t="str">
        <f>_xlfn.XLOOKUP(B2698,CAD_PDV!A:A,CAD_PDV!C:C)</f>
        <v>CO</v>
      </c>
      <c r="M2698" s="14" t="str">
        <f>IFERROR(_xlfn.XLOOKUP(B2698,repete!A:A,repete!A:A),"-")</f>
        <v>-</v>
      </c>
    </row>
    <row r="2699" spans="1:13">
      <c r="A2699" s="1">
        <v>46235</v>
      </c>
      <c r="B2699" t="s">
        <v>1988</v>
      </c>
      <c r="C2699" t="s">
        <v>1989</v>
      </c>
      <c r="D2699" t="s">
        <v>97</v>
      </c>
      <c r="E2699" t="s">
        <v>2074</v>
      </c>
      <c r="F2699">
        <v>22</v>
      </c>
      <c r="G2699">
        <v>8</v>
      </c>
      <c r="H2699">
        <v>2.08116545265349E-3</v>
      </c>
      <c r="I2699">
        <v>0.36363636363636398</v>
      </c>
      <c r="J2699" s="14" t="str">
        <f>_xlfn.XLOOKUP(B2699,CAD_PDV!A:A,CAD_PDV!B:B)</f>
        <v>BANDEIRA</v>
      </c>
      <c r="K2699" s="14">
        <f>IF(IFERROR(_xlfn.XLOOKUP(B2699,Planilha2!D:D,Planilha2!H:H),0)="SIM",1,0)</f>
        <v>0</v>
      </c>
      <c r="L2699" s="14" t="str">
        <f>_xlfn.XLOOKUP(B2699,CAD_PDV!A:A,CAD_PDV!C:C)</f>
        <v>PR/SC</v>
      </c>
      <c r="M2699" s="14" t="str">
        <f>IFERROR(_xlfn.XLOOKUP(B2699,repete!A:A,repete!A:A),"-")</f>
        <v>-</v>
      </c>
    </row>
    <row r="2700" spans="1:13">
      <c r="A2700" s="1">
        <v>46235</v>
      </c>
      <c r="B2700" t="s">
        <v>881</v>
      </c>
      <c r="C2700" t="s">
        <v>873</v>
      </c>
      <c r="D2700" t="s">
        <v>239</v>
      </c>
      <c r="E2700" t="s">
        <v>59</v>
      </c>
      <c r="F2700">
        <v>52</v>
      </c>
      <c r="G2700">
        <v>8</v>
      </c>
      <c r="H2700">
        <v>2.08116545265349E-3</v>
      </c>
      <c r="I2700">
        <v>0.16</v>
      </c>
      <c r="J2700" s="14" t="str">
        <f>_xlfn.XLOOKUP(B2700,CAD_PDV!A:A,CAD_PDV!B:B)</f>
        <v>TELECELL TELEFONIA LTDA - ME</v>
      </c>
      <c r="K2700" s="14">
        <f>IF(IFERROR(_xlfn.XLOOKUP(B2700,Planilha2!D:D,Planilha2!H:H),0)="SIM",1,0)</f>
        <v>0</v>
      </c>
      <c r="L2700" s="14" t="str">
        <f>_xlfn.XLOOKUP(B2700,CAD_PDV!A:A,CAD_PDV!C:C)</f>
        <v>CO</v>
      </c>
      <c r="M2700" s="14" t="str">
        <f>IFERROR(_xlfn.XLOOKUP(B2700,repete!A:A,repete!A:A),"-")</f>
        <v>-</v>
      </c>
    </row>
    <row r="2701" spans="1:13">
      <c r="A2701" s="1">
        <v>46235</v>
      </c>
      <c r="B2701" t="s">
        <v>1798</v>
      </c>
      <c r="C2701" t="s">
        <v>1799</v>
      </c>
      <c r="D2701" t="s">
        <v>106</v>
      </c>
      <c r="E2701" t="s">
        <v>2074</v>
      </c>
      <c r="F2701">
        <v>28</v>
      </c>
      <c r="G2701">
        <v>8</v>
      </c>
      <c r="H2701">
        <v>2.08116545265349E-3</v>
      </c>
      <c r="I2701">
        <v>0.296296296296296</v>
      </c>
      <c r="J2701" s="14" t="str">
        <f>_xlfn.XLOOKUP(B2701,CAD_PDV!A:A,CAD_PDV!B:B)</f>
        <v>CELLULAR.COM</v>
      </c>
      <c r="K2701" s="14">
        <f>IF(IFERROR(_xlfn.XLOOKUP(B2701,Planilha2!D:D,Planilha2!H:H),0)="SIM",1,0)</f>
        <v>0</v>
      </c>
      <c r="L2701" s="14" t="str">
        <f>_xlfn.XLOOKUP(B2701,CAD_PDV!A:A,CAD_PDV!C:C)</f>
        <v>PR/SC</v>
      </c>
      <c r="M2701" s="14" t="str">
        <f>IFERROR(_xlfn.XLOOKUP(B2701,repete!A:A,repete!A:A),"-")</f>
        <v>-</v>
      </c>
    </row>
    <row r="2702" spans="1:13">
      <c r="A2702" s="1">
        <v>46235</v>
      </c>
      <c r="B2702" t="s">
        <v>655</v>
      </c>
      <c r="C2702" t="s">
        <v>649</v>
      </c>
      <c r="D2702" t="s">
        <v>239</v>
      </c>
      <c r="E2702" t="s">
        <v>59</v>
      </c>
      <c r="F2702">
        <v>23</v>
      </c>
      <c r="G2702">
        <v>8</v>
      </c>
      <c r="H2702">
        <v>2.08116545265349E-3</v>
      </c>
      <c r="I2702">
        <v>0.38095238095238099</v>
      </c>
      <c r="J2702" s="14" t="str">
        <f>_xlfn.XLOOKUP(B2702,CAD_PDV!A:A,CAD_PDV!B:B)</f>
        <v>TELECELL TELEFONIA LTDA - ME</v>
      </c>
      <c r="K2702" s="14">
        <f>IF(IFERROR(_xlfn.XLOOKUP(B2702,Planilha2!D:D,Planilha2!H:H),0)="SIM",1,0)</f>
        <v>0</v>
      </c>
      <c r="L2702" s="14" t="str">
        <f>_xlfn.XLOOKUP(B2702,CAD_PDV!A:A,CAD_PDV!C:C)</f>
        <v>CO</v>
      </c>
      <c r="M2702" s="14" t="str">
        <f>IFERROR(_xlfn.XLOOKUP(B2702,repete!A:A,repete!A:A),"-")</f>
        <v>-</v>
      </c>
    </row>
    <row r="2703" spans="1:13">
      <c r="A2703" s="1">
        <v>46235</v>
      </c>
      <c r="B2703" t="s">
        <v>1222</v>
      </c>
      <c r="C2703" t="s">
        <v>1223</v>
      </c>
      <c r="D2703" t="s">
        <v>228</v>
      </c>
      <c r="E2703" t="s">
        <v>55</v>
      </c>
      <c r="F2703">
        <v>50</v>
      </c>
      <c r="G2703">
        <v>8</v>
      </c>
      <c r="H2703">
        <v>2.08116545265349E-3</v>
      </c>
      <c r="I2703">
        <v>0.173913043478261</v>
      </c>
      <c r="J2703" s="14" t="str">
        <f>_xlfn.XLOOKUP(B2703,CAD_PDV!A:A,CAD_PDV!B:B)</f>
        <v>FAJULUTI</v>
      </c>
      <c r="K2703" s="14">
        <f>IF(IFERROR(_xlfn.XLOOKUP(B2703,Planilha2!D:D,Planilha2!H:H),0)="SIM",1,0)</f>
        <v>0</v>
      </c>
      <c r="L2703" s="14" t="str">
        <f>_xlfn.XLOOKUP(B2703,CAD_PDV!A:A,CAD_PDV!C:C)</f>
        <v>RJ/ES</v>
      </c>
      <c r="M2703" s="14" t="str">
        <f>IFERROR(_xlfn.XLOOKUP(B2703,repete!A:A,repete!A:A),"-")</f>
        <v>-</v>
      </c>
    </row>
    <row r="2704" spans="1:13">
      <c r="A2704" s="1">
        <v>46235</v>
      </c>
      <c r="B2704" t="s">
        <v>1234</v>
      </c>
      <c r="C2704" t="s">
        <v>1142</v>
      </c>
      <c r="D2704" t="s">
        <v>237</v>
      </c>
      <c r="E2704" t="s">
        <v>55</v>
      </c>
      <c r="F2704">
        <v>95</v>
      </c>
      <c r="G2704">
        <v>8</v>
      </c>
      <c r="H2704">
        <v>2.08116545265349E-3</v>
      </c>
      <c r="I2704">
        <v>8.7912087912087905E-2</v>
      </c>
      <c r="J2704" s="14" t="str">
        <f>_xlfn.XLOOKUP(B2704,CAD_PDV!A:A,CAD_PDV!B:B)</f>
        <v>PONTO CERTO COMERCIO E COMUNICAÇÕES LTDA</v>
      </c>
      <c r="K2704" s="14">
        <f>IF(IFERROR(_xlfn.XLOOKUP(B2704,Planilha2!D:D,Planilha2!H:H),0)="SIM",1,0)</f>
        <v>0</v>
      </c>
      <c r="L2704" s="14" t="str">
        <f>_xlfn.XLOOKUP(B2704,CAD_PDV!A:A,CAD_PDV!C:C)</f>
        <v>RJ/ES</v>
      </c>
      <c r="M2704" s="14" t="str">
        <f>IFERROR(_xlfn.XLOOKUP(B2704,repete!A:A,repete!A:A),"-")</f>
        <v>-</v>
      </c>
    </row>
    <row r="2705" spans="1:13">
      <c r="A2705" s="1">
        <v>46235</v>
      </c>
      <c r="B2705" t="s">
        <v>1165</v>
      </c>
      <c r="C2705" t="s">
        <v>1142</v>
      </c>
      <c r="D2705" t="s">
        <v>237</v>
      </c>
      <c r="E2705" t="s">
        <v>55</v>
      </c>
      <c r="F2705">
        <v>67</v>
      </c>
      <c r="G2705">
        <v>8</v>
      </c>
      <c r="H2705">
        <v>2.08116545265349E-3</v>
      </c>
      <c r="I2705">
        <v>0.125</v>
      </c>
      <c r="J2705" s="14" t="str">
        <f>_xlfn.XLOOKUP(B2705,CAD_PDV!A:A,CAD_PDV!B:B)</f>
        <v>PONTO CERTO COMERCIO E COMUNICAÇÕES LTDA</v>
      </c>
      <c r="K2705" s="14">
        <f>IF(IFERROR(_xlfn.XLOOKUP(B2705,Planilha2!D:D,Planilha2!H:H),0)="SIM",1,0)</f>
        <v>0</v>
      </c>
      <c r="L2705" s="14" t="str">
        <f>_xlfn.XLOOKUP(B2705,CAD_PDV!A:A,CAD_PDV!C:C)</f>
        <v>RJ/ES</v>
      </c>
      <c r="M2705" s="14" t="str">
        <f>IFERROR(_xlfn.XLOOKUP(B2705,repete!A:A,repete!A:A),"-")</f>
        <v>-</v>
      </c>
    </row>
    <row r="2706" spans="1:13">
      <c r="A2706" s="1">
        <v>46235</v>
      </c>
      <c r="B2706" t="s">
        <v>778</v>
      </c>
      <c r="C2706" t="s">
        <v>775</v>
      </c>
      <c r="D2706" t="s">
        <v>221</v>
      </c>
      <c r="E2706" t="s">
        <v>59</v>
      </c>
      <c r="F2706">
        <v>33</v>
      </c>
      <c r="G2706">
        <v>8</v>
      </c>
      <c r="H2706">
        <v>2.08116545265349E-3</v>
      </c>
      <c r="I2706">
        <v>0.25</v>
      </c>
      <c r="J2706" s="14" t="str">
        <f>_xlfn.XLOOKUP(B2706,CAD_PDV!A:A,CAD_PDV!B:B)</f>
        <v>AMERICOM COMERCIO DE APARELHOS ELETRONICOS LTDA - EPP</v>
      </c>
      <c r="K2706" s="14">
        <f>IF(IFERROR(_xlfn.XLOOKUP(B2706,Planilha2!D:D,Planilha2!H:H),0)="SIM",1,0)</f>
        <v>0</v>
      </c>
      <c r="L2706" s="14" t="str">
        <f>_xlfn.XLOOKUP(B2706,CAD_PDV!A:A,CAD_PDV!C:C)</f>
        <v>CO</v>
      </c>
      <c r="M2706" s="14" t="str">
        <f>IFERROR(_xlfn.XLOOKUP(B2706,repete!A:A,repete!A:A),"-")</f>
        <v>-</v>
      </c>
    </row>
    <row r="2707" spans="1:13">
      <c r="A2707" s="1">
        <v>46235</v>
      </c>
      <c r="B2707" t="s">
        <v>906</v>
      </c>
      <c r="C2707" t="s">
        <v>902</v>
      </c>
      <c r="D2707" t="s">
        <v>215</v>
      </c>
      <c r="E2707" t="s">
        <v>59</v>
      </c>
      <c r="F2707">
        <v>81</v>
      </c>
      <c r="G2707">
        <v>8</v>
      </c>
      <c r="H2707">
        <v>2.08116545265349E-3</v>
      </c>
      <c r="I2707">
        <v>0.102564102564103</v>
      </c>
      <c r="J2707" s="14" t="str">
        <f>_xlfn.XLOOKUP(B2707,CAD_PDV!A:A,CAD_PDV!B:B)</f>
        <v>VIA SALLUS</v>
      </c>
      <c r="K2707" s="14">
        <f>IF(IFERROR(_xlfn.XLOOKUP(B2707,Planilha2!D:D,Planilha2!H:H),0)="SIM",1,0)</f>
        <v>0</v>
      </c>
      <c r="L2707" s="14" t="str">
        <f>_xlfn.XLOOKUP(B2707,CAD_PDV!A:A,CAD_PDV!C:C)</f>
        <v>CO</v>
      </c>
      <c r="M2707" s="14" t="str">
        <f>IFERROR(_xlfn.XLOOKUP(B2707,repete!A:A,repete!A:A),"-")</f>
        <v>-</v>
      </c>
    </row>
    <row r="2708" spans="1:13">
      <c r="A2708" s="1">
        <v>46235</v>
      </c>
      <c r="B2708" t="s">
        <v>1626</v>
      </c>
      <c r="C2708" t="s">
        <v>1616</v>
      </c>
      <c r="D2708" t="s">
        <v>220</v>
      </c>
      <c r="E2708" t="s">
        <v>54</v>
      </c>
      <c r="F2708">
        <v>34</v>
      </c>
      <c r="G2708">
        <v>8</v>
      </c>
      <c r="H2708">
        <v>2.08116545265349E-3</v>
      </c>
      <c r="I2708">
        <v>0.24242424242424199</v>
      </c>
      <c r="J2708" s="14" t="str">
        <f>_xlfn.XLOOKUP(B2708,CAD_PDV!A:A,CAD_PDV!B:B)</f>
        <v>ADESIENE NUNES MACHADO - ME</v>
      </c>
      <c r="K2708" s="14">
        <f>IF(IFERROR(_xlfn.XLOOKUP(B2708,Planilha2!D:D,Planilha2!H:H),0)="SIM",1,0)</f>
        <v>0</v>
      </c>
      <c r="L2708" s="14" t="str">
        <f>_xlfn.XLOOKUP(B2708,CAD_PDV!A:A,CAD_PDV!C:C)</f>
        <v>SP2</v>
      </c>
      <c r="M2708" s="14" t="str">
        <f>IFERROR(_xlfn.XLOOKUP(B2708,repete!A:A,repete!A:A),"-")</f>
        <v>-</v>
      </c>
    </row>
    <row r="2709" spans="1:13">
      <c r="A2709" s="1">
        <v>46235</v>
      </c>
      <c r="B2709" t="s">
        <v>1630</v>
      </c>
      <c r="C2709" t="s">
        <v>1632</v>
      </c>
      <c r="D2709" t="s">
        <v>232</v>
      </c>
      <c r="E2709" t="s">
        <v>54</v>
      </c>
      <c r="F2709">
        <v>25</v>
      </c>
      <c r="G2709">
        <v>8</v>
      </c>
      <c r="H2709">
        <v>2.08116545265349E-3</v>
      </c>
      <c r="I2709">
        <v>0.34782608695652201</v>
      </c>
      <c r="J2709" s="14" t="str">
        <f>_xlfn.XLOOKUP(B2709,CAD_PDV!A:A,CAD_PDV!B:B)</f>
        <v>HS TELECOM</v>
      </c>
      <c r="K2709" s="14">
        <f>IF(IFERROR(_xlfn.XLOOKUP(B2709,Planilha2!D:D,Planilha2!H:H),0)="SIM",1,0)</f>
        <v>0</v>
      </c>
      <c r="L2709" s="14" t="str">
        <f>_xlfn.XLOOKUP(B2709,CAD_PDV!A:A,CAD_PDV!C:C)</f>
        <v>SP2</v>
      </c>
      <c r="M2709" s="14" t="str">
        <f>IFERROR(_xlfn.XLOOKUP(B2709,repete!A:A,repete!A:A),"-")</f>
        <v>-</v>
      </c>
    </row>
    <row r="2710" spans="1:13">
      <c r="A2710" s="1">
        <v>46235</v>
      </c>
      <c r="B2710" t="s">
        <v>1878</v>
      </c>
      <c r="C2710" t="s">
        <v>1876</v>
      </c>
      <c r="D2710" t="s">
        <v>124</v>
      </c>
      <c r="E2710" t="s">
        <v>2074</v>
      </c>
      <c r="F2710">
        <v>36</v>
      </c>
      <c r="G2710">
        <v>8</v>
      </c>
      <c r="H2710">
        <v>2.08116545265349E-3</v>
      </c>
      <c r="I2710">
        <v>0.24242424242424199</v>
      </c>
      <c r="J2710" s="14" t="str">
        <f>_xlfn.XLOOKUP(B2710,CAD_PDV!A:A,CAD_PDV!B:B)</f>
        <v>EDUARDO JUNQUEIRA DA SILVEIRA ADMIN</v>
      </c>
      <c r="K2710" s="14">
        <f>IF(IFERROR(_xlfn.XLOOKUP(B2710,Planilha2!D:D,Planilha2!H:H),0)="SIM",1,0)</f>
        <v>0</v>
      </c>
      <c r="L2710" s="14" t="str">
        <f>_xlfn.XLOOKUP(B2710,CAD_PDV!A:A,CAD_PDV!C:C)</f>
        <v>RS</v>
      </c>
      <c r="M2710" s="14" t="str">
        <f>IFERROR(_xlfn.XLOOKUP(B2710,repete!A:A,repete!A:A),"-")</f>
        <v>-</v>
      </c>
    </row>
    <row r="2711" spans="1:13">
      <c r="A2711" s="1">
        <v>46235</v>
      </c>
      <c r="B2711" t="s">
        <v>1664</v>
      </c>
      <c r="C2711" t="s">
        <v>1659</v>
      </c>
      <c r="D2711" t="s">
        <v>232</v>
      </c>
      <c r="E2711" t="s">
        <v>54</v>
      </c>
      <c r="F2711">
        <v>35</v>
      </c>
      <c r="G2711">
        <v>8</v>
      </c>
      <c r="H2711">
        <v>2.08116545265349E-3</v>
      </c>
      <c r="I2711">
        <v>0.22857142857142901</v>
      </c>
      <c r="J2711" s="14" t="str">
        <f>_xlfn.XLOOKUP(B2711,CAD_PDV!A:A,CAD_PDV!B:B)</f>
        <v>HS TELECOM</v>
      </c>
      <c r="K2711" s="14">
        <f>IF(IFERROR(_xlfn.XLOOKUP(B2711,Planilha2!D:D,Planilha2!H:H),0)="SIM",1,0)</f>
        <v>0</v>
      </c>
      <c r="L2711" s="14" t="str">
        <f>_xlfn.XLOOKUP(B2711,CAD_PDV!A:A,CAD_PDV!C:C)</f>
        <v>SP2</v>
      </c>
      <c r="M2711" s="14" t="str">
        <f>IFERROR(_xlfn.XLOOKUP(B2711,repete!A:A,repete!A:A),"-")</f>
        <v>-</v>
      </c>
    </row>
    <row r="2712" spans="1:13">
      <c r="A2712" s="1">
        <v>46235</v>
      </c>
      <c r="B2712" t="s">
        <v>539</v>
      </c>
      <c r="C2712" t="s">
        <v>433</v>
      </c>
      <c r="D2712" t="s">
        <v>106</v>
      </c>
      <c r="E2712" t="s">
        <v>56</v>
      </c>
      <c r="F2712">
        <v>33</v>
      </c>
      <c r="G2712">
        <v>8</v>
      </c>
      <c r="H2712">
        <v>2.08116545265349E-3</v>
      </c>
      <c r="I2712">
        <v>0.25</v>
      </c>
      <c r="J2712" s="14" t="str">
        <f>_xlfn.XLOOKUP(B2712,CAD_PDV!A:A,CAD_PDV!B:B)</f>
        <v>CELLULAR.COM</v>
      </c>
      <c r="K2712" s="14">
        <f>IF(IFERROR(_xlfn.XLOOKUP(B2712,Planilha2!D:D,Planilha2!H:H),0)="SIM",1,0)</f>
        <v>0</v>
      </c>
      <c r="L2712" s="14" t="str">
        <f>_xlfn.XLOOKUP(B2712,CAD_PDV!A:A,CAD_PDV!C:C)</f>
        <v>MG</v>
      </c>
      <c r="M2712" s="14" t="str">
        <f>IFERROR(_xlfn.XLOOKUP(B2712,repete!A:A,repete!A:A),"-")</f>
        <v>-</v>
      </c>
    </row>
    <row r="2713" spans="1:13">
      <c r="A2713" s="1">
        <v>46235</v>
      </c>
      <c r="B2713" t="s">
        <v>577</v>
      </c>
      <c r="C2713" t="s">
        <v>578</v>
      </c>
      <c r="D2713" t="s">
        <v>228</v>
      </c>
      <c r="E2713" t="s">
        <v>56</v>
      </c>
      <c r="F2713">
        <v>20</v>
      </c>
      <c r="G2713">
        <v>8</v>
      </c>
      <c r="H2713">
        <v>2.08116545265349E-3</v>
      </c>
      <c r="I2713">
        <v>0.47058823529411797</v>
      </c>
      <c r="J2713" s="14" t="str">
        <f>_xlfn.XLOOKUP(B2713,CAD_PDV!A:A,CAD_PDV!B:B)</f>
        <v>FAJULUTI</v>
      </c>
      <c r="K2713" s="14">
        <f>IF(IFERROR(_xlfn.XLOOKUP(B2713,Planilha2!D:D,Planilha2!H:H),0)="SIM",1,0)</f>
        <v>0</v>
      </c>
      <c r="L2713" s="14" t="str">
        <f>_xlfn.XLOOKUP(B2713,CAD_PDV!A:A,CAD_PDV!C:C)</f>
        <v>MG</v>
      </c>
      <c r="M2713" s="14" t="str">
        <f>IFERROR(_xlfn.XLOOKUP(B2713,repete!A:A,repete!A:A),"-")</f>
        <v>-</v>
      </c>
    </row>
    <row r="2714" spans="1:13">
      <c r="A2714" s="1">
        <v>46235</v>
      </c>
      <c r="B2714" t="s">
        <v>481</v>
      </c>
      <c r="C2714" t="s">
        <v>483</v>
      </c>
      <c r="D2714" t="s">
        <v>228</v>
      </c>
      <c r="E2714" t="s">
        <v>56</v>
      </c>
      <c r="F2714">
        <v>25</v>
      </c>
      <c r="G2714">
        <v>8</v>
      </c>
      <c r="H2714">
        <v>2.08116545265349E-3</v>
      </c>
      <c r="I2714">
        <v>0.36363636363636398</v>
      </c>
      <c r="J2714" s="14" t="str">
        <f>_xlfn.XLOOKUP(B2714,CAD_PDV!A:A,CAD_PDV!B:B)</f>
        <v>FAJULUTI</v>
      </c>
      <c r="K2714" s="14">
        <f>IF(IFERROR(_xlfn.XLOOKUP(B2714,Planilha2!D:D,Planilha2!H:H),0)="SIM",1,0)</f>
        <v>0</v>
      </c>
      <c r="L2714" s="14" t="str">
        <f>_xlfn.XLOOKUP(B2714,CAD_PDV!A:A,CAD_PDV!C:C)</f>
        <v>MG</v>
      </c>
      <c r="M2714" s="14" t="str">
        <f>IFERROR(_xlfn.XLOOKUP(B2714,repete!A:A,repete!A:A),"-")</f>
        <v>-</v>
      </c>
    </row>
    <row r="2715" spans="1:13">
      <c r="A2715" s="1">
        <v>46235</v>
      </c>
      <c r="B2715" t="s">
        <v>841</v>
      </c>
      <c r="C2715" t="s">
        <v>842</v>
      </c>
      <c r="D2715" t="s">
        <v>239</v>
      </c>
      <c r="E2715" t="s">
        <v>59</v>
      </c>
      <c r="F2715">
        <v>39</v>
      </c>
      <c r="G2715">
        <v>7</v>
      </c>
      <c r="H2715">
        <v>1.8210197710718001E-3</v>
      </c>
      <c r="I2715">
        <v>0.194444444444444</v>
      </c>
      <c r="J2715" s="14" t="str">
        <f>_xlfn.XLOOKUP(B2715,CAD_PDV!A:A,CAD_PDV!B:B)</f>
        <v>TELECELL TELEFONIA LTDA - ME</v>
      </c>
      <c r="K2715" s="14">
        <f>IF(IFERROR(_xlfn.XLOOKUP(B2715,Planilha2!D:D,Planilha2!H:H),0)="SIM",1,0)</f>
        <v>0</v>
      </c>
      <c r="L2715" s="14" t="str">
        <f>_xlfn.XLOOKUP(B2715,CAD_PDV!A:A,CAD_PDV!C:C)</f>
        <v>CO</v>
      </c>
      <c r="M2715" s="14" t="str">
        <f>IFERROR(_xlfn.XLOOKUP(B2715,repete!A:A,repete!A:A),"-")</f>
        <v>1NRI</v>
      </c>
    </row>
    <row r="2716" spans="1:13">
      <c r="A2716" s="1">
        <v>46235</v>
      </c>
      <c r="B2716" t="s">
        <v>1197</v>
      </c>
      <c r="C2716" t="s">
        <v>1142</v>
      </c>
      <c r="D2716" t="s">
        <v>237</v>
      </c>
      <c r="E2716" t="s">
        <v>55</v>
      </c>
      <c r="F2716">
        <v>66</v>
      </c>
      <c r="G2716">
        <v>7</v>
      </c>
      <c r="H2716">
        <v>1.8210197710718001E-3</v>
      </c>
      <c r="I2716">
        <v>0.107692307692308</v>
      </c>
      <c r="J2716" s="14" t="str">
        <f>_xlfn.XLOOKUP(B2716,CAD_PDV!A:A,CAD_PDV!B:B)</f>
        <v>PONTO CERTO COMERCIO E COMUNICAÇÕES LTDA</v>
      </c>
      <c r="K2716" s="14">
        <f>IF(IFERROR(_xlfn.XLOOKUP(B2716,Planilha2!D:D,Planilha2!H:H),0)="SIM",1,0)</f>
        <v>0</v>
      </c>
      <c r="L2716" s="14" t="str">
        <f>_xlfn.XLOOKUP(B2716,CAD_PDV!A:A,CAD_PDV!C:C)</f>
        <v>RJ/ES</v>
      </c>
      <c r="M2716" s="14" t="str">
        <f>IFERROR(_xlfn.XLOOKUP(B2716,repete!A:A,repete!A:A),"-")</f>
        <v>-</v>
      </c>
    </row>
    <row r="2717" spans="1:13">
      <c r="A2717" s="1">
        <v>46235</v>
      </c>
      <c r="B2717" t="s">
        <v>746</v>
      </c>
      <c r="C2717" t="s">
        <v>610</v>
      </c>
      <c r="D2717" t="s">
        <v>224</v>
      </c>
      <c r="E2717" t="s">
        <v>59</v>
      </c>
      <c r="F2717">
        <v>31</v>
      </c>
      <c r="G2717">
        <v>7</v>
      </c>
      <c r="H2717">
        <v>1.8210197710718001E-3</v>
      </c>
      <c r="I2717">
        <v>0.24137931034482801</v>
      </c>
      <c r="J2717" s="14" t="str">
        <f>_xlfn.XLOOKUP(B2717,CAD_PDV!A:A,CAD_PDV!B:B)</f>
        <v>CELNET COMERCIO E SERVICOS DE TELEFONIA LTDA ME</v>
      </c>
      <c r="K2717" s="14">
        <f>IF(IFERROR(_xlfn.XLOOKUP(B2717,Planilha2!D:D,Planilha2!H:H),0)="SIM",1,0)</f>
        <v>0</v>
      </c>
      <c r="L2717" s="14" t="str">
        <f>_xlfn.XLOOKUP(B2717,CAD_PDV!A:A,CAD_PDV!C:C)</f>
        <v>CO</v>
      </c>
      <c r="M2717" s="14" t="str">
        <f>IFERROR(_xlfn.XLOOKUP(B2717,repete!A:A,repete!A:A),"-")</f>
        <v>-</v>
      </c>
    </row>
    <row r="2718" spans="1:13">
      <c r="A2718" s="1">
        <v>46235</v>
      </c>
      <c r="B2718" t="s">
        <v>469</v>
      </c>
      <c r="C2718" t="s">
        <v>430</v>
      </c>
      <c r="D2718" t="s">
        <v>106</v>
      </c>
      <c r="E2718" t="s">
        <v>56</v>
      </c>
      <c r="F2718">
        <v>49</v>
      </c>
      <c r="G2718">
        <v>7</v>
      </c>
      <c r="H2718">
        <v>1.8210197710718001E-3</v>
      </c>
      <c r="I2718">
        <v>0.155555555555556</v>
      </c>
      <c r="J2718" s="14" t="str">
        <f>_xlfn.XLOOKUP(B2718,CAD_PDV!A:A,CAD_PDV!B:B)</f>
        <v>CELLULAR.COM</v>
      </c>
      <c r="K2718" s="14">
        <f>IF(IFERROR(_xlfn.XLOOKUP(B2718,Planilha2!D:D,Planilha2!H:H),0)="SIM",1,0)</f>
        <v>0</v>
      </c>
      <c r="L2718" s="14" t="str">
        <f>_xlfn.XLOOKUP(B2718,CAD_PDV!A:A,CAD_PDV!C:C)</f>
        <v>MG</v>
      </c>
      <c r="M2718" s="14" t="str">
        <f>IFERROR(_xlfn.XLOOKUP(B2718,repete!A:A,repete!A:A),"-")</f>
        <v>-</v>
      </c>
    </row>
    <row r="2719" spans="1:13">
      <c r="A2719" s="1">
        <v>46235</v>
      </c>
      <c r="B2719" t="s">
        <v>1538</v>
      </c>
      <c r="C2719" t="s">
        <v>1489</v>
      </c>
      <c r="D2719" t="s">
        <v>232</v>
      </c>
      <c r="E2719" t="s">
        <v>54</v>
      </c>
      <c r="F2719">
        <v>53</v>
      </c>
      <c r="G2719">
        <v>7</v>
      </c>
      <c r="H2719">
        <v>1.8210197710718001E-3</v>
      </c>
      <c r="I2719">
        <v>0.14000000000000001</v>
      </c>
      <c r="J2719" s="14" t="str">
        <f>_xlfn.XLOOKUP(B2719,CAD_PDV!A:A,CAD_PDV!B:B)</f>
        <v>HS TELECOM</v>
      </c>
      <c r="K2719" s="14">
        <f>IF(IFERROR(_xlfn.XLOOKUP(B2719,Planilha2!D:D,Planilha2!H:H),0)="SIM",1,0)</f>
        <v>0</v>
      </c>
      <c r="L2719" s="14" t="str">
        <f>_xlfn.XLOOKUP(B2719,CAD_PDV!A:A,CAD_PDV!C:C)</f>
        <v>SP2</v>
      </c>
      <c r="M2719" s="14" t="str">
        <f>IFERROR(_xlfn.XLOOKUP(B2719,repete!A:A,repete!A:A),"-")</f>
        <v>-</v>
      </c>
    </row>
    <row r="2720" spans="1:13">
      <c r="A2720" s="1">
        <v>46235</v>
      </c>
      <c r="B2720" t="s">
        <v>1850</v>
      </c>
      <c r="C2720" t="s">
        <v>1847</v>
      </c>
      <c r="D2720" t="s">
        <v>106</v>
      </c>
      <c r="E2720" t="s">
        <v>2074</v>
      </c>
      <c r="F2720">
        <v>18</v>
      </c>
      <c r="G2720">
        <v>7</v>
      </c>
      <c r="H2720">
        <v>1.8210197710718001E-3</v>
      </c>
      <c r="I2720">
        <v>0.4375</v>
      </c>
      <c r="J2720" s="14" t="str">
        <f>_xlfn.XLOOKUP(B2720,CAD_PDV!A:A,CAD_PDV!B:B)</f>
        <v>CELLULAR.COM</v>
      </c>
      <c r="K2720" s="14">
        <f>IF(IFERROR(_xlfn.XLOOKUP(B2720,Planilha2!D:D,Planilha2!H:H),0)="SIM",1,0)</f>
        <v>0</v>
      </c>
      <c r="L2720" s="14" t="str">
        <f>_xlfn.XLOOKUP(B2720,CAD_PDV!A:A,CAD_PDV!C:C)</f>
        <v>PR/SC</v>
      </c>
      <c r="M2720" s="14" t="str">
        <f>IFERROR(_xlfn.XLOOKUP(B2720,repete!A:A,repete!A:A),"-")</f>
        <v>-</v>
      </c>
    </row>
    <row r="2721" spans="1:13">
      <c r="A2721" s="1">
        <v>46235</v>
      </c>
      <c r="B2721" t="s">
        <v>797</v>
      </c>
      <c r="C2721" t="s">
        <v>798</v>
      </c>
      <c r="D2721" t="s">
        <v>239</v>
      </c>
      <c r="E2721" t="s">
        <v>59</v>
      </c>
      <c r="F2721">
        <v>36</v>
      </c>
      <c r="G2721">
        <v>7</v>
      </c>
      <c r="H2721">
        <v>1.8210197710718001E-3</v>
      </c>
      <c r="I2721">
        <v>0.233333333333333</v>
      </c>
      <c r="J2721" s="14" t="str">
        <f>_xlfn.XLOOKUP(B2721,CAD_PDV!A:A,CAD_PDV!B:B)</f>
        <v>TELECELL TELEFONIA LTDA - ME</v>
      </c>
      <c r="K2721" s="14">
        <f>IF(IFERROR(_xlfn.XLOOKUP(B2721,Planilha2!D:D,Planilha2!H:H),0)="SIM",1,0)</f>
        <v>0</v>
      </c>
      <c r="L2721" s="14" t="str">
        <f>_xlfn.XLOOKUP(B2721,CAD_PDV!A:A,CAD_PDV!C:C)</f>
        <v>CO</v>
      </c>
      <c r="M2721" s="14" t="str">
        <f>IFERROR(_xlfn.XLOOKUP(B2721,repete!A:A,repete!A:A),"-")</f>
        <v>-</v>
      </c>
    </row>
    <row r="2722" spans="1:13">
      <c r="A2722" s="1">
        <v>46235</v>
      </c>
      <c r="B2722" t="s">
        <v>1629</v>
      </c>
      <c r="C2722" t="s">
        <v>1464</v>
      </c>
      <c r="D2722" t="s">
        <v>132</v>
      </c>
      <c r="E2722" t="s">
        <v>54</v>
      </c>
      <c r="F2722">
        <v>24</v>
      </c>
      <c r="G2722">
        <v>7</v>
      </c>
      <c r="H2722">
        <v>1.8210197710718001E-3</v>
      </c>
      <c r="I2722">
        <v>0.31818181818181801</v>
      </c>
      <c r="J2722" s="14" t="str">
        <f>_xlfn.XLOOKUP(B2722,CAD_PDV!A:A,CAD_PDV!B:B)</f>
        <v>FLEX CELL</v>
      </c>
      <c r="K2722" s="14">
        <f>IF(IFERROR(_xlfn.XLOOKUP(B2722,Planilha2!D:D,Planilha2!H:H),0)="SIM",1,0)</f>
        <v>0</v>
      </c>
      <c r="L2722" s="14" t="str">
        <f>_xlfn.XLOOKUP(B2722,CAD_PDV!A:A,CAD_PDV!C:C)</f>
        <v>SP2</v>
      </c>
      <c r="M2722" s="14" t="str">
        <f>IFERROR(_xlfn.XLOOKUP(B2722,repete!A:A,repete!A:A),"-")</f>
        <v>-</v>
      </c>
    </row>
    <row r="2723" spans="1:13">
      <c r="A2723" s="1">
        <v>46235</v>
      </c>
      <c r="B2723" t="s">
        <v>1652</v>
      </c>
      <c r="C2723" t="s">
        <v>1653</v>
      </c>
      <c r="D2723" t="s">
        <v>223</v>
      </c>
      <c r="E2723" t="s">
        <v>54</v>
      </c>
      <c r="F2723">
        <v>40</v>
      </c>
      <c r="G2723">
        <v>7</v>
      </c>
      <c r="H2723">
        <v>1.8210197710718001E-3</v>
      </c>
      <c r="I2723">
        <v>0.17948717948717899</v>
      </c>
      <c r="J2723" s="14" t="str">
        <f>_xlfn.XLOOKUP(B2723,CAD_PDV!A:A,CAD_PDV!B:B)</f>
        <v>BONELI BIAZI CELULARES EIRELI - ME</v>
      </c>
      <c r="K2723" s="14">
        <f>IF(IFERROR(_xlfn.XLOOKUP(B2723,Planilha2!D:D,Planilha2!H:H),0)="SIM",1,0)</f>
        <v>0</v>
      </c>
      <c r="L2723" s="14" t="str">
        <f>_xlfn.XLOOKUP(B2723,CAD_PDV!A:A,CAD_PDV!C:C)</f>
        <v>SP2</v>
      </c>
      <c r="M2723" s="14" t="str">
        <f>IFERROR(_xlfn.XLOOKUP(B2723,repete!A:A,repete!A:A),"-")</f>
        <v>-</v>
      </c>
    </row>
    <row r="2724" spans="1:13">
      <c r="A2724" s="1">
        <v>46235</v>
      </c>
      <c r="B2724" t="s">
        <v>1257</v>
      </c>
      <c r="C2724" t="s">
        <v>1255</v>
      </c>
      <c r="D2724" t="s">
        <v>228</v>
      </c>
      <c r="E2724" t="s">
        <v>55</v>
      </c>
      <c r="F2724">
        <v>20</v>
      </c>
      <c r="G2724">
        <v>7</v>
      </c>
      <c r="H2724">
        <v>1.8210197710718001E-3</v>
      </c>
      <c r="I2724">
        <v>0.41176470588235298</v>
      </c>
      <c r="J2724" s="14" t="str">
        <f>_xlfn.XLOOKUP(B2724,CAD_PDV!A:A,CAD_PDV!B:B)</f>
        <v>FAJULUTI</v>
      </c>
      <c r="K2724" s="14">
        <f>IF(IFERROR(_xlfn.XLOOKUP(B2724,Planilha2!D:D,Planilha2!H:H),0)="SIM",1,0)</f>
        <v>0</v>
      </c>
      <c r="L2724" s="14" t="str">
        <f>_xlfn.XLOOKUP(B2724,CAD_PDV!A:A,CAD_PDV!C:C)</f>
        <v>RJ/ES</v>
      </c>
      <c r="M2724" s="14" t="str">
        <f>IFERROR(_xlfn.XLOOKUP(B2724,repete!A:A,repete!A:A),"-")</f>
        <v>-</v>
      </c>
    </row>
    <row r="2725" spans="1:13">
      <c r="A2725" s="1">
        <v>46235</v>
      </c>
      <c r="B2725" t="s">
        <v>1032</v>
      </c>
      <c r="C2725" t="s">
        <v>944</v>
      </c>
      <c r="D2725" t="s">
        <v>222</v>
      </c>
      <c r="E2725" t="s">
        <v>60</v>
      </c>
      <c r="F2725">
        <v>52</v>
      </c>
      <c r="G2725">
        <v>7</v>
      </c>
      <c r="H2725">
        <v>1.8210197710718001E-3</v>
      </c>
      <c r="I2725">
        <v>0.13725490196078399</v>
      </c>
      <c r="J2725" s="14" t="str">
        <f>_xlfn.XLOOKUP(B2725,CAD_PDV!A:A,CAD_PDV!B:B)</f>
        <v>ANCLA COMERCIO</v>
      </c>
      <c r="K2725" s="14">
        <f>IF(IFERROR(_xlfn.XLOOKUP(B2725,Planilha2!D:D,Planilha2!H:H),0)="SIM",1,0)</f>
        <v>0</v>
      </c>
      <c r="L2725" s="14" t="str">
        <f>_xlfn.XLOOKUP(B2725,CAD_PDV!A:A,CAD_PDV!C:C)</f>
        <v>BA/SE</v>
      </c>
      <c r="M2725" s="14" t="str">
        <f>IFERROR(_xlfn.XLOOKUP(B2725,repete!A:A,repete!A:A),"-")</f>
        <v>-</v>
      </c>
    </row>
    <row r="2726" spans="1:13">
      <c r="A2726" s="1">
        <v>46235</v>
      </c>
      <c r="B2726" t="s">
        <v>721</v>
      </c>
      <c r="C2726" t="s">
        <v>723</v>
      </c>
      <c r="D2726" t="s">
        <v>239</v>
      </c>
      <c r="E2726" t="s">
        <v>59</v>
      </c>
      <c r="F2726">
        <v>101</v>
      </c>
      <c r="G2726">
        <v>7</v>
      </c>
      <c r="H2726">
        <v>1.8210197710718001E-3</v>
      </c>
      <c r="I2726">
        <v>7.2164948453608199E-2</v>
      </c>
      <c r="J2726" s="14" t="str">
        <f>_xlfn.XLOOKUP(B2726,CAD_PDV!A:A,CAD_PDV!B:B)</f>
        <v>TELECELL TELEFONIA LTDA - ME</v>
      </c>
      <c r="K2726" s="14">
        <f>IF(IFERROR(_xlfn.XLOOKUP(B2726,Planilha2!D:D,Planilha2!H:H),0)="SIM",1,0)</f>
        <v>0</v>
      </c>
      <c r="L2726" s="14" t="str">
        <f>_xlfn.XLOOKUP(B2726,CAD_PDV!A:A,CAD_PDV!C:C)</f>
        <v>CO</v>
      </c>
      <c r="M2726" s="14" t="str">
        <f>IFERROR(_xlfn.XLOOKUP(B2726,repete!A:A,repete!A:A),"-")</f>
        <v>-</v>
      </c>
    </row>
    <row r="2727" spans="1:13">
      <c r="A2727" s="1">
        <v>46235</v>
      </c>
      <c r="B2727" t="s">
        <v>1410</v>
      </c>
      <c r="C2727" t="s">
        <v>1413</v>
      </c>
      <c r="D2727" t="s">
        <v>220</v>
      </c>
      <c r="E2727" t="s">
        <v>54</v>
      </c>
      <c r="F2727">
        <v>21</v>
      </c>
      <c r="G2727">
        <v>6</v>
      </c>
      <c r="H2727">
        <v>1.5608740894901101E-3</v>
      </c>
      <c r="I2727">
        <v>0.3</v>
      </c>
      <c r="J2727" s="14" t="str">
        <f>_xlfn.XLOOKUP(B2727,CAD_PDV!A:A,CAD_PDV!B:B)</f>
        <v>ADESIENE NUNES MACHADO - ME</v>
      </c>
      <c r="K2727" s="14">
        <f>IF(IFERROR(_xlfn.XLOOKUP(B2727,Planilha2!D:D,Planilha2!H:H),0)="SIM",1,0)</f>
        <v>0</v>
      </c>
      <c r="L2727" s="14" t="str">
        <f>_xlfn.XLOOKUP(B2727,CAD_PDV!A:A,CAD_PDV!C:C)</f>
        <v>SP2</v>
      </c>
      <c r="M2727" s="14" t="str">
        <f>IFERROR(_xlfn.XLOOKUP(B2727,repete!A:A,repete!A:A),"-")</f>
        <v>-</v>
      </c>
    </row>
    <row r="2728" spans="1:13">
      <c r="A2728" s="1">
        <v>46235</v>
      </c>
      <c r="B2728" t="s">
        <v>941</v>
      </c>
      <c r="C2728" t="s">
        <v>944</v>
      </c>
      <c r="D2728" t="s">
        <v>232</v>
      </c>
      <c r="E2728" t="s">
        <v>60</v>
      </c>
      <c r="F2728">
        <v>37</v>
      </c>
      <c r="G2728">
        <v>6</v>
      </c>
      <c r="H2728">
        <v>1.5608740894901101E-3</v>
      </c>
      <c r="I2728">
        <v>0.17142857142857101</v>
      </c>
      <c r="J2728" s="14" t="str">
        <f>_xlfn.XLOOKUP(B2728,CAD_PDV!A:A,CAD_PDV!B:B)</f>
        <v>HS TELECOM</v>
      </c>
      <c r="K2728" s="14">
        <f>IF(IFERROR(_xlfn.XLOOKUP(B2728,Planilha2!D:D,Planilha2!H:H),0)="SIM",1,0)</f>
        <v>0</v>
      </c>
      <c r="L2728" s="14" t="str">
        <f>_xlfn.XLOOKUP(B2728,CAD_PDV!A:A,CAD_PDV!C:C)</f>
        <v>BA/SE</v>
      </c>
      <c r="M2728" s="14" t="str">
        <f>IFERROR(_xlfn.XLOOKUP(B2728,repete!A:A,repete!A:A),"-")</f>
        <v>-</v>
      </c>
    </row>
    <row r="2729" spans="1:13">
      <c r="A2729" s="1">
        <v>46235</v>
      </c>
      <c r="B2729" t="s">
        <v>710</v>
      </c>
      <c r="C2729" t="s">
        <v>711</v>
      </c>
      <c r="D2729" t="s">
        <v>239</v>
      </c>
      <c r="E2729" t="s">
        <v>59</v>
      </c>
      <c r="F2729">
        <v>16</v>
      </c>
      <c r="G2729">
        <v>6</v>
      </c>
      <c r="H2729">
        <v>1.5608740894901101E-3</v>
      </c>
      <c r="I2729">
        <v>0.4</v>
      </c>
      <c r="J2729" s="14" t="str">
        <f>_xlfn.XLOOKUP(B2729,CAD_PDV!A:A,CAD_PDV!B:B)</f>
        <v>TELECELL TELEFONIA LTDA - ME</v>
      </c>
      <c r="K2729" s="14">
        <f>IF(IFERROR(_xlfn.XLOOKUP(B2729,Planilha2!D:D,Planilha2!H:H),0)="SIM",1,0)</f>
        <v>0</v>
      </c>
      <c r="L2729" s="14" t="str">
        <f>_xlfn.XLOOKUP(B2729,CAD_PDV!A:A,CAD_PDV!C:C)</f>
        <v>CO</v>
      </c>
      <c r="M2729" s="14" t="str">
        <f>IFERROR(_xlfn.XLOOKUP(B2729,repete!A:A,repete!A:A),"-")</f>
        <v>-</v>
      </c>
    </row>
    <row r="2730" spans="1:13">
      <c r="A2730" s="1">
        <v>46235</v>
      </c>
      <c r="B2730" t="s">
        <v>1788</v>
      </c>
      <c r="C2730" t="s">
        <v>1789</v>
      </c>
      <c r="D2730" t="s">
        <v>103</v>
      </c>
      <c r="E2730" t="s">
        <v>2074</v>
      </c>
      <c r="F2730">
        <v>37</v>
      </c>
      <c r="G2730">
        <v>6</v>
      </c>
      <c r="H2730">
        <v>1.5608740894901101E-3</v>
      </c>
      <c r="I2730">
        <v>0.16666666666666699</v>
      </c>
      <c r="J2730" s="14" t="str">
        <f>_xlfn.XLOOKUP(B2730,CAD_PDV!A:A,CAD_PDV!B:B)</f>
        <v>CARLOS EDUARDO SAVIAN - EPP</v>
      </c>
      <c r="K2730" s="14">
        <f>IF(IFERROR(_xlfn.XLOOKUP(B2730,Planilha2!D:D,Planilha2!H:H),0)="SIM",1,0)</f>
        <v>0</v>
      </c>
      <c r="L2730" s="14" t="str">
        <f>_xlfn.XLOOKUP(B2730,CAD_PDV!A:A,CAD_PDV!C:C)</f>
        <v>PR/SC</v>
      </c>
      <c r="M2730" s="14" t="str">
        <f>IFERROR(_xlfn.XLOOKUP(B2730,repete!A:A,repete!A:A),"-")</f>
        <v>-</v>
      </c>
    </row>
    <row r="2731" spans="1:13">
      <c r="A2731" s="1">
        <v>46235</v>
      </c>
      <c r="B2731" t="s">
        <v>975</v>
      </c>
      <c r="C2731" t="s">
        <v>976</v>
      </c>
      <c r="D2731" t="s">
        <v>232</v>
      </c>
      <c r="E2731" t="s">
        <v>60</v>
      </c>
      <c r="F2731">
        <v>43</v>
      </c>
      <c r="G2731">
        <v>6</v>
      </c>
      <c r="H2731">
        <v>1.5608740894901101E-3</v>
      </c>
      <c r="I2731">
        <v>0.13953488372093001</v>
      </c>
      <c r="J2731" s="14" t="str">
        <f>_xlfn.XLOOKUP(B2731,CAD_PDV!A:A,CAD_PDV!B:B)</f>
        <v>HS TELECOM</v>
      </c>
      <c r="K2731" s="14">
        <f>IF(IFERROR(_xlfn.XLOOKUP(B2731,Planilha2!D:D,Planilha2!H:H),0)="SIM",1,0)</f>
        <v>0</v>
      </c>
      <c r="L2731" s="14" t="str">
        <f>_xlfn.XLOOKUP(B2731,CAD_PDV!A:A,CAD_PDV!C:C)</f>
        <v>BA/SE</v>
      </c>
      <c r="M2731" s="14" t="str">
        <f>IFERROR(_xlfn.XLOOKUP(B2731,repete!A:A,repete!A:A),"-")</f>
        <v>-</v>
      </c>
    </row>
    <row r="2732" spans="1:13">
      <c r="A2732" s="1">
        <v>46235</v>
      </c>
      <c r="B2732" t="s">
        <v>1479</v>
      </c>
      <c r="C2732" t="s">
        <v>1480</v>
      </c>
      <c r="D2732" t="s">
        <v>232</v>
      </c>
      <c r="E2732" t="s">
        <v>54</v>
      </c>
      <c r="F2732">
        <v>27</v>
      </c>
      <c r="G2732">
        <v>6</v>
      </c>
      <c r="H2732">
        <v>1.5608740894901101E-3</v>
      </c>
      <c r="I2732">
        <v>0.24</v>
      </c>
      <c r="J2732" s="14" t="str">
        <f>_xlfn.XLOOKUP(B2732,CAD_PDV!A:A,CAD_PDV!B:B)</f>
        <v>HS TELECOM</v>
      </c>
      <c r="K2732" s="14">
        <f>IF(IFERROR(_xlfn.XLOOKUP(B2732,Planilha2!D:D,Planilha2!H:H),0)="SIM",1,0)</f>
        <v>0</v>
      </c>
      <c r="L2732" s="14" t="str">
        <f>_xlfn.XLOOKUP(B2732,CAD_PDV!A:A,CAD_PDV!C:C)</f>
        <v>SP2</v>
      </c>
      <c r="M2732" s="14" t="str">
        <f>IFERROR(_xlfn.XLOOKUP(B2732,repete!A:A,repete!A:A),"-")</f>
        <v>-</v>
      </c>
    </row>
    <row r="2733" spans="1:13">
      <c r="A2733" s="1">
        <v>46235</v>
      </c>
      <c r="B2733" t="s">
        <v>753</v>
      </c>
      <c r="C2733" t="s">
        <v>754</v>
      </c>
      <c r="D2733" t="s">
        <v>239</v>
      </c>
      <c r="E2733" t="s">
        <v>59</v>
      </c>
      <c r="F2733">
        <v>26</v>
      </c>
      <c r="G2733">
        <v>6</v>
      </c>
      <c r="H2733">
        <v>1.5608740894901101E-3</v>
      </c>
      <c r="I2733">
        <v>0.25</v>
      </c>
      <c r="J2733" s="14" t="str">
        <f>_xlfn.XLOOKUP(B2733,CAD_PDV!A:A,CAD_PDV!B:B)</f>
        <v>TELECELL TELEFONIA LTDA - ME</v>
      </c>
      <c r="K2733" s="14">
        <f>IF(IFERROR(_xlfn.XLOOKUP(B2733,Planilha2!D:D,Planilha2!H:H),0)="SIM",1,0)</f>
        <v>0</v>
      </c>
      <c r="L2733" s="14" t="str">
        <f>_xlfn.XLOOKUP(B2733,CAD_PDV!A:A,CAD_PDV!C:C)</f>
        <v>CO</v>
      </c>
      <c r="M2733" s="14" t="str">
        <f>IFERROR(_xlfn.XLOOKUP(B2733,repete!A:A,repete!A:A),"-")</f>
        <v>-</v>
      </c>
    </row>
    <row r="2734" spans="1:13">
      <c r="A2734" s="1">
        <v>46235</v>
      </c>
      <c r="B2734" t="s">
        <v>1905</v>
      </c>
      <c r="C2734" t="s">
        <v>1904</v>
      </c>
      <c r="D2734" t="s">
        <v>106</v>
      </c>
      <c r="E2734" t="s">
        <v>2074</v>
      </c>
      <c r="F2734">
        <v>35</v>
      </c>
      <c r="G2734">
        <v>6</v>
      </c>
      <c r="H2734">
        <v>1.5608740894901101E-3</v>
      </c>
      <c r="I2734">
        <v>0.17142857142857101</v>
      </c>
      <c r="J2734" s="14" t="str">
        <f>_xlfn.XLOOKUP(B2734,CAD_PDV!A:A,CAD_PDV!B:B)</f>
        <v>CELLULAR.COM</v>
      </c>
      <c r="K2734" s="14">
        <f>IF(IFERROR(_xlfn.XLOOKUP(B2734,Planilha2!D:D,Planilha2!H:H),0)="SIM",1,0)</f>
        <v>0</v>
      </c>
      <c r="L2734" s="14" t="str">
        <f>_xlfn.XLOOKUP(B2734,CAD_PDV!A:A,CAD_PDV!C:C)</f>
        <v>PR/SC</v>
      </c>
      <c r="M2734" s="14" t="str">
        <f>IFERROR(_xlfn.XLOOKUP(B2734,repete!A:A,repete!A:A),"-")</f>
        <v>-</v>
      </c>
    </row>
    <row r="2735" spans="1:13">
      <c r="A2735" s="1">
        <v>46235</v>
      </c>
      <c r="B2735" t="s">
        <v>848</v>
      </c>
      <c r="C2735" t="s">
        <v>732</v>
      </c>
      <c r="D2735" t="s">
        <v>221</v>
      </c>
      <c r="E2735" t="s">
        <v>59</v>
      </c>
      <c r="F2735">
        <v>26</v>
      </c>
      <c r="G2735">
        <v>6</v>
      </c>
      <c r="H2735">
        <v>1.5608740894901101E-3</v>
      </c>
      <c r="I2735">
        <v>0.26086956521739102</v>
      </c>
      <c r="J2735" s="14" t="str">
        <f>_xlfn.XLOOKUP(B2735,CAD_PDV!A:A,CAD_PDV!B:B)</f>
        <v>AMERICOM COMERCIO DE APARELHOS ELETRONICOS LTDA - EPP</v>
      </c>
      <c r="K2735" s="14">
        <f>IF(IFERROR(_xlfn.XLOOKUP(B2735,Planilha2!D:D,Planilha2!H:H),0)="SIM",1,0)</f>
        <v>0</v>
      </c>
      <c r="L2735" s="14" t="str">
        <f>_xlfn.XLOOKUP(B2735,CAD_PDV!A:A,CAD_PDV!C:C)</f>
        <v>CO</v>
      </c>
      <c r="M2735" s="14" t="str">
        <f>IFERROR(_xlfn.XLOOKUP(B2735,repete!A:A,repete!A:A),"-")</f>
        <v>-</v>
      </c>
    </row>
    <row r="2736" spans="1:13">
      <c r="A2736" s="1">
        <v>46235</v>
      </c>
      <c r="B2736" t="s">
        <v>884</v>
      </c>
      <c r="C2736" t="s">
        <v>885</v>
      </c>
      <c r="D2736" t="s">
        <v>239</v>
      </c>
      <c r="E2736" t="s">
        <v>59</v>
      </c>
      <c r="F2736">
        <v>54</v>
      </c>
      <c r="G2736">
        <v>6</v>
      </c>
      <c r="H2736">
        <v>1.5608740894901101E-3</v>
      </c>
      <c r="I2736">
        <v>0.115384615384615</v>
      </c>
      <c r="J2736" s="14" t="str">
        <f>_xlfn.XLOOKUP(B2736,CAD_PDV!A:A,CAD_PDV!B:B)</f>
        <v>TELECELL TELEFONIA LTDA - ME</v>
      </c>
      <c r="K2736" s="14">
        <f>IF(IFERROR(_xlfn.XLOOKUP(B2736,Planilha2!D:D,Planilha2!H:H),0)="SIM",1,0)</f>
        <v>0</v>
      </c>
      <c r="L2736" s="14" t="str">
        <f>_xlfn.XLOOKUP(B2736,CAD_PDV!A:A,CAD_PDV!C:C)</f>
        <v>CO</v>
      </c>
      <c r="M2736" s="14" t="str">
        <f>IFERROR(_xlfn.XLOOKUP(B2736,repete!A:A,repete!A:A),"-")</f>
        <v>-</v>
      </c>
    </row>
    <row r="2737" spans="1:13">
      <c r="A2737" s="1">
        <v>46235</v>
      </c>
      <c r="B2737" t="s">
        <v>787</v>
      </c>
      <c r="C2737" t="s">
        <v>649</v>
      </c>
      <c r="D2737" t="s">
        <v>240</v>
      </c>
      <c r="E2737" t="s">
        <v>59</v>
      </c>
      <c r="F2737">
        <v>25</v>
      </c>
      <c r="G2737">
        <v>6</v>
      </c>
      <c r="H2737">
        <v>1.5608740894901101E-3</v>
      </c>
      <c r="I2737">
        <v>0.26086956521739102</v>
      </c>
      <c r="J2737" s="14" t="str">
        <f>_xlfn.XLOOKUP(B2737,CAD_PDV!A:A,CAD_PDV!B:B)</f>
        <v>TELEMAIS TELEFONIA LTDA - ME</v>
      </c>
      <c r="K2737" s="14">
        <f>IF(IFERROR(_xlfn.XLOOKUP(B2737,Planilha2!D:D,Planilha2!H:H),0)="SIM",1,0)</f>
        <v>0</v>
      </c>
      <c r="L2737" s="14" t="str">
        <f>_xlfn.XLOOKUP(B2737,CAD_PDV!A:A,CAD_PDV!C:C)</f>
        <v>CO</v>
      </c>
      <c r="M2737" s="14" t="str">
        <f>IFERROR(_xlfn.XLOOKUP(B2737,repete!A:A,repete!A:A),"-")</f>
        <v>-</v>
      </c>
    </row>
    <row r="2738" spans="1:13">
      <c r="A2738" s="1">
        <v>46235</v>
      </c>
      <c r="B2738" t="s">
        <v>656</v>
      </c>
      <c r="C2738" t="s">
        <v>649</v>
      </c>
      <c r="D2738" t="s">
        <v>239</v>
      </c>
      <c r="E2738" t="s">
        <v>59</v>
      </c>
      <c r="F2738">
        <v>37</v>
      </c>
      <c r="G2738">
        <v>6</v>
      </c>
      <c r="H2738">
        <v>1.5608740894901101E-3</v>
      </c>
      <c r="I2738">
        <v>0.16666666666666699</v>
      </c>
      <c r="J2738" s="14" t="str">
        <f>_xlfn.XLOOKUP(B2738,CAD_PDV!A:A,CAD_PDV!B:B)</f>
        <v>TELECELL TELEFONIA LTDA - ME</v>
      </c>
      <c r="K2738" s="14">
        <f>IF(IFERROR(_xlfn.XLOOKUP(B2738,Planilha2!D:D,Planilha2!H:H),0)="SIM",1,0)</f>
        <v>0</v>
      </c>
      <c r="L2738" s="14" t="str">
        <f>_xlfn.XLOOKUP(B2738,CAD_PDV!A:A,CAD_PDV!C:C)</f>
        <v>CO</v>
      </c>
      <c r="M2738" s="14" t="str">
        <f>IFERROR(_xlfn.XLOOKUP(B2738,repete!A:A,repete!A:A),"-")</f>
        <v>-</v>
      </c>
    </row>
    <row r="2739" spans="1:13">
      <c r="A2739" s="1">
        <v>46235</v>
      </c>
      <c r="B2739" t="s">
        <v>868</v>
      </c>
      <c r="C2739" t="s">
        <v>869</v>
      </c>
      <c r="D2739" t="s">
        <v>239</v>
      </c>
      <c r="E2739" t="s">
        <v>59</v>
      </c>
      <c r="F2739">
        <v>38</v>
      </c>
      <c r="G2739">
        <v>6</v>
      </c>
      <c r="H2739">
        <v>1.5608740894901101E-3</v>
      </c>
      <c r="I2739">
        <v>0.1875</v>
      </c>
      <c r="J2739" s="14" t="str">
        <f>_xlfn.XLOOKUP(B2739,CAD_PDV!A:A,CAD_PDV!B:B)</f>
        <v>TELECELL TELEFONIA LTDA - ME</v>
      </c>
      <c r="K2739" s="14">
        <f>IF(IFERROR(_xlfn.XLOOKUP(B2739,Planilha2!D:D,Planilha2!H:H),0)="SIM",1,0)</f>
        <v>0</v>
      </c>
      <c r="L2739" s="14" t="str">
        <f>_xlfn.XLOOKUP(B2739,CAD_PDV!A:A,CAD_PDV!C:C)</f>
        <v>CO</v>
      </c>
      <c r="M2739" s="14" t="str">
        <f>IFERROR(_xlfn.XLOOKUP(B2739,repete!A:A,repete!A:A),"-")</f>
        <v>-</v>
      </c>
    </row>
    <row r="2740" spans="1:13">
      <c r="A2740" s="1">
        <v>46235</v>
      </c>
      <c r="B2740" t="s">
        <v>1162</v>
      </c>
      <c r="C2740" t="s">
        <v>1142</v>
      </c>
      <c r="D2740" t="s">
        <v>237</v>
      </c>
      <c r="E2740" t="s">
        <v>55</v>
      </c>
      <c r="F2740">
        <v>12</v>
      </c>
      <c r="G2740">
        <v>6</v>
      </c>
      <c r="H2740">
        <v>1.5608740894901101E-3</v>
      </c>
      <c r="I2740">
        <v>0.54545454545454497</v>
      </c>
      <c r="J2740" s="14" t="str">
        <f>_xlfn.XLOOKUP(B2740,CAD_PDV!A:A,CAD_PDV!B:B)</f>
        <v>PONTO CERTO COMERCIO E COMUNICAÇÕES LTDA</v>
      </c>
      <c r="K2740" s="14">
        <f>IF(IFERROR(_xlfn.XLOOKUP(B2740,Planilha2!D:D,Planilha2!H:H),0)="SIM",1,0)</f>
        <v>0</v>
      </c>
      <c r="L2740" s="14" t="str">
        <f>_xlfn.XLOOKUP(B2740,CAD_PDV!A:A,CAD_PDV!C:C)</f>
        <v>RJ/ES</v>
      </c>
      <c r="M2740" s="14" t="str">
        <f>IFERROR(_xlfn.XLOOKUP(B2740,repete!A:A,repete!A:A),"-")</f>
        <v>-</v>
      </c>
    </row>
    <row r="2741" spans="1:13">
      <c r="A2741" s="1">
        <v>46235</v>
      </c>
      <c r="B2741" t="s">
        <v>2014</v>
      </c>
      <c r="C2741" t="s">
        <v>1744</v>
      </c>
      <c r="D2741" t="s">
        <v>106</v>
      </c>
      <c r="E2741" t="s">
        <v>2074</v>
      </c>
      <c r="F2741">
        <v>58</v>
      </c>
      <c r="G2741">
        <v>6</v>
      </c>
      <c r="H2741">
        <v>1.5608740894901101E-3</v>
      </c>
      <c r="I2741">
        <v>0.105263157894737</v>
      </c>
      <c r="J2741" s="14" t="str">
        <f>_xlfn.XLOOKUP(B2741,CAD_PDV!A:A,CAD_PDV!B:B)</f>
        <v>CELLULAR.COM</v>
      </c>
      <c r="K2741" s="14">
        <f>IF(IFERROR(_xlfn.XLOOKUP(B2741,Planilha2!D:D,Planilha2!H:H),0)="SIM",1,0)</f>
        <v>0</v>
      </c>
      <c r="L2741" s="14" t="str">
        <f>_xlfn.XLOOKUP(B2741,CAD_PDV!A:A,CAD_PDV!C:C)</f>
        <v>PR/SC</v>
      </c>
      <c r="M2741" s="14" t="str">
        <f>IFERROR(_xlfn.XLOOKUP(B2741,repete!A:A,repete!A:A),"-")</f>
        <v>-</v>
      </c>
    </row>
    <row r="2742" spans="1:13">
      <c r="A2742" s="1">
        <v>46235</v>
      </c>
      <c r="B2742" t="s">
        <v>1612</v>
      </c>
      <c r="C2742" t="s">
        <v>1547</v>
      </c>
      <c r="D2742" t="s">
        <v>132</v>
      </c>
      <c r="E2742" t="s">
        <v>54</v>
      </c>
      <c r="F2742">
        <v>56</v>
      </c>
      <c r="G2742">
        <v>6</v>
      </c>
      <c r="H2742">
        <v>1.5608740894901101E-3</v>
      </c>
      <c r="I2742">
        <v>0.109090909090909</v>
      </c>
      <c r="J2742" s="14" t="str">
        <f>_xlfn.XLOOKUP(B2742,CAD_PDV!A:A,CAD_PDV!B:B)</f>
        <v>FLEX CELL</v>
      </c>
      <c r="K2742" s="14">
        <f>IF(IFERROR(_xlfn.XLOOKUP(B2742,Planilha2!D:D,Planilha2!H:H),0)="SIM",1,0)</f>
        <v>0</v>
      </c>
      <c r="L2742" s="14" t="str">
        <f>_xlfn.XLOOKUP(B2742,CAD_PDV!A:A,CAD_PDV!C:C)</f>
        <v>SP2</v>
      </c>
      <c r="M2742" s="14" t="str">
        <f>IFERROR(_xlfn.XLOOKUP(B2742,repete!A:A,repete!A:A),"-")</f>
        <v>-</v>
      </c>
    </row>
    <row r="2743" spans="1:13">
      <c r="A2743" s="1">
        <v>46235</v>
      </c>
      <c r="B2743" t="s">
        <v>1863</v>
      </c>
      <c r="C2743" t="s">
        <v>1864</v>
      </c>
      <c r="D2743" t="s">
        <v>97</v>
      </c>
      <c r="E2743" t="s">
        <v>2074</v>
      </c>
      <c r="F2743">
        <v>20</v>
      </c>
      <c r="G2743">
        <v>6</v>
      </c>
      <c r="H2743">
        <v>1.5608740894901101E-3</v>
      </c>
      <c r="I2743">
        <v>0.3</v>
      </c>
      <c r="J2743" s="14" t="str">
        <f>_xlfn.XLOOKUP(B2743,CAD_PDV!A:A,CAD_PDV!B:B)</f>
        <v>BANDEIRA</v>
      </c>
      <c r="K2743" s="14">
        <f>IF(IFERROR(_xlfn.XLOOKUP(B2743,Planilha2!D:D,Planilha2!H:H),0)="SIM",1,0)</f>
        <v>0</v>
      </c>
      <c r="L2743" s="14" t="str">
        <f>_xlfn.XLOOKUP(B2743,CAD_PDV!A:A,CAD_PDV!C:C)</f>
        <v>PR/SC</v>
      </c>
      <c r="M2743" s="14" t="str">
        <f>IFERROR(_xlfn.XLOOKUP(B2743,repete!A:A,repete!A:A),"-")</f>
        <v>-</v>
      </c>
    </row>
    <row r="2744" spans="1:13">
      <c r="A2744" s="1">
        <v>46235</v>
      </c>
      <c r="B2744" t="s">
        <v>1851</v>
      </c>
      <c r="C2744" t="s">
        <v>1852</v>
      </c>
      <c r="D2744" t="s">
        <v>106</v>
      </c>
      <c r="E2744" t="s">
        <v>2074</v>
      </c>
      <c r="F2744">
        <v>83</v>
      </c>
      <c r="G2744">
        <v>6</v>
      </c>
      <c r="H2744">
        <v>1.5608740894901101E-3</v>
      </c>
      <c r="I2744">
        <v>7.4999999999999997E-2</v>
      </c>
      <c r="J2744" s="14" t="str">
        <f>_xlfn.XLOOKUP(B2744,CAD_PDV!A:A,CAD_PDV!B:B)</f>
        <v>CELLULAR.COM</v>
      </c>
      <c r="K2744" s="14">
        <f>IF(IFERROR(_xlfn.XLOOKUP(B2744,Planilha2!D:D,Planilha2!H:H),0)="SIM",1,0)</f>
        <v>0</v>
      </c>
      <c r="L2744" s="14" t="str">
        <f>_xlfn.XLOOKUP(B2744,CAD_PDV!A:A,CAD_PDV!C:C)</f>
        <v>PR/SC</v>
      </c>
      <c r="M2744" s="14" t="str">
        <f>IFERROR(_xlfn.XLOOKUP(B2744,repete!A:A,repete!A:A),"-")</f>
        <v>-</v>
      </c>
    </row>
    <row r="2745" spans="1:13">
      <c r="A2745" s="1">
        <v>46235</v>
      </c>
      <c r="B2745" t="s">
        <v>438</v>
      </c>
      <c r="C2745" t="s">
        <v>441</v>
      </c>
      <c r="D2745" t="s">
        <v>239</v>
      </c>
      <c r="E2745" t="s">
        <v>56</v>
      </c>
      <c r="F2745">
        <v>21</v>
      </c>
      <c r="G2745">
        <v>6</v>
      </c>
      <c r="H2745">
        <v>1.5608740894901101E-3</v>
      </c>
      <c r="I2745">
        <v>0.31578947368421101</v>
      </c>
      <c r="J2745" s="14" t="str">
        <f>_xlfn.XLOOKUP(B2745,CAD_PDV!A:A,CAD_PDV!B:B)</f>
        <v>TELECELL TELEFONIA LTDA - ME</v>
      </c>
      <c r="K2745" s="14">
        <f>IF(IFERROR(_xlfn.XLOOKUP(B2745,Planilha2!D:D,Planilha2!H:H),0)="SIM",1,0)</f>
        <v>0</v>
      </c>
      <c r="L2745" s="14" t="str">
        <f>_xlfn.XLOOKUP(B2745,CAD_PDV!A:A,CAD_PDV!C:C)</f>
        <v>MG</v>
      </c>
      <c r="M2745" s="14" t="str">
        <f>IFERROR(_xlfn.XLOOKUP(B2745,repete!A:A,repete!A:A),"-")</f>
        <v>-</v>
      </c>
    </row>
    <row r="2746" spans="1:13">
      <c r="A2746" s="1">
        <v>46235</v>
      </c>
      <c r="B2746" t="s">
        <v>562</v>
      </c>
      <c r="C2746" t="s">
        <v>507</v>
      </c>
      <c r="D2746" t="s">
        <v>106</v>
      </c>
      <c r="E2746" t="s">
        <v>56</v>
      </c>
      <c r="F2746">
        <v>37</v>
      </c>
      <c r="G2746">
        <v>6</v>
      </c>
      <c r="H2746">
        <v>1.5608740894901101E-3</v>
      </c>
      <c r="I2746">
        <v>0.17142857142857101</v>
      </c>
      <c r="J2746" s="14" t="str">
        <f>_xlfn.XLOOKUP(B2746,CAD_PDV!A:A,CAD_PDV!B:B)</f>
        <v>CELLULAR.COM</v>
      </c>
      <c r="K2746" s="14">
        <f>IF(IFERROR(_xlfn.XLOOKUP(B2746,Planilha2!D:D,Planilha2!H:H),0)="SIM",1,0)</f>
        <v>0</v>
      </c>
      <c r="L2746" s="14" t="str">
        <f>_xlfn.XLOOKUP(B2746,CAD_PDV!A:A,CAD_PDV!C:C)</f>
        <v>MG</v>
      </c>
      <c r="M2746" s="14" t="str">
        <f>IFERROR(_xlfn.XLOOKUP(B2746,repete!A:A,repete!A:A),"-")</f>
        <v>MHRS</v>
      </c>
    </row>
    <row r="2747" spans="1:13">
      <c r="A2747" s="1">
        <v>46235</v>
      </c>
      <c r="B2747" t="s">
        <v>1251</v>
      </c>
      <c r="C2747" t="s">
        <v>1159</v>
      </c>
      <c r="D2747" t="s">
        <v>228</v>
      </c>
      <c r="E2747" t="s">
        <v>55</v>
      </c>
      <c r="F2747">
        <v>58</v>
      </c>
      <c r="G2747">
        <v>6</v>
      </c>
      <c r="H2747">
        <v>1.5608740894901101E-3</v>
      </c>
      <c r="I2747">
        <v>0.107142857142857</v>
      </c>
      <c r="J2747" s="14" t="str">
        <f>_xlfn.XLOOKUP(B2747,CAD_PDV!A:A,CAD_PDV!B:B)</f>
        <v>FAJULUTI</v>
      </c>
      <c r="K2747" s="14">
        <f>IF(IFERROR(_xlfn.XLOOKUP(B2747,Planilha2!D:D,Planilha2!H:H),0)="SIM",1,0)</f>
        <v>0</v>
      </c>
      <c r="L2747" s="14" t="str">
        <f>_xlfn.XLOOKUP(B2747,CAD_PDV!A:A,CAD_PDV!C:C)</f>
        <v>RJ/ES</v>
      </c>
      <c r="M2747" s="14" t="str">
        <f>IFERROR(_xlfn.XLOOKUP(B2747,repete!A:A,repete!A:A),"-")</f>
        <v>-</v>
      </c>
    </row>
    <row r="2748" spans="1:13">
      <c r="A2748" s="1">
        <v>46235</v>
      </c>
      <c r="B2748" t="s">
        <v>565</v>
      </c>
      <c r="C2748" t="s">
        <v>478</v>
      </c>
      <c r="D2748" t="s">
        <v>228</v>
      </c>
      <c r="E2748" t="s">
        <v>56</v>
      </c>
      <c r="F2748">
        <v>17</v>
      </c>
      <c r="G2748">
        <v>6</v>
      </c>
      <c r="H2748">
        <v>1.5608740894901101E-3</v>
      </c>
      <c r="I2748">
        <v>0.4</v>
      </c>
      <c r="J2748" s="14" t="str">
        <f>_xlfn.XLOOKUP(B2748,CAD_PDV!A:A,CAD_PDV!B:B)</f>
        <v>FAJULUTI</v>
      </c>
      <c r="K2748" s="14">
        <f>IF(IFERROR(_xlfn.XLOOKUP(B2748,Planilha2!D:D,Planilha2!H:H),0)="SIM",1,0)</f>
        <v>0</v>
      </c>
      <c r="L2748" s="14" t="str">
        <f>_xlfn.XLOOKUP(B2748,CAD_PDV!A:A,CAD_PDV!C:C)</f>
        <v>MG</v>
      </c>
      <c r="M2748" s="14" t="str">
        <f>IFERROR(_xlfn.XLOOKUP(B2748,repete!A:A,repete!A:A),"-")</f>
        <v>-</v>
      </c>
    </row>
    <row r="2749" spans="1:13">
      <c r="A2749" s="1">
        <v>46235</v>
      </c>
      <c r="B2749" t="s">
        <v>800</v>
      </c>
      <c r="C2749" t="s">
        <v>651</v>
      </c>
      <c r="D2749" t="s">
        <v>239</v>
      </c>
      <c r="E2749" t="s">
        <v>59</v>
      </c>
      <c r="F2749">
        <v>41</v>
      </c>
      <c r="G2749">
        <v>6</v>
      </c>
      <c r="H2749">
        <v>1.5608740894901101E-3</v>
      </c>
      <c r="I2749">
        <v>0.15</v>
      </c>
      <c r="J2749" s="14" t="str">
        <f>_xlfn.XLOOKUP(B2749,CAD_PDV!A:A,CAD_PDV!B:B)</f>
        <v>TELECELL TELEFONIA LTDA - ME</v>
      </c>
      <c r="K2749" s="14">
        <f>IF(IFERROR(_xlfn.XLOOKUP(B2749,Planilha2!D:D,Planilha2!H:H),0)="SIM",1,0)</f>
        <v>0</v>
      </c>
      <c r="L2749" s="14" t="str">
        <f>_xlfn.XLOOKUP(B2749,CAD_PDV!A:A,CAD_PDV!C:C)</f>
        <v>CO</v>
      </c>
      <c r="M2749" s="14" t="str">
        <f>IFERROR(_xlfn.XLOOKUP(B2749,repete!A:A,repete!A:A),"-")</f>
        <v>-</v>
      </c>
    </row>
    <row r="2750" spans="1:13">
      <c r="A2750" s="1">
        <v>46235</v>
      </c>
      <c r="B2750" t="s">
        <v>1654</v>
      </c>
      <c r="C2750" t="s">
        <v>1655</v>
      </c>
      <c r="D2750" t="s">
        <v>241</v>
      </c>
      <c r="E2750" t="s">
        <v>54</v>
      </c>
      <c r="F2750">
        <v>21</v>
      </c>
      <c r="G2750">
        <v>6</v>
      </c>
      <c r="H2750">
        <v>1.5608740894901101E-3</v>
      </c>
      <c r="I2750">
        <v>0.28571428571428598</v>
      </c>
      <c r="J2750" s="14" t="str">
        <f>_xlfn.XLOOKUP(B2750,CAD_PDV!A:A,CAD_PDV!B:B)</f>
        <v>VIRACLARO</v>
      </c>
      <c r="K2750" s="14">
        <f>IF(IFERROR(_xlfn.XLOOKUP(B2750,Planilha2!D:D,Planilha2!H:H),0)="SIM",1,0)</f>
        <v>0</v>
      </c>
      <c r="L2750" s="14" t="str">
        <f>_xlfn.XLOOKUP(B2750,CAD_PDV!A:A,CAD_PDV!C:C)</f>
        <v>SP2</v>
      </c>
      <c r="M2750" s="14" t="str">
        <f>IFERROR(_xlfn.XLOOKUP(B2750,repete!A:A,repete!A:A),"-")</f>
        <v>-</v>
      </c>
    </row>
    <row r="2751" spans="1:13">
      <c r="A2751" s="1">
        <v>46235</v>
      </c>
      <c r="B2751" t="s">
        <v>1707</v>
      </c>
      <c r="C2751" t="s">
        <v>1521</v>
      </c>
      <c r="D2751" t="s">
        <v>132</v>
      </c>
      <c r="E2751" t="s">
        <v>54</v>
      </c>
      <c r="F2751">
        <v>14</v>
      </c>
      <c r="G2751">
        <v>6</v>
      </c>
      <c r="H2751">
        <v>1.5608740894901101E-3</v>
      </c>
      <c r="I2751">
        <v>0.5</v>
      </c>
      <c r="J2751" s="14" t="str">
        <f>_xlfn.XLOOKUP(B2751,CAD_PDV!A:A,CAD_PDV!B:B)</f>
        <v>FLEX CELL</v>
      </c>
      <c r="K2751" s="14">
        <f>IF(IFERROR(_xlfn.XLOOKUP(B2751,Planilha2!D:D,Planilha2!H:H),0)="SIM",1,0)</f>
        <v>0</v>
      </c>
      <c r="L2751" s="14" t="str">
        <f>_xlfn.XLOOKUP(B2751,CAD_PDV!A:A,CAD_PDV!C:C)</f>
        <v>SP2</v>
      </c>
      <c r="M2751" s="14" t="str">
        <f>IFERROR(_xlfn.XLOOKUP(B2751,repete!A:A,repete!A:A),"-")</f>
        <v>-</v>
      </c>
    </row>
    <row r="2752" spans="1:13">
      <c r="A2752" s="1">
        <v>46235</v>
      </c>
      <c r="B2752" t="s">
        <v>1264</v>
      </c>
      <c r="C2752" t="s">
        <v>1142</v>
      </c>
      <c r="D2752" t="s">
        <v>233</v>
      </c>
      <c r="E2752" t="s">
        <v>55</v>
      </c>
      <c r="F2752">
        <v>59</v>
      </c>
      <c r="G2752">
        <v>6</v>
      </c>
      <c r="H2752">
        <v>1.5608740894901101E-3</v>
      </c>
      <c r="I2752">
        <v>0.11111111111111099</v>
      </c>
      <c r="J2752" s="14" t="str">
        <f>_xlfn.XLOOKUP(B2752,CAD_PDV!A:A,CAD_PDV!B:B)</f>
        <v>LEINAD COMERCIO E SERVICO EIRELI</v>
      </c>
      <c r="K2752" s="14">
        <f>IF(IFERROR(_xlfn.XLOOKUP(B2752,Planilha2!D:D,Planilha2!H:H),0)="SIM",1,0)</f>
        <v>0</v>
      </c>
      <c r="L2752" s="14" t="str">
        <f>_xlfn.XLOOKUP(B2752,CAD_PDV!A:A,CAD_PDV!C:C)</f>
        <v>RJ/ES</v>
      </c>
      <c r="M2752" s="14" t="str">
        <f>IFERROR(_xlfn.XLOOKUP(B2752,repete!A:A,repete!A:A),"-")</f>
        <v>-</v>
      </c>
    </row>
    <row r="2753" spans="1:13">
      <c r="A2753" s="1">
        <v>46235</v>
      </c>
      <c r="B2753" t="s">
        <v>1749</v>
      </c>
      <c r="C2753" t="s">
        <v>1748</v>
      </c>
      <c r="D2753" t="s">
        <v>190</v>
      </c>
      <c r="E2753" t="s">
        <v>2074</v>
      </c>
      <c r="F2753">
        <v>33</v>
      </c>
      <c r="G2753">
        <v>6</v>
      </c>
      <c r="H2753">
        <v>1.5608740894901101E-3</v>
      </c>
      <c r="I2753">
        <v>0.1875</v>
      </c>
      <c r="J2753" s="14" t="str">
        <f>_xlfn.XLOOKUP(B2753,CAD_PDV!A:A,CAD_PDV!B:B)</f>
        <v>RDJ TELECOMUNICACOES LTDA</v>
      </c>
      <c r="K2753" s="14">
        <f>IF(IFERROR(_xlfn.XLOOKUP(B2753,Planilha2!D:D,Planilha2!H:H),0)="SIM",1,0)</f>
        <v>0</v>
      </c>
      <c r="L2753" s="14" t="str">
        <f>_xlfn.XLOOKUP(B2753,CAD_PDV!A:A,CAD_PDV!C:C)</f>
        <v>PR/SC</v>
      </c>
      <c r="M2753" s="14" t="str">
        <f>IFERROR(_xlfn.XLOOKUP(B2753,repete!A:A,repete!A:A),"-")</f>
        <v>-</v>
      </c>
    </row>
    <row r="2754" spans="1:13">
      <c r="A2754" s="1">
        <v>46235</v>
      </c>
      <c r="B2754" t="s">
        <v>501</v>
      </c>
      <c r="C2754" t="s">
        <v>503</v>
      </c>
      <c r="D2754" t="s">
        <v>239</v>
      </c>
      <c r="E2754" t="s">
        <v>56</v>
      </c>
      <c r="F2754">
        <v>7</v>
      </c>
      <c r="G2754">
        <v>6</v>
      </c>
      <c r="H2754">
        <v>1.5608740894901101E-3</v>
      </c>
      <c r="I2754">
        <v>0.85714285714285698</v>
      </c>
      <c r="J2754" s="14" t="str">
        <f>_xlfn.XLOOKUP(B2754,CAD_PDV!A:A,CAD_PDV!B:B)</f>
        <v>TELECELL TELEFONIA LTDA - ME</v>
      </c>
      <c r="K2754" s="14">
        <f>IF(IFERROR(_xlfn.XLOOKUP(B2754,Planilha2!D:D,Planilha2!H:H),0)="SIM",1,0)</f>
        <v>0</v>
      </c>
      <c r="L2754" s="14" t="str">
        <f>_xlfn.XLOOKUP(B2754,CAD_PDV!A:A,CAD_PDV!C:C)</f>
        <v>MG</v>
      </c>
      <c r="M2754" s="14" t="str">
        <f>IFERROR(_xlfn.XLOOKUP(B2754,repete!A:A,repete!A:A),"-")</f>
        <v>-</v>
      </c>
    </row>
    <row r="2755" spans="1:13">
      <c r="A2755" s="1">
        <v>46235</v>
      </c>
      <c r="B2755" t="s">
        <v>1804</v>
      </c>
      <c r="C2755" t="s">
        <v>1805</v>
      </c>
      <c r="D2755" t="s">
        <v>106</v>
      </c>
      <c r="E2755" t="s">
        <v>2074</v>
      </c>
      <c r="F2755">
        <v>29</v>
      </c>
      <c r="G2755">
        <v>6</v>
      </c>
      <c r="H2755">
        <v>1.5608740894901101E-3</v>
      </c>
      <c r="I2755">
        <v>0.22222222222222199</v>
      </c>
      <c r="J2755" s="14" t="str">
        <f>_xlfn.XLOOKUP(B2755,CAD_PDV!A:A,CAD_PDV!B:B)</f>
        <v>CELLULAR.COM</v>
      </c>
      <c r="K2755" s="14">
        <f>IF(IFERROR(_xlfn.XLOOKUP(B2755,Planilha2!D:D,Planilha2!H:H),0)="SIM",1,0)</f>
        <v>0</v>
      </c>
      <c r="L2755" s="14" t="str">
        <f>_xlfn.XLOOKUP(B2755,CAD_PDV!A:A,CAD_PDV!C:C)</f>
        <v>PR/SC</v>
      </c>
      <c r="M2755" s="14" t="str">
        <f>IFERROR(_xlfn.XLOOKUP(B2755,repete!A:A,repete!A:A),"-")</f>
        <v>-</v>
      </c>
    </row>
    <row r="2756" spans="1:13">
      <c r="A2756" s="1">
        <v>46235</v>
      </c>
      <c r="B2756" t="s">
        <v>472</v>
      </c>
      <c r="C2756" t="s">
        <v>475</v>
      </c>
      <c r="D2756" t="s">
        <v>228</v>
      </c>
      <c r="E2756" t="s">
        <v>56</v>
      </c>
      <c r="F2756">
        <v>29</v>
      </c>
      <c r="G2756">
        <v>6</v>
      </c>
      <c r="H2756">
        <v>1.5608740894901101E-3</v>
      </c>
      <c r="I2756">
        <v>0.214285714285714</v>
      </c>
      <c r="J2756" s="14" t="str">
        <f>_xlfn.XLOOKUP(B2756,CAD_PDV!A:A,CAD_PDV!B:B)</f>
        <v>FAJULUTI</v>
      </c>
      <c r="K2756" s="14">
        <f>IF(IFERROR(_xlfn.XLOOKUP(B2756,Planilha2!D:D,Planilha2!H:H),0)="SIM",1,0)</f>
        <v>0</v>
      </c>
      <c r="L2756" s="14" t="str">
        <f>_xlfn.XLOOKUP(B2756,CAD_PDV!A:A,CAD_PDV!C:C)</f>
        <v>MG</v>
      </c>
      <c r="M2756" s="14" t="str">
        <f>IFERROR(_xlfn.XLOOKUP(B2756,repete!A:A,repete!A:A),"-")</f>
        <v>-</v>
      </c>
    </row>
    <row r="2757" spans="1:13">
      <c r="A2757" s="1">
        <v>46235</v>
      </c>
      <c r="B2757" t="s">
        <v>2029</v>
      </c>
      <c r="C2757" t="s">
        <v>2026</v>
      </c>
      <c r="D2757" t="s">
        <v>193</v>
      </c>
      <c r="E2757" t="s">
        <v>2074</v>
      </c>
      <c r="F2757">
        <v>26</v>
      </c>
      <c r="G2757">
        <v>6</v>
      </c>
      <c r="H2757">
        <v>1.5608740894901101E-3</v>
      </c>
      <c r="I2757">
        <v>0.24</v>
      </c>
      <c r="J2757" s="14" t="str">
        <f>_xlfn.XLOOKUP(B2757,CAD_PDV!A:A,CAD_PDV!B:B)</f>
        <v>S D COMERCIO DE CELULARES LTDA - ME</v>
      </c>
      <c r="K2757" s="14">
        <f>IF(IFERROR(_xlfn.XLOOKUP(B2757,Planilha2!D:D,Planilha2!H:H),0)="SIM",1,0)</f>
        <v>0</v>
      </c>
      <c r="L2757" s="14" t="str">
        <f>_xlfn.XLOOKUP(B2757,CAD_PDV!A:A,CAD_PDV!C:C)</f>
        <v>RS</v>
      </c>
      <c r="M2757" s="14" t="str">
        <f>IFERROR(_xlfn.XLOOKUP(B2757,repete!A:A,repete!A:A),"-")</f>
        <v>-</v>
      </c>
    </row>
    <row r="2758" spans="1:13">
      <c r="A2758" s="1">
        <v>46235</v>
      </c>
      <c r="B2758" t="s">
        <v>1739</v>
      </c>
      <c r="C2758" t="s">
        <v>1740</v>
      </c>
      <c r="D2758" t="s">
        <v>106</v>
      </c>
      <c r="E2758" t="s">
        <v>54</v>
      </c>
      <c r="F2758">
        <v>38</v>
      </c>
      <c r="G2758">
        <v>6</v>
      </c>
      <c r="H2758">
        <v>1.5608740894901101E-3</v>
      </c>
      <c r="I2758">
        <v>0.162162162162162</v>
      </c>
      <c r="J2758" s="14" t="str">
        <f>_xlfn.XLOOKUP(B2758,CAD_PDV!A:A,CAD_PDV!B:B)</f>
        <v>CELLULAR.COM</v>
      </c>
      <c r="K2758" s="14">
        <f>IF(IFERROR(_xlfn.XLOOKUP(B2758,Planilha2!D:D,Planilha2!H:H),0)="SIM",1,0)</f>
        <v>0</v>
      </c>
      <c r="L2758" s="14" t="str">
        <f>_xlfn.XLOOKUP(B2758,CAD_PDV!A:A,CAD_PDV!C:C)</f>
        <v>SP2</v>
      </c>
      <c r="M2758" s="14" t="str">
        <f>IFERROR(_xlfn.XLOOKUP(B2758,repete!A:A,repete!A:A),"-")</f>
        <v>-</v>
      </c>
    </row>
    <row r="2759" spans="1:13">
      <c r="A2759" s="1">
        <v>46235</v>
      </c>
      <c r="B2759" t="s">
        <v>1326</v>
      </c>
      <c r="C2759" t="s">
        <v>1313</v>
      </c>
      <c r="D2759" t="s">
        <v>225</v>
      </c>
      <c r="E2759" t="s">
        <v>53</v>
      </c>
      <c r="F2759">
        <v>66</v>
      </c>
      <c r="G2759">
        <v>5</v>
      </c>
      <c r="H2759">
        <v>1.30072840790843E-3</v>
      </c>
      <c r="I2759">
        <v>7.8125E-2</v>
      </c>
      <c r="J2759" s="14" t="str">
        <f>_xlfn.XLOOKUP(B2759,CAD_PDV!A:A,CAD_PDV!B:B)</f>
        <v>CLARICELL SP1</v>
      </c>
      <c r="K2759" s="14">
        <f>IF(IFERROR(_xlfn.XLOOKUP(B2759,Planilha2!D:D,Planilha2!H:H),0)="SIM",1,0)</f>
        <v>0</v>
      </c>
      <c r="L2759" s="14" t="str">
        <f>_xlfn.XLOOKUP(B2759,CAD_PDV!A:A,CAD_PDV!C:C)</f>
        <v>SP1</v>
      </c>
      <c r="M2759" s="14" t="str">
        <f>IFERROR(_xlfn.XLOOKUP(B2759,repete!A:A,repete!A:A),"-")</f>
        <v>-</v>
      </c>
    </row>
    <row r="2760" spans="1:13">
      <c r="A2760" s="1">
        <v>46235</v>
      </c>
      <c r="B2760" t="s">
        <v>1873</v>
      </c>
      <c r="C2760" t="s">
        <v>1874</v>
      </c>
      <c r="D2760" t="s">
        <v>124</v>
      </c>
      <c r="E2760" t="s">
        <v>2074</v>
      </c>
      <c r="F2760">
        <v>39</v>
      </c>
      <c r="G2760">
        <v>5</v>
      </c>
      <c r="H2760">
        <v>1.30072840790843E-3</v>
      </c>
      <c r="I2760">
        <v>0.13157894736842099</v>
      </c>
      <c r="J2760" s="14" t="str">
        <f>_xlfn.XLOOKUP(B2760,CAD_PDV!A:A,CAD_PDV!B:B)</f>
        <v>EDUARDO JUNQUEIRA DA SILVEIRA ADMIN</v>
      </c>
      <c r="K2760" s="14">
        <f>IF(IFERROR(_xlfn.XLOOKUP(B2760,Planilha2!D:D,Planilha2!H:H),0)="SIM",1,0)</f>
        <v>1</v>
      </c>
      <c r="L2760" s="14" t="str">
        <f>_xlfn.XLOOKUP(B2760,CAD_PDV!A:A,CAD_PDV!C:C)</f>
        <v>RS</v>
      </c>
      <c r="M2760" s="14" t="str">
        <f>IFERROR(_xlfn.XLOOKUP(B2760,repete!A:A,repete!A:A),"-")</f>
        <v>-</v>
      </c>
    </row>
    <row r="2761" spans="1:13">
      <c r="A2761" s="1">
        <v>46235</v>
      </c>
      <c r="B2761" t="s">
        <v>1395</v>
      </c>
      <c r="C2761" t="s">
        <v>1313</v>
      </c>
      <c r="D2761" t="s">
        <v>106</v>
      </c>
      <c r="E2761" t="s">
        <v>53</v>
      </c>
      <c r="F2761">
        <v>69</v>
      </c>
      <c r="G2761">
        <v>5</v>
      </c>
      <c r="H2761">
        <v>1.30072840790843E-3</v>
      </c>
      <c r="I2761">
        <v>7.3529411764705899E-2</v>
      </c>
      <c r="J2761" s="14" t="str">
        <f>_xlfn.XLOOKUP(B2761,CAD_PDV!A:A,CAD_PDV!B:B)</f>
        <v>CELLULAR.COM</v>
      </c>
      <c r="K2761" s="14">
        <f>IF(IFERROR(_xlfn.XLOOKUP(B2761,Planilha2!D:D,Planilha2!H:H),0)="SIM",1,0)</f>
        <v>0</v>
      </c>
      <c r="L2761" s="14" t="str">
        <f>_xlfn.XLOOKUP(B2761,CAD_PDV!A:A,CAD_PDV!C:C)</f>
        <v>SP1</v>
      </c>
      <c r="M2761" s="14" t="str">
        <f>IFERROR(_xlfn.XLOOKUP(B2761,repete!A:A,repete!A:A),"-")</f>
        <v>-</v>
      </c>
    </row>
    <row r="2762" spans="1:13">
      <c r="A2762" s="1">
        <v>46235</v>
      </c>
      <c r="B2762" t="s">
        <v>495</v>
      </c>
      <c r="C2762" t="s">
        <v>496</v>
      </c>
      <c r="D2762" t="s">
        <v>239</v>
      </c>
      <c r="E2762" t="s">
        <v>56</v>
      </c>
      <c r="F2762">
        <v>24</v>
      </c>
      <c r="G2762">
        <v>5</v>
      </c>
      <c r="H2762">
        <v>1.30072840790843E-3</v>
      </c>
      <c r="I2762">
        <v>0.22727272727272699</v>
      </c>
      <c r="J2762" s="14" t="str">
        <f>_xlfn.XLOOKUP(B2762,CAD_PDV!A:A,CAD_PDV!B:B)</f>
        <v>TELECELL TELEFONIA LTDA - ME</v>
      </c>
      <c r="K2762" s="14">
        <f>IF(IFERROR(_xlfn.XLOOKUP(B2762,Planilha2!D:D,Planilha2!H:H),0)="SIM",1,0)</f>
        <v>0</v>
      </c>
      <c r="L2762" s="14" t="str">
        <f>_xlfn.XLOOKUP(B2762,CAD_PDV!A:A,CAD_PDV!C:C)</f>
        <v>MG</v>
      </c>
      <c r="M2762" s="14" t="str">
        <f>IFERROR(_xlfn.XLOOKUP(B2762,repete!A:A,repete!A:A),"-")</f>
        <v>-</v>
      </c>
    </row>
    <row r="2763" spans="1:13">
      <c r="A2763" s="1">
        <v>46235</v>
      </c>
      <c r="B2763" t="s">
        <v>1478</v>
      </c>
      <c r="C2763" t="s">
        <v>1464</v>
      </c>
      <c r="D2763" t="s">
        <v>106</v>
      </c>
      <c r="E2763" t="s">
        <v>54</v>
      </c>
      <c r="F2763">
        <v>17</v>
      </c>
      <c r="G2763">
        <v>5</v>
      </c>
      <c r="H2763">
        <v>1.30072840790843E-3</v>
      </c>
      <c r="I2763">
        <v>0.35714285714285698</v>
      </c>
      <c r="J2763" s="14" t="str">
        <f>_xlfn.XLOOKUP(B2763,CAD_PDV!A:A,CAD_PDV!B:B)</f>
        <v>CELLULAR.COM</v>
      </c>
      <c r="K2763" s="14">
        <f>IF(IFERROR(_xlfn.XLOOKUP(B2763,Planilha2!D:D,Planilha2!H:H),0)="SIM",1,0)</f>
        <v>0</v>
      </c>
      <c r="L2763" s="14" t="str">
        <f>_xlfn.XLOOKUP(B2763,CAD_PDV!A:A,CAD_PDV!C:C)</f>
        <v>SP2</v>
      </c>
      <c r="M2763" s="14" t="str">
        <f>IFERROR(_xlfn.XLOOKUP(B2763,repete!A:A,repete!A:A),"-")</f>
        <v>-</v>
      </c>
    </row>
    <row r="2764" spans="1:13">
      <c r="A2764" s="1">
        <v>46235</v>
      </c>
      <c r="B2764" t="s">
        <v>1875</v>
      </c>
      <c r="C2764" t="s">
        <v>1876</v>
      </c>
      <c r="D2764" t="s">
        <v>124</v>
      </c>
      <c r="E2764" t="s">
        <v>2074</v>
      </c>
      <c r="F2764">
        <v>37</v>
      </c>
      <c r="G2764">
        <v>5</v>
      </c>
      <c r="H2764">
        <v>1.30072840790843E-3</v>
      </c>
      <c r="I2764">
        <v>0.14285714285714299</v>
      </c>
      <c r="J2764" s="14" t="str">
        <f>_xlfn.XLOOKUP(B2764,CAD_PDV!A:A,CAD_PDV!B:B)</f>
        <v>EDUARDO JUNQUEIRA DA SILVEIRA ADMIN</v>
      </c>
      <c r="K2764" s="14">
        <f>IF(IFERROR(_xlfn.XLOOKUP(B2764,Planilha2!D:D,Planilha2!H:H),0)="SIM",1,0)</f>
        <v>0</v>
      </c>
      <c r="L2764" s="14" t="str">
        <f>_xlfn.XLOOKUP(B2764,CAD_PDV!A:A,CAD_PDV!C:C)</f>
        <v>RS</v>
      </c>
      <c r="M2764" s="14" t="str">
        <f>IFERROR(_xlfn.XLOOKUP(B2764,repete!A:A,repete!A:A),"-")</f>
        <v>-</v>
      </c>
    </row>
    <row r="2765" spans="1:13">
      <c r="A2765" s="1">
        <v>46235</v>
      </c>
      <c r="B2765" t="s">
        <v>1500</v>
      </c>
      <c r="C2765" t="s">
        <v>1454</v>
      </c>
      <c r="D2765" t="s">
        <v>132</v>
      </c>
      <c r="E2765" t="s">
        <v>54</v>
      </c>
      <c r="F2765">
        <v>20</v>
      </c>
      <c r="G2765">
        <v>5</v>
      </c>
      <c r="H2765">
        <v>1.30072840790843E-3</v>
      </c>
      <c r="I2765">
        <v>0.27777777777777801</v>
      </c>
      <c r="J2765" s="14" t="str">
        <f>_xlfn.XLOOKUP(B2765,CAD_PDV!A:A,CAD_PDV!B:B)</f>
        <v>FLEX CELL</v>
      </c>
      <c r="K2765" s="14">
        <f>IF(IFERROR(_xlfn.XLOOKUP(B2765,Planilha2!D:D,Planilha2!H:H),0)="SIM",1,0)</f>
        <v>0</v>
      </c>
      <c r="L2765" s="14" t="str">
        <f>_xlfn.XLOOKUP(B2765,CAD_PDV!A:A,CAD_PDV!C:C)</f>
        <v>SP2</v>
      </c>
      <c r="M2765" s="14" t="str">
        <f>IFERROR(_xlfn.XLOOKUP(B2765,repete!A:A,repete!A:A),"-")</f>
        <v>-</v>
      </c>
    </row>
    <row r="2766" spans="1:13">
      <c r="A2766" s="1">
        <v>46235</v>
      </c>
      <c r="B2766" t="s">
        <v>1506</v>
      </c>
      <c r="C2766" t="s">
        <v>1507</v>
      </c>
      <c r="D2766" t="s">
        <v>132</v>
      </c>
      <c r="E2766" t="s">
        <v>54</v>
      </c>
      <c r="F2766">
        <v>25</v>
      </c>
      <c r="G2766">
        <v>5</v>
      </c>
      <c r="H2766">
        <v>1.30072840790843E-3</v>
      </c>
      <c r="I2766">
        <v>0.22727272727272699</v>
      </c>
      <c r="J2766" s="14" t="str">
        <f>_xlfn.XLOOKUP(B2766,CAD_PDV!A:A,CAD_PDV!B:B)</f>
        <v>FLEX CELL</v>
      </c>
      <c r="K2766" s="14">
        <f>IF(IFERROR(_xlfn.XLOOKUP(B2766,Planilha2!D:D,Planilha2!H:H),0)="SIM",1,0)</f>
        <v>0</v>
      </c>
      <c r="L2766" s="14" t="str">
        <f>_xlfn.XLOOKUP(B2766,CAD_PDV!A:A,CAD_PDV!C:C)</f>
        <v>SP2</v>
      </c>
      <c r="M2766" s="14" t="str">
        <f>IFERROR(_xlfn.XLOOKUP(B2766,repete!A:A,repete!A:A),"-")</f>
        <v>-</v>
      </c>
    </row>
    <row r="2767" spans="1:13">
      <c r="A2767" s="1">
        <v>46235</v>
      </c>
      <c r="B2767" t="s">
        <v>1520</v>
      </c>
      <c r="C2767" t="s">
        <v>1521</v>
      </c>
      <c r="D2767" t="s">
        <v>106</v>
      </c>
      <c r="E2767" t="s">
        <v>54</v>
      </c>
      <c r="F2767">
        <v>25</v>
      </c>
      <c r="G2767">
        <v>5</v>
      </c>
      <c r="H2767">
        <v>1.30072840790843E-3</v>
      </c>
      <c r="I2767">
        <v>0.20833333333333301</v>
      </c>
      <c r="J2767" s="14" t="str">
        <f>_xlfn.XLOOKUP(B2767,CAD_PDV!A:A,CAD_PDV!B:B)</f>
        <v>CELLULAR.COM</v>
      </c>
      <c r="K2767" s="14">
        <f>IF(IFERROR(_xlfn.XLOOKUP(B2767,Planilha2!D:D,Planilha2!H:H),0)="SIM",1,0)</f>
        <v>0</v>
      </c>
      <c r="L2767" s="14" t="str">
        <f>_xlfn.XLOOKUP(B2767,CAD_PDV!A:A,CAD_PDV!C:C)</f>
        <v>SP2</v>
      </c>
      <c r="M2767" s="14" t="str">
        <f>IFERROR(_xlfn.XLOOKUP(B2767,repete!A:A,repete!A:A),"-")</f>
        <v>-</v>
      </c>
    </row>
    <row r="2768" spans="1:13">
      <c r="A2768" s="1">
        <v>46235</v>
      </c>
      <c r="B2768" t="s">
        <v>1531</v>
      </c>
      <c r="C2768" t="s">
        <v>1441</v>
      </c>
      <c r="D2768" t="s">
        <v>132</v>
      </c>
      <c r="E2768" t="s">
        <v>54</v>
      </c>
      <c r="F2768">
        <v>51</v>
      </c>
      <c r="G2768">
        <v>5</v>
      </c>
      <c r="H2768">
        <v>1.30072840790843E-3</v>
      </c>
      <c r="I2768">
        <v>0.104166666666667</v>
      </c>
      <c r="J2768" s="14" t="str">
        <f>_xlfn.XLOOKUP(B2768,CAD_PDV!A:A,CAD_PDV!B:B)</f>
        <v>FLEX CELL</v>
      </c>
      <c r="K2768" s="14">
        <f>IF(IFERROR(_xlfn.XLOOKUP(B2768,Planilha2!D:D,Planilha2!H:H),0)="SIM",1,0)</f>
        <v>0</v>
      </c>
      <c r="L2768" s="14" t="str">
        <f>_xlfn.XLOOKUP(B2768,CAD_PDV!A:A,CAD_PDV!C:C)</f>
        <v>SP2</v>
      </c>
      <c r="M2768" s="14" t="str">
        <f>IFERROR(_xlfn.XLOOKUP(B2768,repete!A:A,repete!A:A),"-")</f>
        <v>-</v>
      </c>
    </row>
    <row r="2769" spans="1:13">
      <c r="A2769" s="1">
        <v>46235</v>
      </c>
      <c r="B2769" t="s">
        <v>846</v>
      </c>
      <c r="C2769" t="s">
        <v>732</v>
      </c>
      <c r="D2769" t="s">
        <v>221</v>
      </c>
      <c r="E2769" t="s">
        <v>59</v>
      </c>
      <c r="F2769">
        <v>66</v>
      </c>
      <c r="G2769">
        <v>5</v>
      </c>
      <c r="H2769">
        <v>1.30072840790843E-3</v>
      </c>
      <c r="I2769">
        <v>7.8125E-2</v>
      </c>
      <c r="J2769" s="14" t="str">
        <f>_xlfn.XLOOKUP(B2769,CAD_PDV!A:A,CAD_PDV!B:B)</f>
        <v>AMERICOM COMERCIO DE APARELHOS ELETRONICOS LTDA - EPP</v>
      </c>
      <c r="K2769" s="14">
        <f>IF(IFERROR(_xlfn.XLOOKUP(B2769,Planilha2!D:D,Planilha2!H:H),0)="SIM",1,0)</f>
        <v>0</v>
      </c>
      <c r="L2769" s="14" t="str">
        <f>_xlfn.XLOOKUP(B2769,CAD_PDV!A:A,CAD_PDV!C:C)</f>
        <v>CO</v>
      </c>
      <c r="M2769" s="14" t="str">
        <f>IFERROR(_xlfn.XLOOKUP(B2769,repete!A:A,repete!A:A),"-")</f>
        <v>-</v>
      </c>
    </row>
    <row r="2770" spans="1:13">
      <c r="A2770" s="1">
        <v>46235</v>
      </c>
      <c r="B2770" t="s">
        <v>768</v>
      </c>
      <c r="C2770" t="s">
        <v>610</v>
      </c>
      <c r="D2770" t="s">
        <v>224</v>
      </c>
      <c r="E2770" t="s">
        <v>59</v>
      </c>
      <c r="F2770">
        <v>32</v>
      </c>
      <c r="G2770">
        <v>5</v>
      </c>
      <c r="H2770">
        <v>1.30072840790843E-3</v>
      </c>
      <c r="I2770">
        <v>0.16129032258064499</v>
      </c>
      <c r="J2770" s="14" t="str">
        <f>_xlfn.XLOOKUP(B2770,CAD_PDV!A:A,CAD_PDV!B:B)</f>
        <v>CELNET COMERCIO E SERVICOS DE TELEFONIA LTDA ME</v>
      </c>
      <c r="K2770" s="14">
        <f>IF(IFERROR(_xlfn.XLOOKUP(B2770,Planilha2!D:D,Planilha2!H:H),0)="SIM",1,0)</f>
        <v>0</v>
      </c>
      <c r="L2770" s="14" t="str">
        <f>_xlfn.XLOOKUP(B2770,CAD_PDV!A:A,CAD_PDV!C:C)</f>
        <v>CO</v>
      </c>
      <c r="M2770" s="14" t="str">
        <f>IFERROR(_xlfn.XLOOKUP(B2770,repete!A:A,repete!A:A),"-")</f>
        <v>-</v>
      </c>
    </row>
    <row r="2771" spans="1:13">
      <c r="A2771" s="1">
        <v>46235</v>
      </c>
      <c r="B2771" t="s">
        <v>529</v>
      </c>
      <c r="C2771" t="s">
        <v>530</v>
      </c>
      <c r="D2771" t="s">
        <v>228</v>
      </c>
      <c r="E2771" t="s">
        <v>56</v>
      </c>
      <c r="F2771">
        <v>13</v>
      </c>
      <c r="G2771">
        <v>5</v>
      </c>
      <c r="H2771">
        <v>1.30072840790843E-3</v>
      </c>
      <c r="I2771">
        <v>0.38461538461538503</v>
      </c>
      <c r="J2771" s="14" t="str">
        <f>_xlfn.XLOOKUP(B2771,CAD_PDV!A:A,CAD_PDV!B:B)</f>
        <v>FAJULUTI</v>
      </c>
      <c r="K2771" s="14">
        <f>IF(IFERROR(_xlfn.XLOOKUP(B2771,Planilha2!D:D,Planilha2!H:H),0)="SIM",1,0)</f>
        <v>0</v>
      </c>
      <c r="L2771" s="14" t="str">
        <f>_xlfn.XLOOKUP(B2771,CAD_PDV!A:A,CAD_PDV!C:C)</f>
        <v>MG</v>
      </c>
      <c r="M2771" s="14" t="str">
        <f>IFERROR(_xlfn.XLOOKUP(B2771,repete!A:A,repete!A:A),"-")</f>
        <v>-</v>
      </c>
    </row>
    <row r="2772" spans="1:13">
      <c r="A2772" s="1">
        <v>46235</v>
      </c>
      <c r="B2772" t="s">
        <v>1551</v>
      </c>
      <c r="C2772" t="s">
        <v>1552</v>
      </c>
      <c r="D2772" t="s">
        <v>232</v>
      </c>
      <c r="E2772" t="s">
        <v>54</v>
      </c>
      <c r="F2772">
        <v>15</v>
      </c>
      <c r="G2772">
        <v>5</v>
      </c>
      <c r="H2772">
        <v>1.30072840790843E-3</v>
      </c>
      <c r="I2772">
        <v>0.38461538461538503</v>
      </c>
      <c r="J2772" s="14" t="str">
        <f>_xlfn.XLOOKUP(B2772,CAD_PDV!A:A,CAD_PDV!B:B)</f>
        <v>HS TELECOM</v>
      </c>
      <c r="K2772" s="14">
        <f>IF(IFERROR(_xlfn.XLOOKUP(B2772,Planilha2!D:D,Planilha2!H:H),0)="SIM",1,0)</f>
        <v>0</v>
      </c>
      <c r="L2772" s="14" t="str">
        <f>_xlfn.XLOOKUP(B2772,CAD_PDV!A:A,CAD_PDV!C:C)</f>
        <v>SP2</v>
      </c>
      <c r="M2772" s="14" t="str">
        <f>IFERROR(_xlfn.XLOOKUP(B2772,repete!A:A,repete!A:A),"-")</f>
        <v>-</v>
      </c>
    </row>
    <row r="2773" spans="1:13">
      <c r="A2773" s="1">
        <v>46235</v>
      </c>
      <c r="B2773" t="s">
        <v>635</v>
      </c>
      <c r="C2773" t="s">
        <v>637</v>
      </c>
      <c r="D2773" t="s">
        <v>221</v>
      </c>
      <c r="E2773" t="s">
        <v>59</v>
      </c>
      <c r="F2773">
        <v>55</v>
      </c>
      <c r="G2773">
        <v>5</v>
      </c>
      <c r="H2773">
        <v>1.30072840790843E-3</v>
      </c>
      <c r="I2773">
        <v>9.4339622641509399E-2</v>
      </c>
      <c r="J2773" s="14" t="str">
        <f>_xlfn.XLOOKUP(B2773,CAD_PDV!A:A,CAD_PDV!B:B)</f>
        <v>AMERICOM COMERCIO DE APARELHOS ELETRONICOS LTDA - EPP</v>
      </c>
      <c r="K2773" s="14">
        <f>IF(IFERROR(_xlfn.XLOOKUP(B2773,Planilha2!D:D,Planilha2!H:H),0)="SIM",1,0)</f>
        <v>0</v>
      </c>
      <c r="L2773" s="14" t="str">
        <f>_xlfn.XLOOKUP(B2773,CAD_PDV!A:A,CAD_PDV!C:C)</f>
        <v>CO</v>
      </c>
      <c r="M2773" s="14" t="str">
        <f>IFERROR(_xlfn.XLOOKUP(B2773,repete!A:A,repete!A:A),"-")</f>
        <v>-</v>
      </c>
    </row>
    <row r="2774" spans="1:13">
      <c r="A2774" s="1">
        <v>46235</v>
      </c>
      <c r="B2774" t="s">
        <v>1361</v>
      </c>
      <c r="C2774" t="s">
        <v>1350</v>
      </c>
      <c r="D2774" t="s">
        <v>132</v>
      </c>
      <c r="E2774" t="s">
        <v>53</v>
      </c>
      <c r="F2774">
        <v>13</v>
      </c>
      <c r="G2774">
        <v>5</v>
      </c>
      <c r="H2774">
        <v>1.30072840790843E-3</v>
      </c>
      <c r="I2774">
        <v>0.38461538461538503</v>
      </c>
      <c r="J2774" s="14" t="str">
        <f>_xlfn.XLOOKUP(B2774,CAD_PDV!A:A,CAD_PDV!B:B)</f>
        <v>FLEX CELL</v>
      </c>
      <c r="K2774" s="14">
        <f>IF(IFERROR(_xlfn.XLOOKUP(B2774,Planilha2!D:D,Planilha2!H:H),0)="SIM",1,0)</f>
        <v>0</v>
      </c>
      <c r="L2774" s="14" t="str">
        <f>_xlfn.XLOOKUP(B2774,CAD_PDV!A:A,CAD_PDV!C:C)</f>
        <v>SP1</v>
      </c>
      <c r="M2774" s="14" t="str">
        <f>IFERROR(_xlfn.XLOOKUP(B2774,repete!A:A,repete!A:A),"-")</f>
        <v>-</v>
      </c>
    </row>
    <row r="2775" spans="1:13">
      <c r="A2775" s="1">
        <v>46235</v>
      </c>
      <c r="B2775" t="s">
        <v>1288</v>
      </c>
      <c r="C2775" t="s">
        <v>1188</v>
      </c>
      <c r="D2775" t="s">
        <v>232</v>
      </c>
      <c r="E2775" t="s">
        <v>55</v>
      </c>
      <c r="F2775">
        <v>49</v>
      </c>
      <c r="G2775">
        <v>5</v>
      </c>
      <c r="H2775">
        <v>1.30072840790843E-3</v>
      </c>
      <c r="I2775">
        <v>0.108695652173913</v>
      </c>
      <c r="J2775" s="14" t="str">
        <f>_xlfn.XLOOKUP(B2775,CAD_PDV!A:A,CAD_PDV!B:B)</f>
        <v>HS TELECOM</v>
      </c>
      <c r="K2775" s="14">
        <f>IF(IFERROR(_xlfn.XLOOKUP(B2775,Planilha2!D:D,Planilha2!H:H),0)="SIM",1,0)</f>
        <v>0</v>
      </c>
      <c r="L2775" s="14" t="str">
        <f>_xlfn.XLOOKUP(B2775,CAD_PDV!A:A,CAD_PDV!C:C)</f>
        <v>RJ/ES</v>
      </c>
      <c r="M2775" s="14" t="str">
        <f>IFERROR(_xlfn.XLOOKUP(B2775,repete!A:A,repete!A:A),"-")</f>
        <v>-</v>
      </c>
    </row>
    <row r="2776" spans="1:13">
      <c r="A2776" s="1">
        <v>46235</v>
      </c>
      <c r="B2776" t="s">
        <v>1183</v>
      </c>
      <c r="C2776" t="s">
        <v>1185</v>
      </c>
      <c r="D2776" t="s">
        <v>228</v>
      </c>
      <c r="E2776" t="s">
        <v>55</v>
      </c>
      <c r="F2776">
        <v>22</v>
      </c>
      <c r="G2776">
        <v>5</v>
      </c>
      <c r="H2776">
        <v>1.30072840790843E-3</v>
      </c>
      <c r="I2776">
        <v>0.25</v>
      </c>
      <c r="J2776" s="14" t="str">
        <f>_xlfn.XLOOKUP(B2776,CAD_PDV!A:A,CAD_PDV!B:B)</f>
        <v>FAJULUTI</v>
      </c>
      <c r="K2776" s="14">
        <f>IF(IFERROR(_xlfn.XLOOKUP(B2776,Planilha2!D:D,Planilha2!H:H),0)="SIM",1,0)</f>
        <v>0</v>
      </c>
      <c r="L2776" s="14" t="str">
        <f>_xlfn.XLOOKUP(B2776,CAD_PDV!A:A,CAD_PDV!C:C)</f>
        <v>RJ/ES</v>
      </c>
      <c r="M2776" s="14" t="str">
        <f>IFERROR(_xlfn.XLOOKUP(B2776,repete!A:A,repete!A:A),"-")</f>
        <v>-</v>
      </c>
    </row>
    <row r="2777" spans="1:13">
      <c r="A2777" s="1">
        <v>46235</v>
      </c>
      <c r="B2777" t="s">
        <v>1166</v>
      </c>
      <c r="C2777" t="s">
        <v>1142</v>
      </c>
      <c r="D2777" t="s">
        <v>237</v>
      </c>
      <c r="E2777" t="s">
        <v>55</v>
      </c>
      <c r="F2777">
        <v>157</v>
      </c>
      <c r="G2777">
        <v>5</v>
      </c>
      <c r="H2777">
        <v>1.30072840790843E-3</v>
      </c>
      <c r="I2777">
        <v>3.37837837837838E-2</v>
      </c>
      <c r="J2777" s="14" t="str">
        <f>_xlfn.XLOOKUP(B2777,CAD_PDV!A:A,CAD_PDV!B:B)</f>
        <v>PONTO CERTO COMERCIO E COMUNICAÇÕES LTDA</v>
      </c>
      <c r="K2777" s="14">
        <f>IF(IFERROR(_xlfn.XLOOKUP(B2777,Planilha2!D:D,Planilha2!H:H),0)="SIM",1,0)</f>
        <v>0</v>
      </c>
      <c r="L2777" s="14" t="str">
        <f>_xlfn.XLOOKUP(B2777,CAD_PDV!A:A,CAD_PDV!C:C)</f>
        <v>RJ/ES</v>
      </c>
      <c r="M2777" s="14" t="str">
        <f>IFERROR(_xlfn.XLOOKUP(B2777,repete!A:A,repete!A:A),"-")</f>
        <v>-</v>
      </c>
    </row>
    <row r="2778" spans="1:13">
      <c r="A2778" s="1">
        <v>46235</v>
      </c>
      <c r="B2778" t="s">
        <v>1275</v>
      </c>
      <c r="C2778" t="s">
        <v>1188</v>
      </c>
      <c r="D2778" t="s">
        <v>228</v>
      </c>
      <c r="E2778" t="s">
        <v>55</v>
      </c>
      <c r="F2778">
        <v>19</v>
      </c>
      <c r="G2778">
        <v>5</v>
      </c>
      <c r="H2778">
        <v>1.30072840790843E-3</v>
      </c>
      <c r="I2778">
        <v>0.26315789473684198</v>
      </c>
      <c r="J2778" s="14" t="str">
        <f>_xlfn.XLOOKUP(B2778,CAD_PDV!A:A,CAD_PDV!B:B)</f>
        <v>FAJULUTI</v>
      </c>
      <c r="K2778" s="14">
        <f>IF(IFERROR(_xlfn.XLOOKUP(B2778,Planilha2!D:D,Planilha2!H:H),0)="SIM",1,0)</f>
        <v>0</v>
      </c>
      <c r="L2778" s="14" t="str">
        <f>_xlfn.XLOOKUP(B2778,CAD_PDV!A:A,CAD_PDV!C:C)</f>
        <v>RJ/ES</v>
      </c>
      <c r="M2778" s="14" t="str">
        <f>IFERROR(_xlfn.XLOOKUP(B2778,repete!A:A,repete!A:A),"-")</f>
        <v>-</v>
      </c>
    </row>
    <row r="2779" spans="1:13">
      <c r="A2779" s="1">
        <v>46235</v>
      </c>
      <c r="B2779" t="s">
        <v>1245</v>
      </c>
      <c r="C2779" t="s">
        <v>1152</v>
      </c>
      <c r="D2779" t="s">
        <v>2072</v>
      </c>
      <c r="E2779" t="s">
        <v>55</v>
      </c>
      <c r="F2779">
        <v>57</v>
      </c>
      <c r="G2779">
        <v>5</v>
      </c>
      <c r="H2779">
        <v>1.30072840790843E-3</v>
      </c>
      <c r="I2779">
        <v>9.8039215686274495E-2</v>
      </c>
      <c r="J2779" s="14" t="str">
        <f>_xlfn.XLOOKUP(B2779,CAD_PDV!A:A,CAD_PDV!B:B)</f>
        <v>MEXCELL COMERCIO E SERVICOS DE TELECOMUNICACOES LTDA</v>
      </c>
      <c r="K2779" s="14">
        <f>IF(IFERROR(_xlfn.XLOOKUP(B2779,Planilha2!D:D,Planilha2!H:H),0)="SIM",1,0)</f>
        <v>0</v>
      </c>
      <c r="L2779" s="14" t="str">
        <f>_xlfn.XLOOKUP(B2779,CAD_PDV!A:A,CAD_PDV!C:C)</f>
        <v>RJ/ES</v>
      </c>
      <c r="M2779" s="14" t="str">
        <f>IFERROR(_xlfn.XLOOKUP(B2779,repete!A:A,repete!A:A),"-")</f>
        <v>-</v>
      </c>
    </row>
    <row r="2780" spans="1:13">
      <c r="A2780" s="1">
        <v>46235</v>
      </c>
      <c r="B2780" t="s">
        <v>1365</v>
      </c>
      <c r="C2780" t="s">
        <v>1366</v>
      </c>
      <c r="D2780" t="s">
        <v>132</v>
      </c>
      <c r="E2780" t="s">
        <v>53</v>
      </c>
      <c r="F2780">
        <v>59</v>
      </c>
      <c r="G2780">
        <v>5</v>
      </c>
      <c r="H2780">
        <v>1.30072840790843E-3</v>
      </c>
      <c r="I2780">
        <v>8.7719298245614002E-2</v>
      </c>
      <c r="J2780" s="14" t="str">
        <f>_xlfn.XLOOKUP(B2780,CAD_PDV!A:A,CAD_PDV!B:B)</f>
        <v>FLEX CELL</v>
      </c>
      <c r="K2780" s="14">
        <f>IF(IFERROR(_xlfn.XLOOKUP(B2780,Planilha2!D:D,Planilha2!H:H),0)="SIM",1,0)</f>
        <v>0</v>
      </c>
      <c r="L2780" s="14" t="str">
        <f>_xlfn.XLOOKUP(B2780,CAD_PDV!A:A,CAD_PDV!C:C)</f>
        <v>SP1</v>
      </c>
      <c r="M2780" s="14" t="str">
        <f>IFERROR(_xlfn.XLOOKUP(B2780,repete!A:A,repete!A:A),"-")</f>
        <v>-</v>
      </c>
    </row>
    <row r="2781" spans="1:13">
      <c r="A2781" s="1">
        <v>46235</v>
      </c>
      <c r="B2781" t="s">
        <v>703</v>
      </c>
      <c r="C2781" t="s">
        <v>694</v>
      </c>
      <c r="D2781" t="s">
        <v>239</v>
      </c>
      <c r="E2781" t="s">
        <v>59</v>
      </c>
      <c r="F2781">
        <v>49</v>
      </c>
      <c r="G2781">
        <v>5</v>
      </c>
      <c r="H2781">
        <v>1.30072840790843E-3</v>
      </c>
      <c r="I2781">
        <v>0.10638297872340401</v>
      </c>
      <c r="J2781" s="14" t="str">
        <f>_xlfn.XLOOKUP(B2781,CAD_PDV!A:A,CAD_PDV!B:B)</f>
        <v>TELECELL TELEFONIA LTDA - ME</v>
      </c>
      <c r="K2781" s="14">
        <f>IF(IFERROR(_xlfn.XLOOKUP(B2781,Planilha2!D:D,Planilha2!H:H),0)="SIM",1,0)</f>
        <v>0</v>
      </c>
      <c r="L2781" s="14" t="str">
        <f>_xlfn.XLOOKUP(B2781,CAD_PDV!A:A,CAD_PDV!C:C)</f>
        <v>CO</v>
      </c>
      <c r="M2781" s="14" t="str">
        <f>IFERROR(_xlfn.XLOOKUP(B2781,repete!A:A,repete!A:A),"-")</f>
        <v>-</v>
      </c>
    </row>
    <row r="2782" spans="1:13">
      <c r="A2782" s="1">
        <v>46235</v>
      </c>
      <c r="B2782" t="s">
        <v>1708</v>
      </c>
      <c r="C2782" t="s">
        <v>1505</v>
      </c>
      <c r="D2782" t="s">
        <v>132</v>
      </c>
      <c r="E2782" t="s">
        <v>54</v>
      </c>
      <c r="F2782">
        <v>35</v>
      </c>
      <c r="G2782">
        <v>5</v>
      </c>
      <c r="H2782">
        <v>1.30072840790843E-3</v>
      </c>
      <c r="I2782">
        <v>0.14705882352941199</v>
      </c>
      <c r="J2782" s="14" t="str">
        <f>_xlfn.XLOOKUP(B2782,CAD_PDV!A:A,CAD_PDV!B:B)</f>
        <v>FLEX CELL</v>
      </c>
      <c r="K2782" s="14">
        <f>IF(IFERROR(_xlfn.XLOOKUP(B2782,Planilha2!D:D,Planilha2!H:H),0)="SIM",1,0)</f>
        <v>0</v>
      </c>
      <c r="L2782" s="14" t="str">
        <f>_xlfn.XLOOKUP(B2782,CAD_PDV!A:A,CAD_PDV!C:C)</f>
        <v>SP2</v>
      </c>
      <c r="M2782" s="14" t="str">
        <f>IFERROR(_xlfn.XLOOKUP(B2782,repete!A:A,repete!A:A),"-")</f>
        <v>-</v>
      </c>
    </row>
    <row r="2783" spans="1:13">
      <c r="A2783" s="1">
        <v>46235</v>
      </c>
      <c r="B2783" t="s">
        <v>1776</v>
      </c>
      <c r="C2783" t="s">
        <v>1777</v>
      </c>
      <c r="D2783" t="s">
        <v>124</v>
      </c>
      <c r="E2783" t="s">
        <v>2074</v>
      </c>
      <c r="F2783">
        <v>22</v>
      </c>
      <c r="G2783">
        <v>5</v>
      </c>
      <c r="H2783">
        <v>1.30072840790843E-3</v>
      </c>
      <c r="I2783">
        <v>0.22727272727272699</v>
      </c>
      <c r="J2783" s="14" t="str">
        <f>_xlfn.XLOOKUP(B2783,CAD_PDV!A:A,CAD_PDV!B:B)</f>
        <v>EDUARDO JUNQUEIRA DA SILVEIRA ADMIN</v>
      </c>
      <c r="K2783" s="14">
        <f>IF(IFERROR(_xlfn.XLOOKUP(B2783,Planilha2!D:D,Planilha2!H:H),0)="SIM",1,0)</f>
        <v>0</v>
      </c>
      <c r="L2783" s="14" t="str">
        <f>_xlfn.XLOOKUP(B2783,CAD_PDV!A:A,CAD_PDV!C:C)</f>
        <v>RS</v>
      </c>
      <c r="M2783" s="14" t="str">
        <f>IFERROR(_xlfn.XLOOKUP(B2783,repete!A:A,repete!A:A),"-")</f>
        <v>-</v>
      </c>
    </row>
    <row r="2784" spans="1:13">
      <c r="A2784" s="1">
        <v>46235</v>
      </c>
      <c r="B2784" t="s">
        <v>1262</v>
      </c>
      <c r="C2784" t="s">
        <v>1142</v>
      </c>
      <c r="D2784" t="s">
        <v>237</v>
      </c>
      <c r="E2784" t="s">
        <v>55</v>
      </c>
      <c r="F2784">
        <v>20</v>
      </c>
      <c r="G2784">
        <v>5</v>
      </c>
      <c r="H2784">
        <v>1.30072840790843E-3</v>
      </c>
      <c r="I2784">
        <v>0.25</v>
      </c>
      <c r="J2784" s="14" t="str">
        <f>_xlfn.XLOOKUP(B2784,CAD_PDV!A:A,CAD_PDV!B:B)</f>
        <v>PONTO CERTO COMERCIO E COMUNICAÇÕES LTDA</v>
      </c>
      <c r="K2784" s="14">
        <f>IF(IFERROR(_xlfn.XLOOKUP(B2784,Planilha2!D:D,Planilha2!H:H),0)="SIM",1,0)</f>
        <v>0</v>
      </c>
      <c r="L2784" s="14" t="str">
        <f>_xlfn.XLOOKUP(B2784,CAD_PDV!A:A,CAD_PDV!C:C)</f>
        <v>RJ/ES</v>
      </c>
      <c r="M2784" s="14" t="str">
        <f>IFERROR(_xlfn.XLOOKUP(B2784,repete!A:A,repete!A:A),"-")</f>
        <v>-</v>
      </c>
    </row>
    <row r="2785" spans="1:13">
      <c r="A2785" s="1">
        <v>46235</v>
      </c>
      <c r="B2785" t="s">
        <v>640</v>
      </c>
      <c r="C2785" t="s">
        <v>641</v>
      </c>
      <c r="D2785" t="s">
        <v>221</v>
      </c>
      <c r="E2785" t="s">
        <v>59</v>
      </c>
      <c r="F2785">
        <v>49</v>
      </c>
      <c r="G2785">
        <v>5</v>
      </c>
      <c r="H2785">
        <v>1.30072840790843E-3</v>
      </c>
      <c r="I2785">
        <v>0.11111111111111099</v>
      </c>
      <c r="J2785" s="14" t="str">
        <f>_xlfn.XLOOKUP(B2785,CAD_PDV!A:A,CAD_PDV!B:B)</f>
        <v>AMERICOM COMERCIO DE APARELHOS ELETRONICOS LTDA - EPP</v>
      </c>
      <c r="K2785" s="14">
        <f>IF(IFERROR(_xlfn.XLOOKUP(B2785,Planilha2!D:D,Planilha2!H:H),0)="SIM",1,0)</f>
        <v>0</v>
      </c>
      <c r="L2785" s="14" t="str">
        <f>_xlfn.XLOOKUP(B2785,CAD_PDV!A:A,CAD_PDV!C:C)</f>
        <v>CO</v>
      </c>
      <c r="M2785" s="14" t="str">
        <f>IFERROR(_xlfn.XLOOKUP(B2785,repete!A:A,repete!A:A),"-")</f>
        <v>-</v>
      </c>
    </row>
    <row r="2786" spans="1:13">
      <c r="A2786" s="1">
        <v>46235</v>
      </c>
      <c r="B2786" t="s">
        <v>1962</v>
      </c>
      <c r="C2786" t="s">
        <v>1961</v>
      </c>
      <c r="D2786" t="s">
        <v>106</v>
      </c>
      <c r="E2786" t="s">
        <v>2074</v>
      </c>
      <c r="F2786">
        <v>18</v>
      </c>
      <c r="G2786">
        <v>5</v>
      </c>
      <c r="H2786">
        <v>1.30072840790843E-3</v>
      </c>
      <c r="I2786">
        <v>0.33333333333333298</v>
      </c>
      <c r="J2786" s="14" t="str">
        <f>_xlfn.XLOOKUP(B2786,CAD_PDV!A:A,CAD_PDV!B:B)</f>
        <v>CELLULAR.COM</v>
      </c>
      <c r="K2786" s="14">
        <f>IF(IFERROR(_xlfn.XLOOKUP(B2786,Planilha2!D:D,Planilha2!H:H),0)="SIM",1,0)</f>
        <v>0</v>
      </c>
      <c r="L2786" s="14" t="str">
        <f>_xlfn.XLOOKUP(B2786,CAD_PDV!A:A,CAD_PDV!C:C)</f>
        <v>PR/SC</v>
      </c>
      <c r="M2786" s="14" t="str">
        <f>IFERROR(_xlfn.XLOOKUP(B2786,repete!A:A,repete!A:A),"-")</f>
        <v>-</v>
      </c>
    </row>
    <row r="2787" spans="1:13">
      <c r="A2787" s="1">
        <v>46235</v>
      </c>
      <c r="B2787" t="s">
        <v>937</v>
      </c>
      <c r="C2787" t="s">
        <v>940</v>
      </c>
      <c r="D2787" t="s">
        <v>236</v>
      </c>
      <c r="E2787" t="s">
        <v>60</v>
      </c>
      <c r="F2787">
        <v>28</v>
      </c>
      <c r="G2787">
        <v>4</v>
      </c>
      <c r="H2787">
        <v>1.04058272632674E-3</v>
      </c>
      <c r="I2787">
        <v>0.16</v>
      </c>
      <c r="J2787" s="14" t="str">
        <f>_xlfn.XLOOKUP(B2787,CAD_PDV!A:A,CAD_PDV!B:B)</f>
        <v>PAULA C L NIELLA EIRELI</v>
      </c>
      <c r="K2787" s="14">
        <f>IF(IFERROR(_xlfn.XLOOKUP(B2787,Planilha2!D:D,Planilha2!H:H),0)="SIM",1,0)</f>
        <v>0</v>
      </c>
      <c r="L2787" s="14" t="str">
        <f>_xlfn.XLOOKUP(B2787,CAD_PDV!A:A,CAD_PDV!C:C)</f>
        <v>BA/SE</v>
      </c>
      <c r="M2787" s="14" t="str">
        <f>IFERROR(_xlfn.XLOOKUP(B2787,repete!A:A,repete!A:A),"-")</f>
        <v>-</v>
      </c>
    </row>
    <row r="2788" spans="1:13">
      <c r="A2788" s="1">
        <v>46235</v>
      </c>
      <c r="B2788" t="s">
        <v>653</v>
      </c>
      <c r="C2788" t="s">
        <v>649</v>
      </c>
      <c r="D2788" t="s">
        <v>239</v>
      </c>
      <c r="E2788" t="s">
        <v>59</v>
      </c>
      <c r="F2788">
        <v>33</v>
      </c>
      <c r="G2788">
        <v>4</v>
      </c>
      <c r="H2788">
        <v>1.04058272632674E-3</v>
      </c>
      <c r="I2788">
        <v>0.13793103448275901</v>
      </c>
      <c r="J2788" s="14" t="str">
        <f>_xlfn.XLOOKUP(B2788,CAD_PDV!A:A,CAD_PDV!B:B)</f>
        <v>TELECELL TELEFONIA LTDA - ME</v>
      </c>
      <c r="K2788" s="14">
        <f>IF(IFERROR(_xlfn.XLOOKUP(B2788,Planilha2!D:D,Planilha2!H:H),0)="SIM",1,0)</f>
        <v>0</v>
      </c>
      <c r="L2788" s="14" t="str">
        <f>_xlfn.XLOOKUP(B2788,CAD_PDV!A:A,CAD_PDV!C:C)</f>
        <v>CO</v>
      </c>
      <c r="M2788" s="14" t="str">
        <f>IFERROR(_xlfn.XLOOKUP(B2788,repete!A:A,repete!A:A),"-")</f>
        <v>-</v>
      </c>
    </row>
    <row r="2789" spans="1:13">
      <c r="A2789" s="1">
        <v>46235</v>
      </c>
      <c r="B2789" t="s">
        <v>2018</v>
      </c>
      <c r="C2789" t="s">
        <v>2019</v>
      </c>
      <c r="D2789" t="s">
        <v>106</v>
      </c>
      <c r="E2789" t="s">
        <v>2074</v>
      </c>
      <c r="F2789">
        <v>9</v>
      </c>
      <c r="G2789">
        <v>4</v>
      </c>
      <c r="H2789">
        <v>1.04058272632674E-3</v>
      </c>
      <c r="I2789">
        <v>0.44444444444444398</v>
      </c>
      <c r="J2789" s="14" t="str">
        <f>_xlfn.XLOOKUP(B2789,CAD_PDV!A:A,CAD_PDV!B:B)</f>
        <v>CELLULAR.COM</v>
      </c>
      <c r="K2789" s="14">
        <f>IF(IFERROR(_xlfn.XLOOKUP(B2789,Planilha2!D:D,Planilha2!H:H),0)="SIM",1,0)</f>
        <v>0</v>
      </c>
      <c r="L2789" s="14" t="str">
        <f>_xlfn.XLOOKUP(B2789,CAD_PDV!A:A,CAD_PDV!C:C)</f>
        <v>PR/SC</v>
      </c>
      <c r="M2789" s="14" t="str">
        <f>IFERROR(_xlfn.XLOOKUP(B2789,repete!A:A,repete!A:A),"-")</f>
        <v>-</v>
      </c>
    </row>
    <row r="2790" spans="1:13">
      <c r="A2790" s="1">
        <v>46235</v>
      </c>
      <c r="B2790" t="s">
        <v>985</v>
      </c>
      <c r="C2790" t="s">
        <v>944</v>
      </c>
      <c r="D2790" t="s">
        <v>232</v>
      </c>
      <c r="E2790" t="s">
        <v>60</v>
      </c>
      <c r="F2790">
        <v>48</v>
      </c>
      <c r="G2790">
        <v>4</v>
      </c>
      <c r="H2790">
        <v>1.04058272632674E-3</v>
      </c>
      <c r="I2790">
        <v>8.8888888888888906E-2</v>
      </c>
      <c r="J2790" s="14" t="str">
        <f>_xlfn.XLOOKUP(B2790,CAD_PDV!A:A,CAD_PDV!B:B)</f>
        <v>HS TELECOM</v>
      </c>
      <c r="K2790" s="14">
        <f>IF(IFERROR(_xlfn.XLOOKUP(B2790,Planilha2!D:D,Planilha2!H:H),0)="SIM",1,0)</f>
        <v>0</v>
      </c>
      <c r="L2790" s="14" t="str">
        <f>_xlfn.XLOOKUP(B2790,CAD_PDV!A:A,CAD_PDV!C:C)</f>
        <v>BA/SE</v>
      </c>
      <c r="M2790" s="14" t="str">
        <f>IFERROR(_xlfn.XLOOKUP(B2790,repete!A:A,repete!A:A),"-")</f>
        <v>-</v>
      </c>
    </row>
    <row r="2791" spans="1:13">
      <c r="A2791" s="1">
        <v>46235</v>
      </c>
      <c r="B2791" t="s">
        <v>1483</v>
      </c>
      <c r="C2791" t="s">
        <v>1484</v>
      </c>
      <c r="D2791" t="s">
        <v>232</v>
      </c>
      <c r="E2791" t="s">
        <v>54</v>
      </c>
      <c r="F2791">
        <v>32</v>
      </c>
      <c r="G2791">
        <v>4</v>
      </c>
      <c r="H2791">
        <v>1.04058272632674E-3</v>
      </c>
      <c r="I2791">
        <v>0.125</v>
      </c>
      <c r="J2791" s="14" t="str">
        <f>_xlfn.XLOOKUP(B2791,CAD_PDV!A:A,CAD_PDV!B:B)</f>
        <v>HS TELECOM</v>
      </c>
      <c r="K2791" s="14">
        <f>IF(IFERROR(_xlfn.XLOOKUP(B2791,Planilha2!D:D,Planilha2!H:H),0)="SIM",1,0)</f>
        <v>0</v>
      </c>
      <c r="L2791" s="14" t="str">
        <f>_xlfn.XLOOKUP(B2791,CAD_PDV!A:A,CAD_PDV!C:C)</f>
        <v>SP2</v>
      </c>
      <c r="M2791" s="14" t="str">
        <f>IFERROR(_xlfn.XLOOKUP(B2791,repete!A:A,repete!A:A),"-")</f>
        <v>-</v>
      </c>
    </row>
    <row r="2792" spans="1:13">
      <c r="A2792" s="1">
        <v>46235</v>
      </c>
      <c r="B2792" t="s">
        <v>1205</v>
      </c>
      <c r="C2792" t="s">
        <v>1207</v>
      </c>
      <c r="D2792" t="s">
        <v>228</v>
      </c>
      <c r="E2792" t="s">
        <v>55</v>
      </c>
      <c r="F2792">
        <v>25</v>
      </c>
      <c r="G2792">
        <v>4</v>
      </c>
      <c r="H2792">
        <v>1.04058272632674E-3</v>
      </c>
      <c r="I2792">
        <v>0.173913043478261</v>
      </c>
      <c r="J2792" s="14" t="str">
        <f>_xlfn.XLOOKUP(B2792,CAD_PDV!A:A,CAD_PDV!B:B)</f>
        <v>FAJULUTI</v>
      </c>
      <c r="K2792" s="14">
        <f>IF(IFERROR(_xlfn.XLOOKUP(B2792,Planilha2!D:D,Planilha2!H:H),0)="SIM",1,0)</f>
        <v>0</v>
      </c>
      <c r="L2792" s="14" t="str">
        <f>_xlfn.XLOOKUP(B2792,CAD_PDV!A:A,CAD_PDV!C:C)</f>
        <v>RJ/ES</v>
      </c>
      <c r="M2792" s="14" t="str">
        <f>IFERROR(_xlfn.XLOOKUP(B2792,repete!A:A,repete!A:A),"-")</f>
        <v>-</v>
      </c>
    </row>
    <row r="2793" spans="1:13">
      <c r="A2793" s="1">
        <v>46235</v>
      </c>
      <c r="B2793" t="s">
        <v>1208</v>
      </c>
      <c r="C2793" t="s">
        <v>1142</v>
      </c>
      <c r="D2793" t="s">
        <v>237</v>
      </c>
      <c r="E2793" t="s">
        <v>55</v>
      </c>
      <c r="F2793">
        <v>64</v>
      </c>
      <c r="G2793">
        <v>4</v>
      </c>
      <c r="H2793">
        <v>1.04058272632674E-3</v>
      </c>
      <c r="I2793">
        <v>6.7796610169491497E-2</v>
      </c>
      <c r="J2793" s="14" t="str">
        <f>_xlfn.XLOOKUP(B2793,CAD_PDV!A:A,CAD_PDV!B:B)</f>
        <v>PONTO CERTO COMERCIO E COMUNICAÇÕES LTDA</v>
      </c>
      <c r="K2793" s="14">
        <f>IF(IFERROR(_xlfn.XLOOKUP(B2793,Planilha2!D:D,Planilha2!H:H),0)="SIM",1,0)</f>
        <v>0</v>
      </c>
      <c r="L2793" s="14" t="str">
        <f>_xlfn.XLOOKUP(B2793,CAD_PDV!A:A,CAD_PDV!C:C)</f>
        <v>RJ/ES</v>
      </c>
      <c r="M2793" s="14" t="str">
        <f>IFERROR(_xlfn.XLOOKUP(B2793,repete!A:A,repete!A:A),"-")</f>
        <v>-</v>
      </c>
    </row>
    <row r="2794" spans="1:13">
      <c r="A2794" s="1">
        <v>46235</v>
      </c>
      <c r="B2794" t="s">
        <v>1263</v>
      </c>
      <c r="C2794" t="s">
        <v>1142</v>
      </c>
      <c r="D2794" t="s">
        <v>233</v>
      </c>
      <c r="E2794" t="s">
        <v>55</v>
      </c>
      <c r="F2794">
        <v>18</v>
      </c>
      <c r="G2794">
        <v>4</v>
      </c>
      <c r="H2794">
        <v>1.04058272632674E-3</v>
      </c>
      <c r="I2794">
        <v>0.23529411764705899</v>
      </c>
      <c r="J2794" s="14" t="str">
        <f>_xlfn.XLOOKUP(B2794,CAD_PDV!A:A,CAD_PDV!B:B)</f>
        <v>LEINAD COMERCIO E SERVICO EIRELI</v>
      </c>
      <c r="K2794" s="14">
        <f>IF(IFERROR(_xlfn.XLOOKUP(B2794,Planilha2!D:D,Planilha2!H:H),0)="SIM",1,0)</f>
        <v>0</v>
      </c>
      <c r="L2794" s="14" t="str">
        <f>_xlfn.XLOOKUP(B2794,CAD_PDV!A:A,CAD_PDV!C:C)</f>
        <v>RJ/ES</v>
      </c>
      <c r="M2794" s="14" t="str">
        <f>IFERROR(_xlfn.XLOOKUP(B2794,repete!A:A,repete!A:A),"-")</f>
        <v>-</v>
      </c>
    </row>
    <row r="2795" spans="1:13">
      <c r="A2795" s="1">
        <v>46235</v>
      </c>
      <c r="B2795" t="s">
        <v>1920</v>
      </c>
      <c r="C2795" t="s">
        <v>1918</v>
      </c>
      <c r="D2795" t="s">
        <v>106</v>
      </c>
      <c r="E2795" t="s">
        <v>2074</v>
      </c>
      <c r="F2795">
        <v>26</v>
      </c>
      <c r="G2795">
        <v>4</v>
      </c>
      <c r="H2795">
        <v>1.04058272632674E-3</v>
      </c>
      <c r="I2795">
        <v>0.15384615384615399</v>
      </c>
      <c r="J2795" s="14" t="str">
        <f>_xlfn.XLOOKUP(B2795,CAD_PDV!A:A,CAD_PDV!B:B)</f>
        <v>CELLULAR.COM</v>
      </c>
      <c r="K2795" s="14">
        <f>IF(IFERROR(_xlfn.XLOOKUP(B2795,Planilha2!D:D,Planilha2!H:H),0)="SIM",1,0)</f>
        <v>0</v>
      </c>
      <c r="L2795" s="14" t="str">
        <f>_xlfn.XLOOKUP(B2795,CAD_PDV!A:A,CAD_PDV!C:C)</f>
        <v>PR/SC</v>
      </c>
      <c r="M2795" s="14" t="str">
        <f>IFERROR(_xlfn.XLOOKUP(B2795,repete!A:A,repete!A:A),"-")</f>
        <v>-</v>
      </c>
    </row>
    <row r="2796" spans="1:13">
      <c r="A2796" s="1">
        <v>46235</v>
      </c>
      <c r="B2796" t="s">
        <v>1511</v>
      </c>
      <c r="C2796" t="s">
        <v>1512</v>
      </c>
      <c r="D2796" t="s">
        <v>120</v>
      </c>
      <c r="E2796" t="s">
        <v>54</v>
      </c>
      <c r="F2796">
        <v>79</v>
      </c>
      <c r="G2796">
        <v>4</v>
      </c>
      <c r="H2796">
        <v>1.04058272632674E-3</v>
      </c>
      <c r="I2796">
        <v>5.63380281690141E-2</v>
      </c>
      <c r="J2796" s="14" t="str">
        <f>_xlfn.XLOOKUP(B2796,CAD_PDV!A:A,CAD_PDV!B:B)</f>
        <v>DOUGLAS LUIZ ELETRONICOS - ME</v>
      </c>
      <c r="K2796" s="14">
        <f>IF(IFERROR(_xlfn.XLOOKUP(B2796,Planilha2!D:D,Planilha2!H:H),0)="SIM",1,0)</f>
        <v>0</v>
      </c>
      <c r="L2796" s="14" t="str">
        <f>_xlfn.XLOOKUP(B2796,CAD_PDV!A:A,CAD_PDV!C:C)</f>
        <v>SP2</v>
      </c>
      <c r="M2796" s="14" t="str">
        <f>IFERROR(_xlfn.XLOOKUP(B2796,repete!A:A,repete!A:A),"-")</f>
        <v>-</v>
      </c>
    </row>
    <row r="2797" spans="1:13">
      <c r="A2797" s="1">
        <v>46235</v>
      </c>
      <c r="B2797" t="s">
        <v>1356</v>
      </c>
      <c r="C2797" t="s">
        <v>1357</v>
      </c>
      <c r="D2797" t="s">
        <v>132</v>
      </c>
      <c r="E2797" t="s">
        <v>53</v>
      </c>
      <c r="F2797">
        <v>26</v>
      </c>
      <c r="G2797">
        <v>4</v>
      </c>
      <c r="H2797">
        <v>1.04058272632674E-3</v>
      </c>
      <c r="I2797">
        <v>0.16666666666666699</v>
      </c>
      <c r="J2797" s="14" t="str">
        <f>_xlfn.XLOOKUP(B2797,CAD_PDV!A:A,CAD_PDV!B:B)</f>
        <v>FLEX CELL</v>
      </c>
      <c r="K2797" s="14">
        <f>IF(IFERROR(_xlfn.XLOOKUP(B2797,Planilha2!D:D,Planilha2!H:H),0)="SIM",1,0)</f>
        <v>0</v>
      </c>
      <c r="L2797" s="14" t="str">
        <f>_xlfn.XLOOKUP(B2797,CAD_PDV!A:A,CAD_PDV!C:C)</f>
        <v>SP1</v>
      </c>
      <c r="M2797" s="14" t="str">
        <f>IFERROR(_xlfn.XLOOKUP(B2797,repete!A:A,repete!A:A),"-")</f>
        <v>-</v>
      </c>
    </row>
    <row r="2798" spans="1:13">
      <c r="A2798" s="1">
        <v>46235</v>
      </c>
      <c r="B2798" t="s">
        <v>525</v>
      </c>
      <c r="C2798" t="s">
        <v>526</v>
      </c>
      <c r="D2798" t="s">
        <v>228</v>
      </c>
      <c r="E2798" t="s">
        <v>56</v>
      </c>
      <c r="F2798">
        <v>10</v>
      </c>
      <c r="G2798">
        <v>4</v>
      </c>
      <c r="H2798">
        <v>1.04058272632674E-3</v>
      </c>
      <c r="I2798">
        <v>0.4</v>
      </c>
      <c r="J2798" s="14" t="str">
        <f>_xlfn.XLOOKUP(B2798,CAD_PDV!A:A,CAD_PDV!B:B)</f>
        <v>FAJULUTI</v>
      </c>
      <c r="K2798" s="14">
        <f>IF(IFERROR(_xlfn.XLOOKUP(B2798,Planilha2!D:D,Planilha2!H:H),0)="SIM",1,0)</f>
        <v>0</v>
      </c>
      <c r="L2798" s="14" t="str">
        <f>_xlfn.XLOOKUP(B2798,CAD_PDV!A:A,CAD_PDV!C:C)</f>
        <v>MG</v>
      </c>
      <c r="M2798" s="14" t="str">
        <f>IFERROR(_xlfn.XLOOKUP(B2798,repete!A:A,repete!A:A),"-")</f>
        <v>-</v>
      </c>
    </row>
    <row r="2799" spans="1:13">
      <c r="A2799" s="1">
        <v>46235</v>
      </c>
      <c r="B2799" t="s">
        <v>597</v>
      </c>
      <c r="C2799" t="s">
        <v>598</v>
      </c>
      <c r="D2799" t="s">
        <v>228</v>
      </c>
      <c r="E2799" t="s">
        <v>56</v>
      </c>
      <c r="F2799">
        <v>24</v>
      </c>
      <c r="G2799">
        <v>4</v>
      </c>
      <c r="H2799">
        <v>1.04058272632674E-3</v>
      </c>
      <c r="I2799">
        <v>0.18181818181818199</v>
      </c>
      <c r="J2799" s="14" t="str">
        <f>_xlfn.XLOOKUP(B2799,CAD_PDV!A:A,CAD_PDV!B:B)</f>
        <v>FAJULUTI</v>
      </c>
      <c r="K2799" s="14">
        <f>IF(IFERROR(_xlfn.XLOOKUP(B2799,Planilha2!D:D,Planilha2!H:H),0)="SIM",1,0)</f>
        <v>0</v>
      </c>
      <c r="L2799" s="14" t="str">
        <f>_xlfn.XLOOKUP(B2799,CAD_PDV!A:A,CAD_PDV!C:C)</f>
        <v>MG</v>
      </c>
      <c r="M2799" s="14" t="str">
        <f>IFERROR(_xlfn.XLOOKUP(B2799,repete!A:A,repete!A:A),"-")</f>
        <v>-</v>
      </c>
    </row>
    <row r="2800" spans="1:13">
      <c r="A2800" s="1">
        <v>46235</v>
      </c>
      <c r="B2800" t="s">
        <v>645</v>
      </c>
      <c r="C2800" t="s">
        <v>644</v>
      </c>
      <c r="D2800" t="s">
        <v>240</v>
      </c>
      <c r="E2800" t="s">
        <v>59</v>
      </c>
      <c r="F2800">
        <v>28</v>
      </c>
      <c r="G2800">
        <v>4</v>
      </c>
      <c r="H2800">
        <v>1.04058272632674E-3</v>
      </c>
      <c r="I2800">
        <v>0.15384615384615399</v>
      </c>
      <c r="J2800" s="14" t="str">
        <f>_xlfn.XLOOKUP(B2800,CAD_PDV!A:A,CAD_PDV!B:B)</f>
        <v>TELEMAIS TELEFONIA LTDA - ME</v>
      </c>
      <c r="K2800" s="14">
        <f>IF(IFERROR(_xlfn.XLOOKUP(B2800,Planilha2!D:D,Planilha2!H:H),0)="SIM",1,0)</f>
        <v>0</v>
      </c>
      <c r="L2800" s="14" t="str">
        <f>_xlfn.XLOOKUP(B2800,CAD_PDV!A:A,CAD_PDV!C:C)</f>
        <v>CO</v>
      </c>
      <c r="M2800" s="14" t="str">
        <f>IFERROR(_xlfn.XLOOKUP(B2800,repete!A:A,repete!A:A),"-")</f>
        <v>-</v>
      </c>
    </row>
    <row r="2801" spans="1:13">
      <c r="A2801" s="1">
        <v>46235</v>
      </c>
      <c r="B2801" t="s">
        <v>1901</v>
      </c>
      <c r="C2801" t="s">
        <v>1900</v>
      </c>
      <c r="D2801" t="s">
        <v>97</v>
      </c>
      <c r="E2801" t="s">
        <v>2074</v>
      </c>
      <c r="F2801">
        <v>50</v>
      </c>
      <c r="G2801">
        <v>4</v>
      </c>
      <c r="H2801">
        <v>1.04058272632674E-3</v>
      </c>
      <c r="I2801">
        <v>8.1632653061224497E-2</v>
      </c>
      <c r="J2801" s="14" t="str">
        <f>_xlfn.XLOOKUP(B2801,CAD_PDV!A:A,CAD_PDV!B:B)</f>
        <v>BANDEIRA</v>
      </c>
      <c r="K2801" s="14">
        <f>IF(IFERROR(_xlfn.XLOOKUP(B2801,Planilha2!D:D,Planilha2!H:H),0)="SIM",1,0)</f>
        <v>0</v>
      </c>
      <c r="L2801" s="14" t="str">
        <f>_xlfn.XLOOKUP(B2801,CAD_PDV!A:A,CAD_PDV!C:C)</f>
        <v>PR/SC</v>
      </c>
      <c r="M2801" s="14" t="str">
        <f>IFERROR(_xlfn.XLOOKUP(B2801,repete!A:A,repete!A:A),"-")</f>
        <v>-</v>
      </c>
    </row>
    <row r="2802" spans="1:13">
      <c r="A2802" s="1">
        <v>46235</v>
      </c>
      <c r="B2802" t="s">
        <v>620</v>
      </c>
      <c r="C2802" t="s">
        <v>619</v>
      </c>
      <c r="D2802" t="s">
        <v>224</v>
      </c>
      <c r="E2802" t="s">
        <v>59</v>
      </c>
      <c r="F2802">
        <v>23</v>
      </c>
      <c r="G2802">
        <v>4</v>
      </c>
      <c r="H2802">
        <v>1.04058272632674E-3</v>
      </c>
      <c r="I2802">
        <v>0.19047619047618999</v>
      </c>
      <c r="J2802" s="14" t="str">
        <f>_xlfn.XLOOKUP(B2802,CAD_PDV!A:A,CAD_PDV!B:B)</f>
        <v>CELNET COMERCIO E SERVICOS DE TELEFONIA LTDA ME</v>
      </c>
      <c r="K2802" s="14">
        <f>IF(IFERROR(_xlfn.XLOOKUP(B2802,Planilha2!D:D,Planilha2!H:H),0)="SIM",1,0)</f>
        <v>0</v>
      </c>
      <c r="L2802" s="14" t="str">
        <f>_xlfn.XLOOKUP(B2802,CAD_PDV!A:A,CAD_PDV!C:C)</f>
        <v>CO</v>
      </c>
      <c r="M2802" s="14" t="str">
        <f>IFERROR(_xlfn.XLOOKUP(B2802,repete!A:A,repete!A:A),"-")</f>
        <v>-</v>
      </c>
    </row>
    <row r="2803" spans="1:13">
      <c r="A2803" s="1">
        <v>46235</v>
      </c>
      <c r="B2803" t="s">
        <v>672</v>
      </c>
      <c r="C2803" t="s">
        <v>673</v>
      </c>
      <c r="D2803" t="s">
        <v>239</v>
      </c>
      <c r="E2803" t="s">
        <v>59</v>
      </c>
      <c r="F2803">
        <v>19</v>
      </c>
      <c r="G2803">
        <v>4</v>
      </c>
      <c r="H2803">
        <v>1.04058272632674E-3</v>
      </c>
      <c r="I2803">
        <v>0.22222222222222199</v>
      </c>
      <c r="J2803" s="14" t="str">
        <f>_xlfn.XLOOKUP(B2803,CAD_PDV!A:A,CAD_PDV!B:B)</f>
        <v>TELECELL TELEFONIA LTDA - ME</v>
      </c>
      <c r="K2803" s="14">
        <f>IF(IFERROR(_xlfn.XLOOKUP(B2803,Planilha2!D:D,Planilha2!H:H),0)="SIM",1,0)</f>
        <v>0</v>
      </c>
      <c r="L2803" s="14" t="str">
        <f>_xlfn.XLOOKUP(B2803,CAD_PDV!A:A,CAD_PDV!C:C)</f>
        <v>CO</v>
      </c>
      <c r="M2803" s="14" t="str">
        <f>IFERROR(_xlfn.XLOOKUP(B2803,repete!A:A,repete!A:A),"-")</f>
        <v>-</v>
      </c>
    </row>
    <row r="2804" spans="1:13">
      <c r="A2804" s="1">
        <v>46235</v>
      </c>
      <c r="B2804" t="s">
        <v>796</v>
      </c>
      <c r="C2804" t="s">
        <v>649</v>
      </c>
      <c r="D2804" t="s">
        <v>239</v>
      </c>
      <c r="E2804" t="s">
        <v>59</v>
      </c>
      <c r="F2804">
        <v>43</v>
      </c>
      <c r="G2804">
        <v>4</v>
      </c>
      <c r="H2804">
        <v>1.04058272632674E-3</v>
      </c>
      <c r="I2804">
        <v>0.102564102564103</v>
      </c>
      <c r="J2804" s="14" t="str">
        <f>_xlfn.XLOOKUP(B2804,CAD_PDV!A:A,CAD_PDV!B:B)</f>
        <v>TELECELL TELEFONIA LTDA - ME</v>
      </c>
      <c r="K2804" s="14">
        <f>IF(IFERROR(_xlfn.XLOOKUP(B2804,Planilha2!D:D,Planilha2!H:H),0)="SIM",1,0)</f>
        <v>0</v>
      </c>
      <c r="L2804" s="14" t="str">
        <f>_xlfn.XLOOKUP(B2804,CAD_PDV!A:A,CAD_PDV!C:C)</f>
        <v>CO</v>
      </c>
      <c r="M2804" s="14" t="str">
        <f>IFERROR(_xlfn.XLOOKUP(B2804,repete!A:A,repete!A:A),"-")</f>
        <v>-</v>
      </c>
    </row>
    <row r="2805" spans="1:13">
      <c r="A2805" s="1">
        <v>46235</v>
      </c>
      <c r="B2805" t="s">
        <v>1747</v>
      </c>
      <c r="C2805" t="s">
        <v>1748</v>
      </c>
      <c r="D2805" t="s">
        <v>190</v>
      </c>
      <c r="E2805" t="s">
        <v>2074</v>
      </c>
      <c r="F2805">
        <v>23</v>
      </c>
      <c r="G2805">
        <v>4</v>
      </c>
      <c r="H2805">
        <v>1.04058272632674E-3</v>
      </c>
      <c r="I2805">
        <v>0.173913043478261</v>
      </c>
      <c r="J2805" s="14" t="str">
        <f>_xlfn.XLOOKUP(B2805,CAD_PDV!A:A,CAD_PDV!B:B)</f>
        <v>RDJ TELECOMUNICACOES LTDA</v>
      </c>
      <c r="K2805" s="14">
        <f>IF(IFERROR(_xlfn.XLOOKUP(B2805,Planilha2!D:D,Planilha2!H:H),0)="SIM",1,0)</f>
        <v>0</v>
      </c>
      <c r="L2805" s="14" t="str">
        <f>_xlfn.XLOOKUP(B2805,CAD_PDV!A:A,CAD_PDV!C:C)</f>
        <v>PR/SC</v>
      </c>
      <c r="M2805" s="14" t="str">
        <f>IFERROR(_xlfn.XLOOKUP(B2805,repete!A:A,repete!A:A),"-")</f>
        <v>-</v>
      </c>
    </row>
    <row r="2806" spans="1:13">
      <c r="A2806" s="1">
        <v>46235</v>
      </c>
      <c r="B2806" t="s">
        <v>1577</v>
      </c>
      <c r="C2806" t="s">
        <v>1557</v>
      </c>
      <c r="D2806" t="s">
        <v>106</v>
      </c>
      <c r="E2806" t="s">
        <v>54</v>
      </c>
      <c r="F2806">
        <v>16</v>
      </c>
      <c r="G2806">
        <v>4</v>
      </c>
      <c r="H2806">
        <v>1.04058272632674E-3</v>
      </c>
      <c r="I2806">
        <v>0.25</v>
      </c>
      <c r="J2806" s="14" t="str">
        <f>_xlfn.XLOOKUP(B2806,CAD_PDV!A:A,CAD_PDV!B:B)</f>
        <v>CELLULAR.COM</v>
      </c>
      <c r="K2806" s="14">
        <f>IF(IFERROR(_xlfn.XLOOKUP(B2806,Planilha2!D:D,Planilha2!H:H),0)="SIM",1,0)</f>
        <v>0</v>
      </c>
      <c r="L2806" s="14" t="str">
        <f>_xlfn.XLOOKUP(B2806,CAD_PDV!A:A,CAD_PDV!C:C)</f>
        <v>SP2</v>
      </c>
      <c r="M2806" s="14" t="str">
        <f>IFERROR(_xlfn.XLOOKUP(B2806,repete!A:A,repete!A:A),"-")</f>
        <v>-</v>
      </c>
    </row>
    <row r="2807" spans="1:13">
      <c r="A2807" s="1">
        <v>46235</v>
      </c>
      <c r="B2807" t="s">
        <v>1232</v>
      </c>
      <c r="C2807" t="s">
        <v>1142</v>
      </c>
      <c r="D2807" t="s">
        <v>237</v>
      </c>
      <c r="E2807" t="s">
        <v>55</v>
      </c>
      <c r="F2807">
        <v>44</v>
      </c>
      <c r="G2807">
        <v>4</v>
      </c>
      <c r="H2807">
        <v>1.04058272632674E-3</v>
      </c>
      <c r="I2807">
        <v>9.5238095238095205E-2</v>
      </c>
      <c r="J2807" s="14" t="str">
        <f>_xlfn.XLOOKUP(B2807,CAD_PDV!A:A,CAD_PDV!B:B)</f>
        <v>PONTO CERTO COMERCIO E COMUNICAÇÕES LTDA</v>
      </c>
      <c r="K2807" s="14">
        <f>IF(IFERROR(_xlfn.XLOOKUP(B2807,Planilha2!D:D,Planilha2!H:H),0)="SIM",1,0)</f>
        <v>0</v>
      </c>
      <c r="L2807" s="14" t="str">
        <f>_xlfn.XLOOKUP(B2807,CAD_PDV!A:A,CAD_PDV!C:C)</f>
        <v>RJ/ES</v>
      </c>
      <c r="M2807" s="14" t="str">
        <f>IFERROR(_xlfn.XLOOKUP(B2807,repete!A:A,repete!A:A),"-")</f>
        <v>-</v>
      </c>
    </row>
    <row r="2808" spans="1:13">
      <c r="A2808" s="1">
        <v>46235</v>
      </c>
      <c r="B2808" t="s">
        <v>1237</v>
      </c>
      <c r="C2808" t="s">
        <v>1142</v>
      </c>
      <c r="D2808" t="s">
        <v>237</v>
      </c>
      <c r="E2808" t="s">
        <v>55</v>
      </c>
      <c r="F2808">
        <v>63</v>
      </c>
      <c r="G2808">
        <v>4</v>
      </c>
      <c r="H2808">
        <v>1.04058272632674E-3</v>
      </c>
      <c r="I2808">
        <v>6.6666666666666693E-2</v>
      </c>
      <c r="J2808" s="14" t="str">
        <f>_xlfn.XLOOKUP(B2808,CAD_PDV!A:A,CAD_PDV!B:B)</f>
        <v>PONTO CERTO COMERCIO E COMUNICAÇÕES LTDA</v>
      </c>
      <c r="K2808" s="14">
        <f>IF(IFERROR(_xlfn.XLOOKUP(B2808,Planilha2!D:D,Planilha2!H:H),0)="SIM",1,0)</f>
        <v>0</v>
      </c>
      <c r="L2808" s="14" t="str">
        <f>_xlfn.XLOOKUP(B2808,CAD_PDV!A:A,CAD_PDV!C:C)</f>
        <v>RJ/ES</v>
      </c>
      <c r="M2808" s="14" t="str">
        <f>IFERROR(_xlfn.XLOOKUP(B2808,repete!A:A,repete!A:A),"-")</f>
        <v>-</v>
      </c>
    </row>
    <row r="2809" spans="1:13">
      <c r="A2809" s="1">
        <v>46235</v>
      </c>
      <c r="B2809" t="s">
        <v>1335</v>
      </c>
      <c r="C2809" t="s">
        <v>1313</v>
      </c>
      <c r="D2809" t="s">
        <v>225</v>
      </c>
      <c r="E2809" t="s">
        <v>53</v>
      </c>
      <c r="F2809">
        <v>30</v>
      </c>
      <c r="G2809">
        <v>4</v>
      </c>
      <c r="H2809">
        <v>1.04058272632674E-3</v>
      </c>
      <c r="I2809">
        <v>0.14285714285714299</v>
      </c>
      <c r="J2809" s="14" t="str">
        <f>_xlfn.XLOOKUP(B2809,CAD_PDV!A:A,CAD_PDV!B:B)</f>
        <v>CLARICELL SP1</v>
      </c>
      <c r="K2809" s="14">
        <f>IF(IFERROR(_xlfn.XLOOKUP(B2809,Planilha2!D:D,Planilha2!H:H),0)="SIM",1,0)</f>
        <v>0</v>
      </c>
      <c r="L2809" s="14" t="str">
        <f>_xlfn.XLOOKUP(B2809,CAD_PDV!A:A,CAD_PDV!C:C)</f>
        <v>SP1</v>
      </c>
      <c r="M2809" s="14" t="str">
        <f>IFERROR(_xlfn.XLOOKUP(B2809,repete!A:A,repete!A:A),"-")</f>
        <v>-</v>
      </c>
    </row>
    <row r="2810" spans="1:13">
      <c r="A2810" s="1">
        <v>46235</v>
      </c>
      <c r="B2810" t="s">
        <v>2054</v>
      </c>
      <c r="C2810" t="s">
        <v>2053</v>
      </c>
      <c r="D2810" t="s">
        <v>193</v>
      </c>
      <c r="E2810" t="s">
        <v>2074</v>
      </c>
      <c r="F2810">
        <v>26</v>
      </c>
      <c r="G2810">
        <v>4</v>
      </c>
      <c r="H2810">
        <v>1.04058272632674E-3</v>
      </c>
      <c r="I2810">
        <v>0.16666666666666699</v>
      </c>
      <c r="J2810" s="14" t="str">
        <f>_xlfn.XLOOKUP(B2810,CAD_PDV!A:A,CAD_PDV!B:B)</f>
        <v>S D COMERCIO DE CELULARES LTDA - ME</v>
      </c>
      <c r="K2810" s="14">
        <f>IF(IFERROR(_xlfn.XLOOKUP(B2810,Planilha2!D:D,Planilha2!H:H),0)="SIM",1,0)</f>
        <v>0</v>
      </c>
      <c r="L2810" s="14" t="str">
        <f>_xlfn.XLOOKUP(B2810,CAD_PDV!A:A,CAD_PDV!C:C)</f>
        <v>RS</v>
      </c>
      <c r="M2810" s="14" t="str">
        <f>IFERROR(_xlfn.XLOOKUP(B2810,repete!A:A,repete!A:A),"-")</f>
        <v>-</v>
      </c>
    </row>
    <row r="2811" spans="1:13">
      <c r="A2811" s="1">
        <v>46235</v>
      </c>
      <c r="B2811" t="s">
        <v>1868</v>
      </c>
      <c r="C2811" t="s">
        <v>1870</v>
      </c>
      <c r="D2811" t="s">
        <v>124</v>
      </c>
      <c r="E2811" t="s">
        <v>2074</v>
      </c>
      <c r="F2811">
        <v>16</v>
      </c>
      <c r="G2811">
        <v>4</v>
      </c>
      <c r="H2811">
        <v>1.04058272632674E-3</v>
      </c>
      <c r="I2811">
        <v>0.28571428571428598</v>
      </c>
      <c r="J2811" s="14" t="str">
        <f>_xlfn.XLOOKUP(B2811,CAD_PDV!A:A,CAD_PDV!B:B)</f>
        <v>EDUARDO JUNQUEIRA DA SILVEIRA ADMIN</v>
      </c>
      <c r="K2811" s="14">
        <f>IF(IFERROR(_xlfn.XLOOKUP(B2811,Planilha2!D:D,Planilha2!H:H),0)="SIM",1,0)</f>
        <v>0</v>
      </c>
      <c r="L2811" s="14" t="str">
        <f>_xlfn.XLOOKUP(B2811,CAD_PDV!A:A,CAD_PDV!C:C)</f>
        <v>RS</v>
      </c>
      <c r="M2811" s="14" t="str">
        <f>IFERROR(_xlfn.XLOOKUP(B2811,repete!A:A,repete!A:A),"-")</f>
        <v>-</v>
      </c>
    </row>
    <row r="2812" spans="1:13">
      <c r="A2812" s="1">
        <v>46235</v>
      </c>
      <c r="B2812" t="s">
        <v>595</v>
      </c>
      <c r="C2812" t="s">
        <v>596</v>
      </c>
      <c r="D2812" t="s">
        <v>239</v>
      </c>
      <c r="E2812" t="s">
        <v>56</v>
      </c>
      <c r="F2812">
        <v>75</v>
      </c>
      <c r="G2812">
        <v>4</v>
      </c>
      <c r="H2812">
        <v>1.04058272632674E-3</v>
      </c>
      <c r="I2812">
        <v>5.9701492537313397E-2</v>
      </c>
      <c r="J2812" s="14" t="str">
        <f>_xlfn.XLOOKUP(B2812,CAD_PDV!A:A,CAD_PDV!B:B)</f>
        <v>TELECELL TELEFONIA LTDA - ME</v>
      </c>
      <c r="K2812" s="14">
        <f>IF(IFERROR(_xlfn.XLOOKUP(B2812,Planilha2!D:D,Planilha2!H:H),0)="SIM",1,0)</f>
        <v>0</v>
      </c>
      <c r="L2812" s="14" t="str">
        <f>_xlfn.XLOOKUP(B2812,CAD_PDV!A:A,CAD_PDV!C:C)</f>
        <v>MG</v>
      </c>
      <c r="M2812" s="14" t="str">
        <f>IFERROR(_xlfn.XLOOKUP(B2812,repete!A:A,repete!A:A),"-")</f>
        <v>-</v>
      </c>
    </row>
    <row r="2813" spans="1:13">
      <c r="A2813" s="1">
        <v>46235</v>
      </c>
      <c r="B2813" t="s">
        <v>2043</v>
      </c>
      <c r="C2813" t="s">
        <v>2042</v>
      </c>
      <c r="D2813" t="s">
        <v>193</v>
      </c>
      <c r="E2813" t="s">
        <v>2074</v>
      </c>
      <c r="F2813">
        <v>24</v>
      </c>
      <c r="G2813">
        <v>4</v>
      </c>
      <c r="H2813">
        <v>1.04058272632674E-3</v>
      </c>
      <c r="I2813">
        <v>0.19047619047618999</v>
      </c>
      <c r="J2813" s="14" t="str">
        <f>_xlfn.XLOOKUP(B2813,CAD_PDV!A:A,CAD_PDV!B:B)</f>
        <v>S D COMERCIO DE CELULARES LTDA - ME</v>
      </c>
      <c r="K2813" s="14">
        <f>IF(IFERROR(_xlfn.XLOOKUP(B2813,Planilha2!D:D,Planilha2!H:H),0)="SIM",1,0)</f>
        <v>0</v>
      </c>
      <c r="L2813" s="14" t="str">
        <f>_xlfn.XLOOKUP(B2813,CAD_PDV!A:A,CAD_PDV!C:C)</f>
        <v>RS</v>
      </c>
      <c r="M2813" s="14" t="str">
        <f>IFERROR(_xlfn.XLOOKUP(B2813,repete!A:A,repete!A:A),"-")</f>
        <v>-</v>
      </c>
    </row>
    <row r="2814" spans="1:13">
      <c r="A2814" s="1">
        <v>46235</v>
      </c>
      <c r="B2814" t="s">
        <v>1831</v>
      </c>
      <c r="C2814" t="s">
        <v>1832</v>
      </c>
      <c r="D2814" t="s">
        <v>95</v>
      </c>
      <c r="E2814" t="s">
        <v>2074</v>
      </c>
      <c r="F2814">
        <v>17</v>
      </c>
      <c r="G2814">
        <v>4</v>
      </c>
      <c r="H2814">
        <v>1.04058272632674E-3</v>
      </c>
      <c r="I2814">
        <v>0.23529411764705899</v>
      </c>
      <c r="J2814" s="14" t="str">
        <f>_xlfn.XLOOKUP(B2814,CAD_PDV!A:A,CAD_PDV!B:B)</f>
        <v>AYRES E DEBONI LTDA - ME</v>
      </c>
      <c r="K2814" s="14">
        <f>IF(IFERROR(_xlfn.XLOOKUP(B2814,Planilha2!D:D,Planilha2!H:H),0)="SIM",1,0)</f>
        <v>0</v>
      </c>
      <c r="L2814" s="14" t="str">
        <f>_xlfn.XLOOKUP(B2814,CAD_PDV!A:A,CAD_PDV!C:C)</f>
        <v>RS</v>
      </c>
      <c r="M2814" s="14" t="str">
        <f>IFERROR(_xlfn.XLOOKUP(B2814,repete!A:A,repete!A:A),"-")</f>
        <v>-</v>
      </c>
    </row>
    <row r="2815" spans="1:13">
      <c r="A2815" s="1">
        <v>46235</v>
      </c>
      <c r="B2815" t="s">
        <v>714</v>
      </c>
      <c r="C2815" t="s">
        <v>713</v>
      </c>
      <c r="D2815" t="s">
        <v>239</v>
      </c>
      <c r="E2815" t="s">
        <v>59</v>
      </c>
      <c r="F2815">
        <v>17</v>
      </c>
      <c r="G2815">
        <v>4</v>
      </c>
      <c r="H2815">
        <v>1.04058272632674E-3</v>
      </c>
      <c r="I2815">
        <v>0.23529411764705899</v>
      </c>
      <c r="J2815" s="14" t="str">
        <f>_xlfn.XLOOKUP(B2815,CAD_PDV!A:A,CAD_PDV!B:B)</f>
        <v>TELECELL TELEFONIA LTDA - ME</v>
      </c>
      <c r="K2815" s="14">
        <f>IF(IFERROR(_xlfn.XLOOKUP(B2815,Planilha2!D:D,Planilha2!H:H),0)="SIM",1,0)</f>
        <v>0</v>
      </c>
      <c r="L2815" s="14" t="str">
        <f>_xlfn.XLOOKUP(B2815,CAD_PDV!A:A,CAD_PDV!C:C)</f>
        <v>CO</v>
      </c>
      <c r="M2815" s="14" t="str">
        <f>IFERROR(_xlfn.XLOOKUP(B2815,repete!A:A,repete!A:A),"-")</f>
        <v>-</v>
      </c>
    </row>
    <row r="2816" spans="1:13">
      <c r="A2816" s="1">
        <v>46235</v>
      </c>
      <c r="B2816" t="s">
        <v>2063</v>
      </c>
      <c r="C2816" t="s">
        <v>2064</v>
      </c>
      <c r="D2816" t="s">
        <v>240</v>
      </c>
      <c r="E2816" t="s">
        <v>59</v>
      </c>
      <c r="F2816">
        <v>26</v>
      </c>
      <c r="G2816">
        <v>4</v>
      </c>
      <c r="H2816">
        <v>1.04058272632674E-3</v>
      </c>
      <c r="I2816">
        <v>0.16</v>
      </c>
      <c r="J2816" s="14" t="str">
        <f>_xlfn.XLOOKUP(B2816,CAD_PDV!A:A,CAD_PDV!B:B)</f>
        <v>TELEMAIS TELEFONIA LTDA - ME</v>
      </c>
      <c r="K2816" s="14">
        <f>IF(IFERROR(_xlfn.XLOOKUP(B2816,Planilha2!D:D,Planilha2!H:H),0)="SIM",1,0)</f>
        <v>0</v>
      </c>
      <c r="L2816" s="14" t="str">
        <f>_xlfn.XLOOKUP(B2816,CAD_PDV!A:A,CAD_PDV!C:C)</f>
        <v>CO</v>
      </c>
      <c r="M2816" s="14" t="str">
        <f>IFERROR(_xlfn.XLOOKUP(B2816,repete!A:A,repete!A:A),"-")</f>
        <v>-</v>
      </c>
    </row>
    <row r="2817" spans="1:13">
      <c r="A2817" s="1">
        <v>46235</v>
      </c>
      <c r="B2817" t="s">
        <v>1933</v>
      </c>
      <c r="C2817" t="s">
        <v>1934</v>
      </c>
      <c r="D2817" t="s">
        <v>103</v>
      </c>
      <c r="E2817" t="s">
        <v>2074</v>
      </c>
      <c r="F2817">
        <v>33</v>
      </c>
      <c r="G2817">
        <v>4</v>
      </c>
      <c r="H2817">
        <v>1.04058272632674E-3</v>
      </c>
      <c r="I2817">
        <v>0.133333333333333</v>
      </c>
      <c r="J2817" s="14" t="str">
        <f>_xlfn.XLOOKUP(B2817,CAD_PDV!A:A,CAD_PDV!B:B)</f>
        <v>CARLOS EDUARDO SAVIAN - EPP</v>
      </c>
      <c r="K2817" s="14">
        <f>IF(IFERROR(_xlfn.XLOOKUP(B2817,Planilha2!D:D,Planilha2!H:H),0)="SIM",1,0)</f>
        <v>0</v>
      </c>
      <c r="L2817" s="14" t="str">
        <f>_xlfn.XLOOKUP(B2817,CAD_PDV!A:A,CAD_PDV!C:C)</f>
        <v>PR/SC</v>
      </c>
      <c r="M2817" s="14" t="str">
        <f>IFERROR(_xlfn.XLOOKUP(B2817,repete!A:A,repete!A:A),"-")</f>
        <v>-</v>
      </c>
    </row>
    <row r="2818" spans="1:13">
      <c r="A2818" s="1">
        <v>46235</v>
      </c>
      <c r="B2818" t="s">
        <v>658</v>
      </c>
      <c r="C2818" t="s">
        <v>659</v>
      </c>
      <c r="D2818" t="s">
        <v>239</v>
      </c>
      <c r="E2818" t="s">
        <v>59</v>
      </c>
      <c r="F2818">
        <v>29</v>
      </c>
      <c r="G2818">
        <v>4</v>
      </c>
      <c r="H2818">
        <v>1.04058272632674E-3</v>
      </c>
      <c r="I2818">
        <v>0.16666666666666699</v>
      </c>
      <c r="J2818" s="14" t="str">
        <f>_xlfn.XLOOKUP(B2818,CAD_PDV!A:A,CAD_PDV!B:B)</f>
        <v>TELECELL TELEFONIA LTDA - ME</v>
      </c>
      <c r="K2818" s="14">
        <f>IF(IFERROR(_xlfn.XLOOKUP(B2818,Planilha2!D:D,Planilha2!H:H),0)="SIM",1,0)</f>
        <v>0</v>
      </c>
      <c r="L2818" s="14" t="str">
        <f>_xlfn.XLOOKUP(B2818,CAD_PDV!A:A,CAD_PDV!C:C)</f>
        <v>CO</v>
      </c>
      <c r="M2818" s="14" t="str">
        <f>IFERROR(_xlfn.XLOOKUP(B2818,repete!A:A,repete!A:A),"-")</f>
        <v>-</v>
      </c>
    </row>
    <row r="2819" spans="1:13">
      <c r="A2819" s="1">
        <v>46235</v>
      </c>
      <c r="B2819" t="s">
        <v>1982</v>
      </c>
      <c r="C2819" t="s">
        <v>1983</v>
      </c>
      <c r="D2819" t="s">
        <v>97</v>
      </c>
      <c r="E2819" t="s">
        <v>2074</v>
      </c>
      <c r="F2819">
        <v>15</v>
      </c>
      <c r="G2819">
        <v>4</v>
      </c>
      <c r="H2819">
        <v>1.04058272632674E-3</v>
      </c>
      <c r="I2819">
        <v>0.30769230769230799</v>
      </c>
      <c r="J2819" s="14" t="str">
        <f>_xlfn.XLOOKUP(B2819,CAD_PDV!A:A,CAD_PDV!B:B)</f>
        <v>BANDEIRA</v>
      </c>
      <c r="K2819" s="14">
        <f>IF(IFERROR(_xlfn.XLOOKUP(B2819,Planilha2!D:D,Planilha2!H:H),0)="SIM",1,0)</f>
        <v>0</v>
      </c>
      <c r="L2819" s="14" t="str">
        <f>_xlfn.XLOOKUP(B2819,CAD_PDV!A:A,CAD_PDV!C:C)</f>
        <v>PR/SC</v>
      </c>
      <c r="M2819" s="14" t="str">
        <f>IFERROR(_xlfn.XLOOKUP(B2819,repete!A:A,repete!A:A),"-")</f>
        <v>-</v>
      </c>
    </row>
    <row r="2820" spans="1:13">
      <c r="A2820" s="1">
        <v>46235</v>
      </c>
      <c r="B2820" t="s">
        <v>1178</v>
      </c>
      <c r="C2820" t="s">
        <v>1180</v>
      </c>
      <c r="D2820" t="s">
        <v>228</v>
      </c>
      <c r="E2820" t="s">
        <v>55</v>
      </c>
      <c r="F2820">
        <v>57</v>
      </c>
      <c r="G2820">
        <v>4</v>
      </c>
      <c r="H2820">
        <v>1.04058272632674E-3</v>
      </c>
      <c r="I2820">
        <v>7.5471698113207503E-2</v>
      </c>
      <c r="J2820" s="14" t="str">
        <f>_xlfn.XLOOKUP(B2820,CAD_PDV!A:A,CAD_PDV!B:B)</f>
        <v>FAJULUTI</v>
      </c>
      <c r="K2820" s="14">
        <f>IF(IFERROR(_xlfn.XLOOKUP(B2820,Planilha2!D:D,Planilha2!H:H),0)="SIM",1,0)</f>
        <v>0</v>
      </c>
      <c r="L2820" s="14" t="str">
        <f>_xlfn.XLOOKUP(B2820,CAD_PDV!A:A,CAD_PDV!C:C)</f>
        <v>RJ/ES</v>
      </c>
      <c r="M2820" s="14" t="str">
        <f>IFERROR(_xlfn.XLOOKUP(B2820,repete!A:A,repete!A:A),"-")</f>
        <v>-</v>
      </c>
    </row>
    <row r="2821" spans="1:13">
      <c r="A2821" s="1">
        <v>46235</v>
      </c>
      <c r="B2821" t="s">
        <v>1733</v>
      </c>
      <c r="C2821" t="s">
        <v>1734</v>
      </c>
      <c r="D2821" t="s">
        <v>220</v>
      </c>
      <c r="E2821" t="s">
        <v>54</v>
      </c>
      <c r="F2821">
        <v>14</v>
      </c>
      <c r="G2821">
        <v>4</v>
      </c>
      <c r="H2821">
        <v>1.04058272632674E-3</v>
      </c>
      <c r="I2821">
        <v>0.33333333333333298</v>
      </c>
      <c r="J2821" s="14" t="str">
        <f>_xlfn.XLOOKUP(B2821,CAD_PDV!A:A,CAD_PDV!B:B)</f>
        <v>ADESIENE NUNES MACHADO - ME</v>
      </c>
      <c r="K2821" s="14">
        <f>IF(IFERROR(_xlfn.XLOOKUP(B2821,Planilha2!D:D,Planilha2!H:H),0)="SIM",1,0)</f>
        <v>0</v>
      </c>
      <c r="L2821" s="14" t="str">
        <f>_xlfn.XLOOKUP(B2821,CAD_PDV!A:A,CAD_PDV!C:C)</f>
        <v>SP2</v>
      </c>
      <c r="M2821" s="14" t="str">
        <f>IFERROR(_xlfn.XLOOKUP(B2821,repete!A:A,repete!A:A),"-")</f>
        <v>YEZ1</v>
      </c>
    </row>
    <row r="2822" spans="1:13">
      <c r="A2822" s="1">
        <v>46235</v>
      </c>
      <c r="B2822" t="s">
        <v>2009</v>
      </c>
      <c r="C2822" t="s">
        <v>2010</v>
      </c>
      <c r="D2822" t="s">
        <v>190</v>
      </c>
      <c r="E2822" t="s">
        <v>2074</v>
      </c>
      <c r="F2822">
        <v>64</v>
      </c>
      <c r="G2822">
        <v>4</v>
      </c>
      <c r="H2822">
        <v>1.04058272632674E-3</v>
      </c>
      <c r="I2822">
        <v>6.4516129032258104E-2</v>
      </c>
      <c r="J2822" s="14" t="str">
        <f>_xlfn.XLOOKUP(B2822,CAD_PDV!A:A,CAD_PDV!B:B)</f>
        <v>RDJ TELECOMUNICACOES LTDA</v>
      </c>
      <c r="K2822" s="14">
        <f>IF(IFERROR(_xlfn.XLOOKUP(B2822,Planilha2!D:D,Planilha2!H:H),0)="SIM",1,0)</f>
        <v>0</v>
      </c>
      <c r="L2822" s="14" t="str">
        <f>_xlfn.XLOOKUP(B2822,CAD_PDV!A:A,CAD_PDV!C:C)</f>
        <v>PR/SC</v>
      </c>
      <c r="M2822" s="14" t="str">
        <f>IFERROR(_xlfn.XLOOKUP(B2822,repete!A:A,repete!A:A),"-")</f>
        <v>-</v>
      </c>
    </row>
    <row r="2823" spans="1:13">
      <c r="A2823" s="1">
        <v>46235</v>
      </c>
      <c r="B2823" t="s">
        <v>1840</v>
      </c>
      <c r="C2823" t="s">
        <v>1839</v>
      </c>
      <c r="D2823" t="s">
        <v>124</v>
      </c>
      <c r="E2823" t="s">
        <v>2074</v>
      </c>
      <c r="F2823">
        <v>17</v>
      </c>
      <c r="G2823">
        <v>3</v>
      </c>
      <c r="H2823">
        <v>7.8043704474505698E-4</v>
      </c>
      <c r="I2823">
        <v>0.214285714285714</v>
      </c>
      <c r="J2823" s="14" t="str">
        <f>_xlfn.XLOOKUP(B2823,CAD_PDV!A:A,CAD_PDV!B:B)</f>
        <v>EDUARDO JUNQUEIRA DA SILVEIRA ADMIN</v>
      </c>
      <c r="K2823" s="14">
        <f>IF(IFERROR(_xlfn.XLOOKUP(B2823,Planilha2!D:D,Planilha2!H:H),0)="SIM",1,0)</f>
        <v>0</v>
      </c>
      <c r="L2823" s="14" t="str">
        <f>_xlfn.XLOOKUP(B2823,CAD_PDV!A:A,CAD_PDV!C:C)</f>
        <v>RS</v>
      </c>
      <c r="M2823" s="14" t="str">
        <f>IFERROR(_xlfn.XLOOKUP(B2823,repete!A:A,repete!A:A),"-")</f>
        <v>-</v>
      </c>
    </row>
    <row r="2824" spans="1:13">
      <c r="A2824" s="1">
        <v>46235</v>
      </c>
      <c r="B2824" t="s">
        <v>844</v>
      </c>
      <c r="C2824" t="s">
        <v>845</v>
      </c>
      <c r="D2824" t="s">
        <v>239</v>
      </c>
      <c r="E2824" t="s">
        <v>59</v>
      </c>
      <c r="F2824">
        <v>20</v>
      </c>
      <c r="G2824">
        <v>3</v>
      </c>
      <c r="H2824">
        <v>7.8043704474505698E-4</v>
      </c>
      <c r="I2824">
        <v>0.157894736842105</v>
      </c>
      <c r="J2824" s="14" t="str">
        <f>_xlfn.XLOOKUP(B2824,CAD_PDV!A:A,CAD_PDV!B:B)</f>
        <v>TELECELL TELEFONIA LTDA - ME</v>
      </c>
      <c r="K2824" s="14">
        <f>IF(IFERROR(_xlfn.XLOOKUP(B2824,Planilha2!D:D,Planilha2!H:H),0)="SIM",1,0)</f>
        <v>0</v>
      </c>
      <c r="L2824" s="14" t="str">
        <f>_xlfn.XLOOKUP(B2824,CAD_PDV!A:A,CAD_PDV!C:C)</f>
        <v>CO</v>
      </c>
      <c r="M2824" s="14" t="str">
        <f>IFERROR(_xlfn.XLOOKUP(B2824,repete!A:A,repete!A:A),"-")</f>
        <v>-</v>
      </c>
    </row>
    <row r="2825" spans="1:13">
      <c r="A2825" s="1">
        <v>46235</v>
      </c>
      <c r="B2825" t="s">
        <v>299</v>
      </c>
      <c r="C2825" t="s">
        <v>300</v>
      </c>
      <c r="D2825" t="s">
        <v>238</v>
      </c>
      <c r="E2825" t="s">
        <v>61</v>
      </c>
      <c r="F2825">
        <v>25</v>
      </c>
      <c r="G2825">
        <v>3</v>
      </c>
      <c r="H2825">
        <v>7.8043704474505698E-4</v>
      </c>
      <c r="I2825">
        <v>0.13043478260869601</v>
      </c>
      <c r="J2825" s="14" t="str">
        <f>_xlfn.XLOOKUP(B2825,CAD_PDV!A:A,CAD_PDV!B:B)</f>
        <v>R &amp; R HIPER COMERCIO LTDA</v>
      </c>
      <c r="K2825" s="14">
        <f>IF(IFERROR(_xlfn.XLOOKUP(B2825,Planilha2!D:D,Planilha2!H:H),0)="SIM",1,0)</f>
        <v>0</v>
      </c>
      <c r="L2825" s="14" t="str">
        <f>_xlfn.XLOOKUP(B2825,CAD_PDV!A:A,CAD_PDV!C:C)</f>
        <v>NE</v>
      </c>
      <c r="M2825" s="14" t="str">
        <f>IFERROR(_xlfn.XLOOKUP(B2825,repete!A:A,repete!A:A),"-")</f>
        <v>-</v>
      </c>
    </row>
    <row r="2826" spans="1:13">
      <c r="A2826" s="1">
        <v>46235</v>
      </c>
      <c r="B2826" t="s">
        <v>1273</v>
      </c>
      <c r="C2826" t="s">
        <v>1204</v>
      </c>
      <c r="D2826" t="s">
        <v>2072</v>
      </c>
      <c r="E2826" t="s">
        <v>55</v>
      </c>
      <c r="F2826">
        <v>38</v>
      </c>
      <c r="G2826">
        <v>3</v>
      </c>
      <c r="H2826">
        <v>7.8043704474505698E-4</v>
      </c>
      <c r="I2826">
        <v>8.5714285714285701E-2</v>
      </c>
      <c r="J2826" s="14" t="str">
        <f>_xlfn.XLOOKUP(B2826,CAD_PDV!A:A,CAD_PDV!B:B)</f>
        <v>MEXCELL COMERCIO E SERVICOS DE TELECOMUNICACOES LTDA</v>
      </c>
      <c r="K2826" s="14">
        <f>IF(IFERROR(_xlfn.XLOOKUP(B2826,Planilha2!D:D,Planilha2!H:H),0)="SIM",1,0)</f>
        <v>0</v>
      </c>
      <c r="L2826" s="14" t="str">
        <f>_xlfn.XLOOKUP(B2826,CAD_PDV!A:A,CAD_PDV!C:C)</f>
        <v>RJ/ES</v>
      </c>
      <c r="M2826" s="14" t="str">
        <f>IFERROR(_xlfn.XLOOKUP(B2826,repete!A:A,repete!A:A),"-")</f>
        <v>-</v>
      </c>
    </row>
    <row r="2827" spans="1:13">
      <c r="A2827" s="1">
        <v>46235</v>
      </c>
      <c r="B2827" t="s">
        <v>1191</v>
      </c>
      <c r="C2827" t="s">
        <v>1194</v>
      </c>
      <c r="D2827" t="s">
        <v>2072</v>
      </c>
      <c r="E2827" t="s">
        <v>55</v>
      </c>
      <c r="F2827">
        <v>7</v>
      </c>
      <c r="G2827">
        <v>3</v>
      </c>
      <c r="H2827">
        <v>7.8043704474505698E-4</v>
      </c>
      <c r="I2827">
        <v>0.42857142857142899</v>
      </c>
      <c r="J2827" s="14" t="str">
        <f>_xlfn.XLOOKUP(B2827,CAD_PDV!A:A,CAD_PDV!B:B)</f>
        <v>MEXCELL COMERCIO E SERVICOS DE TELECOMUNICACOES LTDA</v>
      </c>
      <c r="K2827" s="14">
        <f>IF(IFERROR(_xlfn.XLOOKUP(B2827,Planilha2!D:D,Planilha2!H:H),0)="SIM",1,0)</f>
        <v>0</v>
      </c>
      <c r="L2827" s="14" t="str">
        <f>_xlfn.XLOOKUP(B2827,CAD_PDV!A:A,CAD_PDV!C:C)</f>
        <v>RJ/ES</v>
      </c>
      <c r="M2827" s="14" t="str">
        <f>IFERROR(_xlfn.XLOOKUP(B2827,repete!A:A,repete!A:A),"-")</f>
        <v>-</v>
      </c>
    </row>
    <row r="2828" spans="1:13">
      <c r="A2828" s="1">
        <v>46235</v>
      </c>
      <c r="B2828" t="s">
        <v>306</v>
      </c>
      <c r="C2828" t="s">
        <v>308</v>
      </c>
      <c r="D2828" t="s">
        <v>230</v>
      </c>
      <c r="E2828" t="s">
        <v>61</v>
      </c>
      <c r="F2828">
        <v>22</v>
      </c>
      <c r="G2828">
        <v>3</v>
      </c>
      <c r="H2828">
        <v>7.8043704474505698E-4</v>
      </c>
      <c r="I2828">
        <v>0.14285714285714299</v>
      </c>
      <c r="J2828" s="14" t="str">
        <f>_xlfn.XLOOKUP(B2828,CAD_PDV!A:A,CAD_PDV!B:B)</f>
        <v>HARCOS COMERCIO E SERVICOS LTDA - EPP</v>
      </c>
      <c r="K2828" s="14">
        <f>IF(IFERROR(_xlfn.XLOOKUP(B2828,Planilha2!D:D,Planilha2!H:H),0)="SIM",1,0)</f>
        <v>0</v>
      </c>
      <c r="L2828" s="14" t="str">
        <f>_xlfn.XLOOKUP(B2828,CAD_PDV!A:A,CAD_PDV!C:C)</f>
        <v>NE</v>
      </c>
      <c r="M2828" s="14" t="str">
        <f>IFERROR(_xlfn.XLOOKUP(B2828,repete!A:A,repete!A:A),"-")</f>
        <v>-</v>
      </c>
    </row>
    <row r="2829" spans="1:13">
      <c r="A2829" s="1">
        <v>46235</v>
      </c>
      <c r="B2829" t="s">
        <v>1199</v>
      </c>
      <c r="C2829" t="s">
        <v>1159</v>
      </c>
      <c r="D2829" t="s">
        <v>237</v>
      </c>
      <c r="E2829" t="s">
        <v>55</v>
      </c>
      <c r="F2829">
        <v>53</v>
      </c>
      <c r="G2829">
        <v>3</v>
      </c>
      <c r="H2829">
        <v>7.8043704474505698E-4</v>
      </c>
      <c r="I2829">
        <v>5.8823529411764698E-2</v>
      </c>
      <c r="J2829" s="14" t="str">
        <f>_xlfn.XLOOKUP(B2829,CAD_PDV!A:A,CAD_PDV!B:B)</f>
        <v>PONTO CERTO COMERCIO E COMUNICAÇÕES LTDA</v>
      </c>
      <c r="K2829" s="14">
        <f>IF(IFERROR(_xlfn.XLOOKUP(B2829,Planilha2!D:D,Planilha2!H:H),0)="SIM",1,0)</f>
        <v>0</v>
      </c>
      <c r="L2829" s="14" t="str">
        <f>_xlfn.XLOOKUP(B2829,CAD_PDV!A:A,CAD_PDV!C:C)</f>
        <v>RJ/ES</v>
      </c>
      <c r="M2829" s="14" t="str">
        <f>IFERROR(_xlfn.XLOOKUP(B2829,repete!A:A,repete!A:A),"-")</f>
        <v>-</v>
      </c>
    </row>
    <row r="2830" spans="1:13">
      <c r="A2830" s="1">
        <v>46235</v>
      </c>
      <c r="B2830" t="s">
        <v>743</v>
      </c>
      <c r="C2830" t="s">
        <v>619</v>
      </c>
      <c r="D2830" t="s">
        <v>240</v>
      </c>
      <c r="E2830" t="s">
        <v>59</v>
      </c>
      <c r="F2830">
        <v>16</v>
      </c>
      <c r="G2830">
        <v>3</v>
      </c>
      <c r="H2830">
        <v>7.8043704474505698E-4</v>
      </c>
      <c r="I2830">
        <v>0.230769230769231</v>
      </c>
      <c r="J2830" s="14" t="str">
        <f>_xlfn.XLOOKUP(B2830,CAD_PDV!A:A,CAD_PDV!B:B)</f>
        <v>TELEMAIS TELEFONIA LTDA - ME</v>
      </c>
      <c r="K2830" s="14">
        <f>IF(IFERROR(_xlfn.XLOOKUP(B2830,Planilha2!D:D,Planilha2!H:H),0)="SIM",1,0)</f>
        <v>0</v>
      </c>
      <c r="L2830" s="14" t="str">
        <f>_xlfn.XLOOKUP(B2830,CAD_PDV!A:A,CAD_PDV!C:C)</f>
        <v>CO</v>
      </c>
      <c r="M2830" s="14" t="str">
        <f>IFERROR(_xlfn.XLOOKUP(B2830,repete!A:A,repete!A:A),"-")</f>
        <v>-</v>
      </c>
    </row>
    <row r="2831" spans="1:13">
      <c r="A2831" s="1">
        <v>46235</v>
      </c>
      <c r="B2831" t="s">
        <v>488</v>
      </c>
      <c r="C2831" t="s">
        <v>489</v>
      </c>
      <c r="D2831" t="s">
        <v>228</v>
      </c>
      <c r="E2831" t="s">
        <v>56</v>
      </c>
      <c r="F2831">
        <v>12</v>
      </c>
      <c r="G2831">
        <v>3</v>
      </c>
      <c r="H2831">
        <v>7.8043704474505698E-4</v>
      </c>
      <c r="I2831">
        <v>0.25</v>
      </c>
      <c r="J2831" s="14" t="str">
        <f>_xlfn.XLOOKUP(B2831,CAD_PDV!A:A,CAD_PDV!B:B)</f>
        <v>FAJULUTI</v>
      </c>
      <c r="K2831" s="14">
        <f>IF(IFERROR(_xlfn.XLOOKUP(B2831,Planilha2!D:D,Planilha2!H:H),0)="SIM",1,0)</f>
        <v>0</v>
      </c>
      <c r="L2831" s="14" t="str">
        <f>_xlfn.XLOOKUP(B2831,CAD_PDV!A:A,CAD_PDV!C:C)</f>
        <v>MG</v>
      </c>
      <c r="M2831" s="14" t="str">
        <f>IFERROR(_xlfn.XLOOKUP(B2831,repete!A:A,repete!A:A),"-")</f>
        <v>-</v>
      </c>
    </row>
    <row r="2832" spans="1:13">
      <c r="A2832" s="1">
        <v>46235</v>
      </c>
      <c r="B2832" t="s">
        <v>310</v>
      </c>
      <c r="C2832" t="s">
        <v>311</v>
      </c>
      <c r="D2832" t="s">
        <v>230</v>
      </c>
      <c r="E2832" t="s">
        <v>61</v>
      </c>
      <c r="F2832">
        <v>32</v>
      </c>
      <c r="G2832">
        <v>3</v>
      </c>
      <c r="H2832">
        <v>7.8043704474505698E-4</v>
      </c>
      <c r="I2832">
        <v>0.1</v>
      </c>
      <c r="J2832" s="14" t="str">
        <f>_xlfn.XLOOKUP(B2832,CAD_PDV!A:A,CAD_PDV!B:B)</f>
        <v>HARCOS COMERCIO E SERVICOS LTDA - EPP</v>
      </c>
      <c r="K2832" s="14">
        <f>IF(IFERROR(_xlfn.XLOOKUP(B2832,Planilha2!D:D,Planilha2!H:H),0)="SIM",1,0)</f>
        <v>0</v>
      </c>
      <c r="L2832" s="14" t="str">
        <f>_xlfn.XLOOKUP(B2832,CAD_PDV!A:A,CAD_PDV!C:C)</f>
        <v>NE</v>
      </c>
      <c r="M2832" s="14" t="str">
        <f>IFERROR(_xlfn.XLOOKUP(B2832,repete!A:A,repete!A:A),"-")</f>
        <v>-</v>
      </c>
    </row>
    <row r="2833" spans="1:13">
      <c r="A2833" s="1">
        <v>46235</v>
      </c>
      <c r="B2833" t="s">
        <v>1396</v>
      </c>
      <c r="C2833" t="s">
        <v>1366</v>
      </c>
      <c r="D2833" t="s">
        <v>106</v>
      </c>
      <c r="E2833" t="s">
        <v>53</v>
      </c>
      <c r="F2833">
        <v>39</v>
      </c>
      <c r="G2833">
        <v>3</v>
      </c>
      <c r="H2833">
        <v>7.8043704474505698E-4</v>
      </c>
      <c r="I2833">
        <v>8.5714285714285701E-2</v>
      </c>
      <c r="J2833" s="14" t="str">
        <f>_xlfn.XLOOKUP(B2833,CAD_PDV!A:A,CAD_PDV!B:B)</f>
        <v>CELLULAR.COM</v>
      </c>
      <c r="K2833" s="14">
        <f>IF(IFERROR(_xlfn.XLOOKUP(B2833,Planilha2!D:D,Planilha2!H:H),0)="SIM",1,0)</f>
        <v>0</v>
      </c>
      <c r="L2833" s="14" t="str">
        <f>_xlfn.XLOOKUP(B2833,CAD_PDV!A:A,CAD_PDV!C:C)</f>
        <v>SP1</v>
      </c>
      <c r="M2833" s="14" t="str">
        <f>IFERROR(_xlfn.XLOOKUP(B2833,repete!A:A,repete!A:A),"-")</f>
        <v>-</v>
      </c>
    </row>
    <row r="2834" spans="1:13">
      <c r="A2834" s="1">
        <v>46235</v>
      </c>
      <c r="B2834" t="s">
        <v>1758</v>
      </c>
      <c r="C2834" t="s">
        <v>1757</v>
      </c>
      <c r="D2834" t="s">
        <v>124</v>
      </c>
      <c r="E2834" t="s">
        <v>2074</v>
      </c>
      <c r="F2834">
        <v>46</v>
      </c>
      <c r="G2834">
        <v>3</v>
      </c>
      <c r="H2834">
        <v>7.8043704474505698E-4</v>
      </c>
      <c r="I2834">
        <v>6.8181818181818205E-2</v>
      </c>
      <c r="J2834" s="14" t="str">
        <f>_xlfn.XLOOKUP(B2834,CAD_PDV!A:A,CAD_PDV!B:B)</f>
        <v>EDUARDO JUNQUEIRA DA SILVEIRA ADMIN</v>
      </c>
      <c r="K2834" s="14">
        <f>IF(IFERROR(_xlfn.XLOOKUP(B2834,Planilha2!D:D,Planilha2!H:H),0)="SIM",1,0)</f>
        <v>0</v>
      </c>
      <c r="L2834" s="14" t="str">
        <f>_xlfn.XLOOKUP(B2834,CAD_PDV!A:A,CAD_PDV!C:C)</f>
        <v>RS</v>
      </c>
      <c r="M2834" s="14" t="str">
        <f>IFERROR(_xlfn.XLOOKUP(B2834,repete!A:A,repete!A:A),"-")</f>
        <v>5D78</v>
      </c>
    </row>
    <row r="2835" spans="1:13">
      <c r="A2835" s="1">
        <v>46235</v>
      </c>
      <c r="B2835" t="s">
        <v>1347</v>
      </c>
      <c r="C2835" t="s">
        <v>1346</v>
      </c>
      <c r="D2835" t="s">
        <v>229</v>
      </c>
      <c r="E2835" t="s">
        <v>53</v>
      </c>
      <c r="F2835">
        <v>52</v>
      </c>
      <c r="G2835">
        <v>3</v>
      </c>
      <c r="H2835">
        <v>7.8043704474505698E-4</v>
      </c>
      <c r="I2835">
        <v>6.1224489795918401E-2</v>
      </c>
      <c r="J2835" s="14" t="str">
        <f>_xlfn.XLOOKUP(B2835,CAD_PDV!A:A,CAD_PDV!B:B)</f>
        <v>FW TELEFONIA LTDA - EPP</v>
      </c>
      <c r="K2835" s="14">
        <f>IF(IFERROR(_xlfn.XLOOKUP(B2835,Planilha2!D:D,Planilha2!H:H),0)="SIM",1,0)</f>
        <v>0</v>
      </c>
      <c r="L2835" s="14" t="str">
        <f>_xlfn.XLOOKUP(B2835,CAD_PDV!A:A,CAD_PDV!C:C)</f>
        <v>SP1</v>
      </c>
      <c r="M2835" s="14" t="str">
        <f>IFERROR(_xlfn.XLOOKUP(B2835,repete!A:A,repete!A:A),"-")</f>
        <v>-</v>
      </c>
    </row>
    <row r="2836" spans="1:13">
      <c r="A2836" s="1">
        <v>46235</v>
      </c>
      <c r="B2836" t="s">
        <v>262</v>
      </c>
      <c r="C2836" t="s">
        <v>265</v>
      </c>
      <c r="D2836" t="s">
        <v>230</v>
      </c>
      <c r="E2836" t="s">
        <v>61</v>
      </c>
      <c r="F2836">
        <v>37</v>
      </c>
      <c r="G2836">
        <v>3</v>
      </c>
      <c r="H2836">
        <v>7.8043704474505698E-4</v>
      </c>
      <c r="I2836">
        <v>8.8235294117647106E-2</v>
      </c>
      <c r="J2836" s="14" t="str">
        <f>_xlfn.XLOOKUP(B2836,CAD_PDV!A:A,CAD_PDV!B:B)</f>
        <v>HARCOS COMERCIO E SERVICOS LTDA - EPP</v>
      </c>
      <c r="K2836" s="14">
        <f>IF(IFERROR(_xlfn.XLOOKUP(B2836,Planilha2!D:D,Planilha2!H:H),0)="SIM",1,0)</f>
        <v>0</v>
      </c>
      <c r="L2836" s="14" t="str">
        <f>_xlfn.XLOOKUP(B2836,CAD_PDV!A:A,CAD_PDV!C:C)</f>
        <v>NE</v>
      </c>
      <c r="M2836" s="14" t="str">
        <f>IFERROR(_xlfn.XLOOKUP(B2836,repete!A:A,repete!A:A),"-")</f>
        <v>-</v>
      </c>
    </row>
    <row r="2837" spans="1:13">
      <c r="A2837" s="1">
        <v>46235</v>
      </c>
      <c r="B2837" t="s">
        <v>1528</v>
      </c>
      <c r="C2837" t="s">
        <v>1454</v>
      </c>
      <c r="D2837" t="s">
        <v>132</v>
      </c>
      <c r="E2837" t="s">
        <v>54</v>
      </c>
      <c r="F2837">
        <v>23</v>
      </c>
      <c r="G2837">
        <v>3</v>
      </c>
      <c r="H2837">
        <v>7.8043704474505698E-4</v>
      </c>
      <c r="I2837">
        <v>0.15</v>
      </c>
      <c r="J2837" s="14" t="str">
        <f>_xlfn.XLOOKUP(B2837,CAD_PDV!A:A,CAD_PDV!B:B)</f>
        <v>FLEX CELL</v>
      </c>
      <c r="K2837" s="14">
        <f>IF(IFERROR(_xlfn.XLOOKUP(B2837,Planilha2!D:D,Planilha2!H:H),0)="SIM",1,0)</f>
        <v>0</v>
      </c>
      <c r="L2837" s="14" t="str">
        <f>_xlfn.XLOOKUP(B2837,CAD_PDV!A:A,CAD_PDV!C:C)</f>
        <v>SP2</v>
      </c>
      <c r="M2837" s="14" t="str">
        <f>IFERROR(_xlfn.XLOOKUP(B2837,repete!A:A,repete!A:A),"-")</f>
        <v>-</v>
      </c>
    </row>
    <row r="2838" spans="1:13">
      <c r="A2838" s="1">
        <v>46235</v>
      </c>
      <c r="B2838" t="s">
        <v>519</v>
      </c>
      <c r="C2838" t="s">
        <v>520</v>
      </c>
      <c r="D2838" t="s">
        <v>235</v>
      </c>
      <c r="E2838" t="s">
        <v>56</v>
      </c>
      <c r="F2838">
        <v>9</v>
      </c>
      <c r="G2838">
        <v>3</v>
      </c>
      <c r="H2838">
        <v>7.8043704474505698E-4</v>
      </c>
      <c r="I2838">
        <v>0.42857142857142899</v>
      </c>
      <c r="J2838" s="14" t="str">
        <f>_xlfn.XLOOKUP(B2838,CAD_PDV!A:A,CAD_PDV!B:B)</f>
        <v>P.G.L CELULARES LTDA</v>
      </c>
      <c r="K2838" s="14">
        <f>IF(IFERROR(_xlfn.XLOOKUP(B2838,Planilha2!D:D,Planilha2!H:H),0)="SIM",1,0)</f>
        <v>0</v>
      </c>
      <c r="L2838" s="14" t="str">
        <f>_xlfn.XLOOKUP(B2838,CAD_PDV!A:A,CAD_PDV!C:C)</f>
        <v>MG</v>
      </c>
      <c r="M2838" s="14" t="str">
        <f>IFERROR(_xlfn.XLOOKUP(B2838,repete!A:A,repete!A:A),"-")</f>
        <v>-</v>
      </c>
    </row>
    <row r="2839" spans="1:13">
      <c r="A2839" s="1">
        <v>46235</v>
      </c>
      <c r="B2839" t="s">
        <v>1979</v>
      </c>
      <c r="C2839" t="s">
        <v>1978</v>
      </c>
      <c r="D2839" t="s">
        <v>97</v>
      </c>
      <c r="E2839" t="s">
        <v>2074</v>
      </c>
      <c r="F2839">
        <v>9</v>
      </c>
      <c r="G2839">
        <v>3</v>
      </c>
      <c r="H2839">
        <v>7.8043704474505698E-4</v>
      </c>
      <c r="I2839">
        <v>0.33333333333333298</v>
      </c>
      <c r="J2839" s="14" t="str">
        <f>_xlfn.XLOOKUP(B2839,CAD_PDV!A:A,CAD_PDV!B:B)</f>
        <v>BANDEIRA</v>
      </c>
      <c r="K2839" s="14">
        <f>IF(IFERROR(_xlfn.XLOOKUP(B2839,Planilha2!D:D,Planilha2!H:H),0)="SIM",1,0)</f>
        <v>0</v>
      </c>
      <c r="L2839" s="14" t="str">
        <f>_xlfn.XLOOKUP(B2839,CAD_PDV!A:A,CAD_PDV!C:C)</f>
        <v>PR/SC</v>
      </c>
      <c r="M2839" s="14" t="str">
        <f>IFERROR(_xlfn.XLOOKUP(B2839,repete!A:A,repete!A:A),"-")</f>
        <v>-</v>
      </c>
    </row>
    <row r="2840" spans="1:13">
      <c r="A2840" s="1">
        <v>46235</v>
      </c>
      <c r="B2840" t="s">
        <v>999</v>
      </c>
      <c r="C2840" t="s">
        <v>1002</v>
      </c>
      <c r="D2840" t="s">
        <v>232</v>
      </c>
      <c r="E2840" t="s">
        <v>60</v>
      </c>
      <c r="F2840">
        <v>21</v>
      </c>
      <c r="G2840">
        <v>3</v>
      </c>
      <c r="H2840">
        <v>7.8043704474505698E-4</v>
      </c>
      <c r="I2840">
        <v>0.157894736842105</v>
      </c>
      <c r="J2840" s="14" t="str">
        <f>_xlfn.XLOOKUP(B2840,CAD_PDV!A:A,CAD_PDV!B:B)</f>
        <v>HS TELECOM</v>
      </c>
      <c r="K2840" s="14">
        <f>IF(IFERROR(_xlfn.XLOOKUP(B2840,Planilha2!D:D,Planilha2!H:H),0)="SIM",1,0)</f>
        <v>0</v>
      </c>
      <c r="L2840" s="14" t="str">
        <f>_xlfn.XLOOKUP(B2840,CAD_PDV!A:A,CAD_PDV!C:C)</f>
        <v>BA/SE</v>
      </c>
      <c r="M2840" s="14" t="str">
        <f>IFERROR(_xlfn.XLOOKUP(B2840,repete!A:A,repete!A:A),"-")</f>
        <v>-</v>
      </c>
    </row>
    <row r="2841" spans="1:13">
      <c r="A2841" s="1">
        <v>46235</v>
      </c>
      <c r="B2841" t="s">
        <v>1332</v>
      </c>
      <c r="C2841" t="s">
        <v>1313</v>
      </c>
      <c r="D2841" t="s">
        <v>225</v>
      </c>
      <c r="E2841" t="s">
        <v>53</v>
      </c>
      <c r="F2841">
        <v>49</v>
      </c>
      <c r="G2841">
        <v>3</v>
      </c>
      <c r="H2841">
        <v>7.8043704474505698E-4</v>
      </c>
      <c r="I2841">
        <v>6.3829787234042507E-2</v>
      </c>
      <c r="J2841" s="14" t="str">
        <f>_xlfn.XLOOKUP(B2841,CAD_PDV!A:A,CAD_PDV!B:B)</f>
        <v>CLARICELL SP1</v>
      </c>
      <c r="K2841" s="14">
        <f>IF(IFERROR(_xlfn.XLOOKUP(B2841,Planilha2!D:D,Planilha2!H:H),0)="SIM",1,0)</f>
        <v>0</v>
      </c>
      <c r="L2841" s="14" t="str">
        <f>_xlfn.XLOOKUP(B2841,CAD_PDV!A:A,CAD_PDV!C:C)</f>
        <v>SP1</v>
      </c>
      <c r="M2841" s="14" t="str">
        <f>IFERROR(_xlfn.XLOOKUP(B2841,repete!A:A,repete!A:A),"-")</f>
        <v>-</v>
      </c>
    </row>
    <row r="2842" spans="1:13">
      <c r="A2842" s="1">
        <v>46235</v>
      </c>
      <c r="B2842" t="s">
        <v>1333</v>
      </c>
      <c r="C2842" t="s">
        <v>1313</v>
      </c>
      <c r="D2842" t="s">
        <v>225</v>
      </c>
      <c r="E2842" t="s">
        <v>53</v>
      </c>
      <c r="F2842">
        <v>62</v>
      </c>
      <c r="G2842">
        <v>3</v>
      </c>
      <c r="H2842">
        <v>7.8043704474505698E-4</v>
      </c>
      <c r="I2842">
        <v>5.0847457627118599E-2</v>
      </c>
      <c r="J2842" s="14" t="str">
        <f>_xlfn.XLOOKUP(B2842,CAD_PDV!A:A,CAD_PDV!B:B)</f>
        <v>CLARICELL SP1</v>
      </c>
      <c r="K2842" s="14">
        <f>IF(IFERROR(_xlfn.XLOOKUP(B2842,Planilha2!D:D,Planilha2!H:H),0)="SIM",1,0)</f>
        <v>0</v>
      </c>
      <c r="L2842" s="14" t="str">
        <f>_xlfn.XLOOKUP(B2842,CAD_PDV!A:A,CAD_PDV!C:C)</f>
        <v>SP1</v>
      </c>
      <c r="M2842" s="14" t="str">
        <f>IFERROR(_xlfn.XLOOKUP(B2842,repete!A:A,repete!A:A),"-")</f>
        <v>-</v>
      </c>
    </row>
    <row r="2843" spans="1:13">
      <c r="A2843" s="1">
        <v>46235</v>
      </c>
      <c r="B2843" t="s">
        <v>1358</v>
      </c>
      <c r="C2843" t="s">
        <v>1357</v>
      </c>
      <c r="D2843" t="s">
        <v>132</v>
      </c>
      <c r="E2843" t="s">
        <v>53</v>
      </c>
      <c r="F2843">
        <v>41</v>
      </c>
      <c r="G2843">
        <v>3</v>
      </c>
      <c r="H2843">
        <v>7.8043704474505698E-4</v>
      </c>
      <c r="I2843">
        <v>8.1081081081081099E-2</v>
      </c>
      <c r="J2843" s="14" t="str">
        <f>_xlfn.XLOOKUP(B2843,CAD_PDV!A:A,CAD_PDV!B:B)</f>
        <v>FLEX CELL</v>
      </c>
      <c r="K2843" s="14">
        <f>IF(IFERROR(_xlfn.XLOOKUP(B2843,Planilha2!D:D,Planilha2!H:H),0)="SIM",1,0)</f>
        <v>0</v>
      </c>
      <c r="L2843" s="14" t="str">
        <f>_xlfn.XLOOKUP(B2843,CAD_PDV!A:A,CAD_PDV!C:C)</f>
        <v>SP1</v>
      </c>
      <c r="M2843" s="14" t="str">
        <f>IFERROR(_xlfn.XLOOKUP(B2843,repete!A:A,repete!A:A),"-")</f>
        <v>-</v>
      </c>
    </row>
    <row r="2844" spans="1:13">
      <c r="A2844" s="1">
        <v>46235</v>
      </c>
      <c r="B2844" t="s">
        <v>1745</v>
      </c>
      <c r="C2844" t="s">
        <v>1744</v>
      </c>
      <c r="D2844" t="s">
        <v>190</v>
      </c>
      <c r="E2844" t="s">
        <v>2074</v>
      </c>
      <c r="F2844">
        <v>73</v>
      </c>
      <c r="G2844">
        <v>3</v>
      </c>
      <c r="H2844">
        <v>7.8043704474505698E-4</v>
      </c>
      <c r="I2844">
        <v>4.2253521126760597E-2</v>
      </c>
      <c r="J2844" s="14" t="str">
        <f>_xlfn.XLOOKUP(B2844,CAD_PDV!A:A,CAD_PDV!B:B)</f>
        <v>RDJ TELECOMUNICACOES LTDA</v>
      </c>
      <c r="K2844" s="14">
        <f>IF(IFERROR(_xlfn.XLOOKUP(B2844,Planilha2!D:D,Planilha2!H:H),0)="SIM",1,0)</f>
        <v>0</v>
      </c>
      <c r="L2844" s="14" t="str">
        <f>_xlfn.XLOOKUP(B2844,CAD_PDV!A:A,CAD_PDV!C:C)</f>
        <v>PR/SC</v>
      </c>
      <c r="M2844" s="14" t="str">
        <f>IFERROR(_xlfn.XLOOKUP(B2844,repete!A:A,repete!A:A),"-")</f>
        <v>-</v>
      </c>
    </row>
    <row r="2845" spans="1:13">
      <c r="A2845" s="1">
        <v>46235</v>
      </c>
      <c r="B2845" t="s">
        <v>1359</v>
      </c>
      <c r="C2845" t="s">
        <v>1360</v>
      </c>
      <c r="D2845" t="s">
        <v>132</v>
      </c>
      <c r="E2845" t="s">
        <v>53</v>
      </c>
      <c r="F2845">
        <v>27</v>
      </c>
      <c r="G2845">
        <v>3</v>
      </c>
      <c r="H2845">
        <v>7.8043704474505698E-4</v>
      </c>
      <c r="I2845">
        <v>0.12</v>
      </c>
      <c r="J2845" s="14" t="str">
        <f>_xlfn.XLOOKUP(B2845,CAD_PDV!A:A,CAD_PDV!B:B)</f>
        <v>FLEX CELL</v>
      </c>
      <c r="K2845" s="14">
        <f>IF(IFERROR(_xlfn.XLOOKUP(B2845,Planilha2!D:D,Planilha2!H:H),0)="SIM",1,0)</f>
        <v>0</v>
      </c>
      <c r="L2845" s="14" t="str">
        <f>_xlfn.XLOOKUP(B2845,CAD_PDV!A:A,CAD_PDV!C:C)</f>
        <v>SP1</v>
      </c>
      <c r="M2845" s="14" t="str">
        <f>IFERROR(_xlfn.XLOOKUP(B2845,repete!A:A,repete!A:A),"-")</f>
        <v>-</v>
      </c>
    </row>
    <row r="2846" spans="1:13">
      <c r="A2846" s="1">
        <v>46235</v>
      </c>
      <c r="B2846" t="s">
        <v>951</v>
      </c>
      <c r="C2846" t="s">
        <v>953</v>
      </c>
      <c r="D2846" t="s">
        <v>222</v>
      </c>
      <c r="E2846" t="s">
        <v>60</v>
      </c>
      <c r="F2846">
        <v>84</v>
      </c>
      <c r="G2846">
        <v>3</v>
      </c>
      <c r="H2846">
        <v>7.8043704474505698E-4</v>
      </c>
      <c r="I2846">
        <v>3.7499999999999999E-2</v>
      </c>
      <c r="J2846" s="14" t="str">
        <f>_xlfn.XLOOKUP(B2846,CAD_PDV!A:A,CAD_PDV!B:B)</f>
        <v>ANCLA COMERCIO</v>
      </c>
      <c r="K2846" s="14">
        <f>IF(IFERROR(_xlfn.XLOOKUP(B2846,Planilha2!D:D,Planilha2!H:H),0)="SIM",1,0)</f>
        <v>0</v>
      </c>
      <c r="L2846" s="14" t="str">
        <f>_xlfn.XLOOKUP(B2846,CAD_PDV!A:A,CAD_PDV!C:C)</f>
        <v>BA/SE</v>
      </c>
      <c r="M2846" s="14" t="str">
        <f>IFERROR(_xlfn.XLOOKUP(B2846,repete!A:A,repete!A:A),"-")</f>
        <v>-</v>
      </c>
    </row>
    <row r="2847" spans="1:13">
      <c r="A2847" s="1">
        <v>46235</v>
      </c>
      <c r="B2847" t="s">
        <v>2021</v>
      </c>
      <c r="C2847" t="s">
        <v>2024</v>
      </c>
      <c r="D2847" t="s">
        <v>193</v>
      </c>
      <c r="E2847" t="s">
        <v>2074</v>
      </c>
      <c r="F2847">
        <v>22</v>
      </c>
      <c r="G2847">
        <v>3</v>
      </c>
      <c r="H2847">
        <v>7.8043704474505698E-4</v>
      </c>
      <c r="I2847">
        <v>0.15</v>
      </c>
      <c r="J2847" s="14" t="str">
        <f>_xlfn.XLOOKUP(B2847,CAD_PDV!A:A,CAD_PDV!B:B)</f>
        <v>S D COMERCIO DE CELULARES LTDA - ME</v>
      </c>
      <c r="K2847" s="14">
        <f>IF(IFERROR(_xlfn.XLOOKUP(B2847,Planilha2!D:D,Planilha2!H:H),0)="SIM",1,0)</f>
        <v>0</v>
      </c>
      <c r="L2847" s="14" t="str">
        <f>_xlfn.XLOOKUP(B2847,CAD_PDV!A:A,CAD_PDV!C:C)</f>
        <v>RS</v>
      </c>
      <c r="M2847" s="14" t="str">
        <f>IFERROR(_xlfn.XLOOKUP(B2847,repete!A:A,repete!A:A),"-")</f>
        <v>-</v>
      </c>
    </row>
    <row r="2848" spans="1:13">
      <c r="A2848" s="1">
        <v>46235</v>
      </c>
      <c r="B2848" t="s">
        <v>1236</v>
      </c>
      <c r="C2848" t="s">
        <v>1161</v>
      </c>
      <c r="D2848" t="s">
        <v>138</v>
      </c>
      <c r="E2848" t="s">
        <v>55</v>
      </c>
      <c r="F2848">
        <v>16</v>
      </c>
      <c r="G2848">
        <v>3</v>
      </c>
      <c r="H2848">
        <v>7.8043704474505698E-4</v>
      </c>
      <c r="I2848">
        <v>0.1875</v>
      </c>
      <c r="J2848" s="14" t="str">
        <f>_xlfn.XLOOKUP(B2848,CAD_PDV!A:A,CAD_PDV!B:B)</f>
        <v>GSM FREE</v>
      </c>
      <c r="K2848" s="14">
        <f>IF(IFERROR(_xlfn.XLOOKUP(B2848,Planilha2!D:D,Planilha2!H:H),0)="SIM",1,0)</f>
        <v>0</v>
      </c>
      <c r="L2848" s="14" t="str">
        <f>_xlfn.XLOOKUP(B2848,CAD_PDV!A:A,CAD_PDV!C:C)</f>
        <v>RJ/ES</v>
      </c>
      <c r="M2848" s="14" t="str">
        <f>IFERROR(_xlfn.XLOOKUP(B2848,repete!A:A,repete!A:A),"-")</f>
        <v>-</v>
      </c>
    </row>
    <row r="2849" spans="1:13">
      <c r="A2849" s="1">
        <v>46235</v>
      </c>
      <c r="B2849" t="s">
        <v>1239</v>
      </c>
      <c r="C2849" t="s">
        <v>1142</v>
      </c>
      <c r="D2849" t="s">
        <v>237</v>
      </c>
      <c r="E2849" t="s">
        <v>55</v>
      </c>
      <c r="F2849">
        <v>60</v>
      </c>
      <c r="G2849">
        <v>3</v>
      </c>
      <c r="H2849">
        <v>7.8043704474505698E-4</v>
      </c>
      <c r="I2849">
        <v>5.1724137931034503E-2</v>
      </c>
      <c r="J2849" s="14" t="str">
        <f>_xlfn.XLOOKUP(B2849,CAD_PDV!A:A,CAD_PDV!B:B)</f>
        <v>PONTO CERTO COMERCIO E COMUNICAÇÕES LTDA</v>
      </c>
      <c r="K2849" s="14">
        <f>IF(IFERROR(_xlfn.XLOOKUP(B2849,Planilha2!D:D,Planilha2!H:H),0)="SIM",1,0)</f>
        <v>0</v>
      </c>
      <c r="L2849" s="14" t="str">
        <f>_xlfn.XLOOKUP(B2849,CAD_PDV!A:A,CAD_PDV!C:C)</f>
        <v>RJ/ES</v>
      </c>
      <c r="M2849" s="14" t="str">
        <f>IFERROR(_xlfn.XLOOKUP(B2849,repete!A:A,repete!A:A),"-")</f>
        <v>-</v>
      </c>
    </row>
    <row r="2850" spans="1:13">
      <c r="A2850" s="1">
        <v>46235</v>
      </c>
      <c r="B2850" t="s">
        <v>1871</v>
      </c>
      <c r="C2850" t="s">
        <v>1872</v>
      </c>
      <c r="D2850" t="s">
        <v>124</v>
      </c>
      <c r="E2850" t="s">
        <v>2074</v>
      </c>
      <c r="F2850">
        <v>16</v>
      </c>
      <c r="G2850">
        <v>3</v>
      </c>
      <c r="H2850">
        <v>7.8043704474505698E-4</v>
      </c>
      <c r="I2850">
        <v>0.1875</v>
      </c>
      <c r="J2850" s="14" t="str">
        <f>_xlfn.XLOOKUP(B2850,CAD_PDV!A:A,CAD_PDV!B:B)</f>
        <v>EDUARDO JUNQUEIRA DA SILVEIRA ADMIN</v>
      </c>
      <c r="K2850" s="14">
        <f>IF(IFERROR(_xlfn.XLOOKUP(B2850,Planilha2!D:D,Planilha2!H:H),0)="SIM",1,0)</f>
        <v>0</v>
      </c>
      <c r="L2850" s="14" t="str">
        <f>_xlfn.XLOOKUP(B2850,CAD_PDV!A:A,CAD_PDV!C:C)</f>
        <v>RS</v>
      </c>
      <c r="M2850" s="14" t="str">
        <f>IFERROR(_xlfn.XLOOKUP(B2850,repete!A:A,repete!A:A),"-")</f>
        <v>-</v>
      </c>
    </row>
    <row r="2851" spans="1:13">
      <c r="A2851" s="1">
        <v>46235</v>
      </c>
      <c r="B2851" t="s">
        <v>1588</v>
      </c>
      <c r="C2851" t="s">
        <v>1589</v>
      </c>
      <c r="D2851" t="s">
        <v>106</v>
      </c>
      <c r="E2851" t="s">
        <v>54</v>
      </c>
      <c r="F2851">
        <v>23</v>
      </c>
      <c r="G2851">
        <v>3</v>
      </c>
      <c r="H2851">
        <v>7.8043704474505698E-4</v>
      </c>
      <c r="I2851">
        <v>0.13043478260869601</v>
      </c>
      <c r="J2851" s="14" t="str">
        <f>_xlfn.XLOOKUP(B2851,CAD_PDV!A:A,CAD_PDV!B:B)</f>
        <v>CELLULAR.COM</v>
      </c>
      <c r="K2851" s="14">
        <f>IF(IFERROR(_xlfn.XLOOKUP(B2851,Planilha2!D:D,Planilha2!H:H),0)="SIM",1,0)</f>
        <v>0</v>
      </c>
      <c r="L2851" s="14" t="str">
        <f>_xlfn.XLOOKUP(B2851,CAD_PDV!A:A,CAD_PDV!C:C)</f>
        <v>SP2</v>
      </c>
      <c r="M2851" s="14" t="str">
        <f>IFERROR(_xlfn.XLOOKUP(B2851,repete!A:A,repete!A:A),"-")</f>
        <v>H83T</v>
      </c>
    </row>
    <row r="2852" spans="1:13">
      <c r="A2852" s="1">
        <v>46235</v>
      </c>
      <c r="B2852" t="s">
        <v>887</v>
      </c>
      <c r="C2852" t="s">
        <v>873</v>
      </c>
      <c r="D2852" t="s">
        <v>224</v>
      </c>
      <c r="E2852" t="s">
        <v>59</v>
      </c>
      <c r="F2852">
        <v>23</v>
      </c>
      <c r="G2852">
        <v>3</v>
      </c>
      <c r="H2852">
        <v>7.8043704474505698E-4</v>
      </c>
      <c r="I2852">
        <v>0.157894736842105</v>
      </c>
      <c r="J2852" s="14" t="str">
        <f>_xlfn.XLOOKUP(B2852,CAD_PDV!A:A,CAD_PDV!B:B)</f>
        <v>CELNET COMERCIO E SERVICOS DE TELEFONIA LTDA ME</v>
      </c>
      <c r="K2852" s="14">
        <f>IF(IFERROR(_xlfn.XLOOKUP(B2852,Planilha2!D:D,Planilha2!H:H),0)="SIM",1,0)</f>
        <v>0</v>
      </c>
      <c r="L2852" s="14" t="str">
        <f>_xlfn.XLOOKUP(B2852,CAD_PDV!A:A,CAD_PDV!C:C)</f>
        <v>CO</v>
      </c>
      <c r="M2852" s="14" t="str">
        <f>IFERROR(_xlfn.XLOOKUP(B2852,repete!A:A,repete!A:A),"-")</f>
        <v>-</v>
      </c>
    </row>
    <row r="2853" spans="1:13">
      <c r="A2853" s="1">
        <v>46235</v>
      </c>
      <c r="B2853" t="s">
        <v>890</v>
      </c>
      <c r="C2853" t="s">
        <v>891</v>
      </c>
      <c r="D2853" t="s">
        <v>239</v>
      </c>
      <c r="E2853" t="s">
        <v>59</v>
      </c>
      <c r="F2853">
        <v>52</v>
      </c>
      <c r="G2853">
        <v>3</v>
      </c>
      <c r="H2853">
        <v>7.8043704474505698E-4</v>
      </c>
      <c r="I2853">
        <v>0.06</v>
      </c>
      <c r="J2853" s="14" t="str">
        <f>_xlfn.XLOOKUP(B2853,CAD_PDV!A:A,CAD_PDV!B:B)</f>
        <v>TELECELL TELEFONIA LTDA - ME</v>
      </c>
      <c r="K2853" s="14">
        <f>IF(IFERROR(_xlfn.XLOOKUP(B2853,Planilha2!D:D,Planilha2!H:H),0)="SIM",1,0)</f>
        <v>0</v>
      </c>
      <c r="L2853" s="14" t="str">
        <f>_xlfn.XLOOKUP(B2853,CAD_PDV!A:A,CAD_PDV!C:C)</f>
        <v>CO</v>
      </c>
      <c r="M2853" s="14" t="str">
        <f>IFERROR(_xlfn.XLOOKUP(B2853,repete!A:A,repete!A:A),"-")</f>
        <v>-</v>
      </c>
    </row>
    <row r="2854" spans="1:13">
      <c r="A2854" s="1">
        <v>46235</v>
      </c>
      <c r="B2854" t="s">
        <v>926</v>
      </c>
      <c r="C2854" t="s">
        <v>738</v>
      </c>
      <c r="D2854" t="s">
        <v>231</v>
      </c>
      <c r="E2854" t="s">
        <v>59</v>
      </c>
      <c r="F2854">
        <v>24</v>
      </c>
      <c r="G2854">
        <v>3</v>
      </c>
      <c r="H2854">
        <v>7.8043704474505698E-4</v>
      </c>
      <c r="I2854">
        <v>0.13636363636363599</v>
      </c>
      <c r="J2854" s="14" t="str">
        <f>_xlfn.XLOOKUP(B2854,CAD_PDV!A:A,CAD_PDV!B:B)</f>
        <v>HIROTA &amp; HIROTA LTDA - ME</v>
      </c>
      <c r="K2854" s="14">
        <f>IF(IFERROR(_xlfn.XLOOKUP(B2854,Planilha2!D:D,Planilha2!H:H),0)="SIM",1,0)</f>
        <v>0</v>
      </c>
      <c r="L2854" s="14" t="str">
        <f>_xlfn.XLOOKUP(B2854,CAD_PDV!A:A,CAD_PDV!C:C)</f>
        <v>CO</v>
      </c>
      <c r="M2854" s="14" t="str">
        <f>IFERROR(_xlfn.XLOOKUP(B2854,repete!A:A,repete!A:A),"-")</f>
        <v>-</v>
      </c>
    </row>
    <row r="2855" spans="1:13">
      <c r="A2855" s="1">
        <v>46235</v>
      </c>
      <c r="B2855" t="s">
        <v>1774</v>
      </c>
      <c r="C2855" t="s">
        <v>1775</v>
      </c>
      <c r="D2855" t="s">
        <v>124</v>
      </c>
      <c r="E2855" t="s">
        <v>2074</v>
      </c>
      <c r="F2855">
        <v>40</v>
      </c>
      <c r="G2855">
        <v>3</v>
      </c>
      <c r="H2855">
        <v>7.8043704474505698E-4</v>
      </c>
      <c r="I2855">
        <v>8.1081081081081099E-2</v>
      </c>
      <c r="J2855" s="14" t="str">
        <f>_xlfn.XLOOKUP(B2855,CAD_PDV!A:A,CAD_PDV!B:B)</f>
        <v>EDUARDO JUNQUEIRA DA SILVEIRA ADMIN</v>
      </c>
      <c r="K2855" s="14">
        <f>IF(IFERROR(_xlfn.XLOOKUP(B2855,Planilha2!D:D,Planilha2!H:H),0)="SIM",1,0)</f>
        <v>0</v>
      </c>
      <c r="L2855" s="14" t="str">
        <f>_xlfn.XLOOKUP(B2855,CAD_PDV!A:A,CAD_PDV!C:C)</f>
        <v>RS</v>
      </c>
      <c r="M2855" s="14" t="str">
        <f>IFERROR(_xlfn.XLOOKUP(B2855,repete!A:A,repete!A:A),"-")</f>
        <v>-</v>
      </c>
    </row>
    <row r="2856" spans="1:13">
      <c r="A2856" s="1">
        <v>46235</v>
      </c>
      <c r="B2856" t="s">
        <v>2012</v>
      </c>
      <c r="C2856" t="s">
        <v>1744</v>
      </c>
      <c r="D2856" t="s">
        <v>106</v>
      </c>
      <c r="E2856" t="s">
        <v>2074</v>
      </c>
      <c r="F2856">
        <v>41</v>
      </c>
      <c r="G2856">
        <v>3</v>
      </c>
      <c r="H2856">
        <v>7.8043704474505698E-4</v>
      </c>
      <c r="I2856">
        <v>7.69230769230769E-2</v>
      </c>
      <c r="J2856" s="14" t="str">
        <f>_xlfn.XLOOKUP(B2856,CAD_PDV!A:A,CAD_PDV!B:B)</f>
        <v>CELLULAR.COM</v>
      </c>
      <c r="K2856" s="14">
        <f>IF(IFERROR(_xlfn.XLOOKUP(B2856,Planilha2!D:D,Planilha2!H:H),0)="SIM",1,0)</f>
        <v>0</v>
      </c>
      <c r="L2856" s="14" t="str">
        <f>_xlfn.XLOOKUP(B2856,CAD_PDV!A:A,CAD_PDV!C:C)</f>
        <v>PR/SC</v>
      </c>
      <c r="M2856" s="14" t="str">
        <f>IFERROR(_xlfn.XLOOKUP(B2856,repete!A:A,repete!A:A),"-")</f>
        <v>-</v>
      </c>
    </row>
    <row r="2857" spans="1:13">
      <c r="A2857" s="1">
        <v>46235</v>
      </c>
      <c r="B2857" t="s">
        <v>1129</v>
      </c>
      <c r="C2857" t="s">
        <v>1102</v>
      </c>
      <c r="D2857" t="s">
        <v>132</v>
      </c>
      <c r="E2857" t="s">
        <v>62</v>
      </c>
      <c r="F2857">
        <v>73</v>
      </c>
      <c r="G2857">
        <v>3</v>
      </c>
      <c r="H2857">
        <v>7.8043704474505698E-4</v>
      </c>
      <c r="I2857">
        <v>4.2253521126760597E-2</v>
      </c>
      <c r="J2857" s="14" t="str">
        <f>_xlfn.XLOOKUP(B2857,CAD_PDV!A:A,CAD_PDV!B:B)</f>
        <v>FLEX CELL</v>
      </c>
      <c r="K2857" s="14">
        <f>IF(IFERROR(_xlfn.XLOOKUP(B2857,Planilha2!D:D,Planilha2!H:H),0)="SIM",1,0)</f>
        <v>0</v>
      </c>
      <c r="L2857" s="14" t="str">
        <f>_xlfn.XLOOKUP(B2857,CAD_PDV!A:A,CAD_PDV!C:C)</f>
        <v>NO</v>
      </c>
      <c r="M2857" s="14" t="str">
        <f>IFERROR(_xlfn.XLOOKUP(B2857,repete!A:A,repete!A:A),"-")</f>
        <v>-</v>
      </c>
    </row>
    <row r="2858" spans="1:13">
      <c r="A2858" s="1">
        <v>46235</v>
      </c>
      <c r="B2858" t="s">
        <v>957</v>
      </c>
      <c r="C2858" t="s">
        <v>944</v>
      </c>
      <c r="D2858" t="s">
        <v>232</v>
      </c>
      <c r="E2858" t="s">
        <v>60</v>
      </c>
      <c r="F2858">
        <v>37</v>
      </c>
      <c r="G2858">
        <v>3</v>
      </c>
      <c r="H2858">
        <v>7.8043704474505698E-4</v>
      </c>
      <c r="I2858">
        <v>8.8235294117647106E-2</v>
      </c>
      <c r="J2858" s="14" t="str">
        <f>_xlfn.XLOOKUP(B2858,CAD_PDV!A:A,CAD_PDV!B:B)</f>
        <v>HS TELECOM</v>
      </c>
      <c r="K2858" s="14">
        <f>IF(IFERROR(_xlfn.XLOOKUP(B2858,Planilha2!D:D,Planilha2!H:H),0)="SIM",1,0)</f>
        <v>0</v>
      </c>
      <c r="L2858" s="14" t="str">
        <f>_xlfn.XLOOKUP(B2858,CAD_PDV!A:A,CAD_PDV!C:C)</f>
        <v>BA/SE</v>
      </c>
      <c r="M2858" s="14" t="str">
        <f>IFERROR(_xlfn.XLOOKUP(B2858,repete!A:A,repete!A:A),"-")</f>
        <v>-</v>
      </c>
    </row>
    <row r="2859" spans="1:13">
      <c r="A2859" s="1">
        <v>46235</v>
      </c>
      <c r="B2859" t="s">
        <v>1247</v>
      </c>
      <c r="C2859" t="s">
        <v>1180</v>
      </c>
      <c r="D2859" t="s">
        <v>237</v>
      </c>
      <c r="E2859" t="s">
        <v>55</v>
      </c>
      <c r="F2859">
        <v>101</v>
      </c>
      <c r="G2859">
        <v>3</v>
      </c>
      <c r="H2859">
        <v>7.8043704474505698E-4</v>
      </c>
      <c r="I2859">
        <v>3.06122448979592E-2</v>
      </c>
      <c r="J2859" s="14" t="str">
        <f>_xlfn.XLOOKUP(B2859,CAD_PDV!A:A,CAD_PDV!B:B)</f>
        <v>PONTO CERTO COMERCIO E COMUNICAÇÕES LTDA</v>
      </c>
      <c r="K2859" s="14">
        <f>IF(IFERROR(_xlfn.XLOOKUP(B2859,Planilha2!D:D,Planilha2!H:H),0)="SIM",1,0)</f>
        <v>0</v>
      </c>
      <c r="L2859" s="14" t="str">
        <f>_xlfn.XLOOKUP(B2859,CAD_PDV!A:A,CAD_PDV!C:C)</f>
        <v>RJ/ES</v>
      </c>
      <c r="M2859" s="14" t="str">
        <f>IFERROR(_xlfn.XLOOKUP(B2859,repete!A:A,repete!A:A),"-")</f>
        <v>-</v>
      </c>
    </row>
    <row r="2860" spans="1:13">
      <c r="A2860" s="1">
        <v>46235</v>
      </c>
      <c r="B2860" t="s">
        <v>958</v>
      </c>
      <c r="C2860" t="s">
        <v>944</v>
      </c>
      <c r="D2860" t="s">
        <v>232</v>
      </c>
      <c r="E2860" t="s">
        <v>60</v>
      </c>
      <c r="F2860">
        <v>71</v>
      </c>
      <c r="G2860">
        <v>3</v>
      </c>
      <c r="H2860">
        <v>7.8043704474505698E-4</v>
      </c>
      <c r="I2860">
        <v>4.47761194029851E-2</v>
      </c>
      <c r="J2860" s="14" t="str">
        <f>_xlfn.XLOOKUP(B2860,CAD_PDV!A:A,CAD_PDV!B:B)</f>
        <v>HS TELECOM</v>
      </c>
      <c r="K2860" s="14">
        <f>IF(IFERROR(_xlfn.XLOOKUP(B2860,Planilha2!D:D,Planilha2!H:H),0)="SIM",1,0)</f>
        <v>0</v>
      </c>
      <c r="L2860" s="14" t="str">
        <f>_xlfn.XLOOKUP(B2860,CAD_PDV!A:A,CAD_PDV!C:C)</f>
        <v>BA/SE</v>
      </c>
      <c r="M2860" s="14" t="str">
        <f>IFERROR(_xlfn.XLOOKUP(B2860,repete!A:A,repete!A:A),"-")</f>
        <v>-</v>
      </c>
    </row>
    <row r="2861" spans="1:13">
      <c r="A2861" s="1">
        <v>46235</v>
      </c>
      <c r="B2861" t="s">
        <v>799</v>
      </c>
      <c r="C2861" t="s">
        <v>651</v>
      </c>
      <c r="D2861" t="s">
        <v>239</v>
      </c>
      <c r="E2861" t="s">
        <v>59</v>
      </c>
      <c r="F2861">
        <v>27</v>
      </c>
      <c r="G2861">
        <v>3</v>
      </c>
      <c r="H2861">
        <v>7.8043704474505698E-4</v>
      </c>
      <c r="I2861">
        <v>0.13043478260869601</v>
      </c>
      <c r="J2861" s="14" t="str">
        <f>_xlfn.XLOOKUP(B2861,CAD_PDV!A:A,CAD_PDV!B:B)</f>
        <v>TELECELL TELEFONIA LTDA - ME</v>
      </c>
      <c r="K2861" s="14">
        <f>IF(IFERROR(_xlfn.XLOOKUP(B2861,Planilha2!D:D,Planilha2!H:H),0)="SIM",1,0)</f>
        <v>0</v>
      </c>
      <c r="L2861" s="14" t="str">
        <f>_xlfn.XLOOKUP(B2861,CAD_PDV!A:A,CAD_PDV!C:C)</f>
        <v>CO</v>
      </c>
      <c r="M2861" s="14" t="str">
        <f>IFERROR(_xlfn.XLOOKUP(B2861,repete!A:A,repete!A:A),"-")</f>
        <v>-</v>
      </c>
    </row>
    <row r="2862" spans="1:13">
      <c r="A2862" s="1">
        <v>46235</v>
      </c>
      <c r="B2862" t="s">
        <v>894</v>
      </c>
      <c r="C2862" t="s">
        <v>873</v>
      </c>
      <c r="D2862" t="s">
        <v>224</v>
      </c>
      <c r="E2862" t="s">
        <v>59</v>
      </c>
      <c r="F2862">
        <v>35</v>
      </c>
      <c r="G2862">
        <v>3</v>
      </c>
      <c r="H2862">
        <v>7.8043704474505698E-4</v>
      </c>
      <c r="I2862">
        <v>9.0909090909090898E-2</v>
      </c>
      <c r="J2862" s="14" t="str">
        <f>_xlfn.XLOOKUP(B2862,CAD_PDV!A:A,CAD_PDV!B:B)</f>
        <v>CELNET COMERCIO E SERVICOS DE TELEFONIA LTDA ME</v>
      </c>
      <c r="K2862" s="14">
        <f>IF(IFERROR(_xlfn.XLOOKUP(B2862,Planilha2!D:D,Planilha2!H:H),0)="SIM",1,0)</f>
        <v>0</v>
      </c>
      <c r="L2862" s="14" t="str">
        <f>_xlfn.XLOOKUP(B2862,CAD_PDV!A:A,CAD_PDV!C:C)</f>
        <v>CO</v>
      </c>
      <c r="M2862" s="14" t="str">
        <f>IFERROR(_xlfn.XLOOKUP(B2862,repete!A:A,repete!A:A),"-")</f>
        <v>-</v>
      </c>
    </row>
    <row r="2863" spans="1:13">
      <c r="A2863" s="1">
        <v>46235</v>
      </c>
      <c r="B2863" t="s">
        <v>2081</v>
      </c>
      <c r="C2863" t="s">
        <v>619</v>
      </c>
      <c r="D2863" t="s">
        <v>224</v>
      </c>
      <c r="E2863" t="s">
        <v>59</v>
      </c>
      <c r="F2863">
        <v>42</v>
      </c>
      <c r="G2863">
        <v>3</v>
      </c>
      <c r="H2863">
        <v>7.8043704474505698E-4</v>
      </c>
      <c r="I2863">
        <v>7.8947368421052599E-2</v>
      </c>
      <c r="J2863" s="14" t="str">
        <f>_xlfn.XLOOKUP(B2863,CAD_PDV!A:A,CAD_PDV!B:B)</f>
        <v>CELNET COMERCIO E SERVICOS DE TELEFONIA LTDA ME</v>
      </c>
      <c r="K2863" s="14">
        <f>IF(IFERROR(_xlfn.XLOOKUP(B2863,Planilha2!D:D,Planilha2!H:H),0)="SIM",1,0)</f>
        <v>0</v>
      </c>
      <c r="L2863" s="14" t="str">
        <f>_xlfn.XLOOKUP(B2863,CAD_PDV!A:A,CAD_PDV!C:C)</f>
        <v>CO</v>
      </c>
      <c r="M2863" s="14" t="str">
        <f>IFERROR(_xlfn.XLOOKUP(B2863,repete!A:A,repete!A:A),"-")</f>
        <v>-</v>
      </c>
    </row>
    <row r="2864" spans="1:13">
      <c r="A2864" s="1">
        <v>46235</v>
      </c>
      <c r="B2864" t="s">
        <v>571</v>
      </c>
      <c r="C2864" t="s">
        <v>572</v>
      </c>
      <c r="D2864" t="s">
        <v>106</v>
      </c>
      <c r="E2864" t="s">
        <v>56</v>
      </c>
      <c r="F2864">
        <v>19</v>
      </c>
      <c r="G2864">
        <v>3</v>
      </c>
      <c r="H2864">
        <v>7.8043704474505698E-4</v>
      </c>
      <c r="I2864">
        <v>0.16666666666666699</v>
      </c>
      <c r="J2864" s="14" t="str">
        <f>_xlfn.XLOOKUP(B2864,CAD_PDV!A:A,CAD_PDV!B:B)</f>
        <v>CELLULAR.COM</v>
      </c>
      <c r="K2864" s="14">
        <f>IF(IFERROR(_xlfn.XLOOKUP(B2864,Planilha2!D:D,Planilha2!H:H),0)="SIM",1,0)</f>
        <v>0</v>
      </c>
      <c r="L2864" s="14" t="str">
        <f>_xlfn.XLOOKUP(B2864,CAD_PDV!A:A,CAD_PDV!C:C)</f>
        <v>MG</v>
      </c>
      <c r="M2864" s="14" t="str">
        <f>IFERROR(_xlfn.XLOOKUP(B2864,repete!A:A,repete!A:A),"-")</f>
        <v>-</v>
      </c>
    </row>
    <row r="2865" spans="1:13">
      <c r="A2865" s="1">
        <v>46235</v>
      </c>
      <c r="B2865" t="s">
        <v>1683</v>
      </c>
      <c r="C2865" t="s">
        <v>1684</v>
      </c>
      <c r="D2865" t="s">
        <v>232</v>
      </c>
      <c r="E2865" t="s">
        <v>54</v>
      </c>
      <c r="F2865">
        <v>37</v>
      </c>
      <c r="G2865">
        <v>3</v>
      </c>
      <c r="H2865">
        <v>7.8043704474505698E-4</v>
      </c>
      <c r="I2865">
        <v>8.1081081081081099E-2</v>
      </c>
      <c r="J2865" s="14" t="str">
        <f>_xlfn.XLOOKUP(B2865,CAD_PDV!A:A,CAD_PDV!B:B)</f>
        <v>HS TELECOM</v>
      </c>
      <c r="K2865" s="14">
        <f>IF(IFERROR(_xlfn.XLOOKUP(B2865,Planilha2!D:D,Planilha2!H:H),0)="SIM",1,0)</f>
        <v>0</v>
      </c>
      <c r="L2865" s="14" t="str">
        <f>_xlfn.XLOOKUP(B2865,CAD_PDV!A:A,CAD_PDV!C:C)</f>
        <v>SP2</v>
      </c>
      <c r="M2865" s="14" t="str">
        <f>IFERROR(_xlfn.XLOOKUP(B2865,repete!A:A,repete!A:A),"-")</f>
        <v>-</v>
      </c>
    </row>
    <row r="2866" spans="1:13">
      <c r="A2866" s="1">
        <v>46235</v>
      </c>
      <c r="B2866" t="s">
        <v>289</v>
      </c>
      <c r="C2866" t="s">
        <v>291</v>
      </c>
      <c r="D2866" t="s">
        <v>230</v>
      </c>
      <c r="E2866" t="s">
        <v>61</v>
      </c>
      <c r="F2866">
        <v>61</v>
      </c>
      <c r="G2866">
        <v>3</v>
      </c>
      <c r="H2866">
        <v>7.8043704474505698E-4</v>
      </c>
      <c r="I2866">
        <v>5.1724137931034503E-2</v>
      </c>
      <c r="J2866" s="14" t="str">
        <f>_xlfn.XLOOKUP(B2866,CAD_PDV!A:A,CAD_PDV!B:B)</f>
        <v>HARCOS COMERCIO E SERVICOS LTDA - EPP</v>
      </c>
      <c r="K2866" s="14">
        <f>IF(IFERROR(_xlfn.XLOOKUP(B2866,Planilha2!D:D,Planilha2!H:H),0)="SIM",1,0)</f>
        <v>0</v>
      </c>
      <c r="L2866" s="14" t="str">
        <f>_xlfn.XLOOKUP(B2866,CAD_PDV!A:A,CAD_PDV!C:C)</f>
        <v>NE</v>
      </c>
      <c r="M2866" s="14" t="str">
        <f>IFERROR(_xlfn.XLOOKUP(B2866,repete!A:A,repete!A:A),"-")</f>
        <v>-</v>
      </c>
    </row>
    <row r="2867" spans="1:13">
      <c r="A2867" s="1">
        <v>46235</v>
      </c>
      <c r="B2867" t="s">
        <v>1694</v>
      </c>
      <c r="C2867" t="s">
        <v>1695</v>
      </c>
      <c r="D2867" t="s">
        <v>232</v>
      </c>
      <c r="E2867" t="s">
        <v>54</v>
      </c>
      <c r="F2867">
        <v>29</v>
      </c>
      <c r="G2867">
        <v>3</v>
      </c>
      <c r="H2867">
        <v>7.8043704474505698E-4</v>
      </c>
      <c r="I2867">
        <v>0.10344827586206901</v>
      </c>
      <c r="J2867" s="14" t="str">
        <f>_xlfn.XLOOKUP(B2867,CAD_PDV!A:A,CAD_PDV!B:B)</f>
        <v>HS TELECOM</v>
      </c>
      <c r="K2867" s="14">
        <f>IF(IFERROR(_xlfn.XLOOKUP(B2867,Planilha2!D:D,Planilha2!H:H),0)="SIM",1,0)</f>
        <v>0</v>
      </c>
      <c r="L2867" s="14" t="str">
        <f>_xlfn.XLOOKUP(B2867,CAD_PDV!A:A,CAD_PDV!C:C)</f>
        <v>SP2</v>
      </c>
      <c r="M2867" s="14" t="str">
        <f>IFERROR(_xlfn.XLOOKUP(B2867,repete!A:A,repete!A:A),"-")</f>
        <v>-</v>
      </c>
    </row>
    <row r="2868" spans="1:13">
      <c r="A2868" s="1">
        <v>46235</v>
      </c>
      <c r="B2868" t="s">
        <v>1980</v>
      </c>
      <c r="C2868" t="s">
        <v>1981</v>
      </c>
      <c r="D2868" t="s">
        <v>97</v>
      </c>
      <c r="E2868" t="s">
        <v>2074</v>
      </c>
      <c r="F2868">
        <v>21</v>
      </c>
      <c r="G2868">
        <v>3</v>
      </c>
      <c r="H2868">
        <v>7.8043704474505698E-4</v>
      </c>
      <c r="I2868">
        <v>0.14285714285714299</v>
      </c>
      <c r="J2868" s="14" t="str">
        <f>_xlfn.XLOOKUP(B2868,CAD_PDV!A:A,CAD_PDV!B:B)</f>
        <v>BANDEIRA</v>
      </c>
      <c r="K2868" s="14">
        <f>IF(IFERROR(_xlfn.XLOOKUP(B2868,Planilha2!D:D,Planilha2!H:H),0)="SIM",1,0)</f>
        <v>0</v>
      </c>
      <c r="L2868" s="14" t="str">
        <f>_xlfn.XLOOKUP(B2868,CAD_PDV!A:A,CAD_PDV!C:C)</f>
        <v>PR/SC</v>
      </c>
      <c r="M2868" s="14" t="str">
        <f>IFERROR(_xlfn.XLOOKUP(B2868,repete!A:A,repete!A:A),"-")</f>
        <v>-</v>
      </c>
    </row>
    <row r="2869" spans="1:13">
      <c r="A2869" s="1">
        <v>46235</v>
      </c>
      <c r="B2869" t="s">
        <v>1877</v>
      </c>
      <c r="C2869" t="s">
        <v>1876</v>
      </c>
      <c r="D2869" t="s">
        <v>124</v>
      </c>
      <c r="E2869" t="s">
        <v>2074</v>
      </c>
      <c r="F2869">
        <v>24</v>
      </c>
      <c r="G2869">
        <v>3</v>
      </c>
      <c r="H2869">
        <v>7.8043704474505698E-4</v>
      </c>
      <c r="I2869">
        <v>0.13043478260869601</v>
      </c>
      <c r="J2869" s="14" t="str">
        <f>_xlfn.XLOOKUP(B2869,CAD_PDV!A:A,CAD_PDV!B:B)</f>
        <v>EDUARDO JUNQUEIRA DA SILVEIRA ADMIN</v>
      </c>
      <c r="K2869" s="14">
        <f>IF(IFERROR(_xlfn.XLOOKUP(B2869,Planilha2!D:D,Planilha2!H:H),0)="SIM",1,0)</f>
        <v>0</v>
      </c>
      <c r="L2869" s="14" t="str">
        <f>_xlfn.XLOOKUP(B2869,CAD_PDV!A:A,CAD_PDV!C:C)</f>
        <v>RS</v>
      </c>
      <c r="M2869" s="14" t="str">
        <f>IFERROR(_xlfn.XLOOKUP(B2869,repete!A:A,repete!A:A),"-")</f>
        <v>-</v>
      </c>
    </row>
    <row r="2870" spans="1:13">
      <c r="A2870" s="1">
        <v>46235</v>
      </c>
      <c r="B2870" t="s">
        <v>1709</v>
      </c>
      <c r="C2870" t="s">
        <v>1503</v>
      </c>
      <c r="D2870" t="s">
        <v>106</v>
      </c>
      <c r="E2870" t="s">
        <v>54</v>
      </c>
      <c r="F2870">
        <v>64</v>
      </c>
      <c r="G2870">
        <v>3</v>
      </c>
      <c r="H2870">
        <v>7.8043704474505698E-4</v>
      </c>
      <c r="I2870">
        <v>5.0847457627118599E-2</v>
      </c>
      <c r="J2870" s="14" t="str">
        <f>_xlfn.XLOOKUP(B2870,CAD_PDV!A:A,CAD_PDV!B:B)</f>
        <v>CELLULAR.COM</v>
      </c>
      <c r="K2870" s="14">
        <f>IF(IFERROR(_xlfn.XLOOKUP(B2870,Planilha2!D:D,Planilha2!H:H),0)="SIM",1,0)</f>
        <v>0</v>
      </c>
      <c r="L2870" s="14" t="str">
        <f>_xlfn.XLOOKUP(B2870,CAD_PDV!A:A,CAD_PDV!C:C)</f>
        <v>SP2</v>
      </c>
      <c r="M2870" s="14" t="str">
        <f>IFERROR(_xlfn.XLOOKUP(B2870,repete!A:A,repete!A:A),"-")</f>
        <v>-</v>
      </c>
    </row>
    <row r="2871" spans="1:13">
      <c r="A2871" s="1">
        <v>46235</v>
      </c>
      <c r="B2871" t="s">
        <v>840</v>
      </c>
      <c r="C2871" t="s">
        <v>837</v>
      </c>
      <c r="D2871" t="s">
        <v>239</v>
      </c>
      <c r="E2871" t="s">
        <v>59</v>
      </c>
      <c r="F2871">
        <v>33</v>
      </c>
      <c r="G2871">
        <v>3</v>
      </c>
      <c r="H2871">
        <v>7.8043704474505698E-4</v>
      </c>
      <c r="I2871">
        <v>9.6774193548387094E-2</v>
      </c>
      <c r="J2871" s="14" t="str">
        <f>_xlfn.XLOOKUP(B2871,CAD_PDV!A:A,CAD_PDV!B:B)</f>
        <v>TELECELL TELEFONIA LTDA - ME</v>
      </c>
      <c r="K2871" s="14">
        <f>IF(IFERROR(_xlfn.XLOOKUP(B2871,Planilha2!D:D,Planilha2!H:H),0)="SIM",1,0)</f>
        <v>0</v>
      </c>
      <c r="L2871" s="14" t="str">
        <f>_xlfn.XLOOKUP(B2871,CAD_PDV!A:A,CAD_PDV!C:C)</f>
        <v>CO</v>
      </c>
      <c r="M2871" s="14" t="str">
        <f>IFERROR(_xlfn.XLOOKUP(B2871,repete!A:A,repete!A:A),"-")</f>
        <v>-</v>
      </c>
    </row>
    <row r="2872" spans="1:13">
      <c r="A2872" s="1">
        <v>46235</v>
      </c>
      <c r="B2872" t="s">
        <v>2059</v>
      </c>
      <c r="C2872" t="s">
        <v>2060</v>
      </c>
      <c r="D2872" t="s">
        <v>193</v>
      </c>
      <c r="E2872" t="s">
        <v>2074</v>
      </c>
      <c r="F2872">
        <v>27</v>
      </c>
      <c r="G2872">
        <v>3</v>
      </c>
      <c r="H2872">
        <v>7.8043704474505698E-4</v>
      </c>
      <c r="I2872">
        <v>0.11111111111111099</v>
      </c>
      <c r="J2872" s="14" t="str">
        <f>_xlfn.XLOOKUP(B2872,CAD_PDV!A:A,CAD_PDV!B:B)</f>
        <v>S D COMERCIO DE CELULARES LTDA - ME</v>
      </c>
      <c r="K2872" s="14">
        <f>IF(IFERROR(_xlfn.XLOOKUP(B2872,Planilha2!D:D,Planilha2!H:H),0)="SIM",1,0)</f>
        <v>0</v>
      </c>
      <c r="L2872" s="14" t="str">
        <f>_xlfn.XLOOKUP(B2872,CAD_PDV!A:A,CAD_PDV!C:C)</f>
        <v>RS</v>
      </c>
      <c r="M2872" s="14" t="str">
        <f>IFERROR(_xlfn.XLOOKUP(B2872,repete!A:A,repete!A:A),"-")</f>
        <v>-</v>
      </c>
    </row>
    <row r="2873" spans="1:13">
      <c r="A2873" s="1">
        <v>46235</v>
      </c>
      <c r="B2873" t="s">
        <v>2007</v>
      </c>
      <c r="C2873" t="s">
        <v>2008</v>
      </c>
      <c r="D2873" t="s">
        <v>106</v>
      </c>
      <c r="E2873" t="s">
        <v>2074</v>
      </c>
      <c r="F2873">
        <v>8</v>
      </c>
      <c r="G2873">
        <v>3</v>
      </c>
      <c r="H2873">
        <v>7.8043704474505698E-4</v>
      </c>
      <c r="I2873">
        <v>0.375</v>
      </c>
      <c r="J2873" s="14" t="str">
        <f>_xlfn.XLOOKUP(B2873,CAD_PDV!A:A,CAD_PDV!B:B)</f>
        <v>CELLULAR.COM</v>
      </c>
      <c r="K2873" s="14">
        <f>IF(IFERROR(_xlfn.XLOOKUP(B2873,Planilha2!D:D,Planilha2!H:H),0)="SIM",1,0)</f>
        <v>0</v>
      </c>
      <c r="L2873" s="14" t="str">
        <f>_xlfn.XLOOKUP(B2873,CAD_PDV!A:A,CAD_PDV!C:C)</f>
        <v>PR/SC</v>
      </c>
      <c r="M2873" s="14" t="str">
        <f>IFERROR(_xlfn.XLOOKUP(B2873,repete!A:A,repete!A:A),"-")</f>
        <v>-</v>
      </c>
    </row>
    <row r="2874" spans="1:13">
      <c r="A2874" s="1">
        <v>46235</v>
      </c>
      <c r="B2874" t="s">
        <v>761</v>
      </c>
      <c r="C2874" t="s">
        <v>616</v>
      </c>
      <c r="D2874" t="s">
        <v>239</v>
      </c>
      <c r="E2874" t="s">
        <v>59</v>
      </c>
      <c r="F2874">
        <v>31</v>
      </c>
      <c r="G2874">
        <v>3</v>
      </c>
      <c r="H2874">
        <v>7.8043704474505698E-4</v>
      </c>
      <c r="I2874">
        <v>9.6774193548387094E-2</v>
      </c>
      <c r="J2874" s="14" t="str">
        <f>_xlfn.XLOOKUP(B2874,CAD_PDV!A:A,CAD_PDV!B:B)</f>
        <v>TELECELL TELEFONIA LTDA - ME</v>
      </c>
      <c r="K2874" s="14">
        <f>IF(IFERROR(_xlfn.XLOOKUP(B2874,Planilha2!D:D,Planilha2!H:H),0)="SIM",1,0)</f>
        <v>0</v>
      </c>
      <c r="L2874" s="14" t="str">
        <f>_xlfn.XLOOKUP(B2874,CAD_PDV!A:A,CAD_PDV!C:C)</f>
        <v>CO</v>
      </c>
      <c r="M2874" s="14" t="str">
        <f>IFERROR(_xlfn.XLOOKUP(B2874,repete!A:A,repete!A:A),"-")</f>
        <v>-</v>
      </c>
    </row>
    <row r="2875" spans="1:13">
      <c r="A2875" s="1">
        <v>46235</v>
      </c>
      <c r="B2875" t="s">
        <v>1277</v>
      </c>
      <c r="C2875" t="s">
        <v>1278</v>
      </c>
      <c r="D2875" t="s">
        <v>228</v>
      </c>
      <c r="E2875" t="s">
        <v>55</v>
      </c>
      <c r="F2875">
        <v>8</v>
      </c>
      <c r="G2875">
        <v>3</v>
      </c>
      <c r="H2875">
        <v>7.8043704474505698E-4</v>
      </c>
      <c r="I2875">
        <v>0.375</v>
      </c>
      <c r="J2875" s="14" t="str">
        <f>_xlfn.XLOOKUP(B2875,CAD_PDV!A:A,CAD_PDV!B:B)</f>
        <v>FAJULUTI</v>
      </c>
      <c r="K2875" s="14">
        <f>IF(IFERROR(_xlfn.XLOOKUP(B2875,Planilha2!D:D,Planilha2!H:H),0)="SIM",1,0)</f>
        <v>0</v>
      </c>
      <c r="L2875" s="14" t="str">
        <f>_xlfn.XLOOKUP(B2875,CAD_PDV!A:A,CAD_PDV!C:C)</f>
        <v>RJ/ES</v>
      </c>
      <c r="M2875" s="14" t="str">
        <f>IFERROR(_xlfn.XLOOKUP(B2875,repete!A:A,repete!A:A),"-")</f>
        <v>-</v>
      </c>
    </row>
    <row r="2876" spans="1:13">
      <c r="A2876" s="1">
        <v>46235</v>
      </c>
      <c r="B2876" t="s">
        <v>1721</v>
      </c>
      <c r="C2876" t="s">
        <v>1722</v>
      </c>
      <c r="D2876" t="s">
        <v>112</v>
      </c>
      <c r="E2876" t="s">
        <v>54</v>
      </c>
      <c r="F2876">
        <v>26</v>
      </c>
      <c r="G2876">
        <v>3</v>
      </c>
      <c r="H2876">
        <v>7.8043704474505698E-4</v>
      </c>
      <c r="I2876">
        <v>0.12</v>
      </c>
      <c r="J2876" s="14" t="str">
        <f>_xlfn.XLOOKUP(B2876,CAD_PDV!A:A,CAD_PDV!B:B)</f>
        <v>CONVERGE.NET REPRESENTACOES COMERCIAIS LTDA - EPP</v>
      </c>
      <c r="K2876" s="14">
        <f>IF(IFERROR(_xlfn.XLOOKUP(B2876,Planilha2!D:D,Planilha2!H:H),0)="SIM",1,0)</f>
        <v>0</v>
      </c>
      <c r="L2876" s="14" t="str">
        <f>_xlfn.XLOOKUP(B2876,CAD_PDV!A:A,CAD_PDV!C:C)</f>
        <v>SP2</v>
      </c>
      <c r="M2876" s="14" t="str">
        <f>IFERROR(_xlfn.XLOOKUP(B2876,repete!A:A,repete!A:A),"-")</f>
        <v>-</v>
      </c>
    </row>
    <row r="2877" spans="1:13">
      <c r="A2877" s="1">
        <v>46235</v>
      </c>
      <c r="B2877" t="s">
        <v>1881</v>
      </c>
      <c r="C2877" t="s">
        <v>1882</v>
      </c>
      <c r="D2877" t="s">
        <v>124</v>
      </c>
      <c r="E2877" t="s">
        <v>2074</v>
      </c>
      <c r="F2877">
        <v>24</v>
      </c>
      <c r="G2877">
        <v>3</v>
      </c>
      <c r="H2877">
        <v>7.8043704474505698E-4</v>
      </c>
      <c r="I2877">
        <v>0.13043478260869601</v>
      </c>
      <c r="J2877" s="14" t="str">
        <f>_xlfn.XLOOKUP(B2877,CAD_PDV!A:A,CAD_PDV!B:B)</f>
        <v>EDUARDO JUNQUEIRA DA SILVEIRA ADMIN</v>
      </c>
      <c r="K2877" s="14">
        <f>IF(IFERROR(_xlfn.XLOOKUP(B2877,Planilha2!D:D,Planilha2!H:H),0)="SIM",1,0)</f>
        <v>0</v>
      </c>
      <c r="L2877" s="14" t="str">
        <f>_xlfn.XLOOKUP(B2877,CAD_PDV!A:A,CAD_PDV!C:C)</f>
        <v>RS</v>
      </c>
      <c r="M2877" s="14" t="str">
        <f>IFERROR(_xlfn.XLOOKUP(B2877,repete!A:A,repete!A:A),"-")</f>
        <v>-</v>
      </c>
    </row>
    <row r="2878" spans="1:13">
      <c r="A2878" s="1">
        <v>46235</v>
      </c>
      <c r="B2878" t="s">
        <v>1322</v>
      </c>
      <c r="C2878" t="s">
        <v>1324</v>
      </c>
      <c r="D2878" t="s">
        <v>225</v>
      </c>
      <c r="E2878" t="s">
        <v>53</v>
      </c>
      <c r="F2878">
        <v>32</v>
      </c>
      <c r="G2878">
        <v>2</v>
      </c>
      <c r="H2878">
        <v>5.2029136316337197E-4</v>
      </c>
      <c r="I2878">
        <v>6.4516129032258104E-2</v>
      </c>
      <c r="J2878" s="14" t="str">
        <f>_xlfn.XLOOKUP(B2878,CAD_PDV!A:A,CAD_PDV!B:B)</f>
        <v>CLARICELL SP1</v>
      </c>
      <c r="K2878" s="14">
        <f>IF(IFERROR(_xlfn.XLOOKUP(B2878,Planilha2!D:D,Planilha2!H:H),0)="SIM",1,0)</f>
        <v>0</v>
      </c>
      <c r="L2878" s="14" t="str">
        <f>_xlfn.XLOOKUP(B2878,CAD_PDV!A:A,CAD_PDV!C:C)</f>
        <v>SP1</v>
      </c>
      <c r="M2878" s="14" t="str">
        <f>IFERROR(_xlfn.XLOOKUP(B2878,repete!A:A,repete!A:A),"-")</f>
        <v>-</v>
      </c>
    </row>
    <row r="2879" spans="1:13">
      <c r="A2879" s="1">
        <v>46235</v>
      </c>
      <c r="B2879" t="s">
        <v>1393</v>
      </c>
      <c r="C2879" t="s">
        <v>1313</v>
      </c>
      <c r="D2879" t="s">
        <v>106</v>
      </c>
      <c r="E2879" t="s">
        <v>53</v>
      </c>
      <c r="F2879">
        <v>47</v>
      </c>
      <c r="G2879">
        <v>2</v>
      </c>
      <c r="H2879">
        <v>5.2029136316337197E-4</v>
      </c>
      <c r="I2879">
        <v>4.4444444444444398E-2</v>
      </c>
      <c r="J2879" s="14" t="str">
        <f>_xlfn.XLOOKUP(B2879,CAD_PDV!A:A,CAD_PDV!B:B)</f>
        <v>CELLULAR.COM</v>
      </c>
      <c r="K2879" s="14">
        <f>IF(IFERROR(_xlfn.XLOOKUP(B2879,Planilha2!D:D,Planilha2!H:H),0)="SIM",1,0)</f>
        <v>0</v>
      </c>
      <c r="L2879" s="14" t="str">
        <f>_xlfn.XLOOKUP(B2879,CAD_PDV!A:A,CAD_PDV!C:C)</f>
        <v>SP1</v>
      </c>
      <c r="M2879" s="14" t="str">
        <f>IFERROR(_xlfn.XLOOKUP(B2879,repete!A:A,repete!A:A),"-")</f>
        <v>-</v>
      </c>
    </row>
    <row r="2880" spans="1:13">
      <c r="A2880" s="1">
        <v>46235</v>
      </c>
      <c r="B2880" t="s">
        <v>1772</v>
      </c>
      <c r="C2880" t="s">
        <v>1773</v>
      </c>
      <c r="D2880" t="s">
        <v>124</v>
      </c>
      <c r="E2880" t="s">
        <v>2074</v>
      </c>
      <c r="F2880">
        <v>47</v>
      </c>
      <c r="G2880">
        <v>2</v>
      </c>
      <c r="H2880">
        <v>5.2029136316337197E-4</v>
      </c>
      <c r="I2880">
        <v>4.4444444444444398E-2</v>
      </c>
      <c r="J2880" s="14" t="str">
        <f>_xlfn.XLOOKUP(B2880,CAD_PDV!A:A,CAD_PDV!B:B)</f>
        <v>EDUARDO JUNQUEIRA DA SILVEIRA ADMIN</v>
      </c>
      <c r="K2880" s="14">
        <f>IF(IFERROR(_xlfn.XLOOKUP(B2880,Planilha2!D:D,Planilha2!H:H),0)="SIM",1,0)</f>
        <v>0</v>
      </c>
      <c r="L2880" s="14" t="str">
        <f>_xlfn.XLOOKUP(B2880,CAD_PDV!A:A,CAD_PDV!C:C)</f>
        <v>RS</v>
      </c>
      <c r="M2880" s="14" t="str">
        <f>IFERROR(_xlfn.XLOOKUP(B2880,repete!A:A,repete!A:A),"-")</f>
        <v>-</v>
      </c>
    </row>
    <row r="2881" spans="1:13">
      <c r="A2881" s="1">
        <v>46235</v>
      </c>
      <c r="B2881" t="s">
        <v>1195</v>
      </c>
      <c r="C2881" t="s">
        <v>1196</v>
      </c>
      <c r="D2881" t="s">
        <v>228</v>
      </c>
      <c r="E2881" t="s">
        <v>55</v>
      </c>
      <c r="F2881">
        <v>16</v>
      </c>
      <c r="G2881">
        <v>2</v>
      </c>
      <c r="H2881">
        <v>5.2029136316337197E-4</v>
      </c>
      <c r="I2881">
        <v>0.14285714285714299</v>
      </c>
      <c r="J2881" s="14" t="str">
        <f>_xlfn.XLOOKUP(B2881,CAD_PDV!A:A,CAD_PDV!B:B)</f>
        <v>FAJULUTI</v>
      </c>
      <c r="K2881" s="14">
        <f>IF(IFERROR(_xlfn.XLOOKUP(B2881,Planilha2!D:D,Planilha2!H:H),0)="SIM",1,0)</f>
        <v>0</v>
      </c>
      <c r="L2881" s="14" t="str">
        <f>_xlfn.XLOOKUP(B2881,CAD_PDV!A:A,CAD_PDV!C:C)</f>
        <v>RJ/ES</v>
      </c>
      <c r="M2881" s="14" t="str">
        <f>IFERROR(_xlfn.XLOOKUP(B2881,repete!A:A,repete!A:A),"-")</f>
        <v>-</v>
      </c>
    </row>
    <row r="2882" spans="1:13">
      <c r="A2882" s="1">
        <v>46235</v>
      </c>
      <c r="B2882" t="s">
        <v>2011</v>
      </c>
      <c r="C2882" t="s">
        <v>1744</v>
      </c>
      <c r="D2882" t="s">
        <v>106</v>
      </c>
      <c r="E2882" t="s">
        <v>2074</v>
      </c>
      <c r="F2882">
        <v>54</v>
      </c>
      <c r="G2882">
        <v>2</v>
      </c>
      <c r="H2882">
        <v>5.2029136316337197E-4</v>
      </c>
      <c r="I2882">
        <v>3.9215686274509803E-2</v>
      </c>
      <c r="J2882" s="14" t="str">
        <f>_xlfn.XLOOKUP(B2882,CAD_PDV!A:A,CAD_PDV!B:B)</f>
        <v>CELLULAR.COM</v>
      </c>
      <c r="K2882" s="14">
        <f>IF(IFERROR(_xlfn.XLOOKUP(B2882,Planilha2!D:D,Planilha2!H:H),0)="SIM",1,0)</f>
        <v>0</v>
      </c>
      <c r="L2882" s="14" t="str">
        <f>_xlfn.XLOOKUP(B2882,CAD_PDV!A:A,CAD_PDV!C:C)</f>
        <v>PR/SC</v>
      </c>
      <c r="M2882" s="14" t="str">
        <f>IFERROR(_xlfn.XLOOKUP(B2882,repete!A:A,repete!A:A),"-")</f>
        <v>-</v>
      </c>
    </row>
    <row r="2883" spans="1:13">
      <c r="A2883" s="1">
        <v>46235</v>
      </c>
      <c r="B2883" t="s">
        <v>1442</v>
      </c>
      <c r="C2883" t="s">
        <v>1444</v>
      </c>
      <c r="D2883" t="s">
        <v>106</v>
      </c>
      <c r="E2883" t="s">
        <v>54</v>
      </c>
      <c r="F2883">
        <v>23</v>
      </c>
      <c r="G2883">
        <v>2</v>
      </c>
      <c r="H2883">
        <v>5.2029136316337197E-4</v>
      </c>
      <c r="I2883">
        <v>9.0909090909090898E-2</v>
      </c>
      <c r="J2883" s="14" t="str">
        <f>_xlfn.XLOOKUP(B2883,CAD_PDV!A:A,CAD_PDV!B:B)</f>
        <v>CELLULAR.COM</v>
      </c>
      <c r="K2883" s="14">
        <f>IF(IFERROR(_xlfn.XLOOKUP(B2883,Planilha2!D:D,Planilha2!H:H),0)="SIM",1,0)</f>
        <v>0</v>
      </c>
      <c r="L2883" s="14" t="str">
        <f>_xlfn.XLOOKUP(B2883,CAD_PDV!A:A,CAD_PDV!C:C)</f>
        <v>SP2</v>
      </c>
      <c r="M2883" s="14" t="str">
        <f>IFERROR(_xlfn.XLOOKUP(B2883,repete!A:A,repete!A:A),"-")</f>
        <v>-</v>
      </c>
    </row>
    <row r="2884" spans="1:13">
      <c r="A2884" s="1">
        <v>46235</v>
      </c>
      <c r="B2884" t="s">
        <v>1449</v>
      </c>
      <c r="C2884" t="s">
        <v>1451</v>
      </c>
      <c r="D2884" t="s">
        <v>132</v>
      </c>
      <c r="E2884" t="s">
        <v>54</v>
      </c>
      <c r="F2884">
        <v>35</v>
      </c>
      <c r="G2884">
        <v>2</v>
      </c>
      <c r="H2884">
        <v>5.2029136316337197E-4</v>
      </c>
      <c r="I2884">
        <v>5.8823529411764698E-2</v>
      </c>
      <c r="J2884" s="14" t="str">
        <f>_xlfn.XLOOKUP(B2884,CAD_PDV!A:A,CAD_PDV!B:B)</f>
        <v>FLEX CELL</v>
      </c>
      <c r="K2884" s="14">
        <f>IF(IFERROR(_xlfn.XLOOKUP(B2884,Planilha2!D:D,Planilha2!H:H),0)="SIM",1,0)</f>
        <v>0</v>
      </c>
      <c r="L2884" s="14" t="str">
        <f>_xlfn.XLOOKUP(B2884,CAD_PDV!A:A,CAD_PDV!C:C)</f>
        <v>SP2</v>
      </c>
      <c r="M2884" s="14" t="str">
        <f>IFERROR(_xlfn.XLOOKUP(B2884,repete!A:A,repete!A:A),"-")</f>
        <v>-</v>
      </c>
    </row>
    <row r="2885" spans="1:13">
      <c r="A2885" s="1">
        <v>46235</v>
      </c>
      <c r="B2885" t="s">
        <v>982</v>
      </c>
      <c r="C2885" t="s">
        <v>983</v>
      </c>
      <c r="D2885" t="s">
        <v>232</v>
      </c>
      <c r="E2885" t="s">
        <v>60</v>
      </c>
      <c r="F2885">
        <v>15</v>
      </c>
      <c r="G2885">
        <v>2</v>
      </c>
      <c r="H2885">
        <v>5.2029136316337197E-4</v>
      </c>
      <c r="I2885">
        <v>0.133333333333333</v>
      </c>
      <c r="J2885" s="14" t="str">
        <f>_xlfn.XLOOKUP(B2885,CAD_PDV!A:A,CAD_PDV!B:B)</f>
        <v>HS TELECOM</v>
      </c>
      <c r="K2885" s="14">
        <f>IF(IFERROR(_xlfn.XLOOKUP(B2885,Planilha2!D:D,Planilha2!H:H),0)="SIM",1,0)</f>
        <v>0</v>
      </c>
      <c r="L2885" s="14" t="str">
        <f>_xlfn.XLOOKUP(B2885,CAD_PDV!A:A,CAD_PDV!C:C)</f>
        <v>BA/SE</v>
      </c>
      <c r="M2885" s="14" t="str">
        <f>IFERROR(_xlfn.XLOOKUP(B2885,repete!A:A,repete!A:A),"-")</f>
        <v>-</v>
      </c>
    </row>
    <row r="2886" spans="1:13">
      <c r="A2886" s="1">
        <v>46235</v>
      </c>
      <c r="B2886" t="s">
        <v>1917</v>
      </c>
      <c r="C2886" t="s">
        <v>1918</v>
      </c>
      <c r="D2886" t="s">
        <v>106</v>
      </c>
      <c r="E2886" t="s">
        <v>2074</v>
      </c>
      <c r="F2886">
        <v>44</v>
      </c>
      <c r="G2886">
        <v>2</v>
      </c>
      <c r="H2886">
        <v>5.2029136316337197E-4</v>
      </c>
      <c r="I2886">
        <v>4.6511627906976702E-2</v>
      </c>
      <c r="J2886" s="14" t="str">
        <f>_xlfn.XLOOKUP(B2886,CAD_PDV!A:A,CAD_PDV!B:B)</f>
        <v>CELLULAR.COM</v>
      </c>
      <c r="K2886" s="14">
        <f>IF(IFERROR(_xlfn.XLOOKUP(B2886,Planilha2!D:D,Planilha2!H:H),0)="SIM",1,0)</f>
        <v>0</v>
      </c>
      <c r="L2886" s="14" t="str">
        <f>_xlfn.XLOOKUP(B2886,CAD_PDV!A:A,CAD_PDV!C:C)</f>
        <v>PR/SC</v>
      </c>
      <c r="M2886" s="14" t="str">
        <f>IFERROR(_xlfn.XLOOKUP(B2886,repete!A:A,repete!A:A),"-")</f>
        <v>-</v>
      </c>
    </row>
    <row r="2887" spans="1:13">
      <c r="A2887" s="1">
        <v>46235</v>
      </c>
      <c r="B2887" t="s">
        <v>1518</v>
      </c>
      <c r="C2887" t="s">
        <v>1519</v>
      </c>
      <c r="D2887" t="s">
        <v>132</v>
      </c>
      <c r="E2887" t="s">
        <v>54</v>
      </c>
      <c r="F2887">
        <v>14</v>
      </c>
      <c r="G2887">
        <v>2</v>
      </c>
      <c r="H2887">
        <v>5.2029136316337197E-4</v>
      </c>
      <c r="I2887">
        <v>0.14285714285714299</v>
      </c>
      <c r="J2887" s="14" t="str">
        <f>_xlfn.XLOOKUP(B2887,CAD_PDV!A:A,CAD_PDV!B:B)</f>
        <v>FLEX CELL</v>
      </c>
      <c r="K2887" s="14">
        <f>IF(IFERROR(_xlfn.XLOOKUP(B2887,Planilha2!D:D,Planilha2!H:H),0)="SIM",1,0)</f>
        <v>0</v>
      </c>
      <c r="L2887" s="14" t="str">
        <f>_xlfn.XLOOKUP(B2887,CAD_PDV!A:A,CAD_PDV!C:C)</f>
        <v>SP2</v>
      </c>
      <c r="M2887" s="14" t="str">
        <f>IFERROR(_xlfn.XLOOKUP(B2887,repete!A:A,repete!A:A),"-")</f>
        <v>-</v>
      </c>
    </row>
    <row r="2888" spans="1:13">
      <c r="A2888" s="1">
        <v>46235</v>
      </c>
      <c r="B2888" t="s">
        <v>1400</v>
      </c>
      <c r="C2888" t="s">
        <v>1313</v>
      </c>
      <c r="D2888" t="s">
        <v>106</v>
      </c>
      <c r="E2888" t="s">
        <v>53</v>
      </c>
      <c r="F2888">
        <v>68</v>
      </c>
      <c r="G2888">
        <v>2</v>
      </c>
      <c r="H2888">
        <v>5.2029136316337197E-4</v>
      </c>
      <c r="I2888">
        <v>3.0769230769230799E-2</v>
      </c>
      <c r="J2888" s="14" t="str">
        <f>_xlfn.XLOOKUP(B2888,CAD_PDV!A:A,CAD_PDV!B:B)</f>
        <v>CELLULAR.COM</v>
      </c>
      <c r="K2888" s="14">
        <f>IF(IFERROR(_xlfn.XLOOKUP(B2888,Planilha2!D:D,Planilha2!H:H),0)="SIM",1,0)</f>
        <v>0</v>
      </c>
      <c r="L2888" s="14" t="str">
        <f>_xlfn.XLOOKUP(B2888,CAD_PDV!A:A,CAD_PDV!C:C)</f>
        <v>SP1</v>
      </c>
      <c r="M2888" s="14" t="str">
        <f>IFERROR(_xlfn.XLOOKUP(B2888,repete!A:A,repete!A:A),"-")</f>
        <v>-</v>
      </c>
    </row>
    <row r="2889" spans="1:13">
      <c r="A2889" s="1">
        <v>46235</v>
      </c>
      <c r="B2889" t="s">
        <v>1049</v>
      </c>
      <c r="C2889" t="s">
        <v>1050</v>
      </c>
      <c r="D2889" t="s">
        <v>232</v>
      </c>
      <c r="E2889" t="s">
        <v>60</v>
      </c>
      <c r="F2889">
        <v>21</v>
      </c>
      <c r="G2889">
        <v>2</v>
      </c>
      <c r="H2889">
        <v>5.2029136316337197E-4</v>
      </c>
      <c r="I2889">
        <v>0.1</v>
      </c>
      <c r="J2889" s="14" t="str">
        <f>_xlfn.XLOOKUP(B2889,CAD_PDV!A:A,CAD_PDV!B:B)</f>
        <v>HS TELECOM</v>
      </c>
      <c r="K2889" s="14">
        <f>IF(IFERROR(_xlfn.XLOOKUP(B2889,Planilha2!D:D,Planilha2!H:H),0)="SIM",1,0)</f>
        <v>0</v>
      </c>
      <c r="L2889" s="14" t="str">
        <f>_xlfn.XLOOKUP(B2889,CAD_PDV!A:A,CAD_PDV!C:C)</f>
        <v>BA/SE</v>
      </c>
      <c r="M2889" s="14" t="str">
        <f>IFERROR(_xlfn.XLOOKUP(B2889,repete!A:A,repete!A:A),"-")</f>
        <v>-</v>
      </c>
    </row>
    <row r="2890" spans="1:13">
      <c r="A2890" s="1">
        <v>46235</v>
      </c>
      <c r="B2890" t="s">
        <v>861</v>
      </c>
      <c r="C2890" t="s">
        <v>694</v>
      </c>
      <c r="D2890" t="s">
        <v>239</v>
      </c>
      <c r="E2890" t="s">
        <v>59</v>
      </c>
      <c r="F2890">
        <v>48</v>
      </c>
      <c r="G2890">
        <v>2</v>
      </c>
      <c r="H2890">
        <v>5.2029136316337197E-4</v>
      </c>
      <c r="I2890">
        <v>4.2553191489361701E-2</v>
      </c>
      <c r="J2890" s="14" t="str">
        <f>_xlfn.XLOOKUP(B2890,CAD_PDV!A:A,CAD_PDV!B:B)</f>
        <v>TELECELL TELEFONIA LTDA - ME</v>
      </c>
      <c r="K2890" s="14">
        <f>IF(IFERROR(_xlfn.XLOOKUP(B2890,Planilha2!D:D,Planilha2!H:H),0)="SIM",1,0)</f>
        <v>0</v>
      </c>
      <c r="L2890" s="14" t="str">
        <f>_xlfn.XLOOKUP(B2890,CAD_PDV!A:A,CAD_PDV!C:C)</f>
        <v>CO</v>
      </c>
      <c r="M2890" s="14" t="str">
        <f>IFERROR(_xlfn.XLOOKUP(B2890,repete!A:A,repete!A:A),"-")</f>
        <v>-</v>
      </c>
    </row>
    <row r="2891" spans="1:13">
      <c r="A2891" s="1">
        <v>46235</v>
      </c>
      <c r="B2891" t="s">
        <v>1960</v>
      </c>
      <c r="C2891" t="s">
        <v>1961</v>
      </c>
      <c r="D2891" t="s">
        <v>106</v>
      </c>
      <c r="E2891" t="s">
        <v>2074</v>
      </c>
      <c r="F2891">
        <v>11</v>
      </c>
      <c r="G2891">
        <v>2</v>
      </c>
      <c r="H2891">
        <v>5.2029136316337197E-4</v>
      </c>
      <c r="I2891">
        <v>0.18181818181818199</v>
      </c>
      <c r="J2891" s="14" t="str">
        <f>_xlfn.XLOOKUP(B2891,CAD_PDV!A:A,CAD_PDV!B:B)</f>
        <v>CELLULAR.COM</v>
      </c>
      <c r="K2891" s="14">
        <f>IF(IFERROR(_xlfn.XLOOKUP(B2891,Planilha2!D:D,Planilha2!H:H),0)="SIM",1,0)</f>
        <v>0</v>
      </c>
      <c r="L2891" s="14" t="str">
        <f>_xlfn.XLOOKUP(B2891,CAD_PDV!A:A,CAD_PDV!C:C)</f>
        <v>PR/SC</v>
      </c>
      <c r="M2891" s="14" t="str">
        <f>IFERROR(_xlfn.XLOOKUP(B2891,repete!A:A,repete!A:A),"-")</f>
        <v>-</v>
      </c>
    </row>
    <row r="2892" spans="1:13">
      <c r="A2892" s="1">
        <v>46235</v>
      </c>
      <c r="B2892" t="s">
        <v>2048</v>
      </c>
      <c r="C2892" t="s">
        <v>2049</v>
      </c>
      <c r="D2892" t="s">
        <v>193</v>
      </c>
      <c r="E2892" t="s">
        <v>2074</v>
      </c>
      <c r="F2892">
        <v>9</v>
      </c>
      <c r="G2892">
        <v>2</v>
      </c>
      <c r="H2892">
        <v>5.2029136316337197E-4</v>
      </c>
      <c r="I2892">
        <v>0.25</v>
      </c>
      <c r="J2892" s="14" t="str">
        <f>_xlfn.XLOOKUP(B2892,CAD_PDV!A:A,CAD_PDV!B:B)</f>
        <v>S D COMERCIO DE CELULARES LTDA - ME</v>
      </c>
      <c r="K2892" s="14">
        <f>IF(IFERROR(_xlfn.XLOOKUP(B2892,Planilha2!D:D,Planilha2!H:H),0)="SIM",1,0)</f>
        <v>0</v>
      </c>
      <c r="L2892" s="14" t="str">
        <f>_xlfn.XLOOKUP(B2892,CAD_PDV!A:A,CAD_PDV!C:C)</f>
        <v>RS</v>
      </c>
      <c r="M2892" s="14" t="str">
        <f>IFERROR(_xlfn.XLOOKUP(B2892,repete!A:A,repete!A:A),"-")</f>
        <v>-</v>
      </c>
    </row>
    <row r="2893" spans="1:13">
      <c r="A2893" s="1">
        <v>46235</v>
      </c>
      <c r="B2893" t="s">
        <v>882</v>
      </c>
      <c r="C2893" t="s">
        <v>723</v>
      </c>
      <c r="D2893" t="s">
        <v>239</v>
      </c>
      <c r="E2893" t="s">
        <v>59</v>
      </c>
      <c r="F2893">
        <v>52</v>
      </c>
      <c r="G2893">
        <v>2</v>
      </c>
      <c r="H2893">
        <v>5.2029136316337197E-4</v>
      </c>
      <c r="I2893">
        <v>0.04</v>
      </c>
      <c r="J2893" s="14" t="str">
        <f>_xlfn.XLOOKUP(B2893,CAD_PDV!A:A,CAD_PDV!B:B)</f>
        <v>TELECELL TELEFONIA LTDA - ME</v>
      </c>
      <c r="K2893" s="14">
        <f>IF(IFERROR(_xlfn.XLOOKUP(B2893,Planilha2!D:D,Planilha2!H:H),0)="SIM",1,0)</f>
        <v>0</v>
      </c>
      <c r="L2893" s="14" t="str">
        <f>_xlfn.XLOOKUP(B2893,CAD_PDV!A:A,CAD_PDV!C:C)</f>
        <v>CO</v>
      </c>
      <c r="M2893" s="14" t="str">
        <f>IFERROR(_xlfn.XLOOKUP(B2893,repete!A:A,repete!A:A),"-")</f>
        <v>-</v>
      </c>
    </row>
    <row r="2894" spans="1:13">
      <c r="A2894" s="1">
        <v>46235</v>
      </c>
      <c r="B2894" t="s">
        <v>1286</v>
      </c>
      <c r="C2894" t="s">
        <v>1287</v>
      </c>
      <c r="D2894" t="s">
        <v>232</v>
      </c>
      <c r="E2894" t="s">
        <v>55</v>
      </c>
      <c r="F2894">
        <v>22</v>
      </c>
      <c r="G2894">
        <v>2</v>
      </c>
      <c r="H2894">
        <v>5.2029136316337197E-4</v>
      </c>
      <c r="I2894">
        <v>0.1</v>
      </c>
      <c r="J2894" s="14" t="str">
        <f>_xlfn.XLOOKUP(B2894,CAD_PDV!A:A,CAD_PDV!B:B)</f>
        <v>HS TELECOM</v>
      </c>
      <c r="K2894" s="14">
        <f>IF(IFERROR(_xlfn.XLOOKUP(B2894,Planilha2!D:D,Planilha2!H:H),0)="SIM",1,0)</f>
        <v>0</v>
      </c>
      <c r="L2894" s="14" t="str">
        <f>_xlfn.XLOOKUP(B2894,CAD_PDV!A:A,CAD_PDV!C:C)</f>
        <v>RJ/ES</v>
      </c>
      <c r="M2894" s="14" t="str">
        <f>IFERROR(_xlfn.XLOOKUP(B2894,repete!A:A,repete!A:A),"-")</f>
        <v>-</v>
      </c>
    </row>
    <row r="2895" spans="1:13">
      <c r="A2895" s="1">
        <v>46235</v>
      </c>
      <c r="B2895" t="s">
        <v>1218</v>
      </c>
      <c r="C2895" t="s">
        <v>1142</v>
      </c>
      <c r="D2895" t="s">
        <v>2072</v>
      </c>
      <c r="E2895" t="s">
        <v>55</v>
      </c>
      <c r="F2895">
        <v>47</v>
      </c>
      <c r="G2895">
        <v>2</v>
      </c>
      <c r="H2895">
        <v>5.2029136316337197E-4</v>
      </c>
      <c r="I2895">
        <v>4.6511627906976702E-2</v>
      </c>
      <c r="J2895" s="14" t="str">
        <f>_xlfn.XLOOKUP(B2895,CAD_PDV!A:A,CAD_PDV!B:B)</f>
        <v>MEXCELL COMERCIO E SERVICOS DE TELECOMUNICACOES LTDA</v>
      </c>
      <c r="K2895" s="14">
        <f>IF(IFERROR(_xlfn.XLOOKUP(B2895,Planilha2!D:D,Planilha2!H:H),0)="SIM",1,0)</f>
        <v>0</v>
      </c>
      <c r="L2895" s="14" t="str">
        <f>_xlfn.XLOOKUP(B2895,CAD_PDV!A:A,CAD_PDV!C:C)</f>
        <v>RJ/ES</v>
      </c>
      <c r="M2895" s="14" t="str">
        <f>IFERROR(_xlfn.XLOOKUP(B2895,repete!A:A,repete!A:A),"-")</f>
        <v>-</v>
      </c>
    </row>
    <row r="2896" spans="1:13">
      <c r="A2896" s="1">
        <v>46235</v>
      </c>
      <c r="B2896" t="s">
        <v>2032</v>
      </c>
      <c r="C2896" t="s">
        <v>2033</v>
      </c>
      <c r="D2896" t="s">
        <v>193</v>
      </c>
      <c r="E2896" t="s">
        <v>2074</v>
      </c>
      <c r="F2896">
        <v>26</v>
      </c>
      <c r="G2896">
        <v>2</v>
      </c>
      <c r="H2896">
        <v>5.2029136316337197E-4</v>
      </c>
      <c r="I2896">
        <v>9.0909090909090898E-2</v>
      </c>
      <c r="J2896" s="14" t="str">
        <f>_xlfn.XLOOKUP(B2896,CAD_PDV!A:A,CAD_PDV!B:B)</f>
        <v>S D COMERCIO DE CELULARES LTDA - ME</v>
      </c>
      <c r="K2896" s="14">
        <f>IF(IFERROR(_xlfn.XLOOKUP(B2896,Planilha2!D:D,Planilha2!H:H),0)="SIM",1,0)</f>
        <v>0</v>
      </c>
      <c r="L2896" s="14" t="str">
        <f>_xlfn.XLOOKUP(B2896,CAD_PDV!A:A,CAD_PDV!C:C)</f>
        <v>RS</v>
      </c>
      <c r="M2896" s="14" t="str">
        <f>IFERROR(_xlfn.XLOOKUP(B2896,repete!A:A,repete!A:A),"-")</f>
        <v>-</v>
      </c>
    </row>
    <row r="2897" spans="1:13">
      <c r="A2897" s="1">
        <v>46235</v>
      </c>
      <c r="B2897" t="s">
        <v>883</v>
      </c>
      <c r="C2897" t="s">
        <v>873</v>
      </c>
      <c r="D2897" t="s">
        <v>224</v>
      </c>
      <c r="E2897" t="s">
        <v>59</v>
      </c>
      <c r="F2897">
        <v>66</v>
      </c>
      <c r="G2897">
        <v>2</v>
      </c>
      <c r="H2897">
        <v>5.2029136316337197E-4</v>
      </c>
      <c r="I2897">
        <v>3.2258064516128997E-2</v>
      </c>
      <c r="J2897" s="14" t="str">
        <f>_xlfn.XLOOKUP(B2897,CAD_PDV!A:A,CAD_PDV!B:B)</f>
        <v>CELNET COMERCIO E SERVICOS DE TELEFONIA LTDA ME</v>
      </c>
      <c r="K2897" s="14">
        <f>IF(IFERROR(_xlfn.XLOOKUP(B2897,Planilha2!D:D,Planilha2!H:H),0)="SIM",1,0)</f>
        <v>0</v>
      </c>
      <c r="L2897" s="14" t="str">
        <f>_xlfn.XLOOKUP(B2897,CAD_PDV!A:A,CAD_PDV!C:C)</f>
        <v>CO</v>
      </c>
      <c r="M2897" s="14" t="str">
        <f>IFERROR(_xlfn.XLOOKUP(B2897,repete!A:A,repete!A:A),"-")</f>
        <v>-</v>
      </c>
    </row>
    <row r="2898" spans="1:13">
      <c r="A2898" s="1">
        <v>46235</v>
      </c>
      <c r="B2898" t="s">
        <v>2102</v>
      </c>
      <c r="C2898" t="s">
        <v>2103</v>
      </c>
      <c r="D2898" t="s">
        <v>193</v>
      </c>
      <c r="E2898" t="s">
        <v>2074</v>
      </c>
      <c r="F2898">
        <v>38</v>
      </c>
      <c r="G2898">
        <v>2</v>
      </c>
      <c r="H2898">
        <v>5.2029136316337197E-4</v>
      </c>
      <c r="I2898">
        <v>5.7142857142857099E-2</v>
      </c>
      <c r="J2898" s="14" t="str">
        <f>_xlfn.XLOOKUP(B2898,CAD_PDV!A:A,CAD_PDV!B:B)</f>
        <v>S D COMERCIO DE CELULARES LTDA - ME</v>
      </c>
      <c r="K2898" s="14">
        <f>IF(IFERROR(_xlfn.XLOOKUP(B2898,Planilha2!D:D,Planilha2!H:H),0)="SIM",1,0)</f>
        <v>0</v>
      </c>
      <c r="L2898" s="14" t="str">
        <f>_xlfn.XLOOKUP(B2898,CAD_PDV!A:A,CAD_PDV!C:C)</f>
        <v>PR/SC</v>
      </c>
      <c r="M2898" s="14" t="str">
        <f>IFERROR(_xlfn.XLOOKUP(B2898,repete!A:A,repete!A:A),"-")</f>
        <v>-</v>
      </c>
    </row>
    <row r="2899" spans="1:13">
      <c r="A2899" s="1">
        <v>46235</v>
      </c>
      <c r="B2899" t="s">
        <v>925</v>
      </c>
      <c r="C2899" t="s">
        <v>738</v>
      </c>
      <c r="D2899" t="s">
        <v>231</v>
      </c>
      <c r="E2899" t="s">
        <v>59</v>
      </c>
      <c r="F2899">
        <v>20</v>
      </c>
      <c r="G2899">
        <v>2</v>
      </c>
      <c r="H2899">
        <v>5.2029136316337197E-4</v>
      </c>
      <c r="I2899">
        <v>0.1</v>
      </c>
      <c r="J2899" s="14" t="str">
        <f>_xlfn.XLOOKUP(B2899,CAD_PDV!A:A,CAD_PDV!B:B)</f>
        <v>HIROTA &amp; HIROTA LTDA - ME</v>
      </c>
      <c r="K2899" s="14">
        <f>IF(IFERROR(_xlfn.XLOOKUP(B2899,Planilha2!D:D,Planilha2!H:H),0)="SIM",1,0)</f>
        <v>0</v>
      </c>
      <c r="L2899" s="14" t="str">
        <f>_xlfn.XLOOKUP(B2899,CAD_PDV!A:A,CAD_PDV!C:C)</f>
        <v>CO</v>
      </c>
      <c r="M2899" s="14" t="str">
        <f>IFERROR(_xlfn.XLOOKUP(B2899,repete!A:A,repete!A:A),"-")</f>
        <v>-</v>
      </c>
    </row>
    <row r="2900" spans="1:13">
      <c r="A2900" s="1">
        <v>46235</v>
      </c>
      <c r="B2900" t="s">
        <v>1940</v>
      </c>
      <c r="C2900" t="s">
        <v>1939</v>
      </c>
      <c r="D2900" t="s">
        <v>176</v>
      </c>
      <c r="E2900" t="s">
        <v>2074</v>
      </c>
      <c r="F2900">
        <v>77</v>
      </c>
      <c r="G2900">
        <v>2</v>
      </c>
      <c r="H2900">
        <v>5.2029136316337197E-4</v>
      </c>
      <c r="I2900">
        <v>2.66666666666667E-2</v>
      </c>
      <c r="J2900" s="14" t="str">
        <f>_xlfn.XLOOKUP(B2900,CAD_PDV!A:A,CAD_PDV!B:B)</f>
        <v>NEW POINT CELULAR LTDA - ME</v>
      </c>
      <c r="K2900" s="14">
        <f>IF(IFERROR(_xlfn.XLOOKUP(B2900,Planilha2!D:D,Planilha2!H:H),0)="SIM",1,0)</f>
        <v>0</v>
      </c>
      <c r="L2900" s="14" t="str">
        <f>_xlfn.XLOOKUP(B2900,CAD_PDV!A:A,CAD_PDV!C:C)</f>
        <v>RS</v>
      </c>
      <c r="M2900" s="14" t="str">
        <f>IFERROR(_xlfn.XLOOKUP(B2900,repete!A:A,repete!A:A),"-")</f>
        <v>-</v>
      </c>
    </row>
    <row r="2901" spans="1:13">
      <c r="A2901" s="1">
        <v>46235</v>
      </c>
      <c r="B2901" t="s">
        <v>2025</v>
      </c>
      <c r="C2901" t="s">
        <v>2026</v>
      </c>
      <c r="D2901" t="s">
        <v>193</v>
      </c>
      <c r="E2901" t="s">
        <v>2074</v>
      </c>
      <c r="F2901">
        <v>27</v>
      </c>
      <c r="G2901">
        <v>2</v>
      </c>
      <c r="H2901">
        <v>5.2029136316337197E-4</v>
      </c>
      <c r="I2901">
        <v>9.0909090909090898E-2</v>
      </c>
      <c r="J2901" s="14" t="str">
        <f>_xlfn.XLOOKUP(B2901,CAD_PDV!A:A,CAD_PDV!B:B)</f>
        <v>S D COMERCIO DE CELULARES LTDA - ME</v>
      </c>
      <c r="K2901" s="14">
        <f>IF(IFERROR(_xlfn.XLOOKUP(B2901,Planilha2!D:D,Planilha2!H:H),0)="SIM",1,0)</f>
        <v>0</v>
      </c>
      <c r="L2901" s="14" t="str">
        <f>_xlfn.XLOOKUP(B2901,CAD_PDV!A:A,CAD_PDV!C:C)</f>
        <v>RS</v>
      </c>
      <c r="M2901" s="14" t="str">
        <f>IFERROR(_xlfn.XLOOKUP(B2901,repete!A:A,repete!A:A),"-")</f>
        <v>-</v>
      </c>
    </row>
    <row r="2902" spans="1:13">
      <c r="A2902" s="1">
        <v>46235</v>
      </c>
      <c r="B2902" t="s">
        <v>1224</v>
      </c>
      <c r="C2902" t="s">
        <v>1225</v>
      </c>
      <c r="D2902" t="s">
        <v>138</v>
      </c>
      <c r="E2902" t="s">
        <v>55</v>
      </c>
      <c r="F2902">
        <v>56</v>
      </c>
      <c r="G2902">
        <v>2</v>
      </c>
      <c r="H2902">
        <v>5.2029136316337197E-4</v>
      </c>
      <c r="I2902">
        <v>3.7037037037037E-2</v>
      </c>
      <c r="J2902" s="14" t="str">
        <f>_xlfn.XLOOKUP(B2902,CAD_PDV!A:A,CAD_PDV!B:B)</f>
        <v>GSM FREE</v>
      </c>
      <c r="K2902" s="14">
        <f>IF(IFERROR(_xlfn.XLOOKUP(B2902,Planilha2!D:D,Planilha2!H:H),0)="SIM",1,0)</f>
        <v>0</v>
      </c>
      <c r="L2902" s="14" t="str">
        <f>_xlfn.XLOOKUP(B2902,CAD_PDV!A:A,CAD_PDV!C:C)</f>
        <v>RJ/ES</v>
      </c>
      <c r="M2902" s="14" t="str">
        <f>IFERROR(_xlfn.XLOOKUP(B2902,repete!A:A,repete!A:A),"-")</f>
        <v>-</v>
      </c>
    </row>
    <row r="2903" spans="1:13">
      <c r="A2903" s="1">
        <v>46235</v>
      </c>
      <c r="B2903" t="s">
        <v>1276</v>
      </c>
      <c r="C2903" t="s">
        <v>1185</v>
      </c>
      <c r="D2903" t="s">
        <v>228</v>
      </c>
      <c r="E2903" t="s">
        <v>55</v>
      </c>
      <c r="F2903">
        <v>17</v>
      </c>
      <c r="G2903">
        <v>2</v>
      </c>
      <c r="H2903">
        <v>5.2029136316337197E-4</v>
      </c>
      <c r="I2903">
        <v>0.11764705882352899</v>
      </c>
      <c r="J2903" s="14" t="str">
        <f>_xlfn.XLOOKUP(B2903,CAD_PDV!A:A,CAD_PDV!B:B)</f>
        <v>FAJULUTI</v>
      </c>
      <c r="K2903" s="14">
        <f>IF(IFERROR(_xlfn.XLOOKUP(B2903,Planilha2!D:D,Planilha2!H:H),0)="SIM",1,0)</f>
        <v>0</v>
      </c>
      <c r="L2903" s="14" t="str">
        <f>_xlfn.XLOOKUP(B2903,CAD_PDV!A:A,CAD_PDV!C:C)</f>
        <v>RJ/ES</v>
      </c>
      <c r="M2903" s="14" t="str">
        <f>IFERROR(_xlfn.XLOOKUP(B2903,repete!A:A,repete!A:A),"-")</f>
        <v>-</v>
      </c>
    </row>
    <row r="2904" spans="1:13">
      <c r="A2904" s="1">
        <v>46235</v>
      </c>
      <c r="B2904" t="s">
        <v>1238</v>
      </c>
      <c r="C2904" t="s">
        <v>1142</v>
      </c>
      <c r="D2904" t="s">
        <v>237</v>
      </c>
      <c r="E2904" t="s">
        <v>55</v>
      </c>
      <c r="F2904">
        <v>126</v>
      </c>
      <c r="G2904">
        <v>2</v>
      </c>
      <c r="H2904">
        <v>5.2029136316337197E-4</v>
      </c>
      <c r="I2904">
        <v>1.6806722689075598E-2</v>
      </c>
      <c r="J2904" s="14" t="str">
        <f>_xlfn.XLOOKUP(B2904,CAD_PDV!A:A,CAD_PDV!B:B)</f>
        <v>PONTO CERTO COMERCIO E COMUNICAÇÕES LTDA</v>
      </c>
      <c r="K2904" s="14">
        <f>IF(IFERROR(_xlfn.XLOOKUP(B2904,Planilha2!D:D,Planilha2!H:H),0)="SIM",1,0)</f>
        <v>0</v>
      </c>
      <c r="L2904" s="14" t="str">
        <f>_xlfn.XLOOKUP(B2904,CAD_PDV!A:A,CAD_PDV!C:C)</f>
        <v>RJ/ES</v>
      </c>
      <c r="M2904" s="14" t="str">
        <f>IFERROR(_xlfn.XLOOKUP(B2904,repete!A:A,repete!A:A),"-")</f>
        <v>-</v>
      </c>
    </row>
    <row r="2905" spans="1:13">
      <c r="A2905" s="1">
        <v>46235</v>
      </c>
      <c r="B2905" t="s">
        <v>1168</v>
      </c>
      <c r="C2905" t="s">
        <v>1142</v>
      </c>
      <c r="D2905" t="s">
        <v>237</v>
      </c>
      <c r="E2905" t="s">
        <v>55</v>
      </c>
      <c r="F2905">
        <v>90</v>
      </c>
      <c r="G2905">
        <v>2</v>
      </c>
      <c r="H2905">
        <v>5.2029136316337197E-4</v>
      </c>
      <c r="I2905">
        <v>2.40963855421687E-2</v>
      </c>
      <c r="J2905" s="14" t="str">
        <f>_xlfn.XLOOKUP(B2905,CAD_PDV!A:A,CAD_PDV!B:B)</f>
        <v>PONTO CERTO COMERCIO E COMUNICAÇÕES LTDA</v>
      </c>
      <c r="K2905" s="14">
        <f>IF(IFERROR(_xlfn.XLOOKUP(B2905,Planilha2!D:D,Planilha2!H:H),0)="SIM",1,0)</f>
        <v>0</v>
      </c>
      <c r="L2905" s="14" t="str">
        <f>_xlfn.XLOOKUP(B2905,CAD_PDV!A:A,CAD_PDV!C:C)</f>
        <v>RJ/ES</v>
      </c>
      <c r="M2905" s="14" t="str">
        <f>IFERROR(_xlfn.XLOOKUP(B2905,repete!A:A,repete!A:A),"-")</f>
        <v>-</v>
      </c>
    </row>
    <row r="2906" spans="1:13">
      <c r="A2906" s="1">
        <v>46235</v>
      </c>
      <c r="B2906" t="s">
        <v>737</v>
      </c>
      <c r="C2906" t="s">
        <v>738</v>
      </c>
      <c r="D2906" t="s">
        <v>231</v>
      </c>
      <c r="E2906" t="s">
        <v>59</v>
      </c>
      <c r="F2906">
        <v>40</v>
      </c>
      <c r="G2906">
        <v>2</v>
      </c>
      <c r="H2906">
        <v>5.2029136316337197E-4</v>
      </c>
      <c r="I2906">
        <v>5.2631578947368397E-2</v>
      </c>
      <c r="J2906" s="14" t="str">
        <f>_xlfn.XLOOKUP(B2906,CAD_PDV!A:A,CAD_PDV!B:B)</f>
        <v>HIROTA &amp; HIROTA LTDA - ME</v>
      </c>
      <c r="K2906" s="14">
        <f>IF(IFERROR(_xlfn.XLOOKUP(B2906,Planilha2!D:D,Planilha2!H:H),0)="SIM",1,0)</f>
        <v>0</v>
      </c>
      <c r="L2906" s="14" t="str">
        <f>_xlfn.XLOOKUP(B2906,CAD_PDV!A:A,CAD_PDV!C:C)</f>
        <v>CO</v>
      </c>
      <c r="M2906" s="14" t="str">
        <f>IFERROR(_xlfn.XLOOKUP(B2906,repete!A:A,repete!A:A),"-")</f>
        <v>-</v>
      </c>
    </row>
    <row r="2907" spans="1:13">
      <c r="A2907" s="1">
        <v>46235</v>
      </c>
      <c r="B2907" t="s">
        <v>1584</v>
      </c>
      <c r="C2907" t="s">
        <v>1585</v>
      </c>
      <c r="D2907" t="s">
        <v>106</v>
      </c>
      <c r="E2907" t="s">
        <v>54</v>
      </c>
      <c r="F2907">
        <v>47</v>
      </c>
      <c r="G2907">
        <v>2</v>
      </c>
      <c r="H2907">
        <v>5.2029136316337197E-4</v>
      </c>
      <c r="I2907">
        <v>5.1282051282051301E-2</v>
      </c>
      <c r="J2907" s="14" t="str">
        <f>_xlfn.XLOOKUP(B2907,CAD_PDV!A:A,CAD_PDV!B:B)</f>
        <v>CELLULAR.COM</v>
      </c>
      <c r="K2907" s="14">
        <f>IF(IFERROR(_xlfn.XLOOKUP(B2907,Planilha2!D:D,Planilha2!H:H),0)="SIM",1,0)</f>
        <v>0</v>
      </c>
      <c r="L2907" s="14" t="str">
        <f>_xlfn.XLOOKUP(B2907,CAD_PDV!A:A,CAD_PDV!C:C)</f>
        <v>SP2</v>
      </c>
      <c r="M2907" s="14" t="str">
        <f>IFERROR(_xlfn.XLOOKUP(B2907,repete!A:A,repete!A:A),"-")</f>
        <v>-</v>
      </c>
    </row>
    <row r="2908" spans="1:13">
      <c r="A2908" s="1">
        <v>46235</v>
      </c>
      <c r="B2908" t="s">
        <v>889</v>
      </c>
      <c r="C2908" t="s">
        <v>873</v>
      </c>
      <c r="D2908" t="s">
        <v>239</v>
      </c>
      <c r="E2908" t="s">
        <v>59</v>
      </c>
      <c r="F2908">
        <v>40</v>
      </c>
      <c r="G2908">
        <v>2</v>
      </c>
      <c r="H2908">
        <v>5.2029136316337197E-4</v>
      </c>
      <c r="I2908">
        <v>5.4054054054054099E-2</v>
      </c>
      <c r="J2908" s="14" t="str">
        <f>_xlfn.XLOOKUP(B2908,CAD_PDV!A:A,CAD_PDV!B:B)</f>
        <v>TELECELL TELEFONIA LTDA - ME</v>
      </c>
      <c r="K2908" s="14">
        <f>IF(IFERROR(_xlfn.XLOOKUP(B2908,Planilha2!D:D,Planilha2!H:H),0)="SIM",1,0)</f>
        <v>0</v>
      </c>
      <c r="L2908" s="14" t="str">
        <f>_xlfn.XLOOKUP(B2908,CAD_PDV!A:A,CAD_PDV!C:C)</f>
        <v>CO</v>
      </c>
      <c r="M2908" s="14" t="str">
        <f>IFERROR(_xlfn.XLOOKUP(B2908,repete!A:A,repete!A:A),"-")</f>
        <v>-</v>
      </c>
    </row>
    <row r="2909" spans="1:13">
      <c r="A2909" s="1">
        <v>46235</v>
      </c>
      <c r="B2909" t="s">
        <v>1603</v>
      </c>
      <c r="C2909" t="s">
        <v>1557</v>
      </c>
      <c r="D2909" t="s">
        <v>119</v>
      </c>
      <c r="E2909" t="s">
        <v>54</v>
      </c>
      <c r="F2909">
        <v>17</v>
      </c>
      <c r="G2909">
        <v>2</v>
      </c>
      <c r="H2909">
        <v>5.2029136316337197E-4</v>
      </c>
      <c r="I2909">
        <v>0.125</v>
      </c>
      <c r="J2909" s="14" t="str">
        <f>_xlfn.XLOOKUP(B2909,CAD_PDV!A:A,CAD_PDV!B:B)</f>
        <v>DOM BARRETO COMERCIAL LTDA - ME</v>
      </c>
      <c r="K2909" s="14">
        <f>IF(IFERROR(_xlfn.XLOOKUP(B2909,Planilha2!D:D,Planilha2!H:H),0)="SIM",1,0)</f>
        <v>0</v>
      </c>
      <c r="L2909" s="14" t="str">
        <f>_xlfn.XLOOKUP(B2909,CAD_PDV!A:A,CAD_PDV!C:C)</f>
        <v>SP2</v>
      </c>
      <c r="M2909" s="14" t="str">
        <f>IFERROR(_xlfn.XLOOKUP(B2909,repete!A:A,repete!A:A),"-")</f>
        <v>-</v>
      </c>
    </row>
    <row r="2910" spans="1:13">
      <c r="A2910" s="1">
        <v>46235</v>
      </c>
      <c r="B2910" t="s">
        <v>1606</v>
      </c>
      <c r="C2910" t="s">
        <v>1545</v>
      </c>
      <c r="D2910" t="s">
        <v>106</v>
      </c>
      <c r="E2910" t="s">
        <v>54</v>
      </c>
      <c r="F2910">
        <v>62</v>
      </c>
      <c r="G2910">
        <v>2</v>
      </c>
      <c r="H2910">
        <v>5.2029136316337197E-4</v>
      </c>
      <c r="I2910">
        <v>3.2786885245901599E-2</v>
      </c>
      <c r="J2910" s="14" t="str">
        <f>_xlfn.XLOOKUP(B2910,CAD_PDV!A:A,CAD_PDV!B:B)</f>
        <v>CELLULAR.COM</v>
      </c>
      <c r="K2910" s="14">
        <f>IF(IFERROR(_xlfn.XLOOKUP(B2910,Planilha2!D:D,Planilha2!H:H),0)="SIM",1,0)</f>
        <v>0</v>
      </c>
      <c r="L2910" s="14" t="str">
        <f>_xlfn.XLOOKUP(B2910,CAD_PDV!A:A,CAD_PDV!C:C)</f>
        <v>SP2</v>
      </c>
      <c r="M2910" s="14" t="str">
        <f>IFERROR(_xlfn.XLOOKUP(B2910,repete!A:A,repete!A:A),"-")</f>
        <v>-</v>
      </c>
    </row>
    <row r="2911" spans="1:13">
      <c r="A2911" s="1">
        <v>46235</v>
      </c>
      <c r="B2911" t="s">
        <v>1615</v>
      </c>
      <c r="C2911" t="s">
        <v>1616</v>
      </c>
      <c r="D2911" t="s">
        <v>132</v>
      </c>
      <c r="E2911" t="s">
        <v>54</v>
      </c>
      <c r="F2911">
        <v>18</v>
      </c>
      <c r="G2911">
        <v>2</v>
      </c>
      <c r="H2911">
        <v>5.2029136316337197E-4</v>
      </c>
      <c r="I2911">
        <v>0.11764705882352899</v>
      </c>
      <c r="J2911" s="14" t="str">
        <f>_xlfn.XLOOKUP(B2911,CAD_PDV!A:A,CAD_PDV!B:B)</f>
        <v>FLEX CELL</v>
      </c>
      <c r="K2911" s="14">
        <f>IF(IFERROR(_xlfn.XLOOKUP(B2911,Planilha2!D:D,Planilha2!H:H),0)="SIM",1,0)</f>
        <v>0</v>
      </c>
      <c r="L2911" s="14" t="str">
        <f>_xlfn.XLOOKUP(B2911,CAD_PDV!A:A,CAD_PDV!C:C)</f>
        <v>SP2</v>
      </c>
      <c r="M2911" s="14" t="str">
        <f>IFERROR(_xlfn.XLOOKUP(B2911,repete!A:A,repete!A:A),"-")</f>
        <v>-</v>
      </c>
    </row>
    <row r="2912" spans="1:13">
      <c r="A2912" s="1">
        <v>46235</v>
      </c>
      <c r="B2912" t="s">
        <v>1849</v>
      </c>
      <c r="C2912" t="s">
        <v>1847</v>
      </c>
      <c r="D2912" t="s">
        <v>106</v>
      </c>
      <c r="E2912" t="s">
        <v>2074</v>
      </c>
      <c r="F2912">
        <v>9</v>
      </c>
      <c r="G2912">
        <v>2</v>
      </c>
      <c r="H2912">
        <v>5.2029136316337197E-4</v>
      </c>
      <c r="I2912">
        <v>0.22222222222222199</v>
      </c>
      <c r="J2912" s="14" t="str">
        <f>_xlfn.XLOOKUP(B2912,CAD_PDV!A:A,CAD_PDV!B:B)</f>
        <v>CELLULAR.COM</v>
      </c>
      <c r="K2912" s="14">
        <f>IF(IFERROR(_xlfn.XLOOKUP(B2912,Planilha2!D:D,Planilha2!H:H),0)="SIM",1,0)</f>
        <v>0</v>
      </c>
      <c r="L2912" s="14" t="str">
        <f>_xlfn.XLOOKUP(B2912,CAD_PDV!A:A,CAD_PDV!C:C)</f>
        <v>PR/SC</v>
      </c>
      <c r="M2912" s="14" t="str">
        <f>IFERROR(_xlfn.XLOOKUP(B2912,repete!A:A,repete!A:A),"-")</f>
        <v>-</v>
      </c>
    </row>
    <row r="2913" spans="1:13">
      <c r="A2913" s="1">
        <v>46235</v>
      </c>
      <c r="B2913" t="s">
        <v>1624</v>
      </c>
      <c r="C2913" t="s">
        <v>1625</v>
      </c>
      <c r="D2913" t="s">
        <v>232</v>
      </c>
      <c r="E2913" t="s">
        <v>54</v>
      </c>
      <c r="F2913">
        <v>18</v>
      </c>
      <c r="G2913">
        <v>2</v>
      </c>
      <c r="H2913">
        <v>5.2029136316337197E-4</v>
      </c>
      <c r="I2913">
        <v>0.133333333333333</v>
      </c>
      <c r="J2913" s="14" t="str">
        <f>_xlfn.XLOOKUP(B2913,CAD_PDV!A:A,CAD_PDV!B:B)</f>
        <v>HS TELECOM</v>
      </c>
      <c r="K2913" s="14">
        <f>IF(IFERROR(_xlfn.XLOOKUP(B2913,Planilha2!D:D,Planilha2!H:H),0)="SIM",1,0)</f>
        <v>0</v>
      </c>
      <c r="L2913" s="14" t="str">
        <f>_xlfn.XLOOKUP(B2913,CAD_PDV!A:A,CAD_PDV!C:C)</f>
        <v>SP2</v>
      </c>
      <c r="M2913" s="14" t="str">
        <f>IFERROR(_xlfn.XLOOKUP(B2913,repete!A:A,repete!A:A),"-")</f>
        <v>-</v>
      </c>
    </row>
    <row r="2914" spans="1:13">
      <c r="A2914" s="1">
        <v>46235</v>
      </c>
      <c r="B2914" t="s">
        <v>1367</v>
      </c>
      <c r="C2914" t="s">
        <v>1313</v>
      </c>
      <c r="D2914" t="s">
        <v>132</v>
      </c>
      <c r="E2914" t="s">
        <v>53</v>
      </c>
      <c r="F2914">
        <v>43</v>
      </c>
      <c r="G2914">
        <v>2</v>
      </c>
      <c r="H2914">
        <v>5.2029136316337197E-4</v>
      </c>
      <c r="I2914">
        <v>4.7619047619047603E-2</v>
      </c>
      <c r="J2914" s="14" t="str">
        <f>_xlfn.XLOOKUP(B2914,CAD_PDV!A:A,CAD_PDV!B:B)</f>
        <v>FLEX CELL</v>
      </c>
      <c r="K2914" s="14">
        <f>IF(IFERROR(_xlfn.XLOOKUP(B2914,Planilha2!D:D,Planilha2!H:H),0)="SIM",1,0)</f>
        <v>0</v>
      </c>
      <c r="L2914" s="14" t="str">
        <f>_xlfn.XLOOKUP(B2914,CAD_PDV!A:A,CAD_PDV!C:C)</f>
        <v>SP1</v>
      </c>
      <c r="M2914" s="14" t="str">
        <f>IFERROR(_xlfn.XLOOKUP(B2914,repete!A:A,repete!A:A),"-")</f>
        <v>-</v>
      </c>
    </row>
    <row r="2915" spans="1:13">
      <c r="A2915" s="1">
        <v>46235</v>
      </c>
      <c r="B2915" t="s">
        <v>1999</v>
      </c>
      <c r="C2915" t="s">
        <v>2000</v>
      </c>
      <c r="D2915" t="s">
        <v>124</v>
      </c>
      <c r="E2915" t="s">
        <v>2074</v>
      </c>
      <c r="F2915">
        <v>29</v>
      </c>
      <c r="G2915">
        <v>2</v>
      </c>
      <c r="H2915">
        <v>5.2029136316337197E-4</v>
      </c>
      <c r="I2915">
        <v>0.08</v>
      </c>
      <c r="J2915" s="14" t="str">
        <f>_xlfn.XLOOKUP(B2915,CAD_PDV!A:A,CAD_PDV!B:B)</f>
        <v>EDUARDO JUNQUEIRA DA SILVEIRA ADMIN</v>
      </c>
      <c r="K2915" s="14">
        <f>IF(IFERROR(_xlfn.XLOOKUP(B2915,Planilha2!D:D,Planilha2!H:H),0)="SIM",1,0)</f>
        <v>0</v>
      </c>
      <c r="L2915" s="14" t="str">
        <f>_xlfn.XLOOKUP(B2915,CAD_PDV!A:A,CAD_PDV!C:C)</f>
        <v>RS</v>
      </c>
      <c r="M2915" s="14" t="str">
        <f>IFERROR(_xlfn.XLOOKUP(B2915,repete!A:A,repete!A:A),"-")</f>
        <v>-</v>
      </c>
    </row>
    <row r="2916" spans="1:13">
      <c r="A2916" s="1">
        <v>46235</v>
      </c>
      <c r="B2916" t="s">
        <v>1810</v>
      </c>
      <c r="C2916" t="s">
        <v>1813</v>
      </c>
      <c r="D2916" t="s">
        <v>95</v>
      </c>
      <c r="E2916" t="s">
        <v>2074</v>
      </c>
      <c r="F2916">
        <v>44</v>
      </c>
      <c r="G2916">
        <v>2</v>
      </c>
      <c r="H2916">
        <v>5.2029136316337197E-4</v>
      </c>
      <c r="I2916">
        <v>4.6511627906976702E-2</v>
      </c>
      <c r="J2916" s="14" t="str">
        <f>_xlfn.XLOOKUP(B2916,CAD_PDV!A:A,CAD_PDV!B:B)</f>
        <v>AYRES E DEBONI LTDA - ME</v>
      </c>
      <c r="K2916" s="14">
        <f>IF(IFERROR(_xlfn.XLOOKUP(B2916,Planilha2!D:D,Planilha2!H:H),0)="SIM",1,0)</f>
        <v>0</v>
      </c>
      <c r="L2916" s="14" t="str">
        <f>_xlfn.XLOOKUP(B2916,CAD_PDV!A:A,CAD_PDV!C:C)</f>
        <v>RS</v>
      </c>
      <c r="M2916" s="14" t="str">
        <f>IFERROR(_xlfn.XLOOKUP(B2916,repete!A:A,repete!A:A),"-")</f>
        <v>-</v>
      </c>
    </row>
    <row r="2917" spans="1:13">
      <c r="A2917" s="1">
        <v>46235</v>
      </c>
      <c r="B2917" t="s">
        <v>1642</v>
      </c>
      <c r="C2917" t="s">
        <v>1643</v>
      </c>
      <c r="D2917" t="s">
        <v>223</v>
      </c>
      <c r="E2917" t="s">
        <v>54</v>
      </c>
      <c r="F2917">
        <v>29</v>
      </c>
      <c r="G2917">
        <v>2</v>
      </c>
      <c r="H2917">
        <v>5.2029136316337197E-4</v>
      </c>
      <c r="I2917">
        <v>7.1428571428571397E-2</v>
      </c>
      <c r="J2917" s="14" t="str">
        <f>_xlfn.XLOOKUP(B2917,CAD_PDV!A:A,CAD_PDV!B:B)</f>
        <v>BONELI BIAZI CELULARES EIRELI - ME</v>
      </c>
      <c r="K2917" s="14">
        <f>IF(IFERROR(_xlfn.XLOOKUP(B2917,Planilha2!D:D,Planilha2!H:H),0)="SIM",1,0)</f>
        <v>0</v>
      </c>
      <c r="L2917" s="14" t="str">
        <f>_xlfn.XLOOKUP(B2917,CAD_PDV!A:A,CAD_PDV!C:C)</f>
        <v>SP2</v>
      </c>
      <c r="M2917" s="14" t="str">
        <f>IFERROR(_xlfn.XLOOKUP(B2917,repete!A:A,repete!A:A),"-")</f>
        <v>-</v>
      </c>
    </row>
    <row r="2918" spans="1:13">
      <c r="A2918" s="1">
        <v>46235</v>
      </c>
      <c r="B2918" t="s">
        <v>523</v>
      </c>
      <c r="C2918" t="s">
        <v>524</v>
      </c>
      <c r="D2918" t="s">
        <v>239</v>
      </c>
      <c r="E2918" t="s">
        <v>56</v>
      </c>
      <c r="F2918">
        <v>25</v>
      </c>
      <c r="G2918">
        <v>2</v>
      </c>
      <c r="H2918">
        <v>5.2029136316337197E-4</v>
      </c>
      <c r="I2918">
        <v>9.0909090909090898E-2</v>
      </c>
      <c r="J2918" s="14" t="str">
        <f>_xlfn.XLOOKUP(B2918,CAD_PDV!A:A,CAD_PDV!B:B)</f>
        <v>TELECELL TELEFONIA LTDA - ME</v>
      </c>
      <c r="K2918" s="14">
        <f>IF(IFERROR(_xlfn.XLOOKUP(B2918,Planilha2!D:D,Planilha2!H:H),0)="SIM",1,0)</f>
        <v>0</v>
      </c>
      <c r="L2918" s="14" t="str">
        <f>_xlfn.XLOOKUP(B2918,CAD_PDV!A:A,CAD_PDV!C:C)</f>
        <v>MG</v>
      </c>
      <c r="M2918" s="14" t="str">
        <f>IFERROR(_xlfn.XLOOKUP(B2918,repete!A:A,repete!A:A),"-")</f>
        <v>-</v>
      </c>
    </row>
    <row r="2919" spans="1:13">
      <c r="A2919" s="1">
        <v>46235</v>
      </c>
      <c r="B2919" t="s">
        <v>829</v>
      </c>
      <c r="C2919" t="s">
        <v>820</v>
      </c>
      <c r="D2919" t="s">
        <v>239</v>
      </c>
      <c r="E2919" t="s">
        <v>59</v>
      </c>
      <c r="F2919">
        <v>41</v>
      </c>
      <c r="G2919">
        <v>2</v>
      </c>
      <c r="H2919">
        <v>5.2029136316337197E-4</v>
      </c>
      <c r="I2919">
        <v>5.1282051282051301E-2</v>
      </c>
      <c r="J2919" s="14" t="str">
        <f>_xlfn.XLOOKUP(B2919,CAD_PDV!A:A,CAD_PDV!B:B)</f>
        <v>TELECELL TELEFONIA LTDA - ME</v>
      </c>
      <c r="K2919" s="14">
        <f>IF(IFERROR(_xlfn.XLOOKUP(B2919,Planilha2!D:D,Planilha2!H:H),0)="SIM",1,0)</f>
        <v>0</v>
      </c>
      <c r="L2919" s="14" t="str">
        <f>_xlfn.XLOOKUP(B2919,CAD_PDV!A:A,CAD_PDV!C:C)</f>
        <v>CO</v>
      </c>
      <c r="M2919" s="14" t="str">
        <f>IFERROR(_xlfn.XLOOKUP(B2919,repete!A:A,repete!A:A),"-")</f>
        <v>-</v>
      </c>
    </row>
    <row r="2920" spans="1:13">
      <c r="A2920" s="1">
        <v>46235</v>
      </c>
      <c r="B2920" t="s">
        <v>1254</v>
      </c>
      <c r="C2920" t="s">
        <v>1255</v>
      </c>
      <c r="D2920" t="s">
        <v>2072</v>
      </c>
      <c r="E2920" t="s">
        <v>55</v>
      </c>
      <c r="F2920">
        <v>38</v>
      </c>
      <c r="G2920">
        <v>2</v>
      </c>
      <c r="H2920">
        <v>5.2029136316337197E-4</v>
      </c>
      <c r="I2920">
        <v>5.5555555555555601E-2</v>
      </c>
      <c r="J2920" s="14" t="str">
        <f>_xlfn.XLOOKUP(B2920,CAD_PDV!A:A,CAD_PDV!B:B)</f>
        <v>MEXCELL COMERCIO E SERVICOS DE TELECOMUNICACOES LTDA</v>
      </c>
      <c r="K2920" s="14">
        <f>IF(IFERROR(_xlfn.XLOOKUP(B2920,Planilha2!D:D,Planilha2!H:H),0)="SIM",1,0)</f>
        <v>0</v>
      </c>
      <c r="L2920" s="14" t="str">
        <f>_xlfn.XLOOKUP(B2920,CAD_PDV!A:A,CAD_PDV!C:C)</f>
        <v>RJ/ES</v>
      </c>
      <c r="M2920" s="14" t="str">
        <f>IFERROR(_xlfn.XLOOKUP(B2920,repete!A:A,repete!A:A),"-")</f>
        <v>-</v>
      </c>
    </row>
    <row r="2921" spans="1:13">
      <c r="A2921" s="1">
        <v>46235</v>
      </c>
      <c r="B2921" t="s">
        <v>901</v>
      </c>
      <c r="C2921" t="s">
        <v>902</v>
      </c>
      <c r="D2921" t="s">
        <v>215</v>
      </c>
      <c r="E2921" t="s">
        <v>59</v>
      </c>
      <c r="F2921">
        <v>62</v>
      </c>
      <c r="G2921">
        <v>2</v>
      </c>
      <c r="H2921">
        <v>5.2029136316337197E-4</v>
      </c>
      <c r="I2921">
        <v>3.3333333333333298E-2</v>
      </c>
      <c r="J2921" s="14" t="str">
        <f>_xlfn.XLOOKUP(B2921,CAD_PDV!A:A,CAD_PDV!B:B)</f>
        <v>VIA SALLUS</v>
      </c>
      <c r="K2921" s="14">
        <f>IF(IFERROR(_xlfn.XLOOKUP(B2921,Planilha2!D:D,Planilha2!H:H),0)="SIM",1,0)</f>
        <v>0</v>
      </c>
      <c r="L2921" s="14" t="str">
        <f>_xlfn.XLOOKUP(B2921,CAD_PDV!A:A,CAD_PDV!C:C)</f>
        <v>CO</v>
      </c>
      <c r="M2921" s="14" t="str">
        <f>IFERROR(_xlfn.XLOOKUP(B2921,repete!A:A,repete!A:A),"-")</f>
        <v>-</v>
      </c>
    </row>
    <row r="2922" spans="1:13">
      <c r="A2922" s="1">
        <v>46235</v>
      </c>
      <c r="B2922" t="s">
        <v>843</v>
      </c>
      <c r="C2922" t="s">
        <v>677</v>
      </c>
      <c r="D2922" t="s">
        <v>239</v>
      </c>
      <c r="E2922" t="s">
        <v>59</v>
      </c>
      <c r="F2922">
        <v>22</v>
      </c>
      <c r="G2922">
        <v>2</v>
      </c>
      <c r="H2922">
        <v>5.2029136316337197E-4</v>
      </c>
      <c r="I2922">
        <v>9.0909090909090898E-2</v>
      </c>
      <c r="J2922" s="14" t="str">
        <f>_xlfn.XLOOKUP(B2922,CAD_PDV!A:A,CAD_PDV!B:B)</f>
        <v>TELECELL TELEFONIA LTDA - ME</v>
      </c>
      <c r="K2922" s="14">
        <f>IF(IFERROR(_xlfn.XLOOKUP(B2922,Planilha2!D:D,Planilha2!H:H),0)="SIM",1,0)</f>
        <v>0</v>
      </c>
      <c r="L2922" s="14" t="str">
        <f>_xlfn.XLOOKUP(B2922,CAD_PDV!A:A,CAD_PDV!C:C)</f>
        <v>CO</v>
      </c>
      <c r="M2922" s="14" t="str">
        <f>IFERROR(_xlfn.XLOOKUP(B2922,repete!A:A,repete!A:A),"-")</f>
        <v>-</v>
      </c>
    </row>
    <row r="2923" spans="1:13">
      <c r="A2923" s="1">
        <v>46235</v>
      </c>
      <c r="B2923" t="s">
        <v>856</v>
      </c>
      <c r="C2923" t="s">
        <v>855</v>
      </c>
      <c r="D2923" t="s">
        <v>2073</v>
      </c>
      <c r="E2923" t="s">
        <v>59</v>
      </c>
      <c r="F2923">
        <v>17</v>
      </c>
      <c r="G2923">
        <v>2</v>
      </c>
      <c r="H2923">
        <v>5.2029136316337197E-4</v>
      </c>
      <c r="I2923">
        <v>0.11764705882352899</v>
      </c>
      <c r="J2923" s="14" t="str">
        <f>_xlfn.XLOOKUP(B2923,CAD_PDV!A:A,CAD_PDV!B:B)</f>
        <v xml:space="preserve">CONTACOM COMERCIO DE APARELHOS ELETRONICOS LTDA </v>
      </c>
      <c r="K2923" s="14">
        <f>IF(IFERROR(_xlfn.XLOOKUP(B2923,Planilha2!D:D,Planilha2!H:H),0)="SIM",1,0)</f>
        <v>0</v>
      </c>
      <c r="L2923" s="14" t="str">
        <f>_xlfn.XLOOKUP(B2923,CAD_PDV!A:A,CAD_PDV!C:C)</f>
        <v>CO</v>
      </c>
      <c r="M2923" s="14" t="str">
        <f>IFERROR(_xlfn.XLOOKUP(B2923,repete!A:A,repete!A:A),"-")</f>
        <v>-</v>
      </c>
    </row>
    <row r="2924" spans="1:13">
      <c r="A2924" s="1">
        <v>46235</v>
      </c>
      <c r="B2924" t="s">
        <v>1279</v>
      </c>
      <c r="C2924" t="s">
        <v>1280</v>
      </c>
      <c r="D2924" t="s">
        <v>228</v>
      </c>
      <c r="E2924" t="s">
        <v>55</v>
      </c>
      <c r="F2924">
        <v>10</v>
      </c>
      <c r="G2924">
        <v>2</v>
      </c>
      <c r="H2924">
        <v>5.2029136316337197E-4</v>
      </c>
      <c r="I2924">
        <v>0.22222222222222199</v>
      </c>
      <c r="J2924" s="14" t="str">
        <f>_xlfn.XLOOKUP(B2924,CAD_PDV!A:A,CAD_PDV!B:B)</f>
        <v>FAJULUTI</v>
      </c>
      <c r="K2924" s="14">
        <f>IF(IFERROR(_xlfn.XLOOKUP(B2924,Planilha2!D:D,Planilha2!H:H),0)="SIM",1,0)</f>
        <v>0</v>
      </c>
      <c r="L2924" s="14" t="str">
        <f>_xlfn.XLOOKUP(B2924,CAD_PDV!A:A,CAD_PDV!C:C)</f>
        <v>RJ/ES</v>
      </c>
      <c r="M2924" s="14" t="str">
        <f>IFERROR(_xlfn.XLOOKUP(B2924,repete!A:A,repete!A:A),"-")</f>
        <v>-</v>
      </c>
    </row>
    <row r="2925" spans="1:13">
      <c r="A2925" s="1">
        <v>46235</v>
      </c>
      <c r="B2925" t="s">
        <v>1696</v>
      </c>
      <c r="C2925" t="s">
        <v>1499</v>
      </c>
      <c r="D2925" t="s">
        <v>132</v>
      </c>
      <c r="E2925" t="s">
        <v>54</v>
      </c>
      <c r="F2925">
        <v>22</v>
      </c>
      <c r="G2925">
        <v>2</v>
      </c>
      <c r="H2925">
        <v>5.2029136316337197E-4</v>
      </c>
      <c r="I2925">
        <v>9.5238095238095205E-2</v>
      </c>
      <c r="J2925" s="14" t="str">
        <f>_xlfn.XLOOKUP(B2925,CAD_PDV!A:A,CAD_PDV!B:B)</f>
        <v>FLEX CELL</v>
      </c>
      <c r="K2925" s="14">
        <f>IF(IFERROR(_xlfn.XLOOKUP(B2925,Planilha2!D:D,Planilha2!H:H),0)="SIM",1,0)</f>
        <v>0</v>
      </c>
      <c r="L2925" s="14" t="str">
        <f>_xlfn.XLOOKUP(B2925,CAD_PDV!A:A,CAD_PDV!C:C)</f>
        <v>SP2</v>
      </c>
      <c r="M2925" s="14" t="str">
        <f>IFERROR(_xlfn.XLOOKUP(B2925,repete!A:A,repete!A:A),"-")</f>
        <v>-</v>
      </c>
    </row>
    <row r="2926" spans="1:13">
      <c r="A2926" s="1">
        <v>46235</v>
      </c>
      <c r="B2926" t="s">
        <v>851</v>
      </c>
      <c r="C2926" t="s">
        <v>732</v>
      </c>
      <c r="D2926" t="s">
        <v>221</v>
      </c>
      <c r="E2926" t="s">
        <v>59</v>
      </c>
      <c r="F2926">
        <v>40</v>
      </c>
      <c r="G2926">
        <v>2</v>
      </c>
      <c r="H2926">
        <v>5.2029136316337197E-4</v>
      </c>
      <c r="I2926">
        <v>5.5555555555555601E-2</v>
      </c>
      <c r="J2926" s="14" t="str">
        <f>_xlfn.XLOOKUP(B2926,CAD_PDV!A:A,CAD_PDV!B:B)</f>
        <v>AMERICOM COMERCIO DE APARELHOS ELETRONICOS LTDA - EPP</v>
      </c>
      <c r="K2926" s="14">
        <f>IF(IFERROR(_xlfn.XLOOKUP(B2926,Planilha2!D:D,Planilha2!H:H),0)="SIM",1,0)</f>
        <v>0</v>
      </c>
      <c r="L2926" s="14" t="str">
        <f>_xlfn.XLOOKUP(B2926,CAD_PDV!A:A,CAD_PDV!C:C)</f>
        <v>CO</v>
      </c>
      <c r="M2926" s="14" t="str">
        <f>IFERROR(_xlfn.XLOOKUP(B2926,repete!A:A,repete!A:A),"-")</f>
        <v>-</v>
      </c>
    </row>
    <row r="2927" spans="1:13">
      <c r="A2927" s="1">
        <v>46235</v>
      </c>
      <c r="B2927" t="s">
        <v>1172</v>
      </c>
      <c r="C2927" t="s">
        <v>1142</v>
      </c>
      <c r="D2927" t="s">
        <v>2072</v>
      </c>
      <c r="E2927" t="s">
        <v>55</v>
      </c>
      <c r="F2927">
        <v>29</v>
      </c>
      <c r="G2927">
        <v>2</v>
      </c>
      <c r="H2927">
        <v>5.2029136316337197E-4</v>
      </c>
      <c r="I2927">
        <v>7.4074074074074098E-2</v>
      </c>
      <c r="J2927" s="14" t="str">
        <f>_xlfn.XLOOKUP(B2927,CAD_PDV!A:A,CAD_PDV!B:B)</f>
        <v>MEXCELL COMERCIO E SERVICOS DE TELECOMUNICACOES LTDA</v>
      </c>
      <c r="K2927" s="14">
        <f>IF(IFERROR(_xlfn.XLOOKUP(B2927,Planilha2!D:D,Planilha2!H:H),0)="SIM",1,0)</f>
        <v>0</v>
      </c>
      <c r="L2927" s="14" t="str">
        <f>_xlfn.XLOOKUP(B2927,CAD_PDV!A:A,CAD_PDV!C:C)</f>
        <v>RJ/ES</v>
      </c>
      <c r="M2927" s="14" t="str">
        <f>IFERROR(_xlfn.XLOOKUP(B2927,repete!A:A,repete!A:A),"-")</f>
        <v>-</v>
      </c>
    </row>
    <row r="2928" spans="1:13">
      <c r="A2928" s="1">
        <v>46235</v>
      </c>
      <c r="B2928" t="s">
        <v>1259</v>
      </c>
      <c r="C2928" t="s">
        <v>1255</v>
      </c>
      <c r="D2928" t="s">
        <v>237</v>
      </c>
      <c r="E2928" t="s">
        <v>55</v>
      </c>
      <c r="F2928">
        <v>83</v>
      </c>
      <c r="G2928">
        <v>2</v>
      </c>
      <c r="H2928">
        <v>5.2029136316337197E-4</v>
      </c>
      <c r="I2928">
        <v>2.4390243902439001E-2</v>
      </c>
      <c r="J2928" s="14" t="str">
        <f>_xlfn.XLOOKUP(B2928,CAD_PDV!A:A,CAD_PDV!B:B)</f>
        <v>PONTO CERTO COMERCIO E COMUNICAÇÕES LTDA</v>
      </c>
      <c r="K2928" s="14">
        <f>IF(IFERROR(_xlfn.XLOOKUP(B2928,Planilha2!D:D,Planilha2!H:H),0)="SIM",1,0)</f>
        <v>0</v>
      </c>
      <c r="L2928" s="14" t="str">
        <f>_xlfn.XLOOKUP(B2928,CAD_PDV!A:A,CAD_PDV!C:C)</f>
        <v>RJ/ES</v>
      </c>
      <c r="M2928" s="14" t="str">
        <f>IFERROR(_xlfn.XLOOKUP(B2928,repete!A:A,repete!A:A),"-")</f>
        <v>-</v>
      </c>
    </row>
    <row r="2929" spans="1:13">
      <c r="A2929" s="1">
        <v>46235</v>
      </c>
      <c r="B2929" t="s">
        <v>1374</v>
      </c>
      <c r="C2929" t="s">
        <v>1375</v>
      </c>
      <c r="D2929" t="s">
        <v>229</v>
      </c>
      <c r="E2929" t="s">
        <v>53</v>
      </c>
      <c r="F2929">
        <v>39</v>
      </c>
      <c r="G2929">
        <v>2</v>
      </c>
      <c r="H2929">
        <v>5.2029136316337197E-4</v>
      </c>
      <c r="I2929">
        <v>5.4054054054054099E-2</v>
      </c>
      <c r="J2929" s="14" t="str">
        <f>_xlfn.XLOOKUP(B2929,CAD_PDV!A:A,CAD_PDV!B:B)</f>
        <v>FW TELEFONIA LTDA - EPP</v>
      </c>
      <c r="K2929" s="14">
        <f>IF(IFERROR(_xlfn.XLOOKUP(B2929,Planilha2!D:D,Planilha2!H:H),0)="SIM",1,0)</f>
        <v>0</v>
      </c>
      <c r="L2929" s="14" t="str">
        <f>_xlfn.XLOOKUP(B2929,CAD_PDV!A:A,CAD_PDV!C:C)</f>
        <v>SP1</v>
      </c>
      <c r="M2929" s="14" t="str">
        <f>IFERROR(_xlfn.XLOOKUP(B2929,repete!A:A,repete!A:A),"-")</f>
        <v>-</v>
      </c>
    </row>
    <row r="2930" spans="1:13">
      <c r="A2930" s="1">
        <v>46235</v>
      </c>
      <c r="B2930" t="s">
        <v>1378</v>
      </c>
      <c r="C2930" t="s">
        <v>1308</v>
      </c>
      <c r="D2930" t="s">
        <v>229</v>
      </c>
      <c r="E2930" t="s">
        <v>53</v>
      </c>
      <c r="F2930">
        <v>37</v>
      </c>
      <c r="G2930">
        <v>2</v>
      </c>
      <c r="H2930">
        <v>5.2029136316337197E-4</v>
      </c>
      <c r="I2930">
        <v>5.5555555555555601E-2</v>
      </c>
      <c r="J2930" s="14" t="str">
        <f>_xlfn.XLOOKUP(B2930,CAD_PDV!A:A,CAD_PDV!B:B)</f>
        <v>FW TELEFONIA LTDA - EPP</v>
      </c>
      <c r="K2930" s="14">
        <f>IF(IFERROR(_xlfn.XLOOKUP(B2930,Planilha2!D:D,Planilha2!H:H),0)="SIM",1,0)</f>
        <v>0</v>
      </c>
      <c r="L2930" s="14" t="str">
        <f>_xlfn.XLOOKUP(B2930,CAD_PDV!A:A,CAD_PDV!C:C)</f>
        <v>SP1</v>
      </c>
      <c r="M2930" s="14" t="str">
        <f>IFERROR(_xlfn.XLOOKUP(B2930,repete!A:A,repete!A:A),"-")</f>
        <v>-</v>
      </c>
    </row>
    <row r="2931" spans="1:13">
      <c r="A2931" s="1">
        <v>46235</v>
      </c>
      <c r="B2931" t="s">
        <v>1713</v>
      </c>
      <c r="C2931" t="s">
        <v>1540</v>
      </c>
      <c r="D2931" t="s">
        <v>232</v>
      </c>
      <c r="E2931" t="s">
        <v>54</v>
      </c>
      <c r="F2931">
        <v>18</v>
      </c>
      <c r="G2931">
        <v>2</v>
      </c>
      <c r="H2931">
        <v>5.2029136316337197E-4</v>
      </c>
      <c r="I2931">
        <v>0.11111111111111099</v>
      </c>
      <c r="J2931" s="14" t="str">
        <f>_xlfn.XLOOKUP(B2931,CAD_PDV!A:A,CAD_PDV!B:B)</f>
        <v>HS TELECOM</v>
      </c>
      <c r="K2931" s="14">
        <f>IF(IFERROR(_xlfn.XLOOKUP(B2931,Planilha2!D:D,Planilha2!H:H),0)="SIM",1,0)</f>
        <v>0</v>
      </c>
      <c r="L2931" s="14" t="str">
        <f>_xlfn.XLOOKUP(B2931,CAD_PDV!A:A,CAD_PDV!C:C)</f>
        <v>SP2</v>
      </c>
      <c r="M2931" s="14" t="str">
        <f>IFERROR(_xlfn.XLOOKUP(B2931,repete!A:A,repete!A:A),"-")</f>
        <v>-</v>
      </c>
    </row>
    <row r="2932" spans="1:13">
      <c r="A2932" s="1">
        <v>46235</v>
      </c>
      <c r="B2932" t="s">
        <v>1370</v>
      </c>
      <c r="C2932" t="s">
        <v>1371</v>
      </c>
      <c r="D2932" t="s">
        <v>132</v>
      </c>
      <c r="E2932" t="s">
        <v>53</v>
      </c>
      <c r="F2932">
        <v>20</v>
      </c>
      <c r="G2932">
        <v>2</v>
      </c>
      <c r="H2932">
        <v>5.2029136316337197E-4</v>
      </c>
      <c r="I2932">
        <v>0.105263157894737</v>
      </c>
      <c r="J2932" s="14" t="str">
        <f>_xlfn.XLOOKUP(B2932,CAD_PDV!A:A,CAD_PDV!B:B)</f>
        <v>FLEX CELL</v>
      </c>
      <c r="K2932" s="14">
        <f>IF(IFERROR(_xlfn.XLOOKUP(B2932,Planilha2!D:D,Planilha2!H:H),0)="SIM",1,0)</f>
        <v>0</v>
      </c>
      <c r="L2932" s="14" t="str">
        <f>_xlfn.XLOOKUP(B2932,CAD_PDV!A:A,CAD_PDV!C:C)</f>
        <v>SP1</v>
      </c>
      <c r="M2932" s="14" t="str">
        <f>IFERROR(_xlfn.XLOOKUP(B2932,repete!A:A,repete!A:A),"-")</f>
        <v>-</v>
      </c>
    </row>
    <row r="2933" spans="1:13">
      <c r="A2933" s="1">
        <v>46235</v>
      </c>
      <c r="B2933" t="s">
        <v>607</v>
      </c>
      <c r="C2933" t="s">
        <v>610</v>
      </c>
      <c r="D2933" t="s">
        <v>224</v>
      </c>
      <c r="E2933" t="s">
        <v>59</v>
      </c>
      <c r="F2933">
        <v>23</v>
      </c>
      <c r="G2933">
        <v>2</v>
      </c>
      <c r="H2933">
        <v>5.2029136316337197E-4</v>
      </c>
      <c r="I2933">
        <v>8.6956521739130405E-2</v>
      </c>
      <c r="J2933" s="14" t="str">
        <f>_xlfn.XLOOKUP(B2933,CAD_PDV!A:A,CAD_PDV!B:B)</f>
        <v>CELNET COMERCIO E SERVICOS DE TELEFONIA LTDA ME</v>
      </c>
      <c r="K2933" s="14">
        <f>IF(IFERROR(_xlfn.XLOOKUP(B2933,Planilha2!D:D,Planilha2!H:H),0)="SIM",1,0)</f>
        <v>0</v>
      </c>
      <c r="L2933" s="14" t="str">
        <f>_xlfn.XLOOKUP(B2933,CAD_PDV!A:A,CAD_PDV!C:C)</f>
        <v>CO</v>
      </c>
      <c r="M2933" s="14" t="str">
        <f>IFERROR(_xlfn.XLOOKUP(B2933,repete!A:A,repete!A:A),"-")</f>
        <v>-</v>
      </c>
    </row>
    <row r="2934" spans="1:13">
      <c r="A2934" s="1">
        <v>46235</v>
      </c>
      <c r="B2934" t="s">
        <v>749</v>
      </c>
      <c r="C2934" t="s">
        <v>750</v>
      </c>
      <c r="D2934" t="s">
        <v>224</v>
      </c>
      <c r="E2934" t="s">
        <v>59</v>
      </c>
      <c r="F2934">
        <v>23</v>
      </c>
      <c r="G2934">
        <v>2</v>
      </c>
      <c r="H2934">
        <v>5.2029136316337197E-4</v>
      </c>
      <c r="I2934">
        <v>9.0909090909090898E-2</v>
      </c>
      <c r="J2934" s="14" t="str">
        <f>_xlfn.XLOOKUP(B2934,CAD_PDV!A:A,CAD_PDV!B:B)</f>
        <v>CELNET COMERCIO E SERVICOS DE TELEFONIA LTDA ME</v>
      </c>
      <c r="K2934" s="14">
        <f>IF(IFERROR(_xlfn.XLOOKUP(B2934,Planilha2!D:D,Planilha2!H:H),0)="SIM",1,0)</f>
        <v>0</v>
      </c>
      <c r="L2934" s="14" t="str">
        <f>_xlfn.XLOOKUP(B2934,CAD_PDV!A:A,CAD_PDV!C:C)</f>
        <v>CO</v>
      </c>
      <c r="M2934" s="14" t="str">
        <f>IFERROR(_xlfn.XLOOKUP(B2934,repete!A:A,repete!A:A),"-")</f>
        <v>-</v>
      </c>
    </row>
    <row r="2935" spans="1:13">
      <c r="A2935" s="1">
        <v>46235</v>
      </c>
      <c r="B2935" t="s">
        <v>402</v>
      </c>
      <c r="C2935" t="s">
        <v>269</v>
      </c>
      <c r="D2935" t="s">
        <v>227</v>
      </c>
      <c r="E2935" t="s">
        <v>61</v>
      </c>
      <c r="F2935">
        <v>38</v>
      </c>
      <c r="G2935">
        <v>2</v>
      </c>
      <c r="H2935">
        <v>5.2029136316337197E-4</v>
      </c>
      <c r="I2935">
        <v>5.5555555555555601E-2</v>
      </c>
      <c r="J2935" s="14" t="str">
        <f>_xlfn.XLOOKUP(B2935,CAD_PDV!A:A,CAD_PDV!B:B)</f>
        <v>E-MEAN SERVICOS DE MARKETING DIRETO LTDA</v>
      </c>
      <c r="K2935" s="14">
        <f>IF(IFERROR(_xlfn.XLOOKUP(B2935,Planilha2!D:D,Planilha2!H:H),0)="SIM",1,0)</f>
        <v>0</v>
      </c>
      <c r="L2935" s="14" t="str">
        <f>_xlfn.XLOOKUP(B2935,CAD_PDV!A:A,CAD_PDV!C:C)</f>
        <v>NE</v>
      </c>
      <c r="M2935" s="14" t="str">
        <f>IFERROR(_xlfn.XLOOKUP(B2935,repete!A:A,repete!A:A),"-")</f>
        <v>-</v>
      </c>
    </row>
    <row r="2936" spans="1:13">
      <c r="A2936" s="1">
        <v>46235</v>
      </c>
      <c r="B2936" t="s">
        <v>1818</v>
      </c>
      <c r="C2936" t="s">
        <v>1817</v>
      </c>
      <c r="D2936" t="s">
        <v>95</v>
      </c>
      <c r="E2936" t="s">
        <v>2074</v>
      </c>
      <c r="F2936">
        <v>8</v>
      </c>
      <c r="G2936">
        <v>2</v>
      </c>
      <c r="H2936">
        <v>5.2029136316337197E-4</v>
      </c>
      <c r="I2936">
        <v>0.25</v>
      </c>
      <c r="J2936" s="14" t="str">
        <f>_xlfn.XLOOKUP(B2936,CAD_PDV!A:A,CAD_PDV!B:B)</f>
        <v>AYRES E DEBONI LTDA - ME</v>
      </c>
      <c r="K2936" s="14">
        <f>IF(IFERROR(_xlfn.XLOOKUP(B2936,Planilha2!D:D,Planilha2!H:H),0)="SIM",1,0)</f>
        <v>0</v>
      </c>
      <c r="L2936" s="14" t="str">
        <f>_xlfn.XLOOKUP(B2936,CAD_PDV!A:A,CAD_PDV!C:C)</f>
        <v>RS</v>
      </c>
      <c r="M2936" s="14" t="str">
        <f>IFERROR(_xlfn.XLOOKUP(B2936,repete!A:A,repete!A:A),"-")</f>
        <v>-</v>
      </c>
    </row>
    <row r="2937" spans="1:13">
      <c r="A2937" s="1">
        <v>46235</v>
      </c>
      <c r="B2937" t="s">
        <v>1267</v>
      </c>
      <c r="C2937" t="s">
        <v>1268</v>
      </c>
      <c r="D2937" t="s">
        <v>228</v>
      </c>
      <c r="E2937" t="s">
        <v>55</v>
      </c>
      <c r="F2937">
        <v>33</v>
      </c>
      <c r="G2937">
        <v>2</v>
      </c>
      <c r="H2937">
        <v>5.2029136316337197E-4</v>
      </c>
      <c r="I2937">
        <v>6.4516129032258104E-2</v>
      </c>
      <c r="J2937" s="14" t="str">
        <f>_xlfn.XLOOKUP(B2937,CAD_PDV!A:A,CAD_PDV!B:B)</f>
        <v>FAJULUTI</v>
      </c>
      <c r="K2937" s="14">
        <f>IF(IFERROR(_xlfn.XLOOKUP(B2937,Planilha2!D:D,Planilha2!H:H),0)="SIM",1,0)</f>
        <v>0</v>
      </c>
      <c r="L2937" s="14" t="str">
        <f>_xlfn.XLOOKUP(B2937,CAD_PDV!A:A,CAD_PDV!C:C)</f>
        <v>RJ/ES</v>
      </c>
      <c r="M2937" s="14" t="str">
        <f>IFERROR(_xlfn.XLOOKUP(B2937,repete!A:A,repete!A:A),"-")</f>
        <v>-</v>
      </c>
    </row>
    <row r="2938" spans="1:13">
      <c r="A2938" s="1">
        <v>46235</v>
      </c>
      <c r="B2938" t="s">
        <v>1406</v>
      </c>
      <c r="C2938" t="s">
        <v>1366</v>
      </c>
      <c r="D2938" t="s">
        <v>106</v>
      </c>
      <c r="E2938" t="s">
        <v>53</v>
      </c>
      <c r="F2938">
        <v>28</v>
      </c>
      <c r="G2938">
        <v>2</v>
      </c>
      <c r="H2938">
        <v>5.2029136316337197E-4</v>
      </c>
      <c r="I2938">
        <v>7.69230769230769E-2</v>
      </c>
      <c r="J2938" s="14" t="str">
        <f>_xlfn.XLOOKUP(B2938,CAD_PDV!A:A,CAD_PDV!B:B)</f>
        <v>CELLULAR.COM</v>
      </c>
      <c r="K2938" s="14">
        <f>IF(IFERROR(_xlfn.XLOOKUP(B2938,Planilha2!D:D,Planilha2!H:H),0)="SIM",1,0)</f>
        <v>0</v>
      </c>
      <c r="L2938" s="14" t="str">
        <f>_xlfn.XLOOKUP(B2938,CAD_PDV!A:A,CAD_PDV!C:C)</f>
        <v>SP1</v>
      </c>
      <c r="M2938" s="14" t="str">
        <f>IFERROR(_xlfn.XLOOKUP(B2938,repete!A:A,repete!A:A),"-")</f>
        <v>-</v>
      </c>
    </row>
    <row r="2939" spans="1:13">
      <c r="A2939" s="1">
        <v>46235</v>
      </c>
      <c r="B2939" t="s">
        <v>1893</v>
      </c>
      <c r="C2939" t="s">
        <v>1894</v>
      </c>
      <c r="D2939" t="s">
        <v>124</v>
      </c>
      <c r="E2939" t="s">
        <v>2074</v>
      </c>
      <c r="F2939">
        <v>68</v>
      </c>
      <c r="G2939">
        <v>2</v>
      </c>
      <c r="H2939">
        <v>5.2029136316337197E-4</v>
      </c>
      <c r="I2939">
        <v>3.1746031746031703E-2</v>
      </c>
      <c r="J2939" s="14" t="str">
        <f>_xlfn.XLOOKUP(B2939,CAD_PDV!A:A,CAD_PDV!B:B)</f>
        <v>EDUARDO JUNQUEIRA DA SILVEIRA ADMIN</v>
      </c>
      <c r="K2939" s="14">
        <f>IF(IFERROR(_xlfn.XLOOKUP(B2939,Planilha2!D:D,Planilha2!H:H),0)="SIM",1,0)</f>
        <v>0</v>
      </c>
      <c r="L2939" s="14" t="str">
        <f>_xlfn.XLOOKUP(B2939,CAD_PDV!A:A,CAD_PDV!C:C)</f>
        <v>RS</v>
      </c>
      <c r="M2939" s="14" t="str">
        <f>IFERROR(_xlfn.XLOOKUP(B2939,repete!A:A,repete!A:A),"-")</f>
        <v>-</v>
      </c>
    </row>
    <row r="2940" spans="1:13">
      <c r="A2940" s="1">
        <v>46235</v>
      </c>
      <c r="B2940" t="s">
        <v>1970</v>
      </c>
      <c r="C2940" t="s">
        <v>1971</v>
      </c>
      <c r="D2940" t="s">
        <v>124</v>
      </c>
      <c r="E2940" t="s">
        <v>2074</v>
      </c>
      <c r="F2940">
        <v>18</v>
      </c>
      <c r="G2940">
        <v>2</v>
      </c>
      <c r="H2940">
        <v>5.2029136316337197E-4</v>
      </c>
      <c r="I2940">
        <v>0.11111111111111099</v>
      </c>
      <c r="J2940" s="14" t="str">
        <f>_xlfn.XLOOKUP(B2940,CAD_PDV!A:A,CAD_PDV!B:B)</f>
        <v>EDUARDO JUNQUEIRA DA SILVEIRA ADMIN</v>
      </c>
      <c r="K2940" s="14">
        <f>IF(IFERROR(_xlfn.XLOOKUP(B2940,Planilha2!D:D,Planilha2!H:H),0)="SIM",1,0)</f>
        <v>0</v>
      </c>
      <c r="L2940" s="14" t="str">
        <f>_xlfn.XLOOKUP(B2940,CAD_PDV!A:A,CAD_PDV!C:C)</f>
        <v>PR/SC</v>
      </c>
      <c r="M2940" s="14" t="str">
        <f>IFERROR(_xlfn.XLOOKUP(B2940,repete!A:A,repete!A:A),"-")</f>
        <v>-</v>
      </c>
    </row>
    <row r="2941" spans="1:13">
      <c r="A2941" s="1">
        <v>46235</v>
      </c>
      <c r="B2941" t="s">
        <v>1042</v>
      </c>
      <c r="C2941" t="s">
        <v>1017</v>
      </c>
      <c r="D2941" t="s">
        <v>232</v>
      </c>
      <c r="E2941" t="s">
        <v>60</v>
      </c>
      <c r="F2941">
        <v>37</v>
      </c>
      <c r="G2941">
        <v>2</v>
      </c>
      <c r="H2941">
        <v>5.2029136316337197E-4</v>
      </c>
      <c r="I2941">
        <v>5.8823529411764698E-2</v>
      </c>
      <c r="J2941" s="14" t="str">
        <f>_xlfn.XLOOKUP(B2941,CAD_PDV!A:A,CAD_PDV!B:B)</f>
        <v>HS TELECOM</v>
      </c>
      <c r="K2941" s="14">
        <f>IF(IFERROR(_xlfn.XLOOKUP(B2941,Planilha2!D:D,Planilha2!H:H),0)="SIM",1,0)</f>
        <v>0</v>
      </c>
      <c r="L2941" s="14" t="str">
        <f>_xlfn.XLOOKUP(B2941,CAD_PDV!A:A,CAD_PDV!C:C)</f>
        <v>BA/SE</v>
      </c>
      <c r="M2941" s="14" t="str">
        <f>IFERROR(_xlfn.XLOOKUP(B2941,repete!A:A,repete!A:A),"-")</f>
        <v>-</v>
      </c>
    </row>
    <row r="2942" spans="1:13">
      <c r="A2942" s="1">
        <v>46235</v>
      </c>
      <c r="B2942" t="s">
        <v>1325</v>
      </c>
      <c r="C2942" t="s">
        <v>1313</v>
      </c>
      <c r="D2942" t="s">
        <v>225</v>
      </c>
      <c r="E2942" t="s">
        <v>53</v>
      </c>
      <c r="F2942">
        <v>59</v>
      </c>
      <c r="G2942">
        <v>1</v>
      </c>
      <c r="H2942">
        <v>2.6014568158168599E-4</v>
      </c>
      <c r="I2942">
        <v>1.85185185185185E-2</v>
      </c>
      <c r="J2942" s="14" t="str">
        <f>_xlfn.XLOOKUP(B2942,CAD_PDV!A:A,CAD_PDV!B:B)</f>
        <v>CLARICELL SP1</v>
      </c>
      <c r="K2942" s="14">
        <f>IF(IFERROR(_xlfn.XLOOKUP(B2942,Planilha2!D:D,Planilha2!H:H),0)="SIM",1,0)</f>
        <v>0</v>
      </c>
      <c r="L2942" s="14" t="str">
        <f>_xlfn.XLOOKUP(B2942,CAD_PDV!A:A,CAD_PDV!C:C)</f>
        <v>SP1</v>
      </c>
      <c r="M2942" s="14" t="str">
        <f>IFERROR(_xlfn.XLOOKUP(B2942,repete!A:A,repete!A:A),"-")</f>
        <v>-</v>
      </c>
    </row>
    <row r="2943" spans="1:13">
      <c r="A2943" s="1">
        <v>46235</v>
      </c>
      <c r="B2943" t="s">
        <v>1351</v>
      </c>
      <c r="C2943" t="s">
        <v>1313</v>
      </c>
      <c r="D2943" t="s">
        <v>132</v>
      </c>
      <c r="E2943" t="s">
        <v>53</v>
      </c>
      <c r="F2943">
        <v>57</v>
      </c>
      <c r="G2943">
        <v>1</v>
      </c>
      <c r="H2943">
        <v>2.6014568158168599E-4</v>
      </c>
      <c r="I2943">
        <v>1.7543859649122799E-2</v>
      </c>
      <c r="J2943" s="14" t="str">
        <f>_xlfn.XLOOKUP(B2943,CAD_PDV!A:A,CAD_PDV!B:B)</f>
        <v>FLEX CELL</v>
      </c>
      <c r="K2943" s="14">
        <f>IF(IFERROR(_xlfn.XLOOKUP(B2943,Planilha2!D:D,Planilha2!H:H),0)="SIM",1,0)</f>
        <v>0</v>
      </c>
      <c r="L2943" s="14" t="str">
        <f>_xlfn.XLOOKUP(B2943,CAD_PDV!A:A,CAD_PDV!C:C)</f>
        <v>SP1</v>
      </c>
      <c r="M2943" s="14" t="str">
        <f>IFERROR(_xlfn.XLOOKUP(B2943,repete!A:A,repete!A:A),"-")</f>
        <v>-</v>
      </c>
    </row>
    <row r="2944" spans="1:13">
      <c r="A2944" s="1">
        <v>46235</v>
      </c>
      <c r="B2944" t="s">
        <v>1418</v>
      </c>
      <c r="C2944" t="s">
        <v>1420</v>
      </c>
      <c r="D2944" t="s">
        <v>106</v>
      </c>
      <c r="E2944" t="s">
        <v>54</v>
      </c>
      <c r="F2944">
        <v>30</v>
      </c>
      <c r="G2944">
        <v>1</v>
      </c>
      <c r="H2944">
        <v>2.6014568158168599E-4</v>
      </c>
      <c r="I2944">
        <v>3.5714285714285698E-2</v>
      </c>
      <c r="J2944" s="14" t="str">
        <f>_xlfn.XLOOKUP(B2944,CAD_PDV!A:A,CAD_PDV!B:B)</f>
        <v>CELLULAR.COM</v>
      </c>
      <c r="K2944" s="14">
        <f>IF(IFERROR(_xlfn.XLOOKUP(B2944,Planilha2!D:D,Planilha2!H:H),0)="SIM",1,0)</f>
        <v>0</v>
      </c>
      <c r="L2944" s="14" t="str">
        <f>_xlfn.XLOOKUP(B2944,CAD_PDV!A:A,CAD_PDV!C:C)</f>
        <v>SP2</v>
      </c>
      <c r="M2944" s="14" t="str">
        <f>IFERROR(_xlfn.XLOOKUP(B2944,repete!A:A,repete!A:A),"-")</f>
        <v>-</v>
      </c>
    </row>
    <row r="2945" spans="1:13">
      <c r="A2945" s="1">
        <v>46235</v>
      </c>
      <c r="B2945" t="s">
        <v>791</v>
      </c>
      <c r="C2945" t="s">
        <v>647</v>
      </c>
      <c r="D2945" t="s">
        <v>240</v>
      </c>
      <c r="E2945" t="s">
        <v>59</v>
      </c>
      <c r="F2945">
        <v>37</v>
      </c>
      <c r="G2945">
        <v>1</v>
      </c>
      <c r="H2945">
        <v>2.6014568158168599E-4</v>
      </c>
      <c r="I2945">
        <v>2.9411764705882401E-2</v>
      </c>
      <c r="J2945" s="14" t="str">
        <f>_xlfn.XLOOKUP(B2945,CAD_PDV!A:A,CAD_PDV!B:B)</f>
        <v>TELEMAIS TELEFONIA LTDA - ME</v>
      </c>
      <c r="K2945" s="14">
        <f>IF(IFERROR(_xlfn.XLOOKUP(B2945,Planilha2!D:D,Planilha2!H:H),0)="SIM",1,0)</f>
        <v>0</v>
      </c>
      <c r="L2945" s="14" t="str">
        <f>_xlfn.XLOOKUP(B2945,CAD_PDV!A:A,CAD_PDV!C:C)</f>
        <v>CO</v>
      </c>
      <c r="M2945" s="14" t="str">
        <f>IFERROR(_xlfn.XLOOKUP(B2945,repete!A:A,repete!A:A),"-")</f>
        <v>-</v>
      </c>
    </row>
    <row r="2946" spans="1:13">
      <c r="A2946" s="1">
        <v>46235</v>
      </c>
      <c r="B2946" t="s">
        <v>2034</v>
      </c>
      <c r="C2946" t="s">
        <v>2035</v>
      </c>
      <c r="D2946" t="s">
        <v>193</v>
      </c>
      <c r="E2946" t="s">
        <v>2074</v>
      </c>
      <c r="F2946">
        <v>5</v>
      </c>
      <c r="G2946">
        <v>1</v>
      </c>
      <c r="H2946">
        <v>2.6014568158168599E-4</v>
      </c>
      <c r="I2946">
        <v>0.2</v>
      </c>
      <c r="J2946" s="14" t="str">
        <f>_xlfn.XLOOKUP(B2946,CAD_PDV!A:A,CAD_PDV!B:B)</f>
        <v>S D COMERCIO DE CELULARES LTDA - ME</v>
      </c>
      <c r="K2946" s="14">
        <f>IF(IFERROR(_xlfn.XLOOKUP(B2946,Planilha2!D:D,Planilha2!H:H),0)="SIM",1,0)</f>
        <v>0</v>
      </c>
      <c r="L2946" s="14" t="str">
        <f>_xlfn.XLOOKUP(B2946,CAD_PDV!A:A,CAD_PDV!C:C)</f>
        <v>RS</v>
      </c>
      <c r="M2946" s="14" t="str">
        <f>IFERROR(_xlfn.XLOOKUP(B2946,repete!A:A,repete!A:A),"-")</f>
        <v>-</v>
      </c>
    </row>
    <row r="2947" spans="1:13">
      <c r="A2947" s="1">
        <v>46235</v>
      </c>
      <c r="B2947" t="s">
        <v>1427</v>
      </c>
      <c r="C2947" t="s">
        <v>1429</v>
      </c>
      <c r="D2947" t="s">
        <v>232</v>
      </c>
      <c r="E2947" t="s">
        <v>54</v>
      </c>
      <c r="F2947">
        <v>20</v>
      </c>
      <c r="G2947">
        <v>1</v>
      </c>
      <c r="H2947">
        <v>2.6014568158168599E-4</v>
      </c>
      <c r="I2947">
        <v>5.8823529411764698E-2</v>
      </c>
      <c r="J2947" s="14" t="str">
        <f>_xlfn.XLOOKUP(B2947,CAD_PDV!A:A,CAD_PDV!B:B)</f>
        <v>HS TELECOM</v>
      </c>
      <c r="K2947" s="14">
        <f>IF(IFERROR(_xlfn.XLOOKUP(B2947,Planilha2!D:D,Planilha2!H:H),0)="SIM",1,0)</f>
        <v>0</v>
      </c>
      <c r="L2947" s="14" t="str">
        <f>_xlfn.XLOOKUP(B2947,CAD_PDV!A:A,CAD_PDV!C:C)</f>
        <v>SP2</v>
      </c>
      <c r="M2947" s="14" t="str">
        <f>IFERROR(_xlfn.XLOOKUP(B2947,repete!A:A,repete!A:A),"-")</f>
        <v>-</v>
      </c>
    </row>
    <row r="2948" spans="1:13">
      <c r="A2948" s="1">
        <v>46235</v>
      </c>
      <c r="B2948" t="s">
        <v>1436</v>
      </c>
      <c r="C2948" t="s">
        <v>1439</v>
      </c>
      <c r="D2948" t="s">
        <v>120</v>
      </c>
      <c r="E2948" t="s">
        <v>54</v>
      </c>
      <c r="F2948">
        <v>53</v>
      </c>
      <c r="G2948">
        <v>1</v>
      </c>
      <c r="H2948">
        <v>2.6014568158168599E-4</v>
      </c>
      <c r="I2948">
        <v>0.02</v>
      </c>
      <c r="J2948" s="14" t="str">
        <f>_xlfn.XLOOKUP(B2948,CAD_PDV!A:A,CAD_PDV!B:B)</f>
        <v>DOUGLAS LUIZ ELETRONICOS - ME</v>
      </c>
      <c r="K2948" s="14">
        <f>IF(IFERROR(_xlfn.XLOOKUP(B2948,Planilha2!D:D,Planilha2!H:H),0)="SIM",1,0)</f>
        <v>0</v>
      </c>
      <c r="L2948" s="14" t="str">
        <f>_xlfn.XLOOKUP(B2948,CAD_PDV!A:A,CAD_PDV!C:C)</f>
        <v>SP2</v>
      </c>
      <c r="M2948" s="14" t="str">
        <f>IFERROR(_xlfn.XLOOKUP(B2948,repete!A:A,repete!A:A),"-")</f>
        <v>-</v>
      </c>
    </row>
    <row r="2949" spans="1:13">
      <c r="A2949" s="1">
        <v>46235</v>
      </c>
      <c r="B2949" t="s">
        <v>1890</v>
      </c>
      <c r="C2949" t="s">
        <v>1891</v>
      </c>
      <c r="D2949" t="s">
        <v>124</v>
      </c>
      <c r="E2949" t="s">
        <v>2074</v>
      </c>
      <c r="F2949">
        <v>26</v>
      </c>
      <c r="G2949">
        <v>1</v>
      </c>
      <c r="H2949">
        <v>2.6014568158168599E-4</v>
      </c>
      <c r="I2949">
        <v>4.3478260869565202E-2</v>
      </c>
      <c r="J2949" s="14" t="str">
        <f>_xlfn.XLOOKUP(B2949,CAD_PDV!A:A,CAD_PDV!B:B)</f>
        <v>EDUARDO JUNQUEIRA DA SILVEIRA ADMIN</v>
      </c>
      <c r="K2949" s="14">
        <f>IF(IFERROR(_xlfn.XLOOKUP(B2949,Planilha2!D:D,Planilha2!H:H),0)="SIM",1,0)</f>
        <v>0</v>
      </c>
      <c r="L2949" s="14" t="str">
        <f>_xlfn.XLOOKUP(B2949,CAD_PDV!A:A,CAD_PDV!C:C)</f>
        <v>RS</v>
      </c>
      <c r="M2949" s="14" t="str">
        <f>IFERROR(_xlfn.XLOOKUP(B2949,repete!A:A,repete!A:A),"-")</f>
        <v>-</v>
      </c>
    </row>
    <row r="2950" spans="1:13">
      <c r="A2950" s="1">
        <v>46235</v>
      </c>
      <c r="B2950" t="s">
        <v>974</v>
      </c>
      <c r="C2950" t="s">
        <v>944</v>
      </c>
      <c r="D2950" t="s">
        <v>232</v>
      </c>
      <c r="E2950" t="s">
        <v>60</v>
      </c>
      <c r="F2950">
        <v>19</v>
      </c>
      <c r="G2950">
        <v>1</v>
      </c>
      <c r="H2950">
        <v>2.6014568158168599E-4</v>
      </c>
      <c r="I2950">
        <v>5.5555555555555601E-2</v>
      </c>
      <c r="J2950" s="14" t="str">
        <f>_xlfn.XLOOKUP(B2950,CAD_PDV!A:A,CAD_PDV!B:B)</f>
        <v>HS TELECOM</v>
      </c>
      <c r="K2950" s="14">
        <f>IF(IFERROR(_xlfn.XLOOKUP(B2950,Planilha2!D:D,Planilha2!H:H),0)="SIM",1,0)</f>
        <v>0</v>
      </c>
      <c r="L2950" s="14" t="str">
        <f>_xlfn.XLOOKUP(B2950,CAD_PDV!A:A,CAD_PDV!C:C)</f>
        <v>BA/SE</v>
      </c>
      <c r="M2950" s="14" t="str">
        <f>IFERROR(_xlfn.XLOOKUP(B2950,repete!A:A,repete!A:A),"-")</f>
        <v>-</v>
      </c>
    </row>
    <row r="2951" spans="1:13">
      <c r="A2951" s="1">
        <v>46235</v>
      </c>
      <c r="B2951" t="s">
        <v>870</v>
      </c>
      <c r="C2951" t="s">
        <v>871</v>
      </c>
      <c r="D2951" t="s">
        <v>224</v>
      </c>
      <c r="E2951" t="s">
        <v>59</v>
      </c>
      <c r="F2951">
        <v>60</v>
      </c>
      <c r="G2951">
        <v>1</v>
      </c>
      <c r="H2951">
        <v>2.6014568158168599E-4</v>
      </c>
      <c r="I2951">
        <v>1.7857142857142901E-2</v>
      </c>
      <c r="J2951" s="14" t="str">
        <f>_xlfn.XLOOKUP(B2951,CAD_PDV!A:A,CAD_PDV!B:B)</f>
        <v>CELNET COMERCIO E SERVICOS DE TELEFONIA LTDA ME</v>
      </c>
      <c r="K2951" s="14">
        <f>IF(IFERROR(_xlfn.XLOOKUP(B2951,Planilha2!D:D,Planilha2!H:H),0)="SIM",1,0)</f>
        <v>0</v>
      </c>
      <c r="L2951" s="14" t="str">
        <f>_xlfn.XLOOKUP(B2951,CAD_PDV!A:A,CAD_PDV!C:C)</f>
        <v>CO</v>
      </c>
      <c r="M2951" s="14" t="str">
        <f>IFERROR(_xlfn.XLOOKUP(B2951,repete!A:A,repete!A:A),"-")</f>
        <v>-</v>
      </c>
    </row>
    <row r="2952" spans="1:13">
      <c r="A2952" s="1">
        <v>46235</v>
      </c>
      <c r="B2952" t="s">
        <v>1899</v>
      </c>
      <c r="C2952" t="s">
        <v>1900</v>
      </c>
      <c r="D2952" t="s">
        <v>97</v>
      </c>
      <c r="E2952" t="s">
        <v>2074</v>
      </c>
      <c r="F2952">
        <v>14</v>
      </c>
      <c r="G2952">
        <v>1</v>
      </c>
      <c r="H2952">
        <v>2.6014568158168599E-4</v>
      </c>
      <c r="I2952">
        <v>7.1428571428571397E-2</v>
      </c>
      <c r="J2952" s="14" t="str">
        <f>_xlfn.XLOOKUP(B2952,CAD_PDV!A:A,CAD_PDV!B:B)</f>
        <v>BANDEIRA</v>
      </c>
      <c r="K2952" s="14">
        <f>IF(IFERROR(_xlfn.XLOOKUP(B2952,Planilha2!D:D,Planilha2!H:H),0)="SIM",1,0)</f>
        <v>0</v>
      </c>
      <c r="L2952" s="14" t="str">
        <f>_xlfn.XLOOKUP(B2952,CAD_PDV!A:A,CAD_PDV!C:C)</f>
        <v>PR/SC</v>
      </c>
      <c r="M2952" s="14" t="str">
        <f>IFERROR(_xlfn.XLOOKUP(B2952,repete!A:A,repete!A:A),"-")</f>
        <v>-</v>
      </c>
    </row>
    <row r="2953" spans="1:13">
      <c r="A2953" s="1">
        <v>46235</v>
      </c>
      <c r="B2953" t="s">
        <v>1841</v>
      </c>
      <c r="C2953" t="s">
        <v>1842</v>
      </c>
      <c r="D2953" t="s">
        <v>124</v>
      </c>
      <c r="E2953" t="s">
        <v>2074</v>
      </c>
      <c r="F2953">
        <v>31</v>
      </c>
      <c r="G2953">
        <v>1</v>
      </c>
      <c r="H2953">
        <v>2.6014568158168599E-4</v>
      </c>
      <c r="I2953">
        <v>3.5714285714285698E-2</v>
      </c>
      <c r="J2953" s="14" t="str">
        <f>_xlfn.XLOOKUP(B2953,CAD_PDV!A:A,CAD_PDV!B:B)</f>
        <v>EDUARDO JUNQUEIRA DA SILVEIRA ADMIN</v>
      </c>
      <c r="K2953" s="14">
        <f>IF(IFERROR(_xlfn.XLOOKUP(B2953,Planilha2!D:D,Planilha2!H:H),0)="SIM",1,0)</f>
        <v>0</v>
      </c>
      <c r="L2953" s="14" t="str">
        <f>_xlfn.XLOOKUP(B2953,CAD_PDV!A:A,CAD_PDV!C:C)</f>
        <v>RS</v>
      </c>
      <c r="M2953" s="14" t="str">
        <f>IFERROR(_xlfn.XLOOKUP(B2953,repete!A:A,repete!A:A),"-")</f>
        <v>-</v>
      </c>
    </row>
    <row r="2954" spans="1:13">
      <c r="A2954" s="1">
        <v>46235</v>
      </c>
      <c r="B2954" t="s">
        <v>431</v>
      </c>
      <c r="C2954" t="s">
        <v>433</v>
      </c>
      <c r="D2954" t="s">
        <v>106</v>
      </c>
      <c r="E2954" t="s">
        <v>56</v>
      </c>
      <c r="F2954">
        <v>21</v>
      </c>
      <c r="G2954">
        <v>1</v>
      </c>
      <c r="H2954">
        <v>2.6014568158168599E-4</v>
      </c>
      <c r="I2954">
        <v>0.05</v>
      </c>
      <c r="J2954" s="14" t="str">
        <f>_xlfn.XLOOKUP(B2954,CAD_PDV!A:A,CAD_PDV!B:B)</f>
        <v>CELLULAR.COM</v>
      </c>
      <c r="K2954" s="14">
        <f>IF(IFERROR(_xlfn.XLOOKUP(B2954,Planilha2!D:D,Planilha2!H:H),0)="SIM",1,0)</f>
        <v>0</v>
      </c>
      <c r="L2954" s="14" t="str">
        <f>_xlfn.XLOOKUP(B2954,CAD_PDV!A:A,CAD_PDV!C:C)</f>
        <v>MG</v>
      </c>
      <c r="M2954" s="14" t="str">
        <f>IFERROR(_xlfn.XLOOKUP(B2954,repete!A:A,repete!A:A),"-")</f>
        <v>-</v>
      </c>
    </row>
    <row r="2955" spans="1:13">
      <c r="A2955" s="1">
        <v>46235</v>
      </c>
      <c r="B2955" t="s">
        <v>1475</v>
      </c>
      <c r="C2955" t="s">
        <v>1477</v>
      </c>
      <c r="D2955" t="s">
        <v>132</v>
      </c>
      <c r="E2955" t="s">
        <v>54</v>
      </c>
      <c r="F2955">
        <v>5</v>
      </c>
      <c r="G2955">
        <v>1</v>
      </c>
      <c r="H2955">
        <v>2.6014568158168599E-4</v>
      </c>
      <c r="I2955">
        <v>0.33333333333333298</v>
      </c>
      <c r="J2955" s="14" t="str">
        <f>_xlfn.XLOOKUP(B2955,CAD_PDV!A:A,CAD_PDV!B:B)</f>
        <v>FLEX CELL</v>
      </c>
      <c r="K2955" s="14">
        <f>IF(IFERROR(_xlfn.XLOOKUP(B2955,Planilha2!D:D,Planilha2!H:H),0)="SIM",1,0)</f>
        <v>0</v>
      </c>
      <c r="L2955" s="14" t="str">
        <f>_xlfn.XLOOKUP(B2955,CAD_PDV!A:A,CAD_PDV!C:C)</f>
        <v>SP2</v>
      </c>
      <c r="M2955" s="14" t="str">
        <f>IFERROR(_xlfn.XLOOKUP(B2955,repete!A:A,repete!A:A),"-")</f>
        <v>-</v>
      </c>
    </row>
    <row r="2956" spans="1:13">
      <c r="A2956" s="1">
        <v>46235</v>
      </c>
      <c r="B2956" t="s">
        <v>1203</v>
      </c>
      <c r="C2956" t="s">
        <v>1204</v>
      </c>
      <c r="D2956" t="s">
        <v>2072</v>
      </c>
      <c r="E2956" t="s">
        <v>55</v>
      </c>
      <c r="F2956">
        <v>26</v>
      </c>
      <c r="G2956">
        <v>1</v>
      </c>
      <c r="H2956">
        <v>2.6014568158168599E-4</v>
      </c>
      <c r="I2956">
        <v>0.04</v>
      </c>
      <c r="J2956" s="14" t="str">
        <f>_xlfn.XLOOKUP(B2956,CAD_PDV!A:A,CAD_PDV!B:B)</f>
        <v>MEXCELL COMERCIO E SERVICOS DE TELECOMUNICACOES LTDA</v>
      </c>
      <c r="K2956" s="14">
        <f>IF(IFERROR(_xlfn.XLOOKUP(B2956,Planilha2!D:D,Planilha2!H:H),0)="SIM",1,0)</f>
        <v>0</v>
      </c>
      <c r="L2956" s="14" t="str">
        <f>_xlfn.XLOOKUP(B2956,CAD_PDV!A:A,CAD_PDV!C:C)</f>
        <v>RJ/ES</v>
      </c>
      <c r="M2956" s="14" t="str">
        <f>IFERROR(_xlfn.XLOOKUP(B2956,repete!A:A,repete!A:A),"-")</f>
        <v>-</v>
      </c>
    </row>
    <row r="2957" spans="1:13">
      <c r="A2957" s="1">
        <v>46235</v>
      </c>
      <c r="B2957" t="s">
        <v>1330</v>
      </c>
      <c r="C2957" t="s">
        <v>1331</v>
      </c>
      <c r="D2957" t="s">
        <v>225</v>
      </c>
      <c r="E2957" t="s">
        <v>53</v>
      </c>
      <c r="F2957">
        <v>61</v>
      </c>
      <c r="G2957">
        <v>1</v>
      </c>
      <c r="H2957">
        <v>2.6014568158168599E-4</v>
      </c>
      <c r="I2957">
        <v>1.72413793103448E-2</v>
      </c>
      <c r="J2957" s="14" t="str">
        <f>_xlfn.XLOOKUP(B2957,CAD_PDV!A:A,CAD_PDV!B:B)</f>
        <v>CLARICELL SP1</v>
      </c>
      <c r="K2957" s="14">
        <f>IF(IFERROR(_xlfn.XLOOKUP(B2957,Planilha2!D:D,Planilha2!H:H),0)="SIM",1,0)</f>
        <v>0</v>
      </c>
      <c r="L2957" s="14" t="str">
        <f>_xlfn.XLOOKUP(B2957,CAD_PDV!A:A,CAD_PDV!C:C)</f>
        <v>SP1</v>
      </c>
      <c r="M2957" s="14" t="str">
        <f>IFERROR(_xlfn.XLOOKUP(B2957,repete!A:A,repete!A:A),"-")</f>
        <v>-</v>
      </c>
    </row>
    <row r="2958" spans="1:13">
      <c r="A2958" s="1">
        <v>46235</v>
      </c>
      <c r="B2958" t="s">
        <v>1497</v>
      </c>
      <c r="C2958" t="s">
        <v>1499</v>
      </c>
      <c r="D2958" t="s">
        <v>132</v>
      </c>
      <c r="E2958" t="s">
        <v>54</v>
      </c>
      <c r="F2958">
        <v>38</v>
      </c>
      <c r="G2958">
        <v>1</v>
      </c>
      <c r="H2958">
        <v>2.6014568158168599E-4</v>
      </c>
      <c r="I2958">
        <v>2.6315789473684199E-2</v>
      </c>
      <c r="J2958" s="14" t="str">
        <f>_xlfn.XLOOKUP(B2958,CAD_PDV!A:A,CAD_PDV!B:B)</f>
        <v>FLEX CELL</v>
      </c>
      <c r="K2958" s="14">
        <f>IF(IFERROR(_xlfn.XLOOKUP(B2958,Planilha2!D:D,Planilha2!H:H),0)="SIM",1,0)</f>
        <v>0</v>
      </c>
      <c r="L2958" s="14" t="str">
        <f>_xlfn.XLOOKUP(B2958,CAD_PDV!A:A,CAD_PDV!C:C)</f>
        <v>SP2</v>
      </c>
      <c r="M2958" s="14" t="str">
        <f>IFERROR(_xlfn.XLOOKUP(B2958,repete!A:A,repete!A:A),"-")</f>
        <v>-</v>
      </c>
    </row>
    <row r="2959" spans="1:13">
      <c r="A2959" s="1">
        <v>46235</v>
      </c>
      <c r="B2959" t="s">
        <v>2015</v>
      </c>
      <c r="C2959" t="s">
        <v>1744</v>
      </c>
      <c r="D2959" t="s">
        <v>106</v>
      </c>
      <c r="E2959" t="s">
        <v>2074</v>
      </c>
      <c r="F2959">
        <v>11</v>
      </c>
      <c r="G2959">
        <v>1</v>
      </c>
      <c r="H2959">
        <v>2.6014568158168599E-4</v>
      </c>
      <c r="I2959">
        <v>0.1</v>
      </c>
      <c r="J2959" s="14" t="str">
        <f>_xlfn.XLOOKUP(B2959,CAD_PDV!A:A,CAD_PDV!B:B)</f>
        <v>CELLULAR.COM</v>
      </c>
      <c r="K2959" s="14">
        <f>IF(IFERROR(_xlfn.XLOOKUP(B2959,Planilha2!D:D,Planilha2!H:H),0)="SIM",1,0)</f>
        <v>0</v>
      </c>
      <c r="L2959" s="14" t="str">
        <f>_xlfn.XLOOKUP(B2959,CAD_PDV!A:A,CAD_PDV!C:C)</f>
        <v>PR/SC</v>
      </c>
      <c r="M2959" s="14" t="str">
        <f>IFERROR(_xlfn.XLOOKUP(B2959,repete!A:A,repete!A:A),"-")</f>
        <v>-</v>
      </c>
    </row>
    <row r="2960" spans="1:13">
      <c r="A2960" s="1">
        <v>46235</v>
      </c>
      <c r="B2960" t="s">
        <v>2003</v>
      </c>
      <c r="C2960" t="s">
        <v>2004</v>
      </c>
      <c r="D2960" t="s">
        <v>124</v>
      </c>
      <c r="E2960" t="s">
        <v>2074</v>
      </c>
      <c r="F2960">
        <v>13</v>
      </c>
      <c r="G2960">
        <v>1</v>
      </c>
      <c r="H2960">
        <v>2.6014568158168599E-4</v>
      </c>
      <c r="I2960">
        <v>7.69230769230769E-2</v>
      </c>
      <c r="J2960" s="14" t="str">
        <f>_xlfn.XLOOKUP(B2960,CAD_PDV!A:A,CAD_PDV!B:B)</f>
        <v>EDUARDO JUNQUEIRA DA SILVEIRA ADMIN</v>
      </c>
      <c r="K2960" s="14">
        <f>IF(IFERROR(_xlfn.XLOOKUP(B2960,Planilha2!D:D,Planilha2!H:H),0)="SIM",1,0)</f>
        <v>0</v>
      </c>
      <c r="L2960" s="14" t="str">
        <f>_xlfn.XLOOKUP(B2960,CAD_PDV!A:A,CAD_PDV!C:C)</f>
        <v>RS</v>
      </c>
      <c r="M2960" s="14" t="str">
        <f>IFERROR(_xlfn.XLOOKUP(B2960,repete!A:A,repete!A:A),"-")</f>
        <v>-</v>
      </c>
    </row>
    <row r="2961" spans="1:13">
      <c r="A2961" s="1">
        <v>46235</v>
      </c>
      <c r="B2961" t="s">
        <v>1508</v>
      </c>
      <c r="C2961" t="s">
        <v>1510</v>
      </c>
      <c r="D2961" t="s">
        <v>106</v>
      </c>
      <c r="E2961" t="s">
        <v>54</v>
      </c>
      <c r="F2961">
        <v>18</v>
      </c>
      <c r="G2961">
        <v>1</v>
      </c>
      <c r="H2961">
        <v>2.6014568158168599E-4</v>
      </c>
      <c r="I2961">
        <v>5.8823529411764698E-2</v>
      </c>
      <c r="J2961" s="14" t="str">
        <f>_xlfn.XLOOKUP(B2961,CAD_PDV!A:A,CAD_PDV!B:B)</f>
        <v>CELLULAR.COM</v>
      </c>
      <c r="K2961" s="14">
        <f>IF(IFERROR(_xlfn.XLOOKUP(B2961,Planilha2!D:D,Planilha2!H:H),0)="SIM",1,0)</f>
        <v>0</v>
      </c>
      <c r="L2961" s="14" t="str">
        <f>_xlfn.XLOOKUP(B2961,CAD_PDV!A:A,CAD_PDV!C:C)</f>
        <v>SP2</v>
      </c>
      <c r="M2961" s="14" t="str">
        <f>IFERROR(_xlfn.XLOOKUP(B2961,repete!A:A,repete!A:A),"-")</f>
        <v>-</v>
      </c>
    </row>
    <row r="2962" spans="1:13">
      <c r="A2962" s="1">
        <v>46235</v>
      </c>
      <c r="B2962" t="s">
        <v>1784</v>
      </c>
      <c r="C2962" t="s">
        <v>1785</v>
      </c>
      <c r="D2962" t="s">
        <v>103</v>
      </c>
      <c r="E2962" t="s">
        <v>2074</v>
      </c>
      <c r="F2962">
        <v>18</v>
      </c>
      <c r="G2962">
        <v>1</v>
      </c>
      <c r="H2962">
        <v>2.6014568158168599E-4</v>
      </c>
      <c r="I2962">
        <v>5.5555555555555601E-2</v>
      </c>
      <c r="J2962" s="14" t="str">
        <f>_xlfn.XLOOKUP(B2962,CAD_PDV!A:A,CAD_PDV!B:B)</f>
        <v>CARLOS EDUARDO SAVIAN - EPP</v>
      </c>
      <c r="K2962" s="14">
        <f>IF(IFERROR(_xlfn.XLOOKUP(B2962,Planilha2!D:D,Planilha2!H:H),0)="SIM",1,0)</f>
        <v>0</v>
      </c>
      <c r="L2962" s="14" t="str">
        <f>_xlfn.XLOOKUP(B2962,CAD_PDV!A:A,CAD_PDV!C:C)</f>
        <v>PR/SC</v>
      </c>
      <c r="M2962" s="14" t="str">
        <f>IFERROR(_xlfn.XLOOKUP(B2962,repete!A:A,repete!A:A),"-")</f>
        <v>-</v>
      </c>
    </row>
    <row r="2963" spans="1:13">
      <c r="A2963" s="1">
        <v>46235</v>
      </c>
      <c r="B2963" t="s">
        <v>2061</v>
      </c>
      <c r="C2963" t="s">
        <v>2062</v>
      </c>
      <c r="D2963" t="s">
        <v>193</v>
      </c>
      <c r="E2963" t="s">
        <v>2074</v>
      </c>
      <c r="F2963">
        <v>6</v>
      </c>
      <c r="G2963">
        <v>1</v>
      </c>
      <c r="H2963">
        <v>2.6014568158168599E-4</v>
      </c>
      <c r="I2963">
        <v>0.2</v>
      </c>
      <c r="J2963" s="14" t="str">
        <f>_xlfn.XLOOKUP(B2963,CAD_PDV!A:A,CAD_PDV!B:B)</f>
        <v>S D COMERCIO DE CELULARES LTDA - ME</v>
      </c>
      <c r="K2963" s="14">
        <f>IF(IFERROR(_xlfn.XLOOKUP(B2963,Planilha2!D:D,Planilha2!H:H),0)="SIM",1,0)</f>
        <v>0</v>
      </c>
      <c r="L2963" s="14" t="str">
        <f>_xlfn.XLOOKUP(B2963,CAD_PDV!A:A,CAD_PDV!C:C)</f>
        <v>RS</v>
      </c>
      <c r="M2963" s="14" t="str">
        <f>IFERROR(_xlfn.XLOOKUP(B2963,repete!A:A,repete!A:A),"-")</f>
        <v>-</v>
      </c>
    </row>
    <row r="2964" spans="1:13">
      <c r="A2964" s="1">
        <v>46235</v>
      </c>
      <c r="B2964" t="s">
        <v>2038</v>
      </c>
      <c r="C2964" t="s">
        <v>2040</v>
      </c>
      <c r="D2964" t="s">
        <v>193</v>
      </c>
      <c r="E2964" t="s">
        <v>2074</v>
      </c>
      <c r="F2964">
        <v>10</v>
      </c>
      <c r="G2964">
        <v>1</v>
      </c>
      <c r="H2964">
        <v>2.6014568158168599E-4</v>
      </c>
      <c r="I2964">
        <v>0.11111111111111099</v>
      </c>
      <c r="J2964" s="14" t="str">
        <f>_xlfn.XLOOKUP(B2964,CAD_PDV!A:A,CAD_PDV!B:B)</f>
        <v>S D COMERCIO DE CELULARES LTDA - ME</v>
      </c>
      <c r="K2964" s="14">
        <f>IF(IFERROR(_xlfn.XLOOKUP(B2964,Planilha2!D:D,Planilha2!H:H),0)="SIM",1,0)</f>
        <v>0</v>
      </c>
      <c r="L2964" s="14" t="str">
        <f>_xlfn.XLOOKUP(B2964,CAD_PDV!A:A,CAD_PDV!C:C)</f>
        <v>RS</v>
      </c>
      <c r="M2964" s="14" t="str">
        <f>IFERROR(_xlfn.XLOOKUP(B2964,repete!A:A,repete!A:A),"-")</f>
        <v>-</v>
      </c>
    </row>
    <row r="2965" spans="1:13">
      <c r="A2965" s="1">
        <v>46235</v>
      </c>
      <c r="B2965" t="s">
        <v>755</v>
      </c>
      <c r="C2965" t="s">
        <v>616</v>
      </c>
      <c r="D2965" t="s">
        <v>239</v>
      </c>
      <c r="E2965" t="s">
        <v>59</v>
      </c>
      <c r="F2965">
        <v>32</v>
      </c>
      <c r="G2965">
        <v>1</v>
      </c>
      <c r="H2965">
        <v>2.6014568158168599E-4</v>
      </c>
      <c r="I2965">
        <v>3.4482758620689703E-2</v>
      </c>
      <c r="J2965" s="14" t="str">
        <f>_xlfn.XLOOKUP(B2965,CAD_PDV!A:A,CAD_PDV!B:B)</f>
        <v>TELECELL TELEFONIA LTDA - ME</v>
      </c>
      <c r="K2965" s="14">
        <f>IF(IFERROR(_xlfn.XLOOKUP(B2965,Planilha2!D:D,Planilha2!H:H),0)="SIM",1,0)</f>
        <v>0</v>
      </c>
      <c r="L2965" s="14" t="str">
        <f>_xlfn.XLOOKUP(B2965,CAD_PDV!A:A,CAD_PDV!C:C)</f>
        <v>CO</v>
      </c>
      <c r="M2965" s="14" t="str">
        <f>IFERROR(_xlfn.XLOOKUP(B2965,repete!A:A,repete!A:A),"-")</f>
        <v>-</v>
      </c>
    </row>
    <row r="2966" spans="1:13">
      <c r="A2966" s="1">
        <v>46235</v>
      </c>
      <c r="B2966" t="s">
        <v>434</v>
      </c>
      <c r="C2966" t="s">
        <v>430</v>
      </c>
      <c r="D2966" t="s">
        <v>106</v>
      </c>
      <c r="E2966" t="s">
        <v>56</v>
      </c>
      <c r="F2966">
        <v>9</v>
      </c>
      <c r="G2966">
        <v>1</v>
      </c>
      <c r="H2966">
        <v>2.6014568158168599E-4</v>
      </c>
      <c r="I2966">
        <v>0.11111111111111099</v>
      </c>
      <c r="J2966" s="14" t="str">
        <f>_xlfn.XLOOKUP(B2966,CAD_PDV!A:A,CAD_PDV!B:B)</f>
        <v>CELLULAR.COM</v>
      </c>
      <c r="K2966" s="14">
        <f>IF(IFERROR(_xlfn.XLOOKUP(B2966,Planilha2!D:D,Planilha2!H:H),0)="SIM",1,0)</f>
        <v>0</v>
      </c>
      <c r="L2966" s="14" t="str">
        <f>_xlfn.XLOOKUP(B2966,CAD_PDV!A:A,CAD_PDV!C:C)</f>
        <v>MG</v>
      </c>
      <c r="M2966" s="14" t="str">
        <f>IFERROR(_xlfn.XLOOKUP(B2966,repete!A:A,repete!A:A),"-")</f>
        <v>-</v>
      </c>
    </row>
    <row r="2967" spans="1:13">
      <c r="A2967" s="1">
        <v>46235</v>
      </c>
      <c r="B2967" t="s">
        <v>990</v>
      </c>
      <c r="C2967" t="s">
        <v>992</v>
      </c>
      <c r="D2967" t="s">
        <v>126</v>
      </c>
      <c r="E2967" t="s">
        <v>60</v>
      </c>
      <c r="F2967">
        <v>17</v>
      </c>
      <c r="G2967">
        <v>1</v>
      </c>
      <c r="H2967">
        <v>2.6014568158168599E-4</v>
      </c>
      <c r="I2967">
        <v>5.8823529411764698E-2</v>
      </c>
      <c r="J2967" s="14" t="str">
        <f>_xlfn.XLOOKUP(B2967,CAD_PDV!A:A,CAD_PDV!B:B)</f>
        <v>ELETROSHOPPING EIRELI</v>
      </c>
      <c r="K2967" s="14">
        <f>IF(IFERROR(_xlfn.XLOOKUP(B2967,Planilha2!D:D,Planilha2!H:H),0)="SIM",1,0)</f>
        <v>0</v>
      </c>
      <c r="L2967" s="14" t="str">
        <f>_xlfn.XLOOKUP(B2967,CAD_PDV!A:A,CAD_PDV!C:C)</f>
        <v>BA/SE</v>
      </c>
      <c r="M2967" s="14" t="str">
        <f>IFERROR(_xlfn.XLOOKUP(B2967,repete!A:A,repete!A:A),"-")</f>
        <v>-</v>
      </c>
    </row>
    <row r="2968" spans="1:13">
      <c r="A2968" s="1">
        <v>46235</v>
      </c>
      <c r="B2968" t="s">
        <v>1128</v>
      </c>
      <c r="C2968" t="s">
        <v>1093</v>
      </c>
      <c r="D2968" t="s">
        <v>143</v>
      </c>
      <c r="E2968" t="s">
        <v>62</v>
      </c>
      <c r="F2968">
        <v>10</v>
      </c>
      <c r="G2968">
        <v>1</v>
      </c>
      <c r="H2968">
        <v>2.6014568158168599E-4</v>
      </c>
      <c r="I2968">
        <v>0.1</v>
      </c>
      <c r="J2968" s="14" t="str">
        <f>_xlfn.XLOOKUP(B2968,CAD_PDV!A:A,CAD_PDV!B:B)</f>
        <v>INOVACELL LTDA</v>
      </c>
      <c r="K2968" s="14">
        <f>IF(IFERROR(_xlfn.XLOOKUP(B2968,Planilha2!D:D,Planilha2!H:H),0)="SIM",1,0)</f>
        <v>0</v>
      </c>
      <c r="L2968" s="14" t="str">
        <f>_xlfn.XLOOKUP(B2968,CAD_PDV!A:A,CAD_PDV!C:C)</f>
        <v>NO</v>
      </c>
      <c r="M2968" s="14" t="str">
        <f>IFERROR(_xlfn.XLOOKUP(B2968,repete!A:A,repete!A:A),"-")</f>
        <v>-</v>
      </c>
    </row>
    <row r="2969" spans="1:13">
      <c r="A2969" s="1">
        <v>46235</v>
      </c>
      <c r="B2969" t="s">
        <v>2050</v>
      </c>
      <c r="C2969" t="s">
        <v>2051</v>
      </c>
      <c r="D2969" t="s">
        <v>193</v>
      </c>
      <c r="E2969" t="s">
        <v>2074</v>
      </c>
      <c r="F2969">
        <v>13</v>
      </c>
      <c r="G2969">
        <v>1</v>
      </c>
      <c r="H2969">
        <v>2.6014568158168599E-4</v>
      </c>
      <c r="I2969">
        <v>9.0909090909090898E-2</v>
      </c>
      <c r="J2969" s="14" t="str">
        <f>_xlfn.XLOOKUP(B2969,CAD_PDV!A:A,CAD_PDV!B:B)</f>
        <v>S D COMERCIO DE CELULARES LTDA - ME</v>
      </c>
      <c r="K2969" s="14">
        <f>IF(IFERROR(_xlfn.XLOOKUP(B2969,Planilha2!D:D,Planilha2!H:H),0)="SIM",1,0)</f>
        <v>0</v>
      </c>
      <c r="L2969" s="14" t="str">
        <f>_xlfn.XLOOKUP(B2969,CAD_PDV!A:A,CAD_PDV!C:C)</f>
        <v>RS</v>
      </c>
      <c r="M2969" s="14" t="str">
        <f>IFERROR(_xlfn.XLOOKUP(B2969,repete!A:A,repete!A:A),"-")</f>
        <v>-</v>
      </c>
    </row>
    <row r="2970" spans="1:13">
      <c r="A2970" s="1">
        <v>46235</v>
      </c>
      <c r="B2970" t="s">
        <v>1984</v>
      </c>
      <c r="C2970" t="s">
        <v>1985</v>
      </c>
      <c r="D2970" t="s">
        <v>97</v>
      </c>
      <c r="E2970" t="s">
        <v>2074</v>
      </c>
      <c r="F2970">
        <v>12</v>
      </c>
      <c r="G2970">
        <v>1</v>
      </c>
      <c r="H2970">
        <v>2.6014568158168599E-4</v>
      </c>
      <c r="I2970">
        <v>9.0909090909090898E-2</v>
      </c>
      <c r="J2970" s="14" t="str">
        <f>_xlfn.XLOOKUP(B2970,CAD_PDV!A:A,CAD_PDV!B:B)</f>
        <v>BANDEIRA</v>
      </c>
      <c r="K2970" s="14">
        <f>IF(IFERROR(_xlfn.XLOOKUP(B2970,Planilha2!D:D,Planilha2!H:H),0)="SIM",1,0)</f>
        <v>0</v>
      </c>
      <c r="L2970" s="14" t="str">
        <f>_xlfn.XLOOKUP(B2970,CAD_PDV!A:A,CAD_PDV!C:C)</f>
        <v>PR/SC</v>
      </c>
      <c r="M2970" s="14" t="str">
        <f>IFERROR(_xlfn.XLOOKUP(B2970,repete!A:A,repete!A:A),"-")</f>
        <v>-</v>
      </c>
    </row>
    <row r="2971" spans="1:13">
      <c r="A2971" s="1">
        <v>46235</v>
      </c>
      <c r="B2971" t="s">
        <v>1214</v>
      </c>
      <c r="C2971" t="s">
        <v>1215</v>
      </c>
      <c r="D2971" t="s">
        <v>2072</v>
      </c>
      <c r="E2971" t="s">
        <v>55</v>
      </c>
      <c r="F2971">
        <v>12</v>
      </c>
      <c r="G2971">
        <v>1</v>
      </c>
      <c r="H2971">
        <v>2.6014568158168599E-4</v>
      </c>
      <c r="I2971">
        <v>8.3333333333333301E-2</v>
      </c>
      <c r="J2971" s="14" t="str">
        <f>_xlfn.XLOOKUP(B2971,CAD_PDV!A:A,CAD_PDV!B:B)</f>
        <v>MEXCELL COMERCIO E SERVICOS DE TELECOMUNICACOES LTDA</v>
      </c>
      <c r="K2971" s="14">
        <f>IF(IFERROR(_xlfn.XLOOKUP(B2971,Planilha2!D:D,Planilha2!H:H),0)="SIM",1,0)</f>
        <v>0</v>
      </c>
      <c r="L2971" s="14" t="str">
        <f>_xlfn.XLOOKUP(B2971,CAD_PDV!A:A,CAD_PDV!C:C)</f>
        <v>RJ/ES</v>
      </c>
      <c r="M2971" s="14" t="str">
        <f>IFERROR(_xlfn.XLOOKUP(B2971,repete!A:A,repete!A:A),"-")</f>
        <v>-</v>
      </c>
    </row>
    <row r="2972" spans="1:13">
      <c r="A2972" s="1">
        <v>46235</v>
      </c>
      <c r="B2972" t="s">
        <v>996</v>
      </c>
      <c r="C2972" t="s">
        <v>997</v>
      </c>
      <c r="D2972" t="s">
        <v>164</v>
      </c>
      <c r="E2972" t="s">
        <v>60</v>
      </c>
      <c r="F2972">
        <v>17</v>
      </c>
      <c r="G2972">
        <v>1</v>
      </c>
      <c r="H2972">
        <v>2.6014568158168599E-4</v>
      </c>
      <c r="I2972">
        <v>6.6666666666666693E-2</v>
      </c>
      <c r="J2972" s="14" t="str">
        <f>_xlfn.XLOOKUP(B2972,CAD_PDV!A:A,CAD_PDV!B:B)</f>
        <v>MARIA JOSEFA DOS SANTOS - ME</v>
      </c>
      <c r="K2972" s="14">
        <f>IF(IFERROR(_xlfn.XLOOKUP(B2972,Planilha2!D:D,Planilha2!H:H),0)="SIM",1,0)</f>
        <v>0</v>
      </c>
      <c r="L2972" s="14" t="str">
        <f>_xlfn.XLOOKUP(B2972,CAD_PDV!A:A,CAD_PDV!C:C)</f>
        <v>BA/SE</v>
      </c>
      <c r="M2972" s="14" t="str">
        <f>IFERROR(_xlfn.XLOOKUP(B2972,repete!A:A,repete!A:A),"-")</f>
        <v>-</v>
      </c>
    </row>
    <row r="2973" spans="1:13">
      <c r="A2973" s="1">
        <v>46235</v>
      </c>
      <c r="B2973" t="s">
        <v>1539</v>
      </c>
      <c r="C2973" t="s">
        <v>1540</v>
      </c>
      <c r="D2973" t="s">
        <v>119</v>
      </c>
      <c r="E2973" t="s">
        <v>54</v>
      </c>
      <c r="F2973">
        <v>15</v>
      </c>
      <c r="G2973">
        <v>1</v>
      </c>
      <c r="H2973">
        <v>2.6014568158168599E-4</v>
      </c>
      <c r="I2973">
        <v>7.1428571428571397E-2</v>
      </c>
      <c r="J2973" s="14" t="str">
        <f>_xlfn.XLOOKUP(B2973,CAD_PDV!A:A,CAD_PDV!B:B)</f>
        <v>DOM BARRETO COMERCIAL LTDA - ME</v>
      </c>
      <c r="K2973" s="14">
        <f>IF(IFERROR(_xlfn.XLOOKUP(B2973,Planilha2!D:D,Planilha2!H:H),0)="SIM",1,0)</f>
        <v>0</v>
      </c>
      <c r="L2973" s="14" t="str">
        <f>_xlfn.XLOOKUP(B2973,CAD_PDV!A:A,CAD_PDV!C:C)</f>
        <v>SP2</v>
      </c>
      <c r="M2973" s="14" t="str">
        <f>IFERROR(_xlfn.XLOOKUP(B2973,repete!A:A,repete!A:A),"-")</f>
        <v>-</v>
      </c>
    </row>
    <row r="2974" spans="1:13">
      <c r="A2974" s="1">
        <v>46235</v>
      </c>
      <c r="B2974" t="s">
        <v>1189</v>
      </c>
      <c r="C2974" t="s">
        <v>1190</v>
      </c>
      <c r="D2974" t="s">
        <v>232</v>
      </c>
      <c r="E2974" t="s">
        <v>55</v>
      </c>
      <c r="F2974">
        <v>30</v>
      </c>
      <c r="G2974">
        <v>1</v>
      </c>
      <c r="H2974">
        <v>2.6014568158168599E-4</v>
      </c>
      <c r="I2974">
        <v>3.3333333333333298E-2</v>
      </c>
      <c r="J2974" s="14" t="str">
        <f>_xlfn.XLOOKUP(B2974,CAD_PDV!A:A,CAD_PDV!B:B)</f>
        <v>HS TELECOM</v>
      </c>
      <c r="K2974" s="14">
        <f>IF(IFERROR(_xlfn.XLOOKUP(B2974,Planilha2!D:D,Planilha2!H:H),0)="SIM",1,0)</f>
        <v>0</v>
      </c>
      <c r="L2974" s="14" t="str">
        <f>_xlfn.XLOOKUP(B2974,CAD_PDV!A:A,CAD_PDV!C:C)</f>
        <v>RJ/ES</v>
      </c>
      <c r="M2974" s="14" t="str">
        <f>IFERROR(_xlfn.XLOOKUP(B2974,repete!A:A,repete!A:A),"-")</f>
        <v>-</v>
      </c>
    </row>
    <row r="2975" spans="1:13">
      <c r="A2975" s="1">
        <v>46235</v>
      </c>
      <c r="B2975" t="s">
        <v>1990</v>
      </c>
      <c r="C2975" t="s">
        <v>1991</v>
      </c>
      <c r="D2975" t="s">
        <v>97</v>
      </c>
      <c r="E2975" t="s">
        <v>2074</v>
      </c>
      <c r="F2975">
        <v>9</v>
      </c>
      <c r="G2975">
        <v>1</v>
      </c>
      <c r="H2975">
        <v>2.6014568158168599E-4</v>
      </c>
      <c r="I2975">
        <v>0.11111111111111099</v>
      </c>
      <c r="J2975" s="14" t="str">
        <f>_xlfn.XLOOKUP(B2975,CAD_PDV!A:A,CAD_PDV!B:B)</f>
        <v>BANDEIRA</v>
      </c>
      <c r="K2975" s="14">
        <f>IF(IFERROR(_xlfn.XLOOKUP(B2975,Planilha2!D:D,Planilha2!H:H),0)="SIM",1,0)</f>
        <v>0</v>
      </c>
      <c r="L2975" s="14" t="str">
        <f>_xlfn.XLOOKUP(B2975,CAD_PDV!A:A,CAD_PDV!C:C)</f>
        <v>PR/SC</v>
      </c>
      <c r="M2975" s="14" t="str">
        <f>IFERROR(_xlfn.XLOOKUP(B2975,repete!A:A,repete!A:A),"-")</f>
        <v>-</v>
      </c>
    </row>
    <row r="2976" spans="1:13">
      <c r="A2976" s="1">
        <v>46235</v>
      </c>
      <c r="B2976" t="s">
        <v>1003</v>
      </c>
      <c r="C2976" t="s">
        <v>950</v>
      </c>
      <c r="D2976" t="s">
        <v>236</v>
      </c>
      <c r="E2976" t="s">
        <v>60</v>
      </c>
      <c r="F2976">
        <v>14</v>
      </c>
      <c r="G2976">
        <v>1</v>
      </c>
      <c r="H2976">
        <v>2.6014568158168599E-4</v>
      </c>
      <c r="I2976">
        <v>8.3333333333333301E-2</v>
      </c>
      <c r="J2976" s="14" t="str">
        <f>_xlfn.XLOOKUP(B2976,CAD_PDV!A:A,CAD_PDV!B:B)</f>
        <v>PAULA C L NIELLA EIRELI</v>
      </c>
      <c r="K2976" s="14">
        <f>IF(IFERROR(_xlfn.XLOOKUP(B2976,Planilha2!D:D,Planilha2!H:H),0)="SIM",1,0)</f>
        <v>0</v>
      </c>
      <c r="L2976" s="14" t="str">
        <f>_xlfn.XLOOKUP(B2976,CAD_PDV!A:A,CAD_PDV!C:C)</f>
        <v>BA/SE</v>
      </c>
      <c r="M2976" s="14" t="str">
        <f>IFERROR(_xlfn.XLOOKUP(B2976,repete!A:A,repete!A:A),"-")</f>
        <v>-</v>
      </c>
    </row>
    <row r="2977" spans="1:13">
      <c r="A2977" s="1">
        <v>46235</v>
      </c>
      <c r="B2977" t="s">
        <v>2086</v>
      </c>
      <c r="C2977" t="s">
        <v>902</v>
      </c>
      <c r="D2977" t="s">
        <v>215</v>
      </c>
      <c r="E2977" t="s">
        <v>59</v>
      </c>
      <c r="F2977">
        <v>40</v>
      </c>
      <c r="G2977">
        <v>1</v>
      </c>
      <c r="H2977">
        <v>2.6014568158168599E-4</v>
      </c>
      <c r="I2977">
        <v>2.9411764705882401E-2</v>
      </c>
      <c r="J2977" s="14" t="str">
        <f>_xlfn.XLOOKUP(B2977,CAD_PDV!A:A,CAD_PDV!B:B)</f>
        <v>VIA SALLUS</v>
      </c>
      <c r="K2977" s="14">
        <f>IF(IFERROR(_xlfn.XLOOKUP(B2977,Planilha2!D:D,Planilha2!H:H),0)="SIM",1,0)</f>
        <v>0</v>
      </c>
      <c r="L2977" s="14" t="str">
        <f>_xlfn.XLOOKUP(B2977,CAD_PDV!A:A,CAD_PDV!C:C)</f>
        <v>CO</v>
      </c>
      <c r="M2977" s="14" t="str">
        <f>IFERROR(_xlfn.XLOOKUP(B2977,repete!A:A,repete!A:A),"-")</f>
        <v>-</v>
      </c>
    </row>
    <row r="2978" spans="1:13">
      <c r="A2978" s="1">
        <v>46235</v>
      </c>
      <c r="B2978" t="s">
        <v>1903</v>
      </c>
      <c r="C2978" t="s">
        <v>1904</v>
      </c>
      <c r="D2978" t="s">
        <v>106</v>
      </c>
      <c r="E2978" t="s">
        <v>2074</v>
      </c>
      <c r="F2978">
        <v>7</v>
      </c>
      <c r="G2978">
        <v>1</v>
      </c>
      <c r="H2978">
        <v>2.6014568158168599E-4</v>
      </c>
      <c r="I2978">
        <v>0.16666666666666699</v>
      </c>
      <c r="J2978" s="14" t="str">
        <f>_xlfn.XLOOKUP(B2978,CAD_PDV!A:A,CAD_PDV!B:B)</f>
        <v>CELLULAR.COM</v>
      </c>
      <c r="K2978" s="14">
        <f>IF(IFERROR(_xlfn.XLOOKUP(B2978,Planilha2!D:D,Planilha2!H:H),0)="SIM",1,0)</f>
        <v>0</v>
      </c>
      <c r="L2978" s="14" t="str">
        <f>_xlfn.XLOOKUP(B2978,CAD_PDV!A:A,CAD_PDV!C:C)</f>
        <v>PR/SC</v>
      </c>
      <c r="M2978" s="14" t="str">
        <f>IFERROR(_xlfn.XLOOKUP(B2978,repete!A:A,repete!A:A),"-")</f>
        <v>-</v>
      </c>
    </row>
    <row r="2979" spans="1:13">
      <c r="A2979" s="1">
        <v>46235</v>
      </c>
      <c r="B2979" t="s">
        <v>766</v>
      </c>
      <c r="C2979" t="s">
        <v>767</v>
      </c>
      <c r="D2979" t="s">
        <v>224</v>
      </c>
      <c r="E2979" t="s">
        <v>59</v>
      </c>
      <c r="F2979">
        <v>7</v>
      </c>
      <c r="G2979">
        <v>1</v>
      </c>
      <c r="H2979">
        <v>2.6014568158168599E-4</v>
      </c>
      <c r="I2979">
        <v>0.2</v>
      </c>
      <c r="J2979" s="14" t="str">
        <f>_xlfn.XLOOKUP(B2979,CAD_PDV!A:A,CAD_PDV!B:B)</f>
        <v>CELNET COMERCIO E SERVICOS DE TELEFONIA LTDA ME</v>
      </c>
      <c r="K2979" s="14">
        <f>IF(IFERROR(_xlfn.XLOOKUP(B2979,Planilha2!D:D,Planilha2!H:H),0)="SIM",1,0)</f>
        <v>0</v>
      </c>
      <c r="L2979" s="14" t="str">
        <f>_xlfn.XLOOKUP(B2979,CAD_PDV!A:A,CAD_PDV!C:C)</f>
        <v>CO</v>
      </c>
      <c r="M2979" s="14" t="str">
        <f>IFERROR(_xlfn.XLOOKUP(B2979,repete!A:A,repete!A:A),"-")</f>
        <v>-</v>
      </c>
    </row>
    <row r="2980" spans="1:13">
      <c r="A2980" s="1">
        <v>46235</v>
      </c>
      <c r="B2980" t="s">
        <v>2036</v>
      </c>
      <c r="C2980" t="s">
        <v>2037</v>
      </c>
      <c r="D2980" t="s">
        <v>193</v>
      </c>
      <c r="E2980" t="s">
        <v>2074</v>
      </c>
      <c r="F2980">
        <v>21</v>
      </c>
      <c r="G2980">
        <v>1</v>
      </c>
      <c r="H2980">
        <v>2.6014568158168599E-4</v>
      </c>
      <c r="I2980">
        <v>5.8823529411764698E-2</v>
      </c>
      <c r="J2980" s="14" t="str">
        <f>_xlfn.XLOOKUP(B2980,CAD_PDV!A:A,CAD_PDV!B:B)</f>
        <v>S D COMERCIO DE CELULARES LTDA - ME</v>
      </c>
      <c r="K2980" s="14">
        <f>IF(IFERROR(_xlfn.XLOOKUP(B2980,Planilha2!D:D,Planilha2!H:H),0)="SIM",1,0)</f>
        <v>0</v>
      </c>
      <c r="L2980" s="14" t="str">
        <f>_xlfn.XLOOKUP(B2980,CAD_PDV!A:A,CAD_PDV!C:C)</f>
        <v>RS</v>
      </c>
      <c r="M2980" s="14" t="str">
        <f>IFERROR(_xlfn.XLOOKUP(B2980,repete!A:A,repete!A:A),"-")</f>
        <v>-</v>
      </c>
    </row>
    <row r="2981" spans="1:13">
      <c r="A2981" s="1">
        <v>46235</v>
      </c>
      <c r="B2981" t="s">
        <v>1558</v>
      </c>
      <c r="C2981" t="s">
        <v>1559</v>
      </c>
      <c r="D2981" t="s">
        <v>219</v>
      </c>
      <c r="E2981" t="s">
        <v>54</v>
      </c>
      <c r="F2981">
        <v>19</v>
      </c>
      <c r="G2981">
        <v>1</v>
      </c>
      <c r="H2981">
        <v>2.6014568158168599E-4</v>
      </c>
      <c r="I2981">
        <v>5.8823529411764698E-2</v>
      </c>
      <c r="J2981" s="14" t="str">
        <f>_xlfn.XLOOKUP(B2981,CAD_PDV!A:A,CAD_PDV!B:B)</f>
        <v>WCI CELULARES SERVICOS E TELECOMUNICACOES LTDA - EPP</v>
      </c>
      <c r="K2981" s="14">
        <f>IF(IFERROR(_xlfn.XLOOKUP(B2981,Planilha2!D:D,Planilha2!H:H),0)="SIM",1,0)</f>
        <v>0</v>
      </c>
      <c r="L2981" s="14" t="str">
        <f>_xlfn.XLOOKUP(B2981,CAD_PDV!A:A,CAD_PDV!C:C)</f>
        <v>SP2</v>
      </c>
      <c r="M2981" s="14" t="str">
        <f>IFERROR(_xlfn.XLOOKUP(B2981,repete!A:A,repete!A:A),"-")</f>
        <v>-</v>
      </c>
    </row>
    <row r="2982" spans="1:13">
      <c r="A2982" s="1">
        <v>46235</v>
      </c>
      <c r="B2982" t="s">
        <v>949</v>
      </c>
      <c r="C2982" t="s">
        <v>950</v>
      </c>
      <c r="D2982" t="s">
        <v>236</v>
      </c>
      <c r="E2982" t="s">
        <v>60</v>
      </c>
      <c r="F2982">
        <v>16</v>
      </c>
      <c r="G2982">
        <v>1</v>
      </c>
      <c r="H2982">
        <v>2.6014568158168599E-4</v>
      </c>
      <c r="I2982">
        <v>7.69230769230769E-2</v>
      </c>
      <c r="J2982" s="14" t="str">
        <f>_xlfn.XLOOKUP(B2982,CAD_PDV!A:A,CAD_PDV!B:B)</f>
        <v>PAULA C L NIELLA EIRELI</v>
      </c>
      <c r="K2982" s="14">
        <f>IF(IFERROR(_xlfn.XLOOKUP(B2982,Planilha2!D:D,Planilha2!H:H),0)="SIM",1,0)</f>
        <v>0</v>
      </c>
      <c r="L2982" s="14" t="str">
        <f>_xlfn.XLOOKUP(B2982,CAD_PDV!A:A,CAD_PDV!C:C)</f>
        <v>BA/SE</v>
      </c>
      <c r="M2982" s="14" t="str">
        <f>IFERROR(_xlfn.XLOOKUP(B2982,repete!A:A,repete!A:A),"-")</f>
        <v>-</v>
      </c>
    </row>
    <row r="2983" spans="1:13">
      <c r="A2983" s="1">
        <v>46235</v>
      </c>
      <c r="B2983" t="s">
        <v>1567</v>
      </c>
      <c r="C2983" t="s">
        <v>1568</v>
      </c>
      <c r="D2983" t="s">
        <v>119</v>
      </c>
      <c r="E2983" t="s">
        <v>54</v>
      </c>
      <c r="F2983">
        <v>9</v>
      </c>
      <c r="G2983">
        <v>1</v>
      </c>
      <c r="H2983">
        <v>2.6014568158168599E-4</v>
      </c>
      <c r="I2983">
        <v>0.11111111111111099</v>
      </c>
      <c r="J2983" s="14" t="str">
        <f>_xlfn.XLOOKUP(B2983,CAD_PDV!A:A,CAD_PDV!B:B)</f>
        <v>DOM BARRETO COMERCIAL LTDA - ME</v>
      </c>
      <c r="K2983" s="14">
        <f>IF(IFERROR(_xlfn.XLOOKUP(B2983,Planilha2!D:D,Planilha2!H:H),0)="SIM",1,0)</f>
        <v>0</v>
      </c>
      <c r="L2983" s="14" t="str">
        <f>_xlfn.XLOOKUP(B2983,CAD_PDV!A:A,CAD_PDV!C:C)</f>
        <v>SP2</v>
      </c>
      <c r="M2983" s="14" t="str">
        <f>IFERROR(_xlfn.XLOOKUP(B2983,repete!A:A,repete!A:A),"-")</f>
        <v>-</v>
      </c>
    </row>
    <row r="2984" spans="1:13">
      <c r="A2984" s="1">
        <v>46235</v>
      </c>
      <c r="B2984" t="s">
        <v>297</v>
      </c>
      <c r="C2984" t="s">
        <v>261</v>
      </c>
      <c r="D2984" t="s">
        <v>238</v>
      </c>
      <c r="E2984" t="s">
        <v>61</v>
      </c>
      <c r="F2984">
        <v>14</v>
      </c>
      <c r="G2984">
        <v>1</v>
      </c>
      <c r="H2984">
        <v>2.6014568158168599E-4</v>
      </c>
      <c r="I2984">
        <v>7.1428571428571397E-2</v>
      </c>
      <c r="J2984" s="14" t="str">
        <f>_xlfn.XLOOKUP(B2984,CAD_PDV!A:A,CAD_PDV!B:B)</f>
        <v>R &amp; R HIPER COMERCIO LTDA</v>
      </c>
      <c r="K2984" s="14">
        <f>IF(IFERROR(_xlfn.XLOOKUP(B2984,Planilha2!D:D,Planilha2!H:H),0)="SIM",1,0)</f>
        <v>0</v>
      </c>
      <c r="L2984" s="14" t="str">
        <f>_xlfn.XLOOKUP(B2984,CAD_PDV!A:A,CAD_PDV!C:C)</f>
        <v>NE</v>
      </c>
      <c r="M2984" s="14" t="str">
        <f>IFERROR(_xlfn.XLOOKUP(B2984,repete!A:A,repete!A:A),"-")</f>
        <v>-</v>
      </c>
    </row>
    <row r="2985" spans="1:13">
      <c r="A2985" s="1">
        <v>46235</v>
      </c>
      <c r="B2985" t="s">
        <v>464</v>
      </c>
      <c r="C2985" t="s">
        <v>466</v>
      </c>
      <c r="D2985" t="s">
        <v>106</v>
      </c>
      <c r="E2985" t="s">
        <v>56</v>
      </c>
      <c r="F2985">
        <v>18</v>
      </c>
      <c r="G2985">
        <v>1</v>
      </c>
      <c r="H2985">
        <v>2.6014568158168599E-4</v>
      </c>
      <c r="I2985">
        <v>6.6666666666666693E-2</v>
      </c>
      <c r="J2985" s="14" t="str">
        <f>_xlfn.XLOOKUP(B2985,CAD_PDV!A:A,CAD_PDV!B:B)</f>
        <v>CELLULAR.COM</v>
      </c>
      <c r="K2985" s="14">
        <f>IF(IFERROR(_xlfn.XLOOKUP(B2985,Planilha2!D:D,Planilha2!H:H),0)="SIM",1,0)</f>
        <v>0</v>
      </c>
      <c r="L2985" s="14" t="str">
        <f>_xlfn.XLOOKUP(B2985,CAD_PDV!A:A,CAD_PDV!C:C)</f>
        <v>MG</v>
      </c>
      <c r="M2985" s="14" t="str">
        <f>IFERROR(_xlfn.XLOOKUP(B2985,repete!A:A,repete!A:A),"-")</f>
        <v>-</v>
      </c>
    </row>
    <row r="2986" spans="1:13">
      <c r="A2986" s="1">
        <v>46235</v>
      </c>
      <c r="B2986" t="s">
        <v>776</v>
      </c>
      <c r="C2986" t="s">
        <v>637</v>
      </c>
      <c r="D2986" t="s">
        <v>221</v>
      </c>
      <c r="E2986" t="s">
        <v>59</v>
      </c>
      <c r="F2986">
        <v>28</v>
      </c>
      <c r="G2986">
        <v>1</v>
      </c>
      <c r="H2986">
        <v>2.6014568158168599E-4</v>
      </c>
      <c r="I2986">
        <v>3.5714285714285698E-2</v>
      </c>
      <c r="J2986" s="14" t="str">
        <f>_xlfn.XLOOKUP(B2986,CAD_PDV!A:A,CAD_PDV!B:B)</f>
        <v>AMERICOM COMERCIO DE APARELHOS ELETRONICOS LTDA - EPP</v>
      </c>
      <c r="K2986" s="14">
        <f>IF(IFERROR(_xlfn.XLOOKUP(B2986,Planilha2!D:D,Planilha2!H:H),0)="SIM",1,0)</f>
        <v>0</v>
      </c>
      <c r="L2986" s="14" t="str">
        <f>_xlfn.XLOOKUP(B2986,CAD_PDV!A:A,CAD_PDV!C:C)</f>
        <v>CO</v>
      </c>
      <c r="M2986" s="14" t="str">
        <f>IFERROR(_xlfn.XLOOKUP(B2986,repete!A:A,repete!A:A),"-")</f>
        <v>-</v>
      </c>
    </row>
    <row r="2987" spans="1:13">
      <c r="A2987" s="1">
        <v>46235</v>
      </c>
      <c r="B2987" t="s">
        <v>1766</v>
      </c>
      <c r="C2987" t="s">
        <v>1767</v>
      </c>
      <c r="D2987" t="s">
        <v>124</v>
      </c>
      <c r="E2987" t="s">
        <v>2074</v>
      </c>
      <c r="F2987">
        <v>47</v>
      </c>
      <c r="G2987">
        <v>1</v>
      </c>
      <c r="H2987">
        <v>2.6014568158168599E-4</v>
      </c>
      <c r="I2987">
        <v>2.2222222222222199E-2</v>
      </c>
      <c r="J2987" s="14" t="str">
        <f>_xlfn.XLOOKUP(B2987,CAD_PDV!A:A,CAD_PDV!B:B)</f>
        <v>EDUARDO JUNQUEIRA DA SILVEIRA ADMIN</v>
      </c>
      <c r="K2987" s="14">
        <f>IF(IFERROR(_xlfn.XLOOKUP(B2987,Planilha2!D:D,Planilha2!H:H),0)="SIM",1,0)</f>
        <v>0</v>
      </c>
      <c r="L2987" s="14" t="str">
        <f>_xlfn.XLOOKUP(B2987,CAD_PDV!A:A,CAD_PDV!C:C)</f>
        <v>RS</v>
      </c>
      <c r="M2987" s="14" t="str">
        <f>IFERROR(_xlfn.XLOOKUP(B2987,repete!A:A,repete!A:A),"-")</f>
        <v>-</v>
      </c>
    </row>
    <row r="2988" spans="1:13">
      <c r="A2988" s="1">
        <v>46235</v>
      </c>
      <c r="B2988" t="s">
        <v>419</v>
      </c>
      <c r="C2988" t="s">
        <v>411</v>
      </c>
      <c r="D2988" t="s">
        <v>238</v>
      </c>
      <c r="E2988" t="s">
        <v>61</v>
      </c>
      <c r="F2988">
        <v>2</v>
      </c>
      <c r="G2988">
        <v>1</v>
      </c>
      <c r="H2988">
        <v>2.6014568158168599E-4</v>
      </c>
      <c r="I2988">
        <v>0.5</v>
      </c>
      <c r="J2988" s="14" t="str">
        <f>_xlfn.XLOOKUP(B2988,CAD_PDV!A:A,CAD_PDV!B:B)</f>
        <v>R &amp; R HIPER COMERCIO LTDA</v>
      </c>
      <c r="K2988" s="14">
        <f>IF(IFERROR(_xlfn.XLOOKUP(B2988,Planilha2!D:D,Planilha2!H:H),0)="SIM",1,0)</f>
        <v>0</v>
      </c>
      <c r="L2988" s="14" t="str">
        <f>_xlfn.XLOOKUP(B2988,CAD_PDV!A:A,CAD_PDV!C:C)</f>
        <v>NE</v>
      </c>
      <c r="M2988" s="14" t="str">
        <f>IFERROR(_xlfn.XLOOKUP(B2988,repete!A:A,repete!A:A),"-")</f>
        <v>-</v>
      </c>
    </row>
    <row r="2989" spans="1:13">
      <c r="A2989" s="1">
        <v>46235</v>
      </c>
      <c r="B2989" t="s">
        <v>1586</v>
      </c>
      <c r="C2989" t="s">
        <v>1587</v>
      </c>
      <c r="D2989" t="s">
        <v>132</v>
      </c>
      <c r="E2989" t="s">
        <v>54</v>
      </c>
      <c r="F2989">
        <v>32</v>
      </c>
      <c r="G2989">
        <v>1</v>
      </c>
      <c r="H2989">
        <v>2.6014568158168599E-4</v>
      </c>
      <c r="I2989">
        <v>3.4482758620689703E-2</v>
      </c>
      <c r="J2989" s="14" t="str">
        <f>_xlfn.XLOOKUP(B2989,CAD_PDV!A:A,CAD_PDV!B:B)</f>
        <v>FLEX CELL</v>
      </c>
      <c r="K2989" s="14">
        <f>IF(IFERROR(_xlfn.XLOOKUP(B2989,Planilha2!D:D,Planilha2!H:H),0)="SIM",1,0)</f>
        <v>0</v>
      </c>
      <c r="L2989" s="14" t="str">
        <f>_xlfn.XLOOKUP(B2989,CAD_PDV!A:A,CAD_PDV!C:C)</f>
        <v>SP2</v>
      </c>
      <c r="M2989" s="14" t="str">
        <f>IFERROR(_xlfn.XLOOKUP(B2989,repete!A:A,repete!A:A),"-")</f>
        <v>-</v>
      </c>
    </row>
    <row r="2990" spans="1:13">
      <c r="A2990" s="1">
        <v>46235</v>
      </c>
      <c r="B2990" t="s">
        <v>1296</v>
      </c>
      <c r="C2990" t="s">
        <v>1142</v>
      </c>
      <c r="D2990" t="s">
        <v>237</v>
      </c>
      <c r="E2990" t="s">
        <v>55</v>
      </c>
      <c r="F2990">
        <v>22</v>
      </c>
      <c r="G2990">
        <v>1</v>
      </c>
      <c r="H2990">
        <v>2.6014568158168599E-4</v>
      </c>
      <c r="I2990">
        <v>0.05</v>
      </c>
      <c r="J2990" s="14" t="str">
        <f>_xlfn.XLOOKUP(B2990,CAD_PDV!A:A,CAD_PDV!B:B)</f>
        <v>PONTO CERTO COMERCIO E COMUNICAÇÕES LTDA</v>
      </c>
      <c r="K2990" s="14">
        <f>IF(IFERROR(_xlfn.XLOOKUP(B2990,Planilha2!D:D,Planilha2!H:H),0)="SIM",1,0)</f>
        <v>0</v>
      </c>
      <c r="L2990" s="14" t="str">
        <f>_xlfn.XLOOKUP(B2990,CAD_PDV!A:A,CAD_PDV!C:C)</f>
        <v>RJ/ES</v>
      </c>
      <c r="M2990" s="14" t="str">
        <f>IFERROR(_xlfn.XLOOKUP(B2990,repete!A:A,repete!A:A),"-")</f>
        <v>-</v>
      </c>
    </row>
    <row r="2991" spans="1:13">
      <c r="A2991" s="1">
        <v>46235</v>
      </c>
      <c r="B2991" t="s">
        <v>1930</v>
      </c>
      <c r="C2991" t="s">
        <v>1931</v>
      </c>
      <c r="D2991" t="s">
        <v>106</v>
      </c>
      <c r="E2991" t="s">
        <v>2074</v>
      </c>
      <c r="F2991">
        <v>25</v>
      </c>
      <c r="G2991">
        <v>1</v>
      </c>
      <c r="H2991">
        <v>2.6014568158168599E-4</v>
      </c>
      <c r="I2991">
        <v>4.7619047619047603E-2</v>
      </c>
      <c r="J2991" s="14" t="str">
        <f>_xlfn.XLOOKUP(B2991,CAD_PDV!A:A,CAD_PDV!B:B)</f>
        <v>CELLULAR.COM</v>
      </c>
      <c r="K2991" s="14">
        <f>IF(IFERROR(_xlfn.XLOOKUP(B2991,Planilha2!D:D,Planilha2!H:H),0)="SIM",1,0)</f>
        <v>0</v>
      </c>
      <c r="L2991" s="14" t="str">
        <f>_xlfn.XLOOKUP(B2991,CAD_PDV!A:A,CAD_PDV!C:C)</f>
        <v>PR/SC</v>
      </c>
      <c r="M2991" s="14" t="str">
        <f>IFERROR(_xlfn.XLOOKUP(B2991,repete!A:A,repete!A:A),"-")</f>
        <v>-</v>
      </c>
    </row>
    <row r="2992" spans="1:13">
      <c r="A2992" s="1">
        <v>46235</v>
      </c>
      <c r="B2992" t="s">
        <v>905</v>
      </c>
      <c r="C2992" t="s">
        <v>902</v>
      </c>
      <c r="D2992" t="s">
        <v>215</v>
      </c>
      <c r="E2992" t="s">
        <v>59</v>
      </c>
      <c r="F2992">
        <v>12</v>
      </c>
      <c r="G2992">
        <v>1</v>
      </c>
      <c r="H2992">
        <v>2.6014568158168599E-4</v>
      </c>
      <c r="I2992">
        <v>9.0909090909090898E-2</v>
      </c>
      <c r="J2992" s="14" t="str">
        <f>_xlfn.XLOOKUP(B2992,CAD_PDV!A:A,CAD_PDV!B:B)</f>
        <v>VIA SALLUS</v>
      </c>
      <c r="K2992" s="14">
        <f>IF(IFERROR(_xlfn.XLOOKUP(B2992,Planilha2!D:D,Planilha2!H:H),0)="SIM",1,0)</f>
        <v>0</v>
      </c>
      <c r="L2992" s="14" t="str">
        <f>_xlfn.XLOOKUP(B2992,CAD_PDV!A:A,CAD_PDV!C:C)</f>
        <v>CO</v>
      </c>
      <c r="M2992" s="14" t="str">
        <f>IFERROR(_xlfn.XLOOKUP(B2992,repete!A:A,repete!A:A),"-")</f>
        <v>-</v>
      </c>
    </row>
    <row r="2993" spans="1:13">
      <c r="A2993" s="1">
        <v>46235</v>
      </c>
      <c r="B2993" t="s">
        <v>1592</v>
      </c>
      <c r="C2993" t="s">
        <v>1593</v>
      </c>
      <c r="D2993" t="s">
        <v>106</v>
      </c>
      <c r="E2993" t="s">
        <v>54</v>
      </c>
      <c r="F2993">
        <v>14</v>
      </c>
      <c r="G2993">
        <v>1</v>
      </c>
      <c r="H2993">
        <v>2.6014568158168599E-4</v>
      </c>
      <c r="I2993">
        <v>7.69230769230769E-2</v>
      </c>
      <c r="J2993" s="14" t="str">
        <f>_xlfn.XLOOKUP(B2993,CAD_PDV!A:A,CAD_PDV!B:B)</f>
        <v>CELLULAR.COM</v>
      </c>
      <c r="K2993" s="14">
        <f>IF(IFERROR(_xlfn.XLOOKUP(B2993,Planilha2!D:D,Planilha2!H:H),0)="SIM",1,0)</f>
        <v>0</v>
      </c>
      <c r="L2993" s="14" t="str">
        <f>_xlfn.XLOOKUP(B2993,CAD_PDV!A:A,CAD_PDV!C:C)</f>
        <v>SP2</v>
      </c>
      <c r="M2993" s="14" t="str">
        <f>IFERROR(_xlfn.XLOOKUP(B2993,repete!A:A,repete!A:A),"-")</f>
        <v>-</v>
      </c>
    </row>
    <row r="2994" spans="1:13">
      <c r="A2994" s="1">
        <v>46235</v>
      </c>
      <c r="B2994" t="s">
        <v>1594</v>
      </c>
      <c r="C2994" t="s">
        <v>1512</v>
      </c>
      <c r="D2994" t="s">
        <v>120</v>
      </c>
      <c r="E2994" t="s">
        <v>54</v>
      </c>
      <c r="F2994">
        <v>47</v>
      </c>
      <c r="G2994">
        <v>1</v>
      </c>
      <c r="H2994">
        <v>2.6014568158168599E-4</v>
      </c>
      <c r="I2994">
        <v>2.32558139534884E-2</v>
      </c>
      <c r="J2994" s="14" t="str">
        <f>_xlfn.XLOOKUP(B2994,CAD_PDV!A:A,CAD_PDV!B:B)</f>
        <v>DOUGLAS LUIZ ELETRONICOS - ME</v>
      </c>
      <c r="K2994" s="14">
        <f>IF(IFERROR(_xlfn.XLOOKUP(B2994,Planilha2!D:D,Planilha2!H:H),0)="SIM",1,0)</f>
        <v>0</v>
      </c>
      <c r="L2994" s="14" t="str">
        <f>_xlfn.XLOOKUP(B2994,CAD_PDV!A:A,CAD_PDV!C:C)</f>
        <v>SP2</v>
      </c>
      <c r="M2994" s="14" t="str">
        <f>IFERROR(_xlfn.XLOOKUP(B2994,repete!A:A,repete!A:A),"-")</f>
        <v>-</v>
      </c>
    </row>
    <row r="2995" spans="1:13">
      <c r="A2995" s="1">
        <v>46235</v>
      </c>
      <c r="B2995" t="s">
        <v>1992</v>
      </c>
      <c r="C2995" t="s">
        <v>1994</v>
      </c>
      <c r="D2995" t="s">
        <v>124</v>
      </c>
      <c r="E2995" t="s">
        <v>2074</v>
      </c>
      <c r="F2995">
        <v>15</v>
      </c>
      <c r="G2995">
        <v>1</v>
      </c>
      <c r="H2995">
        <v>2.6014568158168599E-4</v>
      </c>
      <c r="I2995">
        <v>6.6666666666666693E-2</v>
      </c>
      <c r="J2995" s="14" t="str">
        <f>_xlfn.XLOOKUP(B2995,CAD_PDV!A:A,CAD_PDV!B:B)</f>
        <v>EDUARDO JUNQUEIRA DA SILVEIRA ADMIN</v>
      </c>
      <c r="K2995" s="14">
        <f>IF(IFERROR(_xlfn.XLOOKUP(B2995,Planilha2!D:D,Planilha2!H:H),0)="SIM",1,0)</f>
        <v>0</v>
      </c>
      <c r="L2995" s="14" t="str">
        <f>_xlfn.XLOOKUP(B2995,CAD_PDV!A:A,CAD_PDV!C:C)</f>
        <v>RS</v>
      </c>
      <c r="M2995" s="14" t="str">
        <f>IFERROR(_xlfn.XLOOKUP(B2995,repete!A:A,repete!A:A),"-")</f>
        <v>-</v>
      </c>
    </row>
    <row r="2996" spans="1:13">
      <c r="A2996" s="1">
        <v>46235</v>
      </c>
      <c r="B2996" t="s">
        <v>1752</v>
      </c>
      <c r="C2996" t="s">
        <v>1755</v>
      </c>
      <c r="D2996" t="s">
        <v>106</v>
      </c>
      <c r="E2996" t="s">
        <v>2074</v>
      </c>
      <c r="F2996">
        <v>69</v>
      </c>
      <c r="G2996">
        <v>1</v>
      </c>
      <c r="H2996">
        <v>2.6014568158168599E-4</v>
      </c>
      <c r="I2996">
        <v>1.4492753623188401E-2</v>
      </c>
      <c r="J2996" s="14" t="str">
        <f>_xlfn.XLOOKUP(B2996,CAD_PDV!A:A,CAD_PDV!B:B)</f>
        <v>CELLULAR.COM</v>
      </c>
      <c r="K2996" s="14">
        <f>IF(IFERROR(_xlfn.XLOOKUP(B2996,Planilha2!D:D,Planilha2!H:H),0)="SIM",1,0)</f>
        <v>0</v>
      </c>
      <c r="L2996" s="14" t="str">
        <f>_xlfn.XLOOKUP(B2996,CAD_PDV!A:A,CAD_PDV!C:C)</f>
        <v>RS</v>
      </c>
      <c r="M2996" s="14" t="str">
        <f>IFERROR(_xlfn.XLOOKUP(B2996,repete!A:A,repete!A:A),"-")</f>
        <v>-</v>
      </c>
    </row>
    <row r="2997" spans="1:13">
      <c r="A2997" s="1">
        <v>46235</v>
      </c>
      <c r="B2997" t="s">
        <v>788</v>
      </c>
      <c r="C2997" t="s">
        <v>786</v>
      </c>
      <c r="D2997" t="s">
        <v>240</v>
      </c>
      <c r="E2997" t="s">
        <v>59</v>
      </c>
      <c r="F2997">
        <v>25</v>
      </c>
      <c r="G2997">
        <v>1</v>
      </c>
      <c r="H2997">
        <v>2.6014568158168599E-4</v>
      </c>
      <c r="I2997">
        <v>0.04</v>
      </c>
      <c r="J2997" s="14" t="str">
        <f>_xlfn.XLOOKUP(B2997,CAD_PDV!A:A,CAD_PDV!B:B)</f>
        <v>TELEMAIS TELEFONIA LTDA - ME</v>
      </c>
      <c r="K2997" s="14">
        <f>IF(IFERROR(_xlfn.XLOOKUP(B2997,Planilha2!D:D,Planilha2!H:H),0)="SIM",1,0)</f>
        <v>0</v>
      </c>
      <c r="L2997" s="14" t="str">
        <f>_xlfn.XLOOKUP(B2997,CAD_PDV!A:A,CAD_PDV!C:C)</f>
        <v>CO</v>
      </c>
      <c r="M2997" s="14" t="str">
        <f>IFERROR(_xlfn.XLOOKUP(B2997,repete!A:A,repete!A:A),"-")</f>
        <v>-</v>
      </c>
    </row>
    <row r="2998" spans="1:13">
      <c r="A2998" s="1">
        <v>46235</v>
      </c>
      <c r="B2998" t="s">
        <v>1613</v>
      </c>
      <c r="C2998" t="s">
        <v>1614</v>
      </c>
      <c r="D2998" t="s">
        <v>106</v>
      </c>
      <c r="E2998" t="s">
        <v>54</v>
      </c>
      <c r="F2998">
        <v>20</v>
      </c>
      <c r="G2998">
        <v>1</v>
      </c>
      <c r="H2998">
        <v>2.6014568158168599E-4</v>
      </c>
      <c r="I2998">
        <v>5.2631578947368397E-2</v>
      </c>
      <c r="J2998" s="14" t="str">
        <f>_xlfn.XLOOKUP(B2998,CAD_PDV!A:A,CAD_PDV!B:B)</f>
        <v>CELLULAR.COM</v>
      </c>
      <c r="K2998" s="14">
        <f>IF(IFERROR(_xlfn.XLOOKUP(B2998,Planilha2!D:D,Planilha2!H:H),0)="SIM",1,0)</f>
        <v>0</v>
      </c>
      <c r="L2998" s="14" t="str">
        <f>_xlfn.XLOOKUP(B2998,CAD_PDV!A:A,CAD_PDV!C:C)</f>
        <v>SP2</v>
      </c>
      <c r="M2998" s="14" t="str">
        <f>IFERROR(_xlfn.XLOOKUP(B2998,repete!A:A,repete!A:A),"-")</f>
        <v>-</v>
      </c>
    </row>
    <row r="2999" spans="1:13">
      <c r="A2999" s="1">
        <v>46235</v>
      </c>
      <c r="B2999" t="s">
        <v>892</v>
      </c>
      <c r="C2999" t="s">
        <v>893</v>
      </c>
      <c r="D2999" t="s">
        <v>224</v>
      </c>
      <c r="E2999" t="s">
        <v>59</v>
      </c>
      <c r="F2999">
        <v>52</v>
      </c>
      <c r="G2999">
        <v>1</v>
      </c>
      <c r="H2999">
        <v>2.6014568158168599E-4</v>
      </c>
      <c r="I2999">
        <v>1.9607843137254902E-2</v>
      </c>
      <c r="J2999" s="14" t="str">
        <f>_xlfn.XLOOKUP(B2999,CAD_PDV!A:A,CAD_PDV!B:B)</f>
        <v>CELNET COMERCIO E SERVICOS DE TELEFONIA LTDA ME</v>
      </c>
      <c r="K2999" s="14">
        <f>IF(IFERROR(_xlfn.XLOOKUP(B2999,Planilha2!D:D,Planilha2!H:H),0)="SIM",1,0)</f>
        <v>0</v>
      </c>
      <c r="L2999" s="14" t="str">
        <f>_xlfn.XLOOKUP(B2999,CAD_PDV!A:A,CAD_PDV!C:C)</f>
        <v>CO</v>
      </c>
      <c r="M2999" s="14" t="str">
        <f>IFERROR(_xlfn.XLOOKUP(B2999,repete!A:A,repete!A:A),"-")</f>
        <v>-</v>
      </c>
    </row>
    <row r="3000" spans="1:13">
      <c r="A3000" s="1">
        <v>46235</v>
      </c>
      <c r="B3000" t="s">
        <v>1619</v>
      </c>
      <c r="C3000" t="s">
        <v>1620</v>
      </c>
      <c r="D3000" t="s">
        <v>106</v>
      </c>
      <c r="E3000" t="s">
        <v>54</v>
      </c>
      <c r="F3000">
        <v>22</v>
      </c>
      <c r="G3000">
        <v>1</v>
      </c>
      <c r="H3000">
        <v>2.6014568158168599E-4</v>
      </c>
      <c r="I3000">
        <v>4.7619047619047603E-2</v>
      </c>
      <c r="J3000" s="14" t="str">
        <f>_xlfn.XLOOKUP(B3000,CAD_PDV!A:A,CAD_PDV!B:B)</f>
        <v>CELLULAR.COM</v>
      </c>
      <c r="K3000" s="14">
        <f>IF(IFERROR(_xlfn.XLOOKUP(B3000,Planilha2!D:D,Planilha2!H:H),0)="SIM",1,0)</f>
        <v>0</v>
      </c>
      <c r="L3000" s="14" t="str">
        <f>_xlfn.XLOOKUP(B3000,CAD_PDV!A:A,CAD_PDV!C:C)</f>
        <v>SP2</v>
      </c>
      <c r="M3000" s="14" t="str">
        <f>IFERROR(_xlfn.XLOOKUP(B3000,repete!A:A,repete!A:A),"-")</f>
        <v>-</v>
      </c>
    </row>
    <row r="3001" spans="1:13">
      <c r="A3001" s="1">
        <v>46235</v>
      </c>
      <c r="B3001" t="s">
        <v>1892</v>
      </c>
      <c r="C3001" t="s">
        <v>1891</v>
      </c>
      <c r="D3001" t="s">
        <v>124</v>
      </c>
      <c r="E3001" t="s">
        <v>2074</v>
      </c>
      <c r="F3001">
        <v>33</v>
      </c>
      <c r="G3001">
        <v>1</v>
      </c>
      <c r="H3001">
        <v>2.6014568158168599E-4</v>
      </c>
      <c r="I3001">
        <v>3.2258064516128997E-2</v>
      </c>
      <c r="J3001" s="14" t="str">
        <f>_xlfn.XLOOKUP(B3001,CAD_PDV!A:A,CAD_PDV!B:B)</f>
        <v>EDUARDO JUNQUEIRA DA SILVEIRA ADMIN</v>
      </c>
      <c r="K3001" s="14">
        <f>IF(IFERROR(_xlfn.XLOOKUP(B3001,Planilha2!D:D,Planilha2!H:H),0)="SIM",1,0)</f>
        <v>0</v>
      </c>
      <c r="L3001" s="14" t="str">
        <f>_xlfn.XLOOKUP(B3001,CAD_PDV!A:A,CAD_PDV!C:C)</f>
        <v>RS</v>
      </c>
      <c r="M3001" s="14" t="str">
        <f>IFERROR(_xlfn.XLOOKUP(B3001,repete!A:A,repete!A:A),"-")</f>
        <v>-</v>
      </c>
    </row>
    <row r="3002" spans="1:13">
      <c r="A3002" s="1">
        <v>46235</v>
      </c>
      <c r="B3002" t="s">
        <v>675</v>
      </c>
      <c r="C3002" t="s">
        <v>677</v>
      </c>
      <c r="D3002" t="s">
        <v>239</v>
      </c>
      <c r="E3002" t="s">
        <v>59</v>
      </c>
      <c r="F3002">
        <v>18</v>
      </c>
      <c r="G3002">
        <v>1</v>
      </c>
      <c r="H3002">
        <v>2.6014568158168599E-4</v>
      </c>
      <c r="I3002">
        <v>5.5555555555555601E-2</v>
      </c>
      <c r="J3002" s="14" t="str">
        <f>_xlfn.XLOOKUP(B3002,CAD_PDV!A:A,CAD_PDV!B:B)</f>
        <v>TELECELL TELEFONIA LTDA - ME</v>
      </c>
      <c r="K3002" s="14">
        <f>IF(IFERROR(_xlfn.XLOOKUP(B3002,Planilha2!D:D,Planilha2!H:H),0)="SIM",1,0)</f>
        <v>0</v>
      </c>
      <c r="L3002" s="14" t="str">
        <f>_xlfn.XLOOKUP(B3002,CAD_PDV!A:A,CAD_PDV!C:C)</f>
        <v>CO</v>
      </c>
      <c r="M3002" s="14" t="str">
        <f>IFERROR(_xlfn.XLOOKUP(B3002,repete!A:A,repete!A:A),"-")</f>
        <v>-</v>
      </c>
    </row>
    <row r="3003" spans="1:13">
      <c r="A3003" s="1">
        <v>46235</v>
      </c>
      <c r="B3003" t="s">
        <v>1253</v>
      </c>
      <c r="C3003" t="s">
        <v>1142</v>
      </c>
      <c r="D3003" t="s">
        <v>228</v>
      </c>
      <c r="E3003" t="s">
        <v>55</v>
      </c>
      <c r="F3003">
        <v>36</v>
      </c>
      <c r="G3003">
        <v>1</v>
      </c>
      <c r="H3003">
        <v>2.6014568158168599E-4</v>
      </c>
      <c r="I3003">
        <v>2.8571428571428598E-2</v>
      </c>
      <c r="J3003" s="14" t="str">
        <f>_xlfn.XLOOKUP(B3003,CAD_PDV!A:A,CAD_PDV!B:B)</f>
        <v>FAJULUTI</v>
      </c>
      <c r="K3003" s="14">
        <f>IF(IFERROR(_xlfn.XLOOKUP(B3003,Planilha2!D:D,Planilha2!H:H),0)="SIM",1,0)</f>
        <v>0</v>
      </c>
      <c r="L3003" s="14" t="str">
        <f>_xlfn.XLOOKUP(B3003,CAD_PDV!A:A,CAD_PDV!C:C)</f>
        <v>RJ/ES</v>
      </c>
      <c r="M3003" s="14" t="str">
        <f>IFERROR(_xlfn.XLOOKUP(B3003,repete!A:A,repete!A:A),"-")</f>
        <v>NDTZ</v>
      </c>
    </row>
    <row r="3004" spans="1:13">
      <c r="A3004" s="1">
        <v>46235</v>
      </c>
      <c r="B3004" t="s">
        <v>1829</v>
      </c>
      <c r="C3004" t="s">
        <v>1830</v>
      </c>
      <c r="D3004" t="s">
        <v>95</v>
      </c>
      <c r="E3004" t="s">
        <v>2074</v>
      </c>
      <c r="F3004">
        <v>19</v>
      </c>
      <c r="G3004">
        <v>1</v>
      </c>
      <c r="H3004">
        <v>2.6014568158168599E-4</v>
      </c>
      <c r="I3004">
        <v>5.5555555555555601E-2</v>
      </c>
      <c r="J3004" s="14" t="str">
        <f>_xlfn.XLOOKUP(B3004,CAD_PDV!A:A,CAD_PDV!B:B)</f>
        <v>AYRES E DEBONI LTDA - ME</v>
      </c>
      <c r="K3004" s="14">
        <f>IF(IFERROR(_xlfn.XLOOKUP(B3004,Planilha2!D:D,Planilha2!H:H),0)="SIM",1,0)</f>
        <v>0</v>
      </c>
      <c r="L3004" s="14" t="str">
        <f>_xlfn.XLOOKUP(B3004,CAD_PDV!A:A,CAD_PDV!C:C)</f>
        <v>RS</v>
      </c>
      <c r="M3004" s="14" t="str">
        <f>IFERROR(_xlfn.XLOOKUP(B3004,repete!A:A,repete!A:A),"-")</f>
        <v>-</v>
      </c>
    </row>
    <row r="3005" spans="1:13">
      <c r="A3005" s="1">
        <v>46235</v>
      </c>
      <c r="B3005" t="s">
        <v>599</v>
      </c>
      <c r="C3005" t="s">
        <v>600</v>
      </c>
      <c r="D3005" t="s">
        <v>235</v>
      </c>
      <c r="E3005" t="s">
        <v>56</v>
      </c>
      <c r="F3005">
        <v>22</v>
      </c>
      <c r="G3005">
        <v>1</v>
      </c>
      <c r="H3005">
        <v>2.6014568158168599E-4</v>
      </c>
      <c r="I3005">
        <v>4.5454545454545497E-2</v>
      </c>
      <c r="J3005" s="14" t="str">
        <f>_xlfn.XLOOKUP(B3005,CAD_PDV!A:A,CAD_PDV!B:B)</f>
        <v>P.G.L CELULARES LTDA</v>
      </c>
      <c r="K3005" s="14">
        <f>IF(IFERROR(_xlfn.XLOOKUP(B3005,Planilha2!D:D,Planilha2!H:H),0)="SIM",1,0)</f>
        <v>0</v>
      </c>
      <c r="L3005" s="14" t="str">
        <f>_xlfn.XLOOKUP(B3005,CAD_PDV!A:A,CAD_PDV!C:C)</f>
        <v>MG</v>
      </c>
      <c r="M3005" s="14" t="str">
        <f>IFERROR(_xlfn.XLOOKUP(B3005,repete!A:A,repete!A:A),"-")</f>
        <v>-</v>
      </c>
    </row>
    <row r="3006" spans="1:13">
      <c r="A3006" s="1">
        <v>46235</v>
      </c>
      <c r="B3006" t="s">
        <v>1843</v>
      </c>
      <c r="C3006" t="s">
        <v>1844</v>
      </c>
      <c r="D3006" t="s">
        <v>124</v>
      </c>
      <c r="E3006" t="s">
        <v>2074</v>
      </c>
      <c r="F3006">
        <v>16</v>
      </c>
      <c r="G3006">
        <v>1</v>
      </c>
      <c r="H3006">
        <v>2.6014568158168599E-4</v>
      </c>
      <c r="I3006">
        <v>6.6666666666666693E-2</v>
      </c>
      <c r="J3006" s="14" t="str">
        <f>_xlfn.XLOOKUP(B3006,CAD_PDV!A:A,CAD_PDV!B:B)</f>
        <v>EDUARDO JUNQUEIRA DA SILVEIRA ADMIN</v>
      </c>
      <c r="K3006" s="14">
        <f>IF(IFERROR(_xlfn.XLOOKUP(B3006,Planilha2!D:D,Planilha2!H:H),0)="SIM",1,0)</f>
        <v>0</v>
      </c>
      <c r="L3006" s="14" t="str">
        <f>_xlfn.XLOOKUP(B3006,CAD_PDV!A:A,CAD_PDV!C:C)</f>
        <v>RS</v>
      </c>
      <c r="M3006" s="14" t="str">
        <f>IFERROR(_xlfn.XLOOKUP(B3006,repete!A:A,repete!A:A),"-")</f>
        <v>-</v>
      </c>
    </row>
    <row r="3007" spans="1:13">
      <c r="A3007" s="1">
        <v>46235</v>
      </c>
      <c r="B3007" t="s">
        <v>648</v>
      </c>
      <c r="C3007" t="s">
        <v>649</v>
      </c>
      <c r="D3007" t="s">
        <v>240</v>
      </c>
      <c r="E3007" t="s">
        <v>59</v>
      </c>
      <c r="F3007">
        <v>34</v>
      </c>
      <c r="G3007">
        <v>1</v>
      </c>
      <c r="H3007">
        <v>2.6014568158168599E-4</v>
      </c>
      <c r="I3007">
        <v>3.2258064516128997E-2</v>
      </c>
      <c r="J3007" s="14" t="str">
        <f>_xlfn.XLOOKUP(B3007,CAD_PDV!A:A,CAD_PDV!B:B)</f>
        <v>TELEMAIS TELEFONIA LTDA - ME</v>
      </c>
      <c r="K3007" s="14">
        <f>IF(IFERROR(_xlfn.XLOOKUP(B3007,Planilha2!D:D,Planilha2!H:H),0)="SIM",1,0)</f>
        <v>0</v>
      </c>
      <c r="L3007" s="14" t="str">
        <f>_xlfn.XLOOKUP(B3007,CAD_PDV!A:A,CAD_PDV!C:C)</f>
        <v>CO</v>
      </c>
      <c r="M3007" s="14" t="str">
        <f>IFERROR(_xlfn.XLOOKUP(B3007,repete!A:A,repete!A:A),"-")</f>
        <v>-</v>
      </c>
    </row>
    <row r="3008" spans="1:13">
      <c r="A3008" s="1">
        <v>46235</v>
      </c>
      <c r="B3008" t="s">
        <v>1701</v>
      </c>
      <c r="C3008" t="s">
        <v>1702</v>
      </c>
      <c r="D3008" t="s">
        <v>106</v>
      </c>
      <c r="E3008" t="s">
        <v>54</v>
      </c>
      <c r="F3008">
        <v>17</v>
      </c>
      <c r="G3008">
        <v>1</v>
      </c>
      <c r="H3008">
        <v>2.6014568158168599E-4</v>
      </c>
      <c r="I3008">
        <v>6.25E-2</v>
      </c>
      <c r="J3008" s="14" t="str">
        <f>_xlfn.XLOOKUP(B3008,CAD_PDV!A:A,CAD_PDV!B:B)</f>
        <v>CELLULAR.COM</v>
      </c>
      <c r="K3008" s="14">
        <f>IF(IFERROR(_xlfn.XLOOKUP(B3008,Planilha2!D:D,Planilha2!H:H),0)="SIM",1,0)</f>
        <v>0</v>
      </c>
      <c r="L3008" s="14" t="str">
        <f>_xlfn.XLOOKUP(B3008,CAD_PDV!A:A,CAD_PDV!C:C)</f>
        <v>SP2</v>
      </c>
      <c r="M3008" s="14" t="str">
        <f>IFERROR(_xlfn.XLOOKUP(B3008,repete!A:A,repete!A:A),"-")</f>
        <v>-</v>
      </c>
    </row>
    <row r="3009" spans="1:13">
      <c r="A3009" s="1">
        <v>46235</v>
      </c>
      <c r="B3009" t="s">
        <v>1258</v>
      </c>
      <c r="C3009" t="s">
        <v>1142</v>
      </c>
      <c r="D3009" t="s">
        <v>237</v>
      </c>
      <c r="E3009" t="s">
        <v>55</v>
      </c>
      <c r="F3009">
        <v>64</v>
      </c>
      <c r="G3009">
        <v>1</v>
      </c>
      <c r="H3009">
        <v>2.6014568158168599E-4</v>
      </c>
      <c r="I3009">
        <v>1.6949152542372899E-2</v>
      </c>
      <c r="J3009" s="14" t="str">
        <f>_xlfn.XLOOKUP(B3009,CAD_PDV!A:A,CAD_PDV!B:B)</f>
        <v>PONTO CERTO COMERCIO E COMUNICAÇÕES LTDA</v>
      </c>
      <c r="K3009" s="14">
        <f>IF(IFERROR(_xlfn.XLOOKUP(B3009,Planilha2!D:D,Planilha2!H:H),0)="SIM",1,0)</f>
        <v>0</v>
      </c>
      <c r="L3009" s="14" t="str">
        <f>_xlfn.XLOOKUP(B3009,CAD_PDV!A:A,CAD_PDV!C:C)</f>
        <v>RJ/ES</v>
      </c>
      <c r="M3009" s="14" t="str">
        <f>IFERROR(_xlfn.XLOOKUP(B3009,repete!A:A,repete!A:A),"-")</f>
        <v>-</v>
      </c>
    </row>
    <row r="3010" spans="1:13">
      <c r="A3010" s="1">
        <v>46235</v>
      </c>
      <c r="B3010" t="s">
        <v>1053</v>
      </c>
      <c r="C3010" t="s">
        <v>944</v>
      </c>
      <c r="D3010" t="s">
        <v>222</v>
      </c>
      <c r="E3010" t="s">
        <v>60</v>
      </c>
      <c r="F3010">
        <v>81</v>
      </c>
      <c r="G3010">
        <v>1</v>
      </c>
      <c r="H3010">
        <v>2.6014568158168599E-4</v>
      </c>
      <c r="I3010">
        <v>1.3157894736842099E-2</v>
      </c>
      <c r="J3010" s="14" t="str">
        <f>_xlfn.XLOOKUP(B3010,CAD_PDV!A:A,CAD_PDV!B:B)</f>
        <v>ANCLA COMERCIO</v>
      </c>
      <c r="K3010" s="14">
        <f>IF(IFERROR(_xlfn.XLOOKUP(B3010,Planilha2!D:D,Planilha2!H:H),0)="SIM",1,0)</f>
        <v>0</v>
      </c>
      <c r="L3010" s="14" t="str">
        <f>_xlfn.XLOOKUP(B3010,CAD_PDV!A:A,CAD_PDV!C:C)</f>
        <v>BA/SE</v>
      </c>
      <c r="M3010" s="14" t="str">
        <f>IFERROR(_xlfn.XLOOKUP(B3010,repete!A:A,repete!A:A),"-")</f>
        <v>-</v>
      </c>
    </row>
    <row r="3011" spans="1:13">
      <c r="A3011" s="1">
        <v>46235</v>
      </c>
      <c r="B3011" t="s">
        <v>1794</v>
      </c>
      <c r="C3011" t="s">
        <v>1797</v>
      </c>
      <c r="D3011" t="s">
        <v>106</v>
      </c>
      <c r="E3011" t="s">
        <v>2074</v>
      </c>
      <c r="F3011">
        <v>11</v>
      </c>
      <c r="G3011">
        <v>1</v>
      </c>
      <c r="H3011">
        <v>2.6014568158168599E-4</v>
      </c>
      <c r="I3011">
        <v>0.1</v>
      </c>
      <c r="J3011" s="14" t="str">
        <f>_xlfn.XLOOKUP(B3011,CAD_PDV!A:A,CAD_PDV!B:B)</f>
        <v>CELLULAR.COM</v>
      </c>
      <c r="K3011" s="14">
        <f>IF(IFERROR(_xlfn.XLOOKUP(B3011,Planilha2!D:D,Planilha2!H:H),0)="SIM",1,0)</f>
        <v>0</v>
      </c>
      <c r="L3011" s="14" t="str">
        <f>_xlfn.XLOOKUP(B3011,CAD_PDV!A:A,CAD_PDV!C:C)</f>
        <v>PR/SC</v>
      </c>
      <c r="M3011" s="14" t="str">
        <f>IFERROR(_xlfn.XLOOKUP(B3011,repete!A:A,repete!A:A),"-")</f>
        <v>-</v>
      </c>
    </row>
    <row r="3012" spans="1:13">
      <c r="A3012" s="1">
        <v>46235</v>
      </c>
      <c r="B3012" t="s">
        <v>425</v>
      </c>
      <c r="C3012" t="s">
        <v>269</v>
      </c>
      <c r="D3012" t="s">
        <v>227</v>
      </c>
      <c r="E3012" t="s">
        <v>61</v>
      </c>
      <c r="F3012">
        <v>21</v>
      </c>
      <c r="G3012">
        <v>1</v>
      </c>
      <c r="H3012">
        <v>2.6014568158168599E-4</v>
      </c>
      <c r="I3012">
        <v>4.7619047619047603E-2</v>
      </c>
      <c r="J3012" s="14" t="str">
        <f>_xlfn.XLOOKUP(B3012,CAD_PDV!A:A,CAD_PDV!B:B)</f>
        <v>E-MEAN SERVICOS DE MARKETING DIRETO LTDA</v>
      </c>
      <c r="K3012" s="14">
        <f>IF(IFERROR(_xlfn.XLOOKUP(B3012,Planilha2!D:D,Planilha2!H:H),0)="SIM",1,0)</f>
        <v>0</v>
      </c>
      <c r="L3012" s="14" t="str">
        <f>_xlfn.XLOOKUP(B3012,CAD_PDV!A:A,CAD_PDV!C:C)</f>
        <v>NE</v>
      </c>
      <c r="M3012" s="14" t="str">
        <f>IFERROR(_xlfn.XLOOKUP(B3012,repete!A:A,repete!A:A),"-")</f>
        <v>-</v>
      </c>
    </row>
    <row r="3013" spans="1:13">
      <c r="A3013" s="1">
        <v>46235</v>
      </c>
      <c r="B3013" t="s">
        <v>407</v>
      </c>
      <c r="C3013" t="s">
        <v>288</v>
      </c>
      <c r="D3013" t="s">
        <v>230</v>
      </c>
      <c r="E3013" t="s">
        <v>61</v>
      </c>
      <c r="F3013">
        <v>17</v>
      </c>
      <c r="G3013">
        <v>1</v>
      </c>
      <c r="H3013">
        <v>2.6014568158168599E-4</v>
      </c>
      <c r="I3013">
        <v>6.25E-2</v>
      </c>
      <c r="J3013" s="14" t="str">
        <f>_xlfn.XLOOKUP(B3013,CAD_PDV!A:A,CAD_PDV!B:B)</f>
        <v>HARCOS COMERCIO E SERVICOS LTDA - EPP</v>
      </c>
      <c r="K3013" s="14">
        <f>IF(IFERROR(_xlfn.XLOOKUP(B3013,Planilha2!D:D,Planilha2!H:H),0)="SIM",1,0)</f>
        <v>0</v>
      </c>
      <c r="L3013" s="14" t="str">
        <f>_xlfn.XLOOKUP(B3013,CAD_PDV!A:A,CAD_PDV!C:C)</f>
        <v>NE</v>
      </c>
      <c r="M3013" s="14" t="str">
        <f>IFERROR(_xlfn.XLOOKUP(B3013,repete!A:A,repete!A:A),"-")</f>
        <v>-</v>
      </c>
    </row>
    <row r="3014" spans="1:13">
      <c r="A3014" s="1">
        <v>46235</v>
      </c>
      <c r="B3014" t="s">
        <v>1711</v>
      </c>
      <c r="C3014" t="s">
        <v>1712</v>
      </c>
      <c r="D3014" t="s">
        <v>220</v>
      </c>
      <c r="E3014" t="s">
        <v>54</v>
      </c>
      <c r="F3014">
        <v>21</v>
      </c>
      <c r="G3014">
        <v>1</v>
      </c>
      <c r="H3014">
        <v>2.6014568158168599E-4</v>
      </c>
      <c r="I3014">
        <v>0.05</v>
      </c>
      <c r="J3014" s="14" t="str">
        <f>_xlfn.XLOOKUP(B3014,CAD_PDV!A:A,CAD_PDV!B:B)</f>
        <v>ADESIENE NUNES MACHADO - ME</v>
      </c>
      <c r="K3014" s="14">
        <f>IF(IFERROR(_xlfn.XLOOKUP(B3014,Planilha2!D:D,Planilha2!H:H),0)="SIM",1,0)</f>
        <v>0</v>
      </c>
      <c r="L3014" s="14" t="str">
        <f>_xlfn.XLOOKUP(B3014,CAD_PDV!A:A,CAD_PDV!C:C)</f>
        <v>SP2</v>
      </c>
      <c r="M3014" s="14" t="str">
        <f>IFERROR(_xlfn.XLOOKUP(B3014,repete!A:A,repete!A:A),"-")</f>
        <v>-</v>
      </c>
    </row>
    <row r="3015" spans="1:13">
      <c r="A3015" s="1">
        <v>46235</v>
      </c>
      <c r="B3015" t="s">
        <v>760</v>
      </c>
      <c r="C3015" t="s">
        <v>616</v>
      </c>
      <c r="D3015" t="s">
        <v>239</v>
      </c>
      <c r="E3015" t="s">
        <v>59</v>
      </c>
      <c r="F3015">
        <v>21</v>
      </c>
      <c r="G3015">
        <v>1</v>
      </c>
      <c r="H3015">
        <v>2.6014568158168599E-4</v>
      </c>
      <c r="I3015">
        <v>6.25E-2</v>
      </c>
      <c r="J3015" s="14" t="str">
        <f>_xlfn.XLOOKUP(B3015,CAD_PDV!A:A,CAD_PDV!B:B)</f>
        <v>TELECELL TELEFONIA LTDA - ME</v>
      </c>
      <c r="K3015" s="14">
        <f>IF(IFERROR(_xlfn.XLOOKUP(B3015,Planilha2!D:D,Planilha2!H:H),0)="SIM",1,0)</f>
        <v>0</v>
      </c>
      <c r="L3015" s="14" t="str">
        <f>_xlfn.XLOOKUP(B3015,CAD_PDV!A:A,CAD_PDV!C:C)</f>
        <v>CO</v>
      </c>
      <c r="M3015" s="14" t="str">
        <f>IFERROR(_xlfn.XLOOKUP(B3015,repete!A:A,repete!A:A),"-")</f>
        <v>-</v>
      </c>
    </row>
    <row r="3016" spans="1:13">
      <c r="A3016" s="1">
        <v>46235</v>
      </c>
      <c r="B3016" t="s">
        <v>2052</v>
      </c>
      <c r="C3016" t="s">
        <v>2053</v>
      </c>
      <c r="D3016" t="s">
        <v>193</v>
      </c>
      <c r="E3016" t="s">
        <v>2074</v>
      </c>
      <c r="F3016">
        <v>28</v>
      </c>
      <c r="G3016">
        <v>1</v>
      </c>
      <c r="H3016">
        <v>2.6014568158168599E-4</v>
      </c>
      <c r="I3016">
        <v>3.8461538461538498E-2</v>
      </c>
      <c r="J3016" s="14" t="str">
        <f>_xlfn.XLOOKUP(B3016,CAD_PDV!A:A,CAD_PDV!B:B)</f>
        <v>S D COMERCIO DE CELULARES LTDA - ME</v>
      </c>
      <c r="K3016" s="14">
        <f>IF(IFERROR(_xlfn.XLOOKUP(B3016,Planilha2!D:D,Planilha2!H:H),0)="SIM",1,0)</f>
        <v>0</v>
      </c>
      <c r="L3016" s="14" t="str">
        <f>_xlfn.XLOOKUP(B3016,CAD_PDV!A:A,CAD_PDV!C:C)</f>
        <v>RS</v>
      </c>
      <c r="M3016" s="14" t="str">
        <f>IFERROR(_xlfn.XLOOKUP(B3016,repete!A:A,repete!A:A),"-")</f>
        <v>-</v>
      </c>
    </row>
    <row r="3017" spans="1:13">
      <c r="A3017" s="1">
        <v>46235</v>
      </c>
      <c r="B3017" t="s">
        <v>1922</v>
      </c>
      <c r="C3017" t="s">
        <v>1918</v>
      </c>
      <c r="D3017" t="s">
        <v>106</v>
      </c>
      <c r="E3017" t="s">
        <v>2074</v>
      </c>
      <c r="F3017">
        <v>16</v>
      </c>
      <c r="G3017">
        <v>1</v>
      </c>
      <c r="H3017">
        <v>2.6014568158168599E-4</v>
      </c>
      <c r="I3017">
        <v>6.25E-2</v>
      </c>
      <c r="J3017" s="14" t="str">
        <f>_xlfn.XLOOKUP(B3017,CAD_PDV!A:A,CAD_PDV!B:B)</f>
        <v>CELLULAR.COM</v>
      </c>
      <c r="K3017" s="14">
        <f>IF(IFERROR(_xlfn.XLOOKUP(B3017,Planilha2!D:D,Planilha2!H:H),0)="SIM",1,0)</f>
        <v>0</v>
      </c>
      <c r="L3017" s="14" t="str">
        <f>_xlfn.XLOOKUP(B3017,CAD_PDV!A:A,CAD_PDV!C:C)</f>
        <v>PR/SC</v>
      </c>
      <c r="M3017" s="14" t="str">
        <f>IFERROR(_xlfn.XLOOKUP(B3017,repete!A:A,repete!A:A),"-")</f>
        <v>-</v>
      </c>
    </row>
    <row r="3018" spans="1:13">
      <c r="A3018" s="1">
        <v>46235</v>
      </c>
      <c r="B3018" t="s">
        <v>965</v>
      </c>
      <c r="C3018" t="s">
        <v>944</v>
      </c>
      <c r="D3018" t="s">
        <v>232</v>
      </c>
      <c r="E3018" t="s">
        <v>60</v>
      </c>
      <c r="F3018">
        <v>52</v>
      </c>
      <c r="G3018">
        <v>1</v>
      </c>
      <c r="H3018">
        <v>2.6014568158168599E-4</v>
      </c>
      <c r="I3018">
        <v>1.9607843137254902E-2</v>
      </c>
      <c r="J3018" s="14" t="str">
        <f>_xlfn.XLOOKUP(B3018,CAD_PDV!A:A,CAD_PDV!B:B)</f>
        <v>HS TELECOM</v>
      </c>
      <c r="K3018" s="14">
        <f>IF(IFERROR(_xlfn.XLOOKUP(B3018,Planilha2!D:D,Planilha2!H:H),0)="SIM",1,0)</f>
        <v>0</v>
      </c>
      <c r="L3018" s="14" t="str">
        <f>_xlfn.XLOOKUP(B3018,CAD_PDV!A:A,CAD_PDV!C:C)</f>
        <v>BA/SE</v>
      </c>
      <c r="M3018" s="14" t="str">
        <f>IFERROR(_xlfn.XLOOKUP(B3018,repete!A:A,repete!A:A),"-")</f>
        <v>-</v>
      </c>
    </row>
    <row r="3019" spans="1:13">
      <c r="A3019" s="1">
        <v>46235</v>
      </c>
      <c r="B3019" t="s">
        <v>470</v>
      </c>
      <c r="C3019" t="s">
        <v>471</v>
      </c>
      <c r="D3019" t="s">
        <v>235</v>
      </c>
      <c r="E3019" t="s">
        <v>56</v>
      </c>
      <c r="F3019">
        <v>10</v>
      </c>
      <c r="G3019">
        <v>1</v>
      </c>
      <c r="H3019">
        <v>2.6014568158168599E-4</v>
      </c>
      <c r="I3019">
        <v>0.1</v>
      </c>
      <c r="J3019" s="14" t="str">
        <f>_xlfn.XLOOKUP(B3019,CAD_PDV!A:A,CAD_PDV!B:B)</f>
        <v>P.G.L CELULARES LTDA</v>
      </c>
      <c r="K3019" s="14">
        <f>IF(IFERROR(_xlfn.XLOOKUP(B3019,Planilha2!D:D,Planilha2!H:H),0)="SIM",1,0)</f>
        <v>0</v>
      </c>
      <c r="L3019" s="14" t="str">
        <f>_xlfn.XLOOKUP(B3019,CAD_PDV!A:A,CAD_PDV!C:C)</f>
        <v>MG</v>
      </c>
      <c r="M3019" s="14" t="str">
        <f>IFERROR(_xlfn.XLOOKUP(B3019,repete!A:A,repete!A:A),"-")</f>
        <v>-</v>
      </c>
    </row>
    <row r="3020" spans="1:13">
      <c r="A3020" s="1">
        <v>46235</v>
      </c>
      <c r="B3020" t="s">
        <v>1293</v>
      </c>
      <c r="C3020" t="s">
        <v>1188</v>
      </c>
      <c r="D3020" t="s">
        <v>232</v>
      </c>
      <c r="E3020" t="s">
        <v>55</v>
      </c>
      <c r="F3020">
        <v>28</v>
      </c>
      <c r="G3020">
        <v>1</v>
      </c>
      <c r="H3020">
        <v>2.6014568158168599E-4</v>
      </c>
      <c r="I3020">
        <v>3.5714285714285698E-2</v>
      </c>
      <c r="J3020" s="14" t="str">
        <f>_xlfn.XLOOKUP(B3020,CAD_PDV!A:A,CAD_PDV!B:B)</f>
        <v>HS TELECOM</v>
      </c>
      <c r="K3020" s="14">
        <f>IF(IFERROR(_xlfn.XLOOKUP(B3020,Planilha2!D:D,Planilha2!H:H),0)="SIM",1,0)</f>
        <v>0</v>
      </c>
      <c r="L3020" s="14" t="str">
        <f>_xlfn.XLOOKUP(B3020,CAD_PDV!A:A,CAD_PDV!C:C)</f>
        <v>RJ/ES</v>
      </c>
      <c r="M3020" s="14" t="str">
        <f>IFERROR(_xlfn.XLOOKUP(B3020,repete!A:A,repete!A:A),"-")</f>
        <v>-</v>
      </c>
    </row>
    <row r="3021" spans="1:13">
      <c r="A3021" s="1">
        <v>46235</v>
      </c>
      <c r="B3021" t="s">
        <v>1294</v>
      </c>
      <c r="C3021" t="s">
        <v>1295</v>
      </c>
      <c r="D3021" t="s">
        <v>2072</v>
      </c>
      <c r="E3021" t="s">
        <v>55</v>
      </c>
      <c r="F3021">
        <v>7</v>
      </c>
      <c r="G3021">
        <v>1</v>
      </c>
      <c r="H3021">
        <v>2.6014568158168599E-4</v>
      </c>
      <c r="I3021">
        <v>0.14285714285714299</v>
      </c>
      <c r="J3021" s="14" t="str">
        <f>_xlfn.XLOOKUP(B3021,CAD_PDV!A:A,CAD_PDV!B:B)</f>
        <v>MEXCELL COMERCIO E SERVICOS DE TELECOMUNICACOES LTDA</v>
      </c>
      <c r="K3021" s="14">
        <f>IF(IFERROR(_xlfn.XLOOKUP(B3021,Planilha2!D:D,Planilha2!H:H),0)="SIM",1,0)</f>
        <v>0</v>
      </c>
      <c r="L3021" s="14" t="str">
        <f>_xlfn.XLOOKUP(B3021,CAD_PDV!A:A,CAD_PDV!C:C)</f>
        <v>RJ/ES</v>
      </c>
      <c r="M3021" s="14" t="str">
        <f>IFERROR(_xlfn.XLOOKUP(B3021,repete!A:A,repete!A:A),"-")</f>
        <v>-</v>
      </c>
    </row>
    <row r="3022" spans="1:13">
      <c r="A3022" s="1">
        <v>46235</v>
      </c>
      <c r="B3022" t="s">
        <v>1768</v>
      </c>
      <c r="C3022" t="s">
        <v>1769</v>
      </c>
      <c r="D3022" t="s">
        <v>124</v>
      </c>
      <c r="E3022" t="s">
        <v>2074</v>
      </c>
      <c r="F3022">
        <v>22</v>
      </c>
      <c r="G3022">
        <v>1</v>
      </c>
      <c r="H3022">
        <v>2.6014568158168599E-4</v>
      </c>
      <c r="I3022">
        <v>4.7619047619047603E-2</v>
      </c>
      <c r="J3022" s="14" t="str">
        <f>_xlfn.XLOOKUP(B3022,CAD_PDV!A:A,CAD_PDV!B:B)</f>
        <v>EDUARDO JUNQUEIRA DA SILVEIRA ADMIN</v>
      </c>
      <c r="K3022" s="14">
        <f>IF(IFERROR(_xlfn.XLOOKUP(B3022,Planilha2!D:D,Planilha2!H:H),0)="SIM",1,0)</f>
        <v>0</v>
      </c>
      <c r="L3022" s="14" t="str">
        <f>_xlfn.XLOOKUP(B3022,CAD_PDV!A:A,CAD_PDV!C:C)</f>
        <v>RS</v>
      </c>
      <c r="M3022" s="14" t="str">
        <f>IFERROR(_xlfn.XLOOKUP(B3022,repete!A:A,repete!A:A),"-")</f>
        <v>-</v>
      </c>
    </row>
    <row r="3023" spans="1:13">
      <c r="A3023" s="1">
        <v>46235</v>
      </c>
      <c r="B3023" t="s">
        <v>1379</v>
      </c>
      <c r="C3023" t="s">
        <v>1380</v>
      </c>
      <c r="D3023" t="s">
        <v>229</v>
      </c>
      <c r="E3023" t="s">
        <v>53</v>
      </c>
      <c r="F3023">
        <v>27</v>
      </c>
      <c r="G3023">
        <v>1</v>
      </c>
      <c r="H3023">
        <v>2.6014568158168599E-4</v>
      </c>
      <c r="I3023">
        <v>4.3478260869565202E-2</v>
      </c>
      <c r="J3023" s="14" t="str">
        <f>_xlfn.XLOOKUP(B3023,CAD_PDV!A:A,CAD_PDV!B:B)</f>
        <v>FW TELEFONIA LTDA - EPP</v>
      </c>
      <c r="K3023" s="14">
        <f>IF(IFERROR(_xlfn.XLOOKUP(B3023,Planilha2!D:D,Planilha2!H:H),0)="SIM",1,0)</f>
        <v>0</v>
      </c>
      <c r="L3023" s="14" t="str">
        <f>_xlfn.XLOOKUP(B3023,CAD_PDV!A:A,CAD_PDV!C:C)</f>
        <v>SP1</v>
      </c>
      <c r="M3023" s="14" t="str">
        <f>IFERROR(_xlfn.XLOOKUP(B3023,repete!A:A,repete!A:A),"-")</f>
        <v>-</v>
      </c>
    </row>
    <row r="3024" spans="1:13">
      <c r="A3024" s="1">
        <v>46235</v>
      </c>
      <c r="B3024" t="s">
        <v>2016</v>
      </c>
      <c r="C3024" t="s">
        <v>2017</v>
      </c>
      <c r="D3024" t="s">
        <v>106</v>
      </c>
      <c r="E3024" t="s">
        <v>2074</v>
      </c>
      <c r="F3024">
        <v>11</v>
      </c>
      <c r="G3024">
        <v>1</v>
      </c>
      <c r="H3024">
        <v>2.6014568158168599E-4</v>
      </c>
      <c r="I3024">
        <v>0.1</v>
      </c>
      <c r="J3024" s="14" t="str">
        <f>_xlfn.XLOOKUP(B3024,CAD_PDV!A:A,CAD_PDV!B:B)</f>
        <v>CELLULAR.COM</v>
      </c>
      <c r="K3024" s="14">
        <f>IF(IFERROR(_xlfn.XLOOKUP(B3024,Planilha2!D:D,Planilha2!H:H),0)="SIM",1,0)</f>
        <v>0</v>
      </c>
      <c r="L3024" s="14" t="str">
        <f>_xlfn.XLOOKUP(B3024,CAD_PDV!A:A,CAD_PDV!C:C)</f>
        <v>PR/SC</v>
      </c>
      <c r="M3024" s="14" t="str">
        <f>IFERROR(_xlfn.XLOOKUP(B3024,repete!A:A,repete!A:A),"-")</f>
        <v>-</v>
      </c>
    </row>
    <row r="3025" spans="1:13">
      <c r="A3025" s="1">
        <v>46235</v>
      </c>
      <c r="B3025" t="s">
        <v>426</v>
      </c>
      <c r="C3025" t="s">
        <v>269</v>
      </c>
      <c r="D3025" t="s">
        <v>227</v>
      </c>
      <c r="E3025" t="s">
        <v>61</v>
      </c>
      <c r="F3025">
        <v>15</v>
      </c>
      <c r="G3025">
        <v>1</v>
      </c>
      <c r="H3025">
        <v>2.6014568158168599E-4</v>
      </c>
      <c r="I3025">
        <v>6.6666666666666693E-2</v>
      </c>
      <c r="J3025" s="14" t="str">
        <f>_xlfn.XLOOKUP(B3025,CAD_PDV!A:A,CAD_PDV!B:B)</f>
        <v>E-MEAN SERVICOS DE MARKETING DIRETO LTDA</v>
      </c>
      <c r="K3025" s="14">
        <f>IF(IFERROR(_xlfn.XLOOKUP(B3025,Planilha2!D:D,Planilha2!H:H),0)="SIM",1,0)</f>
        <v>0</v>
      </c>
      <c r="L3025" s="14" t="str">
        <f>_xlfn.XLOOKUP(B3025,CAD_PDV!A:A,CAD_PDV!C:C)</f>
        <v>NE</v>
      </c>
      <c r="M3025" s="14" t="str">
        <f>IFERROR(_xlfn.XLOOKUP(B3025,repete!A:A,repete!A:A),"-")</f>
        <v>-</v>
      </c>
    </row>
    <row r="3026" spans="1:13">
      <c r="A3026" s="1">
        <v>46235</v>
      </c>
      <c r="B3026" t="s">
        <v>1373</v>
      </c>
      <c r="C3026" t="s">
        <v>1313</v>
      </c>
      <c r="D3026" t="s">
        <v>132</v>
      </c>
      <c r="E3026" t="s">
        <v>53</v>
      </c>
      <c r="F3026">
        <v>47</v>
      </c>
      <c r="G3026">
        <v>1</v>
      </c>
      <c r="H3026">
        <v>2.6014568158168599E-4</v>
      </c>
      <c r="I3026">
        <v>2.27272727272727E-2</v>
      </c>
      <c r="J3026" s="14" t="str">
        <f>_xlfn.XLOOKUP(B3026,CAD_PDV!A:A,CAD_PDV!B:B)</f>
        <v>FLEX CELL</v>
      </c>
      <c r="K3026" s="14">
        <f>IF(IFERROR(_xlfn.XLOOKUP(B3026,Planilha2!D:D,Planilha2!H:H),0)="SIM",1,0)</f>
        <v>0</v>
      </c>
      <c r="L3026" s="14" t="str">
        <f>_xlfn.XLOOKUP(B3026,CAD_PDV!A:A,CAD_PDV!C:C)</f>
        <v>SP1</v>
      </c>
      <c r="M3026" s="14" t="str">
        <f>IFERROR(_xlfn.XLOOKUP(B3026,repete!A:A,repete!A:A),"-")</f>
        <v>-</v>
      </c>
    </row>
    <row r="3027" spans="1:13">
      <c r="A3027" s="1">
        <v>46235</v>
      </c>
      <c r="B3027" t="s">
        <v>405</v>
      </c>
      <c r="C3027" t="s">
        <v>406</v>
      </c>
      <c r="D3027" t="s">
        <v>230</v>
      </c>
      <c r="E3027" t="s">
        <v>61</v>
      </c>
      <c r="F3027">
        <v>21</v>
      </c>
      <c r="G3027">
        <v>1</v>
      </c>
      <c r="H3027">
        <v>2.6014568158168599E-4</v>
      </c>
      <c r="I3027">
        <v>4.7619047619047603E-2</v>
      </c>
      <c r="J3027" s="14" t="str">
        <f>_xlfn.XLOOKUP(B3027,CAD_PDV!A:A,CAD_PDV!B:B)</f>
        <v>HARCOS COMERCIO E SERVICOS LTDA - EPP</v>
      </c>
      <c r="K3027" s="14">
        <f>IF(IFERROR(_xlfn.XLOOKUP(B3027,Planilha2!D:D,Planilha2!H:H),0)="SIM",1,0)</f>
        <v>0</v>
      </c>
      <c r="L3027" s="14" t="str">
        <f>_xlfn.XLOOKUP(B3027,CAD_PDV!A:A,CAD_PDV!C:C)</f>
        <v>NE</v>
      </c>
      <c r="M3027" s="14" t="str">
        <f>IFERROR(_xlfn.XLOOKUP(B3027,repete!A:A,repete!A:A),"-")</f>
        <v>-</v>
      </c>
    </row>
    <row r="3028" spans="1:13">
      <c r="A3028" s="1">
        <v>46235</v>
      </c>
      <c r="B3028" t="s">
        <v>394</v>
      </c>
      <c r="C3028" t="s">
        <v>395</v>
      </c>
      <c r="D3028" t="s">
        <v>238</v>
      </c>
      <c r="E3028" t="s">
        <v>61</v>
      </c>
      <c r="F3028">
        <v>13</v>
      </c>
      <c r="G3028">
        <v>1</v>
      </c>
      <c r="H3028">
        <v>2.6014568158168599E-4</v>
      </c>
      <c r="I3028">
        <v>9.0909090909090898E-2</v>
      </c>
      <c r="J3028" s="14" t="str">
        <f>_xlfn.XLOOKUP(B3028,CAD_PDV!A:A,CAD_PDV!B:B)</f>
        <v>R &amp; R HIPER COMERCIO LTDA</v>
      </c>
      <c r="K3028" s="14">
        <f>IF(IFERROR(_xlfn.XLOOKUP(B3028,Planilha2!D:D,Planilha2!H:H),0)="SIM",1,0)</f>
        <v>0</v>
      </c>
      <c r="L3028" s="14" t="str">
        <f>_xlfn.XLOOKUP(B3028,CAD_PDV!A:A,CAD_PDV!C:C)</f>
        <v>NE</v>
      </c>
      <c r="M3028" s="14" t="str">
        <f>IFERROR(_xlfn.XLOOKUP(B3028,repete!A:A,repete!A:A),"-")</f>
        <v>-</v>
      </c>
    </row>
    <row r="3029" spans="1:13">
      <c r="A3029" s="1">
        <v>46235</v>
      </c>
      <c r="B3029" t="s">
        <v>1271</v>
      </c>
      <c r="C3029" t="s">
        <v>1142</v>
      </c>
      <c r="D3029" t="s">
        <v>233</v>
      </c>
      <c r="E3029" t="s">
        <v>55</v>
      </c>
      <c r="F3029">
        <v>21</v>
      </c>
      <c r="G3029">
        <v>1</v>
      </c>
      <c r="H3029">
        <v>2.6014568158168599E-4</v>
      </c>
      <c r="I3029">
        <v>5.2631578947368397E-2</v>
      </c>
      <c r="J3029" s="14" t="str">
        <f>_xlfn.XLOOKUP(B3029,CAD_PDV!A:A,CAD_PDV!B:B)</f>
        <v>LEINAD COMERCIO E SERVICO EIRELI</v>
      </c>
      <c r="K3029" s="14">
        <f>IF(IFERROR(_xlfn.XLOOKUP(B3029,Planilha2!D:D,Planilha2!H:H),0)="SIM",1,0)</f>
        <v>0</v>
      </c>
      <c r="L3029" s="14" t="str">
        <f>_xlfn.XLOOKUP(B3029,CAD_PDV!A:A,CAD_PDV!C:C)</f>
        <v>RJ/ES</v>
      </c>
      <c r="M3029" s="14" t="str">
        <f>IFERROR(_xlfn.XLOOKUP(B3029,repete!A:A,repete!A:A),"-")</f>
        <v>-</v>
      </c>
    </row>
    <row r="3030" spans="1:13">
      <c r="A3030" s="1">
        <v>46235</v>
      </c>
      <c r="B3030" t="s">
        <v>762</v>
      </c>
      <c r="C3030" t="s">
        <v>763</v>
      </c>
      <c r="D3030" t="s">
        <v>239</v>
      </c>
      <c r="E3030" t="s">
        <v>59</v>
      </c>
      <c r="F3030">
        <v>20</v>
      </c>
      <c r="G3030">
        <v>1</v>
      </c>
      <c r="H3030">
        <v>2.6014568158168599E-4</v>
      </c>
      <c r="I3030">
        <v>5.2631578947368397E-2</v>
      </c>
      <c r="J3030" s="14" t="str">
        <f>_xlfn.XLOOKUP(B3030,CAD_PDV!A:A,CAD_PDV!B:B)</f>
        <v>TELECELL TELEFONIA LTDA - ME</v>
      </c>
      <c r="K3030" s="14">
        <f>IF(IFERROR(_xlfn.XLOOKUP(B3030,Planilha2!D:D,Planilha2!H:H),0)="SIM",1,0)</f>
        <v>0</v>
      </c>
      <c r="L3030" s="14" t="str">
        <f>_xlfn.XLOOKUP(B3030,CAD_PDV!A:A,CAD_PDV!C:C)</f>
        <v>CO</v>
      </c>
      <c r="M3030" s="14" t="str">
        <f>IFERROR(_xlfn.XLOOKUP(B3030,repete!A:A,repete!A:A),"-")</f>
        <v>-</v>
      </c>
    </row>
    <row r="3031" spans="1:13">
      <c r="A3031" s="1">
        <v>46235</v>
      </c>
      <c r="B3031" t="s">
        <v>2104</v>
      </c>
      <c r="C3031" t="s">
        <v>2105</v>
      </c>
      <c r="D3031" t="s">
        <v>193</v>
      </c>
      <c r="E3031" t="s">
        <v>2074</v>
      </c>
      <c r="F3031">
        <v>31</v>
      </c>
      <c r="J3031" s="14" t="str">
        <f>_xlfn.XLOOKUP(B3031,CAD_PDV!A:A,CAD_PDV!B:B)</f>
        <v>S D COMERCIO DE CELULARES LTDA - ME</v>
      </c>
      <c r="K3031" s="14">
        <f>IF(IFERROR(_xlfn.XLOOKUP(B3031,Planilha2!D:D,Planilha2!H:H),0)="SIM",1,0)</f>
        <v>0</v>
      </c>
      <c r="L3031" s="14" t="str">
        <f>_xlfn.XLOOKUP(B3031,CAD_PDV!A:A,CAD_PDV!C:C)</f>
        <v>PR/SC</v>
      </c>
      <c r="M3031" s="14" t="str">
        <f>IFERROR(_xlfn.XLOOKUP(B3031,repete!A:A,repete!A:A),"-")</f>
        <v>-</v>
      </c>
    </row>
    <row r="3032" spans="1:13">
      <c r="A3032" s="1">
        <v>46235</v>
      </c>
      <c r="B3032" t="s">
        <v>1945</v>
      </c>
      <c r="C3032" t="s">
        <v>1946</v>
      </c>
      <c r="D3032" t="s">
        <v>124</v>
      </c>
      <c r="E3032" t="s">
        <v>2074</v>
      </c>
      <c r="F3032">
        <v>7</v>
      </c>
      <c r="J3032" s="14" t="str">
        <f>_xlfn.XLOOKUP(B3032,CAD_PDV!A:A,CAD_PDV!B:B)</f>
        <v>EDUARDO JUNQUEIRA DA SILVEIRA ADMIN</v>
      </c>
      <c r="K3032" s="14">
        <f>IF(IFERROR(_xlfn.XLOOKUP(B3032,Planilha2!D:D,Planilha2!H:H),0)="SIM",1,0)</f>
        <v>0</v>
      </c>
      <c r="L3032" s="14" t="str">
        <f>_xlfn.XLOOKUP(B3032,CAD_PDV!A:A,CAD_PDV!C:C)</f>
        <v>RS</v>
      </c>
      <c r="M3032" s="14" t="str">
        <f>IFERROR(_xlfn.XLOOKUP(B3032,repete!A:A,repete!A:A),"-")</f>
        <v>-</v>
      </c>
    </row>
    <row r="3033" spans="1:13">
      <c r="A3033" s="1">
        <v>46235</v>
      </c>
      <c r="B3033" t="s">
        <v>1414</v>
      </c>
      <c r="C3033" t="s">
        <v>1417</v>
      </c>
      <c r="D3033" t="s">
        <v>116</v>
      </c>
      <c r="E3033" t="s">
        <v>54</v>
      </c>
      <c r="F3033">
        <v>30</v>
      </c>
      <c r="J3033" s="14" t="str">
        <f>_xlfn.XLOOKUP(B3033,CAD_PDV!A:A,CAD_PDV!B:B)</f>
        <v>DIEGO FERNANDES PEREIRA - ME</v>
      </c>
      <c r="K3033" s="14">
        <f>IF(IFERROR(_xlfn.XLOOKUP(B3033,Planilha2!D:D,Planilha2!H:H),0)="SIM",1,0)</f>
        <v>1</v>
      </c>
      <c r="L3033" s="14" t="str">
        <f>_xlfn.XLOOKUP(B3033,CAD_PDV!A:A,CAD_PDV!C:C)</f>
        <v>SP2</v>
      </c>
      <c r="M3033" s="14" t="str">
        <f>IFERROR(_xlfn.XLOOKUP(B3033,repete!A:A,repete!A:A),"-")</f>
        <v>-</v>
      </c>
    </row>
    <row r="3034" spans="1:13">
      <c r="A3034" s="1">
        <v>46235</v>
      </c>
      <c r="B3034" t="s">
        <v>427</v>
      </c>
      <c r="C3034" t="s">
        <v>430</v>
      </c>
      <c r="D3034" t="s">
        <v>106</v>
      </c>
      <c r="E3034" t="s">
        <v>56</v>
      </c>
      <c r="F3034">
        <v>6</v>
      </c>
      <c r="J3034" s="14" t="str">
        <f>_xlfn.XLOOKUP(B3034,CAD_PDV!A:A,CAD_PDV!B:B)</f>
        <v>CELLULAR.COM</v>
      </c>
      <c r="K3034" s="14">
        <f>IF(IFERROR(_xlfn.XLOOKUP(B3034,Planilha2!D:D,Planilha2!H:H),0)="SIM",1,0)</f>
        <v>0</v>
      </c>
      <c r="L3034" s="14" t="str">
        <f>_xlfn.XLOOKUP(B3034,CAD_PDV!A:A,CAD_PDV!C:C)</f>
        <v>MG</v>
      </c>
      <c r="M3034" s="14" t="str">
        <f>IFERROR(_xlfn.XLOOKUP(B3034,repete!A:A,repete!A:A),"-")</f>
        <v>-</v>
      </c>
    </row>
    <row r="3035" spans="1:13">
      <c r="A3035" s="1">
        <v>46235</v>
      </c>
      <c r="B3035" t="s">
        <v>1135</v>
      </c>
      <c r="C3035" t="s">
        <v>1136</v>
      </c>
      <c r="D3035" t="s">
        <v>89</v>
      </c>
      <c r="E3035" t="s">
        <v>62</v>
      </c>
      <c r="F3035">
        <v>2</v>
      </c>
      <c r="J3035" s="14" t="str">
        <f>_xlfn.XLOOKUP(B3035,CAD_PDV!A:A,CAD_PDV!B:B)</f>
        <v>AM3 TELECOM LTDA</v>
      </c>
      <c r="K3035" s="14">
        <f>IF(IFERROR(_xlfn.XLOOKUP(B3035,Planilha2!D:D,Planilha2!H:H),0)="SIM",1,0)</f>
        <v>0</v>
      </c>
      <c r="L3035" s="14" t="str">
        <f>_xlfn.XLOOKUP(B3035,CAD_PDV!A:A,CAD_PDV!C:C)</f>
        <v>NO</v>
      </c>
      <c r="M3035" s="14" t="str">
        <f>IFERROR(_xlfn.XLOOKUP(B3035,repete!A:A,repete!A:A),"-")</f>
        <v>-</v>
      </c>
    </row>
    <row r="3036" spans="1:13">
      <c r="A3036" s="1">
        <v>46235</v>
      </c>
      <c r="B3036" t="s">
        <v>970</v>
      </c>
      <c r="C3036" t="s">
        <v>973</v>
      </c>
      <c r="D3036" t="s">
        <v>164</v>
      </c>
      <c r="E3036" t="s">
        <v>60</v>
      </c>
      <c r="F3036">
        <v>12</v>
      </c>
      <c r="J3036" s="14" t="str">
        <f>_xlfn.XLOOKUP(B3036,CAD_PDV!A:A,CAD_PDV!B:B)</f>
        <v>MARIA JOSEFA DOS SANTOS - ME</v>
      </c>
      <c r="K3036" s="14">
        <f>IF(IFERROR(_xlfn.XLOOKUP(B3036,Planilha2!D:D,Planilha2!H:H),0)="SIM",1,0)</f>
        <v>0</v>
      </c>
      <c r="L3036" s="14" t="str">
        <f>_xlfn.XLOOKUP(B3036,CAD_PDV!A:A,CAD_PDV!C:C)</f>
        <v>BA/SE</v>
      </c>
      <c r="M3036" s="14" t="str">
        <f>IFERROR(_xlfn.XLOOKUP(B3036,repete!A:A,repete!A:A),"-")</f>
        <v>-</v>
      </c>
    </row>
    <row r="3037" spans="1:13">
      <c r="A3037" s="1">
        <v>46235</v>
      </c>
      <c r="B3037" t="s">
        <v>1108</v>
      </c>
      <c r="C3037" t="s">
        <v>1110</v>
      </c>
      <c r="D3037" t="s">
        <v>143</v>
      </c>
      <c r="E3037" t="s">
        <v>62</v>
      </c>
      <c r="F3037">
        <v>10</v>
      </c>
      <c r="J3037" s="14" t="str">
        <f>_xlfn.XLOOKUP(B3037,CAD_PDV!A:A,CAD_PDV!B:B)</f>
        <v>INOVACELL LTDA</v>
      </c>
      <c r="K3037" s="14">
        <f>IF(IFERROR(_xlfn.XLOOKUP(B3037,Planilha2!D:D,Planilha2!H:H),0)="SIM",1,0)</f>
        <v>0</v>
      </c>
      <c r="L3037" s="14" t="str">
        <f>_xlfn.XLOOKUP(B3037,CAD_PDV!A:A,CAD_PDV!C:C)</f>
        <v>NO</v>
      </c>
      <c r="M3037" s="14" t="str">
        <f>IFERROR(_xlfn.XLOOKUP(B3037,repete!A:A,repete!A:A),"-")</f>
        <v>-</v>
      </c>
    </row>
    <row r="3038" spans="1:13">
      <c r="A3038" s="1">
        <v>46235</v>
      </c>
      <c r="B3038" t="s">
        <v>250</v>
      </c>
      <c r="C3038" t="s">
        <v>253</v>
      </c>
      <c r="D3038" t="s">
        <v>131</v>
      </c>
      <c r="E3038" t="s">
        <v>61</v>
      </c>
      <c r="F3038">
        <v>9</v>
      </c>
      <c r="J3038" s="14" t="str">
        <f>_xlfn.XLOOKUP(B3038,CAD_PDV!A:A,CAD_PDV!B:B)</f>
        <v>FABIANA GONCALVES DA SILVA LINS E CIA LTDA</v>
      </c>
      <c r="K3038" s="14">
        <f>IF(IFERROR(_xlfn.XLOOKUP(B3038,Planilha2!D:D,Planilha2!H:H),0)="SIM",1,0)</f>
        <v>0</v>
      </c>
      <c r="L3038" s="14" t="str">
        <f>_xlfn.XLOOKUP(B3038,CAD_PDV!A:A,CAD_PDV!C:C)</f>
        <v>NE</v>
      </c>
      <c r="M3038" s="14" t="str">
        <f>IFERROR(_xlfn.XLOOKUP(B3038,repete!A:A,repete!A:A),"-")</f>
        <v>-</v>
      </c>
    </row>
    <row r="3039" spans="1:13">
      <c r="A3039" s="1">
        <v>46235</v>
      </c>
      <c r="B3039" t="s">
        <v>618</v>
      </c>
      <c r="C3039" t="s">
        <v>619</v>
      </c>
      <c r="D3039" t="s">
        <v>224</v>
      </c>
      <c r="E3039" t="s">
        <v>59</v>
      </c>
      <c r="F3039">
        <v>22</v>
      </c>
      <c r="J3039" s="14" t="str">
        <f>_xlfn.XLOOKUP(B3039,CAD_PDV!A:A,CAD_PDV!B:B)</f>
        <v>CELNET COMERCIO E SERVICOS DE TELEFONIA LTDA ME</v>
      </c>
      <c r="K3039" s="14">
        <f>IF(IFERROR(_xlfn.XLOOKUP(B3039,Planilha2!D:D,Planilha2!H:H),0)="SIM",1,0)</f>
        <v>0</v>
      </c>
      <c r="L3039" s="14" t="str">
        <f>_xlfn.XLOOKUP(B3039,CAD_PDV!A:A,CAD_PDV!C:C)</f>
        <v>CO</v>
      </c>
      <c r="M3039" s="14" t="str">
        <f>IFERROR(_xlfn.XLOOKUP(B3039,repete!A:A,repete!A:A),"-")</f>
        <v>-</v>
      </c>
    </row>
    <row r="3040" spans="1:13">
      <c r="A3040" s="1">
        <v>46235</v>
      </c>
      <c r="B3040" t="s">
        <v>764</v>
      </c>
      <c r="C3040" t="s">
        <v>610</v>
      </c>
      <c r="D3040" t="s">
        <v>100</v>
      </c>
      <c r="E3040" t="s">
        <v>59</v>
      </c>
      <c r="F3040">
        <v>2</v>
      </c>
      <c r="J3040" s="14" t="str">
        <f>_xlfn.XLOOKUP(B3040,CAD_PDV!A:A,CAD_PDV!B:B)</f>
        <v>CALDAS CELULARES LTDA - ME</v>
      </c>
      <c r="K3040" s="14">
        <f>IF(IFERROR(_xlfn.XLOOKUP(B3040,Planilha2!D:D,Planilha2!H:H),0)="SIM",1,0)</f>
        <v>0</v>
      </c>
      <c r="L3040" s="14" t="str">
        <f>_xlfn.XLOOKUP(B3040,CAD_PDV!A:A,CAD_PDV!C:C)</f>
        <v>CO</v>
      </c>
      <c r="M3040" s="14" t="str">
        <f>IFERROR(_xlfn.XLOOKUP(B3040,repete!A:A,repete!A:A),"-")</f>
        <v>-</v>
      </c>
    </row>
    <row r="3041" spans="1:13">
      <c r="A3041" s="1">
        <v>46235</v>
      </c>
      <c r="B3041" t="s">
        <v>484</v>
      </c>
      <c r="C3041" t="s">
        <v>485</v>
      </c>
      <c r="D3041" t="s">
        <v>235</v>
      </c>
      <c r="E3041" t="s">
        <v>56</v>
      </c>
      <c r="F3041">
        <v>7</v>
      </c>
      <c r="J3041" s="14" t="str">
        <f>_xlfn.XLOOKUP(B3041,CAD_PDV!A:A,CAD_PDV!B:B)</f>
        <v>P.G.L CELULARES LTDA</v>
      </c>
      <c r="K3041" s="14">
        <f>IF(IFERROR(_xlfn.XLOOKUP(B3041,Planilha2!D:D,Planilha2!H:H),0)="SIM",1,0)</f>
        <v>0</v>
      </c>
      <c r="L3041" s="14" t="str">
        <f>_xlfn.XLOOKUP(B3041,CAD_PDV!A:A,CAD_PDV!C:C)</f>
        <v>MG</v>
      </c>
      <c r="M3041" s="14" t="str">
        <f>IFERROR(_xlfn.XLOOKUP(B3041,repete!A:A,repete!A:A),"-")</f>
        <v>-</v>
      </c>
    </row>
    <row r="3042" spans="1:13">
      <c r="A3042" s="1">
        <v>46235</v>
      </c>
      <c r="B3042" t="s">
        <v>1421</v>
      </c>
      <c r="C3042" t="s">
        <v>1424</v>
      </c>
      <c r="D3042" t="s">
        <v>106</v>
      </c>
      <c r="E3042" t="s">
        <v>54</v>
      </c>
      <c r="F3042">
        <v>12</v>
      </c>
      <c r="J3042" s="14" t="str">
        <f>_xlfn.XLOOKUP(B3042,CAD_PDV!A:A,CAD_PDV!B:B)</f>
        <v>CELLULAR.COM</v>
      </c>
      <c r="K3042" s="14">
        <f>IF(IFERROR(_xlfn.XLOOKUP(B3042,Planilha2!D:D,Planilha2!H:H),0)="SIM",1,0)</f>
        <v>0</v>
      </c>
      <c r="L3042" s="14" t="str">
        <f>_xlfn.XLOOKUP(B3042,CAD_PDV!A:A,CAD_PDV!C:C)</f>
        <v>SP2</v>
      </c>
      <c r="M3042" s="14" t="str">
        <f>IFERROR(_xlfn.XLOOKUP(B3042,repete!A:A,repete!A:A),"-")</f>
        <v>-</v>
      </c>
    </row>
    <row r="3043" spans="1:13">
      <c r="A3043" s="1">
        <v>46235</v>
      </c>
      <c r="B3043" t="s">
        <v>2058</v>
      </c>
      <c r="C3043" t="s">
        <v>2057</v>
      </c>
      <c r="D3043" t="s">
        <v>193</v>
      </c>
      <c r="E3043" t="s">
        <v>2074</v>
      </c>
      <c r="F3043">
        <v>31</v>
      </c>
      <c r="J3043" s="14" t="str">
        <f>_xlfn.XLOOKUP(B3043,CAD_PDV!A:A,CAD_PDV!B:B)</f>
        <v>S D COMERCIO DE CELULARES LTDA - ME</v>
      </c>
      <c r="K3043" s="14">
        <f>IF(IFERROR(_xlfn.XLOOKUP(B3043,Planilha2!D:D,Planilha2!H:H),0)="SIM",1,0)</f>
        <v>0</v>
      </c>
      <c r="L3043" s="14" t="str">
        <f>_xlfn.XLOOKUP(B3043,CAD_PDV!A:A,CAD_PDV!C:C)</f>
        <v>RS</v>
      </c>
      <c r="M3043" s="14" t="str">
        <f>IFERROR(_xlfn.XLOOKUP(B3043,repete!A:A,repete!A:A),"-")</f>
        <v>-</v>
      </c>
    </row>
    <row r="3044" spans="1:13">
      <c r="A3044" s="1">
        <v>46235</v>
      </c>
      <c r="B3044" t="s">
        <v>1425</v>
      </c>
      <c r="C3044" t="s">
        <v>1426</v>
      </c>
      <c r="D3044" t="s">
        <v>106</v>
      </c>
      <c r="E3044" t="s">
        <v>54</v>
      </c>
      <c r="F3044">
        <v>38</v>
      </c>
      <c r="J3044" s="14" t="str">
        <f>_xlfn.XLOOKUP(B3044,CAD_PDV!A:A,CAD_PDV!B:B)</f>
        <v>CELLULAR.COM</v>
      </c>
      <c r="K3044" s="14">
        <f>IF(IFERROR(_xlfn.XLOOKUP(B3044,Planilha2!D:D,Planilha2!H:H),0)="SIM",1,0)</f>
        <v>0</v>
      </c>
      <c r="L3044" s="14" t="str">
        <f>_xlfn.XLOOKUP(B3044,CAD_PDV!A:A,CAD_PDV!C:C)</f>
        <v>SP2</v>
      </c>
      <c r="M3044" s="14" t="str">
        <f>IFERROR(_xlfn.XLOOKUP(B3044,repete!A:A,repete!A:A),"-")</f>
        <v>-</v>
      </c>
    </row>
    <row r="3045" spans="1:13">
      <c r="A3045" s="1">
        <v>46235</v>
      </c>
      <c r="B3045" t="s">
        <v>825</v>
      </c>
      <c r="C3045" t="s">
        <v>826</v>
      </c>
      <c r="D3045" t="s">
        <v>149</v>
      </c>
      <c r="E3045" t="s">
        <v>59</v>
      </c>
      <c r="F3045">
        <v>3</v>
      </c>
      <c r="J3045" s="14" t="str">
        <f>_xlfn.XLOOKUP(B3045,CAD_PDV!A:A,CAD_PDV!B:B)</f>
        <v>JAQUELINE LOPES MIRANDA LTDA</v>
      </c>
      <c r="K3045" s="14">
        <f>IF(IFERROR(_xlfn.XLOOKUP(B3045,Planilha2!D:D,Planilha2!H:H),0)="SIM",1,0)</f>
        <v>0</v>
      </c>
      <c r="L3045" s="14" t="str">
        <f>_xlfn.XLOOKUP(B3045,CAD_PDV!A:A,CAD_PDV!C:C)</f>
        <v>CO</v>
      </c>
      <c r="M3045" s="14" t="str">
        <f>IFERROR(_xlfn.XLOOKUP(B3045,repete!A:A,repete!A:A),"-")</f>
        <v>-</v>
      </c>
    </row>
    <row r="3046" spans="1:13">
      <c r="A3046" s="1">
        <v>46235</v>
      </c>
      <c r="B3046" t="s">
        <v>1761</v>
      </c>
      <c r="C3046" t="s">
        <v>1763</v>
      </c>
      <c r="D3046" t="s">
        <v>124</v>
      </c>
      <c r="E3046" t="s">
        <v>2074</v>
      </c>
      <c r="F3046">
        <v>4</v>
      </c>
      <c r="J3046" s="14" t="str">
        <f>_xlfn.XLOOKUP(B3046,CAD_PDV!A:A,CAD_PDV!B:B)</f>
        <v>EDUARDO JUNQUEIRA DA SILVEIRA ADMIN</v>
      </c>
      <c r="K3046" s="14">
        <f>IF(IFERROR(_xlfn.XLOOKUP(B3046,Planilha2!D:D,Planilha2!H:H),0)="SIM",1,0)</f>
        <v>0</v>
      </c>
      <c r="L3046" s="14" t="str">
        <f>_xlfn.XLOOKUP(B3046,CAD_PDV!A:A,CAD_PDV!C:C)</f>
        <v>RS</v>
      </c>
      <c r="M3046" s="14" t="str">
        <f>IFERROR(_xlfn.XLOOKUP(B3046,repete!A:A,repete!A:A),"-")</f>
        <v>-</v>
      </c>
    </row>
    <row r="3047" spans="1:13">
      <c r="A3047" s="1">
        <v>46235</v>
      </c>
      <c r="B3047" t="s">
        <v>301</v>
      </c>
      <c r="C3047" t="s">
        <v>303</v>
      </c>
      <c r="D3047" t="s">
        <v>226</v>
      </c>
      <c r="E3047" t="s">
        <v>61</v>
      </c>
      <c r="F3047">
        <v>3</v>
      </c>
      <c r="J3047" s="14" t="str">
        <f>_xlfn.XLOOKUP(B3047,CAD_PDV!A:A,CAD_PDV!B:B)</f>
        <v>DELTA CELL TELECOMUNICACOES LTDA</v>
      </c>
      <c r="K3047" s="14">
        <f>IF(IFERROR(_xlfn.XLOOKUP(B3047,Planilha2!D:D,Planilha2!H:H),0)="SIM",1,0)</f>
        <v>0</v>
      </c>
      <c r="L3047" s="14" t="str">
        <f>_xlfn.XLOOKUP(B3047,CAD_PDV!A:A,CAD_PDV!C:C)</f>
        <v>NE</v>
      </c>
      <c r="M3047" s="14" t="str">
        <f>IFERROR(_xlfn.XLOOKUP(B3047,repete!A:A,repete!A:A),"-")</f>
        <v>-</v>
      </c>
    </row>
    <row r="3048" spans="1:13">
      <c r="A3048" s="1">
        <v>46235</v>
      </c>
      <c r="B3048" t="s">
        <v>1430</v>
      </c>
      <c r="C3048" t="s">
        <v>1432</v>
      </c>
      <c r="D3048" t="s">
        <v>223</v>
      </c>
      <c r="E3048" t="s">
        <v>54</v>
      </c>
      <c r="F3048">
        <v>42</v>
      </c>
      <c r="J3048" s="14" t="str">
        <f>_xlfn.XLOOKUP(B3048,CAD_PDV!A:A,CAD_PDV!B:B)</f>
        <v>BONELI BIAZI CELULARES EIRELI - ME</v>
      </c>
      <c r="K3048" s="14">
        <f>IF(IFERROR(_xlfn.XLOOKUP(B3048,Planilha2!D:D,Planilha2!H:H),0)="SIM",1,0)</f>
        <v>0</v>
      </c>
      <c r="L3048" s="14" t="str">
        <f>_xlfn.XLOOKUP(B3048,CAD_PDV!A:A,CAD_PDV!C:C)</f>
        <v>SP2</v>
      </c>
      <c r="M3048" s="14" t="str">
        <f>IFERROR(_xlfn.XLOOKUP(B3048,repete!A:A,repete!A:A),"-")</f>
        <v>-</v>
      </c>
    </row>
    <row r="3049" spans="1:13">
      <c r="A3049" s="1">
        <v>46235</v>
      </c>
      <c r="B3049" t="s">
        <v>1433</v>
      </c>
      <c r="C3049" t="s">
        <v>1435</v>
      </c>
      <c r="D3049" t="s">
        <v>106</v>
      </c>
      <c r="E3049" t="s">
        <v>54</v>
      </c>
      <c r="F3049">
        <v>30</v>
      </c>
      <c r="J3049" s="14" t="str">
        <f>_xlfn.XLOOKUP(B3049,CAD_PDV!A:A,CAD_PDV!B:B)</f>
        <v>CELLULAR.COM</v>
      </c>
      <c r="K3049" s="14">
        <f>IF(IFERROR(_xlfn.XLOOKUP(B3049,Planilha2!D:D,Planilha2!H:H),0)="SIM",1,0)</f>
        <v>0</v>
      </c>
      <c r="L3049" s="14" t="str">
        <f>_xlfn.XLOOKUP(B3049,CAD_PDV!A:A,CAD_PDV!C:C)</f>
        <v>SP2</v>
      </c>
      <c r="M3049" s="14" t="str">
        <f>IFERROR(_xlfn.XLOOKUP(B3049,repete!A:A,repete!A:A),"-")</f>
        <v>-</v>
      </c>
    </row>
    <row r="3050" spans="1:13">
      <c r="A3050" s="1">
        <v>46235</v>
      </c>
      <c r="B3050" t="s">
        <v>1835</v>
      </c>
      <c r="C3050" t="s">
        <v>1837</v>
      </c>
      <c r="D3050" t="s">
        <v>124</v>
      </c>
      <c r="E3050" t="s">
        <v>2074</v>
      </c>
      <c r="F3050">
        <v>30</v>
      </c>
      <c r="J3050" s="14" t="str">
        <f>_xlfn.XLOOKUP(B3050,CAD_PDV!A:A,CAD_PDV!B:B)</f>
        <v>EDUARDO JUNQUEIRA DA SILVEIRA ADMIN</v>
      </c>
      <c r="K3050" s="14">
        <f>IF(IFERROR(_xlfn.XLOOKUP(B3050,Planilha2!D:D,Planilha2!H:H),0)="SIM",1,0)</f>
        <v>0</v>
      </c>
      <c r="L3050" s="14" t="str">
        <f>_xlfn.XLOOKUP(B3050,CAD_PDV!A:A,CAD_PDV!C:C)</f>
        <v>RS</v>
      </c>
      <c r="M3050" s="14" t="str">
        <f>IFERROR(_xlfn.XLOOKUP(B3050,repete!A:A,repete!A:A),"-")</f>
        <v>-</v>
      </c>
    </row>
    <row r="3051" spans="1:13">
      <c r="A3051" s="1">
        <v>46235</v>
      </c>
      <c r="B3051" t="s">
        <v>1070</v>
      </c>
      <c r="C3051" t="s">
        <v>1072</v>
      </c>
      <c r="D3051" t="s">
        <v>196</v>
      </c>
      <c r="E3051" t="s">
        <v>62</v>
      </c>
      <c r="F3051">
        <v>32</v>
      </c>
      <c r="J3051" s="14" t="str">
        <f>_xlfn.XLOOKUP(B3051,CAD_PDV!A:A,CAD_PDV!B:B)</f>
        <v>SELF COMERCIO E SERVICOS EM TELEFON</v>
      </c>
      <c r="K3051" s="14">
        <f>IF(IFERROR(_xlfn.XLOOKUP(B3051,Planilha2!D:D,Planilha2!H:H),0)="SIM",1,0)</f>
        <v>0</v>
      </c>
      <c r="L3051" s="14" t="str">
        <f>_xlfn.XLOOKUP(B3051,CAD_PDV!A:A,CAD_PDV!C:C)</f>
        <v>NO</v>
      </c>
      <c r="M3051" s="14" t="str">
        <f>IFERROR(_xlfn.XLOOKUP(B3051,repete!A:A,repete!A:A),"-")</f>
        <v>-</v>
      </c>
    </row>
    <row r="3052" spans="1:13">
      <c r="A3052" s="1">
        <v>46235</v>
      </c>
      <c r="B3052" t="s">
        <v>1938</v>
      </c>
      <c r="C3052" t="s">
        <v>1939</v>
      </c>
      <c r="D3052" t="s">
        <v>176</v>
      </c>
      <c r="E3052" t="s">
        <v>2074</v>
      </c>
      <c r="F3052">
        <v>17</v>
      </c>
      <c r="J3052" s="14" t="str">
        <f>_xlfn.XLOOKUP(B3052,CAD_PDV!A:A,CAD_PDV!B:B)</f>
        <v>NEW POINT CELULAR LTDA - ME</v>
      </c>
      <c r="K3052" s="14">
        <f>IF(IFERROR(_xlfn.XLOOKUP(B3052,Planilha2!D:D,Planilha2!H:H),0)="SIM",1,0)</f>
        <v>0</v>
      </c>
      <c r="L3052" s="14" t="str">
        <f>_xlfn.XLOOKUP(B3052,CAD_PDV!A:A,CAD_PDV!C:C)</f>
        <v>RS</v>
      </c>
      <c r="M3052" s="14" t="str">
        <f>IFERROR(_xlfn.XLOOKUP(B3052,repete!A:A,repete!A:A),"-")</f>
        <v>-</v>
      </c>
    </row>
    <row r="3053" spans="1:13">
      <c r="A3053" s="1">
        <v>46235</v>
      </c>
      <c r="B3053" t="s">
        <v>1995</v>
      </c>
      <c r="C3053" t="s">
        <v>1996</v>
      </c>
      <c r="D3053" t="s">
        <v>124</v>
      </c>
      <c r="E3053" t="s">
        <v>2074</v>
      </c>
      <c r="F3053">
        <v>27</v>
      </c>
      <c r="J3053" s="14" t="str">
        <f>_xlfn.XLOOKUP(B3053,CAD_PDV!A:A,CAD_PDV!B:B)</f>
        <v>EDUARDO JUNQUEIRA DA SILVEIRA ADMIN</v>
      </c>
      <c r="K3053" s="14">
        <f>IF(IFERROR(_xlfn.XLOOKUP(B3053,Planilha2!D:D,Planilha2!H:H),0)="SIM",1,0)</f>
        <v>0</v>
      </c>
      <c r="L3053" s="14" t="str">
        <f>_xlfn.XLOOKUP(B3053,CAD_PDV!A:A,CAD_PDV!C:C)</f>
        <v>RS</v>
      </c>
      <c r="M3053" s="14" t="str">
        <f>IFERROR(_xlfn.XLOOKUP(B3053,repete!A:A,repete!A:A),"-")</f>
        <v>-</v>
      </c>
    </row>
    <row r="3054" spans="1:13">
      <c r="A3054" s="1">
        <v>46235</v>
      </c>
      <c r="B3054" t="s">
        <v>1860</v>
      </c>
      <c r="C3054" t="s">
        <v>1861</v>
      </c>
      <c r="D3054" t="s">
        <v>106</v>
      </c>
      <c r="E3054" t="s">
        <v>2074</v>
      </c>
      <c r="F3054">
        <v>27</v>
      </c>
      <c r="J3054" s="14" t="str">
        <f>_xlfn.XLOOKUP(B3054,CAD_PDV!A:A,CAD_PDV!B:B)</f>
        <v>CELLULAR.COM</v>
      </c>
      <c r="K3054" s="14">
        <f>IF(IFERROR(_xlfn.XLOOKUP(B3054,Planilha2!D:D,Planilha2!H:H),0)="SIM",1,0)</f>
        <v>0</v>
      </c>
      <c r="L3054" s="14" t="str">
        <f>_xlfn.XLOOKUP(B3054,CAD_PDV!A:A,CAD_PDV!C:C)</f>
        <v>PR/SC</v>
      </c>
      <c r="M3054" s="14" t="str">
        <f>IFERROR(_xlfn.XLOOKUP(B3054,repete!A:A,repete!A:A),"-")</f>
        <v>-</v>
      </c>
    </row>
    <row r="3055" spans="1:13">
      <c r="A3055" s="1">
        <v>46235</v>
      </c>
      <c r="B3055" t="s">
        <v>304</v>
      </c>
      <c r="C3055" t="s">
        <v>269</v>
      </c>
      <c r="D3055" t="s">
        <v>196</v>
      </c>
      <c r="E3055" t="s">
        <v>61</v>
      </c>
      <c r="F3055">
        <v>18</v>
      </c>
      <c r="J3055" s="14" t="str">
        <f>_xlfn.XLOOKUP(B3055,CAD_PDV!A:A,CAD_PDV!B:B)</f>
        <v>SELF COMERCIO E SERVICOS EM TELEFON</v>
      </c>
      <c r="K3055" s="14">
        <f>IF(IFERROR(_xlfn.XLOOKUP(B3055,Planilha2!D:D,Planilha2!H:H),0)="SIM",1,0)</f>
        <v>0</v>
      </c>
      <c r="L3055" s="14" t="str">
        <f>_xlfn.XLOOKUP(B3055,CAD_PDV!A:A,CAD_PDV!C:C)</f>
        <v>NE</v>
      </c>
      <c r="M3055" s="14" t="str">
        <f>IFERROR(_xlfn.XLOOKUP(B3055,repete!A:A,repete!A:A),"-")</f>
        <v>-</v>
      </c>
    </row>
    <row r="3056" spans="1:13">
      <c r="A3056" s="1">
        <v>46235</v>
      </c>
      <c r="B3056" t="s">
        <v>1355</v>
      </c>
      <c r="C3056" t="s">
        <v>1313</v>
      </c>
      <c r="D3056" t="s">
        <v>132</v>
      </c>
      <c r="E3056" t="s">
        <v>53</v>
      </c>
      <c r="F3056">
        <v>50</v>
      </c>
      <c r="J3056" s="14" t="str">
        <f>_xlfn.XLOOKUP(B3056,CAD_PDV!A:A,CAD_PDV!B:B)</f>
        <v>FLEX CELL</v>
      </c>
      <c r="K3056" s="14">
        <f>IF(IFERROR(_xlfn.XLOOKUP(B3056,Planilha2!D:D,Planilha2!H:H),0)="SIM",1,0)</f>
        <v>0</v>
      </c>
      <c r="L3056" s="14" t="str">
        <f>_xlfn.XLOOKUP(B3056,CAD_PDV!A:A,CAD_PDV!C:C)</f>
        <v>SP1</v>
      </c>
      <c r="M3056" s="14" t="str">
        <f>IFERROR(_xlfn.XLOOKUP(B3056,repete!A:A,repete!A:A),"-")</f>
        <v>-</v>
      </c>
    </row>
    <row r="3057" spans="1:13">
      <c r="A3057" s="1">
        <v>46235</v>
      </c>
      <c r="B3057" t="s">
        <v>1440</v>
      </c>
      <c r="C3057" t="s">
        <v>1441</v>
      </c>
      <c r="D3057" t="s">
        <v>116</v>
      </c>
      <c r="E3057" t="s">
        <v>54</v>
      </c>
      <c r="F3057">
        <v>10</v>
      </c>
      <c r="J3057" s="14" t="str">
        <f>_xlfn.XLOOKUP(B3057,CAD_PDV!A:A,CAD_PDV!B:B)</f>
        <v>DIEGO FERNANDES PEREIRA - ME</v>
      </c>
      <c r="K3057" s="14">
        <f>IF(IFERROR(_xlfn.XLOOKUP(B3057,Planilha2!D:D,Planilha2!H:H),0)="SIM",1,0)</f>
        <v>1</v>
      </c>
      <c r="L3057" s="14" t="str">
        <f>_xlfn.XLOOKUP(B3057,CAD_PDV!A:A,CAD_PDV!C:C)</f>
        <v>SP2</v>
      </c>
      <c r="M3057" s="14" t="str">
        <f>IFERROR(_xlfn.XLOOKUP(B3057,repete!A:A,repete!A:A),"-")</f>
        <v>-</v>
      </c>
    </row>
    <row r="3058" spans="1:13">
      <c r="A3058" s="1">
        <v>46235</v>
      </c>
      <c r="B3058" t="s">
        <v>492</v>
      </c>
      <c r="C3058" t="s">
        <v>494</v>
      </c>
      <c r="D3058" t="s">
        <v>239</v>
      </c>
      <c r="E3058" t="s">
        <v>56</v>
      </c>
      <c r="F3058">
        <v>15</v>
      </c>
      <c r="J3058" s="14" t="str">
        <f>_xlfn.XLOOKUP(B3058,CAD_PDV!A:A,CAD_PDV!B:B)</f>
        <v>TELECELL TELEFONIA LTDA - ME</v>
      </c>
      <c r="K3058" s="14">
        <f>IF(IFERROR(_xlfn.XLOOKUP(B3058,Planilha2!D:D,Planilha2!H:H),0)="SIM",1,0)</f>
        <v>0</v>
      </c>
      <c r="L3058" s="14" t="str">
        <f>_xlfn.XLOOKUP(B3058,CAD_PDV!A:A,CAD_PDV!C:C)</f>
        <v>MG</v>
      </c>
      <c r="M3058" s="14" t="str">
        <f>IFERROR(_xlfn.XLOOKUP(B3058,repete!A:A,repete!A:A),"-")</f>
        <v>-</v>
      </c>
    </row>
    <row r="3059" spans="1:13">
      <c r="A3059" s="1">
        <v>46235</v>
      </c>
      <c r="B3059" t="s">
        <v>1343</v>
      </c>
      <c r="C3059" t="s">
        <v>1344</v>
      </c>
      <c r="D3059" t="s">
        <v>229</v>
      </c>
      <c r="E3059" t="s">
        <v>53</v>
      </c>
      <c r="F3059">
        <v>15</v>
      </c>
      <c r="J3059" s="14" t="str">
        <f>_xlfn.XLOOKUP(B3059,CAD_PDV!A:A,CAD_PDV!B:B)</f>
        <v>FW TELEFONIA LTDA - EPP</v>
      </c>
      <c r="K3059" s="14">
        <f>IF(IFERROR(_xlfn.XLOOKUP(B3059,Planilha2!D:D,Planilha2!H:H),0)="SIM",1,0)</f>
        <v>0</v>
      </c>
      <c r="L3059" s="14" t="str">
        <f>_xlfn.XLOOKUP(B3059,CAD_PDV!A:A,CAD_PDV!C:C)</f>
        <v>SP1</v>
      </c>
      <c r="M3059" s="14" t="str">
        <f>IFERROR(_xlfn.XLOOKUP(B3059,repete!A:A,repete!A:A),"-")</f>
        <v>-</v>
      </c>
    </row>
    <row r="3060" spans="1:13">
      <c r="A3060" s="1">
        <v>46235</v>
      </c>
      <c r="B3060" t="s">
        <v>626</v>
      </c>
      <c r="C3060" t="s">
        <v>628</v>
      </c>
      <c r="D3060" t="s">
        <v>206</v>
      </c>
      <c r="E3060" t="s">
        <v>59</v>
      </c>
      <c r="F3060">
        <v>5</v>
      </c>
      <c r="J3060" s="14" t="str">
        <f>_xlfn.XLOOKUP(B3060,CAD_PDV!A:A,CAD_PDV!B:B)</f>
        <v>TATIANE CONCEICAO DE OLIVEIRA - ME</v>
      </c>
      <c r="K3060" s="14">
        <f>IF(IFERROR(_xlfn.XLOOKUP(B3060,Planilha2!D:D,Planilha2!H:H),0)="SIM",1,0)</f>
        <v>0</v>
      </c>
      <c r="L3060" s="14" t="str">
        <f>_xlfn.XLOOKUP(B3060,CAD_PDV!A:A,CAD_PDV!C:C)</f>
        <v>CO</v>
      </c>
      <c r="M3060" s="14" t="str">
        <f>IFERROR(_xlfn.XLOOKUP(B3060,repete!A:A,repete!A:A),"-")</f>
        <v>-</v>
      </c>
    </row>
    <row r="3061" spans="1:13">
      <c r="A3061" s="1">
        <v>46235</v>
      </c>
      <c r="B3061" t="s">
        <v>1445</v>
      </c>
      <c r="C3061" t="s">
        <v>1446</v>
      </c>
      <c r="D3061" t="s">
        <v>132</v>
      </c>
      <c r="E3061" t="s">
        <v>54</v>
      </c>
      <c r="F3061">
        <v>7</v>
      </c>
      <c r="J3061" s="14" t="str">
        <f>_xlfn.XLOOKUP(B3061,CAD_PDV!A:A,CAD_PDV!B:B)</f>
        <v>FLEX CELL</v>
      </c>
      <c r="K3061" s="14">
        <f>IF(IFERROR(_xlfn.XLOOKUP(B3061,Planilha2!D:D,Planilha2!H:H),0)="SIM",1,0)</f>
        <v>0</v>
      </c>
      <c r="L3061" s="14" t="str">
        <f>_xlfn.XLOOKUP(B3061,CAD_PDV!A:A,CAD_PDV!C:C)</f>
        <v>SP2</v>
      </c>
      <c r="M3061" s="14" t="str">
        <f>IFERROR(_xlfn.XLOOKUP(B3061,repete!A:A,repete!A:A),"-")</f>
        <v>-</v>
      </c>
    </row>
    <row r="3062" spans="1:13">
      <c r="A3062" s="1">
        <v>46235</v>
      </c>
      <c r="B3062" t="s">
        <v>442</v>
      </c>
      <c r="C3062" t="s">
        <v>430</v>
      </c>
      <c r="D3062" t="s">
        <v>106</v>
      </c>
      <c r="E3062" t="s">
        <v>56</v>
      </c>
      <c r="F3062">
        <v>22</v>
      </c>
      <c r="J3062" s="14" t="str">
        <f>_xlfn.XLOOKUP(B3062,CAD_PDV!A:A,CAD_PDV!B:B)</f>
        <v>CELLULAR.COM</v>
      </c>
      <c r="K3062" s="14">
        <f>IF(IFERROR(_xlfn.XLOOKUP(B3062,Planilha2!D:D,Planilha2!H:H),0)="SIM",1,0)</f>
        <v>0</v>
      </c>
      <c r="L3062" s="14" t="str">
        <f>_xlfn.XLOOKUP(B3062,CAD_PDV!A:A,CAD_PDV!C:C)</f>
        <v>MG</v>
      </c>
      <c r="M3062" s="14" t="str">
        <f>IFERROR(_xlfn.XLOOKUP(B3062,repete!A:A,repete!A:A),"-")</f>
        <v>-</v>
      </c>
    </row>
    <row r="3063" spans="1:13">
      <c r="A3063" s="1">
        <v>46235</v>
      </c>
      <c r="B3063" t="s">
        <v>1447</v>
      </c>
      <c r="C3063" t="s">
        <v>1448</v>
      </c>
      <c r="D3063" t="s">
        <v>106</v>
      </c>
      <c r="E3063" t="s">
        <v>54</v>
      </c>
      <c r="F3063">
        <v>6</v>
      </c>
      <c r="J3063" s="14" t="str">
        <f>_xlfn.XLOOKUP(B3063,CAD_PDV!A:A,CAD_PDV!B:B)</f>
        <v>CELLULAR.COM</v>
      </c>
      <c r="K3063" s="14">
        <f>IF(IFERROR(_xlfn.XLOOKUP(B3063,Planilha2!D:D,Planilha2!H:H),0)="SIM",1,0)</f>
        <v>0</v>
      </c>
      <c r="L3063" s="14" t="str">
        <f>_xlfn.XLOOKUP(B3063,CAD_PDV!A:A,CAD_PDV!C:C)</f>
        <v>SP2</v>
      </c>
      <c r="M3063" s="14" t="str">
        <f>IFERROR(_xlfn.XLOOKUP(B3063,repete!A:A,repete!A:A),"-")</f>
        <v>-</v>
      </c>
    </row>
    <row r="3064" spans="1:13">
      <c r="A3064" s="1">
        <v>46235</v>
      </c>
      <c r="B3064" t="s">
        <v>2106</v>
      </c>
      <c r="C3064" t="s">
        <v>2107</v>
      </c>
      <c r="D3064" t="s">
        <v>169</v>
      </c>
      <c r="E3064" t="s">
        <v>59</v>
      </c>
      <c r="F3064">
        <v>2</v>
      </c>
      <c r="J3064" s="14" t="e">
        <f>_xlfn.XLOOKUP(B3064,CAD_PDV!A:A,CAD_PDV!B:B)</f>
        <v>#N/A</v>
      </c>
      <c r="K3064" s="14">
        <f>IF(IFERROR(_xlfn.XLOOKUP(B3064,Planilha2!D:D,Planilha2!H:H),0)="SIM",1,0)</f>
        <v>0</v>
      </c>
      <c r="L3064" s="14" t="e">
        <f>_xlfn.XLOOKUP(B3064,CAD_PDV!A:A,CAD_PDV!C:C)</f>
        <v>#N/A</v>
      </c>
      <c r="M3064" s="14" t="str">
        <f>IFERROR(_xlfn.XLOOKUP(B3064,repete!A:A,repete!A:A),"-")</f>
        <v>-</v>
      </c>
    </row>
    <row r="3065" spans="1:13">
      <c r="A3065" s="1">
        <v>46235</v>
      </c>
      <c r="B3065" t="s">
        <v>409</v>
      </c>
      <c r="C3065" t="s">
        <v>257</v>
      </c>
      <c r="D3065" t="s">
        <v>104</v>
      </c>
      <c r="E3065" t="s">
        <v>61</v>
      </c>
      <c r="F3065">
        <v>44</v>
      </c>
      <c r="J3065" s="14" t="str">
        <f>_xlfn.XLOOKUP(B3065,CAD_PDV!A:A,CAD_PDV!B:B)</f>
        <v>CARLOS FREDERICO E FILHOS COMERCIO</v>
      </c>
      <c r="K3065" s="14">
        <f>IF(IFERROR(_xlfn.XLOOKUP(B3065,Planilha2!D:D,Planilha2!H:H),0)="SIM",1,0)</f>
        <v>0</v>
      </c>
      <c r="L3065" s="14" t="str">
        <f>_xlfn.XLOOKUP(B3065,CAD_PDV!A:A,CAD_PDV!C:C)</f>
        <v>NE</v>
      </c>
      <c r="M3065" s="14" t="str">
        <f>IFERROR(_xlfn.XLOOKUP(B3065,repete!A:A,repete!A:A),"-")</f>
        <v>-</v>
      </c>
    </row>
    <row r="3066" spans="1:13">
      <c r="A3066" s="1">
        <v>46235</v>
      </c>
      <c r="B3066" t="s">
        <v>977</v>
      </c>
      <c r="C3066" t="s">
        <v>978</v>
      </c>
      <c r="D3066" t="s">
        <v>179</v>
      </c>
      <c r="E3066" t="s">
        <v>60</v>
      </c>
      <c r="F3066">
        <v>3</v>
      </c>
      <c r="J3066" s="14" t="str">
        <f>_xlfn.XLOOKUP(B3066,CAD_PDV!A:A,CAD_PDV!B:B)</f>
        <v>PATRICIA DO NASCIMENTO</v>
      </c>
      <c r="K3066" s="14">
        <f>IF(IFERROR(_xlfn.XLOOKUP(B3066,Planilha2!D:D,Planilha2!H:H),0)="SIM",1,0)</f>
        <v>0</v>
      </c>
      <c r="L3066" s="14" t="str">
        <f>_xlfn.XLOOKUP(B3066,CAD_PDV!A:A,CAD_PDV!C:C)</f>
        <v>BA/SE</v>
      </c>
      <c r="M3066" s="14" t="str">
        <f>IFERROR(_xlfn.XLOOKUP(B3066,repete!A:A,repete!A:A),"-")</f>
        <v>-</v>
      </c>
    </row>
    <row r="3067" spans="1:13">
      <c r="A3067" s="1">
        <v>46235</v>
      </c>
      <c r="B3067" t="s">
        <v>1134</v>
      </c>
      <c r="C3067" t="s">
        <v>1096</v>
      </c>
      <c r="D3067" t="s">
        <v>121</v>
      </c>
      <c r="E3067" t="s">
        <v>62</v>
      </c>
      <c r="F3067">
        <v>4</v>
      </c>
      <c r="J3067" s="14" t="str">
        <f>_xlfn.XLOOKUP(B3067,CAD_PDV!A:A,CAD_PDV!B:B)</f>
        <v>DSX TECH COMERCIO E SERVICOS LTDA</v>
      </c>
      <c r="K3067" s="14">
        <f>IF(IFERROR(_xlfn.XLOOKUP(B3067,Planilha2!D:D,Planilha2!H:H),0)="SIM",1,0)</f>
        <v>0</v>
      </c>
      <c r="L3067" s="14" t="str">
        <f>_xlfn.XLOOKUP(B3067,CAD_PDV!A:A,CAD_PDV!C:C)</f>
        <v>NO</v>
      </c>
      <c r="M3067" s="14" t="str">
        <f>IFERROR(_xlfn.XLOOKUP(B3067,repete!A:A,repete!A:A),"-")</f>
        <v>-</v>
      </c>
    </row>
    <row r="3068" spans="1:13">
      <c r="A3068" s="1">
        <v>46235</v>
      </c>
      <c r="B3068" t="s">
        <v>1814</v>
      </c>
      <c r="C3068" t="s">
        <v>1815</v>
      </c>
      <c r="D3068" t="s">
        <v>95</v>
      </c>
      <c r="E3068" t="s">
        <v>2074</v>
      </c>
      <c r="F3068">
        <v>3</v>
      </c>
      <c r="J3068" s="14" t="str">
        <f>_xlfn.XLOOKUP(B3068,CAD_PDV!A:A,CAD_PDV!B:B)</f>
        <v>AYRES E DEBONI LTDA - ME</v>
      </c>
      <c r="K3068" s="14">
        <f>IF(IFERROR(_xlfn.XLOOKUP(B3068,Planilha2!D:D,Planilha2!H:H),0)="SIM",1,0)</f>
        <v>0</v>
      </c>
      <c r="L3068" s="14" t="str">
        <f>_xlfn.XLOOKUP(B3068,CAD_PDV!A:A,CAD_PDV!C:C)</f>
        <v>RS</v>
      </c>
      <c r="M3068" s="14" t="str">
        <f>IFERROR(_xlfn.XLOOKUP(B3068,repete!A:A,repete!A:A),"-")</f>
        <v>-</v>
      </c>
    </row>
    <row r="3069" spans="1:13">
      <c r="A3069" s="1">
        <v>46235</v>
      </c>
      <c r="B3069" t="s">
        <v>834</v>
      </c>
      <c r="C3069" t="s">
        <v>835</v>
      </c>
      <c r="D3069" t="s">
        <v>92</v>
      </c>
      <c r="E3069" t="s">
        <v>59</v>
      </c>
      <c r="F3069">
        <v>3</v>
      </c>
      <c r="J3069" s="14" t="str">
        <f>_xlfn.XLOOKUP(B3069,CAD_PDV!A:A,CAD_PDV!B:B)</f>
        <v>ANTONIO LINDOMAR DE OLIVEIRA EPP</v>
      </c>
      <c r="K3069" s="14">
        <f>IF(IFERROR(_xlfn.XLOOKUP(B3069,Planilha2!D:D,Planilha2!H:H),0)="SIM",1,0)</f>
        <v>0</v>
      </c>
      <c r="L3069" s="14" t="str">
        <f>_xlfn.XLOOKUP(B3069,CAD_PDV!A:A,CAD_PDV!C:C)</f>
        <v>CO</v>
      </c>
      <c r="M3069" s="14" t="str">
        <f>IFERROR(_xlfn.XLOOKUP(B3069,repete!A:A,repete!A:A),"-")</f>
        <v>-</v>
      </c>
    </row>
    <row r="3070" spans="1:13">
      <c r="A3070" s="1">
        <v>46235</v>
      </c>
      <c r="B3070" t="s">
        <v>1311</v>
      </c>
      <c r="C3070" t="s">
        <v>1308</v>
      </c>
      <c r="D3070" t="s">
        <v>105</v>
      </c>
      <c r="E3070" t="s">
        <v>53</v>
      </c>
      <c r="F3070">
        <v>17</v>
      </c>
      <c r="J3070" s="14" t="str">
        <f>_xlfn.XLOOKUP(B3070,CAD_PDV!A:A,CAD_PDV!B:B)</f>
        <v>CELL AZUL CELULARES LTDA - EPP</v>
      </c>
      <c r="K3070" s="14">
        <f>IF(IFERROR(_xlfn.XLOOKUP(B3070,Planilha2!D:D,Planilha2!H:H),0)="SIM",1,0)</f>
        <v>0</v>
      </c>
      <c r="L3070" s="14" t="str">
        <f>_xlfn.XLOOKUP(B3070,CAD_PDV!A:A,CAD_PDV!C:C)</f>
        <v>SP1</v>
      </c>
      <c r="M3070" s="14" t="str">
        <f>IFERROR(_xlfn.XLOOKUP(B3070,repete!A:A,repete!A:A),"-")</f>
        <v>-</v>
      </c>
    </row>
    <row r="3071" spans="1:13">
      <c r="A3071" s="1">
        <v>46235</v>
      </c>
      <c r="B3071" t="s">
        <v>838</v>
      </c>
      <c r="C3071" t="s">
        <v>837</v>
      </c>
      <c r="D3071" t="s">
        <v>221</v>
      </c>
      <c r="E3071" t="s">
        <v>59</v>
      </c>
      <c r="F3071">
        <v>43</v>
      </c>
      <c r="J3071" s="14" t="str">
        <f>_xlfn.XLOOKUP(B3071,CAD_PDV!A:A,CAD_PDV!B:B)</f>
        <v>AMERICOM COMERCIO DE APARELHOS ELETRONICOS LTDA - EPP</v>
      </c>
      <c r="K3071" s="14">
        <f>IF(IFERROR(_xlfn.XLOOKUP(B3071,Planilha2!D:D,Planilha2!H:H),0)="SIM",1,0)</f>
        <v>0</v>
      </c>
      <c r="L3071" s="14" t="str">
        <f>_xlfn.XLOOKUP(B3071,CAD_PDV!A:A,CAD_PDV!C:C)</f>
        <v>CO</v>
      </c>
      <c r="M3071" s="14" t="str">
        <f>IFERROR(_xlfn.XLOOKUP(B3071,repete!A:A,repete!A:A),"-")</f>
        <v>-</v>
      </c>
    </row>
    <row r="3072" spans="1:13">
      <c r="A3072" s="1">
        <v>46235</v>
      </c>
      <c r="B3072" t="s">
        <v>1200</v>
      </c>
      <c r="C3072" t="s">
        <v>1202</v>
      </c>
      <c r="D3072" t="s">
        <v>216</v>
      </c>
      <c r="E3072" t="s">
        <v>55</v>
      </c>
      <c r="F3072">
        <v>6</v>
      </c>
      <c r="J3072" s="14" t="str">
        <f>_xlfn.XLOOKUP(B3072,CAD_PDV!A:A,CAD_PDV!B:B)</f>
        <v>VIA TELECOM LTDA ME</v>
      </c>
      <c r="K3072" s="14">
        <f>IF(IFERROR(_xlfn.XLOOKUP(B3072,Planilha2!D:D,Planilha2!H:H),0)="SIM",1,0)</f>
        <v>0</v>
      </c>
      <c r="L3072" s="14" t="str">
        <f>_xlfn.XLOOKUP(B3072,CAD_PDV!A:A,CAD_PDV!C:C)</f>
        <v>RJ/ES</v>
      </c>
      <c r="M3072" s="14" t="str">
        <f>IFERROR(_xlfn.XLOOKUP(B3072,repete!A:A,repete!A:A),"-")</f>
        <v>-</v>
      </c>
    </row>
    <row r="3073" spans="1:13">
      <c r="A3073" s="1">
        <v>46235</v>
      </c>
      <c r="B3073" t="s">
        <v>801</v>
      </c>
      <c r="C3073" t="s">
        <v>802</v>
      </c>
      <c r="D3073" t="s">
        <v>169</v>
      </c>
      <c r="E3073" t="s">
        <v>59</v>
      </c>
      <c r="F3073">
        <v>30</v>
      </c>
      <c r="J3073" s="14" t="str">
        <f>_xlfn.XLOOKUP(B3073,CAD_PDV!A:A,CAD_PDV!B:B)</f>
        <v>MEGA CELULAR</v>
      </c>
      <c r="K3073" s="14">
        <f>IF(IFERROR(_xlfn.XLOOKUP(B3073,Planilha2!D:D,Planilha2!H:H),0)="SIM",1,0)</f>
        <v>0</v>
      </c>
      <c r="L3073" s="14" t="str">
        <f>_xlfn.XLOOKUP(B3073,CAD_PDV!A:A,CAD_PDV!C:C)</f>
        <v>CO</v>
      </c>
      <c r="M3073" s="14" t="str">
        <f>IFERROR(_xlfn.XLOOKUP(B3073,repete!A:A,repete!A:A),"-")</f>
        <v>-</v>
      </c>
    </row>
    <row r="3074" spans="1:13">
      <c r="A3074" s="1">
        <v>46235</v>
      </c>
      <c r="B3074" t="s">
        <v>1455</v>
      </c>
      <c r="C3074" t="s">
        <v>1457</v>
      </c>
      <c r="D3074" t="s">
        <v>106</v>
      </c>
      <c r="E3074" t="s">
        <v>54</v>
      </c>
      <c r="F3074">
        <v>18</v>
      </c>
      <c r="J3074" s="14" t="str">
        <f>_xlfn.XLOOKUP(B3074,CAD_PDV!A:A,CAD_PDV!B:B)</f>
        <v>CELLULAR.COM</v>
      </c>
      <c r="K3074" s="14">
        <f>IF(IFERROR(_xlfn.XLOOKUP(B3074,Planilha2!D:D,Planilha2!H:H),0)="SIM",1,0)</f>
        <v>0</v>
      </c>
      <c r="L3074" s="14" t="str">
        <f>_xlfn.XLOOKUP(B3074,CAD_PDV!A:A,CAD_PDV!C:C)</f>
        <v>SP2</v>
      </c>
      <c r="M3074" s="14" t="str">
        <f>IFERROR(_xlfn.XLOOKUP(B3074,repete!A:A,repete!A:A),"-")</f>
        <v>-</v>
      </c>
    </row>
    <row r="3075" spans="1:13">
      <c r="A3075" s="1">
        <v>46235</v>
      </c>
      <c r="B3075" t="s">
        <v>1458</v>
      </c>
      <c r="C3075" t="s">
        <v>1459</v>
      </c>
      <c r="D3075" t="s">
        <v>116</v>
      </c>
      <c r="E3075" t="s">
        <v>54</v>
      </c>
      <c r="F3075">
        <v>55</v>
      </c>
      <c r="J3075" s="14" t="str">
        <f>_xlfn.XLOOKUP(B3075,CAD_PDV!A:A,CAD_PDV!B:B)</f>
        <v>DIEGO FERNANDES PEREIRA - ME</v>
      </c>
      <c r="K3075" s="14">
        <f>IF(IFERROR(_xlfn.XLOOKUP(B3075,Planilha2!D:D,Planilha2!H:H),0)="SIM",1,0)</f>
        <v>1</v>
      </c>
      <c r="L3075" s="14" t="str">
        <f>_xlfn.XLOOKUP(B3075,CAD_PDV!A:A,CAD_PDV!C:C)</f>
        <v>SP2</v>
      </c>
      <c r="M3075" s="14" t="str">
        <f>IFERROR(_xlfn.XLOOKUP(B3075,repete!A:A,repete!A:A),"-")</f>
        <v>-</v>
      </c>
    </row>
    <row r="3076" spans="1:13">
      <c r="A3076" s="1">
        <v>46235</v>
      </c>
      <c r="B3076" t="s">
        <v>1827</v>
      </c>
      <c r="C3076" t="s">
        <v>1828</v>
      </c>
      <c r="D3076" t="s">
        <v>95</v>
      </c>
      <c r="E3076" t="s">
        <v>2074</v>
      </c>
      <c r="F3076">
        <v>9</v>
      </c>
      <c r="J3076" s="14" t="str">
        <f>_xlfn.XLOOKUP(B3076,CAD_PDV!A:A,CAD_PDV!B:B)</f>
        <v>AYRES E DEBONI LTDA - ME</v>
      </c>
      <c r="K3076" s="14">
        <f>IF(IFERROR(_xlfn.XLOOKUP(B3076,Planilha2!D:D,Planilha2!H:H),0)="SIM",1,0)</f>
        <v>0</v>
      </c>
      <c r="L3076" s="14" t="str">
        <f>_xlfn.XLOOKUP(B3076,CAD_PDV!A:A,CAD_PDV!C:C)</f>
        <v>RS</v>
      </c>
      <c r="M3076" s="14" t="str">
        <f>IFERROR(_xlfn.XLOOKUP(B3076,repete!A:A,repete!A:A),"-")</f>
        <v>-</v>
      </c>
    </row>
    <row r="3077" spans="1:13">
      <c r="A3077" s="1">
        <v>46235</v>
      </c>
      <c r="B3077" t="s">
        <v>907</v>
      </c>
      <c r="C3077" t="s">
        <v>908</v>
      </c>
      <c r="D3077" t="s">
        <v>215</v>
      </c>
      <c r="E3077" t="s">
        <v>59</v>
      </c>
      <c r="F3077">
        <v>32</v>
      </c>
      <c r="J3077" s="14" t="str">
        <f>_xlfn.XLOOKUP(B3077,CAD_PDV!A:A,CAD_PDV!B:B)</f>
        <v>VIA SALLUS</v>
      </c>
      <c r="K3077" s="14">
        <f>IF(IFERROR(_xlfn.XLOOKUP(B3077,Planilha2!D:D,Planilha2!H:H),0)="SIM",1,0)</f>
        <v>0</v>
      </c>
      <c r="L3077" s="14" t="str">
        <f>_xlfn.XLOOKUP(B3077,CAD_PDV!A:A,CAD_PDV!C:C)</f>
        <v>CO</v>
      </c>
      <c r="M3077" s="14" t="str">
        <f>IFERROR(_xlfn.XLOOKUP(B3077,repete!A:A,repete!A:A),"-")</f>
        <v>-</v>
      </c>
    </row>
    <row r="3078" spans="1:13">
      <c r="A3078" s="1">
        <v>46235</v>
      </c>
      <c r="B3078" t="s">
        <v>1460</v>
      </c>
      <c r="C3078" t="s">
        <v>1462</v>
      </c>
      <c r="D3078" t="s">
        <v>106</v>
      </c>
      <c r="E3078" t="s">
        <v>54</v>
      </c>
      <c r="F3078">
        <v>18</v>
      </c>
      <c r="J3078" s="14" t="str">
        <f>_xlfn.XLOOKUP(B3078,CAD_PDV!A:A,CAD_PDV!B:B)</f>
        <v>CELLULAR.COM</v>
      </c>
      <c r="K3078" s="14">
        <f>IF(IFERROR(_xlfn.XLOOKUP(B3078,Planilha2!D:D,Planilha2!H:H),0)="SIM",1,0)</f>
        <v>0</v>
      </c>
      <c r="L3078" s="14" t="str">
        <f>_xlfn.XLOOKUP(B3078,CAD_PDV!A:A,CAD_PDV!C:C)</f>
        <v>SP2</v>
      </c>
      <c r="M3078" s="14" t="str">
        <f>IFERROR(_xlfn.XLOOKUP(B3078,repete!A:A,repete!A:A),"-")</f>
        <v>-</v>
      </c>
    </row>
    <row r="3079" spans="1:13">
      <c r="A3079" s="1">
        <v>46235</v>
      </c>
      <c r="B3079" t="s">
        <v>631</v>
      </c>
      <c r="C3079" t="s">
        <v>634</v>
      </c>
      <c r="D3079" t="s">
        <v>144</v>
      </c>
      <c r="E3079" t="s">
        <v>59</v>
      </c>
      <c r="F3079">
        <v>14</v>
      </c>
      <c r="J3079" s="14" t="str">
        <f>_xlfn.XLOOKUP(B3079,CAD_PDV!A:A,CAD_PDV!B:B)</f>
        <v>J F A DE OLIVEIRA &amp; CIA LTDA - ME</v>
      </c>
      <c r="K3079" s="14">
        <f>IF(IFERROR(_xlfn.XLOOKUP(B3079,Planilha2!D:D,Planilha2!H:H),0)="SIM",1,0)</f>
        <v>0</v>
      </c>
      <c r="L3079" s="14" t="str">
        <f>_xlfn.XLOOKUP(B3079,CAD_PDV!A:A,CAD_PDV!C:C)</f>
        <v>CO</v>
      </c>
      <c r="M3079" s="14" t="str">
        <f>IFERROR(_xlfn.XLOOKUP(B3079,repete!A:A,repete!A:A),"-")</f>
        <v>-</v>
      </c>
    </row>
    <row r="3080" spans="1:13">
      <c r="A3080" s="1">
        <v>46235</v>
      </c>
      <c r="B3080" t="s">
        <v>1470</v>
      </c>
      <c r="C3080" t="s">
        <v>1472</v>
      </c>
      <c r="D3080" t="s">
        <v>148</v>
      </c>
      <c r="E3080" t="s">
        <v>54</v>
      </c>
      <c r="F3080">
        <v>15</v>
      </c>
      <c r="J3080" s="14" t="str">
        <f>_xlfn.XLOOKUP(B3080,CAD_PDV!A:A,CAD_PDV!B:B)</f>
        <v>J. P. MACHADO TELEFONIA - ME</v>
      </c>
      <c r="K3080" s="14">
        <f>IF(IFERROR(_xlfn.XLOOKUP(B3080,Planilha2!D:D,Planilha2!H:H),0)="SIM",1,0)</f>
        <v>0</v>
      </c>
      <c r="L3080" s="14" t="str">
        <f>_xlfn.XLOOKUP(B3080,CAD_PDV!A:A,CAD_PDV!C:C)</f>
        <v>SP2</v>
      </c>
      <c r="M3080" s="14" t="str">
        <f>IFERROR(_xlfn.XLOOKUP(B3080,repete!A:A,repete!A:A),"-")</f>
        <v>-</v>
      </c>
    </row>
    <row r="3081" spans="1:13">
      <c r="A3081" s="1">
        <v>46235</v>
      </c>
      <c r="B3081" t="s">
        <v>2108</v>
      </c>
      <c r="C3081" t="s">
        <v>587</v>
      </c>
      <c r="D3081" t="s">
        <v>106</v>
      </c>
      <c r="E3081" t="s">
        <v>56</v>
      </c>
      <c r="F3081">
        <v>5</v>
      </c>
      <c r="J3081" s="14" t="str">
        <f>_xlfn.XLOOKUP(B3081,CAD_PDV!A:A,CAD_PDV!B:B)</f>
        <v>CELLULAR.COM</v>
      </c>
      <c r="K3081" s="14">
        <f>IF(IFERROR(_xlfn.XLOOKUP(B3081,Planilha2!D:D,Planilha2!H:H),0)="SIM",1,0)</f>
        <v>0</v>
      </c>
      <c r="L3081" s="14" t="str">
        <f>_xlfn.XLOOKUP(B3081,CAD_PDV!A:A,CAD_PDV!C:C)</f>
        <v>MG</v>
      </c>
      <c r="M3081" s="14" t="str">
        <f>IFERROR(_xlfn.XLOOKUP(B3081,repete!A:A,repete!A:A),"-")</f>
        <v>-</v>
      </c>
    </row>
    <row r="3082" spans="1:13">
      <c r="A3082" s="1">
        <v>46235</v>
      </c>
      <c r="B3082" t="s">
        <v>1790</v>
      </c>
      <c r="C3082" t="s">
        <v>1791</v>
      </c>
      <c r="D3082" t="s">
        <v>103</v>
      </c>
      <c r="E3082" t="s">
        <v>2074</v>
      </c>
      <c r="F3082">
        <v>11</v>
      </c>
      <c r="J3082" s="14" t="str">
        <f>_xlfn.XLOOKUP(B3082,CAD_PDV!A:A,CAD_PDV!B:B)</f>
        <v>CARLOS EDUARDO SAVIAN - EPP</v>
      </c>
      <c r="K3082" s="14">
        <f>IF(IFERROR(_xlfn.XLOOKUP(B3082,Planilha2!D:D,Planilha2!H:H),0)="SIM",1,0)</f>
        <v>0</v>
      </c>
      <c r="L3082" s="14" t="str">
        <f>_xlfn.XLOOKUP(B3082,CAD_PDV!A:A,CAD_PDV!C:C)</f>
        <v>PR/SC</v>
      </c>
      <c r="M3082" s="14" t="str">
        <f>IFERROR(_xlfn.XLOOKUP(B3082,repete!A:A,repete!A:A),"-")</f>
        <v>-</v>
      </c>
    </row>
    <row r="3083" spans="1:13">
      <c r="A3083" s="1">
        <v>46235</v>
      </c>
      <c r="B3083" t="s">
        <v>1327</v>
      </c>
      <c r="C3083" t="s">
        <v>1313</v>
      </c>
      <c r="D3083" t="s">
        <v>225</v>
      </c>
      <c r="E3083" t="s">
        <v>53</v>
      </c>
      <c r="F3083">
        <v>43</v>
      </c>
      <c r="J3083" s="14" t="str">
        <f>_xlfn.XLOOKUP(B3083,CAD_PDV!A:A,CAD_PDV!B:B)</f>
        <v>CLARICELL SP1</v>
      </c>
      <c r="K3083" s="14">
        <f>IF(IFERROR(_xlfn.XLOOKUP(B3083,Planilha2!D:D,Planilha2!H:H),0)="SIM",1,0)</f>
        <v>0</v>
      </c>
      <c r="L3083" s="14" t="str">
        <f>_xlfn.XLOOKUP(B3083,CAD_PDV!A:A,CAD_PDV!C:C)</f>
        <v>SP1</v>
      </c>
      <c r="M3083" s="14" t="str">
        <f>IFERROR(_xlfn.XLOOKUP(B3083,repete!A:A,repete!A:A),"-")</f>
        <v>-</v>
      </c>
    </row>
    <row r="3084" spans="1:13">
      <c r="A3084" s="1">
        <v>46235</v>
      </c>
      <c r="B3084" t="s">
        <v>1473</v>
      </c>
      <c r="C3084" t="s">
        <v>1474</v>
      </c>
      <c r="D3084" t="s">
        <v>106</v>
      </c>
      <c r="E3084" t="s">
        <v>54</v>
      </c>
      <c r="F3084">
        <v>44</v>
      </c>
      <c r="J3084" s="14" t="str">
        <f>_xlfn.XLOOKUP(B3084,CAD_PDV!A:A,CAD_PDV!B:B)</f>
        <v>CELLULAR.COM</v>
      </c>
      <c r="K3084" s="14">
        <f>IF(IFERROR(_xlfn.XLOOKUP(B3084,Planilha2!D:D,Planilha2!H:H),0)="SIM",1,0)</f>
        <v>0</v>
      </c>
      <c r="L3084" s="14" t="str">
        <f>_xlfn.XLOOKUP(B3084,CAD_PDV!A:A,CAD_PDV!C:C)</f>
        <v>SP2</v>
      </c>
      <c r="M3084" s="14" t="str">
        <f>IFERROR(_xlfn.XLOOKUP(B3084,repete!A:A,repete!A:A),"-")</f>
        <v>-</v>
      </c>
    </row>
    <row r="3085" spans="1:13">
      <c r="A3085" s="1">
        <v>46235</v>
      </c>
      <c r="B3085" t="s">
        <v>413</v>
      </c>
      <c r="C3085" t="s">
        <v>382</v>
      </c>
      <c r="D3085" t="s">
        <v>196</v>
      </c>
      <c r="E3085" t="s">
        <v>61</v>
      </c>
      <c r="F3085">
        <v>48</v>
      </c>
      <c r="J3085" s="14" t="str">
        <f>_xlfn.XLOOKUP(B3085,CAD_PDV!A:A,CAD_PDV!B:B)</f>
        <v>SELF COMERCIO E SERVICOS EM TELEFON</v>
      </c>
      <c r="K3085" s="14">
        <f>IF(IFERROR(_xlfn.XLOOKUP(B3085,Planilha2!D:D,Planilha2!H:H),0)="SIM",1,0)</f>
        <v>0</v>
      </c>
      <c r="L3085" s="14" t="str">
        <f>_xlfn.XLOOKUP(B3085,CAD_PDV!A:A,CAD_PDV!C:C)</f>
        <v>NE</v>
      </c>
      <c r="M3085" s="14" t="str">
        <f>IFERROR(_xlfn.XLOOKUP(B3085,repete!A:A,repete!A:A),"-")</f>
        <v>-</v>
      </c>
    </row>
    <row r="3086" spans="1:13">
      <c r="A3086" s="1">
        <v>46235</v>
      </c>
      <c r="B3086" t="s">
        <v>254</v>
      </c>
      <c r="C3086" t="s">
        <v>257</v>
      </c>
      <c r="D3086" t="s">
        <v>104</v>
      </c>
      <c r="E3086" t="s">
        <v>61</v>
      </c>
      <c r="F3086">
        <v>25</v>
      </c>
      <c r="J3086" s="14" t="str">
        <f>_xlfn.XLOOKUP(B3086,CAD_PDV!A:A,CAD_PDV!B:B)</f>
        <v>CARLOS FREDERICO E FILHOS COMERCIO</v>
      </c>
      <c r="K3086" s="14">
        <f>IF(IFERROR(_xlfn.XLOOKUP(B3086,Planilha2!D:D,Planilha2!H:H),0)="SIM",1,0)</f>
        <v>0</v>
      </c>
      <c r="L3086" s="14" t="str">
        <f>_xlfn.XLOOKUP(B3086,CAD_PDV!A:A,CAD_PDV!C:C)</f>
        <v>NE</v>
      </c>
      <c r="M3086" s="14" t="str">
        <f>IFERROR(_xlfn.XLOOKUP(B3086,repete!A:A,repete!A:A),"-")</f>
        <v>-</v>
      </c>
    </row>
    <row r="3087" spans="1:13">
      <c r="A3087" s="1">
        <v>46235</v>
      </c>
      <c r="B3087" t="s">
        <v>824</v>
      </c>
      <c r="C3087" t="s">
        <v>673</v>
      </c>
      <c r="D3087" t="s">
        <v>231</v>
      </c>
      <c r="E3087" t="s">
        <v>59</v>
      </c>
      <c r="F3087">
        <v>1</v>
      </c>
      <c r="J3087" s="14" t="str">
        <f>_xlfn.XLOOKUP(B3087,CAD_PDV!A:A,CAD_PDV!B:B)</f>
        <v>HIROTA &amp; HIROTA LTDA - ME</v>
      </c>
      <c r="K3087" s="14">
        <f>IF(IFERROR(_xlfn.XLOOKUP(B3087,Planilha2!D:D,Planilha2!H:H),0)="SIM",1,0)</f>
        <v>0</v>
      </c>
      <c r="L3087" s="14" t="str">
        <f>_xlfn.XLOOKUP(B3087,CAD_PDV!A:A,CAD_PDV!C:C)</f>
        <v>CO</v>
      </c>
      <c r="M3087" s="14" t="str">
        <f>IFERROR(_xlfn.XLOOKUP(B3087,repete!A:A,repete!A:A),"-")</f>
        <v>-</v>
      </c>
    </row>
    <row r="3088" spans="1:13">
      <c r="A3088" s="1">
        <v>46235</v>
      </c>
      <c r="B3088" t="s">
        <v>1092</v>
      </c>
      <c r="C3088" t="s">
        <v>1093</v>
      </c>
      <c r="D3088" t="s">
        <v>186</v>
      </c>
      <c r="E3088" t="s">
        <v>62</v>
      </c>
      <c r="F3088">
        <v>15</v>
      </c>
      <c r="J3088" s="14" t="str">
        <f>_xlfn.XLOOKUP(B3088,CAD_PDV!A:A,CAD_PDV!B:B)</f>
        <v>R S COMERCIO E SERVICOS CELULARES L</v>
      </c>
      <c r="K3088" s="14">
        <f>IF(IFERROR(_xlfn.XLOOKUP(B3088,Planilha2!D:D,Planilha2!H:H),0)="SIM",1,0)</f>
        <v>0</v>
      </c>
      <c r="L3088" s="14" t="str">
        <f>_xlfn.XLOOKUP(B3088,CAD_PDV!A:A,CAD_PDV!C:C)</f>
        <v>NO</v>
      </c>
      <c r="M3088" s="14" t="str">
        <f>IFERROR(_xlfn.XLOOKUP(B3088,repete!A:A,repete!A:A),"-")</f>
        <v>-</v>
      </c>
    </row>
    <row r="3089" spans="1:13">
      <c r="A3089" s="1">
        <v>46235</v>
      </c>
      <c r="B3089" t="s">
        <v>416</v>
      </c>
      <c r="C3089" t="s">
        <v>327</v>
      </c>
      <c r="D3089" t="s">
        <v>226</v>
      </c>
      <c r="E3089" t="s">
        <v>61</v>
      </c>
      <c r="F3089">
        <v>9</v>
      </c>
      <c r="J3089" s="14" t="str">
        <f>_xlfn.XLOOKUP(B3089,CAD_PDV!A:A,CAD_PDV!B:B)</f>
        <v>DELTA CELL TELECOMUNICACOES LTDA</v>
      </c>
      <c r="K3089" s="14">
        <f>IF(IFERROR(_xlfn.XLOOKUP(B3089,Planilha2!D:D,Planilha2!H:H),0)="SIM",1,0)</f>
        <v>0</v>
      </c>
      <c r="L3089" s="14" t="str">
        <f>_xlfn.XLOOKUP(B3089,CAD_PDV!A:A,CAD_PDV!C:C)</f>
        <v>NE</v>
      </c>
      <c r="M3089" s="14" t="str">
        <f>IFERROR(_xlfn.XLOOKUP(B3089,repete!A:A,repete!A:A),"-")</f>
        <v>-</v>
      </c>
    </row>
    <row r="3090" spans="1:13">
      <c r="A3090" s="1">
        <v>46235</v>
      </c>
      <c r="B3090" t="s">
        <v>2109</v>
      </c>
      <c r="C3090" t="s">
        <v>2110</v>
      </c>
      <c r="D3090" t="s">
        <v>2111</v>
      </c>
      <c r="E3090" t="s">
        <v>60</v>
      </c>
      <c r="F3090">
        <v>2</v>
      </c>
      <c r="J3090" s="14" t="str">
        <f>_xlfn.XLOOKUP(B3090,CAD_PDV!A:A,CAD_PDV!B:B)</f>
        <v>TELECOM EXPRESS LTDA</v>
      </c>
      <c r="K3090" s="14">
        <f>IF(IFERROR(_xlfn.XLOOKUP(B3090,Planilha2!D:D,Planilha2!H:H),0)="SIM",1,0)</f>
        <v>0</v>
      </c>
      <c r="L3090" s="14" t="str">
        <f>_xlfn.XLOOKUP(B3090,CAD_PDV!A:A,CAD_PDV!C:C)</f>
        <v>BA/SE</v>
      </c>
      <c r="M3090" s="14" t="str">
        <f>IFERROR(_xlfn.XLOOKUP(B3090,repete!A:A,repete!A:A),"-")</f>
        <v>-</v>
      </c>
    </row>
    <row r="3091" spans="1:13">
      <c r="A3091" s="1">
        <v>46235</v>
      </c>
      <c r="B3091" t="s">
        <v>611</v>
      </c>
      <c r="C3091" t="s">
        <v>610</v>
      </c>
      <c r="D3091" t="s">
        <v>239</v>
      </c>
      <c r="E3091" t="s">
        <v>59</v>
      </c>
      <c r="F3091">
        <v>29</v>
      </c>
      <c r="J3091" s="14" t="str">
        <f>_xlfn.XLOOKUP(B3091,CAD_PDV!A:A,CAD_PDV!B:B)</f>
        <v>TELECELL TELEFONIA LTDA - ME</v>
      </c>
      <c r="K3091" s="14">
        <f>IF(IFERROR(_xlfn.XLOOKUP(B3091,Planilha2!D:D,Planilha2!H:H),0)="SIM",1,0)</f>
        <v>0</v>
      </c>
      <c r="L3091" s="14" t="str">
        <f>_xlfn.XLOOKUP(B3091,CAD_PDV!A:A,CAD_PDV!C:C)</f>
        <v>CO</v>
      </c>
      <c r="M3091" s="14" t="str">
        <f>IFERROR(_xlfn.XLOOKUP(B3091,repete!A:A,repete!A:A),"-")</f>
        <v>-</v>
      </c>
    </row>
    <row r="3092" spans="1:13">
      <c r="A3092" s="1">
        <v>46235</v>
      </c>
      <c r="B3092" t="s">
        <v>1345</v>
      </c>
      <c r="C3092" t="s">
        <v>1346</v>
      </c>
      <c r="D3092" t="s">
        <v>229</v>
      </c>
      <c r="E3092" t="s">
        <v>53</v>
      </c>
      <c r="F3092">
        <v>18</v>
      </c>
      <c r="J3092" s="14" t="str">
        <f>_xlfn.XLOOKUP(B3092,CAD_PDV!A:A,CAD_PDV!B:B)</f>
        <v>FW TELEFONIA LTDA - EPP</v>
      </c>
      <c r="K3092" s="14">
        <f>IF(IFERROR(_xlfn.XLOOKUP(B3092,Planilha2!D:D,Planilha2!H:H),0)="SIM",1,0)</f>
        <v>0</v>
      </c>
      <c r="L3092" s="14" t="str">
        <f>_xlfn.XLOOKUP(B3092,CAD_PDV!A:A,CAD_PDV!C:C)</f>
        <v>SP1</v>
      </c>
      <c r="M3092" s="14" t="str">
        <f>IFERROR(_xlfn.XLOOKUP(B3092,repete!A:A,repete!A:A),"-")</f>
        <v>-</v>
      </c>
    </row>
    <row r="3093" spans="1:13">
      <c r="A3093" s="1">
        <v>46235</v>
      </c>
      <c r="B3093" t="s">
        <v>510</v>
      </c>
      <c r="C3093" t="s">
        <v>511</v>
      </c>
      <c r="D3093" t="s">
        <v>172</v>
      </c>
      <c r="E3093" t="s">
        <v>56</v>
      </c>
      <c r="F3093">
        <v>4</v>
      </c>
      <c r="J3093" s="14" t="str">
        <f>_xlfn.XLOOKUP(B3093,CAD_PDV!A:A,CAD_PDV!B:B)</f>
        <v>N &amp; C COMERCIO DE CELULARES LTDA - ME</v>
      </c>
      <c r="K3093" s="14">
        <f>IF(IFERROR(_xlfn.XLOOKUP(B3093,Planilha2!D:D,Planilha2!H:H),0)="SIM",1,0)</f>
        <v>0</v>
      </c>
      <c r="L3093" s="14" t="str">
        <f>_xlfn.XLOOKUP(B3093,CAD_PDV!A:A,CAD_PDV!C:C)</f>
        <v>MG</v>
      </c>
      <c r="M3093" s="14" t="str">
        <f>IFERROR(_xlfn.XLOOKUP(B3093,repete!A:A,repete!A:A),"-")</f>
        <v>-</v>
      </c>
    </row>
    <row r="3094" spans="1:13">
      <c r="A3094" s="1">
        <v>46235</v>
      </c>
      <c r="B3094" t="s">
        <v>1485</v>
      </c>
      <c r="C3094" t="s">
        <v>1486</v>
      </c>
      <c r="D3094" t="s">
        <v>106</v>
      </c>
      <c r="E3094" t="s">
        <v>54</v>
      </c>
      <c r="F3094">
        <v>15</v>
      </c>
      <c r="J3094" s="14" t="str">
        <f>_xlfn.XLOOKUP(B3094,CAD_PDV!A:A,CAD_PDV!B:B)</f>
        <v>CELLULAR.COM</v>
      </c>
      <c r="K3094" s="14">
        <f>IF(IFERROR(_xlfn.XLOOKUP(B3094,Planilha2!D:D,Planilha2!H:H),0)="SIM",1,0)</f>
        <v>0</v>
      </c>
      <c r="L3094" s="14" t="str">
        <f>_xlfn.XLOOKUP(B3094,CAD_PDV!A:A,CAD_PDV!C:C)</f>
        <v>SP2</v>
      </c>
      <c r="M3094" s="14" t="str">
        <f>IFERROR(_xlfn.XLOOKUP(B3094,repete!A:A,repete!A:A),"-")</f>
        <v>-</v>
      </c>
    </row>
    <row r="3095" spans="1:13">
      <c r="A3095" s="1">
        <v>46235</v>
      </c>
      <c r="B3095" t="s">
        <v>1329</v>
      </c>
      <c r="C3095" t="s">
        <v>1313</v>
      </c>
      <c r="D3095" t="s">
        <v>225</v>
      </c>
      <c r="E3095" t="s">
        <v>53</v>
      </c>
      <c r="F3095">
        <v>32</v>
      </c>
      <c r="J3095" s="14" t="str">
        <f>_xlfn.XLOOKUP(B3095,CAD_PDV!A:A,CAD_PDV!B:B)</f>
        <v>CLARICELL SP1</v>
      </c>
      <c r="K3095" s="14">
        <f>IF(IFERROR(_xlfn.XLOOKUP(B3095,Planilha2!D:D,Planilha2!H:H),0)="SIM",1,0)</f>
        <v>0</v>
      </c>
      <c r="L3095" s="14" t="str">
        <f>_xlfn.XLOOKUP(B3095,CAD_PDV!A:A,CAD_PDV!C:C)</f>
        <v>SP1</v>
      </c>
      <c r="M3095" s="14" t="str">
        <f>IFERROR(_xlfn.XLOOKUP(B3095,repete!A:A,repete!A:A),"-")</f>
        <v>-</v>
      </c>
    </row>
    <row r="3096" spans="1:13">
      <c r="A3096" s="1">
        <v>46235</v>
      </c>
      <c r="B3096" t="s">
        <v>929</v>
      </c>
      <c r="C3096" t="s">
        <v>930</v>
      </c>
      <c r="D3096" t="s">
        <v>188</v>
      </c>
      <c r="E3096" t="s">
        <v>59</v>
      </c>
      <c r="F3096">
        <v>8</v>
      </c>
      <c r="J3096" s="14" t="str">
        <f>_xlfn.XLOOKUP(B3096,CAD_PDV!A:A,CAD_PDV!B:B)</f>
        <v>R. R. BECKER &amp; CIA LTDA</v>
      </c>
      <c r="K3096" s="14">
        <f>IF(IFERROR(_xlfn.XLOOKUP(B3096,Planilha2!D:D,Planilha2!H:H),0)="SIM",1,0)</f>
        <v>0</v>
      </c>
      <c r="L3096" s="14" t="str">
        <f>_xlfn.XLOOKUP(B3096,CAD_PDV!A:A,CAD_PDV!C:C)</f>
        <v>CO</v>
      </c>
      <c r="M3096" s="14" t="str">
        <f>IFERROR(_xlfn.XLOOKUP(B3096,repete!A:A,repete!A:A),"-")</f>
        <v>-</v>
      </c>
    </row>
    <row r="3097" spans="1:13">
      <c r="A3097" s="1">
        <v>46235</v>
      </c>
      <c r="B3097" t="s">
        <v>680</v>
      </c>
      <c r="C3097" t="s">
        <v>683</v>
      </c>
      <c r="D3097" t="s">
        <v>173</v>
      </c>
      <c r="E3097" t="s">
        <v>59</v>
      </c>
      <c r="F3097">
        <v>22</v>
      </c>
      <c r="J3097" s="14" t="str">
        <f>_xlfn.XLOOKUP(B3097,CAD_PDV!A:A,CAD_PDV!B:B)</f>
        <v>N MAIA DE LIMA</v>
      </c>
      <c r="K3097" s="14">
        <f>IF(IFERROR(_xlfn.XLOOKUP(B3097,Planilha2!D:D,Planilha2!H:H),0)="SIM",1,0)</f>
        <v>0</v>
      </c>
      <c r="L3097" s="14" t="str">
        <f>_xlfn.XLOOKUP(B3097,CAD_PDV!A:A,CAD_PDV!C:C)</f>
        <v>CO</v>
      </c>
      <c r="M3097" s="14" t="str">
        <f>IFERROR(_xlfn.XLOOKUP(B3097,repete!A:A,repete!A:A),"-")</f>
        <v>-</v>
      </c>
    </row>
    <row r="3098" spans="1:13">
      <c r="A3098" s="1">
        <v>46235</v>
      </c>
      <c r="B3098" t="s">
        <v>1047</v>
      </c>
      <c r="C3098" t="s">
        <v>992</v>
      </c>
      <c r="D3098" t="s">
        <v>101</v>
      </c>
      <c r="E3098" t="s">
        <v>60</v>
      </c>
      <c r="F3098">
        <v>37</v>
      </c>
      <c r="J3098" s="14" t="str">
        <f>_xlfn.XLOOKUP(B3098,CAD_PDV!A:A,CAD_PDV!B:B)</f>
        <v>CAMILA TAMBONE DE ALMEIDA EIRELI - EPP</v>
      </c>
      <c r="K3098" s="14">
        <f>IF(IFERROR(_xlfn.XLOOKUP(B3098,Planilha2!D:D,Planilha2!H:H),0)="SIM",1,0)</f>
        <v>0</v>
      </c>
      <c r="L3098" s="14" t="str">
        <f>_xlfn.XLOOKUP(B3098,CAD_PDV!A:A,CAD_PDV!C:C)</f>
        <v>BA/SE</v>
      </c>
      <c r="M3098" s="14" t="str">
        <f>IFERROR(_xlfn.XLOOKUP(B3098,repete!A:A,repete!A:A),"-")</f>
        <v>-</v>
      </c>
    </row>
    <row r="3099" spans="1:13">
      <c r="A3099" s="1">
        <v>46235</v>
      </c>
      <c r="B3099" t="s">
        <v>690</v>
      </c>
      <c r="C3099" t="s">
        <v>689</v>
      </c>
      <c r="D3099" t="s">
        <v>165</v>
      </c>
      <c r="E3099" t="s">
        <v>59</v>
      </c>
      <c r="F3099">
        <v>9</v>
      </c>
      <c r="J3099" s="14" t="str">
        <f>_xlfn.XLOOKUP(B3099,CAD_PDV!A:A,CAD_PDV!B:B)</f>
        <v>MASTERCELL COMERCIO E SERVICOS DE T</v>
      </c>
      <c r="K3099" s="14">
        <f>IF(IFERROR(_xlfn.XLOOKUP(B3099,Planilha2!D:D,Planilha2!H:H),0)="SIM",1,0)</f>
        <v>1</v>
      </c>
      <c r="L3099" s="14" t="str">
        <f>_xlfn.XLOOKUP(B3099,CAD_PDV!A:A,CAD_PDV!C:C)</f>
        <v>CO</v>
      </c>
      <c r="M3099" s="14" t="str">
        <f>IFERROR(_xlfn.XLOOKUP(B3099,repete!A:A,repete!A:A),"-")</f>
        <v>-</v>
      </c>
    </row>
    <row r="3100" spans="1:13">
      <c r="A3100" s="1">
        <v>46235</v>
      </c>
      <c r="B3100" t="s">
        <v>414</v>
      </c>
      <c r="C3100" t="s">
        <v>415</v>
      </c>
      <c r="D3100" t="s">
        <v>212</v>
      </c>
      <c r="E3100" t="s">
        <v>61</v>
      </c>
      <c r="F3100">
        <v>2</v>
      </c>
      <c r="J3100" s="14" t="str">
        <f>_xlfn.XLOOKUP(B3100,CAD_PDV!A:A,CAD_PDV!B:B)</f>
        <v>TOTAL TELECOM LTDA</v>
      </c>
      <c r="K3100" s="14">
        <f>IF(IFERROR(_xlfn.XLOOKUP(B3100,Planilha2!D:D,Planilha2!H:H),0)="SIM",1,0)</f>
        <v>0</v>
      </c>
      <c r="L3100" s="14" t="str">
        <f>_xlfn.XLOOKUP(B3100,CAD_PDV!A:A,CAD_PDV!C:C)</f>
        <v>NE</v>
      </c>
      <c r="M3100" s="14" t="str">
        <f>IFERROR(_xlfn.XLOOKUP(B3100,repete!A:A,repete!A:A),"-")</f>
        <v>-</v>
      </c>
    </row>
    <row r="3101" spans="1:13">
      <c r="A3101" s="1">
        <v>46235</v>
      </c>
      <c r="B3101" t="s">
        <v>691</v>
      </c>
      <c r="C3101" t="s">
        <v>692</v>
      </c>
      <c r="D3101" t="s">
        <v>185</v>
      </c>
      <c r="E3101" t="s">
        <v>59</v>
      </c>
      <c r="F3101">
        <v>4</v>
      </c>
      <c r="J3101" s="14" t="str">
        <f>_xlfn.XLOOKUP(B3101,CAD_PDV!A:A,CAD_PDV!B:B)</f>
        <v>R RIBEIRO GONZAGA COMERCIO E SERVICOS - ME</v>
      </c>
      <c r="K3101" s="14">
        <f>IF(IFERROR(_xlfn.XLOOKUP(B3101,Planilha2!D:D,Planilha2!H:H),0)="SIM",1,0)</f>
        <v>0</v>
      </c>
      <c r="L3101" s="14" t="str">
        <f>_xlfn.XLOOKUP(B3101,CAD_PDV!A:A,CAD_PDV!C:C)</f>
        <v>CO</v>
      </c>
      <c r="M3101" s="14" t="str">
        <f>IFERROR(_xlfn.XLOOKUP(B3101,repete!A:A,repete!A:A),"-")</f>
        <v>-</v>
      </c>
    </row>
    <row r="3102" spans="1:13">
      <c r="A3102" s="1">
        <v>46235</v>
      </c>
      <c r="B3102" t="s">
        <v>1490</v>
      </c>
      <c r="C3102" t="s">
        <v>1462</v>
      </c>
      <c r="D3102" t="s">
        <v>106</v>
      </c>
      <c r="E3102" t="s">
        <v>54</v>
      </c>
      <c r="F3102">
        <v>19</v>
      </c>
      <c r="J3102" s="14" t="str">
        <f>_xlfn.XLOOKUP(B3102,CAD_PDV!A:A,CAD_PDV!B:B)</f>
        <v>CELLULAR.COM</v>
      </c>
      <c r="K3102" s="14">
        <f>IF(IFERROR(_xlfn.XLOOKUP(B3102,Planilha2!D:D,Planilha2!H:H),0)="SIM",1,0)</f>
        <v>0</v>
      </c>
      <c r="L3102" s="14" t="str">
        <f>_xlfn.XLOOKUP(B3102,CAD_PDV!A:A,CAD_PDV!C:C)</f>
        <v>SP2</v>
      </c>
      <c r="M3102" s="14" t="str">
        <f>IFERROR(_xlfn.XLOOKUP(B3102,repete!A:A,repete!A:A),"-")</f>
        <v>-</v>
      </c>
    </row>
    <row r="3103" spans="1:13">
      <c r="A3103" s="1">
        <v>46235</v>
      </c>
      <c r="B3103" t="s">
        <v>1919</v>
      </c>
      <c r="C3103" t="s">
        <v>1918</v>
      </c>
      <c r="D3103" t="s">
        <v>106</v>
      </c>
      <c r="E3103" t="s">
        <v>2074</v>
      </c>
      <c r="F3103">
        <v>20</v>
      </c>
      <c r="J3103" s="14" t="str">
        <f>_xlfn.XLOOKUP(B3103,CAD_PDV!A:A,CAD_PDV!B:B)</f>
        <v>CELLULAR.COM</v>
      </c>
      <c r="K3103" s="14">
        <f>IF(IFERROR(_xlfn.XLOOKUP(B3103,Planilha2!D:D,Planilha2!H:H),0)="SIM",1,0)</f>
        <v>0</v>
      </c>
      <c r="L3103" s="14" t="str">
        <f>_xlfn.XLOOKUP(B3103,CAD_PDV!A:A,CAD_PDV!C:C)</f>
        <v>PR/SC</v>
      </c>
      <c r="M3103" s="14" t="str">
        <f>IFERROR(_xlfn.XLOOKUP(B3103,repete!A:A,repete!A:A),"-")</f>
        <v>-</v>
      </c>
    </row>
    <row r="3104" spans="1:13">
      <c r="A3104" s="1">
        <v>46235</v>
      </c>
      <c r="B3104" t="s">
        <v>1491</v>
      </c>
      <c r="C3104" t="s">
        <v>1492</v>
      </c>
      <c r="D3104" t="s">
        <v>106</v>
      </c>
      <c r="E3104" t="s">
        <v>54</v>
      </c>
      <c r="F3104">
        <v>18</v>
      </c>
      <c r="J3104" s="14" t="str">
        <f>_xlfn.XLOOKUP(B3104,CAD_PDV!A:A,CAD_PDV!B:B)</f>
        <v>CELLULAR.COM</v>
      </c>
      <c r="K3104" s="14">
        <f>IF(IFERROR(_xlfn.XLOOKUP(B3104,Planilha2!D:D,Planilha2!H:H),0)="SIM",1,0)</f>
        <v>0</v>
      </c>
      <c r="L3104" s="14" t="str">
        <f>_xlfn.XLOOKUP(B3104,CAD_PDV!A:A,CAD_PDV!C:C)</f>
        <v>SP2</v>
      </c>
      <c r="M3104" s="14" t="str">
        <f>IFERROR(_xlfn.XLOOKUP(B3104,repete!A:A,repete!A:A),"-")</f>
        <v>-</v>
      </c>
    </row>
    <row r="3105" spans="1:13">
      <c r="A3105" s="1">
        <v>46235</v>
      </c>
      <c r="B3105" t="s">
        <v>1079</v>
      </c>
      <c r="C3105" t="s">
        <v>1081</v>
      </c>
      <c r="D3105" t="s">
        <v>127</v>
      </c>
      <c r="E3105" t="s">
        <v>62</v>
      </c>
      <c r="F3105">
        <v>7</v>
      </c>
      <c r="J3105" s="14" t="str">
        <f>_xlfn.XLOOKUP(B3105,CAD_PDV!A:A,CAD_PDV!B:B)</f>
        <v>EMERSON CUTRIM SERVICOS LTDA</v>
      </c>
      <c r="K3105" s="14">
        <f>IF(IFERROR(_xlfn.XLOOKUP(B3105,Planilha2!D:D,Planilha2!H:H),0)="SIM",1,0)</f>
        <v>0</v>
      </c>
      <c r="L3105" s="14" t="str">
        <f>_xlfn.XLOOKUP(B3105,CAD_PDV!A:A,CAD_PDV!C:C)</f>
        <v>NO</v>
      </c>
      <c r="M3105" s="14" t="str">
        <f>IFERROR(_xlfn.XLOOKUP(B3105,repete!A:A,repete!A:A),"-")</f>
        <v>-</v>
      </c>
    </row>
    <row r="3106" spans="1:13">
      <c r="A3106" s="1">
        <v>46235</v>
      </c>
      <c r="B3106" t="s">
        <v>1493</v>
      </c>
      <c r="C3106" t="s">
        <v>1495</v>
      </c>
      <c r="D3106" t="s">
        <v>180</v>
      </c>
      <c r="E3106" t="s">
        <v>54</v>
      </c>
      <c r="F3106">
        <v>11</v>
      </c>
      <c r="J3106" s="14" t="str">
        <f>_xlfn.XLOOKUP(B3106,CAD_PDV!A:A,CAD_PDV!B:B)</f>
        <v>PRIME ARACATUBA</v>
      </c>
      <c r="K3106" s="14">
        <f>IF(IFERROR(_xlfn.XLOOKUP(B3106,Planilha2!D:D,Planilha2!H:H),0)="SIM",1,0)</f>
        <v>0</v>
      </c>
      <c r="L3106" s="14" t="str">
        <f>_xlfn.XLOOKUP(B3106,CAD_PDV!A:A,CAD_PDV!C:C)</f>
        <v>SP2</v>
      </c>
      <c r="M3106" s="14" t="str">
        <f>IFERROR(_xlfn.XLOOKUP(B3106,repete!A:A,repete!A:A),"-")</f>
        <v>-</v>
      </c>
    </row>
    <row r="3107" spans="1:13">
      <c r="A3107" s="1">
        <v>46235</v>
      </c>
      <c r="B3107" t="s">
        <v>818</v>
      </c>
      <c r="C3107" t="s">
        <v>820</v>
      </c>
      <c r="D3107" t="s">
        <v>231</v>
      </c>
      <c r="E3107" t="s">
        <v>59</v>
      </c>
      <c r="F3107">
        <v>23</v>
      </c>
      <c r="J3107" s="14" t="str">
        <f>_xlfn.XLOOKUP(B3107,CAD_PDV!A:A,CAD_PDV!B:B)</f>
        <v>HIROTA &amp; HIROTA LTDA - ME</v>
      </c>
      <c r="K3107" s="14">
        <f>IF(IFERROR(_xlfn.XLOOKUP(B3107,Planilha2!D:D,Planilha2!H:H),0)="SIM",1,0)</f>
        <v>0</v>
      </c>
      <c r="L3107" s="14" t="str">
        <f>_xlfn.XLOOKUP(B3107,CAD_PDV!A:A,CAD_PDV!C:C)</f>
        <v>CO</v>
      </c>
      <c r="M3107" s="14" t="str">
        <f>IFERROR(_xlfn.XLOOKUP(B3107,repete!A:A,repete!A:A),"-")</f>
        <v>-</v>
      </c>
    </row>
    <row r="3108" spans="1:13">
      <c r="A3108" s="1">
        <v>46235</v>
      </c>
      <c r="B3108" t="s">
        <v>594</v>
      </c>
      <c r="C3108" t="s">
        <v>570</v>
      </c>
      <c r="D3108" t="s">
        <v>166</v>
      </c>
      <c r="E3108" t="s">
        <v>56</v>
      </c>
      <c r="F3108">
        <v>23</v>
      </c>
      <c r="J3108" s="14" t="str">
        <f>_xlfn.XLOOKUP(B3108,CAD_PDV!A:A,CAD_PDV!B:B)</f>
        <v>MAX CEL GV LTDA</v>
      </c>
      <c r="K3108" s="14">
        <f>IF(IFERROR(_xlfn.XLOOKUP(B3108,Planilha2!D:D,Planilha2!H:H),0)="SIM",1,0)</f>
        <v>0</v>
      </c>
      <c r="L3108" s="14" t="str">
        <f>_xlfn.XLOOKUP(B3108,CAD_PDV!A:A,CAD_PDV!C:C)</f>
        <v>MG</v>
      </c>
      <c r="M3108" s="14" t="str">
        <f>IFERROR(_xlfn.XLOOKUP(B3108,repete!A:A,repete!A:A),"-")</f>
        <v>-</v>
      </c>
    </row>
    <row r="3109" spans="1:13">
      <c r="A3109" s="1">
        <v>46235</v>
      </c>
      <c r="B3109" t="s">
        <v>744</v>
      </c>
      <c r="C3109" t="s">
        <v>745</v>
      </c>
      <c r="D3109" t="s">
        <v>224</v>
      </c>
      <c r="E3109" t="s">
        <v>59</v>
      </c>
      <c r="F3109">
        <v>24</v>
      </c>
      <c r="J3109" s="14" t="str">
        <f>_xlfn.XLOOKUP(B3109,CAD_PDV!A:A,CAD_PDV!B:B)</f>
        <v>CELNET COMERCIO E SERVICOS DE TELEFONIA LTDA ME</v>
      </c>
      <c r="K3109" s="14">
        <f>IF(IFERROR(_xlfn.XLOOKUP(B3109,Planilha2!D:D,Planilha2!H:H),0)="SIM",1,0)</f>
        <v>0</v>
      </c>
      <c r="L3109" s="14" t="str">
        <f>_xlfn.XLOOKUP(B3109,CAD_PDV!A:A,CAD_PDV!C:C)</f>
        <v>CO</v>
      </c>
      <c r="M3109" s="14" t="str">
        <f>IFERROR(_xlfn.XLOOKUP(B3109,repete!A:A,repete!A:A),"-")</f>
        <v>-</v>
      </c>
    </row>
    <row r="3110" spans="1:13">
      <c r="A3110" s="1">
        <v>46235</v>
      </c>
      <c r="B3110" t="s">
        <v>986</v>
      </c>
      <c r="C3110" t="s">
        <v>988</v>
      </c>
      <c r="D3110" t="s">
        <v>101</v>
      </c>
      <c r="E3110" t="s">
        <v>60</v>
      </c>
      <c r="F3110">
        <v>25</v>
      </c>
      <c r="J3110" s="14" t="str">
        <f>_xlfn.XLOOKUP(B3110,CAD_PDV!A:A,CAD_PDV!B:B)</f>
        <v>CAMILA TAMBONE DE ALMEIDA EIRELI - EPP</v>
      </c>
      <c r="K3110" s="14">
        <f>IF(IFERROR(_xlfn.XLOOKUP(B3110,Planilha2!D:D,Planilha2!H:H),0)="SIM",1,0)</f>
        <v>0</v>
      </c>
      <c r="L3110" s="14" t="str">
        <f>_xlfn.XLOOKUP(B3110,CAD_PDV!A:A,CAD_PDV!C:C)</f>
        <v>BA/SE</v>
      </c>
      <c r="M3110" s="14" t="str">
        <f>IFERROR(_xlfn.XLOOKUP(B3110,repete!A:A,repete!A:A),"-")</f>
        <v>-</v>
      </c>
    </row>
    <row r="3111" spans="1:13">
      <c r="A3111" s="1">
        <v>46235</v>
      </c>
      <c r="B3111" t="s">
        <v>2112</v>
      </c>
      <c r="C3111" t="s">
        <v>2113</v>
      </c>
      <c r="D3111" t="s">
        <v>2114</v>
      </c>
      <c r="E3111" t="s">
        <v>56</v>
      </c>
      <c r="F3111">
        <v>2</v>
      </c>
      <c r="J3111" s="14" t="str">
        <f>_xlfn.XLOOKUP(B3111,CAD_PDV!A:A,CAD_PDV!B:B)</f>
        <v xml:space="preserve">CENTRAL DO NORTE EMPREENDIMENTOS LTDA </v>
      </c>
      <c r="K3111" s="14">
        <f>IF(IFERROR(_xlfn.XLOOKUP(B3111,Planilha2!D:D,Planilha2!H:H),0)="SIM",1,0)</f>
        <v>0</v>
      </c>
      <c r="L3111" s="14" t="str">
        <f>_xlfn.XLOOKUP(B3111,CAD_PDV!A:A,CAD_PDV!C:C)</f>
        <v>MG</v>
      </c>
      <c r="M3111" s="14" t="str">
        <f>IFERROR(_xlfn.XLOOKUP(B3111,repete!A:A,repete!A:A),"-")</f>
        <v>-</v>
      </c>
    </row>
    <row r="3112" spans="1:13">
      <c r="A3112" s="1">
        <v>46235</v>
      </c>
      <c r="B3112" t="s">
        <v>1966</v>
      </c>
      <c r="C3112" t="s">
        <v>1968</v>
      </c>
      <c r="D3112" t="s">
        <v>124</v>
      </c>
      <c r="E3112" t="s">
        <v>2074</v>
      </c>
      <c r="F3112">
        <v>15</v>
      </c>
      <c r="J3112" s="14" t="str">
        <f>_xlfn.XLOOKUP(B3112,CAD_PDV!A:A,CAD_PDV!B:B)</f>
        <v>EDUARDO JUNQUEIRA DA SILVEIRA ADMIN</v>
      </c>
      <c r="K3112" s="14">
        <f>IF(IFERROR(_xlfn.XLOOKUP(B3112,Planilha2!D:D,Planilha2!H:H),0)="SIM",1,0)</f>
        <v>0</v>
      </c>
      <c r="L3112" s="14" t="str">
        <f>_xlfn.XLOOKUP(B3112,CAD_PDV!A:A,CAD_PDV!C:C)</f>
        <v>PR/SC</v>
      </c>
      <c r="M3112" s="14" t="str">
        <f>IFERROR(_xlfn.XLOOKUP(B3112,repete!A:A,repete!A:A),"-")</f>
        <v>-</v>
      </c>
    </row>
    <row r="3113" spans="1:13">
      <c r="A3113" s="1">
        <v>46235</v>
      </c>
      <c r="B3113" t="s">
        <v>922</v>
      </c>
      <c r="C3113" t="s">
        <v>923</v>
      </c>
      <c r="D3113" t="s">
        <v>113</v>
      </c>
      <c r="E3113" t="s">
        <v>59</v>
      </c>
      <c r="F3113">
        <v>1</v>
      </c>
      <c r="J3113" s="14" t="str">
        <f>_xlfn.XLOOKUP(B3113,CAD_PDV!A:A,CAD_PDV!B:B)</f>
        <v>D. R. MEDEIROS &amp; CIA LTDA</v>
      </c>
      <c r="K3113" s="14">
        <f>IF(IFERROR(_xlfn.XLOOKUP(B3113,Planilha2!D:D,Planilha2!H:H),0)="SIM",1,0)</f>
        <v>0</v>
      </c>
      <c r="L3113" s="14" t="str">
        <f>_xlfn.XLOOKUP(B3113,CAD_PDV!A:A,CAD_PDV!C:C)</f>
        <v>CO</v>
      </c>
      <c r="M3113" s="14" t="str">
        <f>IFERROR(_xlfn.XLOOKUP(B3113,repete!A:A,repete!A:A),"-")</f>
        <v>-</v>
      </c>
    </row>
    <row r="3114" spans="1:13">
      <c r="A3114" s="1">
        <v>46235</v>
      </c>
      <c r="B3114" t="s">
        <v>516</v>
      </c>
      <c r="C3114" t="s">
        <v>517</v>
      </c>
      <c r="D3114" t="s">
        <v>142</v>
      </c>
      <c r="E3114" t="s">
        <v>56</v>
      </c>
      <c r="F3114">
        <v>7</v>
      </c>
      <c r="J3114" s="14" t="str">
        <f>_xlfn.XLOOKUP(B3114,CAD_PDV!A:A,CAD_PDV!B:B)</f>
        <v>INOVA TELECOM LTDA</v>
      </c>
      <c r="K3114" s="14">
        <f>IF(IFERROR(_xlfn.XLOOKUP(B3114,Planilha2!D:D,Planilha2!H:H),0)="SIM",1,0)</f>
        <v>1</v>
      </c>
      <c r="L3114" s="14" t="str">
        <f>_xlfn.XLOOKUP(B3114,CAD_PDV!A:A,CAD_PDV!C:C)</f>
        <v>MG</v>
      </c>
      <c r="M3114" s="14" t="str">
        <f>IFERROR(_xlfn.XLOOKUP(B3114,repete!A:A,repete!A:A),"-")</f>
        <v>-</v>
      </c>
    </row>
    <row r="3115" spans="1:13">
      <c r="A3115" s="1">
        <v>46235</v>
      </c>
      <c r="B3115" t="s">
        <v>312</v>
      </c>
      <c r="C3115" t="s">
        <v>314</v>
      </c>
      <c r="D3115" t="s">
        <v>196</v>
      </c>
      <c r="E3115" t="s">
        <v>61</v>
      </c>
      <c r="F3115">
        <v>42</v>
      </c>
      <c r="J3115" s="14" t="str">
        <f>_xlfn.XLOOKUP(B3115,CAD_PDV!A:A,CAD_PDV!B:B)</f>
        <v>SELF COMERCIO E SERVICOS EM TELEFON</v>
      </c>
      <c r="K3115" s="14">
        <f>IF(IFERROR(_xlfn.XLOOKUP(B3115,Planilha2!D:D,Planilha2!H:H),0)="SIM",1,0)</f>
        <v>0</v>
      </c>
      <c r="L3115" s="14" t="str">
        <f>_xlfn.XLOOKUP(B3115,CAD_PDV!A:A,CAD_PDV!C:C)</f>
        <v>NE</v>
      </c>
      <c r="M3115" s="14" t="str">
        <f>IFERROR(_xlfn.XLOOKUP(B3115,repete!A:A,repete!A:A),"-")</f>
        <v>-</v>
      </c>
    </row>
    <row r="3116" spans="1:13">
      <c r="A3116" s="1">
        <v>46235</v>
      </c>
      <c r="B3116" t="s">
        <v>1048</v>
      </c>
      <c r="C3116" t="s">
        <v>1025</v>
      </c>
      <c r="D3116" t="s">
        <v>222</v>
      </c>
      <c r="E3116" t="s">
        <v>60</v>
      </c>
      <c r="F3116">
        <v>39</v>
      </c>
      <c r="J3116" s="14" t="str">
        <f>_xlfn.XLOOKUP(B3116,CAD_PDV!A:A,CAD_PDV!B:B)</f>
        <v>ANCLA COMERCIO</v>
      </c>
      <c r="K3116" s="14">
        <f>IF(IFERROR(_xlfn.XLOOKUP(B3116,Planilha2!D:D,Planilha2!H:H),0)="SIM",1,0)</f>
        <v>0</v>
      </c>
      <c r="L3116" s="14" t="str">
        <f>_xlfn.XLOOKUP(B3116,CAD_PDV!A:A,CAD_PDV!C:C)</f>
        <v>BA/SE</v>
      </c>
      <c r="M3116" s="14" t="str">
        <f>IFERROR(_xlfn.XLOOKUP(B3116,repete!A:A,repete!A:A),"-")</f>
        <v>-</v>
      </c>
    </row>
    <row r="3117" spans="1:13">
      <c r="A3117" s="1">
        <v>46235</v>
      </c>
      <c r="B3117" t="s">
        <v>315</v>
      </c>
      <c r="C3117" t="s">
        <v>316</v>
      </c>
      <c r="D3117" t="s">
        <v>226</v>
      </c>
      <c r="E3117" t="s">
        <v>61</v>
      </c>
      <c r="F3117">
        <v>3</v>
      </c>
      <c r="J3117" s="14" t="str">
        <f>_xlfn.XLOOKUP(B3117,CAD_PDV!A:A,CAD_PDV!B:B)</f>
        <v>DELTA CELL TELECOMUNICACOES LTDA</v>
      </c>
      <c r="K3117" s="14">
        <f>IF(IFERROR(_xlfn.XLOOKUP(B3117,Planilha2!D:D,Planilha2!H:H),0)="SIM",1,0)</f>
        <v>0</v>
      </c>
      <c r="L3117" s="14" t="str">
        <f>_xlfn.XLOOKUP(B3117,CAD_PDV!A:A,CAD_PDV!C:C)</f>
        <v>NE</v>
      </c>
      <c r="M3117" s="14" t="str">
        <f>IFERROR(_xlfn.XLOOKUP(B3117,repete!A:A,repete!A:A),"-")</f>
        <v>-</v>
      </c>
    </row>
    <row r="3118" spans="1:13">
      <c r="A3118" s="1">
        <v>46235</v>
      </c>
      <c r="B3118" t="s">
        <v>1513</v>
      </c>
      <c r="C3118" t="s">
        <v>1515</v>
      </c>
      <c r="D3118" t="s">
        <v>106</v>
      </c>
      <c r="E3118" t="s">
        <v>54</v>
      </c>
      <c r="F3118">
        <v>12</v>
      </c>
      <c r="J3118" s="14" t="str">
        <f>_xlfn.XLOOKUP(B3118,CAD_PDV!A:A,CAD_PDV!B:B)</f>
        <v>CELLULAR.COM</v>
      </c>
      <c r="K3118" s="14">
        <f>IF(IFERROR(_xlfn.XLOOKUP(B3118,Planilha2!D:D,Planilha2!H:H),0)="SIM",1,0)</f>
        <v>0</v>
      </c>
      <c r="L3118" s="14" t="str">
        <f>_xlfn.XLOOKUP(B3118,CAD_PDV!A:A,CAD_PDV!C:C)</f>
        <v>SP2</v>
      </c>
      <c r="M3118" s="14" t="str">
        <f>IFERROR(_xlfn.XLOOKUP(B3118,repete!A:A,repete!A:A),"-")</f>
        <v>-</v>
      </c>
    </row>
    <row r="3119" spans="1:13">
      <c r="A3119" s="1">
        <v>46235</v>
      </c>
      <c r="B3119" t="s">
        <v>435</v>
      </c>
      <c r="C3119" t="s">
        <v>430</v>
      </c>
      <c r="D3119" t="s">
        <v>106</v>
      </c>
      <c r="E3119" t="s">
        <v>56</v>
      </c>
      <c r="F3119">
        <v>30</v>
      </c>
      <c r="J3119" s="14" t="str">
        <f>_xlfn.XLOOKUP(B3119,CAD_PDV!A:A,CAD_PDV!B:B)</f>
        <v>CELLULAR.COM</v>
      </c>
      <c r="K3119" s="14">
        <f>IF(IFERROR(_xlfn.XLOOKUP(B3119,Planilha2!D:D,Planilha2!H:H),0)="SIM",1,0)</f>
        <v>0</v>
      </c>
      <c r="L3119" s="14" t="str">
        <f>_xlfn.XLOOKUP(B3119,CAD_PDV!A:A,CAD_PDV!C:C)</f>
        <v>MG</v>
      </c>
      <c r="M3119" s="14" t="str">
        <f>IFERROR(_xlfn.XLOOKUP(B3119,repete!A:A,repete!A:A),"-")</f>
        <v>-</v>
      </c>
    </row>
    <row r="3120" spans="1:13">
      <c r="A3120" s="1">
        <v>46235</v>
      </c>
      <c r="B3120" t="s">
        <v>1312</v>
      </c>
      <c r="C3120" t="s">
        <v>1313</v>
      </c>
      <c r="D3120" t="s">
        <v>105</v>
      </c>
      <c r="E3120" t="s">
        <v>53</v>
      </c>
      <c r="F3120">
        <v>25</v>
      </c>
      <c r="J3120" s="14" t="str">
        <f>_xlfn.XLOOKUP(B3120,CAD_PDV!A:A,CAD_PDV!B:B)</f>
        <v>CELL AZUL CELULARES LTDA - EPP</v>
      </c>
      <c r="K3120" s="14">
        <f>IF(IFERROR(_xlfn.XLOOKUP(B3120,Planilha2!D:D,Planilha2!H:H),0)="SIM",1,0)</f>
        <v>0</v>
      </c>
      <c r="L3120" s="14" t="str">
        <f>_xlfn.XLOOKUP(B3120,CAD_PDV!A:A,CAD_PDV!C:C)</f>
        <v>SP1</v>
      </c>
      <c r="M3120" s="14" t="str">
        <f>IFERROR(_xlfn.XLOOKUP(B3120,repete!A:A,repete!A:A),"-")</f>
        <v>-</v>
      </c>
    </row>
    <row r="3121" spans="1:13">
      <c r="A3121" s="1">
        <v>46235</v>
      </c>
      <c r="B3121" t="s">
        <v>317</v>
      </c>
      <c r="C3121" t="s">
        <v>261</v>
      </c>
      <c r="D3121" t="s">
        <v>174</v>
      </c>
      <c r="E3121" t="s">
        <v>61</v>
      </c>
      <c r="F3121">
        <v>30</v>
      </c>
      <c r="J3121" s="14" t="str">
        <f>_xlfn.XLOOKUP(B3121,CAD_PDV!A:A,CAD_PDV!B:B)</f>
        <v>NAUM RAONI VARELA DOS SANTOS - ME</v>
      </c>
      <c r="K3121" s="14">
        <f>IF(IFERROR(_xlfn.XLOOKUP(B3121,Planilha2!D:D,Planilha2!H:H),0)="SIM",1,0)</f>
        <v>0</v>
      </c>
      <c r="L3121" s="14" t="str">
        <f>_xlfn.XLOOKUP(B3121,CAD_PDV!A:A,CAD_PDV!C:C)</f>
        <v>NE</v>
      </c>
      <c r="M3121" s="14" t="str">
        <f>IFERROR(_xlfn.XLOOKUP(B3121,repete!A:A,repete!A:A),"-")</f>
        <v>-</v>
      </c>
    </row>
    <row r="3122" spans="1:13">
      <c r="A3122" s="1">
        <v>46235</v>
      </c>
      <c r="B3122" t="s">
        <v>1137</v>
      </c>
      <c r="C3122" t="s">
        <v>1138</v>
      </c>
      <c r="D3122" t="s">
        <v>117</v>
      </c>
      <c r="E3122" t="s">
        <v>62</v>
      </c>
      <c r="F3122">
        <v>6</v>
      </c>
      <c r="J3122" s="14" t="str">
        <f>_xlfn.XLOOKUP(B3122,CAD_PDV!A:A,CAD_PDV!B:B)</f>
        <v>DIN COMERCIO E SERVICOS EIRELI - EPP</v>
      </c>
      <c r="K3122" s="14">
        <f>IF(IFERROR(_xlfn.XLOOKUP(B3122,Planilha2!D:D,Planilha2!H:H),0)="SIM",1,0)</f>
        <v>0</v>
      </c>
      <c r="L3122" s="14" t="str">
        <f>_xlfn.XLOOKUP(B3122,CAD_PDV!A:A,CAD_PDV!C:C)</f>
        <v>NO</v>
      </c>
      <c r="M3122" s="14" t="str">
        <f>IFERROR(_xlfn.XLOOKUP(B3122,repete!A:A,repete!A:A),"-")</f>
        <v>-</v>
      </c>
    </row>
    <row r="3123" spans="1:13">
      <c r="A3123" s="1">
        <v>46235</v>
      </c>
      <c r="B3123" t="s">
        <v>1397</v>
      </c>
      <c r="C3123" t="s">
        <v>1399</v>
      </c>
      <c r="D3123" t="s">
        <v>106</v>
      </c>
      <c r="E3123" t="s">
        <v>53</v>
      </c>
      <c r="F3123">
        <v>6</v>
      </c>
      <c r="J3123" s="14" t="str">
        <f>_xlfn.XLOOKUP(B3123,CAD_PDV!A:A,CAD_PDV!B:B)</f>
        <v>CELLULAR.COM</v>
      </c>
      <c r="K3123" s="14">
        <f>IF(IFERROR(_xlfn.XLOOKUP(B3123,Planilha2!D:D,Planilha2!H:H),0)="SIM",1,0)</f>
        <v>0</v>
      </c>
      <c r="L3123" s="14" t="str">
        <f>_xlfn.XLOOKUP(B3123,CAD_PDV!A:A,CAD_PDV!C:C)</f>
        <v>SP1</v>
      </c>
      <c r="M3123" s="14" t="str">
        <f>IFERROR(_xlfn.XLOOKUP(B3123,repete!A:A,repete!A:A),"-")</f>
        <v>-</v>
      </c>
    </row>
    <row r="3124" spans="1:13">
      <c r="A3124" s="1">
        <v>46235</v>
      </c>
      <c r="B3124" t="s">
        <v>1095</v>
      </c>
      <c r="C3124" t="s">
        <v>1096</v>
      </c>
      <c r="D3124" t="s">
        <v>117</v>
      </c>
      <c r="E3124" t="s">
        <v>62</v>
      </c>
      <c r="F3124">
        <v>15</v>
      </c>
      <c r="J3124" s="14" t="str">
        <f>_xlfn.XLOOKUP(B3124,CAD_PDV!A:A,CAD_PDV!B:B)</f>
        <v>DIN COMERCIO E SERVICOS EIRELI - EPP</v>
      </c>
      <c r="K3124" s="14">
        <f>IF(IFERROR(_xlfn.XLOOKUP(B3124,Planilha2!D:D,Planilha2!H:H),0)="SIM",1,0)</f>
        <v>0</v>
      </c>
      <c r="L3124" s="14" t="str">
        <f>_xlfn.XLOOKUP(B3124,CAD_PDV!A:A,CAD_PDV!C:C)</f>
        <v>NO</v>
      </c>
      <c r="M3124" s="14" t="str">
        <f>IFERROR(_xlfn.XLOOKUP(B3124,repete!A:A,repete!A:A),"-")</f>
        <v>-</v>
      </c>
    </row>
    <row r="3125" spans="1:13">
      <c r="A3125" s="1">
        <v>46235</v>
      </c>
      <c r="B3125" t="s">
        <v>730</v>
      </c>
      <c r="C3125" t="s">
        <v>732</v>
      </c>
      <c r="D3125" t="s">
        <v>231</v>
      </c>
      <c r="E3125" t="s">
        <v>59</v>
      </c>
      <c r="F3125">
        <v>20</v>
      </c>
      <c r="J3125" s="14" t="str">
        <f>_xlfn.XLOOKUP(B3125,CAD_PDV!A:A,CAD_PDV!B:B)</f>
        <v>HIROTA &amp; HIROTA LTDA - ME</v>
      </c>
      <c r="K3125" s="14">
        <f>IF(IFERROR(_xlfn.XLOOKUP(B3125,Planilha2!D:D,Planilha2!H:H),0)="SIM",1,0)</f>
        <v>0</v>
      </c>
      <c r="L3125" s="14" t="str">
        <f>_xlfn.XLOOKUP(B3125,CAD_PDV!A:A,CAD_PDV!C:C)</f>
        <v>CO</v>
      </c>
      <c r="M3125" s="14" t="str">
        <f>IFERROR(_xlfn.XLOOKUP(B3125,repete!A:A,repete!A:A),"-")</f>
        <v>-</v>
      </c>
    </row>
    <row r="3126" spans="1:13">
      <c r="A3126" s="1">
        <v>46235</v>
      </c>
      <c r="B3126" t="s">
        <v>1759</v>
      </c>
      <c r="C3126" t="s">
        <v>1760</v>
      </c>
      <c r="D3126" t="s">
        <v>106</v>
      </c>
      <c r="E3126" t="s">
        <v>2074</v>
      </c>
      <c r="F3126">
        <v>107</v>
      </c>
      <c r="J3126" s="14" t="str">
        <f>_xlfn.XLOOKUP(B3126,CAD_PDV!A:A,CAD_PDV!B:B)</f>
        <v>CELLULAR.COM</v>
      </c>
      <c r="K3126" s="14">
        <f>IF(IFERROR(_xlfn.XLOOKUP(B3126,Planilha2!D:D,Planilha2!H:H),0)="SIM",1,0)</f>
        <v>0</v>
      </c>
      <c r="L3126" s="14" t="str">
        <f>_xlfn.XLOOKUP(B3126,CAD_PDV!A:A,CAD_PDV!C:C)</f>
        <v>RS</v>
      </c>
      <c r="M3126" s="14" t="str">
        <f>IFERROR(_xlfn.XLOOKUP(B3126,repete!A:A,repete!A:A),"-")</f>
        <v>-</v>
      </c>
    </row>
    <row r="3127" spans="1:13">
      <c r="A3127" s="1">
        <v>46235</v>
      </c>
      <c r="B3127" t="s">
        <v>989</v>
      </c>
      <c r="C3127" t="s">
        <v>944</v>
      </c>
      <c r="D3127" t="s">
        <v>222</v>
      </c>
      <c r="E3127" t="s">
        <v>60</v>
      </c>
      <c r="F3127">
        <v>14</v>
      </c>
      <c r="J3127" s="14" t="str">
        <f>_xlfn.XLOOKUP(B3127,CAD_PDV!A:A,CAD_PDV!B:B)</f>
        <v>ANCLA COMERCIO</v>
      </c>
      <c r="K3127" s="14">
        <f>IF(IFERROR(_xlfn.XLOOKUP(B3127,Planilha2!D:D,Planilha2!H:H),0)="SIM",1,0)</f>
        <v>0</v>
      </c>
      <c r="L3127" s="14" t="str">
        <f>_xlfn.XLOOKUP(B3127,CAD_PDV!A:A,CAD_PDV!C:C)</f>
        <v>BA/SE</v>
      </c>
      <c r="M3127" s="14" t="str">
        <f>IFERROR(_xlfn.XLOOKUP(B3127,repete!A:A,repete!A:A),"-")</f>
        <v>-</v>
      </c>
    </row>
    <row r="3128" spans="1:13">
      <c r="A3128" s="1">
        <v>46235</v>
      </c>
      <c r="B3128" t="s">
        <v>1051</v>
      </c>
      <c r="C3128" t="s">
        <v>1052</v>
      </c>
      <c r="D3128" t="s">
        <v>181</v>
      </c>
      <c r="E3128" t="s">
        <v>60</v>
      </c>
      <c r="F3128">
        <v>1</v>
      </c>
      <c r="J3128" s="14" t="str">
        <f>_xlfn.XLOOKUP(B3128,CAD_PDV!A:A,CAD_PDV!B:B)</f>
        <v>PRIME TELECOM COMERCIO E SERVICOS DE COMUNICACAO LTDA</v>
      </c>
      <c r="K3128" s="14">
        <f>IF(IFERROR(_xlfn.XLOOKUP(B3128,Planilha2!D:D,Planilha2!H:H),0)="SIM",1,0)</f>
        <v>0</v>
      </c>
      <c r="L3128" s="14" t="str">
        <f>_xlfn.XLOOKUP(B3128,CAD_PDV!A:A,CAD_PDV!C:C)</f>
        <v>BA/SE</v>
      </c>
      <c r="M3128" s="14" t="str">
        <f>IFERROR(_xlfn.XLOOKUP(B3128,repete!A:A,repete!A:A),"-")</f>
        <v>-</v>
      </c>
    </row>
    <row r="3129" spans="1:13">
      <c r="A3129" s="1">
        <v>46235</v>
      </c>
      <c r="B3129" t="s">
        <v>919</v>
      </c>
      <c r="C3129" t="s">
        <v>920</v>
      </c>
      <c r="D3129" t="s">
        <v>113</v>
      </c>
      <c r="E3129" t="s">
        <v>59</v>
      </c>
      <c r="F3129">
        <v>2</v>
      </c>
      <c r="J3129" s="14" t="str">
        <f>_xlfn.XLOOKUP(B3129,CAD_PDV!A:A,CAD_PDV!B:B)</f>
        <v>D. R. MEDEIROS &amp; CIA LTDA</v>
      </c>
      <c r="K3129" s="14">
        <f>IF(IFERROR(_xlfn.XLOOKUP(B3129,Planilha2!D:D,Planilha2!H:H),0)="SIM",1,0)</f>
        <v>0</v>
      </c>
      <c r="L3129" s="14" t="str">
        <f>_xlfn.XLOOKUP(B3129,CAD_PDV!A:A,CAD_PDV!C:C)</f>
        <v>CO</v>
      </c>
      <c r="M3129" s="14" t="str">
        <f>IFERROR(_xlfn.XLOOKUP(B3129,repete!A:A,repete!A:A),"-")</f>
        <v>-</v>
      </c>
    </row>
    <row r="3130" spans="1:13">
      <c r="A3130" s="1">
        <v>46235</v>
      </c>
      <c r="B3130" t="s">
        <v>1524</v>
      </c>
      <c r="C3130" t="s">
        <v>1525</v>
      </c>
      <c r="D3130" t="s">
        <v>180</v>
      </c>
      <c r="E3130" t="s">
        <v>54</v>
      </c>
      <c r="F3130">
        <v>4</v>
      </c>
      <c r="J3130" s="14" t="str">
        <f>_xlfn.XLOOKUP(B3130,CAD_PDV!A:A,CAD_PDV!B:B)</f>
        <v>PRIME ARACATUBA</v>
      </c>
      <c r="K3130" s="14">
        <f>IF(IFERROR(_xlfn.XLOOKUP(B3130,Planilha2!D:D,Planilha2!H:H),0)="SIM",1,0)</f>
        <v>0</v>
      </c>
      <c r="L3130" s="14" t="str">
        <f>_xlfn.XLOOKUP(B3130,CAD_PDV!A:A,CAD_PDV!C:C)</f>
        <v>SP2</v>
      </c>
      <c r="M3130" s="14" t="str">
        <f>IFERROR(_xlfn.XLOOKUP(B3130,repete!A:A,repete!A:A),"-")</f>
        <v>-</v>
      </c>
    </row>
    <row r="3131" spans="1:13">
      <c r="A3131" s="1">
        <v>46235</v>
      </c>
      <c r="B3131" t="s">
        <v>1854</v>
      </c>
      <c r="C3131" t="s">
        <v>1856</v>
      </c>
      <c r="D3131" t="s">
        <v>106</v>
      </c>
      <c r="E3131" t="s">
        <v>2074</v>
      </c>
      <c r="F3131">
        <v>46</v>
      </c>
      <c r="J3131" s="14" t="str">
        <f>_xlfn.XLOOKUP(B3131,CAD_PDV!A:A,CAD_PDV!B:B)</f>
        <v>CELLULAR.COM</v>
      </c>
      <c r="K3131" s="14">
        <f>IF(IFERROR(_xlfn.XLOOKUP(B3131,Planilha2!D:D,Planilha2!H:H),0)="SIM",1,0)</f>
        <v>0</v>
      </c>
      <c r="L3131" s="14" t="str">
        <f>_xlfn.XLOOKUP(B3131,CAD_PDV!A:A,CAD_PDV!C:C)</f>
        <v>PR/SC</v>
      </c>
      <c r="M3131" s="14" t="str">
        <f>IFERROR(_xlfn.XLOOKUP(B3131,repete!A:A,repete!A:A),"-")</f>
        <v>-</v>
      </c>
    </row>
    <row r="3132" spans="1:13">
      <c r="A3132" s="1">
        <v>46235</v>
      </c>
      <c r="B3132" t="s">
        <v>397</v>
      </c>
      <c r="C3132" t="s">
        <v>398</v>
      </c>
      <c r="D3132" t="s">
        <v>174</v>
      </c>
      <c r="E3132" t="s">
        <v>61</v>
      </c>
      <c r="F3132">
        <v>1</v>
      </c>
      <c r="J3132" s="14" t="str">
        <f>_xlfn.XLOOKUP(B3132,CAD_PDV!A:A,CAD_PDV!B:B)</f>
        <v>NAUM RAONI VARELA DOS SANTOS - ME</v>
      </c>
      <c r="K3132" s="14">
        <f>IF(IFERROR(_xlfn.XLOOKUP(B3132,Planilha2!D:D,Planilha2!H:H),0)="SIM",1,0)</f>
        <v>0</v>
      </c>
      <c r="L3132" s="14" t="str">
        <f>_xlfn.XLOOKUP(B3132,CAD_PDV!A:A,CAD_PDV!C:C)</f>
        <v>NE</v>
      </c>
      <c r="M3132" s="14" t="str">
        <f>IFERROR(_xlfn.XLOOKUP(B3132,repete!A:A,repete!A:A),"-")</f>
        <v>-</v>
      </c>
    </row>
    <row r="3133" spans="1:13">
      <c r="A3133" s="1">
        <v>46235</v>
      </c>
      <c r="B3133" t="s">
        <v>1526</v>
      </c>
      <c r="C3133" t="s">
        <v>1527</v>
      </c>
      <c r="D3133" t="s">
        <v>106</v>
      </c>
      <c r="E3133" t="s">
        <v>54</v>
      </c>
      <c r="F3133">
        <v>29</v>
      </c>
      <c r="J3133" s="14" t="str">
        <f>_xlfn.XLOOKUP(B3133,CAD_PDV!A:A,CAD_PDV!B:B)</f>
        <v>CELLULAR.COM</v>
      </c>
      <c r="K3133" s="14">
        <f>IF(IFERROR(_xlfn.XLOOKUP(B3133,Planilha2!D:D,Planilha2!H:H),0)="SIM",1,0)</f>
        <v>0</v>
      </c>
      <c r="L3133" s="14" t="str">
        <f>_xlfn.XLOOKUP(B3133,CAD_PDV!A:A,CAD_PDV!C:C)</f>
        <v>SP2</v>
      </c>
      <c r="M3133" s="14" t="str">
        <f>IFERROR(_xlfn.XLOOKUP(B3133,repete!A:A,repete!A:A),"-")</f>
        <v>-</v>
      </c>
    </row>
    <row r="3134" spans="1:13">
      <c r="A3134" s="1">
        <v>46235</v>
      </c>
      <c r="B3134" t="s">
        <v>876</v>
      </c>
      <c r="C3134" t="s">
        <v>873</v>
      </c>
      <c r="D3134" t="s">
        <v>224</v>
      </c>
      <c r="E3134" t="s">
        <v>59</v>
      </c>
      <c r="F3134">
        <v>20</v>
      </c>
      <c r="J3134" s="14" t="str">
        <f>_xlfn.XLOOKUP(B3134,CAD_PDV!A:A,CAD_PDV!B:B)</f>
        <v>CELNET COMERCIO E SERVICOS DE TELEFONIA LTDA ME</v>
      </c>
      <c r="K3134" s="14">
        <f>IF(IFERROR(_xlfn.XLOOKUP(B3134,Planilha2!D:D,Planilha2!H:H),0)="SIM",1,0)</f>
        <v>0</v>
      </c>
      <c r="L3134" s="14" t="str">
        <f>_xlfn.XLOOKUP(B3134,CAD_PDV!A:A,CAD_PDV!C:C)</f>
        <v>CO</v>
      </c>
      <c r="M3134" s="14" t="str">
        <f>IFERROR(_xlfn.XLOOKUP(B3134,repete!A:A,repete!A:A),"-")</f>
        <v>-</v>
      </c>
    </row>
    <row r="3135" spans="1:13">
      <c r="A3135" s="1">
        <v>46235</v>
      </c>
      <c r="B3135" t="s">
        <v>1997</v>
      </c>
      <c r="C3135" t="s">
        <v>1998</v>
      </c>
      <c r="D3135" t="s">
        <v>124</v>
      </c>
      <c r="E3135" t="s">
        <v>2074</v>
      </c>
      <c r="F3135">
        <v>12</v>
      </c>
      <c r="J3135" s="14" t="str">
        <f>_xlfn.XLOOKUP(B3135,CAD_PDV!A:A,CAD_PDV!B:B)</f>
        <v>EDUARDO JUNQUEIRA DA SILVEIRA ADMIN</v>
      </c>
      <c r="K3135" s="14">
        <f>IF(IFERROR(_xlfn.XLOOKUP(B3135,Planilha2!D:D,Planilha2!H:H),0)="SIM",1,0)</f>
        <v>0</v>
      </c>
      <c r="L3135" s="14" t="str">
        <f>_xlfn.XLOOKUP(B3135,CAD_PDV!A:A,CAD_PDV!C:C)</f>
        <v>RS</v>
      </c>
      <c r="M3135" s="14" t="str">
        <f>IFERROR(_xlfn.XLOOKUP(B3135,repete!A:A,repete!A:A),"-")</f>
        <v>-</v>
      </c>
    </row>
    <row r="3136" spans="1:13">
      <c r="A3136" s="1">
        <v>46235</v>
      </c>
      <c r="B3136" t="s">
        <v>1923</v>
      </c>
      <c r="C3136" t="s">
        <v>1924</v>
      </c>
      <c r="D3136" t="s">
        <v>106</v>
      </c>
      <c r="E3136" t="s">
        <v>2074</v>
      </c>
      <c r="F3136">
        <v>10</v>
      </c>
      <c r="J3136" s="14" t="str">
        <f>_xlfn.XLOOKUP(B3136,CAD_PDV!A:A,CAD_PDV!B:B)</f>
        <v>CELLULAR.COM</v>
      </c>
      <c r="K3136" s="14">
        <f>IF(IFERROR(_xlfn.XLOOKUP(B3136,Planilha2!D:D,Planilha2!H:H),0)="SIM",1,0)</f>
        <v>0</v>
      </c>
      <c r="L3136" s="14" t="str">
        <f>_xlfn.XLOOKUP(B3136,CAD_PDV!A:A,CAD_PDV!C:C)</f>
        <v>PR/SC</v>
      </c>
      <c r="M3136" s="14" t="str">
        <f>IFERROR(_xlfn.XLOOKUP(B3136,repete!A:A,repete!A:A),"-")</f>
        <v>-</v>
      </c>
    </row>
    <row r="3137" spans="1:13">
      <c r="A3137" s="1">
        <v>46235</v>
      </c>
      <c r="B3137" t="s">
        <v>504</v>
      </c>
      <c r="C3137" t="s">
        <v>505</v>
      </c>
      <c r="D3137" t="s">
        <v>106</v>
      </c>
      <c r="E3137" t="s">
        <v>56</v>
      </c>
      <c r="F3137">
        <v>5</v>
      </c>
      <c r="J3137" s="14" t="str">
        <f>_xlfn.XLOOKUP(B3137,CAD_PDV!A:A,CAD_PDV!B:B)</f>
        <v>CELLULAR.COM</v>
      </c>
      <c r="K3137" s="14">
        <f>IF(IFERROR(_xlfn.XLOOKUP(B3137,Planilha2!D:D,Planilha2!H:H),0)="SIM",1,0)</f>
        <v>0</v>
      </c>
      <c r="L3137" s="14" t="str">
        <f>_xlfn.XLOOKUP(B3137,CAD_PDV!A:A,CAD_PDV!C:C)</f>
        <v>MG</v>
      </c>
      <c r="M3137" s="14" t="str">
        <f>IFERROR(_xlfn.XLOOKUP(B3137,repete!A:A,repete!A:A),"-")</f>
        <v>-</v>
      </c>
    </row>
    <row r="3138" spans="1:13">
      <c r="A3138" s="1">
        <v>46235</v>
      </c>
      <c r="B3138" t="s">
        <v>1915</v>
      </c>
      <c r="C3138" t="s">
        <v>1916</v>
      </c>
      <c r="D3138" t="s">
        <v>106</v>
      </c>
      <c r="E3138" t="s">
        <v>2074</v>
      </c>
      <c r="F3138">
        <v>14</v>
      </c>
      <c r="J3138" s="14" t="str">
        <f>_xlfn.XLOOKUP(B3138,CAD_PDV!A:A,CAD_PDV!B:B)</f>
        <v>CELLULAR.COM</v>
      </c>
      <c r="K3138" s="14">
        <f>IF(IFERROR(_xlfn.XLOOKUP(B3138,Planilha2!D:D,Planilha2!H:H),0)="SIM",1,0)</f>
        <v>0</v>
      </c>
      <c r="L3138" s="14" t="str">
        <f>_xlfn.XLOOKUP(B3138,CAD_PDV!A:A,CAD_PDV!C:C)</f>
        <v>PR/SC</v>
      </c>
      <c r="M3138" s="14" t="str">
        <f>IFERROR(_xlfn.XLOOKUP(B3138,repete!A:A,repete!A:A),"-")</f>
        <v>-</v>
      </c>
    </row>
    <row r="3139" spans="1:13">
      <c r="A3139" s="1">
        <v>46235</v>
      </c>
      <c r="B3139" t="s">
        <v>1529</v>
      </c>
      <c r="C3139" t="s">
        <v>1530</v>
      </c>
      <c r="D3139" t="s">
        <v>120</v>
      </c>
      <c r="E3139" t="s">
        <v>54</v>
      </c>
      <c r="F3139">
        <v>22</v>
      </c>
      <c r="J3139" s="14" t="str">
        <f>_xlfn.XLOOKUP(B3139,CAD_PDV!A:A,CAD_PDV!B:B)</f>
        <v>DOUGLAS LUIZ ELETRONICOS - ME</v>
      </c>
      <c r="K3139" s="14">
        <f>IF(IFERROR(_xlfn.XLOOKUP(B3139,Planilha2!D:D,Planilha2!H:H),0)="SIM",1,0)</f>
        <v>0</v>
      </c>
      <c r="L3139" s="14" t="str">
        <f>_xlfn.XLOOKUP(B3139,CAD_PDV!A:A,CAD_PDV!C:C)</f>
        <v>SP2</v>
      </c>
      <c r="M3139" s="14" t="str">
        <f>IFERROR(_xlfn.XLOOKUP(B3139,repete!A:A,repete!A:A),"-")</f>
        <v>-</v>
      </c>
    </row>
    <row r="3140" spans="1:13">
      <c r="A3140" s="1">
        <v>46235</v>
      </c>
      <c r="B3140" t="s">
        <v>854</v>
      </c>
      <c r="C3140" t="s">
        <v>855</v>
      </c>
      <c r="D3140" t="s">
        <v>2073</v>
      </c>
      <c r="E3140" t="s">
        <v>59</v>
      </c>
      <c r="F3140">
        <v>3</v>
      </c>
      <c r="J3140" s="14" t="str">
        <f>_xlfn.XLOOKUP(B3140,CAD_PDV!A:A,CAD_PDV!B:B)</f>
        <v xml:space="preserve">CONTACOM COMERCIO DE APARELHOS ELETRONICOS LTDA </v>
      </c>
      <c r="K3140" s="14">
        <f>IF(IFERROR(_xlfn.XLOOKUP(B3140,Planilha2!D:D,Planilha2!H:H),0)="SIM",1,0)</f>
        <v>0</v>
      </c>
      <c r="L3140" s="14" t="str">
        <f>_xlfn.XLOOKUP(B3140,CAD_PDV!A:A,CAD_PDV!C:C)</f>
        <v>CO</v>
      </c>
      <c r="M3140" s="14" t="str">
        <f>IFERROR(_xlfn.XLOOKUP(B3140,repete!A:A,repete!A:A),"-")</f>
        <v>-</v>
      </c>
    </row>
    <row r="3141" spans="1:13">
      <c r="A3141" s="1">
        <v>46235</v>
      </c>
      <c r="B3141" t="s">
        <v>521</v>
      </c>
      <c r="C3141" t="s">
        <v>522</v>
      </c>
      <c r="D3141" t="s">
        <v>134</v>
      </c>
      <c r="E3141" t="s">
        <v>56</v>
      </c>
      <c r="F3141">
        <v>11</v>
      </c>
      <c r="J3141" s="14" t="str">
        <f>_xlfn.XLOOKUP(B3141,CAD_PDV!A:A,CAD_PDV!B:B)</f>
        <v>FOR CELL TELECOM LTDA</v>
      </c>
      <c r="K3141" s="14">
        <f>IF(IFERROR(_xlfn.XLOOKUP(B3141,Planilha2!D:D,Planilha2!H:H),0)="SIM",1,0)</f>
        <v>0</v>
      </c>
      <c r="L3141" s="14" t="str">
        <f>_xlfn.XLOOKUP(B3141,CAD_PDV!A:A,CAD_PDV!C:C)</f>
        <v>MG</v>
      </c>
      <c r="M3141" s="14" t="str">
        <f>IFERROR(_xlfn.XLOOKUP(B3141,repete!A:A,repete!A:A),"-")</f>
        <v>-</v>
      </c>
    </row>
    <row r="3142" spans="1:13">
      <c r="A3142" s="1">
        <v>46235</v>
      </c>
      <c r="B3142" t="s">
        <v>734</v>
      </c>
      <c r="C3142" t="s">
        <v>736</v>
      </c>
      <c r="D3142" t="s">
        <v>231</v>
      </c>
      <c r="E3142" t="s">
        <v>59</v>
      </c>
      <c r="F3142">
        <v>20</v>
      </c>
      <c r="J3142" s="14" t="str">
        <f>_xlfn.XLOOKUP(B3142,CAD_PDV!A:A,CAD_PDV!B:B)</f>
        <v>HIROTA &amp; HIROTA LTDA - ME</v>
      </c>
      <c r="K3142" s="14">
        <f>IF(IFERROR(_xlfn.XLOOKUP(B3142,Planilha2!D:D,Planilha2!H:H),0)="SIM",1,0)</f>
        <v>0</v>
      </c>
      <c r="L3142" s="14" t="str">
        <f>_xlfn.XLOOKUP(B3142,CAD_PDV!A:A,CAD_PDV!C:C)</f>
        <v>CO</v>
      </c>
      <c r="M3142" s="14" t="str">
        <f>IFERROR(_xlfn.XLOOKUP(B3142,repete!A:A,repete!A:A),"-")</f>
        <v>-</v>
      </c>
    </row>
    <row r="3143" spans="1:13">
      <c r="A3143" s="1">
        <v>46235</v>
      </c>
      <c r="B3143" t="s">
        <v>1925</v>
      </c>
      <c r="C3143" t="s">
        <v>1927</v>
      </c>
      <c r="D3143" t="s">
        <v>106</v>
      </c>
      <c r="E3143" t="s">
        <v>2074</v>
      </c>
      <c r="F3143">
        <v>12</v>
      </c>
      <c r="J3143" s="14" t="str">
        <f>_xlfn.XLOOKUP(B3143,CAD_PDV!A:A,CAD_PDV!B:B)</f>
        <v>CELLULAR.COM</v>
      </c>
      <c r="K3143" s="14">
        <f>IF(IFERROR(_xlfn.XLOOKUP(B3143,Planilha2!D:D,Planilha2!H:H),0)="SIM",1,0)</f>
        <v>0</v>
      </c>
      <c r="L3143" s="14" t="str">
        <f>_xlfn.XLOOKUP(B3143,CAD_PDV!A:A,CAD_PDV!C:C)</f>
        <v>PR/SC</v>
      </c>
      <c r="M3143" s="14" t="str">
        <f>IFERROR(_xlfn.XLOOKUP(B3143,repete!A:A,repete!A:A),"-")</f>
        <v>-</v>
      </c>
    </row>
    <row r="3144" spans="1:13">
      <c r="A3144" s="1">
        <v>46235</v>
      </c>
      <c r="B3144" t="s">
        <v>945</v>
      </c>
      <c r="C3144" t="s">
        <v>948</v>
      </c>
      <c r="D3144" t="s">
        <v>198</v>
      </c>
      <c r="E3144" t="s">
        <v>60</v>
      </c>
      <c r="F3144">
        <v>10</v>
      </c>
      <c r="J3144" s="14" t="str">
        <f>_xlfn.XLOOKUP(B3144,CAD_PDV!A:A,CAD_PDV!B:B)</f>
        <v>SHEILA RIOS OLIVEIRA LTDA</v>
      </c>
      <c r="K3144" s="14">
        <f>IF(IFERROR(_xlfn.XLOOKUP(B3144,Planilha2!D:D,Planilha2!H:H),0)="SIM",1,0)</f>
        <v>0</v>
      </c>
      <c r="L3144" s="14" t="str">
        <f>_xlfn.XLOOKUP(B3144,CAD_PDV!A:A,CAD_PDV!C:C)</f>
        <v>BA/SE</v>
      </c>
      <c r="M3144" s="14" t="str">
        <f>IFERROR(_xlfn.XLOOKUP(B3144,repete!A:A,repete!A:A),"-")</f>
        <v>-</v>
      </c>
    </row>
    <row r="3145" spans="1:13">
      <c r="A3145" s="1">
        <v>46235</v>
      </c>
      <c r="B3145" t="s">
        <v>1386</v>
      </c>
      <c r="C3145" t="s">
        <v>1387</v>
      </c>
      <c r="D3145" t="s">
        <v>157</v>
      </c>
      <c r="E3145" t="s">
        <v>53</v>
      </c>
      <c r="F3145">
        <v>19</v>
      </c>
      <c r="J3145" s="14" t="str">
        <f>_xlfn.XLOOKUP(B3145,CAD_PDV!A:A,CAD_PDV!B:B)</f>
        <v>LINK TELECOM COMERCIO DE CELULARES LTDA - ME</v>
      </c>
      <c r="K3145" s="14">
        <f>IF(IFERROR(_xlfn.XLOOKUP(B3145,Planilha2!D:D,Planilha2!H:H),0)="SIM",1,0)</f>
        <v>0</v>
      </c>
      <c r="L3145" s="14" t="str">
        <f>_xlfn.XLOOKUP(B3145,CAD_PDV!A:A,CAD_PDV!C:C)</f>
        <v>SP1</v>
      </c>
      <c r="M3145" s="14" t="str">
        <f>IFERROR(_xlfn.XLOOKUP(B3145,repete!A:A,repete!A:A),"-")</f>
        <v>-</v>
      </c>
    </row>
    <row r="3146" spans="1:13">
      <c r="A3146" s="1">
        <v>46235</v>
      </c>
      <c r="B3146" t="s">
        <v>1532</v>
      </c>
      <c r="C3146" t="s">
        <v>1533</v>
      </c>
      <c r="D3146" t="s">
        <v>106</v>
      </c>
      <c r="E3146" t="s">
        <v>54</v>
      </c>
      <c r="F3146">
        <v>26</v>
      </c>
      <c r="J3146" s="14" t="str">
        <f>_xlfn.XLOOKUP(B3146,CAD_PDV!A:A,CAD_PDV!B:B)</f>
        <v>CELLULAR.COM</v>
      </c>
      <c r="K3146" s="14">
        <f>IF(IFERROR(_xlfn.XLOOKUP(B3146,Planilha2!D:D,Planilha2!H:H),0)="SIM",1,0)</f>
        <v>0</v>
      </c>
      <c r="L3146" s="14" t="str">
        <f>_xlfn.XLOOKUP(B3146,CAD_PDV!A:A,CAD_PDV!C:C)</f>
        <v>SP2</v>
      </c>
      <c r="M3146" s="14" t="str">
        <f>IFERROR(_xlfn.XLOOKUP(B3146,repete!A:A,repete!A:A),"-")</f>
        <v>-</v>
      </c>
    </row>
    <row r="3147" spans="1:13">
      <c r="A3147" s="1">
        <v>46235</v>
      </c>
      <c r="B3147" t="s">
        <v>1536</v>
      </c>
      <c r="C3147" t="s">
        <v>1462</v>
      </c>
      <c r="D3147" t="s">
        <v>106</v>
      </c>
      <c r="E3147" t="s">
        <v>54</v>
      </c>
      <c r="F3147">
        <v>31</v>
      </c>
      <c r="J3147" s="14" t="str">
        <f>_xlfn.XLOOKUP(B3147,CAD_PDV!A:A,CAD_PDV!B:B)</f>
        <v>CELLULAR.COM</v>
      </c>
      <c r="K3147" s="14">
        <f>IF(IFERROR(_xlfn.XLOOKUP(B3147,Planilha2!D:D,Planilha2!H:H),0)="SIM",1,0)</f>
        <v>0</v>
      </c>
      <c r="L3147" s="14" t="str">
        <f>_xlfn.XLOOKUP(B3147,CAD_PDV!A:A,CAD_PDV!C:C)</f>
        <v>SP2</v>
      </c>
      <c r="M3147" s="14" t="str">
        <f>IFERROR(_xlfn.XLOOKUP(B3147,repete!A:A,repete!A:A),"-")</f>
        <v>-</v>
      </c>
    </row>
    <row r="3148" spans="1:13">
      <c r="A3148" s="1">
        <v>46235</v>
      </c>
      <c r="B3148" t="s">
        <v>2115</v>
      </c>
      <c r="C3148" t="s">
        <v>2116</v>
      </c>
      <c r="D3148" t="s">
        <v>169</v>
      </c>
      <c r="E3148" t="s">
        <v>59</v>
      </c>
      <c r="F3148">
        <v>1</v>
      </c>
      <c r="J3148" s="14" t="e">
        <f>_xlfn.XLOOKUP(B3148,CAD_PDV!A:A,CAD_PDV!B:B)</f>
        <v>#N/A</v>
      </c>
      <c r="K3148" s="14">
        <f>IF(IFERROR(_xlfn.XLOOKUP(B3148,Planilha2!D:D,Planilha2!H:H),0)="SIM",1,0)</f>
        <v>0</v>
      </c>
      <c r="L3148" s="14" t="e">
        <f>_xlfn.XLOOKUP(B3148,CAD_PDV!A:A,CAD_PDV!C:C)</f>
        <v>#N/A</v>
      </c>
      <c r="M3148" s="14" t="str">
        <f>IFERROR(_xlfn.XLOOKUP(B3148,repete!A:A,repete!A:A),"-")</f>
        <v>-</v>
      </c>
    </row>
    <row r="3149" spans="1:13">
      <c r="A3149" s="1">
        <v>46235</v>
      </c>
      <c r="B3149" t="s">
        <v>506</v>
      </c>
      <c r="C3149" t="s">
        <v>507</v>
      </c>
      <c r="D3149" t="s">
        <v>106</v>
      </c>
      <c r="E3149" t="s">
        <v>56</v>
      </c>
      <c r="F3149">
        <v>25</v>
      </c>
      <c r="J3149" s="14" t="str">
        <f>_xlfn.XLOOKUP(B3149,CAD_PDV!A:A,CAD_PDV!B:B)</f>
        <v>CELLULAR.COM</v>
      </c>
      <c r="K3149" s="14">
        <f>IF(IFERROR(_xlfn.XLOOKUP(B3149,Planilha2!D:D,Planilha2!H:H),0)="SIM",1,0)</f>
        <v>0</v>
      </c>
      <c r="L3149" s="14" t="str">
        <f>_xlfn.XLOOKUP(B3149,CAD_PDV!A:A,CAD_PDV!C:C)</f>
        <v>MG</v>
      </c>
      <c r="M3149" s="14" t="str">
        <f>IFERROR(_xlfn.XLOOKUP(B3149,repete!A:A,repete!A:A),"-")</f>
        <v>-</v>
      </c>
    </row>
    <row r="3150" spans="1:13">
      <c r="A3150" s="1">
        <v>46235</v>
      </c>
      <c r="B3150" t="s">
        <v>424</v>
      </c>
      <c r="C3150" t="s">
        <v>269</v>
      </c>
      <c r="D3150" t="s">
        <v>227</v>
      </c>
      <c r="E3150" t="s">
        <v>61</v>
      </c>
      <c r="F3150">
        <v>14</v>
      </c>
      <c r="J3150" s="14" t="str">
        <f>_xlfn.XLOOKUP(B3150,CAD_PDV!A:A,CAD_PDV!B:B)</f>
        <v>E-MEAN SERVICOS DE MARKETING DIRETO LTDA</v>
      </c>
      <c r="K3150" s="14">
        <f>IF(IFERROR(_xlfn.XLOOKUP(B3150,Planilha2!D:D,Planilha2!H:H),0)="SIM",1,0)</f>
        <v>0</v>
      </c>
      <c r="L3150" s="14" t="str">
        <f>_xlfn.XLOOKUP(B3150,CAD_PDV!A:A,CAD_PDV!C:C)</f>
        <v>NE</v>
      </c>
      <c r="M3150" s="14" t="str">
        <f>IFERROR(_xlfn.XLOOKUP(B3150,repete!A:A,repete!A:A),"-")</f>
        <v>-</v>
      </c>
    </row>
    <row r="3151" spans="1:13">
      <c r="A3151" s="1">
        <v>46235</v>
      </c>
      <c r="B3151" t="s">
        <v>319</v>
      </c>
      <c r="C3151" t="s">
        <v>320</v>
      </c>
      <c r="D3151" t="s">
        <v>131</v>
      </c>
      <c r="E3151" t="s">
        <v>61</v>
      </c>
      <c r="F3151">
        <v>27</v>
      </c>
      <c r="J3151" s="14" t="str">
        <f>_xlfn.XLOOKUP(B3151,CAD_PDV!A:A,CAD_PDV!B:B)</f>
        <v>FABIANA GONCALVES DA SILVA LINS E CIA LTDA</v>
      </c>
      <c r="K3151" s="14">
        <f>IF(IFERROR(_xlfn.XLOOKUP(B3151,Planilha2!D:D,Planilha2!H:H),0)="SIM",1,0)</f>
        <v>0</v>
      </c>
      <c r="L3151" s="14" t="str">
        <f>_xlfn.XLOOKUP(B3151,CAD_PDV!A:A,CAD_PDV!C:C)</f>
        <v>NE</v>
      </c>
      <c r="M3151" s="14" t="str">
        <f>IFERROR(_xlfn.XLOOKUP(B3151,repete!A:A,repete!A:A),"-")</f>
        <v>-</v>
      </c>
    </row>
    <row r="3152" spans="1:13">
      <c r="A3152" s="1">
        <v>46235</v>
      </c>
      <c r="B3152" t="s">
        <v>1212</v>
      </c>
      <c r="C3152" t="s">
        <v>1142</v>
      </c>
      <c r="D3152" t="s">
        <v>237</v>
      </c>
      <c r="E3152" t="s">
        <v>55</v>
      </c>
      <c r="F3152">
        <v>20</v>
      </c>
      <c r="J3152" s="14" t="str">
        <f>_xlfn.XLOOKUP(B3152,CAD_PDV!A:A,CAD_PDV!B:B)</f>
        <v>PONTO CERTO COMERCIO E COMUNICAÇÕES LTDA</v>
      </c>
      <c r="K3152" s="14">
        <f>IF(IFERROR(_xlfn.XLOOKUP(B3152,Planilha2!D:D,Planilha2!H:H),0)="SIM",1,0)</f>
        <v>0</v>
      </c>
      <c r="L3152" s="14" t="str">
        <f>_xlfn.XLOOKUP(B3152,CAD_PDV!A:A,CAD_PDV!C:C)</f>
        <v>RJ/ES</v>
      </c>
      <c r="M3152" s="14" t="str">
        <f>IFERROR(_xlfn.XLOOKUP(B3152,repete!A:A,repete!A:A),"-")</f>
        <v>-</v>
      </c>
    </row>
    <row r="3153" spans="1:13">
      <c r="A3153" s="1">
        <v>46235</v>
      </c>
      <c r="B3153" t="s">
        <v>321</v>
      </c>
      <c r="C3153" t="s">
        <v>322</v>
      </c>
      <c r="D3153" t="s">
        <v>174</v>
      </c>
      <c r="E3153" t="s">
        <v>61</v>
      </c>
      <c r="F3153">
        <v>4</v>
      </c>
      <c r="J3153" s="14" t="str">
        <f>_xlfn.XLOOKUP(B3153,CAD_PDV!A:A,CAD_PDV!B:B)</f>
        <v>NAUM RAONI VARELA DOS SANTOS - ME</v>
      </c>
      <c r="K3153" s="14">
        <f>IF(IFERROR(_xlfn.XLOOKUP(B3153,Planilha2!D:D,Planilha2!H:H),0)="SIM",1,0)</f>
        <v>0</v>
      </c>
      <c r="L3153" s="14" t="str">
        <f>_xlfn.XLOOKUP(B3153,CAD_PDV!A:A,CAD_PDV!C:C)</f>
        <v>NE</v>
      </c>
      <c r="M3153" s="14" t="str">
        <f>IFERROR(_xlfn.XLOOKUP(B3153,repete!A:A,repete!A:A),"-")</f>
        <v>-</v>
      </c>
    </row>
    <row r="3154" spans="1:13">
      <c r="A3154" s="1">
        <v>46235</v>
      </c>
      <c r="B3154" t="s">
        <v>1388</v>
      </c>
      <c r="C3154" t="s">
        <v>1357</v>
      </c>
      <c r="D3154" t="s">
        <v>157</v>
      </c>
      <c r="E3154" t="s">
        <v>53</v>
      </c>
      <c r="F3154">
        <v>45</v>
      </c>
      <c r="J3154" s="14" t="str">
        <f>_xlfn.XLOOKUP(B3154,CAD_PDV!A:A,CAD_PDV!B:B)</f>
        <v>LINK TELECOM COMERCIO DE CELULARES LTDA - ME</v>
      </c>
      <c r="K3154" s="14">
        <f>IF(IFERROR(_xlfn.XLOOKUP(B3154,Planilha2!D:D,Planilha2!H:H),0)="SIM",1,0)</f>
        <v>0</v>
      </c>
      <c r="L3154" s="14" t="str">
        <f>_xlfn.XLOOKUP(B3154,CAD_PDV!A:A,CAD_PDV!C:C)</f>
        <v>SP1</v>
      </c>
      <c r="M3154" s="14" t="str">
        <f>IFERROR(_xlfn.XLOOKUP(B3154,repete!A:A,repete!A:A),"-")</f>
        <v>-</v>
      </c>
    </row>
    <row r="3155" spans="1:13">
      <c r="A3155" s="1">
        <v>46235</v>
      </c>
      <c r="B3155" t="s">
        <v>1537</v>
      </c>
      <c r="C3155" t="s">
        <v>1527</v>
      </c>
      <c r="D3155" t="s">
        <v>106</v>
      </c>
      <c r="E3155" t="s">
        <v>54</v>
      </c>
      <c r="F3155">
        <v>33</v>
      </c>
      <c r="J3155" s="14" t="str">
        <f>_xlfn.XLOOKUP(B3155,CAD_PDV!A:A,CAD_PDV!B:B)</f>
        <v>CELLULAR.COM</v>
      </c>
      <c r="K3155" s="14">
        <f>IF(IFERROR(_xlfn.XLOOKUP(B3155,Planilha2!D:D,Planilha2!H:H),0)="SIM",1,0)</f>
        <v>0</v>
      </c>
      <c r="L3155" s="14" t="str">
        <f>_xlfn.XLOOKUP(B3155,CAD_PDV!A:A,CAD_PDV!C:C)</f>
        <v>SP2</v>
      </c>
      <c r="M3155" s="14" t="str">
        <f>IFERROR(_xlfn.XLOOKUP(B3155,repete!A:A,repete!A:A),"-")</f>
        <v>-</v>
      </c>
    </row>
    <row r="3156" spans="1:13">
      <c r="A3156" s="1">
        <v>46235</v>
      </c>
      <c r="B3156" t="s">
        <v>1307</v>
      </c>
      <c r="C3156" t="s">
        <v>1308</v>
      </c>
      <c r="D3156" t="s">
        <v>105</v>
      </c>
      <c r="E3156" t="s">
        <v>53</v>
      </c>
      <c r="F3156">
        <v>26</v>
      </c>
      <c r="J3156" s="14" t="str">
        <f>_xlfn.XLOOKUP(B3156,CAD_PDV!A:A,CAD_PDV!B:B)</f>
        <v>CELL AZUL CELULARES LTDA - EPP</v>
      </c>
      <c r="K3156" s="14">
        <f>IF(IFERROR(_xlfn.XLOOKUP(B3156,Planilha2!D:D,Planilha2!H:H),0)="SIM",1,0)</f>
        <v>0</v>
      </c>
      <c r="L3156" s="14" t="str">
        <f>_xlfn.XLOOKUP(B3156,CAD_PDV!A:A,CAD_PDV!C:C)</f>
        <v>SP1</v>
      </c>
      <c r="M3156" s="14" t="str">
        <f>IFERROR(_xlfn.XLOOKUP(B3156,repete!A:A,repete!A:A),"-")</f>
        <v>-</v>
      </c>
    </row>
    <row r="3157" spans="1:13">
      <c r="A3157" s="1">
        <v>46235</v>
      </c>
      <c r="B3157" t="s">
        <v>921</v>
      </c>
      <c r="C3157" t="s">
        <v>732</v>
      </c>
      <c r="D3157" t="s">
        <v>231</v>
      </c>
      <c r="E3157" t="s">
        <v>59</v>
      </c>
      <c r="F3157">
        <v>12</v>
      </c>
      <c r="J3157" s="14" t="str">
        <f>_xlfn.XLOOKUP(B3157,CAD_PDV!A:A,CAD_PDV!B:B)</f>
        <v>HIROTA &amp; HIROTA LTDA - ME</v>
      </c>
      <c r="K3157" s="14">
        <f>IF(IFERROR(_xlfn.XLOOKUP(B3157,Planilha2!D:D,Planilha2!H:H),0)="SIM",1,0)</f>
        <v>0</v>
      </c>
      <c r="L3157" s="14" t="str">
        <f>_xlfn.XLOOKUP(B3157,CAD_PDV!A:A,CAD_PDV!C:C)</f>
        <v>CO</v>
      </c>
      <c r="M3157" s="14" t="str">
        <f>IFERROR(_xlfn.XLOOKUP(B3157,repete!A:A,repete!A:A),"-")</f>
        <v>-</v>
      </c>
    </row>
    <row r="3158" spans="1:13">
      <c r="A3158" s="1">
        <v>46235</v>
      </c>
      <c r="B3158" t="s">
        <v>994</v>
      </c>
      <c r="C3158" t="s">
        <v>995</v>
      </c>
      <c r="D3158" t="s">
        <v>151</v>
      </c>
      <c r="E3158" t="s">
        <v>60</v>
      </c>
      <c r="F3158">
        <v>17</v>
      </c>
      <c r="J3158" s="14" t="str">
        <f>_xlfn.XLOOKUP(B3158,CAD_PDV!A:A,CAD_PDV!B:B)</f>
        <v>JOSE ADALBERTO CERQUEIRA JUNIOR - ME</v>
      </c>
      <c r="K3158" s="14">
        <f>IF(IFERROR(_xlfn.XLOOKUP(B3158,Planilha2!D:D,Planilha2!H:H),0)="SIM",1,0)</f>
        <v>0</v>
      </c>
      <c r="L3158" s="14" t="str">
        <f>_xlfn.XLOOKUP(B3158,CAD_PDV!A:A,CAD_PDV!C:C)</f>
        <v>BA/SE</v>
      </c>
      <c r="M3158" s="14" t="str">
        <f>IFERROR(_xlfn.XLOOKUP(B3158,repete!A:A,repete!A:A),"-")</f>
        <v>-</v>
      </c>
    </row>
    <row r="3159" spans="1:13">
      <c r="A3159" s="1">
        <v>46235</v>
      </c>
      <c r="B3159" t="s">
        <v>592</v>
      </c>
      <c r="C3159" t="s">
        <v>593</v>
      </c>
      <c r="D3159" t="s">
        <v>167</v>
      </c>
      <c r="E3159" t="s">
        <v>56</v>
      </c>
      <c r="F3159">
        <v>15</v>
      </c>
      <c r="J3159" s="14" t="str">
        <f>_xlfn.XLOOKUP(B3159,CAD_PDV!A:A,CAD_PDV!B:B)</f>
        <v>MAXMILIANO RODRIGUES</v>
      </c>
      <c r="K3159" s="14">
        <f>IF(IFERROR(_xlfn.XLOOKUP(B3159,Planilha2!D:D,Planilha2!H:H),0)="SIM",1,0)</f>
        <v>0</v>
      </c>
      <c r="L3159" s="14" t="str">
        <f>_xlfn.XLOOKUP(B3159,CAD_PDV!A:A,CAD_PDV!C:C)</f>
        <v>MG</v>
      </c>
      <c r="M3159" s="14" t="str">
        <f>IFERROR(_xlfn.XLOOKUP(B3159,repete!A:A,repete!A:A),"-")</f>
        <v>-</v>
      </c>
    </row>
    <row r="3160" spans="1:13">
      <c r="A3160" s="1">
        <v>46235</v>
      </c>
      <c r="B3160" t="s">
        <v>508</v>
      </c>
      <c r="C3160" t="s">
        <v>509</v>
      </c>
      <c r="D3160" t="s">
        <v>106</v>
      </c>
      <c r="E3160" t="s">
        <v>56</v>
      </c>
      <c r="F3160">
        <v>23</v>
      </c>
      <c r="J3160" s="14" t="str">
        <f>_xlfn.XLOOKUP(B3160,CAD_PDV!A:A,CAD_PDV!B:B)</f>
        <v>CELLULAR.COM</v>
      </c>
      <c r="K3160" s="14">
        <f>IF(IFERROR(_xlfn.XLOOKUP(B3160,Planilha2!D:D,Planilha2!H:H),0)="SIM",1,0)</f>
        <v>0</v>
      </c>
      <c r="L3160" s="14" t="str">
        <f>_xlfn.XLOOKUP(B3160,CAD_PDV!A:A,CAD_PDV!C:C)</f>
        <v>MG</v>
      </c>
      <c r="M3160" s="14" t="str">
        <f>IFERROR(_xlfn.XLOOKUP(B3160,repete!A:A,repete!A:A),"-")</f>
        <v>-</v>
      </c>
    </row>
    <row r="3161" spans="1:13">
      <c r="A3161" s="1">
        <v>46235</v>
      </c>
      <c r="B3161" t="s">
        <v>323</v>
      </c>
      <c r="C3161" t="s">
        <v>324</v>
      </c>
      <c r="D3161" t="s">
        <v>196</v>
      </c>
      <c r="E3161" t="s">
        <v>61</v>
      </c>
      <c r="F3161">
        <v>34</v>
      </c>
      <c r="J3161" s="14" t="str">
        <f>_xlfn.XLOOKUP(B3161,CAD_PDV!A:A,CAD_PDV!B:B)</f>
        <v>SELF COMERCIO E SERVICOS EM TELEFON</v>
      </c>
      <c r="K3161" s="14">
        <f>IF(IFERROR(_xlfn.XLOOKUP(B3161,Planilha2!D:D,Planilha2!H:H),0)="SIM",1,0)</f>
        <v>0</v>
      </c>
      <c r="L3161" s="14" t="str">
        <f>_xlfn.XLOOKUP(B3161,CAD_PDV!A:A,CAD_PDV!C:C)</f>
        <v>NE</v>
      </c>
      <c r="M3161" s="14" t="str">
        <f>IFERROR(_xlfn.XLOOKUP(B3161,repete!A:A,repete!A:A),"-")</f>
        <v>-</v>
      </c>
    </row>
    <row r="3162" spans="1:13">
      <c r="A3162" s="1">
        <v>46235</v>
      </c>
      <c r="B3162" t="s">
        <v>1066</v>
      </c>
      <c r="C3162" t="s">
        <v>1067</v>
      </c>
      <c r="D3162" t="s">
        <v>117</v>
      </c>
      <c r="E3162" t="s">
        <v>62</v>
      </c>
      <c r="F3162">
        <v>8</v>
      </c>
      <c r="J3162" s="14" t="str">
        <f>_xlfn.XLOOKUP(B3162,CAD_PDV!A:A,CAD_PDV!B:B)</f>
        <v>DIN COMERCIO E SERVICOS EIRELI - EPP</v>
      </c>
      <c r="K3162" s="14">
        <f>IF(IFERROR(_xlfn.XLOOKUP(B3162,Planilha2!D:D,Planilha2!H:H),0)="SIM",1,0)</f>
        <v>0</v>
      </c>
      <c r="L3162" s="14" t="str">
        <f>_xlfn.XLOOKUP(B3162,CAD_PDV!A:A,CAD_PDV!C:C)</f>
        <v>NO</v>
      </c>
      <c r="M3162" s="14" t="str">
        <f>IFERROR(_xlfn.XLOOKUP(B3162,repete!A:A,repete!A:A),"-")</f>
        <v>-</v>
      </c>
    </row>
    <row r="3163" spans="1:13">
      <c r="A3163" s="1">
        <v>46235</v>
      </c>
      <c r="B3163" t="s">
        <v>325</v>
      </c>
      <c r="C3163" t="s">
        <v>327</v>
      </c>
      <c r="D3163" t="s">
        <v>196</v>
      </c>
      <c r="E3163" t="s">
        <v>61</v>
      </c>
      <c r="F3163">
        <v>9</v>
      </c>
      <c r="J3163" s="14" t="str">
        <f>_xlfn.XLOOKUP(B3163,CAD_PDV!A:A,CAD_PDV!B:B)</f>
        <v>SELF COMERCIO E SERVICOS EM TELEFON</v>
      </c>
      <c r="K3163" s="14">
        <f>IF(IFERROR(_xlfn.XLOOKUP(B3163,Planilha2!D:D,Planilha2!H:H),0)="SIM",1,0)</f>
        <v>0</v>
      </c>
      <c r="L3163" s="14" t="str">
        <f>_xlfn.XLOOKUP(B3163,CAD_PDV!A:A,CAD_PDV!C:C)</f>
        <v>NE</v>
      </c>
      <c r="M3163" s="14" t="str">
        <f>IFERROR(_xlfn.XLOOKUP(B3163,repete!A:A,repete!A:A),"-")</f>
        <v>-</v>
      </c>
    </row>
    <row r="3164" spans="1:13">
      <c r="A3164" s="1">
        <v>46235</v>
      </c>
      <c r="B3164" t="s">
        <v>998</v>
      </c>
      <c r="C3164" t="s">
        <v>992</v>
      </c>
      <c r="D3164" t="s">
        <v>101</v>
      </c>
      <c r="E3164" t="s">
        <v>60</v>
      </c>
      <c r="F3164">
        <v>34</v>
      </c>
      <c r="J3164" s="14" t="str">
        <f>_xlfn.XLOOKUP(B3164,CAD_PDV!A:A,CAD_PDV!B:B)</f>
        <v>CAMILA TAMBONE DE ALMEIDA EIRELI - EPP</v>
      </c>
      <c r="K3164" s="14">
        <f>IF(IFERROR(_xlfn.XLOOKUP(B3164,Planilha2!D:D,Planilha2!H:H),0)="SIM",1,0)</f>
        <v>0</v>
      </c>
      <c r="L3164" s="14" t="str">
        <f>_xlfn.XLOOKUP(B3164,CAD_PDV!A:A,CAD_PDV!C:C)</f>
        <v>BA/SE</v>
      </c>
      <c r="M3164" s="14" t="str">
        <f>IFERROR(_xlfn.XLOOKUP(B3164,repete!A:A,repete!A:A),"-")</f>
        <v>-</v>
      </c>
    </row>
    <row r="3165" spans="1:13">
      <c r="A3165" s="1">
        <v>46235</v>
      </c>
      <c r="B3165" t="s">
        <v>396</v>
      </c>
      <c r="C3165" t="s">
        <v>269</v>
      </c>
      <c r="D3165" t="s">
        <v>196</v>
      </c>
      <c r="E3165" t="s">
        <v>61</v>
      </c>
      <c r="F3165">
        <v>8</v>
      </c>
      <c r="J3165" s="14" t="str">
        <f>_xlfn.XLOOKUP(B3165,CAD_PDV!A:A,CAD_PDV!B:B)</f>
        <v>SELF COMERCIO E SERVICOS EM TELEFON</v>
      </c>
      <c r="K3165" s="14">
        <f>IF(IFERROR(_xlfn.XLOOKUP(B3165,Planilha2!D:D,Planilha2!H:H),0)="SIM",1,0)</f>
        <v>0</v>
      </c>
      <c r="L3165" s="14" t="str">
        <f>_xlfn.XLOOKUP(B3165,CAD_PDV!A:A,CAD_PDV!C:C)</f>
        <v>NE</v>
      </c>
      <c r="M3165" s="14" t="str">
        <f>IFERROR(_xlfn.XLOOKUP(B3165,repete!A:A,repete!A:A),"-")</f>
        <v>-</v>
      </c>
    </row>
    <row r="3166" spans="1:13">
      <c r="A3166" s="1">
        <v>46235</v>
      </c>
      <c r="B3166" t="s">
        <v>695</v>
      </c>
      <c r="C3166" t="s">
        <v>694</v>
      </c>
      <c r="D3166" t="s">
        <v>165</v>
      </c>
      <c r="E3166" t="s">
        <v>59</v>
      </c>
      <c r="F3166">
        <v>14</v>
      </c>
      <c r="J3166" s="14" t="str">
        <f>_xlfn.XLOOKUP(B3166,CAD_PDV!A:A,CAD_PDV!B:B)</f>
        <v>MASTERCELL COMERCIO E SERVICOS DE T</v>
      </c>
      <c r="K3166" s="14">
        <f>IF(IFERROR(_xlfn.XLOOKUP(B3166,Planilha2!D:D,Planilha2!H:H),0)="SIM",1,0)</f>
        <v>1</v>
      </c>
      <c r="L3166" s="14" t="str">
        <f>_xlfn.XLOOKUP(B3166,CAD_PDV!A:A,CAD_PDV!C:C)</f>
        <v>CO</v>
      </c>
      <c r="M3166" s="14" t="str">
        <f>IFERROR(_xlfn.XLOOKUP(B3166,repete!A:A,repete!A:A),"-")</f>
        <v>-</v>
      </c>
    </row>
    <row r="3167" spans="1:13">
      <c r="A3167" s="1">
        <v>46235</v>
      </c>
      <c r="B3167" t="s">
        <v>1145</v>
      </c>
      <c r="C3167" t="s">
        <v>1148</v>
      </c>
      <c r="D3167" t="s">
        <v>125</v>
      </c>
      <c r="E3167" t="s">
        <v>55</v>
      </c>
      <c r="F3167">
        <v>49</v>
      </c>
      <c r="J3167" s="14" t="str">
        <f>_xlfn.XLOOKUP(B3167,CAD_PDV!A:A,CAD_PDV!B:B)</f>
        <v>ELETRO CENTER</v>
      </c>
      <c r="K3167" s="14">
        <f>IF(IFERROR(_xlfn.XLOOKUP(B3167,Planilha2!D:D,Planilha2!H:H),0)="SIM",1,0)</f>
        <v>0</v>
      </c>
      <c r="L3167" s="14" t="str">
        <f>_xlfn.XLOOKUP(B3167,CAD_PDV!A:A,CAD_PDV!C:C)</f>
        <v>RJ/ES</v>
      </c>
      <c r="M3167" s="14" t="str">
        <f>IFERROR(_xlfn.XLOOKUP(B3167,repete!A:A,repete!A:A),"-")</f>
        <v>-</v>
      </c>
    </row>
    <row r="3168" spans="1:13">
      <c r="A3168" s="1">
        <v>46235</v>
      </c>
      <c r="B3168" t="s">
        <v>497</v>
      </c>
      <c r="C3168" t="s">
        <v>498</v>
      </c>
      <c r="D3168" t="s">
        <v>239</v>
      </c>
      <c r="E3168" t="s">
        <v>56</v>
      </c>
      <c r="F3168">
        <v>32</v>
      </c>
      <c r="J3168" s="14" t="str">
        <f>_xlfn.XLOOKUP(B3168,CAD_PDV!A:A,CAD_PDV!B:B)</f>
        <v>TELECELL TELEFONIA LTDA - ME</v>
      </c>
      <c r="K3168" s="14">
        <f>IF(IFERROR(_xlfn.XLOOKUP(B3168,Planilha2!D:D,Planilha2!H:H),0)="SIM",1,0)</f>
        <v>0</v>
      </c>
      <c r="L3168" s="14" t="str">
        <f>_xlfn.XLOOKUP(B3168,CAD_PDV!A:A,CAD_PDV!C:C)</f>
        <v>MG</v>
      </c>
      <c r="M3168" s="14" t="str">
        <f>IFERROR(_xlfn.XLOOKUP(B3168,repete!A:A,repete!A:A),"-")</f>
        <v>-</v>
      </c>
    </row>
    <row r="3169" spans="1:13">
      <c r="A3169" s="1">
        <v>46235</v>
      </c>
      <c r="B3169" t="s">
        <v>1381</v>
      </c>
      <c r="C3169" t="s">
        <v>1383</v>
      </c>
      <c r="D3169" t="s">
        <v>157</v>
      </c>
      <c r="E3169" t="s">
        <v>53</v>
      </c>
      <c r="F3169">
        <v>12</v>
      </c>
      <c r="J3169" s="14" t="str">
        <f>_xlfn.XLOOKUP(B3169,CAD_PDV!A:A,CAD_PDV!B:B)</f>
        <v>LINK TELECOM COMERCIO DE CELULARES LTDA - ME</v>
      </c>
      <c r="K3169" s="14">
        <f>IF(IFERROR(_xlfn.XLOOKUP(B3169,Planilha2!D:D,Planilha2!H:H),0)="SIM",1,0)</f>
        <v>0</v>
      </c>
      <c r="L3169" s="14" t="str">
        <f>_xlfn.XLOOKUP(B3169,CAD_PDV!A:A,CAD_PDV!C:C)</f>
        <v>SP1</v>
      </c>
      <c r="M3169" s="14" t="str">
        <f>IFERROR(_xlfn.XLOOKUP(B3169,repete!A:A,repete!A:A),"-")</f>
        <v>-</v>
      </c>
    </row>
    <row r="3170" spans="1:13">
      <c r="A3170" s="1">
        <v>46235</v>
      </c>
      <c r="B3170" t="s">
        <v>751</v>
      </c>
      <c r="C3170" t="s">
        <v>752</v>
      </c>
      <c r="D3170" t="s">
        <v>100</v>
      </c>
      <c r="E3170" t="s">
        <v>59</v>
      </c>
      <c r="F3170">
        <v>7</v>
      </c>
      <c r="J3170" s="14" t="str">
        <f>_xlfn.XLOOKUP(B3170,CAD_PDV!A:A,CAD_PDV!B:B)</f>
        <v>CALDAS CELULARES LTDA - ME</v>
      </c>
      <c r="K3170" s="14">
        <f>IF(IFERROR(_xlfn.XLOOKUP(B3170,Planilha2!D:D,Planilha2!H:H),0)="SIM",1,0)</f>
        <v>0</v>
      </c>
      <c r="L3170" s="14" t="str">
        <f>_xlfn.XLOOKUP(B3170,CAD_PDV!A:A,CAD_PDV!C:C)</f>
        <v>CO</v>
      </c>
      <c r="M3170" s="14" t="str">
        <f>IFERROR(_xlfn.XLOOKUP(B3170,repete!A:A,repete!A:A),"-")</f>
        <v>-</v>
      </c>
    </row>
    <row r="3171" spans="1:13">
      <c r="A3171" s="1">
        <v>46235</v>
      </c>
      <c r="B3171" t="s">
        <v>417</v>
      </c>
      <c r="C3171" t="s">
        <v>418</v>
      </c>
      <c r="D3171" t="s">
        <v>227</v>
      </c>
      <c r="E3171" t="s">
        <v>61</v>
      </c>
      <c r="F3171">
        <v>3</v>
      </c>
      <c r="J3171" s="14" t="str">
        <f>_xlfn.XLOOKUP(B3171,CAD_PDV!A:A,CAD_PDV!B:B)</f>
        <v>E-MEAN SERVICOS DE MARKETING DIRETO LTDA</v>
      </c>
      <c r="K3171" s="14">
        <f>IF(IFERROR(_xlfn.XLOOKUP(B3171,Planilha2!D:D,Planilha2!H:H),0)="SIM",1,0)</f>
        <v>0</v>
      </c>
      <c r="L3171" s="14" t="str">
        <f>_xlfn.XLOOKUP(B3171,CAD_PDV!A:A,CAD_PDV!C:C)</f>
        <v>NE</v>
      </c>
      <c r="M3171" s="14" t="str">
        <f>IFERROR(_xlfn.XLOOKUP(B3171,repete!A:A,repete!A:A),"-")</f>
        <v>-</v>
      </c>
    </row>
    <row r="3172" spans="1:13">
      <c r="A3172" s="1">
        <v>46235</v>
      </c>
      <c r="B3172" t="s">
        <v>858</v>
      </c>
      <c r="C3172" t="s">
        <v>716</v>
      </c>
      <c r="D3172" t="s">
        <v>2073</v>
      </c>
      <c r="E3172" t="s">
        <v>59</v>
      </c>
      <c r="F3172">
        <v>3</v>
      </c>
      <c r="J3172" s="14" t="str">
        <f>_xlfn.XLOOKUP(B3172,CAD_PDV!A:A,CAD_PDV!B:B)</f>
        <v xml:space="preserve">CONTACOM COMERCIO DE APARELHOS ELETRONICOS LTDA </v>
      </c>
      <c r="K3172" s="14">
        <f>IF(IFERROR(_xlfn.XLOOKUP(B3172,Planilha2!D:D,Planilha2!H:H),0)="SIM",1,0)</f>
        <v>0</v>
      </c>
      <c r="L3172" s="14" t="str">
        <f>_xlfn.XLOOKUP(B3172,CAD_PDV!A:A,CAD_PDV!C:C)</f>
        <v>CO</v>
      </c>
      <c r="M3172" s="14" t="str">
        <f>IFERROR(_xlfn.XLOOKUP(B3172,repete!A:A,repete!A:A),"-")</f>
        <v>-</v>
      </c>
    </row>
    <row r="3173" spans="1:13">
      <c r="A3173" s="1">
        <v>46235</v>
      </c>
      <c r="B3173" t="s">
        <v>1786</v>
      </c>
      <c r="C3173" t="s">
        <v>1787</v>
      </c>
      <c r="D3173" t="s">
        <v>103</v>
      </c>
      <c r="E3173" t="s">
        <v>2074</v>
      </c>
      <c r="F3173">
        <v>9</v>
      </c>
      <c r="J3173" s="14" t="str">
        <f>_xlfn.XLOOKUP(B3173,CAD_PDV!A:A,CAD_PDV!B:B)</f>
        <v>CARLOS EDUARDO SAVIAN - EPP</v>
      </c>
      <c r="K3173" s="14">
        <f>IF(IFERROR(_xlfn.XLOOKUP(B3173,Planilha2!D:D,Planilha2!H:H),0)="SIM",1,0)</f>
        <v>0</v>
      </c>
      <c r="L3173" s="14" t="str">
        <f>_xlfn.XLOOKUP(B3173,CAD_PDV!A:A,CAD_PDV!C:C)</f>
        <v>PR/SC</v>
      </c>
      <c r="M3173" s="14" t="str">
        <f>IFERROR(_xlfn.XLOOKUP(B3173,repete!A:A,repete!A:A),"-")</f>
        <v>-</v>
      </c>
    </row>
    <row r="3174" spans="1:13">
      <c r="A3174" s="1">
        <v>46235</v>
      </c>
      <c r="B3174" t="s">
        <v>1541</v>
      </c>
      <c r="C3174" t="s">
        <v>1542</v>
      </c>
      <c r="D3174" t="s">
        <v>106</v>
      </c>
      <c r="E3174" t="s">
        <v>54</v>
      </c>
      <c r="F3174">
        <v>14</v>
      </c>
      <c r="J3174" s="14" t="str">
        <f>_xlfn.XLOOKUP(B3174,CAD_PDV!A:A,CAD_PDV!B:B)</f>
        <v>CELLULAR.COM</v>
      </c>
      <c r="K3174" s="14">
        <f>IF(IFERROR(_xlfn.XLOOKUP(B3174,Planilha2!D:D,Planilha2!H:H),0)="SIM",1,0)</f>
        <v>0</v>
      </c>
      <c r="L3174" s="14" t="str">
        <f>_xlfn.XLOOKUP(B3174,CAD_PDV!A:A,CAD_PDV!C:C)</f>
        <v>SP2</v>
      </c>
      <c r="M3174" s="14" t="str">
        <f>IFERROR(_xlfn.XLOOKUP(B3174,repete!A:A,repete!A:A),"-")</f>
        <v>-</v>
      </c>
    </row>
    <row r="3175" spans="1:13">
      <c r="A3175" s="1">
        <v>46235</v>
      </c>
      <c r="B3175" t="s">
        <v>1778</v>
      </c>
      <c r="C3175" t="s">
        <v>1781</v>
      </c>
      <c r="D3175" t="s">
        <v>103</v>
      </c>
      <c r="E3175" t="s">
        <v>2074</v>
      </c>
      <c r="F3175">
        <v>7</v>
      </c>
      <c r="J3175" s="14" t="str">
        <f>_xlfn.XLOOKUP(B3175,CAD_PDV!A:A,CAD_PDV!B:B)</f>
        <v>CARLOS EDUARDO SAVIAN - EPP</v>
      </c>
      <c r="K3175" s="14">
        <f>IF(IFERROR(_xlfn.XLOOKUP(B3175,Planilha2!D:D,Planilha2!H:H),0)="SIM",1,0)</f>
        <v>0</v>
      </c>
      <c r="L3175" s="14" t="str">
        <f>_xlfn.XLOOKUP(B3175,CAD_PDV!A:A,CAD_PDV!C:C)</f>
        <v>PR/SC</v>
      </c>
      <c r="M3175" s="14" t="str">
        <f>IFERROR(_xlfn.XLOOKUP(B3175,repete!A:A,repete!A:A),"-")</f>
        <v>-</v>
      </c>
    </row>
    <row r="3176" spans="1:13">
      <c r="A3176" s="1">
        <v>46235</v>
      </c>
      <c r="B3176" t="s">
        <v>408</v>
      </c>
      <c r="C3176" t="s">
        <v>291</v>
      </c>
      <c r="D3176" t="s">
        <v>196</v>
      </c>
      <c r="E3176" t="s">
        <v>61</v>
      </c>
      <c r="F3176">
        <v>25</v>
      </c>
      <c r="J3176" s="14" t="str">
        <f>_xlfn.XLOOKUP(B3176,CAD_PDV!A:A,CAD_PDV!B:B)</f>
        <v>SELF COMERCIO E SERVICOS EM TELEFON</v>
      </c>
      <c r="K3176" s="14">
        <f>IF(IFERROR(_xlfn.XLOOKUP(B3176,Planilha2!D:D,Planilha2!H:H),0)="SIM",1,0)</f>
        <v>0</v>
      </c>
      <c r="L3176" s="14" t="str">
        <f>_xlfn.XLOOKUP(B3176,CAD_PDV!A:A,CAD_PDV!C:C)</f>
        <v>NE</v>
      </c>
      <c r="M3176" s="14" t="str">
        <f>IFERROR(_xlfn.XLOOKUP(B3176,repete!A:A,repete!A:A),"-")</f>
        <v>-</v>
      </c>
    </row>
    <row r="3177" spans="1:13">
      <c r="A3177" s="1">
        <v>46235</v>
      </c>
      <c r="B3177" t="s">
        <v>528</v>
      </c>
      <c r="C3177" t="s">
        <v>430</v>
      </c>
      <c r="D3177" t="s">
        <v>106</v>
      </c>
      <c r="E3177" t="s">
        <v>56</v>
      </c>
      <c r="F3177">
        <v>52</v>
      </c>
      <c r="J3177" s="14" t="str">
        <f>_xlfn.XLOOKUP(B3177,CAD_PDV!A:A,CAD_PDV!B:B)</f>
        <v>CELLULAR.COM</v>
      </c>
      <c r="K3177" s="14">
        <f>IF(IFERROR(_xlfn.XLOOKUP(B3177,Planilha2!D:D,Planilha2!H:H),0)="SIM",1,0)</f>
        <v>0</v>
      </c>
      <c r="L3177" s="14" t="str">
        <f>_xlfn.XLOOKUP(B3177,CAD_PDV!A:A,CAD_PDV!C:C)</f>
        <v>MG</v>
      </c>
      <c r="M3177" s="14" t="str">
        <f>IFERROR(_xlfn.XLOOKUP(B3177,repete!A:A,repete!A:A),"-")</f>
        <v>-</v>
      </c>
    </row>
    <row r="3178" spans="1:13">
      <c r="A3178" s="1">
        <v>46235</v>
      </c>
      <c r="B3178" t="s">
        <v>1801</v>
      </c>
      <c r="C3178" t="s">
        <v>1803</v>
      </c>
      <c r="D3178" t="s">
        <v>102</v>
      </c>
      <c r="E3178" t="s">
        <v>2074</v>
      </c>
      <c r="F3178">
        <v>11</v>
      </c>
      <c r="J3178" s="14" t="str">
        <f>_xlfn.XLOOKUP(B3178,CAD_PDV!A:A,CAD_PDV!B:B)</f>
        <v>CAMILA TEIXEIRA LUIZ - ME</v>
      </c>
      <c r="K3178" s="14">
        <f>IF(IFERROR(_xlfn.XLOOKUP(B3178,Planilha2!D:D,Planilha2!H:H),0)="SIM",1,0)</f>
        <v>0</v>
      </c>
      <c r="L3178" s="14" t="str">
        <f>_xlfn.XLOOKUP(B3178,CAD_PDV!A:A,CAD_PDV!C:C)</f>
        <v>PR/SC</v>
      </c>
      <c r="M3178" s="14" t="str">
        <f>IFERROR(_xlfn.XLOOKUP(B3178,repete!A:A,repete!A:A),"-")</f>
        <v>-</v>
      </c>
    </row>
    <row r="3179" spans="1:13">
      <c r="A3179" s="1">
        <v>46235</v>
      </c>
      <c r="B3179" t="s">
        <v>792</v>
      </c>
      <c r="C3179" t="s">
        <v>793</v>
      </c>
      <c r="D3179" t="s">
        <v>100</v>
      </c>
      <c r="E3179" t="s">
        <v>59</v>
      </c>
      <c r="F3179">
        <v>16</v>
      </c>
      <c r="J3179" s="14" t="str">
        <f>_xlfn.XLOOKUP(B3179,CAD_PDV!A:A,CAD_PDV!B:B)</f>
        <v>CALDAS CELULARES LTDA - ME</v>
      </c>
      <c r="K3179" s="14">
        <f>IF(IFERROR(_xlfn.XLOOKUP(B3179,Planilha2!D:D,Planilha2!H:H),0)="SIM",1,0)</f>
        <v>0</v>
      </c>
      <c r="L3179" s="14" t="str">
        <f>_xlfn.XLOOKUP(B3179,CAD_PDV!A:A,CAD_PDV!C:C)</f>
        <v>CO</v>
      </c>
      <c r="M3179" s="14" t="str">
        <f>IFERROR(_xlfn.XLOOKUP(B3179,repete!A:A,repete!A:A),"-")</f>
        <v>-</v>
      </c>
    </row>
    <row r="3180" spans="1:13">
      <c r="A3180" s="1">
        <v>46235</v>
      </c>
      <c r="B3180" t="s">
        <v>266</v>
      </c>
      <c r="C3180" t="s">
        <v>269</v>
      </c>
      <c r="D3180" t="s">
        <v>196</v>
      </c>
      <c r="E3180" t="s">
        <v>61</v>
      </c>
      <c r="F3180">
        <v>26</v>
      </c>
      <c r="J3180" s="14" t="str">
        <f>_xlfn.XLOOKUP(B3180,CAD_PDV!A:A,CAD_PDV!B:B)</f>
        <v>SELF COMERCIO E SERVICOS EM TELEFON</v>
      </c>
      <c r="K3180" s="14">
        <f>IF(IFERROR(_xlfn.XLOOKUP(B3180,Planilha2!D:D,Planilha2!H:H),0)="SIM",1,0)</f>
        <v>0</v>
      </c>
      <c r="L3180" s="14" t="str">
        <f>_xlfn.XLOOKUP(B3180,CAD_PDV!A:A,CAD_PDV!C:C)</f>
        <v>NE</v>
      </c>
      <c r="M3180" s="14" t="str">
        <f>IFERROR(_xlfn.XLOOKUP(B3180,repete!A:A,repete!A:A),"-")</f>
        <v>-</v>
      </c>
    </row>
    <row r="3181" spans="1:13">
      <c r="A3181" s="1">
        <v>46235</v>
      </c>
      <c r="B3181" t="s">
        <v>785</v>
      </c>
      <c r="C3181" t="s">
        <v>786</v>
      </c>
      <c r="D3181" t="s">
        <v>240</v>
      </c>
      <c r="E3181" t="s">
        <v>59</v>
      </c>
      <c r="F3181">
        <v>38</v>
      </c>
      <c r="J3181" s="14" t="str">
        <f>_xlfn.XLOOKUP(B3181,CAD_PDV!A:A,CAD_PDV!B:B)</f>
        <v>TELEMAIS TELEFONIA LTDA - ME</v>
      </c>
      <c r="K3181" s="14">
        <f>IF(IFERROR(_xlfn.XLOOKUP(B3181,Planilha2!D:D,Planilha2!H:H),0)="SIM",1,0)</f>
        <v>0</v>
      </c>
      <c r="L3181" s="14" t="str">
        <f>_xlfn.XLOOKUP(B3181,CAD_PDV!A:A,CAD_PDV!C:C)</f>
        <v>CO</v>
      </c>
      <c r="M3181" s="14" t="str">
        <f>IFERROR(_xlfn.XLOOKUP(B3181,repete!A:A,repete!A:A),"-")</f>
        <v>-</v>
      </c>
    </row>
    <row r="3182" spans="1:13">
      <c r="A3182" s="1">
        <v>46235</v>
      </c>
      <c r="B3182" t="s">
        <v>756</v>
      </c>
      <c r="C3182" t="s">
        <v>757</v>
      </c>
      <c r="D3182" t="s">
        <v>239</v>
      </c>
      <c r="E3182" t="s">
        <v>59</v>
      </c>
      <c r="F3182">
        <v>16</v>
      </c>
      <c r="J3182" s="14" t="str">
        <f>_xlfn.XLOOKUP(B3182,CAD_PDV!A:A,CAD_PDV!B:B)</f>
        <v>TELECELL TELEFONIA LTDA - ME</v>
      </c>
      <c r="K3182" s="14">
        <f>IF(IFERROR(_xlfn.XLOOKUP(B3182,Planilha2!D:D,Planilha2!H:H),0)="SIM",1,0)</f>
        <v>0</v>
      </c>
      <c r="L3182" s="14" t="str">
        <f>_xlfn.XLOOKUP(B3182,CAD_PDV!A:A,CAD_PDV!C:C)</f>
        <v>CO</v>
      </c>
      <c r="M3182" s="14" t="str">
        <f>IFERROR(_xlfn.XLOOKUP(B3182,repete!A:A,repete!A:A),"-")</f>
        <v>-</v>
      </c>
    </row>
    <row r="3183" spans="1:13">
      <c r="A3183" s="1">
        <v>46235</v>
      </c>
      <c r="B3183" t="s">
        <v>328</v>
      </c>
      <c r="C3183" t="s">
        <v>329</v>
      </c>
      <c r="D3183" t="s">
        <v>174</v>
      </c>
      <c r="E3183" t="s">
        <v>61</v>
      </c>
      <c r="F3183">
        <v>6</v>
      </c>
      <c r="J3183" s="14" t="str">
        <f>_xlfn.XLOOKUP(B3183,CAD_PDV!A:A,CAD_PDV!B:B)</f>
        <v>NAUM RAONI VARELA DOS SANTOS - ME</v>
      </c>
      <c r="K3183" s="14">
        <f>IF(IFERROR(_xlfn.XLOOKUP(B3183,Planilha2!D:D,Planilha2!H:H),0)="SIM",1,0)</f>
        <v>0</v>
      </c>
      <c r="L3183" s="14" t="str">
        <f>_xlfn.XLOOKUP(B3183,CAD_PDV!A:A,CAD_PDV!C:C)</f>
        <v>NE</v>
      </c>
      <c r="M3183" s="14" t="str">
        <f>IFERROR(_xlfn.XLOOKUP(B3183,repete!A:A,repete!A:A),"-")</f>
        <v>-</v>
      </c>
    </row>
    <row r="3184" spans="1:13">
      <c r="A3184" s="1">
        <v>46235</v>
      </c>
      <c r="B3184" t="s">
        <v>330</v>
      </c>
      <c r="C3184" t="s">
        <v>331</v>
      </c>
      <c r="D3184" t="s">
        <v>131</v>
      </c>
      <c r="E3184" t="s">
        <v>61</v>
      </c>
      <c r="F3184">
        <v>13</v>
      </c>
      <c r="J3184" s="14" t="str">
        <f>_xlfn.XLOOKUP(B3184,CAD_PDV!A:A,CAD_PDV!B:B)</f>
        <v>FABIANA GONCALVES DA SILVA LINS E CIA LTDA</v>
      </c>
      <c r="K3184" s="14">
        <f>IF(IFERROR(_xlfn.XLOOKUP(B3184,Planilha2!D:D,Planilha2!H:H),0)="SIM",1,0)</f>
        <v>0</v>
      </c>
      <c r="L3184" s="14" t="str">
        <f>_xlfn.XLOOKUP(B3184,CAD_PDV!A:A,CAD_PDV!C:C)</f>
        <v>NE</v>
      </c>
      <c r="M3184" s="14" t="str">
        <f>IFERROR(_xlfn.XLOOKUP(B3184,repete!A:A,repete!A:A),"-")</f>
        <v>-</v>
      </c>
    </row>
    <row r="3185" spans="1:13">
      <c r="A3185" s="1">
        <v>46235</v>
      </c>
      <c r="B3185" t="s">
        <v>1543</v>
      </c>
      <c r="C3185" t="s">
        <v>1545</v>
      </c>
      <c r="D3185" t="s">
        <v>106</v>
      </c>
      <c r="E3185" t="s">
        <v>54</v>
      </c>
      <c r="F3185">
        <v>36</v>
      </c>
      <c r="J3185" s="14" t="str">
        <f>_xlfn.XLOOKUP(B3185,CAD_PDV!A:A,CAD_PDV!B:B)</f>
        <v>CELLULAR.COM</v>
      </c>
      <c r="K3185" s="14">
        <f>IF(IFERROR(_xlfn.XLOOKUP(B3185,Planilha2!D:D,Planilha2!H:H),0)="SIM",1,0)</f>
        <v>0</v>
      </c>
      <c r="L3185" s="14" t="str">
        <f>_xlfn.XLOOKUP(B3185,CAD_PDV!A:A,CAD_PDV!C:C)</f>
        <v>SP2</v>
      </c>
      <c r="M3185" s="14" t="str">
        <f>IFERROR(_xlfn.XLOOKUP(B3185,repete!A:A,repete!A:A),"-")</f>
        <v>-</v>
      </c>
    </row>
    <row r="3186" spans="1:13">
      <c r="A3186" s="1">
        <v>46235</v>
      </c>
      <c r="B3186" t="s">
        <v>765</v>
      </c>
      <c r="C3186" t="s">
        <v>610</v>
      </c>
      <c r="D3186" t="s">
        <v>224</v>
      </c>
      <c r="E3186" t="s">
        <v>59</v>
      </c>
      <c r="F3186">
        <v>23</v>
      </c>
      <c r="J3186" s="14" t="str">
        <f>_xlfn.XLOOKUP(B3186,CAD_PDV!A:A,CAD_PDV!B:B)</f>
        <v>CELNET COMERCIO E SERVICOS DE TELEFONIA LTDA ME</v>
      </c>
      <c r="K3186" s="14">
        <f>IF(IFERROR(_xlfn.XLOOKUP(B3186,Planilha2!D:D,Planilha2!H:H),0)="SIM",1,0)</f>
        <v>0</v>
      </c>
      <c r="L3186" s="14" t="str">
        <f>_xlfn.XLOOKUP(B3186,CAD_PDV!A:A,CAD_PDV!C:C)</f>
        <v>CO</v>
      </c>
      <c r="M3186" s="14" t="str">
        <f>IFERROR(_xlfn.XLOOKUP(B3186,repete!A:A,repete!A:A),"-")</f>
        <v>-</v>
      </c>
    </row>
    <row r="3187" spans="1:13">
      <c r="A3187" s="1">
        <v>46235</v>
      </c>
      <c r="B3187" t="s">
        <v>1073</v>
      </c>
      <c r="C3187" t="s">
        <v>1075</v>
      </c>
      <c r="D3187" t="s">
        <v>122</v>
      </c>
      <c r="E3187" t="s">
        <v>62</v>
      </c>
      <c r="F3187">
        <v>23</v>
      </c>
      <c r="J3187" s="14" t="str">
        <f>_xlfn.XLOOKUP(B3187,CAD_PDV!A:A,CAD_PDV!B:B)</f>
        <v>E. DAMA EIRELI</v>
      </c>
      <c r="K3187" s="14">
        <f>IF(IFERROR(_xlfn.XLOOKUP(B3187,Planilha2!D:D,Planilha2!H:H),0)="SIM",1,0)</f>
        <v>0</v>
      </c>
      <c r="L3187" s="14" t="str">
        <f>_xlfn.XLOOKUP(B3187,CAD_PDV!A:A,CAD_PDV!C:C)</f>
        <v>NO</v>
      </c>
      <c r="M3187" s="14" t="str">
        <f>IFERROR(_xlfn.XLOOKUP(B3187,repete!A:A,repete!A:A),"-")</f>
        <v>-</v>
      </c>
    </row>
    <row r="3188" spans="1:13">
      <c r="A3188" s="1">
        <v>46235</v>
      </c>
      <c r="B3188" t="s">
        <v>1376</v>
      </c>
      <c r="C3188" t="s">
        <v>1346</v>
      </c>
      <c r="D3188" t="s">
        <v>229</v>
      </c>
      <c r="E3188" t="s">
        <v>53</v>
      </c>
      <c r="F3188">
        <v>45</v>
      </c>
      <c r="J3188" s="14" t="str">
        <f>_xlfn.XLOOKUP(B3188,CAD_PDV!A:A,CAD_PDV!B:B)</f>
        <v>FW TELEFONIA LTDA - EPP</v>
      </c>
      <c r="K3188" s="14">
        <f>IF(IFERROR(_xlfn.XLOOKUP(B3188,Planilha2!D:D,Planilha2!H:H),0)="SIM",1,0)</f>
        <v>0</v>
      </c>
      <c r="L3188" s="14" t="str">
        <f>_xlfn.XLOOKUP(B3188,CAD_PDV!A:A,CAD_PDV!C:C)</f>
        <v>SP1</v>
      </c>
      <c r="M3188" s="14" t="str">
        <f>IFERROR(_xlfn.XLOOKUP(B3188,repete!A:A,repete!A:A),"-")</f>
        <v>-</v>
      </c>
    </row>
    <row r="3189" spans="1:13">
      <c r="A3189" s="1">
        <v>46235</v>
      </c>
      <c r="B3189" t="s">
        <v>332</v>
      </c>
      <c r="C3189" t="s">
        <v>288</v>
      </c>
      <c r="D3189" t="s">
        <v>104</v>
      </c>
      <c r="E3189" t="s">
        <v>61</v>
      </c>
      <c r="F3189">
        <v>35</v>
      </c>
      <c r="J3189" s="14" t="str">
        <f>_xlfn.XLOOKUP(B3189,CAD_PDV!A:A,CAD_PDV!B:B)</f>
        <v>CARLOS FREDERICO E FILHOS COMERCIO</v>
      </c>
      <c r="K3189" s="14">
        <f>IF(IFERROR(_xlfn.XLOOKUP(B3189,Planilha2!D:D,Planilha2!H:H),0)="SIM",1,0)</f>
        <v>0</v>
      </c>
      <c r="L3189" s="14" t="str">
        <f>_xlfn.XLOOKUP(B3189,CAD_PDV!A:A,CAD_PDV!C:C)</f>
        <v>NE</v>
      </c>
      <c r="M3189" s="14" t="str">
        <f>IFERROR(_xlfn.XLOOKUP(B3189,repete!A:A,repete!A:A),"-")</f>
        <v>-</v>
      </c>
    </row>
    <row r="3190" spans="1:13">
      <c r="A3190" s="1">
        <v>46235</v>
      </c>
      <c r="B3190" t="s">
        <v>531</v>
      </c>
      <c r="C3190" t="s">
        <v>532</v>
      </c>
      <c r="D3190" t="s">
        <v>129</v>
      </c>
      <c r="E3190" t="s">
        <v>56</v>
      </c>
      <c r="F3190">
        <v>44</v>
      </c>
      <c r="J3190" s="14" t="str">
        <f>_xlfn.XLOOKUP(B3190,CAD_PDV!A:A,CAD_PDV!B:B)</f>
        <v>EXTRA CELULARES LTDA</v>
      </c>
      <c r="K3190" s="14">
        <f>IF(IFERROR(_xlfn.XLOOKUP(B3190,Planilha2!D:D,Planilha2!H:H),0)="SIM",1,0)</f>
        <v>0</v>
      </c>
      <c r="L3190" s="14" t="str">
        <f>_xlfn.XLOOKUP(B3190,CAD_PDV!A:A,CAD_PDV!C:C)</f>
        <v>MG</v>
      </c>
      <c r="M3190" s="14" t="str">
        <f>IFERROR(_xlfn.XLOOKUP(B3190,repete!A:A,repete!A:A),"-")</f>
        <v>-</v>
      </c>
    </row>
    <row r="3191" spans="1:13">
      <c r="A3191" s="1">
        <v>46235</v>
      </c>
      <c r="B3191" t="s">
        <v>1082</v>
      </c>
      <c r="C3191" t="s">
        <v>1085</v>
      </c>
      <c r="D3191" t="s">
        <v>140</v>
      </c>
      <c r="E3191" t="s">
        <v>62</v>
      </c>
      <c r="F3191">
        <v>4</v>
      </c>
      <c r="J3191" s="14" t="str">
        <f>_xlfn.XLOOKUP(B3191,CAD_PDV!A:A,CAD_PDV!B:B)</f>
        <v>H V DA SILVA COMERCIO - ME</v>
      </c>
      <c r="K3191" s="14">
        <f>IF(IFERROR(_xlfn.XLOOKUP(B3191,Planilha2!D:D,Planilha2!H:H),0)="SIM",1,0)</f>
        <v>0</v>
      </c>
      <c r="L3191" s="14" t="str">
        <f>_xlfn.XLOOKUP(B3191,CAD_PDV!A:A,CAD_PDV!C:C)</f>
        <v>NO</v>
      </c>
      <c r="M3191" s="14" t="str">
        <f>IFERROR(_xlfn.XLOOKUP(B3191,repete!A:A,repete!A:A),"-")</f>
        <v>-</v>
      </c>
    </row>
    <row r="3192" spans="1:13">
      <c r="A3192" s="1">
        <v>46235</v>
      </c>
      <c r="B3192" t="s">
        <v>1858</v>
      </c>
      <c r="C3192" t="s">
        <v>1859</v>
      </c>
      <c r="D3192" t="s">
        <v>106</v>
      </c>
      <c r="E3192" t="s">
        <v>2074</v>
      </c>
      <c r="F3192">
        <v>7</v>
      </c>
      <c r="J3192" s="14" t="str">
        <f>_xlfn.XLOOKUP(B3192,CAD_PDV!A:A,CAD_PDV!B:B)</f>
        <v>CELLULAR.COM</v>
      </c>
      <c r="K3192" s="14">
        <f>IF(IFERROR(_xlfn.XLOOKUP(B3192,Planilha2!D:D,Planilha2!H:H),0)="SIM",1,0)</f>
        <v>0</v>
      </c>
      <c r="L3192" s="14" t="str">
        <f>_xlfn.XLOOKUP(B3192,CAD_PDV!A:A,CAD_PDV!C:C)</f>
        <v>PR/SC</v>
      </c>
      <c r="M3192" s="14" t="str">
        <f>IFERROR(_xlfn.XLOOKUP(B3192,repete!A:A,repete!A:A),"-")</f>
        <v>-</v>
      </c>
    </row>
    <row r="3193" spans="1:13">
      <c r="A3193" s="1">
        <v>46235</v>
      </c>
      <c r="B3193" t="s">
        <v>1097</v>
      </c>
      <c r="C3193" t="s">
        <v>1096</v>
      </c>
      <c r="D3193" t="s">
        <v>121</v>
      </c>
      <c r="E3193" t="s">
        <v>62</v>
      </c>
      <c r="F3193">
        <v>14</v>
      </c>
      <c r="J3193" s="14" t="str">
        <f>_xlfn.XLOOKUP(B3193,CAD_PDV!A:A,CAD_PDV!B:B)</f>
        <v>DSX TECH COMERCIO E SERVICOS LTDA</v>
      </c>
      <c r="K3193" s="14">
        <f>IF(IFERROR(_xlfn.XLOOKUP(B3193,Planilha2!D:D,Planilha2!H:H),0)="SIM",1,0)</f>
        <v>0</v>
      </c>
      <c r="L3193" s="14" t="str">
        <f>_xlfn.XLOOKUP(B3193,CAD_PDV!A:A,CAD_PDV!C:C)</f>
        <v>NO</v>
      </c>
      <c r="M3193" s="14" t="str">
        <f>IFERROR(_xlfn.XLOOKUP(B3193,repete!A:A,repete!A:A),"-")</f>
        <v>-</v>
      </c>
    </row>
    <row r="3194" spans="1:13">
      <c r="A3194" s="1">
        <v>46235</v>
      </c>
      <c r="B3194" t="s">
        <v>1546</v>
      </c>
      <c r="C3194" t="s">
        <v>1547</v>
      </c>
      <c r="D3194" t="s">
        <v>132</v>
      </c>
      <c r="E3194" t="s">
        <v>54</v>
      </c>
      <c r="F3194">
        <v>14</v>
      </c>
      <c r="J3194" s="14" t="str">
        <f>_xlfn.XLOOKUP(B3194,CAD_PDV!A:A,CAD_PDV!B:B)</f>
        <v>FLEX CELL</v>
      </c>
      <c r="K3194" s="14">
        <f>IF(IFERROR(_xlfn.XLOOKUP(B3194,Planilha2!D:D,Planilha2!H:H),0)="SIM",1,0)</f>
        <v>0</v>
      </c>
      <c r="L3194" s="14" t="str">
        <f>_xlfn.XLOOKUP(B3194,CAD_PDV!A:A,CAD_PDV!C:C)</f>
        <v>SP2</v>
      </c>
      <c r="M3194" s="14" t="str">
        <f>IFERROR(_xlfn.XLOOKUP(B3194,repete!A:A,repete!A:A),"-")</f>
        <v>-</v>
      </c>
    </row>
    <row r="3195" spans="1:13">
      <c r="A3195" s="1">
        <v>46235</v>
      </c>
      <c r="B3195" t="s">
        <v>1807</v>
      </c>
      <c r="C3195" t="s">
        <v>1808</v>
      </c>
      <c r="D3195" t="s">
        <v>106</v>
      </c>
      <c r="E3195" t="s">
        <v>2074</v>
      </c>
      <c r="F3195">
        <v>8</v>
      </c>
      <c r="J3195" s="14" t="str">
        <f>_xlfn.XLOOKUP(B3195,CAD_PDV!A:A,CAD_PDV!B:B)</f>
        <v>CELLULAR.COM</v>
      </c>
      <c r="K3195" s="14">
        <f>IF(IFERROR(_xlfn.XLOOKUP(B3195,Planilha2!D:D,Planilha2!H:H),0)="SIM",1,0)</f>
        <v>0</v>
      </c>
      <c r="L3195" s="14" t="str">
        <f>_xlfn.XLOOKUP(B3195,CAD_PDV!A:A,CAD_PDV!C:C)</f>
        <v>PR/SC</v>
      </c>
      <c r="M3195" s="14" t="str">
        <f>IFERROR(_xlfn.XLOOKUP(B3195,repete!A:A,repete!A:A),"-")</f>
        <v>-</v>
      </c>
    </row>
    <row r="3196" spans="1:13">
      <c r="A3196" s="1">
        <v>46235</v>
      </c>
      <c r="B3196" t="s">
        <v>1888</v>
      </c>
      <c r="C3196" t="s">
        <v>1889</v>
      </c>
      <c r="D3196" t="s">
        <v>124</v>
      </c>
      <c r="E3196" t="s">
        <v>2074</v>
      </c>
      <c r="F3196">
        <v>55</v>
      </c>
      <c r="J3196" s="14" t="str">
        <f>_xlfn.XLOOKUP(B3196,CAD_PDV!A:A,CAD_PDV!B:B)</f>
        <v>EDUARDO JUNQUEIRA DA SILVEIRA ADMIN</v>
      </c>
      <c r="K3196" s="14">
        <f>IF(IFERROR(_xlfn.XLOOKUP(B3196,Planilha2!D:D,Planilha2!H:H),0)="SIM",1,0)</f>
        <v>0</v>
      </c>
      <c r="L3196" s="14" t="str">
        <f>_xlfn.XLOOKUP(B3196,CAD_PDV!A:A,CAD_PDV!C:C)</f>
        <v>RS</v>
      </c>
      <c r="M3196" s="14" t="str">
        <f>IFERROR(_xlfn.XLOOKUP(B3196,repete!A:A,repete!A:A),"-")</f>
        <v>-</v>
      </c>
    </row>
    <row r="3197" spans="1:13">
      <c r="A3197" s="1">
        <v>46235</v>
      </c>
      <c r="B3197" t="s">
        <v>533</v>
      </c>
      <c r="C3197" t="s">
        <v>534</v>
      </c>
      <c r="D3197" t="s">
        <v>88</v>
      </c>
      <c r="E3197" t="s">
        <v>56</v>
      </c>
      <c r="F3197">
        <v>2</v>
      </c>
      <c r="J3197" s="14" t="str">
        <f>_xlfn.XLOOKUP(B3197,CAD_PDV!A:A,CAD_PDV!B:B)</f>
        <v>ALFA CELULAR LTDA</v>
      </c>
      <c r="K3197" s="14">
        <f>IF(IFERROR(_xlfn.XLOOKUP(B3197,Planilha2!D:D,Planilha2!H:H),0)="SIM",1,0)</f>
        <v>0</v>
      </c>
      <c r="L3197" s="14" t="str">
        <f>_xlfn.XLOOKUP(B3197,CAD_PDV!A:A,CAD_PDV!C:C)</f>
        <v>MG</v>
      </c>
      <c r="M3197" s="14" t="str">
        <f>IFERROR(_xlfn.XLOOKUP(B3197,repete!A:A,repete!A:A),"-")</f>
        <v>-</v>
      </c>
    </row>
    <row r="3198" spans="1:13">
      <c r="A3198" s="1">
        <v>46235</v>
      </c>
      <c r="B3198" t="s">
        <v>333</v>
      </c>
      <c r="C3198" t="s">
        <v>335</v>
      </c>
      <c r="D3198" t="s">
        <v>141</v>
      </c>
      <c r="E3198" t="s">
        <v>61</v>
      </c>
      <c r="F3198">
        <v>14</v>
      </c>
      <c r="J3198" s="14" t="str">
        <f>_xlfn.XLOOKUP(B3198,CAD_PDV!A:A,CAD_PDV!B:B)</f>
        <v>ICARO CARVALHO CAVALCANTE</v>
      </c>
      <c r="K3198" s="14">
        <f>IF(IFERROR(_xlfn.XLOOKUP(B3198,Planilha2!D:D,Planilha2!H:H),0)="SIM",1,0)</f>
        <v>0</v>
      </c>
      <c r="L3198" s="14" t="str">
        <f>_xlfn.XLOOKUP(B3198,CAD_PDV!A:A,CAD_PDV!C:C)</f>
        <v>NE</v>
      </c>
      <c r="M3198" s="14" t="str">
        <f>IFERROR(_xlfn.XLOOKUP(B3198,repete!A:A,repete!A:A),"-")</f>
        <v>-</v>
      </c>
    </row>
    <row r="3199" spans="1:13">
      <c r="A3199" s="1">
        <v>46235</v>
      </c>
      <c r="B3199" t="s">
        <v>913</v>
      </c>
      <c r="C3199" t="s">
        <v>914</v>
      </c>
      <c r="D3199" t="s">
        <v>113</v>
      </c>
      <c r="E3199" t="s">
        <v>59</v>
      </c>
      <c r="F3199">
        <v>9</v>
      </c>
      <c r="J3199" s="14" t="str">
        <f>_xlfn.XLOOKUP(B3199,CAD_PDV!A:A,CAD_PDV!B:B)</f>
        <v>D. R. MEDEIROS &amp; CIA LTDA</v>
      </c>
      <c r="K3199" s="14">
        <f>IF(IFERROR(_xlfn.XLOOKUP(B3199,Planilha2!D:D,Planilha2!H:H),0)="SIM",1,0)</f>
        <v>0</v>
      </c>
      <c r="L3199" s="14" t="str">
        <f>_xlfn.XLOOKUP(B3199,CAD_PDV!A:A,CAD_PDV!C:C)</f>
        <v>CO</v>
      </c>
      <c r="M3199" s="14" t="str">
        <f>IFERROR(_xlfn.XLOOKUP(B3199,repete!A:A,repete!A:A),"-")</f>
        <v>-</v>
      </c>
    </row>
    <row r="3200" spans="1:13">
      <c r="A3200" s="1">
        <v>46235</v>
      </c>
      <c r="B3200" t="s">
        <v>336</v>
      </c>
      <c r="C3200" t="s">
        <v>337</v>
      </c>
      <c r="D3200" t="s">
        <v>226</v>
      </c>
      <c r="E3200" t="s">
        <v>61</v>
      </c>
      <c r="F3200">
        <v>39</v>
      </c>
      <c r="J3200" s="14" t="str">
        <f>_xlfn.XLOOKUP(B3200,CAD_PDV!A:A,CAD_PDV!B:B)</f>
        <v>DELTA CELL TELECOMUNICACOES LTDA</v>
      </c>
      <c r="K3200" s="14">
        <f>IF(IFERROR(_xlfn.XLOOKUP(B3200,Planilha2!D:D,Planilha2!H:H),0)="SIM",1,0)</f>
        <v>0</v>
      </c>
      <c r="L3200" s="14" t="str">
        <f>_xlfn.XLOOKUP(B3200,CAD_PDV!A:A,CAD_PDV!C:C)</f>
        <v>NE</v>
      </c>
      <c r="M3200" s="14" t="str">
        <f>IFERROR(_xlfn.XLOOKUP(B3200,repete!A:A,repete!A:A),"-")</f>
        <v>-</v>
      </c>
    </row>
    <row r="3201" spans="1:13">
      <c r="A3201" s="1">
        <v>46235</v>
      </c>
      <c r="B3201" t="s">
        <v>1299</v>
      </c>
      <c r="C3201" t="s">
        <v>1302</v>
      </c>
      <c r="D3201" t="s">
        <v>86</v>
      </c>
      <c r="E3201" t="s">
        <v>53</v>
      </c>
      <c r="F3201">
        <v>18</v>
      </c>
      <c r="J3201" s="14" t="str">
        <f>_xlfn.XLOOKUP(B3201,CAD_PDV!A:A,CAD_PDV!B:B)</f>
        <v>AC BAYLONGUE</v>
      </c>
      <c r="K3201" s="14">
        <f>IF(IFERROR(_xlfn.XLOOKUP(B3201,Planilha2!D:D,Planilha2!H:H),0)="SIM",1,0)</f>
        <v>0</v>
      </c>
      <c r="L3201" s="14" t="str">
        <f>_xlfn.XLOOKUP(B3201,CAD_PDV!A:A,CAD_PDV!C:C)</f>
        <v>SP1</v>
      </c>
      <c r="M3201" s="14" t="str">
        <f>IFERROR(_xlfn.XLOOKUP(B3201,repete!A:A,repete!A:A),"-")</f>
        <v>-</v>
      </c>
    </row>
    <row r="3202" spans="1:13">
      <c r="A3202" s="1">
        <v>46235</v>
      </c>
      <c r="B3202" t="s">
        <v>621</v>
      </c>
      <c r="C3202" t="s">
        <v>622</v>
      </c>
      <c r="D3202" t="s">
        <v>224</v>
      </c>
      <c r="E3202" t="s">
        <v>59</v>
      </c>
      <c r="F3202">
        <v>26</v>
      </c>
      <c r="J3202" s="14" t="str">
        <f>_xlfn.XLOOKUP(B3202,CAD_PDV!A:A,CAD_PDV!B:B)</f>
        <v>CELNET COMERCIO E SERVICOS DE TELEFONIA LTDA ME</v>
      </c>
      <c r="K3202" s="14">
        <f>IF(IFERROR(_xlfn.XLOOKUP(B3202,Planilha2!D:D,Planilha2!H:H),0)="SIM",1,0)</f>
        <v>0</v>
      </c>
      <c r="L3202" s="14" t="str">
        <f>_xlfn.XLOOKUP(B3202,CAD_PDV!A:A,CAD_PDV!C:C)</f>
        <v>CO</v>
      </c>
      <c r="M3202" s="14" t="str">
        <f>IFERROR(_xlfn.XLOOKUP(B3202,repete!A:A,repete!A:A),"-")</f>
        <v>-</v>
      </c>
    </row>
    <row r="3203" spans="1:13">
      <c r="A3203" s="1">
        <v>46235</v>
      </c>
      <c r="B3203" t="s">
        <v>535</v>
      </c>
      <c r="C3203" t="s">
        <v>430</v>
      </c>
      <c r="D3203" t="s">
        <v>106</v>
      </c>
      <c r="E3203" t="s">
        <v>56</v>
      </c>
      <c r="F3203">
        <v>27</v>
      </c>
      <c r="J3203" s="14" t="str">
        <f>_xlfn.XLOOKUP(B3203,CAD_PDV!A:A,CAD_PDV!B:B)</f>
        <v>CELLULAR.COM</v>
      </c>
      <c r="K3203" s="14">
        <f>IF(IFERROR(_xlfn.XLOOKUP(B3203,Planilha2!D:D,Planilha2!H:H),0)="SIM",1,0)</f>
        <v>0</v>
      </c>
      <c r="L3203" s="14" t="str">
        <f>_xlfn.XLOOKUP(B3203,CAD_PDV!A:A,CAD_PDV!C:C)</f>
        <v>MG</v>
      </c>
      <c r="M3203" s="14" t="str">
        <f>IFERROR(_xlfn.XLOOKUP(B3203,repete!A:A,repete!A:A),"-")</f>
        <v>-</v>
      </c>
    </row>
    <row r="3204" spans="1:13">
      <c r="A3204" s="1">
        <v>46235</v>
      </c>
      <c r="B3204" t="s">
        <v>1549</v>
      </c>
      <c r="C3204" t="s">
        <v>1550</v>
      </c>
      <c r="D3204" t="s">
        <v>148</v>
      </c>
      <c r="E3204" t="s">
        <v>54</v>
      </c>
      <c r="F3204">
        <v>11</v>
      </c>
      <c r="J3204" s="14" t="str">
        <f>_xlfn.XLOOKUP(B3204,CAD_PDV!A:A,CAD_PDV!B:B)</f>
        <v>J. P. MACHADO TELEFONIA - ME</v>
      </c>
      <c r="K3204" s="14">
        <f>IF(IFERROR(_xlfn.XLOOKUP(B3204,Planilha2!D:D,Planilha2!H:H),0)="SIM",1,0)</f>
        <v>0</v>
      </c>
      <c r="L3204" s="14" t="str">
        <f>_xlfn.XLOOKUP(B3204,CAD_PDV!A:A,CAD_PDV!C:C)</f>
        <v>SP2</v>
      </c>
      <c r="M3204" s="14" t="str">
        <f>IFERROR(_xlfn.XLOOKUP(B3204,repete!A:A,repete!A:A),"-")</f>
        <v>-</v>
      </c>
    </row>
    <row r="3205" spans="1:13">
      <c r="A3205" s="1">
        <v>46235</v>
      </c>
      <c r="B3205" t="s">
        <v>687</v>
      </c>
      <c r="C3205" t="s">
        <v>689</v>
      </c>
      <c r="D3205" t="s">
        <v>239</v>
      </c>
      <c r="E3205" t="s">
        <v>59</v>
      </c>
      <c r="F3205">
        <v>16</v>
      </c>
      <c r="J3205" s="14" t="str">
        <f>_xlfn.XLOOKUP(B3205,CAD_PDV!A:A,CAD_PDV!B:B)</f>
        <v>TELECELL TELEFONIA LTDA - ME</v>
      </c>
      <c r="K3205" s="14">
        <f>IF(IFERROR(_xlfn.XLOOKUP(B3205,Planilha2!D:D,Planilha2!H:H),0)="SIM",1,0)</f>
        <v>0</v>
      </c>
      <c r="L3205" s="14" t="str">
        <f>_xlfn.XLOOKUP(B3205,CAD_PDV!A:A,CAD_PDV!C:C)</f>
        <v>CO</v>
      </c>
      <c r="M3205" s="14" t="str">
        <f>IFERROR(_xlfn.XLOOKUP(B3205,repete!A:A,repete!A:A),"-")</f>
        <v>-</v>
      </c>
    </row>
    <row r="3206" spans="1:13">
      <c r="A3206" s="1">
        <v>46235</v>
      </c>
      <c r="B3206" t="s">
        <v>1314</v>
      </c>
      <c r="C3206" t="s">
        <v>1310</v>
      </c>
      <c r="D3206" t="s">
        <v>105</v>
      </c>
      <c r="E3206" t="s">
        <v>53</v>
      </c>
      <c r="F3206">
        <v>71</v>
      </c>
      <c r="J3206" s="14" t="str">
        <f>_xlfn.XLOOKUP(B3206,CAD_PDV!A:A,CAD_PDV!B:B)</f>
        <v>CELL AZUL CELULARES LTDA - EPP</v>
      </c>
      <c r="K3206" s="14">
        <f>IF(IFERROR(_xlfn.XLOOKUP(B3206,Planilha2!D:D,Planilha2!H:H),0)="SIM",1,0)</f>
        <v>0</v>
      </c>
      <c r="L3206" s="14" t="str">
        <f>_xlfn.XLOOKUP(B3206,CAD_PDV!A:A,CAD_PDV!C:C)</f>
        <v>SP1</v>
      </c>
      <c r="M3206" s="14" t="str">
        <f>IFERROR(_xlfn.XLOOKUP(B3206,repete!A:A,repete!A:A),"-")</f>
        <v>-</v>
      </c>
    </row>
    <row r="3207" spans="1:13">
      <c r="A3207" s="1">
        <v>46235</v>
      </c>
      <c r="B3207" t="s">
        <v>1086</v>
      </c>
      <c r="C3207" t="s">
        <v>1087</v>
      </c>
      <c r="D3207" t="s">
        <v>117</v>
      </c>
      <c r="E3207" t="s">
        <v>62</v>
      </c>
      <c r="F3207">
        <v>5</v>
      </c>
      <c r="J3207" s="14" t="str">
        <f>_xlfn.XLOOKUP(B3207,CAD_PDV!A:A,CAD_PDV!B:B)</f>
        <v>DIN COMERCIO E SERVICOS EIRELI - EPP</v>
      </c>
      <c r="K3207" s="14">
        <f>IF(IFERROR(_xlfn.XLOOKUP(B3207,Planilha2!D:D,Planilha2!H:H),0)="SIM",1,0)</f>
        <v>0</v>
      </c>
      <c r="L3207" s="14" t="str">
        <f>_xlfn.XLOOKUP(B3207,CAD_PDV!A:A,CAD_PDV!C:C)</f>
        <v>NO</v>
      </c>
      <c r="M3207" s="14" t="str">
        <f>IFERROR(_xlfn.XLOOKUP(B3207,repete!A:A,repete!A:A),"-")</f>
        <v>-</v>
      </c>
    </row>
    <row r="3208" spans="1:13">
      <c r="A3208" s="1">
        <v>46235</v>
      </c>
      <c r="B3208" t="s">
        <v>338</v>
      </c>
      <c r="C3208" t="s">
        <v>339</v>
      </c>
      <c r="D3208" t="s">
        <v>141</v>
      </c>
      <c r="E3208" t="s">
        <v>61</v>
      </c>
      <c r="F3208">
        <v>31</v>
      </c>
      <c r="J3208" s="14" t="str">
        <f>_xlfn.XLOOKUP(B3208,CAD_PDV!A:A,CAD_PDV!B:B)</f>
        <v>ICARO CARVALHO CAVALCANTE</v>
      </c>
      <c r="K3208" s="14">
        <f>IF(IFERROR(_xlfn.XLOOKUP(B3208,Planilha2!D:D,Planilha2!H:H),0)="SIM",1,0)</f>
        <v>0</v>
      </c>
      <c r="L3208" s="14" t="str">
        <f>_xlfn.XLOOKUP(B3208,CAD_PDV!A:A,CAD_PDV!C:C)</f>
        <v>NE</v>
      </c>
      <c r="M3208" s="14" t="str">
        <f>IFERROR(_xlfn.XLOOKUP(B3208,repete!A:A,repete!A:A),"-")</f>
        <v>-</v>
      </c>
    </row>
    <row r="3209" spans="1:13">
      <c r="A3209" s="1">
        <v>46235</v>
      </c>
      <c r="B3209" t="s">
        <v>340</v>
      </c>
      <c r="C3209" t="s">
        <v>341</v>
      </c>
      <c r="D3209" t="s">
        <v>131</v>
      </c>
      <c r="E3209" t="s">
        <v>61</v>
      </c>
      <c r="F3209">
        <v>14</v>
      </c>
      <c r="J3209" s="14" t="str">
        <f>_xlfn.XLOOKUP(B3209,CAD_PDV!A:A,CAD_PDV!B:B)</f>
        <v>FABIANA GONCALVES DA SILVA LINS E CIA LTDA</v>
      </c>
      <c r="K3209" s="14">
        <f>IF(IFERROR(_xlfn.XLOOKUP(B3209,Planilha2!D:D,Planilha2!H:H),0)="SIM",1,0)</f>
        <v>0</v>
      </c>
      <c r="L3209" s="14" t="str">
        <f>_xlfn.XLOOKUP(B3209,CAD_PDV!A:A,CAD_PDV!C:C)</f>
        <v>NE</v>
      </c>
      <c r="M3209" s="14" t="str">
        <f>IFERROR(_xlfn.XLOOKUP(B3209,repete!A:A,repete!A:A),"-")</f>
        <v>-</v>
      </c>
    </row>
    <row r="3210" spans="1:13">
      <c r="A3210" s="1">
        <v>46235</v>
      </c>
      <c r="B3210" t="s">
        <v>1004</v>
      </c>
      <c r="C3210" t="s">
        <v>1005</v>
      </c>
      <c r="D3210" t="s">
        <v>151</v>
      </c>
      <c r="E3210" t="s">
        <v>60</v>
      </c>
      <c r="F3210">
        <v>32</v>
      </c>
      <c r="J3210" s="14" t="str">
        <f>_xlfn.XLOOKUP(B3210,CAD_PDV!A:A,CAD_PDV!B:B)</f>
        <v>JOSE ADALBERTO CERQUEIRA JUNIOR - ME</v>
      </c>
      <c r="K3210" s="14">
        <f>IF(IFERROR(_xlfn.XLOOKUP(B3210,Planilha2!D:D,Planilha2!H:H),0)="SIM",1,0)</f>
        <v>0</v>
      </c>
      <c r="L3210" s="14" t="str">
        <f>_xlfn.XLOOKUP(B3210,CAD_PDV!A:A,CAD_PDV!C:C)</f>
        <v>BA/SE</v>
      </c>
      <c r="M3210" s="14" t="str">
        <f>IFERROR(_xlfn.XLOOKUP(B3210,repete!A:A,repete!A:A),"-")</f>
        <v>-</v>
      </c>
    </row>
    <row r="3211" spans="1:13">
      <c r="A3211" s="1">
        <v>46235</v>
      </c>
      <c r="B3211" t="s">
        <v>1006</v>
      </c>
      <c r="C3211" t="s">
        <v>1007</v>
      </c>
      <c r="D3211" t="s">
        <v>184</v>
      </c>
      <c r="E3211" t="s">
        <v>60</v>
      </c>
      <c r="F3211">
        <v>3</v>
      </c>
      <c r="J3211" s="14" t="str">
        <f>_xlfn.XLOOKUP(B3211,CAD_PDV!A:A,CAD_PDV!B:B)</f>
        <v>R &amp; J CELULARES E ACESSORIOS EIRELI</v>
      </c>
      <c r="K3211" s="14">
        <f>IF(IFERROR(_xlfn.XLOOKUP(B3211,Planilha2!D:D,Planilha2!H:H),0)="SIM",1,0)</f>
        <v>0</v>
      </c>
      <c r="L3211" s="14" t="str">
        <f>_xlfn.XLOOKUP(B3211,CAD_PDV!A:A,CAD_PDV!C:C)</f>
        <v>BA/SE</v>
      </c>
      <c r="M3211" s="14" t="str">
        <f>IFERROR(_xlfn.XLOOKUP(B3211,repete!A:A,repete!A:A),"-")</f>
        <v>-</v>
      </c>
    </row>
    <row r="3212" spans="1:13">
      <c r="A3212" s="1">
        <v>46235</v>
      </c>
      <c r="B3212" t="s">
        <v>342</v>
      </c>
      <c r="C3212" t="s">
        <v>343</v>
      </c>
      <c r="D3212" t="s">
        <v>196</v>
      </c>
      <c r="E3212" t="s">
        <v>61</v>
      </c>
      <c r="F3212">
        <v>31</v>
      </c>
      <c r="J3212" s="14" t="str">
        <f>_xlfn.XLOOKUP(B3212,CAD_PDV!A:A,CAD_PDV!B:B)</f>
        <v>SELF COMERCIO E SERVICOS EM TELEFON</v>
      </c>
      <c r="K3212" s="14">
        <f>IF(IFERROR(_xlfn.XLOOKUP(B3212,Planilha2!D:D,Planilha2!H:H),0)="SIM",1,0)</f>
        <v>0</v>
      </c>
      <c r="L3212" s="14" t="str">
        <f>_xlfn.XLOOKUP(B3212,CAD_PDV!A:A,CAD_PDV!C:C)</f>
        <v>NE</v>
      </c>
      <c r="M3212" s="14" t="str">
        <f>IFERROR(_xlfn.XLOOKUP(B3212,repete!A:A,repete!A:A),"-")</f>
        <v>-</v>
      </c>
    </row>
    <row r="3213" spans="1:13">
      <c r="A3213" s="1">
        <v>46235</v>
      </c>
      <c r="B3213" t="s">
        <v>1044</v>
      </c>
      <c r="C3213" t="s">
        <v>1045</v>
      </c>
      <c r="D3213" t="s">
        <v>155</v>
      </c>
      <c r="E3213" t="s">
        <v>60</v>
      </c>
      <c r="F3213">
        <v>18</v>
      </c>
      <c r="J3213" s="14" t="str">
        <f>_xlfn.XLOOKUP(B3213,CAD_PDV!A:A,CAD_PDV!B:B)</f>
        <v>LBD TELECOM LTDA</v>
      </c>
      <c r="K3213" s="14">
        <f>IF(IFERROR(_xlfn.XLOOKUP(B3213,Planilha2!D:D,Planilha2!H:H),0)="SIM",1,0)</f>
        <v>0</v>
      </c>
      <c r="L3213" s="14" t="str">
        <f>_xlfn.XLOOKUP(B3213,CAD_PDV!A:A,CAD_PDV!C:C)</f>
        <v>BA/SE</v>
      </c>
      <c r="M3213" s="14" t="str">
        <f>IFERROR(_xlfn.XLOOKUP(B3213,repete!A:A,repete!A:A),"-")</f>
        <v>-</v>
      </c>
    </row>
    <row r="3214" spans="1:13">
      <c r="A3214" s="1">
        <v>46235</v>
      </c>
      <c r="B3214" t="s">
        <v>1220</v>
      </c>
      <c r="C3214" t="s">
        <v>1221</v>
      </c>
      <c r="D3214" t="s">
        <v>125</v>
      </c>
      <c r="E3214" t="s">
        <v>55</v>
      </c>
      <c r="F3214">
        <v>12</v>
      </c>
      <c r="J3214" s="14" t="str">
        <f>_xlfn.XLOOKUP(B3214,CAD_PDV!A:A,CAD_PDV!B:B)</f>
        <v>ELETRO CENTER</v>
      </c>
      <c r="K3214" s="14">
        <f>IF(IFERROR(_xlfn.XLOOKUP(B3214,Planilha2!D:D,Planilha2!H:H),0)="SIM",1,0)</f>
        <v>0</v>
      </c>
      <c r="L3214" s="14" t="str">
        <f>_xlfn.XLOOKUP(B3214,CAD_PDV!A:A,CAD_PDV!C:C)</f>
        <v>RJ/ES</v>
      </c>
      <c r="M3214" s="14" t="str">
        <f>IFERROR(_xlfn.XLOOKUP(B3214,repete!A:A,repete!A:A),"-")</f>
        <v>-</v>
      </c>
    </row>
    <row r="3215" spans="1:13">
      <c r="A3215" s="1">
        <v>46235</v>
      </c>
      <c r="B3215" t="s">
        <v>1553</v>
      </c>
      <c r="C3215" t="s">
        <v>1554</v>
      </c>
      <c r="D3215" t="s">
        <v>106</v>
      </c>
      <c r="E3215" t="s">
        <v>54</v>
      </c>
      <c r="F3215">
        <v>5</v>
      </c>
      <c r="J3215" s="14" t="str">
        <f>_xlfn.XLOOKUP(B3215,CAD_PDV!A:A,CAD_PDV!B:B)</f>
        <v>CELLULAR.COM</v>
      </c>
      <c r="K3215" s="14">
        <f>IF(IFERROR(_xlfn.XLOOKUP(B3215,Planilha2!D:D,Planilha2!H:H),0)="SIM",1,0)</f>
        <v>0</v>
      </c>
      <c r="L3215" s="14" t="str">
        <f>_xlfn.XLOOKUP(B3215,CAD_PDV!A:A,CAD_PDV!C:C)</f>
        <v>SP2</v>
      </c>
      <c r="M3215" s="14" t="str">
        <f>IFERROR(_xlfn.XLOOKUP(B3215,repete!A:A,repete!A:A),"-")</f>
        <v>-</v>
      </c>
    </row>
    <row r="3216" spans="1:13">
      <c r="A3216" s="1">
        <v>46235</v>
      </c>
      <c r="B3216" t="s">
        <v>1555</v>
      </c>
      <c r="C3216" t="s">
        <v>1535</v>
      </c>
      <c r="D3216" t="s">
        <v>106</v>
      </c>
      <c r="E3216" t="s">
        <v>54</v>
      </c>
      <c r="F3216">
        <v>16</v>
      </c>
      <c r="J3216" s="14" t="str">
        <f>_xlfn.XLOOKUP(B3216,CAD_PDV!A:A,CAD_PDV!B:B)</f>
        <v>CELLULAR.COM</v>
      </c>
      <c r="K3216" s="14">
        <f>IF(IFERROR(_xlfn.XLOOKUP(B3216,Planilha2!D:D,Planilha2!H:H),0)="SIM",1,0)</f>
        <v>0</v>
      </c>
      <c r="L3216" s="14" t="str">
        <f>_xlfn.XLOOKUP(B3216,CAD_PDV!A:A,CAD_PDV!C:C)</f>
        <v>SP2</v>
      </c>
      <c r="M3216" s="14" t="str">
        <f>IFERROR(_xlfn.XLOOKUP(B3216,repete!A:A,repete!A:A),"-")</f>
        <v>-</v>
      </c>
    </row>
    <row r="3217" spans="1:13">
      <c r="A3217" s="1">
        <v>46235</v>
      </c>
      <c r="B3217" t="s">
        <v>444</v>
      </c>
      <c r="C3217" t="s">
        <v>446</v>
      </c>
      <c r="D3217" t="s">
        <v>200</v>
      </c>
      <c r="E3217" t="s">
        <v>56</v>
      </c>
      <c r="F3217">
        <v>20</v>
      </c>
      <c r="J3217" s="14" t="str">
        <f>_xlfn.XLOOKUP(B3217,CAD_PDV!A:A,CAD_PDV!B:B)</f>
        <v>SMART CENTER TELECOM LTDA</v>
      </c>
      <c r="K3217" s="14">
        <f>IF(IFERROR(_xlfn.XLOOKUP(B3217,Planilha2!D:D,Planilha2!H:H),0)="SIM",1,0)</f>
        <v>0</v>
      </c>
      <c r="L3217" s="14" t="str">
        <f>_xlfn.XLOOKUP(B3217,CAD_PDV!A:A,CAD_PDV!C:C)</f>
        <v>MG</v>
      </c>
      <c r="M3217" s="14" t="str">
        <f>IFERROR(_xlfn.XLOOKUP(B3217,repete!A:A,repete!A:A),"-")</f>
        <v>-</v>
      </c>
    </row>
    <row r="3218" spans="1:13">
      <c r="A3218" s="1">
        <v>46235</v>
      </c>
      <c r="B3218" t="s">
        <v>1895</v>
      </c>
      <c r="C3218" t="s">
        <v>1894</v>
      </c>
      <c r="D3218" t="s">
        <v>124</v>
      </c>
      <c r="E3218" t="s">
        <v>2074</v>
      </c>
      <c r="F3218">
        <v>161</v>
      </c>
      <c r="J3218" s="14" t="str">
        <f>_xlfn.XLOOKUP(B3218,CAD_PDV!A:A,CAD_PDV!B:B)</f>
        <v>EDUARDO JUNQUEIRA DA SILVEIRA ADMIN</v>
      </c>
      <c r="K3218" s="14">
        <f>IF(IFERROR(_xlfn.XLOOKUP(B3218,Planilha2!D:D,Planilha2!H:H),0)="SIM",1,0)</f>
        <v>0</v>
      </c>
      <c r="L3218" s="14" t="str">
        <f>_xlfn.XLOOKUP(B3218,CAD_PDV!A:A,CAD_PDV!C:C)</f>
        <v>RS</v>
      </c>
      <c r="M3218" s="14" t="str">
        <f>IFERROR(_xlfn.XLOOKUP(B3218,repete!A:A,repete!A:A),"-")</f>
        <v>-</v>
      </c>
    </row>
    <row r="3219" spans="1:13">
      <c r="A3219" s="1">
        <v>46235</v>
      </c>
      <c r="B3219" t="s">
        <v>1556</v>
      </c>
      <c r="C3219" t="s">
        <v>1557</v>
      </c>
      <c r="D3219" t="s">
        <v>132</v>
      </c>
      <c r="E3219" t="s">
        <v>54</v>
      </c>
      <c r="F3219">
        <v>12</v>
      </c>
      <c r="J3219" s="14" t="str">
        <f>_xlfn.XLOOKUP(B3219,CAD_PDV!A:A,CAD_PDV!B:B)</f>
        <v>FLEX CELL</v>
      </c>
      <c r="K3219" s="14">
        <f>IF(IFERROR(_xlfn.XLOOKUP(B3219,Planilha2!D:D,Planilha2!H:H),0)="SIM",1,0)</f>
        <v>0</v>
      </c>
      <c r="L3219" s="14" t="str">
        <f>_xlfn.XLOOKUP(B3219,CAD_PDV!A:A,CAD_PDV!C:C)</f>
        <v>SP2</v>
      </c>
      <c r="M3219" s="14" t="str">
        <f>IFERROR(_xlfn.XLOOKUP(B3219,repete!A:A,repete!A:A),"-")</f>
        <v>-</v>
      </c>
    </row>
    <row r="3220" spans="1:13">
      <c r="A3220" s="1">
        <v>46235</v>
      </c>
      <c r="B3220" t="s">
        <v>770</v>
      </c>
      <c r="C3220" t="s">
        <v>771</v>
      </c>
      <c r="D3220" t="s">
        <v>206</v>
      </c>
      <c r="E3220" t="s">
        <v>59</v>
      </c>
      <c r="F3220">
        <v>38</v>
      </c>
      <c r="J3220" s="14" t="str">
        <f>_xlfn.XLOOKUP(B3220,CAD_PDV!A:A,CAD_PDV!B:B)</f>
        <v>TATIANE CONCEICAO DE OLIVEIRA - ME</v>
      </c>
      <c r="K3220" s="14">
        <f>IF(IFERROR(_xlfn.XLOOKUP(B3220,Planilha2!D:D,Planilha2!H:H),0)="SIM",1,0)</f>
        <v>0</v>
      </c>
      <c r="L3220" s="14" t="str">
        <f>_xlfn.XLOOKUP(B3220,CAD_PDV!A:A,CAD_PDV!C:C)</f>
        <v>CO</v>
      </c>
      <c r="M3220" s="14" t="str">
        <f>IFERROR(_xlfn.XLOOKUP(B3220,repete!A:A,repete!A:A),"-")</f>
        <v>-</v>
      </c>
    </row>
    <row r="3221" spans="1:13">
      <c r="A3221" s="1">
        <v>46235</v>
      </c>
      <c r="B3221" t="s">
        <v>1008</v>
      </c>
      <c r="C3221" t="s">
        <v>1009</v>
      </c>
      <c r="D3221" t="s">
        <v>199</v>
      </c>
      <c r="E3221" t="s">
        <v>60</v>
      </c>
      <c r="F3221">
        <v>26</v>
      </c>
      <c r="J3221" s="14" t="str">
        <f>_xlfn.XLOOKUP(B3221,CAD_PDV!A:A,CAD_PDV!B:B)</f>
        <v>SILVA SILVA TELEFONIA E COMUNICAO L</v>
      </c>
      <c r="K3221" s="14">
        <f>IF(IFERROR(_xlfn.XLOOKUP(B3221,Planilha2!D:D,Planilha2!H:H),0)="SIM",1,0)</f>
        <v>0</v>
      </c>
      <c r="L3221" s="14" t="str">
        <f>_xlfn.XLOOKUP(B3221,CAD_PDV!A:A,CAD_PDV!C:C)</f>
        <v>BA/SE</v>
      </c>
      <c r="M3221" s="14" t="str">
        <f>IFERROR(_xlfn.XLOOKUP(B3221,repete!A:A,repete!A:A),"-")</f>
        <v>-</v>
      </c>
    </row>
    <row r="3222" spans="1:13">
      <c r="A3222" s="1">
        <v>46235</v>
      </c>
      <c r="B3222" t="s">
        <v>646</v>
      </c>
      <c r="C3222" t="s">
        <v>647</v>
      </c>
      <c r="D3222" t="s">
        <v>240</v>
      </c>
      <c r="E3222" t="s">
        <v>59</v>
      </c>
      <c r="F3222">
        <v>20</v>
      </c>
      <c r="J3222" s="14" t="str">
        <f>_xlfn.XLOOKUP(B3222,CAD_PDV!A:A,CAD_PDV!B:B)</f>
        <v>TELEMAIS TELEFONIA LTDA - ME</v>
      </c>
      <c r="K3222" s="14">
        <f>IF(IFERROR(_xlfn.XLOOKUP(B3222,Planilha2!D:D,Planilha2!H:H),0)="SIM",1,0)</f>
        <v>0</v>
      </c>
      <c r="L3222" s="14" t="str">
        <f>_xlfn.XLOOKUP(B3222,CAD_PDV!A:A,CAD_PDV!C:C)</f>
        <v>CO</v>
      </c>
      <c r="M3222" s="14" t="str">
        <f>IFERROR(_xlfn.XLOOKUP(B3222,repete!A:A,repete!A:A),"-")</f>
        <v>-</v>
      </c>
    </row>
    <row r="3223" spans="1:13">
      <c r="A3223" s="1">
        <v>46235</v>
      </c>
      <c r="B3223" t="s">
        <v>803</v>
      </c>
      <c r="C3223" t="s">
        <v>790</v>
      </c>
      <c r="D3223" t="s">
        <v>169</v>
      </c>
      <c r="E3223" t="s">
        <v>59</v>
      </c>
      <c r="F3223">
        <v>27</v>
      </c>
      <c r="J3223" s="14" t="str">
        <f>_xlfn.XLOOKUP(B3223,CAD_PDV!A:A,CAD_PDV!B:B)</f>
        <v>MEGA CELULAR</v>
      </c>
      <c r="K3223" s="14">
        <f>IF(IFERROR(_xlfn.XLOOKUP(B3223,Planilha2!D:D,Planilha2!H:H),0)="SIM",1,0)</f>
        <v>0</v>
      </c>
      <c r="L3223" s="14" t="str">
        <f>_xlfn.XLOOKUP(B3223,CAD_PDV!A:A,CAD_PDV!C:C)</f>
        <v>CO</v>
      </c>
      <c r="M3223" s="14" t="str">
        <f>IFERROR(_xlfn.XLOOKUP(B3223,repete!A:A,repete!A:A),"-")</f>
        <v>-</v>
      </c>
    </row>
    <row r="3224" spans="1:13">
      <c r="A3224" s="1">
        <v>46235</v>
      </c>
      <c r="B3224" t="s">
        <v>924</v>
      </c>
      <c r="C3224" t="s">
        <v>736</v>
      </c>
      <c r="D3224" t="s">
        <v>177</v>
      </c>
      <c r="E3224" t="s">
        <v>59</v>
      </c>
      <c r="F3224">
        <v>25</v>
      </c>
      <c r="J3224" s="14" t="str">
        <f>_xlfn.XLOOKUP(B3224,CAD_PDV!A:A,CAD_PDV!B:B)</f>
        <v>NIPPO-TEC COMERCIO DE MATERIAIS DE COMUNICACAO LTDA - ME</v>
      </c>
      <c r="K3224" s="14">
        <f>IF(IFERROR(_xlfn.XLOOKUP(B3224,Planilha2!D:D,Planilha2!H:H),0)="SIM",1,0)</f>
        <v>0</v>
      </c>
      <c r="L3224" s="14" t="str">
        <f>_xlfn.XLOOKUP(B3224,CAD_PDV!A:A,CAD_PDV!C:C)</f>
        <v>CO</v>
      </c>
      <c r="M3224" s="14" t="str">
        <f>IFERROR(_xlfn.XLOOKUP(B3224,repete!A:A,repete!A:A),"-")</f>
        <v>-</v>
      </c>
    </row>
    <row r="3225" spans="1:13">
      <c r="A3225" s="1">
        <v>46235</v>
      </c>
      <c r="B3225" t="s">
        <v>1953</v>
      </c>
      <c r="C3225" t="s">
        <v>1955</v>
      </c>
      <c r="D3225" t="s">
        <v>106</v>
      </c>
      <c r="E3225" t="s">
        <v>2074</v>
      </c>
      <c r="F3225">
        <v>9</v>
      </c>
      <c r="J3225" s="14" t="str">
        <f>_xlfn.XLOOKUP(B3225,CAD_PDV!A:A,CAD_PDV!B:B)</f>
        <v>CELLULAR.COM</v>
      </c>
      <c r="K3225" s="14">
        <f>IF(IFERROR(_xlfn.XLOOKUP(B3225,Planilha2!D:D,Planilha2!H:H),0)="SIM",1,0)</f>
        <v>0</v>
      </c>
      <c r="L3225" s="14" t="str">
        <f>_xlfn.XLOOKUP(B3225,CAD_PDV!A:A,CAD_PDV!C:C)</f>
        <v>PR/SC</v>
      </c>
      <c r="M3225" s="14" t="str">
        <f>IFERROR(_xlfn.XLOOKUP(B3225,repete!A:A,repete!A:A),"-")</f>
        <v>-</v>
      </c>
    </row>
    <row r="3226" spans="1:13">
      <c r="A3226" s="1">
        <v>46235</v>
      </c>
      <c r="B3226" t="s">
        <v>536</v>
      </c>
      <c r="C3226" t="s">
        <v>537</v>
      </c>
      <c r="D3226" t="s">
        <v>88</v>
      </c>
      <c r="E3226" t="s">
        <v>56</v>
      </c>
      <c r="F3226">
        <v>18</v>
      </c>
      <c r="J3226" s="14" t="str">
        <f>_xlfn.XLOOKUP(B3226,CAD_PDV!A:A,CAD_PDV!B:B)</f>
        <v>ALFA CELULAR LTDA</v>
      </c>
      <c r="K3226" s="14">
        <f>IF(IFERROR(_xlfn.XLOOKUP(B3226,Planilha2!D:D,Planilha2!H:H),0)="SIM",1,0)</f>
        <v>0</v>
      </c>
      <c r="L3226" s="14" t="str">
        <f>_xlfn.XLOOKUP(B3226,CAD_PDV!A:A,CAD_PDV!C:C)</f>
        <v>MG</v>
      </c>
      <c r="M3226" s="14" t="str">
        <f>IFERROR(_xlfn.XLOOKUP(B3226,repete!A:A,repete!A:A),"-")</f>
        <v>-</v>
      </c>
    </row>
    <row r="3227" spans="1:13">
      <c r="A3227" s="1">
        <v>46235</v>
      </c>
      <c r="B3227" t="s">
        <v>270</v>
      </c>
      <c r="C3227" t="s">
        <v>269</v>
      </c>
      <c r="D3227" t="s">
        <v>196</v>
      </c>
      <c r="E3227" t="s">
        <v>61</v>
      </c>
      <c r="F3227">
        <v>43</v>
      </c>
      <c r="J3227" s="14" t="str">
        <f>_xlfn.XLOOKUP(B3227,CAD_PDV!A:A,CAD_PDV!B:B)</f>
        <v>SELF COMERCIO E SERVICOS EM TELEFON</v>
      </c>
      <c r="K3227" s="14">
        <f>IF(IFERROR(_xlfn.XLOOKUP(B3227,Planilha2!D:D,Planilha2!H:H),0)="SIM",1,0)</f>
        <v>0</v>
      </c>
      <c r="L3227" s="14" t="str">
        <f>_xlfn.XLOOKUP(B3227,CAD_PDV!A:A,CAD_PDV!C:C)</f>
        <v>NE</v>
      </c>
      <c r="M3227" s="14" t="str">
        <f>IFERROR(_xlfn.XLOOKUP(B3227,repete!A:A,repete!A:A),"-")</f>
        <v>-</v>
      </c>
    </row>
    <row r="3228" spans="1:13">
      <c r="A3228" s="1">
        <v>46235</v>
      </c>
      <c r="B3228" t="s">
        <v>1921</v>
      </c>
      <c r="C3228" t="s">
        <v>1918</v>
      </c>
      <c r="D3228" t="s">
        <v>106</v>
      </c>
      <c r="E3228" t="s">
        <v>2074</v>
      </c>
      <c r="F3228">
        <v>45</v>
      </c>
      <c r="J3228" s="14" t="str">
        <f>_xlfn.XLOOKUP(B3228,CAD_PDV!A:A,CAD_PDV!B:B)</f>
        <v>CELLULAR.COM</v>
      </c>
      <c r="K3228" s="14">
        <f>IF(IFERROR(_xlfn.XLOOKUP(B3228,Planilha2!D:D,Planilha2!H:H),0)="SIM",1,0)</f>
        <v>0</v>
      </c>
      <c r="L3228" s="14" t="str">
        <f>_xlfn.XLOOKUP(B3228,CAD_PDV!A:A,CAD_PDV!C:C)</f>
        <v>PR/SC</v>
      </c>
      <c r="M3228" s="14" t="str">
        <f>IFERROR(_xlfn.XLOOKUP(B3228,repete!A:A,repete!A:A),"-")</f>
        <v>-</v>
      </c>
    </row>
    <row r="3229" spans="1:13">
      <c r="A3229" s="1">
        <v>46235</v>
      </c>
      <c r="B3229" t="s">
        <v>490</v>
      </c>
      <c r="C3229" t="s">
        <v>491</v>
      </c>
      <c r="D3229" t="s">
        <v>235</v>
      </c>
      <c r="E3229" t="s">
        <v>56</v>
      </c>
      <c r="F3229">
        <v>13</v>
      </c>
      <c r="J3229" s="14" t="str">
        <f>_xlfn.XLOOKUP(B3229,CAD_PDV!A:A,CAD_PDV!B:B)</f>
        <v>P.G.L CELULARES LTDA</v>
      </c>
      <c r="K3229" s="14">
        <f>IF(IFERROR(_xlfn.XLOOKUP(B3229,Planilha2!D:D,Planilha2!H:H),0)="SIM",1,0)</f>
        <v>0</v>
      </c>
      <c r="L3229" s="14" t="str">
        <f>_xlfn.XLOOKUP(B3229,CAD_PDV!A:A,CAD_PDV!C:C)</f>
        <v>MG</v>
      </c>
      <c r="M3229" s="14" t="str">
        <f>IFERROR(_xlfn.XLOOKUP(B3229,repete!A:A,repete!A:A),"-")</f>
        <v>-</v>
      </c>
    </row>
    <row r="3230" spans="1:13">
      <c r="A3230" s="1">
        <v>46235</v>
      </c>
      <c r="B3230" t="s">
        <v>1562</v>
      </c>
      <c r="C3230" t="s">
        <v>1563</v>
      </c>
      <c r="D3230" t="s">
        <v>106</v>
      </c>
      <c r="E3230" t="s">
        <v>54</v>
      </c>
      <c r="F3230">
        <v>12</v>
      </c>
      <c r="J3230" s="14" t="str">
        <f>_xlfn.XLOOKUP(B3230,CAD_PDV!A:A,CAD_PDV!B:B)</f>
        <v>CELLULAR.COM</v>
      </c>
      <c r="K3230" s="14">
        <f>IF(IFERROR(_xlfn.XLOOKUP(B3230,Planilha2!D:D,Planilha2!H:H),0)="SIM",1,0)</f>
        <v>0</v>
      </c>
      <c r="L3230" s="14" t="str">
        <f>_xlfn.XLOOKUP(B3230,CAD_PDV!A:A,CAD_PDV!C:C)</f>
        <v>SP2</v>
      </c>
      <c r="M3230" s="14" t="str">
        <f>IFERROR(_xlfn.XLOOKUP(B3230,repete!A:A,repete!A:A),"-")</f>
        <v>-</v>
      </c>
    </row>
    <row r="3231" spans="1:13">
      <c r="A3231" s="1">
        <v>46235</v>
      </c>
      <c r="B3231" t="s">
        <v>1043</v>
      </c>
      <c r="C3231" t="s">
        <v>988</v>
      </c>
      <c r="D3231" t="s">
        <v>101</v>
      </c>
      <c r="E3231" t="s">
        <v>60</v>
      </c>
      <c r="F3231">
        <v>25</v>
      </c>
      <c r="J3231" s="14" t="str">
        <f>_xlfn.XLOOKUP(B3231,CAD_PDV!A:A,CAD_PDV!B:B)</f>
        <v>CAMILA TAMBONE DE ALMEIDA EIRELI - EPP</v>
      </c>
      <c r="K3231" s="14">
        <f>IF(IFERROR(_xlfn.XLOOKUP(B3231,Planilha2!D:D,Planilha2!H:H),0)="SIM",1,0)</f>
        <v>0</v>
      </c>
      <c r="L3231" s="14" t="str">
        <f>_xlfn.XLOOKUP(B3231,CAD_PDV!A:A,CAD_PDV!C:C)</f>
        <v>BA/SE</v>
      </c>
      <c r="M3231" s="14" t="str">
        <f>IFERROR(_xlfn.XLOOKUP(B3231,repete!A:A,repete!A:A),"-")</f>
        <v>-</v>
      </c>
    </row>
    <row r="3232" spans="1:13">
      <c r="A3232" s="1">
        <v>46235</v>
      </c>
      <c r="B3232" t="s">
        <v>538</v>
      </c>
      <c r="C3232" t="s">
        <v>496</v>
      </c>
      <c r="D3232" t="s">
        <v>192</v>
      </c>
      <c r="E3232" t="s">
        <v>56</v>
      </c>
      <c r="F3232">
        <v>35</v>
      </c>
      <c r="J3232" s="14" t="str">
        <f>_xlfn.XLOOKUP(B3232,CAD_PDV!A:A,CAD_PDV!B:B)</f>
        <v>ROSA BRANCA MONTEIRO &amp; CIA LTDA</v>
      </c>
      <c r="K3232" s="14">
        <f>IF(IFERROR(_xlfn.XLOOKUP(B3232,Planilha2!D:D,Planilha2!H:H),0)="SIM",1,0)</f>
        <v>0</v>
      </c>
      <c r="L3232" s="14" t="str">
        <f>_xlfn.XLOOKUP(B3232,CAD_PDV!A:A,CAD_PDV!C:C)</f>
        <v>MG</v>
      </c>
      <c r="M3232" s="14" t="str">
        <f>IFERROR(_xlfn.XLOOKUP(B3232,repete!A:A,repete!A:A),"-")</f>
        <v>-</v>
      </c>
    </row>
    <row r="3233" spans="1:13">
      <c r="A3233" s="1">
        <v>46235</v>
      </c>
      <c r="B3233" t="s">
        <v>931</v>
      </c>
      <c r="C3233" t="s">
        <v>932</v>
      </c>
      <c r="D3233" t="s">
        <v>206</v>
      </c>
      <c r="E3233" t="s">
        <v>59</v>
      </c>
      <c r="F3233">
        <v>9</v>
      </c>
      <c r="J3233" s="14" t="str">
        <f>_xlfn.XLOOKUP(B3233,CAD_PDV!A:A,CAD_PDV!B:B)</f>
        <v>TATIANE CONCEICAO DE OLIVEIRA - ME</v>
      </c>
      <c r="K3233" s="14">
        <f>IF(IFERROR(_xlfn.XLOOKUP(B3233,Planilha2!D:D,Planilha2!H:H),0)="SIM",1,0)</f>
        <v>0</v>
      </c>
      <c r="L3233" s="14" t="str">
        <f>_xlfn.XLOOKUP(B3233,CAD_PDV!A:A,CAD_PDV!C:C)</f>
        <v>CO</v>
      </c>
      <c r="M3233" s="14" t="str">
        <f>IFERROR(_xlfn.XLOOKUP(B3233,repete!A:A,repete!A:A),"-")</f>
        <v>-</v>
      </c>
    </row>
    <row r="3234" spans="1:13">
      <c r="A3234" s="1">
        <v>46235</v>
      </c>
      <c r="B3234" t="s">
        <v>1845</v>
      </c>
      <c r="C3234" t="s">
        <v>1847</v>
      </c>
      <c r="D3234" t="s">
        <v>106</v>
      </c>
      <c r="E3234" t="s">
        <v>2074</v>
      </c>
      <c r="F3234">
        <v>37</v>
      </c>
      <c r="J3234" s="14" t="str">
        <f>_xlfn.XLOOKUP(B3234,CAD_PDV!A:A,CAD_PDV!B:B)</f>
        <v>CELLULAR.COM</v>
      </c>
      <c r="K3234" s="14">
        <f>IF(IFERROR(_xlfn.XLOOKUP(B3234,Planilha2!D:D,Planilha2!H:H),0)="SIM",1,0)</f>
        <v>0</v>
      </c>
      <c r="L3234" s="14" t="str">
        <f>_xlfn.XLOOKUP(B3234,CAD_PDV!A:A,CAD_PDV!C:C)</f>
        <v>PR/SC</v>
      </c>
      <c r="M3234" s="14" t="str">
        <f>IFERROR(_xlfn.XLOOKUP(B3234,repete!A:A,repete!A:A),"-")</f>
        <v>-</v>
      </c>
    </row>
    <row r="3235" spans="1:13">
      <c r="A3235" s="1">
        <v>46235</v>
      </c>
      <c r="B3235" t="s">
        <v>344</v>
      </c>
      <c r="C3235" t="s">
        <v>257</v>
      </c>
      <c r="D3235" t="s">
        <v>104</v>
      </c>
      <c r="E3235" t="s">
        <v>61</v>
      </c>
      <c r="F3235">
        <v>4</v>
      </c>
      <c r="J3235" s="14" t="str">
        <f>_xlfn.XLOOKUP(B3235,CAD_PDV!A:A,CAD_PDV!B:B)</f>
        <v>CARLOS FREDERICO E FILHOS COMERCIO</v>
      </c>
      <c r="K3235" s="14">
        <f>IF(IFERROR(_xlfn.XLOOKUP(B3235,Planilha2!D:D,Planilha2!H:H),0)="SIM",1,0)</f>
        <v>0</v>
      </c>
      <c r="L3235" s="14" t="str">
        <f>_xlfn.XLOOKUP(B3235,CAD_PDV!A:A,CAD_PDV!C:C)</f>
        <v>NE</v>
      </c>
      <c r="M3235" s="14" t="str">
        <f>IFERROR(_xlfn.XLOOKUP(B3235,repete!A:A,repete!A:A),"-")</f>
        <v>-</v>
      </c>
    </row>
    <row r="3236" spans="1:13">
      <c r="A3236" s="1">
        <v>46235</v>
      </c>
      <c r="B3236" t="s">
        <v>708</v>
      </c>
      <c r="C3236" t="s">
        <v>709</v>
      </c>
      <c r="D3236" t="s">
        <v>146</v>
      </c>
      <c r="E3236" t="s">
        <v>59</v>
      </c>
      <c r="F3236">
        <v>14</v>
      </c>
      <c r="J3236" s="14" t="str">
        <f>_xlfn.XLOOKUP(B3236,CAD_PDV!A:A,CAD_PDV!B:B)</f>
        <v>J J DA SILVA &amp; CIA LTDA - ME</v>
      </c>
      <c r="K3236" s="14">
        <f>IF(IFERROR(_xlfn.XLOOKUP(B3236,Planilha2!D:D,Planilha2!H:H),0)="SIM",1,0)</f>
        <v>0</v>
      </c>
      <c r="L3236" s="14" t="str">
        <f>_xlfn.XLOOKUP(B3236,CAD_PDV!A:A,CAD_PDV!C:C)</f>
        <v>CO</v>
      </c>
      <c r="M3236" s="14" t="str">
        <f>IFERROR(_xlfn.XLOOKUP(B3236,repete!A:A,repete!A:A),"-")</f>
        <v>-</v>
      </c>
    </row>
    <row r="3237" spans="1:13">
      <c r="A3237" s="1">
        <v>46235</v>
      </c>
      <c r="B3237" t="s">
        <v>774</v>
      </c>
      <c r="C3237" t="s">
        <v>775</v>
      </c>
      <c r="D3237" t="s">
        <v>144</v>
      </c>
      <c r="E3237" t="s">
        <v>59</v>
      </c>
      <c r="F3237">
        <v>14</v>
      </c>
      <c r="J3237" s="14" t="str">
        <f>_xlfn.XLOOKUP(B3237,CAD_PDV!A:A,CAD_PDV!B:B)</f>
        <v>J F A DE OLIVEIRA &amp; CIA LTDA - ME</v>
      </c>
      <c r="K3237" s="14">
        <f>IF(IFERROR(_xlfn.XLOOKUP(B3237,Planilha2!D:D,Planilha2!H:H),0)="SIM",1,0)</f>
        <v>0</v>
      </c>
      <c r="L3237" s="14" t="str">
        <f>_xlfn.XLOOKUP(B3237,CAD_PDV!A:A,CAD_PDV!C:C)</f>
        <v>CO</v>
      </c>
      <c r="M3237" s="14" t="str">
        <f>IFERROR(_xlfn.XLOOKUP(B3237,repete!A:A,repete!A:A),"-")</f>
        <v>-</v>
      </c>
    </row>
    <row r="3238" spans="1:13">
      <c r="A3238" s="1">
        <v>46235</v>
      </c>
      <c r="B3238" t="s">
        <v>1569</v>
      </c>
      <c r="C3238" t="s">
        <v>1570</v>
      </c>
      <c r="D3238" t="s">
        <v>132</v>
      </c>
      <c r="E3238" t="s">
        <v>54</v>
      </c>
      <c r="F3238">
        <v>11</v>
      </c>
      <c r="J3238" s="14" t="str">
        <f>_xlfn.XLOOKUP(B3238,CAD_PDV!A:A,CAD_PDV!B:B)</f>
        <v>FLEX CELL</v>
      </c>
      <c r="K3238" s="14">
        <f>IF(IFERROR(_xlfn.XLOOKUP(B3238,Planilha2!D:D,Planilha2!H:H),0)="SIM",1,0)</f>
        <v>0</v>
      </c>
      <c r="L3238" s="14" t="str">
        <f>_xlfn.XLOOKUP(B3238,CAD_PDV!A:A,CAD_PDV!C:C)</f>
        <v>SP2</v>
      </c>
      <c r="M3238" s="14" t="str">
        <f>IFERROR(_xlfn.XLOOKUP(B3238,repete!A:A,repete!A:A),"-")</f>
        <v>-</v>
      </c>
    </row>
    <row r="3239" spans="1:13">
      <c r="A3239" s="1">
        <v>46235</v>
      </c>
      <c r="B3239" t="s">
        <v>1098</v>
      </c>
      <c r="C3239" t="s">
        <v>1077</v>
      </c>
      <c r="D3239" t="s">
        <v>196</v>
      </c>
      <c r="E3239" t="s">
        <v>62</v>
      </c>
      <c r="F3239">
        <v>15</v>
      </c>
      <c r="J3239" s="14" t="str">
        <f>_xlfn.XLOOKUP(B3239,CAD_PDV!A:A,CAD_PDV!B:B)</f>
        <v>SELF COMERCIO E SERVICOS EM TELEFON</v>
      </c>
      <c r="K3239" s="14">
        <f>IF(IFERROR(_xlfn.XLOOKUP(B3239,Planilha2!D:D,Planilha2!H:H),0)="SIM",1,0)</f>
        <v>0</v>
      </c>
      <c r="L3239" s="14" t="str">
        <f>_xlfn.XLOOKUP(B3239,CAD_PDV!A:A,CAD_PDV!C:C)</f>
        <v>NO</v>
      </c>
      <c r="M3239" s="14" t="str">
        <f>IFERROR(_xlfn.XLOOKUP(B3239,repete!A:A,repete!A:A),"-")</f>
        <v>-</v>
      </c>
    </row>
    <row r="3240" spans="1:13">
      <c r="A3240" s="1">
        <v>46235</v>
      </c>
      <c r="B3240" t="s">
        <v>794</v>
      </c>
      <c r="C3240" t="s">
        <v>790</v>
      </c>
      <c r="D3240" t="s">
        <v>100</v>
      </c>
      <c r="E3240" t="s">
        <v>59</v>
      </c>
      <c r="F3240">
        <v>27</v>
      </c>
      <c r="J3240" s="14" t="str">
        <f>_xlfn.XLOOKUP(B3240,CAD_PDV!A:A,CAD_PDV!B:B)</f>
        <v>CALDAS CELULARES LTDA - ME</v>
      </c>
      <c r="K3240" s="14">
        <f>IF(IFERROR(_xlfn.XLOOKUP(B3240,Planilha2!D:D,Planilha2!H:H),0)="SIM",1,0)</f>
        <v>0</v>
      </c>
      <c r="L3240" s="14" t="str">
        <f>_xlfn.XLOOKUP(B3240,CAD_PDV!A:A,CAD_PDV!C:C)</f>
        <v>CO</v>
      </c>
      <c r="M3240" s="14" t="str">
        <f>IFERROR(_xlfn.XLOOKUP(B3240,repete!A:A,repete!A:A),"-")</f>
        <v>-</v>
      </c>
    </row>
    <row r="3241" spans="1:13">
      <c r="A3241" s="1">
        <v>46235</v>
      </c>
      <c r="B3241" t="s">
        <v>696</v>
      </c>
      <c r="C3241" t="s">
        <v>697</v>
      </c>
      <c r="D3241" t="s">
        <v>218</v>
      </c>
      <c r="E3241" t="s">
        <v>59</v>
      </c>
      <c r="F3241">
        <v>27</v>
      </c>
      <c r="J3241" s="14" t="str">
        <f>_xlfn.XLOOKUP(B3241,CAD_PDV!A:A,CAD_PDV!B:B)</f>
        <v>WALDEIR BELLEI &amp; CIA LTDA - ME</v>
      </c>
      <c r="K3241" s="14">
        <f>IF(IFERROR(_xlfn.XLOOKUP(B3241,Planilha2!D:D,Planilha2!H:H),0)="SIM",1,0)</f>
        <v>0</v>
      </c>
      <c r="L3241" s="14" t="str">
        <f>_xlfn.XLOOKUP(B3241,CAD_PDV!A:A,CAD_PDV!C:C)</f>
        <v>CO</v>
      </c>
      <c r="M3241" s="14" t="str">
        <f>IFERROR(_xlfn.XLOOKUP(B3241,repete!A:A,repete!A:A),"-")</f>
        <v>-</v>
      </c>
    </row>
    <row r="3242" spans="1:13">
      <c r="A3242" s="1">
        <v>46235</v>
      </c>
      <c r="B3242" t="s">
        <v>345</v>
      </c>
      <c r="C3242" t="s">
        <v>257</v>
      </c>
      <c r="D3242" t="s">
        <v>91</v>
      </c>
      <c r="E3242" t="s">
        <v>61</v>
      </c>
      <c r="F3242">
        <v>14</v>
      </c>
      <c r="J3242" s="14" t="str">
        <f>_xlfn.XLOOKUP(B3242,CAD_PDV!A:A,CAD_PDV!B:B)</f>
        <v>ANA PAULA TARGINO TRINDADE</v>
      </c>
      <c r="K3242" s="14">
        <f>IF(IFERROR(_xlfn.XLOOKUP(B3242,Planilha2!D:D,Planilha2!H:H),0)="SIM",1,0)</f>
        <v>0</v>
      </c>
      <c r="L3242" s="14" t="str">
        <f>_xlfn.XLOOKUP(B3242,CAD_PDV!A:A,CAD_PDV!C:C)</f>
        <v>NE</v>
      </c>
      <c r="M3242" s="14" t="str">
        <f>IFERROR(_xlfn.XLOOKUP(B3242,repete!A:A,repete!A:A),"-")</f>
        <v>-</v>
      </c>
    </row>
    <row r="3243" spans="1:13">
      <c r="A3243" s="1">
        <v>46235</v>
      </c>
      <c r="B3243" t="s">
        <v>1099</v>
      </c>
      <c r="C3243" t="s">
        <v>1096</v>
      </c>
      <c r="D3243" t="s">
        <v>117</v>
      </c>
      <c r="E3243" t="s">
        <v>62</v>
      </c>
      <c r="F3243">
        <v>4</v>
      </c>
      <c r="J3243" s="14" t="str">
        <f>_xlfn.XLOOKUP(B3243,CAD_PDV!A:A,CAD_PDV!B:B)</f>
        <v>DIN COMERCIO E SERVICOS EIRELI - EPP</v>
      </c>
      <c r="K3243" s="14">
        <f>IF(IFERROR(_xlfn.XLOOKUP(B3243,Planilha2!D:D,Planilha2!H:H),0)="SIM",1,0)</f>
        <v>0</v>
      </c>
      <c r="L3243" s="14" t="str">
        <f>_xlfn.XLOOKUP(B3243,CAD_PDV!A:A,CAD_PDV!C:C)</f>
        <v>NO</v>
      </c>
      <c r="M3243" s="14" t="str">
        <f>IFERROR(_xlfn.XLOOKUP(B3243,repete!A:A,repete!A:A),"-")</f>
        <v>-</v>
      </c>
    </row>
    <row r="3244" spans="1:13">
      <c r="A3244" s="1">
        <v>46235</v>
      </c>
      <c r="B3244" t="s">
        <v>1058</v>
      </c>
      <c r="C3244" t="s">
        <v>1061</v>
      </c>
      <c r="D3244" t="s">
        <v>98</v>
      </c>
      <c r="E3244" t="s">
        <v>62</v>
      </c>
      <c r="F3244">
        <v>9</v>
      </c>
      <c r="J3244" s="14" t="str">
        <f>_xlfn.XLOOKUP(B3244,CAD_PDV!A:A,CAD_PDV!B:B)</f>
        <v>BRUNO DE OLIVEIRA &amp; CIA LTDA - ME</v>
      </c>
      <c r="K3244" s="14">
        <f>IF(IFERROR(_xlfn.XLOOKUP(B3244,Planilha2!D:D,Planilha2!H:H),0)="SIM",1,0)</f>
        <v>0</v>
      </c>
      <c r="L3244" s="14" t="str">
        <f>_xlfn.XLOOKUP(B3244,CAD_PDV!A:A,CAD_PDV!C:C)</f>
        <v>NO</v>
      </c>
      <c r="M3244" s="14" t="str">
        <f>IFERROR(_xlfn.XLOOKUP(B3244,repete!A:A,repete!A:A),"-")</f>
        <v>-</v>
      </c>
    </row>
    <row r="3245" spans="1:13">
      <c r="A3245" s="1">
        <v>46235</v>
      </c>
      <c r="B3245" t="s">
        <v>540</v>
      </c>
      <c r="C3245" t="s">
        <v>430</v>
      </c>
      <c r="D3245" t="s">
        <v>106</v>
      </c>
      <c r="E3245" t="s">
        <v>56</v>
      </c>
      <c r="F3245">
        <v>41</v>
      </c>
      <c r="J3245" s="14" t="str">
        <f>_xlfn.XLOOKUP(B3245,CAD_PDV!A:A,CAD_PDV!B:B)</f>
        <v>CELLULAR.COM</v>
      </c>
      <c r="K3245" s="14">
        <f>IF(IFERROR(_xlfn.XLOOKUP(B3245,Planilha2!D:D,Planilha2!H:H),0)="SIM",1,0)</f>
        <v>0</v>
      </c>
      <c r="L3245" s="14" t="str">
        <f>_xlfn.XLOOKUP(B3245,CAD_PDV!A:A,CAD_PDV!C:C)</f>
        <v>MG</v>
      </c>
      <c r="M3245" s="14" t="str">
        <f>IFERROR(_xlfn.XLOOKUP(B3245,repete!A:A,repete!A:A),"-")</f>
        <v>-</v>
      </c>
    </row>
    <row r="3246" spans="1:13">
      <c r="A3246" s="1">
        <v>46235</v>
      </c>
      <c r="B3246" t="s">
        <v>859</v>
      </c>
      <c r="C3246" t="s">
        <v>860</v>
      </c>
      <c r="D3246" t="s">
        <v>239</v>
      </c>
      <c r="E3246" t="s">
        <v>59</v>
      </c>
      <c r="F3246">
        <v>15</v>
      </c>
      <c r="J3246" s="14" t="str">
        <f>_xlfn.XLOOKUP(B3246,CAD_PDV!A:A,CAD_PDV!B:B)</f>
        <v>TELECELL TELEFONIA LTDA - ME</v>
      </c>
      <c r="K3246" s="14">
        <f>IF(IFERROR(_xlfn.XLOOKUP(B3246,Planilha2!D:D,Planilha2!H:H),0)="SIM",1,0)</f>
        <v>0</v>
      </c>
      <c r="L3246" s="14" t="str">
        <f>_xlfn.XLOOKUP(B3246,CAD_PDV!A:A,CAD_PDV!C:C)</f>
        <v>CO</v>
      </c>
      <c r="M3246" s="14" t="str">
        <f>IFERROR(_xlfn.XLOOKUP(B3246,repete!A:A,repete!A:A),"-")</f>
        <v>-</v>
      </c>
    </row>
    <row r="3247" spans="1:13">
      <c r="A3247" s="1">
        <v>46235</v>
      </c>
      <c r="B3247" t="s">
        <v>1573</v>
      </c>
      <c r="C3247" t="s">
        <v>1464</v>
      </c>
      <c r="D3247" t="s">
        <v>132</v>
      </c>
      <c r="E3247" t="s">
        <v>54</v>
      </c>
      <c r="F3247">
        <v>17</v>
      </c>
      <c r="J3247" s="14" t="str">
        <f>_xlfn.XLOOKUP(B3247,CAD_PDV!A:A,CAD_PDV!B:B)</f>
        <v>FLEX CELL</v>
      </c>
      <c r="K3247" s="14">
        <f>IF(IFERROR(_xlfn.XLOOKUP(B3247,Planilha2!D:D,Planilha2!H:H),0)="SIM",1,0)</f>
        <v>0</v>
      </c>
      <c r="L3247" s="14" t="str">
        <f>_xlfn.XLOOKUP(B3247,CAD_PDV!A:A,CAD_PDV!C:C)</f>
        <v>SP2</v>
      </c>
      <c r="M3247" s="14" t="str">
        <f>IFERROR(_xlfn.XLOOKUP(B3247,repete!A:A,repete!A:A),"-")</f>
        <v>-</v>
      </c>
    </row>
    <row r="3248" spans="1:13">
      <c r="A3248" s="1">
        <v>46235</v>
      </c>
      <c r="B3248" t="s">
        <v>271</v>
      </c>
      <c r="C3248" t="s">
        <v>257</v>
      </c>
      <c r="D3248" t="s">
        <v>104</v>
      </c>
      <c r="E3248" t="s">
        <v>61</v>
      </c>
      <c r="F3248">
        <v>14</v>
      </c>
      <c r="J3248" s="14" t="str">
        <f>_xlfn.XLOOKUP(B3248,CAD_PDV!A:A,CAD_PDV!B:B)</f>
        <v>CARLOS FREDERICO E FILHOS COMERCIO</v>
      </c>
      <c r="K3248" s="14">
        <f>IF(IFERROR(_xlfn.XLOOKUP(B3248,Planilha2!D:D,Planilha2!H:H),0)="SIM",1,0)</f>
        <v>0</v>
      </c>
      <c r="L3248" s="14" t="str">
        <f>_xlfn.XLOOKUP(B3248,CAD_PDV!A:A,CAD_PDV!C:C)</f>
        <v>NE</v>
      </c>
      <c r="M3248" s="14" t="str">
        <f>IFERROR(_xlfn.XLOOKUP(B3248,repete!A:A,repete!A:A),"-")</f>
        <v>-</v>
      </c>
    </row>
    <row r="3249" spans="1:13">
      <c r="A3249" s="1">
        <v>46235</v>
      </c>
      <c r="B3249" t="s">
        <v>1956</v>
      </c>
      <c r="C3249" t="s">
        <v>1957</v>
      </c>
      <c r="D3249" t="s">
        <v>106</v>
      </c>
      <c r="E3249" t="s">
        <v>2074</v>
      </c>
      <c r="F3249">
        <v>19</v>
      </c>
      <c r="J3249" s="14" t="str">
        <f>_xlfn.XLOOKUP(B3249,CAD_PDV!A:A,CAD_PDV!B:B)</f>
        <v>CELLULAR.COM</v>
      </c>
      <c r="K3249" s="14">
        <f>IF(IFERROR(_xlfn.XLOOKUP(B3249,Planilha2!D:D,Planilha2!H:H),0)="SIM",1,0)</f>
        <v>0</v>
      </c>
      <c r="L3249" s="14" t="str">
        <f>_xlfn.XLOOKUP(B3249,CAD_PDV!A:A,CAD_PDV!C:C)</f>
        <v>PR/SC</v>
      </c>
      <c r="M3249" s="14" t="str">
        <f>IFERROR(_xlfn.XLOOKUP(B3249,repete!A:A,repete!A:A),"-")</f>
        <v>-</v>
      </c>
    </row>
    <row r="3250" spans="1:13">
      <c r="A3250" s="1">
        <v>46235</v>
      </c>
      <c r="B3250" t="s">
        <v>1576</v>
      </c>
      <c r="C3250" t="s">
        <v>1575</v>
      </c>
      <c r="D3250" t="s">
        <v>106</v>
      </c>
      <c r="E3250" t="s">
        <v>54</v>
      </c>
      <c r="F3250">
        <v>16</v>
      </c>
      <c r="J3250" s="14" t="str">
        <f>_xlfn.XLOOKUP(B3250,CAD_PDV!A:A,CAD_PDV!B:B)</f>
        <v>CELLULAR.COM</v>
      </c>
      <c r="K3250" s="14">
        <f>IF(IFERROR(_xlfn.XLOOKUP(B3250,Planilha2!D:D,Planilha2!H:H),0)="SIM",1,0)</f>
        <v>0</v>
      </c>
      <c r="L3250" s="14" t="str">
        <f>_xlfn.XLOOKUP(B3250,CAD_PDV!A:A,CAD_PDV!C:C)</f>
        <v>SP2</v>
      </c>
      <c r="M3250" s="14" t="str">
        <f>IFERROR(_xlfn.XLOOKUP(B3250,repete!A:A,repete!A:A),"-")</f>
        <v>-</v>
      </c>
    </row>
    <row r="3251" spans="1:13">
      <c r="A3251" s="1">
        <v>46235</v>
      </c>
      <c r="B3251" t="s">
        <v>733</v>
      </c>
      <c r="C3251" t="s">
        <v>732</v>
      </c>
      <c r="D3251" t="s">
        <v>231</v>
      </c>
      <c r="E3251" t="s">
        <v>59</v>
      </c>
      <c r="F3251">
        <v>18</v>
      </c>
      <c r="J3251" s="14" t="str">
        <f>_xlfn.XLOOKUP(B3251,CAD_PDV!A:A,CAD_PDV!B:B)</f>
        <v>HIROTA &amp; HIROTA LTDA - ME</v>
      </c>
      <c r="K3251" s="14">
        <f>IF(IFERROR(_xlfn.XLOOKUP(B3251,Planilha2!D:D,Planilha2!H:H),0)="SIM",1,0)</f>
        <v>0</v>
      </c>
      <c r="L3251" s="14" t="str">
        <f>_xlfn.XLOOKUP(B3251,CAD_PDV!A:A,CAD_PDV!C:C)</f>
        <v>CO</v>
      </c>
      <c r="M3251" s="14" t="str">
        <f>IFERROR(_xlfn.XLOOKUP(B3251,repete!A:A,repete!A:A),"-")</f>
        <v>-</v>
      </c>
    </row>
    <row r="3252" spans="1:13">
      <c r="A3252" s="1">
        <v>46235</v>
      </c>
      <c r="B3252" t="s">
        <v>1010</v>
      </c>
      <c r="C3252" t="s">
        <v>1011</v>
      </c>
      <c r="D3252" t="s">
        <v>126</v>
      </c>
      <c r="E3252" t="s">
        <v>60</v>
      </c>
      <c r="F3252">
        <v>8</v>
      </c>
      <c r="J3252" s="14" t="str">
        <f>_xlfn.XLOOKUP(B3252,CAD_PDV!A:A,CAD_PDV!B:B)</f>
        <v>ELETROSHOPPING EIRELI</v>
      </c>
      <c r="K3252" s="14">
        <f>IF(IFERROR(_xlfn.XLOOKUP(B3252,Planilha2!D:D,Planilha2!H:H),0)="SIM",1,0)</f>
        <v>0</v>
      </c>
      <c r="L3252" s="14" t="str">
        <f>_xlfn.XLOOKUP(B3252,CAD_PDV!A:A,CAD_PDV!C:C)</f>
        <v>BA/SE</v>
      </c>
      <c r="M3252" s="14" t="str">
        <f>IFERROR(_xlfn.XLOOKUP(B3252,repete!A:A,repete!A:A),"-")</f>
        <v>-</v>
      </c>
    </row>
    <row r="3253" spans="1:13">
      <c r="A3253" s="1">
        <v>46235</v>
      </c>
      <c r="B3253" t="s">
        <v>862</v>
      </c>
      <c r="C3253" t="s">
        <v>863</v>
      </c>
      <c r="D3253" t="s">
        <v>135</v>
      </c>
      <c r="E3253" t="s">
        <v>59</v>
      </c>
      <c r="F3253">
        <v>2</v>
      </c>
      <c r="J3253" s="14" t="str">
        <f>_xlfn.XLOOKUP(B3253,CAD_PDV!A:A,CAD_PDV!B:B)</f>
        <v>FORTE COMERCIO DE CELULARES LTDA</v>
      </c>
      <c r="K3253" s="14">
        <f>IF(IFERROR(_xlfn.XLOOKUP(B3253,Planilha2!D:D,Planilha2!H:H),0)="SIM",1,0)</f>
        <v>0</v>
      </c>
      <c r="L3253" s="14" t="str">
        <f>_xlfn.XLOOKUP(B3253,CAD_PDV!A:A,CAD_PDV!C:C)</f>
        <v>CO</v>
      </c>
      <c r="M3253" s="14" t="str">
        <f>IFERROR(_xlfn.XLOOKUP(B3253,repete!A:A,repete!A:A),"-")</f>
        <v>-</v>
      </c>
    </row>
    <row r="3254" spans="1:13">
      <c r="A3254" s="1">
        <v>46235</v>
      </c>
      <c r="B3254" t="s">
        <v>412</v>
      </c>
      <c r="C3254" t="s">
        <v>382</v>
      </c>
      <c r="D3254" t="s">
        <v>196</v>
      </c>
      <c r="E3254" t="s">
        <v>61</v>
      </c>
      <c r="F3254">
        <v>13</v>
      </c>
      <c r="J3254" s="14" t="str">
        <f>_xlfn.XLOOKUP(B3254,CAD_PDV!A:A,CAD_PDV!B:B)</f>
        <v>SELF COMERCIO E SERVICOS EM TELEFON</v>
      </c>
      <c r="K3254" s="14">
        <f>IF(IFERROR(_xlfn.XLOOKUP(B3254,Planilha2!D:D,Planilha2!H:H),0)="SIM",1,0)</f>
        <v>0</v>
      </c>
      <c r="L3254" s="14" t="str">
        <f>_xlfn.XLOOKUP(B3254,CAD_PDV!A:A,CAD_PDV!C:C)</f>
        <v>NE</v>
      </c>
      <c r="M3254" s="14" t="str">
        <f>IFERROR(_xlfn.XLOOKUP(B3254,repete!A:A,repete!A:A),"-")</f>
        <v>-</v>
      </c>
    </row>
    <row r="3255" spans="1:13">
      <c r="A3255" s="1">
        <v>46235</v>
      </c>
      <c r="B3255" t="s">
        <v>1578</v>
      </c>
      <c r="C3255" t="s">
        <v>1579</v>
      </c>
      <c r="D3255" t="s">
        <v>116</v>
      </c>
      <c r="E3255" t="s">
        <v>54</v>
      </c>
      <c r="F3255">
        <v>2</v>
      </c>
      <c r="J3255" s="14" t="str">
        <f>_xlfn.XLOOKUP(B3255,CAD_PDV!A:A,CAD_PDV!B:B)</f>
        <v>DIEGO FERNANDES PEREIRA - ME</v>
      </c>
      <c r="K3255" s="14">
        <f>IF(IFERROR(_xlfn.XLOOKUP(B3255,Planilha2!D:D,Planilha2!H:H),0)="SIM",1,0)</f>
        <v>1</v>
      </c>
      <c r="L3255" s="14" t="str">
        <f>_xlfn.XLOOKUP(B3255,CAD_PDV!A:A,CAD_PDV!C:C)</f>
        <v>SP2</v>
      </c>
      <c r="M3255" s="14" t="str">
        <f>IFERROR(_xlfn.XLOOKUP(B3255,repete!A:A,repete!A:A),"-")</f>
        <v>-</v>
      </c>
    </row>
    <row r="3256" spans="1:13">
      <c r="A3256" s="1">
        <v>46235</v>
      </c>
      <c r="B3256" t="s">
        <v>543</v>
      </c>
      <c r="C3256" t="s">
        <v>544</v>
      </c>
      <c r="D3256" t="s">
        <v>129</v>
      </c>
      <c r="E3256" t="s">
        <v>56</v>
      </c>
      <c r="F3256">
        <v>29</v>
      </c>
      <c r="J3256" s="14" t="str">
        <f>_xlfn.XLOOKUP(B3256,CAD_PDV!A:A,CAD_PDV!B:B)</f>
        <v>EXTRA CELULARES LTDA</v>
      </c>
      <c r="K3256" s="14">
        <f>IF(IFERROR(_xlfn.XLOOKUP(B3256,Planilha2!D:D,Planilha2!H:H),0)="SIM",1,0)</f>
        <v>0</v>
      </c>
      <c r="L3256" s="14" t="str">
        <f>_xlfn.XLOOKUP(B3256,CAD_PDV!A:A,CAD_PDV!C:C)</f>
        <v>MG</v>
      </c>
      <c r="M3256" s="14" t="str">
        <f>IFERROR(_xlfn.XLOOKUP(B3256,repete!A:A,repete!A:A),"-")</f>
        <v>-</v>
      </c>
    </row>
    <row r="3257" spans="1:13">
      <c r="A3257" s="1">
        <v>46235</v>
      </c>
      <c r="B3257" t="s">
        <v>1226</v>
      </c>
      <c r="C3257" t="s">
        <v>1227</v>
      </c>
      <c r="D3257" t="s">
        <v>2072</v>
      </c>
      <c r="E3257" t="s">
        <v>55</v>
      </c>
      <c r="F3257">
        <v>23</v>
      </c>
      <c r="J3257" s="14" t="str">
        <f>_xlfn.XLOOKUP(B3257,CAD_PDV!A:A,CAD_PDV!B:B)</f>
        <v>MEXCELL COMERCIO E SERVICOS DE TELECOMUNICACOES LTDA</v>
      </c>
      <c r="K3257" s="14">
        <f>IF(IFERROR(_xlfn.XLOOKUP(B3257,Planilha2!D:D,Planilha2!H:H),0)="SIM",1,0)</f>
        <v>0</v>
      </c>
      <c r="L3257" s="14" t="str">
        <f>_xlfn.XLOOKUP(B3257,CAD_PDV!A:A,CAD_PDV!C:C)</f>
        <v>RJ/ES</v>
      </c>
      <c r="M3257" s="14" t="str">
        <f>IFERROR(_xlfn.XLOOKUP(B3257,repete!A:A,repete!A:A),"-")</f>
        <v>-</v>
      </c>
    </row>
    <row r="3258" spans="1:13">
      <c r="A3258" s="1">
        <v>46235</v>
      </c>
      <c r="B3258" t="s">
        <v>1156</v>
      </c>
      <c r="C3258" t="s">
        <v>1157</v>
      </c>
      <c r="D3258" t="s">
        <v>125</v>
      </c>
      <c r="E3258" t="s">
        <v>55</v>
      </c>
      <c r="F3258">
        <v>51</v>
      </c>
      <c r="J3258" s="14" t="str">
        <f>_xlfn.XLOOKUP(B3258,CAD_PDV!A:A,CAD_PDV!B:B)</f>
        <v>ELETRO CENTER</v>
      </c>
      <c r="K3258" s="14">
        <f>IF(IFERROR(_xlfn.XLOOKUP(B3258,Planilha2!D:D,Planilha2!H:H),0)="SIM",1,0)</f>
        <v>0</v>
      </c>
      <c r="L3258" s="14" t="str">
        <f>_xlfn.XLOOKUP(B3258,CAD_PDV!A:A,CAD_PDV!C:C)</f>
        <v>RJ/ES</v>
      </c>
      <c r="M3258" s="14" t="str">
        <f>IFERROR(_xlfn.XLOOKUP(B3258,repete!A:A,repete!A:A),"-")</f>
        <v>-</v>
      </c>
    </row>
    <row r="3259" spans="1:13">
      <c r="A3259" s="1">
        <v>46235</v>
      </c>
      <c r="B3259" t="s">
        <v>1228</v>
      </c>
      <c r="C3259" t="s">
        <v>1229</v>
      </c>
      <c r="D3259" t="s">
        <v>138</v>
      </c>
      <c r="E3259" t="s">
        <v>55</v>
      </c>
      <c r="F3259">
        <v>13</v>
      </c>
      <c r="J3259" s="14" t="str">
        <f>_xlfn.XLOOKUP(B3259,CAD_PDV!A:A,CAD_PDV!B:B)</f>
        <v>GSM FREE</v>
      </c>
      <c r="K3259" s="14">
        <f>IF(IFERROR(_xlfn.XLOOKUP(B3259,Planilha2!D:D,Planilha2!H:H),0)="SIM",1,0)</f>
        <v>0</v>
      </c>
      <c r="L3259" s="14" t="str">
        <f>_xlfn.XLOOKUP(B3259,CAD_PDV!A:A,CAD_PDV!C:C)</f>
        <v>RJ/ES</v>
      </c>
      <c r="M3259" s="14" t="str">
        <f>IFERROR(_xlfn.XLOOKUP(B3259,repete!A:A,repete!A:A),"-")</f>
        <v>-</v>
      </c>
    </row>
    <row r="3260" spans="1:13">
      <c r="A3260" s="1">
        <v>46235</v>
      </c>
      <c r="B3260" t="s">
        <v>1230</v>
      </c>
      <c r="C3260" t="s">
        <v>1231</v>
      </c>
      <c r="D3260" t="s">
        <v>197</v>
      </c>
      <c r="E3260" t="s">
        <v>55</v>
      </c>
      <c r="F3260">
        <v>1</v>
      </c>
      <c r="J3260" s="14" t="str">
        <f>_xlfn.XLOOKUP(B3260,CAD_PDV!A:A,CAD_PDV!B:B)</f>
        <v>SERRA LIDER COMERCIO DE CELULARES LTDA - ME</v>
      </c>
      <c r="K3260" s="14">
        <f>IF(IFERROR(_xlfn.XLOOKUP(B3260,Planilha2!D:D,Planilha2!H:H),0)="SIM",1,0)</f>
        <v>0</v>
      </c>
      <c r="L3260" s="14" t="str">
        <f>_xlfn.XLOOKUP(B3260,CAD_PDV!A:A,CAD_PDV!C:C)</f>
        <v>RJ/ES</v>
      </c>
      <c r="M3260" s="14" t="str">
        <f>IFERROR(_xlfn.XLOOKUP(B3260,repete!A:A,repete!A:A),"-")</f>
        <v>-</v>
      </c>
    </row>
    <row r="3261" spans="1:13">
      <c r="A3261" s="1">
        <v>46235</v>
      </c>
      <c r="B3261" t="s">
        <v>795</v>
      </c>
      <c r="C3261" t="s">
        <v>790</v>
      </c>
      <c r="D3261" t="s">
        <v>100</v>
      </c>
      <c r="E3261" t="s">
        <v>59</v>
      </c>
      <c r="F3261">
        <v>11</v>
      </c>
      <c r="J3261" s="14" t="str">
        <f>_xlfn.XLOOKUP(B3261,CAD_PDV!A:A,CAD_PDV!B:B)</f>
        <v>CALDAS CELULARES LTDA - ME</v>
      </c>
      <c r="K3261" s="14">
        <f>IF(IFERROR(_xlfn.XLOOKUP(B3261,Planilha2!D:D,Planilha2!H:H),0)="SIM",1,0)</f>
        <v>0</v>
      </c>
      <c r="L3261" s="14" t="str">
        <f>_xlfn.XLOOKUP(B3261,CAD_PDV!A:A,CAD_PDV!C:C)</f>
        <v>CO</v>
      </c>
      <c r="M3261" s="14" t="str">
        <f>IFERROR(_xlfn.XLOOKUP(B3261,repete!A:A,repete!A:A),"-")</f>
        <v>-</v>
      </c>
    </row>
    <row r="3262" spans="1:13">
      <c r="A3262" s="1">
        <v>46235</v>
      </c>
      <c r="B3262" t="s">
        <v>1935</v>
      </c>
      <c r="C3262" t="s">
        <v>1937</v>
      </c>
      <c r="D3262" t="s">
        <v>176</v>
      </c>
      <c r="E3262" t="s">
        <v>2074</v>
      </c>
      <c r="F3262">
        <v>28</v>
      </c>
      <c r="J3262" s="14" t="str">
        <f>_xlfn.XLOOKUP(B3262,CAD_PDV!A:A,CAD_PDV!B:B)</f>
        <v>NEW POINT CELULAR LTDA - ME</v>
      </c>
      <c r="K3262" s="14">
        <f>IF(IFERROR(_xlfn.XLOOKUP(B3262,Planilha2!D:D,Planilha2!H:H),0)="SIM",1,0)</f>
        <v>0</v>
      </c>
      <c r="L3262" s="14" t="str">
        <f>_xlfn.XLOOKUP(B3262,CAD_PDV!A:A,CAD_PDV!C:C)</f>
        <v>RS</v>
      </c>
      <c r="M3262" s="14" t="str">
        <f>IFERROR(_xlfn.XLOOKUP(B3262,repete!A:A,repete!A:A),"-")</f>
        <v>-</v>
      </c>
    </row>
    <row r="3263" spans="1:13">
      <c r="A3263" s="1">
        <v>46235</v>
      </c>
      <c r="B3263" t="s">
        <v>1580</v>
      </c>
      <c r="C3263" t="s">
        <v>1581</v>
      </c>
      <c r="D3263" t="s">
        <v>106</v>
      </c>
      <c r="E3263" t="s">
        <v>54</v>
      </c>
      <c r="F3263">
        <v>12</v>
      </c>
      <c r="J3263" s="14" t="str">
        <f>_xlfn.XLOOKUP(B3263,CAD_PDV!A:A,CAD_PDV!B:B)</f>
        <v>CELLULAR.COM</v>
      </c>
      <c r="K3263" s="14">
        <f>IF(IFERROR(_xlfn.XLOOKUP(B3263,Planilha2!D:D,Planilha2!H:H),0)="SIM",1,0)</f>
        <v>0</v>
      </c>
      <c r="L3263" s="14" t="str">
        <f>_xlfn.XLOOKUP(B3263,CAD_PDV!A:A,CAD_PDV!C:C)</f>
        <v>SP2</v>
      </c>
      <c r="M3263" s="14" t="str">
        <f>IFERROR(_xlfn.XLOOKUP(B3263,repete!A:A,repete!A:A),"-")</f>
        <v>-</v>
      </c>
    </row>
    <row r="3264" spans="1:13">
      <c r="A3264" s="1">
        <v>46235</v>
      </c>
      <c r="B3264" t="s">
        <v>545</v>
      </c>
      <c r="C3264" t="s">
        <v>546</v>
      </c>
      <c r="D3264" t="s">
        <v>167</v>
      </c>
      <c r="E3264" t="s">
        <v>56</v>
      </c>
      <c r="F3264">
        <v>13</v>
      </c>
      <c r="J3264" s="14" t="str">
        <f>_xlfn.XLOOKUP(B3264,CAD_PDV!A:A,CAD_PDV!B:B)</f>
        <v>MAXMILIANO RODRIGUES</v>
      </c>
      <c r="K3264" s="14">
        <f>IF(IFERROR(_xlfn.XLOOKUP(B3264,Planilha2!D:D,Planilha2!H:H),0)="SIM",1,0)</f>
        <v>0</v>
      </c>
      <c r="L3264" s="14" t="str">
        <f>_xlfn.XLOOKUP(B3264,CAD_PDV!A:A,CAD_PDV!C:C)</f>
        <v>MG</v>
      </c>
      <c r="M3264" s="14" t="str">
        <f>IFERROR(_xlfn.XLOOKUP(B3264,repete!A:A,repete!A:A),"-")</f>
        <v>-</v>
      </c>
    </row>
    <row r="3265" spans="1:13">
      <c r="A3265" s="1">
        <v>46235</v>
      </c>
      <c r="B3265" t="s">
        <v>1158</v>
      </c>
      <c r="C3265" t="s">
        <v>1159</v>
      </c>
      <c r="D3265" t="s">
        <v>237</v>
      </c>
      <c r="E3265" t="s">
        <v>55</v>
      </c>
      <c r="F3265">
        <v>105</v>
      </c>
      <c r="J3265" s="14" t="str">
        <f>_xlfn.XLOOKUP(B3265,CAD_PDV!A:A,CAD_PDV!B:B)</f>
        <v>PONTO CERTO COMERCIO E COMUNICAÇÕES LTDA</v>
      </c>
      <c r="K3265" s="14">
        <f>IF(IFERROR(_xlfn.XLOOKUP(B3265,Planilha2!D:D,Planilha2!H:H),0)="SIM",1,0)</f>
        <v>0</v>
      </c>
      <c r="L3265" s="14" t="str">
        <f>_xlfn.XLOOKUP(B3265,CAD_PDV!A:A,CAD_PDV!C:C)</f>
        <v>RJ/ES</v>
      </c>
      <c r="M3265" s="14" t="str">
        <f>IFERROR(_xlfn.XLOOKUP(B3265,repete!A:A,repete!A:A),"-")</f>
        <v>-</v>
      </c>
    </row>
    <row r="3266" spans="1:13">
      <c r="A3266" s="1">
        <v>46235</v>
      </c>
      <c r="B3266" t="s">
        <v>822</v>
      </c>
      <c r="C3266" t="s">
        <v>823</v>
      </c>
      <c r="D3266" t="s">
        <v>231</v>
      </c>
      <c r="E3266" t="s">
        <v>59</v>
      </c>
      <c r="F3266">
        <v>14</v>
      </c>
      <c r="J3266" s="14" t="str">
        <f>_xlfn.XLOOKUP(B3266,CAD_PDV!A:A,CAD_PDV!B:B)</f>
        <v>HIROTA &amp; HIROTA LTDA - ME</v>
      </c>
      <c r="K3266" s="14">
        <f>IF(IFERROR(_xlfn.XLOOKUP(B3266,Planilha2!D:D,Planilha2!H:H),0)="SIM",1,0)</f>
        <v>0</v>
      </c>
      <c r="L3266" s="14" t="str">
        <f>_xlfn.XLOOKUP(B3266,CAD_PDV!A:A,CAD_PDV!C:C)</f>
        <v>CO</v>
      </c>
      <c r="M3266" s="14" t="str">
        <f>IFERROR(_xlfn.XLOOKUP(B3266,repete!A:A,repete!A:A),"-")</f>
        <v>-</v>
      </c>
    </row>
    <row r="3267" spans="1:13">
      <c r="A3267" s="1">
        <v>46235</v>
      </c>
      <c r="B3267" t="s">
        <v>1235</v>
      </c>
      <c r="C3267" t="s">
        <v>1229</v>
      </c>
      <c r="D3267" t="s">
        <v>138</v>
      </c>
      <c r="E3267" t="s">
        <v>55</v>
      </c>
      <c r="F3267">
        <v>68</v>
      </c>
      <c r="J3267" s="14" t="str">
        <f>_xlfn.XLOOKUP(B3267,CAD_PDV!A:A,CAD_PDV!B:B)</f>
        <v>GSM FREE</v>
      </c>
      <c r="K3267" s="14">
        <f>IF(IFERROR(_xlfn.XLOOKUP(B3267,Planilha2!D:D,Planilha2!H:H),0)="SIM",1,0)</f>
        <v>0</v>
      </c>
      <c r="L3267" s="14" t="str">
        <f>_xlfn.XLOOKUP(B3267,CAD_PDV!A:A,CAD_PDV!C:C)</f>
        <v>RJ/ES</v>
      </c>
      <c r="M3267" s="14" t="str">
        <f>IFERROR(_xlfn.XLOOKUP(B3267,repete!A:A,repete!A:A),"-")</f>
        <v>-</v>
      </c>
    </row>
    <row r="3268" spans="1:13">
      <c r="A3268" s="1">
        <v>46235</v>
      </c>
      <c r="B3268" t="s">
        <v>1160</v>
      </c>
      <c r="C3268" t="s">
        <v>1161</v>
      </c>
      <c r="D3268" t="s">
        <v>138</v>
      </c>
      <c r="E3268" t="s">
        <v>55</v>
      </c>
      <c r="F3268">
        <v>27</v>
      </c>
      <c r="J3268" s="14" t="str">
        <f>_xlfn.XLOOKUP(B3268,CAD_PDV!A:A,CAD_PDV!B:B)</f>
        <v>GSM FREE</v>
      </c>
      <c r="K3268" s="14">
        <f>IF(IFERROR(_xlfn.XLOOKUP(B3268,Planilha2!D:D,Planilha2!H:H),0)="SIM",1,0)</f>
        <v>0</v>
      </c>
      <c r="L3268" s="14" t="str">
        <f>_xlfn.XLOOKUP(B3268,CAD_PDV!A:A,CAD_PDV!C:C)</f>
        <v>RJ/ES</v>
      </c>
      <c r="M3268" s="14" t="str">
        <f>IFERROR(_xlfn.XLOOKUP(B3268,repete!A:A,repete!A:A),"-")</f>
        <v>-</v>
      </c>
    </row>
    <row r="3269" spans="1:13">
      <c r="A3269" s="1">
        <v>46235</v>
      </c>
      <c r="B3269" t="s">
        <v>1582</v>
      </c>
      <c r="C3269" t="s">
        <v>1583</v>
      </c>
      <c r="D3269" t="s">
        <v>106</v>
      </c>
      <c r="E3269" t="s">
        <v>54</v>
      </c>
      <c r="F3269">
        <v>5</v>
      </c>
      <c r="J3269" s="14" t="str">
        <f>_xlfn.XLOOKUP(B3269,CAD_PDV!A:A,CAD_PDV!B:B)</f>
        <v>CELLULAR.COM</v>
      </c>
      <c r="K3269" s="14">
        <f>IF(IFERROR(_xlfn.XLOOKUP(B3269,Planilha2!D:D,Planilha2!H:H),0)="SIM",1,0)</f>
        <v>0</v>
      </c>
      <c r="L3269" s="14" t="str">
        <f>_xlfn.XLOOKUP(B3269,CAD_PDV!A:A,CAD_PDV!C:C)</f>
        <v>SP2</v>
      </c>
      <c r="M3269" s="14" t="str">
        <f>IFERROR(_xlfn.XLOOKUP(B3269,repete!A:A,repete!A:A),"-")</f>
        <v>-</v>
      </c>
    </row>
    <row r="3270" spans="1:13">
      <c r="A3270" s="1">
        <v>46235</v>
      </c>
      <c r="B3270" t="s">
        <v>712</v>
      </c>
      <c r="C3270" t="s">
        <v>713</v>
      </c>
      <c r="D3270" t="s">
        <v>239</v>
      </c>
      <c r="E3270" t="s">
        <v>59</v>
      </c>
      <c r="F3270">
        <v>26</v>
      </c>
      <c r="J3270" s="14" t="str">
        <f>_xlfn.XLOOKUP(B3270,CAD_PDV!A:A,CAD_PDV!B:B)</f>
        <v>TELECELL TELEFONIA LTDA - ME</v>
      </c>
      <c r="K3270" s="14">
        <f>IF(IFERROR(_xlfn.XLOOKUP(B3270,Planilha2!D:D,Planilha2!H:H),0)="SIM",1,0)</f>
        <v>0</v>
      </c>
      <c r="L3270" s="14" t="str">
        <f>_xlfn.XLOOKUP(B3270,CAD_PDV!A:A,CAD_PDV!C:C)</f>
        <v>CO</v>
      </c>
      <c r="M3270" s="14" t="str">
        <f>IFERROR(_xlfn.XLOOKUP(B3270,repete!A:A,repete!A:A),"-")</f>
        <v>-</v>
      </c>
    </row>
    <row r="3271" spans="1:13">
      <c r="A3271" s="1">
        <v>46235</v>
      </c>
      <c r="B3271" t="s">
        <v>547</v>
      </c>
      <c r="C3271" t="s">
        <v>544</v>
      </c>
      <c r="D3271" t="s">
        <v>129</v>
      </c>
      <c r="E3271" t="s">
        <v>56</v>
      </c>
      <c r="F3271">
        <v>22</v>
      </c>
      <c r="J3271" s="14" t="str">
        <f>_xlfn.XLOOKUP(B3271,CAD_PDV!A:A,CAD_PDV!B:B)</f>
        <v>EXTRA CELULARES LTDA</v>
      </c>
      <c r="K3271" s="14">
        <f>IF(IFERROR(_xlfn.XLOOKUP(B3271,Planilha2!D:D,Planilha2!H:H),0)="SIM",1,0)</f>
        <v>0</v>
      </c>
      <c r="L3271" s="14" t="str">
        <f>_xlfn.XLOOKUP(B3271,CAD_PDV!A:A,CAD_PDV!C:C)</f>
        <v>MG</v>
      </c>
      <c r="M3271" s="14" t="str">
        <f>IFERROR(_xlfn.XLOOKUP(B3271,repete!A:A,repete!A:A),"-")</f>
        <v>-</v>
      </c>
    </row>
    <row r="3272" spans="1:13">
      <c r="A3272" s="1">
        <v>46235</v>
      </c>
      <c r="B3272" t="s">
        <v>273</v>
      </c>
      <c r="C3272" t="s">
        <v>276</v>
      </c>
      <c r="D3272" t="s">
        <v>226</v>
      </c>
      <c r="E3272" t="s">
        <v>61</v>
      </c>
      <c r="F3272">
        <v>1</v>
      </c>
      <c r="J3272" s="14" t="str">
        <f>_xlfn.XLOOKUP(B3272,CAD_PDV!A:A,CAD_PDV!B:B)</f>
        <v>DELTA CELL TELECOMUNICACOES LTDA</v>
      </c>
      <c r="K3272" s="14">
        <f>IF(IFERROR(_xlfn.XLOOKUP(B3272,Planilha2!D:D,Planilha2!H:H),0)="SIM",1,0)</f>
        <v>0</v>
      </c>
      <c r="L3272" s="14" t="str">
        <f>_xlfn.XLOOKUP(B3272,CAD_PDV!A:A,CAD_PDV!C:C)</f>
        <v>NE</v>
      </c>
      <c r="M3272" s="14" t="str">
        <f>IFERROR(_xlfn.XLOOKUP(B3272,repete!A:A,repete!A:A),"-")</f>
        <v>-</v>
      </c>
    </row>
    <row r="3273" spans="1:13">
      <c r="A3273" s="1">
        <v>46235</v>
      </c>
      <c r="B3273" t="s">
        <v>849</v>
      </c>
      <c r="C3273" t="s">
        <v>732</v>
      </c>
      <c r="D3273" t="s">
        <v>221</v>
      </c>
      <c r="E3273" t="s">
        <v>59</v>
      </c>
      <c r="F3273">
        <v>10</v>
      </c>
      <c r="J3273" s="14" t="str">
        <f>_xlfn.XLOOKUP(B3273,CAD_PDV!A:A,CAD_PDV!B:B)</f>
        <v>AMERICOM COMERCIO DE APARELHOS ELETRONICOS LTDA - EPP</v>
      </c>
      <c r="K3273" s="14">
        <f>IF(IFERROR(_xlfn.XLOOKUP(B3273,Planilha2!D:D,Planilha2!H:H),0)="SIM",1,0)</f>
        <v>0</v>
      </c>
      <c r="L3273" s="14" t="str">
        <f>_xlfn.XLOOKUP(B3273,CAD_PDV!A:A,CAD_PDV!C:C)</f>
        <v>CO</v>
      </c>
      <c r="M3273" s="14" t="str">
        <f>IFERROR(_xlfn.XLOOKUP(B3273,repete!A:A,repete!A:A),"-")</f>
        <v>-</v>
      </c>
    </row>
    <row r="3274" spans="1:13">
      <c r="A3274" s="1">
        <v>46235</v>
      </c>
      <c r="B3274" t="s">
        <v>2117</v>
      </c>
      <c r="C3274" t="s">
        <v>2118</v>
      </c>
      <c r="D3274" t="s">
        <v>227</v>
      </c>
      <c r="E3274" t="s">
        <v>61</v>
      </c>
      <c r="F3274">
        <v>1</v>
      </c>
      <c r="J3274" s="14" t="str">
        <f>_xlfn.XLOOKUP(B3274,CAD_PDV!A:A,CAD_PDV!B:B)</f>
        <v>E-MEAN SERVICOS DE MARKETING DIRETO LTDA</v>
      </c>
      <c r="K3274" s="14">
        <f>IF(IFERROR(_xlfn.XLOOKUP(B3274,Planilha2!D:D,Planilha2!H:H),0)="SIM",1,0)</f>
        <v>0</v>
      </c>
      <c r="L3274" s="14" t="str">
        <f>_xlfn.XLOOKUP(B3274,CAD_PDV!A:A,CAD_PDV!C:C)</f>
        <v>NE</v>
      </c>
      <c r="M3274" s="14" t="str">
        <f>IFERROR(_xlfn.XLOOKUP(B3274,repete!A:A,repete!A:A),"-")</f>
        <v>-</v>
      </c>
    </row>
    <row r="3275" spans="1:13">
      <c r="A3275" s="1">
        <v>46235</v>
      </c>
      <c r="B3275" t="s">
        <v>1949</v>
      </c>
      <c r="C3275" t="s">
        <v>1950</v>
      </c>
      <c r="D3275" t="s">
        <v>176</v>
      </c>
      <c r="E3275" t="s">
        <v>2074</v>
      </c>
      <c r="F3275">
        <v>47</v>
      </c>
      <c r="J3275" s="14" t="str">
        <f>_xlfn.XLOOKUP(B3275,CAD_PDV!A:A,CAD_PDV!B:B)</f>
        <v>NEW POINT CELULAR LTDA - ME</v>
      </c>
      <c r="K3275" s="14">
        <f>IF(IFERROR(_xlfn.XLOOKUP(B3275,Planilha2!D:D,Planilha2!H:H),0)="SIM",1,0)</f>
        <v>0</v>
      </c>
      <c r="L3275" s="14" t="str">
        <f>_xlfn.XLOOKUP(B3275,CAD_PDV!A:A,CAD_PDV!C:C)</f>
        <v>RS</v>
      </c>
      <c r="M3275" s="14" t="str">
        <f>IFERROR(_xlfn.XLOOKUP(B3275,repete!A:A,repete!A:A),"-")</f>
        <v>-</v>
      </c>
    </row>
    <row r="3276" spans="1:13">
      <c r="A3276" s="1">
        <v>46235</v>
      </c>
      <c r="B3276" t="s">
        <v>601</v>
      </c>
      <c r="C3276" t="s">
        <v>602</v>
      </c>
      <c r="D3276" t="s">
        <v>239</v>
      </c>
      <c r="E3276" t="s">
        <v>56</v>
      </c>
      <c r="F3276">
        <v>10</v>
      </c>
      <c r="J3276" s="14" t="str">
        <f>_xlfn.XLOOKUP(B3276,CAD_PDV!A:A,CAD_PDV!B:B)</f>
        <v>TELECELL TELEFONIA LTDA - ME</v>
      </c>
      <c r="K3276" s="14">
        <f>IF(IFERROR(_xlfn.XLOOKUP(B3276,Planilha2!D:D,Planilha2!H:H),0)="SIM",1,0)</f>
        <v>0</v>
      </c>
      <c r="L3276" s="14" t="str">
        <f>_xlfn.XLOOKUP(B3276,CAD_PDV!A:A,CAD_PDV!C:C)</f>
        <v>MG</v>
      </c>
      <c r="M3276" s="14" t="str">
        <f>IFERROR(_xlfn.XLOOKUP(B3276,repete!A:A,repete!A:A),"-")</f>
        <v>-</v>
      </c>
    </row>
    <row r="3277" spans="1:13">
      <c r="A3277" s="1">
        <v>46235</v>
      </c>
      <c r="B3277" t="s">
        <v>903</v>
      </c>
      <c r="C3277" t="s">
        <v>904</v>
      </c>
      <c r="D3277" t="s">
        <v>215</v>
      </c>
      <c r="E3277" t="s">
        <v>59</v>
      </c>
      <c r="F3277">
        <v>19</v>
      </c>
      <c r="J3277" s="14" t="str">
        <f>_xlfn.XLOOKUP(B3277,CAD_PDV!A:A,CAD_PDV!B:B)</f>
        <v>VIA SALLUS</v>
      </c>
      <c r="K3277" s="14">
        <f>IF(IFERROR(_xlfn.XLOOKUP(B3277,Planilha2!D:D,Planilha2!H:H),0)="SIM",1,0)</f>
        <v>0</v>
      </c>
      <c r="L3277" s="14" t="str">
        <f>_xlfn.XLOOKUP(B3277,CAD_PDV!A:A,CAD_PDV!C:C)</f>
        <v>CO</v>
      </c>
      <c r="M3277" s="14" t="str">
        <f>IFERROR(_xlfn.XLOOKUP(B3277,repete!A:A,repete!A:A),"-")</f>
        <v>-</v>
      </c>
    </row>
    <row r="3278" spans="1:13">
      <c r="A3278" s="1">
        <v>46235</v>
      </c>
      <c r="B3278" t="s">
        <v>346</v>
      </c>
      <c r="C3278" t="s">
        <v>269</v>
      </c>
      <c r="D3278" t="s">
        <v>196</v>
      </c>
      <c r="E3278" t="s">
        <v>61</v>
      </c>
      <c r="F3278">
        <v>13</v>
      </c>
      <c r="J3278" s="14" t="str">
        <f>_xlfn.XLOOKUP(B3278,CAD_PDV!A:A,CAD_PDV!B:B)</f>
        <v>SELF COMERCIO E SERVICOS EM TELEFON</v>
      </c>
      <c r="K3278" s="14">
        <f>IF(IFERROR(_xlfn.XLOOKUP(B3278,Planilha2!D:D,Planilha2!H:H),0)="SIM",1,0)</f>
        <v>0</v>
      </c>
      <c r="L3278" s="14" t="str">
        <f>_xlfn.XLOOKUP(B3278,CAD_PDV!A:A,CAD_PDV!C:C)</f>
        <v>NE</v>
      </c>
      <c r="M3278" s="14" t="str">
        <f>IFERROR(_xlfn.XLOOKUP(B3278,repete!A:A,repete!A:A),"-")</f>
        <v>-</v>
      </c>
    </row>
    <row r="3279" spans="1:13">
      <c r="A3279" s="1">
        <v>46235</v>
      </c>
      <c r="B3279" t="s">
        <v>1590</v>
      </c>
      <c r="C3279" t="s">
        <v>1591</v>
      </c>
      <c r="D3279" t="s">
        <v>204</v>
      </c>
      <c r="E3279" t="s">
        <v>54</v>
      </c>
      <c r="F3279">
        <v>8</v>
      </c>
      <c r="J3279" s="14" t="str">
        <f>_xlfn.XLOOKUP(B3279,CAD_PDV!A:A,CAD_PDV!B:B)</f>
        <v>TAMIRIS FERNANDA SCATOLA - ME</v>
      </c>
      <c r="K3279" s="14">
        <f>IF(IFERROR(_xlfn.XLOOKUP(B3279,Planilha2!D:D,Planilha2!H:H),0)="SIM",1,0)</f>
        <v>0</v>
      </c>
      <c r="L3279" s="14" t="str">
        <f>_xlfn.XLOOKUP(B3279,CAD_PDV!A:A,CAD_PDV!C:C)</f>
        <v>SP2</v>
      </c>
      <c r="M3279" s="14" t="str">
        <f>IFERROR(_xlfn.XLOOKUP(B3279,repete!A:A,repete!A:A),"-")</f>
        <v>-</v>
      </c>
    </row>
    <row r="3280" spans="1:13">
      <c r="A3280" s="1">
        <v>46235</v>
      </c>
      <c r="B3280" t="s">
        <v>347</v>
      </c>
      <c r="C3280" t="s">
        <v>348</v>
      </c>
      <c r="D3280" t="s">
        <v>131</v>
      </c>
      <c r="E3280" t="s">
        <v>61</v>
      </c>
      <c r="F3280">
        <v>14</v>
      </c>
      <c r="J3280" s="14" t="str">
        <f>_xlfn.XLOOKUP(B3280,CAD_PDV!A:A,CAD_PDV!B:B)</f>
        <v>FABIANA GONCALVES DA SILVA LINS E CIA LTDA</v>
      </c>
      <c r="K3280" s="14">
        <f>IF(IFERROR(_xlfn.XLOOKUP(B3280,Planilha2!D:D,Planilha2!H:H),0)="SIM",1,0)</f>
        <v>0</v>
      </c>
      <c r="L3280" s="14" t="str">
        <f>_xlfn.XLOOKUP(B3280,CAD_PDV!A:A,CAD_PDV!C:C)</f>
        <v>NE</v>
      </c>
      <c r="M3280" s="14" t="str">
        <f>IFERROR(_xlfn.XLOOKUP(B3280,repete!A:A,repete!A:A),"-")</f>
        <v>-</v>
      </c>
    </row>
    <row r="3281" spans="1:13">
      <c r="A3281" s="1">
        <v>46235</v>
      </c>
      <c r="B3281" t="s">
        <v>1062</v>
      </c>
      <c r="C3281" t="s">
        <v>1064</v>
      </c>
      <c r="D3281" t="s">
        <v>117</v>
      </c>
      <c r="E3281" t="s">
        <v>62</v>
      </c>
      <c r="F3281">
        <v>7</v>
      </c>
      <c r="J3281" s="14" t="str">
        <f>_xlfn.XLOOKUP(B3281,CAD_PDV!A:A,CAD_PDV!B:B)</f>
        <v>DIN COMERCIO E SERVICOS EIRELI - EPP</v>
      </c>
      <c r="K3281" s="14">
        <f>IF(IFERROR(_xlfn.XLOOKUP(B3281,Planilha2!D:D,Planilha2!H:H),0)="SIM",1,0)</f>
        <v>0</v>
      </c>
      <c r="L3281" s="14" t="str">
        <f>_xlfn.XLOOKUP(B3281,CAD_PDV!A:A,CAD_PDV!C:C)</f>
        <v>NO</v>
      </c>
      <c r="M3281" s="14" t="str">
        <f>IFERROR(_xlfn.XLOOKUP(B3281,repete!A:A,repete!A:A),"-")</f>
        <v>-</v>
      </c>
    </row>
    <row r="3282" spans="1:13">
      <c r="A3282" s="1">
        <v>46235</v>
      </c>
      <c r="B3282" t="s">
        <v>1103</v>
      </c>
      <c r="C3282" t="s">
        <v>1096</v>
      </c>
      <c r="D3282" t="s">
        <v>121</v>
      </c>
      <c r="E3282" t="s">
        <v>62</v>
      </c>
      <c r="F3282">
        <v>4</v>
      </c>
      <c r="J3282" s="14" t="str">
        <f>_xlfn.XLOOKUP(B3282,CAD_PDV!A:A,CAD_PDV!B:B)</f>
        <v>DSX TECH COMERCIO E SERVICOS LTDA</v>
      </c>
      <c r="K3282" s="14">
        <f>IF(IFERROR(_xlfn.XLOOKUP(B3282,Planilha2!D:D,Planilha2!H:H),0)="SIM",1,0)</f>
        <v>0</v>
      </c>
      <c r="L3282" s="14" t="str">
        <f>_xlfn.XLOOKUP(B3282,CAD_PDV!A:A,CAD_PDV!C:C)</f>
        <v>NO</v>
      </c>
      <c r="M3282" s="14" t="str">
        <f>IFERROR(_xlfn.XLOOKUP(B3282,repete!A:A,repete!A:A),"-")</f>
        <v>-</v>
      </c>
    </row>
    <row r="3283" spans="1:13">
      <c r="A3283" s="1">
        <v>46235</v>
      </c>
      <c r="B3283" t="s">
        <v>1104</v>
      </c>
      <c r="C3283" t="s">
        <v>1096</v>
      </c>
      <c r="D3283" t="s">
        <v>121</v>
      </c>
      <c r="E3283" t="s">
        <v>62</v>
      </c>
      <c r="F3283">
        <v>16</v>
      </c>
      <c r="J3283" s="14" t="str">
        <f>_xlfn.XLOOKUP(B3283,CAD_PDV!A:A,CAD_PDV!B:B)</f>
        <v>DSX TECH COMERCIO E SERVICOS LTDA</v>
      </c>
      <c r="K3283" s="14">
        <f>IF(IFERROR(_xlfn.XLOOKUP(B3283,Planilha2!D:D,Planilha2!H:H),0)="SIM",1,0)</f>
        <v>0</v>
      </c>
      <c r="L3283" s="14" t="str">
        <f>_xlfn.XLOOKUP(B3283,CAD_PDV!A:A,CAD_PDV!C:C)</f>
        <v>NO</v>
      </c>
      <c r="M3283" s="14" t="str">
        <f>IFERROR(_xlfn.XLOOKUP(B3283,repete!A:A,repete!A:A),"-")</f>
        <v>-</v>
      </c>
    </row>
    <row r="3284" spans="1:13">
      <c r="A3284" s="1">
        <v>46235</v>
      </c>
      <c r="B3284" t="s">
        <v>2119</v>
      </c>
      <c r="C3284" t="s">
        <v>2120</v>
      </c>
      <c r="D3284" t="s">
        <v>157</v>
      </c>
      <c r="E3284" t="s">
        <v>53</v>
      </c>
      <c r="F3284">
        <v>5</v>
      </c>
      <c r="J3284" s="14" t="str">
        <f>_xlfn.XLOOKUP(B3284,CAD_PDV!A:A,CAD_PDV!B:B)</f>
        <v>LINK TELECOM COMERCIO DE CELULARES LTDA - ME</v>
      </c>
      <c r="K3284" s="14">
        <f>IF(IFERROR(_xlfn.XLOOKUP(B3284,Planilha2!D:D,Planilha2!H:H),0)="SIM",1,0)</f>
        <v>0</v>
      </c>
      <c r="L3284" s="14" t="str">
        <f>_xlfn.XLOOKUP(B3284,CAD_PDV!A:A,CAD_PDV!C:C)</f>
        <v>SP1</v>
      </c>
      <c r="M3284" s="14" t="str">
        <f>IFERROR(_xlfn.XLOOKUP(B3284,repete!A:A,repete!A:A),"-")</f>
        <v>-</v>
      </c>
    </row>
    <row r="3285" spans="1:13">
      <c r="A3285" s="1">
        <v>46235</v>
      </c>
      <c r="B3285" t="s">
        <v>349</v>
      </c>
      <c r="C3285" t="s">
        <v>351</v>
      </c>
      <c r="D3285" t="s">
        <v>209</v>
      </c>
      <c r="E3285" t="s">
        <v>61</v>
      </c>
      <c r="F3285">
        <v>7</v>
      </c>
      <c r="J3285" s="14" t="str">
        <f>_xlfn.XLOOKUP(B3285,CAD_PDV!A:A,CAD_PDV!B:B)</f>
        <v>TELECON POINTCELL LTDA</v>
      </c>
      <c r="K3285" s="14">
        <f>IF(IFERROR(_xlfn.XLOOKUP(B3285,Planilha2!D:D,Planilha2!H:H),0)="SIM",1,0)</f>
        <v>0</v>
      </c>
      <c r="L3285" s="14" t="str">
        <f>_xlfn.XLOOKUP(B3285,CAD_PDV!A:A,CAD_PDV!C:C)</f>
        <v>NE</v>
      </c>
      <c r="M3285" s="14" t="str">
        <f>IFERROR(_xlfn.XLOOKUP(B3285,repete!A:A,repete!A:A),"-")</f>
        <v>-</v>
      </c>
    </row>
    <row r="3286" spans="1:13">
      <c r="A3286" s="1">
        <v>46235</v>
      </c>
      <c r="B3286" t="s">
        <v>1821</v>
      </c>
      <c r="C3286" t="s">
        <v>1822</v>
      </c>
      <c r="D3286" t="s">
        <v>95</v>
      </c>
      <c r="E3286" t="s">
        <v>2074</v>
      </c>
      <c r="F3286">
        <v>7</v>
      </c>
      <c r="J3286" s="14" t="str">
        <f>_xlfn.XLOOKUP(B3286,CAD_PDV!A:A,CAD_PDV!B:B)</f>
        <v>AYRES E DEBONI LTDA - ME</v>
      </c>
      <c r="K3286" s="14">
        <f>IF(IFERROR(_xlfn.XLOOKUP(B3286,Planilha2!D:D,Planilha2!H:H),0)="SIM",1,0)</f>
        <v>0</v>
      </c>
      <c r="L3286" s="14" t="str">
        <f>_xlfn.XLOOKUP(B3286,CAD_PDV!A:A,CAD_PDV!C:C)</f>
        <v>RS</v>
      </c>
      <c r="M3286" s="14" t="str">
        <f>IFERROR(_xlfn.XLOOKUP(B3286,repete!A:A,repete!A:A),"-")</f>
        <v>-</v>
      </c>
    </row>
    <row r="3287" spans="1:13">
      <c r="A3287" s="1">
        <v>46235</v>
      </c>
      <c r="B3287" t="s">
        <v>728</v>
      </c>
      <c r="C3287" t="s">
        <v>729</v>
      </c>
      <c r="D3287" t="s">
        <v>128</v>
      </c>
      <c r="E3287" t="s">
        <v>59</v>
      </c>
      <c r="F3287">
        <v>7</v>
      </c>
      <c r="J3287" s="14" t="str">
        <f>_xlfn.XLOOKUP(B3287,CAD_PDV!A:A,CAD_PDV!B:B)</f>
        <v>ESTULANO &amp; MEZZA LTDA - ME</v>
      </c>
      <c r="K3287" s="14">
        <f>IF(IFERROR(_xlfn.XLOOKUP(B3287,Planilha2!D:D,Planilha2!H:H),0)="SIM",1,0)</f>
        <v>1</v>
      </c>
      <c r="L3287" s="14" t="str">
        <f>_xlfn.XLOOKUP(B3287,CAD_PDV!A:A,CAD_PDV!C:C)</f>
        <v>CO</v>
      </c>
      <c r="M3287" s="14" t="str">
        <f>IFERROR(_xlfn.XLOOKUP(B3287,repete!A:A,repete!A:A),"-")</f>
        <v>-</v>
      </c>
    </row>
    <row r="3288" spans="1:13">
      <c r="A3288" s="1">
        <v>46235</v>
      </c>
      <c r="B3288" t="s">
        <v>2027</v>
      </c>
      <c r="C3288" t="s">
        <v>2026</v>
      </c>
      <c r="D3288" t="s">
        <v>193</v>
      </c>
      <c r="E3288" t="s">
        <v>2074</v>
      </c>
      <c r="F3288">
        <v>16</v>
      </c>
      <c r="J3288" s="14" t="str">
        <f>_xlfn.XLOOKUP(B3288,CAD_PDV!A:A,CAD_PDV!B:B)</f>
        <v>S D COMERCIO DE CELULARES LTDA - ME</v>
      </c>
      <c r="K3288" s="14">
        <f>IF(IFERROR(_xlfn.XLOOKUP(B3288,Planilha2!D:D,Planilha2!H:H),0)="SIM",1,0)</f>
        <v>0</v>
      </c>
      <c r="L3288" s="14" t="str">
        <f>_xlfn.XLOOKUP(B3288,CAD_PDV!A:A,CAD_PDV!C:C)</f>
        <v>RS</v>
      </c>
      <c r="M3288" s="14" t="str">
        <f>IFERROR(_xlfn.XLOOKUP(B3288,repete!A:A,repete!A:A),"-")</f>
        <v>-</v>
      </c>
    </row>
    <row r="3289" spans="1:13">
      <c r="A3289" s="1">
        <v>46235</v>
      </c>
      <c r="B3289" t="s">
        <v>759</v>
      </c>
      <c r="C3289" t="s">
        <v>619</v>
      </c>
      <c r="D3289" t="s">
        <v>239</v>
      </c>
      <c r="E3289" t="s">
        <v>59</v>
      </c>
      <c r="F3289">
        <v>39</v>
      </c>
      <c r="J3289" s="14" t="str">
        <f>_xlfn.XLOOKUP(B3289,CAD_PDV!A:A,CAD_PDV!B:B)</f>
        <v>TELECELL TELEFONIA LTDA - ME</v>
      </c>
      <c r="K3289" s="14">
        <f>IF(IFERROR(_xlfn.XLOOKUP(B3289,Planilha2!D:D,Planilha2!H:H),0)="SIM",1,0)</f>
        <v>0</v>
      </c>
      <c r="L3289" s="14" t="str">
        <f>_xlfn.XLOOKUP(B3289,CAD_PDV!A:A,CAD_PDV!C:C)</f>
        <v>CO</v>
      </c>
      <c r="M3289" s="14" t="str">
        <f>IFERROR(_xlfn.XLOOKUP(B3289,repete!A:A,repete!A:A),"-")</f>
        <v>-</v>
      </c>
    </row>
    <row r="3290" spans="1:13">
      <c r="A3290" s="1">
        <v>46235</v>
      </c>
      <c r="B3290" t="s">
        <v>549</v>
      </c>
      <c r="C3290" t="s">
        <v>446</v>
      </c>
      <c r="D3290" t="s">
        <v>170</v>
      </c>
      <c r="E3290" t="s">
        <v>56</v>
      </c>
      <c r="F3290">
        <v>19</v>
      </c>
      <c r="J3290" s="14" t="str">
        <f>_xlfn.XLOOKUP(B3290,CAD_PDV!A:A,CAD_PDV!B:B)</f>
        <v>MOBILE TELECOM LTDA</v>
      </c>
      <c r="K3290" s="14">
        <f>IF(IFERROR(_xlfn.XLOOKUP(B3290,Planilha2!D:D,Planilha2!H:H),0)="SIM",1,0)</f>
        <v>0</v>
      </c>
      <c r="L3290" s="14" t="str">
        <f>_xlfn.XLOOKUP(B3290,CAD_PDV!A:A,CAD_PDV!C:C)</f>
        <v>MG</v>
      </c>
      <c r="M3290" s="14" t="str">
        <f>IFERROR(_xlfn.XLOOKUP(B3290,repete!A:A,repete!A:A),"-")</f>
        <v>-</v>
      </c>
    </row>
    <row r="3291" spans="1:13">
      <c r="A3291" s="1">
        <v>46235</v>
      </c>
      <c r="B3291" t="s">
        <v>1595</v>
      </c>
      <c r="C3291" t="s">
        <v>1596</v>
      </c>
      <c r="D3291" t="s">
        <v>180</v>
      </c>
      <c r="E3291" t="s">
        <v>54</v>
      </c>
      <c r="F3291">
        <v>8</v>
      </c>
      <c r="J3291" s="14" t="str">
        <f>_xlfn.XLOOKUP(B3291,CAD_PDV!A:A,CAD_PDV!B:B)</f>
        <v>PRIME ARACATUBA</v>
      </c>
      <c r="K3291" s="14">
        <f>IF(IFERROR(_xlfn.XLOOKUP(B3291,Planilha2!D:D,Planilha2!H:H),0)="SIM",1,0)</f>
        <v>0</v>
      </c>
      <c r="L3291" s="14" t="str">
        <f>_xlfn.XLOOKUP(B3291,CAD_PDV!A:A,CAD_PDV!C:C)</f>
        <v>SP2</v>
      </c>
      <c r="M3291" s="14" t="str">
        <f>IFERROR(_xlfn.XLOOKUP(B3291,repete!A:A,repete!A:A),"-")</f>
        <v>-</v>
      </c>
    </row>
    <row r="3292" spans="1:13">
      <c r="A3292" s="1">
        <v>46235</v>
      </c>
      <c r="B3292" t="s">
        <v>1597</v>
      </c>
      <c r="C3292" t="s">
        <v>1503</v>
      </c>
      <c r="D3292" t="s">
        <v>106</v>
      </c>
      <c r="E3292" t="s">
        <v>54</v>
      </c>
      <c r="F3292">
        <v>4</v>
      </c>
      <c r="J3292" s="14" t="str">
        <f>_xlfn.XLOOKUP(B3292,CAD_PDV!A:A,CAD_PDV!B:B)</f>
        <v>CELLULAR.COM</v>
      </c>
      <c r="K3292" s="14">
        <f>IF(IFERROR(_xlfn.XLOOKUP(B3292,Planilha2!D:D,Planilha2!H:H),0)="SIM",1,0)</f>
        <v>0</v>
      </c>
      <c r="L3292" s="14" t="str">
        <f>_xlfn.XLOOKUP(B3292,CAD_PDV!A:A,CAD_PDV!C:C)</f>
        <v>SP2</v>
      </c>
      <c r="M3292" s="14" t="str">
        <f>IFERROR(_xlfn.XLOOKUP(B3292,repete!A:A,repete!A:A),"-")</f>
        <v>-</v>
      </c>
    </row>
    <row r="3293" spans="1:13">
      <c r="A3293" s="1">
        <v>46235</v>
      </c>
      <c r="B3293" t="s">
        <v>739</v>
      </c>
      <c r="C3293" t="s">
        <v>740</v>
      </c>
      <c r="D3293" t="s">
        <v>113</v>
      </c>
      <c r="E3293" t="s">
        <v>59</v>
      </c>
      <c r="F3293">
        <v>6</v>
      </c>
      <c r="J3293" s="14" t="str">
        <f>_xlfn.XLOOKUP(B3293,CAD_PDV!A:A,CAD_PDV!B:B)</f>
        <v>D. R. MEDEIROS &amp; CIA LTDA</v>
      </c>
      <c r="K3293" s="14">
        <f>IF(IFERROR(_xlfn.XLOOKUP(B3293,Planilha2!D:D,Planilha2!H:H),0)="SIM",1,0)</f>
        <v>0</v>
      </c>
      <c r="L3293" s="14" t="str">
        <f>_xlfn.XLOOKUP(B3293,CAD_PDV!A:A,CAD_PDV!C:C)</f>
        <v>CO</v>
      </c>
      <c r="M3293" s="14" t="str">
        <f>IFERROR(_xlfn.XLOOKUP(B3293,repete!A:A,repete!A:A),"-")</f>
        <v>-</v>
      </c>
    </row>
    <row r="3294" spans="1:13">
      <c r="A3294" s="1">
        <v>46235</v>
      </c>
      <c r="B3294" t="s">
        <v>479</v>
      </c>
      <c r="C3294" t="s">
        <v>480</v>
      </c>
      <c r="D3294" t="s">
        <v>106</v>
      </c>
      <c r="E3294" t="s">
        <v>56</v>
      </c>
      <c r="F3294">
        <v>8</v>
      </c>
      <c r="J3294" s="14" t="str">
        <f>_xlfn.XLOOKUP(B3294,CAD_PDV!A:A,CAD_PDV!B:B)</f>
        <v>CELLULAR.COM</v>
      </c>
      <c r="K3294" s="14">
        <f>IF(IFERROR(_xlfn.XLOOKUP(B3294,Planilha2!D:D,Planilha2!H:H),0)="SIM",1,0)</f>
        <v>0</v>
      </c>
      <c r="L3294" s="14" t="str">
        <f>_xlfn.XLOOKUP(B3294,CAD_PDV!A:A,CAD_PDV!C:C)</f>
        <v>MG</v>
      </c>
      <c r="M3294" s="14" t="str">
        <f>IFERROR(_xlfn.XLOOKUP(B3294,repete!A:A,repete!A:A),"-")</f>
        <v>-</v>
      </c>
    </row>
    <row r="3295" spans="1:13">
      <c r="A3295" s="1">
        <v>46235</v>
      </c>
      <c r="B3295" t="s">
        <v>1598</v>
      </c>
      <c r="C3295" t="s">
        <v>1599</v>
      </c>
      <c r="D3295" t="s">
        <v>180</v>
      </c>
      <c r="E3295" t="s">
        <v>54</v>
      </c>
      <c r="F3295">
        <v>10</v>
      </c>
      <c r="J3295" s="14" t="str">
        <f>_xlfn.XLOOKUP(B3295,CAD_PDV!A:A,CAD_PDV!B:B)</f>
        <v>PRIME ARACATUBA</v>
      </c>
      <c r="K3295" s="14">
        <f>IF(IFERROR(_xlfn.XLOOKUP(B3295,Planilha2!D:D,Planilha2!H:H),0)="SIM",1,0)</f>
        <v>0</v>
      </c>
      <c r="L3295" s="14" t="str">
        <f>_xlfn.XLOOKUP(B3295,CAD_PDV!A:A,CAD_PDV!C:C)</f>
        <v>SP2</v>
      </c>
      <c r="M3295" s="14" t="str">
        <f>IFERROR(_xlfn.XLOOKUP(B3295,repete!A:A,repete!A:A),"-")</f>
        <v>-</v>
      </c>
    </row>
    <row r="3296" spans="1:13">
      <c r="A3296" s="1">
        <v>46235</v>
      </c>
      <c r="B3296" t="s">
        <v>1240</v>
      </c>
      <c r="C3296" t="s">
        <v>1207</v>
      </c>
      <c r="D3296" t="s">
        <v>2072</v>
      </c>
      <c r="E3296" t="s">
        <v>55</v>
      </c>
      <c r="F3296">
        <v>11</v>
      </c>
      <c r="J3296" s="14" t="str">
        <f>_xlfn.XLOOKUP(B3296,CAD_PDV!A:A,CAD_PDV!B:B)</f>
        <v>MEXCELL COMERCIO E SERVICOS DE TELECOMUNICACOES LTDA</v>
      </c>
      <c r="K3296" s="14">
        <f>IF(IFERROR(_xlfn.XLOOKUP(B3296,Planilha2!D:D,Planilha2!H:H),0)="SIM",1,0)</f>
        <v>0</v>
      </c>
      <c r="L3296" s="14" t="str">
        <f>_xlfn.XLOOKUP(B3296,CAD_PDV!A:A,CAD_PDV!C:C)</f>
        <v>RJ/ES</v>
      </c>
      <c r="M3296" s="14" t="str">
        <f>IFERROR(_xlfn.XLOOKUP(B3296,repete!A:A,repete!A:A),"-")</f>
        <v>-</v>
      </c>
    </row>
    <row r="3297" spans="1:13">
      <c r="A3297" s="1">
        <v>46235</v>
      </c>
      <c r="B3297" t="s">
        <v>550</v>
      </c>
      <c r="C3297" t="s">
        <v>551</v>
      </c>
      <c r="D3297" t="s">
        <v>158</v>
      </c>
      <c r="E3297" t="s">
        <v>56</v>
      </c>
      <c r="F3297">
        <v>21</v>
      </c>
      <c r="J3297" s="14" t="str">
        <f>_xlfn.XLOOKUP(B3297,CAD_PDV!A:A,CAD_PDV!B:B)</f>
        <v>LUCIANA DOS REIS - ME</v>
      </c>
      <c r="K3297" s="14">
        <f>IF(IFERROR(_xlfn.XLOOKUP(B3297,Planilha2!D:D,Planilha2!H:H),0)="SIM",1,0)</f>
        <v>0</v>
      </c>
      <c r="L3297" s="14" t="str">
        <f>_xlfn.XLOOKUP(B3297,CAD_PDV!A:A,CAD_PDV!C:C)</f>
        <v>MG</v>
      </c>
      <c r="M3297" s="14" t="str">
        <f>IFERROR(_xlfn.XLOOKUP(B3297,repete!A:A,repete!A:A),"-")</f>
        <v>-</v>
      </c>
    </row>
    <row r="3298" spans="1:13">
      <c r="A3298" s="1">
        <v>46235</v>
      </c>
      <c r="B3298" t="s">
        <v>1909</v>
      </c>
      <c r="C3298" t="s">
        <v>1912</v>
      </c>
      <c r="D3298" t="s">
        <v>106</v>
      </c>
      <c r="E3298" t="s">
        <v>2074</v>
      </c>
      <c r="F3298">
        <v>18</v>
      </c>
      <c r="J3298" s="14" t="str">
        <f>_xlfn.XLOOKUP(B3298,CAD_PDV!A:A,CAD_PDV!B:B)</f>
        <v>CELLULAR.COM</v>
      </c>
      <c r="K3298" s="14">
        <f>IF(IFERROR(_xlfn.XLOOKUP(B3298,Planilha2!D:D,Planilha2!H:H),0)="SIM",1,0)</f>
        <v>0</v>
      </c>
      <c r="L3298" s="14" t="str">
        <f>_xlfn.XLOOKUP(B3298,CAD_PDV!A:A,CAD_PDV!C:C)</f>
        <v>PR/SC</v>
      </c>
      <c r="M3298" s="14" t="str">
        <f>IFERROR(_xlfn.XLOOKUP(B3298,repete!A:A,repete!A:A),"-")</f>
        <v>-</v>
      </c>
    </row>
    <row r="3299" spans="1:13">
      <c r="A3299" s="1">
        <v>46235</v>
      </c>
      <c r="B3299" t="s">
        <v>1105</v>
      </c>
      <c r="C3299" t="s">
        <v>1077</v>
      </c>
      <c r="D3299" t="s">
        <v>196</v>
      </c>
      <c r="E3299" t="s">
        <v>62</v>
      </c>
      <c r="F3299">
        <v>21</v>
      </c>
      <c r="J3299" s="14" t="str">
        <f>_xlfn.XLOOKUP(B3299,CAD_PDV!A:A,CAD_PDV!B:B)</f>
        <v>SELF COMERCIO E SERVICOS EM TELEFON</v>
      </c>
      <c r="K3299" s="14">
        <f>IF(IFERROR(_xlfn.XLOOKUP(B3299,Planilha2!D:D,Planilha2!H:H),0)="SIM",1,0)</f>
        <v>0</v>
      </c>
      <c r="L3299" s="14" t="str">
        <f>_xlfn.XLOOKUP(B3299,CAD_PDV!A:A,CAD_PDV!C:C)</f>
        <v>NO</v>
      </c>
      <c r="M3299" s="14" t="str">
        <f>IFERROR(_xlfn.XLOOKUP(B3299,repete!A:A,repete!A:A),"-")</f>
        <v>-</v>
      </c>
    </row>
    <row r="3300" spans="1:13">
      <c r="A3300" s="1">
        <v>46235</v>
      </c>
      <c r="B3300" t="s">
        <v>668</v>
      </c>
      <c r="C3300" t="s">
        <v>670</v>
      </c>
      <c r="D3300" t="s">
        <v>93</v>
      </c>
      <c r="E3300" t="s">
        <v>59</v>
      </c>
      <c r="F3300">
        <v>3</v>
      </c>
      <c r="J3300" s="14" t="str">
        <f>_xlfn.XLOOKUP(B3300,CAD_PDV!A:A,CAD_PDV!B:B)</f>
        <v>ARES TELECOM LTDA</v>
      </c>
      <c r="K3300" s="14">
        <f>IF(IFERROR(_xlfn.XLOOKUP(B3300,Planilha2!D:D,Planilha2!H:H),0)="SIM",1,0)</f>
        <v>0</v>
      </c>
      <c r="L3300" s="14" t="str">
        <f>_xlfn.XLOOKUP(B3300,CAD_PDV!A:A,CAD_PDV!C:C)</f>
        <v>CO</v>
      </c>
      <c r="M3300" s="14" t="str">
        <f>IFERROR(_xlfn.XLOOKUP(B3300,repete!A:A,repete!A:A),"-")</f>
        <v>-</v>
      </c>
    </row>
    <row r="3301" spans="1:13">
      <c r="A3301" s="1">
        <v>46235</v>
      </c>
      <c r="B3301" t="s">
        <v>2121</v>
      </c>
      <c r="C3301" t="s">
        <v>1298</v>
      </c>
      <c r="D3301" t="s">
        <v>138</v>
      </c>
      <c r="E3301" t="s">
        <v>55</v>
      </c>
      <c r="F3301">
        <v>15</v>
      </c>
      <c r="J3301" s="14" t="str">
        <f>_xlfn.XLOOKUP(B3301,CAD_PDV!A:A,CAD_PDV!B:B)</f>
        <v>GSM FREE</v>
      </c>
      <c r="K3301" s="14">
        <f>IF(IFERROR(_xlfn.XLOOKUP(B3301,Planilha2!D:D,Planilha2!H:H),0)="SIM",1,0)</f>
        <v>0</v>
      </c>
      <c r="L3301" s="14" t="str">
        <f>_xlfn.XLOOKUP(B3301,CAD_PDV!A:A,CAD_PDV!C:C)</f>
        <v>RJ/ES</v>
      </c>
      <c r="M3301" s="14" t="str">
        <f>IFERROR(_xlfn.XLOOKUP(B3301,repete!A:A,repete!A:A),"-")</f>
        <v>-</v>
      </c>
    </row>
    <row r="3302" spans="1:13">
      <c r="A3302" s="1">
        <v>46235</v>
      </c>
      <c r="B3302" t="s">
        <v>353</v>
      </c>
      <c r="C3302" t="s">
        <v>354</v>
      </c>
      <c r="D3302" t="s">
        <v>196</v>
      </c>
      <c r="E3302" t="s">
        <v>61</v>
      </c>
      <c r="F3302">
        <v>28</v>
      </c>
      <c r="J3302" s="14" t="str">
        <f>_xlfn.XLOOKUP(B3302,CAD_PDV!A:A,CAD_PDV!B:B)</f>
        <v>SELF COMERCIO E SERVICOS EM TELEFON</v>
      </c>
      <c r="K3302" s="14">
        <f>IF(IFERROR(_xlfn.XLOOKUP(B3302,Planilha2!D:D,Planilha2!H:H),0)="SIM",1,0)</f>
        <v>0</v>
      </c>
      <c r="L3302" s="14" t="str">
        <f>_xlfn.XLOOKUP(B3302,CAD_PDV!A:A,CAD_PDV!C:C)</f>
        <v>NE</v>
      </c>
      <c r="M3302" s="14" t="str">
        <f>IFERROR(_xlfn.XLOOKUP(B3302,repete!A:A,repete!A:A),"-")</f>
        <v>-</v>
      </c>
    </row>
    <row r="3303" spans="1:13">
      <c r="A3303" s="1">
        <v>46235</v>
      </c>
      <c r="B3303" t="s">
        <v>420</v>
      </c>
      <c r="C3303" t="s">
        <v>421</v>
      </c>
      <c r="D3303" t="s">
        <v>147</v>
      </c>
      <c r="E3303" t="s">
        <v>61</v>
      </c>
      <c r="F3303">
        <v>2</v>
      </c>
      <c r="J3303" s="14" t="str">
        <f>_xlfn.XLOOKUP(B3303,CAD_PDV!A:A,CAD_PDV!B:B)</f>
        <v>J L DE VASCONCELOS</v>
      </c>
      <c r="K3303" s="14">
        <f>IF(IFERROR(_xlfn.XLOOKUP(B3303,Planilha2!D:D,Planilha2!H:H),0)="SIM",1,0)</f>
        <v>0</v>
      </c>
      <c r="L3303" s="14" t="str">
        <f>_xlfn.XLOOKUP(B3303,CAD_PDV!A:A,CAD_PDV!C:C)</f>
        <v>NE</v>
      </c>
      <c r="M3303" s="14" t="str">
        <f>IFERROR(_xlfn.XLOOKUP(B3303,repete!A:A,repete!A:A),"-")</f>
        <v>-</v>
      </c>
    </row>
    <row r="3304" spans="1:13">
      <c r="A3304" s="1">
        <v>46235</v>
      </c>
      <c r="B3304" t="s">
        <v>1885</v>
      </c>
      <c r="C3304" t="s">
        <v>1887</v>
      </c>
      <c r="D3304" t="s">
        <v>124</v>
      </c>
      <c r="E3304" t="s">
        <v>2074</v>
      </c>
      <c r="F3304">
        <v>96</v>
      </c>
      <c r="J3304" s="14" t="str">
        <f>_xlfn.XLOOKUP(B3304,CAD_PDV!A:A,CAD_PDV!B:B)</f>
        <v>EDUARDO JUNQUEIRA DA SILVEIRA ADMIN</v>
      </c>
      <c r="K3304" s="14">
        <f>IF(IFERROR(_xlfn.XLOOKUP(B3304,Planilha2!D:D,Planilha2!H:H),0)="SIM",1,0)</f>
        <v>0</v>
      </c>
      <c r="L3304" s="14" t="str">
        <f>_xlfn.XLOOKUP(B3304,CAD_PDV!A:A,CAD_PDV!C:C)</f>
        <v>RS</v>
      </c>
      <c r="M3304" s="14" t="str">
        <f>IFERROR(_xlfn.XLOOKUP(B3304,repete!A:A,repete!A:A),"-")</f>
        <v>-</v>
      </c>
    </row>
    <row r="3305" spans="1:13">
      <c r="A3305" s="1">
        <v>46235</v>
      </c>
      <c r="B3305" t="s">
        <v>954</v>
      </c>
      <c r="C3305" t="s">
        <v>956</v>
      </c>
      <c r="D3305" t="s">
        <v>99</v>
      </c>
      <c r="E3305" t="s">
        <v>60</v>
      </c>
      <c r="F3305">
        <v>1</v>
      </c>
      <c r="J3305" s="14" t="str">
        <f>_xlfn.XLOOKUP(B3305,CAD_PDV!A:A,CAD_PDV!B:B)</f>
        <v>C A SANTOS COMUNICAO EIRELI</v>
      </c>
      <c r="K3305" s="14">
        <f>IF(IFERROR(_xlfn.XLOOKUP(B3305,Planilha2!D:D,Planilha2!H:H),0)="SIM",1,0)</f>
        <v>0</v>
      </c>
      <c r="L3305" s="14" t="str">
        <f>_xlfn.XLOOKUP(B3305,CAD_PDV!A:A,CAD_PDV!C:C)</f>
        <v>BA/SE</v>
      </c>
      <c r="M3305" s="14" t="str">
        <f>IFERROR(_xlfn.XLOOKUP(B3305,repete!A:A,repete!A:A),"-")</f>
        <v>-</v>
      </c>
    </row>
    <row r="3306" spans="1:13">
      <c r="A3306" s="1">
        <v>46235</v>
      </c>
      <c r="B3306" t="s">
        <v>1764</v>
      </c>
      <c r="C3306" t="s">
        <v>1765</v>
      </c>
      <c r="D3306" t="s">
        <v>124</v>
      </c>
      <c r="E3306" t="s">
        <v>2074</v>
      </c>
      <c r="F3306">
        <v>3</v>
      </c>
      <c r="J3306" s="14" t="str">
        <f>_xlfn.XLOOKUP(B3306,CAD_PDV!A:A,CAD_PDV!B:B)</f>
        <v>EDUARDO JUNQUEIRA DA SILVEIRA ADMIN</v>
      </c>
      <c r="K3306" s="14">
        <f>IF(IFERROR(_xlfn.XLOOKUP(B3306,Planilha2!D:D,Planilha2!H:H),0)="SIM",1,0)</f>
        <v>0</v>
      </c>
      <c r="L3306" s="14" t="str">
        <f>_xlfn.XLOOKUP(B3306,CAD_PDV!A:A,CAD_PDV!C:C)</f>
        <v>RS</v>
      </c>
      <c r="M3306" s="14" t="str">
        <f>IFERROR(_xlfn.XLOOKUP(B3306,repete!A:A,repete!A:A),"-")</f>
        <v>-</v>
      </c>
    </row>
    <row r="3307" spans="1:13">
      <c r="A3307" s="1">
        <v>46235</v>
      </c>
      <c r="B3307" t="s">
        <v>499</v>
      </c>
      <c r="C3307" t="s">
        <v>500</v>
      </c>
      <c r="D3307" t="s">
        <v>239</v>
      </c>
      <c r="E3307" t="s">
        <v>56</v>
      </c>
      <c r="F3307">
        <v>18</v>
      </c>
      <c r="J3307" s="14" t="str">
        <f>_xlfn.XLOOKUP(B3307,CAD_PDV!A:A,CAD_PDV!B:B)</f>
        <v>TELECELL TELEFONIA LTDA - ME</v>
      </c>
      <c r="K3307" s="14">
        <f>IF(IFERROR(_xlfn.XLOOKUP(B3307,Planilha2!D:D,Planilha2!H:H),0)="SIM",1,0)</f>
        <v>0</v>
      </c>
      <c r="L3307" s="14" t="str">
        <f>_xlfn.XLOOKUP(B3307,CAD_PDV!A:A,CAD_PDV!C:C)</f>
        <v>MG</v>
      </c>
      <c r="M3307" s="14" t="str">
        <f>IFERROR(_xlfn.XLOOKUP(B3307,repete!A:A,repete!A:A),"-")</f>
        <v>-</v>
      </c>
    </row>
    <row r="3308" spans="1:13">
      <c r="A3308" s="1">
        <v>46235</v>
      </c>
      <c r="B3308" t="s">
        <v>422</v>
      </c>
      <c r="C3308" t="s">
        <v>423</v>
      </c>
      <c r="D3308" t="s">
        <v>141</v>
      </c>
      <c r="E3308" t="s">
        <v>61</v>
      </c>
      <c r="F3308">
        <v>7</v>
      </c>
      <c r="J3308" s="14" t="str">
        <f>_xlfn.XLOOKUP(B3308,CAD_PDV!A:A,CAD_PDV!B:B)</f>
        <v>ICARO CARVALHO CAVALCANTE</v>
      </c>
      <c r="K3308" s="14">
        <f>IF(IFERROR(_xlfn.XLOOKUP(B3308,Planilha2!D:D,Planilha2!H:H),0)="SIM",1,0)</f>
        <v>0</v>
      </c>
      <c r="L3308" s="14" t="str">
        <f>_xlfn.XLOOKUP(B3308,CAD_PDV!A:A,CAD_PDV!C:C)</f>
        <v>NE</v>
      </c>
      <c r="M3308" s="14" t="str">
        <f>IFERROR(_xlfn.XLOOKUP(B3308,repete!A:A,repete!A:A),"-")</f>
        <v>-</v>
      </c>
    </row>
    <row r="3309" spans="1:13">
      <c r="A3309" s="1">
        <v>46235</v>
      </c>
      <c r="B3309" t="s">
        <v>1600</v>
      </c>
      <c r="C3309" t="s">
        <v>1601</v>
      </c>
      <c r="D3309" t="s">
        <v>112</v>
      </c>
      <c r="E3309" t="s">
        <v>54</v>
      </c>
      <c r="F3309">
        <v>6</v>
      </c>
      <c r="J3309" s="14" t="str">
        <f>_xlfn.XLOOKUP(B3309,CAD_PDV!A:A,CAD_PDV!B:B)</f>
        <v>CONVERGE.NET REPRESENTACOES COMERCIAIS LTDA - EPP</v>
      </c>
      <c r="K3309" s="14">
        <f>IF(IFERROR(_xlfn.XLOOKUP(B3309,Planilha2!D:D,Planilha2!H:H),0)="SIM",1,0)</f>
        <v>0</v>
      </c>
      <c r="L3309" s="14" t="str">
        <f>_xlfn.XLOOKUP(B3309,CAD_PDV!A:A,CAD_PDV!C:C)</f>
        <v>SP2</v>
      </c>
      <c r="M3309" s="14" t="str">
        <f>IFERROR(_xlfn.XLOOKUP(B3309,repete!A:A,repete!A:A),"-")</f>
        <v>-</v>
      </c>
    </row>
    <row r="3310" spans="1:13">
      <c r="A3310" s="1">
        <v>46235</v>
      </c>
      <c r="B3310" t="s">
        <v>1943</v>
      </c>
      <c r="C3310" t="s">
        <v>1944</v>
      </c>
      <c r="D3310" t="s">
        <v>176</v>
      </c>
      <c r="E3310" t="s">
        <v>2074</v>
      </c>
      <c r="F3310">
        <v>66</v>
      </c>
      <c r="J3310" s="14" t="str">
        <f>_xlfn.XLOOKUP(B3310,CAD_PDV!A:A,CAD_PDV!B:B)</f>
        <v>NEW POINT CELULAR LTDA - ME</v>
      </c>
      <c r="K3310" s="14">
        <f>IF(IFERROR(_xlfn.XLOOKUP(B3310,Planilha2!D:D,Planilha2!H:H),0)="SIM",1,0)</f>
        <v>0</v>
      </c>
      <c r="L3310" s="14" t="str">
        <f>_xlfn.XLOOKUP(B3310,CAD_PDV!A:A,CAD_PDV!C:C)</f>
        <v>RS</v>
      </c>
      <c r="M3310" s="14" t="str">
        <f>IFERROR(_xlfn.XLOOKUP(B3310,repete!A:A,repete!A:A),"-")</f>
        <v>-</v>
      </c>
    </row>
    <row r="3311" spans="1:13">
      <c r="A3311" s="1">
        <v>46235</v>
      </c>
      <c r="B3311" t="s">
        <v>1604</v>
      </c>
      <c r="C3311" t="s">
        <v>1605</v>
      </c>
      <c r="D3311" t="s">
        <v>106</v>
      </c>
      <c r="E3311" t="s">
        <v>54</v>
      </c>
      <c r="F3311">
        <v>10</v>
      </c>
      <c r="J3311" s="14" t="str">
        <f>_xlfn.XLOOKUP(B3311,CAD_PDV!A:A,CAD_PDV!B:B)</f>
        <v>CELLULAR.COM</v>
      </c>
      <c r="K3311" s="14">
        <f>IF(IFERROR(_xlfn.XLOOKUP(B3311,Planilha2!D:D,Planilha2!H:H),0)="SIM",1,0)</f>
        <v>0</v>
      </c>
      <c r="L3311" s="14" t="str">
        <f>_xlfn.XLOOKUP(B3311,CAD_PDV!A:A,CAD_PDV!C:C)</f>
        <v>SP2</v>
      </c>
      <c r="M3311" s="14" t="str">
        <f>IFERROR(_xlfn.XLOOKUP(B3311,repete!A:A,repete!A:A),"-")</f>
        <v>-</v>
      </c>
    </row>
    <row r="3312" spans="1:13">
      <c r="A3312" s="1">
        <v>46235</v>
      </c>
      <c r="B3312" t="s">
        <v>2122</v>
      </c>
      <c r="C3312" t="s">
        <v>1371</v>
      </c>
      <c r="D3312" t="s">
        <v>157</v>
      </c>
      <c r="E3312" t="s">
        <v>53</v>
      </c>
      <c r="F3312">
        <v>9</v>
      </c>
      <c r="J3312" s="14" t="str">
        <f>_xlfn.XLOOKUP(B3312,CAD_PDV!A:A,CAD_PDV!B:B)</f>
        <v>LINK TELECOM COMERCIO DE CELULARES LTDA - ME</v>
      </c>
      <c r="K3312" s="14">
        <f>IF(IFERROR(_xlfn.XLOOKUP(B3312,Planilha2!D:D,Planilha2!H:H),0)="SIM",1,0)</f>
        <v>0</v>
      </c>
      <c r="L3312" s="14" t="str">
        <f>_xlfn.XLOOKUP(B3312,CAD_PDV!A:A,CAD_PDV!C:C)</f>
        <v>SP1</v>
      </c>
      <c r="M3312" s="14" t="str">
        <f>IFERROR(_xlfn.XLOOKUP(B3312,repete!A:A,repete!A:A),"-")</f>
        <v>-</v>
      </c>
    </row>
    <row r="3313" spans="1:13">
      <c r="A3313" s="1">
        <v>46235</v>
      </c>
      <c r="B3313" t="s">
        <v>1272</v>
      </c>
      <c r="C3313" t="s">
        <v>1142</v>
      </c>
      <c r="D3313" t="s">
        <v>138</v>
      </c>
      <c r="E3313" t="s">
        <v>55</v>
      </c>
      <c r="F3313">
        <v>3</v>
      </c>
      <c r="J3313" s="14" t="str">
        <f>_xlfn.XLOOKUP(B3313,CAD_PDV!A:A,CAD_PDV!B:B)</f>
        <v>GSM FREE</v>
      </c>
      <c r="K3313" s="14">
        <f>IF(IFERROR(_xlfn.XLOOKUP(B3313,Planilha2!D:D,Planilha2!H:H),0)="SIM",1,0)</f>
        <v>0</v>
      </c>
      <c r="L3313" s="14" t="str">
        <f>_xlfn.XLOOKUP(B3313,CAD_PDV!A:A,CAD_PDV!C:C)</f>
        <v>RJ/ES</v>
      </c>
      <c r="M3313" s="14" t="str">
        <f>IFERROR(_xlfn.XLOOKUP(B3313,repete!A:A,repete!A:A),"-")</f>
        <v>-</v>
      </c>
    </row>
    <row r="3314" spans="1:13">
      <c r="A3314" s="1">
        <v>46235</v>
      </c>
      <c r="B3314" t="s">
        <v>1607</v>
      </c>
      <c r="C3314" t="s">
        <v>1608</v>
      </c>
      <c r="D3314" t="s">
        <v>180</v>
      </c>
      <c r="E3314" t="s">
        <v>54</v>
      </c>
      <c r="F3314">
        <v>22</v>
      </c>
      <c r="J3314" s="14" t="str">
        <f>_xlfn.XLOOKUP(B3314,CAD_PDV!A:A,CAD_PDV!B:B)</f>
        <v>PRIME ARACATUBA</v>
      </c>
      <c r="K3314" s="14">
        <f>IF(IFERROR(_xlfn.XLOOKUP(B3314,Planilha2!D:D,Planilha2!H:H),0)="SIM",1,0)</f>
        <v>0</v>
      </c>
      <c r="L3314" s="14" t="str">
        <f>_xlfn.XLOOKUP(B3314,CAD_PDV!A:A,CAD_PDV!C:C)</f>
        <v>SP2</v>
      </c>
      <c r="M3314" s="14" t="str">
        <f>IFERROR(_xlfn.XLOOKUP(B3314,repete!A:A,repete!A:A),"-")</f>
        <v>-</v>
      </c>
    </row>
    <row r="3315" spans="1:13">
      <c r="A3315" s="1">
        <v>46235</v>
      </c>
      <c r="B3315" t="s">
        <v>603</v>
      </c>
      <c r="C3315" t="s">
        <v>604</v>
      </c>
      <c r="D3315" t="s">
        <v>170</v>
      </c>
      <c r="E3315" t="s">
        <v>56</v>
      </c>
      <c r="F3315">
        <v>3</v>
      </c>
      <c r="J3315" s="14" t="str">
        <f>_xlfn.XLOOKUP(B3315,CAD_PDV!A:A,CAD_PDV!B:B)</f>
        <v>MOBILE TELECOM LTDA</v>
      </c>
      <c r="K3315" s="14">
        <f>IF(IFERROR(_xlfn.XLOOKUP(B3315,Planilha2!D:D,Planilha2!H:H),0)="SIM",1,0)</f>
        <v>0</v>
      </c>
      <c r="L3315" s="14" t="str">
        <f>_xlfn.XLOOKUP(B3315,CAD_PDV!A:A,CAD_PDV!C:C)</f>
        <v>MG</v>
      </c>
      <c r="M3315" s="14" t="str">
        <f>IFERROR(_xlfn.XLOOKUP(B3315,repete!A:A,repete!A:A),"-")</f>
        <v>-</v>
      </c>
    </row>
    <row r="3316" spans="1:13">
      <c r="A3316" s="1">
        <v>46235</v>
      </c>
      <c r="B3316" t="s">
        <v>298</v>
      </c>
      <c r="C3316" t="s">
        <v>257</v>
      </c>
      <c r="D3316" t="s">
        <v>104</v>
      </c>
      <c r="E3316" t="s">
        <v>61</v>
      </c>
      <c r="F3316">
        <v>41</v>
      </c>
      <c r="J3316" s="14" t="str">
        <f>_xlfn.XLOOKUP(B3316,CAD_PDV!A:A,CAD_PDV!B:B)</f>
        <v>CARLOS FREDERICO E FILHOS COMERCIO</v>
      </c>
      <c r="K3316" s="14">
        <f>IF(IFERROR(_xlfn.XLOOKUP(B3316,Planilha2!D:D,Planilha2!H:H),0)="SIM",1,0)</f>
        <v>0</v>
      </c>
      <c r="L3316" s="14" t="str">
        <f>_xlfn.XLOOKUP(B3316,CAD_PDV!A:A,CAD_PDV!C:C)</f>
        <v>NE</v>
      </c>
      <c r="M3316" s="14" t="str">
        <f>IFERROR(_xlfn.XLOOKUP(B3316,repete!A:A,repete!A:A),"-")</f>
        <v>-</v>
      </c>
    </row>
    <row r="3317" spans="1:13">
      <c r="A3317" s="1">
        <v>46235</v>
      </c>
      <c r="B3317" t="s">
        <v>1116</v>
      </c>
      <c r="C3317" t="s">
        <v>1077</v>
      </c>
      <c r="D3317" t="s">
        <v>143</v>
      </c>
      <c r="E3317" t="s">
        <v>62</v>
      </c>
      <c r="F3317">
        <v>16</v>
      </c>
      <c r="J3317" s="14" t="str">
        <f>_xlfn.XLOOKUP(B3317,CAD_PDV!A:A,CAD_PDV!B:B)</f>
        <v>INOVACELL LTDA</v>
      </c>
      <c r="K3317" s="14">
        <f>IF(IFERROR(_xlfn.XLOOKUP(B3317,Planilha2!D:D,Planilha2!H:H),0)="SIM",1,0)</f>
        <v>0</v>
      </c>
      <c r="L3317" s="14" t="str">
        <f>_xlfn.XLOOKUP(B3317,CAD_PDV!A:A,CAD_PDV!C:C)</f>
        <v>NO</v>
      </c>
      <c r="M3317" s="14" t="str">
        <f>IFERROR(_xlfn.XLOOKUP(B3317,repete!A:A,repete!A:A),"-")</f>
        <v>-</v>
      </c>
    </row>
    <row r="3318" spans="1:13">
      <c r="A3318" s="1">
        <v>46235</v>
      </c>
      <c r="B3318" t="s">
        <v>1609</v>
      </c>
      <c r="C3318" t="s">
        <v>1610</v>
      </c>
      <c r="D3318" t="s">
        <v>112</v>
      </c>
      <c r="E3318" t="s">
        <v>54</v>
      </c>
      <c r="F3318">
        <v>16</v>
      </c>
      <c r="J3318" s="14" t="str">
        <f>_xlfn.XLOOKUP(B3318,CAD_PDV!A:A,CAD_PDV!B:B)</f>
        <v>CONVERGE.NET REPRESENTACOES COMERCIAIS LTDA - EPP</v>
      </c>
      <c r="K3318" s="14">
        <f>IF(IFERROR(_xlfn.XLOOKUP(B3318,Planilha2!D:D,Planilha2!H:H),0)="SIM",1,0)</f>
        <v>0</v>
      </c>
      <c r="L3318" s="14" t="str">
        <f>_xlfn.XLOOKUP(B3318,CAD_PDV!A:A,CAD_PDV!C:C)</f>
        <v>SP2</v>
      </c>
      <c r="M3318" s="14" t="str">
        <f>IFERROR(_xlfn.XLOOKUP(B3318,repete!A:A,repete!A:A),"-")</f>
        <v>-</v>
      </c>
    </row>
    <row r="3319" spans="1:13">
      <c r="A3319" s="1">
        <v>46235</v>
      </c>
      <c r="B3319" t="s">
        <v>605</v>
      </c>
      <c r="C3319" t="s">
        <v>606</v>
      </c>
      <c r="D3319" t="s">
        <v>189</v>
      </c>
      <c r="E3319" t="s">
        <v>56</v>
      </c>
      <c r="F3319">
        <v>16</v>
      </c>
      <c r="J3319" s="14" t="str">
        <f>_xlfn.XLOOKUP(B3319,CAD_PDV!A:A,CAD_PDV!B:B)</f>
        <v>RCM CAPITAL PARTICIPACOES LTDA</v>
      </c>
      <c r="K3319" s="14">
        <f>IF(IFERROR(_xlfn.XLOOKUP(B3319,Planilha2!D:D,Planilha2!H:H),0)="SIM",1,0)</f>
        <v>0</v>
      </c>
      <c r="L3319" s="14" t="str">
        <f>_xlfn.XLOOKUP(B3319,CAD_PDV!A:A,CAD_PDV!C:C)</f>
        <v>MG</v>
      </c>
      <c r="M3319" s="14" t="str">
        <f>IFERROR(_xlfn.XLOOKUP(B3319,repete!A:A,repete!A:A),"-")</f>
        <v>-</v>
      </c>
    </row>
    <row r="3320" spans="1:13">
      <c r="A3320" s="1">
        <v>46235</v>
      </c>
      <c r="B3320" t="s">
        <v>1241</v>
      </c>
      <c r="C3320" t="s">
        <v>1242</v>
      </c>
      <c r="D3320" t="s">
        <v>2072</v>
      </c>
      <c r="E3320" t="s">
        <v>55</v>
      </c>
      <c r="F3320">
        <v>6</v>
      </c>
      <c r="J3320" s="14" t="str">
        <f>_xlfn.XLOOKUP(B3320,CAD_PDV!A:A,CAD_PDV!B:B)</f>
        <v>MEXCELL COMERCIO E SERVICOS DE TELECOMUNICACOES LTDA</v>
      </c>
      <c r="K3320" s="14">
        <f>IF(IFERROR(_xlfn.XLOOKUP(B3320,Planilha2!D:D,Planilha2!H:H),0)="SIM",1,0)</f>
        <v>0</v>
      </c>
      <c r="L3320" s="14" t="str">
        <f>_xlfn.XLOOKUP(B3320,CAD_PDV!A:A,CAD_PDV!C:C)</f>
        <v>RJ/ES</v>
      </c>
      <c r="M3320" s="14" t="str">
        <f>IFERROR(_xlfn.XLOOKUP(B3320,repete!A:A,repete!A:A),"-")</f>
        <v>-</v>
      </c>
    </row>
    <row r="3321" spans="1:13">
      <c r="A3321" s="1">
        <v>46235</v>
      </c>
      <c r="B3321" t="s">
        <v>1013</v>
      </c>
      <c r="C3321" t="s">
        <v>1014</v>
      </c>
      <c r="D3321" t="s">
        <v>208</v>
      </c>
      <c r="E3321" t="s">
        <v>60</v>
      </c>
      <c r="F3321">
        <v>2</v>
      </c>
      <c r="J3321" s="14" t="str">
        <f>_xlfn.XLOOKUP(B3321,CAD_PDV!A:A,CAD_PDV!B:B)</f>
        <v>TELECOMUNICACOES C àsA NOVA LTDA</v>
      </c>
      <c r="K3321" s="14">
        <f>IF(IFERROR(_xlfn.XLOOKUP(B3321,Planilha2!D:D,Planilha2!H:H),0)="SIM",1,0)</f>
        <v>0</v>
      </c>
      <c r="L3321" s="14" t="str">
        <f>_xlfn.XLOOKUP(B3321,CAD_PDV!A:A,CAD_PDV!C:C)</f>
        <v>BA/SE</v>
      </c>
      <c r="M3321" s="14" t="str">
        <f>IFERROR(_xlfn.XLOOKUP(B3321,repete!A:A,repete!A:A),"-")</f>
        <v>-</v>
      </c>
    </row>
    <row r="3322" spans="1:13">
      <c r="A3322" s="1">
        <v>46235</v>
      </c>
      <c r="B3322" t="s">
        <v>553</v>
      </c>
      <c r="C3322" t="s">
        <v>554</v>
      </c>
      <c r="D3322" t="s">
        <v>235</v>
      </c>
      <c r="E3322" t="s">
        <v>56</v>
      </c>
      <c r="F3322">
        <v>22</v>
      </c>
      <c r="J3322" s="14" t="str">
        <f>_xlfn.XLOOKUP(B3322,CAD_PDV!A:A,CAD_PDV!B:B)</f>
        <v>P.G.L CELULARES LTDA</v>
      </c>
      <c r="K3322" s="14">
        <f>IF(IFERROR(_xlfn.XLOOKUP(B3322,Planilha2!D:D,Planilha2!H:H),0)="SIM",1,0)</f>
        <v>0</v>
      </c>
      <c r="L3322" s="14" t="str">
        <f>_xlfn.XLOOKUP(B3322,CAD_PDV!A:A,CAD_PDV!C:C)</f>
        <v>MG</v>
      </c>
      <c r="M3322" s="14" t="str">
        <f>IFERROR(_xlfn.XLOOKUP(B3322,repete!A:A,repete!A:A),"-")</f>
        <v>-</v>
      </c>
    </row>
    <row r="3323" spans="1:13">
      <c r="A3323" s="1">
        <v>46235</v>
      </c>
      <c r="B3323" t="s">
        <v>1243</v>
      </c>
      <c r="C3323" t="s">
        <v>1244</v>
      </c>
      <c r="D3323" t="s">
        <v>2072</v>
      </c>
      <c r="E3323" t="s">
        <v>55</v>
      </c>
      <c r="F3323">
        <v>4</v>
      </c>
      <c r="J3323" s="14" t="str">
        <f>_xlfn.XLOOKUP(B3323,CAD_PDV!A:A,CAD_PDV!B:B)</f>
        <v>MEXCELL COMERCIO E SERVICOS DE TELECOMUNICACOES LTDA</v>
      </c>
      <c r="K3323" s="14">
        <f>IF(IFERROR(_xlfn.XLOOKUP(B3323,Planilha2!D:D,Planilha2!H:H),0)="SIM",1,0)</f>
        <v>0</v>
      </c>
      <c r="L3323" s="14" t="str">
        <f>_xlfn.XLOOKUP(B3323,CAD_PDV!A:A,CAD_PDV!C:C)</f>
        <v>RJ/ES</v>
      </c>
      <c r="M3323" s="14" t="str">
        <f>IFERROR(_xlfn.XLOOKUP(B3323,repete!A:A,repete!A:A),"-")</f>
        <v>-</v>
      </c>
    </row>
    <row r="3324" spans="1:13">
      <c r="A3324" s="1">
        <v>46235</v>
      </c>
      <c r="B3324" t="s">
        <v>1018</v>
      </c>
      <c r="C3324" t="s">
        <v>1019</v>
      </c>
      <c r="D3324" t="s">
        <v>156</v>
      </c>
      <c r="E3324" t="s">
        <v>60</v>
      </c>
      <c r="F3324">
        <v>6</v>
      </c>
      <c r="J3324" s="14" t="str">
        <f>_xlfn.XLOOKUP(B3324,CAD_PDV!A:A,CAD_PDV!B:B)</f>
        <v>LIDIANE FREIRE DA SILVA - ME</v>
      </c>
      <c r="K3324" s="14">
        <f>IF(IFERROR(_xlfn.XLOOKUP(B3324,Planilha2!D:D,Planilha2!H:H),0)="SIM",1,0)</f>
        <v>0</v>
      </c>
      <c r="L3324" s="14" t="str">
        <f>_xlfn.XLOOKUP(B3324,CAD_PDV!A:A,CAD_PDV!C:C)</f>
        <v>BA/SE</v>
      </c>
      <c r="M3324" s="14" t="str">
        <f>IFERROR(_xlfn.XLOOKUP(B3324,repete!A:A,repete!A:A),"-")</f>
        <v>-</v>
      </c>
    </row>
    <row r="3325" spans="1:13">
      <c r="A3325" s="1">
        <v>46235</v>
      </c>
      <c r="B3325" t="s">
        <v>1186</v>
      </c>
      <c r="C3325" t="s">
        <v>1188</v>
      </c>
      <c r="D3325" t="s">
        <v>232</v>
      </c>
      <c r="E3325" t="s">
        <v>55</v>
      </c>
      <c r="F3325">
        <v>28</v>
      </c>
      <c r="J3325" s="14" t="str">
        <f>_xlfn.XLOOKUP(B3325,CAD_PDV!A:A,CAD_PDV!B:B)</f>
        <v>HS TELECOM</v>
      </c>
      <c r="K3325" s="14">
        <f>IF(IFERROR(_xlfn.XLOOKUP(B3325,Planilha2!D:D,Planilha2!H:H),0)="SIM",1,0)</f>
        <v>0</v>
      </c>
      <c r="L3325" s="14" t="str">
        <f>_xlfn.XLOOKUP(B3325,CAD_PDV!A:A,CAD_PDV!C:C)</f>
        <v>RJ/ES</v>
      </c>
      <c r="M3325" s="14" t="str">
        <f>IFERROR(_xlfn.XLOOKUP(B3325,repete!A:A,repete!A:A),"-")</f>
        <v>-</v>
      </c>
    </row>
    <row r="3326" spans="1:13">
      <c r="A3326" s="1">
        <v>46235</v>
      </c>
      <c r="B3326" t="s">
        <v>1951</v>
      </c>
      <c r="C3326" t="s">
        <v>1952</v>
      </c>
      <c r="D3326" t="s">
        <v>176</v>
      </c>
      <c r="E3326" t="s">
        <v>2074</v>
      </c>
      <c r="F3326">
        <v>72</v>
      </c>
      <c r="J3326" s="14" t="str">
        <f>_xlfn.XLOOKUP(B3326,CAD_PDV!A:A,CAD_PDV!B:B)</f>
        <v>NEW POINT CELULAR LTDA - ME</v>
      </c>
      <c r="K3326" s="14">
        <f>IF(IFERROR(_xlfn.XLOOKUP(B3326,Planilha2!D:D,Planilha2!H:H),0)="SIM",1,0)</f>
        <v>0</v>
      </c>
      <c r="L3326" s="14" t="str">
        <f>_xlfn.XLOOKUP(B3326,CAD_PDV!A:A,CAD_PDV!C:C)</f>
        <v>RS</v>
      </c>
      <c r="M3326" s="14" t="str">
        <f>IFERROR(_xlfn.XLOOKUP(B3326,repete!A:A,repete!A:A),"-")</f>
        <v>-</v>
      </c>
    </row>
    <row r="3327" spans="1:13">
      <c r="A3327" s="1">
        <v>46235</v>
      </c>
      <c r="B3327" t="s">
        <v>1617</v>
      </c>
      <c r="C3327" t="s">
        <v>1618</v>
      </c>
      <c r="D3327" t="s">
        <v>106</v>
      </c>
      <c r="E3327" t="s">
        <v>54</v>
      </c>
      <c r="F3327">
        <v>9</v>
      </c>
      <c r="J3327" s="14" t="str">
        <f>_xlfn.XLOOKUP(B3327,CAD_PDV!A:A,CAD_PDV!B:B)</f>
        <v>CELLULAR.COM</v>
      </c>
      <c r="K3327" s="14">
        <f>IF(IFERROR(_xlfn.XLOOKUP(B3327,Planilha2!D:D,Planilha2!H:H),0)="SIM",1,0)</f>
        <v>0</v>
      </c>
      <c r="L3327" s="14" t="str">
        <f>_xlfn.XLOOKUP(B3327,CAD_PDV!A:A,CAD_PDV!C:C)</f>
        <v>SP2</v>
      </c>
      <c r="M3327" s="14" t="str">
        <f>IFERROR(_xlfn.XLOOKUP(B3327,repete!A:A,repete!A:A),"-")</f>
        <v>-</v>
      </c>
    </row>
    <row r="3328" spans="1:13">
      <c r="A3328" s="1">
        <v>46235</v>
      </c>
      <c r="B3328" t="s">
        <v>1274</v>
      </c>
      <c r="C3328" t="s">
        <v>1142</v>
      </c>
      <c r="D3328" t="s">
        <v>233</v>
      </c>
      <c r="E3328" t="s">
        <v>55</v>
      </c>
      <c r="F3328">
        <v>7</v>
      </c>
      <c r="J3328" s="14" t="str">
        <f>_xlfn.XLOOKUP(B3328,CAD_PDV!A:A,CAD_PDV!B:B)</f>
        <v>LEINAD COMERCIO E SERVICO EIRELI</v>
      </c>
      <c r="K3328" s="14">
        <f>IF(IFERROR(_xlfn.XLOOKUP(B3328,Planilha2!D:D,Planilha2!H:H),0)="SIM",1,0)</f>
        <v>0</v>
      </c>
      <c r="L3328" s="14" t="str">
        <f>_xlfn.XLOOKUP(B3328,CAD_PDV!A:A,CAD_PDV!C:C)</f>
        <v>RJ/ES</v>
      </c>
      <c r="M3328" s="14" t="str">
        <f>IFERROR(_xlfn.XLOOKUP(B3328,repete!A:A,repete!A:A),"-")</f>
        <v>-</v>
      </c>
    </row>
    <row r="3329" spans="1:13">
      <c r="A3329" s="1">
        <v>46235</v>
      </c>
      <c r="B3329" t="s">
        <v>1065</v>
      </c>
      <c r="C3329" t="s">
        <v>1061</v>
      </c>
      <c r="D3329" t="s">
        <v>98</v>
      </c>
      <c r="E3329" t="s">
        <v>62</v>
      </c>
      <c r="F3329">
        <v>8</v>
      </c>
      <c r="J3329" s="14" t="str">
        <f>_xlfn.XLOOKUP(B3329,CAD_PDV!A:A,CAD_PDV!B:B)</f>
        <v>BRUNO DE OLIVEIRA &amp; CIA LTDA - ME</v>
      </c>
      <c r="K3329" s="14">
        <f>IF(IFERROR(_xlfn.XLOOKUP(B3329,Planilha2!D:D,Planilha2!H:H),0)="SIM",1,0)</f>
        <v>0</v>
      </c>
      <c r="L3329" s="14" t="str">
        <f>_xlfn.XLOOKUP(B3329,CAD_PDV!A:A,CAD_PDV!C:C)</f>
        <v>NO</v>
      </c>
      <c r="M3329" s="14" t="str">
        <f>IFERROR(_xlfn.XLOOKUP(B3329,repete!A:A,repete!A:A),"-")</f>
        <v>-</v>
      </c>
    </row>
    <row r="3330" spans="1:13">
      <c r="A3330" s="1">
        <v>46235</v>
      </c>
      <c r="B3330" t="s">
        <v>1407</v>
      </c>
      <c r="C3330" t="s">
        <v>1366</v>
      </c>
      <c r="D3330" t="s">
        <v>106</v>
      </c>
      <c r="E3330" t="s">
        <v>53</v>
      </c>
      <c r="F3330">
        <v>12</v>
      </c>
      <c r="J3330" s="14" t="str">
        <f>_xlfn.XLOOKUP(B3330,CAD_PDV!A:A,CAD_PDV!B:B)</f>
        <v>CELLULAR.COM</v>
      </c>
      <c r="K3330" s="14">
        <f>IF(IFERROR(_xlfn.XLOOKUP(B3330,Planilha2!D:D,Planilha2!H:H),0)="SIM",1,0)</f>
        <v>0</v>
      </c>
      <c r="L3330" s="14" t="str">
        <f>_xlfn.XLOOKUP(B3330,CAD_PDV!A:A,CAD_PDV!C:C)</f>
        <v>SP1</v>
      </c>
      <c r="M3330" s="14" t="str">
        <f>IFERROR(_xlfn.XLOOKUP(B3330,repete!A:A,repete!A:A),"-")</f>
        <v>-</v>
      </c>
    </row>
    <row r="3331" spans="1:13">
      <c r="A3331" s="1">
        <v>46235</v>
      </c>
      <c r="B3331" t="s">
        <v>355</v>
      </c>
      <c r="C3331" t="s">
        <v>356</v>
      </c>
      <c r="D3331" t="s">
        <v>131</v>
      </c>
      <c r="E3331" t="s">
        <v>61</v>
      </c>
      <c r="F3331">
        <v>64</v>
      </c>
      <c r="J3331" s="14" t="str">
        <f>_xlfn.XLOOKUP(B3331,CAD_PDV!A:A,CAD_PDV!B:B)</f>
        <v>FABIANA GONCALVES DA SILVA LINS E CIA LTDA</v>
      </c>
      <c r="K3331" s="14">
        <f>IF(IFERROR(_xlfn.XLOOKUP(B3331,Planilha2!D:D,Planilha2!H:H),0)="SIM",1,0)</f>
        <v>0</v>
      </c>
      <c r="L3331" s="14" t="str">
        <f>_xlfn.XLOOKUP(B3331,CAD_PDV!A:A,CAD_PDV!C:C)</f>
        <v>NE</v>
      </c>
      <c r="M3331" s="14" t="str">
        <f>IFERROR(_xlfn.XLOOKUP(B3331,repete!A:A,repete!A:A),"-")</f>
        <v>-</v>
      </c>
    </row>
    <row r="3332" spans="1:13">
      <c r="A3332" s="1">
        <v>46235</v>
      </c>
      <c r="B3332" t="s">
        <v>1621</v>
      </c>
      <c r="C3332" t="s">
        <v>1550</v>
      </c>
      <c r="D3332" t="s">
        <v>148</v>
      </c>
      <c r="E3332" t="s">
        <v>54</v>
      </c>
      <c r="F3332">
        <v>36</v>
      </c>
      <c r="J3332" s="14" t="str">
        <f>_xlfn.XLOOKUP(B3332,CAD_PDV!A:A,CAD_PDV!B:B)</f>
        <v>J. P. MACHADO TELEFONIA - ME</v>
      </c>
      <c r="K3332" s="14">
        <f>IF(IFERROR(_xlfn.XLOOKUP(B3332,Planilha2!D:D,Planilha2!H:H),0)="SIM",1,0)</f>
        <v>0</v>
      </c>
      <c r="L3332" s="14" t="str">
        <f>_xlfn.XLOOKUP(B3332,CAD_PDV!A:A,CAD_PDV!C:C)</f>
        <v>SP2</v>
      </c>
      <c r="M3332" s="14" t="str">
        <f>IFERROR(_xlfn.XLOOKUP(B3332,repete!A:A,repete!A:A),"-")</f>
        <v>-</v>
      </c>
    </row>
    <row r="3333" spans="1:13">
      <c r="A3333" s="1">
        <v>46235</v>
      </c>
      <c r="B3333" t="s">
        <v>769</v>
      </c>
      <c r="C3333" t="s">
        <v>619</v>
      </c>
      <c r="D3333" t="s">
        <v>100</v>
      </c>
      <c r="E3333" t="s">
        <v>59</v>
      </c>
      <c r="F3333">
        <v>5</v>
      </c>
      <c r="J3333" s="14" t="str">
        <f>_xlfn.XLOOKUP(B3333,CAD_PDV!A:A,CAD_PDV!B:B)</f>
        <v>CALDAS CELULARES LTDA - ME</v>
      </c>
      <c r="K3333" s="14">
        <f>IF(IFERROR(_xlfn.XLOOKUP(B3333,Planilha2!D:D,Planilha2!H:H),0)="SIM",1,0)</f>
        <v>0</v>
      </c>
      <c r="L3333" s="14" t="str">
        <f>_xlfn.XLOOKUP(B3333,CAD_PDV!A:A,CAD_PDV!C:C)</f>
        <v>CO</v>
      </c>
      <c r="M3333" s="14" t="str">
        <f>IFERROR(_xlfn.XLOOKUP(B3333,repete!A:A,repete!A:A),"-")</f>
        <v>-</v>
      </c>
    </row>
    <row r="3334" spans="1:13">
      <c r="A3334" s="1">
        <v>46235</v>
      </c>
      <c r="B3334" t="s">
        <v>779</v>
      </c>
      <c r="C3334" t="s">
        <v>780</v>
      </c>
      <c r="D3334" t="s">
        <v>221</v>
      </c>
      <c r="E3334" t="s">
        <v>59</v>
      </c>
      <c r="F3334">
        <v>29</v>
      </c>
      <c r="J3334" s="14" t="str">
        <f>_xlfn.XLOOKUP(B3334,CAD_PDV!A:A,CAD_PDV!B:B)</f>
        <v>AMERICOM COMERCIO DE APARELHOS ELETRONICOS LTDA - EPP</v>
      </c>
      <c r="K3334" s="14">
        <f>IF(IFERROR(_xlfn.XLOOKUP(B3334,Planilha2!D:D,Planilha2!H:H),0)="SIM",1,0)</f>
        <v>0</v>
      </c>
      <c r="L3334" s="14" t="str">
        <f>_xlfn.XLOOKUP(B3334,CAD_PDV!A:A,CAD_PDV!C:C)</f>
        <v>CO</v>
      </c>
      <c r="M3334" s="14" t="str">
        <f>IFERROR(_xlfn.XLOOKUP(B3334,repete!A:A,repete!A:A),"-")</f>
        <v>-</v>
      </c>
    </row>
    <row r="3335" spans="1:13">
      <c r="A3335" s="1">
        <v>46235</v>
      </c>
      <c r="B3335" t="s">
        <v>698</v>
      </c>
      <c r="C3335" t="s">
        <v>699</v>
      </c>
      <c r="D3335" t="s">
        <v>159</v>
      </c>
      <c r="E3335" t="s">
        <v>59</v>
      </c>
      <c r="F3335">
        <v>42</v>
      </c>
      <c r="J3335" s="14" t="str">
        <f>_xlfn.XLOOKUP(B3335,CAD_PDV!A:A,CAD_PDV!B:B)</f>
        <v>M JHUAN COMERCIO E SERVICOS DE CELU</v>
      </c>
      <c r="K3335" s="14">
        <f>IF(IFERROR(_xlfn.XLOOKUP(B3335,Planilha2!D:D,Planilha2!H:H),0)="SIM",1,0)</f>
        <v>1</v>
      </c>
      <c r="L3335" s="14" t="str">
        <f>_xlfn.XLOOKUP(B3335,CAD_PDV!A:A,CAD_PDV!C:C)</f>
        <v>CO</v>
      </c>
      <c r="M3335" s="14" t="str">
        <f>IFERROR(_xlfn.XLOOKUP(B3335,repete!A:A,repete!A:A),"-")</f>
        <v>-</v>
      </c>
    </row>
    <row r="3336" spans="1:13">
      <c r="A3336" s="1">
        <v>46235</v>
      </c>
      <c r="B3336" t="s">
        <v>357</v>
      </c>
      <c r="C3336" t="s">
        <v>358</v>
      </c>
      <c r="D3336" t="s">
        <v>230</v>
      </c>
      <c r="E3336" t="s">
        <v>61</v>
      </c>
      <c r="F3336">
        <v>16</v>
      </c>
      <c r="J3336" s="14" t="str">
        <f>_xlfn.XLOOKUP(B3336,CAD_PDV!A:A,CAD_PDV!B:B)</f>
        <v>HARCOS COMERCIO E SERVICOS LTDA - EPP</v>
      </c>
      <c r="K3336" s="14">
        <f>IF(IFERROR(_xlfn.XLOOKUP(B3336,Planilha2!D:D,Planilha2!H:H),0)="SIM",1,0)</f>
        <v>0</v>
      </c>
      <c r="L3336" s="14" t="str">
        <f>_xlfn.XLOOKUP(B3336,CAD_PDV!A:A,CAD_PDV!C:C)</f>
        <v>NE</v>
      </c>
      <c r="M3336" s="14" t="str">
        <f>IFERROR(_xlfn.XLOOKUP(B3336,repete!A:A,repete!A:A),"-")</f>
        <v>-</v>
      </c>
    </row>
    <row r="3337" spans="1:13">
      <c r="A3337" s="1">
        <v>46235</v>
      </c>
      <c r="B3337" t="s">
        <v>809</v>
      </c>
      <c r="C3337" t="s">
        <v>810</v>
      </c>
      <c r="D3337" t="s">
        <v>182</v>
      </c>
      <c r="E3337" t="s">
        <v>59</v>
      </c>
      <c r="F3337">
        <v>2</v>
      </c>
      <c r="J3337" s="14" t="str">
        <f>_xlfn.XLOOKUP(B3337,CAD_PDV!A:A,CAD_PDV!B:B)</f>
        <v>QUALITY SERVICE ASSESSORIA TECNICA LTDA</v>
      </c>
      <c r="K3337" s="14">
        <f>IF(IFERROR(_xlfn.XLOOKUP(B3337,Planilha2!D:D,Planilha2!H:H),0)="SIM",1,0)</f>
        <v>0</v>
      </c>
      <c r="L3337" s="14" t="str">
        <f>_xlfn.XLOOKUP(B3337,CAD_PDV!A:A,CAD_PDV!C:C)</f>
        <v>CO</v>
      </c>
      <c r="M3337" s="14" t="str">
        <f>IFERROR(_xlfn.XLOOKUP(B3337,repete!A:A,repete!A:A),"-")</f>
        <v>-</v>
      </c>
    </row>
    <row r="3338" spans="1:13">
      <c r="A3338" s="1">
        <v>46235</v>
      </c>
      <c r="B3338" t="s">
        <v>450</v>
      </c>
      <c r="C3338" t="s">
        <v>430</v>
      </c>
      <c r="D3338" t="s">
        <v>228</v>
      </c>
      <c r="E3338" t="s">
        <v>56</v>
      </c>
      <c r="F3338">
        <v>22</v>
      </c>
      <c r="J3338" s="14" t="str">
        <f>_xlfn.XLOOKUP(B3338,CAD_PDV!A:A,CAD_PDV!B:B)</f>
        <v>FAJULUTI</v>
      </c>
      <c r="K3338" s="14">
        <f>IF(IFERROR(_xlfn.XLOOKUP(B3338,Planilha2!D:D,Planilha2!H:H),0)="SIM",1,0)</f>
        <v>0</v>
      </c>
      <c r="L3338" s="14" t="str">
        <f>_xlfn.XLOOKUP(B3338,CAD_PDV!A:A,CAD_PDV!C:C)</f>
        <v>MG</v>
      </c>
      <c r="M3338" s="14" t="str">
        <f>IFERROR(_xlfn.XLOOKUP(B3338,repete!A:A,repete!A:A),"-")</f>
        <v>-</v>
      </c>
    </row>
    <row r="3339" spans="1:13">
      <c r="A3339" s="1">
        <v>46235</v>
      </c>
      <c r="B3339" t="s">
        <v>514</v>
      </c>
      <c r="C3339" t="s">
        <v>515</v>
      </c>
      <c r="D3339" t="s">
        <v>239</v>
      </c>
      <c r="E3339" t="s">
        <v>56</v>
      </c>
      <c r="F3339">
        <v>19</v>
      </c>
      <c r="J3339" s="14" t="str">
        <f>_xlfn.XLOOKUP(B3339,CAD_PDV!A:A,CAD_PDV!B:B)</f>
        <v>TELECELL TELEFONIA LTDA - ME</v>
      </c>
      <c r="K3339" s="14">
        <f>IF(IFERROR(_xlfn.XLOOKUP(B3339,Planilha2!D:D,Planilha2!H:H),0)="SIM",1,0)</f>
        <v>0</v>
      </c>
      <c r="L3339" s="14" t="str">
        <f>_xlfn.XLOOKUP(B3339,CAD_PDV!A:A,CAD_PDV!C:C)</f>
        <v>MG</v>
      </c>
      <c r="M3339" s="14" t="str">
        <f>IFERROR(_xlfn.XLOOKUP(B3339,repete!A:A,repete!A:A),"-")</f>
        <v>-</v>
      </c>
    </row>
    <row r="3340" spans="1:13">
      <c r="A3340" s="1">
        <v>46235</v>
      </c>
      <c r="B3340" t="s">
        <v>1020</v>
      </c>
      <c r="C3340" t="s">
        <v>1021</v>
      </c>
      <c r="D3340" t="s">
        <v>217</v>
      </c>
      <c r="E3340" t="s">
        <v>60</v>
      </c>
      <c r="F3340">
        <v>10</v>
      </c>
      <c r="J3340" s="14" t="str">
        <f>_xlfn.XLOOKUP(B3340,CAD_PDV!A:A,CAD_PDV!B:B)</f>
        <v>VIAFONE COMERCIO DE ELETRO ELETRONI</v>
      </c>
      <c r="K3340" s="14">
        <f>IF(IFERROR(_xlfn.XLOOKUP(B3340,Planilha2!D:D,Planilha2!H:H),0)="SIM",1,0)</f>
        <v>0</v>
      </c>
      <c r="L3340" s="14" t="str">
        <f>_xlfn.XLOOKUP(B3340,CAD_PDV!A:A,CAD_PDV!C:C)</f>
        <v>BA/SE</v>
      </c>
      <c r="M3340" s="14" t="str">
        <f>IFERROR(_xlfn.XLOOKUP(B3340,repete!A:A,repete!A:A),"-")</f>
        <v>-</v>
      </c>
    </row>
    <row r="3341" spans="1:13">
      <c r="A3341" s="1">
        <v>46235</v>
      </c>
      <c r="B3341" t="s">
        <v>1622</v>
      </c>
      <c r="C3341" t="s">
        <v>1623</v>
      </c>
      <c r="D3341" t="s">
        <v>112</v>
      </c>
      <c r="E3341" t="s">
        <v>54</v>
      </c>
      <c r="F3341">
        <v>13</v>
      </c>
      <c r="J3341" s="14" t="str">
        <f>_xlfn.XLOOKUP(B3341,CAD_PDV!A:A,CAD_PDV!B:B)</f>
        <v>CONVERGE.NET REPRESENTACOES COMERCIAIS LTDA - EPP</v>
      </c>
      <c r="K3341" s="14">
        <f>IF(IFERROR(_xlfn.XLOOKUP(B3341,Planilha2!D:D,Planilha2!H:H),0)="SIM",1,0)</f>
        <v>0</v>
      </c>
      <c r="L3341" s="14" t="str">
        <f>_xlfn.XLOOKUP(B3341,CAD_PDV!A:A,CAD_PDV!C:C)</f>
        <v>SP2</v>
      </c>
      <c r="M3341" s="14" t="str">
        <f>IFERROR(_xlfn.XLOOKUP(B3341,repete!A:A,repete!A:A),"-")</f>
        <v>-</v>
      </c>
    </row>
    <row r="3342" spans="1:13">
      <c r="A3342" s="1">
        <v>46235</v>
      </c>
      <c r="B3342" t="s">
        <v>359</v>
      </c>
      <c r="C3342" t="s">
        <v>360</v>
      </c>
      <c r="D3342" t="s">
        <v>227</v>
      </c>
      <c r="E3342" t="s">
        <v>61</v>
      </c>
      <c r="F3342">
        <v>4</v>
      </c>
      <c r="J3342" s="14" t="str">
        <f>_xlfn.XLOOKUP(B3342,CAD_PDV!A:A,CAD_PDV!B:B)</f>
        <v>E-MEAN SERVICOS DE MARKETING DIRETO LTDA</v>
      </c>
      <c r="K3342" s="14">
        <f>IF(IFERROR(_xlfn.XLOOKUP(B3342,Planilha2!D:D,Planilha2!H:H),0)="SIM",1,0)</f>
        <v>0</v>
      </c>
      <c r="L3342" s="14" t="str">
        <f>_xlfn.XLOOKUP(B3342,CAD_PDV!A:A,CAD_PDV!C:C)</f>
        <v>NE</v>
      </c>
      <c r="M3342" s="14" t="str">
        <f>IFERROR(_xlfn.XLOOKUP(B3342,repete!A:A,repete!A:A),"-")</f>
        <v>-</v>
      </c>
    </row>
    <row r="3343" spans="1:13">
      <c r="A3343" s="1">
        <v>46235</v>
      </c>
      <c r="B3343" t="s">
        <v>1384</v>
      </c>
      <c r="C3343" t="s">
        <v>1385</v>
      </c>
      <c r="D3343" t="s">
        <v>157</v>
      </c>
      <c r="E3343" t="s">
        <v>53</v>
      </c>
      <c r="F3343">
        <v>37</v>
      </c>
      <c r="J3343" s="14" t="str">
        <f>_xlfn.XLOOKUP(B3343,CAD_PDV!A:A,CAD_PDV!B:B)</f>
        <v>LINK TELECOM COMERCIO DE CELULARES LTDA - ME</v>
      </c>
      <c r="K3343" s="14">
        <f>IF(IFERROR(_xlfn.XLOOKUP(B3343,Planilha2!D:D,Planilha2!H:H),0)="SIM",1,0)</f>
        <v>0</v>
      </c>
      <c r="L3343" s="14" t="str">
        <f>_xlfn.XLOOKUP(B3343,CAD_PDV!A:A,CAD_PDV!C:C)</f>
        <v>SP1</v>
      </c>
      <c r="M3343" s="14" t="str">
        <f>IFERROR(_xlfn.XLOOKUP(B3343,repete!A:A,repete!A:A),"-")</f>
        <v>-</v>
      </c>
    </row>
    <row r="3344" spans="1:13">
      <c r="A3344" s="1">
        <v>46235</v>
      </c>
      <c r="B3344" t="s">
        <v>1248</v>
      </c>
      <c r="C3344" t="s">
        <v>1148</v>
      </c>
      <c r="D3344" t="s">
        <v>125</v>
      </c>
      <c r="E3344" t="s">
        <v>55</v>
      </c>
      <c r="F3344">
        <v>29</v>
      </c>
      <c r="J3344" s="14" t="str">
        <f>_xlfn.XLOOKUP(B3344,CAD_PDV!A:A,CAD_PDV!B:B)</f>
        <v>ELETRO CENTER</v>
      </c>
      <c r="K3344" s="14">
        <f>IF(IFERROR(_xlfn.XLOOKUP(B3344,Planilha2!D:D,Planilha2!H:H),0)="SIM",1,0)</f>
        <v>0</v>
      </c>
      <c r="L3344" s="14" t="str">
        <f>_xlfn.XLOOKUP(B3344,CAD_PDV!A:A,CAD_PDV!C:C)</f>
        <v>RJ/ES</v>
      </c>
      <c r="M3344" s="14" t="str">
        <f>IFERROR(_xlfn.XLOOKUP(B3344,repete!A:A,repete!A:A),"-")</f>
        <v>-</v>
      </c>
    </row>
    <row r="3345" spans="1:13">
      <c r="A3345" s="1">
        <v>46235</v>
      </c>
      <c r="B3345" t="s">
        <v>579</v>
      </c>
      <c r="C3345" t="s">
        <v>580</v>
      </c>
      <c r="D3345" t="s">
        <v>106</v>
      </c>
      <c r="E3345" t="s">
        <v>56</v>
      </c>
      <c r="F3345">
        <v>2</v>
      </c>
      <c r="J3345" s="14" t="str">
        <f>_xlfn.XLOOKUP(B3345,CAD_PDV!A:A,CAD_PDV!B:B)</f>
        <v>CELLULAR.COM</v>
      </c>
      <c r="K3345" s="14">
        <f>IF(IFERROR(_xlfn.XLOOKUP(B3345,Planilha2!D:D,Planilha2!H:H),0)="SIM",1,0)</f>
        <v>0</v>
      </c>
      <c r="L3345" s="14" t="str">
        <f>_xlfn.XLOOKUP(B3345,CAD_PDV!A:A,CAD_PDV!C:C)</f>
        <v>MG</v>
      </c>
      <c r="M3345" s="14" t="str">
        <f>IFERROR(_xlfn.XLOOKUP(B3345,repete!A:A,repete!A:A),"-")</f>
        <v>-</v>
      </c>
    </row>
    <row r="3346" spans="1:13">
      <c r="A3346" s="1">
        <v>46235</v>
      </c>
      <c r="B3346" t="s">
        <v>541</v>
      </c>
      <c r="C3346" t="s">
        <v>542</v>
      </c>
      <c r="D3346" t="s">
        <v>106</v>
      </c>
      <c r="E3346" t="s">
        <v>56</v>
      </c>
      <c r="F3346">
        <v>10</v>
      </c>
      <c r="J3346" s="14" t="str">
        <f>_xlfn.XLOOKUP(B3346,CAD_PDV!A:A,CAD_PDV!B:B)</f>
        <v>CELLULAR.COM</v>
      </c>
      <c r="K3346" s="14">
        <f>IF(IFERROR(_xlfn.XLOOKUP(B3346,Planilha2!D:D,Planilha2!H:H),0)="SIM",1,0)</f>
        <v>0</v>
      </c>
      <c r="L3346" s="14" t="str">
        <f>_xlfn.XLOOKUP(B3346,CAD_PDV!A:A,CAD_PDV!C:C)</f>
        <v>MG</v>
      </c>
      <c r="M3346" s="14" t="str">
        <f>IFERROR(_xlfn.XLOOKUP(B3346,repete!A:A,repete!A:A),"-")</f>
        <v>-</v>
      </c>
    </row>
    <row r="3347" spans="1:13">
      <c r="A3347" s="1">
        <v>46235</v>
      </c>
      <c r="B3347" t="s">
        <v>555</v>
      </c>
      <c r="C3347" t="s">
        <v>433</v>
      </c>
      <c r="D3347" t="s">
        <v>201</v>
      </c>
      <c r="E3347" t="s">
        <v>56</v>
      </c>
      <c r="F3347">
        <v>14</v>
      </c>
      <c r="J3347" s="14" t="str">
        <f>_xlfn.XLOOKUP(B3347,CAD_PDV!A:A,CAD_PDV!B:B)</f>
        <v>SOLAR COMERCIO E SERVICOS DE TELEFONIA LTDA - ME</v>
      </c>
      <c r="K3347" s="14">
        <f>IF(IFERROR(_xlfn.XLOOKUP(B3347,Planilha2!D:D,Planilha2!H:H),0)="SIM",1,0)</f>
        <v>0</v>
      </c>
      <c r="L3347" s="14" t="str">
        <f>_xlfn.XLOOKUP(B3347,CAD_PDV!A:A,CAD_PDV!C:C)</f>
        <v>MG</v>
      </c>
      <c r="M3347" s="14" t="str">
        <f>IFERROR(_xlfn.XLOOKUP(B3347,repete!A:A,repete!A:A),"-")</f>
        <v>-</v>
      </c>
    </row>
    <row r="3348" spans="1:13">
      <c r="A3348" s="1">
        <v>46235</v>
      </c>
      <c r="B3348" t="s">
        <v>452</v>
      </c>
      <c r="C3348" t="s">
        <v>455</v>
      </c>
      <c r="D3348" t="s">
        <v>94</v>
      </c>
      <c r="E3348" t="s">
        <v>56</v>
      </c>
      <c r="F3348">
        <v>38</v>
      </c>
      <c r="J3348" s="14" t="str">
        <f>_xlfn.XLOOKUP(B3348,CAD_PDV!A:A,CAD_PDV!B:B)</f>
        <v>ATENDE CELULAR LTDA - ME</v>
      </c>
      <c r="K3348" s="14">
        <f>IF(IFERROR(_xlfn.XLOOKUP(B3348,Planilha2!D:D,Planilha2!H:H),0)="SIM",1,0)</f>
        <v>0</v>
      </c>
      <c r="L3348" s="14" t="str">
        <f>_xlfn.XLOOKUP(B3348,CAD_PDV!A:A,CAD_PDV!C:C)</f>
        <v>MG</v>
      </c>
      <c r="M3348" s="14" t="str">
        <f>IFERROR(_xlfn.XLOOKUP(B3348,repete!A:A,repete!A:A),"-")</f>
        <v>-</v>
      </c>
    </row>
    <row r="3349" spans="1:13">
      <c r="A3349" s="1">
        <v>46235</v>
      </c>
      <c r="B3349" t="s">
        <v>1401</v>
      </c>
      <c r="C3349" t="s">
        <v>1402</v>
      </c>
      <c r="D3349" t="s">
        <v>106</v>
      </c>
      <c r="E3349" t="s">
        <v>53</v>
      </c>
      <c r="F3349">
        <v>17</v>
      </c>
      <c r="J3349" s="14" t="str">
        <f>_xlfn.XLOOKUP(B3349,CAD_PDV!A:A,CAD_PDV!B:B)</f>
        <v>CELLULAR.COM</v>
      </c>
      <c r="K3349" s="14">
        <f>IF(IFERROR(_xlfn.XLOOKUP(B3349,Planilha2!D:D,Planilha2!H:H),0)="SIM",1,0)</f>
        <v>0</v>
      </c>
      <c r="L3349" s="14" t="str">
        <f>_xlfn.XLOOKUP(B3349,CAD_PDV!A:A,CAD_PDV!C:C)</f>
        <v>SP1</v>
      </c>
      <c r="M3349" s="14" t="str">
        <f>IFERROR(_xlfn.XLOOKUP(B3349,repete!A:A,repete!A:A),"-")</f>
        <v>-</v>
      </c>
    </row>
    <row r="3350" spans="1:13">
      <c r="A3350" s="1">
        <v>46235</v>
      </c>
      <c r="B3350" t="s">
        <v>1088</v>
      </c>
      <c r="C3350" t="s">
        <v>1089</v>
      </c>
      <c r="D3350" t="s">
        <v>187</v>
      </c>
      <c r="E3350" t="s">
        <v>62</v>
      </c>
      <c r="F3350">
        <v>4</v>
      </c>
      <c r="J3350" s="14" t="str">
        <f>_xlfn.XLOOKUP(B3350,CAD_PDV!A:A,CAD_PDV!B:B)</f>
        <v>R. DA SILVA SARAIVA</v>
      </c>
      <c r="K3350" s="14">
        <f>IF(IFERROR(_xlfn.XLOOKUP(B3350,Planilha2!D:D,Planilha2!H:H),0)="SIM",1,0)</f>
        <v>0</v>
      </c>
      <c r="L3350" s="14" t="str">
        <f>_xlfn.XLOOKUP(B3350,CAD_PDV!A:A,CAD_PDV!C:C)</f>
        <v>NO</v>
      </c>
      <c r="M3350" s="14" t="str">
        <f>IFERROR(_xlfn.XLOOKUP(B3350,repete!A:A,repete!A:A),"-")</f>
        <v>-</v>
      </c>
    </row>
    <row r="3351" spans="1:13">
      <c r="A3351" s="1">
        <v>46235</v>
      </c>
      <c r="B3351" t="s">
        <v>1627</v>
      </c>
      <c r="C3351" t="s">
        <v>1628</v>
      </c>
      <c r="D3351" t="s">
        <v>106</v>
      </c>
      <c r="E3351" t="s">
        <v>54</v>
      </c>
      <c r="F3351">
        <v>13</v>
      </c>
      <c r="J3351" s="14" t="str">
        <f>_xlfn.XLOOKUP(B3351,CAD_PDV!A:A,CAD_PDV!B:B)</f>
        <v>CELLULAR.COM</v>
      </c>
      <c r="K3351" s="14">
        <f>IF(IFERROR(_xlfn.XLOOKUP(B3351,Planilha2!D:D,Planilha2!H:H),0)="SIM",1,0)</f>
        <v>0</v>
      </c>
      <c r="L3351" s="14" t="str">
        <f>_xlfn.XLOOKUP(B3351,CAD_PDV!A:A,CAD_PDV!C:C)</f>
        <v>SP2</v>
      </c>
      <c r="M3351" s="14" t="str">
        <f>IFERROR(_xlfn.XLOOKUP(B3351,repete!A:A,repete!A:A),"-")</f>
        <v>-</v>
      </c>
    </row>
    <row r="3352" spans="1:13">
      <c r="A3352" s="1">
        <v>46235</v>
      </c>
      <c r="B3352" t="s">
        <v>281</v>
      </c>
      <c r="C3352" t="s">
        <v>283</v>
      </c>
      <c r="D3352" t="s">
        <v>195</v>
      </c>
      <c r="E3352" t="s">
        <v>61</v>
      </c>
      <c r="F3352">
        <v>23</v>
      </c>
      <c r="J3352" s="14" t="str">
        <f>_xlfn.XLOOKUP(B3352,CAD_PDV!A:A,CAD_PDV!B:B)</f>
        <v>SANTOS E TENORIO TELECOM LTDA</v>
      </c>
      <c r="K3352" s="14">
        <f>IF(IFERROR(_xlfn.XLOOKUP(B3352,Planilha2!D:D,Planilha2!H:H),0)="SIM",1,0)</f>
        <v>0</v>
      </c>
      <c r="L3352" s="14" t="str">
        <f>_xlfn.XLOOKUP(B3352,CAD_PDV!A:A,CAD_PDV!C:C)</f>
        <v>NE</v>
      </c>
      <c r="M3352" s="14" t="str">
        <f>IFERROR(_xlfn.XLOOKUP(B3352,repete!A:A,repete!A:A),"-")</f>
        <v>-</v>
      </c>
    </row>
    <row r="3353" spans="1:13">
      <c r="A3353" s="1">
        <v>46235</v>
      </c>
      <c r="B3353" t="s">
        <v>361</v>
      </c>
      <c r="C3353" t="s">
        <v>362</v>
      </c>
      <c r="D3353" t="s">
        <v>226</v>
      </c>
      <c r="E3353" t="s">
        <v>61</v>
      </c>
      <c r="F3353">
        <v>2</v>
      </c>
      <c r="J3353" s="14" t="str">
        <f>_xlfn.XLOOKUP(B3353,CAD_PDV!A:A,CAD_PDV!B:B)</f>
        <v>DELTA CELL TELECOMUNICACOES LTDA</v>
      </c>
      <c r="K3353" s="14">
        <f>IF(IFERROR(_xlfn.XLOOKUP(B3353,Planilha2!D:D,Planilha2!H:H),0)="SIM",1,0)</f>
        <v>0</v>
      </c>
      <c r="L3353" s="14" t="str">
        <f>_xlfn.XLOOKUP(B3353,CAD_PDV!A:A,CAD_PDV!C:C)</f>
        <v>NE</v>
      </c>
      <c r="M3353" s="14" t="str">
        <f>IFERROR(_xlfn.XLOOKUP(B3353,repete!A:A,repete!A:A),"-")</f>
        <v>-</v>
      </c>
    </row>
    <row r="3354" spans="1:13">
      <c r="A3354" s="1">
        <v>46235</v>
      </c>
      <c r="B3354" t="s">
        <v>363</v>
      </c>
      <c r="C3354" t="s">
        <v>335</v>
      </c>
      <c r="D3354" t="s">
        <v>141</v>
      </c>
      <c r="E3354" t="s">
        <v>61</v>
      </c>
      <c r="F3354">
        <v>10</v>
      </c>
      <c r="J3354" s="14" t="str">
        <f>_xlfn.XLOOKUP(B3354,CAD_PDV!A:A,CAD_PDV!B:B)</f>
        <v>ICARO CARVALHO CAVALCANTE</v>
      </c>
      <c r="K3354" s="14">
        <f>IF(IFERROR(_xlfn.XLOOKUP(B3354,Planilha2!D:D,Planilha2!H:H),0)="SIM",1,0)</f>
        <v>0</v>
      </c>
      <c r="L3354" s="14" t="str">
        <f>_xlfn.XLOOKUP(B3354,CAD_PDV!A:A,CAD_PDV!C:C)</f>
        <v>NE</v>
      </c>
      <c r="M3354" s="14" t="str">
        <f>IFERROR(_xlfn.XLOOKUP(B3354,repete!A:A,repete!A:A),"-")</f>
        <v>-</v>
      </c>
    </row>
    <row r="3355" spans="1:13">
      <c r="A3355" s="1">
        <v>46235</v>
      </c>
      <c r="B3355" t="s">
        <v>467</v>
      </c>
      <c r="C3355" t="s">
        <v>430</v>
      </c>
      <c r="D3355" t="s">
        <v>106</v>
      </c>
      <c r="E3355" t="s">
        <v>56</v>
      </c>
      <c r="F3355">
        <v>44</v>
      </c>
      <c r="J3355" s="14" t="str">
        <f>_xlfn.XLOOKUP(B3355,CAD_PDV!A:A,CAD_PDV!B:B)</f>
        <v>CELLULAR.COM</v>
      </c>
      <c r="K3355" s="14">
        <f>IF(IFERROR(_xlfn.XLOOKUP(B3355,Planilha2!D:D,Planilha2!H:H),0)="SIM",1,0)</f>
        <v>0</v>
      </c>
      <c r="L3355" s="14" t="str">
        <f>_xlfn.XLOOKUP(B3355,CAD_PDV!A:A,CAD_PDV!C:C)</f>
        <v>MG</v>
      </c>
      <c r="M3355" s="14" t="str">
        <f>IFERROR(_xlfn.XLOOKUP(B3355,repete!A:A,repete!A:A),"-")</f>
        <v>-</v>
      </c>
    </row>
    <row r="3356" spans="1:13">
      <c r="A3356" s="1">
        <v>46235</v>
      </c>
      <c r="B3356" t="s">
        <v>1111</v>
      </c>
      <c r="C3356" t="s">
        <v>1112</v>
      </c>
      <c r="D3356" t="s">
        <v>143</v>
      </c>
      <c r="E3356" t="s">
        <v>62</v>
      </c>
      <c r="F3356">
        <v>5</v>
      </c>
      <c r="J3356" s="14" t="str">
        <f>_xlfn.XLOOKUP(B3356,CAD_PDV!A:A,CAD_PDV!B:B)</f>
        <v>INOVACELL LTDA</v>
      </c>
      <c r="K3356" s="14">
        <f>IF(IFERROR(_xlfn.XLOOKUP(B3356,Planilha2!D:D,Planilha2!H:H),0)="SIM",1,0)</f>
        <v>0</v>
      </c>
      <c r="L3356" s="14" t="str">
        <f>_xlfn.XLOOKUP(B3356,CAD_PDV!A:A,CAD_PDV!C:C)</f>
        <v>NO</v>
      </c>
      <c r="M3356" s="14" t="str">
        <f>IFERROR(_xlfn.XLOOKUP(B3356,repete!A:A,repete!A:A),"-")</f>
        <v>-</v>
      </c>
    </row>
    <row r="3357" spans="1:13">
      <c r="A3357" s="1">
        <v>46235</v>
      </c>
      <c r="B3357" t="s">
        <v>556</v>
      </c>
      <c r="C3357" t="s">
        <v>546</v>
      </c>
      <c r="D3357" t="s">
        <v>167</v>
      </c>
      <c r="E3357" t="s">
        <v>56</v>
      </c>
      <c r="F3357">
        <v>27</v>
      </c>
      <c r="J3357" s="14" t="str">
        <f>_xlfn.XLOOKUP(B3357,CAD_PDV!A:A,CAD_PDV!B:B)</f>
        <v>MAXMILIANO RODRIGUES</v>
      </c>
      <c r="K3357" s="14">
        <f>IF(IFERROR(_xlfn.XLOOKUP(B3357,Planilha2!D:D,Planilha2!H:H),0)="SIM",1,0)</f>
        <v>0</v>
      </c>
      <c r="L3357" s="14" t="str">
        <f>_xlfn.XLOOKUP(B3357,CAD_PDV!A:A,CAD_PDV!C:C)</f>
        <v>MG</v>
      </c>
      <c r="M3357" s="14" t="str">
        <f>IFERROR(_xlfn.XLOOKUP(B3357,repete!A:A,repete!A:A),"-")</f>
        <v>-</v>
      </c>
    </row>
    <row r="3358" spans="1:13">
      <c r="A3358" s="1">
        <v>46235</v>
      </c>
      <c r="B3358" t="s">
        <v>1249</v>
      </c>
      <c r="C3358" t="s">
        <v>1250</v>
      </c>
      <c r="D3358" t="s">
        <v>202</v>
      </c>
      <c r="E3358" t="s">
        <v>55</v>
      </c>
      <c r="F3358">
        <v>24</v>
      </c>
      <c r="J3358" s="14" t="str">
        <f>_xlfn.XLOOKUP(B3358,CAD_PDV!A:A,CAD_PDV!B:B)</f>
        <v>SOLAR TELECOMUNICACOES LTDA</v>
      </c>
      <c r="K3358" s="14">
        <f>IF(IFERROR(_xlfn.XLOOKUP(B3358,Planilha2!D:D,Planilha2!H:H),0)="SIM",1,0)</f>
        <v>0</v>
      </c>
      <c r="L3358" s="14" t="str">
        <f>_xlfn.XLOOKUP(B3358,CAD_PDV!A:A,CAD_PDV!C:C)</f>
        <v>RJ/ES</v>
      </c>
      <c r="M3358" s="14" t="str">
        <f>IFERROR(_xlfn.XLOOKUP(B3358,repete!A:A,repete!A:A),"-")</f>
        <v>-</v>
      </c>
    </row>
    <row r="3359" spans="1:13">
      <c r="A3359" s="1">
        <v>46235</v>
      </c>
      <c r="B3359" t="s">
        <v>557</v>
      </c>
      <c r="C3359" t="s">
        <v>558</v>
      </c>
      <c r="D3359" t="s">
        <v>129</v>
      </c>
      <c r="E3359" t="s">
        <v>56</v>
      </c>
      <c r="F3359">
        <v>35</v>
      </c>
      <c r="J3359" s="14" t="str">
        <f>_xlfn.XLOOKUP(B3359,CAD_PDV!A:A,CAD_PDV!B:B)</f>
        <v>EXTRA CELULARES LTDA</v>
      </c>
      <c r="K3359" s="14">
        <f>IF(IFERROR(_xlfn.XLOOKUP(B3359,Planilha2!D:D,Planilha2!H:H),0)="SIM",1,0)</f>
        <v>0</v>
      </c>
      <c r="L3359" s="14" t="str">
        <f>_xlfn.XLOOKUP(B3359,CAD_PDV!A:A,CAD_PDV!C:C)</f>
        <v>MG</v>
      </c>
      <c r="M3359" s="14" t="str">
        <f>IFERROR(_xlfn.XLOOKUP(B3359,repete!A:A,repete!A:A),"-")</f>
        <v>-</v>
      </c>
    </row>
    <row r="3360" spans="1:13">
      <c r="A3360" s="1">
        <v>46235</v>
      </c>
      <c r="B3360" t="s">
        <v>364</v>
      </c>
      <c r="C3360" t="s">
        <v>288</v>
      </c>
      <c r="D3360" t="s">
        <v>196</v>
      </c>
      <c r="E3360" t="s">
        <v>61</v>
      </c>
      <c r="F3360">
        <v>43</v>
      </c>
      <c r="J3360" s="14" t="str">
        <f>_xlfn.XLOOKUP(B3360,CAD_PDV!A:A,CAD_PDV!B:B)</f>
        <v>SELF COMERCIO E SERVICOS EM TELEFON</v>
      </c>
      <c r="K3360" s="14">
        <f>IF(IFERROR(_xlfn.XLOOKUP(B3360,Planilha2!D:D,Planilha2!H:H),0)="SIM",1,0)</f>
        <v>0</v>
      </c>
      <c r="L3360" s="14" t="str">
        <f>_xlfn.XLOOKUP(B3360,CAD_PDV!A:A,CAD_PDV!C:C)</f>
        <v>NE</v>
      </c>
      <c r="M3360" s="14" t="str">
        <f>IFERROR(_xlfn.XLOOKUP(B3360,repete!A:A,repete!A:A),"-")</f>
        <v>-</v>
      </c>
    </row>
    <row r="3361" spans="1:13">
      <c r="A3361" s="1">
        <v>46235</v>
      </c>
      <c r="B3361" t="s">
        <v>1022</v>
      </c>
      <c r="C3361" t="s">
        <v>992</v>
      </c>
      <c r="D3361" t="s">
        <v>101</v>
      </c>
      <c r="E3361" t="s">
        <v>60</v>
      </c>
      <c r="F3361">
        <v>34</v>
      </c>
      <c r="J3361" s="14" t="str">
        <f>_xlfn.XLOOKUP(B3361,CAD_PDV!A:A,CAD_PDV!B:B)</f>
        <v>CAMILA TAMBONE DE ALMEIDA EIRELI - EPP</v>
      </c>
      <c r="K3361" s="14">
        <f>IF(IFERROR(_xlfn.XLOOKUP(B3361,Planilha2!D:D,Planilha2!H:H),0)="SIM",1,0)</f>
        <v>0</v>
      </c>
      <c r="L3361" s="14" t="str">
        <f>_xlfn.XLOOKUP(B3361,CAD_PDV!A:A,CAD_PDV!C:C)</f>
        <v>BA/SE</v>
      </c>
      <c r="M3361" s="14" t="str">
        <f>IFERROR(_xlfn.XLOOKUP(B3361,repete!A:A,repete!A:A),"-")</f>
        <v>-</v>
      </c>
    </row>
    <row r="3362" spans="1:13">
      <c r="A3362" s="1">
        <v>46235</v>
      </c>
      <c r="B3362" t="s">
        <v>559</v>
      </c>
      <c r="C3362" t="s">
        <v>483</v>
      </c>
      <c r="D3362" t="s">
        <v>213</v>
      </c>
      <c r="E3362" t="s">
        <v>56</v>
      </c>
      <c r="F3362">
        <v>18</v>
      </c>
      <c r="J3362" s="14" t="str">
        <f>_xlfn.XLOOKUP(B3362,CAD_PDV!A:A,CAD_PDV!B:B)</f>
        <v>TRIANGULO CELULARES LTDA</v>
      </c>
      <c r="K3362" s="14">
        <f>IF(IFERROR(_xlfn.XLOOKUP(B3362,Planilha2!D:D,Planilha2!H:H),0)="SIM",1,0)</f>
        <v>0</v>
      </c>
      <c r="L3362" s="14" t="str">
        <f>_xlfn.XLOOKUP(B3362,CAD_PDV!A:A,CAD_PDV!C:C)</f>
        <v>MG</v>
      </c>
      <c r="M3362" s="14" t="str">
        <f>IFERROR(_xlfn.XLOOKUP(B3362,repete!A:A,repete!A:A),"-")</f>
        <v>-</v>
      </c>
    </row>
    <row r="3363" spans="1:13">
      <c r="A3363" s="1">
        <v>46235</v>
      </c>
      <c r="B3363" t="s">
        <v>1068</v>
      </c>
      <c r="C3363" t="s">
        <v>1069</v>
      </c>
      <c r="D3363" t="s">
        <v>121</v>
      </c>
      <c r="E3363" t="s">
        <v>62</v>
      </c>
      <c r="F3363">
        <v>1</v>
      </c>
      <c r="J3363" s="14" t="str">
        <f>_xlfn.XLOOKUP(B3363,CAD_PDV!A:A,CAD_PDV!B:B)</f>
        <v>DSX TECH COMERCIO E SERVICOS LTDA</v>
      </c>
      <c r="K3363" s="14">
        <f>IF(IFERROR(_xlfn.XLOOKUP(B3363,Planilha2!D:D,Planilha2!H:H),0)="SIM",1,0)</f>
        <v>0</v>
      </c>
      <c r="L3363" s="14" t="str">
        <f>_xlfn.XLOOKUP(B3363,CAD_PDV!A:A,CAD_PDV!C:C)</f>
        <v>NO</v>
      </c>
      <c r="M3363" s="14" t="str">
        <f>IFERROR(_xlfn.XLOOKUP(B3363,repete!A:A,repete!A:A),"-")</f>
        <v>-</v>
      </c>
    </row>
    <row r="3364" spans="1:13">
      <c r="A3364" s="1">
        <v>46235</v>
      </c>
      <c r="B3364" t="s">
        <v>1023</v>
      </c>
      <c r="C3364" t="s">
        <v>995</v>
      </c>
      <c r="D3364" t="s">
        <v>151</v>
      </c>
      <c r="E3364" t="s">
        <v>60</v>
      </c>
      <c r="F3364">
        <v>46</v>
      </c>
      <c r="J3364" s="14" t="str">
        <f>_xlfn.XLOOKUP(B3364,CAD_PDV!A:A,CAD_PDV!B:B)</f>
        <v>JOSE ADALBERTO CERQUEIRA JUNIOR - ME</v>
      </c>
      <c r="K3364" s="14">
        <f>IF(IFERROR(_xlfn.XLOOKUP(B3364,Planilha2!D:D,Planilha2!H:H),0)="SIM",1,0)</f>
        <v>0</v>
      </c>
      <c r="L3364" s="14" t="str">
        <f>_xlfn.XLOOKUP(B3364,CAD_PDV!A:A,CAD_PDV!C:C)</f>
        <v>BA/SE</v>
      </c>
      <c r="M3364" s="14" t="str">
        <f>IFERROR(_xlfn.XLOOKUP(B3364,repete!A:A,repete!A:A),"-")</f>
        <v>-</v>
      </c>
    </row>
    <row r="3365" spans="1:13">
      <c r="A3365" s="1">
        <v>46235</v>
      </c>
      <c r="B3365" t="s">
        <v>1024</v>
      </c>
      <c r="C3365" t="s">
        <v>1025</v>
      </c>
      <c r="D3365" t="s">
        <v>222</v>
      </c>
      <c r="E3365" t="s">
        <v>60</v>
      </c>
      <c r="F3365">
        <v>3</v>
      </c>
      <c r="J3365" s="14" t="str">
        <f>_xlfn.XLOOKUP(B3365,CAD_PDV!A:A,CAD_PDV!B:B)</f>
        <v>ANCLA COMERCIO</v>
      </c>
      <c r="K3365" s="14">
        <f>IF(IFERROR(_xlfn.XLOOKUP(B3365,Planilha2!D:D,Planilha2!H:H),0)="SIM",1,0)</f>
        <v>0</v>
      </c>
      <c r="L3365" s="14" t="str">
        <f>_xlfn.XLOOKUP(B3365,CAD_PDV!A:A,CAD_PDV!C:C)</f>
        <v>BA/SE</v>
      </c>
      <c r="M3365" s="14" t="str">
        <f>IFERROR(_xlfn.XLOOKUP(B3365,repete!A:A,repete!A:A),"-")</f>
        <v>-</v>
      </c>
    </row>
    <row r="3366" spans="1:13">
      <c r="A3366" s="1">
        <v>46235</v>
      </c>
      <c r="B3366" t="s">
        <v>1633</v>
      </c>
      <c r="C3366" t="s">
        <v>1527</v>
      </c>
      <c r="D3366" t="s">
        <v>106</v>
      </c>
      <c r="E3366" t="s">
        <v>54</v>
      </c>
      <c r="F3366">
        <v>47</v>
      </c>
      <c r="J3366" s="14" t="str">
        <f>_xlfn.XLOOKUP(B3366,CAD_PDV!A:A,CAD_PDV!B:B)</f>
        <v>CELLULAR.COM</v>
      </c>
      <c r="K3366" s="14">
        <f>IF(IFERROR(_xlfn.XLOOKUP(B3366,Planilha2!D:D,Planilha2!H:H),0)="SIM",1,0)</f>
        <v>0</v>
      </c>
      <c r="L3366" s="14" t="str">
        <f>_xlfn.XLOOKUP(B3366,CAD_PDV!A:A,CAD_PDV!C:C)</f>
        <v>SP2</v>
      </c>
      <c r="M3366" s="14" t="str">
        <f>IFERROR(_xlfn.XLOOKUP(B3366,repete!A:A,repete!A:A),"-")</f>
        <v>-</v>
      </c>
    </row>
    <row r="3367" spans="1:13">
      <c r="A3367" s="1">
        <v>46235</v>
      </c>
      <c r="B3367" t="s">
        <v>700</v>
      </c>
      <c r="C3367" t="s">
        <v>702</v>
      </c>
      <c r="D3367" t="s">
        <v>145</v>
      </c>
      <c r="E3367" t="s">
        <v>59</v>
      </c>
      <c r="F3367">
        <v>5</v>
      </c>
      <c r="J3367" s="14" t="str">
        <f>_xlfn.XLOOKUP(B3367,CAD_PDV!A:A,CAD_PDV!B:B)</f>
        <v>J H R OLIVEIRA LTDA</v>
      </c>
      <c r="K3367" s="14">
        <f>IF(IFERROR(_xlfn.XLOOKUP(B3367,Planilha2!D:D,Planilha2!H:H),0)="SIM",1,0)</f>
        <v>0</v>
      </c>
      <c r="L3367" s="14" t="str">
        <f>_xlfn.XLOOKUP(B3367,CAD_PDV!A:A,CAD_PDV!C:C)</f>
        <v>CO</v>
      </c>
      <c r="M3367" s="14" t="str">
        <f>IFERROR(_xlfn.XLOOKUP(B3367,repete!A:A,repete!A:A),"-")</f>
        <v>-</v>
      </c>
    </row>
    <row r="3368" spans="1:13">
      <c r="A3368" s="1">
        <v>46235</v>
      </c>
      <c r="B3368" t="s">
        <v>560</v>
      </c>
      <c r="C3368" t="s">
        <v>561</v>
      </c>
      <c r="D3368" t="s">
        <v>201</v>
      </c>
      <c r="E3368" t="s">
        <v>56</v>
      </c>
      <c r="F3368">
        <v>1</v>
      </c>
      <c r="J3368" s="14" t="str">
        <f>_xlfn.XLOOKUP(B3368,CAD_PDV!A:A,CAD_PDV!B:B)</f>
        <v>SOLAR COMERCIO E SERVICOS DE TELEFONIA LTDA - ME</v>
      </c>
      <c r="K3368" s="14">
        <f>IF(IFERROR(_xlfn.XLOOKUP(B3368,Planilha2!D:D,Planilha2!H:H),0)="SIM",1,0)</f>
        <v>0</v>
      </c>
      <c r="L3368" s="14" t="str">
        <f>_xlfn.XLOOKUP(B3368,CAD_PDV!A:A,CAD_PDV!C:C)</f>
        <v>MG</v>
      </c>
      <c r="M3368" s="14" t="str">
        <f>IFERROR(_xlfn.XLOOKUP(B3368,repete!A:A,repete!A:A),"-")</f>
        <v>-</v>
      </c>
    </row>
    <row r="3369" spans="1:13">
      <c r="A3369" s="1">
        <v>46235</v>
      </c>
      <c r="B3369" t="s">
        <v>959</v>
      </c>
      <c r="C3369" t="s">
        <v>961</v>
      </c>
      <c r="D3369" t="s">
        <v>207</v>
      </c>
      <c r="E3369" t="s">
        <v>60</v>
      </c>
      <c r="F3369">
        <v>22</v>
      </c>
      <c r="J3369" s="14" t="str">
        <f>_xlfn.XLOOKUP(B3369,CAD_PDV!A:A,CAD_PDV!B:B)</f>
        <v>TECNOCEL CELULARES COMERCIO, SERVICOS LTDA - ME</v>
      </c>
      <c r="K3369" s="14">
        <f>IF(IFERROR(_xlfn.XLOOKUP(B3369,Planilha2!D:D,Planilha2!H:H),0)="SIM",1,0)</f>
        <v>0</v>
      </c>
      <c r="L3369" s="14" t="str">
        <f>_xlfn.XLOOKUP(B3369,CAD_PDV!A:A,CAD_PDV!C:C)</f>
        <v>BA/SE</v>
      </c>
      <c r="M3369" s="14" t="str">
        <f>IFERROR(_xlfn.XLOOKUP(B3369,repete!A:A,repete!A:A),"-")</f>
        <v>-</v>
      </c>
    </row>
    <row r="3370" spans="1:13">
      <c r="A3370" s="1">
        <v>46235</v>
      </c>
      <c r="B3370" t="s">
        <v>828</v>
      </c>
      <c r="C3370" t="s">
        <v>826</v>
      </c>
      <c r="D3370" t="s">
        <v>161</v>
      </c>
      <c r="E3370" t="s">
        <v>59</v>
      </c>
      <c r="F3370">
        <v>4</v>
      </c>
      <c r="J3370" s="14" t="str">
        <f>_xlfn.XLOOKUP(B3370,CAD_PDV!A:A,CAD_PDV!B:B)</f>
        <v>M. LOPES - ELETRONICOS</v>
      </c>
      <c r="K3370" s="14">
        <f>IF(IFERROR(_xlfn.XLOOKUP(B3370,Planilha2!D:D,Planilha2!H:H),0)="SIM",1,0)</f>
        <v>0</v>
      </c>
      <c r="L3370" s="14" t="str">
        <f>_xlfn.XLOOKUP(B3370,CAD_PDV!A:A,CAD_PDV!C:C)</f>
        <v>CO</v>
      </c>
      <c r="M3370" s="14" t="str">
        <f>IFERROR(_xlfn.XLOOKUP(B3370,repete!A:A,repete!A:A),"-")</f>
        <v>-</v>
      </c>
    </row>
    <row r="3371" spans="1:13">
      <c r="A3371" s="1">
        <v>46235</v>
      </c>
      <c r="B3371" t="s">
        <v>366</v>
      </c>
      <c r="C3371" t="s">
        <v>368</v>
      </c>
      <c r="D3371" t="s">
        <v>171</v>
      </c>
      <c r="E3371" t="s">
        <v>61</v>
      </c>
      <c r="F3371">
        <v>5</v>
      </c>
      <c r="J3371" s="14" t="str">
        <f>_xlfn.XLOOKUP(B3371,CAD_PDV!A:A,CAD_PDV!B:B)</f>
        <v>MS COMERCIO VAREJISTA DE TELECOMUNICACOES LTDA</v>
      </c>
      <c r="K3371" s="14">
        <f>IF(IFERROR(_xlfn.XLOOKUP(B3371,Planilha2!D:D,Planilha2!H:H),0)="SIM",1,0)</f>
        <v>0</v>
      </c>
      <c r="L3371" s="14" t="str">
        <f>_xlfn.XLOOKUP(B3371,CAD_PDV!A:A,CAD_PDV!C:C)</f>
        <v>NE</v>
      </c>
      <c r="M3371" s="14" t="str">
        <f>IFERROR(_xlfn.XLOOKUP(B3371,repete!A:A,repete!A:A),"-")</f>
        <v>-</v>
      </c>
    </row>
    <row r="3372" spans="1:13">
      <c r="A3372" s="1">
        <v>46235</v>
      </c>
      <c r="B3372" t="s">
        <v>1634</v>
      </c>
      <c r="C3372" t="s">
        <v>1635</v>
      </c>
      <c r="D3372" t="s">
        <v>211</v>
      </c>
      <c r="E3372" t="s">
        <v>54</v>
      </c>
      <c r="F3372">
        <v>4</v>
      </c>
      <c r="J3372" s="14" t="str">
        <f>_xlfn.XLOOKUP(B3372,CAD_PDV!A:A,CAD_PDV!B:B)</f>
        <v>TESSAROLI RELOJOARIA</v>
      </c>
      <c r="K3372" s="14">
        <f>IF(IFERROR(_xlfn.XLOOKUP(B3372,Planilha2!D:D,Planilha2!H:H),0)="SIM",1,0)</f>
        <v>0</v>
      </c>
      <c r="L3372" s="14" t="str">
        <f>_xlfn.XLOOKUP(B3372,CAD_PDV!A:A,CAD_PDV!C:C)</f>
        <v>SP2</v>
      </c>
      <c r="M3372" s="14" t="str">
        <f>IFERROR(_xlfn.XLOOKUP(B3372,repete!A:A,repete!A:A),"-")</f>
        <v>-</v>
      </c>
    </row>
    <row r="3373" spans="1:13">
      <c r="A3373" s="1">
        <v>46235</v>
      </c>
      <c r="B3373" t="s">
        <v>2044</v>
      </c>
      <c r="C3373" t="s">
        <v>2045</v>
      </c>
      <c r="D3373" t="s">
        <v>153</v>
      </c>
      <c r="E3373" t="s">
        <v>2074</v>
      </c>
      <c r="F3373">
        <v>10</v>
      </c>
      <c r="J3373" s="14" t="str">
        <f>_xlfn.XLOOKUP(B3373,CAD_PDV!A:A,CAD_PDV!B:B)</f>
        <v>JUNIOR NOAL &amp; CIA LTDA - ME</v>
      </c>
      <c r="K3373" s="14">
        <f>IF(IFERROR(_xlfn.XLOOKUP(B3373,Planilha2!D:D,Planilha2!H:H),0)="SIM",1,0)</f>
        <v>0</v>
      </c>
      <c r="L3373" s="14" t="str">
        <f>_xlfn.XLOOKUP(B3373,CAD_PDV!A:A,CAD_PDV!C:C)</f>
        <v>RS</v>
      </c>
      <c r="M3373" s="14" t="str">
        <f>IFERROR(_xlfn.XLOOKUP(B3373,repete!A:A,repete!A:A),"-")</f>
        <v>-</v>
      </c>
    </row>
    <row r="3374" spans="1:13">
      <c r="A3374" s="1">
        <v>46235</v>
      </c>
      <c r="B3374" t="s">
        <v>590</v>
      </c>
      <c r="C3374" t="s">
        <v>591</v>
      </c>
      <c r="D3374" t="s">
        <v>106</v>
      </c>
      <c r="E3374" t="s">
        <v>56</v>
      </c>
      <c r="F3374">
        <v>11</v>
      </c>
      <c r="J3374" s="14" t="str">
        <f>_xlfn.XLOOKUP(B3374,CAD_PDV!A:A,CAD_PDV!B:B)</f>
        <v>CELLULAR.COM</v>
      </c>
      <c r="K3374" s="14">
        <f>IF(IFERROR(_xlfn.XLOOKUP(B3374,Planilha2!D:D,Planilha2!H:H),0)="SIM",1,0)</f>
        <v>0</v>
      </c>
      <c r="L3374" s="14" t="str">
        <f>_xlfn.XLOOKUP(B3374,CAD_PDV!A:A,CAD_PDV!C:C)</f>
        <v>MG</v>
      </c>
      <c r="M3374" s="14" t="str">
        <f>IFERROR(_xlfn.XLOOKUP(B3374,repete!A:A,repete!A:A),"-")</f>
        <v>-</v>
      </c>
    </row>
    <row r="3375" spans="1:13">
      <c r="A3375" s="1">
        <v>46235</v>
      </c>
      <c r="B3375" t="s">
        <v>563</v>
      </c>
      <c r="C3375" t="s">
        <v>430</v>
      </c>
      <c r="D3375" t="s">
        <v>106</v>
      </c>
      <c r="E3375" t="s">
        <v>56</v>
      </c>
      <c r="F3375">
        <v>36</v>
      </c>
      <c r="J3375" s="14" t="str">
        <f>_xlfn.XLOOKUP(B3375,CAD_PDV!A:A,CAD_PDV!B:B)</f>
        <v>CELLULAR.COM</v>
      </c>
      <c r="K3375" s="14">
        <f>IF(IFERROR(_xlfn.XLOOKUP(B3375,Planilha2!D:D,Planilha2!H:H),0)="SIM",1,0)</f>
        <v>0</v>
      </c>
      <c r="L3375" s="14" t="str">
        <f>_xlfn.XLOOKUP(B3375,CAD_PDV!A:A,CAD_PDV!C:C)</f>
        <v>MG</v>
      </c>
      <c r="M3375" s="14" t="str">
        <f>IFERROR(_xlfn.XLOOKUP(B3375,repete!A:A,repete!A:A),"-")</f>
        <v>-</v>
      </c>
    </row>
    <row r="3376" spans="1:13">
      <c r="A3376" s="1">
        <v>46235</v>
      </c>
      <c r="B3376" t="s">
        <v>704</v>
      </c>
      <c r="C3376" t="s">
        <v>699</v>
      </c>
      <c r="D3376" t="s">
        <v>152</v>
      </c>
      <c r="E3376" t="s">
        <v>59</v>
      </c>
      <c r="F3376">
        <v>66</v>
      </c>
      <c r="J3376" s="14" t="str">
        <f>_xlfn.XLOOKUP(B3376,CAD_PDV!A:A,CAD_PDV!B:B)</f>
        <v>JUCELL CELULARES LTDA</v>
      </c>
      <c r="K3376" s="14">
        <f>IF(IFERROR(_xlfn.XLOOKUP(B3376,Planilha2!D:D,Planilha2!H:H),0)="SIM",1,0)</f>
        <v>0</v>
      </c>
      <c r="L3376" s="14" t="str">
        <f>_xlfn.XLOOKUP(B3376,CAD_PDV!A:A,CAD_PDV!C:C)</f>
        <v>CO</v>
      </c>
      <c r="M3376" s="14" t="str">
        <f>IFERROR(_xlfn.XLOOKUP(B3376,repete!A:A,repete!A:A),"-")</f>
        <v>-</v>
      </c>
    </row>
    <row r="3377" spans="1:13">
      <c r="A3377" s="1">
        <v>46235</v>
      </c>
      <c r="B3377" t="s">
        <v>399</v>
      </c>
      <c r="C3377" t="s">
        <v>401</v>
      </c>
      <c r="D3377" t="s">
        <v>227</v>
      </c>
      <c r="E3377" t="s">
        <v>61</v>
      </c>
      <c r="F3377">
        <v>9</v>
      </c>
      <c r="J3377" s="14" t="str">
        <f>_xlfn.XLOOKUP(B3377,CAD_PDV!A:A,CAD_PDV!B:B)</f>
        <v>E-MEAN SERVICOS DE MARKETING DIRETO LTDA</v>
      </c>
      <c r="K3377" s="14">
        <f>IF(IFERROR(_xlfn.XLOOKUP(B3377,Planilha2!D:D,Planilha2!H:H),0)="SIM",1,0)</f>
        <v>0</v>
      </c>
      <c r="L3377" s="14" t="str">
        <f>_xlfn.XLOOKUP(B3377,CAD_PDV!A:A,CAD_PDV!C:C)</f>
        <v>NE</v>
      </c>
      <c r="M3377" s="14" t="str">
        <f>IFERROR(_xlfn.XLOOKUP(B3377,repete!A:A,repete!A:A),"-")</f>
        <v>-</v>
      </c>
    </row>
    <row r="3378" spans="1:13">
      <c r="A3378" s="1">
        <v>46235</v>
      </c>
      <c r="B3378" t="s">
        <v>284</v>
      </c>
      <c r="C3378" t="s">
        <v>285</v>
      </c>
      <c r="D3378" t="s">
        <v>104</v>
      </c>
      <c r="E3378" t="s">
        <v>61</v>
      </c>
      <c r="F3378">
        <v>42</v>
      </c>
      <c r="J3378" s="14" t="str">
        <f>_xlfn.XLOOKUP(B3378,CAD_PDV!A:A,CAD_PDV!B:B)</f>
        <v>CARLOS FREDERICO E FILHOS COMERCIO</v>
      </c>
      <c r="K3378" s="14">
        <f>IF(IFERROR(_xlfn.XLOOKUP(B3378,Planilha2!D:D,Planilha2!H:H),0)="SIM",1,0)</f>
        <v>0</v>
      </c>
      <c r="L3378" s="14" t="str">
        <f>_xlfn.XLOOKUP(B3378,CAD_PDV!A:A,CAD_PDV!C:C)</f>
        <v>NE</v>
      </c>
      <c r="M3378" s="14" t="str">
        <f>IFERROR(_xlfn.XLOOKUP(B3378,repete!A:A,repete!A:A),"-")</f>
        <v>-</v>
      </c>
    </row>
    <row r="3379" spans="1:13">
      <c r="A3379" s="1">
        <v>46235</v>
      </c>
      <c r="B3379" t="s">
        <v>1169</v>
      </c>
      <c r="C3379" t="s">
        <v>1170</v>
      </c>
      <c r="D3379" t="s">
        <v>125</v>
      </c>
      <c r="E3379" t="s">
        <v>55</v>
      </c>
      <c r="F3379">
        <v>48</v>
      </c>
      <c r="J3379" s="14" t="str">
        <f>_xlfn.XLOOKUP(B3379,CAD_PDV!A:A,CAD_PDV!B:B)</f>
        <v>ELETRO CENTER</v>
      </c>
      <c r="K3379" s="14">
        <f>IF(IFERROR(_xlfn.XLOOKUP(B3379,Planilha2!D:D,Planilha2!H:H),0)="SIM",1,0)</f>
        <v>0</v>
      </c>
      <c r="L3379" s="14" t="str">
        <f>_xlfn.XLOOKUP(B3379,CAD_PDV!A:A,CAD_PDV!C:C)</f>
        <v>RJ/ES</v>
      </c>
      <c r="M3379" s="14" t="str">
        <f>IFERROR(_xlfn.XLOOKUP(B3379,repete!A:A,repete!A:A),"-")</f>
        <v>-</v>
      </c>
    </row>
    <row r="3380" spans="1:13">
      <c r="A3380" s="1">
        <v>46235</v>
      </c>
      <c r="B3380" t="s">
        <v>564</v>
      </c>
      <c r="C3380" t="s">
        <v>509</v>
      </c>
      <c r="D3380" t="s">
        <v>106</v>
      </c>
      <c r="E3380" t="s">
        <v>56</v>
      </c>
      <c r="F3380">
        <v>15</v>
      </c>
      <c r="J3380" s="14" t="str">
        <f>_xlfn.XLOOKUP(B3380,CAD_PDV!A:A,CAD_PDV!B:B)</f>
        <v>CELLULAR.COM</v>
      </c>
      <c r="K3380" s="14">
        <f>IF(IFERROR(_xlfn.XLOOKUP(B3380,Planilha2!D:D,Planilha2!H:H),0)="SIM",1,0)</f>
        <v>0</v>
      </c>
      <c r="L3380" s="14" t="str">
        <f>_xlfn.XLOOKUP(B3380,CAD_PDV!A:A,CAD_PDV!C:C)</f>
        <v>MG</v>
      </c>
      <c r="M3380" s="14" t="str">
        <f>IFERROR(_xlfn.XLOOKUP(B3380,repete!A:A,repete!A:A),"-")</f>
        <v>-</v>
      </c>
    </row>
    <row r="3381" spans="1:13">
      <c r="A3381" s="1">
        <v>46235</v>
      </c>
      <c r="B3381" t="s">
        <v>1637</v>
      </c>
      <c r="C3381" t="s">
        <v>1638</v>
      </c>
      <c r="D3381" t="s">
        <v>106</v>
      </c>
      <c r="E3381" t="s">
        <v>54</v>
      </c>
      <c r="F3381">
        <v>21</v>
      </c>
      <c r="J3381" s="14" t="str">
        <f>_xlfn.XLOOKUP(B3381,CAD_PDV!A:A,CAD_PDV!B:B)</f>
        <v>CELLULAR.COM</v>
      </c>
      <c r="K3381" s="14">
        <f>IF(IFERROR(_xlfn.XLOOKUP(B3381,Planilha2!D:D,Planilha2!H:H),0)="SIM",1,0)</f>
        <v>0</v>
      </c>
      <c r="L3381" s="14" t="str">
        <f>_xlfn.XLOOKUP(B3381,CAD_PDV!A:A,CAD_PDV!C:C)</f>
        <v>SP2</v>
      </c>
      <c r="M3381" s="14" t="str">
        <f>IFERROR(_xlfn.XLOOKUP(B3381,repete!A:A,repete!A:A),"-")</f>
        <v>-</v>
      </c>
    </row>
    <row r="3382" spans="1:13">
      <c r="A3382" s="1">
        <v>46235</v>
      </c>
      <c r="B3382" t="s">
        <v>1639</v>
      </c>
      <c r="C3382" t="s">
        <v>1640</v>
      </c>
      <c r="D3382" t="s">
        <v>116</v>
      </c>
      <c r="E3382" t="s">
        <v>54</v>
      </c>
      <c r="F3382">
        <v>1</v>
      </c>
      <c r="J3382" s="14" t="str">
        <f>_xlfn.XLOOKUP(B3382,CAD_PDV!A:A,CAD_PDV!B:B)</f>
        <v>DIEGO FERNANDES PEREIRA - ME</v>
      </c>
      <c r="K3382" s="14">
        <f>IF(IFERROR(_xlfn.XLOOKUP(B3382,Planilha2!D:D,Planilha2!H:H),0)="SIM",1,0)</f>
        <v>1</v>
      </c>
      <c r="L3382" s="14" t="str">
        <f>_xlfn.XLOOKUP(B3382,CAD_PDV!A:A,CAD_PDV!C:C)</f>
        <v>SP2</v>
      </c>
      <c r="M3382" s="14" t="str">
        <f>IFERROR(_xlfn.XLOOKUP(B3382,repete!A:A,repete!A:A),"-")</f>
        <v>-</v>
      </c>
    </row>
    <row r="3383" spans="1:13">
      <c r="A3383" s="1">
        <v>46235</v>
      </c>
      <c r="B3383" t="s">
        <v>456</v>
      </c>
      <c r="C3383" t="s">
        <v>458</v>
      </c>
      <c r="D3383" t="s">
        <v>235</v>
      </c>
      <c r="E3383" t="s">
        <v>56</v>
      </c>
      <c r="F3383">
        <v>4</v>
      </c>
      <c r="J3383" s="14" t="str">
        <f>_xlfn.XLOOKUP(B3383,CAD_PDV!A:A,CAD_PDV!B:B)</f>
        <v>P.G.L CELULARES LTDA</v>
      </c>
      <c r="K3383" s="14">
        <f>IF(IFERROR(_xlfn.XLOOKUP(B3383,Planilha2!D:D,Planilha2!H:H),0)="SIM",1,0)</f>
        <v>0</v>
      </c>
      <c r="L3383" s="14" t="str">
        <f>_xlfn.XLOOKUP(B3383,CAD_PDV!A:A,CAD_PDV!C:C)</f>
        <v>MG</v>
      </c>
      <c r="M3383" s="14" t="str">
        <f>IFERROR(_xlfn.XLOOKUP(B3383,repete!A:A,repete!A:A),"-")</f>
        <v>-</v>
      </c>
    </row>
    <row r="3384" spans="1:13">
      <c r="A3384" s="1">
        <v>46235</v>
      </c>
      <c r="B3384" t="s">
        <v>1309</v>
      </c>
      <c r="C3384" t="s">
        <v>1310</v>
      </c>
      <c r="D3384" t="s">
        <v>105</v>
      </c>
      <c r="E3384" t="s">
        <v>53</v>
      </c>
      <c r="F3384">
        <v>20</v>
      </c>
      <c r="J3384" s="14" t="str">
        <f>_xlfn.XLOOKUP(B3384,CAD_PDV!A:A,CAD_PDV!B:B)</f>
        <v>CELL AZUL CELULARES LTDA - EPP</v>
      </c>
      <c r="K3384" s="14">
        <f>IF(IFERROR(_xlfn.XLOOKUP(B3384,Planilha2!D:D,Planilha2!H:H),0)="SIM",1,0)</f>
        <v>0</v>
      </c>
      <c r="L3384" s="14" t="str">
        <f>_xlfn.XLOOKUP(B3384,CAD_PDV!A:A,CAD_PDV!C:C)</f>
        <v>SP1</v>
      </c>
      <c r="M3384" s="14" t="str">
        <f>IFERROR(_xlfn.XLOOKUP(B3384,repete!A:A,repete!A:A),"-")</f>
        <v>-</v>
      </c>
    </row>
    <row r="3385" spans="1:13">
      <c r="A3385" s="1">
        <v>46235</v>
      </c>
      <c r="B3385" t="s">
        <v>1644</v>
      </c>
      <c r="C3385" t="s">
        <v>1645</v>
      </c>
      <c r="D3385" t="s">
        <v>106</v>
      </c>
      <c r="E3385" t="s">
        <v>54</v>
      </c>
      <c r="F3385">
        <v>10</v>
      </c>
      <c r="J3385" s="14" t="str">
        <f>_xlfn.XLOOKUP(B3385,CAD_PDV!A:A,CAD_PDV!B:B)</f>
        <v>CELLULAR.COM</v>
      </c>
      <c r="K3385" s="14">
        <f>IF(IFERROR(_xlfn.XLOOKUP(B3385,Planilha2!D:D,Planilha2!H:H),0)="SIM",1,0)</f>
        <v>0</v>
      </c>
      <c r="L3385" s="14" t="str">
        <f>_xlfn.XLOOKUP(B3385,CAD_PDV!A:A,CAD_PDV!C:C)</f>
        <v>SP2</v>
      </c>
      <c r="M3385" s="14" t="str">
        <f>IFERROR(_xlfn.XLOOKUP(B3385,repete!A:A,repete!A:A),"-")</f>
        <v>-</v>
      </c>
    </row>
    <row r="3386" spans="1:13">
      <c r="A3386" s="1">
        <v>46235</v>
      </c>
      <c r="B3386" t="s">
        <v>1833</v>
      </c>
      <c r="C3386" t="s">
        <v>1834</v>
      </c>
      <c r="D3386" t="s">
        <v>95</v>
      </c>
      <c r="E3386" t="s">
        <v>2074</v>
      </c>
      <c r="F3386">
        <v>15</v>
      </c>
      <c r="J3386" s="14" t="str">
        <f>_xlfn.XLOOKUP(B3386,CAD_PDV!A:A,CAD_PDV!B:B)</f>
        <v>AYRES E DEBONI LTDA - ME</v>
      </c>
      <c r="K3386" s="14">
        <f>IF(IFERROR(_xlfn.XLOOKUP(B3386,Planilha2!D:D,Planilha2!H:H),0)="SIM",1,0)</f>
        <v>0</v>
      </c>
      <c r="L3386" s="14" t="str">
        <f>_xlfn.XLOOKUP(B3386,CAD_PDV!A:A,CAD_PDV!C:C)</f>
        <v>RS</v>
      </c>
      <c r="M3386" s="14" t="str">
        <f>IFERROR(_xlfn.XLOOKUP(B3386,repete!A:A,repete!A:A),"-")</f>
        <v>-</v>
      </c>
    </row>
    <row r="3387" spans="1:13">
      <c r="A3387" s="1">
        <v>46235</v>
      </c>
      <c r="B3387" t="s">
        <v>748</v>
      </c>
      <c r="C3387" t="s">
        <v>610</v>
      </c>
      <c r="D3387" t="s">
        <v>100</v>
      </c>
      <c r="E3387" t="s">
        <v>59</v>
      </c>
      <c r="F3387">
        <v>21</v>
      </c>
      <c r="J3387" s="14" t="str">
        <f>_xlfn.XLOOKUP(B3387,CAD_PDV!A:A,CAD_PDV!B:B)</f>
        <v>CALDAS CELULARES LTDA - ME</v>
      </c>
      <c r="K3387" s="14">
        <f>IF(IFERROR(_xlfn.XLOOKUP(B3387,Planilha2!D:D,Planilha2!H:H),0)="SIM",1,0)</f>
        <v>0</v>
      </c>
      <c r="L3387" s="14" t="str">
        <f>_xlfn.XLOOKUP(B3387,CAD_PDV!A:A,CAD_PDV!C:C)</f>
        <v>CO</v>
      </c>
      <c r="M3387" s="14" t="str">
        <f>IFERROR(_xlfn.XLOOKUP(B3387,repete!A:A,repete!A:A),"-")</f>
        <v>-</v>
      </c>
    </row>
    <row r="3388" spans="1:13">
      <c r="A3388" s="1">
        <v>46235</v>
      </c>
      <c r="B3388" t="s">
        <v>566</v>
      </c>
      <c r="C3388" t="s">
        <v>567</v>
      </c>
      <c r="D3388" t="s">
        <v>88</v>
      </c>
      <c r="E3388" t="s">
        <v>56</v>
      </c>
      <c r="F3388">
        <v>8</v>
      </c>
      <c r="J3388" s="14" t="str">
        <f>_xlfn.XLOOKUP(B3388,CAD_PDV!A:A,CAD_PDV!B:B)</f>
        <v>ALFA CELULAR LTDA</v>
      </c>
      <c r="K3388" s="14">
        <f>IF(IFERROR(_xlfn.XLOOKUP(B3388,Planilha2!D:D,Planilha2!H:H),0)="SIM",1,0)</f>
        <v>1</v>
      </c>
      <c r="L3388" s="14" t="str">
        <f>_xlfn.XLOOKUP(B3388,CAD_PDV!A:A,CAD_PDV!C:C)</f>
        <v>MG</v>
      </c>
      <c r="M3388" s="14" t="str">
        <f>IFERROR(_xlfn.XLOOKUP(B3388,repete!A:A,repete!A:A),"-")</f>
        <v>-</v>
      </c>
    </row>
    <row r="3389" spans="1:13">
      <c r="A3389" s="1">
        <v>46235</v>
      </c>
      <c r="B3389" t="s">
        <v>1809</v>
      </c>
      <c r="C3389" t="s">
        <v>1808</v>
      </c>
      <c r="D3389" t="s">
        <v>106</v>
      </c>
      <c r="E3389" t="s">
        <v>2074</v>
      </c>
      <c r="F3389">
        <v>12</v>
      </c>
      <c r="J3389" s="14" t="str">
        <f>_xlfn.XLOOKUP(B3389,CAD_PDV!A:A,CAD_PDV!B:B)</f>
        <v>CELLULAR.COM</v>
      </c>
      <c r="K3389" s="14">
        <f>IF(IFERROR(_xlfn.XLOOKUP(B3389,Planilha2!D:D,Planilha2!H:H),0)="SIM",1,0)</f>
        <v>0</v>
      </c>
      <c r="L3389" s="14" t="str">
        <f>_xlfn.XLOOKUP(B3389,CAD_PDV!A:A,CAD_PDV!C:C)</f>
        <v>PR/SC</v>
      </c>
      <c r="M3389" s="14" t="str">
        <f>IFERROR(_xlfn.XLOOKUP(B3389,repete!A:A,repete!A:A),"-")</f>
        <v>-</v>
      </c>
    </row>
    <row r="3390" spans="1:13">
      <c r="A3390" s="1">
        <v>46235</v>
      </c>
      <c r="B3390" t="s">
        <v>811</v>
      </c>
      <c r="C3390" t="s">
        <v>813</v>
      </c>
      <c r="D3390" t="s">
        <v>85</v>
      </c>
      <c r="E3390" t="s">
        <v>59</v>
      </c>
      <c r="F3390">
        <v>3</v>
      </c>
      <c r="J3390" s="14" t="str">
        <f>_xlfn.XLOOKUP(B3390,CAD_PDV!A:A,CAD_PDV!B:B)</f>
        <v>A. L. DE OLIVEIRA &amp; CIA LTDA</v>
      </c>
      <c r="K3390" s="14">
        <f>IF(IFERROR(_xlfn.XLOOKUP(B3390,Planilha2!D:D,Planilha2!H:H),0)="SIM",1,0)</f>
        <v>0</v>
      </c>
      <c r="L3390" s="14" t="str">
        <f>_xlfn.XLOOKUP(B3390,CAD_PDV!A:A,CAD_PDV!C:C)</f>
        <v>CO</v>
      </c>
      <c r="M3390" s="14" t="str">
        <f>IFERROR(_xlfn.XLOOKUP(B3390,repete!A:A,repete!A:A),"-")</f>
        <v>-</v>
      </c>
    </row>
    <row r="3391" spans="1:13">
      <c r="A3391" s="1">
        <v>46235</v>
      </c>
      <c r="B3391" t="s">
        <v>459</v>
      </c>
      <c r="C3391" t="s">
        <v>460</v>
      </c>
      <c r="D3391" t="s">
        <v>115</v>
      </c>
      <c r="E3391" t="s">
        <v>56</v>
      </c>
      <c r="F3391">
        <v>16</v>
      </c>
      <c r="J3391" s="14" t="str">
        <f>_xlfn.XLOOKUP(B3391,CAD_PDV!A:A,CAD_PDV!B:B)</f>
        <v>DIANA CARLA MOREIRA</v>
      </c>
      <c r="K3391" s="14">
        <f>IF(IFERROR(_xlfn.XLOOKUP(B3391,Planilha2!D:D,Planilha2!H:H),0)="SIM",1,0)</f>
        <v>0</v>
      </c>
      <c r="L3391" s="14" t="str">
        <f>_xlfn.XLOOKUP(B3391,CAD_PDV!A:A,CAD_PDV!C:C)</f>
        <v>MG</v>
      </c>
      <c r="M3391" s="14" t="str">
        <f>IFERROR(_xlfn.XLOOKUP(B3391,repete!A:A,repete!A:A),"-")</f>
        <v>-</v>
      </c>
    </row>
    <row r="3392" spans="1:13">
      <c r="A3392" s="1">
        <v>46235</v>
      </c>
      <c r="B3392" t="s">
        <v>1127</v>
      </c>
      <c r="C3392" t="s">
        <v>1077</v>
      </c>
      <c r="D3392" t="s">
        <v>143</v>
      </c>
      <c r="E3392" t="s">
        <v>62</v>
      </c>
      <c r="F3392">
        <v>7</v>
      </c>
      <c r="J3392" s="14" t="str">
        <f>_xlfn.XLOOKUP(B3392,CAD_PDV!A:A,CAD_PDV!B:B)</f>
        <v>INOVACELL LTDA</v>
      </c>
      <c r="K3392" s="14">
        <f>IF(IFERROR(_xlfn.XLOOKUP(B3392,Planilha2!D:D,Planilha2!H:H),0)="SIM",1,0)</f>
        <v>0</v>
      </c>
      <c r="L3392" s="14" t="str">
        <f>_xlfn.XLOOKUP(B3392,CAD_PDV!A:A,CAD_PDV!C:C)</f>
        <v>NO</v>
      </c>
      <c r="M3392" s="14" t="str">
        <f>IFERROR(_xlfn.XLOOKUP(B3392,repete!A:A,repete!A:A),"-")</f>
        <v>-</v>
      </c>
    </row>
    <row r="3393" spans="1:13">
      <c r="A3393" s="1">
        <v>46235</v>
      </c>
      <c r="B3393" t="s">
        <v>1782</v>
      </c>
      <c r="C3393" t="s">
        <v>1783</v>
      </c>
      <c r="D3393" t="s">
        <v>103</v>
      </c>
      <c r="E3393" t="s">
        <v>2074</v>
      </c>
      <c r="F3393">
        <v>27</v>
      </c>
      <c r="J3393" s="14" t="str">
        <f>_xlfn.XLOOKUP(B3393,CAD_PDV!A:A,CAD_PDV!B:B)</f>
        <v>CARLOS EDUARDO SAVIAN - EPP</v>
      </c>
      <c r="K3393" s="14">
        <f>IF(IFERROR(_xlfn.XLOOKUP(B3393,Planilha2!D:D,Planilha2!H:H),0)="SIM",1,0)</f>
        <v>0</v>
      </c>
      <c r="L3393" s="14" t="str">
        <f>_xlfn.XLOOKUP(B3393,CAD_PDV!A:A,CAD_PDV!C:C)</f>
        <v>PR/SC</v>
      </c>
      <c r="M3393" s="14" t="str">
        <f>IFERROR(_xlfn.XLOOKUP(B3393,repete!A:A,repete!A:A),"-")</f>
        <v>-</v>
      </c>
    </row>
    <row r="3394" spans="1:13">
      <c r="A3394" s="1">
        <v>46235</v>
      </c>
      <c r="B3394" t="s">
        <v>1046</v>
      </c>
      <c r="C3394" t="s">
        <v>1039</v>
      </c>
      <c r="D3394" t="s">
        <v>208</v>
      </c>
      <c r="E3394" t="s">
        <v>60</v>
      </c>
      <c r="F3394">
        <v>3</v>
      </c>
      <c r="J3394" s="14" t="str">
        <f>_xlfn.XLOOKUP(B3394,CAD_PDV!A:A,CAD_PDV!B:B)</f>
        <v>TELECOMUNICACOES C àsA NOVA LTDA</v>
      </c>
      <c r="K3394" s="14">
        <f>IF(IFERROR(_xlfn.XLOOKUP(B3394,Planilha2!D:D,Planilha2!H:H),0)="SIM",1,0)</f>
        <v>0</v>
      </c>
      <c r="L3394" s="14" t="str">
        <f>_xlfn.XLOOKUP(B3394,CAD_PDV!A:A,CAD_PDV!C:C)</f>
        <v>BA/SE</v>
      </c>
      <c r="M3394" s="14" t="str">
        <f>IFERROR(_xlfn.XLOOKUP(B3394,repete!A:A,repete!A:A),"-")</f>
        <v>-</v>
      </c>
    </row>
    <row r="3395" spans="1:13">
      <c r="A3395" s="1">
        <v>46235</v>
      </c>
      <c r="B3395" t="s">
        <v>2001</v>
      </c>
      <c r="C3395" t="s">
        <v>2002</v>
      </c>
      <c r="D3395" t="s">
        <v>124</v>
      </c>
      <c r="E3395" t="s">
        <v>2074</v>
      </c>
      <c r="F3395">
        <v>11</v>
      </c>
      <c r="J3395" s="14" t="str">
        <f>_xlfn.XLOOKUP(B3395,CAD_PDV!A:A,CAD_PDV!B:B)</f>
        <v>EDUARDO JUNQUEIRA DA SILVEIRA ADMIN</v>
      </c>
      <c r="K3395" s="14">
        <f>IF(IFERROR(_xlfn.XLOOKUP(B3395,Planilha2!D:D,Planilha2!H:H),0)="SIM",1,0)</f>
        <v>0</v>
      </c>
      <c r="L3395" s="14" t="str">
        <f>_xlfn.XLOOKUP(B3395,CAD_PDV!A:A,CAD_PDV!C:C)</f>
        <v>RS</v>
      </c>
      <c r="M3395" s="14" t="str">
        <f>IFERROR(_xlfn.XLOOKUP(B3395,repete!A:A,repete!A:A),"-")</f>
        <v>-</v>
      </c>
    </row>
    <row r="3396" spans="1:13">
      <c r="A3396" s="1">
        <v>46235</v>
      </c>
      <c r="B3396" t="s">
        <v>614</v>
      </c>
      <c r="C3396" t="s">
        <v>616</v>
      </c>
      <c r="D3396" t="s">
        <v>239</v>
      </c>
      <c r="E3396" t="s">
        <v>59</v>
      </c>
      <c r="F3396">
        <v>19</v>
      </c>
      <c r="J3396" s="14" t="str">
        <f>_xlfn.XLOOKUP(B3396,CAD_PDV!A:A,CAD_PDV!B:B)</f>
        <v>TELECELL TELEFONIA LTDA - ME</v>
      </c>
      <c r="K3396" s="14">
        <f>IF(IFERROR(_xlfn.XLOOKUP(B3396,Planilha2!D:D,Planilha2!H:H),0)="SIM",1,0)</f>
        <v>0</v>
      </c>
      <c r="L3396" s="14" t="str">
        <f>_xlfn.XLOOKUP(B3396,CAD_PDV!A:A,CAD_PDV!C:C)</f>
        <v>CO</v>
      </c>
      <c r="M3396" s="14" t="str">
        <f>IFERROR(_xlfn.XLOOKUP(B3396,repete!A:A,repete!A:A),"-")</f>
        <v>-</v>
      </c>
    </row>
    <row r="3397" spans="1:13">
      <c r="A3397" s="1">
        <v>46235</v>
      </c>
      <c r="B3397" t="s">
        <v>1315</v>
      </c>
      <c r="C3397" t="s">
        <v>1310</v>
      </c>
      <c r="D3397" t="s">
        <v>105</v>
      </c>
      <c r="E3397" t="s">
        <v>53</v>
      </c>
      <c r="F3397">
        <v>10</v>
      </c>
      <c r="J3397" s="14" t="str">
        <f>_xlfn.XLOOKUP(B3397,CAD_PDV!A:A,CAD_PDV!B:B)</f>
        <v>CELL AZUL CELULARES LTDA - EPP</v>
      </c>
      <c r="K3397" s="14">
        <f>IF(IFERROR(_xlfn.XLOOKUP(B3397,Planilha2!D:D,Planilha2!H:H),0)="SIM",1,0)</f>
        <v>0</v>
      </c>
      <c r="L3397" s="14" t="str">
        <f>_xlfn.XLOOKUP(B3397,CAD_PDV!A:A,CAD_PDV!C:C)</f>
        <v>SP1</v>
      </c>
      <c r="M3397" s="14" t="str">
        <f>IFERROR(_xlfn.XLOOKUP(B3397,repete!A:A,repete!A:A),"-")</f>
        <v>-</v>
      </c>
    </row>
    <row r="3398" spans="1:13">
      <c r="A3398" s="1">
        <v>46235</v>
      </c>
      <c r="B3398" t="s">
        <v>1647</v>
      </c>
      <c r="C3398" t="s">
        <v>1648</v>
      </c>
      <c r="D3398" t="s">
        <v>162</v>
      </c>
      <c r="E3398" t="s">
        <v>54</v>
      </c>
      <c r="F3398">
        <v>13</v>
      </c>
      <c r="J3398" s="14" t="str">
        <f>_xlfn.XLOOKUP(B3398,CAD_PDV!A:A,CAD_PDV!B:B)</f>
        <v>MA CELULARES</v>
      </c>
      <c r="K3398" s="14">
        <f>IF(IFERROR(_xlfn.XLOOKUP(B3398,Planilha2!D:D,Planilha2!H:H),0)="SIM",1,0)</f>
        <v>0</v>
      </c>
      <c r="L3398" s="14" t="str">
        <f>_xlfn.XLOOKUP(B3398,CAD_PDV!A:A,CAD_PDV!C:C)</f>
        <v>SP2</v>
      </c>
      <c r="M3398" s="14" t="str">
        <f>IFERROR(_xlfn.XLOOKUP(B3398,repete!A:A,repete!A:A),"-")</f>
        <v>-</v>
      </c>
    </row>
    <row r="3399" spans="1:13">
      <c r="A3399" s="1">
        <v>46235</v>
      </c>
      <c r="B3399" t="s">
        <v>1746</v>
      </c>
      <c r="C3399" t="s">
        <v>1744</v>
      </c>
      <c r="D3399" t="s">
        <v>190</v>
      </c>
      <c r="E3399" t="s">
        <v>2074</v>
      </c>
      <c r="F3399">
        <v>8</v>
      </c>
      <c r="J3399" s="14" t="str">
        <f>_xlfn.XLOOKUP(B3399,CAD_PDV!A:A,CAD_PDV!B:B)</f>
        <v>RDJ TELECOMUNICACOES LTDA</v>
      </c>
      <c r="K3399" s="14">
        <f>IF(IFERROR(_xlfn.XLOOKUP(B3399,Planilha2!D:D,Planilha2!H:H),0)="SIM",1,0)</f>
        <v>0</v>
      </c>
      <c r="L3399" s="14" t="str">
        <f>_xlfn.XLOOKUP(B3399,CAD_PDV!A:A,CAD_PDV!C:C)</f>
        <v>PR/SC</v>
      </c>
      <c r="M3399" s="14" t="str">
        <f>IFERROR(_xlfn.XLOOKUP(B3399,repete!A:A,repete!A:A),"-")</f>
        <v>-</v>
      </c>
    </row>
    <row r="3400" spans="1:13">
      <c r="A3400" s="1">
        <v>46235</v>
      </c>
      <c r="B3400" t="s">
        <v>1256</v>
      </c>
      <c r="C3400" t="s">
        <v>1204</v>
      </c>
      <c r="D3400" t="s">
        <v>2072</v>
      </c>
      <c r="E3400" t="s">
        <v>55</v>
      </c>
      <c r="F3400">
        <v>19</v>
      </c>
      <c r="J3400" s="14" t="str">
        <f>_xlfn.XLOOKUP(B3400,CAD_PDV!A:A,CAD_PDV!B:B)</f>
        <v>MEXCELL COMERCIO E SERVICOS DE TELECOMUNICACOES LTDA</v>
      </c>
      <c r="K3400" s="14">
        <f>IF(IFERROR(_xlfn.XLOOKUP(B3400,Planilha2!D:D,Planilha2!H:H),0)="SIM",1,0)</f>
        <v>0</v>
      </c>
      <c r="L3400" s="14" t="str">
        <f>_xlfn.XLOOKUP(B3400,CAD_PDV!A:A,CAD_PDV!C:C)</f>
        <v>RJ/ES</v>
      </c>
      <c r="M3400" s="14" t="str">
        <f>IFERROR(_xlfn.XLOOKUP(B3400,repete!A:A,repete!A:A),"-")</f>
        <v>-</v>
      </c>
    </row>
    <row r="3401" spans="1:13">
      <c r="A3401" s="1">
        <v>46235</v>
      </c>
      <c r="B3401" t="s">
        <v>623</v>
      </c>
      <c r="C3401" t="s">
        <v>625</v>
      </c>
      <c r="D3401" t="s">
        <v>111</v>
      </c>
      <c r="E3401" t="s">
        <v>59</v>
      </c>
      <c r="F3401">
        <v>16</v>
      </c>
      <c r="J3401" s="14" t="str">
        <f>_xlfn.XLOOKUP(B3401,CAD_PDV!A:A,CAD_PDV!B:B)</f>
        <v>CONTATO CELULARES</v>
      </c>
      <c r="K3401" s="14">
        <f>IF(IFERROR(_xlfn.XLOOKUP(B3401,Planilha2!D:D,Planilha2!H:H),0)="SIM",1,0)</f>
        <v>1</v>
      </c>
      <c r="L3401" s="14" t="str">
        <f>_xlfn.XLOOKUP(B3401,CAD_PDV!A:A,CAD_PDV!C:C)</f>
        <v>CO</v>
      </c>
      <c r="M3401" s="14" t="str">
        <f>IFERROR(_xlfn.XLOOKUP(B3401,repete!A:A,repete!A:A),"-")</f>
        <v>-</v>
      </c>
    </row>
    <row r="3402" spans="1:13">
      <c r="A3402" s="1">
        <v>46235</v>
      </c>
      <c r="B3402" t="s">
        <v>1649</v>
      </c>
      <c r="C3402" t="s">
        <v>1457</v>
      </c>
      <c r="D3402" t="s">
        <v>106</v>
      </c>
      <c r="E3402" t="s">
        <v>54</v>
      </c>
      <c r="F3402">
        <v>74</v>
      </c>
      <c r="J3402" s="14" t="str">
        <f>_xlfn.XLOOKUP(B3402,CAD_PDV!A:A,CAD_PDV!B:B)</f>
        <v>CELLULAR.COM</v>
      </c>
      <c r="K3402" s="14">
        <f>IF(IFERROR(_xlfn.XLOOKUP(B3402,Planilha2!D:D,Planilha2!H:H),0)="SIM",1,0)</f>
        <v>0</v>
      </c>
      <c r="L3402" s="14" t="str">
        <f>_xlfn.XLOOKUP(B3402,CAD_PDV!A:A,CAD_PDV!C:C)</f>
        <v>SP2</v>
      </c>
      <c r="M3402" s="14" t="str">
        <f>IFERROR(_xlfn.XLOOKUP(B3402,repete!A:A,repete!A:A),"-")</f>
        <v>-</v>
      </c>
    </row>
    <row r="3403" spans="1:13">
      <c r="A3403" s="1">
        <v>46235</v>
      </c>
      <c r="B3403" t="s">
        <v>1650</v>
      </c>
      <c r="C3403" t="s">
        <v>1651</v>
      </c>
      <c r="D3403" t="s">
        <v>106</v>
      </c>
      <c r="E3403" t="s">
        <v>54</v>
      </c>
      <c r="F3403">
        <v>28</v>
      </c>
      <c r="J3403" s="14" t="str">
        <f>_xlfn.XLOOKUP(B3403,CAD_PDV!A:A,CAD_PDV!B:B)</f>
        <v>CELLULAR.COM</v>
      </c>
      <c r="K3403" s="14">
        <f>IF(IFERROR(_xlfn.XLOOKUP(B3403,Planilha2!D:D,Planilha2!H:H),0)="SIM",1,0)</f>
        <v>0</v>
      </c>
      <c r="L3403" s="14" t="str">
        <f>_xlfn.XLOOKUP(B3403,CAD_PDV!A:A,CAD_PDV!C:C)</f>
        <v>SP2</v>
      </c>
      <c r="M3403" s="14" t="str">
        <f>IFERROR(_xlfn.XLOOKUP(B3403,repete!A:A,repete!A:A),"-")</f>
        <v>-</v>
      </c>
    </row>
    <row r="3404" spans="1:13">
      <c r="A3404" s="1">
        <v>46235</v>
      </c>
      <c r="B3404" t="s">
        <v>569</v>
      </c>
      <c r="C3404" t="s">
        <v>570</v>
      </c>
      <c r="D3404" t="s">
        <v>167</v>
      </c>
      <c r="E3404" t="s">
        <v>56</v>
      </c>
      <c r="F3404">
        <v>24</v>
      </c>
      <c r="J3404" s="14" t="str">
        <f>_xlfn.XLOOKUP(B3404,CAD_PDV!A:A,CAD_PDV!B:B)</f>
        <v>MAXMILIANO RODRIGUES</v>
      </c>
      <c r="K3404" s="14">
        <f>IF(IFERROR(_xlfn.XLOOKUP(B3404,Planilha2!D:D,Planilha2!H:H),0)="SIM",1,0)</f>
        <v>0</v>
      </c>
      <c r="L3404" s="14" t="str">
        <f>_xlfn.XLOOKUP(B3404,CAD_PDV!A:A,CAD_PDV!C:C)</f>
        <v>MG</v>
      </c>
      <c r="M3404" s="14" t="str">
        <f>IFERROR(_xlfn.XLOOKUP(B3404,repete!A:A,repete!A:A),"-")</f>
        <v>-</v>
      </c>
    </row>
    <row r="3405" spans="1:13">
      <c r="A3405" s="1">
        <v>46235</v>
      </c>
      <c r="B3405" t="s">
        <v>1865</v>
      </c>
      <c r="C3405" t="s">
        <v>1864</v>
      </c>
      <c r="D3405" t="s">
        <v>106</v>
      </c>
      <c r="E3405" t="s">
        <v>2074</v>
      </c>
      <c r="F3405">
        <v>10</v>
      </c>
      <c r="J3405" s="14" t="str">
        <f>_xlfn.XLOOKUP(B3405,CAD_PDV!A:A,CAD_PDV!B:B)</f>
        <v>CELLULAR.COM</v>
      </c>
      <c r="K3405" s="14">
        <f>IF(IFERROR(_xlfn.XLOOKUP(B3405,Planilha2!D:D,Planilha2!H:H),0)="SIM",1,0)</f>
        <v>0</v>
      </c>
      <c r="L3405" s="14" t="str">
        <f>_xlfn.XLOOKUP(B3405,CAD_PDV!A:A,CAD_PDV!C:C)</f>
        <v>PR/SC</v>
      </c>
      <c r="M3405" s="14" t="str">
        <f>IFERROR(_xlfn.XLOOKUP(B3405,repete!A:A,repete!A:A),"-")</f>
        <v>-</v>
      </c>
    </row>
    <row r="3406" spans="1:13">
      <c r="A3406" s="1">
        <v>46235</v>
      </c>
      <c r="B3406" t="s">
        <v>927</v>
      </c>
      <c r="C3406" t="s">
        <v>928</v>
      </c>
      <c r="D3406" t="s">
        <v>203</v>
      </c>
      <c r="E3406" t="s">
        <v>59</v>
      </c>
      <c r="F3406">
        <v>2</v>
      </c>
      <c r="J3406" s="14" t="str">
        <f>_xlfn.XLOOKUP(B3406,CAD_PDV!A:A,CAD_PDV!B:B)</f>
        <v>SOSSOLOTE &amp; CIA LTDA</v>
      </c>
      <c r="K3406" s="14">
        <f>IF(IFERROR(_xlfn.XLOOKUP(B3406,Planilha2!D:D,Planilha2!H:H),0)="SIM",1,0)</f>
        <v>0</v>
      </c>
      <c r="L3406" s="14" t="str">
        <f>_xlfn.XLOOKUP(B3406,CAD_PDV!A:A,CAD_PDV!C:C)</f>
        <v>CO</v>
      </c>
      <c r="M3406" s="14" t="str">
        <f>IFERROR(_xlfn.XLOOKUP(B3406,repete!A:A,repete!A:A),"-")</f>
        <v>-</v>
      </c>
    </row>
    <row r="3407" spans="1:13">
      <c r="A3407" s="1">
        <v>46235</v>
      </c>
      <c r="B3407" t="s">
        <v>1677</v>
      </c>
      <c r="C3407" t="s">
        <v>1678</v>
      </c>
      <c r="D3407" t="s">
        <v>106</v>
      </c>
      <c r="E3407" t="s">
        <v>54</v>
      </c>
      <c r="F3407">
        <v>9</v>
      </c>
      <c r="J3407" s="14" t="str">
        <f>_xlfn.XLOOKUP(B3407,CAD_PDV!A:A,CAD_PDV!B:B)</f>
        <v>CELLULAR.COM</v>
      </c>
      <c r="K3407" s="14">
        <f>IF(IFERROR(_xlfn.XLOOKUP(B3407,Planilha2!D:D,Planilha2!H:H),0)="SIM",1,0)</f>
        <v>0</v>
      </c>
      <c r="L3407" s="14" t="str">
        <f>_xlfn.XLOOKUP(B3407,CAD_PDV!A:A,CAD_PDV!C:C)</f>
        <v>SP2</v>
      </c>
      <c r="M3407" s="14" t="str">
        <f>IFERROR(_xlfn.XLOOKUP(B3407,repete!A:A,repete!A:A),"-")</f>
        <v>-</v>
      </c>
    </row>
    <row r="3408" spans="1:13">
      <c r="A3408" s="1">
        <v>46235</v>
      </c>
      <c r="B3408" t="s">
        <v>832</v>
      </c>
      <c r="C3408" t="s">
        <v>833</v>
      </c>
      <c r="D3408" t="s">
        <v>239</v>
      </c>
      <c r="E3408" t="s">
        <v>59</v>
      </c>
      <c r="F3408">
        <v>16</v>
      </c>
      <c r="J3408" s="14" t="str">
        <f>_xlfn.XLOOKUP(B3408,CAD_PDV!A:A,CAD_PDV!B:B)</f>
        <v>TELECELL TELEFONIA LTDA - ME</v>
      </c>
      <c r="K3408" s="14">
        <f>IF(IFERROR(_xlfn.XLOOKUP(B3408,Planilha2!D:D,Planilha2!H:H),0)="SIM",1,0)</f>
        <v>0</v>
      </c>
      <c r="L3408" s="14" t="str">
        <f>_xlfn.XLOOKUP(B3408,CAD_PDV!A:A,CAD_PDV!C:C)</f>
        <v>CO</v>
      </c>
      <c r="M3408" s="14" t="str">
        <f>IFERROR(_xlfn.XLOOKUP(B3408,repete!A:A,repete!A:A),"-")</f>
        <v>-</v>
      </c>
    </row>
    <row r="3409" spans="1:13">
      <c r="A3409" s="1">
        <v>46235</v>
      </c>
      <c r="B3409" t="s">
        <v>2055</v>
      </c>
      <c r="C3409" t="s">
        <v>2057</v>
      </c>
      <c r="D3409" t="s">
        <v>193</v>
      </c>
      <c r="E3409" t="s">
        <v>2074</v>
      </c>
      <c r="F3409">
        <v>41</v>
      </c>
      <c r="J3409" s="14" t="str">
        <f>_xlfn.XLOOKUP(B3409,CAD_PDV!A:A,CAD_PDV!B:B)</f>
        <v>S D COMERCIO DE CELULARES LTDA - ME</v>
      </c>
      <c r="K3409" s="14">
        <f>IF(IFERROR(_xlfn.XLOOKUP(B3409,Planilha2!D:D,Planilha2!H:H),0)="SIM",1,0)</f>
        <v>0</v>
      </c>
      <c r="L3409" s="14" t="str">
        <f>_xlfn.XLOOKUP(B3409,CAD_PDV!A:A,CAD_PDV!C:C)</f>
        <v>RS</v>
      </c>
      <c r="M3409" s="14" t="str">
        <f>IFERROR(_xlfn.XLOOKUP(B3409,repete!A:A,repete!A:A),"-")</f>
        <v>-</v>
      </c>
    </row>
    <row r="3410" spans="1:13">
      <c r="A3410" s="1">
        <v>46235</v>
      </c>
      <c r="B3410" t="s">
        <v>2123</v>
      </c>
      <c r="C3410" t="s">
        <v>2124</v>
      </c>
      <c r="D3410" t="s">
        <v>151</v>
      </c>
      <c r="E3410" t="s">
        <v>60</v>
      </c>
      <c r="F3410">
        <v>19</v>
      </c>
      <c r="J3410" s="14" t="str">
        <f>_xlfn.XLOOKUP(B3410,CAD_PDV!A:A,CAD_PDV!B:B)</f>
        <v>JOSE ADALBERTO CERQUEIRA JUNIOR - ME</v>
      </c>
      <c r="K3410" s="14">
        <f>IF(IFERROR(_xlfn.XLOOKUP(B3410,Planilha2!D:D,Planilha2!H:H),0)="SIM",1,0)</f>
        <v>0</v>
      </c>
      <c r="L3410" s="14" t="str">
        <f>_xlfn.XLOOKUP(B3410,CAD_PDV!A:A,CAD_PDV!C:C)</f>
        <v>BA/SE</v>
      </c>
      <c r="M3410" s="14" t="str">
        <f>IFERROR(_xlfn.XLOOKUP(B3410,repete!A:A,repete!A:A),"-")</f>
        <v>-</v>
      </c>
    </row>
    <row r="3411" spans="1:13">
      <c r="A3411" s="1">
        <v>46235</v>
      </c>
      <c r="B3411" t="s">
        <v>1316</v>
      </c>
      <c r="C3411" t="s">
        <v>1317</v>
      </c>
      <c r="D3411" t="s">
        <v>105</v>
      </c>
      <c r="E3411" t="s">
        <v>53</v>
      </c>
      <c r="F3411">
        <v>10</v>
      </c>
      <c r="J3411" s="14" t="str">
        <f>_xlfn.XLOOKUP(B3411,CAD_PDV!A:A,CAD_PDV!B:B)</f>
        <v>CELL AZUL CELULARES LTDA - EPP</v>
      </c>
      <c r="K3411" s="14">
        <f>IF(IFERROR(_xlfn.XLOOKUP(B3411,Planilha2!D:D,Planilha2!H:H),0)="SIM",1,0)</f>
        <v>0</v>
      </c>
      <c r="L3411" s="14" t="str">
        <f>_xlfn.XLOOKUP(B3411,CAD_PDV!A:A,CAD_PDV!C:C)</f>
        <v>SP1</v>
      </c>
      <c r="M3411" s="14" t="str">
        <f>IFERROR(_xlfn.XLOOKUP(B3411,repete!A:A,repete!A:A),"-")</f>
        <v>-</v>
      </c>
    </row>
    <row r="3412" spans="1:13">
      <c r="A3412" s="1">
        <v>46235</v>
      </c>
      <c r="B3412" t="s">
        <v>1806</v>
      </c>
      <c r="C3412" t="s">
        <v>1805</v>
      </c>
      <c r="D3412" t="s">
        <v>106</v>
      </c>
      <c r="E3412" t="s">
        <v>2074</v>
      </c>
      <c r="F3412">
        <v>20</v>
      </c>
      <c r="J3412" s="14" t="str">
        <f>_xlfn.XLOOKUP(B3412,CAD_PDV!A:A,CAD_PDV!B:B)</f>
        <v>CELLULAR.COM</v>
      </c>
      <c r="K3412" s="14">
        <f>IF(IFERROR(_xlfn.XLOOKUP(B3412,Planilha2!D:D,Planilha2!H:H),0)="SIM",1,0)</f>
        <v>0</v>
      </c>
      <c r="L3412" s="14" t="str">
        <f>_xlfn.XLOOKUP(B3412,CAD_PDV!A:A,CAD_PDV!C:C)</f>
        <v>PR/SC</v>
      </c>
      <c r="M3412" s="14" t="str">
        <f>IFERROR(_xlfn.XLOOKUP(B3412,repete!A:A,repete!A:A),"-")</f>
        <v>-</v>
      </c>
    </row>
    <row r="3413" spans="1:13">
      <c r="A3413" s="1">
        <v>46235</v>
      </c>
      <c r="B3413" t="s">
        <v>850</v>
      </c>
      <c r="C3413" t="s">
        <v>732</v>
      </c>
      <c r="D3413" t="s">
        <v>221</v>
      </c>
      <c r="E3413" t="s">
        <v>59</v>
      </c>
      <c r="F3413">
        <v>39</v>
      </c>
      <c r="J3413" s="14" t="str">
        <f>_xlfn.XLOOKUP(B3413,CAD_PDV!A:A,CAD_PDV!B:B)</f>
        <v>AMERICOM COMERCIO DE APARELHOS ELETRONICOS LTDA - EPP</v>
      </c>
      <c r="K3413" s="14">
        <f>IF(IFERROR(_xlfn.XLOOKUP(B3413,Planilha2!D:D,Planilha2!H:H),0)="SIM",1,0)</f>
        <v>0</v>
      </c>
      <c r="L3413" s="14" t="str">
        <f>_xlfn.XLOOKUP(B3413,CAD_PDV!A:A,CAD_PDV!C:C)</f>
        <v>CO</v>
      </c>
      <c r="M3413" s="14" t="str">
        <f>IFERROR(_xlfn.XLOOKUP(B3413,repete!A:A,repete!A:A),"-")</f>
        <v>-</v>
      </c>
    </row>
    <row r="3414" spans="1:13">
      <c r="A3414" s="1">
        <v>46235</v>
      </c>
      <c r="B3414" t="s">
        <v>1106</v>
      </c>
      <c r="C3414" t="s">
        <v>1107</v>
      </c>
      <c r="D3414" t="s">
        <v>122</v>
      </c>
      <c r="E3414" t="s">
        <v>62</v>
      </c>
      <c r="F3414">
        <v>10</v>
      </c>
      <c r="J3414" s="14" t="str">
        <f>_xlfn.XLOOKUP(B3414,CAD_PDV!A:A,CAD_PDV!B:B)</f>
        <v>E. DAMA EIRELI</v>
      </c>
      <c r="K3414" s="14">
        <f>IF(IFERROR(_xlfn.XLOOKUP(B3414,Planilha2!D:D,Planilha2!H:H),0)="SIM",1,0)</f>
        <v>0</v>
      </c>
      <c r="L3414" s="14" t="str">
        <f>_xlfn.XLOOKUP(B3414,CAD_PDV!A:A,CAD_PDV!C:C)</f>
        <v>NO</v>
      </c>
      <c r="M3414" s="14" t="str">
        <f>IFERROR(_xlfn.XLOOKUP(B3414,repete!A:A,repete!A:A),"-")</f>
        <v>-</v>
      </c>
    </row>
    <row r="3415" spans="1:13">
      <c r="A3415" s="1">
        <v>46235</v>
      </c>
      <c r="B3415" t="s">
        <v>292</v>
      </c>
      <c r="C3415" t="s">
        <v>288</v>
      </c>
      <c r="D3415" t="s">
        <v>104</v>
      </c>
      <c r="E3415" t="s">
        <v>61</v>
      </c>
      <c r="F3415">
        <v>57</v>
      </c>
      <c r="J3415" s="14" t="str">
        <f>_xlfn.XLOOKUP(B3415,CAD_PDV!A:A,CAD_PDV!B:B)</f>
        <v>CARLOS FREDERICO E FILHOS COMERCIO</v>
      </c>
      <c r="K3415" s="14">
        <f>IF(IFERROR(_xlfn.XLOOKUP(B3415,Planilha2!D:D,Planilha2!H:H),0)="SIM",1,0)</f>
        <v>0</v>
      </c>
      <c r="L3415" s="14" t="str">
        <f>_xlfn.XLOOKUP(B3415,CAD_PDV!A:A,CAD_PDV!C:C)</f>
        <v>NE</v>
      </c>
      <c r="M3415" s="14" t="str">
        <f>IFERROR(_xlfn.XLOOKUP(B3415,repete!A:A,repete!A:A),"-")</f>
        <v>-</v>
      </c>
    </row>
    <row r="3416" spans="1:13">
      <c r="A3416" s="1">
        <v>46235</v>
      </c>
      <c r="B3416" t="s">
        <v>1028</v>
      </c>
      <c r="C3416" t="s">
        <v>1029</v>
      </c>
      <c r="D3416" t="s">
        <v>236</v>
      </c>
      <c r="E3416" t="s">
        <v>60</v>
      </c>
      <c r="F3416">
        <v>16</v>
      </c>
      <c r="J3416" s="14" t="str">
        <f>_xlfn.XLOOKUP(B3416,CAD_PDV!A:A,CAD_PDV!B:B)</f>
        <v>PAULA C L NIELLA EIRELI</v>
      </c>
      <c r="K3416" s="14">
        <f>IF(IFERROR(_xlfn.XLOOKUP(B3416,Planilha2!D:D,Planilha2!H:H),0)="SIM",1,0)</f>
        <v>0</v>
      </c>
      <c r="L3416" s="14" t="str">
        <f>_xlfn.XLOOKUP(B3416,CAD_PDV!A:A,CAD_PDV!C:C)</f>
        <v>BA/SE</v>
      </c>
      <c r="M3416" s="14" t="str">
        <f>IFERROR(_xlfn.XLOOKUP(B3416,repete!A:A,repete!A:A),"-")</f>
        <v>-</v>
      </c>
    </row>
    <row r="3417" spans="1:13">
      <c r="A3417" s="1">
        <v>46235</v>
      </c>
      <c r="B3417" t="s">
        <v>1076</v>
      </c>
      <c r="C3417" t="s">
        <v>1077</v>
      </c>
      <c r="D3417" t="s">
        <v>196</v>
      </c>
      <c r="E3417" t="s">
        <v>62</v>
      </c>
      <c r="F3417">
        <v>17</v>
      </c>
      <c r="J3417" s="14" t="str">
        <f>_xlfn.XLOOKUP(B3417,CAD_PDV!A:A,CAD_PDV!B:B)</f>
        <v>SELF COMERCIO E SERVICOS EM TELEFON</v>
      </c>
      <c r="K3417" s="14">
        <f>IF(IFERROR(_xlfn.XLOOKUP(B3417,Planilha2!D:D,Planilha2!H:H),0)="SIM",1,0)</f>
        <v>0</v>
      </c>
      <c r="L3417" s="14" t="str">
        <f>_xlfn.XLOOKUP(B3417,CAD_PDV!A:A,CAD_PDV!C:C)</f>
        <v>NO</v>
      </c>
      <c r="M3417" s="14" t="str">
        <f>IFERROR(_xlfn.XLOOKUP(B3417,repete!A:A,repete!A:A),"-")</f>
        <v>-</v>
      </c>
    </row>
    <row r="3418" spans="1:13">
      <c r="A3418" s="1">
        <v>46235</v>
      </c>
      <c r="B3418" t="s">
        <v>1389</v>
      </c>
      <c r="C3418" t="s">
        <v>1390</v>
      </c>
      <c r="D3418" t="s">
        <v>157</v>
      </c>
      <c r="E3418" t="s">
        <v>53</v>
      </c>
      <c r="F3418">
        <v>21</v>
      </c>
      <c r="J3418" s="14" t="str">
        <f>_xlfn.XLOOKUP(B3418,CAD_PDV!A:A,CAD_PDV!B:B)</f>
        <v>LINK TELECOM COMERCIO DE CELULARES LTDA - ME</v>
      </c>
      <c r="K3418" s="14">
        <f>IF(IFERROR(_xlfn.XLOOKUP(B3418,Planilha2!D:D,Planilha2!H:H),0)="SIM",1,0)</f>
        <v>0</v>
      </c>
      <c r="L3418" s="14" t="str">
        <f>_xlfn.XLOOKUP(B3418,CAD_PDV!A:A,CAD_PDV!C:C)</f>
        <v>SP1</v>
      </c>
      <c r="M3418" s="14" t="str">
        <f>IFERROR(_xlfn.XLOOKUP(B3418,repete!A:A,repete!A:A),"-")</f>
        <v>-</v>
      </c>
    </row>
    <row r="3419" spans="1:13">
      <c r="A3419" s="1">
        <v>46235</v>
      </c>
      <c r="B3419" t="s">
        <v>1408</v>
      </c>
      <c r="C3419" t="s">
        <v>1310</v>
      </c>
      <c r="D3419" t="s">
        <v>205</v>
      </c>
      <c r="E3419" t="s">
        <v>53</v>
      </c>
      <c r="F3419">
        <v>7</v>
      </c>
      <c r="J3419" s="14" t="str">
        <f>_xlfn.XLOOKUP(B3419,CAD_PDV!A:A,CAD_PDV!B:B)</f>
        <v>TATHIANE LEME GOMES DOS SANTOS - ME</v>
      </c>
      <c r="K3419" s="14">
        <f>IF(IFERROR(_xlfn.XLOOKUP(B3419,Planilha2!D:D,Planilha2!H:H),0)="SIM",1,0)</f>
        <v>0</v>
      </c>
      <c r="L3419" s="14" t="str">
        <f>_xlfn.XLOOKUP(B3419,CAD_PDV!A:A,CAD_PDV!C:C)</f>
        <v>SP1</v>
      </c>
      <c r="M3419" s="14" t="str">
        <f>IFERROR(_xlfn.XLOOKUP(B3419,repete!A:A,repete!A:A),"-")</f>
        <v>-</v>
      </c>
    </row>
    <row r="3420" spans="1:13">
      <c r="A3420" s="1">
        <v>46235</v>
      </c>
      <c r="B3420" t="s">
        <v>1117</v>
      </c>
      <c r="C3420" t="s">
        <v>1118</v>
      </c>
      <c r="D3420" t="s">
        <v>143</v>
      </c>
      <c r="E3420" t="s">
        <v>62</v>
      </c>
      <c r="F3420">
        <v>1</v>
      </c>
      <c r="J3420" s="14" t="str">
        <f>_xlfn.XLOOKUP(B3420,CAD_PDV!A:A,CAD_PDV!B:B)</f>
        <v>INOVACELL LTDA</v>
      </c>
      <c r="K3420" s="14">
        <f>IF(IFERROR(_xlfn.XLOOKUP(B3420,Planilha2!D:D,Planilha2!H:H),0)="SIM",1,0)</f>
        <v>0</v>
      </c>
      <c r="L3420" s="14" t="str">
        <f>_xlfn.XLOOKUP(B3420,CAD_PDV!A:A,CAD_PDV!C:C)</f>
        <v>NO</v>
      </c>
      <c r="M3420" s="14" t="str">
        <f>IFERROR(_xlfn.XLOOKUP(B3420,repete!A:A,repete!A:A),"-")</f>
        <v>-</v>
      </c>
    </row>
    <row r="3421" spans="1:13">
      <c r="A3421" s="1">
        <v>46235</v>
      </c>
      <c r="B3421" t="s">
        <v>1704</v>
      </c>
      <c r="C3421" t="s">
        <v>1705</v>
      </c>
      <c r="D3421" t="s">
        <v>132</v>
      </c>
      <c r="E3421" t="s">
        <v>54</v>
      </c>
      <c r="F3421">
        <v>12</v>
      </c>
      <c r="J3421" s="14" t="str">
        <f>_xlfn.XLOOKUP(B3421,CAD_PDV!A:A,CAD_PDV!B:B)</f>
        <v>FLEX CELL</v>
      </c>
      <c r="K3421" s="14">
        <f>IF(IFERROR(_xlfn.XLOOKUP(B3421,Planilha2!D:D,Planilha2!H:H),0)="SIM",1,0)</f>
        <v>0</v>
      </c>
      <c r="L3421" s="14" t="str">
        <f>_xlfn.XLOOKUP(B3421,CAD_PDV!A:A,CAD_PDV!C:C)</f>
        <v>SP2</v>
      </c>
      <c r="M3421" s="14" t="str">
        <f>IFERROR(_xlfn.XLOOKUP(B3421,repete!A:A,repete!A:A),"-")</f>
        <v>-</v>
      </c>
    </row>
    <row r="3422" spans="1:13">
      <c r="A3422" s="1">
        <v>46235</v>
      </c>
      <c r="B3422" t="s">
        <v>1823</v>
      </c>
      <c r="C3422" t="s">
        <v>1824</v>
      </c>
      <c r="D3422" t="s">
        <v>95</v>
      </c>
      <c r="E3422" t="s">
        <v>2074</v>
      </c>
      <c r="F3422">
        <v>6</v>
      </c>
      <c r="J3422" s="14" t="str">
        <f>_xlfn.XLOOKUP(B3422,CAD_PDV!A:A,CAD_PDV!B:B)</f>
        <v>AYRES E DEBONI LTDA - ME</v>
      </c>
      <c r="K3422" s="14">
        <f>IF(IFERROR(_xlfn.XLOOKUP(B3422,Planilha2!D:D,Planilha2!H:H),0)="SIM",1,0)</f>
        <v>0</v>
      </c>
      <c r="L3422" s="14" t="str">
        <f>_xlfn.XLOOKUP(B3422,CAD_PDV!A:A,CAD_PDV!C:C)</f>
        <v>RS</v>
      </c>
      <c r="M3422" s="14" t="str">
        <f>IFERROR(_xlfn.XLOOKUP(B3422,repete!A:A,repete!A:A),"-")</f>
        <v>-</v>
      </c>
    </row>
    <row r="3423" spans="1:13">
      <c r="A3423" s="1">
        <v>46235</v>
      </c>
      <c r="B3423" t="s">
        <v>674</v>
      </c>
      <c r="C3423" t="s">
        <v>667</v>
      </c>
      <c r="D3423" t="s">
        <v>239</v>
      </c>
      <c r="E3423" t="s">
        <v>59</v>
      </c>
      <c r="F3423">
        <v>19</v>
      </c>
      <c r="J3423" s="14" t="str">
        <f>_xlfn.XLOOKUP(B3423,CAD_PDV!A:A,CAD_PDV!B:B)</f>
        <v>TELECELL TELEFONIA LTDA - ME</v>
      </c>
      <c r="K3423" s="14">
        <f>IF(IFERROR(_xlfn.XLOOKUP(B3423,Planilha2!D:D,Planilha2!H:H),0)="SIM",1,0)</f>
        <v>0</v>
      </c>
      <c r="L3423" s="14" t="str">
        <f>_xlfn.XLOOKUP(B3423,CAD_PDV!A:A,CAD_PDV!C:C)</f>
        <v>CO</v>
      </c>
      <c r="M3423" s="14" t="str">
        <f>IFERROR(_xlfn.XLOOKUP(B3423,repete!A:A,repete!A:A),"-")</f>
        <v>-</v>
      </c>
    </row>
    <row r="3424" spans="1:13">
      <c r="A3424" s="1">
        <v>46235</v>
      </c>
      <c r="B3424" t="s">
        <v>1113</v>
      </c>
      <c r="C3424" t="s">
        <v>1115</v>
      </c>
      <c r="D3424" t="s">
        <v>117</v>
      </c>
      <c r="E3424" t="s">
        <v>62</v>
      </c>
      <c r="F3424">
        <v>16</v>
      </c>
      <c r="J3424" s="14" t="str">
        <f>_xlfn.XLOOKUP(B3424,CAD_PDV!A:A,CAD_PDV!B:B)</f>
        <v>DIN COMERCIO E SERVICOS EIRELI - EPP</v>
      </c>
      <c r="K3424" s="14">
        <f>IF(IFERROR(_xlfn.XLOOKUP(B3424,Planilha2!D:D,Planilha2!H:H),0)="SIM",1,0)</f>
        <v>1</v>
      </c>
      <c r="L3424" s="14" t="str">
        <f>_xlfn.XLOOKUP(B3424,CAD_PDV!A:A,CAD_PDV!C:C)</f>
        <v>NO</v>
      </c>
      <c r="M3424" s="14" t="str">
        <f>IFERROR(_xlfn.XLOOKUP(B3424,repete!A:A,repete!A:A),"-")</f>
        <v>-</v>
      </c>
    </row>
    <row r="3425" spans="1:13">
      <c r="A3425" s="1">
        <v>46235</v>
      </c>
      <c r="B3425" t="s">
        <v>852</v>
      </c>
      <c r="C3425" t="s">
        <v>732</v>
      </c>
      <c r="D3425" t="s">
        <v>221</v>
      </c>
      <c r="E3425" t="s">
        <v>59</v>
      </c>
      <c r="F3425">
        <v>15</v>
      </c>
      <c r="J3425" s="14" t="str">
        <f>_xlfn.XLOOKUP(B3425,CAD_PDV!A:A,CAD_PDV!B:B)</f>
        <v>AMERICOM COMERCIO DE APARELHOS ELETRONICOS LTDA - EPP</v>
      </c>
      <c r="K3425" s="14">
        <f>IF(IFERROR(_xlfn.XLOOKUP(B3425,Planilha2!D:D,Planilha2!H:H),0)="SIM",1,0)</f>
        <v>0</v>
      </c>
      <c r="L3425" s="14" t="str">
        <f>_xlfn.XLOOKUP(B3425,CAD_PDV!A:A,CAD_PDV!C:C)</f>
        <v>CO</v>
      </c>
      <c r="M3425" s="14" t="str">
        <f>IFERROR(_xlfn.XLOOKUP(B3425,repete!A:A,repete!A:A),"-")</f>
        <v>-</v>
      </c>
    </row>
    <row r="3426" spans="1:13">
      <c r="A3426" s="1">
        <v>46235</v>
      </c>
      <c r="B3426" t="s">
        <v>403</v>
      </c>
      <c r="C3426" t="s">
        <v>269</v>
      </c>
      <c r="D3426" t="s">
        <v>196</v>
      </c>
      <c r="E3426" t="s">
        <v>61</v>
      </c>
      <c r="F3426">
        <v>36</v>
      </c>
      <c r="J3426" s="14" t="str">
        <f>_xlfn.XLOOKUP(B3426,CAD_PDV!A:A,CAD_PDV!B:B)</f>
        <v>SELF COMERCIO E SERVICOS EM TELEFON</v>
      </c>
      <c r="K3426" s="14">
        <f>IF(IFERROR(_xlfn.XLOOKUP(B3426,Planilha2!D:D,Planilha2!H:H),0)="SIM",1,0)</f>
        <v>0</v>
      </c>
      <c r="L3426" s="14" t="str">
        <f>_xlfn.XLOOKUP(B3426,CAD_PDV!A:A,CAD_PDV!C:C)</f>
        <v>NE</v>
      </c>
      <c r="M3426" s="14" t="str">
        <f>IFERROR(_xlfn.XLOOKUP(B3426,repete!A:A,repete!A:A),"-")</f>
        <v>-</v>
      </c>
    </row>
    <row r="3427" spans="1:13">
      <c r="A3427" s="1">
        <v>46235</v>
      </c>
      <c r="B3427" t="s">
        <v>772</v>
      </c>
      <c r="C3427" t="s">
        <v>773</v>
      </c>
      <c r="D3427" t="s">
        <v>206</v>
      </c>
      <c r="E3427" t="s">
        <v>59</v>
      </c>
      <c r="F3427">
        <v>4</v>
      </c>
      <c r="J3427" s="14" t="str">
        <f>_xlfn.XLOOKUP(B3427,CAD_PDV!A:A,CAD_PDV!B:B)</f>
        <v>TATIANE CONCEICAO DE OLIVEIRA - ME</v>
      </c>
      <c r="K3427" s="14">
        <f>IF(IFERROR(_xlfn.XLOOKUP(B3427,Planilha2!D:D,Planilha2!H:H),0)="SIM",1,0)</f>
        <v>0</v>
      </c>
      <c r="L3427" s="14" t="str">
        <f>_xlfn.XLOOKUP(B3427,CAD_PDV!A:A,CAD_PDV!C:C)</f>
        <v>CO</v>
      </c>
      <c r="M3427" s="14" t="str">
        <f>IFERROR(_xlfn.XLOOKUP(B3427,repete!A:A,repete!A:A),"-")</f>
        <v>-</v>
      </c>
    </row>
    <row r="3428" spans="1:13">
      <c r="A3428" s="1">
        <v>46235</v>
      </c>
      <c r="B3428" t="s">
        <v>853</v>
      </c>
      <c r="C3428" t="s">
        <v>732</v>
      </c>
      <c r="D3428" t="s">
        <v>221</v>
      </c>
      <c r="E3428" t="s">
        <v>59</v>
      </c>
      <c r="F3428">
        <v>33</v>
      </c>
      <c r="J3428" s="14" t="str">
        <f>_xlfn.XLOOKUP(B3428,CAD_PDV!A:A,CAD_PDV!B:B)</f>
        <v>AMERICOM COMERCIO DE APARELHOS ELETRONICOS LTDA - EPP</v>
      </c>
      <c r="K3428" s="14">
        <f>IF(IFERROR(_xlfn.XLOOKUP(B3428,Planilha2!D:D,Planilha2!H:H),0)="SIM",1,0)</f>
        <v>0</v>
      </c>
      <c r="L3428" s="14" t="str">
        <f>_xlfn.XLOOKUP(B3428,CAD_PDV!A:A,CAD_PDV!C:C)</f>
        <v>CO</v>
      </c>
      <c r="M3428" s="14" t="str">
        <f>IFERROR(_xlfn.XLOOKUP(B3428,repete!A:A,repete!A:A),"-")</f>
        <v>-</v>
      </c>
    </row>
    <row r="3429" spans="1:13">
      <c r="A3429" s="1">
        <v>46235</v>
      </c>
      <c r="B3429" t="s">
        <v>410</v>
      </c>
      <c r="C3429" t="s">
        <v>411</v>
      </c>
      <c r="D3429" t="s">
        <v>238</v>
      </c>
      <c r="E3429" t="s">
        <v>61</v>
      </c>
      <c r="F3429">
        <v>19</v>
      </c>
      <c r="J3429" s="14" t="str">
        <f>_xlfn.XLOOKUP(B3429,CAD_PDV!A:A,CAD_PDV!B:B)</f>
        <v>R &amp; R HIPER COMERCIO LTDA</v>
      </c>
      <c r="K3429" s="14">
        <f>IF(IFERROR(_xlfn.XLOOKUP(B3429,Planilha2!D:D,Planilha2!H:H),0)="SIM",1,0)</f>
        <v>0</v>
      </c>
      <c r="L3429" s="14" t="str">
        <f>_xlfn.XLOOKUP(B3429,CAD_PDV!A:A,CAD_PDV!C:C)</f>
        <v>NE</v>
      </c>
      <c r="M3429" s="14" t="str">
        <f>IFERROR(_xlfn.XLOOKUP(B3429,repete!A:A,repete!A:A),"-")</f>
        <v>-</v>
      </c>
    </row>
    <row r="3430" spans="1:13">
      <c r="A3430" s="1">
        <v>46235</v>
      </c>
      <c r="B3430" t="s">
        <v>1100</v>
      </c>
      <c r="C3430" t="s">
        <v>1102</v>
      </c>
      <c r="D3430" t="s">
        <v>132</v>
      </c>
      <c r="E3430" t="s">
        <v>62</v>
      </c>
      <c r="F3430">
        <v>50</v>
      </c>
      <c r="J3430" s="14" t="str">
        <f>_xlfn.XLOOKUP(B3430,CAD_PDV!A:A,CAD_PDV!B:B)</f>
        <v>FLEX CELL</v>
      </c>
      <c r="K3430" s="14">
        <f>IF(IFERROR(_xlfn.XLOOKUP(B3430,Planilha2!D:D,Planilha2!H:H),0)="SIM",1,0)</f>
        <v>0</v>
      </c>
      <c r="L3430" s="14" t="str">
        <f>_xlfn.XLOOKUP(B3430,CAD_PDV!A:A,CAD_PDV!C:C)</f>
        <v>NO</v>
      </c>
      <c r="M3430" s="14" t="str">
        <f>IFERROR(_xlfn.XLOOKUP(B3430,repete!A:A,repete!A:A),"-")</f>
        <v>-</v>
      </c>
    </row>
    <row r="3431" spans="1:13">
      <c r="A3431" s="1">
        <v>46235</v>
      </c>
      <c r="B3431" t="s">
        <v>1119</v>
      </c>
      <c r="C3431" t="s">
        <v>1120</v>
      </c>
      <c r="D3431" t="s">
        <v>143</v>
      </c>
      <c r="E3431" t="s">
        <v>62</v>
      </c>
      <c r="F3431">
        <v>5</v>
      </c>
      <c r="J3431" s="14" t="str">
        <f>_xlfn.XLOOKUP(B3431,CAD_PDV!A:A,CAD_PDV!B:B)</f>
        <v>INOVACELL LTDA</v>
      </c>
      <c r="K3431" s="14">
        <f>IF(IFERROR(_xlfn.XLOOKUP(B3431,Planilha2!D:D,Planilha2!H:H),0)="SIM",1,0)</f>
        <v>0</v>
      </c>
      <c r="L3431" s="14" t="str">
        <f>_xlfn.XLOOKUP(B3431,CAD_PDV!A:A,CAD_PDV!C:C)</f>
        <v>NO</v>
      </c>
      <c r="M3431" s="14" t="str">
        <f>IFERROR(_xlfn.XLOOKUP(B3431,repete!A:A,repete!A:A),"-")</f>
        <v>-</v>
      </c>
    </row>
    <row r="3432" spans="1:13">
      <c r="A3432" s="1">
        <v>46235</v>
      </c>
      <c r="B3432" t="s">
        <v>2030</v>
      </c>
      <c r="C3432" t="s">
        <v>2031</v>
      </c>
      <c r="D3432" t="s">
        <v>193</v>
      </c>
      <c r="E3432" t="s">
        <v>2074</v>
      </c>
      <c r="F3432">
        <v>10</v>
      </c>
      <c r="J3432" s="14" t="str">
        <f>_xlfn.XLOOKUP(B3432,CAD_PDV!A:A,CAD_PDV!B:B)</f>
        <v>S D COMERCIO DE CELULARES LTDA - ME</v>
      </c>
      <c r="K3432" s="14">
        <f>IF(IFERROR(_xlfn.XLOOKUP(B3432,Planilha2!D:D,Planilha2!H:H),0)="SIM",1,0)</f>
        <v>0</v>
      </c>
      <c r="L3432" s="14" t="str">
        <f>_xlfn.XLOOKUP(B3432,CAD_PDV!A:A,CAD_PDV!C:C)</f>
        <v>RS</v>
      </c>
      <c r="M3432" s="14" t="str">
        <f>IFERROR(_xlfn.XLOOKUP(B3432,repete!A:A,repete!A:A),"-")</f>
        <v>-</v>
      </c>
    </row>
    <row r="3433" spans="1:13">
      <c r="A3433" s="1">
        <v>46235</v>
      </c>
      <c r="B3433" t="s">
        <v>1030</v>
      </c>
      <c r="C3433" t="s">
        <v>1031</v>
      </c>
      <c r="D3433" t="s">
        <v>139</v>
      </c>
      <c r="E3433" t="s">
        <v>60</v>
      </c>
      <c r="F3433">
        <v>2</v>
      </c>
      <c r="J3433" s="14" t="str">
        <f>_xlfn.XLOOKUP(B3433,CAD_PDV!A:A,CAD_PDV!B:B)</f>
        <v>GUI CELULARES E SERVICOS LTDA</v>
      </c>
      <c r="K3433" s="14">
        <f>IF(IFERROR(_xlfn.XLOOKUP(B3433,Planilha2!D:D,Planilha2!H:H),0)="SIM",1,0)</f>
        <v>0</v>
      </c>
      <c r="L3433" s="14" t="str">
        <f>_xlfn.XLOOKUP(B3433,CAD_PDV!A:A,CAD_PDV!C:C)</f>
        <v>BA/SE</v>
      </c>
      <c r="M3433" s="14" t="str">
        <f>IFERROR(_xlfn.XLOOKUP(B3433,repete!A:A,repete!A:A),"-")</f>
        <v>-</v>
      </c>
    </row>
    <row r="3434" spans="1:13">
      <c r="A3434" s="1">
        <v>46235</v>
      </c>
      <c r="B3434" t="s">
        <v>662</v>
      </c>
      <c r="C3434" t="s">
        <v>663</v>
      </c>
      <c r="D3434" t="s">
        <v>206</v>
      </c>
      <c r="E3434" t="s">
        <v>59</v>
      </c>
      <c r="F3434">
        <v>10</v>
      </c>
      <c r="J3434" s="14" t="str">
        <f>_xlfn.XLOOKUP(B3434,CAD_PDV!A:A,CAD_PDV!B:B)</f>
        <v>TATIANE CONCEICAO DE OLIVEIRA - ME</v>
      </c>
      <c r="K3434" s="14">
        <f>IF(IFERROR(_xlfn.XLOOKUP(B3434,Planilha2!D:D,Planilha2!H:H),0)="SIM",1,0)</f>
        <v>0</v>
      </c>
      <c r="L3434" s="14" t="str">
        <f>_xlfn.XLOOKUP(B3434,CAD_PDV!A:A,CAD_PDV!C:C)</f>
        <v>CO</v>
      </c>
      <c r="M3434" s="14" t="str">
        <f>IFERROR(_xlfn.XLOOKUP(B3434,repete!A:A,repete!A:A),"-")</f>
        <v>-</v>
      </c>
    </row>
    <row r="3435" spans="1:13">
      <c r="A3435" s="1">
        <v>46235</v>
      </c>
      <c r="B3435" t="s">
        <v>864</v>
      </c>
      <c r="C3435" t="s">
        <v>865</v>
      </c>
      <c r="D3435" t="s">
        <v>90</v>
      </c>
      <c r="E3435" t="s">
        <v>59</v>
      </c>
      <c r="F3435">
        <v>17</v>
      </c>
      <c r="J3435" s="14" t="str">
        <f>_xlfn.XLOOKUP(B3435,CAD_PDV!A:A,CAD_PDV!B:B)</f>
        <v>AMOS MUNIZ CORREIA - ME</v>
      </c>
      <c r="K3435" s="14">
        <f>IF(IFERROR(_xlfn.XLOOKUP(B3435,Planilha2!D:D,Planilha2!H:H),0)="SIM",1,0)</f>
        <v>0</v>
      </c>
      <c r="L3435" s="14" t="str">
        <f>_xlfn.XLOOKUP(B3435,CAD_PDV!A:A,CAD_PDV!C:C)</f>
        <v>CO</v>
      </c>
      <c r="M3435" s="14" t="str">
        <f>IFERROR(_xlfn.XLOOKUP(B3435,repete!A:A,repete!A:A),"-")</f>
        <v>-</v>
      </c>
    </row>
    <row r="3436" spans="1:13">
      <c r="A3436" s="1">
        <v>46235</v>
      </c>
      <c r="B3436" t="s">
        <v>1853</v>
      </c>
      <c r="C3436" t="s">
        <v>1852</v>
      </c>
      <c r="D3436" t="s">
        <v>106</v>
      </c>
      <c r="E3436" t="s">
        <v>2074</v>
      </c>
      <c r="F3436">
        <v>12</v>
      </c>
      <c r="J3436" s="14" t="str">
        <f>_xlfn.XLOOKUP(B3436,CAD_PDV!A:A,CAD_PDV!B:B)</f>
        <v>CELLULAR.COM</v>
      </c>
      <c r="K3436" s="14">
        <f>IF(IFERROR(_xlfn.XLOOKUP(B3436,Planilha2!D:D,Planilha2!H:H),0)="SIM",1,0)</f>
        <v>0</v>
      </c>
      <c r="L3436" s="14" t="str">
        <f>_xlfn.XLOOKUP(B3436,CAD_PDV!A:A,CAD_PDV!C:C)</f>
        <v>PR/SC</v>
      </c>
      <c r="M3436" s="14" t="str">
        <f>IFERROR(_xlfn.XLOOKUP(B3436,repete!A:A,repete!A:A),"-")</f>
        <v>-</v>
      </c>
    </row>
    <row r="3437" spans="1:13">
      <c r="A3437" s="1">
        <v>46235</v>
      </c>
      <c r="B3437" t="s">
        <v>1825</v>
      </c>
      <c r="C3437" t="s">
        <v>1826</v>
      </c>
      <c r="D3437" t="s">
        <v>95</v>
      </c>
      <c r="E3437" t="s">
        <v>2074</v>
      </c>
      <c r="F3437">
        <v>7</v>
      </c>
      <c r="J3437" s="14" t="str">
        <f>_xlfn.XLOOKUP(B3437,CAD_PDV!A:A,CAD_PDV!B:B)</f>
        <v>AYRES E DEBONI LTDA - ME</v>
      </c>
      <c r="K3437" s="14">
        <f>IF(IFERROR(_xlfn.XLOOKUP(B3437,Planilha2!D:D,Planilha2!H:H),0)="SIM",1,0)</f>
        <v>0</v>
      </c>
      <c r="L3437" s="14" t="str">
        <f>_xlfn.XLOOKUP(B3437,CAD_PDV!A:A,CAD_PDV!C:C)</f>
        <v>RS</v>
      </c>
      <c r="M3437" s="14" t="str">
        <f>IFERROR(_xlfn.XLOOKUP(B3437,repete!A:A,repete!A:A),"-")</f>
        <v>-</v>
      </c>
    </row>
    <row r="3438" spans="1:13">
      <c r="A3438" s="1">
        <v>46235</v>
      </c>
      <c r="B3438" t="s">
        <v>807</v>
      </c>
      <c r="C3438" t="s">
        <v>808</v>
      </c>
      <c r="D3438" t="s">
        <v>206</v>
      </c>
      <c r="E3438" t="s">
        <v>59</v>
      </c>
      <c r="F3438">
        <v>18</v>
      </c>
      <c r="J3438" s="14" t="str">
        <f>_xlfn.XLOOKUP(B3438,CAD_PDV!A:A,CAD_PDV!B:B)</f>
        <v>TATIANE CONCEICAO DE OLIVEIRA - ME</v>
      </c>
      <c r="K3438" s="14">
        <f>IF(IFERROR(_xlfn.XLOOKUP(B3438,Planilha2!D:D,Planilha2!H:H),0)="SIM",1,0)</f>
        <v>0</v>
      </c>
      <c r="L3438" s="14" t="str">
        <f>_xlfn.XLOOKUP(B3438,CAD_PDV!A:A,CAD_PDV!C:C)</f>
        <v>CO</v>
      </c>
      <c r="M3438" s="14" t="str">
        <f>IFERROR(_xlfn.XLOOKUP(B3438,repete!A:A,repete!A:A),"-")</f>
        <v>-</v>
      </c>
    </row>
    <row r="3439" spans="1:13">
      <c r="A3439" s="1">
        <v>46235</v>
      </c>
      <c r="B3439" t="s">
        <v>378</v>
      </c>
      <c r="C3439" t="s">
        <v>311</v>
      </c>
      <c r="D3439" t="s">
        <v>195</v>
      </c>
      <c r="E3439" t="s">
        <v>61</v>
      </c>
      <c r="F3439">
        <v>13</v>
      </c>
      <c r="J3439" s="14" t="str">
        <f>_xlfn.XLOOKUP(B3439,CAD_PDV!A:A,CAD_PDV!B:B)</f>
        <v>SANTOS E TENORIO TELECOM LTDA</v>
      </c>
      <c r="K3439" s="14">
        <f>IF(IFERROR(_xlfn.XLOOKUP(B3439,Planilha2!D:D,Planilha2!H:H),0)="SIM",1,0)</f>
        <v>0</v>
      </c>
      <c r="L3439" s="14" t="str">
        <f>_xlfn.XLOOKUP(B3439,CAD_PDV!A:A,CAD_PDV!C:C)</f>
        <v>NE</v>
      </c>
      <c r="M3439" s="14" t="str">
        <f>IFERROR(_xlfn.XLOOKUP(B3439,repete!A:A,repete!A:A),"-")</f>
        <v>-</v>
      </c>
    </row>
    <row r="3440" spans="1:13">
      <c r="A3440" s="1">
        <v>46235</v>
      </c>
      <c r="B3440" t="s">
        <v>1033</v>
      </c>
      <c r="C3440" t="s">
        <v>995</v>
      </c>
      <c r="D3440" t="s">
        <v>151</v>
      </c>
      <c r="E3440" t="s">
        <v>60</v>
      </c>
      <c r="F3440">
        <v>38</v>
      </c>
      <c r="J3440" s="14" t="str">
        <f>_xlfn.XLOOKUP(B3440,CAD_PDV!A:A,CAD_PDV!B:B)</f>
        <v>JOSE ADALBERTO CERQUEIRA JUNIOR - ME</v>
      </c>
      <c r="K3440" s="14">
        <f>IF(IFERROR(_xlfn.XLOOKUP(B3440,Planilha2!D:D,Planilha2!H:H),0)="SIM",1,0)</f>
        <v>0</v>
      </c>
      <c r="L3440" s="14" t="str">
        <f>_xlfn.XLOOKUP(B3440,CAD_PDV!A:A,CAD_PDV!C:C)</f>
        <v>BA/SE</v>
      </c>
      <c r="M3440" s="14" t="str">
        <f>IFERROR(_xlfn.XLOOKUP(B3440,repete!A:A,repete!A:A),"-")</f>
        <v>-</v>
      </c>
    </row>
    <row r="3441" spans="1:13">
      <c r="A3441" s="1">
        <v>46235</v>
      </c>
      <c r="B3441" t="s">
        <v>1260</v>
      </c>
      <c r="C3441" t="s">
        <v>1261</v>
      </c>
      <c r="D3441" t="s">
        <v>138</v>
      </c>
      <c r="E3441" t="s">
        <v>55</v>
      </c>
      <c r="F3441">
        <v>9</v>
      </c>
      <c r="J3441" s="14" t="str">
        <f>_xlfn.XLOOKUP(B3441,CAD_PDV!A:A,CAD_PDV!B:B)</f>
        <v>GSM FREE</v>
      </c>
      <c r="K3441" s="14">
        <f>IF(IFERROR(_xlfn.XLOOKUP(B3441,Planilha2!D:D,Planilha2!H:H),0)="SIM",1,0)</f>
        <v>0</v>
      </c>
      <c r="L3441" s="14" t="str">
        <f>_xlfn.XLOOKUP(B3441,CAD_PDV!A:A,CAD_PDV!C:C)</f>
        <v>RJ/ES</v>
      </c>
      <c r="M3441" s="14" t="str">
        <f>IFERROR(_xlfn.XLOOKUP(B3441,repete!A:A,repete!A:A),"-")</f>
        <v>-</v>
      </c>
    </row>
    <row r="3442" spans="1:13">
      <c r="A3442" s="1">
        <v>46235</v>
      </c>
      <c r="B3442" t="s">
        <v>782</v>
      </c>
      <c r="C3442" t="s">
        <v>783</v>
      </c>
      <c r="D3442" t="s">
        <v>144</v>
      </c>
      <c r="E3442" t="s">
        <v>59</v>
      </c>
      <c r="F3442">
        <v>7</v>
      </c>
      <c r="J3442" s="14" t="str">
        <f>_xlfn.XLOOKUP(B3442,CAD_PDV!A:A,CAD_PDV!B:B)</f>
        <v>J F A DE OLIVEIRA &amp; CIA LTDA - ME</v>
      </c>
      <c r="K3442" s="14">
        <f>IF(IFERROR(_xlfn.XLOOKUP(B3442,Planilha2!D:D,Planilha2!H:H),0)="SIM",1,0)</f>
        <v>0</v>
      </c>
      <c r="L3442" s="14" t="str">
        <f>_xlfn.XLOOKUP(B3442,CAD_PDV!A:A,CAD_PDV!C:C)</f>
        <v>CO</v>
      </c>
      <c r="M3442" s="14" t="str">
        <f>IFERROR(_xlfn.XLOOKUP(B3442,repete!A:A,repete!A:A),"-")</f>
        <v>-</v>
      </c>
    </row>
    <row r="3443" spans="1:13">
      <c r="A3443" s="1">
        <v>46235</v>
      </c>
      <c r="B3443" t="s">
        <v>898</v>
      </c>
      <c r="C3443" t="s">
        <v>873</v>
      </c>
      <c r="D3443" t="s">
        <v>239</v>
      </c>
      <c r="E3443" t="s">
        <v>59</v>
      </c>
      <c r="F3443">
        <v>54</v>
      </c>
      <c r="J3443" s="14" t="str">
        <f>_xlfn.XLOOKUP(B3443,CAD_PDV!A:A,CAD_PDV!B:B)</f>
        <v>TELECELL TELEFONIA LTDA - ME</v>
      </c>
      <c r="K3443" s="14">
        <f>IF(IFERROR(_xlfn.XLOOKUP(B3443,Planilha2!D:D,Planilha2!H:H),0)="SIM",1,0)</f>
        <v>0</v>
      </c>
      <c r="L3443" s="14" t="str">
        <f>_xlfn.XLOOKUP(B3443,CAD_PDV!A:A,CAD_PDV!C:C)</f>
        <v>CO</v>
      </c>
      <c r="M3443" s="14" t="str">
        <f>IFERROR(_xlfn.XLOOKUP(B3443,repete!A:A,repete!A:A),"-")</f>
        <v>-</v>
      </c>
    </row>
    <row r="3444" spans="1:13">
      <c r="A3444" s="1">
        <v>46235</v>
      </c>
      <c r="B3444" t="s">
        <v>638</v>
      </c>
      <c r="C3444" t="s">
        <v>639</v>
      </c>
      <c r="D3444" t="s">
        <v>221</v>
      </c>
      <c r="E3444" t="s">
        <v>59</v>
      </c>
      <c r="F3444">
        <v>10</v>
      </c>
      <c r="J3444" s="14" t="str">
        <f>_xlfn.XLOOKUP(B3444,CAD_PDV!A:A,CAD_PDV!B:B)</f>
        <v>AMERICOM COMERCIO DE APARELHOS ELETRONICOS LTDA - EPP</v>
      </c>
      <c r="K3444" s="14">
        <f>IF(IFERROR(_xlfn.XLOOKUP(B3444,Planilha2!D:D,Planilha2!H:H),0)="SIM",1,0)</f>
        <v>0</v>
      </c>
      <c r="L3444" s="14" t="str">
        <f>_xlfn.XLOOKUP(B3444,CAD_PDV!A:A,CAD_PDV!C:C)</f>
        <v>CO</v>
      </c>
      <c r="M3444" s="14" t="str">
        <f>IFERROR(_xlfn.XLOOKUP(B3444,repete!A:A,repete!A:A),"-")</f>
        <v>-</v>
      </c>
    </row>
    <row r="3445" spans="1:13">
      <c r="A3445" s="1">
        <v>46235</v>
      </c>
      <c r="B3445" t="s">
        <v>1369</v>
      </c>
      <c r="C3445" t="s">
        <v>1313</v>
      </c>
      <c r="D3445" t="s">
        <v>132</v>
      </c>
      <c r="E3445" t="s">
        <v>53</v>
      </c>
      <c r="F3445">
        <v>8</v>
      </c>
      <c r="J3445" s="14" t="str">
        <f>_xlfn.XLOOKUP(B3445,CAD_PDV!A:A,CAD_PDV!B:B)</f>
        <v>FLEX CELL</v>
      </c>
      <c r="K3445" s="14">
        <f>IF(IFERROR(_xlfn.XLOOKUP(B3445,Planilha2!D:D,Planilha2!H:H),0)="SIM",1,0)</f>
        <v>0</v>
      </c>
      <c r="L3445" s="14" t="str">
        <f>_xlfn.XLOOKUP(B3445,CAD_PDV!A:A,CAD_PDV!C:C)</f>
        <v>SP1</v>
      </c>
      <c r="M3445" s="14" t="str">
        <f>IFERROR(_xlfn.XLOOKUP(B3445,repete!A:A,repete!A:A),"-")</f>
        <v>-</v>
      </c>
    </row>
    <row r="3446" spans="1:13">
      <c r="A3446" s="1">
        <v>46235</v>
      </c>
      <c r="B3446" t="s">
        <v>2125</v>
      </c>
      <c r="C3446" t="s">
        <v>2126</v>
      </c>
      <c r="D3446" t="s">
        <v>169</v>
      </c>
      <c r="E3446" t="s">
        <v>59</v>
      </c>
      <c r="F3446">
        <v>2</v>
      </c>
      <c r="J3446" s="14" t="e">
        <f>_xlfn.XLOOKUP(B3446,CAD_PDV!A:A,CAD_PDV!B:B)</f>
        <v>#N/A</v>
      </c>
      <c r="K3446" s="14">
        <f>IF(IFERROR(_xlfn.XLOOKUP(B3446,Planilha2!D:D,Planilha2!H:H),0)="SIM",1,0)</f>
        <v>0</v>
      </c>
      <c r="L3446" s="14" t="e">
        <f>_xlfn.XLOOKUP(B3446,CAD_PDV!A:A,CAD_PDV!C:C)</f>
        <v>#N/A</v>
      </c>
      <c r="M3446" s="14" t="str">
        <f>IFERROR(_xlfn.XLOOKUP(B3446,repete!A:A,repete!A:A),"-")</f>
        <v>-</v>
      </c>
    </row>
    <row r="3447" spans="1:13">
      <c r="A3447" s="1">
        <v>46235</v>
      </c>
      <c r="B3447" t="s">
        <v>1121</v>
      </c>
      <c r="C3447" t="s">
        <v>1122</v>
      </c>
      <c r="D3447" t="s">
        <v>143</v>
      </c>
      <c r="E3447" t="s">
        <v>62</v>
      </c>
      <c r="F3447">
        <v>8</v>
      </c>
      <c r="J3447" s="14" t="str">
        <f>_xlfn.XLOOKUP(B3447,CAD_PDV!A:A,CAD_PDV!B:B)</f>
        <v>INOVACELL LTDA</v>
      </c>
      <c r="K3447" s="14">
        <f>IF(IFERROR(_xlfn.XLOOKUP(B3447,Planilha2!D:D,Planilha2!H:H),0)="SIM",1,0)</f>
        <v>0</v>
      </c>
      <c r="L3447" s="14" t="str">
        <f>_xlfn.XLOOKUP(B3447,CAD_PDV!A:A,CAD_PDV!C:C)</f>
        <v>NO</v>
      </c>
      <c r="M3447" s="14" t="str">
        <f>IFERROR(_xlfn.XLOOKUP(B3447,repete!A:A,repete!A:A),"-")</f>
        <v>-</v>
      </c>
    </row>
    <row r="3448" spans="1:13">
      <c r="A3448" s="1">
        <v>46235</v>
      </c>
      <c r="B3448" t="s">
        <v>1130</v>
      </c>
      <c r="C3448" t="s">
        <v>1131</v>
      </c>
      <c r="D3448" t="s">
        <v>121</v>
      </c>
      <c r="E3448" t="s">
        <v>62</v>
      </c>
      <c r="F3448">
        <v>1</v>
      </c>
      <c r="J3448" s="14" t="str">
        <f>_xlfn.XLOOKUP(B3448,CAD_PDV!A:A,CAD_PDV!B:B)</f>
        <v>DSX TECH COMERCIO E SERVICOS LTDA</v>
      </c>
      <c r="K3448" s="14">
        <f>IF(IFERROR(_xlfn.XLOOKUP(B3448,Planilha2!D:D,Planilha2!H:H),0)="SIM",1,0)</f>
        <v>0</v>
      </c>
      <c r="L3448" s="14" t="str">
        <f>_xlfn.XLOOKUP(B3448,CAD_PDV!A:A,CAD_PDV!C:C)</f>
        <v>NO</v>
      </c>
      <c r="M3448" s="14" t="str">
        <f>IFERROR(_xlfn.XLOOKUP(B3448,repete!A:A,repete!A:A),"-")</f>
        <v>-</v>
      </c>
    </row>
    <row r="3449" spans="1:13">
      <c r="A3449" s="1">
        <v>46235</v>
      </c>
      <c r="B3449" t="s">
        <v>1403</v>
      </c>
      <c r="C3449" t="s">
        <v>1346</v>
      </c>
      <c r="D3449" t="s">
        <v>106</v>
      </c>
      <c r="E3449" t="s">
        <v>53</v>
      </c>
      <c r="F3449">
        <v>21</v>
      </c>
      <c r="J3449" s="14" t="str">
        <f>_xlfn.XLOOKUP(B3449,CAD_PDV!A:A,CAD_PDV!B:B)</f>
        <v>CELLULAR.COM</v>
      </c>
      <c r="K3449" s="14">
        <f>IF(IFERROR(_xlfn.XLOOKUP(B3449,Planilha2!D:D,Planilha2!H:H),0)="SIM",1,0)</f>
        <v>0</v>
      </c>
      <c r="L3449" s="14" t="str">
        <f>_xlfn.XLOOKUP(B3449,CAD_PDV!A:A,CAD_PDV!C:C)</f>
        <v>SP1</v>
      </c>
      <c r="M3449" s="14" t="str">
        <f>IFERROR(_xlfn.XLOOKUP(B3449,repete!A:A,repete!A:A),"-")</f>
        <v>-</v>
      </c>
    </row>
    <row r="3450" spans="1:13">
      <c r="A3450" s="1">
        <v>46235</v>
      </c>
      <c r="B3450" t="s">
        <v>1969</v>
      </c>
      <c r="C3450" t="s">
        <v>1968</v>
      </c>
      <c r="D3450" t="s">
        <v>124</v>
      </c>
      <c r="E3450" t="s">
        <v>2074</v>
      </c>
      <c r="F3450">
        <v>49</v>
      </c>
      <c r="J3450" s="14" t="str">
        <f>_xlfn.XLOOKUP(B3450,CAD_PDV!A:A,CAD_PDV!B:B)</f>
        <v>EDUARDO JUNQUEIRA DA SILVEIRA ADMIN</v>
      </c>
      <c r="K3450" s="14">
        <f>IF(IFERROR(_xlfn.XLOOKUP(B3450,Planilha2!D:D,Planilha2!H:H),0)="SIM",1,0)</f>
        <v>0</v>
      </c>
      <c r="L3450" s="14" t="str">
        <f>_xlfn.XLOOKUP(B3450,CAD_PDV!A:A,CAD_PDV!C:C)</f>
        <v>PR/SC</v>
      </c>
      <c r="M3450" s="14" t="str">
        <f>IFERROR(_xlfn.XLOOKUP(B3450,repete!A:A,repete!A:A),"-")</f>
        <v>-</v>
      </c>
    </row>
    <row r="3451" spans="1:13">
      <c r="A3451" s="1">
        <v>46235</v>
      </c>
      <c r="B3451" t="s">
        <v>379</v>
      </c>
      <c r="C3451" t="s">
        <v>380</v>
      </c>
      <c r="D3451" t="s">
        <v>123</v>
      </c>
      <c r="E3451" t="s">
        <v>61</v>
      </c>
      <c r="F3451">
        <v>3</v>
      </c>
      <c r="J3451" s="14" t="str">
        <f>_xlfn.XLOOKUP(B3451,CAD_PDV!A:A,CAD_PDV!B:B)</f>
        <v>EDGLAYDSON DA SILVA RAMOS - ME</v>
      </c>
      <c r="K3451" s="14">
        <f>IF(IFERROR(_xlfn.XLOOKUP(B3451,Planilha2!D:D,Planilha2!H:H),0)="SIM",1,0)</f>
        <v>0</v>
      </c>
      <c r="L3451" s="14" t="str">
        <f>_xlfn.XLOOKUP(B3451,CAD_PDV!A:A,CAD_PDV!C:C)</f>
        <v>NE</v>
      </c>
      <c r="M3451" s="14" t="str">
        <f>IFERROR(_xlfn.XLOOKUP(B3451,repete!A:A,repete!A:A),"-")</f>
        <v>-</v>
      </c>
    </row>
    <row r="3452" spans="1:13">
      <c r="A3452" s="1">
        <v>46235</v>
      </c>
      <c r="B3452" t="s">
        <v>715</v>
      </c>
      <c r="C3452" t="s">
        <v>716</v>
      </c>
      <c r="D3452" t="s">
        <v>173</v>
      </c>
      <c r="E3452" t="s">
        <v>59</v>
      </c>
      <c r="F3452">
        <v>3</v>
      </c>
      <c r="J3452" s="14" t="str">
        <f>_xlfn.XLOOKUP(B3452,CAD_PDV!A:A,CAD_PDV!B:B)</f>
        <v>N MAIA DE LIMA</v>
      </c>
      <c r="K3452" s="14">
        <f>IF(IFERROR(_xlfn.XLOOKUP(B3452,Planilha2!D:D,Planilha2!H:H),0)="SIM",1,0)</f>
        <v>0</v>
      </c>
      <c r="L3452" s="14" t="str">
        <f>_xlfn.XLOOKUP(B3452,CAD_PDV!A:A,CAD_PDV!C:C)</f>
        <v>CO</v>
      </c>
      <c r="M3452" s="14" t="str">
        <f>IFERROR(_xlfn.XLOOKUP(B3452,repete!A:A,repete!A:A),"-")</f>
        <v>-</v>
      </c>
    </row>
    <row r="3453" spans="1:13">
      <c r="A3453" s="1">
        <v>46235</v>
      </c>
      <c r="B3453" t="s">
        <v>784</v>
      </c>
      <c r="C3453" t="s">
        <v>783</v>
      </c>
      <c r="D3453" t="s">
        <v>144</v>
      </c>
      <c r="E3453" t="s">
        <v>59</v>
      </c>
      <c r="F3453">
        <v>14</v>
      </c>
      <c r="J3453" s="14" t="str">
        <f>_xlfn.XLOOKUP(B3453,CAD_PDV!A:A,CAD_PDV!B:B)</f>
        <v>J F A DE OLIVEIRA &amp; CIA LTDA - ME</v>
      </c>
      <c r="K3453" s="14">
        <f>IF(IFERROR(_xlfn.XLOOKUP(B3453,Planilha2!D:D,Planilha2!H:H),0)="SIM",1,0)</f>
        <v>0</v>
      </c>
      <c r="L3453" s="14" t="str">
        <f>_xlfn.XLOOKUP(B3453,CAD_PDV!A:A,CAD_PDV!C:C)</f>
        <v>CO</v>
      </c>
      <c r="M3453" s="14" t="str">
        <f>IFERROR(_xlfn.XLOOKUP(B3453,repete!A:A,repete!A:A),"-")</f>
        <v>-</v>
      </c>
    </row>
    <row r="3454" spans="1:13">
      <c r="A3454" s="1">
        <v>46235</v>
      </c>
      <c r="B3454" t="s">
        <v>461</v>
      </c>
      <c r="C3454" t="s">
        <v>463</v>
      </c>
      <c r="D3454" t="s">
        <v>192</v>
      </c>
      <c r="E3454" t="s">
        <v>56</v>
      </c>
      <c r="F3454">
        <v>12</v>
      </c>
      <c r="J3454" s="14" t="str">
        <f>_xlfn.XLOOKUP(B3454,CAD_PDV!A:A,CAD_PDV!B:B)</f>
        <v>ROSA BRANCA MONTEIRO &amp; CIA LTDA</v>
      </c>
      <c r="K3454" s="14">
        <f>IF(IFERROR(_xlfn.XLOOKUP(B3454,Planilha2!D:D,Planilha2!H:H),0)="SIM",1,0)</f>
        <v>0</v>
      </c>
      <c r="L3454" s="14" t="str">
        <f>_xlfn.XLOOKUP(B3454,CAD_PDV!A:A,CAD_PDV!C:C)</f>
        <v>MG</v>
      </c>
      <c r="M3454" s="14" t="str">
        <f>IFERROR(_xlfn.XLOOKUP(B3454,repete!A:A,repete!A:A),"-")</f>
        <v>-</v>
      </c>
    </row>
    <row r="3455" spans="1:13">
      <c r="A3455" s="1">
        <v>46235</v>
      </c>
      <c r="B3455" t="s">
        <v>705</v>
      </c>
      <c r="C3455" t="s">
        <v>706</v>
      </c>
      <c r="D3455" t="s">
        <v>130</v>
      </c>
      <c r="E3455" t="s">
        <v>59</v>
      </c>
      <c r="F3455">
        <v>22</v>
      </c>
      <c r="J3455" s="14" t="str">
        <f>_xlfn.XLOOKUP(B3455,CAD_PDV!A:A,CAD_PDV!B:B)</f>
        <v>F &amp; F CEL - COMERCIO E SERVICOS DE</v>
      </c>
      <c r="K3455" s="14">
        <f>IF(IFERROR(_xlfn.XLOOKUP(B3455,Planilha2!D:D,Planilha2!H:H),0)="SIM",1,0)</f>
        <v>0</v>
      </c>
      <c r="L3455" s="14" t="str">
        <f>_xlfn.XLOOKUP(B3455,CAD_PDV!A:A,CAD_PDV!C:C)</f>
        <v>CO</v>
      </c>
      <c r="M3455" s="14" t="str">
        <f>IFERROR(_xlfn.XLOOKUP(B3455,repete!A:A,repete!A:A),"-")</f>
        <v>-</v>
      </c>
    </row>
    <row r="3456" spans="1:13">
      <c r="A3456" s="1">
        <v>46235</v>
      </c>
      <c r="B3456" t="s">
        <v>650</v>
      </c>
      <c r="C3456" t="s">
        <v>651</v>
      </c>
      <c r="D3456" t="s">
        <v>240</v>
      </c>
      <c r="E3456" t="s">
        <v>59</v>
      </c>
      <c r="F3456">
        <v>23</v>
      </c>
      <c r="J3456" s="14" t="str">
        <f>_xlfn.XLOOKUP(B3456,CAD_PDV!A:A,CAD_PDV!B:B)</f>
        <v>TELEMAIS TELEFONIA LTDA - ME</v>
      </c>
      <c r="K3456" s="14">
        <f>IF(IFERROR(_xlfn.XLOOKUP(B3456,Planilha2!D:D,Planilha2!H:H),0)="SIM",1,0)</f>
        <v>0</v>
      </c>
      <c r="L3456" s="14" t="str">
        <f>_xlfn.XLOOKUP(B3456,CAD_PDV!A:A,CAD_PDV!C:C)</f>
        <v>CO</v>
      </c>
      <c r="M3456" s="14" t="str">
        <f>IFERROR(_xlfn.XLOOKUP(B3456,repete!A:A,repete!A:A),"-")</f>
        <v>-</v>
      </c>
    </row>
    <row r="3457" spans="1:13">
      <c r="A3457" s="1">
        <v>46235</v>
      </c>
      <c r="B3457" t="s">
        <v>1819</v>
      </c>
      <c r="C3457" t="s">
        <v>1820</v>
      </c>
      <c r="D3457" t="s">
        <v>95</v>
      </c>
      <c r="E3457" t="s">
        <v>2074</v>
      </c>
      <c r="F3457">
        <v>21</v>
      </c>
      <c r="J3457" s="14" t="str">
        <f>_xlfn.XLOOKUP(B3457,CAD_PDV!A:A,CAD_PDV!B:B)</f>
        <v>AYRES E DEBONI LTDA - ME</v>
      </c>
      <c r="K3457" s="14">
        <f>IF(IFERROR(_xlfn.XLOOKUP(B3457,Planilha2!D:D,Planilha2!H:H),0)="SIM",1,0)</f>
        <v>0</v>
      </c>
      <c r="L3457" s="14" t="str">
        <f>_xlfn.XLOOKUP(B3457,CAD_PDV!A:A,CAD_PDV!C:C)</f>
        <v>RS</v>
      </c>
      <c r="M3457" s="14" t="str">
        <f>IFERROR(_xlfn.XLOOKUP(B3457,repete!A:A,repete!A:A),"-")</f>
        <v>-</v>
      </c>
    </row>
    <row r="3458" spans="1:13">
      <c r="A3458" s="1">
        <v>46235</v>
      </c>
      <c r="B3458" t="s">
        <v>1896</v>
      </c>
      <c r="C3458" t="s">
        <v>1898</v>
      </c>
      <c r="D3458" t="s">
        <v>97</v>
      </c>
      <c r="E3458" t="s">
        <v>2074</v>
      </c>
      <c r="F3458">
        <v>8</v>
      </c>
      <c r="J3458" s="14" t="str">
        <f>_xlfn.XLOOKUP(B3458,CAD_PDV!A:A,CAD_PDV!B:B)</f>
        <v>BANDEIRA</v>
      </c>
      <c r="K3458" s="14">
        <f>IF(IFERROR(_xlfn.XLOOKUP(B3458,Planilha2!D:D,Planilha2!H:H),0)="SIM",1,0)</f>
        <v>0</v>
      </c>
      <c r="L3458" s="14" t="str">
        <f>_xlfn.XLOOKUP(B3458,CAD_PDV!A:A,CAD_PDV!C:C)</f>
        <v>PR/SC</v>
      </c>
      <c r="M3458" s="14" t="str">
        <f>IFERROR(_xlfn.XLOOKUP(B3458,repete!A:A,repete!A:A),"-")</f>
        <v>-</v>
      </c>
    </row>
    <row r="3459" spans="1:13">
      <c r="A3459" s="1">
        <v>46235</v>
      </c>
      <c r="B3459" t="s">
        <v>1303</v>
      </c>
      <c r="C3459" t="s">
        <v>1306</v>
      </c>
      <c r="D3459" t="s">
        <v>87</v>
      </c>
      <c r="E3459" t="s">
        <v>53</v>
      </c>
      <c r="F3459">
        <v>15</v>
      </c>
      <c r="J3459" s="14" t="str">
        <f>_xlfn.XLOOKUP(B3459,CAD_PDV!A:A,CAD_PDV!B:B)</f>
        <v>ALEXANDRE CISOTTO LAN HOUSE E TELECOMUNICACOES ME</v>
      </c>
      <c r="K3459" s="14">
        <f>IF(IFERROR(_xlfn.XLOOKUP(B3459,Planilha2!D:D,Planilha2!H:H),0)="SIM",1,0)</f>
        <v>0</v>
      </c>
      <c r="L3459" s="14" t="str">
        <f>_xlfn.XLOOKUP(B3459,CAD_PDV!A:A,CAD_PDV!C:C)</f>
        <v>SP1</v>
      </c>
      <c r="M3459" s="14" t="str">
        <f>IFERROR(_xlfn.XLOOKUP(B3459,repete!A:A,repete!A:A),"-")</f>
        <v>-</v>
      </c>
    </row>
    <row r="3460" spans="1:13">
      <c r="A3460" s="1">
        <v>46235</v>
      </c>
      <c r="B3460" t="s">
        <v>664</v>
      </c>
      <c r="C3460" t="s">
        <v>667</v>
      </c>
      <c r="D3460" t="s">
        <v>231</v>
      </c>
      <c r="E3460" t="s">
        <v>59</v>
      </c>
      <c r="F3460">
        <v>8</v>
      </c>
      <c r="J3460" s="14" t="str">
        <f>_xlfn.XLOOKUP(B3460,CAD_PDV!A:A,CAD_PDV!B:B)</f>
        <v>HIROTA &amp; HIROTA LTDA - ME</v>
      </c>
      <c r="K3460" s="14">
        <f>IF(IFERROR(_xlfn.XLOOKUP(B3460,Planilha2!D:D,Planilha2!H:H),0)="SIM",1,0)</f>
        <v>0</v>
      </c>
      <c r="L3460" s="14" t="str">
        <f>_xlfn.XLOOKUP(B3460,CAD_PDV!A:A,CAD_PDV!C:C)</f>
        <v>CO</v>
      </c>
      <c r="M3460" s="14" t="str">
        <f>IFERROR(_xlfn.XLOOKUP(B3460,repete!A:A,repete!A:A),"-")</f>
        <v>-</v>
      </c>
    </row>
    <row r="3461" spans="1:13">
      <c r="A3461" s="1">
        <v>46235</v>
      </c>
      <c r="B3461" t="s">
        <v>805</v>
      </c>
      <c r="C3461" t="s">
        <v>806</v>
      </c>
      <c r="D3461" t="s">
        <v>169</v>
      </c>
      <c r="E3461" t="s">
        <v>59</v>
      </c>
      <c r="F3461">
        <v>67</v>
      </c>
      <c r="J3461" s="14" t="str">
        <f>_xlfn.XLOOKUP(B3461,CAD_PDV!A:A,CAD_PDV!B:B)</f>
        <v>MEGA CELULAR</v>
      </c>
      <c r="K3461" s="14">
        <f>IF(IFERROR(_xlfn.XLOOKUP(B3461,Planilha2!D:D,Planilha2!H:H),0)="SIM",1,0)</f>
        <v>0</v>
      </c>
      <c r="L3461" s="14" t="str">
        <f>_xlfn.XLOOKUP(B3461,CAD_PDV!A:A,CAD_PDV!C:C)</f>
        <v>CO</v>
      </c>
      <c r="M3461" s="14" t="str">
        <f>IFERROR(_xlfn.XLOOKUP(B3461,repete!A:A,repete!A:A),"-")</f>
        <v>-</v>
      </c>
    </row>
    <row r="3462" spans="1:13">
      <c r="A3462" s="1">
        <v>46235</v>
      </c>
      <c r="B3462" t="s">
        <v>2127</v>
      </c>
      <c r="C3462" t="s">
        <v>2128</v>
      </c>
      <c r="D3462" t="s">
        <v>131</v>
      </c>
      <c r="E3462" t="s">
        <v>61</v>
      </c>
      <c r="F3462">
        <v>1</v>
      </c>
      <c r="J3462" s="14" t="e">
        <f>_xlfn.XLOOKUP(B3462,CAD_PDV!A:A,CAD_PDV!B:B)</f>
        <v>#N/A</v>
      </c>
      <c r="K3462" s="14">
        <f>IF(IFERROR(_xlfn.XLOOKUP(B3462,Planilha2!D:D,Planilha2!H:H),0)="SIM",1,0)</f>
        <v>0</v>
      </c>
      <c r="L3462" s="14" t="e">
        <f>_xlfn.XLOOKUP(B3462,CAD_PDV!A:A,CAD_PDV!C:C)</f>
        <v>#N/A</v>
      </c>
      <c r="M3462" s="14" t="str">
        <f>IFERROR(_xlfn.XLOOKUP(B3462,repete!A:A,repete!A:A),"-")</f>
        <v>-</v>
      </c>
    </row>
    <row r="3463" spans="1:13">
      <c r="A3463" s="1">
        <v>46235</v>
      </c>
      <c r="B3463" t="s">
        <v>964</v>
      </c>
      <c r="C3463" t="s">
        <v>940</v>
      </c>
      <c r="D3463" t="s">
        <v>236</v>
      </c>
      <c r="E3463" t="s">
        <v>60</v>
      </c>
      <c r="F3463">
        <v>30</v>
      </c>
      <c r="J3463" s="14" t="str">
        <f>_xlfn.XLOOKUP(B3463,CAD_PDV!A:A,CAD_PDV!B:B)</f>
        <v>PAULA C L NIELLA EIRELI</v>
      </c>
      <c r="K3463" s="14">
        <f>IF(IFERROR(_xlfn.XLOOKUP(B3463,Planilha2!D:D,Planilha2!H:H),0)="SIM",1,0)</f>
        <v>0</v>
      </c>
      <c r="L3463" s="14" t="str">
        <f>_xlfn.XLOOKUP(B3463,CAD_PDV!A:A,CAD_PDV!C:C)</f>
        <v>BA/SE</v>
      </c>
      <c r="M3463" s="14" t="str">
        <f>IFERROR(_xlfn.XLOOKUP(B3463,repete!A:A,repete!A:A),"-")</f>
        <v>-</v>
      </c>
    </row>
    <row r="3464" spans="1:13">
      <c r="A3464" s="1">
        <v>46235</v>
      </c>
      <c r="B3464" t="s">
        <v>857</v>
      </c>
      <c r="C3464" t="s">
        <v>855</v>
      </c>
      <c r="D3464" t="s">
        <v>2073</v>
      </c>
      <c r="E3464" t="s">
        <v>59</v>
      </c>
      <c r="F3464">
        <v>11</v>
      </c>
      <c r="J3464" s="14" t="str">
        <f>_xlfn.XLOOKUP(B3464,CAD_PDV!A:A,CAD_PDV!B:B)</f>
        <v xml:space="preserve">CONTACOM COMERCIO DE APARELHOS ELETRONICOS LTDA </v>
      </c>
      <c r="K3464" s="14">
        <f>IF(IFERROR(_xlfn.XLOOKUP(B3464,Planilha2!D:D,Planilha2!H:H),0)="SIM",1,0)</f>
        <v>0</v>
      </c>
      <c r="L3464" s="14" t="str">
        <f>_xlfn.XLOOKUP(B3464,CAD_PDV!A:A,CAD_PDV!C:C)</f>
        <v>CO</v>
      </c>
      <c r="M3464" s="14" t="str">
        <f>IFERROR(_xlfn.XLOOKUP(B3464,repete!A:A,repete!A:A),"-")</f>
        <v>-</v>
      </c>
    </row>
    <row r="3465" spans="1:13">
      <c r="A3465" s="1">
        <v>46235</v>
      </c>
      <c r="B3465" t="s">
        <v>724</v>
      </c>
      <c r="C3465" t="s">
        <v>727</v>
      </c>
      <c r="D3465" t="s">
        <v>215</v>
      </c>
      <c r="E3465" t="s">
        <v>59</v>
      </c>
      <c r="F3465">
        <v>13</v>
      </c>
      <c r="J3465" s="14" t="str">
        <f>_xlfn.XLOOKUP(B3465,CAD_PDV!A:A,CAD_PDV!B:B)</f>
        <v>VIA SALLUS</v>
      </c>
      <c r="K3465" s="14">
        <f>IF(IFERROR(_xlfn.XLOOKUP(B3465,Planilha2!D:D,Planilha2!H:H),0)="SIM",1,0)</f>
        <v>0</v>
      </c>
      <c r="L3465" s="14" t="str">
        <f>_xlfn.XLOOKUP(B3465,CAD_PDV!A:A,CAD_PDV!C:C)</f>
        <v>CO</v>
      </c>
      <c r="M3465" s="14" t="str">
        <f>IFERROR(_xlfn.XLOOKUP(B3465,repete!A:A,repete!A:A),"-")</f>
        <v>-</v>
      </c>
    </row>
    <row r="3466" spans="1:13">
      <c r="A3466" s="1">
        <v>46235</v>
      </c>
      <c r="B3466" t="s">
        <v>1340</v>
      </c>
      <c r="C3466" t="s">
        <v>1341</v>
      </c>
      <c r="D3466" t="s">
        <v>225</v>
      </c>
      <c r="E3466" t="s">
        <v>53</v>
      </c>
      <c r="F3466">
        <v>32</v>
      </c>
      <c r="J3466" s="14" t="str">
        <f>_xlfn.XLOOKUP(B3466,CAD_PDV!A:A,CAD_PDV!B:B)</f>
        <v>CLARICELL SP1</v>
      </c>
      <c r="K3466" s="14">
        <f>IF(IFERROR(_xlfn.XLOOKUP(B3466,Planilha2!D:D,Planilha2!H:H),0)="SIM",1,0)</f>
        <v>0</v>
      </c>
      <c r="L3466" s="14" t="str">
        <f>_xlfn.XLOOKUP(B3466,CAD_PDV!A:A,CAD_PDV!C:C)</f>
        <v>SP1</v>
      </c>
      <c r="M3466" s="14" t="str">
        <f>IFERROR(_xlfn.XLOOKUP(B3466,repete!A:A,repete!A:A),"-")</f>
        <v>-</v>
      </c>
    </row>
    <row r="3467" spans="1:13">
      <c r="A3467" s="1">
        <v>46235</v>
      </c>
      <c r="B3467" t="s">
        <v>575</v>
      </c>
      <c r="C3467" t="s">
        <v>576</v>
      </c>
      <c r="D3467" t="s">
        <v>107</v>
      </c>
      <c r="E3467" t="s">
        <v>56</v>
      </c>
      <c r="F3467">
        <v>19</v>
      </c>
      <c r="J3467" s="14" t="str">
        <f>_xlfn.XLOOKUP(B3467,CAD_PDV!A:A,CAD_PDV!B:B)</f>
        <v>CENTERCELL TELECOMUNICACOES CARANGO</v>
      </c>
      <c r="K3467" s="14">
        <f>IF(IFERROR(_xlfn.XLOOKUP(B3467,Planilha2!D:D,Planilha2!H:H),0)="SIM",1,0)</f>
        <v>0</v>
      </c>
      <c r="L3467" s="14" t="str">
        <f>_xlfn.XLOOKUP(B3467,CAD_PDV!A:A,CAD_PDV!C:C)</f>
        <v>MG</v>
      </c>
      <c r="M3467" s="14" t="str">
        <f>IFERROR(_xlfn.XLOOKUP(B3467,repete!A:A,repete!A:A),"-")</f>
        <v>-</v>
      </c>
    </row>
    <row r="3468" spans="1:13">
      <c r="A3468" s="1">
        <v>46235</v>
      </c>
      <c r="B3468" t="s">
        <v>1800</v>
      </c>
      <c r="C3468" t="s">
        <v>1799</v>
      </c>
      <c r="D3468" t="s">
        <v>106</v>
      </c>
      <c r="E3468" t="s">
        <v>2074</v>
      </c>
      <c r="F3468">
        <v>7</v>
      </c>
      <c r="J3468" s="14" t="str">
        <f>_xlfn.XLOOKUP(B3468,CAD_PDV!A:A,CAD_PDV!B:B)</f>
        <v>CELLULAR.COM</v>
      </c>
      <c r="K3468" s="14">
        <f>IF(IFERROR(_xlfn.XLOOKUP(B3468,Planilha2!D:D,Planilha2!H:H),0)="SIM",1,0)</f>
        <v>0</v>
      </c>
      <c r="L3468" s="14" t="str">
        <f>_xlfn.XLOOKUP(B3468,CAD_PDV!A:A,CAD_PDV!C:C)</f>
        <v>PR/SC</v>
      </c>
      <c r="M3468" s="14" t="str">
        <f>IFERROR(_xlfn.XLOOKUP(B3468,repete!A:A,repete!A:A),"-")</f>
        <v>-</v>
      </c>
    </row>
    <row r="3469" spans="1:13">
      <c r="A3469" s="1">
        <v>46235</v>
      </c>
      <c r="B3469" t="s">
        <v>1714</v>
      </c>
      <c r="C3469" t="s">
        <v>1715</v>
      </c>
      <c r="D3469" t="s">
        <v>120</v>
      </c>
      <c r="E3469" t="s">
        <v>54</v>
      </c>
      <c r="F3469">
        <v>30</v>
      </c>
      <c r="J3469" s="14" t="str">
        <f>_xlfn.XLOOKUP(B3469,CAD_PDV!A:A,CAD_PDV!B:B)</f>
        <v>DOUGLAS LUIZ ELETRONICOS - ME</v>
      </c>
      <c r="K3469" s="14">
        <f>IF(IFERROR(_xlfn.XLOOKUP(B3469,Planilha2!D:D,Planilha2!H:H),0)="SIM",1,0)</f>
        <v>0</v>
      </c>
      <c r="L3469" s="14" t="str">
        <f>_xlfn.XLOOKUP(B3469,CAD_PDV!A:A,CAD_PDV!C:C)</f>
        <v>SP2</v>
      </c>
      <c r="M3469" s="14" t="str">
        <f>IFERROR(_xlfn.XLOOKUP(B3469,repete!A:A,repete!A:A),"-")</f>
        <v>-</v>
      </c>
    </row>
    <row r="3470" spans="1:13">
      <c r="A3470" s="1">
        <v>46235</v>
      </c>
      <c r="B3470" t="s">
        <v>1866</v>
      </c>
      <c r="C3470" t="s">
        <v>1867</v>
      </c>
      <c r="D3470" t="s">
        <v>106</v>
      </c>
      <c r="E3470" t="s">
        <v>2074</v>
      </c>
      <c r="F3470">
        <v>23</v>
      </c>
      <c r="J3470" s="14" t="str">
        <f>_xlfn.XLOOKUP(B3470,CAD_PDV!A:A,CAD_PDV!B:B)</f>
        <v>CELLULAR.COM</v>
      </c>
      <c r="K3470" s="14">
        <f>IF(IFERROR(_xlfn.XLOOKUP(B3470,Planilha2!D:D,Planilha2!H:H),0)="SIM",1,0)</f>
        <v>0</v>
      </c>
      <c r="L3470" s="14" t="str">
        <f>_xlfn.XLOOKUP(B3470,CAD_PDV!A:A,CAD_PDV!C:C)</f>
        <v>PR/SC</v>
      </c>
      <c r="M3470" s="14" t="str">
        <f>IFERROR(_xlfn.XLOOKUP(B3470,repete!A:A,repete!A:A),"-")</f>
        <v>-</v>
      </c>
    </row>
    <row r="3471" spans="1:13">
      <c r="A3471" s="1">
        <v>46235</v>
      </c>
      <c r="B3471" t="s">
        <v>629</v>
      </c>
      <c r="C3471" t="s">
        <v>630</v>
      </c>
      <c r="D3471" t="s">
        <v>206</v>
      </c>
      <c r="E3471" t="s">
        <v>59</v>
      </c>
      <c r="F3471">
        <v>5</v>
      </c>
      <c r="J3471" s="14" t="str">
        <f>_xlfn.XLOOKUP(B3471,CAD_PDV!A:A,CAD_PDV!B:B)</f>
        <v>TATIANE CONCEICAO DE OLIVEIRA - ME</v>
      </c>
      <c r="K3471" s="14">
        <f>IF(IFERROR(_xlfn.XLOOKUP(B3471,Planilha2!D:D,Planilha2!H:H),0)="SIM",1,0)</f>
        <v>0</v>
      </c>
      <c r="L3471" s="14" t="str">
        <f>_xlfn.XLOOKUP(B3471,CAD_PDV!A:A,CAD_PDV!C:C)</f>
        <v>CO</v>
      </c>
      <c r="M3471" s="14" t="str">
        <f>IFERROR(_xlfn.XLOOKUP(B3471,repete!A:A,repete!A:A),"-")</f>
        <v>-</v>
      </c>
    </row>
    <row r="3472" spans="1:13">
      <c r="A3472" s="1">
        <v>46235</v>
      </c>
      <c r="B3472" t="s">
        <v>381</v>
      </c>
      <c r="C3472" t="s">
        <v>382</v>
      </c>
      <c r="D3472" t="s">
        <v>226</v>
      </c>
      <c r="E3472" t="s">
        <v>61</v>
      </c>
      <c r="F3472">
        <v>23</v>
      </c>
      <c r="J3472" s="14" t="str">
        <f>_xlfn.XLOOKUP(B3472,CAD_PDV!A:A,CAD_PDV!B:B)</f>
        <v>DELTA CELL TELECOMUNICACOES LTDA</v>
      </c>
      <c r="K3472" s="14">
        <f>IF(IFERROR(_xlfn.XLOOKUP(B3472,Planilha2!D:D,Planilha2!H:H),0)="SIM",1,0)</f>
        <v>0</v>
      </c>
      <c r="L3472" s="14" t="str">
        <f>_xlfn.XLOOKUP(B3472,CAD_PDV!A:A,CAD_PDV!C:C)</f>
        <v>NE</v>
      </c>
      <c r="M3472" s="14" t="str">
        <f>IFERROR(_xlfn.XLOOKUP(B3472,repete!A:A,repete!A:A),"-")</f>
        <v>-</v>
      </c>
    </row>
    <row r="3473" spans="1:13">
      <c r="A3473" s="1">
        <v>46235</v>
      </c>
      <c r="B3473" t="s">
        <v>1036</v>
      </c>
      <c r="C3473" t="s">
        <v>1037</v>
      </c>
      <c r="D3473" t="s">
        <v>236</v>
      </c>
      <c r="E3473" t="s">
        <v>60</v>
      </c>
      <c r="F3473">
        <v>20</v>
      </c>
      <c r="J3473" s="14" t="str">
        <f>_xlfn.XLOOKUP(B3473,CAD_PDV!A:A,CAD_PDV!B:B)</f>
        <v>PAULA C L NIELLA EIRELI</v>
      </c>
      <c r="K3473" s="14">
        <f>IF(IFERROR(_xlfn.XLOOKUP(B3473,Planilha2!D:D,Planilha2!H:H),0)="SIM",1,0)</f>
        <v>0</v>
      </c>
      <c r="L3473" s="14" t="str">
        <f>_xlfn.XLOOKUP(B3473,CAD_PDV!A:A,CAD_PDV!C:C)</f>
        <v>BA/SE</v>
      </c>
      <c r="M3473" s="14" t="str">
        <f>IFERROR(_xlfn.XLOOKUP(B3473,repete!A:A,repete!A:A),"-")</f>
        <v>-</v>
      </c>
    </row>
    <row r="3474" spans="1:13">
      <c r="A3474" s="1">
        <v>46235</v>
      </c>
      <c r="B3474" t="s">
        <v>1770</v>
      </c>
      <c r="C3474" t="s">
        <v>1771</v>
      </c>
      <c r="D3474" t="s">
        <v>124</v>
      </c>
      <c r="E3474" t="s">
        <v>2074</v>
      </c>
      <c r="F3474">
        <v>2</v>
      </c>
      <c r="J3474" s="14" t="str">
        <f>_xlfn.XLOOKUP(B3474,CAD_PDV!A:A,CAD_PDV!B:B)</f>
        <v>EDUARDO JUNQUEIRA DA SILVEIRA ADMIN</v>
      </c>
      <c r="K3474" s="14">
        <f>IF(IFERROR(_xlfn.XLOOKUP(B3474,Planilha2!D:D,Planilha2!H:H),0)="SIM",1,0)</f>
        <v>0</v>
      </c>
      <c r="L3474" s="14" t="str">
        <f>_xlfn.XLOOKUP(B3474,CAD_PDV!A:A,CAD_PDV!C:C)</f>
        <v>RS</v>
      </c>
      <c r="M3474" s="14" t="str">
        <f>IFERROR(_xlfn.XLOOKUP(B3474,repete!A:A,repete!A:A),"-")</f>
        <v>-</v>
      </c>
    </row>
    <row r="3475" spans="1:13">
      <c r="A3475" s="1">
        <v>46235</v>
      </c>
      <c r="B3475" t="s">
        <v>707</v>
      </c>
      <c r="C3475" t="s">
        <v>694</v>
      </c>
      <c r="D3475" t="s">
        <v>165</v>
      </c>
      <c r="E3475" t="s">
        <v>59</v>
      </c>
      <c r="F3475">
        <v>13</v>
      </c>
      <c r="J3475" s="14" t="str">
        <f>_xlfn.XLOOKUP(B3475,CAD_PDV!A:A,CAD_PDV!B:B)</f>
        <v>MASTERCELL COMERCIO E SERVICOS DE T</v>
      </c>
      <c r="K3475" s="14">
        <f>IF(IFERROR(_xlfn.XLOOKUP(B3475,Planilha2!D:D,Planilha2!H:H),0)="SIM",1,0)</f>
        <v>1</v>
      </c>
      <c r="L3475" s="14" t="str">
        <f>_xlfn.XLOOKUP(B3475,CAD_PDV!A:A,CAD_PDV!C:C)</f>
        <v>CO</v>
      </c>
      <c r="M3475" s="14" t="str">
        <f>IFERROR(_xlfn.XLOOKUP(B3475,repete!A:A,repete!A:A),"-")</f>
        <v>-</v>
      </c>
    </row>
    <row r="3476" spans="1:13">
      <c r="A3476" s="1">
        <v>46235</v>
      </c>
      <c r="B3476" t="s">
        <v>383</v>
      </c>
      <c r="C3476" t="s">
        <v>257</v>
      </c>
      <c r="D3476" t="s">
        <v>104</v>
      </c>
      <c r="E3476" t="s">
        <v>61</v>
      </c>
      <c r="F3476">
        <v>66</v>
      </c>
      <c r="J3476" s="14" t="str">
        <f>_xlfn.XLOOKUP(B3476,CAD_PDV!A:A,CAD_PDV!B:B)</f>
        <v>CARLOS FREDERICO E FILHOS COMERCIO</v>
      </c>
      <c r="K3476" s="14">
        <f>IF(IFERROR(_xlfn.XLOOKUP(B3476,Planilha2!D:D,Planilha2!H:H),0)="SIM",1,0)</f>
        <v>0</v>
      </c>
      <c r="L3476" s="14" t="str">
        <f>_xlfn.XLOOKUP(B3476,CAD_PDV!A:A,CAD_PDV!C:C)</f>
        <v>NE</v>
      </c>
      <c r="M3476" s="14" t="str">
        <f>IFERROR(_xlfn.XLOOKUP(B3476,repete!A:A,repete!A:A),"-")</f>
        <v>-</v>
      </c>
    </row>
    <row r="3477" spans="1:13">
      <c r="A3477" s="1">
        <v>46235</v>
      </c>
      <c r="B3477" t="s">
        <v>1928</v>
      </c>
      <c r="C3477" t="s">
        <v>775</v>
      </c>
      <c r="D3477" t="s">
        <v>178</v>
      </c>
      <c r="E3477" t="s">
        <v>2074</v>
      </c>
      <c r="F3477">
        <v>4</v>
      </c>
      <c r="J3477" s="14" t="str">
        <f>_xlfn.XLOOKUP(B3477,CAD_PDV!A:A,CAD_PDV!B:B)</f>
        <v>PACCO COMERCIO DE APARELHOS ELETRON</v>
      </c>
      <c r="K3477" s="14">
        <f>IF(IFERROR(_xlfn.XLOOKUP(B3477,Planilha2!D:D,Planilha2!H:H),0)="SIM",1,0)</f>
        <v>1</v>
      </c>
      <c r="L3477" s="14" t="str">
        <f>_xlfn.XLOOKUP(B3477,CAD_PDV!A:A,CAD_PDV!C:C)</f>
        <v>PR/SC</v>
      </c>
      <c r="M3477" s="14" t="str">
        <f>IFERROR(_xlfn.XLOOKUP(B3477,repete!A:A,repete!A:A),"-")</f>
        <v>-</v>
      </c>
    </row>
    <row r="3478" spans="1:13">
      <c r="A3478" s="1">
        <v>46235</v>
      </c>
      <c r="B3478" t="s">
        <v>518</v>
      </c>
      <c r="C3478" t="s">
        <v>507</v>
      </c>
      <c r="D3478" t="s">
        <v>106</v>
      </c>
      <c r="E3478" t="s">
        <v>56</v>
      </c>
      <c r="F3478">
        <v>23</v>
      </c>
      <c r="J3478" s="14" t="str">
        <f>_xlfn.XLOOKUP(B3478,CAD_PDV!A:A,CAD_PDV!B:B)</f>
        <v>CELLULAR.COM</v>
      </c>
      <c r="K3478" s="14">
        <f>IF(IFERROR(_xlfn.XLOOKUP(B3478,Planilha2!D:D,Planilha2!H:H),0)="SIM",1,0)</f>
        <v>0</v>
      </c>
      <c r="L3478" s="14" t="str">
        <f>_xlfn.XLOOKUP(B3478,CAD_PDV!A:A,CAD_PDV!C:C)</f>
        <v>MG</v>
      </c>
      <c r="M3478" s="14" t="str">
        <f>IFERROR(_xlfn.XLOOKUP(B3478,repete!A:A,repete!A:A),"-")</f>
        <v>-</v>
      </c>
    </row>
    <row r="3479" spans="1:13">
      <c r="A3479" s="1">
        <v>46235</v>
      </c>
      <c r="B3479" t="s">
        <v>2129</v>
      </c>
      <c r="C3479" t="s">
        <v>2130</v>
      </c>
      <c r="D3479" t="s">
        <v>227</v>
      </c>
      <c r="E3479" t="s">
        <v>61</v>
      </c>
      <c r="F3479">
        <v>8</v>
      </c>
      <c r="J3479" s="14" t="str">
        <f>_xlfn.XLOOKUP(B3479,CAD_PDV!A:A,CAD_PDV!B:B)</f>
        <v>E-MEAN SERVICOS DE MARKETING DIRETO LTDA</v>
      </c>
      <c r="K3479" s="14">
        <f>IF(IFERROR(_xlfn.XLOOKUP(B3479,Planilha2!D:D,Planilha2!H:H),0)="SIM",1,0)</f>
        <v>0</v>
      </c>
      <c r="L3479" s="14" t="str">
        <f>_xlfn.XLOOKUP(B3479,CAD_PDV!A:A,CAD_PDV!C:C)</f>
        <v>NE</v>
      </c>
      <c r="M3479" s="14" t="str">
        <f>IFERROR(_xlfn.XLOOKUP(B3479,repete!A:A,repete!A:A),"-")</f>
        <v>-</v>
      </c>
    </row>
    <row r="3480" spans="1:13">
      <c r="A3480" s="1">
        <v>46235</v>
      </c>
      <c r="B3480" t="s">
        <v>1857</v>
      </c>
      <c r="C3480" t="s">
        <v>1856</v>
      </c>
      <c r="D3480" t="s">
        <v>106</v>
      </c>
      <c r="E3480" t="s">
        <v>2074</v>
      </c>
      <c r="F3480">
        <v>12</v>
      </c>
      <c r="J3480" s="14" t="str">
        <f>_xlfn.XLOOKUP(B3480,CAD_PDV!A:A,CAD_PDV!B:B)</f>
        <v>CELLULAR.COM</v>
      </c>
      <c r="K3480" s="14">
        <f>IF(IFERROR(_xlfn.XLOOKUP(B3480,Planilha2!D:D,Planilha2!H:H),0)="SIM",1,0)</f>
        <v>0</v>
      </c>
      <c r="L3480" s="14" t="str">
        <f>_xlfn.XLOOKUP(B3480,CAD_PDV!A:A,CAD_PDV!C:C)</f>
        <v>PR/SC</v>
      </c>
      <c r="M3480" s="14" t="str">
        <f>IFERROR(_xlfn.XLOOKUP(B3480,repete!A:A,repete!A:A),"-")</f>
        <v>-</v>
      </c>
    </row>
    <row r="3481" spans="1:13">
      <c r="A3481" s="1">
        <v>46235</v>
      </c>
      <c r="B3481" t="s">
        <v>384</v>
      </c>
      <c r="C3481" t="s">
        <v>385</v>
      </c>
      <c r="D3481" t="s">
        <v>141</v>
      </c>
      <c r="E3481" t="s">
        <v>61</v>
      </c>
      <c r="F3481">
        <v>4</v>
      </c>
      <c r="J3481" s="14" t="str">
        <f>_xlfn.XLOOKUP(B3481,CAD_PDV!A:A,CAD_PDV!B:B)</f>
        <v>ICARO CARVALHO CAVALCANTE</v>
      </c>
      <c r="K3481" s="14">
        <f>IF(IFERROR(_xlfn.XLOOKUP(B3481,Planilha2!D:D,Planilha2!H:H),0)="SIM",1,0)</f>
        <v>0</v>
      </c>
      <c r="L3481" s="14" t="str">
        <f>_xlfn.XLOOKUP(B3481,CAD_PDV!A:A,CAD_PDV!C:C)</f>
        <v>NE</v>
      </c>
      <c r="M3481" s="14" t="str">
        <f>IFERROR(_xlfn.XLOOKUP(B3481,repete!A:A,repete!A:A),"-")</f>
        <v>-</v>
      </c>
    </row>
    <row r="3482" spans="1:13">
      <c r="A3482" s="1">
        <v>46235</v>
      </c>
      <c r="B3482" t="s">
        <v>1318</v>
      </c>
      <c r="C3482" t="s">
        <v>1310</v>
      </c>
      <c r="D3482" t="s">
        <v>105</v>
      </c>
      <c r="E3482" t="s">
        <v>53</v>
      </c>
      <c r="F3482">
        <v>9</v>
      </c>
      <c r="J3482" s="14" t="str">
        <f>_xlfn.XLOOKUP(B3482,CAD_PDV!A:A,CAD_PDV!B:B)</f>
        <v>CELL AZUL CELULARES LTDA - EPP</v>
      </c>
      <c r="K3482" s="14">
        <f>IF(IFERROR(_xlfn.XLOOKUP(B3482,Planilha2!D:D,Planilha2!H:H),0)="SIM",1,0)</f>
        <v>0</v>
      </c>
      <c r="L3482" s="14" t="str">
        <f>_xlfn.XLOOKUP(B3482,CAD_PDV!A:A,CAD_PDV!C:C)</f>
        <v>SP1</v>
      </c>
      <c r="M3482" s="14" t="str">
        <f>IFERROR(_xlfn.XLOOKUP(B3482,repete!A:A,repete!A:A),"-")</f>
        <v>-</v>
      </c>
    </row>
    <row r="3483" spans="1:13">
      <c r="A3483" s="1">
        <v>46235</v>
      </c>
      <c r="B3483" t="s">
        <v>935</v>
      </c>
      <c r="C3483" t="s">
        <v>936</v>
      </c>
      <c r="D3483" t="s">
        <v>191</v>
      </c>
      <c r="E3483" t="s">
        <v>59</v>
      </c>
      <c r="F3483">
        <v>1</v>
      </c>
      <c r="J3483" s="14" t="str">
        <f>_xlfn.XLOOKUP(B3483,CAD_PDV!A:A,CAD_PDV!B:B)</f>
        <v>REDCELL F.GOMES LTDA</v>
      </c>
      <c r="K3483" s="14">
        <f>IF(IFERROR(_xlfn.XLOOKUP(B3483,Planilha2!D:D,Planilha2!H:H),0)="SIM",1,0)</f>
        <v>0</v>
      </c>
      <c r="L3483" s="14" t="str">
        <f>_xlfn.XLOOKUP(B3483,CAD_PDV!A:A,CAD_PDV!C:C)</f>
        <v>CO</v>
      </c>
      <c r="M3483" s="14" t="str">
        <f>IFERROR(_xlfn.XLOOKUP(B3483,repete!A:A,repete!A:A),"-")</f>
        <v>-</v>
      </c>
    </row>
    <row r="3484" spans="1:13">
      <c r="A3484" s="1">
        <v>46235</v>
      </c>
      <c r="B3484" t="s">
        <v>1792</v>
      </c>
      <c r="C3484" t="s">
        <v>1793</v>
      </c>
      <c r="D3484" t="s">
        <v>103</v>
      </c>
      <c r="E3484" t="s">
        <v>2074</v>
      </c>
      <c r="F3484">
        <v>6</v>
      </c>
      <c r="J3484" s="14" t="str">
        <f>_xlfn.XLOOKUP(B3484,CAD_PDV!A:A,CAD_PDV!B:B)</f>
        <v>CARLOS EDUARDO SAVIAN - EPP</v>
      </c>
      <c r="K3484" s="14">
        <f>IF(IFERROR(_xlfn.XLOOKUP(B3484,Planilha2!D:D,Planilha2!H:H),0)="SIM",1,0)</f>
        <v>0</v>
      </c>
      <c r="L3484" s="14" t="str">
        <f>_xlfn.XLOOKUP(B3484,CAD_PDV!A:A,CAD_PDV!C:C)</f>
        <v>PR/SC</v>
      </c>
      <c r="M3484" s="14" t="str">
        <f>IFERROR(_xlfn.XLOOKUP(B3484,repete!A:A,repete!A:A),"-")</f>
        <v>-</v>
      </c>
    </row>
    <row r="3485" spans="1:13">
      <c r="A3485" s="1">
        <v>46235</v>
      </c>
      <c r="B3485" t="s">
        <v>1941</v>
      </c>
      <c r="C3485" t="s">
        <v>1942</v>
      </c>
      <c r="D3485" t="s">
        <v>176</v>
      </c>
      <c r="E3485" t="s">
        <v>2074</v>
      </c>
      <c r="F3485">
        <v>17</v>
      </c>
      <c r="J3485" s="14" t="str">
        <f>_xlfn.XLOOKUP(B3485,CAD_PDV!A:A,CAD_PDV!B:B)</f>
        <v>NEW POINT CELULAR LTDA - ME</v>
      </c>
      <c r="K3485" s="14">
        <f>IF(IFERROR(_xlfn.XLOOKUP(B3485,Planilha2!D:D,Planilha2!H:H),0)="SIM",1,0)</f>
        <v>0</v>
      </c>
      <c r="L3485" s="14" t="str">
        <f>_xlfn.XLOOKUP(B3485,CAD_PDV!A:A,CAD_PDV!C:C)</f>
        <v>RS</v>
      </c>
      <c r="M3485" s="14" t="str">
        <f>IFERROR(_xlfn.XLOOKUP(B3485,repete!A:A,repete!A:A),"-")</f>
        <v>-</v>
      </c>
    </row>
    <row r="3486" spans="1:13">
      <c r="A3486" s="1">
        <v>46235</v>
      </c>
      <c r="B3486" t="s">
        <v>1175</v>
      </c>
      <c r="C3486" t="s">
        <v>1176</v>
      </c>
      <c r="D3486" t="s">
        <v>138</v>
      </c>
      <c r="E3486" t="s">
        <v>55</v>
      </c>
      <c r="F3486">
        <v>19</v>
      </c>
      <c r="J3486" s="14" t="str">
        <f>_xlfn.XLOOKUP(B3486,CAD_PDV!A:A,CAD_PDV!B:B)</f>
        <v>GSM FREE</v>
      </c>
      <c r="K3486" s="14">
        <f>IF(IFERROR(_xlfn.XLOOKUP(B3486,Planilha2!D:D,Planilha2!H:H),0)="SIM",1,0)</f>
        <v>0</v>
      </c>
      <c r="L3486" s="14" t="str">
        <f>_xlfn.XLOOKUP(B3486,CAD_PDV!A:A,CAD_PDV!C:C)</f>
        <v>RJ/ES</v>
      </c>
      <c r="M3486" s="14" t="str">
        <f>IFERROR(_xlfn.XLOOKUP(B3486,repete!A:A,repete!A:A),"-")</f>
        <v>-</v>
      </c>
    </row>
    <row r="3487" spans="1:13">
      <c r="A3487" s="1">
        <v>46235</v>
      </c>
      <c r="B3487" t="s">
        <v>1391</v>
      </c>
      <c r="C3487" t="s">
        <v>1392</v>
      </c>
      <c r="D3487" t="s">
        <v>157</v>
      </c>
      <c r="E3487" t="s">
        <v>53</v>
      </c>
      <c r="F3487">
        <v>8</v>
      </c>
      <c r="J3487" s="14" t="str">
        <f>_xlfn.XLOOKUP(B3487,CAD_PDV!A:A,CAD_PDV!B:B)</f>
        <v>LINK TELECOM COMERCIO DE CELULARES LTDA - ME</v>
      </c>
      <c r="K3487" s="14">
        <f>IF(IFERROR(_xlfn.XLOOKUP(B3487,Planilha2!D:D,Planilha2!H:H),0)="SIM",1,0)</f>
        <v>0</v>
      </c>
      <c r="L3487" s="14" t="str">
        <f>_xlfn.XLOOKUP(B3487,CAD_PDV!A:A,CAD_PDV!C:C)</f>
        <v>SP1</v>
      </c>
      <c r="M3487" s="14" t="str">
        <f>IFERROR(_xlfn.XLOOKUP(B3487,repete!A:A,repete!A:A),"-")</f>
        <v>-</v>
      </c>
    </row>
    <row r="3488" spans="1:13">
      <c r="A3488" s="1">
        <v>46235</v>
      </c>
      <c r="B3488" t="s">
        <v>386</v>
      </c>
      <c r="C3488" t="s">
        <v>387</v>
      </c>
      <c r="D3488" t="s">
        <v>227</v>
      </c>
      <c r="E3488" t="s">
        <v>61</v>
      </c>
      <c r="F3488">
        <v>6</v>
      </c>
      <c r="J3488" s="14" t="str">
        <f>_xlfn.XLOOKUP(B3488,CAD_PDV!A:A,CAD_PDV!B:B)</f>
        <v>E-MEAN SERVICOS DE MARKETING DIRETO LTDA</v>
      </c>
      <c r="K3488" s="14">
        <f>IF(IFERROR(_xlfn.XLOOKUP(B3488,Planilha2!D:D,Planilha2!H:H),0)="SIM",1,0)</f>
        <v>0</v>
      </c>
      <c r="L3488" s="14" t="str">
        <f>_xlfn.XLOOKUP(B3488,CAD_PDV!A:A,CAD_PDV!C:C)</f>
        <v>NE</v>
      </c>
      <c r="M3488" s="14" t="str">
        <f>IFERROR(_xlfn.XLOOKUP(B3488,repete!A:A,repete!A:A),"-")</f>
        <v>-</v>
      </c>
    </row>
    <row r="3489" spans="1:13">
      <c r="A3489" s="1">
        <v>46235</v>
      </c>
      <c r="B3489" t="s">
        <v>1125</v>
      </c>
      <c r="C3489" t="s">
        <v>1126</v>
      </c>
      <c r="D3489" t="s">
        <v>127</v>
      </c>
      <c r="E3489" t="s">
        <v>62</v>
      </c>
      <c r="F3489">
        <v>3</v>
      </c>
      <c r="J3489" s="14" t="str">
        <f>_xlfn.XLOOKUP(B3489,CAD_PDV!A:A,CAD_PDV!B:B)</f>
        <v>EMERSON CUTRIM SERVICOS LTDA</v>
      </c>
      <c r="K3489" s="14">
        <f>IF(IFERROR(_xlfn.XLOOKUP(B3489,Planilha2!D:D,Planilha2!H:H),0)="SIM",1,0)</f>
        <v>0</v>
      </c>
      <c r="L3489" s="14" t="str">
        <f>_xlfn.XLOOKUP(B3489,CAD_PDV!A:A,CAD_PDV!C:C)</f>
        <v>NO</v>
      </c>
      <c r="M3489" s="14" t="str">
        <f>IFERROR(_xlfn.XLOOKUP(B3489,repete!A:A,repete!A:A),"-")</f>
        <v>-</v>
      </c>
    </row>
    <row r="3490" spans="1:13">
      <c r="A3490" s="1">
        <v>46235</v>
      </c>
      <c r="B3490" t="s">
        <v>1717</v>
      </c>
      <c r="C3490" t="s">
        <v>1718</v>
      </c>
      <c r="D3490" t="s">
        <v>232</v>
      </c>
      <c r="E3490" t="s">
        <v>54</v>
      </c>
      <c r="F3490">
        <v>19</v>
      </c>
      <c r="J3490" s="14" t="str">
        <f>_xlfn.XLOOKUP(B3490,CAD_PDV!A:A,CAD_PDV!B:B)</f>
        <v>HS TELECOM</v>
      </c>
      <c r="K3490" s="14">
        <f>IF(IFERROR(_xlfn.XLOOKUP(B3490,Planilha2!D:D,Planilha2!H:H),0)="SIM",1,0)</f>
        <v>0</v>
      </c>
      <c r="L3490" s="14" t="str">
        <f>_xlfn.XLOOKUP(B3490,CAD_PDV!A:A,CAD_PDV!C:C)</f>
        <v>SP2</v>
      </c>
      <c r="M3490" s="14" t="str">
        <f>IFERROR(_xlfn.XLOOKUP(B3490,repete!A:A,repete!A:A),"-")</f>
        <v>WD3T</v>
      </c>
    </row>
    <row r="3491" spans="1:13">
      <c r="A3491" s="1">
        <v>46235</v>
      </c>
      <c r="B3491" t="s">
        <v>294</v>
      </c>
      <c r="C3491" t="s">
        <v>295</v>
      </c>
      <c r="D3491" t="s">
        <v>141</v>
      </c>
      <c r="E3491" t="s">
        <v>61</v>
      </c>
      <c r="F3491">
        <v>6</v>
      </c>
      <c r="J3491" s="14" t="str">
        <f>_xlfn.XLOOKUP(B3491,CAD_PDV!A:A,CAD_PDV!B:B)</f>
        <v>ICARO CARVALHO CAVALCANTE</v>
      </c>
      <c r="K3491" s="14">
        <f>IF(IFERROR(_xlfn.XLOOKUP(B3491,Planilha2!D:D,Planilha2!H:H),0)="SIM",1,0)</f>
        <v>0</v>
      </c>
      <c r="L3491" s="14" t="str">
        <f>_xlfn.XLOOKUP(B3491,CAD_PDV!A:A,CAD_PDV!C:C)</f>
        <v>NE</v>
      </c>
      <c r="M3491" s="14" t="str">
        <f>IFERROR(_xlfn.XLOOKUP(B3491,repete!A:A,repete!A:A),"-")</f>
        <v>-</v>
      </c>
    </row>
    <row r="3492" spans="1:13">
      <c r="A3492" s="1">
        <v>46235</v>
      </c>
      <c r="B3492" t="s">
        <v>581</v>
      </c>
      <c r="C3492" t="s">
        <v>582</v>
      </c>
      <c r="D3492" t="s">
        <v>214</v>
      </c>
      <c r="E3492" t="s">
        <v>56</v>
      </c>
      <c r="F3492">
        <v>10</v>
      </c>
      <c r="J3492" s="14" t="str">
        <f>_xlfn.XLOOKUP(B3492,CAD_PDV!A:A,CAD_PDV!B:B)</f>
        <v>VALQUIRIA GOMES ROCHA</v>
      </c>
      <c r="K3492" s="14">
        <f>IF(IFERROR(_xlfn.XLOOKUP(B3492,Planilha2!D:D,Planilha2!H:H),0)="SIM",1,0)</f>
        <v>0</v>
      </c>
      <c r="L3492" s="14" t="str">
        <f>_xlfn.XLOOKUP(B3492,CAD_PDV!A:A,CAD_PDV!C:C)</f>
        <v>MG</v>
      </c>
      <c r="M3492" s="14" t="str">
        <f>IFERROR(_xlfn.XLOOKUP(B3492,repete!A:A,repete!A:A),"-")</f>
        <v>-</v>
      </c>
    </row>
    <row r="3493" spans="1:13">
      <c r="A3493" s="1">
        <v>46235</v>
      </c>
      <c r="B3493" t="s">
        <v>917</v>
      </c>
      <c r="C3493" t="s">
        <v>918</v>
      </c>
      <c r="D3493" t="s">
        <v>113</v>
      </c>
      <c r="E3493" t="s">
        <v>59</v>
      </c>
      <c r="F3493">
        <v>7</v>
      </c>
      <c r="J3493" s="14" t="str">
        <f>_xlfn.XLOOKUP(B3493,CAD_PDV!A:A,CAD_PDV!B:B)</f>
        <v>D. R. MEDEIROS &amp; CIA LTDA</v>
      </c>
      <c r="K3493" s="14">
        <f>IF(IFERROR(_xlfn.XLOOKUP(B3493,Planilha2!D:D,Planilha2!H:H),0)="SIM",1,0)</f>
        <v>0</v>
      </c>
      <c r="L3493" s="14" t="str">
        <f>_xlfn.XLOOKUP(B3493,CAD_PDV!A:A,CAD_PDV!C:C)</f>
        <v>CO</v>
      </c>
      <c r="M3493" s="14" t="str">
        <f>IFERROR(_xlfn.XLOOKUP(B3493,repete!A:A,repete!A:A),"-")</f>
        <v>-</v>
      </c>
    </row>
    <row r="3494" spans="1:13">
      <c r="A3494" s="1">
        <v>46235</v>
      </c>
      <c r="B3494" t="s">
        <v>1720</v>
      </c>
      <c r="C3494" t="s">
        <v>1435</v>
      </c>
      <c r="D3494" t="s">
        <v>106</v>
      </c>
      <c r="E3494" t="s">
        <v>54</v>
      </c>
      <c r="F3494">
        <v>8</v>
      </c>
      <c r="J3494" s="14" t="str">
        <f>_xlfn.XLOOKUP(B3494,CAD_PDV!A:A,CAD_PDV!B:B)</f>
        <v>CELLULAR.COM</v>
      </c>
      <c r="K3494" s="14">
        <f>IF(IFERROR(_xlfn.XLOOKUP(B3494,Planilha2!D:D,Planilha2!H:H),0)="SIM",1,0)</f>
        <v>0</v>
      </c>
      <c r="L3494" s="14" t="str">
        <f>_xlfn.XLOOKUP(B3494,CAD_PDV!A:A,CAD_PDV!C:C)</f>
        <v>SP2</v>
      </c>
      <c r="M3494" s="14" t="str">
        <f>IFERROR(_xlfn.XLOOKUP(B3494,repete!A:A,repete!A:A),"-")</f>
        <v>-</v>
      </c>
    </row>
    <row r="3495" spans="1:13">
      <c r="A3495" s="1">
        <v>46235</v>
      </c>
      <c r="B3495" t="s">
        <v>2131</v>
      </c>
      <c r="C3495" t="s">
        <v>2132</v>
      </c>
      <c r="D3495" t="s">
        <v>196</v>
      </c>
      <c r="E3495" t="s">
        <v>61</v>
      </c>
      <c r="F3495">
        <v>23</v>
      </c>
      <c r="J3495" s="14" t="str">
        <f>_xlfn.XLOOKUP(B3495,CAD_PDV!A:A,CAD_PDV!B:B)</f>
        <v>SELF COMERCIO E SERVICOS EM TELEFON</v>
      </c>
      <c r="K3495" s="14">
        <f>IF(IFERROR(_xlfn.XLOOKUP(B3495,Planilha2!D:D,Planilha2!H:H),0)="SIM",1,0)</f>
        <v>0</v>
      </c>
      <c r="L3495" s="14" t="str">
        <f>_xlfn.XLOOKUP(B3495,CAD_PDV!A:A,CAD_PDV!C:C)</f>
        <v>NE</v>
      </c>
      <c r="M3495" s="14" t="str">
        <f>IFERROR(_xlfn.XLOOKUP(B3495,repete!A:A,repete!A:A),"-")</f>
        <v>-</v>
      </c>
    </row>
    <row r="3496" spans="1:13">
      <c r="A3496" s="1">
        <v>46235</v>
      </c>
      <c r="B3496" t="s">
        <v>866</v>
      </c>
      <c r="C3496" t="s">
        <v>867</v>
      </c>
      <c r="D3496" t="s">
        <v>133</v>
      </c>
      <c r="E3496" t="s">
        <v>59</v>
      </c>
      <c r="F3496">
        <v>5</v>
      </c>
      <c r="J3496" s="14" t="str">
        <f>_xlfn.XLOOKUP(B3496,CAD_PDV!A:A,CAD_PDV!B:B)</f>
        <v>FLORES &amp; CARVALHO TELECOMUNICACOES</v>
      </c>
      <c r="K3496" s="14">
        <f>IF(IFERROR(_xlfn.XLOOKUP(B3496,Planilha2!D:D,Planilha2!H:H),0)="SIM",1,0)</f>
        <v>0</v>
      </c>
      <c r="L3496" s="14" t="str">
        <f>_xlfn.XLOOKUP(B3496,CAD_PDV!A:A,CAD_PDV!C:C)</f>
        <v>CO</v>
      </c>
      <c r="M3496" s="14" t="str">
        <f>IFERROR(_xlfn.XLOOKUP(B3496,repete!A:A,repete!A:A),"-")</f>
        <v>-</v>
      </c>
    </row>
    <row r="3497" spans="1:13">
      <c r="A3497" s="1">
        <v>46235</v>
      </c>
      <c r="B3497" t="s">
        <v>583</v>
      </c>
      <c r="C3497" t="s">
        <v>584</v>
      </c>
      <c r="D3497" t="s">
        <v>108</v>
      </c>
      <c r="E3497" t="s">
        <v>56</v>
      </c>
      <c r="F3497">
        <v>2</v>
      </c>
      <c r="J3497" s="14" t="str">
        <f>_xlfn.XLOOKUP(B3497,CAD_PDV!A:A,CAD_PDV!B:B)</f>
        <v>CITEL COMERCIO DE CELULARES LTDA.</v>
      </c>
      <c r="K3497" s="14">
        <f>IF(IFERROR(_xlfn.XLOOKUP(B3497,Planilha2!D:D,Planilha2!H:H),0)="SIM",1,0)</f>
        <v>0</v>
      </c>
      <c r="L3497" s="14" t="str">
        <f>_xlfn.XLOOKUP(B3497,CAD_PDV!A:A,CAD_PDV!C:C)</f>
        <v>MG</v>
      </c>
      <c r="M3497" s="14" t="str">
        <f>IFERROR(_xlfn.XLOOKUP(B3497,repete!A:A,repete!A:A),"-")</f>
        <v>-</v>
      </c>
    </row>
    <row r="3498" spans="1:13">
      <c r="A3498" s="1">
        <v>46235</v>
      </c>
      <c r="B3498" t="s">
        <v>789</v>
      </c>
      <c r="C3498" t="s">
        <v>790</v>
      </c>
      <c r="D3498" t="s">
        <v>240</v>
      </c>
      <c r="E3498" t="s">
        <v>59</v>
      </c>
      <c r="F3498">
        <v>50</v>
      </c>
      <c r="J3498" s="14" t="str">
        <f>_xlfn.XLOOKUP(B3498,CAD_PDV!A:A,CAD_PDV!B:B)</f>
        <v>TELEMAIS TELEFONIA LTDA - ME</v>
      </c>
      <c r="K3498" s="14">
        <f>IF(IFERROR(_xlfn.XLOOKUP(B3498,Planilha2!D:D,Planilha2!H:H),0)="SIM",1,0)</f>
        <v>0</v>
      </c>
      <c r="L3498" s="14" t="str">
        <f>_xlfn.XLOOKUP(B3498,CAD_PDV!A:A,CAD_PDV!C:C)</f>
        <v>CO</v>
      </c>
      <c r="M3498" s="14" t="str">
        <f>IFERROR(_xlfn.XLOOKUP(B3498,repete!A:A,repete!A:A),"-")</f>
        <v>-</v>
      </c>
    </row>
    <row r="3499" spans="1:13">
      <c r="A3499" s="1">
        <v>46235</v>
      </c>
      <c r="B3499" t="s">
        <v>1404</v>
      </c>
      <c r="C3499" t="s">
        <v>1405</v>
      </c>
      <c r="D3499" t="s">
        <v>106</v>
      </c>
      <c r="E3499" t="s">
        <v>53</v>
      </c>
      <c r="F3499">
        <v>25</v>
      </c>
      <c r="J3499" s="14" t="str">
        <f>_xlfn.XLOOKUP(B3499,CAD_PDV!A:A,CAD_PDV!B:B)</f>
        <v>CELLULAR.COM</v>
      </c>
      <c r="K3499" s="14">
        <f>IF(IFERROR(_xlfn.XLOOKUP(B3499,Planilha2!D:D,Planilha2!H:H),0)="SIM",1,0)</f>
        <v>0</v>
      </c>
      <c r="L3499" s="14" t="str">
        <f>_xlfn.XLOOKUP(B3499,CAD_PDV!A:A,CAD_PDV!C:C)</f>
        <v>SP1</v>
      </c>
      <c r="M3499" s="14" t="str">
        <f>IFERROR(_xlfn.XLOOKUP(B3499,repete!A:A,repete!A:A),"-")</f>
        <v>-</v>
      </c>
    </row>
    <row r="3500" spans="1:13">
      <c r="A3500" s="1">
        <v>46235</v>
      </c>
      <c r="B3500" t="s">
        <v>1974</v>
      </c>
      <c r="C3500" t="s">
        <v>1975</v>
      </c>
      <c r="D3500" t="s">
        <v>124</v>
      </c>
      <c r="E3500" t="s">
        <v>2074</v>
      </c>
      <c r="F3500">
        <v>19</v>
      </c>
      <c r="J3500" s="14" t="str">
        <f>_xlfn.XLOOKUP(B3500,CAD_PDV!A:A,CAD_PDV!B:B)</f>
        <v>EDUARDO JUNQUEIRA DA SILVEIRA ADMIN</v>
      </c>
      <c r="K3500" s="14">
        <f>IF(IFERROR(_xlfn.XLOOKUP(B3500,Planilha2!D:D,Planilha2!H:H),0)="SIM",1,0)</f>
        <v>0</v>
      </c>
      <c r="L3500" s="14" t="str">
        <f>_xlfn.XLOOKUP(B3500,CAD_PDV!A:A,CAD_PDV!C:C)</f>
        <v>PR/SC</v>
      </c>
      <c r="M3500" s="14" t="str">
        <f>IFERROR(_xlfn.XLOOKUP(B3500,repete!A:A,repete!A:A),"-")</f>
        <v>-</v>
      </c>
    </row>
    <row r="3501" spans="1:13">
      <c r="A3501" s="1">
        <v>46235</v>
      </c>
      <c r="B3501" t="s">
        <v>1724</v>
      </c>
      <c r="C3501" t="s">
        <v>1725</v>
      </c>
      <c r="D3501" t="s">
        <v>106</v>
      </c>
      <c r="E3501" t="s">
        <v>54</v>
      </c>
      <c r="F3501">
        <v>17</v>
      </c>
      <c r="J3501" s="14" t="str">
        <f>_xlfn.XLOOKUP(B3501,CAD_PDV!A:A,CAD_PDV!B:B)</f>
        <v>CELLULAR.COM</v>
      </c>
      <c r="K3501" s="14">
        <f>IF(IFERROR(_xlfn.XLOOKUP(B3501,Planilha2!D:D,Planilha2!H:H),0)="SIM",1,0)</f>
        <v>0</v>
      </c>
      <c r="L3501" s="14" t="str">
        <f>_xlfn.XLOOKUP(B3501,CAD_PDV!A:A,CAD_PDV!C:C)</f>
        <v>SP2</v>
      </c>
      <c r="M3501" s="14" t="str">
        <f>IFERROR(_xlfn.XLOOKUP(B3501,repete!A:A,repete!A:A),"-")</f>
        <v>-</v>
      </c>
    </row>
    <row r="3502" spans="1:13">
      <c r="A3502" s="1">
        <v>46235</v>
      </c>
      <c r="B3502" t="s">
        <v>585</v>
      </c>
      <c r="C3502" t="s">
        <v>586</v>
      </c>
      <c r="D3502" t="s">
        <v>107</v>
      </c>
      <c r="E3502" t="s">
        <v>56</v>
      </c>
      <c r="F3502">
        <v>13</v>
      </c>
      <c r="J3502" s="14" t="str">
        <f>_xlfn.XLOOKUP(B3502,CAD_PDV!A:A,CAD_PDV!B:B)</f>
        <v>CENTERCELL TELECOMUNICACOES CARANGO</v>
      </c>
      <c r="K3502" s="14">
        <f>IF(IFERROR(_xlfn.XLOOKUP(B3502,Planilha2!D:D,Planilha2!H:H),0)="SIM",1,0)</f>
        <v>0</v>
      </c>
      <c r="L3502" s="14" t="str">
        <f>_xlfn.XLOOKUP(B3502,CAD_PDV!A:A,CAD_PDV!C:C)</f>
        <v>MG</v>
      </c>
      <c r="M3502" s="14" t="str">
        <f>IFERROR(_xlfn.XLOOKUP(B3502,repete!A:A,repete!A:A),"-")</f>
        <v>-</v>
      </c>
    </row>
    <row r="3503" spans="1:13">
      <c r="A3503" s="1">
        <v>46235</v>
      </c>
      <c r="B3503" t="s">
        <v>909</v>
      </c>
      <c r="C3503" t="s">
        <v>910</v>
      </c>
      <c r="D3503" t="s">
        <v>221</v>
      </c>
      <c r="E3503" t="s">
        <v>59</v>
      </c>
      <c r="F3503">
        <v>15</v>
      </c>
      <c r="J3503" s="14" t="str">
        <f>_xlfn.XLOOKUP(B3503,CAD_PDV!A:A,CAD_PDV!B:B)</f>
        <v>AMERICOM COMERCIO DE APARELHOS ELETRONICOS LTDA - EPP</v>
      </c>
      <c r="K3503" s="14">
        <f>IF(IFERROR(_xlfn.XLOOKUP(B3503,Planilha2!D:D,Planilha2!H:H),0)="SIM",1,0)</f>
        <v>0</v>
      </c>
      <c r="L3503" s="14" t="str">
        <f>_xlfn.XLOOKUP(B3503,CAD_PDV!A:A,CAD_PDV!C:C)</f>
        <v>CO</v>
      </c>
      <c r="M3503" s="14" t="str">
        <f>IFERROR(_xlfn.XLOOKUP(B3503,repete!A:A,repete!A:A),"-")</f>
        <v>-</v>
      </c>
    </row>
    <row r="3504" spans="1:13">
      <c r="A3504" s="1">
        <v>46235</v>
      </c>
      <c r="B3504" t="s">
        <v>1726</v>
      </c>
      <c r="C3504" t="s">
        <v>1727</v>
      </c>
      <c r="D3504" t="s">
        <v>150</v>
      </c>
      <c r="E3504" t="s">
        <v>54</v>
      </c>
      <c r="F3504">
        <v>15</v>
      </c>
      <c r="J3504" s="14" t="str">
        <f>_xlfn.XLOOKUP(B3504,CAD_PDV!A:A,CAD_PDV!B:B)</f>
        <v>JARBAS WILHAN - ME</v>
      </c>
      <c r="K3504" s="14">
        <f>IF(IFERROR(_xlfn.XLOOKUP(B3504,Planilha2!D:D,Planilha2!H:H),0)="SIM",1,0)</f>
        <v>0</v>
      </c>
      <c r="L3504" s="14" t="str">
        <f>_xlfn.XLOOKUP(B3504,CAD_PDV!A:A,CAD_PDV!C:C)</f>
        <v>SP2</v>
      </c>
      <c r="M3504" s="14" t="str">
        <f>IFERROR(_xlfn.XLOOKUP(B3504,repete!A:A,repete!A:A),"-")</f>
        <v>-</v>
      </c>
    </row>
    <row r="3505" spans="1:13">
      <c r="A3505" s="1">
        <v>46235</v>
      </c>
      <c r="B3505" t="s">
        <v>388</v>
      </c>
      <c r="C3505" t="s">
        <v>389</v>
      </c>
      <c r="D3505" t="s">
        <v>123</v>
      </c>
      <c r="E3505" t="s">
        <v>61</v>
      </c>
      <c r="F3505">
        <v>5</v>
      </c>
      <c r="J3505" s="14" t="str">
        <f>_xlfn.XLOOKUP(B3505,CAD_PDV!A:A,CAD_PDV!B:B)</f>
        <v>EDGLAYDSON DA SILVA RAMOS - ME</v>
      </c>
      <c r="K3505" s="14">
        <f>IF(IFERROR(_xlfn.XLOOKUP(B3505,Planilha2!D:D,Planilha2!H:H),0)="SIM",1,0)</f>
        <v>0</v>
      </c>
      <c r="L3505" s="14" t="str">
        <f>_xlfn.XLOOKUP(B3505,CAD_PDV!A:A,CAD_PDV!C:C)</f>
        <v>NE</v>
      </c>
      <c r="M3505" s="14" t="str">
        <f>IFERROR(_xlfn.XLOOKUP(B3505,repete!A:A,repete!A:A),"-")</f>
        <v>-</v>
      </c>
    </row>
    <row r="3506" spans="1:13">
      <c r="A3506" s="1">
        <v>46235</v>
      </c>
      <c r="B3506" t="s">
        <v>1728</v>
      </c>
      <c r="C3506" t="s">
        <v>1729</v>
      </c>
      <c r="D3506" t="s">
        <v>106</v>
      </c>
      <c r="E3506" t="s">
        <v>54</v>
      </c>
      <c r="F3506">
        <v>7</v>
      </c>
      <c r="J3506" s="14" t="str">
        <f>_xlfn.XLOOKUP(B3506,CAD_PDV!A:A,CAD_PDV!B:B)</f>
        <v>CELLULAR.COM</v>
      </c>
      <c r="K3506" s="14">
        <f>IF(IFERROR(_xlfn.XLOOKUP(B3506,Planilha2!D:D,Planilha2!H:H),0)="SIM",1,0)</f>
        <v>0</v>
      </c>
      <c r="L3506" s="14" t="str">
        <f>_xlfn.XLOOKUP(B3506,CAD_PDV!A:A,CAD_PDV!C:C)</f>
        <v>SP2</v>
      </c>
      <c r="M3506" s="14" t="str">
        <f>IFERROR(_xlfn.XLOOKUP(B3506,repete!A:A,repete!A:A),"-")</f>
        <v>-</v>
      </c>
    </row>
    <row r="3507" spans="1:13">
      <c r="A3507" s="1">
        <v>46235</v>
      </c>
      <c r="B3507" t="s">
        <v>652</v>
      </c>
      <c r="C3507" t="s">
        <v>647</v>
      </c>
      <c r="D3507" t="s">
        <v>240</v>
      </c>
      <c r="E3507" t="s">
        <v>59</v>
      </c>
      <c r="F3507">
        <v>19</v>
      </c>
      <c r="J3507" s="14" t="str">
        <f>_xlfn.XLOOKUP(B3507,CAD_PDV!A:A,CAD_PDV!B:B)</f>
        <v>TELEMAIS TELEFONIA LTDA - ME</v>
      </c>
      <c r="K3507" s="14">
        <f>IF(IFERROR(_xlfn.XLOOKUP(B3507,Planilha2!D:D,Planilha2!H:H),0)="SIM",1,0)</f>
        <v>0</v>
      </c>
      <c r="L3507" s="14" t="str">
        <f>_xlfn.XLOOKUP(B3507,CAD_PDV!A:A,CAD_PDV!C:C)</f>
        <v>CO</v>
      </c>
      <c r="M3507" s="14" t="str">
        <f>IFERROR(_xlfn.XLOOKUP(B3507,repete!A:A,repete!A:A),"-")</f>
        <v>-</v>
      </c>
    </row>
    <row r="3508" spans="1:13">
      <c r="A3508" s="1">
        <v>46235</v>
      </c>
      <c r="B3508" t="s">
        <v>1730</v>
      </c>
      <c r="C3508" t="s">
        <v>1731</v>
      </c>
      <c r="D3508" t="s">
        <v>220</v>
      </c>
      <c r="E3508" t="s">
        <v>54</v>
      </c>
      <c r="F3508">
        <v>6</v>
      </c>
      <c r="J3508" s="14" t="str">
        <f>_xlfn.XLOOKUP(B3508,CAD_PDV!A:A,CAD_PDV!B:B)</f>
        <v>ADESIENE NUNES MACHADO - ME</v>
      </c>
      <c r="K3508" s="14">
        <f>IF(IFERROR(_xlfn.XLOOKUP(B3508,Planilha2!D:D,Planilha2!H:H),0)="SIM",1,0)</f>
        <v>0</v>
      </c>
      <c r="L3508" s="14" t="str">
        <f>_xlfn.XLOOKUP(B3508,CAD_PDV!A:A,CAD_PDV!C:C)</f>
        <v>SP2</v>
      </c>
      <c r="M3508" s="14" t="str">
        <f>IFERROR(_xlfn.XLOOKUP(B3508,repete!A:A,repete!A:A),"-")</f>
        <v>-</v>
      </c>
    </row>
    <row r="3509" spans="1:13">
      <c r="A3509" s="1">
        <v>46235</v>
      </c>
      <c r="B3509" t="s">
        <v>390</v>
      </c>
      <c r="C3509" t="s">
        <v>261</v>
      </c>
      <c r="D3509" t="s">
        <v>238</v>
      </c>
      <c r="E3509" t="s">
        <v>61</v>
      </c>
      <c r="F3509">
        <v>25</v>
      </c>
      <c r="J3509" s="14" t="str">
        <f>_xlfn.XLOOKUP(B3509,CAD_PDV!A:A,CAD_PDV!B:B)</f>
        <v>R &amp; R HIPER COMERCIO LTDA</v>
      </c>
      <c r="K3509" s="14">
        <f>IF(IFERROR(_xlfn.XLOOKUP(B3509,Planilha2!D:D,Planilha2!H:H),0)="SIM",1,0)</f>
        <v>0</v>
      </c>
      <c r="L3509" s="14" t="str">
        <f>_xlfn.XLOOKUP(B3509,CAD_PDV!A:A,CAD_PDV!C:C)</f>
        <v>NE</v>
      </c>
      <c r="M3509" s="14" t="str">
        <f>IFERROR(_xlfn.XLOOKUP(B3509,repete!A:A,repete!A:A),"-")</f>
        <v>-</v>
      </c>
    </row>
    <row r="3510" spans="1:13">
      <c r="A3510" s="1">
        <v>46235</v>
      </c>
      <c r="B3510" t="s">
        <v>1947</v>
      </c>
      <c r="C3510" t="s">
        <v>1948</v>
      </c>
      <c r="D3510" t="s">
        <v>124</v>
      </c>
      <c r="E3510" t="s">
        <v>2074</v>
      </c>
      <c r="F3510">
        <v>9</v>
      </c>
      <c r="J3510" s="14" t="str">
        <f>_xlfn.XLOOKUP(B3510,CAD_PDV!A:A,CAD_PDV!B:B)</f>
        <v>EDUARDO JUNQUEIRA DA SILVEIRA ADMIN</v>
      </c>
      <c r="K3510" s="14">
        <f>IF(IFERROR(_xlfn.XLOOKUP(B3510,Planilha2!D:D,Planilha2!H:H),0)="SIM",1,0)</f>
        <v>0</v>
      </c>
      <c r="L3510" s="14" t="str">
        <f>_xlfn.XLOOKUP(B3510,CAD_PDV!A:A,CAD_PDV!C:C)</f>
        <v>RS</v>
      </c>
      <c r="M3510" s="14" t="str">
        <f>IFERROR(_xlfn.XLOOKUP(B3510,repete!A:A,repete!A:A),"-")</f>
        <v>-</v>
      </c>
    </row>
    <row r="3511" spans="1:13">
      <c r="A3511" s="1">
        <v>46235</v>
      </c>
      <c r="B3511" t="s">
        <v>1090</v>
      </c>
      <c r="C3511" t="s">
        <v>1091</v>
      </c>
      <c r="D3511" t="s">
        <v>187</v>
      </c>
      <c r="E3511" t="s">
        <v>62</v>
      </c>
      <c r="F3511">
        <v>1</v>
      </c>
      <c r="J3511" s="14" t="str">
        <f>_xlfn.XLOOKUP(B3511,CAD_PDV!A:A,CAD_PDV!B:B)</f>
        <v>R. DA SILVA SARAIVA</v>
      </c>
      <c r="K3511" s="14">
        <f>IF(IFERROR(_xlfn.XLOOKUP(B3511,Planilha2!D:D,Planilha2!H:H),0)="SIM",1,0)</f>
        <v>0</v>
      </c>
      <c r="L3511" s="14" t="str">
        <f>_xlfn.XLOOKUP(B3511,CAD_PDV!A:A,CAD_PDV!C:C)</f>
        <v>NO</v>
      </c>
      <c r="M3511" s="14" t="str">
        <f>IFERROR(_xlfn.XLOOKUP(B3511,repete!A:A,repete!A:A),"-")</f>
        <v>-</v>
      </c>
    </row>
    <row r="3512" spans="1:13">
      <c r="A3512" s="1">
        <v>46235</v>
      </c>
      <c r="B3512" t="s">
        <v>1907</v>
      </c>
      <c r="C3512" t="s">
        <v>1908</v>
      </c>
      <c r="D3512" t="s">
        <v>106</v>
      </c>
      <c r="E3512" t="s">
        <v>2074</v>
      </c>
      <c r="F3512">
        <v>26</v>
      </c>
      <c r="J3512" s="14" t="str">
        <f>_xlfn.XLOOKUP(B3512,CAD_PDV!A:A,CAD_PDV!B:B)</f>
        <v>CELLULAR.COM</v>
      </c>
      <c r="K3512" s="14">
        <f>IF(IFERROR(_xlfn.XLOOKUP(B3512,Planilha2!D:D,Planilha2!H:H),0)="SIM",1,0)</f>
        <v>0</v>
      </c>
      <c r="L3512" s="14" t="str">
        <f>_xlfn.XLOOKUP(B3512,CAD_PDV!A:A,CAD_PDV!C:C)</f>
        <v>PR/SC</v>
      </c>
      <c r="M3512" s="14" t="str">
        <f>IFERROR(_xlfn.XLOOKUP(B3512,repete!A:A,repete!A:A),"-")</f>
        <v>-</v>
      </c>
    </row>
    <row r="3513" spans="1:13">
      <c r="A3513" s="1">
        <v>46235</v>
      </c>
      <c r="B3513" t="s">
        <v>2133</v>
      </c>
      <c r="C3513" t="s">
        <v>2134</v>
      </c>
      <c r="D3513" t="s">
        <v>124</v>
      </c>
      <c r="E3513" t="s">
        <v>2074</v>
      </c>
      <c r="F3513">
        <v>7</v>
      </c>
      <c r="J3513" s="14" t="str">
        <f>_xlfn.XLOOKUP(B3513,CAD_PDV!A:A,CAD_PDV!B:B)</f>
        <v>EDUARDO JUNQUEIRA DA SILVEIRA ADMIN</v>
      </c>
      <c r="K3513" s="14">
        <f>IF(IFERROR(_xlfn.XLOOKUP(B3513,Planilha2!D:D,Planilha2!H:H),0)="SIM",1,0)</f>
        <v>0</v>
      </c>
      <c r="L3513" s="14" t="str">
        <f>_xlfn.XLOOKUP(B3513,CAD_PDV!A:A,CAD_PDV!C:C)</f>
        <v>PR/SC</v>
      </c>
      <c r="M3513" s="14" t="str">
        <f>IFERROR(_xlfn.XLOOKUP(B3513,repete!A:A,repete!A:A),"-")</f>
        <v>-</v>
      </c>
    </row>
    <row r="3514" spans="1:13">
      <c r="A3514" s="1">
        <v>46235</v>
      </c>
      <c r="B3514" t="s">
        <v>1913</v>
      </c>
      <c r="C3514" t="s">
        <v>1914</v>
      </c>
      <c r="D3514" t="s">
        <v>106</v>
      </c>
      <c r="E3514" t="s">
        <v>2074</v>
      </c>
      <c r="F3514">
        <v>18</v>
      </c>
      <c r="J3514" s="14" t="str">
        <f>_xlfn.XLOOKUP(B3514,CAD_PDV!A:A,CAD_PDV!B:B)</f>
        <v>CELLULAR.COM</v>
      </c>
      <c r="K3514" s="14">
        <f>IF(IFERROR(_xlfn.XLOOKUP(B3514,Planilha2!D:D,Planilha2!H:H),0)="SIM",1,0)</f>
        <v>0</v>
      </c>
      <c r="L3514" s="14" t="str">
        <f>_xlfn.XLOOKUP(B3514,CAD_PDV!A:A,CAD_PDV!C:C)</f>
        <v>PR/SC</v>
      </c>
      <c r="M3514" s="14" t="str">
        <f>IFERROR(_xlfn.XLOOKUP(B3514,repete!A:A,repete!A:A),"-")</f>
        <v>-</v>
      </c>
    </row>
    <row r="3515" spans="1:13">
      <c r="A3515" s="1">
        <v>46235</v>
      </c>
      <c r="B3515" t="s">
        <v>741</v>
      </c>
      <c r="C3515" t="s">
        <v>742</v>
      </c>
      <c r="D3515" t="s">
        <v>113</v>
      </c>
      <c r="E3515" t="s">
        <v>59</v>
      </c>
      <c r="F3515">
        <v>7</v>
      </c>
      <c r="J3515" s="14" t="str">
        <f>_xlfn.XLOOKUP(B3515,CAD_PDV!A:A,CAD_PDV!B:B)</f>
        <v>D. R. MEDEIROS &amp; CIA LTDA</v>
      </c>
      <c r="K3515" s="14">
        <f>IF(IFERROR(_xlfn.XLOOKUP(B3515,Planilha2!D:D,Planilha2!H:H),0)="SIM",1,0)</f>
        <v>0</v>
      </c>
      <c r="L3515" s="14" t="str">
        <f>_xlfn.XLOOKUP(B3515,CAD_PDV!A:A,CAD_PDV!C:C)</f>
        <v>CO</v>
      </c>
      <c r="M3515" s="14" t="str">
        <f>IFERROR(_xlfn.XLOOKUP(B3515,repete!A:A,repete!A:A),"-")</f>
        <v>-</v>
      </c>
    </row>
    <row r="3516" spans="1:13">
      <c r="A3516" s="1">
        <v>46235</v>
      </c>
      <c r="B3516" t="s">
        <v>1732</v>
      </c>
      <c r="C3516" t="s">
        <v>1593</v>
      </c>
      <c r="D3516" t="s">
        <v>106</v>
      </c>
      <c r="E3516" t="s">
        <v>54</v>
      </c>
      <c r="F3516">
        <v>27</v>
      </c>
      <c r="J3516" s="14" t="str">
        <f>_xlfn.XLOOKUP(B3516,CAD_PDV!A:A,CAD_PDV!B:B)</f>
        <v>CELLULAR.COM</v>
      </c>
      <c r="K3516" s="14">
        <f>IF(IFERROR(_xlfn.XLOOKUP(B3516,Planilha2!D:D,Planilha2!H:H),0)="SIM",1,0)</f>
        <v>0</v>
      </c>
      <c r="L3516" s="14" t="str">
        <f>_xlfn.XLOOKUP(B3516,CAD_PDV!A:A,CAD_PDV!C:C)</f>
        <v>SP2</v>
      </c>
      <c r="M3516" s="14" t="str">
        <f>IFERROR(_xlfn.XLOOKUP(B3516,repete!A:A,repete!A:A),"-")</f>
        <v>-</v>
      </c>
    </row>
    <row r="3517" spans="1:13">
      <c r="A3517" s="1">
        <v>46235</v>
      </c>
      <c r="B3517" t="s">
        <v>477</v>
      </c>
      <c r="C3517" t="s">
        <v>478</v>
      </c>
      <c r="D3517" t="s">
        <v>118</v>
      </c>
      <c r="E3517" t="s">
        <v>56</v>
      </c>
      <c r="F3517">
        <v>19</v>
      </c>
      <c r="J3517" s="14" t="str">
        <f>_xlfn.XLOOKUP(B3517,CAD_PDV!A:A,CAD_PDV!B:B)</f>
        <v>DME TELECOMUNICACOES, SERVICOS E CO</v>
      </c>
      <c r="K3517" s="14">
        <f>IF(IFERROR(_xlfn.XLOOKUP(B3517,Planilha2!D:D,Planilha2!H:H),0)="SIM",1,0)</f>
        <v>0</v>
      </c>
      <c r="L3517" s="14" t="str">
        <f>_xlfn.XLOOKUP(B3517,CAD_PDV!A:A,CAD_PDV!C:C)</f>
        <v>MG</v>
      </c>
      <c r="M3517" s="14" t="str">
        <f>IFERROR(_xlfn.XLOOKUP(B3517,repete!A:A,repete!A:A),"-")</f>
        <v>-</v>
      </c>
    </row>
    <row r="3518" spans="1:13">
      <c r="A3518" s="1">
        <v>46235</v>
      </c>
      <c r="B3518" t="s">
        <v>915</v>
      </c>
      <c r="C3518" t="s">
        <v>916</v>
      </c>
      <c r="D3518" t="s">
        <v>113</v>
      </c>
      <c r="E3518" t="s">
        <v>59</v>
      </c>
      <c r="F3518">
        <v>4</v>
      </c>
      <c r="J3518" s="14" t="str">
        <f>_xlfn.XLOOKUP(B3518,CAD_PDV!A:A,CAD_PDV!B:B)</f>
        <v>D. R. MEDEIROS &amp; CIA LTDA</v>
      </c>
      <c r="K3518" s="14">
        <f>IF(IFERROR(_xlfn.XLOOKUP(B3518,Planilha2!D:D,Planilha2!H:H),0)="SIM",1,0)</f>
        <v>0</v>
      </c>
      <c r="L3518" s="14" t="str">
        <f>_xlfn.XLOOKUP(B3518,CAD_PDV!A:A,CAD_PDV!C:C)</f>
        <v>CO</v>
      </c>
      <c r="M3518" s="14" t="str">
        <f>IFERROR(_xlfn.XLOOKUP(B3518,repete!A:A,repete!A:A),"-")</f>
        <v>-</v>
      </c>
    </row>
    <row r="3519" spans="1:13">
      <c r="A3519" s="1">
        <v>46235</v>
      </c>
      <c r="B3519" t="s">
        <v>836</v>
      </c>
      <c r="C3519" t="s">
        <v>837</v>
      </c>
      <c r="D3519" t="s">
        <v>231</v>
      </c>
      <c r="E3519" t="s">
        <v>59</v>
      </c>
      <c r="F3519">
        <v>11</v>
      </c>
      <c r="J3519" s="14" t="str">
        <f>_xlfn.XLOOKUP(B3519,CAD_PDV!A:A,CAD_PDV!B:B)</f>
        <v>HIROTA &amp; HIROTA LTDA - ME</v>
      </c>
      <c r="K3519" s="14">
        <f>IF(IFERROR(_xlfn.XLOOKUP(B3519,Planilha2!D:D,Planilha2!H:H),0)="SIM",1,0)</f>
        <v>0</v>
      </c>
      <c r="L3519" s="14" t="str">
        <f>_xlfn.XLOOKUP(B3519,CAD_PDV!A:A,CAD_PDV!C:C)</f>
        <v>CO</v>
      </c>
      <c r="M3519" s="14" t="str">
        <f>IFERROR(_xlfn.XLOOKUP(B3519,repete!A:A,repete!A:A),"-")</f>
        <v>-</v>
      </c>
    </row>
    <row r="3520" spans="1:13">
      <c r="A3520" s="1">
        <v>46235</v>
      </c>
      <c r="B3520" t="s">
        <v>933</v>
      </c>
      <c r="C3520" t="s">
        <v>934</v>
      </c>
      <c r="D3520" t="s">
        <v>221</v>
      </c>
      <c r="E3520" t="s">
        <v>59</v>
      </c>
      <c r="F3520">
        <v>7</v>
      </c>
      <c r="J3520" s="14" t="str">
        <f>_xlfn.XLOOKUP(B3520,CAD_PDV!A:A,CAD_PDV!B:B)</f>
        <v>AMERICOM COMERCIO DE APARELHOS ELETRONICOS LTDA - EPP</v>
      </c>
      <c r="K3520" s="14">
        <f>IF(IFERROR(_xlfn.XLOOKUP(B3520,Planilha2!D:D,Planilha2!H:H),0)="SIM",1,0)</f>
        <v>0</v>
      </c>
      <c r="L3520" s="14" t="str">
        <f>_xlfn.XLOOKUP(B3520,CAD_PDV!A:A,CAD_PDV!C:C)</f>
        <v>CO</v>
      </c>
      <c r="M3520" s="14" t="str">
        <f>IFERROR(_xlfn.XLOOKUP(B3520,repete!A:A,repete!A:A),"-")</f>
        <v>-</v>
      </c>
    </row>
    <row r="3521" spans="1:13">
      <c r="A3521" s="1">
        <v>46235</v>
      </c>
      <c r="B3521" t="s">
        <v>391</v>
      </c>
      <c r="C3521" t="s">
        <v>392</v>
      </c>
      <c r="D3521" t="s">
        <v>196</v>
      </c>
      <c r="E3521" t="s">
        <v>61</v>
      </c>
      <c r="F3521">
        <v>18</v>
      </c>
      <c r="J3521" s="14" t="str">
        <f>_xlfn.XLOOKUP(B3521,CAD_PDV!A:A,CAD_PDV!B:B)</f>
        <v>SELF COMERCIO E SERVICOS EM TELEFON</v>
      </c>
      <c r="K3521" s="14">
        <f>IF(IFERROR(_xlfn.XLOOKUP(B3521,Planilha2!D:D,Planilha2!H:H),0)="SIM",1,0)</f>
        <v>0</v>
      </c>
      <c r="L3521" s="14" t="str">
        <f>_xlfn.XLOOKUP(B3521,CAD_PDV!A:A,CAD_PDV!C:C)</f>
        <v>NE</v>
      </c>
      <c r="M3521" s="14" t="str">
        <f>IFERROR(_xlfn.XLOOKUP(B3521,repete!A:A,repete!A:A),"-")</f>
        <v>-</v>
      </c>
    </row>
    <row r="3522" spans="1:13">
      <c r="A3522" s="1">
        <v>46235</v>
      </c>
      <c r="B3522" t="s">
        <v>1750</v>
      </c>
      <c r="C3522" t="s">
        <v>1751</v>
      </c>
      <c r="D3522" t="s">
        <v>190</v>
      </c>
      <c r="E3522" t="s">
        <v>2074</v>
      </c>
      <c r="F3522">
        <v>18</v>
      </c>
      <c r="J3522" s="14" t="str">
        <f>_xlfn.XLOOKUP(B3522,CAD_PDV!A:A,CAD_PDV!B:B)</f>
        <v>RDJ TELECOMUNICACOES LTDA</v>
      </c>
      <c r="K3522" s="14">
        <f>IF(IFERROR(_xlfn.XLOOKUP(B3522,Planilha2!D:D,Planilha2!H:H),0)="SIM",1,0)</f>
        <v>0</v>
      </c>
      <c r="L3522" s="14" t="str">
        <f>_xlfn.XLOOKUP(B3522,CAD_PDV!A:A,CAD_PDV!C:C)</f>
        <v>PR/SC</v>
      </c>
      <c r="M3522" s="14" t="str">
        <f>IFERROR(_xlfn.XLOOKUP(B3522,repete!A:A,repete!A:A),"-")</f>
        <v>-</v>
      </c>
    </row>
    <row r="3523" spans="1:13">
      <c r="A3523" s="1">
        <v>46235</v>
      </c>
      <c r="B3523" t="s">
        <v>393</v>
      </c>
      <c r="C3523" t="s">
        <v>337</v>
      </c>
      <c r="D3523" t="s">
        <v>226</v>
      </c>
      <c r="E3523" t="s">
        <v>61</v>
      </c>
      <c r="F3523">
        <v>15</v>
      </c>
      <c r="J3523" s="14" t="str">
        <f>_xlfn.XLOOKUP(B3523,CAD_PDV!A:A,CAD_PDV!B:B)</f>
        <v>DELTA CELL TELECOMUNICACOES LTDA</v>
      </c>
      <c r="K3523" s="14">
        <f>IF(IFERROR(_xlfn.XLOOKUP(B3523,Planilha2!D:D,Planilha2!H:H),0)="SIM",1,0)</f>
        <v>0</v>
      </c>
      <c r="L3523" s="14" t="str">
        <f>_xlfn.XLOOKUP(B3523,CAD_PDV!A:A,CAD_PDV!C:C)</f>
        <v>NE</v>
      </c>
      <c r="M3523" s="14" t="str">
        <f>IFERROR(_xlfn.XLOOKUP(B3523,repete!A:A,repete!A:A),"-")</f>
        <v>-</v>
      </c>
    </row>
    <row r="3524" spans="1:13">
      <c r="A3524" s="1">
        <v>46235</v>
      </c>
      <c r="B3524" t="s">
        <v>486</v>
      </c>
      <c r="C3524" t="s">
        <v>487</v>
      </c>
      <c r="D3524" t="s">
        <v>137</v>
      </c>
      <c r="E3524" t="s">
        <v>56</v>
      </c>
      <c r="F3524">
        <v>64</v>
      </c>
      <c r="J3524" s="14" t="str">
        <f>_xlfn.XLOOKUP(B3524,CAD_PDV!A:A,CAD_PDV!B:B)</f>
        <v>G.L.Z. TELEFONIA MOVEL LTDA</v>
      </c>
      <c r="K3524" s="14">
        <f>IF(IFERROR(_xlfn.XLOOKUP(B3524,Planilha2!D:D,Planilha2!H:H),0)="SIM",1,0)</f>
        <v>0</v>
      </c>
      <c r="L3524" s="14" t="str">
        <f>_xlfn.XLOOKUP(B3524,CAD_PDV!A:A,CAD_PDV!C:C)</f>
        <v>MG</v>
      </c>
      <c r="M3524" s="14" t="str">
        <f>IFERROR(_xlfn.XLOOKUP(B3524,repete!A:A,repete!A:A),"-")</f>
        <v>-</v>
      </c>
    </row>
    <row r="3525" spans="1:13">
      <c r="A3525" s="1">
        <v>46235</v>
      </c>
      <c r="B3525" t="s">
        <v>296</v>
      </c>
      <c r="C3525" t="s">
        <v>288</v>
      </c>
      <c r="D3525" t="s">
        <v>212</v>
      </c>
      <c r="E3525" t="s">
        <v>61</v>
      </c>
      <c r="F3525">
        <v>5</v>
      </c>
      <c r="J3525" s="14" t="str">
        <f>_xlfn.XLOOKUP(B3525,CAD_PDV!A:A,CAD_PDV!B:B)</f>
        <v>TOTAL TELECOM LTDA</v>
      </c>
      <c r="K3525" s="14">
        <f>IF(IFERROR(_xlfn.XLOOKUP(B3525,Planilha2!D:D,Planilha2!H:H),0)="SIM",1,0)</f>
        <v>0</v>
      </c>
      <c r="L3525" s="14" t="str">
        <f>_xlfn.XLOOKUP(B3525,CAD_PDV!A:A,CAD_PDV!C:C)</f>
        <v>NE</v>
      </c>
      <c r="M3525" s="14" t="str">
        <f>IFERROR(_xlfn.XLOOKUP(B3525,repete!A:A,repete!A:A),"-")</f>
        <v>-</v>
      </c>
    </row>
    <row r="3526" spans="1:13">
      <c r="A3526" s="1">
        <v>46235</v>
      </c>
      <c r="B3526" t="s">
        <v>588</v>
      </c>
      <c r="C3526" t="s">
        <v>589</v>
      </c>
      <c r="D3526" t="s">
        <v>106</v>
      </c>
      <c r="E3526" t="s">
        <v>56</v>
      </c>
      <c r="F3526">
        <v>15</v>
      </c>
      <c r="J3526" s="14" t="str">
        <f>_xlfn.XLOOKUP(B3526,CAD_PDV!A:A,CAD_PDV!B:B)</f>
        <v>CELLULAR.COM</v>
      </c>
      <c r="K3526" s="14">
        <f>IF(IFERROR(_xlfn.XLOOKUP(B3526,Planilha2!D:D,Planilha2!H:H),0)="SIM",1,0)</f>
        <v>0</v>
      </c>
      <c r="L3526" s="14" t="str">
        <f>_xlfn.XLOOKUP(B3526,CAD_PDV!A:A,CAD_PDV!C:C)</f>
        <v>MG</v>
      </c>
      <c r="M3526" s="14" t="str">
        <f>IFERROR(_xlfn.XLOOKUP(B3526,repete!A:A,repete!A:A),"-")</f>
        <v>-</v>
      </c>
    </row>
    <row r="3527" spans="1:13">
      <c r="A3527" s="1">
        <v>46235</v>
      </c>
      <c r="B3527" t="s">
        <v>1270</v>
      </c>
      <c r="C3527" t="s">
        <v>1142</v>
      </c>
      <c r="D3527" t="s">
        <v>237</v>
      </c>
      <c r="E3527" t="s">
        <v>55</v>
      </c>
      <c r="F3527">
        <v>57</v>
      </c>
      <c r="J3527" s="14" t="str">
        <f>_xlfn.XLOOKUP(B3527,CAD_PDV!A:A,CAD_PDV!B:B)</f>
        <v>PONTO CERTO COMERCIO E COMUNICAÇÕES LTDA</v>
      </c>
      <c r="K3527" s="14">
        <f>IF(IFERROR(_xlfn.XLOOKUP(B3527,Planilha2!D:D,Planilha2!H:H),0)="SIM",1,0)</f>
        <v>0</v>
      </c>
      <c r="L3527" s="14" t="str">
        <f>_xlfn.XLOOKUP(B3527,CAD_PDV!A:A,CAD_PDV!C:C)</f>
        <v>RJ/ES</v>
      </c>
      <c r="M3527" s="14" t="str">
        <f>IFERROR(_xlfn.XLOOKUP(B3527,repete!A:A,repete!A:A),"-")</f>
        <v>-</v>
      </c>
    </row>
    <row r="3528" spans="1:13">
      <c r="A3528" s="1">
        <v>46235</v>
      </c>
      <c r="B3528" t="s">
        <v>2046</v>
      </c>
      <c r="C3528" t="s">
        <v>2047</v>
      </c>
      <c r="D3528" t="s">
        <v>193</v>
      </c>
      <c r="E3528" t="s">
        <v>2074</v>
      </c>
      <c r="F3528">
        <v>13</v>
      </c>
      <c r="J3528" s="14" t="str">
        <f>_xlfn.XLOOKUP(B3528,CAD_PDV!A:A,CAD_PDV!B:B)</f>
        <v>S D COMERCIO DE CELULARES LTDA - ME</v>
      </c>
      <c r="K3528" s="14">
        <f>IF(IFERROR(_xlfn.XLOOKUP(B3528,Planilha2!D:D,Planilha2!H:H),0)="SIM",1,0)</f>
        <v>0</v>
      </c>
      <c r="L3528" s="14" t="str">
        <f>_xlfn.XLOOKUP(B3528,CAD_PDV!A:A,CAD_PDV!C:C)</f>
        <v>RS</v>
      </c>
      <c r="M3528" s="14" t="str">
        <f>IFERROR(_xlfn.XLOOKUP(B3528,repete!A:A,repete!A:A),"-")</f>
        <v>-</v>
      </c>
    </row>
    <row r="3529" spans="1:13">
      <c r="A3529" s="1">
        <v>46235</v>
      </c>
      <c r="B3529" t="s">
        <v>911</v>
      </c>
      <c r="C3529" t="s">
        <v>699</v>
      </c>
      <c r="D3529" t="s">
        <v>152</v>
      </c>
      <c r="E3529" t="s">
        <v>59</v>
      </c>
      <c r="F3529">
        <v>12</v>
      </c>
      <c r="J3529" s="14" t="str">
        <f>_xlfn.XLOOKUP(B3529,CAD_PDV!A:A,CAD_PDV!B:B)</f>
        <v>JUCELL CELULARES LTDA</v>
      </c>
      <c r="K3529" s="14">
        <f>IF(IFERROR(_xlfn.XLOOKUP(B3529,Planilha2!D:D,Planilha2!H:H),0)="SIM",1,0)</f>
        <v>0</v>
      </c>
      <c r="L3529" s="14" t="str">
        <f>_xlfn.XLOOKUP(B3529,CAD_PDV!A:A,CAD_PDV!C:C)</f>
        <v>CO</v>
      </c>
      <c r="M3529" s="14" t="str">
        <f>IFERROR(_xlfn.XLOOKUP(B3529,repete!A:A,repete!A:A),"-")</f>
        <v>-</v>
      </c>
    </row>
    <row r="3530" spans="1:13">
      <c r="A3530" s="1">
        <v>46235</v>
      </c>
      <c r="B3530" t="s">
        <v>671</v>
      </c>
      <c r="C3530" t="s">
        <v>670</v>
      </c>
      <c r="D3530" t="s">
        <v>182</v>
      </c>
      <c r="E3530" t="s">
        <v>59</v>
      </c>
      <c r="F3530">
        <v>8</v>
      </c>
      <c r="J3530" s="14" t="str">
        <f>_xlfn.XLOOKUP(B3530,CAD_PDV!A:A,CAD_PDV!B:B)</f>
        <v>QUALITY SERVICE ASSESSORIA TECNICA LTDA</v>
      </c>
      <c r="K3530" s="14">
        <f>IF(IFERROR(_xlfn.XLOOKUP(B3530,Planilha2!D:D,Planilha2!H:H),0)="SIM",1,0)</f>
        <v>0</v>
      </c>
      <c r="L3530" s="14" t="str">
        <f>_xlfn.XLOOKUP(B3530,CAD_PDV!A:A,CAD_PDV!C:C)</f>
        <v>CO</v>
      </c>
      <c r="M3530" s="14" t="str">
        <f>IFERROR(_xlfn.XLOOKUP(B3530,repete!A:A,repete!A:A),"-")</f>
        <v>-</v>
      </c>
    </row>
    <row r="3531" spans="1:13">
      <c r="A3531" s="1">
        <v>46235</v>
      </c>
      <c r="B3531" t="s">
        <v>1737</v>
      </c>
      <c r="C3531" t="s">
        <v>1738</v>
      </c>
      <c r="D3531" t="s">
        <v>106</v>
      </c>
      <c r="E3531" t="s">
        <v>54</v>
      </c>
      <c r="F3531">
        <v>31</v>
      </c>
      <c r="J3531" s="14" t="str">
        <f>_xlfn.XLOOKUP(B3531,CAD_PDV!A:A,CAD_PDV!B:B)</f>
        <v>CELLULAR.COM</v>
      </c>
      <c r="K3531" s="14">
        <f>IF(IFERROR(_xlfn.XLOOKUP(B3531,Planilha2!D:D,Planilha2!H:H),0)="SIM",1,0)</f>
        <v>0</v>
      </c>
      <c r="L3531" s="14" t="str">
        <f>_xlfn.XLOOKUP(B3531,CAD_PDV!A:A,CAD_PDV!C:C)</f>
        <v>SP2</v>
      </c>
      <c r="M3531" s="14" t="str">
        <f>IFERROR(_xlfn.XLOOKUP(B3531,repete!A:A,repete!A:A),"-")</f>
        <v>-</v>
      </c>
    </row>
    <row r="3532" spans="1:13">
      <c r="A3532" s="1">
        <v>46235</v>
      </c>
      <c r="B3532" t="s">
        <v>804</v>
      </c>
      <c r="C3532" t="s">
        <v>790</v>
      </c>
      <c r="D3532" t="s">
        <v>169</v>
      </c>
      <c r="E3532" t="s">
        <v>59</v>
      </c>
      <c r="F3532">
        <v>29</v>
      </c>
      <c r="J3532" s="14" t="str">
        <f>_xlfn.XLOOKUP(B3532,CAD_PDV!A:A,CAD_PDV!B:B)</f>
        <v>MEGA CELULAR</v>
      </c>
      <c r="K3532" s="14">
        <f>IF(IFERROR(_xlfn.XLOOKUP(B3532,Planilha2!D:D,Planilha2!H:H),0)="SIM",1,0)</f>
        <v>0</v>
      </c>
      <c r="L3532" s="14" t="str">
        <f>_xlfn.XLOOKUP(B3532,CAD_PDV!A:A,CAD_PDV!C:C)</f>
        <v>CO</v>
      </c>
      <c r="M3532" s="14" t="str">
        <f>IFERROR(_xlfn.XLOOKUP(B3532,repete!A:A,repete!A:A),"-")</f>
        <v>-</v>
      </c>
    </row>
  </sheetData>
  <autoFilter ref="A1:M3532" xr:uid="{AED01931-B89A-4CD3-B622-BB753F2CA98D}">
    <filterColumn colId="0">
      <filters>
        <dateGroupItem year="2026" month="8" dateTimeGrouping="month"/>
      </filters>
    </filterColumn>
  </autoFilter>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11DD-CC23-4ABE-9090-7454F1E8356C}">
  <sheetPr>
    <tabColor rgb="FF0070C0"/>
  </sheetPr>
  <dimension ref="A1:H37"/>
  <sheetViews>
    <sheetView showGridLines="0" topLeftCell="A15" workbookViewId="0">
      <selection activeCell="A2" sqref="A2:H2"/>
    </sheetView>
  </sheetViews>
  <sheetFormatPr defaultRowHeight="14.45"/>
  <cols>
    <col min="1" max="1" width="10" customWidth="1"/>
    <col min="2" max="2" width="36.42578125" customWidth="1"/>
    <col min="3" max="3" width="63.5703125" customWidth="1"/>
    <col min="4" max="8" width="6.42578125" customWidth="1"/>
  </cols>
  <sheetData>
    <row r="1" spans="1:8" ht="23.45">
      <c r="A1" s="197" t="s">
        <v>2135</v>
      </c>
      <c r="B1" s="197"/>
      <c r="C1" s="197"/>
      <c r="D1" s="197"/>
      <c r="E1" s="197"/>
      <c r="F1" s="197"/>
      <c r="G1" s="197"/>
      <c r="H1" s="197"/>
    </row>
    <row r="2" spans="1:8">
      <c r="A2" s="198" t="s">
        <v>2136</v>
      </c>
      <c r="B2" s="198"/>
      <c r="C2" s="198"/>
      <c r="D2" s="198"/>
      <c r="E2" s="198"/>
      <c r="F2" s="198"/>
      <c r="G2" s="198"/>
      <c r="H2" s="198"/>
    </row>
    <row r="4" spans="1:8">
      <c r="A4" s="201" t="s">
        <v>2137</v>
      </c>
      <c r="B4" s="201"/>
      <c r="C4" s="201"/>
      <c r="D4" s="201"/>
      <c r="E4" s="201"/>
      <c r="F4" s="201"/>
      <c r="G4" s="201"/>
      <c r="H4" s="201"/>
    </row>
    <row r="5" spans="1:8">
      <c r="A5" s="94" t="s">
        <v>2138</v>
      </c>
      <c r="B5" s="94" t="s">
        <v>2139</v>
      </c>
      <c r="C5" s="94" t="s">
        <v>2140</v>
      </c>
    </row>
    <row r="6" spans="1:8" ht="43.5">
      <c r="A6" s="171">
        <v>1</v>
      </c>
      <c r="B6" s="90" t="s">
        <v>2141</v>
      </c>
      <c r="C6" s="90" t="s">
        <v>2142</v>
      </c>
    </row>
    <row r="7" spans="1:8" ht="29.1">
      <c r="A7" s="171">
        <v>2</v>
      </c>
      <c r="B7" s="90" t="s">
        <v>2143</v>
      </c>
      <c r="C7" s="90" t="s">
        <v>2144</v>
      </c>
    </row>
    <row r="8" spans="1:8" ht="29.1">
      <c r="A8" s="171">
        <v>3</v>
      </c>
      <c r="B8" s="90" t="s">
        <v>2145</v>
      </c>
      <c r="C8" s="90" t="s">
        <v>2146</v>
      </c>
    </row>
    <row r="9" spans="1:8" ht="29.1">
      <c r="A9" s="171">
        <v>4</v>
      </c>
      <c r="B9" s="90" t="s">
        <v>2147</v>
      </c>
      <c r="C9" s="90" t="s">
        <v>2148</v>
      </c>
    </row>
    <row r="10" spans="1:8" ht="29.1">
      <c r="A10" s="172">
        <v>5</v>
      </c>
      <c r="B10" s="170" t="s">
        <v>2149</v>
      </c>
      <c r="C10" s="170" t="s">
        <v>2150</v>
      </c>
    </row>
    <row r="12" spans="1:8">
      <c r="A12" s="201" t="s">
        <v>2151</v>
      </c>
      <c r="B12" s="201"/>
      <c r="C12" s="201"/>
      <c r="D12" s="201"/>
      <c r="E12" s="201"/>
      <c r="F12" s="201"/>
      <c r="G12" s="201"/>
      <c r="H12" s="201"/>
    </row>
    <row r="13" spans="1:8">
      <c r="A13" s="170" t="s">
        <v>2152</v>
      </c>
      <c r="B13" s="170" t="s">
        <v>2153</v>
      </c>
      <c r="C13" s="170" t="s">
        <v>2154</v>
      </c>
    </row>
    <row r="14" spans="1:8">
      <c r="A14" s="201" t="s">
        <v>2155</v>
      </c>
      <c r="B14" s="201"/>
      <c r="C14" s="201"/>
      <c r="D14" s="201"/>
      <c r="E14" s="201"/>
      <c r="F14" s="201"/>
      <c r="G14" s="201"/>
      <c r="H14" s="201"/>
    </row>
    <row r="15" spans="1:8" ht="219.95" customHeight="1">
      <c r="A15" s="196" t="s">
        <v>2156</v>
      </c>
      <c r="B15" s="196"/>
      <c r="C15" s="196"/>
      <c r="D15" s="196"/>
      <c r="E15" s="196"/>
      <c r="F15" s="196"/>
      <c r="G15" s="196"/>
      <c r="H15" s="196"/>
    </row>
    <row r="16" spans="1:8" ht="219.95" customHeight="1">
      <c r="A16" s="196"/>
      <c r="B16" s="196"/>
      <c r="C16" s="196"/>
      <c r="D16" s="196"/>
      <c r="E16" s="196"/>
      <c r="F16" s="196"/>
      <c r="G16" s="196"/>
      <c r="H16" s="196"/>
    </row>
    <row r="17" spans="1:8" ht="219.95" customHeight="1">
      <c r="A17" s="196"/>
      <c r="B17" s="196"/>
      <c r="C17" s="196"/>
      <c r="D17" s="196"/>
      <c r="E17" s="196"/>
      <c r="F17" s="196"/>
      <c r="G17" s="196"/>
      <c r="H17" s="196"/>
    </row>
    <row r="18" spans="1:8" ht="219.95" customHeight="1">
      <c r="A18" s="196"/>
      <c r="B18" s="196"/>
      <c r="C18" s="196"/>
      <c r="D18" s="196"/>
      <c r="E18" s="196"/>
      <c r="F18" s="196"/>
      <c r="G18" s="196"/>
      <c r="H18" s="196"/>
    </row>
    <row r="19" spans="1:8" ht="219.95" customHeight="1">
      <c r="A19" s="196"/>
      <c r="B19" s="196"/>
      <c r="C19" s="196"/>
      <c r="D19" s="196"/>
      <c r="E19" s="196"/>
      <c r="F19" s="196"/>
      <c r="G19" s="196"/>
      <c r="H19" s="196"/>
    </row>
    <row r="20" spans="1:8" ht="219.95" customHeight="1">
      <c r="A20" s="196"/>
      <c r="B20" s="196"/>
      <c r="C20" s="196"/>
      <c r="D20" s="196"/>
      <c r="E20" s="196"/>
      <c r="F20" s="196"/>
      <c r="G20" s="196"/>
      <c r="H20" s="196"/>
    </row>
    <row r="21" spans="1:8" ht="219.95" customHeight="1">
      <c r="A21" s="196"/>
      <c r="B21" s="196"/>
      <c r="C21" s="196"/>
      <c r="D21" s="196"/>
      <c r="E21" s="196"/>
      <c r="F21" s="196"/>
      <c r="G21" s="196"/>
      <c r="H21" s="196"/>
    </row>
    <row r="22" spans="1:8" ht="219.95" customHeight="1">
      <c r="A22" s="196"/>
      <c r="B22" s="196"/>
      <c r="C22" s="196"/>
      <c r="D22" s="196"/>
      <c r="E22" s="196"/>
      <c r="F22" s="196"/>
      <c r="G22" s="196"/>
      <c r="H22" s="196"/>
    </row>
    <row r="23" spans="1:8" ht="219.95" customHeight="1">
      <c r="A23" s="196"/>
      <c r="B23" s="196"/>
      <c r="C23" s="196"/>
      <c r="D23" s="196"/>
      <c r="E23" s="196"/>
      <c r="F23" s="196"/>
      <c r="G23" s="196"/>
      <c r="H23" s="196"/>
    </row>
    <row r="24" spans="1:8" ht="219.95" customHeight="1">
      <c r="A24" s="196"/>
      <c r="B24" s="196"/>
      <c r="C24" s="196"/>
      <c r="D24" s="196"/>
      <c r="E24" s="196"/>
      <c r="F24" s="196"/>
      <c r="G24" s="196"/>
      <c r="H24" s="196"/>
    </row>
    <row r="25" spans="1:8" ht="219.95" customHeight="1">
      <c r="A25" s="196"/>
      <c r="B25" s="196"/>
      <c r="C25" s="196"/>
      <c r="D25" s="196"/>
      <c r="E25" s="196"/>
      <c r="F25" s="196"/>
      <c r="G25" s="196"/>
      <c r="H25" s="196"/>
    </row>
    <row r="26" spans="1:8" ht="219.95" customHeight="1">
      <c r="A26" s="196"/>
      <c r="B26" s="196"/>
      <c r="C26" s="196"/>
      <c r="D26" s="196"/>
      <c r="E26" s="196"/>
      <c r="F26" s="196"/>
      <c r="G26" s="196"/>
      <c r="H26" s="196"/>
    </row>
    <row r="27" spans="1:8" ht="219.95" customHeight="1">
      <c r="A27" s="196"/>
      <c r="B27" s="196"/>
      <c r="C27" s="196"/>
      <c r="D27" s="196"/>
      <c r="E27" s="196"/>
      <c r="F27" s="196"/>
      <c r="G27" s="196"/>
      <c r="H27" s="196"/>
    </row>
    <row r="28" spans="1:8" ht="219.95" customHeight="1">
      <c r="A28" s="196"/>
      <c r="B28" s="196"/>
      <c r="C28" s="196"/>
      <c r="D28" s="196"/>
      <c r="E28" s="196"/>
      <c r="F28" s="196"/>
      <c r="G28" s="196"/>
      <c r="H28" s="196"/>
    </row>
    <row r="29" spans="1:8" ht="219.95" customHeight="1">
      <c r="A29" s="196"/>
      <c r="B29" s="196"/>
      <c r="C29" s="196"/>
      <c r="D29" s="196"/>
      <c r="E29" s="196"/>
      <c r="F29" s="196"/>
      <c r="G29" s="196"/>
      <c r="H29" s="196"/>
    </row>
    <row r="31" spans="1:8">
      <c r="A31" s="201" t="s">
        <v>2157</v>
      </c>
      <c r="B31" s="201"/>
      <c r="C31" s="201"/>
      <c r="D31" s="201"/>
      <c r="E31" s="201"/>
      <c r="F31" s="201"/>
      <c r="G31" s="201"/>
      <c r="H31" s="201"/>
    </row>
    <row r="32" spans="1:8">
      <c r="A32" s="94" t="s">
        <v>2158</v>
      </c>
      <c r="B32" s="94" t="s">
        <v>2159</v>
      </c>
      <c r="C32" s="94" t="s">
        <v>2160</v>
      </c>
    </row>
    <row r="33" spans="1:3" ht="43.5">
      <c r="A33" s="171" t="s">
        <v>2161</v>
      </c>
      <c r="B33" s="90" t="s">
        <v>2162</v>
      </c>
      <c r="C33" s="90" t="s">
        <v>2163</v>
      </c>
    </row>
    <row r="34" spans="1:3">
      <c r="A34" s="171" t="s">
        <v>2066</v>
      </c>
      <c r="B34" s="90" t="s">
        <v>2164</v>
      </c>
      <c r="C34" s="90" t="s">
        <v>2165</v>
      </c>
    </row>
    <row r="35" spans="1:3" ht="29.1">
      <c r="A35" s="171" t="s">
        <v>2166</v>
      </c>
      <c r="B35" s="90" t="s">
        <v>2167</v>
      </c>
      <c r="C35" s="90" t="s">
        <v>2168</v>
      </c>
    </row>
    <row r="36" spans="1:3" ht="29.1">
      <c r="A36" s="171" t="s">
        <v>2069</v>
      </c>
      <c r="B36" s="90" t="s">
        <v>2169</v>
      </c>
      <c r="C36" s="90" t="s">
        <v>2170</v>
      </c>
    </row>
    <row r="37" spans="1:3" ht="29.1">
      <c r="A37" s="172" t="s">
        <v>2171</v>
      </c>
      <c r="B37" s="170" t="s">
        <v>2172</v>
      </c>
      <c r="C37" s="170" t="s">
        <v>2173</v>
      </c>
    </row>
  </sheetData>
  <mergeCells count="7">
    <mergeCell ref="A31:H31"/>
    <mergeCell ref="A1:H1"/>
    <mergeCell ref="A2:H2"/>
    <mergeCell ref="A4:H4"/>
    <mergeCell ref="A12:H12"/>
    <mergeCell ref="A14:H14"/>
    <mergeCell ref="A15:H29"/>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E14A-23F6-4856-AC5D-8A5241C6A3A8}">
  <sheetPr>
    <tabColor theme="5"/>
  </sheetPr>
  <dimension ref="A1:H95"/>
  <sheetViews>
    <sheetView workbookViewId="0">
      <selection activeCell="A2" sqref="A2:H95"/>
    </sheetView>
  </sheetViews>
  <sheetFormatPr defaultColWidth="8.7109375" defaultRowHeight="10.5"/>
  <cols>
    <col min="1" max="1" width="5.5703125" style="22" customWidth="1"/>
    <col min="2" max="2" width="19.42578125" style="23" bestFit="1" customWidth="1"/>
    <col min="3" max="3" width="14.5703125" style="23" customWidth="1"/>
    <col min="4" max="4" width="11.140625" style="23" bestFit="1" customWidth="1"/>
    <col min="5" max="5" width="25.140625" style="23" bestFit="1" customWidth="1"/>
    <col min="6" max="6" width="6.7109375" style="23" customWidth="1"/>
    <col min="7" max="8" width="9.5703125" style="23" customWidth="1"/>
    <col min="9" max="16384" width="8.7109375" style="21"/>
  </cols>
  <sheetData>
    <row r="1" spans="1:8" ht="21">
      <c r="A1" s="19" t="s">
        <v>9</v>
      </c>
      <c r="B1" s="20" t="s">
        <v>246</v>
      </c>
      <c r="C1" s="20" t="s">
        <v>42</v>
      </c>
      <c r="D1" s="20" t="s">
        <v>2174</v>
      </c>
      <c r="E1" s="20" t="s">
        <v>42</v>
      </c>
      <c r="F1" s="20" t="s">
        <v>2175</v>
      </c>
      <c r="G1" s="20" t="s">
        <v>2176</v>
      </c>
      <c r="H1" s="20" t="s">
        <v>2177</v>
      </c>
    </row>
    <row r="2" spans="1:8">
      <c r="A2" s="22" t="s">
        <v>60</v>
      </c>
      <c r="B2" s="23" t="s">
        <v>2178</v>
      </c>
      <c r="C2" s="23" t="s">
        <v>2179</v>
      </c>
      <c r="D2" s="23" t="s">
        <v>2180</v>
      </c>
      <c r="E2" s="23" t="s">
        <v>2181</v>
      </c>
      <c r="F2" s="24">
        <v>46174</v>
      </c>
      <c r="H2" s="23" t="s">
        <v>2182</v>
      </c>
    </row>
    <row r="3" spans="1:8">
      <c r="A3" s="22" t="s">
        <v>59</v>
      </c>
      <c r="B3" s="23" t="s">
        <v>910</v>
      </c>
      <c r="C3" s="23" t="s">
        <v>2183</v>
      </c>
      <c r="D3" s="23" t="s">
        <v>2184</v>
      </c>
      <c r="E3" s="23" t="s">
        <v>2185</v>
      </c>
      <c r="F3" s="25">
        <v>46024</v>
      </c>
      <c r="G3" s="25"/>
      <c r="H3" s="25" t="s">
        <v>2182</v>
      </c>
    </row>
    <row r="4" spans="1:8">
      <c r="A4" s="22" t="s">
        <v>59</v>
      </c>
      <c r="B4" s="23" t="s">
        <v>920</v>
      </c>
      <c r="C4" s="23" t="s">
        <v>2186</v>
      </c>
      <c r="D4" s="23" t="s">
        <v>2187</v>
      </c>
      <c r="E4" s="23" t="s">
        <v>2188</v>
      </c>
      <c r="F4" s="25">
        <v>46024</v>
      </c>
      <c r="G4" s="25"/>
      <c r="H4" s="25" t="s">
        <v>2182</v>
      </c>
    </row>
    <row r="5" spans="1:8">
      <c r="A5" s="22" t="s">
        <v>59</v>
      </c>
      <c r="B5" s="23" t="s">
        <v>619</v>
      </c>
      <c r="C5" s="23" t="s">
        <v>2189</v>
      </c>
      <c r="D5" s="23" t="s">
        <v>2190</v>
      </c>
      <c r="E5" s="23" t="s">
        <v>2191</v>
      </c>
      <c r="F5" s="25">
        <v>46082</v>
      </c>
      <c r="G5" s="25"/>
      <c r="H5" s="25" t="s">
        <v>2182</v>
      </c>
    </row>
    <row r="6" spans="1:8">
      <c r="A6" s="22" t="s">
        <v>59</v>
      </c>
      <c r="B6" s="23" t="s">
        <v>932</v>
      </c>
      <c r="C6" s="23" t="s">
        <v>2189</v>
      </c>
      <c r="D6" s="23" t="s">
        <v>2192</v>
      </c>
      <c r="E6" s="23" t="s">
        <v>2193</v>
      </c>
      <c r="F6" s="25">
        <v>46082</v>
      </c>
      <c r="G6" s="25"/>
      <c r="H6" s="25" t="s">
        <v>2182</v>
      </c>
    </row>
    <row r="7" spans="1:8">
      <c r="A7" s="22" t="s">
        <v>59</v>
      </c>
      <c r="B7" s="23" t="s">
        <v>610</v>
      </c>
      <c r="C7" s="23" t="s">
        <v>2189</v>
      </c>
      <c r="D7" s="23" t="s">
        <v>2194</v>
      </c>
      <c r="E7" s="23" t="s">
        <v>2191</v>
      </c>
      <c r="F7" s="25">
        <v>46082</v>
      </c>
      <c r="G7" s="25"/>
      <c r="H7" s="25" t="s">
        <v>2182</v>
      </c>
    </row>
    <row r="8" spans="1:8">
      <c r="A8" s="22" t="s">
        <v>59</v>
      </c>
      <c r="B8" s="23" t="s">
        <v>767</v>
      </c>
      <c r="C8" s="23" t="s">
        <v>2189</v>
      </c>
      <c r="D8" s="23" t="s">
        <v>2195</v>
      </c>
      <c r="E8" s="23" t="s">
        <v>2191</v>
      </c>
      <c r="F8" s="25">
        <v>46082</v>
      </c>
      <c r="G8" s="25"/>
      <c r="H8" s="25" t="s">
        <v>2182</v>
      </c>
    </row>
    <row r="9" spans="1:8">
      <c r="A9" s="22" t="s">
        <v>59</v>
      </c>
      <c r="B9" s="23" t="s">
        <v>610</v>
      </c>
      <c r="C9" s="23" t="s">
        <v>2189</v>
      </c>
      <c r="D9" s="23" t="s">
        <v>2196</v>
      </c>
      <c r="E9" s="23" t="s">
        <v>2191</v>
      </c>
      <c r="F9" s="25">
        <v>46082</v>
      </c>
      <c r="G9" s="25"/>
      <c r="H9" s="25" t="s">
        <v>2182</v>
      </c>
    </row>
    <row r="10" spans="1:8">
      <c r="A10" s="22" t="s">
        <v>59</v>
      </c>
      <c r="B10" s="23" t="s">
        <v>619</v>
      </c>
      <c r="C10" s="23" t="s">
        <v>2189</v>
      </c>
      <c r="D10" s="23" t="s">
        <v>2197</v>
      </c>
      <c r="E10" s="23" t="s">
        <v>2191</v>
      </c>
      <c r="F10" s="25">
        <v>46082</v>
      </c>
      <c r="G10" s="25"/>
      <c r="H10" s="25" t="s">
        <v>2182</v>
      </c>
    </row>
    <row r="11" spans="1:8">
      <c r="A11" s="22" t="s">
        <v>59</v>
      </c>
      <c r="B11" s="23" t="s">
        <v>622</v>
      </c>
      <c r="C11" s="23" t="s">
        <v>2189</v>
      </c>
      <c r="D11" s="23" t="s">
        <v>2198</v>
      </c>
      <c r="E11" s="23" t="s">
        <v>2191</v>
      </c>
      <c r="F11" s="25">
        <v>46082</v>
      </c>
      <c r="G11" s="25"/>
      <c r="H11" s="25" t="s">
        <v>2182</v>
      </c>
    </row>
    <row r="12" spans="1:8">
      <c r="A12" s="22" t="s">
        <v>59</v>
      </c>
      <c r="B12" s="23" t="s">
        <v>918</v>
      </c>
      <c r="C12" s="23" t="s">
        <v>2186</v>
      </c>
      <c r="D12" s="23" t="s">
        <v>2199</v>
      </c>
      <c r="E12" s="23" t="s">
        <v>2188</v>
      </c>
      <c r="F12" s="25">
        <v>46082</v>
      </c>
      <c r="G12" s="25"/>
      <c r="H12" s="25" t="s">
        <v>2182</v>
      </c>
    </row>
    <row r="13" spans="1:8">
      <c r="A13" s="26" t="s">
        <v>59</v>
      </c>
      <c r="B13" s="27" t="s">
        <v>2200</v>
      </c>
      <c r="C13" s="27" t="s">
        <v>2201</v>
      </c>
      <c r="D13" s="27" t="s">
        <v>2202</v>
      </c>
      <c r="E13" s="27" t="s">
        <v>169</v>
      </c>
      <c r="F13" s="28">
        <v>46113</v>
      </c>
      <c r="H13" s="23" t="s">
        <v>2182</v>
      </c>
    </row>
    <row r="14" spans="1:8">
      <c r="A14" s="26" t="s">
        <v>59</v>
      </c>
      <c r="B14" s="27" t="s">
        <v>2116</v>
      </c>
      <c r="C14" s="27" t="s">
        <v>2201</v>
      </c>
      <c r="D14" s="27" t="s">
        <v>2203</v>
      </c>
      <c r="E14" s="27" t="s">
        <v>169</v>
      </c>
      <c r="F14" s="28">
        <v>46113</v>
      </c>
      <c r="H14" s="23" t="s">
        <v>2182</v>
      </c>
    </row>
    <row r="15" spans="1:8">
      <c r="A15" s="26" t="s">
        <v>59</v>
      </c>
      <c r="B15" s="27" t="s">
        <v>2126</v>
      </c>
      <c r="C15" s="27" t="s">
        <v>2201</v>
      </c>
      <c r="D15" s="27" t="s">
        <v>2204</v>
      </c>
      <c r="E15" s="27" t="s">
        <v>169</v>
      </c>
      <c r="F15" s="29">
        <v>46113</v>
      </c>
      <c r="G15" s="25"/>
      <c r="H15" s="25" t="s">
        <v>2182</v>
      </c>
    </row>
    <row r="16" spans="1:8">
      <c r="A16" s="26" t="s">
        <v>59</v>
      </c>
      <c r="B16" s="27" t="s">
        <v>2107</v>
      </c>
      <c r="C16" s="27" t="s">
        <v>2201</v>
      </c>
      <c r="D16" s="27" t="s">
        <v>2205</v>
      </c>
      <c r="E16" s="27" t="s">
        <v>169</v>
      </c>
      <c r="F16" s="29">
        <v>46113</v>
      </c>
      <c r="G16" s="25"/>
      <c r="H16" s="25" t="s">
        <v>2182</v>
      </c>
    </row>
    <row r="17" spans="1:8">
      <c r="A17" s="26" t="s">
        <v>59</v>
      </c>
      <c r="B17" s="27" t="s">
        <v>619</v>
      </c>
      <c r="C17" s="27" t="s">
        <v>2189</v>
      </c>
      <c r="D17" s="27" t="s">
        <v>2206</v>
      </c>
      <c r="E17" s="27" t="s">
        <v>2207</v>
      </c>
      <c r="F17" s="29">
        <v>46143</v>
      </c>
      <c r="G17" s="25"/>
      <c r="H17" s="25" t="s">
        <v>2182</v>
      </c>
    </row>
    <row r="18" spans="1:8">
      <c r="A18" s="26" t="s">
        <v>59</v>
      </c>
      <c r="B18" s="27" t="s">
        <v>610</v>
      </c>
      <c r="C18" s="27" t="s">
        <v>2189</v>
      </c>
      <c r="D18" s="27" t="s">
        <v>2208</v>
      </c>
      <c r="E18" s="27" t="s">
        <v>2207</v>
      </c>
      <c r="F18" s="29">
        <v>46143</v>
      </c>
      <c r="G18" s="25"/>
      <c r="H18" s="25" t="s">
        <v>2182</v>
      </c>
    </row>
    <row r="19" spans="1:8">
      <c r="A19" s="26" t="s">
        <v>59</v>
      </c>
      <c r="B19" s="27" t="s">
        <v>625</v>
      </c>
      <c r="C19" s="27" t="s">
        <v>2201</v>
      </c>
      <c r="D19" s="27" t="s">
        <v>623</v>
      </c>
      <c r="E19" s="27" t="s">
        <v>2209</v>
      </c>
      <c r="F19" s="29">
        <v>46174</v>
      </c>
      <c r="G19" s="25"/>
      <c r="H19" s="25" t="s">
        <v>2182</v>
      </c>
    </row>
    <row r="20" spans="1:8">
      <c r="A20" s="26" t="s">
        <v>59</v>
      </c>
      <c r="B20" s="27" t="s">
        <v>699</v>
      </c>
      <c r="C20" s="27" t="s">
        <v>2210</v>
      </c>
      <c r="D20" s="27" t="s">
        <v>698</v>
      </c>
      <c r="E20" s="27" t="s">
        <v>2211</v>
      </c>
      <c r="F20" s="29">
        <v>46174</v>
      </c>
      <c r="G20" s="25"/>
      <c r="H20" s="25" t="s">
        <v>2182</v>
      </c>
    </row>
    <row r="21" spans="1:8">
      <c r="A21" s="26" t="s">
        <v>59</v>
      </c>
      <c r="B21" s="27" t="s">
        <v>2212</v>
      </c>
      <c r="C21" s="27" t="s">
        <v>2213</v>
      </c>
      <c r="D21" s="27" t="s">
        <v>2214</v>
      </c>
      <c r="E21" s="27" t="s">
        <v>152</v>
      </c>
      <c r="F21" s="29">
        <v>46174</v>
      </c>
      <c r="G21" s="25"/>
      <c r="H21" s="25" t="s">
        <v>2182</v>
      </c>
    </row>
    <row r="22" spans="1:8">
      <c r="A22" s="26" t="s">
        <v>59</v>
      </c>
      <c r="B22" s="27" t="s">
        <v>2215</v>
      </c>
      <c r="C22" s="27" t="s">
        <v>2213</v>
      </c>
      <c r="D22" s="27" t="s">
        <v>2216</v>
      </c>
      <c r="E22" s="27" t="s">
        <v>152</v>
      </c>
      <c r="F22" s="29">
        <v>46174</v>
      </c>
      <c r="G22" s="25"/>
      <c r="H22" s="25" t="s">
        <v>2182</v>
      </c>
    </row>
    <row r="23" spans="1:8">
      <c r="A23" s="26" t="s">
        <v>59</v>
      </c>
      <c r="B23" s="27" t="s">
        <v>689</v>
      </c>
      <c r="C23" s="27" t="s">
        <v>2213</v>
      </c>
      <c r="D23" s="27" t="s">
        <v>690</v>
      </c>
      <c r="E23" s="27" t="s">
        <v>2211</v>
      </c>
      <c r="F23" s="29">
        <v>46235</v>
      </c>
      <c r="G23" s="25" t="s">
        <v>2217</v>
      </c>
      <c r="H23" s="25" t="s">
        <v>2182</v>
      </c>
    </row>
    <row r="24" spans="1:8">
      <c r="A24" s="26" t="s">
        <v>59</v>
      </c>
      <c r="B24" s="27" t="s">
        <v>694</v>
      </c>
      <c r="C24" s="27" t="s">
        <v>2218</v>
      </c>
      <c r="D24" s="27" t="s">
        <v>695</v>
      </c>
      <c r="E24" s="27" t="s">
        <v>2211</v>
      </c>
      <c r="F24" s="29">
        <v>46235</v>
      </c>
      <c r="G24" s="25" t="s">
        <v>2217</v>
      </c>
      <c r="H24" s="25" t="s">
        <v>2182</v>
      </c>
    </row>
    <row r="25" spans="1:8">
      <c r="A25" s="26" t="s">
        <v>59</v>
      </c>
      <c r="B25" s="27" t="s">
        <v>694</v>
      </c>
      <c r="C25" s="27" t="s">
        <v>2218</v>
      </c>
      <c r="D25" s="27" t="s">
        <v>707</v>
      </c>
      <c r="E25" s="27" t="s">
        <v>2211</v>
      </c>
      <c r="F25" s="29">
        <v>46235</v>
      </c>
      <c r="G25" s="25" t="s">
        <v>2217</v>
      </c>
      <c r="H25" s="25" t="s">
        <v>2182</v>
      </c>
    </row>
    <row r="26" spans="1:8">
      <c r="A26" s="26" t="s">
        <v>59</v>
      </c>
      <c r="B26" s="27" t="s">
        <v>2219</v>
      </c>
      <c r="C26" s="27" t="s">
        <v>2220</v>
      </c>
      <c r="D26" s="27" t="s">
        <v>728</v>
      </c>
      <c r="E26" s="27" t="s">
        <v>2183</v>
      </c>
      <c r="F26" s="29">
        <v>46235</v>
      </c>
      <c r="G26" s="25" t="s">
        <v>2217</v>
      </c>
      <c r="H26" s="25" t="s">
        <v>2182</v>
      </c>
    </row>
    <row r="27" spans="1:8">
      <c r="A27" s="26" t="s">
        <v>59</v>
      </c>
      <c r="B27" s="27" t="s">
        <v>2221</v>
      </c>
      <c r="C27" s="27" t="s">
        <v>2186</v>
      </c>
      <c r="D27" s="27" t="s">
        <v>2222</v>
      </c>
      <c r="E27" s="27" t="s">
        <v>2185</v>
      </c>
      <c r="F27" s="29">
        <v>46204</v>
      </c>
      <c r="G27" s="25"/>
      <c r="H27" s="25" t="s">
        <v>2182</v>
      </c>
    </row>
    <row r="28" spans="1:8">
      <c r="A28" s="26" t="s">
        <v>59</v>
      </c>
      <c r="B28" s="27" t="s">
        <v>2223</v>
      </c>
      <c r="C28" s="27" t="s">
        <v>2186</v>
      </c>
      <c r="D28" s="27" t="s">
        <v>2224</v>
      </c>
      <c r="E28" s="27" t="s">
        <v>2185</v>
      </c>
      <c r="F28" s="29">
        <v>46204</v>
      </c>
      <c r="G28" s="25"/>
      <c r="H28" s="25" t="s">
        <v>2182</v>
      </c>
    </row>
    <row r="29" spans="1:8">
      <c r="A29" s="22" t="s">
        <v>56</v>
      </c>
      <c r="B29" s="23" t="s">
        <v>515</v>
      </c>
      <c r="C29" s="23" t="s">
        <v>2225</v>
      </c>
      <c r="D29" s="23" t="s">
        <v>2226</v>
      </c>
      <c r="E29" s="23" t="s">
        <v>2227</v>
      </c>
      <c r="F29" s="25">
        <v>46174</v>
      </c>
      <c r="G29" s="25" t="s">
        <v>2228</v>
      </c>
      <c r="H29" s="25" t="s">
        <v>2182</v>
      </c>
    </row>
    <row r="30" spans="1:8">
      <c r="A30" s="22" t="s">
        <v>56</v>
      </c>
      <c r="B30" s="23" t="s">
        <v>517</v>
      </c>
      <c r="C30" s="23" t="s">
        <v>142</v>
      </c>
      <c r="D30" s="23" t="s">
        <v>516</v>
      </c>
      <c r="E30" s="23" t="s">
        <v>2211</v>
      </c>
      <c r="F30" s="25">
        <v>46204</v>
      </c>
      <c r="G30" s="25"/>
      <c r="H30" s="25" t="s">
        <v>2182</v>
      </c>
    </row>
    <row r="31" spans="1:8">
      <c r="A31" s="22" t="s">
        <v>56</v>
      </c>
      <c r="B31" s="23" t="s">
        <v>455</v>
      </c>
      <c r="C31" s="23" t="s">
        <v>2229</v>
      </c>
      <c r="D31" s="23" t="s">
        <v>452</v>
      </c>
      <c r="E31" s="23" t="s">
        <v>2211</v>
      </c>
      <c r="F31" s="25">
        <v>46266</v>
      </c>
      <c r="G31" s="25"/>
      <c r="H31" s="25" t="s">
        <v>2182</v>
      </c>
    </row>
    <row r="32" spans="1:8">
      <c r="A32" s="22" t="s">
        <v>56</v>
      </c>
      <c r="B32" s="23" t="s">
        <v>567</v>
      </c>
      <c r="C32" s="23" t="s">
        <v>88</v>
      </c>
      <c r="D32" s="23" t="s">
        <v>566</v>
      </c>
      <c r="E32" s="23" t="s">
        <v>2211</v>
      </c>
      <c r="F32" s="24">
        <v>46296</v>
      </c>
      <c r="H32" s="23" t="s">
        <v>2182</v>
      </c>
    </row>
    <row r="33" spans="1:8">
      <c r="A33" s="26" t="s">
        <v>62</v>
      </c>
      <c r="B33" s="23" t="s">
        <v>1102</v>
      </c>
      <c r="C33" s="23" t="s">
        <v>2230</v>
      </c>
      <c r="D33" s="23" t="s">
        <v>2231</v>
      </c>
      <c r="E33" s="23" t="s">
        <v>2232</v>
      </c>
      <c r="F33" s="24">
        <v>46023</v>
      </c>
      <c r="G33" s="24"/>
      <c r="H33" s="24" t="s">
        <v>2182</v>
      </c>
    </row>
    <row r="34" spans="1:8">
      <c r="A34" s="26" t="s">
        <v>62</v>
      </c>
      <c r="B34" s="30" t="s">
        <v>1102</v>
      </c>
      <c r="C34" s="31" t="s">
        <v>2230</v>
      </c>
      <c r="D34" s="30" t="s">
        <v>2233</v>
      </c>
      <c r="E34" s="27" t="s">
        <v>2232</v>
      </c>
      <c r="F34" s="29">
        <v>46023</v>
      </c>
      <c r="G34" s="25"/>
      <c r="H34" s="25" t="s">
        <v>2182</v>
      </c>
    </row>
    <row r="35" spans="1:8">
      <c r="A35" s="26" t="s">
        <v>62</v>
      </c>
      <c r="B35" s="27" t="s">
        <v>2234</v>
      </c>
      <c r="C35" s="27" t="s">
        <v>2235</v>
      </c>
      <c r="D35" s="27" t="s">
        <v>2236</v>
      </c>
      <c r="E35" s="27" t="s">
        <v>2237</v>
      </c>
      <c r="F35" s="29">
        <v>46024</v>
      </c>
      <c r="G35" s="25"/>
      <c r="H35" s="25" t="s">
        <v>2182</v>
      </c>
    </row>
    <row r="36" spans="1:8">
      <c r="A36" s="26" t="s">
        <v>62</v>
      </c>
      <c r="B36" s="27" t="s">
        <v>2238</v>
      </c>
      <c r="C36" s="27" t="s">
        <v>2239</v>
      </c>
      <c r="D36" s="27" t="s">
        <v>2240</v>
      </c>
      <c r="E36" s="27" t="s">
        <v>2241</v>
      </c>
      <c r="F36" s="29">
        <v>46025</v>
      </c>
      <c r="G36" s="25"/>
      <c r="H36" s="25" t="s">
        <v>2182</v>
      </c>
    </row>
    <row r="37" spans="1:8">
      <c r="A37" s="26" t="s">
        <v>62</v>
      </c>
      <c r="B37" s="30" t="s">
        <v>2242</v>
      </c>
      <c r="C37" s="31" t="s">
        <v>2243</v>
      </c>
      <c r="D37" s="30" t="s">
        <v>1113</v>
      </c>
      <c r="E37" s="27" t="s">
        <v>2232</v>
      </c>
      <c r="F37" s="29">
        <v>46143</v>
      </c>
      <c r="G37" s="25"/>
      <c r="H37" s="25" t="s">
        <v>2182</v>
      </c>
    </row>
    <row r="38" spans="1:8">
      <c r="A38" s="22" t="s">
        <v>62</v>
      </c>
      <c r="B38" s="23" t="s">
        <v>2244</v>
      </c>
      <c r="C38" s="23" t="s">
        <v>2245</v>
      </c>
      <c r="D38" s="23" t="s">
        <v>2246</v>
      </c>
      <c r="E38" s="23" t="s">
        <v>2241</v>
      </c>
      <c r="F38" s="24">
        <v>46174</v>
      </c>
      <c r="H38" s="23" t="s">
        <v>2182</v>
      </c>
    </row>
    <row r="39" spans="1:8">
      <c r="A39" s="22" t="s">
        <v>62</v>
      </c>
      <c r="B39" s="23" t="s">
        <v>1138</v>
      </c>
      <c r="C39" s="23" t="s">
        <v>2247</v>
      </c>
      <c r="D39" s="23" t="s">
        <v>2248</v>
      </c>
      <c r="E39" s="23" t="s">
        <v>2249</v>
      </c>
      <c r="F39" s="24">
        <v>46204</v>
      </c>
      <c r="H39" s="23" t="s">
        <v>2182</v>
      </c>
    </row>
    <row r="40" spans="1:8">
      <c r="A40" s="26" t="s">
        <v>57</v>
      </c>
      <c r="B40" s="27" t="s">
        <v>2250</v>
      </c>
      <c r="C40" s="27" t="s">
        <v>2251</v>
      </c>
      <c r="D40" s="32" t="s">
        <v>2252</v>
      </c>
      <c r="E40" s="27" t="s">
        <v>2253</v>
      </c>
      <c r="F40" s="28">
        <v>46082</v>
      </c>
      <c r="G40" s="24"/>
      <c r="H40" s="24" t="s">
        <v>2182</v>
      </c>
    </row>
    <row r="41" spans="1:8">
      <c r="A41" s="26" t="s">
        <v>57</v>
      </c>
      <c r="B41" s="27" t="s">
        <v>2254</v>
      </c>
      <c r="C41" s="27" t="s">
        <v>2253</v>
      </c>
      <c r="D41" s="32" t="s">
        <v>2255</v>
      </c>
      <c r="E41" s="27" t="s">
        <v>2256</v>
      </c>
      <c r="F41" s="28">
        <v>46113</v>
      </c>
      <c r="G41" s="24"/>
      <c r="H41" s="24" t="s">
        <v>2182</v>
      </c>
    </row>
    <row r="42" spans="1:8">
      <c r="A42" s="26" t="s">
        <v>57</v>
      </c>
      <c r="B42" s="32" t="s">
        <v>2257</v>
      </c>
      <c r="C42" s="32" t="s">
        <v>2258</v>
      </c>
      <c r="D42" s="32" t="s">
        <v>2259</v>
      </c>
      <c r="E42" s="27" t="s">
        <v>2260</v>
      </c>
      <c r="F42" s="28">
        <v>46113</v>
      </c>
      <c r="G42" s="24"/>
      <c r="H42" s="24" t="s">
        <v>2182</v>
      </c>
    </row>
    <row r="43" spans="1:8">
      <c r="A43" s="26" t="s">
        <v>57</v>
      </c>
      <c r="B43" s="32" t="s">
        <v>1744</v>
      </c>
      <c r="C43" s="32" t="s">
        <v>2258</v>
      </c>
      <c r="D43" s="32" t="s">
        <v>2261</v>
      </c>
      <c r="E43" s="27" t="s">
        <v>2260</v>
      </c>
      <c r="F43" s="28">
        <v>46113</v>
      </c>
      <c r="G43" s="24"/>
      <c r="H43" s="24" t="s">
        <v>2182</v>
      </c>
    </row>
    <row r="44" spans="1:8">
      <c r="A44" s="26" t="s">
        <v>57</v>
      </c>
      <c r="B44" s="27" t="s">
        <v>2262</v>
      </c>
      <c r="C44" s="27" t="s">
        <v>2258</v>
      </c>
      <c r="D44" s="32" t="s">
        <v>2263</v>
      </c>
      <c r="E44" s="27" t="s">
        <v>2260</v>
      </c>
      <c r="F44" s="28">
        <v>46113</v>
      </c>
      <c r="G44" s="24"/>
      <c r="H44" s="24" t="s">
        <v>2182</v>
      </c>
    </row>
    <row r="45" spans="1:8">
      <c r="A45" s="26" t="s">
        <v>57</v>
      </c>
      <c r="B45" s="27" t="s">
        <v>2264</v>
      </c>
      <c r="C45" s="27" t="s">
        <v>2265</v>
      </c>
      <c r="D45" s="32" t="s">
        <v>2266</v>
      </c>
      <c r="E45" s="27" t="s">
        <v>2267</v>
      </c>
      <c r="F45" s="28">
        <v>46113</v>
      </c>
      <c r="G45" s="24"/>
      <c r="H45" s="24" t="s">
        <v>2182</v>
      </c>
    </row>
    <row r="46" spans="1:8">
      <c r="A46" s="26" t="s">
        <v>57</v>
      </c>
      <c r="B46" s="27" t="s">
        <v>2268</v>
      </c>
      <c r="C46" s="27" t="s">
        <v>2265</v>
      </c>
      <c r="D46" s="32" t="s">
        <v>2269</v>
      </c>
      <c r="E46" s="27" t="s">
        <v>2267</v>
      </c>
      <c r="F46" s="28">
        <v>46113</v>
      </c>
      <c r="G46" s="24"/>
      <c r="H46" s="24" t="s">
        <v>2182</v>
      </c>
    </row>
    <row r="47" spans="1:8">
      <c r="A47" s="26" t="s">
        <v>57</v>
      </c>
      <c r="B47" s="27" t="s">
        <v>2270</v>
      </c>
      <c r="C47" s="27" t="s">
        <v>2265</v>
      </c>
      <c r="D47" s="32" t="s">
        <v>2271</v>
      </c>
      <c r="E47" s="27" t="s">
        <v>2267</v>
      </c>
      <c r="F47" s="28">
        <v>46113</v>
      </c>
      <c r="G47" s="24"/>
      <c r="H47" s="24" t="s">
        <v>2182</v>
      </c>
    </row>
    <row r="48" spans="1:8">
      <c r="A48" s="26" t="s">
        <v>57</v>
      </c>
      <c r="B48" s="27" t="s">
        <v>2272</v>
      </c>
      <c r="C48" s="27" t="s">
        <v>2265</v>
      </c>
      <c r="D48" s="32" t="s">
        <v>2273</v>
      </c>
      <c r="E48" s="27" t="s">
        <v>2267</v>
      </c>
      <c r="F48" s="28">
        <v>46113</v>
      </c>
      <c r="G48" s="24"/>
      <c r="H48" s="24" t="s">
        <v>2182</v>
      </c>
    </row>
    <row r="49" spans="1:8">
      <c r="A49" s="26" t="s">
        <v>57</v>
      </c>
      <c r="B49" s="27" t="s">
        <v>1971</v>
      </c>
      <c r="C49" s="27" t="s">
        <v>2265</v>
      </c>
      <c r="D49" s="32" t="s">
        <v>2274</v>
      </c>
      <c r="E49" s="27" t="s">
        <v>2267</v>
      </c>
      <c r="F49" s="28">
        <v>46113</v>
      </c>
      <c r="G49" s="24"/>
      <c r="H49" s="24" t="s">
        <v>2182</v>
      </c>
    </row>
    <row r="50" spans="1:8">
      <c r="A50" s="26" t="s">
        <v>57</v>
      </c>
      <c r="B50" s="27" t="s">
        <v>2275</v>
      </c>
      <c r="C50" s="27" t="s">
        <v>2265</v>
      </c>
      <c r="D50" s="32" t="s">
        <v>2276</v>
      </c>
      <c r="E50" s="27" t="s">
        <v>2267</v>
      </c>
      <c r="F50" s="28">
        <v>46113</v>
      </c>
      <c r="G50" s="24"/>
      <c r="H50" s="24" t="s">
        <v>2182</v>
      </c>
    </row>
    <row r="51" spans="1:8">
      <c r="A51" s="26" t="s">
        <v>57</v>
      </c>
      <c r="B51" s="27" t="s">
        <v>2277</v>
      </c>
      <c r="C51" s="27" t="s">
        <v>2265</v>
      </c>
      <c r="D51" s="32" t="s">
        <v>2278</v>
      </c>
      <c r="E51" s="27" t="s">
        <v>2267</v>
      </c>
      <c r="F51" s="28">
        <v>46113</v>
      </c>
      <c r="G51" s="24"/>
      <c r="H51" s="24" t="s">
        <v>2182</v>
      </c>
    </row>
    <row r="52" spans="1:8">
      <c r="A52" s="26" t="s">
        <v>57</v>
      </c>
      <c r="B52" s="27" t="s">
        <v>1975</v>
      </c>
      <c r="C52" s="27" t="s">
        <v>2265</v>
      </c>
      <c r="D52" s="32" t="s">
        <v>2279</v>
      </c>
      <c r="E52" s="27" t="s">
        <v>2267</v>
      </c>
      <c r="F52" s="28">
        <v>46113</v>
      </c>
      <c r="G52" s="24"/>
      <c r="H52" s="24" t="s">
        <v>2182</v>
      </c>
    </row>
    <row r="53" spans="1:8">
      <c r="A53" s="26" t="s">
        <v>57</v>
      </c>
      <c r="B53" s="27" t="s">
        <v>2103</v>
      </c>
      <c r="C53" s="27" t="s">
        <v>2093</v>
      </c>
      <c r="D53" s="32" t="s">
        <v>2280</v>
      </c>
      <c r="E53" s="27" t="s">
        <v>2256</v>
      </c>
      <c r="F53" s="28">
        <v>46113</v>
      </c>
      <c r="G53" s="24"/>
      <c r="H53" s="24" t="s">
        <v>2182</v>
      </c>
    </row>
    <row r="54" spans="1:8">
      <c r="A54" s="26" t="s">
        <v>57</v>
      </c>
      <c r="B54" s="27" t="s">
        <v>2281</v>
      </c>
      <c r="C54" s="27" t="s">
        <v>2093</v>
      </c>
      <c r="D54" s="32" t="s">
        <v>2282</v>
      </c>
      <c r="E54" s="27" t="s">
        <v>2256</v>
      </c>
      <c r="F54" s="28">
        <v>46113</v>
      </c>
      <c r="G54" s="24"/>
      <c r="H54" s="24" t="s">
        <v>2182</v>
      </c>
    </row>
    <row r="55" spans="1:8">
      <c r="A55" s="26" t="s">
        <v>57</v>
      </c>
      <c r="B55" s="27" t="s">
        <v>2092</v>
      </c>
      <c r="C55" s="27" t="s">
        <v>2093</v>
      </c>
      <c r="D55" s="32" t="s">
        <v>2091</v>
      </c>
      <c r="E55" s="27" t="s">
        <v>2256</v>
      </c>
      <c r="F55" s="28">
        <v>46113</v>
      </c>
      <c r="G55" s="24"/>
      <c r="H55" s="24" t="s">
        <v>2182</v>
      </c>
    </row>
    <row r="56" spans="1:8">
      <c r="A56" s="26" t="s">
        <v>57</v>
      </c>
      <c r="B56" s="27" t="s">
        <v>2283</v>
      </c>
      <c r="C56" s="27" t="s">
        <v>2093</v>
      </c>
      <c r="D56" s="32" t="s">
        <v>2284</v>
      </c>
      <c r="E56" s="27" t="s">
        <v>2256</v>
      </c>
      <c r="F56" s="28">
        <v>46113</v>
      </c>
      <c r="G56" s="24"/>
      <c r="H56" s="24" t="s">
        <v>2182</v>
      </c>
    </row>
    <row r="57" spans="1:8">
      <c r="A57" s="26" t="s">
        <v>57</v>
      </c>
      <c r="B57" s="27" t="s">
        <v>2285</v>
      </c>
      <c r="C57" s="27" t="s">
        <v>2093</v>
      </c>
      <c r="D57" s="32" t="s">
        <v>2286</v>
      </c>
      <c r="E57" s="27" t="s">
        <v>2256</v>
      </c>
      <c r="F57" s="28">
        <v>46113</v>
      </c>
      <c r="G57" s="24"/>
      <c r="H57" s="24" t="s">
        <v>2182</v>
      </c>
    </row>
    <row r="58" spans="1:8">
      <c r="A58" s="26" t="s">
        <v>57</v>
      </c>
      <c r="B58" s="27" t="s">
        <v>2287</v>
      </c>
      <c r="C58" s="27" t="s">
        <v>2093</v>
      </c>
      <c r="D58" s="32" t="s">
        <v>2288</v>
      </c>
      <c r="E58" s="27" t="s">
        <v>2256</v>
      </c>
      <c r="F58" s="28">
        <v>46113</v>
      </c>
      <c r="G58" s="24"/>
      <c r="H58" s="24" t="s">
        <v>2182</v>
      </c>
    </row>
    <row r="59" spans="1:8">
      <c r="A59" s="26" t="s">
        <v>57</v>
      </c>
      <c r="B59" s="27" t="s">
        <v>2105</v>
      </c>
      <c r="C59" s="27" t="s">
        <v>2093</v>
      </c>
      <c r="D59" s="32" t="s">
        <v>2289</v>
      </c>
      <c r="E59" s="27" t="s">
        <v>2256</v>
      </c>
      <c r="F59" s="28">
        <v>46113</v>
      </c>
      <c r="G59" s="24"/>
      <c r="H59" s="24" t="s">
        <v>2182</v>
      </c>
    </row>
    <row r="60" spans="1:8">
      <c r="A60" s="26" t="s">
        <v>57</v>
      </c>
      <c r="B60" s="27" t="s">
        <v>2290</v>
      </c>
      <c r="C60" s="27" t="s">
        <v>2093</v>
      </c>
      <c r="D60" s="27" t="s">
        <v>2291</v>
      </c>
      <c r="E60" s="27" t="s">
        <v>2256</v>
      </c>
      <c r="F60" s="28">
        <v>46113</v>
      </c>
      <c r="G60" s="25"/>
      <c r="H60" s="25" t="s">
        <v>2182</v>
      </c>
    </row>
    <row r="61" spans="1:8">
      <c r="A61" s="26" t="s">
        <v>57</v>
      </c>
      <c r="B61" s="27" t="s">
        <v>2292</v>
      </c>
      <c r="C61" s="27" t="s">
        <v>2251</v>
      </c>
      <c r="D61" s="27" t="s">
        <v>1958</v>
      </c>
      <c r="E61" s="27" t="s">
        <v>2253</v>
      </c>
      <c r="F61" s="28">
        <v>46113</v>
      </c>
      <c r="G61" s="25"/>
      <c r="H61" s="25" t="s">
        <v>2182</v>
      </c>
    </row>
    <row r="62" spans="1:8">
      <c r="A62" s="26" t="s">
        <v>57</v>
      </c>
      <c r="B62" s="27" t="s">
        <v>2293</v>
      </c>
      <c r="C62" s="27" t="s">
        <v>2251</v>
      </c>
      <c r="D62" s="27" t="s">
        <v>1964</v>
      </c>
      <c r="E62" s="27" t="s">
        <v>2253</v>
      </c>
      <c r="F62" s="28">
        <v>46113</v>
      </c>
      <c r="G62" s="25"/>
      <c r="H62" s="25" t="s">
        <v>2182</v>
      </c>
    </row>
    <row r="63" spans="1:8">
      <c r="A63" s="26" t="s">
        <v>57</v>
      </c>
      <c r="B63" s="33" t="s">
        <v>775</v>
      </c>
      <c r="C63" s="33" t="s">
        <v>2251</v>
      </c>
      <c r="D63" s="27" t="s">
        <v>1928</v>
      </c>
      <c r="E63" s="27" t="s">
        <v>2256</v>
      </c>
      <c r="F63" s="28">
        <v>46113</v>
      </c>
      <c r="G63" s="24"/>
      <c r="H63" s="24" t="s">
        <v>2182</v>
      </c>
    </row>
    <row r="64" spans="1:8">
      <c r="A64" s="26" t="s">
        <v>57</v>
      </c>
      <c r="B64" s="33" t="s">
        <v>2294</v>
      </c>
      <c r="C64" s="34" t="s">
        <v>2295</v>
      </c>
      <c r="D64" s="27" t="s">
        <v>2296</v>
      </c>
      <c r="E64" s="23" t="s">
        <v>97</v>
      </c>
      <c r="F64" s="24">
        <v>46143</v>
      </c>
      <c r="H64" s="23" t="s">
        <v>2182</v>
      </c>
    </row>
    <row r="65" spans="1:8">
      <c r="A65" s="26" t="s">
        <v>57</v>
      </c>
      <c r="B65" s="27" t="s">
        <v>2297</v>
      </c>
      <c r="C65" s="23" t="s">
        <v>2295</v>
      </c>
      <c r="D65" s="27" t="s">
        <v>2298</v>
      </c>
      <c r="E65" s="23" t="s">
        <v>97</v>
      </c>
      <c r="F65" s="24">
        <v>46143</v>
      </c>
      <c r="H65" s="23" t="s">
        <v>2182</v>
      </c>
    </row>
    <row r="66" spans="1:8">
      <c r="A66" s="26" t="s">
        <v>57</v>
      </c>
      <c r="B66" s="27" t="s">
        <v>2299</v>
      </c>
      <c r="C66" s="23" t="s">
        <v>2295</v>
      </c>
      <c r="D66" s="27" t="s">
        <v>2300</v>
      </c>
      <c r="E66" s="23" t="s">
        <v>97</v>
      </c>
      <c r="F66" s="24">
        <v>46143</v>
      </c>
      <c r="H66" s="23" t="s">
        <v>2182</v>
      </c>
    </row>
    <row r="67" spans="1:8">
      <c r="A67" s="26" t="s">
        <v>55</v>
      </c>
      <c r="B67" s="27" t="s">
        <v>1298</v>
      </c>
      <c r="C67" s="27" t="s">
        <v>2301</v>
      </c>
      <c r="D67" s="27"/>
      <c r="E67" s="27" t="s">
        <v>138</v>
      </c>
      <c r="F67" s="28">
        <v>46082</v>
      </c>
      <c r="G67" s="24"/>
      <c r="H67" s="24" t="s">
        <v>2182</v>
      </c>
    </row>
    <row r="68" spans="1:8">
      <c r="A68" s="22" t="s">
        <v>58</v>
      </c>
      <c r="B68" s="23" t="s">
        <v>2302</v>
      </c>
      <c r="C68" s="23" t="s">
        <v>2077</v>
      </c>
      <c r="D68" s="35" t="s">
        <v>2303</v>
      </c>
      <c r="E68" s="23" t="s">
        <v>2253</v>
      </c>
      <c r="F68" s="24">
        <v>46204</v>
      </c>
      <c r="H68" s="23" t="s">
        <v>2182</v>
      </c>
    </row>
    <row r="69" spans="1:8">
      <c r="A69" s="22" t="s">
        <v>58</v>
      </c>
      <c r="B69" s="23" t="s">
        <v>2076</v>
      </c>
      <c r="C69" s="23" t="s">
        <v>2077</v>
      </c>
      <c r="D69" s="35" t="s">
        <v>2075</v>
      </c>
      <c r="E69" s="23" t="s">
        <v>2253</v>
      </c>
      <c r="F69" s="24">
        <v>46204</v>
      </c>
      <c r="H69" s="23" t="s">
        <v>2182</v>
      </c>
    </row>
    <row r="70" spans="1:8">
      <c r="A70" s="22" t="s">
        <v>58</v>
      </c>
      <c r="B70" s="23" t="s">
        <v>2076</v>
      </c>
      <c r="C70" s="23" t="s">
        <v>2077</v>
      </c>
      <c r="D70" s="35" t="s">
        <v>2095</v>
      </c>
      <c r="E70" s="23" t="s">
        <v>2253</v>
      </c>
      <c r="F70" s="24">
        <v>46204</v>
      </c>
      <c r="H70" s="23" t="s">
        <v>2182</v>
      </c>
    </row>
    <row r="71" spans="1:8">
      <c r="A71" s="22" t="s">
        <v>58</v>
      </c>
      <c r="B71" s="23" t="s">
        <v>2076</v>
      </c>
      <c r="C71" s="23" t="s">
        <v>2077</v>
      </c>
      <c r="D71" s="35" t="s">
        <v>2304</v>
      </c>
      <c r="E71" s="23" t="s">
        <v>2253</v>
      </c>
      <c r="F71" s="24">
        <v>46204</v>
      </c>
      <c r="H71" s="23" t="s">
        <v>2182</v>
      </c>
    </row>
    <row r="72" spans="1:8">
      <c r="A72" s="22" t="s">
        <v>58</v>
      </c>
      <c r="B72" s="23" t="s">
        <v>2085</v>
      </c>
      <c r="C72" s="23" t="s">
        <v>2077</v>
      </c>
      <c r="D72" s="23" t="s">
        <v>2084</v>
      </c>
      <c r="E72" s="23" t="s">
        <v>2253</v>
      </c>
      <c r="F72" s="24">
        <v>46204</v>
      </c>
      <c r="H72" s="23" t="s">
        <v>2182</v>
      </c>
    </row>
    <row r="73" spans="1:8">
      <c r="A73" s="26" t="s">
        <v>58</v>
      </c>
      <c r="B73" s="27" t="s">
        <v>2305</v>
      </c>
      <c r="C73" s="23" t="s">
        <v>2306</v>
      </c>
      <c r="D73" s="27" t="s">
        <v>2307</v>
      </c>
      <c r="E73" s="23" t="s">
        <v>2308</v>
      </c>
      <c r="F73" s="24"/>
      <c r="H73" s="23" t="s">
        <v>2182</v>
      </c>
    </row>
    <row r="74" spans="1:8">
      <c r="A74" s="26" t="s">
        <v>58</v>
      </c>
      <c r="B74" s="27" t="s">
        <v>1874</v>
      </c>
      <c r="C74" s="23" t="s">
        <v>2306</v>
      </c>
      <c r="D74" s="27" t="s">
        <v>1873</v>
      </c>
      <c r="E74" s="23" t="s">
        <v>2308</v>
      </c>
      <c r="F74" s="24"/>
      <c r="H74" s="23" t="s">
        <v>2182</v>
      </c>
    </row>
    <row r="75" spans="1:8">
      <c r="A75" s="26" t="s">
        <v>58</v>
      </c>
      <c r="B75" s="27" t="s">
        <v>1884</v>
      </c>
      <c r="C75" s="23" t="s">
        <v>2306</v>
      </c>
      <c r="D75" s="27" t="s">
        <v>1883</v>
      </c>
      <c r="E75" s="23" t="s">
        <v>2308</v>
      </c>
      <c r="F75" s="24"/>
      <c r="H75" s="23" t="s">
        <v>2182</v>
      </c>
    </row>
    <row r="76" spans="1:8">
      <c r="A76" s="26" t="s">
        <v>53</v>
      </c>
      <c r="B76" s="27" t="s">
        <v>2309</v>
      </c>
      <c r="C76" s="27" t="s">
        <v>2310</v>
      </c>
      <c r="D76" s="27" t="s">
        <v>2311</v>
      </c>
      <c r="E76" s="27" t="s">
        <v>2312</v>
      </c>
      <c r="F76" s="28">
        <v>46082</v>
      </c>
      <c r="G76" s="24"/>
      <c r="H76" s="24" t="s">
        <v>2182</v>
      </c>
    </row>
    <row r="77" spans="1:8">
      <c r="A77" s="26" t="s">
        <v>53</v>
      </c>
      <c r="B77" s="27" t="s">
        <v>2309</v>
      </c>
      <c r="C77" s="27" t="s">
        <v>2310</v>
      </c>
      <c r="D77" s="27" t="s">
        <v>2311</v>
      </c>
      <c r="E77" s="27" t="s">
        <v>2312</v>
      </c>
      <c r="F77" s="28">
        <v>46204</v>
      </c>
      <c r="G77" s="24"/>
      <c r="H77" s="24" t="s">
        <v>2182</v>
      </c>
    </row>
    <row r="78" spans="1:8">
      <c r="A78" s="26" t="s">
        <v>53</v>
      </c>
      <c r="B78" s="27" t="s">
        <v>2309</v>
      </c>
      <c r="C78" s="27" t="s">
        <v>2310</v>
      </c>
      <c r="D78" s="27" t="s">
        <v>2311</v>
      </c>
      <c r="E78" s="27" t="s">
        <v>2312</v>
      </c>
      <c r="F78" s="28">
        <v>46204</v>
      </c>
      <c r="G78" s="24"/>
      <c r="H78" s="24" t="s">
        <v>2182</v>
      </c>
    </row>
    <row r="79" spans="1:8">
      <c r="A79" s="22" t="s">
        <v>54</v>
      </c>
      <c r="B79" s="23" t="s">
        <v>1417</v>
      </c>
      <c r="C79" s="23" t="s">
        <v>2313</v>
      </c>
      <c r="D79" s="23" t="s">
        <v>1414</v>
      </c>
      <c r="E79" s="23" t="s">
        <v>132</v>
      </c>
      <c r="F79" s="25">
        <v>46327</v>
      </c>
      <c r="G79" s="25" t="s">
        <v>2314</v>
      </c>
      <c r="H79" s="25" t="s">
        <v>2182</v>
      </c>
    </row>
    <row r="80" spans="1:8">
      <c r="A80" s="22" t="s">
        <v>54</v>
      </c>
      <c r="B80" s="23" t="s">
        <v>1441</v>
      </c>
      <c r="C80" s="23" t="s">
        <v>2313</v>
      </c>
      <c r="D80" s="23" t="s">
        <v>1440</v>
      </c>
      <c r="E80" s="23" t="s">
        <v>132</v>
      </c>
      <c r="F80" s="25">
        <v>46327</v>
      </c>
      <c r="G80" s="25" t="s">
        <v>2314</v>
      </c>
      <c r="H80" s="25" t="s">
        <v>2182</v>
      </c>
    </row>
    <row r="81" spans="1:8">
      <c r="A81" s="22" t="s">
        <v>54</v>
      </c>
      <c r="B81" s="23" t="s">
        <v>1459</v>
      </c>
      <c r="C81" s="23" t="s">
        <v>2313</v>
      </c>
      <c r="D81" s="23" t="s">
        <v>1458</v>
      </c>
      <c r="E81" s="23" t="s">
        <v>132</v>
      </c>
      <c r="F81" s="25">
        <v>46327</v>
      </c>
      <c r="G81" s="25" t="s">
        <v>2314</v>
      </c>
      <c r="H81" s="25" t="s">
        <v>2182</v>
      </c>
    </row>
    <row r="82" spans="1:8">
      <c r="A82" s="22" t="s">
        <v>54</v>
      </c>
      <c r="B82" s="23" t="s">
        <v>1579</v>
      </c>
      <c r="C82" s="23" t="s">
        <v>2313</v>
      </c>
      <c r="D82" s="23" t="s">
        <v>1578</v>
      </c>
      <c r="E82" s="23" t="s">
        <v>132</v>
      </c>
      <c r="F82" s="25">
        <v>46327</v>
      </c>
      <c r="G82" s="25" t="s">
        <v>2314</v>
      </c>
      <c r="H82" s="25" t="s">
        <v>2182</v>
      </c>
    </row>
    <row r="83" spans="1:8">
      <c r="A83" s="22" t="s">
        <v>54</v>
      </c>
      <c r="B83" s="23" t="s">
        <v>1640</v>
      </c>
      <c r="C83" s="23" t="s">
        <v>2313</v>
      </c>
      <c r="D83" s="23" t="s">
        <v>1639</v>
      </c>
      <c r="E83" s="23" t="s">
        <v>132</v>
      </c>
      <c r="F83" s="25">
        <v>46327</v>
      </c>
      <c r="G83" s="25" t="s">
        <v>2314</v>
      </c>
      <c r="H83" s="25" t="s">
        <v>2182</v>
      </c>
    </row>
    <row r="84" spans="1:8">
      <c r="A84" s="22" t="s">
        <v>53</v>
      </c>
      <c r="B84" s="23" t="s">
        <v>2315</v>
      </c>
      <c r="C84" s="23" t="s">
        <v>2316</v>
      </c>
      <c r="D84" s="23" t="s">
        <v>2317</v>
      </c>
      <c r="E84" s="23" t="s">
        <v>2318</v>
      </c>
      <c r="F84" s="23">
        <v>46113</v>
      </c>
    </row>
    <row r="85" spans="1:8">
      <c r="A85" s="22" t="s">
        <v>53</v>
      </c>
      <c r="B85" s="23" t="s">
        <v>2319</v>
      </c>
      <c r="C85" s="23" t="s">
        <v>2316</v>
      </c>
      <c r="D85" s="23" t="s">
        <v>2317</v>
      </c>
      <c r="E85" s="23" t="s">
        <v>2318</v>
      </c>
      <c r="F85" s="23">
        <v>46113</v>
      </c>
    </row>
    <row r="86" spans="1:8">
      <c r="A86" s="22" t="s">
        <v>53</v>
      </c>
      <c r="B86" s="23" t="s">
        <v>2320</v>
      </c>
      <c r="C86" s="23" t="s">
        <v>2316</v>
      </c>
      <c r="D86" s="23" t="s">
        <v>2317</v>
      </c>
      <c r="E86" s="23" t="s">
        <v>2318</v>
      </c>
      <c r="F86" s="23">
        <v>46113</v>
      </c>
    </row>
    <row r="87" spans="1:8">
      <c r="A87" s="22" t="s">
        <v>60</v>
      </c>
      <c r="B87" s="23" t="s">
        <v>1039</v>
      </c>
      <c r="C87" s="23" t="s">
        <v>1014</v>
      </c>
      <c r="E87" s="23" t="s">
        <v>232</v>
      </c>
      <c r="F87" s="23">
        <v>46235</v>
      </c>
    </row>
    <row r="88" spans="1:8">
      <c r="A88" s="22" t="s">
        <v>60</v>
      </c>
      <c r="B88" s="23" t="s">
        <v>1014</v>
      </c>
      <c r="C88" s="23" t="s">
        <v>1014</v>
      </c>
      <c r="E88" s="23" t="s">
        <v>232</v>
      </c>
      <c r="F88" s="23">
        <v>46235</v>
      </c>
    </row>
    <row r="89" spans="1:8">
      <c r="A89" s="22" t="s">
        <v>61</v>
      </c>
      <c r="B89" s="23" t="s">
        <v>2321</v>
      </c>
      <c r="C89" s="23" t="s">
        <v>2322</v>
      </c>
      <c r="D89" s="23" t="s">
        <v>2323</v>
      </c>
      <c r="E89" s="23" t="s">
        <v>2324</v>
      </c>
      <c r="F89" s="23">
        <v>46204</v>
      </c>
      <c r="G89" s="23" t="s">
        <v>2325</v>
      </c>
      <c r="H89" s="23" t="s">
        <v>2182</v>
      </c>
    </row>
    <row r="90" spans="1:8">
      <c r="A90" s="22" t="s">
        <v>61</v>
      </c>
      <c r="B90" s="23" t="s">
        <v>2326</v>
      </c>
      <c r="C90" s="23" t="s">
        <v>2327</v>
      </c>
      <c r="D90" s="23" t="s">
        <v>2328</v>
      </c>
      <c r="E90" s="23" t="s">
        <v>2329</v>
      </c>
      <c r="F90" s="23">
        <v>46204</v>
      </c>
      <c r="G90" s="23" t="s">
        <v>2330</v>
      </c>
      <c r="H90" s="23" t="s">
        <v>2182</v>
      </c>
    </row>
    <row r="91" spans="1:8">
      <c r="A91" s="22" t="s">
        <v>61</v>
      </c>
      <c r="B91" s="23" t="s">
        <v>2331</v>
      </c>
      <c r="C91" s="23" t="s">
        <v>2332</v>
      </c>
      <c r="D91" s="23" t="s">
        <v>2127</v>
      </c>
      <c r="E91" s="23" t="s">
        <v>2329</v>
      </c>
      <c r="F91" s="23">
        <v>46204</v>
      </c>
      <c r="G91" s="23" t="s">
        <v>2333</v>
      </c>
      <c r="H91" s="23" t="s">
        <v>2182</v>
      </c>
    </row>
    <row r="92" spans="1:8">
      <c r="A92" s="22" t="s">
        <v>61</v>
      </c>
      <c r="B92" s="23" t="s">
        <v>2334</v>
      </c>
      <c r="C92" s="23" t="s">
        <v>2335</v>
      </c>
      <c r="D92" s="23" t="s">
        <v>2336</v>
      </c>
      <c r="E92" s="23" t="s">
        <v>147</v>
      </c>
      <c r="F92" s="23">
        <v>46113</v>
      </c>
      <c r="G92" s="23" t="s">
        <v>2337</v>
      </c>
      <c r="H92" s="23" t="s">
        <v>2182</v>
      </c>
    </row>
    <row r="93" spans="1:8">
      <c r="A93" s="22" t="s">
        <v>61</v>
      </c>
      <c r="B93" s="23" t="s">
        <v>2338</v>
      </c>
      <c r="C93" s="23" t="s">
        <v>2339</v>
      </c>
      <c r="D93" s="23" t="s">
        <v>2340</v>
      </c>
      <c r="E93" s="23" t="s">
        <v>226</v>
      </c>
      <c r="F93" s="23">
        <v>46082</v>
      </c>
      <c r="G93" s="23" t="s">
        <v>2341</v>
      </c>
      <c r="H93" s="23" t="s">
        <v>2182</v>
      </c>
    </row>
    <row r="94" spans="1:8">
      <c r="A94" s="22" t="s">
        <v>61</v>
      </c>
      <c r="B94" s="23" t="s">
        <v>2342</v>
      </c>
      <c r="C94" s="23" t="s">
        <v>2339</v>
      </c>
      <c r="D94" s="23" t="s">
        <v>2343</v>
      </c>
      <c r="E94" s="23" t="s">
        <v>226</v>
      </c>
      <c r="F94" s="23">
        <v>46082</v>
      </c>
      <c r="G94" s="23" t="s">
        <v>2344</v>
      </c>
      <c r="H94" s="23" t="s">
        <v>2182</v>
      </c>
    </row>
    <row r="95" spans="1:8">
      <c r="A95" s="22" t="s">
        <v>61</v>
      </c>
      <c r="B95" s="23" t="s">
        <v>382</v>
      </c>
      <c r="C95" s="23" t="s">
        <v>2339</v>
      </c>
      <c r="D95" s="23" t="s">
        <v>2345</v>
      </c>
      <c r="E95" s="23" t="s">
        <v>2346</v>
      </c>
      <c r="F95" s="23">
        <v>45901</v>
      </c>
      <c r="G95" s="23" t="s">
        <v>2347</v>
      </c>
      <c r="H95" s="23" t="s">
        <v>2182</v>
      </c>
    </row>
  </sheetData>
  <conditionalFormatting sqref="C33 C44:C62">
    <cfRule type="containsText" dxfId="157" priority="18" operator="containsText" text="SIM">
      <formula>NOT(ISERROR(SEARCH("SIM",C33)))</formula>
    </cfRule>
    <cfRule type="containsText" dxfId="156" priority="17" operator="containsText" text="NÃO">
      <formula>NOT(ISERROR(SEARCH("NÃO",C33)))</formula>
    </cfRule>
  </conditionalFormatting>
  <conditionalFormatting sqref="D34:D43">
    <cfRule type="duplicateValues" dxfId="155" priority="19"/>
    <cfRule type="duplicateValues" dxfId="154" priority="20"/>
    <cfRule type="duplicateValues" dxfId="153" priority="21"/>
    <cfRule type="duplicateValues" dxfId="152" priority="22"/>
    <cfRule type="duplicateValues" dxfId="151" priority="23"/>
    <cfRule type="duplicateValues" dxfId="150" priority="24"/>
    <cfRule type="duplicateValues" dxfId="149" priority="25"/>
    <cfRule type="duplicateValues" dxfId="148" priority="26"/>
    <cfRule type="duplicateValues" dxfId="147" priority="27"/>
    <cfRule type="duplicateValues" dxfId="146" priority="28"/>
    <cfRule type="duplicateValues" dxfId="145" priority="29"/>
    <cfRule type="duplicateValues" dxfId="144" priority="30"/>
    <cfRule type="duplicateValues" dxfId="143" priority="31"/>
    <cfRule type="duplicateValues" dxfId="142" priority="32"/>
    <cfRule type="duplicateValues" dxfId="141" priority="33"/>
    <cfRule type="duplicateValues" dxfId="140" priority="34"/>
  </conditionalFormatting>
  <conditionalFormatting sqref="D70:D74">
    <cfRule type="duplicateValues" dxfId="139" priority="2"/>
    <cfRule type="duplicateValues" dxfId="138" priority="3"/>
    <cfRule type="duplicateValues" dxfId="137" priority="4"/>
    <cfRule type="duplicateValues" dxfId="136" priority="5"/>
    <cfRule type="duplicateValues" dxfId="135" priority="6"/>
    <cfRule type="duplicateValues" dxfId="134" priority="7"/>
    <cfRule type="duplicateValues" dxfId="133" priority="8"/>
    <cfRule type="duplicateValues" dxfId="132" priority="9"/>
    <cfRule type="duplicateValues" dxfId="131" priority="10"/>
    <cfRule type="duplicateValues" dxfId="130" priority="11"/>
    <cfRule type="duplicateValues" dxfId="129" priority="12"/>
    <cfRule type="duplicateValues" dxfId="128" priority="13"/>
    <cfRule type="duplicateValues" dxfId="127" priority="14"/>
    <cfRule type="duplicateValues" dxfId="126" priority="15"/>
    <cfRule type="duplicateValues" dxfId="125" priority="16"/>
    <cfRule type="duplicateValues" dxfId="124" priority="1"/>
  </conditionalFormatting>
  <dataValidations count="1">
    <dataValidation type="list" allowBlank="1" showInputMessage="1" showErrorMessage="1" sqref="A75:A80 A82:A83 A2:A65" xr:uid="{8CCE72E1-3E38-4130-BEB9-26AB857E5384}">
      <formula1>"SP1,SP2,RJ/ES,MG,PR/SC,RS,CO,BA/SE,NE,NO,"</formula1>
    </dataValidation>
  </dataValidation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35DC-C8D2-458C-AEC1-EB94F732B50B}">
  <sheetPr>
    <tabColor theme="5"/>
  </sheetPr>
  <dimension ref="A1:D1014"/>
  <sheetViews>
    <sheetView workbookViewId="0">
      <selection activeCell="E47" sqref="E47"/>
    </sheetView>
  </sheetViews>
  <sheetFormatPr defaultRowHeight="14.45"/>
  <cols>
    <col min="3" max="3" width="18.28515625" bestFit="1" customWidth="1"/>
    <col min="4" max="4" width="73.5703125" bestFit="1" customWidth="1"/>
  </cols>
  <sheetData>
    <row r="1" spans="1:4">
      <c r="A1" s="48" t="s">
        <v>9</v>
      </c>
      <c r="B1" s="48" t="s">
        <v>2348</v>
      </c>
      <c r="C1" s="48" t="s">
        <v>2349</v>
      </c>
      <c r="D1" s="48" t="s">
        <v>2350</v>
      </c>
    </row>
    <row r="2" spans="1:4">
      <c r="A2" s="49" t="s">
        <v>61</v>
      </c>
      <c r="B2" s="49" t="s">
        <v>390</v>
      </c>
      <c r="C2" s="50">
        <v>3006494000100</v>
      </c>
      <c r="D2" s="49" t="s">
        <v>238</v>
      </c>
    </row>
    <row r="3" spans="1:4">
      <c r="A3" s="49" t="s">
        <v>61</v>
      </c>
      <c r="B3" s="49" t="s">
        <v>352</v>
      </c>
      <c r="C3" s="50">
        <v>3006494001262</v>
      </c>
      <c r="D3" s="49" t="s">
        <v>238</v>
      </c>
    </row>
    <row r="4" spans="1:4">
      <c r="A4" s="49" t="s">
        <v>61</v>
      </c>
      <c r="B4" s="49" t="s">
        <v>299</v>
      </c>
      <c r="C4" s="50">
        <v>3006494001696</v>
      </c>
      <c r="D4" s="49" t="s">
        <v>238</v>
      </c>
    </row>
    <row r="5" spans="1:4">
      <c r="A5" s="49" t="s">
        <v>61</v>
      </c>
      <c r="B5" s="49" t="s">
        <v>394</v>
      </c>
      <c r="C5" s="50">
        <v>3006494001777</v>
      </c>
      <c r="D5" s="49" t="s">
        <v>238</v>
      </c>
    </row>
    <row r="6" spans="1:4">
      <c r="A6" s="49" t="s">
        <v>61</v>
      </c>
      <c r="B6" s="49" t="s">
        <v>2323</v>
      </c>
      <c r="C6" s="50">
        <v>3006494001858</v>
      </c>
      <c r="D6" s="49" t="s">
        <v>238</v>
      </c>
    </row>
    <row r="7" spans="1:4">
      <c r="A7" s="49" t="s">
        <v>61</v>
      </c>
      <c r="B7" s="49" t="s">
        <v>277</v>
      </c>
      <c r="C7" s="50">
        <v>3006494001939</v>
      </c>
      <c r="D7" s="49" t="s">
        <v>238</v>
      </c>
    </row>
    <row r="8" spans="1:4">
      <c r="A8" s="49" t="s">
        <v>2351</v>
      </c>
      <c r="B8" s="49" t="s">
        <v>1358</v>
      </c>
      <c r="C8" s="50">
        <v>3243382000172</v>
      </c>
      <c r="D8" s="49" t="s">
        <v>2352</v>
      </c>
    </row>
    <row r="9" spans="1:4">
      <c r="A9" s="49" t="s">
        <v>2351</v>
      </c>
      <c r="B9" s="49" t="s">
        <v>1348</v>
      </c>
      <c r="C9" s="50">
        <v>3243382000253</v>
      </c>
      <c r="D9" s="49" t="s">
        <v>2352</v>
      </c>
    </row>
    <row r="10" spans="1:4">
      <c r="A10" s="49" t="s">
        <v>2351</v>
      </c>
      <c r="B10" s="49" t="s">
        <v>1363</v>
      </c>
      <c r="C10" s="50">
        <v>3243382000334</v>
      </c>
      <c r="D10" s="49" t="s">
        <v>2352</v>
      </c>
    </row>
    <row r="11" spans="1:4">
      <c r="A11" s="49" t="s">
        <v>2351</v>
      </c>
      <c r="B11" s="49" t="s">
        <v>1351</v>
      </c>
      <c r="C11" s="50">
        <v>3243382000415</v>
      </c>
      <c r="D11" s="49" t="s">
        <v>2352</v>
      </c>
    </row>
    <row r="12" spans="1:4">
      <c r="A12" s="49" t="s">
        <v>2351</v>
      </c>
      <c r="B12" s="49" t="s">
        <v>1355</v>
      </c>
      <c r="C12" s="50">
        <v>3243382000504</v>
      </c>
      <c r="D12" s="49" t="s">
        <v>2352</v>
      </c>
    </row>
    <row r="13" spans="1:4">
      <c r="A13" s="49" t="s">
        <v>2351</v>
      </c>
      <c r="B13" s="49" t="s">
        <v>1356</v>
      </c>
      <c r="C13" s="50">
        <v>3243382000687</v>
      </c>
      <c r="D13" s="49" t="s">
        <v>2352</v>
      </c>
    </row>
    <row r="14" spans="1:4">
      <c r="A14" s="49" t="s">
        <v>2353</v>
      </c>
      <c r="B14" s="49" t="s">
        <v>1546</v>
      </c>
      <c r="C14" s="50">
        <v>3243382000768</v>
      </c>
      <c r="D14" s="49" t="s">
        <v>2352</v>
      </c>
    </row>
    <row r="15" spans="1:4">
      <c r="A15" s="49" t="s">
        <v>2353</v>
      </c>
      <c r="B15" s="49" t="s">
        <v>1504</v>
      </c>
      <c r="C15" s="50">
        <v>3243382000849</v>
      </c>
      <c r="D15" s="49" t="s">
        <v>2352</v>
      </c>
    </row>
    <row r="16" spans="1:4">
      <c r="A16" s="49" t="s">
        <v>2353</v>
      </c>
      <c r="B16" s="49" t="s">
        <v>1556</v>
      </c>
      <c r="C16" s="50">
        <v>3243382000920</v>
      </c>
      <c r="D16" s="49" t="s">
        <v>2352</v>
      </c>
    </row>
    <row r="17" spans="1:4">
      <c r="A17" s="49" t="s">
        <v>2353</v>
      </c>
      <c r="B17" s="49" t="s">
        <v>1528</v>
      </c>
      <c r="C17" s="50">
        <v>3243382001063</v>
      </c>
      <c r="D17" s="49" t="s">
        <v>2352</v>
      </c>
    </row>
    <row r="18" spans="1:4">
      <c r="A18" s="49" t="s">
        <v>2351</v>
      </c>
      <c r="B18" s="49" t="s">
        <v>1373</v>
      </c>
      <c r="C18" s="50">
        <v>3243382001144</v>
      </c>
      <c r="D18" s="49" t="s">
        <v>2352</v>
      </c>
    </row>
    <row r="19" spans="1:4">
      <c r="A19" s="49" t="s">
        <v>2353</v>
      </c>
      <c r="B19" s="49" t="s">
        <v>1449</v>
      </c>
      <c r="C19" s="50">
        <v>3243382001225</v>
      </c>
      <c r="D19" s="49" t="s">
        <v>2352</v>
      </c>
    </row>
    <row r="20" spans="1:4">
      <c r="A20" s="49" t="s">
        <v>2353</v>
      </c>
      <c r="B20" s="49" t="s">
        <v>1496</v>
      </c>
      <c r="C20" s="50">
        <v>3243382001306</v>
      </c>
      <c r="D20" s="49" t="s">
        <v>2352</v>
      </c>
    </row>
    <row r="21" spans="1:4">
      <c r="A21" s="49" t="s">
        <v>2351</v>
      </c>
      <c r="B21" s="49" t="s">
        <v>1364</v>
      </c>
      <c r="C21" s="50">
        <v>3243382001497</v>
      </c>
      <c r="D21" s="49" t="s">
        <v>2352</v>
      </c>
    </row>
    <row r="22" spans="1:4">
      <c r="A22" s="49" t="s">
        <v>2353</v>
      </c>
      <c r="B22" s="49" t="s">
        <v>1574</v>
      </c>
      <c r="C22" s="50">
        <v>3243382001578</v>
      </c>
      <c r="D22" s="49" t="s">
        <v>2352</v>
      </c>
    </row>
    <row r="23" spans="1:4">
      <c r="A23" s="49" t="s">
        <v>2353</v>
      </c>
      <c r="B23" s="49" t="s">
        <v>1629</v>
      </c>
      <c r="C23" s="50">
        <v>3243382001659</v>
      </c>
      <c r="D23" s="49" t="s">
        <v>2352</v>
      </c>
    </row>
    <row r="24" spans="1:4">
      <c r="A24" s="49" t="s">
        <v>2351</v>
      </c>
      <c r="B24" s="49" t="s">
        <v>1370</v>
      </c>
      <c r="C24" s="50">
        <v>3243382001730</v>
      </c>
      <c r="D24" s="49" t="s">
        <v>2352</v>
      </c>
    </row>
    <row r="25" spans="1:4">
      <c r="A25" s="49" t="s">
        <v>2353</v>
      </c>
      <c r="B25" s="49" t="s">
        <v>1708</v>
      </c>
      <c r="C25" s="50">
        <v>3243382001810</v>
      </c>
      <c r="D25" s="49" t="s">
        <v>2352</v>
      </c>
    </row>
    <row r="26" spans="1:4">
      <c r="A26" s="49" t="s">
        <v>2351</v>
      </c>
      <c r="B26" s="49" t="s">
        <v>1367</v>
      </c>
      <c r="C26" s="50">
        <v>3243382001900</v>
      </c>
      <c r="D26" s="49" t="s">
        <v>2352</v>
      </c>
    </row>
    <row r="27" spans="1:4">
      <c r="A27" s="49" t="s">
        <v>2351</v>
      </c>
      <c r="B27" s="49" t="s">
        <v>1365</v>
      </c>
      <c r="C27" s="50">
        <v>3243382002035</v>
      </c>
      <c r="D27" s="49" t="s">
        <v>2352</v>
      </c>
    </row>
    <row r="28" spans="1:4">
      <c r="A28" s="49" t="s">
        <v>2351</v>
      </c>
      <c r="B28" s="49" t="s">
        <v>1369</v>
      </c>
      <c r="C28" s="50">
        <v>3243382002116</v>
      </c>
      <c r="D28" s="49" t="s">
        <v>2352</v>
      </c>
    </row>
    <row r="29" spans="1:4">
      <c r="A29" s="49" t="s">
        <v>2351</v>
      </c>
      <c r="B29" s="49" t="s">
        <v>1359</v>
      </c>
      <c r="C29" s="50">
        <v>3243382002205</v>
      </c>
      <c r="D29" s="49" t="s">
        <v>2352</v>
      </c>
    </row>
    <row r="30" spans="1:4">
      <c r="A30" s="49" t="s">
        <v>2353</v>
      </c>
      <c r="B30" s="49" t="s">
        <v>1703</v>
      </c>
      <c r="C30" s="50">
        <v>3243382002388</v>
      </c>
      <c r="D30" s="49" t="s">
        <v>2352</v>
      </c>
    </row>
    <row r="31" spans="1:4">
      <c r="A31" s="49" t="s">
        <v>2353</v>
      </c>
      <c r="B31" s="49" t="s">
        <v>1518</v>
      </c>
      <c r="C31" s="50">
        <v>3243382002469</v>
      </c>
      <c r="D31" s="49" t="s">
        <v>2352</v>
      </c>
    </row>
    <row r="32" spans="1:4">
      <c r="A32" s="49" t="s">
        <v>2353</v>
      </c>
      <c r="B32" s="49" t="s">
        <v>1506</v>
      </c>
      <c r="C32" s="50">
        <v>3243382002540</v>
      </c>
      <c r="D32" s="49" t="s">
        <v>2352</v>
      </c>
    </row>
    <row r="33" spans="1:4">
      <c r="A33" s="49" t="s">
        <v>2353</v>
      </c>
      <c r="B33" s="49" t="s">
        <v>1445</v>
      </c>
      <c r="C33" s="50">
        <v>3243382002701</v>
      </c>
      <c r="D33" s="49" t="s">
        <v>2352</v>
      </c>
    </row>
    <row r="34" spans="1:4">
      <c r="A34" s="49" t="s">
        <v>2353</v>
      </c>
      <c r="B34" s="49" t="s">
        <v>1569</v>
      </c>
      <c r="C34" s="50">
        <v>3243382002892</v>
      </c>
      <c r="D34" s="49" t="s">
        <v>2352</v>
      </c>
    </row>
    <row r="35" spans="1:4">
      <c r="A35" s="49" t="s">
        <v>2351</v>
      </c>
      <c r="B35" s="49" t="s">
        <v>1372</v>
      </c>
      <c r="C35" s="50">
        <v>3243382002973</v>
      </c>
      <c r="D35" s="49" t="s">
        <v>2352</v>
      </c>
    </row>
    <row r="36" spans="1:4">
      <c r="A36" s="49" t="s">
        <v>2353</v>
      </c>
      <c r="B36" s="49" t="s">
        <v>1531</v>
      </c>
      <c r="C36" s="50">
        <v>3243382003198</v>
      </c>
      <c r="D36" s="49" t="s">
        <v>2352</v>
      </c>
    </row>
    <row r="37" spans="1:4">
      <c r="A37" s="49" t="s">
        <v>2353</v>
      </c>
      <c r="B37" s="49" t="s">
        <v>1573</v>
      </c>
      <c r="C37" s="50">
        <v>3243382003279</v>
      </c>
      <c r="D37" s="49" t="s">
        <v>2352</v>
      </c>
    </row>
    <row r="38" spans="1:4">
      <c r="A38" s="49" t="s">
        <v>2353</v>
      </c>
      <c r="B38" s="49" t="s">
        <v>1612</v>
      </c>
      <c r="C38" s="50">
        <v>3243382003350</v>
      </c>
      <c r="D38" s="49" t="s">
        <v>2352</v>
      </c>
    </row>
    <row r="39" spans="1:4">
      <c r="A39" s="49" t="s">
        <v>2351</v>
      </c>
      <c r="B39" s="49" t="s">
        <v>1368</v>
      </c>
      <c r="C39" s="50">
        <v>3243382003430</v>
      </c>
      <c r="D39" s="49" t="s">
        <v>2352</v>
      </c>
    </row>
    <row r="40" spans="1:4">
      <c r="A40" s="49" t="s">
        <v>2353</v>
      </c>
      <c r="B40" s="49" t="s">
        <v>1696</v>
      </c>
      <c r="C40" s="50">
        <v>3243382003511</v>
      </c>
      <c r="D40" s="49" t="s">
        <v>2352</v>
      </c>
    </row>
    <row r="41" spans="1:4">
      <c r="A41" s="49" t="s">
        <v>2353</v>
      </c>
      <c r="B41" s="49" t="s">
        <v>1707</v>
      </c>
      <c r="C41" s="50">
        <v>3243382003783</v>
      </c>
      <c r="D41" s="49" t="s">
        <v>2352</v>
      </c>
    </row>
    <row r="42" spans="1:4">
      <c r="A42" s="49" t="s">
        <v>2353</v>
      </c>
      <c r="B42" s="49" t="s">
        <v>1475</v>
      </c>
      <c r="C42" s="50">
        <v>3243382003864</v>
      </c>
      <c r="D42" s="49" t="s">
        <v>2352</v>
      </c>
    </row>
    <row r="43" spans="1:4">
      <c r="A43" s="49" t="s">
        <v>2353</v>
      </c>
      <c r="B43" s="49" t="s">
        <v>2354</v>
      </c>
      <c r="C43" s="50">
        <v>3243382003945</v>
      </c>
      <c r="D43" s="49" t="s">
        <v>2352</v>
      </c>
    </row>
    <row r="44" spans="1:4">
      <c r="A44" s="49" t="s">
        <v>2353</v>
      </c>
      <c r="B44" s="49" t="s">
        <v>1586</v>
      </c>
      <c r="C44" s="50">
        <v>3243382004089</v>
      </c>
      <c r="D44" s="49" t="s">
        <v>2352</v>
      </c>
    </row>
    <row r="45" spans="1:4">
      <c r="A45" s="49" t="s">
        <v>2351</v>
      </c>
      <c r="B45" s="49" t="s">
        <v>1362</v>
      </c>
      <c r="C45" s="50">
        <v>3243382004160</v>
      </c>
      <c r="D45" s="49" t="s">
        <v>2352</v>
      </c>
    </row>
    <row r="46" spans="1:4">
      <c r="A46" s="49" t="s">
        <v>2353</v>
      </c>
      <c r="B46" s="49" t="s">
        <v>1497</v>
      </c>
      <c r="C46" s="50">
        <v>3243382004240</v>
      </c>
      <c r="D46" s="49" t="s">
        <v>2352</v>
      </c>
    </row>
    <row r="47" spans="1:4">
      <c r="A47" s="49" t="s">
        <v>2351</v>
      </c>
      <c r="B47" s="49" t="s">
        <v>1361</v>
      </c>
      <c r="C47" s="50">
        <v>3243382004321</v>
      </c>
      <c r="D47" s="49" t="s">
        <v>2352</v>
      </c>
    </row>
    <row r="48" spans="1:4">
      <c r="A48" s="49" t="s">
        <v>2353</v>
      </c>
      <c r="B48" s="49" t="s">
        <v>1567</v>
      </c>
      <c r="C48" s="50">
        <v>3530435000489</v>
      </c>
      <c r="D48" s="49" t="s">
        <v>2355</v>
      </c>
    </row>
    <row r="49" spans="1:4">
      <c r="A49" s="49" t="s">
        <v>2353</v>
      </c>
      <c r="B49" s="49" t="s">
        <v>1465</v>
      </c>
      <c r="C49" s="50">
        <v>3530435000640</v>
      </c>
      <c r="D49" s="49" t="s">
        <v>2355</v>
      </c>
    </row>
    <row r="50" spans="1:4">
      <c r="A50" s="49" t="s">
        <v>59</v>
      </c>
      <c r="B50" s="49" t="s">
        <v>655</v>
      </c>
      <c r="C50" s="50">
        <v>3555618000106</v>
      </c>
      <c r="D50" s="49" t="s">
        <v>2356</v>
      </c>
    </row>
    <row r="51" spans="1:4">
      <c r="A51" s="49" t="s">
        <v>59</v>
      </c>
      <c r="B51" s="49" t="s">
        <v>796</v>
      </c>
      <c r="C51" s="50">
        <v>3555618000378</v>
      </c>
      <c r="D51" s="49" t="s">
        <v>2356</v>
      </c>
    </row>
    <row r="52" spans="1:4">
      <c r="A52" s="49" t="s">
        <v>59</v>
      </c>
      <c r="B52" s="49" t="s">
        <v>656</v>
      </c>
      <c r="C52" s="50">
        <v>3555618000459</v>
      </c>
      <c r="D52" s="49" t="s">
        <v>2356</v>
      </c>
    </row>
    <row r="53" spans="1:4">
      <c r="A53" s="49" t="s">
        <v>59</v>
      </c>
      <c r="B53" s="49" t="s">
        <v>797</v>
      </c>
      <c r="C53" s="50">
        <v>3555618000610</v>
      </c>
      <c r="D53" s="49" t="s">
        <v>2356</v>
      </c>
    </row>
    <row r="54" spans="1:4">
      <c r="A54" s="49" t="s">
        <v>59</v>
      </c>
      <c r="B54" s="49" t="s">
        <v>799</v>
      </c>
      <c r="C54" s="50">
        <v>3555618000700</v>
      </c>
      <c r="D54" s="49" t="s">
        <v>2356</v>
      </c>
    </row>
    <row r="55" spans="1:4">
      <c r="A55" s="49" t="s">
        <v>59</v>
      </c>
      <c r="B55" s="49" t="s">
        <v>657</v>
      </c>
      <c r="C55" s="50">
        <v>3555618001005</v>
      </c>
      <c r="D55" s="49" t="s">
        <v>2356</v>
      </c>
    </row>
    <row r="56" spans="1:4">
      <c r="A56" s="49" t="s">
        <v>59</v>
      </c>
      <c r="B56" s="49" t="s">
        <v>653</v>
      </c>
      <c r="C56" s="50">
        <v>3555618001188</v>
      </c>
      <c r="D56" s="49" t="s">
        <v>2356</v>
      </c>
    </row>
    <row r="57" spans="1:4">
      <c r="A57" s="49" t="s">
        <v>59</v>
      </c>
      <c r="B57" s="49" t="s">
        <v>759</v>
      </c>
      <c r="C57" s="50">
        <v>3555618001269</v>
      </c>
      <c r="D57" s="49" t="s">
        <v>2356</v>
      </c>
    </row>
    <row r="58" spans="1:4">
      <c r="A58" s="49" t="s">
        <v>59</v>
      </c>
      <c r="B58" s="49" t="s">
        <v>890</v>
      </c>
      <c r="C58" s="50">
        <v>3555618001340</v>
      </c>
      <c r="D58" s="49" t="s">
        <v>2356</v>
      </c>
    </row>
    <row r="59" spans="1:4">
      <c r="A59" s="49" t="s">
        <v>59</v>
      </c>
      <c r="B59" s="49" t="s">
        <v>613</v>
      </c>
      <c r="C59" s="50">
        <v>3555618001420</v>
      </c>
      <c r="D59" s="49" t="s">
        <v>2356</v>
      </c>
    </row>
    <row r="60" spans="1:4">
      <c r="A60" s="49" t="s">
        <v>59</v>
      </c>
      <c r="B60" s="49" t="s">
        <v>658</v>
      </c>
      <c r="C60" s="50">
        <v>3555618001501</v>
      </c>
      <c r="D60" s="49" t="s">
        <v>2356</v>
      </c>
    </row>
    <row r="61" spans="1:4">
      <c r="A61" s="49" t="s">
        <v>59</v>
      </c>
      <c r="B61" s="49" t="s">
        <v>898</v>
      </c>
      <c r="C61" s="50">
        <v>3555618001692</v>
      </c>
      <c r="D61" s="49" t="s">
        <v>2356</v>
      </c>
    </row>
    <row r="62" spans="1:4">
      <c r="A62" s="49" t="s">
        <v>59</v>
      </c>
      <c r="B62" s="49" t="s">
        <v>881</v>
      </c>
      <c r="C62" s="50">
        <v>3555618001773</v>
      </c>
      <c r="D62" s="49" t="s">
        <v>2356</v>
      </c>
    </row>
    <row r="63" spans="1:4">
      <c r="A63" s="49" t="s">
        <v>59</v>
      </c>
      <c r="B63" s="49" t="s">
        <v>880</v>
      </c>
      <c r="C63" s="50">
        <v>3555618001854</v>
      </c>
      <c r="D63" s="49" t="s">
        <v>2356</v>
      </c>
    </row>
    <row r="64" spans="1:4">
      <c r="A64" s="49" t="s">
        <v>59</v>
      </c>
      <c r="B64" s="49" t="s">
        <v>758</v>
      </c>
      <c r="C64" s="50">
        <v>3555618001935</v>
      </c>
      <c r="D64" s="49" t="s">
        <v>2356</v>
      </c>
    </row>
    <row r="65" spans="1:4">
      <c r="A65" s="49" t="s">
        <v>59</v>
      </c>
      <c r="B65" s="49" t="s">
        <v>753</v>
      </c>
      <c r="C65" s="50">
        <v>3555618002079</v>
      </c>
      <c r="D65" s="49" t="s">
        <v>2356</v>
      </c>
    </row>
    <row r="66" spans="1:4">
      <c r="A66" s="49" t="s">
        <v>59</v>
      </c>
      <c r="B66" s="49" t="s">
        <v>889</v>
      </c>
      <c r="C66" s="50">
        <v>3555618002150</v>
      </c>
      <c r="D66" s="49" t="s">
        <v>2356</v>
      </c>
    </row>
    <row r="67" spans="1:4">
      <c r="A67" s="49" t="s">
        <v>59</v>
      </c>
      <c r="B67" s="49" t="s">
        <v>829</v>
      </c>
      <c r="C67" s="50">
        <v>3555618002311</v>
      </c>
      <c r="D67" s="49" t="s">
        <v>2356</v>
      </c>
    </row>
    <row r="68" spans="1:4">
      <c r="A68" s="49" t="s">
        <v>59</v>
      </c>
      <c r="B68" s="49" t="s">
        <v>841</v>
      </c>
      <c r="C68" s="50">
        <v>3555618002400</v>
      </c>
      <c r="D68" s="49" t="s">
        <v>2356</v>
      </c>
    </row>
    <row r="69" spans="1:4">
      <c r="A69" s="49" t="s">
        <v>59</v>
      </c>
      <c r="B69" s="49" t="s">
        <v>827</v>
      </c>
      <c r="C69" s="50">
        <v>3555618002664</v>
      </c>
      <c r="D69" s="49" t="s">
        <v>2356</v>
      </c>
    </row>
    <row r="70" spans="1:4">
      <c r="A70" s="49" t="s">
        <v>59</v>
      </c>
      <c r="B70" s="49" t="s">
        <v>617</v>
      </c>
      <c r="C70" s="50">
        <v>3555618002745</v>
      </c>
      <c r="D70" s="49" t="s">
        <v>2356</v>
      </c>
    </row>
    <row r="71" spans="1:4">
      <c r="A71" s="49" t="s">
        <v>59</v>
      </c>
      <c r="B71" s="49" t="s">
        <v>755</v>
      </c>
      <c r="C71" s="50">
        <v>3555618002907</v>
      </c>
      <c r="D71" s="49" t="s">
        <v>2356</v>
      </c>
    </row>
    <row r="72" spans="1:4">
      <c r="A72" s="49" t="s">
        <v>59</v>
      </c>
      <c r="B72" s="49" t="s">
        <v>840</v>
      </c>
      <c r="C72" s="50">
        <v>3555618003040</v>
      </c>
      <c r="D72" s="49" t="s">
        <v>2356</v>
      </c>
    </row>
    <row r="73" spans="1:4">
      <c r="A73" s="49" t="s">
        <v>59</v>
      </c>
      <c r="B73" s="49" t="s">
        <v>761</v>
      </c>
      <c r="C73" s="50">
        <v>3555618003202</v>
      </c>
      <c r="D73" s="49" t="s">
        <v>2356</v>
      </c>
    </row>
    <row r="74" spans="1:4">
      <c r="A74" s="49" t="s">
        <v>59</v>
      </c>
      <c r="B74" s="49" t="s">
        <v>879</v>
      </c>
      <c r="C74" s="50">
        <v>3555618003393</v>
      </c>
      <c r="D74" s="49" t="s">
        <v>2356</v>
      </c>
    </row>
    <row r="75" spans="1:4">
      <c r="A75" s="49" t="s">
        <v>59</v>
      </c>
      <c r="B75" s="49" t="s">
        <v>762</v>
      </c>
      <c r="C75" s="50">
        <v>3555618003555</v>
      </c>
      <c r="D75" s="49" t="s">
        <v>2356</v>
      </c>
    </row>
    <row r="76" spans="1:4">
      <c r="A76" s="49" t="s">
        <v>59</v>
      </c>
      <c r="B76" s="49" t="s">
        <v>843</v>
      </c>
      <c r="C76" s="50">
        <v>3555618003717</v>
      </c>
      <c r="D76" s="49" t="s">
        <v>2356</v>
      </c>
    </row>
    <row r="77" spans="1:4">
      <c r="A77" s="49" t="s">
        <v>59</v>
      </c>
      <c r="B77" s="49" t="s">
        <v>674</v>
      </c>
      <c r="C77" s="50">
        <v>3555618003806</v>
      </c>
      <c r="D77" s="49" t="s">
        <v>2356</v>
      </c>
    </row>
    <row r="78" spans="1:4">
      <c r="A78" s="49" t="s">
        <v>59</v>
      </c>
      <c r="B78" s="49" t="s">
        <v>832</v>
      </c>
      <c r="C78" s="50">
        <v>3555618004012</v>
      </c>
      <c r="D78" s="49" t="s">
        <v>2356</v>
      </c>
    </row>
    <row r="79" spans="1:4">
      <c r="A79" s="49" t="s">
        <v>59</v>
      </c>
      <c r="B79" s="49" t="s">
        <v>756</v>
      </c>
      <c r="C79" s="50">
        <v>3555618004101</v>
      </c>
      <c r="D79" s="49" t="s">
        <v>2356</v>
      </c>
    </row>
    <row r="80" spans="1:4">
      <c r="A80" s="49" t="s">
        <v>59</v>
      </c>
      <c r="B80" s="49" t="s">
        <v>831</v>
      </c>
      <c r="C80" s="50">
        <v>3555618004284</v>
      </c>
      <c r="D80" s="49" t="s">
        <v>2356</v>
      </c>
    </row>
    <row r="81" spans="1:4">
      <c r="A81" s="49" t="s">
        <v>59</v>
      </c>
      <c r="B81" s="49" t="s">
        <v>678</v>
      </c>
      <c r="C81" s="50">
        <v>3711477000173</v>
      </c>
      <c r="D81" s="49" t="s">
        <v>210</v>
      </c>
    </row>
    <row r="82" spans="1:4">
      <c r="A82" s="49" t="s">
        <v>59</v>
      </c>
      <c r="B82" s="49" t="s">
        <v>924</v>
      </c>
      <c r="C82" s="50">
        <v>4269017000108</v>
      </c>
      <c r="D82" s="49" t="s">
        <v>2357</v>
      </c>
    </row>
    <row r="83" spans="1:4">
      <c r="A83" s="49" t="s">
        <v>59</v>
      </c>
      <c r="B83" s="49" t="s">
        <v>770</v>
      </c>
      <c r="C83" s="50">
        <v>4489825000172</v>
      </c>
      <c r="D83" s="49" t="s">
        <v>2358</v>
      </c>
    </row>
    <row r="84" spans="1:4">
      <c r="A84" s="49" t="s">
        <v>59</v>
      </c>
      <c r="B84" s="49" t="s">
        <v>635</v>
      </c>
      <c r="C84" s="50">
        <v>4539125000145</v>
      </c>
      <c r="D84" s="49" t="s">
        <v>2359</v>
      </c>
    </row>
    <row r="85" spans="1:4">
      <c r="A85" s="49" t="s">
        <v>59</v>
      </c>
      <c r="B85" s="49" t="s">
        <v>776</v>
      </c>
      <c r="C85" s="50">
        <v>4539125000307</v>
      </c>
      <c r="D85" s="49" t="s">
        <v>2359</v>
      </c>
    </row>
    <row r="86" spans="1:4">
      <c r="A86" s="49" t="s">
        <v>59</v>
      </c>
      <c r="B86" s="49" t="s">
        <v>781</v>
      </c>
      <c r="C86" s="50">
        <v>4539125000498</v>
      </c>
      <c r="D86" s="49" t="s">
        <v>2359</v>
      </c>
    </row>
    <row r="87" spans="1:4">
      <c r="A87" s="49" t="s">
        <v>59</v>
      </c>
      <c r="B87" s="49" t="s">
        <v>779</v>
      </c>
      <c r="C87" s="50">
        <v>4539125000579</v>
      </c>
      <c r="D87" s="49" t="s">
        <v>2359</v>
      </c>
    </row>
    <row r="88" spans="1:4">
      <c r="A88" s="49" t="s">
        <v>59</v>
      </c>
      <c r="B88" s="49" t="s">
        <v>778</v>
      </c>
      <c r="C88" s="50">
        <v>4539125000650</v>
      </c>
      <c r="D88" s="49" t="s">
        <v>2359</v>
      </c>
    </row>
    <row r="89" spans="1:4">
      <c r="A89" s="49" t="s">
        <v>59</v>
      </c>
      <c r="B89" s="49" t="s">
        <v>638</v>
      </c>
      <c r="C89" s="50">
        <v>4539125000730</v>
      </c>
      <c r="D89" s="49" t="s">
        <v>2359</v>
      </c>
    </row>
    <row r="90" spans="1:4">
      <c r="A90" s="49" t="s">
        <v>59</v>
      </c>
      <c r="B90" s="49" t="s">
        <v>777</v>
      </c>
      <c r="C90" s="50">
        <v>4539125000811</v>
      </c>
      <c r="D90" s="49" t="s">
        <v>2359</v>
      </c>
    </row>
    <row r="91" spans="1:4">
      <c r="A91" s="49" t="s">
        <v>59</v>
      </c>
      <c r="B91" s="49" t="s">
        <v>640</v>
      </c>
      <c r="C91" s="50">
        <v>4539125000900</v>
      </c>
      <c r="D91" s="49" t="s">
        <v>2359</v>
      </c>
    </row>
    <row r="92" spans="1:4">
      <c r="A92" s="49" t="s">
        <v>59</v>
      </c>
      <c r="B92" s="49" t="s">
        <v>883</v>
      </c>
      <c r="C92" s="50">
        <v>4601016000100</v>
      </c>
      <c r="D92" s="49" t="s">
        <v>2360</v>
      </c>
    </row>
    <row r="93" spans="1:4">
      <c r="A93" s="49" t="s">
        <v>59</v>
      </c>
      <c r="B93" s="49" t="s">
        <v>886</v>
      </c>
      <c r="C93" s="50">
        <v>4601016000534</v>
      </c>
      <c r="D93" s="49" t="s">
        <v>2360</v>
      </c>
    </row>
    <row r="94" spans="1:4">
      <c r="A94" s="49" t="s">
        <v>59</v>
      </c>
      <c r="B94" s="49" t="s">
        <v>870</v>
      </c>
      <c r="C94" s="50">
        <v>4601016000615</v>
      </c>
      <c r="D94" s="49" t="s">
        <v>2360</v>
      </c>
    </row>
    <row r="95" spans="1:4">
      <c r="A95" s="49" t="s">
        <v>59</v>
      </c>
      <c r="B95" s="49" t="s">
        <v>895</v>
      </c>
      <c r="C95" s="50">
        <v>4601016000968</v>
      </c>
      <c r="D95" s="49" t="s">
        <v>2360</v>
      </c>
    </row>
    <row r="96" spans="1:4">
      <c r="A96" s="49" t="s">
        <v>59</v>
      </c>
      <c r="B96" s="49" t="s">
        <v>747</v>
      </c>
      <c r="C96" s="50">
        <v>4601016001000</v>
      </c>
      <c r="D96" s="49" t="s">
        <v>2360</v>
      </c>
    </row>
    <row r="97" spans="1:4">
      <c r="A97" s="49" t="s">
        <v>59</v>
      </c>
      <c r="B97" s="49" t="s">
        <v>892</v>
      </c>
      <c r="C97" s="50">
        <v>4601016001182</v>
      </c>
      <c r="D97" s="49" t="s">
        <v>2360</v>
      </c>
    </row>
    <row r="98" spans="1:4">
      <c r="A98" s="49" t="s">
        <v>59</v>
      </c>
      <c r="B98" s="49" t="s">
        <v>744</v>
      </c>
      <c r="C98" s="50">
        <v>4601016001263</v>
      </c>
      <c r="D98" s="49" t="s">
        <v>2360</v>
      </c>
    </row>
    <row r="99" spans="1:4">
      <c r="A99" s="49" t="s">
        <v>59</v>
      </c>
      <c r="B99" s="49" t="s">
        <v>607</v>
      </c>
      <c r="C99" s="50">
        <v>4601016001344</v>
      </c>
      <c r="D99" s="49" t="s">
        <v>2360</v>
      </c>
    </row>
    <row r="100" spans="1:4">
      <c r="A100" s="49" t="s">
        <v>59</v>
      </c>
      <c r="B100" s="49" t="s">
        <v>2081</v>
      </c>
      <c r="C100" s="50">
        <v>4601016001425</v>
      </c>
      <c r="D100" s="49" t="s">
        <v>2360</v>
      </c>
    </row>
    <row r="101" spans="1:4">
      <c r="A101" s="49" t="s">
        <v>2351</v>
      </c>
      <c r="B101" s="49" t="s">
        <v>1299</v>
      </c>
      <c r="C101" s="50">
        <v>4700164000263</v>
      </c>
      <c r="D101" s="49" t="s">
        <v>2361</v>
      </c>
    </row>
    <row r="102" spans="1:4">
      <c r="A102" s="49" t="s">
        <v>55</v>
      </c>
      <c r="B102" s="49" t="s">
        <v>1158</v>
      </c>
      <c r="C102" s="50">
        <v>5142929000179</v>
      </c>
      <c r="D102" s="49" t="s">
        <v>2362</v>
      </c>
    </row>
    <row r="103" spans="1:4">
      <c r="A103" s="49" t="s">
        <v>55</v>
      </c>
      <c r="B103" s="49" t="s">
        <v>1168</v>
      </c>
      <c r="C103" s="50">
        <v>5142929000411</v>
      </c>
      <c r="D103" s="49" t="s">
        <v>2362</v>
      </c>
    </row>
    <row r="104" spans="1:4">
      <c r="A104" s="49" t="s">
        <v>55</v>
      </c>
      <c r="B104" s="49" t="s">
        <v>1167</v>
      </c>
      <c r="C104" s="50">
        <v>5142929000683</v>
      </c>
      <c r="D104" s="49" t="s">
        <v>2362</v>
      </c>
    </row>
    <row r="105" spans="1:4">
      <c r="A105" s="49" t="s">
        <v>55</v>
      </c>
      <c r="B105" s="49" t="s">
        <v>1233</v>
      </c>
      <c r="C105" s="50">
        <v>5142929000926</v>
      </c>
      <c r="D105" s="49" t="s">
        <v>2362</v>
      </c>
    </row>
    <row r="106" spans="1:4">
      <c r="A106" s="49" t="s">
        <v>55</v>
      </c>
      <c r="B106" s="49" t="s">
        <v>1165</v>
      </c>
      <c r="C106" s="50">
        <v>5142929001221</v>
      </c>
      <c r="D106" s="49" t="s">
        <v>2362</v>
      </c>
    </row>
    <row r="107" spans="1:4">
      <c r="A107" s="49" t="s">
        <v>55</v>
      </c>
      <c r="B107" s="49" t="s">
        <v>1258</v>
      </c>
      <c r="C107" s="50">
        <v>5142929001302</v>
      </c>
      <c r="D107" s="49" t="s">
        <v>2362</v>
      </c>
    </row>
    <row r="108" spans="1:4">
      <c r="A108" s="49" t="s">
        <v>55</v>
      </c>
      <c r="B108" s="49" t="s">
        <v>1162</v>
      </c>
      <c r="C108" s="50">
        <v>5142929001574</v>
      </c>
      <c r="D108" s="49" t="s">
        <v>2362</v>
      </c>
    </row>
    <row r="109" spans="1:4">
      <c r="A109" s="49" t="s">
        <v>55</v>
      </c>
      <c r="B109" s="49" t="s">
        <v>1237</v>
      </c>
      <c r="C109" s="50">
        <v>5142929001817</v>
      </c>
      <c r="D109" s="49" t="s">
        <v>2362</v>
      </c>
    </row>
    <row r="110" spans="1:4">
      <c r="A110" s="49" t="s">
        <v>55</v>
      </c>
      <c r="B110" s="49" t="s">
        <v>1239</v>
      </c>
      <c r="C110" s="50">
        <v>5142929001906</v>
      </c>
      <c r="D110" s="49" t="s">
        <v>2362</v>
      </c>
    </row>
    <row r="111" spans="1:4">
      <c r="A111" s="49" t="s">
        <v>55</v>
      </c>
      <c r="B111" s="49" t="s">
        <v>1234</v>
      </c>
      <c r="C111" s="50">
        <v>5142929002384</v>
      </c>
      <c r="D111" s="49" t="s">
        <v>2362</v>
      </c>
    </row>
    <row r="112" spans="1:4">
      <c r="A112" s="49" t="s">
        <v>55</v>
      </c>
      <c r="B112" s="49" t="s">
        <v>1238</v>
      </c>
      <c r="C112" s="50">
        <v>5142929002465</v>
      </c>
      <c r="D112" s="49" t="s">
        <v>2362</v>
      </c>
    </row>
    <row r="113" spans="1:4">
      <c r="A113" s="49" t="s">
        <v>55</v>
      </c>
      <c r="B113" s="49" t="s">
        <v>1166</v>
      </c>
      <c r="C113" s="50">
        <v>5142929002546</v>
      </c>
      <c r="D113" s="49" t="s">
        <v>2362</v>
      </c>
    </row>
    <row r="114" spans="1:4">
      <c r="A114" s="49" t="s">
        <v>55</v>
      </c>
      <c r="B114" s="49" t="s">
        <v>1164</v>
      </c>
      <c r="C114" s="50">
        <v>5142929002627</v>
      </c>
      <c r="D114" s="49" t="s">
        <v>2362</v>
      </c>
    </row>
    <row r="115" spans="1:4">
      <c r="A115" s="49" t="s">
        <v>55</v>
      </c>
      <c r="B115" s="49" t="s">
        <v>1247</v>
      </c>
      <c r="C115" s="50">
        <v>5142929002899</v>
      </c>
      <c r="D115" s="49" t="s">
        <v>2362</v>
      </c>
    </row>
    <row r="116" spans="1:4">
      <c r="A116" s="49" t="s">
        <v>55</v>
      </c>
      <c r="B116" s="49" t="s">
        <v>1199</v>
      </c>
      <c r="C116" s="50">
        <v>5142929003003</v>
      </c>
      <c r="D116" s="49" t="s">
        <v>2362</v>
      </c>
    </row>
    <row r="117" spans="1:4">
      <c r="A117" s="49" t="s">
        <v>55</v>
      </c>
      <c r="B117" s="49" t="s">
        <v>1269</v>
      </c>
      <c r="C117" s="50">
        <v>5142929003437</v>
      </c>
      <c r="D117" s="49" t="s">
        <v>2362</v>
      </c>
    </row>
    <row r="118" spans="1:4">
      <c r="A118" s="49" t="s">
        <v>55</v>
      </c>
      <c r="B118" s="49" t="s">
        <v>1270</v>
      </c>
      <c r="C118" s="50">
        <v>5142929003607</v>
      </c>
      <c r="D118" s="49" t="s">
        <v>2362</v>
      </c>
    </row>
    <row r="119" spans="1:4">
      <c r="A119" s="49" t="s">
        <v>55</v>
      </c>
      <c r="B119" s="49" t="s">
        <v>1232</v>
      </c>
      <c r="C119" s="50">
        <v>5142929003860</v>
      </c>
      <c r="D119" s="49" t="s">
        <v>2362</v>
      </c>
    </row>
    <row r="120" spans="1:4">
      <c r="A120" s="49" t="s">
        <v>55</v>
      </c>
      <c r="B120" s="49" t="s">
        <v>1143</v>
      </c>
      <c r="C120" s="50">
        <v>5142929004247</v>
      </c>
      <c r="D120" s="49" t="s">
        <v>2362</v>
      </c>
    </row>
    <row r="121" spans="1:4">
      <c r="A121" s="49" t="s">
        <v>55</v>
      </c>
      <c r="B121" s="49" t="s">
        <v>1259</v>
      </c>
      <c r="C121" s="50">
        <v>5142929004328</v>
      </c>
      <c r="D121" s="49" t="s">
        <v>2362</v>
      </c>
    </row>
    <row r="122" spans="1:4">
      <c r="A122" s="49" t="s">
        <v>55</v>
      </c>
      <c r="B122" s="49" t="s">
        <v>1208</v>
      </c>
      <c r="C122" s="50">
        <v>5142929004409</v>
      </c>
      <c r="D122" s="49" t="s">
        <v>2362</v>
      </c>
    </row>
    <row r="123" spans="1:4">
      <c r="A123" s="49" t="s">
        <v>55</v>
      </c>
      <c r="B123" s="49" t="s">
        <v>1212</v>
      </c>
      <c r="C123" s="50">
        <v>5142929004590</v>
      </c>
      <c r="D123" s="49" t="s">
        <v>2362</v>
      </c>
    </row>
    <row r="124" spans="1:4">
      <c r="A124" s="49" t="s">
        <v>59</v>
      </c>
      <c r="B124" s="49" t="s">
        <v>803</v>
      </c>
      <c r="C124" s="50">
        <v>5386171000114</v>
      </c>
      <c r="D124" s="49" t="s">
        <v>2363</v>
      </c>
    </row>
    <row r="125" spans="1:4">
      <c r="A125" s="49" t="s">
        <v>59</v>
      </c>
      <c r="B125" s="49" t="s">
        <v>804</v>
      </c>
      <c r="C125" s="50">
        <v>5386171000203</v>
      </c>
      <c r="D125" s="49" t="s">
        <v>2363</v>
      </c>
    </row>
    <row r="126" spans="1:4">
      <c r="A126" s="49" t="s">
        <v>2353</v>
      </c>
      <c r="B126" s="49" t="s">
        <v>1674</v>
      </c>
      <c r="C126" s="50">
        <v>5923253000231</v>
      </c>
      <c r="D126" s="49" t="s">
        <v>2364</v>
      </c>
    </row>
    <row r="127" spans="1:4">
      <c r="A127" s="49" t="s">
        <v>2353</v>
      </c>
      <c r="B127" s="49" t="s">
        <v>1658</v>
      </c>
      <c r="C127" s="50">
        <v>5923253000401</v>
      </c>
      <c r="D127" s="49" t="s">
        <v>2364</v>
      </c>
    </row>
    <row r="128" spans="1:4">
      <c r="A128" s="49" t="s">
        <v>2353</v>
      </c>
      <c r="B128" s="49" t="s">
        <v>1660</v>
      </c>
      <c r="C128" s="50">
        <v>5923253000584</v>
      </c>
      <c r="D128" s="49" t="s">
        <v>2364</v>
      </c>
    </row>
    <row r="129" spans="1:4">
      <c r="A129" s="49" t="s">
        <v>2353</v>
      </c>
      <c r="B129" s="49" t="s">
        <v>1656</v>
      </c>
      <c r="C129" s="50">
        <v>5923253000665</v>
      </c>
      <c r="D129" s="49" t="s">
        <v>2364</v>
      </c>
    </row>
    <row r="130" spans="1:4">
      <c r="A130" s="49" t="s">
        <v>2353</v>
      </c>
      <c r="B130" s="49" t="s">
        <v>1669</v>
      </c>
      <c r="C130" s="50">
        <v>5923253000746</v>
      </c>
      <c r="D130" s="49" t="s">
        <v>2364</v>
      </c>
    </row>
    <row r="131" spans="1:4">
      <c r="A131" s="49" t="s">
        <v>2353</v>
      </c>
      <c r="B131" s="49" t="s">
        <v>1664</v>
      </c>
      <c r="C131" s="50">
        <v>5923253000827</v>
      </c>
      <c r="D131" s="49" t="s">
        <v>2364</v>
      </c>
    </row>
    <row r="132" spans="1:4">
      <c r="A132" s="49" t="s">
        <v>2353</v>
      </c>
      <c r="B132" s="49" t="s">
        <v>1665</v>
      </c>
      <c r="C132" s="50">
        <v>5923253000908</v>
      </c>
      <c r="D132" s="49" t="s">
        <v>2364</v>
      </c>
    </row>
    <row r="133" spans="1:4">
      <c r="A133" s="49" t="s">
        <v>2353</v>
      </c>
      <c r="B133" s="49" t="s">
        <v>1667</v>
      </c>
      <c r="C133" s="50">
        <v>5923253001041</v>
      </c>
      <c r="D133" s="49" t="s">
        <v>2364</v>
      </c>
    </row>
    <row r="134" spans="1:4">
      <c r="A134" s="49" t="s">
        <v>2353</v>
      </c>
      <c r="B134" s="49" t="s">
        <v>1670</v>
      </c>
      <c r="C134" s="50">
        <v>5923253001122</v>
      </c>
      <c r="D134" s="49" t="s">
        <v>2364</v>
      </c>
    </row>
    <row r="135" spans="1:4">
      <c r="A135" s="49" t="s">
        <v>2353</v>
      </c>
      <c r="B135" s="49" t="s">
        <v>1675</v>
      </c>
      <c r="C135" s="50">
        <v>5923253001203</v>
      </c>
      <c r="D135" s="49" t="s">
        <v>2364</v>
      </c>
    </row>
    <row r="136" spans="1:4">
      <c r="A136" s="49" t="s">
        <v>2353</v>
      </c>
      <c r="B136" s="49" t="s">
        <v>1672</v>
      </c>
      <c r="C136" s="50">
        <v>5923253001394</v>
      </c>
      <c r="D136" s="49" t="s">
        <v>2364</v>
      </c>
    </row>
    <row r="137" spans="1:4">
      <c r="A137" s="49" t="s">
        <v>2353</v>
      </c>
      <c r="B137" s="49" t="s">
        <v>1662</v>
      </c>
      <c r="C137" s="50">
        <v>5923253001475</v>
      </c>
      <c r="D137" s="49" t="s">
        <v>2364</v>
      </c>
    </row>
    <row r="138" spans="1:4">
      <c r="A138" s="49" t="s">
        <v>2353</v>
      </c>
      <c r="B138" s="49" t="s">
        <v>1673</v>
      </c>
      <c r="C138" s="50">
        <v>5923253001556</v>
      </c>
      <c r="D138" s="49" t="s">
        <v>2364</v>
      </c>
    </row>
    <row r="139" spans="1:4">
      <c r="A139" s="49" t="s">
        <v>2353</v>
      </c>
      <c r="B139" s="49" t="s">
        <v>1683</v>
      </c>
      <c r="C139" s="50">
        <v>5923253001637</v>
      </c>
      <c r="D139" s="49" t="s">
        <v>2364</v>
      </c>
    </row>
    <row r="140" spans="1:4">
      <c r="A140" s="49" t="s">
        <v>2353</v>
      </c>
      <c r="B140" s="49" t="s">
        <v>1687</v>
      </c>
      <c r="C140" s="50">
        <v>5923253001718</v>
      </c>
      <c r="D140" s="49" t="s">
        <v>2364</v>
      </c>
    </row>
    <row r="141" spans="1:4">
      <c r="A141" s="49" t="s">
        <v>2353</v>
      </c>
      <c r="B141" s="49" t="s">
        <v>1685</v>
      </c>
      <c r="C141" s="50">
        <v>5923253001807</v>
      </c>
      <c r="D141" s="49" t="s">
        <v>2364</v>
      </c>
    </row>
    <row r="142" spans="1:4">
      <c r="A142" s="49" t="s">
        <v>2353</v>
      </c>
      <c r="B142" s="49" t="s">
        <v>1682</v>
      </c>
      <c r="C142" s="50">
        <v>5923253001980</v>
      </c>
      <c r="D142" s="49" t="s">
        <v>2364</v>
      </c>
    </row>
    <row r="143" spans="1:4">
      <c r="A143" s="49" t="s">
        <v>2353</v>
      </c>
      <c r="B143" s="49" t="s">
        <v>1681</v>
      </c>
      <c r="C143" s="50">
        <v>5923253002102</v>
      </c>
      <c r="D143" s="49" t="s">
        <v>2364</v>
      </c>
    </row>
    <row r="144" spans="1:4">
      <c r="A144" s="49" t="s">
        <v>2353</v>
      </c>
      <c r="B144" s="49" t="s">
        <v>1680</v>
      </c>
      <c r="C144" s="50">
        <v>5923253002285</v>
      </c>
      <c r="D144" s="49" t="s">
        <v>2364</v>
      </c>
    </row>
    <row r="145" spans="1:4">
      <c r="A145" s="49" t="s">
        <v>2353</v>
      </c>
      <c r="B145" s="49" t="s">
        <v>1679</v>
      </c>
      <c r="C145" s="50">
        <v>5923253002366</v>
      </c>
      <c r="D145" s="49" t="s">
        <v>2364</v>
      </c>
    </row>
    <row r="146" spans="1:4">
      <c r="A146" s="49" t="s">
        <v>2353</v>
      </c>
      <c r="B146" s="49" t="s">
        <v>1692</v>
      </c>
      <c r="C146" s="50">
        <v>5923253002528</v>
      </c>
      <c r="D146" s="49" t="s">
        <v>2364</v>
      </c>
    </row>
    <row r="147" spans="1:4">
      <c r="A147" s="49" t="s">
        <v>2353</v>
      </c>
      <c r="B147" s="49" t="s">
        <v>1690</v>
      </c>
      <c r="C147" s="50">
        <v>5923253002609</v>
      </c>
      <c r="D147" s="49" t="s">
        <v>2364</v>
      </c>
    </row>
    <row r="148" spans="1:4">
      <c r="A148" s="49" t="s">
        <v>2353</v>
      </c>
      <c r="B148" s="49" t="s">
        <v>1691</v>
      </c>
      <c r="C148" s="50">
        <v>5923253002790</v>
      </c>
      <c r="D148" s="49" t="s">
        <v>2364</v>
      </c>
    </row>
    <row r="149" spans="1:4">
      <c r="A149" s="49" t="s">
        <v>2353</v>
      </c>
      <c r="B149" s="49" t="s">
        <v>1689</v>
      </c>
      <c r="C149" s="50">
        <v>5923253002870</v>
      </c>
      <c r="D149" s="49" t="s">
        <v>2364</v>
      </c>
    </row>
    <row r="150" spans="1:4">
      <c r="A150" s="49" t="s">
        <v>2353</v>
      </c>
      <c r="B150" s="49" t="s">
        <v>1706</v>
      </c>
      <c r="C150" s="50">
        <v>5923253002951</v>
      </c>
      <c r="D150" s="49" t="s">
        <v>2364</v>
      </c>
    </row>
    <row r="151" spans="1:4">
      <c r="A151" s="49" t="s">
        <v>2353</v>
      </c>
      <c r="B151" s="49" t="s">
        <v>1602</v>
      </c>
      <c r="C151" s="50">
        <v>5923253003095</v>
      </c>
      <c r="D151" s="49" t="s">
        <v>2364</v>
      </c>
    </row>
    <row r="152" spans="1:4">
      <c r="A152" s="49" t="s">
        <v>2353</v>
      </c>
      <c r="B152" s="49" t="s">
        <v>1538</v>
      </c>
      <c r="C152" s="50">
        <v>5923253003176</v>
      </c>
      <c r="D152" s="49" t="s">
        <v>2364</v>
      </c>
    </row>
    <row r="153" spans="1:4">
      <c r="A153" s="49" t="s">
        <v>2353</v>
      </c>
      <c r="B153" s="49" t="s">
        <v>1487</v>
      </c>
      <c r="C153" s="50">
        <v>5923253003257</v>
      </c>
      <c r="D153" s="49" t="s">
        <v>2364</v>
      </c>
    </row>
    <row r="154" spans="1:4">
      <c r="A154" s="49" t="s">
        <v>2353</v>
      </c>
      <c r="B154" s="49" t="s">
        <v>1501</v>
      </c>
      <c r="C154" s="50">
        <v>5923253003338</v>
      </c>
      <c r="D154" s="49" t="s">
        <v>2364</v>
      </c>
    </row>
    <row r="155" spans="1:4">
      <c r="A155" s="49" t="s">
        <v>2353</v>
      </c>
      <c r="B155" s="49" t="s">
        <v>1716</v>
      </c>
      <c r="C155" s="50">
        <v>5923253003508</v>
      </c>
      <c r="D155" s="49" t="s">
        <v>2364</v>
      </c>
    </row>
    <row r="156" spans="1:4">
      <c r="A156" s="49" t="s">
        <v>2353</v>
      </c>
      <c r="B156" s="49" t="s">
        <v>1717</v>
      </c>
      <c r="C156" s="50">
        <v>5923253003680</v>
      </c>
      <c r="D156" s="49" t="s">
        <v>2364</v>
      </c>
    </row>
    <row r="157" spans="1:4">
      <c r="A157" s="49" t="s">
        <v>2353</v>
      </c>
      <c r="B157" s="49" t="s">
        <v>1548</v>
      </c>
      <c r="C157" s="50">
        <v>5923253003842</v>
      </c>
      <c r="D157" s="49" t="s">
        <v>2364</v>
      </c>
    </row>
    <row r="158" spans="1:4">
      <c r="A158" s="49" t="s">
        <v>2353</v>
      </c>
      <c r="B158" s="49" t="s">
        <v>1723</v>
      </c>
      <c r="C158" s="50">
        <v>5923253003923</v>
      </c>
      <c r="D158" s="49" t="s">
        <v>2364</v>
      </c>
    </row>
    <row r="159" spans="1:4">
      <c r="A159" s="49" t="s">
        <v>2353</v>
      </c>
      <c r="B159" s="49" t="s">
        <v>1694</v>
      </c>
      <c r="C159" s="50">
        <v>5923253004067</v>
      </c>
      <c r="D159" s="49" t="s">
        <v>2364</v>
      </c>
    </row>
    <row r="160" spans="1:4">
      <c r="A160" s="49" t="s">
        <v>2353</v>
      </c>
      <c r="B160" s="49" t="s">
        <v>1630</v>
      </c>
      <c r="C160" s="50">
        <v>5923253004148</v>
      </c>
      <c r="D160" s="49" t="s">
        <v>2364</v>
      </c>
    </row>
    <row r="161" spans="1:4">
      <c r="A161" s="49" t="s">
        <v>2353</v>
      </c>
      <c r="B161" s="49" t="s">
        <v>1564</v>
      </c>
      <c r="C161" s="50">
        <v>5923253004229</v>
      </c>
      <c r="D161" s="49" t="s">
        <v>2364</v>
      </c>
    </row>
    <row r="162" spans="1:4">
      <c r="A162" s="49" t="s">
        <v>2353</v>
      </c>
      <c r="B162" s="49" t="s">
        <v>1467</v>
      </c>
      <c r="C162" s="50">
        <v>5923253004300</v>
      </c>
      <c r="D162" s="49" t="s">
        <v>2364</v>
      </c>
    </row>
    <row r="163" spans="1:4">
      <c r="A163" s="49" t="s">
        <v>2353</v>
      </c>
      <c r="B163" s="49" t="s">
        <v>1522</v>
      </c>
      <c r="C163" s="50">
        <v>5923253004490</v>
      </c>
      <c r="D163" s="49" t="s">
        <v>2364</v>
      </c>
    </row>
    <row r="164" spans="1:4">
      <c r="A164" s="49" t="s">
        <v>2353</v>
      </c>
      <c r="B164" s="49" t="s">
        <v>1736</v>
      </c>
      <c r="C164" s="50">
        <v>5923253004652</v>
      </c>
      <c r="D164" s="49" t="s">
        <v>2364</v>
      </c>
    </row>
    <row r="165" spans="1:4">
      <c r="A165" s="49" t="s">
        <v>2353</v>
      </c>
      <c r="B165" s="49" t="s">
        <v>1697</v>
      </c>
      <c r="C165" s="50">
        <v>5923253004733</v>
      </c>
      <c r="D165" s="49" t="s">
        <v>2364</v>
      </c>
    </row>
    <row r="166" spans="1:4">
      <c r="A166" s="49" t="s">
        <v>2353</v>
      </c>
      <c r="B166" s="49" t="s">
        <v>1479</v>
      </c>
      <c r="C166" s="50">
        <v>5923253004814</v>
      </c>
      <c r="D166" s="49" t="s">
        <v>2364</v>
      </c>
    </row>
    <row r="167" spans="1:4">
      <c r="A167" s="49" t="s">
        <v>2353</v>
      </c>
      <c r="B167" s="49" t="s">
        <v>1571</v>
      </c>
      <c r="C167" s="50">
        <v>5923253004903</v>
      </c>
      <c r="D167" s="49" t="s">
        <v>2364</v>
      </c>
    </row>
    <row r="168" spans="1:4">
      <c r="A168" s="49" t="s">
        <v>2353</v>
      </c>
      <c r="B168" s="49" t="s">
        <v>1646</v>
      </c>
      <c r="C168" s="50">
        <v>5923253005110</v>
      </c>
      <c r="D168" s="49" t="s">
        <v>2364</v>
      </c>
    </row>
    <row r="169" spans="1:4">
      <c r="A169" s="49" t="s">
        <v>60</v>
      </c>
      <c r="B169" s="49" t="s">
        <v>979</v>
      </c>
      <c r="C169" s="50">
        <v>5923253005209</v>
      </c>
      <c r="D169" s="49" t="s">
        <v>2364</v>
      </c>
    </row>
    <row r="170" spans="1:4">
      <c r="A170" s="49" t="s">
        <v>60</v>
      </c>
      <c r="B170" s="49" t="s">
        <v>985</v>
      </c>
      <c r="C170" s="50">
        <v>5923253005381</v>
      </c>
      <c r="D170" s="49" t="s">
        <v>2364</v>
      </c>
    </row>
    <row r="171" spans="1:4">
      <c r="A171" s="49" t="s">
        <v>60</v>
      </c>
      <c r="B171" s="49" t="s">
        <v>975</v>
      </c>
      <c r="C171" s="50">
        <v>5923253005543</v>
      </c>
      <c r="D171" s="49" t="s">
        <v>2364</v>
      </c>
    </row>
    <row r="172" spans="1:4">
      <c r="A172" s="49" t="s">
        <v>60</v>
      </c>
      <c r="B172" s="49" t="s">
        <v>957</v>
      </c>
      <c r="C172" s="50">
        <v>5923253005624</v>
      </c>
      <c r="D172" s="49" t="s">
        <v>2364</v>
      </c>
    </row>
    <row r="173" spans="1:4">
      <c r="A173" s="49" t="s">
        <v>60</v>
      </c>
      <c r="B173" s="49" t="s">
        <v>941</v>
      </c>
      <c r="C173" s="50">
        <v>5923253005977</v>
      </c>
      <c r="D173" s="49" t="s">
        <v>2364</v>
      </c>
    </row>
    <row r="174" spans="1:4">
      <c r="A174" s="49" t="s">
        <v>60</v>
      </c>
      <c r="B174" s="49" t="s">
        <v>962</v>
      </c>
      <c r="C174" s="50">
        <v>5923253006000</v>
      </c>
      <c r="D174" s="49" t="s">
        <v>2364</v>
      </c>
    </row>
    <row r="175" spans="1:4">
      <c r="A175" s="49" t="s">
        <v>60</v>
      </c>
      <c r="B175" s="49" t="s">
        <v>958</v>
      </c>
      <c r="C175" s="50">
        <v>5923253006191</v>
      </c>
      <c r="D175" s="49" t="s">
        <v>2364</v>
      </c>
    </row>
    <row r="176" spans="1:4">
      <c r="A176" s="49" t="s">
        <v>60</v>
      </c>
      <c r="B176" s="49" t="s">
        <v>1042</v>
      </c>
      <c r="C176" s="50">
        <v>5923253006787</v>
      </c>
      <c r="D176" s="49" t="s">
        <v>2364</v>
      </c>
    </row>
    <row r="177" spans="1:4">
      <c r="A177" s="49" t="s">
        <v>2074</v>
      </c>
      <c r="B177" s="49" t="s">
        <v>1951</v>
      </c>
      <c r="C177" s="50">
        <v>6022041000165</v>
      </c>
      <c r="D177" s="49" t="s">
        <v>2365</v>
      </c>
    </row>
    <row r="178" spans="1:4">
      <c r="A178" s="49" t="s">
        <v>2074</v>
      </c>
      <c r="B178" s="49" t="s">
        <v>1940</v>
      </c>
      <c r="C178" s="50">
        <v>6022041000599</v>
      </c>
      <c r="D178" s="49" t="s">
        <v>2365</v>
      </c>
    </row>
    <row r="179" spans="1:4">
      <c r="A179" s="49" t="s">
        <v>2074</v>
      </c>
      <c r="B179" s="49" t="s">
        <v>1943</v>
      </c>
      <c r="C179" s="50">
        <v>6022041000750</v>
      </c>
      <c r="D179" s="49" t="s">
        <v>2365</v>
      </c>
    </row>
    <row r="180" spans="1:4">
      <c r="A180" s="49" t="s">
        <v>2074</v>
      </c>
      <c r="B180" s="49" t="s">
        <v>1941</v>
      </c>
      <c r="C180" s="50">
        <v>6022041000831</v>
      </c>
      <c r="D180" s="49" t="s">
        <v>2365</v>
      </c>
    </row>
    <row r="181" spans="1:4">
      <c r="A181" s="49" t="s">
        <v>2074</v>
      </c>
      <c r="B181" s="49" t="s">
        <v>1949</v>
      </c>
      <c r="C181" s="50">
        <v>6022041001056</v>
      </c>
      <c r="D181" s="49" t="s">
        <v>2365</v>
      </c>
    </row>
    <row r="182" spans="1:4">
      <c r="A182" s="49" t="s">
        <v>2074</v>
      </c>
      <c r="B182" s="49" t="s">
        <v>1938</v>
      </c>
      <c r="C182" s="50">
        <v>6022041001137</v>
      </c>
      <c r="D182" s="49" t="s">
        <v>2365</v>
      </c>
    </row>
    <row r="183" spans="1:4">
      <c r="A183" s="49" t="s">
        <v>2074</v>
      </c>
      <c r="B183" s="49" t="s">
        <v>1935</v>
      </c>
      <c r="C183" s="50">
        <v>6022041001218</v>
      </c>
      <c r="D183" s="49" t="s">
        <v>2365</v>
      </c>
    </row>
    <row r="184" spans="1:4">
      <c r="A184" s="49" t="s">
        <v>55</v>
      </c>
      <c r="B184" s="49" t="s">
        <v>1236</v>
      </c>
      <c r="C184" s="50">
        <v>6044673000120</v>
      </c>
      <c r="D184" s="49" t="s">
        <v>2366</v>
      </c>
    </row>
    <row r="185" spans="1:4">
      <c r="A185" s="49" t="s">
        <v>2351</v>
      </c>
      <c r="B185" s="49" t="s">
        <v>1408</v>
      </c>
      <c r="C185" s="50">
        <v>6166233000145</v>
      </c>
      <c r="D185" s="49" t="s">
        <v>205</v>
      </c>
    </row>
    <row r="186" spans="1:4">
      <c r="A186" s="49" t="s">
        <v>2353</v>
      </c>
      <c r="B186" s="49" t="s">
        <v>1652</v>
      </c>
      <c r="C186" s="50">
        <v>6285536000187</v>
      </c>
      <c r="D186" s="49" t="s">
        <v>2367</v>
      </c>
    </row>
    <row r="187" spans="1:4">
      <c r="A187" s="49" t="s">
        <v>2353</v>
      </c>
      <c r="B187" s="49" t="s">
        <v>1430</v>
      </c>
      <c r="C187" s="50">
        <v>6285536000268</v>
      </c>
      <c r="D187" s="49" t="s">
        <v>2367</v>
      </c>
    </row>
    <row r="188" spans="1:4">
      <c r="A188" s="49" t="s">
        <v>2353</v>
      </c>
      <c r="B188" s="49" t="s">
        <v>1642</v>
      </c>
      <c r="C188" s="50">
        <v>6285536000349</v>
      </c>
      <c r="D188" s="49" t="s">
        <v>2367</v>
      </c>
    </row>
    <row r="189" spans="1:4">
      <c r="A189" s="49" t="s">
        <v>61</v>
      </c>
      <c r="B189" s="49" t="s">
        <v>279</v>
      </c>
      <c r="C189" s="50">
        <v>6371307000185</v>
      </c>
      <c r="D189" s="49" t="s">
        <v>2368</v>
      </c>
    </row>
    <row r="190" spans="1:4">
      <c r="A190" s="49" t="s">
        <v>61</v>
      </c>
      <c r="B190" s="49" t="s">
        <v>280</v>
      </c>
      <c r="C190" s="50">
        <v>6371307000347</v>
      </c>
      <c r="D190" s="49" t="s">
        <v>2368</v>
      </c>
    </row>
    <row r="191" spans="1:4">
      <c r="A191" s="49" t="s">
        <v>61</v>
      </c>
      <c r="B191" s="49" t="s">
        <v>258</v>
      </c>
      <c r="C191" s="50">
        <v>6371307000428</v>
      </c>
      <c r="D191" s="49" t="s">
        <v>2368</v>
      </c>
    </row>
    <row r="192" spans="1:4">
      <c r="A192" s="49" t="s">
        <v>61</v>
      </c>
      <c r="B192" s="49" t="s">
        <v>375</v>
      </c>
      <c r="C192" s="50">
        <v>6371307000509</v>
      </c>
      <c r="D192" s="49" t="s">
        <v>2368</v>
      </c>
    </row>
    <row r="193" spans="1:4">
      <c r="A193" s="49" t="s">
        <v>61</v>
      </c>
      <c r="B193" s="49" t="s">
        <v>293</v>
      </c>
      <c r="C193" s="50">
        <v>6371307000690</v>
      </c>
      <c r="D193" s="49" t="s">
        <v>2368</v>
      </c>
    </row>
    <row r="194" spans="1:4">
      <c r="A194" s="49" t="s">
        <v>61</v>
      </c>
      <c r="B194" s="49" t="s">
        <v>369</v>
      </c>
      <c r="C194" s="50">
        <v>6371307000770</v>
      </c>
      <c r="D194" s="49" t="s">
        <v>2368</v>
      </c>
    </row>
    <row r="195" spans="1:4">
      <c r="A195" s="49" t="s">
        <v>61</v>
      </c>
      <c r="B195" s="49" t="s">
        <v>309</v>
      </c>
      <c r="C195" s="50">
        <v>6371307000851</v>
      </c>
      <c r="D195" s="49" t="s">
        <v>2368</v>
      </c>
    </row>
    <row r="196" spans="1:4">
      <c r="A196" s="49" t="s">
        <v>61</v>
      </c>
      <c r="B196" s="49" t="s">
        <v>377</v>
      </c>
      <c r="C196" s="50">
        <v>6371307000932</v>
      </c>
      <c r="D196" s="49" t="s">
        <v>2368</v>
      </c>
    </row>
    <row r="197" spans="1:4">
      <c r="A197" s="49" t="s">
        <v>61</v>
      </c>
      <c r="B197" s="49" t="s">
        <v>286</v>
      </c>
      <c r="C197" s="50">
        <v>6371307001076</v>
      </c>
      <c r="D197" s="49" t="s">
        <v>2368</v>
      </c>
    </row>
    <row r="198" spans="1:4">
      <c r="A198" s="49" t="s">
        <v>61</v>
      </c>
      <c r="B198" s="49" t="s">
        <v>371</v>
      </c>
      <c r="C198" s="50">
        <v>6371307001157</v>
      </c>
      <c r="D198" s="49" t="s">
        <v>2368</v>
      </c>
    </row>
    <row r="199" spans="1:4">
      <c r="A199" s="49" t="s">
        <v>2074</v>
      </c>
      <c r="B199" s="49" t="s">
        <v>1988</v>
      </c>
      <c r="C199" s="50">
        <v>6971234000162</v>
      </c>
      <c r="D199" s="49" t="s">
        <v>2369</v>
      </c>
    </row>
    <row r="200" spans="1:4">
      <c r="A200" s="49" t="s">
        <v>59</v>
      </c>
      <c r="B200" s="49" t="s">
        <v>2204</v>
      </c>
      <c r="C200" s="50">
        <v>7111376000384</v>
      </c>
      <c r="D200" s="49" t="s">
        <v>2370</v>
      </c>
    </row>
    <row r="201" spans="1:4">
      <c r="A201" s="49" t="s">
        <v>55</v>
      </c>
      <c r="B201" s="49" t="s">
        <v>1160</v>
      </c>
      <c r="C201" s="50">
        <v>7379138000192</v>
      </c>
      <c r="D201" s="49" t="s">
        <v>2371</v>
      </c>
    </row>
    <row r="202" spans="1:4">
      <c r="A202" s="49" t="s">
        <v>56</v>
      </c>
      <c r="B202" s="49" t="s">
        <v>557</v>
      </c>
      <c r="C202" s="50">
        <v>7554957000129</v>
      </c>
      <c r="D202" s="49" t="s">
        <v>129</v>
      </c>
    </row>
    <row r="203" spans="1:4">
      <c r="A203" s="49" t="s">
        <v>56</v>
      </c>
      <c r="B203" s="49" t="s">
        <v>543</v>
      </c>
      <c r="C203" s="50">
        <v>7554957000552</v>
      </c>
      <c r="D203" s="49" t="s">
        <v>129</v>
      </c>
    </row>
    <row r="204" spans="1:4">
      <c r="A204" s="49" t="s">
        <v>56</v>
      </c>
      <c r="B204" s="49" t="s">
        <v>531</v>
      </c>
      <c r="C204" s="50">
        <v>7554957000803</v>
      </c>
      <c r="D204" s="49" t="s">
        <v>129</v>
      </c>
    </row>
    <row r="205" spans="1:4">
      <c r="A205" s="49" t="s">
        <v>56</v>
      </c>
      <c r="B205" s="49" t="s">
        <v>547</v>
      </c>
      <c r="C205" s="50">
        <v>7554957001010</v>
      </c>
      <c r="D205" s="49" t="s">
        <v>129</v>
      </c>
    </row>
    <row r="206" spans="1:4">
      <c r="A206" s="49" t="s">
        <v>2074</v>
      </c>
      <c r="B206" s="49" t="s">
        <v>1786</v>
      </c>
      <c r="C206" s="50">
        <v>7614855000151</v>
      </c>
      <c r="D206" s="49" t="s">
        <v>2372</v>
      </c>
    </row>
    <row r="207" spans="1:4">
      <c r="A207" s="49" t="s">
        <v>2074</v>
      </c>
      <c r="B207" s="49" t="s">
        <v>1792</v>
      </c>
      <c r="C207" s="50">
        <v>7614855000313</v>
      </c>
      <c r="D207" s="49" t="s">
        <v>2372</v>
      </c>
    </row>
    <row r="208" spans="1:4">
      <c r="A208" s="49" t="s">
        <v>2074</v>
      </c>
      <c r="B208" s="49" t="s">
        <v>1790</v>
      </c>
      <c r="C208" s="50">
        <v>7614855000402</v>
      </c>
      <c r="D208" s="49" t="s">
        <v>2372</v>
      </c>
    </row>
    <row r="209" spans="1:4">
      <c r="A209" s="49" t="s">
        <v>2074</v>
      </c>
      <c r="B209" s="49" t="s">
        <v>1778</v>
      </c>
      <c r="C209" s="50">
        <v>7614855000585</v>
      </c>
      <c r="D209" s="49" t="s">
        <v>2372</v>
      </c>
    </row>
    <row r="210" spans="1:4">
      <c r="A210" s="49" t="s">
        <v>2074</v>
      </c>
      <c r="B210" s="49" t="s">
        <v>1782</v>
      </c>
      <c r="C210" s="50">
        <v>7614855000666</v>
      </c>
      <c r="D210" s="49" t="s">
        <v>2372</v>
      </c>
    </row>
    <row r="211" spans="1:4">
      <c r="A211" s="49" t="s">
        <v>2074</v>
      </c>
      <c r="B211" s="49" t="s">
        <v>1788</v>
      </c>
      <c r="C211" s="50">
        <v>7614855000828</v>
      </c>
      <c r="D211" s="49" t="s">
        <v>2372</v>
      </c>
    </row>
    <row r="212" spans="1:4">
      <c r="A212" s="49" t="s">
        <v>2074</v>
      </c>
      <c r="B212" s="49" t="s">
        <v>1784</v>
      </c>
      <c r="C212" s="50">
        <v>7614855000909</v>
      </c>
      <c r="D212" s="49" t="s">
        <v>2372</v>
      </c>
    </row>
    <row r="213" spans="1:4">
      <c r="A213" s="49" t="s">
        <v>2074</v>
      </c>
      <c r="B213" s="49" t="s">
        <v>1933</v>
      </c>
      <c r="C213" s="50">
        <v>7614855001476</v>
      </c>
      <c r="D213" s="49" t="s">
        <v>2372</v>
      </c>
    </row>
    <row r="214" spans="1:4">
      <c r="A214" s="49" t="s">
        <v>59</v>
      </c>
      <c r="B214" s="49" t="s">
        <v>774</v>
      </c>
      <c r="C214" s="50">
        <v>7651451000138</v>
      </c>
      <c r="D214" s="49" t="s">
        <v>2373</v>
      </c>
    </row>
    <row r="215" spans="1:4">
      <c r="A215" s="49" t="s">
        <v>59</v>
      </c>
      <c r="B215" s="49" t="s">
        <v>631</v>
      </c>
      <c r="C215" s="50">
        <v>7651451000219</v>
      </c>
      <c r="D215" s="49" t="s">
        <v>2373</v>
      </c>
    </row>
    <row r="216" spans="1:4">
      <c r="A216" s="49" t="s">
        <v>59</v>
      </c>
      <c r="B216" s="49" t="s">
        <v>784</v>
      </c>
      <c r="C216" s="50">
        <v>7651451000308</v>
      </c>
      <c r="D216" s="49" t="s">
        <v>2373</v>
      </c>
    </row>
    <row r="217" spans="1:4">
      <c r="A217" s="49" t="s">
        <v>56</v>
      </c>
      <c r="B217" s="49" t="s">
        <v>550</v>
      </c>
      <c r="C217" s="50">
        <v>7836717000117</v>
      </c>
      <c r="D217" s="49" t="s">
        <v>2374</v>
      </c>
    </row>
    <row r="218" spans="1:4">
      <c r="A218" s="49" t="s">
        <v>56</v>
      </c>
      <c r="B218" s="49" t="s">
        <v>459</v>
      </c>
      <c r="C218" s="50">
        <v>8789597000379</v>
      </c>
      <c r="D218" s="49" t="s">
        <v>2375</v>
      </c>
    </row>
    <row r="219" spans="1:4">
      <c r="A219" s="49" t="s">
        <v>59</v>
      </c>
      <c r="B219" s="49" t="s">
        <v>787</v>
      </c>
      <c r="C219" s="50">
        <v>8790524000135</v>
      </c>
      <c r="D219" s="49" t="s">
        <v>2376</v>
      </c>
    </row>
    <row r="220" spans="1:4">
      <c r="A220" s="49" t="s">
        <v>59</v>
      </c>
      <c r="B220" s="49" t="s">
        <v>642</v>
      </c>
      <c r="C220" s="50">
        <v>8790524000216</v>
      </c>
      <c r="D220" s="49" t="s">
        <v>2376</v>
      </c>
    </row>
    <row r="221" spans="1:4">
      <c r="A221" s="49" t="s">
        <v>59</v>
      </c>
      <c r="B221" s="49" t="s">
        <v>648</v>
      </c>
      <c r="C221" s="50">
        <v>8790524000305</v>
      </c>
      <c r="D221" s="49" t="s">
        <v>2376</v>
      </c>
    </row>
    <row r="222" spans="1:4">
      <c r="A222" s="49" t="s">
        <v>59</v>
      </c>
      <c r="B222" s="49" t="s">
        <v>645</v>
      </c>
      <c r="C222" s="50">
        <v>8790524000488</v>
      </c>
      <c r="D222" s="49" t="s">
        <v>2376</v>
      </c>
    </row>
    <row r="223" spans="1:4">
      <c r="A223" s="49" t="s">
        <v>59</v>
      </c>
      <c r="B223" s="49" t="s">
        <v>789</v>
      </c>
      <c r="C223" s="50">
        <v>8790524000569</v>
      </c>
      <c r="D223" s="49" t="s">
        <v>2376</v>
      </c>
    </row>
    <row r="224" spans="1:4">
      <c r="A224" s="49" t="s">
        <v>59</v>
      </c>
      <c r="B224" s="49" t="s">
        <v>785</v>
      </c>
      <c r="C224" s="50">
        <v>8790524000640</v>
      </c>
      <c r="D224" s="49" t="s">
        <v>2376</v>
      </c>
    </row>
    <row r="225" spans="1:4">
      <c r="A225" s="49" t="s">
        <v>59</v>
      </c>
      <c r="B225" s="49" t="s">
        <v>646</v>
      </c>
      <c r="C225" s="50">
        <v>8790524000801</v>
      </c>
      <c r="D225" s="49" t="s">
        <v>2376</v>
      </c>
    </row>
    <row r="226" spans="1:4">
      <c r="A226" s="49" t="s">
        <v>59</v>
      </c>
      <c r="B226" s="49" t="s">
        <v>652</v>
      </c>
      <c r="C226" s="50">
        <v>8790524000992</v>
      </c>
      <c r="D226" s="49" t="s">
        <v>2376</v>
      </c>
    </row>
    <row r="227" spans="1:4">
      <c r="A227" s="49" t="s">
        <v>55</v>
      </c>
      <c r="B227" s="49" t="s">
        <v>1228</v>
      </c>
      <c r="C227" s="50">
        <v>8956381000199</v>
      </c>
      <c r="D227" s="49" t="s">
        <v>2377</v>
      </c>
    </row>
    <row r="228" spans="1:4">
      <c r="A228" s="49" t="s">
        <v>55</v>
      </c>
      <c r="B228" s="49" t="s">
        <v>1230</v>
      </c>
      <c r="C228" s="50">
        <v>9166145000131</v>
      </c>
      <c r="D228" s="49" t="s">
        <v>2378</v>
      </c>
    </row>
    <row r="229" spans="1:4">
      <c r="A229" s="49" t="s">
        <v>60</v>
      </c>
      <c r="B229" s="49" t="s">
        <v>1023</v>
      </c>
      <c r="C229" s="50">
        <v>10014059000273</v>
      </c>
      <c r="D229" s="49" t="s">
        <v>2379</v>
      </c>
    </row>
    <row r="230" spans="1:4">
      <c r="A230" s="49" t="s">
        <v>60</v>
      </c>
      <c r="B230" s="49" t="s">
        <v>1033</v>
      </c>
      <c r="C230" s="50">
        <v>10014059000354</v>
      </c>
      <c r="D230" s="49" t="s">
        <v>2379</v>
      </c>
    </row>
    <row r="231" spans="1:4">
      <c r="A231" s="49" t="s">
        <v>56</v>
      </c>
      <c r="B231" s="49" t="s">
        <v>555</v>
      </c>
      <c r="C231" s="50">
        <v>10424400000188</v>
      </c>
      <c r="D231" s="49" t="s">
        <v>2380</v>
      </c>
    </row>
    <row r="232" spans="1:4">
      <c r="A232" s="49" t="s">
        <v>2074</v>
      </c>
      <c r="B232" s="49" t="s">
        <v>2032</v>
      </c>
      <c r="C232" s="50">
        <v>10478032000150</v>
      </c>
      <c r="D232" s="49" t="s">
        <v>2381</v>
      </c>
    </row>
    <row r="233" spans="1:4">
      <c r="A233" s="49" t="s">
        <v>2074</v>
      </c>
      <c r="B233" s="49" t="s">
        <v>2029</v>
      </c>
      <c r="C233" s="50">
        <v>10478032000312</v>
      </c>
      <c r="D233" s="49" t="s">
        <v>2381</v>
      </c>
    </row>
    <row r="234" spans="1:4">
      <c r="A234" s="49" t="s">
        <v>2074</v>
      </c>
      <c r="B234" s="49" t="s">
        <v>2050</v>
      </c>
      <c r="C234" s="50">
        <v>10478032000401</v>
      </c>
      <c r="D234" s="49" t="s">
        <v>2381</v>
      </c>
    </row>
    <row r="235" spans="1:4">
      <c r="A235" s="49" t="s">
        <v>2074</v>
      </c>
      <c r="B235" s="49" t="s">
        <v>2030</v>
      </c>
      <c r="C235" s="50">
        <v>10478032000584</v>
      </c>
      <c r="D235" s="49" t="s">
        <v>2381</v>
      </c>
    </row>
    <row r="236" spans="1:4">
      <c r="A236" s="49" t="s">
        <v>2074</v>
      </c>
      <c r="B236" s="49" t="s">
        <v>2027</v>
      </c>
      <c r="C236" s="50">
        <v>10478032000665</v>
      </c>
      <c r="D236" s="49" t="s">
        <v>2381</v>
      </c>
    </row>
    <row r="237" spans="1:4">
      <c r="A237" s="49" t="s">
        <v>59</v>
      </c>
      <c r="B237" s="49" t="s">
        <v>794</v>
      </c>
      <c r="C237" s="50">
        <v>10496211000110</v>
      </c>
      <c r="D237" s="49" t="s">
        <v>2382</v>
      </c>
    </row>
    <row r="238" spans="1:4">
      <c r="A238" s="49" t="s">
        <v>59</v>
      </c>
      <c r="B238" s="49" t="s">
        <v>696</v>
      </c>
      <c r="C238" s="50">
        <v>10578622000155</v>
      </c>
      <c r="D238" s="49" t="s">
        <v>218</v>
      </c>
    </row>
    <row r="239" spans="1:4">
      <c r="A239" s="49" t="s">
        <v>2074</v>
      </c>
      <c r="B239" s="49" t="s">
        <v>1901</v>
      </c>
      <c r="C239" s="50">
        <v>10722871000172</v>
      </c>
      <c r="D239" s="49" t="s">
        <v>2383</v>
      </c>
    </row>
    <row r="240" spans="1:4">
      <c r="A240" s="49" t="s">
        <v>2074</v>
      </c>
      <c r="B240" s="49" t="s">
        <v>1899</v>
      </c>
      <c r="C240" s="50">
        <v>10722871000253</v>
      </c>
      <c r="D240" s="49" t="s">
        <v>2383</v>
      </c>
    </row>
    <row r="241" spans="1:4">
      <c r="A241" s="49" t="s">
        <v>2074</v>
      </c>
      <c r="B241" s="49" t="s">
        <v>1902</v>
      </c>
      <c r="C241" s="50">
        <v>10722871000334</v>
      </c>
      <c r="D241" s="49" t="s">
        <v>2383</v>
      </c>
    </row>
    <row r="242" spans="1:4">
      <c r="A242" s="49" t="s">
        <v>2074</v>
      </c>
      <c r="B242" s="49" t="s">
        <v>1979</v>
      </c>
      <c r="C242" s="50">
        <v>10722871000415</v>
      </c>
      <c r="D242" s="49" t="s">
        <v>2383</v>
      </c>
    </row>
    <row r="243" spans="1:4">
      <c r="A243" s="49" t="s">
        <v>2074</v>
      </c>
      <c r="B243" s="49" t="s">
        <v>1976</v>
      </c>
      <c r="C243" s="50">
        <v>10722871000504</v>
      </c>
      <c r="D243" s="49" t="s">
        <v>2383</v>
      </c>
    </row>
    <row r="244" spans="1:4">
      <c r="A244" s="49" t="s">
        <v>2353</v>
      </c>
      <c r="B244" s="49" t="s">
        <v>1458</v>
      </c>
      <c r="C244" s="50">
        <v>10874495000131</v>
      </c>
      <c r="D244" s="49" t="s">
        <v>2384</v>
      </c>
    </row>
    <row r="245" spans="1:4">
      <c r="A245" s="49" t="s">
        <v>2353</v>
      </c>
      <c r="B245" s="49" t="s">
        <v>1414</v>
      </c>
      <c r="C245" s="50">
        <v>10874495000212</v>
      </c>
      <c r="D245" s="49" t="s">
        <v>2384</v>
      </c>
    </row>
    <row r="246" spans="1:4">
      <c r="A246" s="49" t="s">
        <v>55</v>
      </c>
      <c r="B246" s="49" t="s">
        <v>1235</v>
      </c>
      <c r="C246" s="50">
        <v>10949457000109</v>
      </c>
      <c r="D246" s="49" t="s">
        <v>2385</v>
      </c>
    </row>
    <row r="247" spans="1:4">
      <c r="A247" s="49" t="s">
        <v>2351</v>
      </c>
      <c r="B247" s="49" t="s">
        <v>1303</v>
      </c>
      <c r="C247" s="50">
        <v>10971535000244</v>
      </c>
      <c r="D247" s="49" t="s">
        <v>2386</v>
      </c>
    </row>
    <row r="248" spans="1:4">
      <c r="A248" s="49" t="s">
        <v>55</v>
      </c>
      <c r="B248" s="49" t="s">
        <v>1175</v>
      </c>
      <c r="C248" s="50">
        <v>11470958000162</v>
      </c>
      <c r="D248" s="49" t="s">
        <v>2387</v>
      </c>
    </row>
    <row r="249" spans="1:4">
      <c r="A249" s="49" t="s">
        <v>56</v>
      </c>
      <c r="B249" s="49" t="s">
        <v>452</v>
      </c>
      <c r="C249" s="50">
        <v>11480747000100</v>
      </c>
      <c r="D249" s="49" t="s">
        <v>2388</v>
      </c>
    </row>
    <row r="250" spans="1:4">
      <c r="A250" s="49" t="s">
        <v>59</v>
      </c>
      <c r="B250" s="49" t="s">
        <v>809</v>
      </c>
      <c r="C250" s="50">
        <v>11740803000107</v>
      </c>
      <c r="D250" s="49" t="s">
        <v>182</v>
      </c>
    </row>
    <row r="251" spans="1:4">
      <c r="A251" s="49" t="s">
        <v>59</v>
      </c>
      <c r="B251" s="49" t="s">
        <v>671</v>
      </c>
      <c r="C251" s="50">
        <v>11740803000280</v>
      </c>
      <c r="D251" s="49" t="s">
        <v>182</v>
      </c>
    </row>
    <row r="252" spans="1:4">
      <c r="A252" s="49" t="s">
        <v>59</v>
      </c>
      <c r="B252" s="49" t="s">
        <v>707</v>
      </c>
      <c r="C252" s="50">
        <v>11886359000124</v>
      </c>
      <c r="D252" s="49" t="s">
        <v>2389</v>
      </c>
    </row>
    <row r="253" spans="1:4">
      <c r="A253" s="49" t="s">
        <v>2074</v>
      </c>
      <c r="B253" s="49" t="s">
        <v>2058</v>
      </c>
      <c r="C253" s="50">
        <v>11933521000118</v>
      </c>
      <c r="D253" s="49" t="s">
        <v>2390</v>
      </c>
    </row>
    <row r="254" spans="1:4">
      <c r="A254" s="49" t="s">
        <v>2074</v>
      </c>
      <c r="B254" s="49" t="s">
        <v>2041</v>
      </c>
      <c r="C254" s="50">
        <v>11933521000380</v>
      </c>
      <c r="D254" s="49" t="s">
        <v>2390</v>
      </c>
    </row>
    <row r="255" spans="1:4">
      <c r="A255" s="49" t="s">
        <v>61</v>
      </c>
      <c r="B255" s="49" t="s">
        <v>294</v>
      </c>
      <c r="C255" s="50">
        <v>12480293000130</v>
      </c>
      <c r="D255" s="49" t="s">
        <v>2391</v>
      </c>
    </row>
    <row r="256" spans="1:4">
      <c r="A256" s="49" t="s">
        <v>2353</v>
      </c>
      <c r="B256" s="49" t="s">
        <v>1647</v>
      </c>
      <c r="C256" s="50">
        <v>12797743000385</v>
      </c>
      <c r="D256" s="49" t="s">
        <v>2392</v>
      </c>
    </row>
    <row r="257" spans="1:4">
      <c r="A257" s="49" t="s">
        <v>55</v>
      </c>
      <c r="B257" s="49" t="s">
        <v>1224</v>
      </c>
      <c r="C257" s="50">
        <v>13383184000168</v>
      </c>
      <c r="D257" s="49" t="s">
        <v>2393</v>
      </c>
    </row>
    <row r="258" spans="1:4">
      <c r="A258" s="49" t="s">
        <v>61</v>
      </c>
      <c r="B258" s="49" t="s">
        <v>388</v>
      </c>
      <c r="C258" s="50">
        <v>14139585000300</v>
      </c>
      <c r="D258" s="49" t="s">
        <v>123</v>
      </c>
    </row>
    <row r="259" spans="1:4">
      <c r="A259" s="49" t="s">
        <v>59</v>
      </c>
      <c r="B259" s="49" t="s">
        <v>691</v>
      </c>
      <c r="C259" s="50">
        <v>14268893000165</v>
      </c>
      <c r="D259" s="49" t="s">
        <v>185</v>
      </c>
    </row>
    <row r="260" spans="1:4">
      <c r="A260" s="49" t="s">
        <v>55</v>
      </c>
      <c r="B260" s="49" t="s">
        <v>1260</v>
      </c>
      <c r="C260" s="50">
        <v>14504355000122</v>
      </c>
      <c r="D260" s="49" t="s">
        <v>2394</v>
      </c>
    </row>
    <row r="261" spans="1:4">
      <c r="A261" s="49" t="s">
        <v>59</v>
      </c>
      <c r="B261" s="49" t="s">
        <v>700</v>
      </c>
      <c r="C261" s="50">
        <v>14620106000100</v>
      </c>
      <c r="D261" s="49" t="s">
        <v>145</v>
      </c>
    </row>
    <row r="262" spans="1:4">
      <c r="A262" s="49" t="s">
        <v>61</v>
      </c>
      <c r="B262" s="49" t="s">
        <v>321</v>
      </c>
      <c r="C262" s="50">
        <v>14652581000150</v>
      </c>
      <c r="D262" s="49" t="s">
        <v>2395</v>
      </c>
    </row>
    <row r="263" spans="1:4">
      <c r="A263" s="49" t="s">
        <v>59</v>
      </c>
      <c r="B263" s="49" t="s">
        <v>828</v>
      </c>
      <c r="C263" s="50">
        <v>14676413000103</v>
      </c>
      <c r="D263" s="49" t="s">
        <v>161</v>
      </c>
    </row>
    <row r="264" spans="1:4">
      <c r="A264" s="49" t="s">
        <v>2353</v>
      </c>
      <c r="B264" s="49" t="s">
        <v>1634</v>
      </c>
      <c r="C264" s="50">
        <v>14676752000181</v>
      </c>
      <c r="D264" s="49" t="s">
        <v>2396</v>
      </c>
    </row>
    <row r="265" spans="1:4">
      <c r="A265" s="49" t="s">
        <v>59</v>
      </c>
      <c r="B265" s="49" t="s">
        <v>737</v>
      </c>
      <c r="C265" s="50">
        <v>15039764000168</v>
      </c>
      <c r="D265" s="49" t="s">
        <v>2397</v>
      </c>
    </row>
    <row r="266" spans="1:4">
      <c r="A266" s="49" t="s">
        <v>59</v>
      </c>
      <c r="B266" s="49" t="s">
        <v>925</v>
      </c>
      <c r="C266" s="50">
        <v>15039764000320</v>
      </c>
      <c r="D266" s="49" t="s">
        <v>2397</v>
      </c>
    </row>
    <row r="267" spans="1:4">
      <c r="A267" s="49" t="s">
        <v>59</v>
      </c>
      <c r="B267" s="49" t="s">
        <v>734</v>
      </c>
      <c r="C267" s="50">
        <v>15039764000400</v>
      </c>
      <c r="D267" s="49" t="s">
        <v>2397</v>
      </c>
    </row>
    <row r="268" spans="1:4">
      <c r="A268" s="49" t="s">
        <v>59</v>
      </c>
      <c r="B268" s="49" t="s">
        <v>926</v>
      </c>
      <c r="C268" s="50">
        <v>15039764000591</v>
      </c>
      <c r="D268" s="49" t="s">
        <v>2397</v>
      </c>
    </row>
    <row r="269" spans="1:4">
      <c r="A269" s="49" t="s">
        <v>59</v>
      </c>
      <c r="B269" s="49" t="s">
        <v>733</v>
      </c>
      <c r="C269" s="50">
        <v>15039764000672</v>
      </c>
      <c r="D269" s="49" t="s">
        <v>2397</v>
      </c>
    </row>
    <row r="270" spans="1:4">
      <c r="A270" s="49" t="s">
        <v>56</v>
      </c>
      <c r="B270" s="49" t="s">
        <v>510</v>
      </c>
      <c r="C270" s="50">
        <v>15777640000180</v>
      </c>
      <c r="D270" s="49" t="s">
        <v>2398</v>
      </c>
    </row>
    <row r="271" spans="1:4">
      <c r="A271" s="49" t="s">
        <v>59</v>
      </c>
      <c r="B271" s="49" t="s">
        <v>825</v>
      </c>
      <c r="C271" s="50">
        <v>16606612000162</v>
      </c>
      <c r="D271" s="49" t="s">
        <v>2399</v>
      </c>
    </row>
    <row r="272" spans="1:4">
      <c r="A272" s="49" t="s">
        <v>2353</v>
      </c>
      <c r="B272" s="49" t="s">
        <v>1721</v>
      </c>
      <c r="C272" s="50">
        <v>18194895000299</v>
      </c>
      <c r="D272" s="49" t="s">
        <v>2400</v>
      </c>
    </row>
    <row r="273" spans="1:4">
      <c r="A273" s="49" t="s">
        <v>2353</v>
      </c>
      <c r="B273" s="49" t="s">
        <v>1622</v>
      </c>
      <c r="C273" s="50">
        <v>18194895000370</v>
      </c>
      <c r="D273" s="49" t="s">
        <v>2400</v>
      </c>
    </row>
    <row r="274" spans="1:4">
      <c r="A274" s="49" t="s">
        <v>2074</v>
      </c>
      <c r="B274" s="49" t="s">
        <v>1741</v>
      </c>
      <c r="C274" s="50">
        <v>18248878000530</v>
      </c>
      <c r="D274" s="49" t="s">
        <v>2401</v>
      </c>
    </row>
    <row r="275" spans="1:4">
      <c r="A275" s="49" t="s">
        <v>2074</v>
      </c>
      <c r="B275" s="49" t="s">
        <v>1745</v>
      </c>
      <c r="C275" s="50">
        <v>18248878000700</v>
      </c>
      <c r="D275" s="49" t="s">
        <v>2401</v>
      </c>
    </row>
    <row r="276" spans="1:4">
      <c r="A276" s="49" t="s">
        <v>2353</v>
      </c>
      <c r="B276" s="49" t="s">
        <v>1463</v>
      </c>
      <c r="C276" s="50">
        <v>18658629000199</v>
      </c>
      <c r="D276" s="49" t="s">
        <v>2402</v>
      </c>
    </row>
    <row r="277" spans="1:4">
      <c r="A277" s="49" t="s">
        <v>2353</v>
      </c>
      <c r="B277" s="49" t="s">
        <v>1558</v>
      </c>
      <c r="C277" s="50">
        <v>18658629000270</v>
      </c>
      <c r="D277" s="49" t="s">
        <v>2402</v>
      </c>
    </row>
    <row r="278" spans="1:4">
      <c r="A278" s="49" t="s">
        <v>55</v>
      </c>
      <c r="B278" s="49" t="s">
        <v>1245</v>
      </c>
      <c r="C278" s="50">
        <v>18959713000142</v>
      </c>
      <c r="D278" s="49" t="s">
        <v>234</v>
      </c>
    </row>
    <row r="279" spans="1:4">
      <c r="A279" s="49" t="s">
        <v>55</v>
      </c>
      <c r="B279" s="49" t="s">
        <v>1254</v>
      </c>
      <c r="C279" s="50">
        <v>18959713000495</v>
      </c>
      <c r="D279" s="49" t="s">
        <v>234</v>
      </c>
    </row>
    <row r="280" spans="1:4">
      <c r="A280" s="49" t="s">
        <v>55</v>
      </c>
      <c r="B280" s="49" t="s">
        <v>1174</v>
      </c>
      <c r="C280" s="50">
        <v>18959713000576</v>
      </c>
      <c r="D280" s="49" t="s">
        <v>234</v>
      </c>
    </row>
    <row r="281" spans="1:4">
      <c r="A281" s="49" t="s">
        <v>55</v>
      </c>
      <c r="B281" s="49" t="s">
        <v>1243</v>
      </c>
      <c r="C281" s="50">
        <v>18959713000657</v>
      </c>
      <c r="D281" s="49" t="s">
        <v>234</v>
      </c>
    </row>
    <row r="282" spans="1:4">
      <c r="A282" s="49" t="s">
        <v>55</v>
      </c>
      <c r="B282" s="49" t="s">
        <v>1240</v>
      </c>
      <c r="C282" s="50">
        <v>18959713000738</v>
      </c>
      <c r="D282" s="49" t="s">
        <v>234</v>
      </c>
    </row>
    <row r="283" spans="1:4">
      <c r="A283" s="49" t="s">
        <v>55</v>
      </c>
      <c r="B283" s="49" t="s">
        <v>1172</v>
      </c>
      <c r="C283" s="50">
        <v>18959713000819</v>
      </c>
      <c r="D283" s="49" t="s">
        <v>234</v>
      </c>
    </row>
    <row r="284" spans="1:4">
      <c r="A284" s="49" t="s">
        <v>55</v>
      </c>
      <c r="B284" s="49" t="s">
        <v>1226</v>
      </c>
      <c r="C284" s="50">
        <v>18959713000908</v>
      </c>
      <c r="D284" s="49" t="s">
        <v>234</v>
      </c>
    </row>
    <row r="285" spans="1:4">
      <c r="A285" s="49" t="s">
        <v>55</v>
      </c>
      <c r="B285" s="49" t="s">
        <v>1241</v>
      </c>
      <c r="C285" s="50">
        <v>18959713001033</v>
      </c>
      <c r="D285" s="49" t="s">
        <v>234</v>
      </c>
    </row>
    <row r="286" spans="1:4">
      <c r="A286" s="49" t="s">
        <v>55</v>
      </c>
      <c r="B286" s="49" t="s">
        <v>1218</v>
      </c>
      <c r="C286" s="50">
        <v>18959713001114</v>
      </c>
      <c r="D286" s="49" t="s">
        <v>234</v>
      </c>
    </row>
    <row r="287" spans="1:4">
      <c r="A287" s="49" t="s">
        <v>55</v>
      </c>
      <c r="B287" s="49" t="s">
        <v>1191</v>
      </c>
      <c r="C287" s="50">
        <v>18959713001203</v>
      </c>
      <c r="D287" s="49" t="s">
        <v>234</v>
      </c>
    </row>
    <row r="288" spans="1:4">
      <c r="A288" s="49" t="s">
        <v>55</v>
      </c>
      <c r="B288" s="49" t="s">
        <v>1256</v>
      </c>
      <c r="C288" s="50">
        <v>18959713001386</v>
      </c>
      <c r="D288" s="49" t="s">
        <v>234</v>
      </c>
    </row>
    <row r="289" spans="1:4">
      <c r="A289" s="49" t="s">
        <v>55</v>
      </c>
      <c r="B289" s="49" t="s">
        <v>1294</v>
      </c>
      <c r="C289" s="50">
        <v>18959713001467</v>
      </c>
      <c r="D289" s="49" t="s">
        <v>234</v>
      </c>
    </row>
    <row r="290" spans="1:4">
      <c r="A290" s="49" t="s">
        <v>55</v>
      </c>
      <c r="B290" s="49" t="s">
        <v>1203</v>
      </c>
      <c r="C290" s="50">
        <v>18959713001548</v>
      </c>
      <c r="D290" s="49" t="s">
        <v>234</v>
      </c>
    </row>
    <row r="291" spans="1:4">
      <c r="A291" s="49" t="s">
        <v>2353</v>
      </c>
      <c r="B291" s="49" t="s">
        <v>1726</v>
      </c>
      <c r="C291" s="50">
        <v>19600229000195</v>
      </c>
      <c r="D291" s="49" t="s">
        <v>150</v>
      </c>
    </row>
    <row r="292" spans="1:4">
      <c r="A292" s="49" t="s">
        <v>59</v>
      </c>
      <c r="B292" s="49" t="s">
        <v>2205</v>
      </c>
      <c r="C292" s="50">
        <v>19878833000188</v>
      </c>
      <c r="D292" s="49" t="s">
        <v>2403</v>
      </c>
    </row>
    <row r="293" spans="1:4">
      <c r="A293" s="49" t="s">
        <v>60</v>
      </c>
      <c r="B293" s="49" t="s">
        <v>1004</v>
      </c>
      <c r="C293" s="50">
        <v>20965631000152</v>
      </c>
      <c r="D293" s="49" t="s">
        <v>2404</v>
      </c>
    </row>
    <row r="294" spans="1:4">
      <c r="A294" s="49" t="s">
        <v>60</v>
      </c>
      <c r="B294" s="51" t="s">
        <v>994</v>
      </c>
      <c r="C294" s="50">
        <v>20965631000314</v>
      </c>
      <c r="D294" s="49" t="s">
        <v>2404</v>
      </c>
    </row>
    <row r="295" spans="1:4">
      <c r="A295" s="49" t="s">
        <v>2074</v>
      </c>
      <c r="B295" s="49" t="s">
        <v>2055</v>
      </c>
      <c r="C295" s="50">
        <v>21595397000262</v>
      </c>
      <c r="D295" s="49" t="s">
        <v>2405</v>
      </c>
    </row>
    <row r="296" spans="1:4">
      <c r="A296" s="49" t="s">
        <v>2074</v>
      </c>
      <c r="B296" s="49" t="s">
        <v>2043</v>
      </c>
      <c r="C296" s="50">
        <v>21595397000343</v>
      </c>
      <c r="D296" s="49" t="s">
        <v>2405</v>
      </c>
    </row>
    <row r="297" spans="1:4">
      <c r="A297" s="49" t="s">
        <v>2074</v>
      </c>
      <c r="B297" s="49" t="s">
        <v>2021</v>
      </c>
      <c r="C297" s="50">
        <v>21595397000424</v>
      </c>
      <c r="D297" s="49" t="s">
        <v>2405</v>
      </c>
    </row>
    <row r="298" spans="1:4">
      <c r="A298" s="49" t="s">
        <v>56</v>
      </c>
      <c r="B298" s="49" t="s">
        <v>556</v>
      </c>
      <c r="C298" s="50">
        <v>21784424000164</v>
      </c>
      <c r="D298" s="49" t="s">
        <v>2406</v>
      </c>
    </row>
    <row r="299" spans="1:4">
      <c r="A299" s="49" t="s">
        <v>2351</v>
      </c>
      <c r="B299" s="49" t="s">
        <v>1339</v>
      </c>
      <c r="C299" s="50">
        <v>21848907000185</v>
      </c>
      <c r="D299" s="49" t="s">
        <v>2407</v>
      </c>
    </row>
    <row r="300" spans="1:4">
      <c r="A300" s="49" t="s">
        <v>2351</v>
      </c>
      <c r="B300" s="49" t="s">
        <v>1325</v>
      </c>
      <c r="C300" s="50">
        <v>21848907000266</v>
      </c>
      <c r="D300" s="49" t="s">
        <v>2407</v>
      </c>
    </row>
    <row r="301" spans="1:4">
      <c r="A301" s="49" t="s">
        <v>2351</v>
      </c>
      <c r="B301" s="49" t="s">
        <v>1333</v>
      </c>
      <c r="C301" s="50">
        <v>21848907000347</v>
      </c>
      <c r="D301" s="49" t="s">
        <v>2407</v>
      </c>
    </row>
    <row r="302" spans="1:4">
      <c r="A302" s="49" t="s">
        <v>2351</v>
      </c>
      <c r="B302" s="49" t="s">
        <v>1338</v>
      </c>
      <c r="C302" s="50">
        <v>21848907000428</v>
      </c>
      <c r="D302" s="49" t="s">
        <v>2407</v>
      </c>
    </row>
    <row r="303" spans="1:4">
      <c r="A303" s="49" t="s">
        <v>2351</v>
      </c>
      <c r="B303" s="49" t="s">
        <v>1336</v>
      </c>
      <c r="C303" s="50">
        <v>21848907000509</v>
      </c>
      <c r="D303" s="49" t="s">
        <v>2407</v>
      </c>
    </row>
    <row r="304" spans="1:4">
      <c r="A304" s="49" t="s">
        <v>2351</v>
      </c>
      <c r="B304" s="49" t="s">
        <v>1319</v>
      </c>
      <c r="C304" s="50">
        <v>21848907000690</v>
      </c>
      <c r="D304" s="49" t="s">
        <v>2407</v>
      </c>
    </row>
    <row r="305" spans="1:4">
      <c r="A305" s="49" t="s">
        <v>2351</v>
      </c>
      <c r="B305" s="49" t="s">
        <v>1327</v>
      </c>
      <c r="C305" s="50">
        <v>21848907000770</v>
      </c>
      <c r="D305" s="49" t="s">
        <v>2407</v>
      </c>
    </row>
    <row r="306" spans="1:4">
      <c r="A306" s="49" t="s">
        <v>2351</v>
      </c>
      <c r="B306" s="49" t="s">
        <v>1342</v>
      </c>
      <c r="C306" s="50">
        <v>21848907001076</v>
      </c>
      <c r="D306" s="49" t="s">
        <v>2407</v>
      </c>
    </row>
    <row r="307" spans="1:4">
      <c r="A307" s="49" t="s">
        <v>2351</v>
      </c>
      <c r="B307" s="49" t="s">
        <v>1334</v>
      </c>
      <c r="C307" s="50">
        <v>21848907001157</v>
      </c>
      <c r="D307" s="49" t="s">
        <v>2407</v>
      </c>
    </row>
    <row r="308" spans="1:4">
      <c r="A308" s="49" t="s">
        <v>2351</v>
      </c>
      <c r="B308" s="49" t="s">
        <v>1337</v>
      </c>
      <c r="C308" s="50">
        <v>21848907001238</v>
      </c>
      <c r="D308" s="49" t="s">
        <v>2407</v>
      </c>
    </row>
    <row r="309" spans="1:4">
      <c r="A309" s="49" t="s">
        <v>2351</v>
      </c>
      <c r="B309" s="49" t="s">
        <v>1326</v>
      </c>
      <c r="C309" s="50">
        <v>21848907001319</v>
      </c>
      <c r="D309" s="49" t="s">
        <v>2407</v>
      </c>
    </row>
    <row r="310" spans="1:4">
      <c r="A310" s="49" t="s">
        <v>2351</v>
      </c>
      <c r="B310" s="49" t="s">
        <v>1378</v>
      </c>
      <c r="C310" s="50">
        <v>22202431000173</v>
      </c>
      <c r="D310" s="49" t="s">
        <v>2408</v>
      </c>
    </row>
    <row r="311" spans="1:4">
      <c r="A311" s="49" t="s">
        <v>2351</v>
      </c>
      <c r="B311" s="49" t="s">
        <v>1377</v>
      </c>
      <c r="C311" s="50">
        <v>22202431000335</v>
      </c>
      <c r="D311" s="49" t="s">
        <v>2408</v>
      </c>
    </row>
    <row r="312" spans="1:4">
      <c r="A312" s="49" t="s">
        <v>2351</v>
      </c>
      <c r="B312" s="49" t="s">
        <v>1379</v>
      </c>
      <c r="C312" s="50">
        <v>22202431000688</v>
      </c>
      <c r="D312" s="49" t="s">
        <v>2408</v>
      </c>
    </row>
    <row r="313" spans="1:4">
      <c r="A313" s="49" t="s">
        <v>2353</v>
      </c>
      <c r="B313" s="49" t="s">
        <v>1511</v>
      </c>
      <c r="C313" s="50">
        <v>22250882000186</v>
      </c>
      <c r="D313" s="49" t="s">
        <v>2409</v>
      </c>
    </row>
    <row r="314" spans="1:4">
      <c r="A314" s="49" t="s">
        <v>2353</v>
      </c>
      <c r="B314" s="49" t="s">
        <v>1594</v>
      </c>
      <c r="C314" s="50">
        <v>22250882000348</v>
      </c>
      <c r="D314" s="49" t="s">
        <v>2409</v>
      </c>
    </row>
    <row r="315" spans="1:4">
      <c r="A315" s="49" t="s">
        <v>2353</v>
      </c>
      <c r="B315" s="49" t="s">
        <v>1436</v>
      </c>
      <c r="C315" s="50">
        <v>22250882000429</v>
      </c>
      <c r="D315" s="49" t="s">
        <v>2409</v>
      </c>
    </row>
    <row r="316" spans="1:4">
      <c r="A316" s="49" t="s">
        <v>2353</v>
      </c>
      <c r="B316" s="49" t="s">
        <v>1529</v>
      </c>
      <c r="C316" s="50">
        <v>22250882000690</v>
      </c>
      <c r="D316" s="49" t="s">
        <v>2409</v>
      </c>
    </row>
    <row r="317" spans="1:4">
      <c r="A317" s="49" t="s">
        <v>2353</v>
      </c>
      <c r="B317" s="49" t="s">
        <v>1714</v>
      </c>
      <c r="C317" s="50">
        <v>22250882000771</v>
      </c>
      <c r="D317" s="49" t="s">
        <v>2409</v>
      </c>
    </row>
    <row r="318" spans="1:4">
      <c r="A318" s="49" t="s">
        <v>2353</v>
      </c>
      <c r="B318" s="49" t="s">
        <v>1590</v>
      </c>
      <c r="C318" s="50">
        <v>22417116000163</v>
      </c>
      <c r="D318" s="49" t="s">
        <v>2410</v>
      </c>
    </row>
    <row r="319" spans="1:4">
      <c r="A319" s="49" t="s">
        <v>59</v>
      </c>
      <c r="B319" s="49" t="s">
        <v>864</v>
      </c>
      <c r="C319" s="50">
        <v>22461407000159</v>
      </c>
      <c r="D319" s="49" t="s">
        <v>2411</v>
      </c>
    </row>
    <row r="320" spans="1:4">
      <c r="A320" s="49" t="s">
        <v>59</v>
      </c>
      <c r="B320" s="49" t="s">
        <v>698</v>
      </c>
      <c r="C320" s="50">
        <v>22478155000170</v>
      </c>
      <c r="D320" s="49" t="s">
        <v>2412</v>
      </c>
    </row>
    <row r="321" spans="1:4">
      <c r="A321" s="49" t="s">
        <v>59</v>
      </c>
      <c r="B321" s="49" t="s">
        <v>708</v>
      </c>
      <c r="C321" s="50">
        <v>22833891000108</v>
      </c>
      <c r="D321" s="49" t="s">
        <v>2413</v>
      </c>
    </row>
    <row r="322" spans="1:4">
      <c r="A322" s="49" t="s">
        <v>2351</v>
      </c>
      <c r="B322" s="49" t="s">
        <v>1384</v>
      </c>
      <c r="C322" s="50">
        <v>23001122000106</v>
      </c>
      <c r="D322" s="49" t="s">
        <v>2414</v>
      </c>
    </row>
    <row r="323" spans="1:4">
      <c r="A323" s="49" t="s">
        <v>2351</v>
      </c>
      <c r="B323" s="49" t="s">
        <v>1389</v>
      </c>
      <c r="C323" s="50">
        <v>23001122000360</v>
      </c>
      <c r="D323" s="49" t="s">
        <v>2414</v>
      </c>
    </row>
    <row r="324" spans="1:4">
      <c r="A324" s="49" t="s">
        <v>2351</v>
      </c>
      <c r="B324" s="49" t="s">
        <v>2119</v>
      </c>
      <c r="C324" s="50">
        <v>23001122000440</v>
      </c>
      <c r="D324" s="49" t="s">
        <v>2414</v>
      </c>
    </row>
    <row r="325" spans="1:4">
      <c r="A325" s="49" t="s">
        <v>2351</v>
      </c>
      <c r="B325" s="49" t="s">
        <v>1386</v>
      </c>
      <c r="C325" s="50">
        <v>23001122000521</v>
      </c>
      <c r="D325" s="49" t="s">
        <v>2414</v>
      </c>
    </row>
    <row r="326" spans="1:4">
      <c r="A326" s="49" t="s">
        <v>2351</v>
      </c>
      <c r="B326" s="49" t="s">
        <v>1388</v>
      </c>
      <c r="C326" s="50">
        <v>23001122000602</v>
      </c>
      <c r="D326" s="49" t="s">
        <v>2414</v>
      </c>
    </row>
    <row r="327" spans="1:4">
      <c r="A327" s="49" t="s">
        <v>60</v>
      </c>
      <c r="B327" s="49" t="s">
        <v>1032</v>
      </c>
      <c r="C327" s="50">
        <v>23199256000175</v>
      </c>
      <c r="D327" s="49" t="s">
        <v>2415</v>
      </c>
    </row>
    <row r="328" spans="1:4">
      <c r="A328" s="49" t="s">
        <v>60</v>
      </c>
      <c r="B328" s="49" t="s">
        <v>951</v>
      </c>
      <c r="C328" s="50">
        <v>23199256000760</v>
      </c>
      <c r="D328" s="49" t="s">
        <v>2415</v>
      </c>
    </row>
    <row r="329" spans="1:4">
      <c r="A329" s="49" t="s">
        <v>60</v>
      </c>
      <c r="B329" s="49" t="s">
        <v>989</v>
      </c>
      <c r="C329" s="50">
        <v>23199256000841</v>
      </c>
      <c r="D329" s="49" t="s">
        <v>2415</v>
      </c>
    </row>
    <row r="330" spans="1:4">
      <c r="A330" s="49" t="s">
        <v>2353</v>
      </c>
      <c r="B330" s="49" t="s">
        <v>1493</v>
      </c>
      <c r="C330" s="50">
        <v>23852931000113</v>
      </c>
      <c r="D330" s="49" t="s">
        <v>2416</v>
      </c>
    </row>
    <row r="331" spans="1:4">
      <c r="A331" s="49" t="s">
        <v>2353</v>
      </c>
      <c r="B331" s="49" t="s">
        <v>1595</v>
      </c>
      <c r="C331" s="50">
        <v>23852931000385</v>
      </c>
      <c r="D331" s="49" t="s">
        <v>2416</v>
      </c>
    </row>
    <row r="332" spans="1:4">
      <c r="A332" s="49" t="s">
        <v>2353</v>
      </c>
      <c r="B332" s="49" t="s">
        <v>1598</v>
      </c>
      <c r="C332" s="50">
        <v>23852931000466</v>
      </c>
      <c r="D332" s="49" t="s">
        <v>2416</v>
      </c>
    </row>
    <row r="333" spans="1:4">
      <c r="A333" s="49" t="s">
        <v>2074</v>
      </c>
      <c r="B333" s="49" t="s">
        <v>1816</v>
      </c>
      <c r="C333" s="50">
        <v>23869634000180</v>
      </c>
      <c r="D333" s="49" t="s">
        <v>2417</v>
      </c>
    </row>
    <row r="334" spans="1:4">
      <c r="A334" s="49" t="s">
        <v>2074</v>
      </c>
      <c r="B334" s="49" t="s">
        <v>1810</v>
      </c>
      <c r="C334" s="50">
        <v>23869634000261</v>
      </c>
      <c r="D334" s="49" t="s">
        <v>2417</v>
      </c>
    </row>
    <row r="335" spans="1:4">
      <c r="A335" s="49" t="s">
        <v>2074</v>
      </c>
      <c r="B335" s="49" t="s">
        <v>1823</v>
      </c>
      <c r="C335" s="50">
        <v>23869634000342</v>
      </c>
      <c r="D335" s="49" t="s">
        <v>2417</v>
      </c>
    </row>
    <row r="336" spans="1:4">
      <c r="A336" s="49" t="s">
        <v>2353</v>
      </c>
      <c r="B336" s="49" t="s">
        <v>1621</v>
      </c>
      <c r="C336" s="50">
        <v>24217016000119</v>
      </c>
      <c r="D336" s="49" t="s">
        <v>2418</v>
      </c>
    </row>
    <row r="337" spans="1:4">
      <c r="A337" s="49" t="s">
        <v>2353</v>
      </c>
      <c r="B337" s="49" t="s">
        <v>1470</v>
      </c>
      <c r="C337" s="50">
        <v>24217016000208</v>
      </c>
      <c r="D337" s="49" t="s">
        <v>2418</v>
      </c>
    </row>
    <row r="338" spans="1:4">
      <c r="A338" s="49" t="s">
        <v>2353</v>
      </c>
      <c r="B338" s="49" t="s">
        <v>1549</v>
      </c>
      <c r="C338" s="50">
        <v>24217016000461</v>
      </c>
      <c r="D338" s="49" t="s">
        <v>2418</v>
      </c>
    </row>
    <row r="339" spans="1:4">
      <c r="A339" s="49" t="s">
        <v>59</v>
      </c>
      <c r="B339" s="49" t="s">
        <v>857</v>
      </c>
      <c r="C339" s="50">
        <v>24230714000154</v>
      </c>
      <c r="D339" s="49" t="s">
        <v>2419</v>
      </c>
    </row>
    <row r="340" spans="1:4">
      <c r="A340" s="49" t="s">
        <v>59</v>
      </c>
      <c r="B340" s="49" t="s">
        <v>856</v>
      </c>
      <c r="C340" s="50">
        <v>24230714000316</v>
      </c>
      <c r="D340" s="49" t="s">
        <v>2419</v>
      </c>
    </row>
    <row r="341" spans="1:4">
      <c r="A341" s="49" t="s">
        <v>59</v>
      </c>
      <c r="B341" s="49" t="s">
        <v>854</v>
      </c>
      <c r="C341" s="50">
        <v>24230714000405</v>
      </c>
      <c r="D341" s="49" t="s">
        <v>2419</v>
      </c>
    </row>
    <row r="342" spans="1:4">
      <c r="A342" s="49" t="s">
        <v>55</v>
      </c>
      <c r="B342" s="49" t="s">
        <v>1216</v>
      </c>
      <c r="C342" s="50">
        <v>26117255000203</v>
      </c>
      <c r="D342" s="49" t="s">
        <v>2420</v>
      </c>
    </row>
    <row r="343" spans="1:4">
      <c r="A343" s="49" t="s">
        <v>55</v>
      </c>
      <c r="B343" s="49" t="s">
        <v>1181</v>
      </c>
      <c r="C343" s="50">
        <v>26117255000394</v>
      </c>
      <c r="D343" s="49" t="s">
        <v>2420</v>
      </c>
    </row>
    <row r="344" spans="1:4">
      <c r="A344" s="49" t="s">
        <v>55</v>
      </c>
      <c r="B344" s="49" t="s">
        <v>1210</v>
      </c>
      <c r="C344" s="50">
        <v>26117255000475</v>
      </c>
      <c r="D344" s="49" t="s">
        <v>2420</v>
      </c>
    </row>
    <row r="345" spans="1:4">
      <c r="A345" s="49" t="s">
        <v>55</v>
      </c>
      <c r="B345" s="49" t="s">
        <v>1222</v>
      </c>
      <c r="C345" s="50">
        <v>26117255000637</v>
      </c>
      <c r="D345" s="49" t="s">
        <v>2420</v>
      </c>
    </row>
    <row r="346" spans="1:4">
      <c r="A346" s="49" t="s">
        <v>55</v>
      </c>
      <c r="B346" s="49" t="s">
        <v>1217</v>
      </c>
      <c r="C346" s="50">
        <v>26117255000807</v>
      </c>
      <c r="D346" s="49" t="s">
        <v>2420</v>
      </c>
    </row>
    <row r="347" spans="1:4">
      <c r="A347" s="49" t="s">
        <v>55</v>
      </c>
      <c r="B347" s="49" t="s">
        <v>1153</v>
      </c>
      <c r="C347" s="50">
        <v>26117255000980</v>
      </c>
      <c r="D347" s="49" t="s">
        <v>2420</v>
      </c>
    </row>
    <row r="348" spans="1:4">
      <c r="A348" s="49" t="s">
        <v>55</v>
      </c>
      <c r="B348" s="49" t="s">
        <v>1149</v>
      </c>
      <c r="C348" s="50">
        <v>26117255001013</v>
      </c>
      <c r="D348" s="49" t="s">
        <v>2420</v>
      </c>
    </row>
    <row r="349" spans="1:4">
      <c r="A349" s="49" t="s">
        <v>55</v>
      </c>
      <c r="B349" s="49" t="s">
        <v>1171</v>
      </c>
      <c r="C349" s="50">
        <v>26117255001102</v>
      </c>
      <c r="D349" s="49" t="s">
        <v>2420</v>
      </c>
    </row>
    <row r="350" spans="1:4">
      <c r="A350" s="49" t="s">
        <v>55</v>
      </c>
      <c r="B350" s="49" t="s">
        <v>1195</v>
      </c>
      <c r="C350" s="50">
        <v>26117255001285</v>
      </c>
      <c r="D350" s="49" t="s">
        <v>2420</v>
      </c>
    </row>
    <row r="351" spans="1:4">
      <c r="A351" s="49" t="s">
        <v>55</v>
      </c>
      <c r="B351" s="49" t="s">
        <v>1246</v>
      </c>
      <c r="C351" s="50">
        <v>26117255001528</v>
      </c>
      <c r="D351" s="49" t="s">
        <v>2420</v>
      </c>
    </row>
    <row r="352" spans="1:4">
      <c r="A352" s="49" t="s">
        <v>55</v>
      </c>
      <c r="B352" s="49" t="s">
        <v>1139</v>
      </c>
      <c r="C352" s="50">
        <v>26117255001609</v>
      </c>
      <c r="D352" s="49" t="s">
        <v>2420</v>
      </c>
    </row>
    <row r="353" spans="1:4">
      <c r="A353" s="49" t="s">
        <v>55</v>
      </c>
      <c r="B353" s="49" t="s">
        <v>1265</v>
      </c>
      <c r="C353" s="50">
        <v>26117255001870</v>
      </c>
      <c r="D353" s="49" t="s">
        <v>2420</v>
      </c>
    </row>
    <row r="354" spans="1:4">
      <c r="A354" s="49" t="s">
        <v>55</v>
      </c>
      <c r="B354" s="49" t="s">
        <v>1251</v>
      </c>
      <c r="C354" s="50">
        <v>26117255001951</v>
      </c>
      <c r="D354" s="49" t="s">
        <v>2420</v>
      </c>
    </row>
    <row r="355" spans="1:4">
      <c r="A355" s="49" t="s">
        <v>55</v>
      </c>
      <c r="B355" s="49" t="s">
        <v>1257</v>
      </c>
      <c r="C355" s="50">
        <v>26117255002095</v>
      </c>
      <c r="D355" s="49" t="s">
        <v>2420</v>
      </c>
    </row>
    <row r="356" spans="1:4">
      <c r="A356" s="49" t="s">
        <v>56</v>
      </c>
      <c r="B356" s="49" t="s">
        <v>481</v>
      </c>
      <c r="C356" s="50">
        <v>26117255002176</v>
      </c>
      <c r="D356" s="49" t="s">
        <v>2420</v>
      </c>
    </row>
    <row r="357" spans="1:4">
      <c r="A357" s="49" t="s">
        <v>56</v>
      </c>
      <c r="B357" s="49" t="s">
        <v>529</v>
      </c>
      <c r="C357" s="50">
        <v>26117255002257</v>
      </c>
      <c r="D357" s="49" t="s">
        <v>2420</v>
      </c>
    </row>
    <row r="358" spans="1:4">
      <c r="A358" s="49" t="s">
        <v>56</v>
      </c>
      <c r="B358" s="49" t="s">
        <v>472</v>
      </c>
      <c r="C358" s="50">
        <v>26117255002338</v>
      </c>
      <c r="D358" s="49" t="s">
        <v>2420</v>
      </c>
    </row>
    <row r="359" spans="1:4">
      <c r="A359" s="49" t="s">
        <v>56</v>
      </c>
      <c r="B359" s="49" t="s">
        <v>548</v>
      </c>
      <c r="C359" s="50">
        <v>26117255002419</v>
      </c>
      <c r="D359" s="49" t="s">
        <v>2420</v>
      </c>
    </row>
    <row r="360" spans="1:4">
      <c r="A360" s="49" t="s">
        <v>56</v>
      </c>
      <c r="B360" s="49" t="s">
        <v>577</v>
      </c>
      <c r="C360" s="50">
        <v>26117255002680</v>
      </c>
      <c r="D360" s="49" t="s">
        <v>2420</v>
      </c>
    </row>
    <row r="361" spans="1:4">
      <c r="A361" s="49" t="s">
        <v>56</v>
      </c>
      <c r="B361" s="49" t="s">
        <v>552</v>
      </c>
      <c r="C361" s="50">
        <v>26117255002761</v>
      </c>
      <c r="D361" s="49" t="s">
        <v>2420</v>
      </c>
    </row>
    <row r="362" spans="1:4">
      <c r="A362" s="49" t="s">
        <v>56</v>
      </c>
      <c r="B362" s="49" t="s">
        <v>525</v>
      </c>
      <c r="C362" s="50">
        <v>26117255002842</v>
      </c>
      <c r="D362" s="49" t="s">
        <v>2420</v>
      </c>
    </row>
    <row r="363" spans="1:4">
      <c r="A363" s="49" t="s">
        <v>55</v>
      </c>
      <c r="B363" s="49" t="s">
        <v>1267</v>
      </c>
      <c r="C363" s="50">
        <v>26117255003067</v>
      </c>
      <c r="D363" s="49" t="s">
        <v>2420</v>
      </c>
    </row>
    <row r="364" spans="1:4">
      <c r="A364" s="49" t="s">
        <v>55</v>
      </c>
      <c r="B364" s="49" t="s">
        <v>1178</v>
      </c>
      <c r="C364" s="50">
        <v>26117255003148</v>
      </c>
      <c r="D364" s="49" t="s">
        <v>2420</v>
      </c>
    </row>
    <row r="365" spans="1:4">
      <c r="A365" s="49" t="s">
        <v>55</v>
      </c>
      <c r="B365" s="49" t="s">
        <v>1205</v>
      </c>
      <c r="C365" s="50">
        <v>26117255003229</v>
      </c>
      <c r="D365" s="49" t="s">
        <v>2420</v>
      </c>
    </row>
    <row r="366" spans="1:4">
      <c r="A366" s="49" t="s">
        <v>61</v>
      </c>
      <c r="B366" s="49" t="s">
        <v>319</v>
      </c>
      <c r="C366" s="50">
        <v>26245574000113</v>
      </c>
      <c r="D366" s="49" t="s">
        <v>2421</v>
      </c>
    </row>
    <row r="367" spans="1:4">
      <c r="A367" s="49" t="s">
        <v>61</v>
      </c>
      <c r="B367" s="49" t="s">
        <v>347</v>
      </c>
      <c r="C367" s="50">
        <v>26245574000202</v>
      </c>
      <c r="D367" s="49" t="s">
        <v>2421</v>
      </c>
    </row>
    <row r="368" spans="1:4">
      <c r="A368" s="49" t="s">
        <v>61</v>
      </c>
      <c r="B368" s="49" t="s">
        <v>2328</v>
      </c>
      <c r="C368" s="50">
        <v>26245574000385</v>
      </c>
      <c r="D368" s="49" t="s">
        <v>2421</v>
      </c>
    </row>
    <row r="369" spans="1:4">
      <c r="A369" s="49" t="s">
        <v>62</v>
      </c>
      <c r="B369" s="49" t="s">
        <v>1095</v>
      </c>
      <c r="C369" s="50">
        <v>26592902000158</v>
      </c>
      <c r="D369" s="49" t="s">
        <v>2422</v>
      </c>
    </row>
    <row r="370" spans="1:4">
      <c r="A370" s="49" t="s">
        <v>62</v>
      </c>
      <c r="B370" s="49" t="s">
        <v>1066</v>
      </c>
      <c r="C370" s="50">
        <v>26592902001049</v>
      </c>
      <c r="D370" s="49" t="s">
        <v>2422</v>
      </c>
    </row>
    <row r="371" spans="1:4">
      <c r="A371" s="49" t="s">
        <v>62</v>
      </c>
      <c r="B371" s="49" t="s">
        <v>1099</v>
      </c>
      <c r="C371" s="50">
        <v>26592902001200</v>
      </c>
      <c r="D371" s="49" t="s">
        <v>2422</v>
      </c>
    </row>
    <row r="372" spans="1:4">
      <c r="A372" s="49" t="s">
        <v>62</v>
      </c>
      <c r="B372" s="49" t="s">
        <v>1086</v>
      </c>
      <c r="C372" s="50">
        <v>26592902001391</v>
      </c>
      <c r="D372" s="49" t="s">
        <v>2422</v>
      </c>
    </row>
    <row r="373" spans="1:4">
      <c r="A373" s="49" t="s">
        <v>62</v>
      </c>
      <c r="B373" s="49" t="s">
        <v>1062</v>
      </c>
      <c r="C373" s="50">
        <v>26592902001472</v>
      </c>
      <c r="D373" s="49" t="s">
        <v>2422</v>
      </c>
    </row>
    <row r="374" spans="1:4">
      <c r="A374" s="49" t="s">
        <v>59</v>
      </c>
      <c r="B374" s="49" t="s">
        <v>2224</v>
      </c>
      <c r="C374" s="50">
        <v>27424968000100</v>
      </c>
      <c r="D374" s="49" t="s">
        <v>2423</v>
      </c>
    </row>
    <row r="375" spans="1:4">
      <c r="A375" s="49" t="s">
        <v>59</v>
      </c>
      <c r="B375" s="49" t="s">
        <v>2222</v>
      </c>
      <c r="C375" s="50">
        <v>27424968000444</v>
      </c>
      <c r="D375" s="49" t="s">
        <v>2423</v>
      </c>
    </row>
    <row r="376" spans="1:4">
      <c r="A376" s="49" t="s">
        <v>56</v>
      </c>
      <c r="B376" s="49" t="s">
        <v>516</v>
      </c>
      <c r="C376" s="50">
        <v>27634614000181</v>
      </c>
      <c r="D376" s="49" t="s">
        <v>142</v>
      </c>
    </row>
    <row r="377" spans="1:4">
      <c r="A377" s="49" t="s">
        <v>59</v>
      </c>
      <c r="B377" s="49" t="s">
        <v>680</v>
      </c>
      <c r="C377" s="50">
        <v>28323633000150</v>
      </c>
      <c r="D377" s="49" t="s">
        <v>173</v>
      </c>
    </row>
    <row r="378" spans="1:4">
      <c r="A378" s="49" t="s">
        <v>59</v>
      </c>
      <c r="B378" s="49" t="s">
        <v>715</v>
      </c>
      <c r="C378" s="50">
        <v>28323633000311</v>
      </c>
      <c r="D378" s="49" t="s">
        <v>173</v>
      </c>
    </row>
    <row r="379" spans="1:4">
      <c r="A379" s="49" t="s">
        <v>59</v>
      </c>
      <c r="B379" s="49" t="s">
        <v>728</v>
      </c>
      <c r="C379" s="50">
        <v>28922592000118</v>
      </c>
      <c r="D379" s="49" t="s">
        <v>2424</v>
      </c>
    </row>
    <row r="380" spans="1:4">
      <c r="A380" s="49" t="s">
        <v>2074</v>
      </c>
      <c r="B380" s="49" t="s">
        <v>1766</v>
      </c>
      <c r="C380" s="50">
        <v>29686678000151</v>
      </c>
      <c r="D380" s="49" t="s">
        <v>2425</v>
      </c>
    </row>
    <row r="381" spans="1:4">
      <c r="A381" s="49" t="s">
        <v>2074</v>
      </c>
      <c r="B381" s="49" t="s">
        <v>1776</v>
      </c>
      <c r="C381" s="50">
        <v>29686678000232</v>
      </c>
      <c r="D381" s="49" t="s">
        <v>2425</v>
      </c>
    </row>
    <row r="382" spans="1:4">
      <c r="A382" s="49" t="s">
        <v>2074</v>
      </c>
      <c r="B382" s="49" t="s">
        <v>2003</v>
      </c>
      <c r="C382" s="50">
        <v>29686678000313</v>
      </c>
      <c r="D382" s="49" t="s">
        <v>2425</v>
      </c>
    </row>
    <row r="383" spans="1:4">
      <c r="A383" s="49" t="s">
        <v>2074</v>
      </c>
      <c r="B383" s="49" t="s">
        <v>1888</v>
      </c>
      <c r="C383" s="50">
        <v>29686678000402</v>
      </c>
      <c r="D383" s="49" t="s">
        <v>2425</v>
      </c>
    </row>
    <row r="384" spans="1:4">
      <c r="A384" s="49" t="s">
        <v>2074</v>
      </c>
      <c r="B384" s="49" t="s">
        <v>1768</v>
      </c>
      <c r="C384" s="50">
        <v>29686678000585</v>
      </c>
      <c r="D384" s="49" t="s">
        <v>2425</v>
      </c>
    </row>
    <row r="385" spans="1:4">
      <c r="A385" s="49" t="s">
        <v>2074</v>
      </c>
      <c r="B385" s="49" t="s">
        <v>1770</v>
      </c>
      <c r="C385" s="50">
        <v>29686678000747</v>
      </c>
      <c r="D385" s="49" t="s">
        <v>2425</v>
      </c>
    </row>
    <row r="386" spans="1:4">
      <c r="A386" s="49" t="s">
        <v>2074</v>
      </c>
      <c r="B386" s="49" t="s">
        <v>1772</v>
      </c>
      <c r="C386" s="50">
        <v>29686678000828</v>
      </c>
      <c r="D386" s="49" t="s">
        <v>2425</v>
      </c>
    </row>
    <row r="387" spans="1:4">
      <c r="A387" s="49" t="s">
        <v>2074</v>
      </c>
      <c r="B387" s="49" t="s">
        <v>1761</v>
      </c>
      <c r="C387" s="50">
        <v>29686678001042</v>
      </c>
      <c r="D387" s="49" t="s">
        <v>2425</v>
      </c>
    </row>
    <row r="388" spans="1:4">
      <c r="A388" s="49" t="s">
        <v>2074</v>
      </c>
      <c r="B388" s="49" t="s">
        <v>1758</v>
      </c>
      <c r="C388" s="50">
        <v>29686678001204</v>
      </c>
      <c r="D388" s="49" t="s">
        <v>2425</v>
      </c>
    </row>
    <row r="389" spans="1:4">
      <c r="A389" s="49" t="s">
        <v>2074</v>
      </c>
      <c r="B389" s="49" t="s">
        <v>1764</v>
      </c>
      <c r="C389" s="50">
        <v>29686678001395</v>
      </c>
      <c r="D389" s="49" t="s">
        <v>2425</v>
      </c>
    </row>
    <row r="390" spans="1:4">
      <c r="A390" s="49" t="s">
        <v>2074</v>
      </c>
      <c r="B390" s="49" t="s">
        <v>1995</v>
      </c>
      <c r="C390" s="50">
        <v>29686678001476</v>
      </c>
      <c r="D390" s="49" t="s">
        <v>2425</v>
      </c>
    </row>
    <row r="391" spans="1:4">
      <c r="A391" s="49" t="s">
        <v>2074</v>
      </c>
      <c r="B391" s="49" t="s">
        <v>2001</v>
      </c>
      <c r="C391" s="50">
        <v>29686678001557</v>
      </c>
      <c r="D391" s="49" t="s">
        <v>2425</v>
      </c>
    </row>
    <row r="392" spans="1:4">
      <c r="A392" s="49" t="s">
        <v>2074</v>
      </c>
      <c r="B392" s="49" t="s">
        <v>1871</v>
      </c>
      <c r="C392" s="50">
        <v>29686678001638</v>
      </c>
      <c r="D392" s="49" t="s">
        <v>2425</v>
      </c>
    </row>
    <row r="393" spans="1:4">
      <c r="A393" s="49" t="s">
        <v>2074</v>
      </c>
      <c r="B393" s="49" t="s">
        <v>1878</v>
      </c>
      <c r="C393" s="50">
        <v>29686678001719</v>
      </c>
      <c r="D393" s="49" t="s">
        <v>2425</v>
      </c>
    </row>
    <row r="394" spans="1:4">
      <c r="A394" s="49" t="s">
        <v>2074</v>
      </c>
      <c r="B394" s="49" t="s">
        <v>1877</v>
      </c>
      <c r="C394" s="50">
        <v>29686678001808</v>
      </c>
      <c r="D394" s="49" t="s">
        <v>2425</v>
      </c>
    </row>
    <row r="395" spans="1:4">
      <c r="A395" s="49" t="s">
        <v>2074</v>
      </c>
      <c r="B395" s="49" t="s">
        <v>1875</v>
      </c>
      <c r="C395" s="50">
        <v>29686678001980</v>
      </c>
      <c r="D395" s="49" t="s">
        <v>2425</v>
      </c>
    </row>
    <row r="396" spans="1:4">
      <c r="A396" s="49" t="s">
        <v>2074</v>
      </c>
      <c r="B396" s="49" t="s">
        <v>1774</v>
      </c>
      <c r="C396" s="50">
        <v>29686678002014</v>
      </c>
      <c r="D396" s="49" t="s">
        <v>2425</v>
      </c>
    </row>
    <row r="397" spans="1:4">
      <c r="A397" s="49" t="s">
        <v>2074</v>
      </c>
      <c r="B397" s="49" t="s">
        <v>1881</v>
      </c>
      <c r="C397" s="50">
        <v>29686678002367</v>
      </c>
      <c r="D397" s="49" t="s">
        <v>2425</v>
      </c>
    </row>
    <row r="398" spans="1:4">
      <c r="A398" s="49" t="s">
        <v>2074</v>
      </c>
      <c r="B398" s="49" t="s">
        <v>1868</v>
      </c>
      <c r="C398" s="50">
        <v>29686678002448</v>
      </c>
      <c r="D398" s="49" t="s">
        <v>2425</v>
      </c>
    </row>
    <row r="399" spans="1:4">
      <c r="A399" s="49" t="s">
        <v>60</v>
      </c>
      <c r="B399" s="49" t="s">
        <v>949</v>
      </c>
      <c r="C399" s="50">
        <v>29708646000100</v>
      </c>
      <c r="D399" s="49" t="s">
        <v>236</v>
      </c>
    </row>
    <row r="400" spans="1:4">
      <c r="A400" s="49" t="s">
        <v>60</v>
      </c>
      <c r="B400" s="49" t="s">
        <v>964</v>
      </c>
      <c r="C400" s="50">
        <v>29708646000290</v>
      </c>
      <c r="D400" s="49" t="s">
        <v>236</v>
      </c>
    </row>
    <row r="401" spans="1:4">
      <c r="A401" s="49" t="s">
        <v>62</v>
      </c>
      <c r="B401" s="49" t="s">
        <v>1094</v>
      </c>
      <c r="C401" s="50">
        <v>29733461000155</v>
      </c>
      <c r="D401" s="49" t="s">
        <v>160</v>
      </c>
    </row>
    <row r="402" spans="1:4">
      <c r="A402" s="49" t="s">
        <v>56</v>
      </c>
      <c r="B402" s="49" t="s">
        <v>575</v>
      </c>
      <c r="C402" s="50">
        <v>29864340000142</v>
      </c>
      <c r="D402" s="49" t="s">
        <v>2426</v>
      </c>
    </row>
    <row r="403" spans="1:4">
      <c r="A403" s="49" t="s">
        <v>56</v>
      </c>
      <c r="B403" s="49" t="s">
        <v>585</v>
      </c>
      <c r="C403" s="50">
        <v>29864340000304</v>
      </c>
      <c r="D403" s="49" t="s">
        <v>2426</v>
      </c>
    </row>
    <row r="404" spans="1:4">
      <c r="A404" s="49" t="s">
        <v>56</v>
      </c>
      <c r="B404" s="49" t="s">
        <v>538</v>
      </c>
      <c r="C404" s="50">
        <v>30083377000201</v>
      </c>
      <c r="D404" s="49" t="s">
        <v>192</v>
      </c>
    </row>
    <row r="405" spans="1:4">
      <c r="A405" s="49" t="s">
        <v>56</v>
      </c>
      <c r="B405" s="49" t="s">
        <v>461</v>
      </c>
      <c r="C405" s="50">
        <v>30083377000384</v>
      </c>
      <c r="D405" s="49" t="s">
        <v>192</v>
      </c>
    </row>
    <row r="406" spans="1:4">
      <c r="A406" s="49" t="s">
        <v>61</v>
      </c>
      <c r="B406" s="49" t="s">
        <v>336</v>
      </c>
      <c r="C406" s="50">
        <v>30534565000110</v>
      </c>
      <c r="D406" s="49" t="s">
        <v>226</v>
      </c>
    </row>
    <row r="407" spans="1:4">
      <c r="A407" s="49" t="s">
        <v>61</v>
      </c>
      <c r="B407" s="49" t="s">
        <v>393</v>
      </c>
      <c r="C407" s="50">
        <v>30534565000209</v>
      </c>
      <c r="D407" s="49" t="s">
        <v>226</v>
      </c>
    </row>
    <row r="408" spans="1:4">
      <c r="A408" s="49" t="s">
        <v>61</v>
      </c>
      <c r="B408" s="49" t="s">
        <v>273</v>
      </c>
      <c r="C408" s="50">
        <v>30534565000381</v>
      </c>
      <c r="D408" s="49" t="s">
        <v>226</v>
      </c>
    </row>
    <row r="409" spans="1:4">
      <c r="A409" s="49" t="s">
        <v>61</v>
      </c>
      <c r="B409" s="49" t="s">
        <v>315</v>
      </c>
      <c r="C409" s="50">
        <v>30534565000462</v>
      </c>
      <c r="D409" s="49" t="s">
        <v>226</v>
      </c>
    </row>
    <row r="410" spans="1:4">
      <c r="A410" s="49" t="s">
        <v>61</v>
      </c>
      <c r="B410" s="49" t="s">
        <v>381</v>
      </c>
      <c r="C410" s="50">
        <v>30534565000543</v>
      </c>
      <c r="D410" s="49" t="s">
        <v>226</v>
      </c>
    </row>
    <row r="411" spans="1:4">
      <c r="A411" s="49" t="s">
        <v>56</v>
      </c>
      <c r="B411" s="49" t="s">
        <v>521</v>
      </c>
      <c r="C411" s="50">
        <v>30633371000252</v>
      </c>
      <c r="D411" s="49" t="s">
        <v>134</v>
      </c>
    </row>
    <row r="412" spans="1:4">
      <c r="A412" s="49" t="s">
        <v>55</v>
      </c>
      <c r="B412" s="49" t="s">
        <v>2427</v>
      </c>
      <c r="C412" s="50">
        <v>30725326000147</v>
      </c>
      <c r="D412" s="49" t="s">
        <v>2428</v>
      </c>
    </row>
    <row r="413" spans="1:4">
      <c r="A413" s="49" t="s">
        <v>55</v>
      </c>
      <c r="B413" s="49" t="s">
        <v>2429</v>
      </c>
      <c r="C413" s="50">
        <v>30725326000228</v>
      </c>
      <c r="D413" s="49" t="s">
        <v>2428</v>
      </c>
    </row>
    <row r="414" spans="1:4">
      <c r="A414" s="49" t="s">
        <v>55</v>
      </c>
      <c r="B414" s="49" t="s">
        <v>2430</v>
      </c>
      <c r="C414" s="50">
        <v>30725326000309</v>
      </c>
      <c r="D414" s="49" t="s">
        <v>2428</v>
      </c>
    </row>
    <row r="415" spans="1:4">
      <c r="A415" s="49" t="s">
        <v>55</v>
      </c>
      <c r="B415" s="49" t="s">
        <v>2431</v>
      </c>
      <c r="C415" s="50">
        <v>30725326000490</v>
      </c>
      <c r="D415" s="49" t="s">
        <v>2428</v>
      </c>
    </row>
    <row r="416" spans="1:4">
      <c r="A416" s="49" t="s">
        <v>55</v>
      </c>
      <c r="B416" s="49" t="s">
        <v>2432</v>
      </c>
      <c r="C416" s="50">
        <v>30725326000570</v>
      </c>
      <c r="D416" s="49" t="s">
        <v>2428</v>
      </c>
    </row>
    <row r="417" spans="1:4">
      <c r="A417" s="49" t="s">
        <v>55</v>
      </c>
      <c r="B417" s="49" t="s">
        <v>2433</v>
      </c>
      <c r="C417" s="50">
        <v>30725326000651</v>
      </c>
      <c r="D417" s="49" t="s">
        <v>2428</v>
      </c>
    </row>
    <row r="418" spans="1:4">
      <c r="A418" s="49" t="s">
        <v>59</v>
      </c>
      <c r="B418" s="49" t="s">
        <v>705</v>
      </c>
      <c r="C418" s="50">
        <v>31337851000158</v>
      </c>
      <c r="D418" s="49" t="s">
        <v>2434</v>
      </c>
    </row>
    <row r="419" spans="1:4">
      <c r="A419" s="49" t="s">
        <v>55</v>
      </c>
      <c r="B419" s="49" t="s">
        <v>1200</v>
      </c>
      <c r="C419" s="50">
        <v>31984914000168</v>
      </c>
      <c r="D419" s="49" t="s">
        <v>2435</v>
      </c>
    </row>
    <row r="420" spans="1:4">
      <c r="A420" s="49" t="s">
        <v>59</v>
      </c>
      <c r="B420" s="49" t="s">
        <v>913</v>
      </c>
      <c r="C420" s="50">
        <v>34080004000149</v>
      </c>
      <c r="D420" s="49" t="s">
        <v>113</v>
      </c>
    </row>
    <row r="421" spans="1:4">
      <c r="A421" s="49" t="s">
        <v>59</v>
      </c>
      <c r="B421" s="49" t="s">
        <v>915</v>
      </c>
      <c r="C421" s="50">
        <v>34080004000300</v>
      </c>
      <c r="D421" s="49" t="s">
        <v>113</v>
      </c>
    </row>
    <row r="422" spans="1:4">
      <c r="A422" s="49" t="s">
        <v>59</v>
      </c>
      <c r="B422" s="49" t="s">
        <v>922</v>
      </c>
      <c r="C422" s="50">
        <v>34080004000491</v>
      </c>
      <c r="D422" s="49" t="s">
        <v>113</v>
      </c>
    </row>
    <row r="423" spans="1:4">
      <c r="A423" s="49" t="s">
        <v>59</v>
      </c>
      <c r="B423" s="49" t="s">
        <v>741</v>
      </c>
      <c r="C423" s="50">
        <v>34080004000572</v>
      </c>
      <c r="D423" s="49" t="s">
        <v>113</v>
      </c>
    </row>
    <row r="424" spans="1:4">
      <c r="A424" s="49" t="s">
        <v>59</v>
      </c>
      <c r="B424" s="49" t="s">
        <v>739</v>
      </c>
      <c r="C424" s="50">
        <v>34080004000653</v>
      </c>
      <c r="D424" s="49" t="s">
        <v>113</v>
      </c>
    </row>
    <row r="425" spans="1:4">
      <c r="A425" s="49" t="s">
        <v>2074</v>
      </c>
      <c r="B425" s="49" t="s">
        <v>1749</v>
      </c>
      <c r="C425" s="50">
        <v>34324935000145</v>
      </c>
      <c r="D425" s="49" t="s">
        <v>2436</v>
      </c>
    </row>
    <row r="426" spans="1:4">
      <c r="A426" s="49" t="s">
        <v>2074</v>
      </c>
      <c r="B426" s="49" t="s">
        <v>2009</v>
      </c>
      <c r="C426" s="50">
        <v>34324935000498</v>
      </c>
      <c r="D426" s="49" t="s">
        <v>2436</v>
      </c>
    </row>
    <row r="427" spans="1:4">
      <c r="A427" s="49" t="s">
        <v>2074</v>
      </c>
      <c r="B427" s="49" t="s">
        <v>1750</v>
      </c>
      <c r="C427" s="50">
        <v>34324935000650</v>
      </c>
      <c r="D427" s="49" t="s">
        <v>2436</v>
      </c>
    </row>
    <row r="428" spans="1:4">
      <c r="A428" s="49" t="s">
        <v>2074</v>
      </c>
      <c r="B428" s="49" t="s">
        <v>1747</v>
      </c>
      <c r="C428" s="50">
        <v>34324935000730</v>
      </c>
      <c r="D428" s="49" t="s">
        <v>2436</v>
      </c>
    </row>
    <row r="429" spans="1:4">
      <c r="A429" s="49" t="s">
        <v>2353</v>
      </c>
      <c r="B429" s="49" t="s">
        <v>1639</v>
      </c>
      <c r="C429" s="50">
        <v>35823382000138</v>
      </c>
      <c r="D429" s="49" t="s">
        <v>2437</v>
      </c>
    </row>
    <row r="430" spans="1:4">
      <c r="A430" s="49" t="s">
        <v>59</v>
      </c>
      <c r="B430" s="49" t="s">
        <v>795</v>
      </c>
      <c r="C430" s="50">
        <v>37258430000118</v>
      </c>
      <c r="D430" s="49" t="s">
        <v>2438</v>
      </c>
    </row>
    <row r="431" spans="1:4">
      <c r="A431" s="49" t="s">
        <v>59</v>
      </c>
      <c r="B431" s="49" t="s">
        <v>927</v>
      </c>
      <c r="C431" s="50">
        <v>37797383000180</v>
      </c>
      <c r="D431" s="49" t="s">
        <v>203</v>
      </c>
    </row>
    <row r="432" spans="1:4">
      <c r="A432" s="49" t="s">
        <v>61</v>
      </c>
      <c r="B432" s="49" t="s">
        <v>317</v>
      </c>
      <c r="C432" s="50">
        <v>38165292000195</v>
      </c>
      <c r="D432" s="49" t="s">
        <v>2324</v>
      </c>
    </row>
    <row r="433" spans="1:4">
      <c r="A433" s="49" t="s">
        <v>59</v>
      </c>
      <c r="B433" s="49" t="s">
        <v>2202</v>
      </c>
      <c r="C433" s="50">
        <v>38613207000104</v>
      </c>
      <c r="D433" s="49" t="s">
        <v>2439</v>
      </c>
    </row>
    <row r="434" spans="1:4">
      <c r="A434" s="49" t="s">
        <v>2353</v>
      </c>
      <c r="B434" s="49" t="s">
        <v>1578</v>
      </c>
      <c r="C434" s="50">
        <v>38820179000104</v>
      </c>
      <c r="D434" s="49" t="s">
        <v>2440</v>
      </c>
    </row>
    <row r="435" spans="1:4">
      <c r="A435" s="49" t="s">
        <v>55</v>
      </c>
      <c r="B435" s="49" t="s">
        <v>1156</v>
      </c>
      <c r="C435" s="50">
        <v>39251939000164</v>
      </c>
      <c r="D435" s="49" t="s">
        <v>2441</v>
      </c>
    </row>
    <row r="436" spans="1:4">
      <c r="A436" s="49" t="s">
        <v>2074</v>
      </c>
      <c r="B436" s="49" t="s">
        <v>1827</v>
      </c>
      <c r="C436" s="50">
        <v>39275380000102</v>
      </c>
      <c r="D436" s="49" t="s">
        <v>2442</v>
      </c>
    </row>
    <row r="437" spans="1:4">
      <c r="A437" s="49" t="s">
        <v>2074</v>
      </c>
      <c r="B437" s="49" t="s">
        <v>1818</v>
      </c>
      <c r="C437" s="50">
        <v>39275380000293</v>
      </c>
      <c r="D437" s="49" t="s">
        <v>2442</v>
      </c>
    </row>
    <row r="438" spans="1:4">
      <c r="A438" s="49" t="s">
        <v>2074</v>
      </c>
      <c r="B438" s="49" t="s">
        <v>1821</v>
      </c>
      <c r="C438" s="50">
        <v>39275380000374</v>
      </c>
      <c r="D438" s="49" t="s">
        <v>2442</v>
      </c>
    </row>
    <row r="439" spans="1:4">
      <c r="A439" s="49" t="s">
        <v>2074</v>
      </c>
      <c r="B439" s="49" t="s">
        <v>1814</v>
      </c>
      <c r="C439" s="50">
        <v>39275380000455</v>
      </c>
      <c r="D439" s="49" t="s">
        <v>2442</v>
      </c>
    </row>
    <row r="440" spans="1:4">
      <c r="A440" s="49" t="s">
        <v>59</v>
      </c>
      <c r="B440" s="49" t="s">
        <v>626</v>
      </c>
      <c r="C440" s="50">
        <v>39556206000138</v>
      </c>
      <c r="D440" s="49" t="s">
        <v>2443</v>
      </c>
    </row>
    <row r="441" spans="1:4">
      <c r="A441" s="49" t="s">
        <v>2074</v>
      </c>
      <c r="B441" s="49" t="s">
        <v>2038</v>
      </c>
      <c r="C441" s="50">
        <v>39685989000150</v>
      </c>
      <c r="D441" s="49" t="s">
        <v>2444</v>
      </c>
    </row>
    <row r="442" spans="1:4">
      <c r="A442" s="49" t="s">
        <v>2074</v>
      </c>
      <c r="B442" s="49" t="s">
        <v>2059</v>
      </c>
      <c r="C442" s="50">
        <v>39685989000230</v>
      </c>
      <c r="D442" s="49" t="s">
        <v>2444</v>
      </c>
    </row>
    <row r="443" spans="1:4">
      <c r="A443" s="49" t="s">
        <v>2074</v>
      </c>
      <c r="B443" s="49" t="s">
        <v>2025</v>
      </c>
      <c r="C443" s="50">
        <v>39685989000311</v>
      </c>
      <c r="D443" s="49" t="s">
        <v>2444</v>
      </c>
    </row>
    <row r="444" spans="1:4">
      <c r="A444" s="49" t="s">
        <v>2353</v>
      </c>
      <c r="B444" s="49" t="s">
        <v>1440</v>
      </c>
      <c r="C444" s="50">
        <v>39758367000104</v>
      </c>
      <c r="D444" s="49" t="s">
        <v>2445</v>
      </c>
    </row>
    <row r="445" spans="1:4">
      <c r="A445" s="49" t="s">
        <v>61</v>
      </c>
      <c r="B445" s="49" t="s">
        <v>340</v>
      </c>
      <c r="C445" s="50">
        <v>40254043000118</v>
      </c>
      <c r="D445" s="49" t="s">
        <v>131</v>
      </c>
    </row>
    <row r="446" spans="1:4">
      <c r="A446" s="49" t="s">
        <v>61</v>
      </c>
      <c r="B446" s="49" t="s">
        <v>355</v>
      </c>
      <c r="C446" s="50">
        <v>40254043000207</v>
      </c>
      <c r="D446" s="49" t="s">
        <v>131</v>
      </c>
    </row>
    <row r="447" spans="1:4">
      <c r="A447" s="49" t="s">
        <v>61</v>
      </c>
      <c r="B447" s="49" t="s">
        <v>330</v>
      </c>
      <c r="C447" s="50">
        <v>40254043000380</v>
      </c>
      <c r="D447" s="49" t="s">
        <v>131</v>
      </c>
    </row>
    <row r="448" spans="1:4">
      <c r="A448" s="49" t="s">
        <v>61</v>
      </c>
      <c r="B448" s="49" t="s">
        <v>250</v>
      </c>
      <c r="C448" s="50">
        <v>40254043000460</v>
      </c>
      <c r="D448" s="49" t="s">
        <v>131</v>
      </c>
    </row>
    <row r="449" spans="1:4">
      <c r="A449" s="49" t="s">
        <v>61</v>
      </c>
      <c r="B449" s="49" t="s">
        <v>2127</v>
      </c>
      <c r="C449" s="50">
        <v>40254043000541</v>
      </c>
      <c r="D449" s="49" t="s">
        <v>131</v>
      </c>
    </row>
    <row r="450" spans="1:4">
      <c r="A450" s="49" t="s">
        <v>2074</v>
      </c>
      <c r="B450" s="49" t="s">
        <v>2061</v>
      </c>
      <c r="C450" s="50">
        <v>41043477000212</v>
      </c>
      <c r="D450" s="49" t="s">
        <v>2446</v>
      </c>
    </row>
    <row r="451" spans="1:4">
      <c r="A451" s="49" t="s">
        <v>55</v>
      </c>
      <c r="B451" s="49" t="s">
        <v>1249</v>
      </c>
      <c r="C451" s="50">
        <v>41289675000180</v>
      </c>
      <c r="D451" s="49" t="s">
        <v>202</v>
      </c>
    </row>
    <row r="452" spans="1:4">
      <c r="A452" s="49" t="s">
        <v>59</v>
      </c>
      <c r="B452" s="49" t="s">
        <v>834</v>
      </c>
      <c r="C452" s="50">
        <v>41370931000169</v>
      </c>
      <c r="D452" s="49" t="s">
        <v>92</v>
      </c>
    </row>
    <row r="453" spans="1:4">
      <c r="A453" s="49" t="s">
        <v>59</v>
      </c>
      <c r="B453" s="49" t="s">
        <v>866</v>
      </c>
      <c r="C453" s="50">
        <v>41560405000161</v>
      </c>
      <c r="D453" s="49" t="s">
        <v>2447</v>
      </c>
    </row>
    <row r="454" spans="1:4">
      <c r="A454" s="49" t="s">
        <v>56</v>
      </c>
      <c r="B454" s="49" t="s">
        <v>549</v>
      </c>
      <c r="C454" s="50">
        <v>42245037000120</v>
      </c>
      <c r="D454" s="49" t="s">
        <v>170</v>
      </c>
    </row>
    <row r="455" spans="1:4">
      <c r="A455" s="49" t="s">
        <v>59</v>
      </c>
      <c r="B455" s="49" t="s">
        <v>695</v>
      </c>
      <c r="C455" s="50">
        <v>42346265000196</v>
      </c>
      <c r="D455" s="49" t="s">
        <v>2448</v>
      </c>
    </row>
    <row r="456" spans="1:4">
      <c r="A456" s="49" t="s">
        <v>59</v>
      </c>
      <c r="B456" s="49" t="s">
        <v>690</v>
      </c>
      <c r="C456" s="50">
        <v>42346265000277</v>
      </c>
      <c r="D456" s="49" t="s">
        <v>2448</v>
      </c>
    </row>
    <row r="457" spans="1:4">
      <c r="A457" s="49" t="s">
        <v>2074</v>
      </c>
      <c r="B457" s="49" t="s">
        <v>2089</v>
      </c>
      <c r="C457" s="50">
        <v>42739885000276</v>
      </c>
      <c r="D457" s="49" t="s">
        <v>2080</v>
      </c>
    </row>
    <row r="458" spans="1:4">
      <c r="A458" s="49" t="s">
        <v>2074</v>
      </c>
      <c r="B458" s="49" t="s">
        <v>2090</v>
      </c>
      <c r="C458" s="50">
        <v>42739885000357</v>
      </c>
      <c r="D458" s="49" t="s">
        <v>2080</v>
      </c>
    </row>
    <row r="459" spans="1:4">
      <c r="A459" s="49" t="s">
        <v>2074</v>
      </c>
      <c r="B459" s="49" t="s">
        <v>2100</v>
      </c>
      <c r="C459" s="50">
        <v>42739885000438</v>
      </c>
      <c r="D459" s="49" t="s">
        <v>2080</v>
      </c>
    </row>
    <row r="460" spans="1:4">
      <c r="A460" s="49" t="s">
        <v>2074</v>
      </c>
      <c r="B460" s="49" t="s">
        <v>2101</v>
      </c>
      <c r="C460" s="50">
        <v>42739885000608</v>
      </c>
      <c r="D460" s="49" t="s">
        <v>2080</v>
      </c>
    </row>
    <row r="461" spans="1:4">
      <c r="A461" s="49" t="s">
        <v>2074</v>
      </c>
      <c r="B461" s="49" t="s">
        <v>2078</v>
      </c>
      <c r="C461" s="50">
        <v>42739885000780</v>
      </c>
      <c r="D461" s="49" t="s">
        <v>2080</v>
      </c>
    </row>
    <row r="462" spans="1:4">
      <c r="A462" s="49" t="s">
        <v>2074</v>
      </c>
      <c r="B462" s="49" t="s">
        <v>2087</v>
      </c>
      <c r="C462" s="50">
        <v>42739885000942</v>
      </c>
      <c r="D462" s="49" t="s">
        <v>2080</v>
      </c>
    </row>
    <row r="463" spans="1:4">
      <c r="A463" s="49" t="s">
        <v>2074</v>
      </c>
      <c r="B463" s="49" t="s">
        <v>2088</v>
      </c>
      <c r="C463" s="50">
        <v>42739885001086</v>
      </c>
      <c r="D463" s="49" t="s">
        <v>2080</v>
      </c>
    </row>
    <row r="464" spans="1:4">
      <c r="A464" s="49" t="s">
        <v>2074</v>
      </c>
      <c r="B464" s="49" t="s">
        <v>2449</v>
      </c>
      <c r="C464" s="50">
        <v>42739885001167</v>
      </c>
      <c r="D464" s="49" t="s">
        <v>2080</v>
      </c>
    </row>
    <row r="465" spans="1:4">
      <c r="A465" s="49" t="s">
        <v>2074</v>
      </c>
      <c r="B465" s="49" t="s">
        <v>2097</v>
      </c>
      <c r="C465" s="50">
        <v>42739885001248</v>
      </c>
      <c r="D465" s="49" t="s">
        <v>2080</v>
      </c>
    </row>
    <row r="466" spans="1:4">
      <c r="A466" s="49" t="s">
        <v>2074</v>
      </c>
      <c r="B466" s="49" t="s">
        <v>2096</v>
      </c>
      <c r="C466" s="50">
        <v>42739885001329</v>
      </c>
      <c r="D466" s="49" t="s">
        <v>2080</v>
      </c>
    </row>
    <row r="467" spans="1:4">
      <c r="A467" s="49" t="s">
        <v>2074</v>
      </c>
      <c r="B467" s="49" t="s">
        <v>2450</v>
      </c>
      <c r="C467" s="50">
        <v>42739885001400</v>
      </c>
      <c r="D467" s="49" t="s">
        <v>2080</v>
      </c>
    </row>
    <row r="468" spans="1:4">
      <c r="A468" s="49" t="s">
        <v>2074</v>
      </c>
      <c r="B468" s="49" t="s">
        <v>2451</v>
      </c>
      <c r="C468" s="50">
        <v>42739885001752</v>
      </c>
      <c r="D468" s="49" t="s">
        <v>2080</v>
      </c>
    </row>
    <row r="469" spans="1:4">
      <c r="A469" s="49" t="s">
        <v>2074</v>
      </c>
      <c r="B469" s="49" t="s">
        <v>2082</v>
      </c>
      <c r="C469" s="50">
        <v>42739885001833</v>
      </c>
      <c r="D469" s="49" t="s">
        <v>2080</v>
      </c>
    </row>
    <row r="470" spans="1:4">
      <c r="A470" s="49" t="s">
        <v>2074</v>
      </c>
      <c r="B470" s="49" t="s">
        <v>2452</v>
      </c>
      <c r="C470" s="50">
        <v>42739885001914</v>
      </c>
      <c r="D470" s="49" t="s">
        <v>2080</v>
      </c>
    </row>
    <row r="471" spans="1:4">
      <c r="A471" s="49" t="s">
        <v>61</v>
      </c>
      <c r="B471" s="49" t="s">
        <v>281</v>
      </c>
      <c r="C471" s="50">
        <v>43836290000110</v>
      </c>
      <c r="D471" s="49" t="s">
        <v>195</v>
      </c>
    </row>
    <row r="472" spans="1:4">
      <c r="A472" s="49" t="s">
        <v>61</v>
      </c>
      <c r="B472" s="49" t="s">
        <v>378</v>
      </c>
      <c r="C472" s="50">
        <v>43836290000200</v>
      </c>
      <c r="D472" s="49" t="s">
        <v>195</v>
      </c>
    </row>
    <row r="473" spans="1:4">
      <c r="A473" s="49" t="s">
        <v>2351</v>
      </c>
      <c r="B473" s="49" t="s">
        <v>1347</v>
      </c>
      <c r="C473" s="50">
        <v>44142227000147</v>
      </c>
      <c r="D473" s="49" t="s">
        <v>2453</v>
      </c>
    </row>
    <row r="474" spans="1:4">
      <c r="A474" s="49" t="s">
        <v>2351</v>
      </c>
      <c r="B474" s="49" t="s">
        <v>1345</v>
      </c>
      <c r="C474" s="50">
        <v>44142227000228</v>
      </c>
      <c r="D474" s="49" t="s">
        <v>2453</v>
      </c>
    </row>
    <row r="475" spans="1:4">
      <c r="A475" s="49" t="s">
        <v>2351</v>
      </c>
      <c r="B475" s="49" t="s">
        <v>1343</v>
      </c>
      <c r="C475" s="50">
        <v>44142227000309</v>
      </c>
      <c r="D475" s="49" t="s">
        <v>2453</v>
      </c>
    </row>
    <row r="476" spans="1:4">
      <c r="A476" s="49" t="s">
        <v>59</v>
      </c>
      <c r="B476" s="49" t="s">
        <v>821</v>
      </c>
      <c r="C476" s="50">
        <v>44264484000151</v>
      </c>
      <c r="D476" s="49" t="s">
        <v>163</v>
      </c>
    </row>
    <row r="477" spans="1:4">
      <c r="A477" s="49" t="s">
        <v>59</v>
      </c>
      <c r="B477" s="49" t="s">
        <v>2454</v>
      </c>
      <c r="C477" s="50">
        <v>44264484000232</v>
      </c>
      <c r="D477" s="49" t="s">
        <v>163</v>
      </c>
    </row>
    <row r="478" spans="1:4">
      <c r="A478" s="49" t="s">
        <v>59</v>
      </c>
      <c r="B478" s="49" t="s">
        <v>2203</v>
      </c>
      <c r="C478" s="50">
        <v>44492207000104</v>
      </c>
      <c r="D478" s="49" t="s">
        <v>2455</v>
      </c>
    </row>
    <row r="479" spans="1:4">
      <c r="A479" s="49" t="s">
        <v>59</v>
      </c>
      <c r="B479" s="49" t="s">
        <v>862</v>
      </c>
      <c r="C479" s="50">
        <v>44515984000119</v>
      </c>
      <c r="D479" s="49" t="s">
        <v>2456</v>
      </c>
    </row>
    <row r="480" spans="1:4">
      <c r="A480" s="49" t="s">
        <v>56</v>
      </c>
      <c r="B480" s="49" t="s">
        <v>444</v>
      </c>
      <c r="C480" s="50">
        <v>45125843000152</v>
      </c>
      <c r="D480" s="49" t="s">
        <v>200</v>
      </c>
    </row>
    <row r="481" spans="1:4">
      <c r="A481" s="49" t="s">
        <v>61</v>
      </c>
      <c r="B481" s="49" t="s">
        <v>2457</v>
      </c>
      <c r="C481" s="50">
        <v>45218769000119</v>
      </c>
      <c r="D481" s="49" t="s">
        <v>2458</v>
      </c>
    </row>
    <row r="482" spans="1:4">
      <c r="A482" s="49" t="s">
        <v>61</v>
      </c>
      <c r="B482" s="49" t="s">
        <v>2345</v>
      </c>
      <c r="C482" s="50">
        <v>45218769000208</v>
      </c>
      <c r="D482" s="49" t="s">
        <v>2458</v>
      </c>
    </row>
    <row r="483" spans="1:4">
      <c r="A483" s="49" t="s">
        <v>61</v>
      </c>
      <c r="B483" s="49" t="s">
        <v>2459</v>
      </c>
      <c r="C483" s="50">
        <v>45218769000380</v>
      </c>
      <c r="D483" s="49" t="s">
        <v>2458</v>
      </c>
    </row>
    <row r="484" spans="1:4">
      <c r="A484" s="49" t="s">
        <v>59</v>
      </c>
      <c r="B484" s="49" t="s">
        <v>814</v>
      </c>
      <c r="C484" s="50">
        <v>45787261000131</v>
      </c>
      <c r="D484" s="49" t="s">
        <v>154</v>
      </c>
    </row>
    <row r="485" spans="1:4">
      <c r="A485" s="49" t="s">
        <v>55</v>
      </c>
      <c r="B485" s="49" t="s">
        <v>1169</v>
      </c>
      <c r="C485" s="50">
        <v>45931842000103</v>
      </c>
      <c r="D485" s="49" t="s">
        <v>2460</v>
      </c>
    </row>
    <row r="486" spans="1:4">
      <c r="A486" s="49" t="s">
        <v>59</v>
      </c>
      <c r="B486" s="49" t="s">
        <v>772</v>
      </c>
      <c r="C486" s="50">
        <v>46347777000128</v>
      </c>
      <c r="D486" s="49" t="s">
        <v>2461</v>
      </c>
    </row>
    <row r="487" spans="1:4">
      <c r="A487" s="49" t="s">
        <v>60</v>
      </c>
      <c r="B487" s="49" t="s">
        <v>937</v>
      </c>
      <c r="C487" s="50">
        <v>46388715000164</v>
      </c>
      <c r="D487" s="49" t="s">
        <v>2462</v>
      </c>
    </row>
    <row r="488" spans="1:4">
      <c r="A488" s="49" t="s">
        <v>60</v>
      </c>
      <c r="B488" s="49" t="s">
        <v>1028</v>
      </c>
      <c r="C488" s="50">
        <v>46388715000326</v>
      </c>
      <c r="D488" s="49" t="s">
        <v>2462</v>
      </c>
    </row>
    <row r="489" spans="1:4">
      <c r="A489" s="49" t="s">
        <v>60</v>
      </c>
      <c r="B489" s="49" t="s">
        <v>1003</v>
      </c>
      <c r="C489" s="50">
        <v>46388715000407</v>
      </c>
      <c r="D489" s="49" t="s">
        <v>2462</v>
      </c>
    </row>
    <row r="490" spans="1:4">
      <c r="A490" s="49" t="s">
        <v>59</v>
      </c>
      <c r="B490" s="49" t="s">
        <v>811</v>
      </c>
      <c r="C490" s="50">
        <v>46880591000130</v>
      </c>
      <c r="D490" s="49" t="s">
        <v>85</v>
      </c>
    </row>
    <row r="491" spans="1:4">
      <c r="A491" s="49" t="s">
        <v>56</v>
      </c>
      <c r="B491" s="49" t="s">
        <v>545</v>
      </c>
      <c r="C491" s="50">
        <v>46958782000177</v>
      </c>
      <c r="D491" s="49" t="s">
        <v>2463</v>
      </c>
    </row>
    <row r="492" spans="1:4">
      <c r="A492" s="49" t="s">
        <v>56</v>
      </c>
      <c r="B492" s="49" t="s">
        <v>569</v>
      </c>
      <c r="C492" s="50">
        <v>47190586000168</v>
      </c>
      <c r="D492" s="49" t="s">
        <v>2464</v>
      </c>
    </row>
    <row r="493" spans="1:4">
      <c r="A493" s="49" t="s">
        <v>61</v>
      </c>
      <c r="B493" s="49" t="s">
        <v>345</v>
      </c>
      <c r="C493" s="50">
        <v>48587645000107</v>
      </c>
      <c r="D493" s="49" t="s">
        <v>2465</v>
      </c>
    </row>
    <row r="494" spans="1:4">
      <c r="A494" s="49" t="s">
        <v>55</v>
      </c>
      <c r="B494" s="49" t="s">
        <v>1145</v>
      </c>
      <c r="C494" s="50">
        <v>50373966000142</v>
      </c>
      <c r="D494" s="49" t="s">
        <v>2466</v>
      </c>
    </row>
    <row r="495" spans="1:4">
      <c r="A495" s="49" t="s">
        <v>55</v>
      </c>
      <c r="B495" s="49" t="s">
        <v>1248</v>
      </c>
      <c r="C495" s="50">
        <v>50488970000156</v>
      </c>
      <c r="D495" s="49" t="s">
        <v>2467</v>
      </c>
    </row>
    <row r="496" spans="1:4">
      <c r="A496" s="49" t="s">
        <v>2353</v>
      </c>
      <c r="B496" s="49" t="s">
        <v>1654</v>
      </c>
      <c r="C496" s="50">
        <v>60973583000169</v>
      </c>
      <c r="D496" s="49" t="s">
        <v>2468</v>
      </c>
    </row>
    <row r="497" spans="1:4">
      <c r="A497" s="49" t="s">
        <v>60</v>
      </c>
      <c r="B497" s="49" t="s">
        <v>1024</v>
      </c>
      <c r="C497" s="50">
        <v>97367767000519</v>
      </c>
      <c r="D497" s="49" t="s">
        <v>2469</v>
      </c>
    </row>
    <row r="498" spans="1:4">
      <c r="A498" s="49" t="s">
        <v>60</v>
      </c>
      <c r="B498" s="49" t="s">
        <v>2094</v>
      </c>
      <c r="C498" s="50">
        <v>97367767000780</v>
      </c>
      <c r="D498" s="49" t="s">
        <v>2469</v>
      </c>
    </row>
    <row r="499" spans="1:4">
      <c r="A499" s="49" t="s">
        <v>59</v>
      </c>
      <c r="B499" s="49" t="s">
        <v>693</v>
      </c>
      <c r="C499" s="50">
        <v>3555618004870</v>
      </c>
      <c r="D499" s="49" t="s">
        <v>2356</v>
      </c>
    </row>
    <row r="500" spans="1:4">
      <c r="A500" s="49" t="s">
        <v>59</v>
      </c>
      <c r="B500" s="49" t="s">
        <v>861</v>
      </c>
      <c r="C500" s="50">
        <v>3555618004950</v>
      </c>
      <c r="D500" s="49" t="s">
        <v>2356</v>
      </c>
    </row>
    <row r="501" spans="1:4">
      <c r="A501" s="49" t="s">
        <v>59</v>
      </c>
      <c r="B501" s="49" t="s">
        <v>703</v>
      </c>
      <c r="C501" s="50">
        <v>3555618004799</v>
      </c>
      <c r="D501" s="49" t="s">
        <v>2356</v>
      </c>
    </row>
    <row r="502" spans="1:4">
      <c r="A502" s="49" t="s">
        <v>61</v>
      </c>
      <c r="B502" s="49" t="s">
        <v>289</v>
      </c>
      <c r="C502" s="50">
        <v>6371307001319</v>
      </c>
      <c r="D502" s="49" t="s">
        <v>2368</v>
      </c>
    </row>
    <row r="503" spans="1:4">
      <c r="A503" s="49" t="s">
        <v>61</v>
      </c>
      <c r="B503" s="49" t="s">
        <v>357</v>
      </c>
      <c r="C503" s="50">
        <v>6371307001408</v>
      </c>
      <c r="D503" s="49" t="s">
        <v>2368</v>
      </c>
    </row>
    <row r="504" spans="1:4">
      <c r="A504" s="49" t="s">
        <v>59</v>
      </c>
      <c r="B504" s="49" t="s">
        <v>899</v>
      </c>
      <c r="C504" s="50">
        <v>4601016001859</v>
      </c>
      <c r="D504" s="49" t="s">
        <v>2360</v>
      </c>
    </row>
    <row r="505" spans="1:4">
      <c r="A505" s="49" t="s">
        <v>2353</v>
      </c>
      <c r="B505" s="49" t="s">
        <v>1560</v>
      </c>
      <c r="C505" s="50">
        <v>5923253006868</v>
      </c>
      <c r="D505" s="49" t="s">
        <v>2364</v>
      </c>
    </row>
    <row r="506" spans="1:4">
      <c r="A506" s="49" t="s">
        <v>2353</v>
      </c>
      <c r="B506" s="49" t="s">
        <v>1636</v>
      </c>
      <c r="C506" s="50">
        <v>5923253006353</v>
      </c>
      <c r="D506" s="49" t="s">
        <v>2364</v>
      </c>
    </row>
    <row r="507" spans="1:4">
      <c r="A507" s="49" t="s">
        <v>59</v>
      </c>
      <c r="B507" s="49" t="s">
        <v>788</v>
      </c>
      <c r="C507" s="50">
        <v>8790524001107</v>
      </c>
      <c r="D507" s="49" t="s">
        <v>2376</v>
      </c>
    </row>
    <row r="508" spans="1:4">
      <c r="A508" s="49" t="s">
        <v>59</v>
      </c>
      <c r="B508" s="49" t="s">
        <v>897</v>
      </c>
      <c r="C508" s="50">
        <v>4601016001697</v>
      </c>
      <c r="D508" s="49" t="s">
        <v>2360</v>
      </c>
    </row>
    <row r="509" spans="1:4">
      <c r="A509" s="49" t="s">
        <v>2353</v>
      </c>
      <c r="B509" s="49" t="s">
        <v>1624</v>
      </c>
      <c r="C509" s="50">
        <v>5923253007082</v>
      </c>
      <c r="D509" s="49" t="s">
        <v>2364</v>
      </c>
    </row>
    <row r="510" spans="1:4">
      <c r="A510" s="49" t="s">
        <v>2353</v>
      </c>
      <c r="B510" s="49" t="s">
        <v>1483</v>
      </c>
      <c r="C510" s="50">
        <v>5923253006272</v>
      </c>
      <c r="D510" s="49" t="s">
        <v>2364</v>
      </c>
    </row>
    <row r="511" spans="1:4">
      <c r="A511" s="49" t="s">
        <v>59</v>
      </c>
      <c r="B511" s="49" t="s">
        <v>650</v>
      </c>
      <c r="C511" s="50">
        <v>8790524001026</v>
      </c>
      <c r="D511" s="49" t="s">
        <v>2376</v>
      </c>
    </row>
    <row r="512" spans="1:4">
      <c r="A512" s="49" t="s">
        <v>2353</v>
      </c>
      <c r="B512" s="49" t="s">
        <v>1611</v>
      </c>
      <c r="C512" s="50">
        <v>5923253005039</v>
      </c>
      <c r="D512" s="49" t="s">
        <v>2364</v>
      </c>
    </row>
    <row r="513" spans="1:4">
      <c r="A513" s="49" t="s">
        <v>2353</v>
      </c>
      <c r="B513" s="49" t="s">
        <v>1713</v>
      </c>
      <c r="C513" s="50">
        <v>5923253006434</v>
      </c>
      <c r="D513" s="49" t="s">
        <v>2364</v>
      </c>
    </row>
    <row r="514" spans="1:4">
      <c r="A514" s="49" t="s">
        <v>2353</v>
      </c>
      <c r="B514" s="49" t="s">
        <v>1481</v>
      </c>
      <c r="C514" s="50">
        <v>5923253006515</v>
      </c>
      <c r="D514" s="49" t="s">
        <v>2364</v>
      </c>
    </row>
    <row r="515" spans="1:4">
      <c r="A515" s="49" t="s">
        <v>55</v>
      </c>
      <c r="B515" s="49" t="s">
        <v>2470</v>
      </c>
      <c r="C515" s="50">
        <v>30725326000732</v>
      </c>
      <c r="D515" s="49" t="s">
        <v>2428</v>
      </c>
    </row>
    <row r="516" spans="1:4">
      <c r="A516" s="49" t="s">
        <v>59</v>
      </c>
      <c r="B516" s="49" t="s">
        <v>760</v>
      </c>
      <c r="C516" s="50">
        <v>3555618002230</v>
      </c>
      <c r="D516" s="49" t="s">
        <v>2356</v>
      </c>
    </row>
    <row r="517" spans="1:4">
      <c r="A517" s="49" t="s">
        <v>59</v>
      </c>
      <c r="B517" s="49" t="s">
        <v>614</v>
      </c>
      <c r="C517" s="50">
        <v>3555618003636</v>
      </c>
      <c r="D517" s="49" t="s">
        <v>2356</v>
      </c>
    </row>
    <row r="518" spans="1:4">
      <c r="A518" s="49" t="s">
        <v>2351</v>
      </c>
      <c r="B518" s="49" t="s">
        <v>1315</v>
      </c>
      <c r="C518" s="50">
        <v>7120722001443</v>
      </c>
      <c r="D518" s="49" t="s">
        <v>105</v>
      </c>
    </row>
    <row r="519" spans="1:4">
      <c r="A519" s="49" t="s">
        <v>2351</v>
      </c>
      <c r="B519" s="49" t="s">
        <v>1314</v>
      </c>
      <c r="C519" s="50">
        <v>7120722000200</v>
      </c>
      <c r="D519" s="49" t="s">
        <v>105</v>
      </c>
    </row>
    <row r="520" spans="1:4">
      <c r="A520" s="49" t="s">
        <v>2351</v>
      </c>
      <c r="B520" s="49" t="s">
        <v>1307</v>
      </c>
      <c r="C520" s="50">
        <v>7120722001362</v>
      </c>
      <c r="D520" s="49" t="s">
        <v>105</v>
      </c>
    </row>
    <row r="521" spans="1:4">
      <c r="A521" s="49" t="s">
        <v>2351</v>
      </c>
      <c r="B521" s="49" t="s">
        <v>1309</v>
      </c>
      <c r="C521" s="50">
        <v>7120722000714</v>
      </c>
      <c r="D521" s="49" t="s">
        <v>105</v>
      </c>
    </row>
    <row r="522" spans="1:4">
      <c r="A522" s="49" t="s">
        <v>2351</v>
      </c>
      <c r="B522" s="49" t="s">
        <v>1311</v>
      </c>
      <c r="C522" s="50">
        <v>7120722000986</v>
      </c>
      <c r="D522" s="49" t="s">
        <v>105</v>
      </c>
    </row>
    <row r="523" spans="1:4">
      <c r="A523" s="49" t="s">
        <v>2351</v>
      </c>
      <c r="B523" s="49" t="s">
        <v>1312</v>
      </c>
      <c r="C523" s="50">
        <v>7120722001109</v>
      </c>
      <c r="D523" s="49" t="s">
        <v>105</v>
      </c>
    </row>
    <row r="524" spans="1:4">
      <c r="A524" s="49" t="s">
        <v>2351</v>
      </c>
      <c r="B524" s="49" t="s">
        <v>1318</v>
      </c>
      <c r="C524" s="50">
        <v>7120722000803</v>
      </c>
      <c r="D524" s="49" t="s">
        <v>105</v>
      </c>
    </row>
    <row r="525" spans="1:4">
      <c r="A525" s="49" t="s">
        <v>2351</v>
      </c>
      <c r="B525" s="49" t="s">
        <v>1316</v>
      </c>
      <c r="C525" s="50">
        <v>7120722001281</v>
      </c>
      <c r="D525" s="49" t="s">
        <v>2471</v>
      </c>
    </row>
    <row r="526" spans="1:4">
      <c r="A526" s="49" t="s">
        <v>60</v>
      </c>
      <c r="B526" s="49" t="s">
        <v>982</v>
      </c>
      <c r="C526" s="50">
        <v>5923253007678</v>
      </c>
      <c r="D526" s="49" t="s">
        <v>2364</v>
      </c>
    </row>
    <row r="527" spans="1:4">
      <c r="A527" s="49" t="s">
        <v>60</v>
      </c>
      <c r="B527" s="49" t="s">
        <v>1015</v>
      </c>
      <c r="C527" s="50">
        <v>5923253006604</v>
      </c>
      <c r="D527" s="49" t="s">
        <v>2364</v>
      </c>
    </row>
    <row r="528" spans="1:4">
      <c r="A528" s="49" t="s">
        <v>60</v>
      </c>
      <c r="B528" s="49" t="s">
        <v>999</v>
      </c>
      <c r="C528" s="50">
        <v>5923253007325</v>
      </c>
      <c r="D528" s="49" t="s">
        <v>2364</v>
      </c>
    </row>
    <row r="529" spans="1:4">
      <c r="A529" s="49" t="s">
        <v>60</v>
      </c>
      <c r="B529" s="49" t="s">
        <v>965</v>
      </c>
      <c r="C529" s="50">
        <v>5923253007163</v>
      </c>
      <c r="D529" s="49" t="s">
        <v>2364</v>
      </c>
    </row>
    <row r="530" spans="1:4">
      <c r="A530" s="49" t="s">
        <v>60</v>
      </c>
      <c r="B530" s="49" t="s">
        <v>993</v>
      </c>
      <c r="C530" s="50">
        <v>5923253007406</v>
      </c>
      <c r="D530" s="49" t="s">
        <v>2364</v>
      </c>
    </row>
    <row r="531" spans="1:4">
      <c r="A531" s="49" t="s">
        <v>60</v>
      </c>
      <c r="B531" s="49" t="s">
        <v>974</v>
      </c>
      <c r="C531" s="50">
        <v>5923253007244</v>
      </c>
      <c r="D531" s="49" t="s">
        <v>2364</v>
      </c>
    </row>
    <row r="532" spans="1:4">
      <c r="A532" s="49" t="s">
        <v>60</v>
      </c>
      <c r="B532" s="49" t="s">
        <v>984</v>
      </c>
      <c r="C532" s="50">
        <v>5923253007597</v>
      </c>
      <c r="D532" s="49" t="s">
        <v>2364</v>
      </c>
    </row>
    <row r="533" spans="1:4">
      <c r="A533" s="49" t="s">
        <v>60</v>
      </c>
      <c r="B533" s="49" t="s">
        <v>1022</v>
      </c>
      <c r="C533" s="50">
        <v>35366419000146</v>
      </c>
      <c r="D533" s="49" t="s">
        <v>2472</v>
      </c>
    </row>
    <row r="534" spans="1:4">
      <c r="A534" s="49" t="s">
        <v>60</v>
      </c>
      <c r="B534" s="49" t="s">
        <v>990</v>
      </c>
      <c r="C534" s="50">
        <v>40464654000190</v>
      </c>
      <c r="D534" s="49" t="s">
        <v>2473</v>
      </c>
    </row>
    <row r="535" spans="1:4">
      <c r="A535" s="49" t="s">
        <v>60</v>
      </c>
      <c r="B535" s="49" t="s">
        <v>1010</v>
      </c>
      <c r="C535" s="50">
        <v>40464654000271</v>
      </c>
      <c r="D535" s="49" t="s">
        <v>2473</v>
      </c>
    </row>
    <row r="536" spans="1:4">
      <c r="A536" s="49" t="s">
        <v>60</v>
      </c>
      <c r="B536" s="49" t="s">
        <v>996</v>
      </c>
      <c r="C536" s="50">
        <v>21783328000100</v>
      </c>
      <c r="D536" s="49" t="s">
        <v>2474</v>
      </c>
    </row>
    <row r="537" spans="1:4">
      <c r="A537" s="49" t="s">
        <v>56</v>
      </c>
      <c r="B537" s="49" t="s">
        <v>477</v>
      </c>
      <c r="C537" s="50">
        <v>18670280000100</v>
      </c>
      <c r="D537" s="49" t="s">
        <v>2475</v>
      </c>
    </row>
    <row r="538" spans="1:4">
      <c r="A538" s="49" t="s">
        <v>55</v>
      </c>
      <c r="B538" s="49" t="s">
        <v>1220</v>
      </c>
      <c r="C538" s="50">
        <v>51820267000166</v>
      </c>
      <c r="D538" s="49" t="s">
        <v>2476</v>
      </c>
    </row>
    <row r="539" spans="1:4">
      <c r="A539" s="49" t="s">
        <v>55</v>
      </c>
      <c r="B539" s="49" t="s">
        <v>1197</v>
      </c>
      <c r="C539" s="50">
        <v>5142929004670</v>
      </c>
      <c r="D539" s="49" t="s">
        <v>2362</v>
      </c>
    </row>
    <row r="540" spans="1:4">
      <c r="A540" s="49" t="s">
        <v>55</v>
      </c>
      <c r="B540" s="49" t="s">
        <v>1264</v>
      </c>
      <c r="C540" s="50">
        <v>8457462000578</v>
      </c>
      <c r="D540" s="49" t="s">
        <v>233</v>
      </c>
    </row>
    <row r="541" spans="1:4">
      <c r="A541" s="49" t="s">
        <v>53</v>
      </c>
      <c r="B541" s="49" t="s">
        <v>1374</v>
      </c>
      <c r="C541" s="50">
        <v>51046680000115</v>
      </c>
      <c r="D541" s="49" t="s">
        <v>2477</v>
      </c>
    </row>
    <row r="542" spans="1:4">
      <c r="A542" s="49" t="s">
        <v>60</v>
      </c>
      <c r="B542" s="49" t="s">
        <v>986</v>
      </c>
      <c r="C542" s="50">
        <v>6978430000169</v>
      </c>
      <c r="D542" s="49" t="s">
        <v>2478</v>
      </c>
    </row>
    <row r="543" spans="1:4">
      <c r="A543" s="49" t="s">
        <v>59</v>
      </c>
      <c r="B543" s="49" t="s">
        <v>807</v>
      </c>
      <c r="C543" s="50">
        <v>52764598000199</v>
      </c>
      <c r="D543" s="49" t="s">
        <v>2479</v>
      </c>
    </row>
    <row r="544" spans="1:4">
      <c r="A544" s="49" t="s">
        <v>59</v>
      </c>
      <c r="B544" s="49" t="s">
        <v>801</v>
      </c>
      <c r="C544" s="50">
        <v>51588752000156</v>
      </c>
      <c r="D544" s="49" t="s">
        <v>2480</v>
      </c>
    </row>
    <row r="545" spans="1:4">
      <c r="A545" s="49" t="s">
        <v>59</v>
      </c>
      <c r="B545" s="49" t="s">
        <v>792</v>
      </c>
      <c r="C545" s="50">
        <v>51780124000178</v>
      </c>
      <c r="D545" s="49" t="s">
        <v>2481</v>
      </c>
    </row>
    <row r="546" spans="1:4">
      <c r="A546" s="49" t="s">
        <v>59</v>
      </c>
      <c r="B546" s="49" t="s">
        <v>662</v>
      </c>
      <c r="C546" s="50">
        <v>52182907000112</v>
      </c>
      <c r="D546" s="49" t="s">
        <v>2482</v>
      </c>
    </row>
    <row r="547" spans="1:4">
      <c r="A547" s="49" t="s">
        <v>59</v>
      </c>
      <c r="B547" s="49" t="s">
        <v>611</v>
      </c>
      <c r="C547" s="50">
        <v>3555618003989</v>
      </c>
      <c r="D547" s="49" t="s">
        <v>2356</v>
      </c>
    </row>
    <row r="548" spans="1:4">
      <c r="A548" s="49" t="s">
        <v>59</v>
      </c>
      <c r="B548" s="49" t="s">
        <v>672</v>
      </c>
      <c r="C548" s="50">
        <v>3555618002583</v>
      </c>
      <c r="D548" s="49" t="s">
        <v>2356</v>
      </c>
    </row>
    <row r="549" spans="1:4">
      <c r="A549" s="49" t="s">
        <v>59</v>
      </c>
      <c r="B549" s="49" t="s">
        <v>868</v>
      </c>
      <c r="C549" s="50">
        <v>3555618004608</v>
      </c>
      <c r="D549" s="49" t="s">
        <v>2356</v>
      </c>
    </row>
    <row r="550" spans="1:4">
      <c r="A550" s="49" t="s">
        <v>59</v>
      </c>
      <c r="B550" s="49" t="s">
        <v>888</v>
      </c>
      <c r="C550" s="50">
        <v>4601016001930</v>
      </c>
      <c r="D550" s="49" t="s">
        <v>2360</v>
      </c>
    </row>
    <row r="551" spans="1:4">
      <c r="A551" s="49" t="s">
        <v>59</v>
      </c>
      <c r="B551" s="49" t="s">
        <v>872</v>
      </c>
      <c r="C551" s="50">
        <v>3555618005337</v>
      </c>
      <c r="D551" s="49" t="s">
        <v>2356</v>
      </c>
    </row>
    <row r="552" spans="1:4">
      <c r="A552" s="49" t="s">
        <v>59</v>
      </c>
      <c r="B552" s="49" t="s">
        <v>721</v>
      </c>
      <c r="C552" s="50">
        <v>3555618005175</v>
      </c>
      <c r="D552" s="49" t="s">
        <v>2356</v>
      </c>
    </row>
    <row r="553" spans="1:4">
      <c r="A553" s="49" t="s">
        <v>59</v>
      </c>
      <c r="B553" s="49" t="s">
        <v>884</v>
      </c>
      <c r="C553" s="50">
        <v>3555618005256</v>
      </c>
      <c r="D553" s="49" t="s">
        <v>2356</v>
      </c>
    </row>
    <row r="554" spans="1:4">
      <c r="A554" s="49" t="s">
        <v>59</v>
      </c>
      <c r="B554" s="49" t="s">
        <v>874</v>
      </c>
      <c r="C554" s="50">
        <v>3555618003474</v>
      </c>
      <c r="D554" s="49" t="s">
        <v>2356</v>
      </c>
    </row>
    <row r="555" spans="1:4">
      <c r="A555" s="49" t="s">
        <v>61</v>
      </c>
      <c r="B555" s="49" t="s">
        <v>363</v>
      </c>
      <c r="C555" s="50">
        <v>53078668000118</v>
      </c>
      <c r="D555" s="49" t="s">
        <v>2483</v>
      </c>
    </row>
    <row r="556" spans="1:4">
      <c r="A556" s="49" t="s">
        <v>61</v>
      </c>
      <c r="B556" s="49" t="s">
        <v>338</v>
      </c>
      <c r="C556" s="50">
        <v>49835070000159</v>
      </c>
      <c r="D556" s="49" t="s">
        <v>2329</v>
      </c>
    </row>
    <row r="557" spans="1:4">
      <c r="A557" s="49" t="s">
        <v>61</v>
      </c>
      <c r="B557" s="49" t="s">
        <v>301</v>
      </c>
      <c r="C557" s="50">
        <v>52796051000175</v>
      </c>
      <c r="D557" s="49" t="s">
        <v>2484</v>
      </c>
    </row>
    <row r="558" spans="1:4">
      <c r="A558" s="49" t="s">
        <v>61</v>
      </c>
      <c r="B558" s="49" t="s">
        <v>374</v>
      </c>
      <c r="C558" s="50">
        <v>53114284000103</v>
      </c>
      <c r="D558" s="49" t="s">
        <v>2485</v>
      </c>
    </row>
    <row r="559" spans="1:4">
      <c r="A559" s="49" t="s">
        <v>62</v>
      </c>
      <c r="B559" s="49" t="s">
        <v>1113</v>
      </c>
      <c r="C559" s="50">
        <v>26592902000743</v>
      </c>
      <c r="D559" s="49" t="s">
        <v>2422</v>
      </c>
    </row>
    <row r="560" spans="1:4">
      <c r="A560" s="49" t="s">
        <v>55</v>
      </c>
      <c r="B560" s="49" t="s">
        <v>1253</v>
      </c>
      <c r="C560" s="50">
        <v>26117255001447</v>
      </c>
      <c r="D560" s="49" t="s">
        <v>2420</v>
      </c>
    </row>
    <row r="561" spans="1:4">
      <c r="A561" s="49" t="s">
        <v>53</v>
      </c>
      <c r="B561" s="49" t="s">
        <v>1330</v>
      </c>
      <c r="C561" s="50">
        <v>21848907001661</v>
      </c>
      <c r="D561" s="49" t="s">
        <v>2407</v>
      </c>
    </row>
    <row r="562" spans="1:4">
      <c r="A562" s="49" t="s">
        <v>53</v>
      </c>
      <c r="B562" s="49" t="s">
        <v>1322</v>
      </c>
      <c r="C562" s="50">
        <v>21848907001742</v>
      </c>
      <c r="D562" s="49" t="s">
        <v>2407</v>
      </c>
    </row>
    <row r="563" spans="1:4">
      <c r="A563" s="49" t="s">
        <v>53</v>
      </c>
      <c r="B563" s="49" t="s">
        <v>1376</v>
      </c>
      <c r="C563" s="50">
        <v>51046680000204</v>
      </c>
      <c r="D563" s="49" t="s">
        <v>2477</v>
      </c>
    </row>
    <row r="564" spans="1:4">
      <c r="A564" s="49" t="s">
        <v>54</v>
      </c>
      <c r="B564" s="49" t="s">
        <v>2486</v>
      </c>
      <c r="C564" s="50">
        <v>32878474000208</v>
      </c>
      <c r="D564" s="49" t="s">
        <v>2487</v>
      </c>
    </row>
    <row r="565" spans="1:4">
      <c r="A565" s="49" t="s">
        <v>54</v>
      </c>
      <c r="B565" s="49" t="s">
        <v>1609</v>
      </c>
      <c r="C565" s="50">
        <v>18194895000108</v>
      </c>
      <c r="D565" s="49" t="s">
        <v>2400</v>
      </c>
    </row>
    <row r="566" spans="1:4">
      <c r="A566" s="49" t="s">
        <v>2074</v>
      </c>
      <c r="B566" s="49" t="s">
        <v>1863</v>
      </c>
      <c r="C566" s="50">
        <v>6971234000405</v>
      </c>
      <c r="D566" s="49" t="s">
        <v>2369</v>
      </c>
    </row>
    <row r="567" spans="1:4">
      <c r="A567" s="49" t="s">
        <v>2074</v>
      </c>
      <c r="B567" s="49" t="s">
        <v>2052</v>
      </c>
      <c r="C567" s="50">
        <v>50094045000140</v>
      </c>
      <c r="D567" s="49" t="s">
        <v>2488</v>
      </c>
    </row>
    <row r="568" spans="1:4">
      <c r="A568" s="49" t="s">
        <v>55</v>
      </c>
      <c r="B568" s="49" t="s">
        <v>1177</v>
      </c>
      <c r="C568" s="50">
        <v>26117255003300</v>
      </c>
      <c r="D568" s="49" t="s">
        <v>2420</v>
      </c>
    </row>
    <row r="569" spans="1:4">
      <c r="A569" s="49" t="s">
        <v>55</v>
      </c>
      <c r="B569" s="49" t="s">
        <v>1252</v>
      </c>
      <c r="C569" s="50">
        <v>26117255003490</v>
      </c>
      <c r="D569" s="49" t="s">
        <v>2420</v>
      </c>
    </row>
    <row r="570" spans="1:4">
      <c r="A570" s="49" t="s">
        <v>59</v>
      </c>
      <c r="B570" s="49" t="s">
        <v>816</v>
      </c>
      <c r="C570" s="50">
        <v>37645833000110</v>
      </c>
      <c r="D570" s="49" t="s">
        <v>96</v>
      </c>
    </row>
    <row r="571" spans="1:4">
      <c r="A571" s="49" t="s">
        <v>56</v>
      </c>
      <c r="B571" s="49" t="s">
        <v>533</v>
      </c>
      <c r="C571" s="50">
        <v>53965556000340</v>
      </c>
      <c r="D571" s="49" t="s">
        <v>88</v>
      </c>
    </row>
    <row r="572" spans="1:4">
      <c r="A572" s="49" t="s">
        <v>56</v>
      </c>
      <c r="B572" s="49" t="s">
        <v>536</v>
      </c>
      <c r="C572" s="50">
        <v>53965556000260</v>
      </c>
      <c r="D572" s="49" t="s">
        <v>88</v>
      </c>
    </row>
    <row r="573" spans="1:4">
      <c r="A573" s="49" t="s">
        <v>54</v>
      </c>
      <c r="B573" s="49" t="s">
        <v>1848</v>
      </c>
      <c r="C573" s="50">
        <v>5949641006575</v>
      </c>
      <c r="D573" s="49" t="s">
        <v>2489</v>
      </c>
    </row>
    <row r="574" spans="1:4">
      <c r="A574" s="49" t="s">
        <v>54</v>
      </c>
      <c r="B574" s="49" t="s">
        <v>2016</v>
      </c>
      <c r="C574" s="50">
        <v>5949641011226</v>
      </c>
      <c r="D574" s="49" t="s">
        <v>2489</v>
      </c>
    </row>
    <row r="575" spans="1:4">
      <c r="A575" s="49" t="s">
        <v>54</v>
      </c>
      <c r="B575" s="49" t="s">
        <v>1650</v>
      </c>
      <c r="C575" s="50">
        <v>5949641000372</v>
      </c>
      <c r="D575" s="49" t="s">
        <v>2489</v>
      </c>
    </row>
    <row r="576" spans="1:4">
      <c r="A576" s="49" t="s">
        <v>54</v>
      </c>
      <c r="B576" s="49" t="s">
        <v>1513</v>
      </c>
      <c r="C576" s="50">
        <v>5949641002901</v>
      </c>
      <c r="D576" s="49" t="s">
        <v>2489</v>
      </c>
    </row>
    <row r="577" spans="1:4">
      <c r="A577" s="49" t="s">
        <v>54</v>
      </c>
      <c r="B577" s="49" t="s">
        <v>1421</v>
      </c>
      <c r="C577" s="50">
        <v>5949641000704</v>
      </c>
      <c r="D577" s="49" t="s">
        <v>2489</v>
      </c>
    </row>
    <row r="578" spans="1:4">
      <c r="A578" s="49" t="s">
        <v>54</v>
      </c>
      <c r="B578" s="49" t="s">
        <v>571</v>
      </c>
      <c r="C578" s="50">
        <v>5949641012702</v>
      </c>
      <c r="D578" s="49" t="s">
        <v>2489</v>
      </c>
    </row>
    <row r="579" spans="1:4">
      <c r="A579" s="49" t="s">
        <v>54</v>
      </c>
      <c r="B579" s="49" t="s">
        <v>1406</v>
      </c>
      <c r="C579" s="50">
        <v>5949641009329</v>
      </c>
      <c r="D579" s="49" t="s">
        <v>2489</v>
      </c>
    </row>
    <row r="580" spans="1:4">
      <c r="A580" s="49" t="s">
        <v>54</v>
      </c>
      <c r="B580" s="49" t="s">
        <v>1393</v>
      </c>
      <c r="C580" s="50">
        <v>5949641009248</v>
      </c>
      <c r="D580" s="49" t="s">
        <v>2489</v>
      </c>
    </row>
    <row r="581" spans="1:4">
      <c r="A581" s="49" t="s">
        <v>54</v>
      </c>
      <c r="B581" s="49" t="s">
        <v>1580</v>
      </c>
      <c r="C581" s="50">
        <v>5949641010505</v>
      </c>
      <c r="D581" s="49" t="s">
        <v>2489</v>
      </c>
    </row>
    <row r="582" spans="1:4">
      <c r="A582" s="49" t="s">
        <v>54</v>
      </c>
      <c r="B582" s="49" t="s">
        <v>1508</v>
      </c>
      <c r="C582" s="50">
        <v>5949641002820</v>
      </c>
      <c r="D582" s="49" t="s">
        <v>2489</v>
      </c>
    </row>
    <row r="583" spans="1:4">
      <c r="A583" s="49" t="s">
        <v>54</v>
      </c>
      <c r="B583" s="49" t="s">
        <v>2005</v>
      </c>
      <c r="C583" s="50">
        <v>5949641008519</v>
      </c>
      <c r="D583" s="49" t="s">
        <v>2489</v>
      </c>
    </row>
    <row r="584" spans="1:4">
      <c r="A584" s="49" t="s">
        <v>54</v>
      </c>
      <c r="B584" s="49" t="s">
        <v>1604</v>
      </c>
      <c r="C584" s="50">
        <v>5949641009833</v>
      </c>
      <c r="D584" s="49" t="s">
        <v>2489</v>
      </c>
    </row>
    <row r="585" spans="1:4">
      <c r="A585" s="49" t="s">
        <v>54</v>
      </c>
      <c r="B585" s="49" t="s">
        <v>1619</v>
      </c>
      <c r="C585" s="50">
        <v>5949641003479</v>
      </c>
      <c r="D585" s="49" t="s">
        <v>2489</v>
      </c>
    </row>
    <row r="586" spans="1:4">
      <c r="A586" s="49" t="s">
        <v>54</v>
      </c>
      <c r="B586" s="49" t="s">
        <v>1932</v>
      </c>
      <c r="C586" s="50">
        <v>5949641005501</v>
      </c>
      <c r="D586" s="49" t="s">
        <v>2489</v>
      </c>
    </row>
    <row r="587" spans="1:4">
      <c r="A587" s="49" t="s">
        <v>54</v>
      </c>
      <c r="B587" s="49" t="s">
        <v>1905</v>
      </c>
      <c r="C587" s="50">
        <v>5949641007113</v>
      </c>
      <c r="D587" s="49" t="s">
        <v>2489</v>
      </c>
    </row>
    <row r="588" spans="1:4">
      <c r="A588" s="49" t="s">
        <v>54</v>
      </c>
      <c r="B588" s="49" t="s">
        <v>1737</v>
      </c>
      <c r="C588" s="50">
        <v>5949641001344</v>
      </c>
      <c r="D588" s="49" t="s">
        <v>2489</v>
      </c>
    </row>
    <row r="589" spans="1:4">
      <c r="A589" s="49" t="s">
        <v>54</v>
      </c>
      <c r="B589" s="49" t="s">
        <v>535</v>
      </c>
      <c r="C589" s="50">
        <v>5949641012621</v>
      </c>
      <c r="D589" s="49" t="s">
        <v>2489</v>
      </c>
    </row>
    <row r="590" spans="1:4">
      <c r="A590" s="49" t="s">
        <v>54</v>
      </c>
      <c r="B590" s="49" t="s">
        <v>1401</v>
      </c>
      <c r="C590" s="50">
        <v>5949641011064</v>
      </c>
      <c r="D590" s="49" t="s">
        <v>2489</v>
      </c>
    </row>
    <row r="591" spans="1:4">
      <c r="A591" s="49" t="s">
        <v>54</v>
      </c>
      <c r="B591" s="49" t="s">
        <v>1396</v>
      </c>
      <c r="C591" s="50">
        <v>5949641009167</v>
      </c>
      <c r="D591" s="49" t="s">
        <v>2489</v>
      </c>
    </row>
    <row r="592" spans="1:4">
      <c r="A592" s="49" t="s">
        <v>54</v>
      </c>
      <c r="B592" s="49" t="s">
        <v>1732</v>
      </c>
      <c r="C592" s="50">
        <v>5949641002235</v>
      </c>
      <c r="D592" s="49" t="s">
        <v>2489</v>
      </c>
    </row>
    <row r="593" spans="1:4">
      <c r="A593" s="49" t="s">
        <v>54</v>
      </c>
      <c r="B593" s="49" t="s">
        <v>1555</v>
      </c>
      <c r="C593" s="50">
        <v>5949641002740</v>
      </c>
      <c r="D593" s="49" t="s">
        <v>2489</v>
      </c>
    </row>
    <row r="594" spans="1:4">
      <c r="A594" s="49" t="s">
        <v>54</v>
      </c>
      <c r="B594" s="49" t="s">
        <v>1633</v>
      </c>
      <c r="C594" s="50">
        <v>5949641001000</v>
      </c>
      <c r="D594" s="49" t="s">
        <v>2489</v>
      </c>
    </row>
    <row r="595" spans="1:4">
      <c r="A595" s="49" t="s">
        <v>2074</v>
      </c>
      <c r="B595" s="49" t="s">
        <v>1801</v>
      </c>
      <c r="C595" s="50">
        <v>17684351000161</v>
      </c>
      <c r="D595" s="49" t="s">
        <v>102</v>
      </c>
    </row>
    <row r="596" spans="1:4">
      <c r="A596" s="49" t="s">
        <v>59</v>
      </c>
      <c r="B596" s="49" t="s">
        <v>623</v>
      </c>
      <c r="C596" s="50">
        <v>53730089000108</v>
      </c>
      <c r="D596" s="49" t="s">
        <v>111</v>
      </c>
    </row>
    <row r="597" spans="1:4">
      <c r="A597" s="49" t="s">
        <v>2074</v>
      </c>
      <c r="B597" s="49" t="s">
        <v>2075</v>
      </c>
      <c r="C597" s="50">
        <v>4132535000177</v>
      </c>
      <c r="D597" s="49" t="s">
        <v>2490</v>
      </c>
    </row>
    <row r="598" spans="1:4">
      <c r="A598" s="49" t="s">
        <v>2074</v>
      </c>
      <c r="B598" s="49" t="s">
        <v>2084</v>
      </c>
      <c r="C598" s="50">
        <v>5402892000170</v>
      </c>
      <c r="D598" s="49" t="s">
        <v>2490</v>
      </c>
    </row>
    <row r="599" spans="1:4">
      <c r="A599" s="49" t="s">
        <v>2074</v>
      </c>
      <c r="B599" s="49" t="s">
        <v>2044</v>
      </c>
      <c r="C599" s="50">
        <v>13438455000135</v>
      </c>
      <c r="D599" s="49" t="s">
        <v>2491</v>
      </c>
    </row>
    <row r="600" spans="1:4">
      <c r="A600" s="49" t="s">
        <v>2074</v>
      </c>
      <c r="B600" s="49" t="s">
        <v>2303</v>
      </c>
      <c r="C600" s="50">
        <v>6788754000134</v>
      </c>
      <c r="D600" s="49" t="s">
        <v>2492</v>
      </c>
    </row>
    <row r="601" spans="1:4">
      <c r="A601" s="49" t="s">
        <v>59</v>
      </c>
      <c r="B601" s="49" t="s">
        <v>853</v>
      </c>
      <c r="C601" s="50">
        <v>4539125001036</v>
      </c>
      <c r="D601" s="49" t="s">
        <v>2359</v>
      </c>
    </row>
    <row r="602" spans="1:4">
      <c r="A602" s="49" t="s">
        <v>59</v>
      </c>
      <c r="B602" s="49" t="s">
        <v>849</v>
      </c>
      <c r="C602" s="50">
        <v>4539125001117</v>
      </c>
      <c r="D602" s="49" t="s">
        <v>2359</v>
      </c>
    </row>
    <row r="603" spans="1:4">
      <c r="A603" s="49" t="s">
        <v>59</v>
      </c>
      <c r="B603" s="49" t="s">
        <v>782</v>
      </c>
      <c r="C603" s="50">
        <v>7651451000561</v>
      </c>
      <c r="D603" s="49" t="s">
        <v>2373</v>
      </c>
    </row>
    <row r="604" spans="1:4">
      <c r="A604" s="49" t="s">
        <v>59</v>
      </c>
      <c r="B604" s="49" t="s">
        <v>846</v>
      </c>
      <c r="C604" s="50">
        <v>4539125001540</v>
      </c>
      <c r="D604" s="49" t="s">
        <v>2359</v>
      </c>
    </row>
    <row r="605" spans="1:4">
      <c r="A605" s="49" t="s">
        <v>59</v>
      </c>
      <c r="B605" s="49" t="s">
        <v>852</v>
      </c>
      <c r="C605" s="50">
        <v>4539125001621</v>
      </c>
      <c r="D605" s="49" t="s">
        <v>2359</v>
      </c>
    </row>
    <row r="606" spans="1:4">
      <c r="A606" s="49" t="s">
        <v>59</v>
      </c>
      <c r="B606" s="49" t="s">
        <v>848</v>
      </c>
      <c r="C606" s="50">
        <v>4539125001389</v>
      </c>
      <c r="D606" s="49" t="s">
        <v>2359</v>
      </c>
    </row>
    <row r="607" spans="1:4">
      <c r="A607" s="49" t="s">
        <v>59</v>
      </c>
      <c r="B607" s="49" t="s">
        <v>851</v>
      </c>
      <c r="C607" s="50">
        <v>4539125001460</v>
      </c>
      <c r="D607" s="49" t="s">
        <v>2359</v>
      </c>
    </row>
    <row r="608" spans="1:4">
      <c r="A608" s="49" t="s">
        <v>59</v>
      </c>
      <c r="B608" s="49" t="s">
        <v>850</v>
      </c>
      <c r="C608" s="50">
        <v>4539125001206</v>
      </c>
      <c r="D608" s="49" t="s">
        <v>2359</v>
      </c>
    </row>
    <row r="609" spans="1:4">
      <c r="A609" s="49" t="s">
        <v>59</v>
      </c>
      <c r="B609" s="49" t="s">
        <v>749</v>
      </c>
      <c r="C609" s="50">
        <v>4601016002154</v>
      </c>
      <c r="D609" s="49" t="s">
        <v>2360</v>
      </c>
    </row>
    <row r="610" spans="1:4">
      <c r="A610" s="49" t="s">
        <v>59</v>
      </c>
      <c r="B610" s="49" t="s">
        <v>894</v>
      </c>
      <c r="C610" s="50">
        <v>4601016002316</v>
      </c>
      <c r="D610" s="49" t="s">
        <v>2360</v>
      </c>
    </row>
    <row r="611" spans="1:4">
      <c r="A611" s="49" t="s">
        <v>59</v>
      </c>
      <c r="B611" s="49" t="s">
        <v>878</v>
      </c>
      <c r="C611" s="50">
        <v>4601016002073</v>
      </c>
      <c r="D611" s="49" t="s">
        <v>2360</v>
      </c>
    </row>
    <row r="612" spans="1:4">
      <c r="A612" s="49" t="s">
        <v>59</v>
      </c>
      <c r="B612" s="49" t="s">
        <v>896</v>
      </c>
      <c r="C612" s="50">
        <v>4601016002235</v>
      </c>
      <c r="D612" s="49" t="s">
        <v>2360</v>
      </c>
    </row>
    <row r="613" spans="1:4">
      <c r="A613" s="49" t="s">
        <v>59</v>
      </c>
      <c r="B613" s="49" t="s">
        <v>882</v>
      </c>
      <c r="C613" s="50">
        <v>3555618005094</v>
      </c>
      <c r="D613" s="49" t="s">
        <v>2356</v>
      </c>
    </row>
    <row r="614" spans="1:4">
      <c r="A614" s="49" t="s">
        <v>55</v>
      </c>
      <c r="B614" s="49" t="s">
        <v>1262</v>
      </c>
      <c r="C614" s="50">
        <v>5142929004832</v>
      </c>
      <c r="D614" s="49" t="s">
        <v>2362</v>
      </c>
    </row>
    <row r="615" spans="1:4">
      <c r="A615" s="49" t="s">
        <v>62</v>
      </c>
      <c r="B615" s="49" t="s">
        <v>1088</v>
      </c>
      <c r="C615" s="50">
        <v>32006364000175</v>
      </c>
      <c r="D615" s="49" t="s">
        <v>187</v>
      </c>
    </row>
    <row r="616" spans="1:4">
      <c r="A616" s="49" t="s">
        <v>62</v>
      </c>
      <c r="B616" s="49" t="s">
        <v>1079</v>
      </c>
      <c r="C616" s="50">
        <v>29685489000164</v>
      </c>
      <c r="D616" s="49" t="s">
        <v>127</v>
      </c>
    </row>
    <row r="617" spans="1:4">
      <c r="A617" s="49" t="s">
        <v>59</v>
      </c>
      <c r="B617" s="49" t="s">
        <v>887</v>
      </c>
      <c r="C617" s="50">
        <v>4601016002669</v>
      </c>
      <c r="D617" s="49" t="s">
        <v>2360</v>
      </c>
    </row>
    <row r="618" spans="1:4">
      <c r="A618" s="49" t="s">
        <v>59</v>
      </c>
      <c r="B618" s="49" t="s">
        <v>746</v>
      </c>
      <c r="C618" s="50">
        <v>4601016002588</v>
      </c>
      <c r="D618" s="49" t="s">
        <v>2360</v>
      </c>
    </row>
    <row r="619" spans="1:4">
      <c r="A619" s="49" t="s">
        <v>59</v>
      </c>
      <c r="B619" s="49" t="s">
        <v>876</v>
      </c>
      <c r="C619" s="50">
        <v>4601016002405</v>
      </c>
      <c r="D619" s="49" t="s">
        <v>2360</v>
      </c>
    </row>
    <row r="620" spans="1:4">
      <c r="A620" s="49" t="s">
        <v>59</v>
      </c>
      <c r="B620" s="49" t="s">
        <v>714</v>
      </c>
      <c r="C620" s="50">
        <v>3555618004446</v>
      </c>
      <c r="D620" s="49" t="s">
        <v>2356</v>
      </c>
    </row>
    <row r="621" spans="1:4">
      <c r="A621" s="49" t="s">
        <v>59</v>
      </c>
      <c r="B621" s="49" t="s">
        <v>712</v>
      </c>
      <c r="C621" s="50">
        <v>3555618005418</v>
      </c>
      <c r="D621" s="49" t="s">
        <v>2356</v>
      </c>
    </row>
    <row r="622" spans="1:4">
      <c r="A622" s="49" t="s">
        <v>59</v>
      </c>
      <c r="B622" s="49" t="s">
        <v>710</v>
      </c>
      <c r="C622" s="50">
        <v>3555618004527</v>
      </c>
      <c r="D622" s="49" t="s">
        <v>2356</v>
      </c>
    </row>
    <row r="623" spans="1:4">
      <c r="A623" s="49" t="s">
        <v>59</v>
      </c>
      <c r="B623" s="49" t="s">
        <v>743</v>
      </c>
      <c r="C623" s="50">
        <v>8790524001298</v>
      </c>
      <c r="D623" s="49" t="s">
        <v>2376</v>
      </c>
    </row>
    <row r="624" spans="1:4">
      <c r="A624" s="49" t="s">
        <v>59</v>
      </c>
      <c r="B624" s="49" t="s">
        <v>2099</v>
      </c>
      <c r="C624" s="50">
        <v>15039764000834</v>
      </c>
      <c r="D624" s="49" t="s">
        <v>2397</v>
      </c>
    </row>
    <row r="625" spans="1:4">
      <c r="A625" s="49" t="s">
        <v>59</v>
      </c>
      <c r="B625" s="49" t="s">
        <v>730</v>
      </c>
      <c r="C625" s="50">
        <v>15039764000753</v>
      </c>
      <c r="D625" s="49" t="s">
        <v>2397</v>
      </c>
    </row>
    <row r="626" spans="1:4">
      <c r="A626" s="49" t="s">
        <v>55</v>
      </c>
      <c r="B626" s="49" t="s">
        <v>1271</v>
      </c>
      <c r="C626" s="50">
        <v>8457462000730</v>
      </c>
      <c r="D626" s="49" t="s">
        <v>2493</v>
      </c>
    </row>
    <row r="627" spans="1:4">
      <c r="A627" s="49" t="s">
        <v>55</v>
      </c>
      <c r="B627" s="49" t="s">
        <v>1214</v>
      </c>
      <c r="C627" s="50">
        <v>18959713001629</v>
      </c>
      <c r="D627" s="49" t="s">
        <v>234</v>
      </c>
    </row>
    <row r="628" spans="1:4">
      <c r="A628" s="49" t="s">
        <v>56</v>
      </c>
      <c r="B628" s="49" t="s">
        <v>581</v>
      </c>
      <c r="C628" s="50">
        <v>33442423000110</v>
      </c>
      <c r="D628" s="49" t="s">
        <v>214</v>
      </c>
    </row>
    <row r="629" spans="1:4">
      <c r="A629" s="49" t="s">
        <v>56</v>
      </c>
      <c r="B629" s="49" t="s">
        <v>566</v>
      </c>
      <c r="C629" s="50">
        <v>53965556000421</v>
      </c>
      <c r="D629" s="49" t="s">
        <v>88</v>
      </c>
    </row>
    <row r="630" spans="1:4">
      <c r="A630" s="49" t="s">
        <v>56</v>
      </c>
      <c r="B630" s="49" t="s">
        <v>519</v>
      </c>
      <c r="C630" s="50">
        <v>26103866000464</v>
      </c>
      <c r="D630" s="49" t="s">
        <v>235</v>
      </c>
    </row>
    <row r="631" spans="1:4">
      <c r="A631" s="49" t="s">
        <v>56</v>
      </c>
      <c r="B631" s="49" t="s">
        <v>470</v>
      </c>
      <c r="C631" s="50">
        <v>26103866000626</v>
      </c>
      <c r="D631" s="49" t="s">
        <v>235</v>
      </c>
    </row>
    <row r="632" spans="1:4">
      <c r="A632" s="49" t="s">
        <v>56</v>
      </c>
      <c r="B632" s="49" t="s">
        <v>456</v>
      </c>
      <c r="C632" s="50">
        <v>26103866000707</v>
      </c>
      <c r="D632" s="49" t="s">
        <v>235</v>
      </c>
    </row>
    <row r="633" spans="1:4">
      <c r="A633" s="49" t="s">
        <v>56</v>
      </c>
      <c r="B633" s="49" t="s">
        <v>553</v>
      </c>
      <c r="C633" s="50">
        <v>26103866000898</v>
      </c>
      <c r="D633" s="49" t="s">
        <v>235</v>
      </c>
    </row>
    <row r="634" spans="1:4">
      <c r="A634" s="49" t="s">
        <v>56</v>
      </c>
      <c r="B634" s="49" t="s">
        <v>560</v>
      </c>
      <c r="C634" s="50">
        <v>10424400000269</v>
      </c>
      <c r="D634" s="49" t="s">
        <v>201</v>
      </c>
    </row>
    <row r="635" spans="1:4">
      <c r="A635" s="49" t="s">
        <v>2074</v>
      </c>
      <c r="B635" s="49" t="s">
        <v>1831</v>
      </c>
      <c r="C635" s="50">
        <v>23869634000695</v>
      </c>
      <c r="D635" s="49" t="s">
        <v>2417</v>
      </c>
    </row>
    <row r="636" spans="1:4">
      <c r="A636" s="49" t="s">
        <v>2074</v>
      </c>
      <c r="B636" s="49" t="s">
        <v>1819</v>
      </c>
      <c r="C636" s="50">
        <v>23869634000776</v>
      </c>
      <c r="D636" s="49" t="s">
        <v>2417</v>
      </c>
    </row>
    <row r="637" spans="1:4">
      <c r="A637" s="49" t="s">
        <v>2074</v>
      </c>
      <c r="B637" s="49" t="s">
        <v>1843</v>
      </c>
      <c r="C637" s="50">
        <v>29686678002529</v>
      </c>
      <c r="D637" s="49" t="s">
        <v>2425</v>
      </c>
    </row>
    <row r="638" spans="1:4">
      <c r="A638" s="49" t="s">
        <v>2074</v>
      </c>
      <c r="B638" s="49" t="s">
        <v>1838</v>
      </c>
      <c r="C638" s="50">
        <v>29686678002871</v>
      </c>
      <c r="D638" s="49" t="s">
        <v>2425</v>
      </c>
    </row>
    <row r="639" spans="1:4">
      <c r="A639" s="49" t="s">
        <v>2074</v>
      </c>
      <c r="B639" s="49" t="s">
        <v>1873</v>
      </c>
      <c r="C639" s="50">
        <v>29686678003096</v>
      </c>
      <c r="D639" s="49" t="s">
        <v>2425</v>
      </c>
    </row>
    <row r="640" spans="1:4">
      <c r="A640" s="49" t="s">
        <v>2074</v>
      </c>
      <c r="B640" s="49" t="s">
        <v>1999</v>
      </c>
      <c r="C640" s="50">
        <v>29686678003177</v>
      </c>
      <c r="D640" s="49" t="s">
        <v>2425</v>
      </c>
    </row>
    <row r="641" spans="1:4">
      <c r="A641" s="49" t="s">
        <v>2074</v>
      </c>
      <c r="B641" s="49" t="s">
        <v>1883</v>
      </c>
      <c r="C641" s="50">
        <v>29686678003258</v>
      </c>
      <c r="D641" s="49" t="s">
        <v>2425</v>
      </c>
    </row>
    <row r="642" spans="1:4">
      <c r="A642" s="49" t="s">
        <v>2074</v>
      </c>
      <c r="B642" s="49" t="s">
        <v>1992</v>
      </c>
      <c r="C642" s="50">
        <v>29686678003509</v>
      </c>
      <c r="D642" s="49" t="s">
        <v>2425</v>
      </c>
    </row>
    <row r="643" spans="1:4">
      <c r="A643" s="49" t="s">
        <v>2074</v>
      </c>
      <c r="B643" s="49" t="s">
        <v>2095</v>
      </c>
      <c r="C643" s="50">
        <v>4132535000339</v>
      </c>
      <c r="D643" s="49" t="s">
        <v>2490</v>
      </c>
    </row>
    <row r="644" spans="1:4">
      <c r="A644" s="49" t="s">
        <v>2074</v>
      </c>
      <c r="B644" s="49" t="s">
        <v>2304</v>
      </c>
      <c r="C644" s="50">
        <v>6788754000487</v>
      </c>
      <c r="D644" s="49" t="s">
        <v>2492</v>
      </c>
    </row>
    <row r="645" spans="1:4">
      <c r="A645" s="49" t="s">
        <v>2074</v>
      </c>
      <c r="B645" s="49" t="s">
        <v>1990</v>
      </c>
      <c r="C645" s="50">
        <v>6971234000596</v>
      </c>
      <c r="D645" s="49" t="s">
        <v>2369</v>
      </c>
    </row>
    <row r="646" spans="1:4">
      <c r="A646" s="49" t="s">
        <v>2074</v>
      </c>
      <c r="B646" s="49" t="s">
        <v>1906</v>
      </c>
      <c r="C646" s="50">
        <v>6971234000677</v>
      </c>
      <c r="D646" s="49" t="s">
        <v>2369</v>
      </c>
    </row>
    <row r="647" spans="1:4">
      <c r="A647" s="49" t="s">
        <v>2074</v>
      </c>
      <c r="B647" s="49" t="s">
        <v>1984</v>
      </c>
      <c r="C647" s="50">
        <v>6971234000758</v>
      </c>
      <c r="D647" s="49" t="s">
        <v>2369</v>
      </c>
    </row>
    <row r="648" spans="1:4">
      <c r="A648" s="49" t="s">
        <v>2074</v>
      </c>
      <c r="B648" s="49" t="s">
        <v>1982</v>
      </c>
      <c r="C648" s="50">
        <v>6971234000839</v>
      </c>
      <c r="D648" s="49" t="s">
        <v>2369</v>
      </c>
    </row>
    <row r="649" spans="1:4">
      <c r="A649" s="49" t="s">
        <v>2074</v>
      </c>
      <c r="B649" s="49" t="s">
        <v>1980</v>
      </c>
      <c r="C649" s="50">
        <v>6971234000910</v>
      </c>
      <c r="D649" s="49" t="s">
        <v>2369</v>
      </c>
    </row>
    <row r="650" spans="1:4">
      <c r="A650" s="49" t="s">
        <v>55</v>
      </c>
      <c r="B650" s="49" t="s">
        <v>1272</v>
      </c>
      <c r="C650" s="50">
        <v>17287005000140</v>
      </c>
      <c r="D650" s="49" t="s">
        <v>138</v>
      </c>
    </row>
    <row r="651" spans="1:4">
      <c r="A651" s="49" t="s">
        <v>2074</v>
      </c>
      <c r="B651" s="49" t="s">
        <v>2054</v>
      </c>
      <c r="C651" s="50">
        <v>50094045000221</v>
      </c>
      <c r="D651" s="49" t="s">
        <v>2488</v>
      </c>
    </row>
    <row r="652" spans="1:4">
      <c r="A652" s="49" t="s">
        <v>60</v>
      </c>
      <c r="B652" s="49" t="s">
        <v>1012</v>
      </c>
      <c r="C652" s="50">
        <v>5923253005896</v>
      </c>
      <c r="D652" s="49" t="s">
        <v>2364</v>
      </c>
    </row>
    <row r="653" spans="1:4">
      <c r="A653" s="49" t="s">
        <v>60</v>
      </c>
      <c r="B653" s="49" t="s">
        <v>963</v>
      </c>
      <c r="C653" s="50">
        <v>5923253007759</v>
      </c>
      <c r="D653" s="49" t="s">
        <v>2364</v>
      </c>
    </row>
    <row r="654" spans="1:4">
      <c r="A654" s="49" t="s">
        <v>56</v>
      </c>
      <c r="B654" s="49" t="s">
        <v>484</v>
      </c>
      <c r="C654" s="50">
        <v>26103866000200</v>
      </c>
      <c r="D654" s="49" t="s">
        <v>235</v>
      </c>
    </row>
    <row r="655" spans="1:4">
      <c r="A655" s="49" t="s">
        <v>56</v>
      </c>
      <c r="B655" s="49" t="s">
        <v>573</v>
      </c>
      <c r="C655" s="50">
        <v>26117255003571</v>
      </c>
      <c r="D655" s="49" t="s">
        <v>228</v>
      </c>
    </row>
    <row r="656" spans="1:4">
      <c r="A656" s="49" t="s">
        <v>56</v>
      </c>
      <c r="B656" s="49" t="s">
        <v>568</v>
      </c>
      <c r="C656" s="50">
        <v>26117255003814</v>
      </c>
      <c r="D656" s="49" t="s">
        <v>228</v>
      </c>
    </row>
    <row r="657" spans="1:4">
      <c r="A657" s="49" t="s">
        <v>56</v>
      </c>
      <c r="B657" s="49" t="s">
        <v>450</v>
      </c>
      <c r="C657" s="50">
        <v>26117255003903</v>
      </c>
      <c r="D657" s="49" t="s">
        <v>228</v>
      </c>
    </row>
    <row r="658" spans="1:4">
      <c r="A658" s="49" t="s">
        <v>56</v>
      </c>
      <c r="B658" s="49" t="s">
        <v>447</v>
      </c>
      <c r="C658" s="50">
        <v>26117255003733</v>
      </c>
      <c r="D658" s="49" t="s">
        <v>228</v>
      </c>
    </row>
    <row r="659" spans="1:4">
      <c r="A659" s="49" t="s">
        <v>56</v>
      </c>
      <c r="B659" s="49" t="s">
        <v>512</v>
      </c>
      <c r="C659" s="50">
        <v>26117255003652</v>
      </c>
      <c r="D659" s="49" t="s">
        <v>228</v>
      </c>
    </row>
    <row r="660" spans="1:4">
      <c r="A660" s="49" t="s">
        <v>56</v>
      </c>
      <c r="B660" s="49" t="s">
        <v>565</v>
      </c>
      <c r="C660" s="50">
        <v>26117255002923</v>
      </c>
      <c r="D660" s="49" t="s">
        <v>228</v>
      </c>
    </row>
    <row r="661" spans="1:4">
      <c r="A661" s="49" t="s">
        <v>62</v>
      </c>
      <c r="B661" s="49" t="s">
        <v>1097</v>
      </c>
      <c r="C661" s="50">
        <v>52837071000147</v>
      </c>
      <c r="D661" s="49" t="s">
        <v>121</v>
      </c>
    </row>
    <row r="662" spans="1:4">
      <c r="A662" s="49" t="s">
        <v>62</v>
      </c>
      <c r="B662" s="49" t="s">
        <v>1068</v>
      </c>
      <c r="C662" s="50">
        <v>52837071000228</v>
      </c>
      <c r="D662" s="49" t="s">
        <v>121</v>
      </c>
    </row>
    <row r="663" spans="1:4">
      <c r="A663" s="49" t="s">
        <v>62</v>
      </c>
      <c r="B663" s="49" t="s">
        <v>1103</v>
      </c>
      <c r="C663" s="50">
        <v>52837071000309</v>
      </c>
      <c r="D663" s="49" t="s">
        <v>121</v>
      </c>
    </row>
    <row r="664" spans="1:4">
      <c r="A664" s="49" t="s">
        <v>62</v>
      </c>
      <c r="B664" s="49" t="s">
        <v>1104</v>
      </c>
      <c r="C664" s="50">
        <v>52837071000490</v>
      </c>
      <c r="D664" s="49" t="s">
        <v>121</v>
      </c>
    </row>
    <row r="665" spans="1:4">
      <c r="A665" s="49" t="s">
        <v>62</v>
      </c>
      <c r="B665" s="49" t="s">
        <v>1078</v>
      </c>
      <c r="C665" s="50">
        <v>29733461000660</v>
      </c>
      <c r="D665" s="49" t="s">
        <v>160</v>
      </c>
    </row>
    <row r="666" spans="1:4">
      <c r="A666" s="49" t="s">
        <v>62</v>
      </c>
      <c r="B666" s="49" t="s">
        <v>1106</v>
      </c>
      <c r="C666" s="50">
        <v>27262123000157</v>
      </c>
      <c r="D666" s="49" t="s">
        <v>122</v>
      </c>
    </row>
    <row r="667" spans="1:4">
      <c r="A667" s="49" t="s">
        <v>62</v>
      </c>
      <c r="B667" s="49" t="s">
        <v>1073</v>
      </c>
      <c r="C667" s="50">
        <v>27262123000238</v>
      </c>
      <c r="D667" s="49" t="s">
        <v>122</v>
      </c>
    </row>
    <row r="668" spans="1:4">
      <c r="A668" s="49" t="s">
        <v>61</v>
      </c>
      <c r="B668" s="49" t="s">
        <v>306</v>
      </c>
      <c r="C668" s="50">
        <v>6371307001823</v>
      </c>
      <c r="D668" s="49" t="s">
        <v>2368</v>
      </c>
    </row>
    <row r="669" spans="1:4">
      <c r="A669" s="49" t="s">
        <v>61</v>
      </c>
      <c r="B669" s="49" t="s">
        <v>310</v>
      </c>
      <c r="C669" s="50">
        <v>6371307001742</v>
      </c>
      <c r="D669" s="49" t="s">
        <v>2368</v>
      </c>
    </row>
    <row r="670" spans="1:4">
      <c r="A670" s="49" t="s">
        <v>61</v>
      </c>
      <c r="B670" s="49" t="s">
        <v>262</v>
      </c>
      <c r="C670" s="50">
        <v>6371307001904</v>
      </c>
      <c r="D670" s="49" t="s">
        <v>2368</v>
      </c>
    </row>
    <row r="671" spans="1:4">
      <c r="A671" s="49" t="s">
        <v>61</v>
      </c>
      <c r="B671" s="49" t="s">
        <v>365</v>
      </c>
      <c r="C671" s="50">
        <v>6371307001661</v>
      </c>
      <c r="D671" s="49" t="s">
        <v>2368</v>
      </c>
    </row>
    <row r="672" spans="1:4">
      <c r="A672" s="49" t="s">
        <v>61</v>
      </c>
      <c r="B672" s="49" t="s">
        <v>384</v>
      </c>
      <c r="C672" s="50">
        <v>49835070000230</v>
      </c>
      <c r="D672" s="49" t="s">
        <v>2329</v>
      </c>
    </row>
    <row r="673" spans="1:4">
      <c r="A673" s="49" t="s">
        <v>61</v>
      </c>
      <c r="B673" s="49" t="s">
        <v>333</v>
      </c>
      <c r="C673" s="50">
        <v>53078668000207</v>
      </c>
      <c r="D673" s="49" t="s">
        <v>2483</v>
      </c>
    </row>
    <row r="674" spans="1:4">
      <c r="A674" s="49" t="s">
        <v>61</v>
      </c>
      <c r="B674" s="49" t="s">
        <v>386</v>
      </c>
      <c r="C674" s="50">
        <v>42508449000105</v>
      </c>
      <c r="D674" s="49" t="s">
        <v>2494</v>
      </c>
    </row>
    <row r="675" spans="1:4">
      <c r="A675" s="49" t="s">
        <v>61</v>
      </c>
      <c r="B675" s="49" t="s">
        <v>359</v>
      </c>
      <c r="C675" s="50">
        <v>36768551000147</v>
      </c>
      <c r="D675" s="49" t="s">
        <v>2495</v>
      </c>
    </row>
    <row r="676" spans="1:4">
      <c r="A676" s="49" t="s">
        <v>61</v>
      </c>
      <c r="B676" s="49" t="s">
        <v>2129</v>
      </c>
      <c r="C676" s="50">
        <v>36768551000651</v>
      </c>
      <c r="D676" s="49" t="s">
        <v>227</v>
      </c>
    </row>
    <row r="677" spans="1:4">
      <c r="A677" s="49" t="s">
        <v>61</v>
      </c>
      <c r="B677" s="49" t="s">
        <v>2117</v>
      </c>
      <c r="C677" s="50">
        <v>36768551000490</v>
      </c>
      <c r="D677" s="49" t="s">
        <v>227</v>
      </c>
    </row>
    <row r="678" spans="1:4">
      <c r="A678" s="49" t="s">
        <v>61</v>
      </c>
      <c r="B678" s="49" t="s">
        <v>361</v>
      </c>
      <c r="C678" s="50">
        <v>54829710000158</v>
      </c>
      <c r="D678" s="49" t="s">
        <v>2496</v>
      </c>
    </row>
    <row r="679" spans="1:4">
      <c r="A679" s="49" t="s">
        <v>55</v>
      </c>
      <c r="B679" s="49" t="s">
        <v>1273</v>
      </c>
      <c r="C679" s="50">
        <v>18959713001700</v>
      </c>
      <c r="D679" s="49" t="s">
        <v>2497</v>
      </c>
    </row>
    <row r="680" spans="1:4">
      <c r="A680" s="49" t="s">
        <v>2074</v>
      </c>
      <c r="B680" s="49" t="s">
        <v>1756</v>
      </c>
      <c r="C680" s="50">
        <v>29686678003762</v>
      </c>
      <c r="D680" s="49" t="s">
        <v>2425</v>
      </c>
    </row>
    <row r="681" spans="1:4">
      <c r="A681" s="49" t="s">
        <v>2074</v>
      </c>
      <c r="B681" s="49" t="s">
        <v>1841</v>
      </c>
      <c r="C681" s="50">
        <v>29686678003410</v>
      </c>
      <c r="D681" s="49" t="s">
        <v>2425</v>
      </c>
    </row>
    <row r="682" spans="1:4">
      <c r="A682" s="49" t="s">
        <v>2074</v>
      </c>
      <c r="B682" s="49" t="s">
        <v>1879</v>
      </c>
      <c r="C682" s="50">
        <v>29686678002790</v>
      </c>
      <c r="D682" s="49" t="s">
        <v>2425</v>
      </c>
    </row>
    <row r="683" spans="1:4">
      <c r="A683" s="49" t="s">
        <v>2074</v>
      </c>
      <c r="B683" s="49" t="s">
        <v>1896</v>
      </c>
      <c r="C683" s="50">
        <v>10722871000849</v>
      </c>
      <c r="D683" s="49" t="s">
        <v>2383</v>
      </c>
    </row>
    <row r="684" spans="1:4">
      <c r="A684" s="49" t="s">
        <v>2074</v>
      </c>
      <c r="B684" s="49" t="s">
        <v>1947</v>
      </c>
      <c r="C684" s="50">
        <v>29686678003924</v>
      </c>
      <c r="D684" s="49" t="s">
        <v>2425</v>
      </c>
    </row>
    <row r="685" spans="1:4">
      <c r="A685" s="49" t="s">
        <v>2074</v>
      </c>
      <c r="B685" s="49" t="s">
        <v>1997</v>
      </c>
      <c r="C685" s="50">
        <v>29686678002600</v>
      </c>
      <c r="D685" s="49" t="s">
        <v>2425</v>
      </c>
    </row>
    <row r="686" spans="1:4">
      <c r="A686" s="49" t="s">
        <v>54</v>
      </c>
      <c r="B686" s="49" t="s">
        <v>1410</v>
      </c>
      <c r="C686" s="50">
        <v>7001184000404</v>
      </c>
      <c r="D686" s="49" t="s">
        <v>2498</v>
      </c>
    </row>
    <row r="687" spans="1:4">
      <c r="A687" s="49" t="s">
        <v>54</v>
      </c>
      <c r="B687" s="49" t="s">
        <v>1730</v>
      </c>
      <c r="C687" s="50">
        <v>7001184000587</v>
      </c>
      <c r="D687" s="49" t="s">
        <v>2498</v>
      </c>
    </row>
    <row r="688" spans="1:4">
      <c r="A688" s="49" t="s">
        <v>54</v>
      </c>
      <c r="B688" s="49" t="s">
        <v>1626</v>
      </c>
      <c r="C688" s="50">
        <v>7001184000234</v>
      </c>
      <c r="D688" s="49" t="s">
        <v>2498</v>
      </c>
    </row>
    <row r="689" spans="1:4">
      <c r="A689" s="49" t="s">
        <v>54</v>
      </c>
      <c r="B689" s="49" t="s">
        <v>1733</v>
      </c>
      <c r="C689" s="50">
        <v>7001184000315</v>
      </c>
      <c r="D689" s="49" t="s">
        <v>2498</v>
      </c>
    </row>
    <row r="690" spans="1:4">
      <c r="A690" s="49" t="s">
        <v>54</v>
      </c>
      <c r="B690" s="49" t="s">
        <v>1711</v>
      </c>
      <c r="C690" s="50">
        <v>7001184000153</v>
      </c>
      <c r="D690" s="49" t="s">
        <v>2498</v>
      </c>
    </row>
    <row r="691" spans="1:4">
      <c r="A691" s="49" t="s">
        <v>54</v>
      </c>
      <c r="B691" s="49" t="s">
        <v>1710</v>
      </c>
      <c r="C691" s="50">
        <v>3530435000136</v>
      </c>
      <c r="D691" s="49" t="s">
        <v>2355</v>
      </c>
    </row>
    <row r="692" spans="1:4">
      <c r="A692" s="49" t="s">
        <v>54</v>
      </c>
      <c r="B692" s="49" t="s">
        <v>1603</v>
      </c>
      <c r="C692" s="50">
        <v>3530435000306</v>
      </c>
      <c r="D692" s="49" t="s">
        <v>2355</v>
      </c>
    </row>
    <row r="693" spans="1:4">
      <c r="A693" s="49" t="s">
        <v>54</v>
      </c>
      <c r="B693" s="49" t="s">
        <v>1539</v>
      </c>
      <c r="C693" s="50">
        <v>3530435000217</v>
      </c>
      <c r="D693" s="49" t="s">
        <v>2355</v>
      </c>
    </row>
    <row r="694" spans="1:4">
      <c r="A694" s="49" t="s">
        <v>53</v>
      </c>
      <c r="B694" s="49" t="s">
        <v>1353</v>
      </c>
      <c r="C694" s="50">
        <v>3243382003007</v>
      </c>
      <c r="D694" s="49" t="s">
        <v>2352</v>
      </c>
    </row>
    <row r="695" spans="1:4">
      <c r="A695" s="49" t="s">
        <v>2074</v>
      </c>
      <c r="B695" s="49" t="s">
        <v>1972</v>
      </c>
      <c r="C695" s="50">
        <v>7614855001638</v>
      </c>
      <c r="D695" s="49" t="s">
        <v>2372</v>
      </c>
    </row>
    <row r="696" spans="1:4">
      <c r="A696" s="49" t="s">
        <v>2074</v>
      </c>
      <c r="B696" s="49" t="s">
        <v>1885</v>
      </c>
      <c r="C696" s="50">
        <v>29686678004068</v>
      </c>
      <c r="D696" s="49" t="s">
        <v>2425</v>
      </c>
    </row>
    <row r="697" spans="1:4">
      <c r="A697" s="49" t="s">
        <v>2074</v>
      </c>
      <c r="B697" s="49" t="s">
        <v>1945</v>
      </c>
      <c r="C697" s="50">
        <v>29686678003843</v>
      </c>
      <c r="D697" s="49" t="s">
        <v>2425</v>
      </c>
    </row>
    <row r="698" spans="1:4">
      <c r="A698" s="49" t="s">
        <v>2074</v>
      </c>
      <c r="B698" s="49" t="s">
        <v>1893</v>
      </c>
      <c r="C698" s="50">
        <v>29686678004149</v>
      </c>
      <c r="D698" s="49" t="s">
        <v>2425</v>
      </c>
    </row>
    <row r="699" spans="1:4">
      <c r="A699" s="49" t="s">
        <v>2074</v>
      </c>
      <c r="B699" s="49" t="s">
        <v>1895</v>
      </c>
      <c r="C699" s="50">
        <v>29686678004220</v>
      </c>
      <c r="D699" s="49" t="s">
        <v>2425</v>
      </c>
    </row>
    <row r="700" spans="1:4">
      <c r="A700" s="49" t="s">
        <v>2074</v>
      </c>
      <c r="B700" s="49" t="s">
        <v>2028</v>
      </c>
      <c r="C700" s="50">
        <v>10478032000908</v>
      </c>
      <c r="D700" s="49" t="s">
        <v>2381</v>
      </c>
    </row>
    <row r="701" spans="1:4">
      <c r="A701" s="49" t="s">
        <v>2074</v>
      </c>
      <c r="B701" s="49" t="s">
        <v>2046</v>
      </c>
      <c r="C701" s="50">
        <v>10478032000746</v>
      </c>
      <c r="D701" s="49" t="s">
        <v>2381</v>
      </c>
    </row>
    <row r="702" spans="1:4">
      <c r="A702" s="49" t="s">
        <v>2074</v>
      </c>
      <c r="B702" s="49" t="s">
        <v>2048</v>
      </c>
      <c r="C702" s="50">
        <v>10478032000827</v>
      </c>
      <c r="D702" s="49" t="s">
        <v>2381</v>
      </c>
    </row>
    <row r="703" spans="1:4">
      <c r="A703" s="49" t="s">
        <v>2074</v>
      </c>
      <c r="B703" s="49" t="s">
        <v>2034</v>
      </c>
      <c r="C703" s="50">
        <v>10478032001041</v>
      </c>
      <c r="D703" s="49" t="s">
        <v>2381</v>
      </c>
    </row>
    <row r="704" spans="1:4">
      <c r="A704" s="49" t="s">
        <v>2074</v>
      </c>
      <c r="B704" s="49" t="s">
        <v>2036</v>
      </c>
      <c r="C704" s="50">
        <v>10478032001122</v>
      </c>
      <c r="D704" s="49" t="s">
        <v>2381</v>
      </c>
    </row>
    <row r="705" spans="1:4">
      <c r="A705" s="49" t="s">
        <v>62</v>
      </c>
      <c r="B705" s="49" t="s">
        <v>2248</v>
      </c>
      <c r="C705" s="50">
        <v>29685489000326</v>
      </c>
      <c r="D705" s="49" t="s">
        <v>127</v>
      </c>
    </row>
    <row r="706" spans="1:4">
      <c r="A706" s="49" t="s">
        <v>62</v>
      </c>
      <c r="B706" s="49" t="s">
        <v>1108</v>
      </c>
      <c r="C706" s="50">
        <v>58092747000105</v>
      </c>
      <c r="D706" s="49" t="s">
        <v>143</v>
      </c>
    </row>
    <row r="707" spans="1:4">
      <c r="A707" s="49" t="s">
        <v>57</v>
      </c>
      <c r="B707" s="49" t="s">
        <v>1903</v>
      </c>
      <c r="C707" s="50">
        <v>5949641008608</v>
      </c>
      <c r="D707" s="49" t="s">
        <v>2489</v>
      </c>
    </row>
    <row r="708" spans="1:4">
      <c r="A708" s="49" t="s">
        <v>53</v>
      </c>
      <c r="B708" s="49" t="s">
        <v>1400</v>
      </c>
      <c r="C708" s="50">
        <v>5949641012974</v>
      </c>
      <c r="D708" s="49" t="s">
        <v>2489</v>
      </c>
    </row>
    <row r="709" spans="1:4">
      <c r="A709" s="49" t="s">
        <v>54</v>
      </c>
      <c r="B709" s="49" t="s">
        <v>1543</v>
      </c>
      <c r="C709" s="50">
        <v>5949641004106</v>
      </c>
      <c r="D709" s="49" t="s">
        <v>2489</v>
      </c>
    </row>
    <row r="710" spans="1:4">
      <c r="A710" s="49" t="s">
        <v>57</v>
      </c>
      <c r="B710" s="49" t="s">
        <v>2014</v>
      </c>
      <c r="C710" s="50">
        <v>5949641005412</v>
      </c>
      <c r="D710" s="49" t="s">
        <v>2489</v>
      </c>
    </row>
    <row r="711" spans="1:4">
      <c r="A711" s="49" t="s">
        <v>54</v>
      </c>
      <c r="B711" s="49" t="s">
        <v>1728</v>
      </c>
      <c r="C711" s="50">
        <v>5949641000887</v>
      </c>
      <c r="D711" s="49" t="s">
        <v>2489</v>
      </c>
    </row>
    <row r="712" spans="1:4">
      <c r="A712" s="49" t="s">
        <v>57</v>
      </c>
      <c r="B712" s="49" t="s">
        <v>2013</v>
      </c>
      <c r="C712" s="50">
        <v>5949641006656</v>
      </c>
      <c r="D712" s="49" t="s">
        <v>2489</v>
      </c>
    </row>
    <row r="713" spans="1:4">
      <c r="A713" s="49" t="s">
        <v>54</v>
      </c>
      <c r="B713" s="49" t="s">
        <v>1637</v>
      </c>
      <c r="C713" s="50">
        <v>5949641010335</v>
      </c>
      <c r="D713" s="49" t="s">
        <v>2489</v>
      </c>
    </row>
    <row r="714" spans="1:4">
      <c r="A714" s="49" t="s">
        <v>53</v>
      </c>
      <c r="B714" s="49" t="s">
        <v>1407</v>
      </c>
      <c r="C714" s="50">
        <v>5949641011145</v>
      </c>
      <c r="D714" s="49" t="s">
        <v>2489</v>
      </c>
    </row>
    <row r="715" spans="1:4">
      <c r="A715" s="49" t="s">
        <v>54</v>
      </c>
      <c r="B715" s="49" t="s">
        <v>1592</v>
      </c>
      <c r="C715" s="50">
        <v>5949641001930</v>
      </c>
      <c r="D715" s="49" t="s">
        <v>2489</v>
      </c>
    </row>
    <row r="716" spans="1:4">
      <c r="A716" s="49" t="s">
        <v>54</v>
      </c>
      <c r="B716" s="49" t="s">
        <v>1537</v>
      </c>
      <c r="C716" s="50">
        <v>5949641003207</v>
      </c>
      <c r="D716" s="49" t="s">
        <v>2489</v>
      </c>
    </row>
    <row r="717" spans="1:4">
      <c r="A717" s="49" t="s">
        <v>54</v>
      </c>
      <c r="B717" s="49" t="s">
        <v>1442</v>
      </c>
      <c r="C717" s="50">
        <v>5949641011498</v>
      </c>
      <c r="D717" s="49" t="s">
        <v>2489</v>
      </c>
    </row>
    <row r="718" spans="1:4">
      <c r="A718" s="49" t="s">
        <v>54</v>
      </c>
      <c r="B718" s="49" t="s">
        <v>1491</v>
      </c>
      <c r="C718" s="50">
        <v>5949641000453</v>
      </c>
      <c r="D718" s="49" t="s">
        <v>2489</v>
      </c>
    </row>
    <row r="719" spans="1:4">
      <c r="A719" s="49" t="s">
        <v>54</v>
      </c>
      <c r="B719" s="49" t="s">
        <v>1649</v>
      </c>
      <c r="C719" s="50">
        <v>5949641000100</v>
      </c>
      <c r="D719" s="49" t="s">
        <v>2489</v>
      </c>
    </row>
    <row r="720" spans="1:4">
      <c r="A720" s="49" t="s">
        <v>54</v>
      </c>
      <c r="B720" s="49" t="s">
        <v>1536</v>
      </c>
      <c r="C720" s="50">
        <v>5949641002669</v>
      </c>
      <c r="D720" s="49" t="s">
        <v>2489</v>
      </c>
    </row>
    <row r="721" spans="1:4">
      <c r="A721" s="49" t="s">
        <v>57</v>
      </c>
      <c r="B721" s="49" t="s">
        <v>1798</v>
      </c>
      <c r="C721" s="50">
        <v>5949641006141</v>
      </c>
      <c r="D721" s="49" t="s">
        <v>2489</v>
      </c>
    </row>
    <row r="722" spans="1:4">
      <c r="A722" s="49" t="s">
        <v>54</v>
      </c>
      <c r="B722" s="49" t="s">
        <v>1588</v>
      </c>
      <c r="C722" s="50">
        <v>5949641000534</v>
      </c>
      <c r="D722" s="49" t="s">
        <v>2489</v>
      </c>
    </row>
    <row r="723" spans="1:4">
      <c r="A723" s="49" t="s">
        <v>53</v>
      </c>
      <c r="B723" s="49" t="s">
        <v>1395</v>
      </c>
      <c r="C723" s="50">
        <v>5949641009400</v>
      </c>
      <c r="D723" s="49" t="s">
        <v>2489</v>
      </c>
    </row>
    <row r="724" spans="1:4">
      <c r="A724" s="49" t="s">
        <v>56</v>
      </c>
      <c r="B724" s="49" t="s">
        <v>563</v>
      </c>
      <c r="C724" s="50">
        <v>5949641008276</v>
      </c>
      <c r="D724" s="49" t="s">
        <v>2489</v>
      </c>
    </row>
    <row r="725" spans="1:4">
      <c r="A725" s="49" t="s">
        <v>57</v>
      </c>
      <c r="B725" s="49" t="s">
        <v>1923</v>
      </c>
      <c r="C725" s="50">
        <v>5949641012460</v>
      </c>
      <c r="D725" s="49" t="s">
        <v>2489</v>
      </c>
    </row>
    <row r="726" spans="1:4">
      <c r="A726" s="49" t="s">
        <v>54</v>
      </c>
      <c r="B726" s="49" t="s">
        <v>1699</v>
      </c>
      <c r="C726" s="50">
        <v>5949641003398</v>
      </c>
      <c r="D726" s="49" t="s">
        <v>2489</v>
      </c>
    </row>
    <row r="727" spans="1:4">
      <c r="A727" s="49" t="s">
        <v>57</v>
      </c>
      <c r="B727" s="49" t="s">
        <v>1956</v>
      </c>
      <c r="C727" s="50">
        <v>5949641012036</v>
      </c>
      <c r="D727" s="49" t="s">
        <v>2489</v>
      </c>
    </row>
    <row r="728" spans="1:4">
      <c r="A728" s="49" t="s">
        <v>53</v>
      </c>
      <c r="B728" s="49" t="s">
        <v>1404</v>
      </c>
      <c r="C728" s="50">
        <v>5949641013512</v>
      </c>
      <c r="D728" s="49" t="s">
        <v>2489</v>
      </c>
    </row>
    <row r="729" spans="1:4">
      <c r="A729" s="49" t="s">
        <v>54</v>
      </c>
      <c r="B729" s="49" t="s">
        <v>1701</v>
      </c>
      <c r="C729" s="50">
        <v>5949641003550</v>
      </c>
      <c r="D729" s="49" t="s">
        <v>2489</v>
      </c>
    </row>
    <row r="730" spans="1:4">
      <c r="A730" s="49" t="s">
        <v>57</v>
      </c>
      <c r="B730" s="49" t="s">
        <v>1804</v>
      </c>
      <c r="C730" s="50">
        <v>5949641013946</v>
      </c>
      <c r="D730" s="49" t="s">
        <v>2489</v>
      </c>
    </row>
    <row r="731" spans="1:4">
      <c r="A731" s="49" t="s">
        <v>57</v>
      </c>
      <c r="B731" s="49" t="s">
        <v>2020</v>
      </c>
      <c r="C731" s="50">
        <v>5949641005846</v>
      </c>
      <c r="D731" s="49" t="s">
        <v>2489</v>
      </c>
    </row>
    <row r="732" spans="1:4">
      <c r="A732" s="49" t="s">
        <v>54</v>
      </c>
      <c r="B732" s="49" t="s">
        <v>1627</v>
      </c>
      <c r="C732" s="50">
        <v>5949641003800</v>
      </c>
      <c r="D732" s="49" t="s">
        <v>2489</v>
      </c>
    </row>
    <row r="733" spans="1:4">
      <c r="A733" s="49" t="s">
        <v>57</v>
      </c>
      <c r="B733" s="49" t="s">
        <v>1953</v>
      </c>
      <c r="C733" s="50">
        <v>5949641012117</v>
      </c>
      <c r="D733" s="49" t="s">
        <v>2489</v>
      </c>
    </row>
    <row r="734" spans="1:4">
      <c r="A734" s="49" t="s">
        <v>57</v>
      </c>
      <c r="B734" s="49" t="s">
        <v>2011</v>
      </c>
      <c r="C734" s="50">
        <v>5949641005927</v>
      </c>
      <c r="D734" s="49" t="s">
        <v>2489</v>
      </c>
    </row>
    <row r="735" spans="1:4">
      <c r="A735" s="49" t="s">
        <v>57</v>
      </c>
      <c r="B735" s="49" t="s">
        <v>1860</v>
      </c>
      <c r="C735" s="50">
        <v>5949641010840</v>
      </c>
      <c r="D735" s="49" t="s">
        <v>2489</v>
      </c>
    </row>
    <row r="736" spans="1:4">
      <c r="A736" s="49" t="s">
        <v>54</v>
      </c>
      <c r="B736" s="49" t="s">
        <v>1526</v>
      </c>
      <c r="C736" s="50">
        <v>5949641001263</v>
      </c>
      <c r="D736" s="49" t="s">
        <v>2489</v>
      </c>
    </row>
    <row r="737" spans="1:4">
      <c r="A737" s="49" t="s">
        <v>54</v>
      </c>
      <c r="B737" s="49" t="s">
        <v>1719</v>
      </c>
      <c r="C737" s="50">
        <v>5949641000968</v>
      </c>
      <c r="D737" s="49" t="s">
        <v>2489</v>
      </c>
    </row>
    <row r="738" spans="1:4">
      <c r="A738" s="49" t="s">
        <v>57</v>
      </c>
      <c r="B738" s="49" t="s">
        <v>1930</v>
      </c>
      <c r="C738" s="50">
        <v>5949641006737</v>
      </c>
      <c r="D738" s="49" t="s">
        <v>2489</v>
      </c>
    </row>
    <row r="739" spans="1:4">
      <c r="A739" s="49" t="s">
        <v>57</v>
      </c>
      <c r="B739" s="49" t="s">
        <v>1794</v>
      </c>
      <c r="C739" s="50">
        <v>5949641006222</v>
      </c>
      <c r="D739" s="49" t="s">
        <v>2489</v>
      </c>
    </row>
    <row r="740" spans="1:4">
      <c r="A740" s="49" t="s">
        <v>57</v>
      </c>
      <c r="B740" s="49" t="s">
        <v>1919</v>
      </c>
      <c r="C740" s="50">
        <v>5949641006060</v>
      </c>
      <c r="D740" s="49" t="s">
        <v>2489</v>
      </c>
    </row>
    <row r="741" spans="1:4">
      <c r="A741" s="49" t="s">
        <v>54</v>
      </c>
      <c r="B741" s="49" t="s">
        <v>1520</v>
      </c>
      <c r="C741" s="50">
        <v>5949641004793</v>
      </c>
      <c r="D741" s="49" t="s">
        <v>2489</v>
      </c>
    </row>
    <row r="742" spans="1:4">
      <c r="A742" s="49" t="s">
        <v>54</v>
      </c>
      <c r="B742" s="49" t="s">
        <v>1644</v>
      </c>
      <c r="C742" s="50">
        <v>5949641003711</v>
      </c>
      <c r="D742" s="49" t="s">
        <v>2489</v>
      </c>
    </row>
    <row r="743" spans="1:4">
      <c r="A743" s="49" t="s">
        <v>57</v>
      </c>
      <c r="B743" s="49" t="s">
        <v>1851</v>
      </c>
      <c r="C743" s="50">
        <v>5949641006303</v>
      </c>
      <c r="D743" s="49" t="s">
        <v>2489</v>
      </c>
    </row>
    <row r="744" spans="1:4">
      <c r="A744" s="49" t="s">
        <v>54</v>
      </c>
      <c r="B744" s="49" t="s">
        <v>1709</v>
      </c>
      <c r="C744" s="50">
        <v>5949641004874</v>
      </c>
      <c r="D744" s="49" t="s">
        <v>2489</v>
      </c>
    </row>
    <row r="745" spans="1:4">
      <c r="A745" s="49" t="s">
        <v>57</v>
      </c>
      <c r="B745" s="49" t="s">
        <v>1809</v>
      </c>
      <c r="C745" s="50">
        <v>5949641014080</v>
      </c>
      <c r="D745" s="49" t="s">
        <v>2489</v>
      </c>
    </row>
    <row r="746" spans="1:4">
      <c r="A746" s="49" t="s">
        <v>57</v>
      </c>
      <c r="B746" s="49" t="s">
        <v>2499</v>
      </c>
      <c r="C746" s="50">
        <v>5949641007709</v>
      </c>
      <c r="D746" s="49" t="s">
        <v>2489</v>
      </c>
    </row>
    <row r="747" spans="1:4">
      <c r="A747" s="49" t="s">
        <v>57</v>
      </c>
      <c r="B747" s="49" t="s">
        <v>2018</v>
      </c>
      <c r="C747" s="50">
        <v>5949641007547</v>
      </c>
      <c r="D747" s="49" t="s">
        <v>2489</v>
      </c>
    </row>
    <row r="748" spans="1:4">
      <c r="A748" s="49" t="s">
        <v>57</v>
      </c>
      <c r="B748" s="49" t="s">
        <v>1854</v>
      </c>
      <c r="C748" s="50">
        <v>5949641010092</v>
      </c>
      <c r="D748" s="49" t="s">
        <v>2489</v>
      </c>
    </row>
    <row r="749" spans="1:4">
      <c r="A749" s="49" t="s">
        <v>56</v>
      </c>
      <c r="B749" s="49" t="s">
        <v>434</v>
      </c>
      <c r="C749" s="50">
        <v>5949641013601</v>
      </c>
      <c r="D749" s="49" t="s">
        <v>2489</v>
      </c>
    </row>
    <row r="750" spans="1:4">
      <c r="A750" s="49" t="s">
        <v>57</v>
      </c>
      <c r="B750" s="49" t="s">
        <v>1807</v>
      </c>
      <c r="C750" s="50">
        <v>5949641014160</v>
      </c>
      <c r="D750" s="49" t="s">
        <v>2489</v>
      </c>
    </row>
    <row r="751" spans="1:4">
      <c r="A751" s="49" t="s">
        <v>57</v>
      </c>
      <c r="B751" s="49" t="s">
        <v>2012</v>
      </c>
      <c r="C751" s="50">
        <v>5949641007032</v>
      </c>
      <c r="D751" s="49" t="s">
        <v>2489</v>
      </c>
    </row>
    <row r="752" spans="1:4">
      <c r="A752" s="49" t="s">
        <v>56</v>
      </c>
      <c r="B752" s="49" t="s">
        <v>476</v>
      </c>
      <c r="C752" s="50">
        <v>5949641008357</v>
      </c>
      <c r="D752" s="49" t="s">
        <v>2489</v>
      </c>
    </row>
    <row r="753" spans="1:4">
      <c r="A753" s="49" t="s">
        <v>56</v>
      </c>
      <c r="B753" s="49" t="s">
        <v>427</v>
      </c>
      <c r="C753" s="50">
        <v>5949641009752</v>
      </c>
      <c r="D753" s="49" t="s">
        <v>2489</v>
      </c>
    </row>
    <row r="754" spans="1:4">
      <c r="A754" s="49" t="s">
        <v>57</v>
      </c>
      <c r="B754" s="49" t="s">
        <v>1920</v>
      </c>
      <c r="C754" s="50">
        <v>5949641005765</v>
      </c>
      <c r="D754" s="49" t="s">
        <v>2489</v>
      </c>
    </row>
    <row r="755" spans="1:4">
      <c r="A755" s="49" t="s">
        <v>57</v>
      </c>
      <c r="B755" s="49" t="s">
        <v>1853</v>
      </c>
      <c r="C755" s="50">
        <v>5949641009671</v>
      </c>
      <c r="D755" s="49" t="s">
        <v>2489</v>
      </c>
    </row>
    <row r="756" spans="1:4">
      <c r="A756" s="49" t="s">
        <v>54</v>
      </c>
      <c r="B756" s="49" t="s">
        <v>1606</v>
      </c>
      <c r="C756" s="50">
        <v>5949641003983</v>
      </c>
      <c r="D756" s="49" t="s">
        <v>2489</v>
      </c>
    </row>
    <row r="757" spans="1:4">
      <c r="A757" s="49" t="s">
        <v>57</v>
      </c>
      <c r="B757" s="49" t="s">
        <v>1866</v>
      </c>
      <c r="C757" s="50">
        <v>5949641007628</v>
      </c>
      <c r="D757" s="49" t="s">
        <v>2489</v>
      </c>
    </row>
    <row r="758" spans="1:4">
      <c r="A758" s="49" t="s">
        <v>57</v>
      </c>
      <c r="B758" s="49" t="s">
        <v>1921</v>
      </c>
      <c r="C758" s="50">
        <v>5949641008861</v>
      </c>
      <c r="D758" s="49" t="s">
        <v>2489</v>
      </c>
    </row>
    <row r="759" spans="1:4">
      <c r="A759" s="49" t="s">
        <v>54</v>
      </c>
      <c r="B759" s="49" t="s">
        <v>1460</v>
      </c>
      <c r="C759" s="50">
        <v>5949641004289</v>
      </c>
      <c r="D759" s="49" t="s">
        <v>2489</v>
      </c>
    </row>
    <row r="760" spans="1:4">
      <c r="A760" s="49" t="s">
        <v>54</v>
      </c>
      <c r="B760" s="49" t="s">
        <v>1418</v>
      </c>
      <c r="C760" s="50">
        <v>5949641004360</v>
      </c>
      <c r="D760" s="49" t="s">
        <v>2489</v>
      </c>
    </row>
    <row r="761" spans="1:4">
      <c r="A761" s="49" t="s">
        <v>54</v>
      </c>
      <c r="B761" s="49" t="s">
        <v>1425</v>
      </c>
      <c r="C761" s="50">
        <v>5949641004955</v>
      </c>
      <c r="D761" s="49" t="s">
        <v>2489</v>
      </c>
    </row>
    <row r="762" spans="1:4">
      <c r="A762" s="49" t="s">
        <v>54</v>
      </c>
      <c r="B762" s="49" t="s">
        <v>1562</v>
      </c>
      <c r="C762" s="50">
        <v>5949641002588</v>
      </c>
      <c r="D762" s="49" t="s">
        <v>2489</v>
      </c>
    </row>
    <row r="763" spans="1:4">
      <c r="A763" s="49" t="s">
        <v>57</v>
      </c>
      <c r="B763" s="49" t="s">
        <v>1806</v>
      </c>
      <c r="C763" s="50">
        <v>5949641013865</v>
      </c>
      <c r="D763" s="49" t="s">
        <v>2489</v>
      </c>
    </row>
    <row r="764" spans="1:4">
      <c r="A764" s="49" t="s">
        <v>57</v>
      </c>
      <c r="B764" s="49" t="s">
        <v>1800</v>
      </c>
      <c r="C764" s="50">
        <v>5949641009914</v>
      </c>
      <c r="D764" s="49" t="s">
        <v>2489</v>
      </c>
    </row>
    <row r="765" spans="1:4">
      <c r="A765" s="49" t="s">
        <v>56</v>
      </c>
      <c r="B765" s="49" t="s">
        <v>528</v>
      </c>
      <c r="C765" s="50">
        <v>5949641008004</v>
      </c>
      <c r="D765" s="49" t="s">
        <v>2489</v>
      </c>
    </row>
    <row r="766" spans="1:4">
      <c r="A766" s="49" t="s">
        <v>57</v>
      </c>
      <c r="B766" s="49" t="s">
        <v>1865</v>
      </c>
      <c r="C766" s="50">
        <v>5949641006907</v>
      </c>
      <c r="D766" s="49" t="s">
        <v>2489</v>
      </c>
    </row>
    <row r="767" spans="1:4">
      <c r="A767" s="49" t="s">
        <v>54</v>
      </c>
      <c r="B767" s="49" t="s">
        <v>1433</v>
      </c>
      <c r="C767" s="50">
        <v>5949641010416</v>
      </c>
      <c r="D767" s="49" t="s">
        <v>2489</v>
      </c>
    </row>
    <row r="768" spans="1:4">
      <c r="A768" s="49" t="s">
        <v>57</v>
      </c>
      <c r="B768" s="49" t="s">
        <v>1862</v>
      </c>
      <c r="C768" s="50">
        <v>5949641010173</v>
      </c>
      <c r="D768" s="49" t="s">
        <v>2489</v>
      </c>
    </row>
    <row r="769" spans="1:4">
      <c r="A769" s="49" t="s">
        <v>57</v>
      </c>
      <c r="B769" s="49" t="s">
        <v>1922</v>
      </c>
      <c r="C769" s="50">
        <v>5949641008942</v>
      </c>
      <c r="D769" s="49" t="s">
        <v>2489</v>
      </c>
    </row>
    <row r="770" spans="1:4">
      <c r="A770" s="49" t="s">
        <v>54</v>
      </c>
      <c r="B770" s="49" t="s">
        <v>1553</v>
      </c>
      <c r="C770" s="50">
        <v>5949641005099</v>
      </c>
      <c r="D770" s="49" t="s">
        <v>2489</v>
      </c>
    </row>
    <row r="771" spans="1:4">
      <c r="A771" s="49" t="s">
        <v>54</v>
      </c>
      <c r="B771" s="49" t="s">
        <v>1452</v>
      </c>
      <c r="C771" s="50">
        <v>5949641007385</v>
      </c>
      <c r="D771" s="49" t="s">
        <v>2489</v>
      </c>
    </row>
    <row r="772" spans="1:4">
      <c r="A772" s="49" t="s">
        <v>54</v>
      </c>
      <c r="B772" s="49" t="s">
        <v>1427</v>
      </c>
      <c r="C772" s="50">
        <v>5923253006949</v>
      </c>
      <c r="D772" s="49" t="s">
        <v>2364</v>
      </c>
    </row>
    <row r="773" spans="1:4">
      <c r="A773" s="49" t="s">
        <v>54</v>
      </c>
      <c r="B773" s="49" t="s">
        <v>1641</v>
      </c>
      <c r="C773" s="50">
        <v>3243382004755</v>
      </c>
      <c r="D773" s="49" t="s">
        <v>2352</v>
      </c>
    </row>
    <row r="774" spans="1:4">
      <c r="A774" s="49" t="s">
        <v>54</v>
      </c>
      <c r="B774" s="49" t="s">
        <v>1615</v>
      </c>
      <c r="C774" s="50">
        <v>3243382004674</v>
      </c>
      <c r="D774" s="49" t="s">
        <v>2352</v>
      </c>
    </row>
    <row r="775" spans="1:4">
      <c r="A775" s="49" t="s">
        <v>61</v>
      </c>
      <c r="B775" s="49" t="s">
        <v>405</v>
      </c>
      <c r="C775" s="50">
        <v>6371307002200</v>
      </c>
      <c r="D775" s="49" t="s">
        <v>2368</v>
      </c>
    </row>
    <row r="776" spans="1:4">
      <c r="A776" s="49" t="s">
        <v>61</v>
      </c>
      <c r="B776" s="49" t="s">
        <v>379</v>
      </c>
      <c r="C776" s="50">
        <v>14139585000482</v>
      </c>
      <c r="D776" s="49" t="s">
        <v>2500</v>
      </c>
    </row>
    <row r="777" spans="1:4">
      <c r="A777" s="49" t="s">
        <v>61</v>
      </c>
      <c r="B777" s="49" t="s">
        <v>402</v>
      </c>
      <c r="C777" s="50">
        <v>36768551000732</v>
      </c>
      <c r="D777" s="49" t="s">
        <v>181</v>
      </c>
    </row>
    <row r="778" spans="1:4">
      <c r="A778" s="49" t="s">
        <v>61</v>
      </c>
      <c r="B778" s="49" t="s">
        <v>404</v>
      </c>
      <c r="C778" s="50">
        <v>6371307002048</v>
      </c>
      <c r="D778" s="49" t="s">
        <v>2368</v>
      </c>
    </row>
    <row r="779" spans="1:4">
      <c r="A779" s="49" t="s">
        <v>61</v>
      </c>
      <c r="B779" s="49" t="s">
        <v>297</v>
      </c>
      <c r="C779" s="50">
        <v>3006494002153</v>
      </c>
      <c r="D779" s="49" t="s">
        <v>238</v>
      </c>
    </row>
    <row r="780" spans="1:4">
      <c r="A780" s="49" t="s">
        <v>61</v>
      </c>
      <c r="B780" s="49" t="s">
        <v>407</v>
      </c>
      <c r="C780" s="50">
        <v>6371307002129</v>
      </c>
      <c r="D780" s="49" t="s">
        <v>2368</v>
      </c>
    </row>
    <row r="781" spans="1:4">
      <c r="A781" s="49" t="s">
        <v>61</v>
      </c>
      <c r="B781" s="49" t="s">
        <v>397</v>
      </c>
      <c r="C781" s="50">
        <v>14652581000312</v>
      </c>
      <c r="D781" s="49" t="s">
        <v>2395</v>
      </c>
    </row>
    <row r="782" spans="1:4">
      <c r="A782" s="49" t="s">
        <v>61</v>
      </c>
      <c r="B782" s="49" t="s">
        <v>328</v>
      </c>
      <c r="C782" s="50">
        <v>38165292000357</v>
      </c>
      <c r="D782" s="49" t="s">
        <v>2501</v>
      </c>
    </row>
    <row r="783" spans="1:4">
      <c r="A783" s="49" t="s">
        <v>61</v>
      </c>
      <c r="B783" s="49" t="s">
        <v>399</v>
      </c>
      <c r="C783" s="50">
        <v>36768551000813</v>
      </c>
      <c r="D783" s="49" t="s">
        <v>181</v>
      </c>
    </row>
    <row r="784" spans="1:4">
      <c r="A784" s="49" t="s">
        <v>61</v>
      </c>
      <c r="B784" s="49" t="s">
        <v>410</v>
      </c>
      <c r="C784" s="50">
        <v>3006494002234</v>
      </c>
      <c r="D784" s="49" t="s">
        <v>238</v>
      </c>
    </row>
    <row r="785" spans="1:4">
      <c r="A785" s="49" t="s">
        <v>56</v>
      </c>
      <c r="B785" s="49" t="s">
        <v>595</v>
      </c>
      <c r="C785" s="50" t="s">
        <v>2502</v>
      </c>
      <c r="D785" s="49" t="s">
        <v>2356</v>
      </c>
    </row>
    <row r="786" spans="1:4">
      <c r="A786" s="49" t="s">
        <v>62</v>
      </c>
      <c r="B786" s="49" t="s">
        <v>1117</v>
      </c>
      <c r="C786" s="50">
        <v>58092747000520</v>
      </c>
      <c r="D786" s="49" t="s">
        <v>143</v>
      </c>
    </row>
    <row r="787" spans="1:4">
      <c r="A787" s="49" t="s">
        <v>54</v>
      </c>
      <c r="B787" s="49" t="s">
        <v>1735</v>
      </c>
      <c r="C787" s="50">
        <v>3243382004402</v>
      </c>
      <c r="D787" s="49" t="s">
        <v>2352</v>
      </c>
    </row>
    <row r="788" spans="1:4">
      <c r="A788" s="49" t="s">
        <v>60</v>
      </c>
      <c r="B788" s="49" t="s">
        <v>970</v>
      </c>
      <c r="C788" s="50" t="s">
        <v>2503</v>
      </c>
      <c r="D788" s="49" t="s">
        <v>2504</v>
      </c>
    </row>
    <row r="789" spans="1:4">
      <c r="A789" s="49" t="s">
        <v>60</v>
      </c>
      <c r="B789" s="49" t="s">
        <v>977</v>
      </c>
      <c r="C789" s="50" t="s">
        <v>2505</v>
      </c>
      <c r="D789" s="49" t="s">
        <v>2506</v>
      </c>
    </row>
    <row r="790" spans="1:4">
      <c r="A790" s="49" t="s">
        <v>60</v>
      </c>
      <c r="B790" s="49" t="s">
        <v>980</v>
      </c>
      <c r="C790" s="50" t="s">
        <v>2507</v>
      </c>
      <c r="D790" s="49" t="s">
        <v>2508</v>
      </c>
    </row>
    <row r="791" spans="1:4">
      <c r="A791" s="49" t="s">
        <v>60</v>
      </c>
      <c r="B791" s="49" t="s">
        <v>2180</v>
      </c>
      <c r="C791" s="50" t="s">
        <v>2509</v>
      </c>
      <c r="D791" s="49" t="s">
        <v>2510</v>
      </c>
    </row>
    <row r="792" spans="1:4">
      <c r="A792" s="49" t="s">
        <v>60</v>
      </c>
      <c r="B792" s="49" t="s">
        <v>2109</v>
      </c>
      <c r="C792" s="50" t="s">
        <v>2511</v>
      </c>
      <c r="D792" s="49" t="s">
        <v>2512</v>
      </c>
    </row>
    <row r="793" spans="1:4">
      <c r="A793" s="49" t="s">
        <v>60</v>
      </c>
      <c r="B793" s="49" t="s">
        <v>945</v>
      </c>
      <c r="C793" s="50" t="s">
        <v>2513</v>
      </c>
      <c r="D793" s="49" t="s">
        <v>2514</v>
      </c>
    </row>
    <row r="794" spans="1:4">
      <c r="A794" s="49" t="s">
        <v>60</v>
      </c>
      <c r="B794" s="49" t="s">
        <v>998</v>
      </c>
      <c r="C794" s="50" t="s">
        <v>2515</v>
      </c>
      <c r="D794" s="49" t="s">
        <v>2516</v>
      </c>
    </row>
    <row r="795" spans="1:4">
      <c r="A795" s="49" t="s">
        <v>60</v>
      </c>
      <c r="B795" s="49" t="s">
        <v>1006</v>
      </c>
      <c r="C795" s="50" t="s">
        <v>2517</v>
      </c>
      <c r="D795" s="49" t="s">
        <v>2518</v>
      </c>
    </row>
    <row r="796" spans="1:4">
      <c r="A796" s="49" t="s">
        <v>60</v>
      </c>
      <c r="B796" s="49" t="s">
        <v>1008</v>
      </c>
      <c r="C796" s="50" t="s">
        <v>2519</v>
      </c>
      <c r="D796" s="49" t="s">
        <v>2520</v>
      </c>
    </row>
    <row r="797" spans="1:4">
      <c r="A797" s="49" t="s">
        <v>60</v>
      </c>
      <c r="B797" s="49" t="s">
        <v>954</v>
      </c>
      <c r="C797" s="50" t="s">
        <v>2521</v>
      </c>
      <c r="D797" s="49" t="s">
        <v>2522</v>
      </c>
    </row>
    <row r="798" spans="1:4">
      <c r="A798" s="49" t="s">
        <v>60</v>
      </c>
      <c r="B798" s="49" t="s">
        <v>1013</v>
      </c>
      <c r="C798" s="50" t="s">
        <v>2523</v>
      </c>
      <c r="D798" s="49" t="s">
        <v>2524</v>
      </c>
    </row>
    <row r="799" spans="1:4">
      <c r="A799" s="49" t="s">
        <v>60</v>
      </c>
      <c r="B799" s="49" t="s">
        <v>1020</v>
      </c>
      <c r="C799" s="50" t="s">
        <v>2525</v>
      </c>
      <c r="D799" s="49" t="s">
        <v>2526</v>
      </c>
    </row>
    <row r="800" spans="1:4">
      <c r="A800" s="49" t="s">
        <v>60</v>
      </c>
      <c r="B800" s="49" t="s">
        <v>1026</v>
      </c>
      <c r="C800" s="50" t="s">
        <v>2527</v>
      </c>
      <c r="D800" s="49" t="s">
        <v>2528</v>
      </c>
    </row>
    <row r="801" spans="1:4">
      <c r="A801" s="49" t="s">
        <v>60</v>
      </c>
      <c r="B801" s="49" t="s">
        <v>959</v>
      </c>
      <c r="C801" s="50" t="s">
        <v>2529</v>
      </c>
      <c r="D801" s="49" t="s">
        <v>2530</v>
      </c>
    </row>
    <row r="802" spans="1:4">
      <c r="A802" s="49" t="s">
        <v>60</v>
      </c>
      <c r="B802" s="49" t="s">
        <v>1030</v>
      </c>
      <c r="C802" s="50" t="s">
        <v>2531</v>
      </c>
      <c r="D802" s="49" t="s">
        <v>2532</v>
      </c>
    </row>
    <row r="803" spans="1:4">
      <c r="A803" s="49" t="s">
        <v>60</v>
      </c>
      <c r="B803" s="49" t="s">
        <v>1034</v>
      </c>
      <c r="C803" s="50" t="s">
        <v>2533</v>
      </c>
      <c r="D803" s="49" t="s">
        <v>2534</v>
      </c>
    </row>
    <row r="804" spans="1:4">
      <c r="A804" s="49" t="s">
        <v>60</v>
      </c>
      <c r="B804" s="49" t="s">
        <v>1036</v>
      </c>
      <c r="C804" s="50" t="s">
        <v>2535</v>
      </c>
      <c r="D804" s="49" t="s">
        <v>2536</v>
      </c>
    </row>
    <row r="805" spans="1:4">
      <c r="A805" s="49" t="s">
        <v>60</v>
      </c>
      <c r="B805" s="49" t="s">
        <v>1040</v>
      </c>
      <c r="C805" s="50" t="s">
        <v>2537</v>
      </c>
      <c r="D805" s="49" t="s">
        <v>2522</v>
      </c>
    </row>
    <row r="806" spans="1:4">
      <c r="A806" s="49" t="s">
        <v>60</v>
      </c>
      <c r="B806" s="49" t="s">
        <v>1043</v>
      </c>
      <c r="C806" s="50" t="s">
        <v>2538</v>
      </c>
      <c r="D806" s="49" t="s">
        <v>2539</v>
      </c>
    </row>
    <row r="807" spans="1:4">
      <c r="A807" s="49" t="s">
        <v>60</v>
      </c>
      <c r="B807" s="49" t="s">
        <v>1044</v>
      </c>
      <c r="C807" s="50" t="s">
        <v>2540</v>
      </c>
      <c r="D807" s="49" t="s">
        <v>2541</v>
      </c>
    </row>
    <row r="808" spans="1:4">
      <c r="A808" s="49" t="s">
        <v>60</v>
      </c>
      <c r="B808" s="49" t="s">
        <v>1046</v>
      </c>
      <c r="C808" s="50" t="s">
        <v>2542</v>
      </c>
      <c r="D808" s="49" t="s">
        <v>2543</v>
      </c>
    </row>
    <row r="809" spans="1:4">
      <c r="A809" s="49" t="s">
        <v>60</v>
      </c>
      <c r="B809" s="49" t="s">
        <v>1047</v>
      </c>
      <c r="C809" s="50" t="s">
        <v>2544</v>
      </c>
      <c r="D809" s="49" t="s">
        <v>2545</v>
      </c>
    </row>
    <row r="810" spans="1:4">
      <c r="A810" s="49" t="s">
        <v>60</v>
      </c>
      <c r="B810" s="49" t="s">
        <v>966</v>
      </c>
      <c r="C810" s="50" t="s">
        <v>2546</v>
      </c>
      <c r="D810" s="49" t="s">
        <v>2547</v>
      </c>
    </row>
    <row r="811" spans="1:4">
      <c r="A811" s="49" t="s">
        <v>55</v>
      </c>
      <c r="B811" s="49" t="s">
        <v>1282</v>
      </c>
      <c r="C811" s="50">
        <v>26117255004381</v>
      </c>
      <c r="D811" s="49" t="s">
        <v>2420</v>
      </c>
    </row>
    <row r="812" spans="1:4">
      <c r="A812" s="49" t="s">
        <v>55</v>
      </c>
      <c r="B812" s="49" t="s">
        <v>1284</v>
      </c>
      <c r="C812" s="50">
        <v>26117255004462</v>
      </c>
      <c r="D812" s="49" t="s">
        <v>2420</v>
      </c>
    </row>
    <row r="813" spans="1:4">
      <c r="A813" s="49" t="s">
        <v>55</v>
      </c>
      <c r="B813" s="49" t="s">
        <v>1276</v>
      </c>
      <c r="C813" s="50">
        <v>26117255004705</v>
      </c>
      <c r="D813" s="49" t="s">
        <v>2420</v>
      </c>
    </row>
    <row r="814" spans="1:4">
      <c r="A814" s="49" t="s">
        <v>55</v>
      </c>
      <c r="B814" s="49" t="s">
        <v>1281</v>
      </c>
      <c r="C814" s="50">
        <v>26117255004896</v>
      </c>
      <c r="D814" s="49" t="s">
        <v>2420</v>
      </c>
    </row>
    <row r="815" spans="1:4">
      <c r="A815" s="49" t="s">
        <v>55</v>
      </c>
      <c r="B815" s="49" t="s">
        <v>1183</v>
      </c>
      <c r="C815" s="50">
        <v>26117255004624</v>
      </c>
      <c r="D815" s="49" t="s">
        <v>2420</v>
      </c>
    </row>
    <row r="816" spans="1:4">
      <c r="A816" s="49" t="s">
        <v>55</v>
      </c>
      <c r="B816" s="49" t="s">
        <v>1277</v>
      </c>
      <c r="C816" s="50">
        <v>26117255004209</v>
      </c>
      <c r="D816" s="49" t="s">
        <v>2420</v>
      </c>
    </row>
    <row r="817" spans="1:4">
      <c r="A817" s="49" t="s">
        <v>55</v>
      </c>
      <c r="B817" s="49" t="s">
        <v>1279</v>
      </c>
      <c r="C817" s="50">
        <v>26117255004543</v>
      </c>
      <c r="D817" s="49" t="s">
        <v>2420</v>
      </c>
    </row>
    <row r="818" spans="1:4">
      <c r="A818" s="49" t="s">
        <v>55</v>
      </c>
      <c r="B818" s="49" t="s">
        <v>1275</v>
      </c>
      <c r="C818" s="50">
        <v>26117255004977</v>
      </c>
      <c r="D818" s="49" t="s">
        <v>2420</v>
      </c>
    </row>
    <row r="819" spans="1:4">
      <c r="A819" s="49" t="s">
        <v>53</v>
      </c>
      <c r="B819" s="49" t="s">
        <v>1332</v>
      </c>
      <c r="C819" s="50">
        <v>21848907001580</v>
      </c>
      <c r="D819" s="49" t="s">
        <v>2407</v>
      </c>
    </row>
    <row r="820" spans="1:4">
      <c r="A820" s="49" t="s">
        <v>53</v>
      </c>
      <c r="B820" s="49" t="s">
        <v>1335</v>
      </c>
      <c r="C820" s="50">
        <v>21848907001904</v>
      </c>
      <c r="D820" s="49" t="s">
        <v>2407</v>
      </c>
    </row>
    <row r="821" spans="1:4">
      <c r="A821" s="49" t="s">
        <v>54</v>
      </c>
      <c r="B821" s="49" t="s">
        <v>1617</v>
      </c>
      <c r="C821" s="50">
        <v>5949641013008</v>
      </c>
      <c r="D821" s="49" t="s">
        <v>2548</v>
      </c>
    </row>
    <row r="822" spans="1:4">
      <c r="A822" s="49" t="s">
        <v>54</v>
      </c>
      <c r="B822" s="49" t="s">
        <v>1541</v>
      </c>
      <c r="C822" s="50">
        <v>5949641014403</v>
      </c>
      <c r="D822" s="49" t="s">
        <v>2548</v>
      </c>
    </row>
    <row r="823" spans="1:4">
      <c r="A823" s="49" t="s">
        <v>54</v>
      </c>
      <c r="B823" s="49" t="s">
        <v>1597</v>
      </c>
      <c r="C823" s="50">
        <v>5949641014322</v>
      </c>
      <c r="D823" s="49" t="s">
        <v>2548</v>
      </c>
    </row>
    <row r="824" spans="1:4">
      <c r="A824" s="49" t="s">
        <v>54</v>
      </c>
      <c r="B824" s="49" t="s">
        <v>1720</v>
      </c>
      <c r="C824" s="50">
        <v>5949641014241</v>
      </c>
      <c r="D824" s="49" t="s">
        <v>2548</v>
      </c>
    </row>
    <row r="825" spans="1:4">
      <c r="A825" s="49" t="s">
        <v>54</v>
      </c>
      <c r="B825" s="49" t="s">
        <v>1534</v>
      </c>
      <c r="C825" s="50">
        <v>5949641014675</v>
      </c>
      <c r="D825" s="49" t="s">
        <v>2548</v>
      </c>
    </row>
    <row r="826" spans="1:4">
      <c r="A826" s="49" t="s">
        <v>54</v>
      </c>
      <c r="B826" s="49" t="s">
        <v>1739</v>
      </c>
      <c r="C826" s="50">
        <v>5949641004440</v>
      </c>
      <c r="D826" s="49" t="s">
        <v>2548</v>
      </c>
    </row>
    <row r="827" spans="1:4">
      <c r="A827" s="49" t="s">
        <v>54</v>
      </c>
      <c r="B827" s="49" t="s">
        <v>1576</v>
      </c>
      <c r="C827" s="50">
        <v>5949641004521</v>
      </c>
      <c r="D827" s="49" t="s">
        <v>2548</v>
      </c>
    </row>
    <row r="828" spans="1:4">
      <c r="A828" s="49" t="s">
        <v>54</v>
      </c>
      <c r="B828" s="49" t="s">
        <v>1572</v>
      </c>
      <c r="C828" s="50">
        <v>5949641002405</v>
      </c>
      <c r="D828" s="49" t="s">
        <v>2548</v>
      </c>
    </row>
    <row r="829" spans="1:4">
      <c r="A829" s="49" t="s">
        <v>54</v>
      </c>
      <c r="B829" s="49" t="s">
        <v>1532</v>
      </c>
      <c r="C829" s="50">
        <v>5949641003045</v>
      </c>
      <c r="D829" s="49" t="s">
        <v>2548</v>
      </c>
    </row>
    <row r="830" spans="1:4">
      <c r="A830" s="49" t="s">
        <v>57</v>
      </c>
      <c r="B830" s="49" t="s">
        <v>2015</v>
      </c>
      <c r="C830" s="50">
        <v>5949641005170</v>
      </c>
      <c r="D830" s="49" t="s">
        <v>2548</v>
      </c>
    </row>
    <row r="831" spans="1:4">
      <c r="A831" s="49" t="s">
        <v>57</v>
      </c>
      <c r="B831" s="49" t="s">
        <v>1845</v>
      </c>
      <c r="C831" s="50">
        <v>5949641006494</v>
      </c>
      <c r="D831" s="49" t="s">
        <v>2548</v>
      </c>
    </row>
    <row r="832" spans="1:4">
      <c r="A832" s="49" t="s">
        <v>57</v>
      </c>
      <c r="B832" s="49" t="s">
        <v>1917</v>
      </c>
      <c r="C832" s="50">
        <v>5949641006818</v>
      </c>
      <c r="D832" s="49" t="s">
        <v>2548</v>
      </c>
    </row>
    <row r="833" spans="1:4">
      <c r="A833" s="49" t="s">
        <v>56</v>
      </c>
      <c r="B833" s="49" t="s">
        <v>540</v>
      </c>
      <c r="C833" s="50">
        <v>5949641008438</v>
      </c>
      <c r="D833" s="49" t="s">
        <v>2548</v>
      </c>
    </row>
    <row r="834" spans="1:4">
      <c r="A834" s="49" t="s">
        <v>54</v>
      </c>
      <c r="B834" s="49" t="s">
        <v>1478</v>
      </c>
      <c r="C834" s="50">
        <v>5949641008780</v>
      </c>
      <c r="D834" s="49" t="s">
        <v>2548</v>
      </c>
    </row>
    <row r="835" spans="1:4">
      <c r="A835" s="49" t="s">
        <v>53</v>
      </c>
      <c r="B835" s="49" t="s">
        <v>1397</v>
      </c>
      <c r="C835" s="50">
        <v>5949641010688</v>
      </c>
      <c r="D835" s="49" t="s">
        <v>2548</v>
      </c>
    </row>
    <row r="836" spans="1:4">
      <c r="A836" s="49" t="s">
        <v>57</v>
      </c>
      <c r="B836" s="49" t="s">
        <v>1907</v>
      </c>
      <c r="C836" s="50">
        <v>5949641010769</v>
      </c>
      <c r="D836" s="49" t="s">
        <v>2548</v>
      </c>
    </row>
    <row r="837" spans="1:4">
      <c r="A837" s="49" t="s">
        <v>53</v>
      </c>
      <c r="B837" s="49" t="s">
        <v>1403</v>
      </c>
      <c r="C837" s="50">
        <v>5949641010920</v>
      </c>
      <c r="D837" s="49" t="s">
        <v>2548</v>
      </c>
    </row>
    <row r="838" spans="1:4">
      <c r="A838" s="49" t="s">
        <v>54</v>
      </c>
      <c r="B838" s="49" t="s">
        <v>1584</v>
      </c>
      <c r="C838" s="50">
        <v>5949641011307</v>
      </c>
      <c r="D838" s="49" t="s">
        <v>2548</v>
      </c>
    </row>
    <row r="839" spans="1:4">
      <c r="A839" s="49" t="s">
        <v>54</v>
      </c>
      <c r="B839" s="49" t="s">
        <v>1613</v>
      </c>
      <c r="C839" s="50">
        <v>5949641011579</v>
      </c>
      <c r="D839" s="49" t="s">
        <v>2548</v>
      </c>
    </row>
    <row r="840" spans="1:4">
      <c r="A840" s="49" t="s">
        <v>54</v>
      </c>
      <c r="B840" s="49" t="s">
        <v>1447</v>
      </c>
      <c r="C840" s="50">
        <v>5949641011650</v>
      </c>
      <c r="D840" s="49" t="s">
        <v>2548</v>
      </c>
    </row>
    <row r="841" spans="1:4">
      <c r="A841" s="49" t="s">
        <v>57</v>
      </c>
      <c r="B841" s="49" t="s">
        <v>1858</v>
      </c>
      <c r="C841" s="50">
        <v>5949641012206</v>
      </c>
      <c r="D841" s="49" t="s">
        <v>2548</v>
      </c>
    </row>
    <row r="842" spans="1:4">
      <c r="A842" s="49" t="s">
        <v>57</v>
      </c>
      <c r="B842" s="49" t="s">
        <v>1857</v>
      </c>
      <c r="C842" s="50">
        <v>5949641012389</v>
      </c>
      <c r="D842" s="49" t="s">
        <v>2548</v>
      </c>
    </row>
    <row r="843" spans="1:4">
      <c r="A843" s="49" t="s">
        <v>57</v>
      </c>
      <c r="B843" s="49" t="s">
        <v>1849</v>
      </c>
      <c r="C843" s="50">
        <v>5949641012540</v>
      </c>
      <c r="D843" s="49" t="s">
        <v>2548</v>
      </c>
    </row>
    <row r="844" spans="1:4">
      <c r="A844" s="49" t="s">
        <v>54</v>
      </c>
      <c r="B844" s="49" t="s">
        <v>1582</v>
      </c>
      <c r="C844" s="50">
        <v>5949641013270</v>
      </c>
      <c r="D844" s="49" t="s">
        <v>2548</v>
      </c>
    </row>
    <row r="845" spans="1:4">
      <c r="A845" s="49" t="s">
        <v>56</v>
      </c>
      <c r="B845" s="49" t="s">
        <v>564</v>
      </c>
      <c r="C845" s="50">
        <v>5949641013350</v>
      </c>
      <c r="D845" s="49" t="s">
        <v>2548</v>
      </c>
    </row>
    <row r="846" spans="1:4">
      <c r="A846" s="49" t="s">
        <v>2074</v>
      </c>
      <c r="B846" s="49" t="s">
        <v>1825</v>
      </c>
      <c r="C846" s="50">
        <v>23869634000938</v>
      </c>
      <c r="D846" s="49" t="s">
        <v>2417</v>
      </c>
    </row>
    <row r="847" spans="1:4">
      <c r="A847" s="49" t="s">
        <v>2074</v>
      </c>
      <c r="B847" s="49" t="s">
        <v>1829</v>
      </c>
      <c r="C847" s="50">
        <v>23869634001071</v>
      </c>
      <c r="D847" s="49" t="s">
        <v>2417</v>
      </c>
    </row>
    <row r="848" spans="1:4">
      <c r="A848" s="49" t="s">
        <v>2074</v>
      </c>
      <c r="B848" s="49" t="s">
        <v>1833</v>
      </c>
      <c r="C848" s="50">
        <v>23869634000857</v>
      </c>
      <c r="D848" s="49" t="s">
        <v>2417</v>
      </c>
    </row>
    <row r="849" spans="1:4">
      <c r="A849" s="49" t="s">
        <v>2074</v>
      </c>
      <c r="B849" s="49" t="s">
        <v>1835</v>
      </c>
      <c r="C849" s="50">
        <v>29686678003681</v>
      </c>
      <c r="D849" s="49" t="s">
        <v>2425</v>
      </c>
    </row>
    <row r="850" spans="1:4">
      <c r="A850" s="49" t="s">
        <v>2074</v>
      </c>
      <c r="B850" s="49" t="s">
        <v>1840</v>
      </c>
      <c r="C850" s="50">
        <v>29686678003339</v>
      </c>
      <c r="D850" s="49" t="s">
        <v>2425</v>
      </c>
    </row>
    <row r="851" spans="1:4">
      <c r="A851" s="49" t="s">
        <v>2074</v>
      </c>
      <c r="B851" s="49" t="s">
        <v>2296</v>
      </c>
      <c r="C851" s="50">
        <v>38385940000119</v>
      </c>
      <c r="D851" s="49" t="s">
        <v>2549</v>
      </c>
    </row>
    <row r="852" spans="1:4">
      <c r="A852" s="49" t="s">
        <v>2074</v>
      </c>
      <c r="B852" s="49" t="s">
        <v>1986</v>
      </c>
      <c r="C852" s="50">
        <v>6971234001053</v>
      </c>
      <c r="D852" s="49" t="s">
        <v>2369</v>
      </c>
    </row>
    <row r="853" spans="1:4">
      <c r="A853" s="49" t="s">
        <v>60</v>
      </c>
      <c r="B853" s="49" t="s">
        <v>1018</v>
      </c>
      <c r="C853" s="50">
        <v>20369337000188</v>
      </c>
      <c r="D853" s="49" t="s">
        <v>2550</v>
      </c>
    </row>
    <row r="854" spans="1:4">
      <c r="A854" s="49" t="s">
        <v>59</v>
      </c>
      <c r="B854" s="49" t="s">
        <v>684</v>
      </c>
      <c r="C854" s="50">
        <v>60970341000111</v>
      </c>
      <c r="D854" s="49" t="s">
        <v>114</v>
      </c>
    </row>
    <row r="855" spans="1:4">
      <c r="A855" s="49" t="s">
        <v>59</v>
      </c>
      <c r="B855" s="49" t="s">
        <v>2551</v>
      </c>
      <c r="C855" s="50">
        <v>51628731000389</v>
      </c>
      <c r="D855" s="49" t="s">
        <v>2552</v>
      </c>
    </row>
    <row r="856" spans="1:4">
      <c r="A856" s="49" t="s">
        <v>59</v>
      </c>
      <c r="B856" s="49" t="s">
        <v>717</v>
      </c>
      <c r="C856" s="50">
        <v>32818301000113</v>
      </c>
      <c r="D856" s="49" t="s">
        <v>2553</v>
      </c>
    </row>
    <row r="857" spans="1:4">
      <c r="A857" s="49" t="s">
        <v>59</v>
      </c>
      <c r="B857" s="49" t="s">
        <v>824</v>
      </c>
      <c r="C857" s="50">
        <v>15039764001210</v>
      </c>
      <c r="D857" s="49" t="s">
        <v>2397</v>
      </c>
    </row>
    <row r="858" spans="1:4">
      <c r="A858" s="49" t="s">
        <v>59</v>
      </c>
      <c r="B858" s="49" t="s">
        <v>818</v>
      </c>
      <c r="C858" s="50">
        <v>15039764000915</v>
      </c>
      <c r="D858" s="49" t="s">
        <v>2397</v>
      </c>
    </row>
    <row r="859" spans="1:4">
      <c r="A859" s="49" t="s">
        <v>59</v>
      </c>
      <c r="B859" s="49" t="s">
        <v>836</v>
      </c>
      <c r="C859" s="50">
        <v>15039764001300</v>
      </c>
      <c r="D859" s="49" t="s">
        <v>2397</v>
      </c>
    </row>
    <row r="860" spans="1:4">
      <c r="A860" s="49" t="s">
        <v>59</v>
      </c>
      <c r="B860" s="49" t="s">
        <v>748</v>
      </c>
      <c r="C860" s="50">
        <v>55604760000108</v>
      </c>
      <c r="D860" s="49" t="s">
        <v>2554</v>
      </c>
    </row>
    <row r="861" spans="1:4">
      <c r="A861" s="49" t="s">
        <v>59</v>
      </c>
      <c r="B861" s="49" t="s">
        <v>751</v>
      </c>
      <c r="C861" s="50">
        <v>60397586000100</v>
      </c>
      <c r="D861" s="49" t="s">
        <v>2555</v>
      </c>
    </row>
    <row r="862" spans="1:4">
      <c r="A862" s="49" t="s">
        <v>54</v>
      </c>
      <c r="B862" s="49" t="s">
        <v>1455</v>
      </c>
      <c r="C862" s="50">
        <v>5949641007202</v>
      </c>
      <c r="D862" s="49" t="s">
        <v>2548</v>
      </c>
    </row>
    <row r="863" spans="1:4">
      <c r="A863" s="49" t="s">
        <v>54</v>
      </c>
      <c r="B863" s="49" t="s">
        <v>1473</v>
      </c>
      <c r="C863" s="50">
        <v>5949641007466</v>
      </c>
      <c r="D863" s="49" t="s">
        <v>2548</v>
      </c>
    </row>
    <row r="864" spans="1:4">
      <c r="A864" s="49" t="s">
        <v>56</v>
      </c>
      <c r="B864" s="49" t="s">
        <v>431</v>
      </c>
      <c r="C864" s="50">
        <v>5949641013784</v>
      </c>
      <c r="D864" s="49" t="s">
        <v>2548</v>
      </c>
    </row>
    <row r="865" spans="1:4">
      <c r="A865" s="49" t="s">
        <v>57</v>
      </c>
      <c r="B865" s="49" t="s">
        <v>1963</v>
      </c>
      <c r="C865" s="50">
        <v>5949641005684</v>
      </c>
      <c r="D865" s="49" t="s">
        <v>2548</v>
      </c>
    </row>
    <row r="866" spans="1:4">
      <c r="A866" s="49" t="s">
        <v>56</v>
      </c>
      <c r="B866" s="49" t="s">
        <v>592</v>
      </c>
      <c r="C866" s="50">
        <v>57132833000123</v>
      </c>
      <c r="D866" s="49" t="s">
        <v>2556</v>
      </c>
    </row>
    <row r="867" spans="1:4">
      <c r="A867" s="49" t="s">
        <v>56</v>
      </c>
      <c r="B867" s="49" t="s">
        <v>594</v>
      </c>
      <c r="C867" s="50">
        <v>58453087000132</v>
      </c>
      <c r="D867" s="49" t="s">
        <v>166</v>
      </c>
    </row>
    <row r="868" spans="1:4">
      <c r="A868" s="49" t="s">
        <v>56</v>
      </c>
      <c r="B868" s="49" t="s">
        <v>597</v>
      </c>
      <c r="C868" s="50">
        <v>26117255004110</v>
      </c>
      <c r="D868" s="49" t="s">
        <v>2420</v>
      </c>
    </row>
    <row r="869" spans="1:4">
      <c r="A869" s="49" t="s">
        <v>56</v>
      </c>
      <c r="B869" s="49" t="s">
        <v>488</v>
      </c>
      <c r="C869" s="50">
        <v>26117255004039</v>
      </c>
      <c r="D869" s="49" t="s">
        <v>2420</v>
      </c>
    </row>
    <row r="870" spans="1:4">
      <c r="A870" s="49" t="s">
        <v>56</v>
      </c>
      <c r="B870" s="49" t="s">
        <v>599</v>
      </c>
      <c r="C870" s="50">
        <v>26103866001274</v>
      </c>
      <c r="D870" s="49" t="s">
        <v>2557</v>
      </c>
    </row>
    <row r="871" spans="1:4">
      <c r="A871" s="49" t="s">
        <v>56</v>
      </c>
      <c r="B871" s="49" t="s">
        <v>490</v>
      </c>
      <c r="C871" s="50">
        <v>26103866002165</v>
      </c>
      <c r="D871" s="49" t="s">
        <v>2557</v>
      </c>
    </row>
    <row r="872" spans="1:4">
      <c r="A872" s="49" t="s">
        <v>56</v>
      </c>
      <c r="B872" s="49" t="s">
        <v>495</v>
      </c>
      <c r="C872" s="50">
        <v>3555618006490</v>
      </c>
      <c r="D872" s="49" t="s">
        <v>2356</v>
      </c>
    </row>
    <row r="873" spans="1:4">
      <c r="A873" s="49" t="s">
        <v>56</v>
      </c>
      <c r="B873" s="49" t="s">
        <v>497</v>
      </c>
      <c r="C873" s="50">
        <v>3555618005922</v>
      </c>
      <c r="D873" s="49" t="s">
        <v>2356</v>
      </c>
    </row>
    <row r="874" spans="1:4">
      <c r="A874" s="49" t="s">
        <v>56</v>
      </c>
      <c r="B874" s="49" t="s">
        <v>499</v>
      </c>
      <c r="C874" s="50">
        <v>3555618006309</v>
      </c>
      <c r="D874" s="49" t="s">
        <v>2356</v>
      </c>
    </row>
    <row r="875" spans="1:4">
      <c r="A875" s="52" t="s">
        <v>56</v>
      </c>
      <c r="B875" s="52" t="s">
        <v>601</v>
      </c>
      <c r="C875" s="53">
        <v>3555618006570</v>
      </c>
      <c r="D875" s="52" t="s">
        <v>2356</v>
      </c>
    </row>
    <row r="876" spans="1:4">
      <c r="A876" s="52" t="s">
        <v>56</v>
      </c>
      <c r="B876" s="52" t="s">
        <v>492</v>
      </c>
      <c r="C876" s="53">
        <v>3555618006066</v>
      </c>
      <c r="D876" s="52" t="s">
        <v>2356</v>
      </c>
    </row>
    <row r="877" spans="1:4">
      <c r="A877" s="52" t="s">
        <v>55</v>
      </c>
      <c r="B877" s="52" t="s">
        <v>1286</v>
      </c>
      <c r="C877" s="53">
        <v>5923253008135</v>
      </c>
      <c r="D877" s="52" t="s">
        <v>2558</v>
      </c>
    </row>
    <row r="878" spans="1:4">
      <c r="A878" s="52" t="s">
        <v>55</v>
      </c>
      <c r="B878" s="52" t="s">
        <v>1296</v>
      </c>
      <c r="C878" s="53">
        <v>5142929004913</v>
      </c>
      <c r="D878" s="52" t="s">
        <v>2362</v>
      </c>
    </row>
    <row r="879" spans="1:4">
      <c r="A879" s="52" t="s">
        <v>55</v>
      </c>
      <c r="B879" s="52" t="s">
        <v>1274</v>
      </c>
      <c r="C879" s="53" t="s">
        <v>2559</v>
      </c>
      <c r="D879" s="52" t="s">
        <v>2493</v>
      </c>
    </row>
    <row r="880" spans="1:4">
      <c r="A880" s="52" t="s">
        <v>56</v>
      </c>
      <c r="B880" s="52" t="s">
        <v>506</v>
      </c>
      <c r="C880" s="53" t="s">
        <v>2560</v>
      </c>
      <c r="D880" s="52" t="s">
        <v>2489</v>
      </c>
    </row>
    <row r="881" spans="1:4">
      <c r="A881" s="52" t="s">
        <v>56</v>
      </c>
      <c r="B881" s="52" t="s">
        <v>518</v>
      </c>
      <c r="C881" s="53" t="s">
        <v>2561</v>
      </c>
      <c r="D881" s="52" t="s">
        <v>2489</v>
      </c>
    </row>
    <row r="882" spans="1:4">
      <c r="A882" s="52" t="s">
        <v>56</v>
      </c>
      <c r="B882" s="52" t="s">
        <v>435</v>
      </c>
      <c r="C882" s="53" t="s">
        <v>2562</v>
      </c>
      <c r="D882" s="52" t="s">
        <v>2489</v>
      </c>
    </row>
    <row r="883" spans="1:4">
      <c r="A883" s="52" t="s">
        <v>56</v>
      </c>
      <c r="B883" s="52" t="s">
        <v>442</v>
      </c>
      <c r="C883" s="53" t="s">
        <v>2563</v>
      </c>
      <c r="D883" s="52" t="s">
        <v>2489</v>
      </c>
    </row>
    <row r="884" spans="1:4">
      <c r="A884" s="54" t="s">
        <v>56</v>
      </c>
      <c r="B884" s="54" t="s">
        <v>539</v>
      </c>
      <c r="C884" s="53" t="s">
        <v>2564</v>
      </c>
      <c r="D884" s="54" t="s">
        <v>2489</v>
      </c>
    </row>
    <row r="885" spans="1:4">
      <c r="A885" s="54" t="s">
        <v>56</v>
      </c>
      <c r="B885" s="54" t="s">
        <v>464</v>
      </c>
      <c r="C885" s="53" t="s">
        <v>2565</v>
      </c>
      <c r="D885" s="54" t="s">
        <v>2489</v>
      </c>
    </row>
    <row r="886" spans="1:4">
      <c r="A886" s="54" t="s">
        <v>56</v>
      </c>
      <c r="B886" s="54" t="s">
        <v>467</v>
      </c>
      <c r="C886" s="53" t="s">
        <v>2566</v>
      </c>
      <c r="D886" s="54" t="s">
        <v>2489</v>
      </c>
    </row>
    <row r="887" spans="1:4">
      <c r="A887" s="54" t="s">
        <v>56</v>
      </c>
      <c r="B887" s="54" t="s">
        <v>469</v>
      </c>
      <c r="C887" s="53" t="s">
        <v>2567</v>
      </c>
      <c r="D887" s="54" t="s">
        <v>2489</v>
      </c>
    </row>
    <row r="888" spans="1:4">
      <c r="A888" s="54" t="s">
        <v>59</v>
      </c>
      <c r="B888" s="54" t="s">
        <v>900</v>
      </c>
      <c r="C888" s="53">
        <v>4601016002740</v>
      </c>
      <c r="D888" s="54" t="s">
        <v>2360</v>
      </c>
    </row>
    <row r="889" spans="1:4">
      <c r="A889" s="54" t="s">
        <v>59</v>
      </c>
      <c r="B889" s="54" t="s">
        <v>858</v>
      </c>
      <c r="C889" s="53">
        <v>24230714000235</v>
      </c>
      <c r="D889" s="54" t="s">
        <v>2419</v>
      </c>
    </row>
    <row r="890" spans="1:4">
      <c r="A890" s="54" t="s">
        <v>55</v>
      </c>
      <c r="B890" s="54" t="s">
        <v>1291</v>
      </c>
      <c r="C890" s="53">
        <v>5923253008216</v>
      </c>
      <c r="D890" s="54" t="s">
        <v>2558</v>
      </c>
    </row>
    <row r="891" spans="1:4">
      <c r="A891" s="54" t="s">
        <v>55</v>
      </c>
      <c r="B891" s="54" t="s">
        <v>1186</v>
      </c>
      <c r="C891" s="53">
        <v>5923253008305</v>
      </c>
      <c r="D891" s="54" t="s">
        <v>2558</v>
      </c>
    </row>
    <row r="892" spans="1:4">
      <c r="A892" s="54" t="s">
        <v>60</v>
      </c>
      <c r="B892" s="54" t="s">
        <v>1049</v>
      </c>
      <c r="C892" s="53">
        <v>5923253007830</v>
      </c>
      <c r="D892" s="54" t="s">
        <v>2364</v>
      </c>
    </row>
    <row r="893" spans="1:4">
      <c r="A893" s="54" t="s">
        <v>59</v>
      </c>
      <c r="B893" s="54" t="s">
        <v>912</v>
      </c>
      <c r="C893" s="53" t="s">
        <v>2568</v>
      </c>
      <c r="D893" s="54" t="s">
        <v>2356</v>
      </c>
    </row>
    <row r="894" spans="1:4">
      <c r="A894" s="54" t="s">
        <v>59</v>
      </c>
      <c r="B894" s="54" t="s">
        <v>906</v>
      </c>
      <c r="C894" s="53">
        <v>58659783000280</v>
      </c>
      <c r="D894" s="54" t="s">
        <v>2569</v>
      </c>
    </row>
    <row r="895" spans="1:4">
      <c r="A895" s="54" t="s">
        <v>59</v>
      </c>
      <c r="B895" s="54" t="s">
        <v>901</v>
      </c>
      <c r="C895" s="53">
        <v>58659783000108</v>
      </c>
      <c r="D895" s="54" t="s">
        <v>2569</v>
      </c>
    </row>
    <row r="896" spans="1:4">
      <c r="A896" s="54" t="s">
        <v>59</v>
      </c>
      <c r="B896" s="54" t="s">
        <v>2086</v>
      </c>
      <c r="C896" s="53">
        <v>58659783000604</v>
      </c>
      <c r="D896" s="54" t="s">
        <v>2569</v>
      </c>
    </row>
    <row r="897" spans="1:4">
      <c r="A897" s="54" t="s">
        <v>59</v>
      </c>
      <c r="B897" s="54" t="s">
        <v>724</v>
      </c>
      <c r="C897" s="53">
        <v>58659783000876</v>
      </c>
      <c r="D897" s="54" t="s">
        <v>2569</v>
      </c>
    </row>
    <row r="898" spans="1:4">
      <c r="A898" s="54" t="s">
        <v>59</v>
      </c>
      <c r="B898" s="54" t="s">
        <v>907</v>
      </c>
      <c r="C898" s="53">
        <v>58659783000442</v>
      </c>
      <c r="D898" s="54" t="s">
        <v>2569</v>
      </c>
    </row>
    <row r="899" spans="1:4">
      <c r="A899" s="54" t="s">
        <v>59</v>
      </c>
      <c r="B899" s="54" t="s">
        <v>903</v>
      </c>
      <c r="C899" s="53">
        <v>58659783000523</v>
      </c>
      <c r="D899" s="54" t="s">
        <v>2569</v>
      </c>
    </row>
    <row r="900" spans="1:4">
      <c r="A900" s="54" t="s">
        <v>59</v>
      </c>
      <c r="B900" s="54" t="s">
        <v>905</v>
      </c>
      <c r="C900" s="53">
        <v>58659783000795</v>
      </c>
      <c r="D900" s="54" t="s">
        <v>2569</v>
      </c>
    </row>
    <row r="901" spans="1:4">
      <c r="A901" s="54" t="s">
        <v>55</v>
      </c>
      <c r="B901" s="54" t="s">
        <v>1285</v>
      </c>
      <c r="C901" s="53" t="s">
        <v>2570</v>
      </c>
      <c r="D901" s="54" t="s">
        <v>2362</v>
      </c>
    </row>
    <row r="902" spans="1:4">
      <c r="A902" s="54" t="s">
        <v>55</v>
      </c>
      <c r="B902" s="54" t="s">
        <v>1263</v>
      </c>
      <c r="C902" s="53" t="s">
        <v>2571</v>
      </c>
      <c r="D902" s="54" t="s">
        <v>2493</v>
      </c>
    </row>
    <row r="903" spans="1:4">
      <c r="A903" s="55" t="s">
        <v>54</v>
      </c>
      <c r="B903" s="55" t="s">
        <v>1677</v>
      </c>
      <c r="C903" s="56">
        <v>5949641013199</v>
      </c>
      <c r="D903" s="55" t="s">
        <v>2489</v>
      </c>
    </row>
    <row r="904" spans="1:4">
      <c r="A904" s="55" t="s">
        <v>54</v>
      </c>
      <c r="B904" s="55" t="s">
        <v>1577</v>
      </c>
      <c r="C904" s="56">
        <v>5949641017771</v>
      </c>
      <c r="D904" s="55" t="s">
        <v>2489</v>
      </c>
    </row>
    <row r="905" spans="1:4">
      <c r="A905" s="55" t="s">
        <v>57</v>
      </c>
      <c r="B905" s="55" t="s">
        <v>2007</v>
      </c>
      <c r="C905" s="56">
        <v>5949641015213</v>
      </c>
      <c r="D905" s="55" t="s">
        <v>2489</v>
      </c>
    </row>
    <row r="906" spans="1:4">
      <c r="A906" s="55" t="s">
        <v>54</v>
      </c>
      <c r="B906" s="55" t="s">
        <v>1490</v>
      </c>
      <c r="C906" s="56">
        <v>5949641015132</v>
      </c>
      <c r="D906" s="55" t="s">
        <v>2489</v>
      </c>
    </row>
    <row r="907" spans="1:4">
      <c r="A907" s="55" t="s">
        <v>54</v>
      </c>
      <c r="B907" s="55" t="s">
        <v>1485</v>
      </c>
      <c r="C907" s="56">
        <v>5949641001778</v>
      </c>
      <c r="D907" s="55" t="s">
        <v>2489</v>
      </c>
    </row>
    <row r="908" spans="1:4">
      <c r="A908" s="55" t="s">
        <v>54</v>
      </c>
      <c r="B908" s="55" t="s">
        <v>1724</v>
      </c>
      <c r="C908" s="56">
        <v>5949641015051</v>
      </c>
      <c r="D908" s="55" t="s">
        <v>2489</v>
      </c>
    </row>
    <row r="909" spans="1:4">
      <c r="A909" s="55" t="s">
        <v>57</v>
      </c>
      <c r="B909" s="55" t="s">
        <v>1913</v>
      </c>
      <c r="C909" s="56">
        <v>5949641014837</v>
      </c>
      <c r="D909" s="55" t="s">
        <v>2489</v>
      </c>
    </row>
    <row r="910" spans="1:4">
      <c r="A910" s="55" t="s">
        <v>57</v>
      </c>
      <c r="B910" s="55" t="s">
        <v>1915</v>
      </c>
      <c r="C910" s="56">
        <v>5949641014918</v>
      </c>
      <c r="D910" s="55" t="s">
        <v>2489</v>
      </c>
    </row>
    <row r="911" spans="1:4">
      <c r="A911" s="55" t="s">
        <v>57</v>
      </c>
      <c r="B911" s="55" t="s">
        <v>1909</v>
      </c>
      <c r="C911" s="56">
        <v>5949641015809</v>
      </c>
      <c r="D911" s="55" t="s">
        <v>2489</v>
      </c>
    </row>
    <row r="912" spans="1:4">
      <c r="A912" s="55" t="s">
        <v>57</v>
      </c>
      <c r="B912" s="55" t="s">
        <v>1925</v>
      </c>
      <c r="C912" s="56">
        <v>5949641015566</v>
      </c>
      <c r="D912" s="55" t="s">
        <v>2489</v>
      </c>
    </row>
    <row r="913" spans="1:4">
      <c r="A913" s="55" t="s">
        <v>57</v>
      </c>
      <c r="B913" s="55" t="s">
        <v>1962</v>
      </c>
      <c r="C913" s="56">
        <v>5949641015485</v>
      </c>
      <c r="D913" s="55" t="s">
        <v>2489</v>
      </c>
    </row>
    <row r="914" spans="1:4">
      <c r="A914" s="55" t="s">
        <v>57</v>
      </c>
      <c r="B914" s="55" t="s">
        <v>1960</v>
      </c>
      <c r="C914" s="56">
        <v>5949641015302</v>
      </c>
      <c r="D914" s="55" t="s">
        <v>2489</v>
      </c>
    </row>
    <row r="915" spans="1:4">
      <c r="A915" s="55" t="s">
        <v>56</v>
      </c>
      <c r="B915" s="55" t="s">
        <v>541</v>
      </c>
      <c r="C915" s="56">
        <v>5949641017690</v>
      </c>
      <c r="D915" s="55" t="s">
        <v>2489</v>
      </c>
    </row>
    <row r="916" spans="1:4">
      <c r="A916" s="55" t="s">
        <v>56</v>
      </c>
      <c r="B916" s="55" t="s">
        <v>2108</v>
      </c>
      <c r="C916" s="56">
        <v>5949641018310</v>
      </c>
      <c r="D916" s="55" t="s">
        <v>2489</v>
      </c>
    </row>
    <row r="917" spans="1:4">
      <c r="A917" s="55" t="s">
        <v>56</v>
      </c>
      <c r="B917" s="55" t="s">
        <v>508</v>
      </c>
      <c r="C917" s="56">
        <v>5949641016104</v>
      </c>
      <c r="D917" s="55" t="s">
        <v>2489</v>
      </c>
    </row>
    <row r="918" spans="1:4">
      <c r="A918" s="55" t="s">
        <v>56</v>
      </c>
      <c r="B918" s="55" t="s">
        <v>504</v>
      </c>
      <c r="C918" s="56">
        <v>5949641016376</v>
      </c>
      <c r="D918" s="55" t="s">
        <v>2489</v>
      </c>
    </row>
    <row r="919" spans="1:4">
      <c r="A919" s="55" t="s">
        <v>57</v>
      </c>
      <c r="B919" s="55" t="s">
        <v>1850</v>
      </c>
      <c r="C919" s="56">
        <v>5949641017500</v>
      </c>
      <c r="D919" s="55" t="s">
        <v>2489</v>
      </c>
    </row>
    <row r="920" spans="1:4">
      <c r="A920" s="55" t="s">
        <v>58</v>
      </c>
      <c r="B920" s="55" t="s">
        <v>1752</v>
      </c>
      <c r="C920" s="56">
        <v>5949641015647</v>
      </c>
      <c r="D920" s="55" t="s">
        <v>2489</v>
      </c>
    </row>
    <row r="921" spans="1:4">
      <c r="A921" s="55" t="s">
        <v>58</v>
      </c>
      <c r="B921" s="55" t="s">
        <v>1759</v>
      </c>
      <c r="C921" s="56">
        <v>5949641015728</v>
      </c>
      <c r="D921" s="55" t="s">
        <v>2489</v>
      </c>
    </row>
    <row r="922" spans="1:4">
      <c r="A922" s="55" t="s">
        <v>56</v>
      </c>
      <c r="B922" s="55" t="s">
        <v>486</v>
      </c>
      <c r="C922" s="56">
        <v>57931995000121</v>
      </c>
      <c r="D922" s="55" t="s">
        <v>137</v>
      </c>
    </row>
    <row r="923" spans="1:4">
      <c r="A923" s="55" t="s">
        <v>56</v>
      </c>
      <c r="B923" s="55" t="s">
        <v>603</v>
      </c>
      <c r="C923" s="56">
        <v>42245037000200</v>
      </c>
      <c r="D923" s="55" t="s">
        <v>170</v>
      </c>
    </row>
    <row r="924" spans="1:4">
      <c r="A924" s="55" t="s">
        <v>56</v>
      </c>
      <c r="B924" s="55" t="s">
        <v>479</v>
      </c>
      <c r="C924" s="56" t="s">
        <v>2572</v>
      </c>
      <c r="D924" s="55" t="s">
        <v>2489</v>
      </c>
    </row>
    <row r="925" spans="1:4">
      <c r="A925" s="55" t="s">
        <v>56</v>
      </c>
      <c r="B925" s="55" t="s">
        <v>579</v>
      </c>
      <c r="C925" s="56" t="s">
        <v>2573</v>
      </c>
      <c r="D925" s="55" t="s">
        <v>2489</v>
      </c>
    </row>
    <row r="926" spans="1:4">
      <c r="A926" s="55" t="s">
        <v>56</v>
      </c>
      <c r="B926" s="55" t="s">
        <v>590</v>
      </c>
      <c r="C926" s="56" t="s">
        <v>2574</v>
      </c>
      <c r="D926" s="55" t="s">
        <v>2489</v>
      </c>
    </row>
    <row r="927" spans="1:4">
      <c r="A927" s="55" t="s">
        <v>56</v>
      </c>
      <c r="B927" s="55" t="s">
        <v>514</v>
      </c>
      <c r="C927" s="56" t="s">
        <v>2575</v>
      </c>
      <c r="D927" s="55" t="s">
        <v>2356</v>
      </c>
    </row>
    <row r="928" spans="1:4">
      <c r="A928" s="55" t="s">
        <v>56</v>
      </c>
      <c r="B928" s="55" t="s">
        <v>438</v>
      </c>
      <c r="C928" s="56" t="s">
        <v>2576</v>
      </c>
      <c r="D928" s="55" t="s">
        <v>2356</v>
      </c>
    </row>
    <row r="929" spans="1:4">
      <c r="A929" s="55" t="s">
        <v>56</v>
      </c>
      <c r="B929" s="55" t="s">
        <v>527</v>
      </c>
      <c r="C929" s="56" t="s">
        <v>2577</v>
      </c>
      <c r="D929" s="55" t="s">
        <v>2356</v>
      </c>
    </row>
    <row r="930" spans="1:4">
      <c r="A930" s="55" t="s">
        <v>56</v>
      </c>
      <c r="B930" s="55" t="s">
        <v>605</v>
      </c>
      <c r="C930" s="56">
        <v>64343235000169</v>
      </c>
      <c r="D930" s="55" t="s">
        <v>189</v>
      </c>
    </row>
    <row r="931" spans="1:4">
      <c r="A931" s="55" t="s">
        <v>55</v>
      </c>
      <c r="B931" s="55" t="s">
        <v>1289</v>
      </c>
      <c r="C931" s="56" t="s">
        <v>2578</v>
      </c>
      <c r="D931" s="55" t="s">
        <v>2364</v>
      </c>
    </row>
    <row r="932" spans="1:4">
      <c r="A932" s="55" t="s">
        <v>55</v>
      </c>
      <c r="B932" s="55" t="s">
        <v>1293</v>
      </c>
      <c r="C932" s="56" t="s">
        <v>2579</v>
      </c>
      <c r="D932" s="55" t="s">
        <v>2364</v>
      </c>
    </row>
    <row r="933" spans="1:4">
      <c r="A933" s="55" t="s">
        <v>55</v>
      </c>
      <c r="B933" s="55" t="s">
        <v>1189</v>
      </c>
      <c r="C933" s="56" t="s">
        <v>2580</v>
      </c>
      <c r="D933" s="55" t="s">
        <v>2364</v>
      </c>
    </row>
    <row r="934" spans="1:4">
      <c r="A934" s="55" t="s">
        <v>55</v>
      </c>
      <c r="B934" s="55" t="s">
        <v>1288</v>
      </c>
      <c r="C934" s="56" t="s">
        <v>2581</v>
      </c>
      <c r="D934" s="55" t="s">
        <v>2364</v>
      </c>
    </row>
    <row r="935" spans="1:4">
      <c r="A935" s="55" t="s">
        <v>54</v>
      </c>
      <c r="B935" s="55" t="s">
        <v>1551</v>
      </c>
      <c r="C935" s="56">
        <v>5923253008954</v>
      </c>
      <c r="D935" s="55" t="s">
        <v>2364</v>
      </c>
    </row>
    <row r="936" spans="1:4">
      <c r="A936" s="55" t="s">
        <v>54</v>
      </c>
      <c r="B936" s="55" t="s">
        <v>1516</v>
      </c>
      <c r="C936" s="56">
        <v>5923253007910</v>
      </c>
      <c r="D936" s="55" t="s">
        <v>2364</v>
      </c>
    </row>
    <row r="937" spans="1:4">
      <c r="A937" s="55" t="s">
        <v>57</v>
      </c>
      <c r="B937" s="55" t="s">
        <v>1746</v>
      </c>
      <c r="C937" s="56" t="s">
        <v>2582</v>
      </c>
      <c r="D937" s="55" t="s">
        <v>2436</v>
      </c>
    </row>
    <row r="938" spans="1:4">
      <c r="A938" s="55" t="s">
        <v>57</v>
      </c>
      <c r="B938" s="55" t="s">
        <v>1966</v>
      </c>
      <c r="C938" s="56" t="s">
        <v>2583</v>
      </c>
      <c r="D938" s="55" t="s">
        <v>2425</v>
      </c>
    </row>
    <row r="939" spans="1:4">
      <c r="A939" s="55" t="s">
        <v>57</v>
      </c>
      <c r="B939" s="55" t="s">
        <v>1969</v>
      </c>
      <c r="C939" s="56" t="s">
        <v>2584</v>
      </c>
      <c r="D939" s="55" t="s">
        <v>2425</v>
      </c>
    </row>
    <row r="940" spans="1:4">
      <c r="A940" s="55" t="s">
        <v>58</v>
      </c>
      <c r="B940" s="55" t="s">
        <v>1892</v>
      </c>
      <c r="C940" s="56" t="s">
        <v>2585</v>
      </c>
      <c r="D940" s="55" t="s">
        <v>2425</v>
      </c>
    </row>
    <row r="941" spans="1:4">
      <c r="A941" s="55" t="s">
        <v>57</v>
      </c>
      <c r="B941" s="57" t="s">
        <v>1970</v>
      </c>
      <c r="C941" s="56" t="s">
        <v>2586</v>
      </c>
      <c r="D941" s="55" t="s">
        <v>2425</v>
      </c>
    </row>
    <row r="942" spans="1:4">
      <c r="A942" s="55" t="s">
        <v>58</v>
      </c>
      <c r="B942" s="55" t="s">
        <v>1890</v>
      </c>
      <c r="C942" s="56" t="s">
        <v>2587</v>
      </c>
      <c r="D942" s="55" t="s">
        <v>2425</v>
      </c>
    </row>
    <row r="943" spans="1:4">
      <c r="A943" s="55" t="s">
        <v>57</v>
      </c>
      <c r="B943" s="55" t="s">
        <v>1974</v>
      </c>
      <c r="C943" s="56" t="s">
        <v>2588</v>
      </c>
      <c r="D943" s="55" t="s">
        <v>2425</v>
      </c>
    </row>
    <row r="944" spans="1:4">
      <c r="A944" s="55" t="s">
        <v>59</v>
      </c>
      <c r="B944" s="55" t="s">
        <v>822</v>
      </c>
      <c r="C944" s="56" t="s">
        <v>2589</v>
      </c>
      <c r="D944" s="55" t="s">
        <v>2397</v>
      </c>
    </row>
    <row r="945" spans="1:4">
      <c r="A945" s="55" t="s">
        <v>59</v>
      </c>
      <c r="B945" s="55" t="s">
        <v>664</v>
      </c>
      <c r="C945" s="56" t="s">
        <v>2590</v>
      </c>
      <c r="D945" s="55" t="s">
        <v>2397</v>
      </c>
    </row>
    <row r="946" spans="1:4">
      <c r="A946" s="55" t="s">
        <v>59</v>
      </c>
      <c r="B946" s="55" t="s">
        <v>921</v>
      </c>
      <c r="C946" s="56" t="s">
        <v>2591</v>
      </c>
      <c r="D946" s="55" t="s">
        <v>2397</v>
      </c>
    </row>
    <row r="947" spans="1:4">
      <c r="A947" s="55" t="s">
        <v>59</v>
      </c>
      <c r="B947" s="55" t="s">
        <v>805</v>
      </c>
      <c r="C947" s="56" t="s">
        <v>2592</v>
      </c>
      <c r="D947" s="55" t="s">
        <v>2593</v>
      </c>
    </row>
    <row r="948" spans="1:4">
      <c r="A948" s="55" t="s">
        <v>59</v>
      </c>
      <c r="B948" s="55" t="s">
        <v>629</v>
      </c>
      <c r="C948" s="56" t="s">
        <v>2594</v>
      </c>
      <c r="D948" s="55" t="s">
        <v>2595</v>
      </c>
    </row>
    <row r="949" spans="1:4">
      <c r="A949" s="55" t="s">
        <v>59</v>
      </c>
      <c r="B949" s="55" t="s">
        <v>660</v>
      </c>
      <c r="C949" s="56" t="s">
        <v>2596</v>
      </c>
      <c r="D949" s="55" t="s">
        <v>2356</v>
      </c>
    </row>
    <row r="950" spans="1:4">
      <c r="A950" s="55" t="s">
        <v>59</v>
      </c>
      <c r="B950" s="55" t="s">
        <v>800</v>
      </c>
      <c r="C950" s="56" t="s">
        <v>2597</v>
      </c>
      <c r="D950" s="55" t="s">
        <v>2356</v>
      </c>
    </row>
    <row r="951" spans="1:4">
      <c r="A951" s="55" t="s">
        <v>59</v>
      </c>
      <c r="B951" s="55" t="s">
        <v>844</v>
      </c>
      <c r="C951" s="56" t="s">
        <v>2598</v>
      </c>
      <c r="D951" s="55" t="s">
        <v>2356</v>
      </c>
    </row>
    <row r="952" spans="1:4">
      <c r="A952" s="55" t="s">
        <v>59</v>
      </c>
      <c r="B952" s="55" t="s">
        <v>859</v>
      </c>
      <c r="C952" s="56" t="s">
        <v>2599</v>
      </c>
      <c r="D952" s="55" t="s">
        <v>2356</v>
      </c>
    </row>
    <row r="953" spans="1:4">
      <c r="A953" s="55" t="s">
        <v>59</v>
      </c>
      <c r="B953" s="55" t="s">
        <v>675</v>
      </c>
      <c r="C953" s="56" t="s">
        <v>2600</v>
      </c>
      <c r="D953" s="55" t="s">
        <v>2356</v>
      </c>
    </row>
    <row r="954" spans="1:4">
      <c r="A954" s="55" t="s">
        <v>59</v>
      </c>
      <c r="B954" s="55" t="s">
        <v>687</v>
      </c>
      <c r="C954" s="56" t="s">
        <v>2601</v>
      </c>
      <c r="D954" s="55" t="s">
        <v>2356</v>
      </c>
    </row>
    <row r="955" spans="1:4">
      <c r="A955" s="55" t="s">
        <v>59</v>
      </c>
      <c r="B955" s="55" t="s">
        <v>791</v>
      </c>
      <c r="C955" s="56" t="s">
        <v>2602</v>
      </c>
      <c r="D955" s="55" t="s">
        <v>2376</v>
      </c>
    </row>
    <row r="956" spans="1:4">
      <c r="A956" s="55" t="s">
        <v>59</v>
      </c>
      <c r="B956" s="55" t="s">
        <v>2063</v>
      </c>
      <c r="C956" s="56" t="s">
        <v>2603</v>
      </c>
      <c r="D956" s="55" t="s">
        <v>2376</v>
      </c>
    </row>
    <row r="957" spans="1:4">
      <c r="A957" s="55" t="s">
        <v>62</v>
      </c>
      <c r="B957" s="55" t="s">
        <v>1129</v>
      </c>
      <c r="C957" s="56">
        <v>3243382004917</v>
      </c>
      <c r="D957" s="55" t="s">
        <v>2352</v>
      </c>
    </row>
    <row r="958" spans="1:4">
      <c r="A958" s="55" t="s">
        <v>62</v>
      </c>
      <c r="B958" s="55" t="s">
        <v>1121</v>
      </c>
      <c r="C958" s="56">
        <v>58092747000601</v>
      </c>
      <c r="D958" s="55" t="s">
        <v>143</v>
      </c>
    </row>
    <row r="959" spans="1:4">
      <c r="A959" s="55" t="s">
        <v>62</v>
      </c>
      <c r="B959" s="55" t="s">
        <v>1128</v>
      </c>
      <c r="C959" s="56">
        <v>58092747000873</v>
      </c>
      <c r="D959" s="55" t="s">
        <v>143</v>
      </c>
    </row>
    <row r="960" spans="1:4">
      <c r="A960" s="55" t="s">
        <v>62</v>
      </c>
      <c r="B960" s="55" t="s">
        <v>1116</v>
      </c>
      <c r="C960" s="56">
        <v>58092747000440</v>
      </c>
      <c r="D960" s="55" t="s">
        <v>143</v>
      </c>
    </row>
    <row r="961" spans="1:4">
      <c r="A961" s="55" t="s">
        <v>62</v>
      </c>
      <c r="B961" s="55" t="s">
        <v>1127</v>
      </c>
      <c r="C961" s="56">
        <v>58092747000792</v>
      </c>
      <c r="D961" s="55" t="s">
        <v>143</v>
      </c>
    </row>
    <row r="962" spans="1:4">
      <c r="A962" s="55" t="s">
        <v>62</v>
      </c>
      <c r="B962" s="55" t="s">
        <v>1111</v>
      </c>
      <c r="C962" s="56">
        <v>58092747000288</v>
      </c>
      <c r="D962" s="55" t="s">
        <v>143</v>
      </c>
    </row>
    <row r="963" spans="1:4">
      <c r="A963" s="55" t="s">
        <v>62</v>
      </c>
      <c r="B963" s="55" t="s">
        <v>1119</v>
      </c>
      <c r="C963" s="56">
        <v>58092747000369</v>
      </c>
      <c r="D963" s="55" t="s">
        <v>143</v>
      </c>
    </row>
    <row r="964" spans="1:4">
      <c r="A964" s="55" t="s">
        <v>61</v>
      </c>
      <c r="B964" s="55" t="s">
        <v>254</v>
      </c>
      <c r="C964" s="56" t="s">
        <v>2604</v>
      </c>
      <c r="D964" s="55" t="s">
        <v>2605</v>
      </c>
    </row>
    <row r="965" spans="1:4">
      <c r="A965" s="55" t="s">
        <v>61</v>
      </c>
      <c r="B965" s="55" t="s">
        <v>271</v>
      </c>
      <c r="C965" s="56" t="s">
        <v>2606</v>
      </c>
      <c r="D965" s="55" t="s">
        <v>2605</v>
      </c>
    </row>
    <row r="966" spans="1:4">
      <c r="A966" s="55" t="s">
        <v>61</v>
      </c>
      <c r="B966" s="55" t="s">
        <v>284</v>
      </c>
      <c r="C966" s="56" t="s">
        <v>2607</v>
      </c>
      <c r="D966" s="55" t="s">
        <v>2605</v>
      </c>
    </row>
    <row r="967" spans="1:4">
      <c r="A967" s="55" t="s">
        <v>61</v>
      </c>
      <c r="B967" s="55" t="s">
        <v>292</v>
      </c>
      <c r="C967" s="56" t="s">
        <v>2608</v>
      </c>
      <c r="D967" s="55" t="s">
        <v>2605</v>
      </c>
    </row>
    <row r="968" spans="1:4">
      <c r="A968" s="55" t="s">
        <v>61</v>
      </c>
      <c r="B968" s="55" t="s">
        <v>298</v>
      </c>
      <c r="C968" s="56" t="s">
        <v>2609</v>
      </c>
      <c r="D968" s="55" t="s">
        <v>2605</v>
      </c>
    </row>
    <row r="969" spans="1:4">
      <c r="A969" s="55" t="s">
        <v>61</v>
      </c>
      <c r="B969" s="55" t="s">
        <v>332</v>
      </c>
      <c r="C969" s="56" t="s">
        <v>2610</v>
      </c>
      <c r="D969" s="55" t="s">
        <v>2605</v>
      </c>
    </row>
    <row r="970" spans="1:4">
      <c r="A970" s="55" t="s">
        <v>61</v>
      </c>
      <c r="B970" s="55" t="s">
        <v>344</v>
      </c>
      <c r="C970" s="56" t="s">
        <v>2611</v>
      </c>
      <c r="D970" s="55" t="s">
        <v>2605</v>
      </c>
    </row>
    <row r="971" spans="1:4">
      <c r="A971" s="55" t="s">
        <v>61</v>
      </c>
      <c r="B971" s="55" t="s">
        <v>349</v>
      </c>
      <c r="C971" s="56" t="s">
        <v>2612</v>
      </c>
      <c r="D971" s="55" t="s">
        <v>209</v>
      </c>
    </row>
    <row r="972" spans="1:4">
      <c r="A972" s="55" t="s">
        <v>61</v>
      </c>
      <c r="B972" s="55" t="s">
        <v>383</v>
      </c>
      <c r="C972" s="56" t="s">
        <v>2613</v>
      </c>
      <c r="D972" s="55" t="s">
        <v>2605</v>
      </c>
    </row>
    <row r="973" spans="1:4">
      <c r="A973" s="55" t="s">
        <v>61</v>
      </c>
      <c r="B973" s="55" t="s">
        <v>409</v>
      </c>
      <c r="C973" s="56" t="s">
        <v>2614</v>
      </c>
      <c r="D973" s="55" t="s">
        <v>2605</v>
      </c>
    </row>
    <row r="974" spans="1:4">
      <c r="A974" s="55" t="s">
        <v>61</v>
      </c>
      <c r="B974" s="55" t="s">
        <v>416</v>
      </c>
      <c r="C974" s="56" t="s">
        <v>2615</v>
      </c>
      <c r="D974" s="55" t="s">
        <v>2496</v>
      </c>
    </row>
    <row r="975" spans="1:4">
      <c r="A975" s="55" t="s">
        <v>61</v>
      </c>
      <c r="B975" s="55" t="s">
        <v>419</v>
      </c>
      <c r="C975" s="56" t="s">
        <v>2616</v>
      </c>
      <c r="D975" s="55" t="s">
        <v>238</v>
      </c>
    </row>
    <row r="976" spans="1:4">
      <c r="A976" s="55" t="s">
        <v>61</v>
      </c>
      <c r="B976" s="55" t="s">
        <v>420</v>
      </c>
      <c r="C976" s="56" t="s">
        <v>2617</v>
      </c>
      <c r="D976" s="55" t="s">
        <v>147</v>
      </c>
    </row>
    <row r="977" spans="1:4">
      <c r="A977" s="55" t="s">
        <v>61</v>
      </c>
      <c r="B977" s="55" t="s">
        <v>422</v>
      </c>
      <c r="C977" s="56" t="s">
        <v>2618</v>
      </c>
      <c r="D977" s="55" t="s">
        <v>2391</v>
      </c>
    </row>
    <row r="978" spans="1:4">
      <c r="A978" s="55" t="s">
        <v>61</v>
      </c>
      <c r="B978" s="55" t="s">
        <v>424</v>
      </c>
      <c r="C978" s="56">
        <v>36768551000902</v>
      </c>
      <c r="D978" s="55" t="s">
        <v>181</v>
      </c>
    </row>
    <row r="979" spans="1:4">
      <c r="A979" s="55" t="s">
        <v>61</v>
      </c>
      <c r="B979" s="55" t="s">
        <v>425</v>
      </c>
      <c r="C979" s="56">
        <v>36768551001038</v>
      </c>
      <c r="D979" s="55" t="s">
        <v>181</v>
      </c>
    </row>
    <row r="980" spans="1:4">
      <c r="A980" s="55" t="s">
        <v>61</v>
      </c>
      <c r="B980" s="55" t="s">
        <v>426</v>
      </c>
      <c r="C980" s="56" t="s">
        <v>2619</v>
      </c>
      <c r="D980" s="55" t="s">
        <v>181</v>
      </c>
    </row>
    <row r="981" spans="1:4">
      <c r="A981" s="55" t="s">
        <v>55</v>
      </c>
      <c r="B981" s="55" t="s">
        <v>1297</v>
      </c>
      <c r="C981" s="56">
        <v>6044673000200</v>
      </c>
      <c r="D981" s="55" t="s">
        <v>2366</v>
      </c>
    </row>
    <row r="982" spans="1:4">
      <c r="A982" s="55" t="s">
        <v>56</v>
      </c>
      <c r="B982" s="55" t="s">
        <v>501</v>
      </c>
      <c r="C982" s="56" t="s">
        <v>2620</v>
      </c>
      <c r="D982" s="55" t="s">
        <v>2356</v>
      </c>
    </row>
    <row r="983" spans="1:4">
      <c r="A983" s="55" t="s">
        <v>56</v>
      </c>
      <c r="B983" s="55" t="s">
        <v>523</v>
      </c>
      <c r="C983" s="56" t="s">
        <v>2621</v>
      </c>
      <c r="D983" s="55" t="s">
        <v>2356</v>
      </c>
    </row>
    <row r="984" spans="1:4">
      <c r="A984" s="55" t="s">
        <v>59</v>
      </c>
      <c r="B984" s="55" t="s">
        <v>620</v>
      </c>
      <c r="C984" s="56" t="s">
        <v>2622</v>
      </c>
      <c r="D984" s="55" t="s">
        <v>2360</v>
      </c>
    </row>
    <row r="985" spans="1:4">
      <c r="A985" s="55" t="s">
        <v>59</v>
      </c>
      <c r="B985" s="55" t="s">
        <v>765</v>
      </c>
      <c r="C985" s="56" t="s">
        <v>2623</v>
      </c>
      <c r="D985" s="55" t="s">
        <v>2360</v>
      </c>
    </row>
    <row r="986" spans="1:4">
      <c r="A986" s="55" t="s">
        <v>59</v>
      </c>
      <c r="B986" s="55" t="s">
        <v>618</v>
      </c>
      <c r="C986" s="56" t="s">
        <v>2624</v>
      </c>
      <c r="D986" s="55" t="s">
        <v>2360</v>
      </c>
    </row>
    <row r="987" spans="1:4">
      <c r="A987" s="55" t="s">
        <v>59</v>
      </c>
      <c r="B987" s="55" t="s">
        <v>621</v>
      </c>
      <c r="C987" s="56" t="s">
        <v>2625</v>
      </c>
      <c r="D987" s="55" t="s">
        <v>2360</v>
      </c>
    </row>
    <row r="988" spans="1:4">
      <c r="A988" s="55" t="s">
        <v>59</v>
      </c>
      <c r="B988" s="55" t="s">
        <v>768</v>
      </c>
      <c r="C988" s="56" t="s">
        <v>2626</v>
      </c>
      <c r="D988" s="55" t="s">
        <v>2360</v>
      </c>
    </row>
    <row r="989" spans="1:4">
      <c r="A989" s="55" t="s">
        <v>59</v>
      </c>
      <c r="B989" s="55" t="s">
        <v>766</v>
      </c>
      <c r="C989" s="56" t="s">
        <v>2627</v>
      </c>
      <c r="D989" s="55" t="s">
        <v>2360</v>
      </c>
    </row>
    <row r="990" spans="1:4">
      <c r="A990" s="55" t="s">
        <v>59</v>
      </c>
      <c r="B990" s="55" t="s">
        <v>935</v>
      </c>
      <c r="C990" s="56" t="s">
        <v>2628</v>
      </c>
      <c r="D990" s="55" t="s">
        <v>2629</v>
      </c>
    </row>
    <row r="991" spans="1:4">
      <c r="A991" s="55" t="s">
        <v>60</v>
      </c>
      <c r="B991" s="55" t="s">
        <v>1048</v>
      </c>
      <c r="C991" s="56" t="s">
        <v>2630</v>
      </c>
      <c r="D991" s="55" t="s">
        <v>2631</v>
      </c>
    </row>
    <row r="992" spans="1:4">
      <c r="A992" s="55" t="s">
        <v>60</v>
      </c>
      <c r="B992" s="55" t="s">
        <v>2123</v>
      </c>
      <c r="C992" s="56" t="s">
        <v>2632</v>
      </c>
      <c r="D992" s="55" t="s">
        <v>2633</v>
      </c>
    </row>
    <row r="993" spans="1:4">
      <c r="A993" s="55" t="s">
        <v>60</v>
      </c>
      <c r="B993" s="55" t="s">
        <v>1053</v>
      </c>
      <c r="C993" s="56" t="s">
        <v>2634</v>
      </c>
      <c r="D993" s="55" t="s">
        <v>2631</v>
      </c>
    </row>
    <row r="994" spans="1:4">
      <c r="A994" s="55" t="s">
        <v>60</v>
      </c>
      <c r="B994" s="55" t="s">
        <v>1051</v>
      </c>
      <c r="C994" s="56" t="s">
        <v>2635</v>
      </c>
      <c r="D994" s="55" t="s">
        <v>2636</v>
      </c>
    </row>
    <row r="995" spans="1:4">
      <c r="A995" s="55" t="s">
        <v>53</v>
      </c>
      <c r="B995" s="55" t="s">
        <v>1391</v>
      </c>
      <c r="C995" s="56">
        <v>23001122001099</v>
      </c>
      <c r="D995" s="55" t="s">
        <v>2414</v>
      </c>
    </row>
    <row r="996" spans="1:4">
      <c r="A996" s="55" t="s">
        <v>53</v>
      </c>
      <c r="B996" s="55" t="s">
        <v>2122</v>
      </c>
      <c r="C996" s="56">
        <v>23001122000793</v>
      </c>
      <c r="D996" s="55" t="s">
        <v>2414</v>
      </c>
    </row>
    <row r="997" spans="1:4">
      <c r="A997" s="55" t="s">
        <v>53</v>
      </c>
      <c r="B997" s="55" t="s">
        <v>1381</v>
      </c>
      <c r="C997" s="56">
        <v>38311137000130</v>
      </c>
      <c r="D997" s="55" t="s">
        <v>2414</v>
      </c>
    </row>
    <row r="998" spans="1:4">
      <c r="A998" s="55" t="s">
        <v>53</v>
      </c>
      <c r="B998" s="55" t="s">
        <v>1329</v>
      </c>
      <c r="C998" s="56" t="s">
        <v>2637</v>
      </c>
      <c r="D998" s="55" t="s">
        <v>2407</v>
      </c>
    </row>
    <row r="999" spans="1:4">
      <c r="A999" s="55" t="s">
        <v>53</v>
      </c>
      <c r="B999" s="55" t="s">
        <v>1340</v>
      </c>
      <c r="C999" s="56" t="s">
        <v>2638</v>
      </c>
      <c r="D999" s="55" t="s">
        <v>2407</v>
      </c>
    </row>
    <row r="1000" spans="1:4">
      <c r="A1000" s="55" t="s">
        <v>59</v>
      </c>
      <c r="B1000" s="55" t="s">
        <v>764</v>
      </c>
      <c r="C1000" s="56">
        <v>10496211000382</v>
      </c>
      <c r="D1000" s="55" t="s">
        <v>2554</v>
      </c>
    </row>
    <row r="1001" spans="1:4">
      <c r="A1001" s="55" t="s">
        <v>59</v>
      </c>
      <c r="B1001" s="55" t="s">
        <v>769</v>
      </c>
      <c r="C1001" s="56">
        <v>10496211000200</v>
      </c>
      <c r="D1001" s="55" t="s">
        <v>2554</v>
      </c>
    </row>
    <row r="1002" spans="1:4">
      <c r="A1002" s="55" t="s">
        <v>59</v>
      </c>
      <c r="B1002" s="55" t="s">
        <v>838</v>
      </c>
      <c r="C1002" s="56">
        <v>4539125001974</v>
      </c>
      <c r="D1002" s="55" t="s">
        <v>2359</v>
      </c>
    </row>
    <row r="1003" spans="1:4">
      <c r="A1003" s="55" t="s">
        <v>59</v>
      </c>
      <c r="B1003" s="55" t="s">
        <v>909</v>
      </c>
      <c r="C1003" s="56">
        <v>4539125001702</v>
      </c>
      <c r="D1003" s="55" t="s">
        <v>2359</v>
      </c>
    </row>
    <row r="1004" spans="1:4">
      <c r="A1004" s="55" t="s">
        <v>59</v>
      </c>
      <c r="B1004" s="55" t="s">
        <v>917</v>
      </c>
      <c r="C1004" s="56">
        <v>34080004000734</v>
      </c>
      <c r="D1004" s="55" t="s">
        <v>113</v>
      </c>
    </row>
    <row r="1005" spans="1:4">
      <c r="A1005" s="55" t="s">
        <v>59</v>
      </c>
      <c r="B1005" s="55" t="s">
        <v>919</v>
      </c>
      <c r="C1005" s="56">
        <v>34080004000815</v>
      </c>
      <c r="D1005" s="55" t="s">
        <v>113</v>
      </c>
    </row>
    <row r="1006" spans="1:4">
      <c r="A1006" s="58" t="s">
        <v>59</v>
      </c>
      <c r="B1006" s="58" t="s">
        <v>929</v>
      </c>
      <c r="C1006" s="59">
        <v>14676413000286</v>
      </c>
      <c r="D1006" s="58" t="s">
        <v>188</v>
      </c>
    </row>
    <row r="1007" spans="1:4">
      <c r="A1007" s="58" t="s">
        <v>59</v>
      </c>
      <c r="B1007" s="58" t="s">
        <v>931</v>
      </c>
      <c r="C1007" s="59">
        <v>66651235000151</v>
      </c>
      <c r="D1007" s="58" t="s">
        <v>2639</v>
      </c>
    </row>
    <row r="1008" spans="1:4">
      <c r="A1008" s="58" t="s">
        <v>59</v>
      </c>
      <c r="B1008" s="58" t="s">
        <v>933</v>
      </c>
      <c r="C1008" s="59">
        <v>4539125001893</v>
      </c>
      <c r="D1008" s="58" t="s">
        <v>2359</v>
      </c>
    </row>
    <row r="1009" spans="1:4">
      <c r="A1009" s="58" t="s">
        <v>56</v>
      </c>
      <c r="B1009" s="58" t="s">
        <v>583</v>
      </c>
      <c r="C1009" s="59" t="s">
        <v>2640</v>
      </c>
      <c r="D1009" s="58" t="s">
        <v>108</v>
      </c>
    </row>
    <row r="1010" spans="1:4">
      <c r="A1010" s="58" t="s">
        <v>56</v>
      </c>
      <c r="B1010" s="58" t="s">
        <v>559</v>
      </c>
      <c r="C1010" s="59">
        <v>11122639000166</v>
      </c>
      <c r="D1010" s="58" t="s">
        <v>213</v>
      </c>
    </row>
    <row r="1011" spans="1:4">
      <c r="A1011" s="58" t="s">
        <v>56</v>
      </c>
      <c r="B1011" s="58" t="s">
        <v>562</v>
      </c>
      <c r="C1011" s="59" t="s">
        <v>2641</v>
      </c>
      <c r="D1011" s="58" t="s">
        <v>2489</v>
      </c>
    </row>
    <row r="1012" spans="1:4">
      <c r="A1012" s="58" t="s">
        <v>56</v>
      </c>
      <c r="B1012" s="58" t="s">
        <v>588</v>
      </c>
      <c r="C1012" s="59" t="s">
        <v>2642</v>
      </c>
      <c r="D1012" s="58" t="s">
        <v>2489</v>
      </c>
    </row>
    <row r="1013" spans="1:4">
      <c r="A1013" s="58" t="s">
        <v>56</v>
      </c>
      <c r="B1013" s="58" t="s">
        <v>2108</v>
      </c>
      <c r="C1013" s="59" t="s">
        <v>2643</v>
      </c>
      <c r="D1013" s="58" t="s">
        <v>2489</v>
      </c>
    </row>
    <row r="1014" spans="1:4">
      <c r="A1014" s="58" t="s">
        <v>56</v>
      </c>
      <c r="B1014" s="58" t="s">
        <v>2112</v>
      </c>
      <c r="C1014" s="59">
        <v>65054723000119</v>
      </c>
      <c r="D1014" s="58" t="s">
        <v>2644</v>
      </c>
    </row>
  </sheetData>
  <conditionalFormatting sqref="B1:B725">
    <cfRule type="duplicateValues" dxfId="123" priority="82"/>
  </conditionalFormatting>
  <conditionalFormatting sqref="B664">
    <cfRule type="duplicateValues" dxfId="122" priority="80"/>
    <cfRule type="duplicateValues" dxfId="121" priority="79"/>
    <cfRule type="duplicateValues" dxfId="120" priority="81"/>
  </conditionalFormatting>
  <conditionalFormatting sqref="B709">
    <cfRule type="duplicateValues" dxfId="119" priority="60"/>
    <cfRule type="duplicateValues" dxfId="118" priority="59"/>
    <cfRule type="duplicateValues" dxfId="117" priority="58"/>
  </conditionalFormatting>
  <conditionalFormatting sqref="B726:B1005">
    <cfRule type="duplicateValues" dxfId="116" priority="86"/>
  </conditionalFormatting>
  <conditionalFormatting sqref="B1006:B1014">
    <cfRule type="duplicateValues" dxfId="115" priority="87"/>
  </conditionalFormatting>
  <conditionalFormatting sqref="B665:C665">
    <cfRule type="duplicateValues" dxfId="114" priority="75"/>
    <cfRule type="duplicateValues" dxfId="113" priority="74"/>
    <cfRule type="duplicateValues" dxfId="112" priority="73"/>
  </conditionalFormatting>
  <conditionalFormatting sqref="B666:C706 B1:C663">
    <cfRule type="duplicateValues" dxfId="111" priority="85"/>
    <cfRule type="duplicateValues" dxfId="110" priority="84"/>
    <cfRule type="duplicateValues" dxfId="109" priority="83"/>
  </conditionalFormatting>
  <conditionalFormatting sqref="B694:C694">
    <cfRule type="duplicateValues" dxfId="108" priority="69"/>
    <cfRule type="duplicateValues" dxfId="107" priority="67"/>
    <cfRule type="duplicateValues" dxfId="106" priority="68"/>
  </conditionalFormatting>
  <conditionalFormatting sqref="B707:C707">
    <cfRule type="duplicateValues" dxfId="105" priority="66"/>
    <cfRule type="duplicateValues" dxfId="104" priority="65"/>
    <cfRule type="duplicateValues" dxfId="103" priority="64"/>
  </conditionalFormatting>
  <conditionalFormatting sqref="B708:C708">
    <cfRule type="duplicateValues" dxfId="102" priority="62"/>
    <cfRule type="duplicateValues" dxfId="101" priority="61"/>
    <cfRule type="duplicateValues" dxfId="100" priority="63"/>
  </conditionalFormatting>
  <conditionalFormatting sqref="B710:C710 B712:C712 B714:C714 B716:C716 B718:C718">
    <cfRule type="duplicateValues" dxfId="99" priority="54"/>
    <cfRule type="duplicateValues" dxfId="98" priority="52"/>
    <cfRule type="duplicateValues" dxfId="97" priority="53"/>
  </conditionalFormatting>
  <conditionalFormatting sqref="B711:C711 B713:C713 B715:C715 B717:C725">
    <cfRule type="duplicateValues" dxfId="96" priority="71"/>
    <cfRule type="duplicateValues" dxfId="95" priority="70"/>
    <cfRule type="duplicateValues" dxfId="94" priority="72"/>
  </conditionalFormatting>
  <conditionalFormatting sqref="B726:C793">
    <cfRule type="duplicateValues" dxfId="93" priority="49"/>
    <cfRule type="duplicateValues" dxfId="92" priority="50"/>
    <cfRule type="duplicateValues" dxfId="91" priority="51"/>
  </conditionalFormatting>
  <conditionalFormatting sqref="B794:C796">
    <cfRule type="duplicateValues" dxfId="90" priority="45"/>
    <cfRule type="duplicateValues" dxfId="89" priority="43"/>
    <cfRule type="duplicateValues" dxfId="88" priority="44"/>
  </conditionalFormatting>
  <conditionalFormatting sqref="B797:C805">
    <cfRule type="duplicateValues" dxfId="87" priority="40"/>
    <cfRule type="duplicateValues" dxfId="86" priority="41"/>
    <cfRule type="duplicateValues" dxfId="85" priority="42"/>
  </conditionalFormatting>
  <conditionalFormatting sqref="B806:C871">
    <cfRule type="duplicateValues" dxfId="84" priority="46"/>
    <cfRule type="duplicateValues" dxfId="83" priority="47"/>
    <cfRule type="duplicateValues" dxfId="82" priority="48"/>
  </conditionalFormatting>
  <conditionalFormatting sqref="B872:C874">
    <cfRule type="duplicateValues" dxfId="81" priority="37"/>
    <cfRule type="duplicateValues" dxfId="80" priority="38"/>
    <cfRule type="duplicateValues" dxfId="79" priority="39"/>
  </conditionalFormatting>
  <conditionalFormatting sqref="B875:C876">
    <cfRule type="duplicateValues" dxfId="78" priority="29"/>
    <cfRule type="duplicateValues" dxfId="77" priority="30"/>
    <cfRule type="duplicateValues" dxfId="76" priority="28"/>
  </conditionalFormatting>
  <conditionalFormatting sqref="B877:C902">
    <cfRule type="duplicateValues" dxfId="75" priority="27"/>
    <cfRule type="duplicateValues" dxfId="74" priority="26"/>
    <cfRule type="duplicateValues" dxfId="73" priority="25"/>
  </conditionalFormatting>
  <conditionalFormatting sqref="B903:C903">
    <cfRule type="duplicateValues" dxfId="72" priority="31"/>
    <cfRule type="duplicateValues" dxfId="71" priority="32"/>
    <cfRule type="duplicateValues" dxfId="70" priority="33"/>
  </conditionalFormatting>
  <conditionalFormatting sqref="B904:C917">
    <cfRule type="duplicateValues" dxfId="69" priority="35"/>
    <cfRule type="duplicateValues" dxfId="68" priority="34"/>
    <cfRule type="duplicateValues" dxfId="67" priority="36"/>
  </conditionalFormatting>
  <conditionalFormatting sqref="B918:C924">
    <cfRule type="duplicateValues" dxfId="66" priority="23"/>
    <cfRule type="duplicateValues" dxfId="65" priority="24"/>
    <cfRule type="duplicateValues" dxfId="64" priority="22"/>
  </conditionalFormatting>
  <conditionalFormatting sqref="B925:C926">
    <cfRule type="duplicateValues" dxfId="63" priority="21"/>
    <cfRule type="duplicateValues" dxfId="62" priority="20"/>
    <cfRule type="duplicateValues" dxfId="61" priority="19"/>
  </conditionalFormatting>
  <conditionalFormatting sqref="B927:C947">
    <cfRule type="duplicateValues" dxfId="60" priority="16"/>
    <cfRule type="duplicateValues" dxfId="59" priority="18"/>
    <cfRule type="duplicateValues" dxfId="58" priority="17"/>
  </conditionalFormatting>
  <conditionalFormatting sqref="B948:C948">
    <cfRule type="duplicateValues" dxfId="57" priority="15"/>
    <cfRule type="duplicateValues" dxfId="56" priority="14"/>
    <cfRule type="duplicateValues" dxfId="55" priority="13"/>
  </conditionalFormatting>
  <conditionalFormatting sqref="B949:C963">
    <cfRule type="duplicateValues" dxfId="54" priority="11"/>
    <cfRule type="duplicateValues" dxfId="53" priority="10"/>
    <cfRule type="duplicateValues" dxfId="52" priority="12"/>
  </conditionalFormatting>
  <conditionalFormatting sqref="B964:C967">
    <cfRule type="duplicateValues" dxfId="51" priority="9"/>
    <cfRule type="duplicateValues" dxfId="50" priority="8"/>
    <cfRule type="duplicateValues" dxfId="49" priority="7"/>
  </conditionalFormatting>
  <conditionalFormatting sqref="B968:C969">
    <cfRule type="duplicateValues" dxfId="48" priority="6"/>
    <cfRule type="duplicateValues" dxfId="47" priority="5"/>
    <cfRule type="duplicateValues" dxfId="46" priority="4"/>
  </conditionalFormatting>
  <conditionalFormatting sqref="B970:C976">
    <cfRule type="duplicateValues" dxfId="45" priority="2"/>
    <cfRule type="duplicateValues" dxfId="44" priority="1"/>
    <cfRule type="duplicateValues" dxfId="43" priority="3"/>
  </conditionalFormatting>
  <conditionalFormatting sqref="B977:C1005">
    <cfRule type="duplicateValues" dxfId="42" priority="88"/>
    <cfRule type="duplicateValues" dxfId="41" priority="89"/>
    <cfRule type="duplicateValues" dxfId="40" priority="90"/>
  </conditionalFormatting>
  <conditionalFormatting sqref="C664">
    <cfRule type="duplicateValues" dxfId="39" priority="76"/>
    <cfRule type="duplicateValues" dxfId="38" priority="77"/>
    <cfRule type="duplicateValues" dxfId="37" priority="78"/>
  </conditionalFormatting>
  <conditionalFormatting sqref="C709">
    <cfRule type="duplicateValues" dxfId="36" priority="55"/>
    <cfRule type="duplicateValues" dxfId="35" priority="56"/>
    <cfRule type="duplicateValues" dxfId="34" priority="57"/>
  </conditionalFormatting>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57848-D916-4E7D-A7FE-A712B449AD88}">
  <dimension ref="A1:A11"/>
  <sheetViews>
    <sheetView workbookViewId="0">
      <selection activeCell="A2" sqref="A2"/>
    </sheetView>
  </sheetViews>
  <sheetFormatPr defaultRowHeight="14.45"/>
  <sheetData>
    <row r="1" spans="1:1">
      <c r="A1" t="s">
        <v>2645</v>
      </c>
    </row>
    <row r="2" spans="1:1">
      <c r="A2" s="37" t="s">
        <v>841</v>
      </c>
    </row>
    <row r="3" spans="1:1">
      <c r="A3" s="37" t="s">
        <v>1703</v>
      </c>
    </row>
    <row r="4" spans="1:1">
      <c r="A4" s="37" t="s">
        <v>1253</v>
      </c>
    </row>
    <row r="5" spans="1:1">
      <c r="A5" s="37" t="s">
        <v>1717</v>
      </c>
    </row>
    <row r="6" spans="1:1">
      <c r="A6" s="37" t="s">
        <v>562</v>
      </c>
    </row>
    <row r="7" spans="1:1">
      <c r="A7" s="37" t="s">
        <v>1733</v>
      </c>
    </row>
    <row r="8" spans="1:1">
      <c r="A8" s="37" t="s">
        <v>1012</v>
      </c>
    </row>
    <row r="9" spans="1:1">
      <c r="A9" s="37" t="s">
        <v>1377</v>
      </c>
    </row>
    <row r="10" spans="1:1">
      <c r="A10" s="37" t="s">
        <v>1758</v>
      </c>
    </row>
    <row r="11" spans="1:1">
      <c r="A11" s="37" t="s">
        <v>1588</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FB77-DB9D-4BD4-8030-34D19E1071EF}">
  <dimension ref="A1:H83"/>
  <sheetViews>
    <sheetView workbookViewId="0">
      <selection activeCell="D2" sqref="D2"/>
    </sheetView>
  </sheetViews>
  <sheetFormatPr defaultColWidth="8.7109375" defaultRowHeight="10.5"/>
  <cols>
    <col min="1" max="1" width="5.5703125" style="22" customWidth="1"/>
    <col min="2" max="2" width="19.42578125" style="23" bestFit="1" customWidth="1"/>
    <col min="3" max="3" width="14.5703125" style="23" customWidth="1"/>
    <col min="4" max="4" width="11.140625" style="23" bestFit="1" customWidth="1"/>
    <col min="5" max="5" width="25.140625" style="23" bestFit="1" customWidth="1"/>
    <col min="6" max="6" width="6.7109375" style="23" customWidth="1"/>
    <col min="7" max="8" width="9.5703125" style="23" customWidth="1"/>
    <col min="9" max="16384" width="8.7109375" style="21"/>
  </cols>
  <sheetData>
    <row r="1" spans="1:8" ht="21">
      <c r="A1" s="19" t="s">
        <v>9</v>
      </c>
      <c r="B1" s="20" t="s">
        <v>246</v>
      </c>
      <c r="C1" s="20" t="s">
        <v>42</v>
      </c>
      <c r="D1" s="20" t="s">
        <v>2174</v>
      </c>
      <c r="E1" s="20" t="s">
        <v>42</v>
      </c>
      <c r="F1" s="20" t="s">
        <v>2175</v>
      </c>
      <c r="G1" s="20" t="s">
        <v>2176</v>
      </c>
      <c r="H1" s="20" t="s">
        <v>2177</v>
      </c>
    </row>
    <row r="2" spans="1:8">
      <c r="A2" s="22" t="s">
        <v>60</v>
      </c>
      <c r="B2" s="23" t="s">
        <v>2178</v>
      </c>
      <c r="C2" s="23" t="s">
        <v>2179</v>
      </c>
      <c r="D2" s="23" t="s">
        <v>2180</v>
      </c>
      <c r="E2" s="23" t="s">
        <v>2181</v>
      </c>
      <c r="F2" s="24">
        <v>46174</v>
      </c>
      <c r="H2" s="23" t="s">
        <v>2182</v>
      </c>
    </row>
    <row r="3" spans="1:8">
      <c r="A3" s="22" t="s">
        <v>59</v>
      </c>
      <c r="B3" s="23" t="s">
        <v>2219</v>
      </c>
      <c r="C3" s="23" t="s">
        <v>2220</v>
      </c>
      <c r="D3" s="23" t="s">
        <v>728</v>
      </c>
      <c r="E3" s="23" t="s">
        <v>2183</v>
      </c>
      <c r="F3" s="25">
        <v>46204</v>
      </c>
      <c r="G3" s="25"/>
      <c r="H3" s="25" t="s">
        <v>2182</v>
      </c>
    </row>
    <row r="4" spans="1:8">
      <c r="A4" s="22" t="s">
        <v>59</v>
      </c>
      <c r="B4" s="23" t="s">
        <v>2221</v>
      </c>
      <c r="C4" s="23" t="s">
        <v>2186</v>
      </c>
      <c r="D4" s="23" t="s">
        <v>2222</v>
      </c>
      <c r="E4" s="23" t="s">
        <v>2185</v>
      </c>
      <c r="F4" s="25">
        <v>46204</v>
      </c>
      <c r="G4" s="25"/>
      <c r="H4" s="25" t="s">
        <v>2182</v>
      </c>
    </row>
    <row r="5" spans="1:8">
      <c r="A5" s="22" t="s">
        <v>59</v>
      </c>
      <c r="B5" s="23" t="s">
        <v>2223</v>
      </c>
      <c r="C5" s="23" t="s">
        <v>2186</v>
      </c>
      <c r="D5" s="23" t="s">
        <v>2224</v>
      </c>
      <c r="E5" s="23" t="s">
        <v>2185</v>
      </c>
      <c r="F5" s="25">
        <v>46204</v>
      </c>
      <c r="G5" s="25"/>
      <c r="H5" s="25" t="s">
        <v>2182</v>
      </c>
    </row>
    <row r="6" spans="1:8">
      <c r="A6" s="22" t="s">
        <v>59</v>
      </c>
      <c r="B6" s="23" t="s">
        <v>625</v>
      </c>
      <c r="C6" s="23" t="s">
        <v>2201</v>
      </c>
      <c r="D6" s="23" t="s">
        <v>623</v>
      </c>
      <c r="E6" s="23" t="s">
        <v>2209</v>
      </c>
      <c r="F6" s="25">
        <v>46174</v>
      </c>
      <c r="G6" s="25"/>
      <c r="H6" s="25" t="s">
        <v>2182</v>
      </c>
    </row>
    <row r="7" spans="1:8">
      <c r="A7" s="22" t="s">
        <v>59</v>
      </c>
      <c r="B7" s="23" t="s">
        <v>699</v>
      </c>
      <c r="C7" s="23" t="s">
        <v>2210</v>
      </c>
      <c r="D7" s="23" t="s">
        <v>698</v>
      </c>
      <c r="E7" s="23" t="s">
        <v>2211</v>
      </c>
      <c r="F7" s="25">
        <v>46174</v>
      </c>
      <c r="G7" s="25"/>
      <c r="H7" s="25" t="s">
        <v>2182</v>
      </c>
    </row>
    <row r="8" spans="1:8">
      <c r="A8" s="22" t="s">
        <v>59</v>
      </c>
      <c r="B8" s="23" t="s">
        <v>2212</v>
      </c>
      <c r="C8" s="23" t="s">
        <v>2213</v>
      </c>
      <c r="D8" s="23" t="s">
        <v>2214</v>
      </c>
      <c r="E8" s="23" t="s">
        <v>2211</v>
      </c>
      <c r="F8" s="25">
        <v>46174</v>
      </c>
      <c r="G8" s="25"/>
      <c r="H8" s="25" t="s">
        <v>2182</v>
      </c>
    </row>
    <row r="9" spans="1:8">
      <c r="A9" s="22" t="s">
        <v>59</v>
      </c>
      <c r="B9" s="23" t="s">
        <v>2215</v>
      </c>
      <c r="C9" s="23" t="s">
        <v>2213</v>
      </c>
      <c r="D9" s="23" t="s">
        <v>2216</v>
      </c>
      <c r="E9" s="23" t="s">
        <v>2211</v>
      </c>
      <c r="F9" s="25">
        <v>46174</v>
      </c>
      <c r="G9" s="25"/>
      <c r="H9" s="25" t="s">
        <v>2182</v>
      </c>
    </row>
    <row r="10" spans="1:8">
      <c r="A10" s="22" t="s">
        <v>59</v>
      </c>
      <c r="B10" s="23" t="s">
        <v>689</v>
      </c>
      <c r="C10" s="23" t="s">
        <v>2213</v>
      </c>
      <c r="D10" s="23" t="s">
        <v>690</v>
      </c>
      <c r="E10" s="23" t="s">
        <v>2211</v>
      </c>
      <c r="F10" s="25">
        <v>46174</v>
      </c>
      <c r="G10" s="25"/>
      <c r="H10" s="25" t="s">
        <v>2182</v>
      </c>
    </row>
    <row r="11" spans="1:8">
      <c r="A11" s="22" t="s">
        <v>59</v>
      </c>
      <c r="B11" s="23" t="s">
        <v>694</v>
      </c>
      <c r="C11" s="23" t="s">
        <v>2218</v>
      </c>
      <c r="D11" s="23" t="s">
        <v>695</v>
      </c>
      <c r="E11" s="23" t="s">
        <v>2211</v>
      </c>
      <c r="F11" s="25">
        <v>46174</v>
      </c>
      <c r="G11" s="25"/>
      <c r="H11" s="25" t="s">
        <v>2182</v>
      </c>
    </row>
    <row r="12" spans="1:8">
      <c r="A12" s="22" t="s">
        <v>59</v>
      </c>
      <c r="B12" s="23" t="s">
        <v>694</v>
      </c>
      <c r="C12" s="23" t="s">
        <v>2218</v>
      </c>
      <c r="D12" s="23" t="s">
        <v>707</v>
      </c>
      <c r="E12" s="23" t="s">
        <v>2211</v>
      </c>
      <c r="F12" s="25">
        <v>46174</v>
      </c>
      <c r="G12" s="25"/>
      <c r="H12" s="25" t="s">
        <v>2182</v>
      </c>
    </row>
    <row r="13" spans="1:8">
      <c r="A13" s="26" t="s">
        <v>59</v>
      </c>
      <c r="B13" s="27" t="s">
        <v>619</v>
      </c>
      <c r="C13" s="27" t="s">
        <v>2189</v>
      </c>
      <c r="D13" s="27" t="s">
        <v>2206</v>
      </c>
      <c r="E13" s="27" t="s">
        <v>2207</v>
      </c>
      <c r="F13" s="28">
        <v>46143</v>
      </c>
      <c r="H13" s="23" t="s">
        <v>2182</v>
      </c>
    </row>
    <row r="14" spans="1:8">
      <c r="A14" s="26" t="s">
        <v>59</v>
      </c>
      <c r="B14" s="27" t="s">
        <v>610</v>
      </c>
      <c r="C14" s="27" t="s">
        <v>2189</v>
      </c>
      <c r="D14" s="27" t="s">
        <v>2208</v>
      </c>
      <c r="E14" s="27" t="s">
        <v>2207</v>
      </c>
      <c r="F14" s="28">
        <v>46143</v>
      </c>
      <c r="H14" s="23" t="s">
        <v>2182</v>
      </c>
    </row>
    <row r="15" spans="1:8">
      <c r="A15" s="26" t="s">
        <v>59</v>
      </c>
      <c r="B15" s="27" t="s">
        <v>2200</v>
      </c>
      <c r="C15" s="27" t="s">
        <v>2201</v>
      </c>
      <c r="D15" s="27" t="s">
        <v>2202</v>
      </c>
      <c r="E15" s="27" t="s">
        <v>169</v>
      </c>
      <c r="F15" s="29">
        <v>46113</v>
      </c>
      <c r="G15" s="25"/>
      <c r="H15" s="25" t="s">
        <v>2182</v>
      </c>
    </row>
    <row r="16" spans="1:8">
      <c r="A16" s="26" t="s">
        <v>59</v>
      </c>
      <c r="B16" s="27" t="s">
        <v>2116</v>
      </c>
      <c r="C16" s="27" t="s">
        <v>2201</v>
      </c>
      <c r="D16" s="27" t="s">
        <v>2203</v>
      </c>
      <c r="E16" s="27" t="s">
        <v>169</v>
      </c>
      <c r="F16" s="29">
        <v>46113</v>
      </c>
      <c r="G16" s="25"/>
      <c r="H16" s="25" t="s">
        <v>2182</v>
      </c>
    </row>
    <row r="17" spans="1:8">
      <c r="A17" s="26" t="s">
        <v>59</v>
      </c>
      <c r="B17" s="27" t="s">
        <v>2126</v>
      </c>
      <c r="C17" s="27" t="s">
        <v>2201</v>
      </c>
      <c r="D17" s="27" t="s">
        <v>2204</v>
      </c>
      <c r="E17" s="27" t="s">
        <v>169</v>
      </c>
      <c r="F17" s="29">
        <v>46113</v>
      </c>
      <c r="G17" s="25"/>
      <c r="H17" s="25" t="s">
        <v>2182</v>
      </c>
    </row>
    <row r="18" spans="1:8">
      <c r="A18" s="26" t="s">
        <v>59</v>
      </c>
      <c r="B18" s="27" t="s">
        <v>2107</v>
      </c>
      <c r="C18" s="27" t="s">
        <v>2201</v>
      </c>
      <c r="D18" s="27" t="s">
        <v>2205</v>
      </c>
      <c r="E18" s="27" t="s">
        <v>169</v>
      </c>
      <c r="F18" s="29">
        <v>46113</v>
      </c>
      <c r="G18" s="25"/>
      <c r="H18" s="25" t="s">
        <v>2182</v>
      </c>
    </row>
    <row r="19" spans="1:8">
      <c r="A19" s="26" t="s">
        <v>59</v>
      </c>
      <c r="B19" s="27" t="s">
        <v>619</v>
      </c>
      <c r="C19" s="27" t="s">
        <v>2189</v>
      </c>
      <c r="D19" s="27" t="s">
        <v>2190</v>
      </c>
      <c r="E19" s="27" t="s">
        <v>2191</v>
      </c>
      <c r="F19" s="29">
        <v>46082</v>
      </c>
      <c r="G19" s="25"/>
      <c r="H19" s="25" t="s">
        <v>2182</v>
      </c>
    </row>
    <row r="20" spans="1:8">
      <c r="A20" s="26" t="s">
        <v>59</v>
      </c>
      <c r="B20" s="27" t="s">
        <v>932</v>
      </c>
      <c r="C20" s="27" t="s">
        <v>2189</v>
      </c>
      <c r="D20" s="27" t="s">
        <v>2192</v>
      </c>
      <c r="E20" s="27" t="s">
        <v>2193</v>
      </c>
      <c r="F20" s="29">
        <v>46082</v>
      </c>
      <c r="G20" s="25"/>
      <c r="H20" s="25" t="s">
        <v>2182</v>
      </c>
    </row>
    <row r="21" spans="1:8">
      <c r="A21" s="26" t="s">
        <v>59</v>
      </c>
      <c r="B21" s="27" t="s">
        <v>610</v>
      </c>
      <c r="C21" s="27" t="s">
        <v>2189</v>
      </c>
      <c r="D21" s="27" t="s">
        <v>2194</v>
      </c>
      <c r="E21" s="27" t="s">
        <v>2191</v>
      </c>
      <c r="F21" s="29">
        <v>46082</v>
      </c>
      <c r="G21" s="25"/>
      <c r="H21" s="25" t="s">
        <v>2182</v>
      </c>
    </row>
    <row r="22" spans="1:8">
      <c r="A22" s="26" t="s">
        <v>59</v>
      </c>
      <c r="B22" s="27" t="s">
        <v>767</v>
      </c>
      <c r="C22" s="27" t="s">
        <v>2189</v>
      </c>
      <c r="D22" s="27" t="s">
        <v>2195</v>
      </c>
      <c r="E22" s="27" t="s">
        <v>2191</v>
      </c>
      <c r="F22" s="29">
        <v>46082</v>
      </c>
      <c r="G22" s="25"/>
      <c r="H22" s="25" t="s">
        <v>2182</v>
      </c>
    </row>
    <row r="23" spans="1:8">
      <c r="A23" s="26" t="s">
        <v>59</v>
      </c>
      <c r="B23" s="27" t="s">
        <v>610</v>
      </c>
      <c r="C23" s="27" t="s">
        <v>2189</v>
      </c>
      <c r="D23" s="27" t="s">
        <v>2196</v>
      </c>
      <c r="E23" s="27" t="s">
        <v>2191</v>
      </c>
      <c r="F23" s="29">
        <v>46082</v>
      </c>
      <c r="G23" s="25"/>
      <c r="H23" s="25" t="s">
        <v>2182</v>
      </c>
    </row>
    <row r="24" spans="1:8">
      <c r="A24" s="26" t="s">
        <v>59</v>
      </c>
      <c r="B24" s="27" t="s">
        <v>619</v>
      </c>
      <c r="C24" s="27" t="s">
        <v>2189</v>
      </c>
      <c r="D24" s="27" t="s">
        <v>2197</v>
      </c>
      <c r="E24" s="27" t="s">
        <v>2191</v>
      </c>
      <c r="F24" s="29">
        <v>46082</v>
      </c>
      <c r="G24" s="25"/>
      <c r="H24" s="25" t="s">
        <v>2182</v>
      </c>
    </row>
    <row r="25" spans="1:8">
      <c r="A25" s="26" t="s">
        <v>59</v>
      </c>
      <c r="B25" s="27" t="s">
        <v>622</v>
      </c>
      <c r="C25" s="27" t="s">
        <v>2189</v>
      </c>
      <c r="D25" s="27" t="s">
        <v>2198</v>
      </c>
      <c r="E25" s="27" t="s">
        <v>2191</v>
      </c>
      <c r="F25" s="29">
        <v>46082</v>
      </c>
      <c r="G25" s="25"/>
      <c r="H25" s="25" t="s">
        <v>2182</v>
      </c>
    </row>
    <row r="26" spans="1:8">
      <c r="A26" s="26" t="s">
        <v>59</v>
      </c>
      <c r="B26" s="27" t="s">
        <v>918</v>
      </c>
      <c r="C26" s="27" t="s">
        <v>2186</v>
      </c>
      <c r="D26" s="27" t="s">
        <v>2199</v>
      </c>
      <c r="E26" s="27" t="s">
        <v>2188</v>
      </c>
      <c r="F26" s="29">
        <v>46082</v>
      </c>
      <c r="G26" s="25"/>
      <c r="H26" s="25" t="s">
        <v>2182</v>
      </c>
    </row>
    <row r="27" spans="1:8">
      <c r="A27" s="26" t="s">
        <v>59</v>
      </c>
      <c r="B27" s="27" t="s">
        <v>910</v>
      </c>
      <c r="C27" s="27" t="s">
        <v>2183</v>
      </c>
      <c r="D27" s="27" t="s">
        <v>2184</v>
      </c>
      <c r="E27" s="27" t="s">
        <v>2185</v>
      </c>
      <c r="F27" s="29">
        <v>46024</v>
      </c>
      <c r="G27" s="25"/>
      <c r="H27" s="25" t="s">
        <v>2182</v>
      </c>
    </row>
    <row r="28" spans="1:8">
      <c r="A28" s="26" t="s">
        <v>59</v>
      </c>
      <c r="B28" s="27" t="s">
        <v>920</v>
      </c>
      <c r="C28" s="27" t="s">
        <v>2186</v>
      </c>
      <c r="D28" s="27" t="s">
        <v>2187</v>
      </c>
      <c r="E28" s="27" t="s">
        <v>2188</v>
      </c>
      <c r="F28" s="29">
        <v>46024</v>
      </c>
      <c r="G28" s="25"/>
      <c r="H28" s="25" t="s">
        <v>2182</v>
      </c>
    </row>
    <row r="29" spans="1:8">
      <c r="A29" s="22" t="s">
        <v>56</v>
      </c>
      <c r="B29" s="23" t="s">
        <v>517</v>
      </c>
      <c r="C29" s="23" t="s">
        <v>142</v>
      </c>
      <c r="D29" s="23" t="s">
        <v>516</v>
      </c>
      <c r="E29" s="23" t="s">
        <v>2211</v>
      </c>
      <c r="F29" s="25">
        <v>46204</v>
      </c>
      <c r="G29" s="25"/>
      <c r="H29" s="25" t="s">
        <v>2182</v>
      </c>
    </row>
    <row r="30" spans="1:8">
      <c r="A30" s="22" t="s">
        <v>56</v>
      </c>
      <c r="B30" s="23" t="s">
        <v>455</v>
      </c>
      <c r="C30" s="23" t="s">
        <v>2229</v>
      </c>
      <c r="D30" s="23" t="s">
        <v>2646</v>
      </c>
      <c r="E30" s="23" t="s">
        <v>2211</v>
      </c>
      <c r="F30" s="25">
        <v>46266</v>
      </c>
      <c r="G30" s="25"/>
      <c r="H30" s="25" t="s">
        <v>2182</v>
      </c>
    </row>
    <row r="31" spans="1:8">
      <c r="A31" s="22" t="s">
        <v>56</v>
      </c>
      <c r="B31" s="23" t="s">
        <v>567</v>
      </c>
      <c r="C31" s="23" t="s">
        <v>88</v>
      </c>
      <c r="D31" s="23" t="s">
        <v>566</v>
      </c>
      <c r="E31" s="23" t="s">
        <v>2211</v>
      </c>
      <c r="F31" s="25">
        <v>46296</v>
      </c>
      <c r="G31" s="25"/>
      <c r="H31" s="25" t="s">
        <v>2182</v>
      </c>
    </row>
    <row r="32" spans="1:8">
      <c r="A32" s="22" t="s">
        <v>56</v>
      </c>
      <c r="B32" s="23" t="s">
        <v>515</v>
      </c>
      <c r="C32" s="23" t="s">
        <v>2225</v>
      </c>
      <c r="D32" s="23" t="s">
        <v>2226</v>
      </c>
      <c r="E32" s="23" t="s">
        <v>2227</v>
      </c>
      <c r="F32" s="24">
        <v>46174</v>
      </c>
      <c r="G32" s="23" t="s">
        <v>2228</v>
      </c>
      <c r="H32" s="23" t="s">
        <v>2182</v>
      </c>
    </row>
    <row r="33" spans="1:8">
      <c r="A33" s="26" t="s">
        <v>61</v>
      </c>
      <c r="B33" s="23" t="s">
        <v>2321</v>
      </c>
      <c r="E33" s="23" t="s">
        <v>2647</v>
      </c>
      <c r="F33" s="24">
        <v>46204</v>
      </c>
      <c r="G33" s="24"/>
      <c r="H33" s="24" t="s">
        <v>2182</v>
      </c>
    </row>
    <row r="34" spans="1:8">
      <c r="A34" s="26" t="s">
        <v>62</v>
      </c>
      <c r="B34" s="30" t="s">
        <v>1102</v>
      </c>
      <c r="C34" s="31" t="s">
        <v>2230</v>
      </c>
      <c r="D34" s="30" t="s">
        <v>2231</v>
      </c>
      <c r="E34" s="27" t="s">
        <v>2232</v>
      </c>
      <c r="F34" s="29">
        <v>46023</v>
      </c>
      <c r="G34" s="25"/>
      <c r="H34" s="25" t="s">
        <v>2182</v>
      </c>
    </row>
    <row r="35" spans="1:8">
      <c r="A35" s="26" t="s">
        <v>62</v>
      </c>
      <c r="B35" s="27" t="s">
        <v>1102</v>
      </c>
      <c r="C35" s="27" t="s">
        <v>2230</v>
      </c>
      <c r="D35" s="27" t="s">
        <v>2233</v>
      </c>
      <c r="E35" s="27" t="s">
        <v>2232</v>
      </c>
      <c r="F35" s="29">
        <v>46023</v>
      </c>
      <c r="G35" s="25"/>
      <c r="H35" s="25" t="s">
        <v>2182</v>
      </c>
    </row>
    <row r="36" spans="1:8">
      <c r="A36" s="26" t="s">
        <v>62</v>
      </c>
      <c r="B36" s="27" t="s">
        <v>2234</v>
      </c>
      <c r="C36" s="27" t="s">
        <v>2235</v>
      </c>
      <c r="D36" s="27" t="s">
        <v>2236</v>
      </c>
      <c r="E36" s="27" t="s">
        <v>2237</v>
      </c>
      <c r="F36" s="29">
        <v>46024</v>
      </c>
      <c r="G36" s="25"/>
      <c r="H36" s="25" t="s">
        <v>2182</v>
      </c>
    </row>
    <row r="37" spans="1:8">
      <c r="A37" s="26" t="s">
        <v>62</v>
      </c>
      <c r="B37" s="30" t="s">
        <v>2238</v>
      </c>
      <c r="C37" s="31" t="s">
        <v>2239</v>
      </c>
      <c r="D37" s="30" t="s">
        <v>2240</v>
      </c>
      <c r="E37" s="27" t="s">
        <v>2241</v>
      </c>
      <c r="F37" s="29">
        <v>46025</v>
      </c>
      <c r="G37" s="25"/>
      <c r="H37" s="25" t="s">
        <v>2182</v>
      </c>
    </row>
    <row r="38" spans="1:8">
      <c r="A38" s="22" t="s">
        <v>62</v>
      </c>
      <c r="B38" s="23" t="s">
        <v>2242</v>
      </c>
      <c r="C38" s="23" t="s">
        <v>2243</v>
      </c>
      <c r="D38" s="23" t="s">
        <v>1113</v>
      </c>
      <c r="E38" s="23" t="s">
        <v>2232</v>
      </c>
      <c r="F38" s="24">
        <v>46143</v>
      </c>
      <c r="H38" s="23" t="s">
        <v>2182</v>
      </c>
    </row>
    <row r="39" spans="1:8">
      <c r="A39" s="22" t="s">
        <v>62</v>
      </c>
      <c r="B39" s="23" t="s">
        <v>2244</v>
      </c>
      <c r="C39" s="23" t="s">
        <v>2245</v>
      </c>
      <c r="D39" s="23" t="s">
        <v>2246</v>
      </c>
      <c r="E39" s="23" t="s">
        <v>2241</v>
      </c>
      <c r="F39" s="24">
        <v>46174</v>
      </c>
      <c r="H39" s="23" t="s">
        <v>2182</v>
      </c>
    </row>
    <row r="40" spans="1:8">
      <c r="A40" s="26" t="s">
        <v>57</v>
      </c>
      <c r="B40" s="27" t="s">
        <v>2254</v>
      </c>
      <c r="C40" s="27" t="s">
        <v>2253</v>
      </c>
      <c r="D40" s="32" t="s">
        <v>2255</v>
      </c>
      <c r="E40" s="27" t="s">
        <v>2256</v>
      </c>
      <c r="F40" s="28">
        <v>46113</v>
      </c>
      <c r="G40" s="24"/>
      <c r="H40" s="24" t="s">
        <v>2182</v>
      </c>
    </row>
    <row r="41" spans="1:8">
      <c r="A41" s="26" t="s">
        <v>57</v>
      </c>
      <c r="B41" s="27" t="s">
        <v>2257</v>
      </c>
      <c r="C41" s="27" t="s">
        <v>2258</v>
      </c>
      <c r="D41" s="32" t="s">
        <v>2259</v>
      </c>
      <c r="E41" s="27" t="s">
        <v>2260</v>
      </c>
      <c r="F41" s="28">
        <v>46113</v>
      </c>
      <c r="G41" s="24"/>
      <c r="H41" s="24" t="s">
        <v>2182</v>
      </c>
    </row>
    <row r="42" spans="1:8">
      <c r="A42" s="26" t="s">
        <v>57</v>
      </c>
      <c r="B42" s="32" t="s">
        <v>1744</v>
      </c>
      <c r="C42" s="32" t="s">
        <v>2258</v>
      </c>
      <c r="D42" s="32" t="s">
        <v>2261</v>
      </c>
      <c r="E42" s="27" t="s">
        <v>2260</v>
      </c>
      <c r="F42" s="28">
        <v>46113</v>
      </c>
      <c r="G42" s="24"/>
      <c r="H42" s="24" t="s">
        <v>2182</v>
      </c>
    </row>
    <row r="43" spans="1:8">
      <c r="A43" s="26" t="s">
        <v>57</v>
      </c>
      <c r="B43" s="32" t="s">
        <v>2262</v>
      </c>
      <c r="C43" s="32" t="s">
        <v>2258</v>
      </c>
      <c r="D43" s="32" t="s">
        <v>2263</v>
      </c>
      <c r="E43" s="27" t="s">
        <v>2260</v>
      </c>
      <c r="F43" s="28">
        <v>46113</v>
      </c>
      <c r="G43" s="24"/>
      <c r="H43" s="24" t="s">
        <v>2182</v>
      </c>
    </row>
    <row r="44" spans="1:8">
      <c r="A44" s="26" t="s">
        <v>57</v>
      </c>
      <c r="B44" s="27" t="s">
        <v>2264</v>
      </c>
      <c r="C44" s="27" t="s">
        <v>2265</v>
      </c>
      <c r="D44" s="32" t="s">
        <v>2266</v>
      </c>
      <c r="E44" s="27" t="s">
        <v>2267</v>
      </c>
      <c r="F44" s="28">
        <v>46113</v>
      </c>
      <c r="G44" s="24"/>
      <c r="H44" s="24" t="s">
        <v>2182</v>
      </c>
    </row>
    <row r="45" spans="1:8">
      <c r="A45" s="26" t="s">
        <v>57</v>
      </c>
      <c r="B45" s="27" t="s">
        <v>2268</v>
      </c>
      <c r="C45" s="27" t="s">
        <v>2265</v>
      </c>
      <c r="D45" s="32" t="s">
        <v>2269</v>
      </c>
      <c r="E45" s="27" t="s">
        <v>2267</v>
      </c>
      <c r="F45" s="28">
        <v>46113</v>
      </c>
      <c r="G45" s="24"/>
      <c r="H45" s="24" t="s">
        <v>2182</v>
      </c>
    </row>
    <row r="46" spans="1:8">
      <c r="A46" s="26" t="s">
        <v>57</v>
      </c>
      <c r="B46" s="27" t="s">
        <v>2270</v>
      </c>
      <c r="C46" s="27" t="s">
        <v>2265</v>
      </c>
      <c r="D46" s="32" t="s">
        <v>2271</v>
      </c>
      <c r="E46" s="27" t="s">
        <v>2267</v>
      </c>
      <c r="F46" s="28">
        <v>46113</v>
      </c>
      <c r="G46" s="24"/>
      <c r="H46" s="24" t="s">
        <v>2182</v>
      </c>
    </row>
    <row r="47" spans="1:8">
      <c r="A47" s="26" t="s">
        <v>57</v>
      </c>
      <c r="B47" s="27" t="s">
        <v>2272</v>
      </c>
      <c r="C47" s="27" t="s">
        <v>2265</v>
      </c>
      <c r="D47" s="32" t="s">
        <v>2273</v>
      </c>
      <c r="E47" s="27" t="s">
        <v>2267</v>
      </c>
      <c r="F47" s="28">
        <v>46113</v>
      </c>
      <c r="G47" s="24"/>
      <c r="H47" s="24" t="s">
        <v>2182</v>
      </c>
    </row>
    <row r="48" spans="1:8">
      <c r="A48" s="26" t="s">
        <v>57</v>
      </c>
      <c r="B48" s="27" t="s">
        <v>1971</v>
      </c>
      <c r="C48" s="27" t="s">
        <v>2265</v>
      </c>
      <c r="D48" s="32" t="s">
        <v>2274</v>
      </c>
      <c r="E48" s="27" t="s">
        <v>2267</v>
      </c>
      <c r="F48" s="28">
        <v>46113</v>
      </c>
      <c r="G48" s="24"/>
      <c r="H48" s="24" t="s">
        <v>2182</v>
      </c>
    </row>
    <row r="49" spans="1:8">
      <c r="A49" s="26" t="s">
        <v>57</v>
      </c>
      <c r="B49" s="27" t="s">
        <v>2275</v>
      </c>
      <c r="C49" s="27" t="s">
        <v>2265</v>
      </c>
      <c r="D49" s="32" t="s">
        <v>2276</v>
      </c>
      <c r="E49" s="27" t="s">
        <v>2267</v>
      </c>
      <c r="F49" s="28">
        <v>46113</v>
      </c>
      <c r="G49" s="24"/>
      <c r="H49" s="24" t="s">
        <v>2182</v>
      </c>
    </row>
    <row r="50" spans="1:8">
      <c r="A50" s="26" t="s">
        <v>57</v>
      </c>
      <c r="B50" s="27" t="s">
        <v>2277</v>
      </c>
      <c r="C50" s="27" t="s">
        <v>2265</v>
      </c>
      <c r="D50" s="32" t="s">
        <v>2278</v>
      </c>
      <c r="E50" s="27" t="s">
        <v>2267</v>
      </c>
      <c r="F50" s="28">
        <v>46113</v>
      </c>
      <c r="G50" s="24"/>
      <c r="H50" s="24" t="s">
        <v>2182</v>
      </c>
    </row>
    <row r="51" spans="1:8">
      <c r="A51" s="26" t="s">
        <v>57</v>
      </c>
      <c r="B51" s="27" t="s">
        <v>1975</v>
      </c>
      <c r="C51" s="27" t="s">
        <v>2265</v>
      </c>
      <c r="D51" s="32" t="s">
        <v>2279</v>
      </c>
      <c r="E51" s="27" t="s">
        <v>2267</v>
      </c>
      <c r="F51" s="28">
        <v>46113</v>
      </c>
      <c r="G51" s="24"/>
      <c r="H51" s="24" t="s">
        <v>2182</v>
      </c>
    </row>
    <row r="52" spans="1:8">
      <c r="A52" s="26" t="s">
        <v>57</v>
      </c>
      <c r="B52" s="27" t="s">
        <v>2103</v>
      </c>
      <c r="C52" s="27" t="s">
        <v>2093</v>
      </c>
      <c r="D52" s="32" t="s">
        <v>2280</v>
      </c>
      <c r="E52" s="27" t="s">
        <v>2256</v>
      </c>
      <c r="F52" s="28">
        <v>46113</v>
      </c>
      <c r="G52" s="24"/>
      <c r="H52" s="24" t="s">
        <v>2182</v>
      </c>
    </row>
    <row r="53" spans="1:8">
      <c r="A53" s="26" t="s">
        <v>57</v>
      </c>
      <c r="B53" s="27" t="s">
        <v>2281</v>
      </c>
      <c r="C53" s="27" t="s">
        <v>2093</v>
      </c>
      <c r="D53" s="32" t="s">
        <v>2282</v>
      </c>
      <c r="E53" s="27" t="s">
        <v>2256</v>
      </c>
      <c r="F53" s="28">
        <v>46113</v>
      </c>
      <c r="G53" s="24"/>
      <c r="H53" s="24" t="s">
        <v>2182</v>
      </c>
    </row>
    <row r="54" spans="1:8">
      <c r="A54" s="26" t="s">
        <v>57</v>
      </c>
      <c r="B54" s="27" t="s">
        <v>2092</v>
      </c>
      <c r="C54" s="27" t="s">
        <v>2093</v>
      </c>
      <c r="D54" s="32" t="s">
        <v>2091</v>
      </c>
      <c r="E54" s="27" t="s">
        <v>2256</v>
      </c>
      <c r="F54" s="28">
        <v>46113</v>
      </c>
      <c r="G54" s="24"/>
      <c r="H54" s="24" t="s">
        <v>2182</v>
      </c>
    </row>
    <row r="55" spans="1:8">
      <c r="A55" s="26" t="s">
        <v>57</v>
      </c>
      <c r="B55" s="27" t="s">
        <v>2283</v>
      </c>
      <c r="C55" s="27" t="s">
        <v>2093</v>
      </c>
      <c r="D55" s="32" t="s">
        <v>2284</v>
      </c>
      <c r="E55" s="27" t="s">
        <v>2256</v>
      </c>
      <c r="F55" s="28">
        <v>46113</v>
      </c>
      <c r="G55" s="24"/>
      <c r="H55" s="24" t="s">
        <v>2182</v>
      </c>
    </row>
    <row r="56" spans="1:8">
      <c r="A56" s="26" t="s">
        <v>57</v>
      </c>
      <c r="B56" s="27" t="s">
        <v>2285</v>
      </c>
      <c r="C56" s="27" t="s">
        <v>2093</v>
      </c>
      <c r="D56" s="32" t="s">
        <v>2286</v>
      </c>
      <c r="E56" s="27" t="s">
        <v>2256</v>
      </c>
      <c r="F56" s="28">
        <v>46113</v>
      </c>
      <c r="G56" s="24"/>
      <c r="H56" s="24" t="s">
        <v>2182</v>
      </c>
    </row>
    <row r="57" spans="1:8">
      <c r="A57" s="26" t="s">
        <v>57</v>
      </c>
      <c r="B57" s="27" t="s">
        <v>2287</v>
      </c>
      <c r="C57" s="27" t="s">
        <v>2093</v>
      </c>
      <c r="D57" s="32" t="s">
        <v>2288</v>
      </c>
      <c r="E57" s="27" t="s">
        <v>2256</v>
      </c>
      <c r="F57" s="28">
        <v>46113</v>
      </c>
      <c r="G57" s="24"/>
      <c r="H57" s="24" t="s">
        <v>2182</v>
      </c>
    </row>
    <row r="58" spans="1:8">
      <c r="A58" s="26" t="s">
        <v>57</v>
      </c>
      <c r="B58" s="27" t="s">
        <v>2105</v>
      </c>
      <c r="C58" s="27" t="s">
        <v>2093</v>
      </c>
      <c r="D58" s="32" t="s">
        <v>2289</v>
      </c>
      <c r="E58" s="27" t="s">
        <v>2256</v>
      </c>
      <c r="F58" s="28">
        <v>46113</v>
      </c>
      <c r="G58" s="24"/>
      <c r="H58" s="24" t="s">
        <v>2182</v>
      </c>
    </row>
    <row r="59" spans="1:8">
      <c r="A59" s="26" t="s">
        <v>57</v>
      </c>
      <c r="B59" s="27" t="s">
        <v>2290</v>
      </c>
      <c r="C59" s="27" t="s">
        <v>2093</v>
      </c>
      <c r="D59" s="32" t="s">
        <v>2291</v>
      </c>
      <c r="E59" s="27" t="s">
        <v>2256</v>
      </c>
      <c r="F59" s="28">
        <v>46113</v>
      </c>
      <c r="G59" s="24"/>
      <c r="H59" s="24" t="s">
        <v>2182</v>
      </c>
    </row>
    <row r="60" spans="1:8">
      <c r="A60" s="26" t="s">
        <v>57</v>
      </c>
      <c r="B60" s="27" t="s">
        <v>2292</v>
      </c>
      <c r="C60" s="27" t="s">
        <v>2251</v>
      </c>
      <c r="D60" s="27" t="s">
        <v>1958</v>
      </c>
      <c r="E60" s="27" t="s">
        <v>2253</v>
      </c>
      <c r="F60" s="28">
        <v>46113</v>
      </c>
      <c r="G60" s="25"/>
      <c r="H60" s="25" t="s">
        <v>2182</v>
      </c>
    </row>
    <row r="61" spans="1:8">
      <c r="A61" s="26" t="s">
        <v>57</v>
      </c>
      <c r="B61" s="27" t="s">
        <v>2293</v>
      </c>
      <c r="C61" s="27" t="s">
        <v>2251</v>
      </c>
      <c r="D61" s="27" t="s">
        <v>1964</v>
      </c>
      <c r="E61" s="27" t="s">
        <v>2253</v>
      </c>
      <c r="F61" s="28">
        <v>46113</v>
      </c>
      <c r="G61" s="25"/>
      <c r="H61" s="25" t="s">
        <v>2182</v>
      </c>
    </row>
    <row r="62" spans="1:8">
      <c r="A62" s="26" t="s">
        <v>57</v>
      </c>
      <c r="B62" s="27" t="s">
        <v>775</v>
      </c>
      <c r="C62" s="27" t="s">
        <v>2251</v>
      </c>
      <c r="D62" s="27" t="s">
        <v>1928</v>
      </c>
      <c r="E62" s="27" t="s">
        <v>2256</v>
      </c>
      <c r="F62" s="28">
        <v>46113</v>
      </c>
      <c r="G62" s="25"/>
      <c r="H62" s="25" t="s">
        <v>2182</v>
      </c>
    </row>
    <row r="63" spans="1:8">
      <c r="A63" s="26" t="s">
        <v>57</v>
      </c>
      <c r="B63" s="33" t="s">
        <v>2250</v>
      </c>
      <c r="C63" s="33" t="s">
        <v>2251</v>
      </c>
      <c r="D63" s="27" t="s">
        <v>2252</v>
      </c>
      <c r="E63" s="27" t="s">
        <v>2253</v>
      </c>
      <c r="F63" s="28">
        <v>46082</v>
      </c>
      <c r="G63" s="24"/>
      <c r="H63" s="24" t="s">
        <v>2182</v>
      </c>
    </row>
    <row r="64" spans="1:8">
      <c r="A64" s="26" t="s">
        <v>57</v>
      </c>
      <c r="B64" s="33" t="s">
        <v>2294</v>
      </c>
      <c r="C64" s="34" t="s">
        <v>2295</v>
      </c>
      <c r="D64" s="27" t="s">
        <v>2296</v>
      </c>
      <c r="E64" s="23" t="s">
        <v>97</v>
      </c>
      <c r="F64" s="24">
        <v>46143</v>
      </c>
      <c r="H64" s="23" t="s">
        <v>2182</v>
      </c>
    </row>
    <row r="65" spans="1:8">
      <c r="A65" s="26" t="s">
        <v>57</v>
      </c>
      <c r="B65" s="27" t="s">
        <v>2297</v>
      </c>
      <c r="C65" s="23" t="s">
        <v>2295</v>
      </c>
      <c r="D65" s="27" t="s">
        <v>2298</v>
      </c>
      <c r="E65" s="23" t="s">
        <v>97</v>
      </c>
      <c r="F65" s="24">
        <v>46143</v>
      </c>
      <c r="H65" s="23" t="s">
        <v>2182</v>
      </c>
    </row>
    <row r="66" spans="1:8">
      <c r="A66" s="26" t="s">
        <v>57</v>
      </c>
      <c r="B66" s="27" t="s">
        <v>2299</v>
      </c>
      <c r="C66" s="23" t="s">
        <v>2295</v>
      </c>
      <c r="D66" s="27" t="s">
        <v>2300</v>
      </c>
      <c r="E66" s="23" t="s">
        <v>97</v>
      </c>
      <c r="F66" s="24">
        <v>46143</v>
      </c>
      <c r="H66" s="23" t="s">
        <v>2182</v>
      </c>
    </row>
    <row r="67" spans="1:8">
      <c r="A67" s="26" t="s">
        <v>55</v>
      </c>
      <c r="B67" s="27" t="s">
        <v>1298</v>
      </c>
      <c r="C67" s="27" t="s">
        <v>2301</v>
      </c>
      <c r="D67" s="27"/>
      <c r="E67" s="27" t="s">
        <v>138</v>
      </c>
      <c r="F67" s="28">
        <v>46082</v>
      </c>
      <c r="G67" s="24"/>
      <c r="H67" s="24" t="s">
        <v>2182</v>
      </c>
    </row>
    <row r="68" spans="1:8">
      <c r="A68" s="22" t="s">
        <v>58</v>
      </c>
      <c r="B68" s="23" t="s">
        <v>2302</v>
      </c>
      <c r="C68" s="23" t="s">
        <v>2077</v>
      </c>
      <c r="D68" s="35" t="s">
        <v>2303</v>
      </c>
      <c r="E68" s="23" t="s">
        <v>2253</v>
      </c>
      <c r="F68" s="24">
        <v>46235</v>
      </c>
      <c r="H68" s="23" t="s">
        <v>2182</v>
      </c>
    </row>
    <row r="69" spans="1:8">
      <c r="A69" s="22" t="s">
        <v>58</v>
      </c>
      <c r="B69" s="23" t="s">
        <v>2076</v>
      </c>
      <c r="C69" s="23" t="s">
        <v>2077</v>
      </c>
      <c r="D69" s="35" t="s">
        <v>2075</v>
      </c>
      <c r="E69" s="23" t="s">
        <v>2253</v>
      </c>
      <c r="F69" s="24">
        <v>46235</v>
      </c>
      <c r="H69" s="23" t="s">
        <v>2182</v>
      </c>
    </row>
    <row r="70" spans="1:8">
      <c r="A70" s="22" t="s">
        <v>58</v>
      </c>
      <c r="B70" s="23" t="s">
        <v>2076</v>
      </c>
      <c r="C70" s="23" t="s">
        <v>2077</v>
      </c>
      <c r="D70" s="35" t="s">
        <v>2095</v>
      </c>
      <c r="E70" s="23" t="s">
        <v>2253</v>
      </c>
      <c r="F70" s="24">
        <v>46235</v>
      </c>
      <c r="H70" s="23" t="s">
        <v>2182</v>
      </c>
    </row>
    <row r="71" spans="1:8">
      <c r="A71" s="22" t="s">
        <v>58</v>
      </c>
      <c r="B71" s="23" t="s">
        <v>2076</v>
      </c>
      <c r="C71" s="23" t="s">
        <v>2077</v>
      </c>
      <c r="D71" s="35" t="s">
        <v>2304</v>
      </c>
      <c r="E71" s="23" t="s">
        <v>2253</v>
      </c>
      <c r="F71" s="24">
        <v>46235</v>
      </c>
      <c r="H71" s="23" t="s">
        <v>2182</v>
      </c>
    </row>
    <row r="72" spans="1:8">
      <c r="A72" s="22" t="s">
        <v>58</v>
      </c>
      <c r="B72" s="23" t="s">
        <v>2085</v>
      </c>
      <c r="C72" s="23" t="s">
        <v>2077</v>
      </c>
      <c r="D72" s="23" t="s">
        <v>2084</v>
      </c>
      <c r="E72" s="23" t="s">
        <v>2253</v>
      </c>
      <c r="F72" s="24">
        <v>46235</v>
      </c>
      <c r="H72" s="23" t="s">
        <v>2182</v>
      </c>
    </row>
    <row r="73" spans="1:8">
      <c r="A73" s="26" t="s">
        <v>58</v>
      </c>
      <c r="B73" s="27" t="s">
        <v>2305</v>
      </c>
      <c r="C73" s="23" t="s">
        <v>2306</v>
      </c>
      <c r="D73" s="27" t="s">
        <v>2307</v>
      </c>
      <c r="E73" s="23" t="s">
        <v>2308</v>
      </c>
      <c r="F73" s="24"/>
      <c r="H73" s="23" t="s">
        <v>2182</v>
      </c>
    </row>
    <row r="74" spans="1:8">
      <c r="A74" s="26" t="s">
        <v>58</v>
      </c>
      <c r="B74" s="27" t="s">
        <v>1874</v>
      </c>
      <c r="C74" s="23" t="s">
        <v>2306</v>
      </c>
      <c r="D74" s="27" t="s">
        <v>1873</v>
      </c>
      <c r="E74" s="23" t="s">
        <v>2308</v>
      </c>
      <c r="F74" s="24"/>
      <c r="H74" s="23" t="s">
        <v>2182</v>
      </c>
    </row>
    <row r="75" spans="1:8">
      <c r="A75" s="26" t="s">
        <v>58</v>
      </c>
      <c r="B75" s="27" t="s">
        <v>1884</v>
      </c>
      <c r="C75" s="23" t="s">
        <v>2306</v>
      </c>
      <c r="D75" s="27" t="s">
        <v>1883</v>
      </c>
      <c r="E75" s="23" t="s">
        <v>2308</v>
      </c>
      <c r="F75" s="24"/>
      <c r="H75" s="23" t="s">
        <v>2182</v>
      </c>
    </row>
    <row r="76" spans="1:8">
      <c r="A76" s="26" t="s">
        <v>53</v>
      </c>
      <c r="B76" s="27" t="s">
        <v>2309</v>
      </c>
      <c r="C76" s="27" t="s">
        <v>2310</v>
      </c>
      <c r="D76" s="27" t="s">
        <v>2311</v>
      </c>
      <c r="E76" s="27" t="s">
        <v>2312</v>
      </c>
      <c r="F76" s="28">
        <v>46204</v>
      </c>
      <c r="G76" s="24"/>
      <c r="H76" s="24" t="s">
        <v>2182</v>
      </c>
    </row>
    <row r="77" spans="1:8">
      <c r="A77" s="26" t="s">
        <v>53</v>
      </c>
      <c r="B77" s="27" t="s">
        <v>2309</v>
      </c>
      <c r="C77" s="27" t="s">
        <v>2310</v>
      </c>
      <c r="D77" s="27" t="s">
        <v>2311</v>
      </c>
      <c r="E77" s="27" t="s">
        <v>2312</v>
      </c>
      <c r="F77" s="28">
        <v>46204</v>
      </c>
      <c r="G77" s="24"/>
      <c r="H77" s="24" t="s">
        <v>2182</v>
      </c>
    </row>
    <row r="78" spans="1:8">
      <c r="A78" s="26" t="s">
        <v>53</v>
      </c>
      <c r="B78" s="27" t="s">
        <v>2309</v>
      </c>
      <c r="C78" s="27" t="s">
        <v>2310</v>
      </c>
      <c r="D78" s="27" t="s">
        <v>2311</v>
      </c>
      <c r="E78" s="27" t="s">
        <v>2312</v>
      </c>
      <c r="F78" s="28">
        <v>46082</v>
      </c>
      <c r="G78" s="24"/>
      <c r="H78" s="24" t="s">
        <v>2182</v>
      </c>
    </row>
    <row r="79" spans="1:8">
      <c r="A79" s="22" t="s">
        <v>54</v>
      </c>
      <c r="B79" s="23" t="s">
        <v>1417</v>
      </c>
      <c r="C79" s="23" t="s">
        <v>2313</v>
      </c>
      <c r="D79" s="23" t="s">
        <v>1414</v>
      </c>
      <c r="E79" s="23" t="s">
        <v>132</v>
      </c>
      <c r="F79" s="25">
        <v>46204</v>
      </c>
      <c r="G79" s="25"/>
      <c r="H79" s="25" t="s">
        <v>2182</v>
      </c>
    </row>
    <row r="80" spans="1:8">
      <c r="A80" s="22" t="s">
        <v>54</v>
      </c>
      <c r="B80" s="23" t="s">
        <v>1441</v>
      </c>
      <c r="C80" s="23" t="s">
        <v>2313</v>
      </c>
      <c r="D80" s="23" t="s">
        <v>1440</v>
      </c>
      <c r="E80" s="23" t="s">
        <v>132</v>
      </c>
      <c r="F80" s="25">
        <v>46205</v>
      </c>
      <c r="G80" s="25"/>
      <c r="H80" s="25" t="s">
        <v>2182</v>
      </c>
    </row>
    <row r="81" spans="1:8">
      <c r="A81" s="22" t="s">
        <v>54</v>
      </c>
      <c r="B81" s="23" t="s">
        <v>1459</v>
      </c>
      <c r="C81" s="23" t="s">
        <v>2313</v>
      </c>
      <c r="D81" s="23" t="s">
        <v>1458</v>
      </c>
      <c r="E81" s="23" t="s">
        <v>132</v>
      </c>
      <c r="F81" s="25">
        <v>46206</v>
      </c>
      <c r="G81" s="25"/>
      <c r="H81" s="25" t="s">
        <v>2182</v>
      </c>
    </row>
    <row r="82" spans="1:8">
      <c r="A82" s="22" t="s">
        <v>54</v>
      </c>
      <c r="B82" s="23" t="s">
        <v>1579</v>
      </c>
      <c r="C82" s="23" t="s">
        <v>2313</v>
      </c>
      <c r="D82" s="23" t="s">
        <v>1578</v>
      </c>
      <c r="E82" s="23" t="s">
        <v>132</v>
      </c>
      <c r="F82" s="25">
        <v>46207</v>
      </c>
      <c r="G82" s="25"/>
      <c r="H82" s="25" t="s">
        <v>2182</v>
      </c>
    </row>
    <row r="83" spans="1:8">
      <c r="A83" s="22" t="s">
        <v>54</v>
      </c>
      <c r="B83" s="23" t="s">
        <v>1640</v>
      </c>
      <c r="C83" s="23" t="s">
        <v>2313</v>
      </c>
      <c r="D83" s="23" t="s">
        <v>1639</v>
      </c>
      <c r="E83" s="23" t="s">
        <v>132</v>
      </c>
      <c r="F83" s="25">
        <v>46208</v>
      </c>
      <c r="G83" s="25"/>
      <c r="H83" s="25" t="s">
        <v>2182</v>
      </c>
    </row>
  </sheetData>
  <conditionalFormatting sqref="C33 C44:C62">
    <cfRule type="containsText" dxfId="33" priority="18" operator="containsText" text="SIM">
      <formula>NOT(ISERROR(SEARCH("SIM",C33)))</formula>
    </cfRule>
    <cfRule type="containsText" dxfId="32" priority="17" operator="containsText" text="NÃO">
      <formula>NOT(ISERROR(SEARCH("NÃO",C33)))</formula>
    </cfRule>
  </conditionalFormatting>
  <conditionalFormatting sqref="D34:D43">
    <cfRule type="duplicateValues" dxfId="31" priority="19"/>
    <cfRule type="duplicateValues" dxfId="30" priority="20"/>
    <cfRule type="duplicateValues" dxfId="29" priority="21"/>
    <cfRule type="duplicateValues" dxfId="28" priority="22"/>
    <cfRule type="duplicateValues" dxfId="27" priority="23"/>
    <cfRule type="duplicateValues" dxfId="26" priority="24"/>
    <cfRule type="duplicateValues" dxfId="25" priority="25"/>
    <cfRule type="duplicateValues" dxfId="24" priority="26"/>
    <cfRule type="duplicateValues" dxfId="23" priority="27"/>
    <cfRule type="duplicateValues" dxfId="22" priority="28"/>
    <cfRule type="duplicateValues" dxfId="21" priority="29"/>
    <cfRule type="duplicateValues" dxfId="20" priority="30"/>
    <cfRule type="duplicateValues" dxfId="19" priority="31"/>
    <cfRule type="duplicateValues" dxfId="18" priority="32"/>
    <cfRule type="duplicateValues" dxfId="17" priority="33"/>
    <cfRule type="duplicateValues" dxfId="16" priority="34"/>
  </conditionalFormatting>
  <conditionalFormatting sqref="D70:D74">
    <cfRule type="duplicateValues" dxfId="15" priority="2"/>
    <cfRule type="duplicateValues" dxfId="14" priority="3"/>
    <cfRule type="duplicateValues" dxfId="13" priority="4"/>
    <cfRule type="duplicateValues" dxfId="12" priority="5"/>
    <cfRule type="duplicateValues" dxfId="11" priority="6"/>
    <cfRule type="duplicateValues" dxfId="10" priority="7"/>
    <cfRule type="duplicateValues" dxfId="9" priority="8"/>
    <cfRule type="duplicateValues" dxfId="8" priority="9"/>
    <cfRule type="duplicateValues" dxfId="7" priority="10"/>
    <cfRule type="duplicateValues" dxfId="6" priority="11"/>
    <cfRule type="duplicateValues" dxfId="5" priority="12"/>
    <cfRule type="duplicateValues" dxfId="4" priority="13"/>
    <cfRule type="duplicateValues" dxfId="3" priority="14"/>
    <cfRule type="duplicateValues" dxfId="2" priority="15"/>
    <cfRule type="duplicateValues" dxfId="1" priority="16"/>
    <cfRule type="duplicateValues" dxfId="0" priority="1"/>
  </conditionalFormatting>
  <dataValidations count="1">
    <dataValidation type="list" allowBlank="1" showInputMessage="1" showErrorMessage="1" sqref="A75:A80 A82:A83 A2:A65" xr:uid="{C6BD07C9-CD7A-44FF-A4CB-604966F9D2A4}">
      <formula1>"SP1,SP2,RJ/ES,MG,PR/SC,RS,CO,BA/SE,NE,NO,"</formula1>
    </dataValidation>
  </dataValidation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174F-C491-4905-A9B4-CAF1DDC8403D}">
  <dimension ref="A1:C1113"/>
  <sheetViews>
    <sheetView workbookViewId="0">
      <selection sqref="A1:C1048576"/>
    </sheetView>
  </sheetViews>
  <sheetFormatPr defaultRowHeight="14.45"/>
  <sheetData>
    <row r="1" spans="1:3">
      <c r="A1">
        <v>1</v>
      </c>
      <c r="B1">
        <v>5</v>
      </c>
      <c r="C1">
        <v>19</v>
      </c>
    </row>
    <row r="2" spans="1:3">
      <c r="A2" t="s">
        <v>2648</v>
      </c>
      <c r="B2" t="s">
        <v>2649</v>
      </c>
      <c r="C2" t="s">
        <v>2650</v>
      </c>
    </row>
    <row r="3" spans="1:3">
      <c r="A3" t="s">
        <v>250</v>
      </c>
      <c r="B3" t="s">
        <v>131</v>
      </c>
      <c r="C3" t="s">
        <v>61</v>
      </c>
    </row>
    <row r="4" spans="1:3">
      <c r="A4" t="s">
        <v>254</v>
      </c>
      <c r="B4" t="s">
        <v>104</v>
      </c>
      <c r="C4" t="s">
        <v>61</v>
      </c>
    </row>
    <row r="5" spans="1:3">
      <c r="A5" t="s">
        <v>258</v>
      </c>
      <c r="B5" t="s">
        <v>230</v>
      </c>
      <c r="C5" t="s">
        <v>61</v>
      </c>
    </row>
    <row r="6" spans="1:3">
      <c r="A6" t="s">
        <v>262</v>
      </c>
      <c r="B6" t="s">
        <v>230</v>
      </c>
      <c r="C6" t="s">
        <v>61</v>
      </c>
    </row>
    <row r="7" spans="1:3">
      <c r="A7" t="s">
        <v>266</v>
      </c>
      <c r="B7" t="s">
        <v>196</v>
      </c>
      <c r="C7" t="s">
        <v>61</v>
      </c>
    </row>
    <row r="8" spans="1:3">
      <c r="A8" t="s">
        <v>270</v>
      </c>
      <c r="B8" t="s">
        <v>196</v>
      </c>
      <c r="C8" t="s">
        <v>61</v>
      </c>
    </row>
    <row r="9" spans="1:3">
      <c r="A9" t="s">
        <v>271</v>
      </c>
      <c r="B9" t="s">
        <v>104</v>
      </c>
      <c r="C9" t="s">
        <v>61</v>
      </c>
    </row>
    <row r="10" spans="1:3">
      <c r="A10" t="s">
        <v>273</v>
      </c>
      <c r="B10" t="s">
        <v>226</v>
      </c>
      <c r="C10" t="s">
        <v>61</v>
      </c>
    </row>
    <row r="11" spans="1:3">
      <c r="A11" t="s">
        <v>277</v>
      </c>
      <c r="B11" t="s">
        <v>238</v>
      </c>
      <c r="C11" t="s">
        <v>61</v>
      </c>
    </row>
    <row r="12" spans="1:3">
      <c r="A12" t="s">
        <v>279</v>
      </c>
      <c r="B12" t="s">
        <v>230</v>
      </c>
      <c r="C12" t="s">
        <v>61</v>
      </c>
    </row>
    <row r="13" spans="1:3">
      <c r="A13" t="s">
        <v>280</v>
      </c>
      <c r="B13" t="s">
        <v>230</v>
      </c>
      <c r="C13" t="s">
        <v>61</v>
      </c>
    </row>
    <row r="14" spans="1:3">
      <c r="A14" t="s">
        <v>281</v>
      </c>
      <c r="B14" t="s">
        <v>195</v>
      </c>
      <c r="C14" t="s">
        <v>61</v>
      </c>
    </row>
    <row r="15" spans="1:3">
      <c r="A15" t="s">
        <v>284</v>
      </c>
      <c r="B15" t="s">
        <v>104</v>
      </c>
      <c r="C15" t="s">
        <v>61</v>
      </c>
    </row>
    <row r="16" spans="1:3">
      <c r="A16" t="s">
        <v>286</v>
      </c>
      <c r="B16" t="s">
        <v>230</v>
      </c>
      <c r="C16" t="s">
        <v>61</v>
      </c>
    </row>
    <row r="17" spans="1:3">
      <c r="A17" t="s">
        <v>289</v>
      </c>
      <c r="B17" t="s">
        <v>230</v>
      </c>
      <c r="C17" t="s">
        <v>61</v>
      </c>
    </row>
    <row r="18" spans="1:3">
      <c r="A18" t="s">
        <v>292</v>
      </c>
      <c r="B18" t="s">
        <v>104</v>
      </c>
      <c r="C18" t="s">
        <v>61</v>
      </c>
    </row>
    <row r="19" spans="1:3">
      <c r="A19" t="s">
        <v>293</v>
      </c>
      <c r="B19" t="s">
        <v>230</v>
      </c>
      <c r="C19" t="s">
        <v>61</v>
      </c>
    </row>
    <row r="20" spans="1:3">
      <c r="A20" t="s">
        <v>294</v>
      </c>
      <c r="B20" t="s">
        <v>141</v>
      </c>
      <c r="C20" t="s">
        <v>61</v>
      </c>
    </row>
    <row r="21" spans="1:3">
      <c r="A21" t="s">
        <v>296</v>
      </c>
      <c r="B21" t="s">
        <v>212</v>
      </c>
      <c r="C21" t="s">
        <v>61</v>
      </c>
    </row>
    <row r="22" spans="1:3">
      <c r="A22" t="s">
        <v>297</v>
      </c>
      <c r="B22" t="s">
        <v>238</v>
      </c>
      <c r="C22" t="s">
        <v>61</v>
      </c>
    </row>
    <row r="23" spans="1:3">
      <c r="A23" t="s">
        <v>298</v>
      </c>
      <c r="B23" t="s">
        <v>104</v>
      </c>
      <c r="C23" t="s">
        <v>61</v>
      </c>
    </row>
    <row r="24" spans="1:3">
      <c r="A24" t="s">
        <v>2341</v>
      </c>
      <c r="B24" t="s">
        <v>226</v>
      </c>
      <c r="C24" t="s">
        <v>61</v>
      </c>
    </row>
    <row r="25" spans="1:3">
      <c r="A25" t="s">
        <v>299</v>
      </c>
      <c r="B25" t="s">
        <v>238</v>
      </c>
      <c r="C25" t="s">
        <v>61</v>
      </c>
    </row>
    <row r="26" spans="1:3">
      <c r="A26" t="s">
        <v>301</v>
      </c>
      <c r="B26" t="s">
        <v>226</v>
      </c>
      <c r="C26" t="s">
        <v>61</v>
      </c>
    </row>
    <row r="27" spans="1:3">
      <c r="A27" t="s">
        <v>304</v>
      </c>
      <c r="B27" t="s">
        <v>196</v>
      </c>
      <c r="C27" t="s">
        <v>61</v>
      </c>
    </row>
    <row r="28" spans="1:3">
      <c r="A28" t="s">
        <v>306</v>
      </c>
      <c r="B28" t="s">
        <v>230</v>
      </c>
      <c r="C28" t="s">
        <v>61</v>
      </c>
    </row>
    <row r="29" spans="1:3">
      <c r="A29" t="s">
        <v>309</v>
      </c>
      <c r="B29" t="s">
        <v>230</v>
      </c>
      <c r="C29" t="s">
        <v>61</v>
      </c>
    </row>
    <row r="30" spans="1:3">
      <c r="A30" t="s">
        <v>310</v>
      </c>
      <c r="B30" t="s">
        <v>230</v>
      </c>
      <c r="C30" t="s">
        <v>61</v>
      </c>
    </row>
    <row r="31" spans="1:3">
      <c r="A31" t="s">
        <v>312</v>
      </c>
      <c r="B31" t="s">
        <v>196</v>
      </c>
      <c r="C31" t="s">
        <v>61</v>
      </c>
    </row>
    <row r="32" spans="1:3">
      <c r="A32" t="s">
        <v>315</v>
      </c>
      <c r="B32" t="s">
        <v>226</v>
      </c>
      <c r="C32" t="s">
        <v>61</v>
      </c>
    </row>
    <row r="33" spans="1:3">
      <c r="A33" t="s">
        <v>317</v>
      </c>
      <c r="B33" t="s">
        <v>174</v>
      </c>
      <c r="C33" t="s">
        <v>61</v>
      </c>
    </row>
    <row r="34" spans="1:3">
      <c r="A34" t="s">
        <v>319</v>
      </c>
      <c r="B34" t="s">
        <v>131</v>
      </c>
      <c r="C34" t="s">
        <v>61</v>
      </c>
    </row>
    <row r="35" spans="1:3">
      <c r="A35" t="s">
        <v>321</v>
      </c>
      <c r="B35" t="s">
        <v>174</v>
      </c>
      <c r="C35" t="s">
        <v>61</v>
      </c>
    </row>
    <row r="36" spans="1:3">
      <c r="A36" t="s">
        <v>323</v>
      </c>
      <c r="B36" t="s">
        <v>196</v>
      </c>
      <c r="C36" t="s">
        <v>61</v>
      </c>
    </row>
    <row r="37" spans="1:3">
      <c r="A37" t="s">
        <v>325</v>
      </c>
      <c r="B37" t="s">
        <v>196</v>
      </c>
      <c r="C37" t="s">
        <v>61</v>
      </c>
    </row>
    <row r="38" spans="1:3">
      <c r="A38" t="s">
        <v>328</v>
      </c>
      <c r="B38" t="s">
        <v>174</v>
      </c>
      <c r="C38" t="s">
        <v>61</v>
      </c>
    </row>
    <row r="39" spans="1:3">
      <c r="A39" t="s">
        <v>330</v>
      </c>
      <c r="B39" t="s">
        <v>131</v>
      </c>
      <c r="C39" t="s">
        <v>61</v>
      </c>
    </row>
    <row r="40" spans="1:3">
      <c r="A40" t="s">
        <v>332</v>
      </c>
      <c r="B40" t="s">
        <v>104</v>
      </c>
      <c r="C40" t="s">
        <v>61</v>
      </c>
    </row>
    <row r="41" spans="1:3">
      <c r="A41" t="s">
        <v>333</v>
      </c>
      <c r="B41" t="s">
        <v>141</v>
      </c>
      <c r="C41" t="s">
        <v>61</v>
      </c>
    </row>
    <row r="42" spans="1:3">
      <c r="A42" t="s">
        <v>336</v>
      </c>
      <c r="B42" t="s">
        <v>226</v>
      </c>
      <c r="C42" t="s">
        <v>61</v>
      </c>
    </row>
    <row r="43" spans="1:3">
      <c r="A43" t="s">
        <v>338</v>
      </c>
      <c r="B43" t="s">
        <v>141</v>
      </c>
      <c r="C43" t="s">
        <v>61</v>
      </c>
    </row>
    <row r="44" spans="1:3">
      <c r="A44" t="s">
        <v>340</v>
      </c>
      <c r="B44" t="s">
        <v>131</v>
      </c>
      <c r="C44" t="s">
        <v>61</v>
      </c>
    </row>
    <row r="45" spans="1:3">
      <c r="A45" t="s">
        <v>342</v>
      </c>
      <c r="B45" t="s">
        <v>196</v>
      </c>
      <c r="C45" t="s">
        <v>61</v>
      </c>
    </row>
    <row r="46" spans="1:3">
      <c r="A46" t="s">
        <v>344</v>
      </c>
      <c r="B46" t="s">
        <v>104</v>
      </c>
      <c r="C46" t="s">
        <v>61</v>
      </c>
    </row>
    <row r="47" spans="1:3">
      <c r="A47" t="s">
        <v>345</v>
      </c>
      <c r="B47" t="s">
        <v>91</v>
      </c>
      <c r="C47" t="s">
        <v>61</v>
      </c>
    </row>
    <row r="48" spans="1:3">
      <c r="A48" t="s">
        <v>2117</v>
      </c>
      <c r="B48" t="s">
        <v>227</v>
      </c>
      <c r="C48" t="s">
        <v>61</v>
      </c>
    </row>
    <row r="49" spans="1:3">
      <c r="A49" t="s">
        <v>346</v>
      </c>
      <c r="B49" t="s">
        <v>196</v>
      </c>
      <c r="C49" t="s">
        <v>61</v>
      </c>
    </row>
    <row r="50" spans="1:3">
      <c r="A50" t="s">
        <v>347</v>
      </c>
      <c r="B50" t="s">
        <v>131</v>
      </c>
      <c r="C50" t="s">
        <v>61</v>
      </c>
    </row>
    <row r="51" spans="1:3">
      <c r="A51" t="s">
        <v>349</v>
      </c>
      <c r="B51" t="s">
        <v>209</v>
      </c>
      <c r="C51" t="s">
        <v>61</v>
      </c>
    </row>
    <row r="52" spans="1:3">
      <c r="A52" t="s">
        <v>352</v>
      </c>
      <c r="B52" t="s">
        <v>238</v>
      </c>
      <c r="C52" t="s">
        <v>61</v>
      </c>
    </row>
    <row r="53" spans="1:3">
      <c r="A53" t="s">
        <v>353</v>
      </c>
      <c r="B53" t="s">
        <v>196</v>
      </c>
      <c r="C53" t="s">
        <v>61</v>
      </c>
    </row>
    <row r="54" spans="1:3">
      <c r="A54" t="s">
        <v>355</v>
      </c>
      <c r="B54" t="s">
        <v>131</v>
      </c>
      <c r="C54" t="s">
        <v>61</v>
      </c>
    </row>
    <row r="55" spans="1:3">
      <c r="A55" t="s">
        <v>357</v>
      </c>
      <c r="B55" t="s">
        <v>230</v>
      </c>
      <c r="C55" t="s">
        <v>61</v>
      </c>
    </row>
    <row r="56" spans="1:3">
      <c r="A56" t="s">
        <v>359</v>
      </c>
      <c r="B56" t="s">
        <v>227</v>
      </c>
      <c r="C56" t="s">
        <v>61</v>
      </c>
    </row>
    <row r="57" spans="1:3">
      <c r="A57" t="s">
        <v>361</v>
      </c>
      <c r="B57" t="s">
        <v>226</v>
      </c>
      <c r="C57" t="s">
        <v>61</v>
      </c>
    </row>
    <row r="58" spans="1:3">
      <c r="A58" t="s">
        <v>363</v>
      </c>
      <c r="B58" t="s">
        <v>141</v>
      </c>
      <c r="C58" t="s">
        <v>61</v>
      </c>
    </row>
    <row r="59" spans="1:3">
      <c r="A59" t="s">
        <v>364</v>
      </c>
      <c r="B59" t="s">
        <v>196</v>
      </c>
      <c r="C59" t="s">
        <v>61</v>
      </c>
    </row>
    <row r="60" spans="1:3">
      <c r="A60" t="s">
        <v>365</v>
      </c>
      <c r="B60" t="s">
        <v>230</v>
      </c>
      <c r="C60" t="s">
        <v>61</v>
      </c>
    </row>
    <row r="61" spans="1:3">
      <c r="A61" t="s">
        <v>366</v>
      </c>
      <c r="B61" t="s">
        <v>171</v>
      </c>
      <c r="C61" t="s">
        <v>61</v>
      </c>
    </row>
    <row r="62" spans="1:3">
      <c r="A62" t="s">
        <v>369</v>
      </c>
      <c r="B62" t="s">
        <v>230</v>
      </c>
      <c r="C62" t="s">
        <v>61</v>
      </c>
    </row>
    <row r="63" spans="1:3">
      <c r="A63" t="s">
        <v>371</v>
      </c>
      <c r="B63" t="s">
        <v>230</v>
      </c>
      <c r="C63" t="s">
        <v>61</v>
      </c>
    </row>
    <row r="64" spans="1:3">
      <c r="A64" t="s">
        <v>372</v>
      </c>
      <c r="B64" t="s">
        <v>83</v>
      </c>
      <c r="C64" t="s">
        <v>61</v>
      </c>
    </row>
    <row r="65" spans="1:3">
      <c r="A65" t="s">
        <v>374</v>
      </c>
      <c r="B65" t="s">
        <v>174</v>
      </c>
      <c r="C65" t="s">
        <v>61</v>
      </c>
    </row>
    <row r="66" spans="1:3">
      <c r="A66" t="s">
        <v>375</v>
      </c>
      <c r="B66" t="s">
        <v>230</v>
      </c>
      <c r="C66" t="s">
        <v>61</v>
      </c>
    </row>
    <row r="67" spans="1:3">
      <c r="A67" t="s">
        <v>377</v>
      </c>
      <c r="B67" t="s">
        <v>230</v>
      </c>
      <c r="C67" t="s">
        <v>61</v>
      </c>
    </row>
    <row r="68" spans="1:3">
      <c r="A68" t="s">
        <v>378</v>
      </c>
      <c r="B68" t="s">
        <v>195</v>
      </c>
      <c r="C68" t="s">
        <v>61</v>
      </c>
    </row>
    <row r="69" spans="1:3">
      <c r="A69" t="s">
        <v>379</v>
      </c>
      <c r="B69" t="s">
        <v>123</v>
      </c>
      <c r="C69" t="s">
        <v>61</v>
      </c>
    </row>
    <row r="70" spans="1:3">
      <c r="A70" t="s">
        <v>381</v>
      </c>
      <c r="B70" t="s">
        <v>226</v>
      </c>
      <c r="C70" t="s">
        <v>61</v>
      </c>
    </row>
    <row r="71" spans="1:3">
      <c r="A71" t="s">
        <v>383</v>
      </c>
      <c r="B71" t="s">
        <v>104</v>
      </c>
      <c r="C71" t="s">
        <v>61</v>
      </c>
    </row>
    <row r="72" spans="1:3">
      <c r="A72" t="s">
        <v>2129</v>
      </c>
      <c r="B72" t="s">
        <v>227</v>
      </c>
      <c r="C72" t="s">
        <v>61</v>
      </c>
    </row>
    <row r="73" spans="1:3">
      <c r="A73" t="s">
        <v>384</v>
      </c>
      <c r="B73" t="s">
        <v>141</v>
      </c>
      <c r="C73" t="s">
        <v>61</v>
      </c>
    </row>
    <row r="74" spans="1:3">
      <c r="A74" t="s">
        <v>386</v>
      </c>
      <c r="B74" t="s">
        <v>227</v>
      </c>
      <c r="C74" t="s">
        <v>61</v>
      </c>
    </row>
    <row r="75" spans="1:3">
      <c r="A75" t="s">
        <v>2131</v>
      </c>
      <c r="B75" t="s">
        <v>196</v>
      </c>
      <c r="C75" t="s">
        <v>61</v>
      </c>
    </row>
    <row r="76" spans="1:3">
      <c r="A76" t="s">
        <v>388</v>
      </c>
      <c r="B76" t="s">
        <v>123</v>
      </c>
      <c r="C76" t="s">
        <v>61</v>
      </c>
    </row>
    <row r="77" spans="1:3">
      <c r="A77" t="s">
        <v>390</v>
      </c>
      <c r="B77" t="s">
        <v>238</v>
      </c>
      <c r="C77" t="s">
        <v>61</v>
      </c>
    </row>
    <row r="78" spans="1:3">
      <c r="A78" t="s">
        <v>391</v>
      </c>
      <c r="B78" t="s">
        <v>196</v>
      </c>
      <c r="C78" t="s">
        <v>61</v>
      </c>
    </row>
    <row r="79" spans="1:3">
      <c r="A79" t="s">
        <v>393</v>
      </c>
      <c r="B79" t="s">
        <v>226</v>
      </c>
      <c r="C79" t="s">
        <v>61</v>
      </c>
    </row>
    <row r="80" spans="1:3">
      <c r="A80" t="s">
        <v>394</v>
      </c>
      <c r="B80" t="s">
        <v>238</v>
      </c>
      <c r="C80" t="s">
        <v>61</v>
      </c>
    </row>
    <row r="81" spans="1:3">
      <c r="A81" t="s">
        <v>396</v>
      </c>
      <c r="B81" t="s">
        <v>196</v>
      </c>
      <c r="C81" t="s">
        <v>61</v>
      </c>
    </row>
    <row r="82" spans="1:3">
      <c r="A82" t="s">
        <v>397</v>
      </c>
      <c r="B82" t="s">
        <v>174</v>
      </c>
      <c r="C82" t="s">
        <v>61</v>
      </c>
    </row>
    <row r="83" spans="1:3">
      <c r="A83" t="s">
        <v>399</v>
      </c>
      <c r="B83" t="s">
        <v>227</v>
      </c>
      <c r="C83" t="s">
        <v>61</v>
      </c>
    </row>
    <row r="84" spans="1:3">
      <c r="A84" t="s">
        <v>402</v>
      </c>
      <c r="B84" t="s">
        <v>227</v>
      </c>
      <c r="C84" t="s">
        <v>61</v>
      </c>
    </row>
    <row r="85" spans="1:3">
      <c r="A85" t="s">
        <v>403</v>
      </c>
      <c r="B85" t="s">
        <v>196</v>
      </c>
      <c r="C85" t="s">
        <v>61</v>
      </c>
    </row>
    <row r="86" spans="1:3">
      <c r="A86" t="s">
        <v>404</v>
      </c>
      <c r="B86" t="s">
        <v>230</v>
      </c>
      <c r="C86" t="s">
        <v>61</v>
      </c>
    </row>
    <row r="87" spans="1:3">
      <c r="A87" t="s">
        <v>405</v>
      </c>
      <c r="B87" t="s">
        <v>230</v>
      </c>
      <c r="C87" t="s">
        <v>61</v>
      </c>
    </row>
    <row r="88" spans="1:3">
      <c r="A88" t="s">
        <v>407</v>
      </c>
      <c r="B88" t="s">
        <v>230</v>
      </c>
      <c r="C88" t="s">
        <v>61</v>
      </c>
    </row>
    <row r="89" spans="1:3">
      <c r="A89" t="s">
        <v>408</v>
      </c>
      <c r="B89" t="s">
        <v>196</v>
      </c>
      <c r="C89" t="s">
        <v>61</v>
      </c>
    </row>
    <row r="90" spans="1:3">
      <c r="A90" t="s">
        <v>2651</v>
      </c>
      <c r="B90" t="s">
        <v>131</v>
      </c>
      <c r="C90" t="s">
        <v>61</v>
      </c>
    </row>
    <row r="91" spans="1:3">
      <c r="A91" t="s">
        <v>409</v>
      </c>
      <c r="B91" t="s">
        <v>104</v>
      </c>
      <c r="C91" t="s">
        <v>61</v>
      </c>
    </row>
    <row r="92" spans="1:3">
      <c r="A92" t="s">
        <v>410</v>
      </c>
      <c r="B92" t="s">
        <v>238</v>
      </c>
      <c r="C92" t="s">
        <v>61</v>
      </c>
    </row>
    <row r="93" spans="1:3">
      <c r="A93" t="s">
        <v>2347</v>
      </c>
      <c r="B93" t="s">
        <v>196</v>
      </c>
      <c r="C93" t="s">
        <v>61</v>
      </c>
    </row>
    <row r="94" spans="1:3">
      <c r="A94" t="s">
        <v>412</v>
      </c>
      <c r="B94" t="s">
        <v>196</v>
      </c>
      <c r="C94" t="s">
        <v>61</v>
      </c>
    </row>
    <row r="95" spans="1:3">
      <c r="A95" t="s">
        <v>2344</v>
      </c>
      <c r="B95" t="s">
        <v>226</v>
      </c>
      <c r="C95" t="s">
        <v>61</v>
      </c>
    </row>
    <row r="96" spans="1:3">
      <c r="A96" t="s">
        <v>413</v>
      </c>
      <c r="B96" t="s">
        <v>196</v>
      </c>
      <c r="C96" t="s">
        <v>61</v>
      </c>
    </row>
    <row r="97" spans="1:3">
      <c r="A97" t="s">
        <v>414</v>
      </c>
      <c r="B97" t="s">
        <v>212</v>
      </c>
      <c r="C97" t="s">
        <v>61</v>
      </c>
    </row>
    <row r="98" spans="1:3">
      <c r="A98" t="s">
        <v>416</v>
      </c>
      <c r="B98" t="s">
        <v>226</v>
      </c>
      <c r="C98" t="s">
        <v>61</v>
      </c>
    </row>
    <row r="99" spans="1:3">
      <c r="A99" t="s">
        <v>417</v>
      </c>
      <c r="B99" t="s">
        <v>227</v>
      </c>
      <c r="C99" t="s">
        <v>61</v>
      </c>
    </row>
    <row r="100" spans="1:3">
      <c r="A100" t="s">
        <v>419</v>
      </c>
      <c r="B100" t="s">
        <v>238</v>
      </c>
      <c r="C100" t="s">
        <v>61</v>
      </c>
    </row>
    <row r="101" spans="1:3">
      <c r="A101" t="s">
        <v>420</v>
      </c>
      <c r="B101" t="s">
        <v>147</v>
      </c>
      <c r="C101" t="s">
        <v>61</v>
      </c>
    </row>
    <row r="102" spans="1:3">
      <c r="A102" t="s">
        <v>422</v>
      </c>
      <c r="B102" t="s">
        <v>141</v>
      </c>
      <c r="C102" t="s">
        <v>61</v>
      </c>
    </row>
    <row r="103" spans="1:3">
      <c r="A103" t="s">
        <v>424</v>
      </c>
      <c r="B103" t="s">
        <v>227</v>
      </c>
      <c r="C103" t="s">
        <v>61</v>
      </c>
    </row>
    <row r="104" spans="1:3">
      <c r="A104" t="s">
        <v>425</v>
      </c>
      <c r="B104" t="s">
        <v>227</v>
      </c>
      <c r="C104" t="s">
        <v>61</v>
      </c>
    </row>
    <row r="105" spans="1:3">
      <c r="A105" t="s">
        <v>426</v>
      </c>
      <c r="B105" t="s">
        <v>227</v>
      </c>
      <c r="C105" t="s">
        <v>61</v>
      </c>
    </row>
    <row r="106" spans="1:3">
      <c r="A106" t="s">
        <v>2337</v>
      </c>
      <c r="B106" t="s">
        <v>2652</v>
      </c>
      <c r="C106" t="s">
        <v>61</v>
      </c>
    </row>
    <row r="107" spans="1:3">
      <c r="A107" t="s">
        <v>2653</v>
      </c>
      <c r="B107" t="s">
        <v>2605</v>
      </c>
      <c r="C107" t="s">
        <v>61</v>
      </c>
    </row>
    <row r="108" spans="1:3">
      <c r="A108" t="s">
        <v>2325</v>
      </c>
      <c r="B108" t="s">
        <v>174</v>
      </c>
      <c r="C108" t="s">
        <v>61</v>
      </c>
    </row>
    <row r="109" spans="1:3">
      <c r="A109" t="s">
        <v>2330</v>
      </c>
      <c r="B109" t="s">
        <v>141</v>
      </c>
      <c r="C109" t="s">
        <v>61</v>
      </c>
    </row>
    <row r="110" spans="1:3">
      <c r="A110" t="s">
        <v>2333</v>
      </c>
      <c r="B110" t="s">
        <v>141</v>
      </c>
      <c r="C110" t="s">
        <v>61</v>
      </c>
    </row>
    <row r="111" spans="1:3">
      <c r="A111" t="s">
        <v>427</v>
      </c>
      <c r="B111" t="s">
        <v>106</v>
      </c>
      <c r="C111" t="s">
        <v>56</v>
      </c>
    </row>
    <row r="112" spans="1:3">
      <c r="A112" t="s">
        <v>431</v>
      </c>
      <c r="B112" t="s">
        <v>106</v>
      </c>
      <c r="C112" t="s">
        <v>56</v>
      </c>
    </row>
    <row r="113" spans="1:3">
      <c r="A113" t="s">
        <v>434</v>
      </c>
      <c r="B113" t="s">
        <v>106</v>
      </c>
      <c r="C113" t="s">
        <v>56</v>
      </c>
    </row>
    <row r="114" spans="1:3">
      <c r="A114" t="s">
        <v>435</v>
      </c>
      <c r="B114" t="s">
        <v>106</v>
      </c>
      <c r="C114" t="s">
        <v>56</v>
      </c>
    </row>
    <row r="115" spans="1:3">
      <c r="A115" t="s">
        <v>438</v>
      </c>
      <c r="B115" t="s">
        <v>239</v>
      </c>
      <c r="C115" t="s">
        <v>56</v>
      </c>
    </row>
    <row r="116" spans="1:3">
      <c r="A116" t="s">
        <v>442</v>
      </c>
      <c r="B116" t="s">
        <v>106</v>
      </c>
      <c r="C116" t="s">
        <v>56</v>
      </c>
    </row>
    <row r="117" spans="1:3">
      <c r="A117" t="s">
        <v>444</v>
      </c>
      <c r="B117" t="s">
        <v>200</v>
      </c>
      <c r="C117" t="s">
        <v>56</v>
      </c>
    </row>
    <row r="118" spans="1:3">
      <c r="A118" t="s">
        <v>447</v>
      </c>
      <c r="B118" t="s">
        <v>228</v>
      </c>
      <c r="C118" t="s">
        <v>56</v>
      </c>
    </row>
    <row r="119" spans="1:3">
      <c r="A119" t="s">
        <v>450</v>
      </c>
      <c r="B119" t="s">
        <v>228</v>
      </c>
      <c r="C119" t="s">
        <v>56</v>
      </c>
    </row>
    <row r="120" spans="1:3">
      <c r="A120" t="s">
        <v>452</v>
      </c>
      <c r="B120" t="s">
        <v>94</v>
      </c>
      <c r="C120" t="s">
        <v>56</v>
      </c>
    </row>
    <row r="121" spans="1:3">
      <c r="A121" t="s">
        <v>456</v>
      </c>
      <c r="B121" t="s">
        <v>235</v>
      </c>
      <c r="C121" t="s">
        <v>56</v>
      </c>
    </row>
    <row r="122" spans="1:3">
      <c r="A122" t="s">
        <v>459</v>
      </c>
      <c r="B122" t="s">
        <v>115</v>
      </c>
      <c r="C122" t="s">
        <v>56</v>
      </c>
    </row>
    <row r="123" spans="1:3">
      <c r="A123" t="s">
        <v>461</v>
      </c>
      <c r="B123" t="s">
        <v>192</v>
      </c>
      <c r="C123" t="s">
        <v>56</v>
      </c>
    </row>
    <row r="124" spans="1:3">
      <c r="A124" t="s">
        <v>464</v>
      </c>
      <c r="B124" t="s">
        <v>106</v>
      </c>
      <c r="C124" t="s">
        <v>56</v>
      </c>
    </row>
    <row r="125" spans="1:3">
      <c r="A125" t="s">
        <v>467</v>
      </c>
      <c r="B125" t="s">
        <v>106</v>
      </c>
      <c r="C125" t="s">
        <v>56</v>
      </c>
    </row>
    <row r="126" spans="1:3">
      <c r="A126" t="s">
        <v>469</v>
      </c>
      <c r="B126" t="s">
        <v>106</v>
      </c>
      <c r="C126" t="s">
        <v>56</v>
      </c>
    </row>
    <row r="127" spans="1:3">
      <c r="A127" t="s">
        <v>470</v>
      </c>
      <c r="B127" t="s">
        <v>235</v>
      </c>
      <c r="C127" t="s">
        <v>56</v>
      </c>
    </row>
    <row r="128" spans="1:3">
      <c r="A128" t="s">
        <v>472</v>
      </c>
      <c r="B128" t="s">
        <v>228</v>
      </c>
      <c r="C128" t="s">
        <v>56</v>
      </c>
    </row>
    <row r="129" spans="1:3">
      <c r="A129" t="s">
        <v>476</v>
      </c>
      <c r="B129" t="s">
        <v>106</v>
      </c>
      <c r="C129" t="s">
        <v>56</v>
      </c>
    </row>
    <row r="130" spans="1:3">
      <c r="A130" t="s">
        <v>477</v>
      </c>
      <c r="B130" t="s">
        <v>118</v>
      </c>
      <c r="C130" t="s">
        <v>56</v>
      </c>
    </row>
    <row r="131" spans="1:3">
      <c r="A131" t="s">
        <v>479</v>
      </c>
      <c r="B131" t="s">
        <v>106</v>
      </c>
      <c r="C131" t="s">
        <v>56</v>
      </c>
    </row>
    <row r="132" spans="1:3">
      <c r="A132" t="s">
        <v>481</v>
      </c>
      <c r="B132" t="s">
        <v>228</v>
      </c>
      <c r="C132" t="s">
        <v>56</v>
      </c>
    </row>
    <row r="133" spans="1:3">
      <c r="A133" t="s">
        <v>484</v>
      </c>
      <c r="B133" t="s">
        <v>235</v>
      </c>
      <c r="C133" t="s">
        <v>56</v>
      </c>
    </row>
    <row r="134" spans="1:3">
      <c r="A134" t="s">
        <v>486</v>
      </c>
      <c r="B134" t="s">
        <v>137</v>
      </c>
      <c r="C134" t="s">
        <v>56</v>
      </c>
    </row>
    <row r="135" spans="1:3">
      <c r="A135" t="s">
        <v>488</v>
      </c>
      <c r="B135" t="s">
        <v>228</v>
      </c>
      <c r="C135" t="s">
        <v>56</v>
      </c>
    </row>
    <row r="136" spans="1:3">
      <c r="A136" t="s">
        <v>490</v>
      </c>
      <c r="B136" t="s">
        <v>235</v>
      </c>
      <c r="C136" t="s">
        <v>56</v>
      </c>
    </row>
    <row r="137" spans="1:3">
      <c r="A137" t="s">
        <v>492</v>
      </c>
      <c r="B137" t="s">
        <v>239</v>
      </c>
      <c r="C137" t="s">
        <v>56</v>
      </c>
    </row>
    <row r="138" spans="1:3">
      <c r="A138" t="s">
        <v>495</v>
      </c>
      <c r="B138" t="s">
        <v>239</v>
      </c>
      <c r="C138" t="s">
        <v>56</v>
      </c>
    </row>
    <row r="139" spans="1:3">
      <c r="A139" t="s">
        <v>497</v>
      </c>
      <c r="B139" t="s">
        <v>239</v>
      </c>
      <c r="C139" t="s">
        <v>56</v>
      </c>
    </row>
    <row r="140" spans="1:3">
      <c r="A140" t="s">
        <v>499</v>
      </c>
      <c r="B140" t="s">
        <v>239</v>
      </c>
      <c r="C140" t="s">
        <v>56</v>
      </c>
    </row>
    <row r="141" spans="1:3">
      <c r="A141" t="s">
        <v>501</v>
      </c>
      <c r="B141" t="s">
        <v>239</v>
      </c>
      <c r="C141" t="s">
        <v>56</v>
      </c>
    </row>
    <row r="142" spans="1:3">
      <c r="A142" t="s">
        <v>504</v>
      </c>
      <c r="B142" t="s">
        <v>106</v>
      </c>
      <c r="C142" t="s">
        <v>56</v>
      </c>
    </row>
    <row r="143" spans="1:3">
      <c r="A143" t="s">
        <v>506</v>
      </c>
      <c r="B143" t="s">
        <v>106</v>
      </c>
      <c r="C143" t="s">
        <v>56</v>
      </c>
    </row>
    <row r="144" spans="1:3">
      <c r="A144" t="s">
        <v>508</v>
      </c>
      <c r="B144" t="s">
        <v>106</v>
      </c>
      <c r="C144" t="s">
        <v>56</v>
      </c>
    </row>
    <row r="145" spans="1:3">
      <c r="A145" t="s">
        <v>510</v>
      </c>
      <c r="B145" t="s">
        <v>172</v>
      </c>
      <c r="C145" t="s">
        <v>56</v>
      </c>
    </row>
    <row r="146" spans="1:3">
      <c r="A146" t="s">
        <v>512</v>
      </c>
      <c r="B146" t="s">
        <v>228</v>
      </c>
      <c r="C146" t="s">
        <v>56</v>
      </c>
    </row>
    <row r="147" spans="1:3">
      <c r="A147" t="s">
        <v>514</v>
      </c>
      <c r="B147" t="s">
        <v>239</v>
      </c>
      <c r="C147" t="s">
        <v>56</v>
      </c>
    </row>
    <row r="148" spans="1:3">
      <c r="A148" t="s">
        <v>516</v>
      </c>
      <c r="B148" t="s">
        <v>142</v>
      </c>
      <c r="C148" t="s">
        <v>56</v>
      </c>
    </row>
    <row r="149" spans="1:3">
      <c r="A149" t="s">
        <v>518</v>
      </c>
      <c r="B149" t="s">
        <v>106</v>
      </c>
      <c r="C149" t="s">
        <v>56</v>
      </c>
    </row>
    <row r="150" spans="1:3">
      <c r="A150" t="s">
        <v>519</v>
      </c>
      <c r="B150" t="s">
        <v>235</v>
      </c>
      <c r="C150" t="s">
        <v>56</v>
      </c>
    </row>
    <row r="151" spans="1:3">
      <c r="A151" t="s">
        <v>521</v>
      </c>
      <c r="B151" t="s">
        <v>134</v>
      </c>
      <c r="C151" t="s">
        <v>56</v>
      </c>
    </row>
    <row r="152" spans="1:3">
      <c r="A152" t="s">
        <v>523</v>
      </c>
      <c r="B152" t="s">
        <v>239</v>
      </c>
      <c r="C152" t="s">
        <v>56</v>
      </c>
    </row>
    <row r="153" spans="1:3">
      <c r="A153" t="s">
        <v>525</v>
      </c>
      <c r="B153" t="s">
        <v>228</v>
      </c>
      <c r="C153" t="s">
        <v>56</v>
      </c>
    </row>
    <row r="154" spans="1:3">
      <c r="A154" t="s">
        <v>527</v>
      </c>
      <c r="B154" t="s">
        <v>239</v>
      </c>
      <c r="C154" t="s">
        <v>56</v>
      </c>
    </row>
    <row r="155" spans="1:3">
      <c r="A155" t="s">
        <v>528</v>
      </c>
      <c r="B155" t="s">
        <v>106</v>
      </c>
      <c r="C155" t="s">
        <v>56</v>
      </c>
    </row>
    <row r="156" spans="1:3">
      <c r="A156" t="s">
        <v>529</v>
      </c>
      <c r="B156" t="s">
        <v>228</v>
      </c>
      <c r="C156" t="s">
        <v>56</v>
      </c>
    </row>
    <row r="157" spans="1:3">
      <c r="A157" t="s">
        <v>531</v>
      </c>
      <c r="B157" t="s">
        <v>129</v>
      </c>
      <c r="C157" t="s">
        <v>56</v>
      </c>
    </row>
    <row r="158" spans="1:3">
      <c r="A158" t="s">
        <v>533</v>
      </c>
      <c r="B158" t="s">
        <v>88</v>
      </c>
      <c r="C158" t="s">
        <v>56</v>
      </c>
    </row>
    <row r="159" spans="1:3">
      <c r="A159" t="s">
        <v>535</v>
      </c>
      <c r="B159" t="s">
        <v>106</v>
      </c>
      <c r="C159" t="s">
        <v>56</v>
      </c>
    </row>
    <row r="160" spans="1:3">
      <c r="A160" t="s">
        <v>536</v>
      </c>
      <c r="B160" t="s">
        <v>88</v>
      </c>
      <c r="C160" t="s">
        <v>56</v>
      </c>
    </row>
    <row r="161" spans="1:3">
      <c r="A161" t="s">
        <v>538</v>
      </c>
      <c r="B161" t="s">
        <v>192</v>
      </c>
      <c r="C161" t="s">
        <v>56</v>
      </c>
    </row>
    <row r="162" spans="1:3">
      <c r="A162" t="s">
        <v>539</v>
      </c>
      <c r="B162" t="s">
        <v>106</v>
      </c>
      <c r="C162" t="s">
        <v>56</v>
      </c>
    </row>
    <row r="163" spans="1:3">
      <c r="A163" t="s">
        <v>540</v>
      </c>
      <c r="B163" t="s">
        <v>106</v>
      </c>
      <c r="C163" t="s">
        <v>56</v>
      </c>
    </row>
    <row r="164" spans="1:3">
      <c r="A164" t="s">
        <v>541</v>
      </c>
      <c r="B164" t="s">
        <v>106</v>
      </c>
      <c r="C164" t="s">
        <v>56</v>
      </c>
    </row>
    <row r="165" spans="1:3">
      <c r="A165" t="s">
        <v>543</v>
      </c>
      <c r="B165" t="s">
        <v>129</v>
      </c>
      <c r="C165" t="s">
        <v>56</v>
      </c>
    </row>
    <row r="166" spans="1:3">
      <c r="A166" t="s">
        <v>545</v>
      </c>
      <c r="B166" t="s">
        <v>167</v>
      </c>
      <c r="C166" t="s">
        <v>56</v>
      </c>
    </row>
    <row r="167" spans="1:3">
      <c r="A167" t="s">
        <v>547</v>
      </c>
      <c r="B167" t="s">
        <v>129</v>
      </c>
      <c r="C167" t="s">
        <v>56</v>
      </c>
    </row>
    <row r="168" spans="1:3">
      <c r="A168" t="s">
        <v>548</v>
      </c>
      <c r="B168" t="s">
        <v>228</v>
      </c>
      <c r="C168" t="s">
        <v>56</v>
      </c>
    </row>
    <row r="169" spans="1:3">
      <c r="A169" t="s">
        <v>549</v>
      </c>
      <c r="B169" t="s">
        <v>170</v>
      </c>
      <c r="C169" t="s">
        <v>56</v>
      </c>
    </row>
    <row r="170" spans="1:3">
      <c r="A170" t="s">
        <v>550</v>
      </c>
      <c r="B170" t="s">
        <v>158</v>
      </c>
      <c r="C170" t="s">
        <v>56</v>
      </c>
    </row>
    <row r="171" spans="1:3">
      <c r="A171" t="s">
        <v>552</v>
      </c>
      <c r="B171" t="s">
        <v>228</v>
      </c>
      <c r="C171" t="s">
        <v>56</v>
      </c>
    </row>
    <row r="172" spans="1:3">
      <c r="A172" t="s">
        <v>553</v>
      </c>
      <c r="B172" t="s">
        <v>235</v>
      </c>
      <c r="C172" t="s">
        <v>56</v>
      </c>
    </row>
    <row r="173" spans="1:3">
      <c r="A173" t="s">
        <v>555</v>
      </c>
      <c r="B173" t="s">
        <v>201</v>
      </c>
      <c r="C173" t="s">
        <v>56</v>
      </c>
    </row>
    <row r="174" spans="1:3">
      <c r="A174" t="s">
        <v>556</v>
      </c>
      <c r="B174" t="s">
        <v>167</v>
      </c>
      <c r="C174" t="s">
        <v>56</v>
      </c>
    </row>
    <row r="175" spans="1:3">
      <c r="A175" t="s">
        <v>557</v>
      </c>
      <c r="B175" t="s">
        <v>129</v>
      </c>
      <c r="C175" t="s">
        <v>56</v>
      </c>
    </row>
    <row r="176" spans="1:3">
      <c r="A176" t="s">
        <v>559</v>
      </c>
      <c r="B176" t="s">
        <v>213</v>
      </c>
      <c r="C176" t="s">
        <v>56</v>
      </c>
    </row>
    <row r="177" spans="1:3">
      <c r="A177" t="s">
        <v>560</v>
      </c>
      <c r="B177" t="s">
        <v>201</v>
      </c>
      <c r="C177" t="s">
        <v>56</v>
      </c>
    </row>
    <row r="178" spans="1:3">
      <c r="A178" t="s">
        <v>562</v>
      </c>
      <c r="B178" t="s">
        <v>106</v>
      </c>
      <c r="C178" t="s">
        <v>56</v>
      </c>
    </row>
    <row r="179" spans="1:3">
      <c r="A179" t="s">
        <v>563</v>
      </c>
      <c r="B179" t="s">
        <v>106</v>
      </c>
      <c r="C179" t="s">
        <v>56</v>
      </c>
    </row>
    <row r="180" spans="1:3">
      <c r="A180" t="s">
        <v>564</v>
      </c>
      <c r="B180" t="s">
        <v>106</v>
      </c>
      <c r="C180" t="s">
        <v>56</v>
      </c>
    </row>
    <row r="181" spans="1:3">
      <c r="A181" t="s">
        <v>565</v>
      </c>
      <c r="B181" t="s">
        <v>228</v>
      </c>
      <c r="C181" t="s">
        <v>56</v>
      </c>
    </row>
    <row r="182" spans="1:3">
      <c r="A182" t="s">
        <v>566</v>
      </c>
      <c r="B182" t="s">
        <v>88</v>
      </c>
      <c r="C182" t="s">
        <v>56</v>
      </c>
    </row>
    <row r="183" spans="1:3">
      <c r="A183" t="s">
        <v>568</v>
      </c>
      <c r="B183" t="s">
        <v>228</v>
      </c>
      <c r="C183" t="s">
        <v>56</v>
      </c>
    </row>
    <row r="184" spans="1:3">
      <c r="A184" t="s">
        <v>569</v>
      </c>
      <c r="B184" t="s">
        <v>167</v>
      </c>
      <c r="C184" t="s">
        <v>56</v>
      </c>
    </row>
    <row r="185" spans="1:3">
      <c r="A185" t="s">
        <v>571</v>
      </c>
      <c r="B185" t="s">
        <v>106</v>
      </c>
      <c r="C185" t="s">
        <v>56</v>
      </c>
    </row>
    <row r="186" spans="1:3">
      <c r="A186" t="s">
        <v>573</v>
      </c>
      <c r="B186" t="s">
        <v>228</v>
      </c>
      <c r="C186" t="s">
        <v>56</v>
      </c>
    </row>
    <row r="187" spans="1:3">
      <c r="A187" t="s">
        <v>575</v>
      </c>
      <c r="B187" t="s">
        <v>107</v>
      </c>
      <c r="C187" t="s">
        <v>56</v>
      </c>
    </row>
    <row r="188" spans="1:3">
      <c r="A188" t="s">
        <v>577</v>
      </c>
      <c r="B188" t="s">
        <v>228</v>
      </c>
      <c r="C188" t="s">
        <v>56</v>
      </c>
    </row>
    <row r="189" spans="1:3">
      <c r="A189" t="s">
        <v>579</v>
      </c>
      <c r="B189" t="s">
        <v>106</v>
      </c>
      <c r="C189" t="s">
        <v>56</v>
      </c>
    </row>
    <row r="190" spans="1:3">
      <c r="A190" t="s">
        <v>581</v>
      </c>
      <c r="B190" t="s">
        <v>214</v>
      </c>
      <c r="C190" t="s">
        <v>56</v>
      </c>
    </row>
    <row r="191" spans="1:3">
      <c r="A191" t="s">
        <v>583</v>
      </c>
      <c r="B191" t="s">
        <v>108</v>
      </c>
      <c r="C191" t="s">
        <v>56</v>
      </c>
    </row>
    <row r="192" spans="1:3">
      <c r="A192" t="s">
        <v>585</v>
      </c>
      <c r="B192" t="s">
        <v>107</v>
      </c>
      <c r="C192" t="s">
        <v>56</v>
      </c>
    </row>
    <row r="193" spans="1:3">
      <c r="A193" s="108" t="s">
        <v>2108</v>
      </c>
      <c r="B193" t="s">
        <v>106</v>
      </c>
      <c r="C193" t="s">
        <v>56</v>
      </c>
    </row>
    <row r="194" spans="1:3">
      <c r="A194" t="s">
        <v>588</v>
      </c>
      <c r="B194" t="s">
        <v>106</v>
      </c>
      <c r="C194" t="s">
        <v>56</v>
      </c>
    </row>
    <row r="195" spans="1:3">
      <c r="A195" t="s">
        <v>590</v>
      </c>
      <c r="B195" t="s">
        <v>106</v>
      </c>
      <c r="C195" t="s">
        <v>56</v>
      </c>
    </row>
    <row r="196" spans="1:3">
      <c r="A196" t="s">
        <v>592</v>
      </c>
      <c r="B196" t="s">
        <v>167</v>
      </c>
      <c r="C196" t="s">
        <v>56</v>
      </c>
    </row>
    <row r="197" spans="1:3">
      <c r="A197" t="s">
        <v>594</v>
      </c>
      <c r="B197" t="s">
        <v>166</v>
      </c>
      <c r="C197" t="s">
        <v>56</v>
      </c>
    </row>
    <row r="198" spans="1:3">
      <c r="A198" t="s">
        <v>595</v>
      </c>
      <c r="B198" t="s">
        <v>239</v>
      </c>
      <c r="C198" t="s">
        <v>56</v>
      </c>
    </row>
    <row r="199" spans="1:3">
      <c r="A199" t="s">
        <v>597</v>
      </c>
      <c r="B199" t="s">
        <v>228</v>
      </c>
      <c r="C199" t="s">
        <v>56</v>
      </c>
    </row>
    <row r="200" spans="1:3">
      <c r="A200" t="s">
        <v>599</v>
      </c>
      <c r="B200" t="s">
        <v>235</v>
      </c>
      <c r="C200" t="s">
        <v>56</v>
      </c>
    </row>
    <row r="201" spans="1:3">
      <c r="A201" t="s">
        <v>601</v>
      </c>
      <c r="B201" t="s">
        <v>239</v>
      </c>
      <c r="C201" t="s">
        <v>56</v>
      </c>
    </row>
    <row r="202" spans="1:3">
      <c r="A202" t="s">
        <v>2654</v>
      </c>
      <c r="B202" t="s">
        <v>239</v>
      </c>
      <c r="C202" t="s">
        <v>56</v>
      </c>
    </row>
    <row r="203" spans="1:3">
      <c r="A203" t="s">
        <v>2655</v>
      </c>
      <c r="B203" t="s">
        <v>239</v>
      </c>
      <c r="C203" t="s">
        <v>56</v>
      </c>
    </row>
    <row r="204" spans="1:3">
      <c r="A204" t="s">
        <v>603</v>
      </c>
      <c r="B204" t="s">
        <v>170</v>
      </c>
      <c r="C204" t="s">
        <v>56</v>
      </c>
    </row>
    <row r="205" spans="1:3">
      <c r="A205" t="s">
        <v>2656</v>
      </c>
      <c r="B205" t="s">
        <v>235</v>
      </c>
      <c r="C205" t="s">
        <v>56</v>
      </c>
    </row>
    <row r="206" spans="1:3">
      <c r="A206" t="s">
        <v>605</v>
      </c>
      <c r="B206" t="s">
        <v>189</v>
      </c>
      <c r="C206" t="s">
        <v>56</v>
      </c>
    </row>
    <row r="207" spans="1:3">
      <c r="A207" t="s">
        <v>2112</v>
      </c>
      <c r="B207" t="s">
        <v>2644</v>
      </c>
      <c r="C207" t="s">
        <v>56</v>
      </c>
    </row>
    <row r="208" spans="1:3">
      <c r="A208" t="s">
        <v>607</v>
      </c>
      <c r="B208" t="s">
        <v>224</v>
      </c>
      <c r="C208" t="s">
        <v>59</v>
      </c>
    </row>
    <row r="209" spans="1:3">
      <c r="A209" t="s">
        <v>611</v>
      </c>
      <c r="B209" t="s">
        <v>239</v>
      </c>
      <c r="C209" t="s">
        <v>59</v>
      </c>
    </row>
    <row r="210" spans="1:3">
      <c r="A210" t="s">
        <v>613</v>
      </c>
      <c r="B210" t="s">
        <v>239</v>
      </c>
      <c r="C210" t="s">
        <v>59</v>
      </c>
    </row>
    <row r="211" spans="1:3">
      <c r="A211" t="s">
        <v>614</v>
      </c>
      <c r="B211" t="s">
        <v>239</v>
      </c>
      <c r="C211" t="s">
        <v>59</v>
      </c>
    </row>
    <row r="212" spans="1:3">
      <c r="A212" t="s">
        <v>617</v>
      </c>
      <c r="B212" t="s">
        <v>239</v>
      </c>
      <c r="C212" t="s">
        <v>59</v>
      </c>
    </row>
    <row r="213" spans="1:3">
      <c r="A213" t="s">
        <v>618</v>
      </c>
      <c r="B213" t="s">
        <v>224</v>
      </c>
      <c r="C213" t="s">
        <v>59</v>
      </c>
    </row>
    <row r="214" spans="1:3">
      <c r="A214" t="s">
        <v>620</v>
      </c>
      <c r="B214" t="s">
        <v>224</v>
      </c>
      <c r="C214" t="s">
        <v>59</v>
      </c>
    </row>
    <row r="215" spans="1:3">
      <c r="A215" t="s">
        <v>621</v>
      </c>
      <c r="B215" t="s">
        <v>224</v>
      </c>
      <c r="C215" t="s">
        <v>59</v>
      </c>
    </row>
    <row r="216" spans="1:3">
      <c r="A216" t="s">
        <v>623</v>
      </c>
      <c r="B216" t="s">
        <v>111</v>
      </c>
      <c r="C216" t="s">
        <v>59</v>
      </c>
    </row>
    <row r="217" spans="1:3">
      <c r="A217" t="s">
        <v>626</v>
      </c>
      <c r="B217" t="s">
        <v>206</v>
      </c>
      <c r="C217" t="s">
        <v>59</v>
      </c>
    </row>
    <row r="218" spans="1:3">
      <c r="A218" t="s">
        <v>629</v>
      </c>
      <c r="B218" t="s">
        <v>206</v>
      </c>
      <c r="C218" t="s">
        <v>59</v>
      </c>
    </row>
    <row r="219" spans="1:3">
      <c r="A219" t="s">
        <v>631</v>
      </c>
      <c r="B219" t="s">
        <v>144</v>
      </c>
      <c r="C219" t="s">
        <v>59</v>
      </c>
    </row>
    <row r="220" spans="1:3">
      <c r="A220" t="s">
        <v>635</v>
      </c>
      <c r="B220" t="s">
        <v>221</v>
      </c>
      <c r="C220" t="s">
        <v>59</v>
      </c>
    </row>
    <row r="221" spans="1:3">
      <c r="A221" t="s">
        <v>638</v>
      </c>
      <c r="B221" t="s">
        <v>221</v>
      </c>
      <c r="C221" t="s">
        <v>59</v>
      </c>
    </row>
    <row r="222" spans="1:3">
      <c r="A222" t="s">
        <v>640</v>
      </c>
      <c r="B222" t="s">
        <v>221</v>
      </c>
      <c r="C222" t="s">
        <v>59</v>
      </c>
    </row>
    <row r="223" spans="1:3">
      <c r="A223" t="s">
        <v>642</v>
      </c>
      <c r="B223" t="s">
        <v>240</v>
      </c>
      <c r="C223" t="s">
        <v>59</v>
      </c>
    </row>
    <row r="224" spans="1:3">
      <c r="A224" t="s">
        <v>645</v>
      </c>
      <c r="B224" t="s">
        <v>240</v>
      </c>
      <c r="C224" t="s">
        <v>59</v>
      </c>
    </row>
    <row r="225" spans="1:3">
      <c r="A225" t="s">
        <v>646</v>
      </c>
      <c r="B225" t="s">
        <v>240</v>
      </c>
      <c r="C225" t="s">
        <v>59</v>
      </c>
    </row>
    <row r="226" spans="1:3">
      <c r="A226" t="s">
        <v>648</v>
      </c>
      <c r="B226" t="s">
        <v>240</v>
      </c>
      <c r="C226" t="s">
        <v>59</v>
      </c>
    </row>
    <row r="227" spans="1:3">
      <c r="A227" t="s">
        <v>650</v>
      </c>
      <c r="B227" t="s">
        <v>240</v>
      </c>
      <c r="C227" t="s">
        <v>59</v>
      </c>
    </row>
    <row r="228" spans="1:3">
      <c r="A228" t="s">
        <v>652</v>
      </c>
      <c r="B228" t="s">
        <v>240</v>
      </c>
      <c r="C228" t="s">
        <v>59</v>
      </c>
    </row>
    <row r="229" spans="1:3">
      <c r="A229" t="s">
        <v>653</v>
      </c>
      <c r="B229" t="s">
        <v>239</v>
      </c>
      <c r="C229" t="s">
        <v>59</v>
      </c>
    </row>
    <row r="230" spans="1:3">
      <c r="A230" t="s">
        <v>655</v>
      </c>
      <c r="B230" t="s">
        <v>239</v>
      </c>
      <c r="C230" t="s">
        <v>59</v>
      </c>
    </row>
    <row r="231" spans="1:3">
      <c r="A231" t="s">
        <v>656</v>
      </c>
      <c r="B231" t="s">
        <v>239</v>
      </c>
      <c r="C231" t="s">
        <v>59</v>
      </c>
    </row>
    <row r="232" spans="1:3">
      <c r="A232" t="s">
        <v>657</v>
      </c>
      <c r="B232" t="s">
        <v>239</v>
      </c>
      <c r="C232" t="s">
        <v>59</v>
      </c>
    </row>
    <row r="233" spans="1:3">
      <c r="A233" t="s">
        <v>658</v>
      </c>
      <c r="B233" t="s">
        <v>239</v>
      </c>
      <c r="C233" t="s">
        <v>59</v>
      </c>
    </row>
    <row r="234" spans="1:3">
      <c r="A234" t="s">
        <v>660</v>
      </c>
      <c r="B234" t="s">
        <v>239</v>
      </c>
      <c r="C234" t="s">
        <v>59</v>
      </c>
    </row>
    <row r="235" spans="1:3">
      <c r="A235" t="s">
        <v>2657</v>
      </c>
      <c r="B235" t="s">
        <v>169</v>
      </c>
      <c r="C235" t="s">
        <v>59</v>
      </c>
    </row>
    <row r="236" spans="1:3">
      <c r="A236" t="s">
        <v>662</v>
      </c>
      <c r="B236" t="s">
        <v>206</v>
      </c>
      <c r="C236" t="s">
        <v>59</v>
      </c>
    </row>
    <row r="237" spans="1:3">
      <c r="A237" t="s">
        <v>664</v>
      </c>
      <c r="B237" t="s">
        <v>231</v>
      </c>
      <c r="C237" t="s">
        <v>59</v>
      </c>
    </row>
    <row r="238" spans="1:3">
      <c r="A238" t="s">
        <v>668</v>
      </c>
      <c r="B238" t="s">
        <v>93</v>
      </c>
      <c r="C238" t="s">
        <v>59</v>
      </c>
    </row>
    <row r="239" spans="1:3">
      <c r="A239" t="s">
        <v>671</v>
      </c>
      <c r="B239" t="s">
        <v>182</v>
      </c>
      <c r="C239" t="s">
        <v>59</v>
      </c>
    </row>
    <row r="240" spans="1:3">
      <c r="A240" t="s">
        <v>672</v>
      </c>
      <c r="B240" t="s">
        <v>239</v>
      </c>
      <c r="C240" t="s">
        <v>59</v>
      </c>
    </row>
    <row r="241" spans="1:3">
      <c r="A241" t="s">
        <v>674</v>
      </c>
      <c r="B241" t="s">
        <v>239</v>
      </c>
      <c r="C241" t="s">
        <v>59</v>
      </c>
    </row>
    <row r="242" spans="1:3">
      <c r="A242" t="s">
        <v>675</v>
      </c>
      <c r="B242" t="s">
        <v>239</v>
      </c>
      <c r="C242" t="s">
        <v>59</v>
      </c>
    </row>
    <row r="243" spans="1:3">
      <c r="A243" t="s">
        <v>678</v>
      </c>
      <c r="B243" t="s">
        <v>210</v>
      </c>
      <c r="C243" t="s">
        <v>59</v>
      </c>
    </row>
    <row r="244" spans="1:3">
      <c r="A244" t="s">
        <v>680</v>
      </c>
      <c r="B244" t="s">
        <v>173</v>
      </c>
      <c r="C244" t="s">
        <v>59</v>
      </c>
    </row>
    <row r="245" spans="1:3">
      <c r="A245" t="s">
        <v>684</v>
      </c>
      <c r="B245" t="s">
        <v>114</v>
      </c>
      <c r="C245" t="s">
        <v>59</v>
      </c>
    </row>
    <row r="246" spans="1:3">
      <c r="A246" t="s">
        <v>687</v>
      </c>
      <c r="B246" t="s">
        <v>239</v>
      </c>
      <c r="C246" t="s">
        <v>59</v>
      </c>
    </row>
    <row r="247" spans="1:3">
      <c r="A247" t="s">
        <v>690</v>
      </c>
      <c r="B247" t="s">
        <v>165</v>
      </c>
      <c r="C247" t="s">
        <v>59</v>
      </c>
    </row>
    <row r="248" spans="1:3">
      <c r="A248" t="s">
        <v>691</v>
      </c>
      <c r="B248" t="s">
        <v>185</v>
      </c>
      <c r="C248" t="s">
        <v>59</v>
      </c>
    </row>
    <row r="249" spans="1:3">
      <c r="A249" t="s">
        <v>693</v>
      </c>
      <c r="B249" t="s">
        <v>239</v>
      </c>
      <c r="C249" t="s">
        <v>59</v>
      </c>
    </row>
    <row r="250" spans="1:3">
      <c r="A250" t="s">
        <v>695</v>
      </c>
      <c r="B250" t="s">
        <v>165</v>
      </c>
      <c r="C250" t="s">
        <v>59</v>
      </c>
    </row>
    <row r="251" spans="1:3">
      <c r="A251" t="s">
        <v>696</v>
      </c>
      <c r="B251" t="s">
        <v>218</v>
      </c>
      <c r="C251" t="s">
        <v>59</v>
      </c>
    </row>
    <row r="252" spans="1:3">
      <c r="A252" t="s">
        <v>698</v>
      </c>
      <c r="B252" t="s">
        <v>159</v>
      </c>
      <c r="C252" t="s">
        <v>59</v>
      </c>
    </row>
    <row r="253" spans="1:3">
      <c r="A253" t="s">
        <v>700</v>
      </c>
      <c r="B253" t="s">
        <v>145</v>
      </c>
      <c r="C253" t="s">
        <v>59</v>
      </c>
    </row>
    <row r="254" spans="1:3">
      <c r="A254" t="s">
        <v>703</v>
      </c>
      <c r="B254" t="s">
        <v>239</v>
      </c>
      <c r="C254" t="s">
        <v>59</v>
      </c>
    </row>
    <row r="255" spans="1:3">
      <c r="A255" t="s">
        <v>704</v>
      </c>
      <c r="B255" t="s">
        <v>152</v>
      </c>
      <c r="C255" t="s">
        <v>59</v>
      </c>
    </row>
    <row r="256" spans="1:3">
      <c r="A256" t="s">
        <v>705</v>
      </c>
      <c r="B256" t="s">
        <v>130</v>
      </c>
      <c r="C256" t="s">
        <v>59</v>
      </c>
    </row>
    <row r="257" spans="1:3">
      <c r="A257" t="s">
        <v>707</v>
      </c>
      <c r="B257" t="s">
        <v>165</v>
      </c>
      <c r="C257" t="s">
        <v>59</v>
      </c>
    </row>
    <row r="258" spans="1:3">
      <c r="A258" t="s">
        <v>2658</v>
      </c>
      <c r="B258" t="s">
        <v>152</v>
      </c>
      <c r="C258" t="s">
        <v>59</v>
      </c>
    </row>
    <row r="259" spans="1:3">
      <c r="A259" t="s">
        <v>708</v>
      </c>
      <c r="B259" t="s">
        <v>146</v>
      </c>
      <c r="C259" t="s">
        <v>59</v>
      </c>
    </row>
    <row r="260" spans="1:3">
      <c r="A260" t="s">
        <v>710</v>
      </c>
      <c r="B260" t="s">
        <v>239</v>
      </c>
      <c r="C260" t="s">
        <v>59</v>
      </c>
    </row>
    <row r="261" spans="1:3">
      <c r="A261" t="s">
        <v>712</v>
      </c>
      <c r="B261" t="s">
        <v>239</v>
      </c>
      <c r="C261" t="s">
        <v>59</v>
      </c>
    </row>
    <row r="262" spans="1:3">
      <c r="A262" t="s">
        <v>714</v>
      </c>
      <c r="B262" t="s">
        <v>239</v>
      </c>
      <c r="C262" t="s">
        <v>59</v>
      </c>
    </row>
    <row r="263" spans="1:3">
      <c r="A263" t="s">
        <v>715</v>
      </c>
      <c r="B263" t="s">
        <v>173</v>
      </c>
      <c r="C263" t="s">
        <v>59</v>
      </c>
    </row>
    <row r="264" spans="1:3">
      <c r="A264" t="s">
        <v>717</v>
      </c>
      <c r="B264" t="s">
        <v>175</v>
      </c>
      <c r="C264" t="s">
        <v>59</v>
      </c>
    </row>
    <row r="265" spans="1:3">
      <c r="A265" t="s">
        <v>721</v>
      </c>
      <c r="B265" t="s">
        <v>239</v>
      </c>
      <c r="C265" t="s">
        <v>59</v>
      </c>
    </row>
    <row r="266" spans="1:3">
      <c r="A266" t="s">
        <v>724</v>
      </c>
      <c r="B266" t="s">
        <v>215</v>
      </c>
      <c r="C266" t="s">
        <v>59</v>
      </c>
    </row>
    <row r="267" spans="1:3">
      <c r="A267" t="s">
        <v>728</v>
      </c>
      <c r="B267" t="s">
        <v>128</v>
      </c>
      <c r="C267" t="s">
        <v>59</v>
      </c>
    </row>
    <row r="268" spans="1:3">
      <c r="A268" t="s">
        <v>730</v>
      </c>
      <c r="B268" t="s">
        <v>231</v>
      </c>
      <c r="C268" t="s">
        <v>59</v>
      </c>
    </row>
    <row r="269" spans="1:3">
      <c r="A269" t="s">
        <v>733</v>
      </c>
      <c r="B269" t="s">
        <v>231</v>
      </c>
      <c r="C269" t="s">
        <v>59</v>
      </c>
    </row>
    <row r="270" spans="1:3">
      <c r="A270" t="s">
        <v>734</v>
      </c>
      <c r="B270" t="s">
        <v>231</v>
      </c>
      <c r="C270" t="s">
        <v>59</v>
      </c>
    </row>
    <row r="271" spans="1:3">
      <c r="A271" t="s">
        <v>737</v>
      </c>
      <c r="B271" t="s">
        <v>231</v>
      </c>
      <c r="C271" t="s">
        <v>59</v>
      </c>
    </row>
    <row r="272" spans="1:3">
      <c r="A272" t="s">
        <v>739</v>
      </c>
      <c r="B272" t="s">
        <v>113</v>
      </c>
      <c r="C272" t="s">
        <v>59</v>
      </c>
    </row>
    <row r="273" spans="1:3">
      <c r="A273" t="s">
        <v>741</v>
      </c>
      <c r="B273" t="s">
        <v>113</v>
      </c>
      <c r="C273" t="s">
        <v>59</v>
      </c>
    </row>
    <row r="274" spans="1:3">
      <c r="A274" t="s">
        <v>743</v>
      </c>
      <c r="B274" t="s">
        <v>240</v>
      </c>
      <c r="C274" t="s">
        <v>59</v>
      </c>
    </row>
    <row r="275" spans="1:3">
      <c r="A275" t="s">
        <v>744</v>
      </c>
      <c r="B275" t="s">
        <v>224</v>
      </c>
      <c r="C275" t="s">
        <v>59</v>
      </c>
    </row>
    <row r="276" spans="1:3">
      <c r="A276" t="s">
        <v>746</v>
      </c>
      <c r="B276" t="s">
        <v>224</v>
      </c>
      <c r="C276" t="s">
        <v>59</v>
      </c>
    </row>
    <row r="277" spans="1:3">
      <c r="A277" t="s">
        <v>747</v>
      </c>
      <c r="B277" t="s">
        <v>224</v>
      </c>
      <c r="C277" t="s">
        <v>59</v>
      </c>
    </row>
    <row r="278" spans="1:3">
      <c r="A278" t="s">
        <v>748</v>
      </c>
      <c r="B278" t="s">
        <v>100</v>
      </c>
      <c r="C278" t="s">
        <v>59</v>
      </c>
    </row>
    <row r="279" spans="1:3">
      <c r="A279" t="s">
        <v>2081</v>
      </c>
      <c r="B279" t="s">
        <v>224</v>
      </c>
      <c r="C279" t="s">
        <v>59</v>
      </c>
    </row>
    <row r="280" spans="1:3">
      <c r="A280" t="s">
        <v>749</v>
      </c>
      <c r="B280" t="s">
        <v>224</v>
      </c>
      <c r="C280" t="s">
        <v>59</v>
      </c>
    </row>
    <row r="281" spans="1:3">
      <c r="A281" t="s">
        <v>751</v>
      </c>
      <c r="B281" t="s">
        <v>100</v>
      </c>
      <c r="C281" t="s">
        <v>59</v>
      </c>
    </row>
    <row r="282" spans="1:3">
      <c r="A282" t="s">
        <v>753</v>
      </c>
      <c r="B282" t="s">
        <v>239</v>
      </c>
      <c r="C282" t="s">
        <v>59</v>
      </c>
    </row>
    <row r="283" spans="1:3">
      <c r="A283" t="s">
        <v>755</v>
      </c>
      <c r="B283" t="s">
        <v>239</v>
      </c>
      <c r="C283" t="s">
        <v>59</v>
      </c>
    </row>
    <row r="284" spans="1:3">
      <c r="A284" t="s">
        <v>756</v>
      </c>
      <c r="B284" t="s">
        <v>239</v>
      </c>
      <c r="C284" t="s">
        <v>59</v>
      </c>
    </row>
    <row r="285" spans="1:3">
      <c r="A285" t="s">
        <v>758</v>
      </c>
      <c r="B285" t="s">
        <v>239</v>
      </c>
      <c r="C285" t="s">
        <v>59</v>
      </c>
    </row>
    <row r="286" spans="1:3">
      <c r="A286" t="s">
        <v>759</v>
      </c>
      <c r="B286" t="s">
        <v>239</v>
      </c>
      <c r="C286" t="s">
        <v>59</v>
      </c>
    </row>
    <row r="287" spans="1:3">
      <c r="A287" t="s">
        <v>760</v>
      </c>
      <c r="B287" t="s">
        <v>239</v>
      </c>
      <c r="C287" t="s">
        <v>59</v>
      </c>
    </row>
    <row r="288" spans="1:3">
      <c r="A288" t="s">
        <v>761</v>
      </c>
      <c r="B288" t="s">
        <v>239</v>
      </c>
      <c r="C288" t="s">
        <v>59</v>
      </c>
    </row>
    <row r="289" spans="1:3">
      <c r="A289" t="s">
        <v>762</v>
      </c>
      <c r="B289" t="s">
        <v>239</v>
      </c>
      <c r="C289" t="s">
        <v>59</v>
      </c>
    </row>
    <row r="290" spans="1:3">
      <c r="A290" t="s">
        <v>764</v>
      </c>
      <c r="B290" t="s">
        <v>100</v>
      </c>
      <c r="C290" t="s">
        <v>59</v>
      </c>
    </row>
    <row r="291" spans="1:3">
      <c r="A291" t="s">
        <v>765</v>
      </c>
      <c r="B291" t="s">
        <v>224</v>
      </c>
      <c r="C291" t="s">
        <v>59</v>
      </c>
    </row>
    <row r="292" spans="1:3">
      <c r="A292" t="s">
        <v>766</v>
      </c>
      <c r="B292" t="s">
        <v>224</v>
      </c>
      <c r="C292" t="s">
        <v>59</v>
      </c>
    </row>
    <row r="293" spans="1:3">
      <c r="A293" t="s">
        <v>768</v>
      </c>
      <c r="B293" t="s">
        <v>224</v>
      </c>
      <c r="C293" t="s">
        <v>59</v>
      </c>
    </row>
    <row r="294" spans="1:3">
      <c r="A294" t="s">
        <v>769</v>
      </c>
      <c r="B294" t="s">
        <v>100</v>
      </c>
      <c r="C294" t="s">
        <v>59</v>
      </c>
    </row>
    <row r="295" spans="1:3">
      <c r="A295" t="s">
        <v>770</v>
      </c>
      <c r="B295" t="s">
        <v>206</v>
      </c>
      <c r="C295" t="s">
        <v>59</v>
      </c>
    </row>
    <row r="296" spans="1:3">
      <c r="A296" t="s">
        <v>772</v>
      </c>
      <c r="B296" t="s">
        <v>206</v>
      </c>
      <c r="C296" t="s">
        <v>59</v>
      </c>
    </row>
    <row r="297" spans="1:3">
      <c r="A297" t="s">
        <v>774</v>
      </c>
      <c r="B297" t="s">
        <v>144</v>
      </c>
      <c r="C297" t="s">
        <v>59</v>
      </c>
    </row>
    <row r="298" spans="1:3">
      <c r="A298" t="s">
        <v>776</v>
      </c>
      <c r="B298" t="s">
        <v>221</v>
      </c>
      <c r="C298" t="s">
        <v>59</v>
      </c>
    </row>
    <row r="299" spans="1:3">
      <c r="A299" t="s">
        <v>777</v>
      </c>
      <c r="B299" t="s">
        <v>221</v>
      </c>
      <c r="C299" t="s">
        <v>59</v>
      </c>
    </row>
    <row r="300" spans="1:3">
      <c r="A300" t="s">
        <v>778</v>
      </c>
      <c r="B300" t="s">
        <v>221</v>
      </c>
      <c r="C300" t="s">
        <v>59</v>
      </c>
    </row>
    <row r="301" spans="1:3">
      <c r="A301" t="s">
        <v>779</v>
      </c>
      <c r="B301" t="s">
        <v>221</v>
      </c>
      <c r="C301" t="s">
        <v>59</v>
      </c>
    </row>
    <row r="302" spans="1:3">
      <c r="A302" t="s">
        <v>781</v>
      </c>
      <c r="B302" t="s">
        <v>221</v>
      </c>
      <c r="C302" t="s">
        <v>59</v>
      </c>
    </row>
    <row r="303" spans="1:3">
      <c r="A303" t="s">
        <v>782</v>
      </c>
      <c r="B303" t="s">
        <v>144</v>
      </c>
      <c r="C303" t="s">
        <v>59</v>
      </c>
    </row>
    <row r="304" spans="1:3">
      <c r="A304" t="s">
        <v>784</v>
      </c>
      <c r="B304" t="s">
        <v>144</v>
      </c>
      <c r="C304" t="s">
        <v>59</v>
      </c>
    </row>
    <row r="305" spans="1:3">
      <c r="A305" t="s">
        <v>785</v>
      </c>
      <c r="B305" t="s">
        <v>240</v>
      </c>
      <c r="C305" t="s">
        <v>59</v>
      </c>
    </row>
    <row r="306" spans="1:3">
      <c r="A306" t="s">
        <v>787</v>
      </c>
      <c r="B306" t="s">
        <v>240</v>
      </c>
      <c r="C306" t="s">
        <v>59</v>
      </c>
    </row>
    <row r="307" spans="1:3">
      <c r="A307" t="s">
        <v>788</v>
      </c>
      <c r="B307" t="s">
        <v>240</v>
      </c>
      <c r="C307" t="s">
        <v>59</v>
      </c>
    </row>
    <row r="308" spans="1:3">
      <c r="A308" t="s">
        <v>789</v>
      </c>
      <c r="B308" t="s">
        <v>240</v>
      </c>
      <c r="C308" t="s">
        <v>59</v>
      </c>
    </row>
    <row r="309" spans="1:3">
      <c r="A309" t="s">
        <v>2063</v>
      </c>
      <c r="B309" t="s">
        <v>240</v>
      </c>
      <c r="C309" t="s">
        <v>59</v>
      </c>
    </row>
    <row r="310" spans="1:3">
      <c r="A310" t="s">
        <v>791</v>
      </c>
      <c r="B310" t="s">
        <v>240</v>
      </c>
      <c r="C310" t="s">
        <v>59</v>
      </c>
    </row>
    <row r="311" spans="1:3">
      <c r="A311" t="s">
        <v>792</v>
      </c>
      <c r="B311" t="s">
        <v>100</v>
      </c>
      <c r="C311" t="s">
        <v>59</v>
      </c>
    </row>
    <row r="312" spans="1:3">
      <c r="A312" t="s">
        <v>794</v>
      </c>
      <c r="B312" t="s">
        <v>100</v>
      </c>
      <c r="C312" t="s">
        <v>59</v>
      </c>
    </row>
    <row r="313" spans="1:3">
      <c r="A313" t="s">
        <v>795</v>
      </c>
      <c r="B313" t="s">
        <v>100</v>
      </c>
      <c r="C313" t="s">
        <v>59</v>
      </c>
    </row>
    <row r="314" spans="1:3">
      <c r="A314" t="s">
        <v>796</v>
      </c>
      <c r="B314" t="s">
        <v>239</v>
      </c>
      <c r="C314" t="s">
        <v>59</v>
      </c>
    </row>
    <row r="315" spans="1:3">
      <c r="A315" t="s">
        <v>797</v>
      </c>
      <c r="B315" t="s">
        <v>239</v>
      </c>
      <c r="C315" t="s">
        <v>59</v>
      </c>
    </row>
    <row r="316" spans="1:3">
      <c r="A316" t="s">
        <v>799</v>
      </c>
      <c r="B316" t="s">
        <v>239</v>
      </c>
      <c r="C316" t="s">
        <v>59</v>
      </c>
    </row>
    <row r="317" spans="1:3">
      <c r="A317" t="s">
        <v>800</v>
      </c>
      <c r="B317" t="s">
        <v>239</v>
      </c>
      <c r="C317" t="s">
        <v>59</v>
      </c>
    </row>
    <row r="318" spans="1:3">
      <c r="A318" t="s">
        <v>2659</v>
      </c>
      <c r="B318" t="s">
        <v>169</v>
      </c>
      <c r="C318" t="s">
        <v>59</v>
      </c>
    </row>
    <row r="319" spans="1:3">
      <c r="A319" t="s">
        <v>2660</v>
      </c>
      <c r="B319" t="s">
        <v>169</v>
      </c>
      <c r="C319" t="s">
        <v>59</v>
      </c>
    </row>
    <row r="320" spans="1:3">
      <c r="A320" t="s">
        <v>2661</v>
      </c>
      <c r="B320" t="s">
        <v>169</v>
      </c>
      <c r="C320" t="s">
        <v>59</v>
      </c>
    </row>
    <row r="321" spans="1:3">
      <c r="A321" t="s">
        <v>801</v>
      </c>
      <c r="B321" t="s">
        <v>169</v>
      </c>
      <c r="C321" t="s">
        <v>59</v>
      </c>
    </row>
    <row r="322" spans="1:3">
      <c r="A322" t="s">
        <v>803</v>
      </c>
      <c r="B322" t="s">
        <v>169</v>
      </c>
      <c r="C322" t="s">
        <v>59</v>
      </c>
    </row>
    <row r="323" spans="1:3">
      <c r="A323" t="s">
        <v>804</v>
      </c>
      <c r="B323" t="s">
        <v>169</v>
      </c>
      <c r="C323" t="s">
        <v>59</v>
      </c>
    </row>
    <row r="324" spans="1:3">
      <c r="A324" t="s">
        <v>805</v>
      </c>
      <c r="B324" t="s">
        <v>169</v>
      </c>
      <c r="C324" t="s">
        <v>59</v>
      </c>
    </row>
    <row r="325" spans="1:3">
      <c r="A325" t="s">
        <v>807</v>
      </c>
      <c r="B325" t="s">
        <v>206</v>
      </c>
      <c r="C325" t="s">
        <v>59</v>
      </c>
    </row>
    <row r="326" spans="1:3">
      <c r="A326" t="s">
        <v>809</v>
      </c>
      <c r="B326" t="s">
        <v>182</v>
      </c>
      <c r="C326" t="s">
        <v>59</v>
      </c>
    </row>
    <row r="327" spans="1:3">
      <c r="A327" t="s">
        <v>811</v>
      </c>
      <c r="B327" t="s">
        <v>85</v>
      </c>
      <c r="C327" t="s">
        <v>59</v>
      </c>
    </row>
    <row r="328" spans="1:3">
      <c r="A328" t="s">
        <v>814</v>
      </c>
      <c r="B328" t="s">
        <v>154</v>
      </c>
      <c r="C328" t="s">
        <v>59</v>
      </c>
    </row>
    <row r="329" spans="1:3">
      <c r="A329" t="s">
        <v>816</v>
      </c>
      <c r="B329" t="s">
        <v>96</v>
      </c>
      <c r="C329" t="s">
        <v>59</v>
      </c>
    </row>
    <row r="330" spans="1:3">
      <c r="A330" t="s">
        <v>818</v>
      </c>
      <c r="B330" t="s">
        <v>231</v>
      </c>
      <c r="C330" t="s">
        <v>59</v>
      </c>
    </row>
    <row r="331" spans="1:3">
      <c r="A331" t="s">
        <v>821</v>
      </c>
      <c r="B331" t="s">
        <v>163</v>
      </c>
      <c r="C331" t="s">
        <v>59</v>
      </c>
    </row>
    <row r="332" spans="1:3">
      <c r="A332" t="s">
        <v>822</v>
      </c>
      <c r="B332" t="s">
        <v>231</v>
      </c>
      <c r="C332" t="s">
        <v>59</v>
      </c>
    </row>
    <row r="333" spans="1:3">
      <c r="A333" t="s">
        <v>824</v>
      </c>
      <c r="B333" t="s">
        <v>231</v>
      </c>
      <c r="C333" t="s">
        <v>59</v>
      </c>
    </row>
    <row r="334" spans="1:3">
      <c r="A334" t="s">
        <v>825</v>
      </c>
      <c r="B334" t="s">
        <v>149</v>
      </c>
      <c r="C334" t="s">
        <v>59</v>
      </c>
    </row>
    <row r="335" spans="1:3">
      <c r="A335" t="s">
        <v>827</v>
      </c>
      <c r="B335" t="s">
        <v>239</v>
      </c>
      <c r="C335" t="s">
        <v>59</v>
      </c>
    </row>
    <row r="336" spans="1:3">
      <c r="A336" t="s">
        <v>828</v>
      </c>
      <c r="B336" t="s">
        <v>161</v>
      </c>
      <c r="C336" t="s">
        <v>59</v>
      </c>
    </row>
    <row r="337" spans="1:3">
      <c r="A337" t="s">
        <v>829</v>
      </c>
      <c r="B337" t="s">
        <v>239</v>
      </c>
      <c r="C337" t="s">
        <v>59</v>
      </c>
    </row>
    <row r="338" spans="1:3">
      <c r="A338" t="s">
        <v>831</v>
      </c>
      <c r="B338" t="s">
        <v>239</v>
      </c>
      <c r="C338" t="s">
        <v>59</v>
      </c>
    </row>
    <row r="339" spans="1:3">
      <c r="A339" t="s">
        <v>832</v>
      </c>
      <c r="B339" t="s">
        <v>239</v>
      </c>
      <c r="C339" t="s">
        <v>59</v>
      </c>
    </row>
    <row r="340" spans="1:3">
      <c r="A340" t="s">
        <v>834</v>
      </c>
      <c r="B340" t="s">
        <v>92</v>
      </c>
      <c r="C340" t="s">
        <v>59</v>
      </c>
    </row>
    <row r="341" spans="1:3">
      <c r="A341" t="s">
        <v>836</v>
      </c>
      <c r="B341" t="s">
        <v>231</v>
      </c>
      <c r="C341" t="s">
        <v>59</v>
      </c>
    </row>
    <row r="342" spans="1:3">
      <c r="A342" t="s">
        <v>838</v>
      </c>
      <c r="B342" t="s">
        <v>221</v>
      </c>
      <c r="C342" t="s">
        <v>59</v>
      </c>
    </row>
    <row r="343" spans="1:3">
      <c r="A343" t="s">
        <v>839</v>
      </c>
      <c r="B343" t="s">
        <v>168</v>
      </c>
      <c r="C343" t="s">
        <v>59</v>
      </c>
    </row>
    <row r="344" spans="1:3">
      <c r="A344" t="s">
        <v>840</v>
      </c>
      <c r="B344" t="s">
        <v>239</v>
      </c>
      <c r="C344" t="s">
        <v>59</v>
      </c>
    </row>
    <row r="345" spans="1:3">
      <c r="A345" t="s">
        <v>841</v>
      </c>
      <c r="B345" t="s">
        <v>239</v>
      </c>
      <c r="C345" t="s">
        <v>59</v>
      </c>
    </row>
    <row r="346" spans="1:3">
      <c r="A346" t="s">
        <v>843</v>
      </c>
      <c r="B346" t="s">
        <v>239</v>
      </c>
      <c r="C346" t="s">
        <v>59</v>
      </c>
    </row>
    <row r="347" spans="1:3">
      <c r="A347" t="s">
        <v>844</v>
      </c>
      <c r="B347" t="s">
        <v>239</v>
      </c>
      <c r="C347" t="s">
        <v>59</v>
      </c>
    </row>
    <row r="348" spans="1:3">
      <c r="A348" t="s">
        <v>846</v>
      </c>
      <c r="B348" t="s">
        <v>221</v>
      </c>
      <c r="C348" t="s">
        <v>59</v>
      </c>
    </row>
    <row r="349" spans="1:3">
      <c r="A349" t="s">
        <v>848</v>
      </c>
      <c r="B349" t="s">
        <v>221</v>
      </c>
      <c r="C349" t="s">
        <v>59</v>
      </c>
    </row>
    <row r="350" spans="1:3">
      <c r="A350" t="s">
        <v>849</v>
      </c>
      <c r="B350" t="s">
        <v>221</v>
      </c>
      <c r="C350" t="s">
        <v>59</v>
      </c>
    </row>
    <row r="351" spans="1:3">
      <c r="A351" t="s">
        <v>850</v>
      </c>
      <c r="B351" t="s">
        <v>221</v>
      </c>
      <c r="C351" t="s">
        <v>59</v>
      </c>
    </row>
    <row r="352" spans="1:3">
      <c r="A352" t="s">
        <v>851</v>
      </c>
      <c r="B352" t="s">
        <v>221</v>
      </c>
      <c r="C352" t="s">
        <v>59</v>
      </c>
    </row>
    <row r="353" spans="1:3">
      <c r="A353" t="s">
        <v>852</v>
      </c>
      <c r="B353" t="s">
        <v>221</v>
      </c>
      <c r="C353" t="s">
        <v>59</v>
      </c>
    </row>
    <row r="354" spans="1:3">
      <c r="A354" t="s">
        <v>853</v>
      </c>
      <c r="B354" t="s">
        <v>221</v>
      </c>
      <c r="C354" t="s">
        <v>59</v>
      </c>
    </row>
    <row r="355" spans="1:3">
      <c r="A355" t="s">
        <v>854</v>
      </c>
      <c r="B355" t="s">
        <v>110</v>
      </c>
      <c r="C355" t="s">
        <v>59</v>
      </c>
    </row>
    <row r="356" spans="1:3">
      <c r="A356" t="s">
        <v>856</v>
      </c>
      <c r="B356" t="s">
        <v>110</v>
      </c>
      <c r="C356" t="s">
        <v>59</v>
      </c>
    </row>
    <row r="357" spans="1:3">
      <c r="A357" t="s">
        <v>857</v>
      </c>
      <c r="B357" t="s">
        <v>110</v>
      </c>
      <c r="C357" t="s">
        <v>59</v>
      </c>
    </row>
    <row r="358" spans="1:3">
      <c r="A358" t="s">
        <v>858</v>
      </c>
      <c r="B358" t="s">
        <v>110</v>
      </c>
      <c r="C358" t="s">
        <v>59</v>
      </c>
    </row>
    <row r="359" spans="1:3">
      <c r="A359" t="s">
        <v>859</v>
      </c>
      <c r="B359" t="s">
        <v>239</v>
      </c>
      <c r="C359" t="s">
        <v>59</v>
      </c>
    </row>
    <row r="360" spans="1:3">
      <c r="A360" t="s">
        <v>861</v>
      </c>
      <c r="B360" t="s">
        <v>239</v>
      </c>
      <c r="C360" t="s">
        <v>59</v>
      </c>
    </row>
    <row r="361" spans="1:3">
      <c r="A361" t="s">
        <v>862</v>
      </c>
      <c r="B361" t="s">
        <v>135</v>
      </c>
      <c r="C361" t="s">
        <v>59</v>
      </c>
    </row>
    <row r="362" spans="1:3">
      <c r="A362" t="s">
        <v>864</v>
      </c>
      <c r="B362" t="s">
        <v>90</v>
      </c>
      <c r="C362" t="s">
        <v>59</v>
      </c>
    </row>
    <row r="363" spans="1:3">
      <c r="A363" t="s">
        <v>866</v>
      </c>
      <c r="B363" t="s">
        <v>133</v>
      </c>
      <c r="C363" t="s">
        <v>59</v>
      </c>
    </row>
    <row r="364" spans="1:3">
      <c r="A364" t="s">
        <v>868</v>
      </c>
      <c r="B364" t="s">
        <v>239</v>
      </c>
      <c r="C364" t="s">
        <v>59</v>
      </c>
    </row>
    <row r="365" spans="1:3">
      <c r="A365" t="s">
        <v>870</v>
      </c>
      <c r="B365" t="s">
        <v>224</v>
      </c>
      <c r="C365" t="s">
        <v>59</v>
      </c>
    </row>
    <row r="366" spans="1:3">
      <c r="A366" t="s">
        <v>872</v>
      </c>
      <c r="B366" t="s">
        <v>239</v>
      </c>
      <c r="C366" t="s">
        <v>59</v>
      </c>
    </row>
    <row r="367" spans="1:3">
      <c r="A367" t="s">
        <v>874</v>
      </c>
      <c r="B367" t="s">
        <v>239</v>
      </c>
      <c r="C367" t="s">
        <v>59</v>
      </c>
    </row>
    <row r="368" spans="1:3">
      <c r="A368" t="s">
        <v>876</v>
      </c>
      <c r="B368" t="s">
        <v>224</v>
      </c>
      <c r="C368" t="s">
        <v>59</v>
      </c>
    </row>
    <row r="369" spans="1:3">
      <c r="A369" t="s">
        <v>878</v>
      </c>
      <c r="B369" t="s">
        <v>224</v>
      </c>
      <c r="C369" t="s">
        <v>59</v>
      </c>
    </row>
    <row r="370" spans="1:3">
      <c r="A370" t="s">
        <v>879</v>
      </c>
      <c r="B370" t="s">
        <v>239</v>
      </c>
      <c r="C370" t="s">
        <v>59</v>
      </c>
    </row>
    <row r="371" spans="1:3">
      <c r="A371" t="s">
        <v>880</v>
      </c>
      <c r="B371" t="s">
        <v>239</v>
      </c>
      <c r="C371" t="s">
        <v>59</v>
      </c>
    </row>
    <row r="372" spans="1:3">
      <c r="A372" t="s">
        <v>881</v>
      </c>
      <c r="B372" t="s">
        <v>239</v>
      </c>
      <c r="C372" t="s">
        <v>59</v>
      </c>
    </row>
    <row r="373" spans="1:3">
      <c r="A373" t="s">
        <v>882</v>
      </c>
      <c r="B373" t="s">
        <v>239</v>
      </c>
      <c r="C373" t="s">
        <v>59</v>
      </c>
    </row>
    <row r="374" spans="1:3">
      <c r="A374" t="s">
        <v>883</v>
      </c>
      <c r="B374" t="s">
        <v>224</v>
      </c>
      <c r="C374" t="s">
        <v>59</v>
      </c>
    </row>
    <row r="375" spans="1:3">
      <c r="A375" t="s">
        <v>884</v>
      </c>
      <c r="B375" t="s">
        <v>239</v>
      </c>
      <c r="C375" t="s">
        <v>59</v>
      </c>
    </row>
    <row r="376" spans="1:3">
      <c r="A376" t="s">
        <v>886</v>
      </c>
      <c r="B376" t="s">
        <v>224</v>
      </c>
      <c r="C376" t="s">
        <v>59</v>
      </c>
    </row>
    <row r="377" spans="1:3">
      <c r="A377" t="s">
        <v>887</v>
      </c>
      <c r="B377" t="s">
        <v>224</v>
      </c>
      <c r="C377" t="s">
        <v>59</v>
      </c>
    </row>
    <row r="378" spans="1:3">
      <c r="A378" t="s">
        <v>888</v>
      </c>
      <c r="B378" t="s">
        <v>224</v>
      </c>
      <c r="C378" t="s">
        <v>59</v>
      </c>
    </row>
    <row r="379" spans="1:3">
      <c r="A379" t="s">
        <v>889</v>
      </c>
      <c r="B379" t="s">
        <v>239</v>
      </c>
      <c r="C379" t="s">
        <v>59</v>
      </c>
    </row>
    <row r="380" spans="1:3">
      <c r="A380" t="s">
        <v>890</v>
      </c>
      <c r="B380" t="s">
        <v>239</v>
      </c>
      <c r="C380" t="s">
        <v>59</v>
      </c>
    </row>
    <row r="381" spans="1:3">
      <c r="A381" t="s">
        <v>892</v>
      </c>
      <c r="B381" t="s">
        <v>224</v>
      </c>
      <c r="C381" t="s">
        <v>59</v>
      </c>
    </row>
    <row r="382" spans="1:3">
      <c r="A382" t="s">
        <v>894</v>
      </c>
      <c r="B382" t="s">
        <v>224</v>
      </c>
      <c r="C382" t="s">
        <v>59</v>
      </c>
    </row>
    <row r="383" spans="1:3">
      <c r="A383" t="s">
        <v>895</v>
      </c>
      <c r="B383" t="s">
        <v>224</v>
      </c>
      <c r="C383" t="s">
        <v>59</v>
      </c>
    </row>
    <row r="384" spans="1:3">
      <c r="A384" t="s">
        <v>896</v>
      </c>
      <c r="B384" t="s">
        <v>224</v>
      </c>
      <c r="C384" t="s">
        <v>59</v>
      </c>
    </row>
    <row r="385" spans="1:3">
      <c r="A385" t="s">
        <v>897</v>
      </c>
      <c r="B385" t="s">
        <v>224</v>
      </c>
      <c r="C385" t="s">
        <v>59</v>
      </c>
    </row>
    <row r="386" spans="1:3">
      <c r="A386" t="s">
        <v>898</v>
      </c>
      <c r="B386" t="s">
        <v>239</v>
      </c>
      <c r="C386" t="s">
        <v>59</v>
      </c>
    </row>
    <row r="387" spans="1:3">
      <c r="A387" t="s">
        <v>899</v>
      </c>
      <c r="B387" t="s">
        <v>224</v>
      </c>
      <c r="C387" t="s">
        <v>59</v>
      </c>
    </row>
    <row r="388" spans="1:3">
      <c r="A388" t="s">
        <v>900</v>
      </c>
      <c r="B388" t="s">
        <v>224</v>
      </c>
      <c r="C388" t="s">
        <v>59</v>
      </c>
    </row>
    <row r="389" spans="1:3">
      <c r="A389" t="s">
        <v>901</v>
      </c>
      <c r="B389" t="s">
        <v>215</v>
      </c>
      <c r="C389" t="s">
        <v>59</v>
      </c>
    </row>
    <row r="390" spans="1:3">
      <c r="A390" t="s">
        <v>903</v>
      </c>
      <c r="B390" t="s">
        <v>215</v>
      </c>
      <c r="C390" t="s">
        <v>59</v>
      </c>
    </row>
    <row r="391" spans="1:3">
      <c r="A391" t="s">
        <v>905</v>
      </c>
      <c r="B391" t="s">
        <v>215</v>
      </c>
      <c r="C391" t="s">
        <v>59</v>
      </c>
    </row>
    <row r="392" spans="1:3">
      <c r="A392" t="s">
        <v>906</v>
      </c>
      <c r="B392" t="s">
        <v>215</v>
      </c>
      <c r="C392" t="s">
        <v>59</v>
      </c>
    </row>
    <row r="393" spans="1:3">
      <c r="A393" t="s">
        <v>907</v>
      </c>
      <c r="B393" t="s">
        <v>215</v>
      </c>
      <c r="C393" t="s">
        <v>59</v>
      </c>
    </row>
    <row r="394" spans="1:3">
      <c r="A394" t="s">
        <v>909</v>
      </c>
      <c r="B394" t="s">
        <v>221</v>
      </c>
      <c r="C394" t="s">
        <v>59</v>
      </c>
    </row>
    <row r="395" spans="1:3">
      <c r="A395" t="s">
        <v>2086</v>
      </c>
      <c r="B395" t="s">
        <v>215</v>
      </c>
      <c r="C395" t="s">
        <v>59</v>
      </c>
    </row>
    <row r="396" spans="1:3">
      <c r="A396" t="s">
        <v>911</v>
      </c>
      <c r="B396" t="s">
        <v>152</v>
      </c>
      <c r="C396" t="s">
        <v>59</v>
      </c>
    </row>
    <row r="397" spans="1:3">
      <c r="A397" t="s">
        <v>912</v>
      </c>
      <c r="B397" t="s">
        <v>239</v>
      </c>
      <c r="C397" t="s">
        <v>59</v>
      </c>
    </row>
    <row r="398" spans="1:3">
      <c r="A398" t="s">
        <v>913</v>
      </c>
      <c r="B398" t="s">
        <v>113</v>
      </c>
      <c r="C398" t="s">
        <v>59</v>
      </c>
    </row>
    <row r="399" spans="1:3">
      <c r="A399" t="s">
        <v>915</v>
      </c>
      <c r="B399" t="s">
        <v>113</v>
      </c>
      <c r="C399" t="s">
        <v>59</v>
      </c>
    </row>
    <row r="400" spans="1:3">
      <c r="A400" t="s">
        <v>2662</v>
      </c>
      <c r="B400" t="s">
        <v>221</v>
      </c>
      <c r="C400" t="s">
        <v>59</v>
      </c>
    </row>
    <row r="401" spans="1:3">
      <c r="A401" t="s">
        <v>917</v>
      </c>
      <c r="B401" t="s">
        <v>113</v>
      </c>
      <c r="C401" t="s">
        <v>59</v>
      </c>
    </row>
    <row r="402" spans="1:3">
      <c r="A402" t="s">
        <v>2663</v>
      </c>
      <c r="B402" t="s">
        <v>221</v>
      </c>
      <c r="C402" t="s">
        <v>59</v>
      </c>
    </row>
    <row r="403" spans="1:3">
      <c r="A403" t="s">
        <v>919</v>
      </c>
      <c r="B403" t="s">
        <v>113</v>
      </c>
      <c r="C403" t="s">
        <v>59</v>
      </c>
    </row>
    <row r="404" spans="1:3">
      <c r="A404" t="s">
        <v>921</v>
      </c>
      <c r="B404" t="s">
        <v>231</v>
      </c>
      <c r="C404" t="s">
        <v>59</v>
      </c>
    </row>
    <row r="405" spans="1:3">
      <c r="A405" t="s">
        <v>922</v>
      </c>
      <c r="B405" t="s">
        <v>113</v>
      </c>
      <c r="C405" t="s">
        <v>59</v>
      </c>
    </row>
    <row r="406" spans="1:3">
      <c r="A406" t="s">
        <v>924</v>
      </c>
      <c r="B406" t="s">
        <v>177</v>
      </c>
      <c r="C406" t="s">
        <v>59</v>
      </c>
    </row>
    <row r="407" spans="1:3">
      <c r="A407" t="s">
        <v>925</v>
      </c>
      <c r="B407" t="s">
        <v>231</v>
      </c>
      <c r="C407" t="s">
        <v>59</v>
      </c>
    </row>
    <row r="408" spans="1:3">
      <c r="A408" t="s">
        <v>926</v>
      </c>
      <c r="B408" t="s">
        <v>231</v>
      </c>
      <c r="C408" t="s">
        <v>59</v>
      </c>
    </row>
    <row r="409" spans="1:3">
      <c r="A409" t="s">
        <v>927</v>
      </c>
      <c r="B409" t="s">
        <v>203</v>
      </c>
      <c r="C409" t="s">
        <v>59</v>
      </c>
    </row>
    <row r="410" spans="1:3">
      <c r="A410" t="s">
        <v>2664</v>
      </c>
      <c r="B410" t="s">
        <v>231</v>
      </c>
      <c r="C410" t="s">
        <v>59</v>
      </c>
    </row>
    <row r="411" spans="1:3">
      <c r="A411" t="s">
        <v>2665</v>
      </c>
      <c r="B411" t="s">
        <v>152</v>
      </c>
      <c r="C411" t="s">
        <v>59</v>
      </c>
    </row>
    <row r="412" spans="1:3">
      <c r="A412" t="s">
        <v>929</v>
      </c>
      <c r="B412" t="s">
        <v>188</v>
      </c>
      <c r="C412" t="s">
        <v>59</v>
      </c>
    </row>
    <row r="413" spans="1:3">
      <c r="A413" t="s">
        <v>931</v>
      </c>
      <c r="B413" t="s">
        <v>206</v>
      </c>
      <c r="C413" t="s">
        <v>59</v>
      </c>
    </row>
    <row r="414" spans="1:3">
      <c r="A414" t="s">
        <v>2666</v>
      </c>
      <c r="B414" t="s">
        <v>221</v>
      </c>
      <c r="C414" t="s">
        <v>59</v>
      </c>
    </row>
    <row r="415" spans="1:3">
      <c r="A415" t="s">
        <v>933</v>
      </c>
      <c r="B415" t="s">
        <v>221</v>
      </c>
      <c r="C415" t="s">
        <v>59</v>
      </c>
    </row>
    <row r="416" spans="1:3">
      <c r="A416" t="s">
        <v>935</v>
      </c>
      <c r="B416" t="s">
        <v>191</v>
      </c>
      <c r="C416" t="s">
        <v>59</v>
      </c>
    </row>
    <row r="417" spans="1:3">
      <c r="A417" t="s">
        <v>937</v>
      </c>
      <c r="B417" t="s">
        <v>236</v>
      </c>
      <c r="C417" t="s">
        <v>60</v>
      </c>
    </row>
    <row r="418" spans="1:3">
      <c r="A418" t="s">
        <v>941</v>
      </c>
      <c r="B418" t="s">
        <v>232</v>
      </c>
      <c r="C418" t="s">
        <v>60</v>
      </c>
    </row>
    <row r="419" spans="1:3">
      <c r="A419" t="s">
        <v>945</v>
      </c>
      <c r="B419" t="s">
        <v>198</v>
      </c>
      <c r="C419" t="s">
        <v>60</v>
      </c>
    </row>
    <row r="420" spans="1:3">
      <c r="A420" t="s">
        <v>949</v>
      </c>
      <c r="B420" t="s">
        <v>236</v>
      </c>
      <c r="C420" t="s">
        <v>60</v>
      </c>
    </row>
    <row r="421" spans="1:3">
      <c r="A421" t="s">
        <v>951</v>
      </c>
      <c r="B421" t="s">
        <v>222</v>
      </c>
      <c r="C421" t="s">
        <v>60</v>
      </c>
    </row>
    <row r="422" spans="1:3">
      <c r="A422" t="s">
        <v>954</v>
      </c>
      <c r="B422" t="s">
        <v>99</v>
      </c>
      <c r="C422" t="s">
        <v>60</v>
      </c>
    </row>
    <row r="423" spans="1:3">
      <c r="A423" t="s">
        <v>957</v>
      </c>
      <c r="B423" t="s">
        <v>232</v>
      </c>
      <c r="C423" t="s">
        <v>60</v>
      </c>
    </row>
    <row r="424" spans="1:3">
      <c r="A424" t="s">
        <v>958</v>
      </c>
      <c r="B424" t="s">
        <v>232</v>
      </c>
      <c r="C424" t="s">
        <v>60</v>
      </c>
    </row>
    <row r="425" spans="1:3">
      <c r="A425" t="s">
        <v>959</v>
      </c>
      <c r="B425" t="s">
        <v>207</v>
      </c>
      <c r="C425" t="s">
        <v>60</v>
      </c>
    </row>
    <row r="426" spans="1:3">
      <c r="A426" t="s">
        <v>962</v>
      </c>
      <c r="B426" t="s">
        <v>232</v>
      </c>
      <c r="C426" t="s">
        <v>60</v>
      </c>
    </row>
    <row r="427" spans="1:3">
      <c r="A427" t="s">
        <v>963</v>
      </c>
      <c r="B427" t="s">
        <v>232</v>
      </c>
      <c r="C427" t="s">
        <v>60</v>
      </c>
    </row>
    <row r="428" spans="1:3">
      <c r="A428" t="s">
        <v>964</v>
      </c>
      <c r="B428" t="s">
        <v>236</v>
      </c>
      <c r="C428" t="s">
        <v>60</v>
      </c>
    </row>
    <row r="429" spans="1:3">
      <c r="A429" t="s">
        <v>965</v>
      </c>
      <c r="B429" t="s">
        <v>232</v>
      </c>
      <c r="C429" t="s">
        <v>60</v>
      </c>
    </row>
    <row r="430" spans="1:3">
      <c r="A430" t="s">
        <v>2667</v>
      </c>
      <c r="B430" t="s">
        <v>222</v>
      </c>
      <c r="C430" t="s">
        <v>60</v>
      </c>
    </row>
    <row r="431" spans="1:3">
      <c r="A431" t="s">
        <v>966</v>
      </c>
      <c r="B431" t="s">
        <v>84</v>
      </c>
      <c r="C431" t="s">
        <v>60</v>
      </c>
    </row>
    <row r="432" spans="1:3">
      <c r="A432" t="s">
        <v>970</v>
      </c>
      <c r="B432" t="s">
        <v>164</v>
      </c>
      <c r="C432" t="s">
        <v>60</v>
      </c>
    </row>
    <row r="433" spans="1:3">
      <c r="A433" t="s">
        <v>974</v>
      </c>
      <c r="B433" t="s">
        <v>232</v>
      </c>
      <c r="C433" t="s">
        <v>60</v>
      </c>
    </row>
    <row r="434" spans="1:3">
      <c r="A434" t="s">
        <v>975</v>
      </c>
      <c r="B434" t="s">
        <v>232</v>
      </c>
      <c r="C434" t="s">
        <v>60</v>
      </c>
    </row>
    <row r="435" spans="1:3">
      <c r="A435" t="s">
        <v>977</v>
      </c>
      <c r="B435" t="s">
        <v>179</v>
      </c>
      <c r="C435" t="s">
        <v>60</v>
      </c>
    </row>
    <row r="436" spans="1:3">
      <c r="A436" t="s">
        <v>979</v>
      </c>
      <c r="B436" t="s">
        <v>232</v>
      </c>
      <c r="C436" t="s">
        <v>60</v>
      </c>
    </row>
    <row r="437" spans="1:3">
      <c r="A437" t="s">
        <v>980</v>
      </c>
      <c r="B437" t="s">
        <v>183</v>
      </c>
      <c r="C437" t="s">
        <v>60</v>
      </c>
    </row>
    <row r="438" spans="1:3">
      <c r="A438" t="s">
        <v>982</v>
      </c>
      <c r="B438" t="s">
        <v>232</v>
      </c>
      <c r="C438" t="s">
        <v>60</v>
      </c>
    </row>
    <row r="439" spans="1:3">
      <c r="A439" t="s">
        <v>984</v>
      </c>
      <c r="B439" t="s">
        <v>232</v>
      </c>
      <c r="C439" t="s">
        <v>60</v>
      </c>
    </row>
    <row r="440" spans="1:3">
      <c r="A440" t="s">
        <v>985</v>
      </c>
      <c r="B440" t="s">
        <v>232</v>
      </c>
      <c r="C440" t="s">
        <v>60</v>
      </c>
    </row>
    <row r="441" spans="1:3">
      <c r="A441" t="s">
        <v>986</v>
      </c>
      <c r="B441" t="s">
        <v>101</v>
      </c>
      <c r="C441" t="s">
        <v>60</v>
      </c>
    </row>
    <row r="442" spans="1:3">
      <c r="A442" t="s">
        <v>989</v>
      </c>
      <c r="B442" t="s">
        <v>222</v>
      </c>
      <c r="C442" t="s">
        <v>60</v>
      </c>
    </row>
    <row r="443" spans="1:3">
      <c r="A443" t="s">
        <v>990</v>
      </c>
      <c r="B443" t="s">
        <v>126</v>
      </c>
      <c r="C443" t="s">
        <v>60</v>
      </c>
    </row>
    <row r="444" spans="1:3">
      <c r="A444" t="s">
        <v>993</v>
      </c>
      <c r="B444" t="s">
        <v>232</v>
      </c>
      <c r="C444" t="s">
        <v>60</v>
      </c>
    </row>
    <row r="445" spans="1:3">
      <c r="A445" t="s">
        <v>994</v>
      </c>
      <c r="B445" t="s">
        <v>151</v>
      </c>
      <c r="C445" t="s">
        <v>60</v>
      </c>
    </row>
    <row r="446" spans="1:3">
      <c r="A446" t="s">
        <v>996</v>
      </c>
      <c r="B446" t="s">
        <v>164</v>
      </c>
      <c r="C446" t="s">
        <v>60</v>
      </c>
    </row>
    <row r="447" spans="1:3">
      <c r="A447" t="s">
        <v>998</v>
      </c>
      <c r="B447" t="s">
        <v>101</v>
      </c>
      <c r="C447" t="s">
        <v>60</v>
      </c>
    </row>
    <row r="448" spans="1:3">
      <c r="A448" t="s">
        <v>999</v>
      </c>
      <c r="B448" t="s">
        <v>232</v>
      </c>
      <c r="C448" t="s">
        <v>60</v>
      </c>
    </row>
    <row r="449" spans="1:3">
      <c r="A449" t="s">
        <v>1003</v>
      </c>
      <c r="B449" t="s">
        <v>236</v>
      </c>
      <c r="C449" t="s">
        <v>60</v>
      </c>
    </row>
    <row r="450" spans="1:3">
      <c r="A450" t="s">
        <v>1004</v>
      </c>
      <c r="B450" t="s">
        <v>151</v>
      </c>
      <c r="C450" t="s">
        <v>60</v>
      </c>
    </row>
    <row r="451" spans="1:3">
      <c r="A451" t="s">
        <v>1006</v>
      </c>
      <c r="B451" t="s">
        <v>184</v>
      </c>
      <c r="C451" t="s">
        <v>60</v>
      </c>
    </row>
    <row r="452" spans="1:3">
      <c r="A452" t="s">
        <v>1008</v>
      </c>
      <c r="B452" t="s">
        <v>199</v>
      </c>
      <c r="C452" t="s">
        <v>60</v>
      </c>
    </row>
    <row r="453" spans="1:3">
      <c r="A453" t="s">
        <v>1010</v>
      </c>
      <c r="B453" t="s">
        <v>126</v>
      </c>
      <c r="C453" t="s">
        <v>60</v>
      </c>
    </row>
    <row r="454" spans="1:3">
      <c r="A454" t="s">
        <v>1012</v>
      </c>
      <c r="B454" t="s">
        <v>232</v>
      </c>
      <c r="C454" t="s">
        <v>60</v>
      </c>
    </row>
    <row r="455" spans="1:3">
      <c r="A455" t="s">
        <v>1013</v>
      </c>
      <c r="B455" t="s">
        <v>208</v>
      </c>
      <c r="C455" t="s">
        <v>60</v>
      </c>
    </row>
    <row r="456" spans="1:3">
      <c r="A456" t="s">
        <v>1015</v>
      </c>
      <c r="B456" t="s">
        <v>232</v>
      </c>
      <c r="C456" t="s">
        <v>60</v>
      </c>
    </row>
    <row r="457" spans="1:3">
      <c r="A457" t="s">
        <v>1018</v>
      </c>
      <c r="B457" t="s">
        <v>156</v>
      </c>
      <c r="C457" t="s">
        <v>60</v>
      </c>
    </row>
    <row r="458" spans="1:3">
      <c r="A458" t="s">
        <v>1020</v>
      </c>
      <c r="B458" t="s">
        <v>217</v>
      </c>
      <c r="C458" t="s">
        <v>60</v>
      </c>
    </row>
    <row r="459" spans="1:3">
      <c r="A459" t="s">
        <v>1022</v>
      </c>
      <c r="B459" t="s">
        <v>101</v>
      </c>
      <c r="C459" t="s">
        <v>60</v>
      </c>
    </row>
    <row r="460" spans="1:3">
      <c r="A460" t="s">
        <v>1023</v>
      </c>
      <c r="B460" t="s">
        <v>151</v>
      </c>
      <c r="C460" t="s">
        <v>60</v>
      </c>
    </row>
    <row r="461" spans="1:3">
      <c r="A461" t="s">
        <v>1024</v>
      </c>
      <c r="B461" t="s">
        <v>222</v>
      </c>
      <c r="C461" t="s">
        <v>60</v>
      </c>
    </row>
    <row r="462" spans="1:3">
      <c r="A462" t="s">
        <v>1026</v>
      </c>
      <c r="B462" t="s">
        <v>194</v>
      </c>
      <c r="C462" t="s">
        <v>60</v>
      </c>
    </row>
    <row r="463" spans="1:3">
      <c r="A463" t="s">
        <v>1028</v>
      </c>
      <c r="B463" t="s">
        <v>236</v>
      </c>
      <c r="C463" t="s">
        <v>60</v>
      </c>
    </row>
    <row r="464" spans="1:3">
      <c r="A464" t="s">
        <v>1030</v>
      </c>
      <c r="B464" t="s">
        <v>139</v>
      </c>
      <c r="C464" t="s">
        <v>60</v>
      </c>
    </row>
    <row r="465" spans="1:3">
      <c r="A465" t="s">
        <v>1032</v>
      </c>
      <c r="B465" t="s">
        <v>222</v>
      </c>
      <c r="C465" t="s">
        <v>60</v>
      </c>
    </row>
    <row r="466" spans="1:3">
      <c r="A466" t="s">
        <v>1033</v>
      </c>
      <c r="B466" t="s">
        <v>151</v>
      </c>
      <c r="C466" t="s">
        <v>60</v>
      </c>
    </row>
    <row r="467" spans="1:3">
      <c r="A467" t="s">
        <v>1034</v>
      </c>
      <c r="B467" t="s">
        <v>109</v>
      </c>
      <c r="C467" t="s">
        <v>60</v>
      </c>
    </row>
    <row r="468" spans="1:3">
      <c r="A468" t="s">
        <v>1036</v>
      </c>
      <c r="B468" t="s">
        <v>236</v>
      </c>
      <c r="C468" t="s">
        <v>60</v>
      </c>
    </row>
    <row r="469" spans="1:3">
      <c r="A469" t="s">
        <v>1038</v>
      </c>
      <c r="B469" t="s">
        <v>136</v>
      </c>
      <c r="C469" t="s">
        <v>60</v>
      </c>
    </row>
    <row r="470" spans="1:3">
      <c r="A470" t="s">
        <v>1040</v>
      </c>
      <c r="B470" t="s">
        <v>99</v>
      </c>
      <c r="C470" t="s">
        <v>60</v>
      </c>
    </row>
    <row r="471" spans="1:3">
      <c r="A471" t="s">
        <v>1042</v>
      </c>
      <c r="B471" t="s">
        <v>232</v>
      </c>
      <c r="C471" t="s">
        <v>60</v>
      </c>
    </row>
    <row r="472" spans="1:3">
      <c r="A472" t="s">
        <v>2109</v>
      </c>
      <c r="B472" t="s">
        <v>2111</v>
      </c>
      <c r="C472" t="s">
        <v>60</v>
      </c>
    </row>
    <row r="473" spans="1:3">
      <c r="A473" t="s">
        <v>1043</v>
      </c>
      <c r="B473" t="s">
        <v>101</v>
      </c>
      <c r="C473" t="s">
        <v>60</v>
      </c>
    </row>
    <row r="474" spans="1:3">
      <c r="A474" t="s">
        <v>1044</v>
      </c>
      <c r="B474" t="s">
        <v>155</v>
      </c>
      <c r="C474" t="s">
        <v>60</v>
      </c>
    </row>
    <row r="475" spans="1:3">
      <c r="A475" t="s">
        <v>1046</v>
      </c>
      <c r="B475" t="s">
        <v>208</v>
      </c>
      <c r="C475" t="s">
        <v>60</v>
      </c>
    </row>
    <row r="476" spans="1:3">
      <c r="A476" t="s">
        <v>2668</v>
      </c>
      <c r="B476" t="s">
        <v>222</v>
      </c>
      <c r="C476" t="s">
        <v>60</v>
      </c>
    </row>
    <row r="477" spans="1:3">
      <c r="A477" t="s">
        <v>2669</v>
      </c>
      <c r="B477" t="s">
        <v>222</v>
      </c>
      <c r="C477" t="s">
        <v>60</v>
      </c>
    </row>
    <row r="478" spans="1:3">
      <c r="A478" t="s">
        <v>2123</v>
      </c>
      <c r="B478" t="s">
        <v>151</v>
      </c>
      <c r="C478" t="s">
        <v>60</v>
      </c>
    </row>
    <row r="479" spans="1:3">
      <c r="A479" t="s">
        <v>1047</v>
      </c>
      <c r="B479" t="s">
        <v>101</v>
      </c>
      <c r="C479" t="s">
        <v>60</v>
      </c>
    </row>
    <row r="480" spans="1:3">
      <c r="A480" t="s">
        <v>1048</v>
      </c>
      <c r="B480" t="s">
        <v>222</v>
      </c>
      <c r="C480" t="s">
        <v>60</v>
      </c>
    </row>
    <row r="481" spans="1:3">
      <c r="A481" t="s">
        <v>2670</v>
      </c>
      <c r="B481" t="s">
        <v>126</v>
      </c>
      <c r="C481" t="s">
        <v>60</v>
      </c>
    </row>
    <row r="482" spans="1:3">
      <c r="A482" t="s">
        <v>1049</v>
      </c>
      <c r="B482" t="s">
        <v>232</v>
      </c>
      <c r="C482" t="s">
        <v>60</v>
      </c>
    </row>
    <row r="483" spans="1:3">
      <c r="A483" t="s">
        <v>1051</v>
      </c>
      <c r="B483" t="s">
        <v>181</v>
      </c>
      <c r="C483" t="s">
        <v>60</v>
      </c>
    </row>
    <row r="484" spans="1:3">
      <c r="A484" t="s">
        <v>1053</v>
      </c>
      <c r="B484" t="s">
        <v>222</v>
      </c>
      <c r="C484" t="s">
        <v>60</v>
      </c>
    </row>
    <row r="485" spans="1:3">
      <c r="A485" t="s">
        <v>2671</v>
      </c>
      <c r="B485" t="s">
        <v>222</v>
      </c>
      <c r="C485" t="s">
        <v>60</v>
      </c>
    </row>
    <row r="486" spans="1:3">
      <c r="A486" t="s">
        <v>2672</v>
      </c>
      <c r="B486" t="s">
        <v>232</v>
      </c>
      <c r="C486" t="s">
        <v>60</v>
      </c>
    </row>
    <row r="487" spans="1:3">
      <c r="A487" t="s">
        <v>2673</v>
      </c>
      <c r="B487" t="s">
        <v>164</v>
      </c>
      <c r="C487" t="s">
        <v>60</v>
      </c>
    </row>
    <row r="488" spans="1:3">
      <c r="A488" t="s">
        <v>1054</v>
      </c>
      <c r="B488" t="s">
        <v>186</v>
      </c>
      <c r="C488" t="s">
        <v>62</v>
      </c>
    </row>
    <row r="489" spans="1:3">
      <c r="A489" t="s">
        <v>1058</v>
      </c>
      <c r="B489" t="s">
        <v>98</v>
      </c>
      <c r="C489" t="s">
        <v>62</v>
      </c>
    </row>
    <row r="490" spans="1:3">
      <c r="A490" t="s">
        <v>1062</v>
      </c>
      <c r="B490" t="s">
        <v>117</v>
      </c>
      <c r="C490" t="s">
        <v>62</v>
      </c>
    </row>
    <row r="491" spans="1:3">
      <c r="A491" t="s">
        <v>1065</v>
      </c>
      <c r="B491" t="s">
        <v>98</v>
      </c>
      <c r="C491" t="s">
        <v>62</v>
      </c>
    </row>
    <row r="492" spans="1:3">
      <c r="A492" t="s">
        <v>1066</v>
      </c>
      <c r="B492" t="s">
        <v>117</v>
      </c>
      <c r="C492" t="s">
        <v>62</v>
      </c>
    </row>
    <row r="493" spans="1:3">
      <c r="A493" t="s">
        <v>1068</v>
      </c>
      <c r="B493" t="s">
        <v>121</v>
      </c>
      <c r="C493" t="s">
        <v>62</v>
      </c>
    </row>
    <row r="494" spans="1:3">
      <c r="A494" t="s">
        <v>1070</v>
      </c>
      <c r="B494" t="s">
        <v>196</v>
      </c>
      <c r="C494" t="s">
        <v>62</v>
      </c>
    </row>
    <row r="495" spans="1:3">
      <c r="A495" t="s">
        <v>1073</v>
      </c>
      <c r="B495" t="s">
        <v>122</v>
      </c>
      <c r="C495" t="s">
        <v>62</v>
      </c>
    </row>
    <row r="496" spans="1:3">
      <c r="A496" t="s">
        <v>1076</v>
      </c>
      <c r="B496" t="s">
        <v>196</v>
      </c>
      <c r="C496" t="s">
        <v>62</v>
      </c>
    </row>
    <row r="497" spans="1:3">
      <c r="A497" t="s">
        <v>1078</v>
      </c>
      <c r="B497" t="s">
        <v>160</v>
      </c>
      <c r="C497" t="s">
        <v>62</v>
      </c>
    </row>
    <row r="498" spans="1:3">
      <c r="A498" t="s">
        <v>1079</v>
      </c>
      <c r="B498" t="s">
        <v>127</v>
      </c>
      <c r="C498" t="s">
        <v>62</v>
      </c>
    </row>
    <row r="499" spans="1:3">
      <c r="A499" t="s">
        <v>1082</v>
      </c>
      <c r="B499" t="s">
        <v>140</v>
      </c>
      <c r="C499" t="s">
        <v>62</v>
      </c>
    </row>
    <row r="500" spans="1:3">
      <c r="A500" t="s">
        <v>1086</v>
      </c>
      <c r="B500" t="s">
        <v>117</v>
      </c>
      <c r="C500" t="s">
        <v>62</v>
      </c>
    </row>
    <row r="501" spans="1:3">
      <c r="A501" t="s">
        <v>1088</v>
      </c>
      <c r="B501" t="s">
        <v>187</v>
      </c>
      <c r="C501" t="s">
        <v>62</v>
      </c>
    </row>
    <row r="502" spans="1:3">
      <c r="A502" t="s">
        <v>1090</v>
      </c>
      <c r="B502" t="s">
        <v>187</v>
      </c>
      <c r="C502" t="s">
        <v>62</v>
      </c>
    </row>
    <row r="503" spans="1:3">
      <c r="A503" t="s">
        <v>1092</v>
      </c>
      <c r="B503" t="s">
        <v>186</v>
      </c>
      <c r="C503" t="s">
        <v>62</v>
      </c>
    </row>
    <row r="504" spans="1:3">
      <c r="A504" t="s">
        <v>1094</v>
      </c>
      <c r="B504" t="s">
        <v>160</v>
      </c>
      <c r="C504" t="s">
        <v>62</v>
      </c>
    </row>
    <row r="505" spans="1:3">
      <c r="A505" t="s">
        <v>1095</v>
      </c>
      <c r="B505" t="s">
        <v>117</v>
      </c>
      <c r="C505" t="s">
        <v>62</v>
      </c>
    </row>
    <row r="506" spans="1:3">
      <c r="A506" t="s">
        <v>1097</v>
      </c>
      <c r="B506" t="s">
        <v>121</v>
      </c>
      <c r="C506" t="s">
        <v>62</v>
      </c>
    </row>
    <row r="507" spans="1:3">
      <c r="A507" t="s">
        <v>1098</v>
      </c>
      <c r="B507" t="s">
        <v>196</v>
      </c>
      <c r="C507" t="s">
        <v>62</v>
      </c>
    </row>
    <row r="508" spans="1:3">
      <c r="A508" t="s">
        <v>1099</v>
      </c>
      <c r="B508" t="s">
        <v>117</v>
      </c>
      <c r="C508" t="s">
        <v>62</v>
      </c>
    </row>
    <row r="509" spans="1:3">
      <c r="A509" t="s">
        <v>1100</v>
      </c>
      <c r="B509" t="s">
        <v>132</v>
      </c>
      <c r="C509" t="s">
        <v>62</v>
      </c>
    </row>
    <row r="510" spans="1:3">
      <c r="A510" t="s">
        <v>1103</v>
      </c>
      <c r="B510" t="s">
        <v>121</v>
      </c>
      <c r="C510" t="s">
        <v>62</v>
      </c>
    </row>
    <row r="511" spans="1:3">
      <c r="A511" t="s">
        <v>1104</v>
      </c>
      <c r="B511" t="s">
        <v>121</v>
      </c>
      <c r="C511" t="s">
        <v>62</v>
      </c>
    </row>
    <row r="512" spans="1:3">
      <c r="A512" t="s">
        <v>1105</v>
      </c>
      <c r="B512" t="s">
        <v>196</v>
      </c>
      <c r="C512" t="s">
        <v>62</v>
      </c>
    </row>
    <row r="513" spans="1:3">
      <c r="A513" t="s">
        <v>1106</v>
      </c>
      <c r="B513" t="s">
        <v>122</v>
      </c>
      <c r="C513" t="s">
        <v>62</v>
      </c>
    </row>
    <row r="514" spans="1:3">
      <c r="A514" t="s">
        <v>2674</v>
      </c>
      <c r="B514" t="s">
        <v>132</v>
      </c>
      <c r="C514" t="s">
        <v>62</v>
      </c>
    </row>
    <row r="515" spans="1:3">
      <c r="A515" t="s">
        <v>1108</v>
      </c>
      <c r="B515" t="s">
        <v>143</v>
      </c>
      <c r="C515" t="s">
        <v>62</v>
      </c>
    </row>
    <row r="516" spans="1:3">
      <c r="A516" t="s">
        <v>1111</v>
      </c>
      <c r="B516" t="s">
        <v>143</v>
      </c>
      <c r="C516" t="s">
        <v>62</v>
      </c>
    </row>
    <row r="517" spans="1:3">
      <c r="A517" t="s">
        <v>1113</v>
      </c>
      <c r="B517" t="s">
        <v>117</v>
      </c>
      <c r="C517" t="s">
        <v>62</v>
      </c>
    </row>
    <row r="518" spans="1:3">
      <c r="A518" t="s">
        <v>1116</v>
      </c>
      <c r="B518" t="s">
        <v>143</v>
      </c>
      <c r="C518" t="s">
        <v>62</v>
      </c>
    </row>
    <row r="519" spans="1:3">
      <c r="A519" t="s">
        <v>1117</v>
      </c>
      <c r="B519" t="s">
        <v>143</v>
      </c>
      <c r="C519" t="s">
        <v>62</v>
      </c>
    </row>
    <row r="520" spans="1:3">
      <c r="A520" t="s">
        <v>1119</v>
      </c>
      <c r="B520" t="s">
        <v>143</v>
      </c>
      <c r="C520" t="s">
        <v>62</v>
      </c>
    </row>
    <row r="521" spans="1:3">
      <c r="A521" t="s">
        <v>1121</v>
      </c>
      <c r="B521" t="s">
        <v>143</v>
      </c>
      <c r="C521" t="s">
        <v>62</v>
      </c>
    </row>
    <row r="522" spans="1:3">
      <c r="A522" t="s">
        <v>1123</v>
      </c>
      <c r="B522" t="s">
        <v>121</v>
      </c>
      <c r="C522" t="s">
        <v>62</v>
      </c>
    </row>
    <row r="523" spans="1:3">
      <c r="A523" t="s">
        <v>1125</v>
      </c>
      <c r="B523" t="s">
        <v>127</v>
      </c>
      <c r="C523" t="s">
        <v>62</v>
      </c>
    </row>
    <row r="524" spans="1:3">
      <c r="A524" t="s">
        <v>1127</v>
      </c>
      <c r="B524" t="s">
        <v>143</v>
      </c>
      <c r="C524" t="s">
        <v>62</v>
      </c>
    </row>
    <row r="525" spans="1:3">
      <c r="A525" t="s">
        <v>1128</v>
      </c>
      <c r="B525" t="s">
        <v>143</v>
      </c>
      <c r="C525" t="s">
        <v>62</v>
      </c>
    </row>
    <row r="526" spans="1:3">
      <c r="A526" t="s">
        <v>1129</v>
      </c>
      <c r="B526" t="s">
        <v>132</v>
      </c>
      <c r="C526" t="s">
        <v>62</v>
      </c>
    </row>
    <row r="527" spans="1:3">
      <c r="A527" t="s">
        <v>1130</v>
      </c>
      <c r="B527" t="s">
        <v>121</v>
      </c>
      <c r="C527" t="s">
        <v>62</v>
      </c>
    </row>
    <row r="528" spans="1:3">
      <c r="A528" t="s">
        <v>1132</v>
      </c>
      <c r="B528" t="s">
        <v>121</v>
      </c>
      <c r="C528" t="s">
        <v>62</v>
      </c>
    </row>
    <row r="529" spans="1:3">
      <c r="A529" t="s">
        <v>1134</v>
      </c>
      <c r="B529" t="s">
        <v>121</v>
      </c>
      <c r="C529" t="s">
        <v>62</v>
      </c>
    </row>
    <row r="530" spans="1:3">
      <c r="A530" t="s">
        <v>2675</v>
      </c>
      <c r="B530" t="s">
        <v>98</v>
      </c>
      <c r="C530" t="s">
        <v>62</v>
      </c>
    </row>
    <row r="531" spans="1:3">
      <c r="A531" t="s">
        <v>2676</v>
      </c>
      <c r="B531" t="s">
        <v>121</v>
      </c>
      <c r="C531" t="s">
        <v>62</v>
      </c>
    </row>
    <row r="532" spans="1:3">
      <c r="A532" t="s">
        <v>1135</v>
      </c>
      <c r="B532" t="s">
        <v>89</v>
      </c>
      <c r="C532" t="s">
        <v>62</v>
      </c>
    </row>
    <row r="533" spans="1:3">
      <c r="A533" t="s">
        <v>2677</v>
      </c>
      <c r="B533" t="s">
        <v>121</v>
      </c>
      <c r="C533" t="s">
        <v>62</v>
      </c>
    </row>
    <row r="534" spans="1:3">
      <c r="A534" t="s">
        <v>1137</v>
      </c>
      <c r="B534" t="s">
        <v>117</v>
      </c>
      <c r="C534" t="s">
        <v>62</v>
      </c>
    </row>
    <row r="535" spans="1:3">
      <c r="A535" t="s">
        <v>1139</v>
      </c>
      <c r="B535" t="s">
        <v>228</v>
      </c>
      <c r="C535" t="s">
        <v>55</v>
      </c>
    </row>
    <row r="536" spans="1:3">
      <c r="A536" t="s">
        <v>1143</v>
      </c>
      <c r="B536" t="s">
        <v>237</v>
      </c>
      <c r="C536" t="s">
        <v>55</v>
      </c>
    </row>
    <row r="537" spans="1:3">
      <c r="A537" t="s">
        <v>1145</v>
      </c>
      <c r="B537" t="s">
        <v>125</v>
      </c>
      <c r="C537" t="s">
        <v>55</v>
      </c>
    </row>
    <row r="538" spans="1:3">
      <c r="A538" t="s">
        <v>1149</v>
      </c>
      <c r="B538" t="s">
        <v>228</v>
      </c>
      <c r="C538" t="s">
        <v>55</v>
      </c>
    </row>
    <row r="539" spans="1:3">
      <c r="A539" t="s">
        <v>1153</v>
      </c>
      <c r="B539" t="s">
        <v>228</v>
      </c>
      <c r="C539" t="s">
        <v>55</v>
      </c>
    </row>
    <row r="540" spans="1:3">
      <c r="A540" t="s">
        <v>1156</v>
      </c>
      <c r="B540" t="s">
        <v>125</v>
      </c>
      <c r="C540" t="s">
        <v>55</v>
      </c>
    </row>
    <row r="541" spans="1:3">
      <c r="A541" t="s">
        <v>1158</v>
      </c>
      <c r="B541" t="s">
        <v>237</v>
      </c>
      <c r="C541" t="s">
        <v>55</v>
      </c>
    </row>
    <row r="542" spans="1:3">
      <c r="A542" t="s">
        <v>1160</v>
      </c>
      <c r="B542" t="s">
        <v>138</v>
      </c>
      <c r="C542" t="s">
        <v>55</v>
      </c>
    </row>
    <row r="543" spans="1:3">
      <c r="A543" t="s">
        <v>1162</v>
      </c>
      <c r="B543" t="s">
        <v>237</v>
      </c>
      <c r="C543" t="s">
        <v>55</v>
      </c>
    </row>
    <row r="544" spans="1:3">
      <c r="A544" t="s">
        <v>1164</v>
      </c>
      <c r="B544" t="s">
        <v>237</v>
      </c>
      <c r="C544" t="s">
        <v>55</v>
      </c>
    </row>
    <row r="545" spans="1:3">
      <c r="A545" t="s">
        <v>1165</v>
      </c>
      <c r="B545" t="s">
        <v>237</v>
      </c>
      <c r="C545" t="s">
        <v>55</v>
      </c>
    </row>
    <row r="546" spans="1:3">
      <c r="A546" t="s">
        <v>1166</v>
      </c>
      <c r="B546" t="s">
        <v>237</v>
      </c>
      <c r="C546" t="s">
        <v>55</v>
      </c>
    </row>
    <row r="547" spans="1:3">
      <c r="A547" t="s">
        <v>1167</v>
      </c>
      <c r="B547" t="s">
        <v>237</v>
      </c>
      <c r="C547" t="s">
        <v>55</v>
      </c>
    </row>
    <row r="548" spans="1:3">
      <c r="A548" t="s">
        <v>1168</v>
      </c>
      <c r="B548" t="s">
        <v>237</v>
      </c>
      <c r="C548" t="s">
        <v>55</v>
      </c>
    </row>
    <row r="549" spans="1:3">
      <c r="A549" t="s">
        <v>1169</v>
      </c>
      <c r="B549" t="s">
        <v>125</v>
      </c>
      <c r="C549" t="s">
        <v>55</v>
      </c>
    </row>
    <row r="550" spans="1:3">
      <c r="A550" t="s">
        <v>1171</v>
      </c>
      <c r="B550" t="s">
        <v>228</v>
      </c>
      <c r="C550" t="s">
        <v>55</v>
      </c>
    </row>
    <row r="551" spans="1:3">
      <c r="A551" t="s">
        <v>1172</v>
      </c>
      <c r="B551" t="s">
        <v>234</v>
      </c>
      <c r="C551" t="s">
        <v>55</v>
      </c>
    </row>
    <row r="552" spans="1:3">
      <c r="A552" t="s">
        <v>1174</v>
      </c>
      <c r="B552" t="s">
        <v>234</v>
      </c>
      <c r="C552" t="s">
        <v>55</v>
      </c>
    </row>
    <row r="553" spans="1:3">
      <c r="A553" t="s">
        <v>1175</v>
      </c>
      <c r="B553" t="s">
        <v>138</v>
      </c>
      <c r="C553" t="s">
        <v>55</v>
      </c>
    </row>
    <row r="554" spans="1:3">
      <c r="A554" t="s">
        <v>1177</v>
      </c>
      <c r="B554" t="s">
        <v>228</v>
      </c>
      <c r="C554" t="s">
        <v>55</v>
      </c>
    </row>
    <row r="555" spans="1:3">
      <c r="A555" t="s">
        <v>1178</v>
      </c>
      <c r="B555" t="s">
        <v>228</v>
      </c>
      <c r="C555" t="s">
        <v>55</v>
      </c>
    </row>
    <row r="556" spans="1:3">
      <c r="A556" t="s">
        <v>1181</v>
      </c>
      <c r="B556" t="s">
        <v>228</v>
      </c>
      <c r="C556" t="s">
        <v>55</v>
      </c>
    </row>
    <row r="557" spans="1:3">
      <c r="A557" t="s">
        <v>1183</v>
      </c>
      <c r="B557" t="s">
        <v>228</v>
      </c>
      <c r="C557" t="s">
        <v>55</v>
      </c>
    </row>
    <row r="558" spans="1:3">
      <c r="A558" t="s">
        <v>1186</v>
      </c>
      <c r="B558" t="s">
        <v>232</v>
      </c>
      <c r="C558" t="s">
        <v>55</v>
      </c>
    </row>
    <row r="559" spans="1:3">
      <c r="A559" t="s">
        <v>1189</v>
      </c>
      <c r="B559" t="s">
        <v>232</v>
      </c>
      <c r="C559" t="s">
        <v>55</v>
      </c>
    </row>
    <row r="560" spans="1:3">
      <c r="A560" t="s">
        <v>1191</v>
      </c>
      <c r="B560" t="s">
        <v>234</v>
      </c>
      <c r="C560" t="s">
        <v>55</v>
      </c>
    </row>
    <row r="561" spans="1:3">
      <c r="A561" t="s">
        <v>1195</v>
      </c>
      <c r="B561" t="s">
        <v>228</v>
      </c>
      <c r="C561" t="s">
        <v>55</v>
      </c>
    </row>
    <row r="562" spans="1:3">
      <c r="A562" t="s">
        <v>1197</v>
      </c>
      <c r="B562" t="s">
        <v>237</v>
      </c>
      <c r="C562" t="s">
        <v>55</v>
      </c>
    </row>
    <row r="563" spans="1:3">
      <c r="A563" t="s">
        <v>1199</v>
      </c>
      <c r="B563" t="s">
        <v>237</v>
      </c>
      <c r="C563" t="s">
        <v>55</v>
      </c>
    </row>
    <row r="564" spans="1:3">
      <c r="A564" t="s">
        <v>1200</v>
      </c>
      <c r="B564" t="s">
        <v>216</v>
      </c>
      <c r="C564" t="s">
        <v>55</v>
      </c>
    </row>
    <row r="565" spans="1:3">
      <c r="A565" t="s">
        <v>1203</v>
      </c>
      <c r="B565" t="s">
        <v>234</v>
      </c>
      <c r="C565" t="s">
        <v>55</v>
      </c>
    </row>
    <row r="566" spans="1:3">
      <c r="A566" t="s">
        <v>1205</v>
      </c>
      <c r="B566" t="s">
        <v>228</v>
      </c>
      <c r="C566" t="s">
        <v>55</v>
      </c>
    </row>
    <row r="567" spans="1:3">
      <c r="A567" t="s">
        <v>1208</v>
      </c>
      <c r="B567" t="s">
        <v>237</v>
      </c>
      <c r="C567" t="s">
        <v>55</v>
      </c>
    </row>
    <row r="568" spans="1:3">
      <c r="A568" t="s">
        <v>1210</v>
      </c>
      <c r="B568" t="s">
        <v>228</v>
      </c>
      <c r="C568" t="s">
        <v>55</v>
      </c>
    </row>
    <row r="569" spans="1:3">
      <c r="A569" t="s">
        <v>1212</v>
      </c>
      <c r="B569" t="s">
        <v>237</v>
      </c>
      <c r="C569" t="s">
        <v>55</v>
      </c>
    </row>
    <row r="570" spans="1:3">
      <c r="A570" t="s">
        <v>1214</v>
      </c>
      <c r="B570" t="s">
        <v>234</v>
      </c>
      <c r="C570" t="s">
        <v>55</v>
      </c>
    </row>
    <row r="571" spans="1:3">
      <c r="A571" t="s">
        <v>1216</v>
      </c>
      <c r="B571" t="s">
        <v>228</v>
      </c>
      <c r="C571" t="s">
        <v>55</v>
      </c>
    </row>
    <row r="572" spans="1:3">
      <c r="A572" t="s">
        <v>1217</v>
      </c>
      <c r="B572" t="s">
        <v>228</v>
      </c>
      <c r="C572" t="s">
        <v>55</v>
      </c>
    </row>
    <row r="573" spans="1:3">
      <c r="A573" t="s">
        <v>1218</v>
      </c>
      <c r="B573" t="s">
        <v>234</v>
      </c>
      <c r="C573" t="s">
        <v>55</v>
      </c>
    </row>
    <row r="574" spans="1:3">
      <c r="A574" t="s">
        <v>1220</v>
      </c>
      <c r="B574" t="s">
        <v>125</v>
      </c>
      <c r="C574" t="s">
        <v>55</v>
      </c>
    </row>
    <row r="575" spans="1:3">
      <c r="A575" t="s">
        <v>1222</v>
      </c>
      <c r="B575" t="s">
        <v>228</v>
      </c>
      <c r="C575" t="s">
        <v>55</v>
      </c>
    </row>
    <row r="576" spans="1:3">
      <c r="A576" t="s">
        <v>1224</v>
      </c>
      <c r="B576" t="s">
        <v>138</v>
      </c>
      <c r="C576" t="s">
        <v>55</v>
      </c>
    </row>
    <row r="577" spans="1:3">
      <c r="A577" t="s">
        <v>1226</v>
      </c>
      <c r="B577" t="s">
        <v>234</v>
      </c>
      <c r="C577" t="s">
        <v>55</v>
      </c>
    </row>
    <row r="578" spans="1:3">
      <c r="A578" t="s">
        <v>1228</v>
      </c>
      <c r="B578" t="s">
        <v>138</v>
      </c>
      <c r="C578" t="s">
        <v>55</v>
      </c>
    </row>
    <row r="579" spans="1:3">
      <c r="A579" t="s">
        <v>1230</v>
      </c>
      <c r="B579" t="s">
        <v>197</v>
      </c>
      <c r="C579" t="s">
        <v>55</v>
      </c>
    </row>
    <row r="580" spans="1:3">
      <c r="A580" t="s">
        <v>1232</v>
      </c>
      <c r="B580" t="s">
        <v>237</v>
      </c>
      <c r="C580" t="s">
        <v>55</v>
      </c>
    </row>
    <row r="581" spans="1:3">
      <c r="A581" t="s">
        <v>1233</v>
      </c>
      <c r="B581" t="s">
        <v>237</v>
      </c>
      <c r="C581" t="s">
        <v>55</v>
      </c>
    </row>
    <row r="582" spans="1:3">
      <c r="A582" t="s">
        <v>1234</v>
      </c>
      <c r="B582" t="s">
        <v>237</v>
      </c>
      <c r="C582" t="s">
        <v>55</v>
      </c>
    </row>
    <row r="583" spans="1:3">
      <c r="A583" t="s">
        <v>1235</v>
      </c>
      <c r="B583" t="s">
        <v>138</v>
      </c>
      <c r="C583" t="s">
        <v>55</v>
      </c>
    </row>
    <row r="584" spans="1:3">
      <c r="A584" t="s">
        <v>1236</v>
      </c>
      <c r="B584" t="s">
        <v>138</v>
      </c>
      <c r="C584" t="s">
        <v>55</v>
      </c>
    </row>
    <row r="585" spans="1:3">
      <c r="A585" t="s">
        <v>1237</v>
      </c>
      <c r="B585" t="s">
        <v>237</v>
      </c>
      <c r="C585" t="s">
        <v>55</v>
      </c>
    </row>
    <row r="586" spans="1:3">
      <c r="A586" t="s">
        <v>1238</v>
      </c>
      <c r="B586" t="s">
        <v>237</v>
      </c>
      <c r="C586" t="s">
        <v>55</v>
      </c>
    </row>
    <row r="587" spans="1:3">
      <c r="A587" t="s">
        <v>1239</v>
      </c>
      <c r="B587" t="s">
        <v>237</v>
      </c>
      <c r="C587" t="s">
        <v>55</v>
      </c>
    </row>
    <row r="588" spans="1:3">
      <c r="A588" t="s">
        <v>1240</v>
      </c>
      <c r="B588" t="s">
        <v>234</v>
      </c>
      <c r="C588" t="s">
        <v>55</v>
      </c>
    </row>
    <row r="589" spans="1:3">
      <c r="A589" t="s">
        <v>1241</v>
      </c>
      <c r="B589" t="s">
        <v>234</v>
      </c>
      <c r="C589" t="s">
        <v>55</v>
      </c>
    </row>
    <row r="590" spans="1:3">
      <c r="A590" t="s">
        <v>1243</v>
      </c>
      <c r="B590" t="s">
        <v>234</v>
      </c>
      <c r="C590" t="s">
        <v>55</v>
      </c>
    </row>
    <row r="591" spans="1:3">
      <c r="A591" t="s">
        <v>1245</v>
      </c>
      <c r="B591" t="s">
        <v>234</v>
      </c>
      <c r="C591" t="s">
        <v>55</v>
      </c>
    </row>
    <row r="592" spans="1:3">
      <c r="A592" t="s">
        <v>1246</v>
      </c>
      <c r="B592" t="s">
        <v>228</v>
      </c>
      <c r="C592" t="s">
        <v>55</v>
      </c>
    </row>
    <row r="593" spans="1:3">
      <c r="A593" t="s">
        <v>1247</v>
      </c>
      <c r="B593" t="s">
        <v>237</v>
      </c>
      <c r="C593" t="s">
        <v>55</v>
      </c>
    </row>
    <row r="594" spans="1:3">
      <c r="A594" t="s">
        <v>1248</v>
      </c>
      <c r="B594" t="s">
        <v>125</v>
      </c>
      <c r="C594" t="s">
        <v>55</v>
      </c>
    </row>
    <row r="595" spans="1:3">
      <c r="A595" t="s">
        <v>1249</v>
      </c>
      <c r="B595" t="s">
        <v>202</v>
      </c>
      <c r="C595" t="s">
        <v>55</v>
      </c>
    </row>
    <row r="596" spans="1:3">
      <c r="A596" t="s">
        <v>1251</v>
      </c>
      <c r="B596" t="s">
        <v>228</v>
      </c>
      <c r="C596" t="s">
        <v>55</v>
      </c>
    </row>
    <row r="597" spans="1:3">
      <c r="A597" t="s">
        <v>1252</v>
      </c>
      <c r="B597" t="s">
        <v>228</v>
      </c>
      <c r="C597" t="s">
        <v>55</v>
      </c>
    </row>
    <row r="598" spans="1:3">
      <c r="A598" t="s">
        <v>1253</v>
      </c>
      <c r="B598" t="s">
        <v>228</v>
      </c>
      <c r="C598" t="s">
        <v>55</v>
      </c>
    </row>
    <row r="599" spans="1:3">
      <c r="A599" t="s">
        <v>1254</v>
      </c>
      <c r="B599" t="s">
        <v>234</v>
      </c>
      <c r="C599" t="s">
        <v>55</v>
      </c>
    </row>
    <row r="600" spans="1:3">
      <c r="A600" t="s">
        <v>1256</v>
      </c>
      <c r="B600" t="s">
        <v>234</v>
      </c>
      <c r="C600" t="s">
        <v>55</v>
      </c>
    </row>
    <row r="601" spans="1:3">
      <c r="A601" t="s">
        <v>1257</v>
      </c>
      <c r="B601" t="s">
        <v>228</v>
      </c>
      <c r="C601" t="s">
        <v>55</v>
      </c>
    </row>
    <row r="602" spans="1:3">
      <c r="A602" t="s">
        <v>1258</v>
      </c>
      <c r="B602" t="s">
        <v>237</v>
      </c>
      <c r="C602" t="s">
        <v>55</v>
      </c>
    </row>
    <row r="603" spans="1:3">
      <c r="A603" t="s">
        <v>1259</v>
      </c>
      <c r="B603" t="s">
        <v>237</v>
      </c>
      <c r="C603" t="s">
        <v>55</v>
      </c>
    </row>
    <row r="604" spans="1:3">
      <c r="A604" t="s">
        <v>1260</v>
      </c>
      <c r="B604" t="s">
        <v>138</v>
      </c>
      <c r="C604" t="s">
        <v>55</v>
      </c>
    </row>
    <row r="605" spans="1:3">
      <c r="A605" t="s">
        <v>1262</v>
      </c>
      <c r="B605" t="s">
        <v>237</v>
      </c>
      <c r="C605" t="s">
        <v>55</v>
      </c>
    </row>
    <row r="606" spans="1:3">
      <c r="A606" t="s">
        <v>1263</v>
      </c>
      <c r="B606" t="s">
        <v>233</v>
      </c>
      <c r="C606" t="s">
        <v>55</v>
      </c>
    </row>
    <row r="607" spans="1:3">
      <c r="A607" t="s">
        <v>1264</v>
      </c>
      <c r="B607" t="s">
        <v>233</v>
      </c>
      <c r="C607" t="s">
        <v>55</v>
      </c>
    </row>
    <row r="608" spans="1:3">
      <c r="A608" t="s">
        <v>1265</v>
      </c>
      <c r="B608" t="s">
        <v>228</v>
      </c>
      <c r="C608" t="s">
        <v>55</v>
      </c>
    </row>
    <row r="609" spans="1:3">
      <c r="A609" t="s">
        <v>1267</v>
      </c>
      <c r="B609" t="s">
        <v>228</v>
      </c>
      <c r="C609" t="s">
        <v>55</v>
      </c>
    </row>
    <row r="610" spans="1:3">
      <c r="A610" t="s">
        <v>1269</v>
      </c>
      <c r="B610" t="s">
        <v>237</v>
      </c>
      <c r="C610" t="s">
        <v>55</v>
      </c>
    </row>
    <row r="611" spans="1:3">
      <c r="A611" t="s">
        <v>1270</v>
      </c>
      <c r="B611" t="s">
        <v>237</v>
      </c>
      <c r="C611" t="s">
        <v>55</v>
      </c>
    </row>
    <row r="612" spans="1:3">
      <c r="A612" t="s">
        <v>1271</v>
      </c>
      <c r="B612" t="s">
        <v>233</v>
      </c>
      <c r="C612" t="s">
        <v>55</v>
      </c>
    </row>
    <row r="613" spans="1:3">
      <c r="A613" t="s">
        <v>1272</v>
      </c>
      <c r="B613" t="s">
        <v>138</v>
      </c>
      <c r="C613" t="s">
        <v>55</v>
      </c>
    </row>
    <row r="614" spans="1:3">
      <c r="A614" t="s">
        <v>1273</v>
      </c>
      <c r="B614" t="s">
        <v>234</v>
      </c>
      <c r="C614" t="s">
        <v>55</v>
      </c>
    </row>
    <row r="615" spans="1:3">
      <c r="A615" t="s">
        <v>1274</v>
      </c>
      <c r="B615" t="s">
        <v>233</v>
      </c>
      <c r="C615" t="s">
        <v>55</v>
      </c>
    </row>
    <row r="616" spans="1:3">
      <c r="A616" t="s">
        <v>1275</v>
      </c>
      <c r="B616" t="s">
        <v>228</v>
      </c>
      <c r="C616" t="s">
        <v>55</v>
      </c>
    </row>
    <row r="617" spans="1:3">
      <c r="A617" t="s">
        <v>1276</v>
      </c>
      <c r="B617" t="s">
        <v>228</v>
      </c>
      <c r="C617" t="s">
        <v>55</v>
      </c>
    </row>
    <row r="618" spans="1:3">
      <c r="A618" t="s">
        <v>1277</v>
      </c>
      <c r="B618" t="s">
        <v>228</v>
      </c>
      <c r="C618" t="s">
        <v>55</v>
      </c>
    </row>
    <row r="619" spans="1:3">
      <c r="A619" t="s">
        <v>1279</v>
      </c>
      <c r="B619" t="s">
        <v>228</v>
      </c>
      <c r="C619" t="s">
        <v>55</v>
      </c>
    </row>
    <row r="620" spans="1:3">
      <c r="A620" t="s">
        <v>1281</v>
      </c>
      <c r="B620" t="s">
        <v>228</v>
      </c>
      <c r="C620" t="s">
        <v>55</v>
      </c>
    </row>
    <row r="621" spans="1:3">
      <c r="A621" t="s">
        <v>1282</v>
      </c>
      <c r="B621" t="s">
        <v>228</v>
      </c>
      <c r="C621" t="s">
        <v>55</v>
      </c>
    </row>
    <row r="622" spans="1:3">
      <c r="A622" t="s">
        <v>1284</v>
      </c>
      <c r="B622" t="s">
        <v>228</v>
      </c>
      <c r="C622" t="s">
        <v>55</v>
      </c>
    </row>
    <row r="623" spans="1:3">
      <c r="A623" t="s">
        <v>1285</v>
      </c>
      <c r="B623" t="s">
        <v>237</v>
      </c>
      <c r="C623" t="s">
        <v>55</v>
      </c>
    </row>
    <row r="624" spans="1:3">
      <c r="A624" t="s">
        <v>1286</v>
      </c>
      <c r="B624" t="s">
        <v>232</v>
      </c>
      <c r="C624" t="s">
        <v>55</v>
      </c>
    </row>
    <row r="625" spans="1:3">
      <c r="A625" t="s">
        <v>1288</v>
      </c>
      <c r="B625" t="s">
        <v>232</v>
      </c>
      <c r="C625" t="s">
        <v>55</v>
      </c>
    </row>
    <row r="626" spans="1:3">
      <c r="A626" t="s">
        <v>1289</v>
      </c>
      <c r="B626" t="s">
        <v>232</v>
      </c>
      <c r="C626" t="s">
        <v>55</v>
      </c>
    </row>
    <row r="627" spans="1:3">
      <c r="A627" t="s">
        <v>1291</v>
      </c>
      <c r="B627" t="s">
        <v>232</v>
      </c>
      <c r="C627" t="s">
        <v>55</v>
      </c>
    </row>
    <row r="628" spans="1:3">
      <c r="A628" t="s">
        <v>1293</v>
      </c>
      <c r="B628" t="s">
        <v>232</v>
      </c>
      <c r="C628" t="s">
        <v>55</v>
      </c>
    </row>
    <row r="629" spans="1:3">
      <c r="A629" t="s">
        <v>1294</v>
      </c>
      <c r="B629" t="s">
        <v>234</v>
      </c>
      <c r="C629" t="s">
        <v>55</v>
      </c>
    </row>
    <row r="630" spans="1:3">
      <c r="A630" t="s">
        <v>2678</v>
      </c>
      <c r="B630" t="s">
        <v>234</v>
      </c>
      <c r="C630" t="s">
        <v>55</v>
      </c>
    </row>
    <row r="631" spans="1:3">
      <c r="A631" t="s">
        <v>1296</v>
      </c>
      <c r="B631" t="s">
        <v>237</v>
      </c>
      <c r="C631" t="s">
        <v>55</v>
      </c>
    </row>
    <row r="632" spans="1:3">
      <c r="A632" t="s">
        <v>1297</v>
      </c>
      <c r="B632" t="s">
        <v>138</v>
      </c>
      <c r="C632" t="s">
        <v>55</v>
      </c>
    </row>
    <row r="633" spans="1:3">
      <c r="A633" t="s">
        <v>1299</v>
      </c>
      <c r="B633" t="s">
        <v>86</v>
      </c>
      <c r="C633" t="s">
        <v>53</v>
      </c>
    </row>
    <row r="634" spans="1:3">
      <c r="A634" t="s">
        <v>1303</v>
      </c>
      <c r="B634" t="s">
        <v>87</v>
      </c>
      <c r="C634" t="s">
        <v>53</v>
      </c>
    </row>
    <row r="635" spans="1:3">
      <c r="A635" t="s">
        <v>1307</v>
      </c>
      <c r="B635" t="s">
        <v>105</v>
      </c>
      <c r="C635" t="s">
        <v>53</v>
      </c>
    </row>
    <row r="636" spans="1:3">
      <c r="A636" t="s">
        <v>1309</v>
      </c>
      <c r="B636" t="s">
        <v>105</v>
      </c>
      <c r="C636" t="s">
        <v>53</v>
      </c>
    </row>
    <row r="637" spans="1:3">
      <c r="A637" t="s">
        <v>1311</v>
      </c>
      <c r="B637" t="s">
        <v>105</v>
      </c>
      <c r="C637" t="s">
        <v>53</v>
      </c>
    </row>
    <row r="638" spans="1:3">
      <c r="A638" t="s">
        <v>1312</v>
      </c>
      <c r="B638" t="s">
        <v>105</v>
      </c>
      <c r="C638" t="s">
        <v>53</v>
      </c>
    </row>
    <row r="639" spans="1:3">
      <c r="A639" t="s">
        <v>1314</v>
      </c>
      <c r="B639" t="s">
        <v>105</v>
      </c>
      <c r="C639" t="s">
        <v>53</v>
      </c>
    </row>
    <row r="640" spans="1:3">
      <c r="A640" t="s">
        <v>1315</v>
      </c>
      <c r="B640" t="s">
        <v>105</v>
      </c>
      <c r="C640" t="s">
        <v>53</v>
      </c>
    </row>
    <row r="641" spans="1:3">
      <c r="A641" t="s">
        <v>1316</v>
      </c>
      <c r="B641" t="s">
        <v>105</v>
      </c>
      <c r="C641" t="s">
        <v>53</v>
      </c>
    </row>
    <row r="642" spans="1:3">
      <c r="A642" t="s">
        <v>1318</v>
      </c>
      <c r="B642" t="s">
        <v>105</v>
      </c>
      <c r="C642" t="s">
        <v>53</v>
      </c>
    </row>
    <row r="643" spans="1:3">
      <c r="A643" t="s">
        <v>1319</v>
      </c>
      <c r="B643" t="s">
        <v>225</v>
      </c>
      <c r="C643" t="s">
        <v>53</v>
      </c>
    </row>
    <row r="644" spans="1:3">
      <c r="A644" t="s">
        <v>1322</v>
      </c>
      <c r="B644" t="s">
        <v>225</v>
      </c>
      <c r="C644" t="s">
        <v>53</v>
      </c>
    </row>
    <row r="645" spans="1:3">
      <c r="A645" t="s">
        <v>1325</v>
      </c>
      <c r="B645" t="s">
        <v>225</v>
      </c>
      <c r="C645" t="s">
        <v>53</v>
      </c>
    </row>
    <row r="646" spans="1:3">
      <c r="A646" t="s">
        <v>1326</v>
      </c>
      <c r="B646" t="s">
        <v>225</v>
      </c>
      <c r="C646" t="s">
        <v>53</v>
      </c>
    </row>
    <row r="647" spans="1:3">
      <c r="A647" t="s">
        <v>1327</v>
      </c>
      <c r="B647" t="s">
        <v>225</v>
      </c>
      <c r="C647" t="s">
        <v>53</v>
      </c>
    </row>
    <row r="648" spans="1:3">
      <c r="A648" t="s">
        <v>1329</v>
      </c>
      <c r="B648" t="s">
        <v>225</v>
      </c>
      <c r="C648" t="s">
        <v>53</v>
      </c>
    </row>
    <row r="649" spans="1:3">
      <c r="A649" t="s">
        <v>1330</v>
      </c>
      <c r="B649" t="s">
        <v>225</v>
      </c>
      <c r="C649" t="s">
        <v>53</v>
      </c>
    </row>
    <row r="650" spans="1:3">
      <c r="A650" t="s">
        <v>1332</v>
      </c>
      <c r="B650" t="s">
        <v>225</v>
      </c>
      <c r="C650" t="s">
        <v>53</v>
      </c>
    </row>
    <row r="651" spans="1:3">
      <c r="A651" t="s">
        <v>1333</v>
      </c>
      <c r="B651" t="s">
        <v>225</v>
      </c>
      <c r="C651" t="s">
        <v>53</v>
      </c>
    </row>
    <row r="652" spans="1:3">
      <c r="A652" t="s">
        <v>1334</v>
      </c>
      <c r="B652" t="s">
        <v>225</v>
      </c>
      <c r="C652" t="s">
        <v>53</v>
      </c>
    </row>
    <row r="653" spans="1:3">
      <c r="A653" t="s">
        <v>1335</v>
      </c>
      <c r="B653" t="s">
        <v>225</v>
      </c>
      <c r="C653" t="s">
        <v>53</v>
      </c>
    </row>
    <row r="654" spans="1:3">
      <c r="A654" t="s">
        <v>1336</v>
      </c>
      <c r="B654" t="s">
        <v>225</v>
      </c>
      <c r="C654" t="s">
        <v>53</v>
      </c>
    </row>
    <row r="655" spans="1:3">
      <c r="A655" t="s">
        <v>1337</v>
      </c>
      <c r="B655" t="s">
        <v>225</v>
      </c>
      <c r="C655" t="s">
        <v>53</v>
      </c>
    </row>
    <row r="656" spans="1:3">
      <c r="A656" t="s">
        <v>1338</v>
      </c>
      <c r="B656" t="s">
        <v>225</v>
      </c>
      <c r="C656" t="s">
        <v>53</v>
      </c>
    </row>
    <row r="657" spans="1:3">
      <c r="A657" t="s">
        <v>1339</v>
      </c>
      <c r="B657" t="s">
        <v>225</v>
      </c>
      <c r="C657" t="s">
        <v>53</v>
      </c>
    </row>
    <row r="658" spans="1:3">
      <c r="A658" t="s">
        <v>1340</v>
      </c>
      <c r="B658" t="s">
        <v>225</v>
      </c>
      <c r="C658" t="s">
        <v>53</v>
      </c>
    </row>
    <row r="659" spans="1:3">
      <c r="A659" t="s">
        <v>1342</v>
      </c>
      <c r="B659" t="s">
        <v>225</v>
      </c>
      <c r="C659" t="s">
        <v>53</v>
      </c>
    </row>
    <row r="660" spans="1:3">
      <c r="A660" t="s">
        <v>1343</v>
      </c>
      <c r="B660" t="s">
        <v>229</v>
      </c>
      <c r="C660" t="s">
        <v>53</v>
      </c>
    </row>
    <row r="661" spans="1:3">
      <c r="A661" t="s">
        <v>1345</v>
      </c>
      <c r="B661" t="s">
        <v>229</v>
      </c>
      <c r="C661" t="s">
        <v>53</v>
      </c>
    </row>
    <row r="662" spans="1:3">
      <c r="A662" t="s">
        <v>1347</v>
      </c>
      <c r="B662" t="s">
        <v>229</v>
      </c>
      <c r="C662" t="s">
        <v>53</v>
      </c>
    </row>
    <row r="663" spans="1:3">
      <c r="A663" t="s">
        <v>1348</v>
      </c>
      <c r="B663" t="s">
        <v>132</v>
      </c>
      <c r="C663" t="s">
        <v>53</v>
      </c>
    </row>
    <row r="664" spans="1:3">
      <c r="A664" t="s">
        <v>1351</v>
      </c>
      <c r="B664" t="s">
        <v>132</v>
      </c>
      <c r="C664" t="s">
        <v>53</v>
      </c>
    </row>
    <row r="665" spans="1:3">
      <c r="A665" t="s">
        <v>1353</v>
      </c>
      <c r="B665" t="s">
        <v>132</v>
      </c>
      <c r="C665" t="s">
        <v>53</v>
      </c>
    </row>
    <row r="666" spans="1:3">
      <c r="A666" t="s">
        <v>1355</v>
      </c>
      <c r="B666" t="s">
        <v>132</v>
      </c>
      <c r="C666" t="s">
        <v>53</v>
      </c>
    </row>
    <row r="667" spans="1:3">
      <c r="A667" t="s">
        <v>1356</v>
      </c>
      <c r="B667" t="s">
        <v>132</v>
      </c>
      <c r="C667" t="s">
        <v>53</v>
      </c>
    </row>
    <row r="668" spans="1:3">
      <c r="A668" t="s">
        <v>1358</v>
      </c>
      <c r="B668" t="s">
        <v>132</v>
      </c>
      <c r="C668" t="s">
        <v>53</v>
      </c>
    </row>
    <row r="669" spans="1:3">
      <c r="A669" t="s">
        <v>1359</v>
      </c>
      <c r="B669" t="s">
        <v>132</v>
      </c>
      <c r="C669" t="s">
        <v>53</v>
      </c>
    </row>
    <row r="670" spans="1:3">
      <c r="A670" t="s">
        <v>1361</v>
      </c>
      <c r="B670" t="s">
        <v>132</v>
      </c>
      <c r="C670" t="s">
        <v>53</v>
      </c>
    </row>
    <row r="671" spans="1:3">
      <c r="A671" t="s">
        <v>1362</v>
      </c>
      <c r="B671" t="s">
        <v>132</v>
      </c>
      <c r="C671" t="s">
        <v>53</v>
      </c>
    </row>
    <row r="672" spans="1:3">
      <c r="A672" t="s">
        <v>1363</v>
      </c>
      <c r="B672" t="s">
        <v>132</v>
      </c>
      <c r="C672" t="s">
        <v>53</v>
      </c>
    </row>
    <row r="673" spans="1:3">
      <c r="A673" t="s">
        <v>1364</v>
      </c>
      <c r="B673" t="s">
        <v>132</v>
      </c>
      <c r="C673" t="s">
        <v>53</v>
      </c>
    </row>
    <row r="674" spans="1:3">
      <c r="A674" t="s">
        <v>1365</v>
      </c>
      <c r="B674" t="s">
        <v>132</v>
      </c>
      <c r="C674" t="s">
        <v>53</v>
      </c>
    </row>
    <row r="675" spans="1:3">
      <c r="A675" t="s">
        <v>1367</v>
      </c>
      <c r="B675" t="s">
        <v>132</v>
      </c>
      <c r="C675" t="s">
        <v>53</v>
      </c>
    </row>
    <row r="676" spans="1:3">
      <c r="A676" t="s">
        <v>1368</v>
      </c>
      <c r="B676" t="s">
        <v>132</v>
      </c>
      <c r="C676" t="s">
        <v>53</v>
      </c>
    </row>
    <row r="677" spans="1:3">
      <c r="A677" t="s">
        <v>1369</v>
      </c>
      <c r="B677" t="s">
        <v>132</v>
      </c>
      <c r="C677" t="s">
        <v>53</v>
      </c>
    </row>
    <row r="678" spans="1:3">
      <c r="A678" t="s">
        <v>1370</v>
      </c>
      <c r="B678" t="s">
        <v>132</v>
      </c>
      <c r="C678" t="s">
        <v>53</v>
      </c>
    </row>
    <row r="679" spans="1:3">
      <c r="A679" t="s">
        <v>1372</v>
      </c>
      <c r="B679" t="s">
        <v>132</v>
      </c>
      <c r="C679" t="s">
        <v>53</v>
      </c>
    </row>
    <row r="680" spans="1:3">
      <c r="A680" t="s">
        <v>1373</v>
      </c>
      <c r="B680" t="s">
        <v>132</v>
      </c>
      <c r="C680" t="s">
        <v>53</v>
      </c>
    </row>
    <row r="681" spans="1:3">
      <c r="A681" t="s">
        <v>1374</v>
      </c>
      <c r="B681" t="s">
        <v>229</v>
      </c>
      <c r="C681" t="s">
        <v>53</v>
      </c>
    </row>
    <row r="682" spans="1:3">
      <c r="A682" t="s">
        <v>1376</v>
      </c>
      <c r="B682" t="s">
        <v>229</v>
      </c>
      <c r="C682" t="s">
        <v>53</v>
      </c>
    </row>
    <row r="683" spans="1:3">
      <c r="A683" t="s">
        <v>1377</v>
      </c>
      <c r="B683" t="s">
        <v>229</v>
      </c>
      <c r="C683" t="s">
        <v>53</v>
      </c>
    </row>
    <row r="684" spans="1:3">
      <c r="A684" t="s">
        <v>1378</v>
      </c>
      <c r="B684" t="s">
        <v>229</v>
      </c>
      <c r="C684" t="s">
        <v>53</v>
      </c>
    </row>
    <row r="685" spans="1:3">
      <c r="A685" t="s">
        <v>1379</v>
      </c>
      <c r="B685" t="s">
        <v>229</v>
      </c>
      <c r="C685" t="s">
        <v>53</v>
      </c>
    </row>
    <row r="686" spans="1:3">
      <c r="A686" t="s">
        <v>1381</v>
      </c>
      <c r="B686" t="s">
        <v>157</v>
      </c>
      <c r="C686" t="s">
        <v>53</v>
      </c>
    </row>
    <row r="687" spans="1:3">
      <c r="A687" t="s">
        <v>1384</v>
      </c>
      <c r="B687" t="s">
        <v>157</v>
      </c>
      <c r="C687" t="s">
        <v>53</v>
      </c>
    </row>
    <row r="688" spans="1:3">
      <c r="A688" t="s">
        <v>1386</v>
      </c>
      <c r="B688" t="s">
        <v>157</v>
      </c>
      <c r="C688" t="s">
        <v>53</v>
      </c>
    </row>
    <row r="689" spans="1:3">
      <c r="A689" t="s">
        <v>1388</v>
      </c>
      <c r="B689" t="s">
        <v>157</v>
      </c>
      <c r="C689" t="s">
        <v>53</v>
      </c>
    </row>
    <row r="690" spans="1:3">
      <c r="A690" t="s">
        <v>1389</v>
      </c>
      <c r="B690" t="s">
        <v>157</v>
      </c>
      <c r="C690" t="s">
        <v>53</v>
      </c>
    </row>
    <row r="691" spans="1:3">
      <c r="A691" t="s">
        <v>1391</v>
      </c>
      <c r="B691" t="s">
        <v>157</v>
      </c>
      <c r="C691" t="s">
        <v>53</v>
      </c>
    </row>
    <row r="692" spans="1:3">
      <c r="A692" t="s">
        <v>1393</v>
      </c>
      <c r="B692" t="s">
        <v>106</v>
      </c>
      <c r="C692" t="s">
        <v>53</v>
      </c>
    </row>
    <row r="693" spans="1:3">
      <c r="A693" t="s">
        <v>1395</v>
      </c>
      <c r="B693" t="s">
        <v>106</v>
      </c>
      <c r="C693" t="s">
        <v>53</v>
      </c>
    </row>
    <row r="694" spans="1:3">
      <c r="A694" t="s">
        <v>1396</v>
      </c>
      <c r="B694" t="s">
        <v>106</v>
      </c>
      <c r="C694" t="s">
        <v>53</v>
      </c>
    </row>
    <row r="695" spans="1:3">
      <c r="A695" t="s">
        <v>1397</v>
      </c>
      <c r="B695" t="s">
        <v>106</v>
      </c>
      <c r="C695" t="s">
        <v>53</v>
      </c>
    </row>
    <row r="696" spans="1:3">
      <c r="A696" t="s">
        <v>1400</v>
      </c>
      <c r="B696" t="s">
        <v>106</v>
      </c>
      <c r="C696" t="s">
        <v>53</v>
      </c>
    </row>
    <row r="697" spans="1:3">
      <c r="A697" t="s">
        <v>1401</v>
      </c>
      <c r="B697" t="s">
        <v>106</v>
      </c>
      <c r="C697" t="s">
        <v>53</v>
      </c>
    </row>
    <row r="698" spans="1:3">
      <c r="A698" t="s">
        <v>1403</v>
      </c>
      <c r="B698" t="s">
        <v>106</v>
      </c>
      <c r="C698" t="s">
        <v>53</v>
      </c>
    </row>
    <row r="699" spans="1:3">
      <c r="A699" t="s">
        <v>1404</v>
      </c>
      <c r="B699" t="s">
        <v>106</v>
      </c>
      <c r="C699" t="s">
        <v>53</v>
      </c>
    </row>
    <row r="700" spans="1:3">
      <c r="A700" t="s">
        <v>1406</v>
      </c>
      <c r="B700" t="s">
        <v>106</v>
      </c>
      <c r="C700" t="s">
        <v>53</v>
      </c>
    </row>
    <row r="701" spans="1:3">
      <c r="A701" t="s">
        <v>1407</v>
      </c>
      <c r="B701" t="s">
        <v>106</v>
      </c>
      <c r="C701" t="s">
        <v>53</v>
      </c>
    </row>
    <row r="702" spans="1:3">
      <c r="A702" t="s">
        <v>1408</v>
      </c>
      <c r="B702" t="s">
        <v>205</v>
      </c>
      <c r="C702" t="s">
        <v>53</v>
      </c>
    </row>
    <row r="703" spans="1:3">
      <c r="A703" t="s">
        <v>2679</v>
      </c>
      <c r="B703" t="s">
        <v>106</v>
      </c>
      <c r="C703" t="s">
        <v>53</v>
      </c>
    </row>
    <row r="704" spans="1:3">
      <c r="A704" t="s">
        <v>2680</v>
      </c>
      <c r="B704" t="s">
        <v>106</v>
      </c>
      <c r="C704" t="s">
        <v>53</v>
      </c>
    </row>
    <row r="705" spans="1:3">
      <c r="A705" t="s">
        <v>2681</v>
      </c>
      <c r="B705" t="s">
        <v>106</v>
      </c>
      <c r="C705" t="s">
        <v>53</v>
      </c>
    </row>
    <row r="706" spans="1:3">
      <c r="A706" t="s">
        <v>2682</v>
      </c>
      <c r="B706" t="s">
        <v>225</v>
      </c>
      <c r="C706" t="s">
        <v>53</v>
      </c>
    </row>
    <row r="707" spans="1:3">
      <c r="A707" t="s">
        <v>2683</v>
      </c>
      <c r="B707" t="s">
        <v>225</v>
      </c>
      <c r="C707" t="s">
        <v>53</v>
      </c>
    </row>
    <row r="708" spans="1:3">
      <c r="A708" t="s">
        <v>2684</v>
      </c>
      <c r="B708" t="s">
        <v>225</v>
      </c>
      <c r="C708" t="s">
        <v>53</v>
      </c>
    </row>
    <row r="709" spans="1:3">
      <c r="A709" t="s">
        <v>1410</v>
      </c>
      <c r="B709" t="s">
        <v>220</v>
      </c>
      <c r="C709" t="s">
        <v>54</v>
      </c>
    </row>
    <row r="710" spans="1:3">
      <c r="A710" t="s">
        <v>1414</v>
      </c>
      <c r="B710" t="s">
        <v>116</v>
      </c>
      <c r="C710" t="s">
        <v>54</v>
      </c>
    </row>
    <row r="711" spans="1:3">
      <c r="A711" t="s">
        <v>1418</v>
      </c>
      <c r="B711" t="s">
        <v>106</v>
      </c>
      <c r="C711" t="s">
        <v>54</v>
      </c>
    </row>
    <row r="712" spans="1:3">
      <c r="A712" t="s">
        <v>1421</v>
      </c>
      <c r="B712" t="s">
        <v>106</v>
      </c>
      <c r="C712" t="s">
        <v>54</v>
      </c>
    </row>
    <row r="713" spans="1:3">
      <c r="A713" t="s">
        <v>1425</v>
      </c>
      <c r="B713" t="s">
        <v>106</v>
      </c>
      <c r="C713" t="s">
        <v>54</v>
      </c>
    </row>
    <row r="714" spans="1:3">
      <c r="A714" t="s">
        <v>1427</v>
      </c>
      <c r="B714" t="s">
        <v>232</v>
      </c>
      <c r="C714" t="s">
        <v>54</v>
      </c>
    </row>
    <row r="715" spans="1:3">
      <c r="A715" t="s">
        <v>1430</v>
      </c>
      <c r="B715" t="s">
        <v>223</v>
      </c>
      <c r="C715" t="s">
        <v>54</v>
      </c>
    </row>
    <row r="716" spans="1:3">
      <c r="A716" t="s">
        <v>1433</v>
      </c>
      <c r="B716" t="s">
        <v>106</v>
      </c>
      <c r="C716" t="s">
        <v>54</v>
      </c>
    </row>
    <row r="717" spans="1:3">
      <c r="A717" t="s">
        <v>1436</v>
      </c>
      <c r="B717" t="s">
        <v>120</v>
      </c>
      <c r="C717" t="s">
        <v>54</v>
      </c>
    </row>
    <row r="718" spans="1:3">
      <c r="A718" t="s">
        <v>1440</v>
      </c>
      <c r="B718" t="s">
        <v>116</v>
      </c>
      <c r="C718" t="s">
        <v>54</v>
      </c>
    </row>
    <row r="719" spans="1:3">
      <c r="A719" t="s">
        <v>1442</v>
      </c>
      <c r="B719" t="s">
        <v>106</v>
      </c>
      <c r="C719" t="s">
        <v>54</v>
      </c>
    </row>
    <row r="720" spans="1:3">
      <c r="A720" t="s">
        <v>1445</v>
      </c>
      <c r="B720" t="s">
        <v>132</v>
      </c>
      <c r="C720" t="s">
        <v>54</v>
      </c>
    </row>
    <row r="721" spans="1:3">
      <c r="A721" t="s">
        <v>1447</v>
      </c>
      <c r="B721" t="s">
        <v>106</v>
      </c>
      <c r="C721" t="s">
        <v>54</v>
      </c>
    </row>
    <row r="722" spans="1:3">
      <c r="A722" t="s">
        <v>1449</v>
      </c>
      <c r="B722" t="s">
        <v>132</v>
      </c>
      <c r="C722" t="s">
        <v>54</v>
      </c>
    </row>
    <row r="723" spans="1:3">
      <c r="A723" t="s">
        <v>1452</v>
      </c>
      <c r="B723" t="s">
        <v>106</v>
      </c>
      <c r="C723" t="s">
        <v>54</v>
      </c>
    </row>
    <row r="724" spans="1:3">
      <c r="A724" t="s">
        <v>1455</v>
      </c>
      <c r="B724" t="s">
        <v>106</v>
      </c>
      <c r="C724" t="s">
        <v>54</v>
      </c>
    </row>
    <row r="725" spans="1:3">
      <c r="A725" t="s">
        <v>1458</v>
      </c>
      <c r="B725" t="s">
        <v>116</v>
      </c>
      <c r="C725" t="s">
        <v>54</v>
      </c>
    </row>
    <row r="726" spans="1:3">
      <c r="A726" t="s">
        <v>1460</v>
      </c>
      <c r="B726" t="s">
        <v>106</v>
      </c>
      <c r="C726" t="s">
        <v>54</v>
      </c>
    </row>
    <row r="727" spans="1:3">
      <c r="A727" t="s">
        <v>1463</v>
      </c>
      <c r="B727" t="s">
        <v>219</v>
      </c>
      <c r="C727" t="s">
        <v>54</v>
      </c>
    </row>
    <row r="728" spans="1:3">
      <c r="A728" t="s">
        <v>1465</v>
      </c>
      <c r="B728" t="s">
        <v>119</v>
      </c>
      <c r="C728" t="s">
        <v>54</v>
      </c>
    </row>
    <row r="729" spans="1:3">
      <c r="A729" t="s">
        <v>1467</v>
      </c>
      <c r="B729" t="s">
        <v>232</v>
      </c>
      <c r="C729" t="s">
        <v>54</v>
      </c>
    </row>
    <row r="730" spans="1:3">
      <c r="A730" t="s">
        <v>1470</v>
      </c>
      <c r="B730" t="s">
        <v>148</v>
      </c>
      <c r="C730" t="s">
        <v>54</v>
      </c>
    </row>
    <row r="731" spans="1:3">
      <c r="A731" t="s">
        <v>1473</v>
      </c>
      <c r="B731" t="s">
        <v>106</v>
      </c>
      <c r="C731" t="s">
        <v>54</v>
      </c>
    </row>
    <row r="732" spans="1:3">
      <c r="A732" t="s">
        <v>1475</v>
      </c>
      <c r="B732" t="s">
        <v>132</v>
      </c>
      <c r="C732" t="s">
        <v>54</v>
      </c>
    </row>
    <row r="733" spans="1:3">
      <c r="A733" t="s">
        <v>1478</v>
      </c>
      <c r="B733" t="s">
        <v>106</v>
      </c>
      <c r="C733" t="s">
        <v>54</v>
      </c>
    </row>
    <row r="734" spans="1:3">
      <c r="A734" t="s">
        <v>1479</v>
      </c>
      <c r="B734" t="s">
        <v>232</v>
      </c>
      <c r="C734" t="s">
        <v>54</v>
      </c>
    </row>
    <row r="735" spans="1:3">
      <c r="A735" t="s">
        <v>1481</v>
      </c>
      <c r="B735" t="s">
        <v>232</v>
      </c>
      <c r="C735" t="s">
        <v>54</v>
      </c>
    </row>
    <row r="736" spans="1:3">
      <c r="A736" t="s">
        <v>1483</v>
      </c>
      <c r="B736" t="s">
        <v>232</v>
      </c>
      <c r="C736" t="s">
        <v>54</v>
      </c>
    </row>
    <row r="737" spans="1:3">
      <c r="A737" t="s">
        <v>1485</v>
      </c>
      <c r="B737" t="s">
        <v>106</v>
      </c>
      <c r="C737" t="s">
        <v>54</v>
      </c>
    </row>
    <row r="738" spans="1:3">
      <c r="A738" t="s">
        <v>1487</v>
      </c>
      <c r="B738" t="s">
        <v>232</v>
      </c>
      <c r="C738" t="s">
        <v>54</v>
      </c>
    </row>
    <row r="739" spans="1:3">
      <c r="A739" t="s">
        <v>1490</v>
      </c>
      <c r="B739" t="s">
        <v>106</v>
      </c>
      <c r="C739" t="s">
        <v>54</v>
      </c>
    </row>
    <row r="740" spans="1:3">
      <c r="A740" t="s">
        <v>1491</v>
      </c>
      <c r="B740" t="s">
        <v>106</v>
      </c>
      <c r="C740" t="s">
        <v>54</v>
      </c>
    </row>
    <row r="741" spans="1:3">
      <c r="A741" t="s">
        <v>1493</v>
      </c>
      <c r="B741" t="s">
        <v>180</v>
      </c>
      <c r="C741" t="s">
        <v>54</v>
      </c>
    </row>
    <row r="742" spans="1:3">
      <c r="A742" t="s">
        <v>1496</v>
      </c>
      <c r="B742" t="s">
        <v>132</v>
      </c>
      <c r="C742" t="s">
        <v>54</v>
      </c>
    </row>
    <row r="743" spans="1:3">
      <c r="A743" t="s">
        <v>1497</v>
      </c>
      <c r="B743" t="s">
        <v>132</v>
      </c>
      <c r="C743" t="s">
        <v>54</v>
      </c>
    </row>
    <row r="744" spans="1:3">
      <c r="A744" t="s">
        <v>1500</v>
      </c>
      <c r="B744" t="s">
        <v>132</v>
      </c>
      <c r="C744" t="s">
        <v>54</v>
      </c>
    </row>
    <row r="745" spans="1:3">
      <c r="A745" t="s">
        <v>1501</v>
      </c>
      <c r="B745" t="s">
        <v>232</v>
      </c>
      <c r="C745" t="s">
        <v>54</v>
      </c>
    </row>
    <row r="746" spans="1:3">
      <c r="A746" t="s">
        <v>1504</v>
      </c>
      <c r="B746" t="s">
        <v>132</v>
      </c>
      <c r="C746" t="s">
        <v>54</v>
      </c>
    </row>
    <row r="747" spans="1:3">
      <c r="A747" t="s">
        <v>1506</v>
      </c>
      <c r="B747" t="s">
        <v>132</v>
      </c>
      <c r="C747" t="s">
        <v>54</v>
      </c>
    </row>
    <row r="748" spans="1:3">
      <c r="A748" t="s">
        <v>1508</v>
      </c>
      <c r="B748" t="s">
        <v>106</v>
      </c>
      <c r="C748" t="s">
        <v>54</v>
      </c>
    </row>
    <row r="749" spans="1:3">
      <c r="A749" t="s">
        <v>1511</v>
      </c>
      <c r="B749" t="s">
        <v>120</v>
      </c>
      <c r="C749" t="s">
        <v>54</v>
      </c>
    </row>
    <row r="750" spans="1:3">
      <c r="A750" t="s">
        <v>1513</v>
      </c>
      <c r="B750" t="s">
        <v>106</v>
      </c>
      <c r="C750" t="s">
        <v>54</v>
      </c>
    </row>
    <row r="751" spans="1:3">
      <c r="A751" t="s">
        <v>1516</v>
      </c>
      <c r="B751" t="s">
        <v>232</v>
      </c>
      <c r="C751" t="s">
        <v>54</v>
      </c>
    </row>
    <row r="752" spans="1:3">
      <c r="A752" t="s">
        <v>1518</v>
      </c>
      <c r="B752" t="s">
        <v>132</v>
      </c>
      <c r="C752" t="s">
        <v>54</v>
      </c>
    </row>
    <row r="753" spans="1:3">
      <c r="A753" t="s">
        <v>1520</v>
      </c>
      <c r="B753" t="s">
        <v>106</v>
      </c>
      <c r="C753" t="s">
        <v>54</v>
      </c>
    </row>
    <row r="754" spans="1:3">
      <c r="A754" t="s">
        <v>1522</v>
      </c>
      <c r="B754" t="s">
        <v>232</v>
      </c>
      <c r="C754" t="s">
        <v>54</v>
      </c>
    </row>
    <row r="755" spans="1:3">
      <c r="A755" t="s">
        <v>1524</v>
      </c>
      <c r="B755" t="s">
        <v>180</v>
      </c>
      <c r="C755" t="s">
        <v>54</v>
      </c>
    </row>
    <row r="756" spans="1:3">
      <c r="A756" t="s">
        <v>1526</v>
      </c>
      <c r="B756" t="s">
        <v>106</v>
      </c>
      <c r="C756" t="s">
        <v>54</v>
      </c>
    </row>
    <row r="757" spans="1:3">
      <c r="A757" t="s">
        <v>1528</v>
      </c>
      <c r="B757" t="s">
        <v>132</v>
      </c>
      <c r="C757" t="s">
        <v>54</v>
      </c>
    </row>
    <row r="758" spans="1:3">
      <c r="A758" t="s">
        <v>1529</v>
      </c>
      <c r="B758" t="s">
        <v>120</v>
      </c>
      <c r="C758" t="s">
        <v>54</v>
      </c>
    </row>
    <row r="759" spans="1:3">
      <c r="A759" t="s">
        <v>1531</v>
      </c>
      <c r="B759" t="s">
        <v>132</v>
      </c>
      <c r="C759" t="s">
        <v>54</v>
      </c>
    </row>
    <row r="760" spans="1:3">
      <c r="A760" t="s">
        <v>1532</v>
      </c>
      <c r="B760" t="s">
        <v>106</v>
      </c>
      <c r="C760" t="s">
        <v>54</v>
      </c>
    </row>
    <row r="761" spans="1:3">
      <c r="A761" t="s">
        <v>1534</v>
      </c>
      <c r="B761" t="s">
        <v>106</v>
      </c>
      <c r="C761" t="s">
        <v>54</v>
      </c>
    </row>
    <row r="762" spans="1:3">
      <c r="A762" t="s">
        <v>1536</v>
      </c>
      <c r="B762" t="s">
        <v>106</v>
      </c>
      <c r="C762" t="s">
        <v>54</v>
      </c>
    </row>
    <row r="763" spans="1:3">
      <c r="A763" t="s">
        <v>1537</v>
      </c>
      <c r="B763" t="s">
        <v>106</v>
      </c>
      <c r="C763" t="s">
        <v>54</v>
      </c>
    </row>
    <row r="764" spans="1:3">
      <c r="A764" t="s">
        <v>1538</v>
      </c>
      <c r="B764" t="s">
        <v>232</v>
      </c>
      <c r="C764" t="s">
        <v>54</v>
      </c>
    </row>
    <row r="765" spans="1:3">
      <c r="A765" t="s">
        <v>1539</v>
      </c>
      <c r="B765" t="s">
        <v>119</v>
      </c>
      <c r="C765" t="s">
        <v>54</v>
      </c>
    </row>
    <row r="766" spans="1:3">
      <c r="A766" t="s">
        <v>1541</v>
      </c>
      <c r="B766" t="s">
        <v>106</v>
      </c>
      <c r="C766" t="s">
        <v>54</v>
      </c>
    </row>
    <row r="767" spans="1:3">
      <c r="A767" t="s">
        <v>1543</v>
      </c>
      <c r="B767" t="s">
        <v>106</v>
      </c>
      <c r="C767" t="s">
        <v>54</v>
      </c>
    </row>
    <row r="768" spans="1:3">
      <c r="A768" t="s">
        <v>1546</v>
      </c>
      <c r="B768" t="s">
        <v>132</v>
      </c>
      <c r="C768" t="s">
        <v>54</v>
      </c>
    </row>
    <row r="769" spans="1:3">
      <c r="A769" t="s">
        <v>1548</v>
      </c>
      <c r="B769" t="s">
        <v>232</v>
      </c>
      <c r="C769" t="s">
        <v>54</v>
      </c>
    </row>
    <row r="770" spans="1:3">
      <c r="A770" t="s">
        <v>1549</v>
      </c>
      <c r="B770" t="s">
        <v>148</v>
      </c>
      <c r="C770" t="s">
        <v>54</v>
      </c>
    </row>
    <row r="771" spans="1:3">
      <c r="A771" t="s">
        <v>1551</v>
      </c>
      <c r="B771" t="s">
        <v>232</v>
      </c>
      <c r="C771" t="s">
        <v>54</v>
      </c>
    </row>
    <row r="772" spans="1:3">
      <c r="A772" t="s">
        <v>1553</v>
      </c>
      <c r="B772" t="s">
        <v>106</v>
      </c>
      <c r="C772" t="s">
        <v>54</v>
      </c>
    </row>
    <row r="773" spans="1:3">
      <c r="A773" t="s">
        <v>1555</v>
      </c>
      <c r="B773" t="s">
        <v>106</v>
      </c>
      <c r="C773" t="s">
        <v>54</v>
      </c>
    </row>
    <row r="774" spans="1:3">
      <c r="A774" t="s">
        <v>1556</v>
      </c>
      <c r="B774" t="s">
        <v>132</v>
      </c>
      <c r="C774" t="s">
        <v>54</v>
      </c>
    </row>
    <row r="775" spans="1:3">
      <c r="A775" t="s">
        <v>1558</v>
      </c>
      <c r="B775" t="s">
        <v>219</v>
      </c>
      <c r="C775" t="s">
        <v>54</v>
      </c>
    </row>
    <row r="776" spans="1:3">
      <c r="A776" t="s">
        <v>1560</v>
      </c>
      <c r="B776" t="s">
        <v>232</v>
      </c>
      <c r="C776" t="s">
        <v>54</v>
      </c>
    </row>
    <row r="777" spans="1:3">
      <c r="A777" t="s">
        <v>1562</v>
      </c>
      <c r="B777" t="s">
        <v>106</v>
      </c>
      <c r="C777" t="s">
        <v>54</v>
      </c>
    </row>
    <row r="778" spans="1:3">
      <c r="A778" t="s">
        <v>1564</v>
      </c>
      <c r="B778" t="s">
        <v>232</v>
      </c>
      <c r="C778" t="s">
        <v>54</v>
      </c>
    </row>
    <row r="779" spans="1:3">
      <c r="A779" t="s">
        <v>1567</v>
      </c>
      <c r="B779" t="s">
        <v>119</v>
      </c>
      <c r="C779" t="s">
        <v>54</v>
      </c>
    </row>
    <row r="780" spans="1:3">
      <c r="A780" t="s">
        <v>1569</v>
      </c>
      <c r="B780" t="s">
        <v>132</v>
      </c>
      <c r="C780" t="s">
        <v>54</v>
      </c>
    </row>
    <row r="781" spans="1:3">
      <c r="A781" t="s">
        <v>1571</v>
      </c>
      <c r="B781" t="s">
        <v>232</v>
      </c>
      <c r="C781" t="s">
        <v>54</v>
      </c>
    </row>
    <row r="782" spans="1:3">
      <c r="A782" t="s">
        <v>1572</v>
      </c>
      <c r="B782" t="s">
        <v>106</v>
      </c>
      <c r="C782" t="s">
        <v>54</v>
      </c>
    </row>
    <row r="783" spans="1:3">
      <c r="A783" t="s">
        <v>1573</v>
      </c>
      <c r="B783" t="s">
        <v>132</v>
      </c>
      <c r="C783" t="s">
        <v>54</v>
      </c>
    </row>
    <row r="784" spans="1:3">
      <c r="A784" t="s">
        <v>1574</v>
      </c>
      <c r="B784" t="s">
        <v>132</v>
      </c>
      <c r="C784" t="s">
        <v>54</v>
      </c>
    </row>
    <row r="785" spans="1:3">
      <c r="A785" t="s">
        <v>1576</v>
      </c>
      <c r="B785" t="s">
        <v>106</v>
      </c>
      <c r="C785" t="s">
        <v>54</v>
      </c>
    </row>
    <row r="786" spans="1:3">
      <c r="A786" t="s">
        <v>1577</v>
      </c>
      <c r="B786" t="s">
        <v>106</v>
      </c>
      <c r="C786" t="s">
        <v>54</v>
      </c>
    </row>
    <row r="787" spans="1:3">
      <c r="A787" t="s">
        <v>1578</v>
      </c>
      <c r="B787" t="s">
        <v>116</v>
      </c>
      <c r="C787" t="s">
        <v>54</v>
      </c>
    </row>
    <row r="788" spans="1:3">
      <c r="A788" t="s">
        <v>1580</v>
      </c>
      <c r="B788" t="s">
        <v>106</v>
      </c>
      <c r="C788" t="s">
        <v>54</v>
      </c>
    </row>
    <row r="789" spans="1:3">
      <c r="A789" t="s">
        <v>1582</v>
      </c>
      <c r="B789" t="s">
        <v>106</v>
      </c>
      <c r="C789" t="s">
        <v>54</v>
      </c>
    </row>
    <row r="790" spans="1:3">
      <c r="A790" t="s">
        <v>1584</v>
      </c>
      <c r="B790" t="s">
        <v>106</v>
      </c>
      <c r="C790" t="s">
        <v>54</v>
      </c>
    </row>
    <row r="791" spans="1:3">
      <c r="A791" t="s">
        <v>1586</v>
      </c>
      <c r="B791" t="s">
        <v>132</v>
      </c>
      <c r="C791" t="s">
        <v>54</v>
      </c>
    </row>
    <row r="792" spans="1:3">
      <c r="A792" t="s">
        <v>1588</v>
      </c>
      <c r="B792" t="s">
        <v>106</v>
      </c>
      <c r="C792" t="s">
        <v>54</v>
      </c>
    </row>
    <row r="793" spans="1:3">
      <c r="A793" t="s">
        <v>1590</v>
      </c>
      <c r="B793" t="s">
        <v>204</v>
      </c>
      <c r="C793" t="s">
        <v>54</v>
      </c>
    </row>
    <row r="794" spans="1:3">
      <c r="A794" t="s">
        <v>1592</v>
      </c>
      <c r="B794" t="s">
        <v>106</v>
      </c>
      <c r="C794" t="s">
        <v>54</v>
      </c>
    </row>
    <row r="795" spans="1:3">
      <c r="A795" t="s">
        <v>1594</v>
      </c>
      <c r="B795" t="s">
        <v>120</v>
      </c>
      <c r="C795" t="s">
        <v>54</v>
      </c>
    </row>
    <row r="796" spans="1:3">
      <c r="A796" t="s">
        <v>1595</v>
      </c>
      <c r="B796" t="s">
        <v>180</v>
      </c>
      <c r="C796" t="s">
        <v>54</v>
      </c>
    </row>
    <row r="797" spans="1:3">
      <c r="A797" t="s">
        <v>1597</v>
      </c>
      <c r="B797" t="s">
        <v>106</v>
      </c>
      <c r="C797" t="s">
        <v>54</v>
      </c>
    </row>
    <row r="798" spans="1:3">
      <c r="A798" t="s">
        <v>1598</v>
      </c>
      <c r="B798" t="s">
        <v>180</v>
      </c>
      <c r="C798" t="s">
        <v>54</v>
      </c>
    </row>
    <row r="799" spans="1:3">
      <c r="A799" t="s">
        <v>1600</v>
      </c>
      <c r="B799" t="s">
        <v>112</v>
      </c>
      <c r="C799" t="s">
        <v>54</v>
      </c>
    </row>
    <row r="800" spans="1:3">
      <c r="A800" t="s">
        <v>1602</v>
      </c>
      <c r="B800" t="s">
        <v>232</v>
      </c>
      <c r="C800" t="s">
        <v>54</v>
      </c>
    </row>
    <row r="801" spans="1:3">
      <c r="A801" t="s">
        <v>1603</v>
      </c>
      <c r="B801" t="s">
        <v>119</v>
      </c>
      <c r="C801" t="s">
        <v>54</v>
      </c>
    </row>
    <row r="802" spans="1:3">
      <c r="A802" t="s">
        <v>1604</v>
      </c>
      <c r="B802" t="s">
        <v>106</v>
      </c>
      <c r="C802" t="s">
        <v>54</v>
      </c>
    </row>
    <row r="803" spans="1:3">
      <c r="A803" t="s">
        <v>1606</v>
      </c>
      <c r="B803" t="s">
        <v>106</v>
      </c>
      <c r="C803" t="s">
        <v>54</v>
      </c>
    </row>
    <row r="804" spans="1:3">
      <c r="A804" t="s">
        <v>1607</v>
      </c>
      <c r="B804" t="s">
        <v>180</v>
      </c>
      <c r="C804" t="s">
        <v>54</v>
      </c>
    </row>
    <row r="805" spans="1:3">
      <c r="A805" t="s">
        <v>1609</v>
      </c>
      <c r="B805" t="s">
        <v>112</v>
      </c>
      <c r="C805" t="s">
        <v>54</v>
      </c>
    </row>
    <row r="806" spans="1:3">
      <c r="A806" t="s">
        <v>1611</v>
      </c>
      <c r="B806" t="s">
        <v>232</v>
      </c>
      <c r="C806" t="s">
        <v>54</v>
      </c>
    </row>
    <row r="807" spans="1:3">
      <c r="A807" t="s">
        <v>1612</v>
      </c>
      <c r="B807" t="s">
        <v>132</v>
      </c>
      <c r="C807" t="s">
        <v>54</v>
      </c>
    </row>
    <row r="808" spans="1:3">
      <c r="A808" t="s">
        <v>1613</v>
      </c>
      <c r="B808" t="s">
        <v>106</v>
      </c>
      <c r="C808" t="s">
        <v>54</v>
      </c>
    </row>
    <row r="809" spans="1:3">
      <c r="A809" t="s">
        <v>1615</v>
      </c>
      <c r="B809" t="s">
        <v>132</v>
      </c>
      <c r="C809" t="s">
        <v>54</v>
      </c>
    </row>
    <row r="810" spans="1:3">
      <c r="A810" t="s">
        <v>1617</v>
      </c>
      <c r="B810" t="s">
        <v>106</v>
      </c>
      <c r="C810" t="s">
        <v>54</v>
      </c>
    </row>
    <row r="811" spans="1:3">
      <c r="A811" t="s">
        <v>1619</v>
      </c>
      <c r="B811" t="s">
        <v>106</v>
      </c>
      <c r="C811" t="s">
        <v>54</v>
      </c>
    </row>
    <row r="812" spans="1:3">
      <c r="A812" t="s">
        <v>1621</v>
      </c>
      <c r="B812" t="s">
        <v>148</v>
      </c>
      <c r="C812" t="s">
        <v>54</v>
      </c>
    </row>
    <row r="813" spans="1:3">
      <c r="A813" t="s">
        <v>1622</v>
      </c>
      <c r="B813" t="s">
        <v>112</v>
      </c>
      <c r="C813" t="s">
        <v>54</v>
      </c>
    </row>
    <row r="814" spans="1:3">
      <c r="A814" t="s">
        <v>1624</v>
      </c>
      <c r="B814" t="s">
        <v>232</v>
      </c>
      <c r="C814" t="s">
        <v>54</v>
      </c>
    </row>
    <row r="815" spans="1:3">
      <c r="A815" t="s">
        <v>1626</v>
      </c>
      <c r="B815" t="s">
        <v>220</v>
      </c>
      <c r="C815" t="s">
        <v>54</v>
      </c>
    </row>
    <row r="816" spans="1:3">
      <c r="A816" t="s">
        <v>1627</v>
      </c>
      <c r="B816" t="s">
        <v>106</v>
      </c>
      <c r="C816" t="s">
        <v>54</v>
      </c>
    </row>
    <row r="817" spans="1:3">
      <c r="A817" t="s">
        <v>1629</v>
      </c>
      <c r="B817" t="s">
        <v>132</v>
      </c>
      <c r="C817" t="s">
        <v>54</v>
      </c>
    </row>
    <row r="818" spans="1:3">
      <c r="A818" t="s">
        <v>1630</v>
      </c>
      <c r="B818" t="s">
        <v>232</v>
      </c>
      <c r="C818" t="s">
        <v>54</v>
      </c>
    </row>
    <row r="819" spans="1:3">
      <c r="A819" t="s">
        <v>1633</v>
      </c>
      <c r="B819" t="s">
        <v>106</v>
      </c>
      <c r="C819" t="s">
        <v>54</v>
      </c>
    </row>
    <row r="820" spans="1:3">
      <c r="A820" t="s">
        <v>1634</v>
      </c>
      <c r="B820" t="s">
        <v>211</v>
      </c>
      <c r="C820" t="s">
        <v>54</v>
      </c>
    </row>
    <row r="821" spans="1:3">
      <c r="A821" t="s">
        <v>1636</v>
      </c>
      <c r="B821" t="s">
        <v>232</v>
      </c>
      <c r="C821" t="s">
        <v>54</v>
      </c>
    </row>
    <row r="822" spans="1:3">
      <c r="A822" t="s">
        <v>1637</v>
      </c>
      <c r="B822" t="s">
        <v>106</v>
      </c>
      <c r="C822" t="s">
        <v>54</v>
      </c>
    </row>
    <row r="823" spans="1:3">
      <c r="A823" t="s">
        <v>1639</v>
      </c>
      <c r="B823" t="s">
        <v>116</v>
      </c>
      <c r="C823" t="s">
        <v>54</v>
      </c>
    </row>
    <row r="824" spans="1:3">
      <c r="A824" t="s">
        <v>1641</v>
      </c>
      <c r="B824" t="s">
        <v>132</v>
      </c>
      <c r="C824" t="s">
        <v>54</v>
      </c>
    </row>
    <row r="825" spans="1:3">
      <c r="A825" t="s">
        <v>1642</v>
      </c>
      <c r="B825" t="s">
        <v>223</v>
      </c>
      <c r="C825" t="s">
        <v>54</v>
      </c>
    </row>
    <row r="826" spans="1:3">
      <c r="A826" t="s">
        <v>1644</v>
      </c>
      <c r="B826" t="s">
        <v>106</v>
      </c>
      <c r="C826" t="s">
        <v>54</v>
      </c>
    </row>
    <row r="827" spans="1:3">
      <c r="A827" t="s">
        <v>1646</v>
      </c>
      <c r="B827" t="s">
        <v>232</v>
      </c>
      <c r="C827" t="s">
        <v>54</v>
      </c>
    </row>
    <row r="828" spans="1:3">
      <c r="A828" t="s">
        <v>1647</v>
      </c>
      <c r="B828" t="s">
        <v>162</v>
      </c>
      <c r="C828" t="s">
        <v>54</v>
      </c>
    </row>
    <row r="829" spans="1:3">
      <c r="A829" t="s">
        <v>1649</v>
      </c>
      <c r="B829" t="s">
        <v>106</v>
      </c>
      <c r="C829" t="s">
        <v>54</v>
      </c>
    </row>
    <row r="830" spans="1:3">
      <c r="A830" t="s">
        <v>1650</v>
      </c>
      <c r="B830" t="s">
        <v>106</v>
      </c>
      <c r="C830" t="s">
        <v>54</v>
      </c>
    </row>
    <row r="831" spans="1:3">
      <c r="A831" t="s">
        <v>1652</v>
      </c>
      <c r="B831" t="s">
        <v>223</v>
      </c>
      <c r="C831" t="s">
        <v>54</v>
      </c>
    </row>
    <row r="832" spans="1:3">
      <c r="A832" t="s">
        <v>1654</v>
      </c>
      <c r="B832" t="s">
        <v>241</v>
      </c>
      <c r="C832" t="s">
        <v>54</v>
      </c>
    </row>
    <row r="833" spans="1:3">
      <c r="A833" t="s">
        <v>1656</v>
      </c>
      <c r="B833" t="s">
        <v>232</v>
      </c>
      <c r="C833" t="s">
        <v>54</v>
      </c>
    </row>
    <row r="834" spans="1:3">
      <c r="A834" t="s">
        <v>1658</v>
      </c>
      <c r="B834" t="s">
        <v>232</v>
      </c>
      <c r="C834" t="s">
        <v>54</v>
      </c>
    </row>
    <row r="835" spans="1:3">
      <c r="A835" t="s">
        <v>1660</v>
      </c>
      <c r="B835" t="s">
        <v>232</v>
      </c>
      <c r="C835" t="s">
        <v>54</v>
      </c>
    </row>
    <row r="836" spans="1:3">
      <c r="A836" t="s">
        <v>1662</v>
      </c>
      <c r="B836" t="s">
        <v>232</v>
      </c>
      <c r="C836" t="s">
        <v>54</v>
      </c>
    </row>
    <row r="837" spans="1:3">
      <c r="A837" t="s">
        <v>1664</v>
      </c>
      <c r="B837" t="s">
        <v>232</v>
      </c>
      <c r="C837" t="s">
        <v>54</v>
      </c>
    </row>
    <row r="838" spans="1:3">
      <c r="A838" t="s">
        <v>1665</v>
      </c>
      <c r="B838" t="s">
        <v>232</v>
      </c>
      <c r="C838" t="s">
        <v>54</v>
      </c>
    </row>
    <row r="839" spans="1:3">
      <c r="A839" t="s">
        <v>1667</v>
      </c>
      <c r="B839" t="s">
        <v>232</v>
      </c>
      <c r="C839" t="s">
        <v>54</v>
      </c>
    </row>
    <row r="840" spans="1:3">
      <c r="A840" t="s">
        <v>1669</v>
      </c>
      <c r="B840" t="s">
        <v>232</v>
      </c>
      <c r="C840" t="s">
        <v>54</v>
      </c>
    </row>
    <row r="841" spans="1:3">
      <c r="A841" t="s">
        <v>1670</v>
      </c>
      <c r="B841" t="s">
        <v>232</v>
      </c>
      <c r="C841" t="s">
        <v>54</v>
      </c>
    </row>
    <row r="842" spans="1:3">
      <c r="A842" t="s">
        <v>1672</v>
      </c>
      <c r="B842" t="s">
        <v>232</v>
      </c>
      <c r="C842" t="s">
        <v>54</v>
      </c>
    </row>
    <row r="843" spans="1:3">
      <c r="A843" t="s">
        <v>1673</v>
      </c>
      <c r="B843" t="s">
        <v>232</v>
      </c>
      <c r="C843" t="s">
        <v>54</v>
      </c>
    </row>
    <row r="844" spans="1:3">
      <c r="A844" t="s">
        <v>1674</v>
      </c>
      <c r="B844" t="s">
        <v>232</v>
      </c>
      <c r="C844" t="s">
        <v>54</v>
      </c>
    </row>
    <row r="845" spans="1:3">
      <c r="A845" t="s">
        <v>1675</v>
      </c>
      <c r="B845" t="s">
        <v>232</v>
      </c>
      <c r="C845" t="s">
        <v>54</v>
      </c>
    </row>
    <row r="846" spans="1:3">
      <c r="A846" t="s">
        <v>1677</v>
      </c>
      <c r="B846" t="s">
        <v>106</v>
      </c>
      <c r="C846" t="s">
        <v>54</v>
      </c>
    </row>
    <row r="847" spans="1:3">
      <c r="A847" t="s">
        <v>1679</v>
      </c>
      <c r="B847" t="s">
        <v>232</v>
      </c>
      <c r="C847" t="s">
        <v>54</v>
      </c>
    </row>
    <row r="848" spans="1:3">
      <c r="A848" t="s">
        <v>1680</v>
      </c>
      <c r="B848" t="s">
        <v>232</v>
      </c>
      <c r="C848" t="s">
        <v>54</v>
      </c>
    </row>
    <row r="849" spans="1:3">
      <c r="A849" t="s">
        <v>1681</v>
      </c>
      <c r="B849" t="s">
        <v>232</v>
      </c>
      <c r="C849" t="s">
        <v>54</v>
      </c>
    </row>
    <row r="850" spans="1:3">
      <c r="A850" t="s">
        <v>1682</v>
      </c>
      <c r="B850" t="s">
        <v>232</v>
      </c>
      <c r="C850" t="s">
        <v>54</v>
      </c>
    </row>
    <row r="851" spans="1:3">
      <c r="A851" t="s">
        <v>1683</v>
      </c>
      <c r="B851" t="s">
        <v>232</v>
      </c>
      <c r="C851" t="s">
        <v>54</v>
      </c>
    </row>
    <row r="852" spans="1:3">
      <c r="A852" t="s">
        <v>1685</v>
      </c>
      <c r="B852" t="s">
        <v>232</v>
      </c>
      <c r="C852" t="s">
        <v>54</v>
      </c>
    </row>
    <row r="853" spans="1:3">
      <c r="A853" t="s">
        <v>1687</v>
      </c>
      <c r="B853" t="s">
        <v>232</v>
      </c>
      <c r="C853" t="s">
        <v>54</v>
      </c>
    </row>
    <row r="854" spans="1:3">
      <c r="A854" t="s">
        <v>1689</v>
      </c>
      <c r="B854" t="s">
        <v>232</v>
      </c>
      <c r="C854" t="s">
        <v>54</v>
      </c>
    </row>
    <row r="855" spans="1:3">
      <c r="A855" t="s">
        <v>1690</v>
      </c>
      <c r="B855" t="s">
        <v>232</v>
      </c>
      <c r="C855" t="s">
        <v>54</v>
      </c>
    </row>
    <row r="856" spans="1:3">
      <c r="A856" t="s">
        <v>1691</v>
      </c>
      <c r="B856" t="s">
        <v>232</v>
      </c>
      <c r="C856" t="s">
        <v>54</v>
      </c>
    </row>
    <row r="857" spans="1:3">
      <c r="A857" t="s">
        <v>1692</v>
      </c>
      <c r="B857" t="s">
        <v>232</v>
      </c>
      <c r="C857" t="s">
        <v>54</v>
      </c>
    </row>
    <row r="858" spans="1:3">
      <c r="A858" t="s">
        <v>1694</v>
      </c>
      <c r="B858" t="s">
        <v>232</v>
      </c>
      <c r="C858" t="s">
        <v>54</v>
      </c>
    </row>
    <row r="859" spans="1:3">
      <c r="A859" t="s">
        <v>1696</v>
      </c>
      <c r="B859" t="s">
        <v>132</v>
      </c>
      <c r="C859" t="s">
        <v>54</v>
      </c>
    </row>
    <row r="860" spans="1:3">
      <c r="A860" t="s">
        <v>1697</v>
      </c>
      <c r="B860" t="s">
        <v>232</v>
      </c>
      <c r="C860" t="s">
        <v>54</v>
      </c>
    </row>
    <row r="861" spans="1:3">
      <c r="A861" t="s">
        <v>1699</v>
      </c>
      <c r="B861" t="s">
        <v>106</v>
      </c>
      <c r="C861" t="s">
        <v>54</v>
      </c>
    </row>
    <row r="862" spans="1:3">
      <c r="A862" t="s">
        <v>1701</v>
      </c>
      <c r="B862" t="s">
        <v>106</v>
      </c>
      <c r="C862" t="s">
        <v>54</v>
      </c>
    </row>
    <row r="863" spans="1:3">
      <c r="A863" t="s">
        <v>1703</v>
      </c>
      <c r="B863" t="s">
        <v>132</v>
      </c>
      <c r="C863" t="s">
        <v>54</v>
      </c>
    </row>
    <row r="864" spans="1:3">
      <c r="A864" t="s">
        <v>1704</v>
      </c>
      <c r="B864" t="s">
        <v>132</v>
      </c>
      <c r="C864" t="s">
        <v>54</v>
      </c>
    </row>
    <row r="865" spans="1:3">
      <c r="A865" t="s">
        <v>1706</v>
      </c>
      <c r="B865" t="s">
        <v>232</v>
      </c>
      <c r="C865" t="s">
        <v>54</v>
      </c>
    </row>
    <row r="866" spans="1:3">
      <c r="A866" t="s">
        <v>1707</v>
      </c>
      <c r="B866" t="s">
        <v>132</v>
      </c>
      <c r="C866" t="s">
        <v>54</v>
      </c>
    </row>
    <row r="867" spans="1:3">
      <c r="A867" t="s">
        <v>1708</v>
      </c>
      <c r="B867" t="s">
        <v>132</v>
      </c>
      <c r="C867" t="s">
        <v>54</v>
      </c>
    </row>
    <row r="868" spans="1:3">
      <c r="A868" t="s">
        <v>1709</v>
      </c>
      <c r="B868" t="s">
        <v>106</v>
      </c>
      <c r="C868" t="s">
        <v>54</v>
      </c>
    </row>
    <row r="869" spans="1:3">
      <c r="A869" t="s">
        <v>1710</v>
      </c>
      <c r="B869" t="s">
        <v>119</v>
      </c>
      <c r="C869" t="s">
        <v>54</v>
      </c>
    </row>
    <row r="870" spans="1:3">
      <c r="A870" t="s">
        <v>1711</v>
      </c>
      <c r="B870" t="s">
        <v>220</v>
      </c>
      <c r="C870" t="s">
        <v>54</v>
      </c>
    </row>
    <row r="871" spans="1:3">
      <c r="A871" t="s">
        <v>1713</v>
      </c>
      <c r="B871" t="s">
        <v>232</v>
      </c>
      <c r="C871" t="s">
        <v>54</v>
      </c>
    </row>
    <row r="872" spans="1:3">
      <c r="A872" t="s">
        <v>1714</v>
      </c>
      <c r="B872" t="s">
        <v>120</v>
      </c>
      <c r="C872" t="s">
        <v>54</v>
      </c>
    </row>
    <row r="873" spans="1:3">
      <c r="A873" t="s">
        <v>1716</v>
      </c>
      <c r="B873" t="s">
        <v>232</v>
      </c>
      <c r="C873" t="s">
        <v>54</v>
      </c>
    </row>
    <row r="874" spans="1:3">
      <c r="A874" t="s">
        <v>1717</v>
      </c>
      <c r="B874" t="s">
        <v>232</v>
      </c>
      <c r="C874" t="s">
        <v>54</v>
      </c>
    </row>
    <row r="875" spans="1:3">
      <c r="A875" t="s">
        <v>1719</v>
      </c>
      <c r="B875" t="s">
        <v>106</v>
      </c>
      <c r="C875" t="s">
        <v>54</v>
      </c>
    </row>
    <row r="876" spans="1:3">
      <c r="A876" t="s">
        <v>1720</v>
      </c>
      <c r="B876" t="s">
        <v>106</v>
      </c>
      <c r="C876" t="s">
        <v>54</v>
      </c>
    </row>
    <row r="877" spans="1:3">
      <c r="A877" t="s">
        <v>1721</v>
      </c>
      <c r="B877" t="s">
        <v>112</v>
      </c>
      <c r="C877" t="s">
        <v>54</v>
      </c>
    </row>
    <row r="878" spans="1:3">
      <c r="A878" t="s">
        <v>1723</v>
      </c>
      <c r="B878" t="s">
        <v>232</v>
      </c>
      <c r="C878" t="s">
        <v>54</v>
      </c>
    </row>
    <row r="879" spans="1:3">
      <c r="A879" t="s">
        <v>1724</v>
      </c>
      <c r="B879" t="s">
        <v>106</v>
      </c>
      <c r="C879" t="s">
        <v>54</v>
      </c>
    </row>
    <row r="880" spans="1:3">
      <c r="A880" t="s">
        <v>1726</v>
      </c>
      <c r="B880" t="s">
        <v>150</v>
      </c>
      <c r="C880" t="s">
        <v>54</v>
      </c>
    </row>
    <row r="881" spans="1:3">
      <c r="A881" t="s">
        <v>1728</v>
      </c>
      <c r="B881" t="s">
        <v>106</v>
      </c>
      <c r="C881" t="s">
        <v>54</v>
      </c>
    </row>
    <row r="882" spans="1:3">
      <c r="A882" t="s">
        <v>1730</v>
      </c>
      <c r="B882" t="s">
        <v>220</v>
      </c>
      <c r="C882" t="s">
        <v>54</v>
      </c>
    </row>
    <row r="883" spans="1:3">
      <c r="A883" t="s">
        <v>1732</v>
      </c>
      <c r="B883" t="s">
        <v>106</v>
      </c>
      <c r="C883" t="s">
        <v>54</v>
      </c>
    </row>
    <row r="884" spans="1:3">
      <c r="A884" t="s">
        <v>1733</v>
      </c>
      <c r="B884" t="s">
        <v>220</v>
      </c>
      <c r="C884" t="s">
        <v>54</v>
      </c>
    </row>
    <row r="885" spans="1:3">
      <c r="A885" t="s">
        <v>1735</v>
      </c>
      <c r="B885" t="s">
        <v>132</v>
      </c>
      <c r="C885" t="s">
        <v>54</v>
      </c>
    </row>
    <row r="886" spans="1:3">
      <c r="A886" t="s">
        <v>1736</v>
      </c>
      <c r="B886" t="s">
        <v>232</v>
      </c>
      <c r="C886" t="s">
        <v>54</v>
      </c>
    </row>
    <row r="887" spans="1:3">
      <c r="A887" t="s">
        <v>1737</v>
      </c>
      <c r="B887" t="s">
        <v>106</v>
      </c>
      <c r="C887" t="s">
        <v>54</v>
      </c>
    </row>
    <row r="888" spans="1:3">
      <c r="A888" t="s">
        <v>1739</v>
      </c>
      <c r="B888" t="s">
        <v>106</v>
      </c>
      <c r="C888" t="s">
        <v>54</v>
      </c>
    </row>
    <row r="889" spans="1:3">
      <c r="A889" t="s">
        <v>2685</v>
      </c>
      <c r="B889" t="s">
        <v>132</v>
      </c>
      <c r="C889" t="s">
        <v>54</v>
      </c>
    </row>
    <row r="890" spans="1:3">
      <c r="A890" t="s">
        <v>2686</v>
      </c>
      <c r="B890" t="s">
        <v>106</v>
      </c>
      <c r="C890" t="s">
        <v>54</v>
      </c>
    </row>
    <row r="891" spans="1:3">
      <c r="A891" t="s">
        <v>1741</v>
      </c>
      <c r="B891" t="s">
        <v>190</v>
      </c>
      <c r="C891" t="s">
        <v>57</v>
      </c>
    </row>
    <row r="892" spans="1:3">
      <c r="A892" t="s">
        <v>1745</v>
      </c>
      <c r="B892" t="s">
        <v>190</v>
      </c>
      <c r="C892" t="s">
        <v>57</v>
      </c>
    </row>
    <row r="893" spans="1:3">
      <c r="A893" t="s">
        <v>1746</v>
      </c>
      <c r="B893" t="s">
        <v>190</v>
      </c>
      <c r="C893" t="s">
        <v>57</v>
      </c>
    </row>
    <row r="894" spans="1:3">
      <c r="A894" t="s">
        <v>1747</v>
      </c>
      <c r="B894" t="s">
        <v>190</v>
      </c>
      <c r="C894" t="s">
        <v>57</v>
      </c>
    </row>
    <row r="895" spans="1:3">
      <c r="A895" t="s">
        <v>1749</v>
      </c>
      <c r="B895" t="s">
        <v>190</v>
      </c>
      <c r="C895" t="s">
        <v>57</v>
      </c>
    </row>
    <row r="896" spans="1:3">
      <c r="A896" t="s">
        <v>1750</v>
      </c>
      <c r="B896" t="s">
        <v>190</v>
      </c>
      <c r="C896" t="s">
        <v>57</v>
      </c>
    </row>
    <row r="897" spans="1:3">
      <c r="A897" t="s">
        <v>1752</v>
      </c>
      <c r="B897" t="s">
        <v>106</v>
      </c>
      <c r="C897" t="s">
        <v>58</v>
      </c>
    </row>
    <row r="898" spans="1:3">
      <c r="A898" t="s">
        <v>1756</v>
      </c>
      <c r="B898" t="s">
        <v>124</v>
      </c>
      <c r="C898" t="s">
        <v>58</v>
      </c>
    </row>
    <row r="899" spans="1:3">
      <c r="A899" t="s">
        <v>1758</v>
      </c>
      <c r="B899" t="s">
        <v>124</v>
      </c>
      <c r="C899" t="s">
        <v>58</v>
      </c>
    </row>
    <row r="900" spans="1:3">
      <c r="A900" t="s">
        <v>2687</v>
      </c>
      <c r="B900" t="s">
        <v>124</v>
      </c>
      <c r="C900" t="s">
        <v>58</v>
      </c>
    </row>
    <row r="901" spans="1:3">
      <c r="A901" t="s">
        <v>1759</v>
      </c>
      <c r="B901" t="s">
        <v>106</v>
      </c>
      <c r="C901" t="s">
        <v>58</v>
      </c>
    </row>
    <row r="902" spans="1:3">
      <c r="A902" t="s">
        <v>1761</v>
      </c>
      <c r="B902" t="s">
        <v>124</v>
      </c>
      <c r="C902" t="s">
        <v>58</v>
      </c>
    </row>
    <row r="903" spans="1:3">
      <c r="A903" t="s">
        <v>1764</v>
      </c>
      <c r="B903" t="s">
        <v>124</v>
      </c>
      <c r="C903" t="s">
        <v>58</v>
      </c>
    </row>
    <row r="904" spans="1:3">
      <c r="A904" t="s">
        <v>1766</v>
      </c>
      <c r="B904" t="s">
        <v>124</v>
      </c>
      <c r="C904" t="s">
        <v>58</v>
      </c>
    </row>
    <row r="905" spans="1:3">
      <c r="A905" t="s">
        <v>1768</v>
      </c>
      <c r="B905" t="s">
        <v>124</v>
      </c>
      <c r="C905" t="s">
        <v>58</v>
      </c>
    </row>
    <row r="906" spans="1:3">
      <c r="A906" t="s">
        <v>1770</v>
      </c>
      <c r="B906" t="s">
        <v>124</v>
      </c>
      <c r="C906" t="s">
        <v>58</v>
      </c>
    </row>
    <row r="907" spans="1:3">
      <c r="A907" t="s">
        <v>1772</v>
      </c>
      <c r="B907" t="s">
        <v>124</v>
      </c>
      <c r="C907" t="s">
        <v>58</v>
      </c>
    </row>
    <row r="908" spans="1:3">
      <c r="A908" t="s">
        <v>1774</v>
      </c>
      <c r="B908" t="s">
        <v>124</v>
      </c>
      <c r="C908" t="s">
        <v>58</v>
      </c>
    </row>
    <row r="909" spans="1:3">
      <c r="A909" t="s">
        <v>1776</v>
      </c>
      <c r="B909" t="s">
        <v>124</v>
      </c>
      <c r="C909" t="s">
        <v>58</v>
      </c>
    </row>
    <row r="910" spans="1:3">
      <c r="A910" t="s">
        <v>1778</v>
      </c>
      <c r="B910" t="s">
        <v>103</v>
      </c>
      <c r="C910" t="s">
        <v>57</v>
      </c>
    </row>
    <row r="911" spans="1:3">
      <c r="A911" t="s">
        <v>1782</v>
      </c>
      <c r="B911" t="s">
        <v>103</v>
      </c>
      <c r="C911" t="s">
        <v>57</v>
      </c>
    </row>
    <row r="912" spans="1:3">
      <c r="A912" t="s">
        <v>1784</v>
      </c>
      <c r="B912" t="s">
        <v>103</v>
      </c>
      <c r="C912" t="s">
        <v>57</v>
      </c>
    </row>
    <row r="913" spans="1:3">
      <c r="A913" t="s">
        <v>1786</v>
      </c>
      <c r="B913" t="s">
        <v>103</v>
      </c>
      <c r="C913" t="s">
        <v>57</v>
      </c>
    </row>
    <row r="914" spans="1:3">
      <c r="A914" t="s">
        <v>1788</v>
      </c>
      <c r="B914" t="s">
        <v>103</v>
      </c>
      <c r="C914" t="s">
        <v>57</v>
      </c>
    </row>
    <row r="915" spans="1:3">
      <c r="A915" t="s">
        <v>1790</v>
      </c>
      <c r="B915" t="s">
        <v>103</v>
      </c>
      <c r="C915" t="s">
        <v>57</v>
      </c>
    </row>
    <row r="916" spans="1:3">
      <c r="A916" t="s">
        <v>1792</v>
      </c>
      <c r="B916" t="s">
        <v>103</v>
      </c>
      <c r="C916" t="s">
        <v>57</v>
      </c>
    </row>
    <row r="917" spans="1:3">
      <c r="A917" t="s">
        <v>1794</v>
      </c>
      <c r="B917" t="s">
        <v>106</v>
      </c>
      <c r="C917" t="s">
        <v>57</v>
      </c>
    </row>
    <row r="918" spans="1:3">
      <c r="A918" t="s">
        <v>1798</v>
      </c>
      <c r="B918" t="s">
        <v>106</v>
      </c>
      <c r="C918" t="s">
        <v>57</v>
      </c>
    </row>
    <row r="919" spans="1:3">
      <c r="A919" t="s">
        <v>1800</v>
      </c>
      <c r="B919" t="s">
        <v>106</v>
      </c>
      <c r="C919" t="s">
        <v>57</v>
      </c>
    </row>
    <row r="920" spans="1:3">
      <c r="A920" t="s">
        <v>1801</v>
      </c>
      <c r="B920" t="s">
        <v>102</v>
      </c>
      <c r="C920" t="s">
        <v>57</v>
      </c>
    </row>
    <row r="921" spans="1:3">
      <c r="A921" t="s">
        <v>1804</v>
      </c>
      <c r="B921" t="s">
        <v>106</v>
      </c>
      <c r="C921" t="s">
        <v>57</v>
      </c>
    </row>
    <row r="922" spans="1:3">
      <c r="A922" t="s">
        <v>1806</v>
      </c>
      <c r="B922" t="s">
        <v>106</v>
      </c>
      <c r="C922" t="s">
        <v>57</v>
      </c>
    </row>
    <row r="923" spans="1:3">
      <c r="A923" t="s">
        <v>2688</v>
      </c>
      <c r="B923" t="s">
        <v>106</v>
      </c>
      <c r="C923" t="s">
        <v>57</v>
      </c>
    </row>
    <row r="924" spans="1:3">
      <c r="A924" t="s">
        <v>1807</v>
      </c>
      <c r="B924" t="s">
        <v>106</v>
      </c>
      <c r="C924" t="s">
        <v>57</v>
      </c>
    </row>
    <row r="925" spans="1:3">
      <c r="A925" t="s">
        <v>1809</v>
      </c>
      <c r="B925" t="s">
        <v>106</v>
      </c>
      <c r="C925" t="s">
        <v>57</v>
      </c>
    </row>
    <row r="926" spans="1:3">
      <c r="A926" t="s">
        <v>1810</v>
      </c>
      <c r="B926" t="s">
        <v>95</v>
      </c>
      <c r="C926" t="s">
        <v>58</v>
      </c>
    </row>
    <row r="927" spans="1:3">
      <c r="A927" t="s">
        <v>1814</v>
      </c>
      <c r="B927" t="s">
        <v>95</v>
      </c>
      <c r="C927" t="s">
        <v>58</v>
      </c>
    </row>
    <row r="928" spans="1:3">
      <c r="A928" t="s">
        <v>1816</v>
      </c>
      <c r="B928" t="s">
        <v>95</v>
      </c>
      <c r="C928" t="s">
        <v>58</v>
      </c>
    </row>
    <row r="929" spans="1:3">
      <c r="A929" t="s">
        <v>1818</v>
      </c>
      <c r="B929" t="s">
        <v>95</v>
      </c>
      <c r="C929" t="s">
        <v>58</v>
      </c>
    </row>
    <row r="930" spans="1:3">
      <c r="A930" t="s">
        <v>1819</v>
      </c>
      <c r="B930" t="s">
        <v>95</v>
      </c>
      <c r="C930" t="s">
        <v>58</v>
      </c>
    </row>
    <row r="931" spans="1:3">
      <c r="A931" t="s">
        <v>1821</v>
      </c>
      <c r="B931" t="s">
        <v>95</v>
      </c>
      <c r="C931" t="s">
        <v>58</v>
      </c>
    </row>
    <row r="932" spans="1:3">
      <c r="A932" t="s">
        <v>1823</v>
      </c>
      <c r="B932" t="s">
        <v>95</v>
      </c>
      <c r="C932" t="s">
        <v>58</v>
      </c>
    </row>
    <row r="933" spans="1:3">
      <c r="A933" t="s">
        <v>1825</v>
      </c>
      <c r="B933" t="s">
        <v>95</v>
      </c>
      <c r="C933" t="s">
        <v>58</v>
      </c>
    </row>
    <row r="934" spans="1:3">
      <c r="A934" t="s">
        <v>1827</v>
      </c>
      <c r="B934" t="s">
        <v>95</v>
      </c>
      <c r="C934" t="s">
        <v>58</v>
      </c>
    </row>
    <row r="935" spans="1:3">
      <c r="A935" t="s">
        <v>1829</v>
      </c>
      <c r="B935" t="s">
        <v>95</v>
      </c>
      <c r="C935" t="s">
        <v>58</v>
      </c>
    </row>
    <row r="936" spans="1:3">
      <c r="A936" t="s">
        <v>1831</v>
      </c>
      <c r="B936" t="s">
        <v>95</v>
      </c>
      <c r="C936" t="s">
        <v>58</v>
      </c>
    </row>
    <row r="937" spans="1:3">
      <c r="A937" t="s">
        <v>1833</v>
      </c>
      <c r="B937" t="s">
        <v>95</v>
      </c>
      <c r="C937" t="s">
        <v>58</v>
      </c>
    </row>
    <row r="938" spans="1:3">
      <c r="A938" t="s">
        <v>1835</v>
      </c>
      <c r="B938" t="s">
        <v>124</v>
      </c>
      <c r="C938" t="s">
        <v>58</v>
      </c>
    </row>
    <row r="939" spans="1:3">
      <c r="A939" t="s">
        <v>1838</v>
      </c>
      <c r="B939" t="s">
        <v>124</v>
      </c>
      <c r="C939" t="s">
        <v>58</v>
      </c>
    </row>
    <row r="940" spans="1:3">
      <c r="A940" t="s">
        <v>1840</v>
      </c>
      <c r="B940" t="s">
        <v>124</v>
      </c>
      <c r="C940" t="s">
        <v>58</v>
      </c>
    </row>
    <row r="941" spans="1:3">
      <c r="A941" t="s">
        <v>1841</v>
      </c>
      <c r="B941" t="s">
        <v>124</v>
      </c>
      <c r="C941" t="s">
        <v>58</v>
      </c>
    </row>
    <row r="942" spans="1:3">
      <c r="A942" t="s">
        <v>1843</v>
      </c>
      <c r="B942" t="s">
        <v>124</v>
      </c>
      <c r="C942" t="s">
        <v>58</v>
      </c>
    </row>
    <row r="943" spans="1:3">
      <c r="A943" t="s">
        <v>1845</v>
      </c>
      <c r="B943" t="s">
        <v>106</v>
      </c>
      <c r="C943" t="s">
        <v>57</v>
      </c>
    </row>
    <row r="944" spans="1:3">
      <c r="A944" t="s">
        <v>1848</v>
      </c>
      <c r="B944" t="s">
        <v>106</v>
      </c>
      <c r="C944" t="s">
        <v>57</v>
      </c>
    </row>
    <row r="945" spans="1:3">
      <c r="A945" t="s">
        <v>1849</v>
      </c>
      <c r="B945" t="s">
        <v>106</v>
      </c>
      <c r="C945" t="s">
        <v>57</v>
      </c>
    </row>
    <row r="946" spans="1:3">
      <c r="A946" t="s">
        <v>1850</v>
      </c>
      <c r="B946" t="s">
        <v>106</v>
      </c>
      <c r="C946" t="s">
        <v>57</v>
      </c>
    </row>
    <row r="947" spans="1:3">
      <c r="A947" t="s">
        <v>1851</v>
      </c>
      <c r="B947" t="s">
        <v>106</v>
      </c>
      <c r="C947" t="s">
        <v>57</v>
      </c>
    </row>
    <row r="948" spans="1:3">
      <c r="A948" t="s">
        <v>1853</v>
      </c>
      <c r="B948" t="s">
        <v>106</v>
      </c>
      <c r="C948" t="s">
        <v>57</v>
      </c>
    </row>
    <row r="949" spans="1:3">
      <c r="A949" t="s">
        <v>1854</v>
      </c>
      <c r="B949" t="s">
        <v>106</v>
      </c>
      <c r="C949" t="s">
        <v>57</v>
      </c>
    </row>
    <row r="950" spans="1:3">
      <c r="A950" t="s">
        <v>1857</v>
      </c>
      <c r="B950" t="s">
        <v>106</v>
      </c>
      <c r="C950" t="s">
        <v>57</v>
      </c>
    </row>
    <row r="951" spans="1:3">
      <c r="A951" t="s">
        <v>1858</v>
      </c>
      <c r="B951" t="s">
        <v>106</v>
      </c>
      <c r="C951" t="s">
        <v>57</v>
      </c>
    </row>
    <row r="952" spans="1:3">
      <c r="A952" t="s">
        <v>1860</v>
      </c>
      <c r="B952" t="s">
        <v>106</v>
      </c>
      <c r="C952" t="s">
        <v>57</v>
      </c>
    </row>
    <row r="953" spans="1:3">
      <c r="A953" t="s">
        <v>1862</v>
      </c>
      <c r="B953" t="s">
        <v>106</v>
      </c>
      <c r="C953" t="s">
        <v>57</v>
      </c>
    </row>
    <row r="954" spans="1:3">
      <c r="A954" t="s">
        <v>1863</v>
      </c>
      <c r="B954" t="s">
        <v>97</v>
      </c>
      <c r="C954" t="s">
        <v>57</v>
      </c>
    </row>
    <row r="955" spans="1:3">
      <c r="A955" t="s">
        <v>1865</v>
      </c>
      <c r="B955" t="s">
        <v>106</v>
      </c>
      <c r="C955" t="s">
        <v>57</v>
      </c>
    </row>
    <row r="956" spans="1:3">
      <c r="A956" t="s">
        <v>1866</v>
      </c>
      <c r="B956" t="s">
        <v>106</v>
      </c>
      <c r="C956" t="s">
        <v>57</v>
      </c>
    </row>
    <row r="957" spans="1:3">
      <c r="A957" t="s">
        <v>2307</v>
      </c>
      <c r="B957" t="s">
        <v>124</v>
      </c>
      <c r="C957" t="s">
        <v>58</v>
      </c>
    </row>
    <row r="958" spans="1:3">
      <c r="A958" t="s">
        <v>1868</v>
      </c>
      <c r="B958" t="s">
        <v>124</v>
      </c>
      <c r="C958" t="s">
        <v>58</v>
      </c>
    </row>
    <row r="959" spans="1:3">
      <c r="A959" t="s">
        <v>1871</v>
      </c>
      <c r="B959" t="s">
        <v>124</v>
      </c>
      <c r="C959" t="s">
        <v>58</v>
      </c>
    </row>
    <row r="960" spans="1:3">
      <c r="A960" t="s">
        <v>1873</v>
      </c>
      <c r="B960" t="s">
        <v>124</v>
      </c>
      <c r="C960" t="s">
        <v>58</v>
      </c>
    </row>
    <row r="961" spans="1:3">
      <c r="A961" t="s">
        <v>1875</v>
      </c>
      <c r="B961" t="s">
        <v>124</v>
      </c>
      <c r="C961" t="s">
        <v>58</v>
      </c>
    </row>
    <row r="962" spans="1:3">
      <c r="A962" t="s">
        <v>1877</v>
      </c>
      <c r="B962" t="s">
        <v>124</v>
      </c>
      <c r="C962" t="s">
        <v>58</v>
      </c>
    </row>
    <row r="963" spans="1:3">
      <c r="A963" t="s">
        <v>1878</v>
      </c>
      <c r="B963" t="s">
        <v>124</v>
      </c>
      <c r="C963" t="s">
        <v>58</v>
      </c>
    </row>
    <row r="964" spans="1:3">
      <c r="A964" t="s">
        <v>1879</v>
      </c>
      <c r="B964" t="s">
        <v>124</v>
      </c>
      <c r="C964" t="s">
        <v>58</v>
      </c>
    </row>
    <row r="965" spans="1:3">
      <c r="A965" t="s">
        <v>1881</v>
      </c>
      <c r="B965" t="s">
        <v>124</v>
      </c>
      <c r="C965" t="s">
        <v>58</v>
      </c>
    </row>
    <row r="966" spans="1:3">
      <c r="A966" t="s">
        <v>1883</v>
      </c>
      <c r="B966" t="s">
        <v>124</v>
      </c>
      <c r="C966" t="s">
        <v>58</v>
      </c>
    </row>
    <row r="967" spans="1:3">
      <c r="A967" t="s">
        <v>2689</v>
      </c>
      <c r="B967" t="s">
        <v>124</v>
      </c>
      <c r="C967" t="s">
        <v>58</v>
      </c>
    </row>
    <row r="968" spans="1:3">
      <c r="A968" t="s">
        <v>1885</v>
      </c>
      <c r="B968" t="s">
        <v>124</v>
      </c>
      <c r="C968" t="s">
        <v>58</v>
      </c>
    </row>
    <row r="969" spans="1:3">
      <c r="A969" t="s">
        <v>1888</v>
      </c>
      <c r="B969" t="s">
        <v>124</v>
      </c>
      <c r="C969" t="s">
        <v>58</v>
      </c>
    </row>
    <row r="970" spans="1:3">
      <c r="A970" t="s">
        <v>1890</v>
      </c>
      <c r="B970" t="s">
        <v>124</v>
      </c>
      <c r="C970" t="s">
        <v>58</v>
      </c>
    </row>
    <row r="971" spans="1:3">
      <c r="A971" t="s">
        <v>1892</v>
      </c>
      <c r="B971" t="s">
        <v>124</v>
      </c>
      <c r="C971" t="s">
        <v>58</v>
      </c>
    </row>
    <row r="972" spans="1:3">
      <c r="A972" t="s">
        <v>2690</v>
      </c>
      <c r="B972" t="s">
        <v>124</v>
      </c>
      <c r="C972" t="s">
        <v>58</v>
      </c>
    </row>
    <row r="973" spans="1:3">
      <c r="A973" t="s">
        <v>2691</v>
      </c>
      <c r="B973" t="s">
        <v>124</v>
      </c>
      <c r="C973" t="s">
        <v>58</v>
      </c>
    </row>
    <row r="974" spans="1:3">
      <c r="A974" t="s">
        <v>2692</v>
      </c>
      <c r="B974" t="s">
        <v>124</v>
      </c>
      <c r="C974" t="s">
        <v>58</v>
      </c>
    </row>
    <row r="975" spans="1:3">
      <c r="A975" t="s">
        <v>1893</v>
      </c>
      <c r="B975" t="s">
        <v>124</v>
      </c>
      <c r="C975" t="s">
        <v>58</v>
      </c>
    </row>
    <row r="976" spans="1:3">
      <c r="A976" t="s">
        <v>1895</v>
      </c>
      <c r="B976" t="s">
        <v>124</v>
      </c>
      <c r="C976" t="s">
        <v>58</v>
      </c>
    </row>
    <row r="977" spans="1:3">
      <c r="A977" t="s">
        <v>1896</v>
      </c>
      <c r="B977" t="s">
        <v>97</v>
      </c>
      <c r="C977" t="s">
        <v>57</v>
      </c>
    </row>
    <row r="978" spans="1:3">
      <c r="A978" t="s">
        <v>1899</v>
      </c>
      <c r="B978" t="s">
        <v>97</v>
      </c>
      <c r="C978" t="s">
        <v>57</v>
      </c>
    </row>
    <row r="979" spans="1:3">
      <c r="A979" t="s">
        <v>1901</v>
      </c>
      <c r="B979" t="s">
        <v>97</v>
      </c>
      <c r="C979" t="s">
        <v>57</v>
      </c>
    </row>
    <row r="980" spans="1:3">
      <c r="A980" t="s">
        <v>1902</v>
      </c>
      <c r="B980" t="s">
        <v>97</v>
      </c>
      <c r="C980" t="s">
        <v>57</v>
      </c>
    </row>
    <row r="981" spans="1:3">
      <c r="A981" t="s">
        <v>1903</v>
      </c>
      <c r="B981" t="s">
        <v>106</v>
      </c>
      <c r="C981" t="s">
        <v>57</v>
      </c>
    </row>
    <row r="982" spans="1:3">
      <c r="A982" t="s">
        <v>1905</v>
      </c>
      <c r="B982" t="s">
        <v>106</v>
      </c>
      <c r="C982" t="s">
        <v>57</v>
      </c>
    </row>
    <row r="983" spans="1:3">
      <c r="A983" t="s">
        <v>1906</v>
      </c>
      <c r="B983" t="s">
        <v>97</v>
      </c>
      <c r="C983" t="s">
        <v>57</v>
      </c>
    </row>
    <row r="984" spans="1:3">
      <c r="A984" t="s">
        <v>1907</v>
      </c>
      <c r="B984" t="s">
        <v>106</v>
      </c>
      <c r="C984" t="s">
        <v>57</v>
      </c>
    </row>
    <row r="985" spans="1:3">
      <c r="A985" t="s">
        <v>1909</v>
      </c>
      <c r="B985" t="s">
        <v>106</v>
      </c>
      <c r="C985" t="s">
        <v>57</v>
      </c>
    </row>
    <row r="986" spans="1:3">
      <c r="A986" t="s">
        <v>1913</v>
      </c>
      <c r="B986" t="s">
        <v>106</v>
      </c>
      <c r="C986" t="s">
        <v>57</v>
      </c>
    </row>
    <row r="987" spans="1:3">
      <c r="A987" t="s">
        <v>1915</v>
      </c>
      <c r="B987" t="s">
        <v>106</v>
      </c>
      <c r="C987" t="s">
        <v>57</v>
      </c>
    </row>
    <row r="988" spans="1:3">
      <c r="A988" t="s">
        <v>1917</v>
      </c>
      <c r="B988" t="s">
        <v>106</v>
      </c>
      <c r="C988" t="s">
        <v>57</v>
      </c>
    </row>
    <row r="989" spans="1:3">
      <c r="A989" t="s">
        <v>1919</v>
      </c>
      <c r="B989" t="s">
        <v>106</v>
      </c>
      <c r="C989" t="s">
        <v>57</v>
      </c>
    </row>
    <row r="990" spans="1:3">
      <c r="A990" t="s">
        <v>1920</v>
      </c>
      <c r="B990" t="s">
        <v>106</v>
      </c>
      <c r="C990" t="s">
        <v>57</v>
      </c>
    </row>
    <row r="991" spans="1:3">
      <c r="A991" t="s">
        <v>1921</v>
      </c>
      <c r="B991" t="s">
        <v>106</v>
      </c>
      <c r="C991" t="s">
        <v>57</v>
      </c>
    </row>
    <row r="992" spans="1:3">
      <c r="A992" t="s">
        <v>1922</v>
      </c>
      <c r="B992" t="s">
        <v>106</v>
      </c>
      <c r="C992" t="s">
        <v>57</v>
      </c>
    </row>
    <row r="993" spans="1:3">
      <c r="A993" t="s">
        <v>1923</v>
      </c>
      <c r="B993" t="s">
        <v>106</v>
      </c>
      <c r="C993" t="s">
        <v>57</v>
      </c>
    </row>
    <row r="994" spans="1:3">
      <c r="A994" t="s">
        <v>2693</v>
      </c>
      <c r="B994" t="s">
        <v>106</v>
      </c>
      <c r="C994" t="s">
        <v>57</v>
      </c>
    </row>
    <row r="995" spans="1:3">
      <c r="A995" t="s">
        <v>2694</v>
      </c>
      <c r="B995" t="s">
        <v>106</v>
      </c>
      <c r="C995" t="s">
        <v>57</v>
      </c>
    </row>
    <row r="996" spans="1:3">
      <c r="A996" t="s">
        <v>1925</v>
      </c>
      <c r="B996" t="s">
        <v>106</v>
      </c>
      <c r="C996" t="s">
        <v>57</v>
      </c>
    </row>
    <row r="997" spans="1:3">
      <c r="A997" t="s">
        <v>2695</v>
      </c>
      <c r="B997" t="s">
        <v>106</v>
      </c>
      <c r="C997" t="s">
        <v>57</v>
      </c>
    </row>
    <row r="998" spans="1:3">
      <c r="A998" t="s">
        <v>1928</v>
      </c>
      <c r="B998" t="s">
        <v>178</v>
      </c>
      <c r="C998" t="s">
        <v>57</v>
      </c>
    </row>
    <row r="999" spans="1:3">
      <c r="A999" t="s">
        <v>2696</v>
      </c>
      <c r="B999" t="s">
        <v>106</v>
      </c>
      <c r="C999" t="s">
        <v>57</v>
      </c>
    </row>
    <row r="1000" spans="1:3">
      <c r="A1000" t="s">
        <v>1930</v>
      </c>
      <c r="B1000" t="s">
        <v>106</v>
      </c>
      <c r="C1000" t="s">
        <v>57</v>
      </c>
    </row>
    <row r="1001" spans="1:3">
      <c r="A1001" t="s">
        <v>1932</v>
      </c>
      <c r="B1001" t="s">
        <v>106</v>
      </c>
      <c r="C1001" t="s">
        <v>57</v>
      </c>
    </row>
    <row r="1002" spans="1:3">
      <c r="A1002" t="s">
        <v>1933</v>
      </c>
      <c r="B1002" t="s">
        <v>103</v>
      </c>
      <c r="C1002" t="s">
        <v>57</v>
      </c>
    </row>
    <row r="1003" spans="1:3">
      <c r="A1003" t="s">
        <v>1935</v>
      </c>
      <c r="B1003" t="s">
        <v>176</v>
      </c>
      <c r="C1003" t="s">
        <v>58</v>
      </c>
    </row>
    <row r="1004" spans="1:3">
      <c r="A1004" t="s">
        <v>1938</v>
      </c>
      <c r="B1004" t="s">
        <v>176</v>
      </c>
      <c r="C1004" t="s">
        <v>58</v>
      </c>
    </row>
    <row r="1005" spans="1:3">
      <c r="A1005" t="s">
        <v>1940</v>
      </c>
      <c r="B1005" t="s">
        <v>176</v>
      </c>
      <c r="C1005" t="s">
        <v>58</v>
      </c>
    </row>
    <row r="1006" spans="1:3">
      <c r="A1006" t="s">
        <v>1941</v>
      </c>
      <c r="B1006" t="s">
        <v>176</v>
      </c>
      <c r="C1006" t="s">
        <v>58</v>
      </c>
    </row>
    <row r="1007" spans="1:3">
      <c r="A1007" t="s">
        <v>1943</v>
      </c>
      <c r="B1007" t="s">
        <v>176</v>
      </c>
      <c r="C1007" t="s">
        <v>58</v>
      </c>
    </row>
    <row r="1008" spans="1:3">
      <c r="A1008" t="s">
        <v>1945</v>
      </c>
      <c r="B1008" t="s">
        <v>124</v>
      </c>
      <c r="C1008" t="s">
        <v>58</v>
      </c>
    </row>
    <row r="1009" spans="1:3">
      <c r="A1009" t="s">
        <v>1947</v>
      </c>
      <c r="B1009" t="s">
        <v>124</v>
      </c>
      <c r="C1009" t="s">
        <v>58</v>
      </c>
    </row>
    <row r="1010" spans="1:3">
      <c r="A1010" t="s">
        <v>1949</v>
      </c>
      <c r="B1010" t="s">
        <v>176</v>
      </c>
      <c r="C1010" t="s">
        <v>58</v>
      </c>
    </row>
    <row r="1011" spans="1:3">
      <c r="A1011" t="s">
        <v>1951</v>
      </c>
      <c r="B1011" t="s">
        <v>176</v>
      </c>
      <c r="C1011" t="s">
        <v>58</v>
      </c>
    </row>
    <row r="1012" spans="1:3">
      <c r="A1012" t="s">
        <v>1953</v>
      </c>
      <c r="B1012" t="s">
        <v>106</v>
      </c>
      <c r="C1012" t="s">
        <v>57</v>
      </c>
    </row>
    <row r="1013" spans="1:3">
      <c r="A1013" t="s">
        <v>1956</v>
      </c>
      <c r="B1013" t="s">
        <v>106</v>
      </c>
      <c r="C1013" t="s">
        <v>57</v>
      </c>
    </row>
    <row r="1014" spans="1:3">
      <c r="A1014" t="s">
        <v>1958</v>
      </c>
      <c r="B1014" t="s">
        <v>178</v>
      </c>
      <c r="C1014" t="s">
        <v>57</v>
      </c>
    </row>
    <row r="1015" spans="1:3">
      <c r="A1015" t="s">
        <v>1960</v>
      </c>
      <c r="B1015" t="s">
        <v>106</v>
      </c>
      <c r="C1015" t="s">
        <v>57</v>
      </c>
    </row>
    <row r="1016" spans="1:3">
      <c r="A1016" t="s">
        <v>1962</v>
      </c>
      <c r="B1016" t="s">
        <v>106</v>
      </c>
      <c r="C1016" t="s">
        <v>57</v>
      </c>
    </row>
    <row r="1017" spans="1:3">
      <c r="A1017" t="s">
        <v>1963</v>
      </c>
      <c r="B1017" t="s">
        <v>106</v>
      </c>
      <c r="C1017" t="s">
        <v>57</v>
      </c>
    </row>
    <row r="1018" spans="1:3">
      <c r="A1018" t="s">
        <v>1964</v>
      </c>
      <c r="B1018" t="s">
        <v>178</v>
      </c>
      <c r="C1018" t="s">
        <v>57</v>
      </c>
    </row>
    <row r="1019" spans="1:3">
      <c r="A1019" t="s">
        <v>1966</v>
      </c>
      <c r="B1019" t="s">
        <v>124</v>
      </c>
      <c r="C1019" t="s">
        <v>57</v>
      </c>
    </row>
    <row r="1020" spans="1:3">
      <c r="A1020" t="s">
        <v>1969</v>
      </c>
      <c r="B1020" t="s">
        <v>124</v>
      </c>
      <c r="C1020" t="s">
        <v>57</v>
      </c>
    </row>
    <row r="1021" spans="1:3">
      <c r="A1021" t="s">
        <v>2697</v>
      </c>
      <c r="B1021" t="s">
        <v>124</v>
      </c>
      <c r="C1021" t="s">
        <v>57</v>
      </c>
    </row>
    <row r="1022" spans="1:3">
      <c r="A1022" t="s">
        <v>2698</v>
      </c>
      <c r="B1022" t="s">
        <v>124</v>
      </c>
      <c r="C1022" t="s">
        <v>57</v>
      </c>
    </row>
    <row r="1023" spans="1:3">
      <c r="A1023" t="s">
        <v>1970</v>
      </c>
      <c r="B1023" t="s">
        <v>124</v>
      </c>
      <c r="C1023" t="s">
        <v>57</v>
      </c>
    </row>
    <row r="1024" spans="1:3">
      <c r="A1024" t="s">
        <v>1972</v>
      </c>
      <c r="B1024" t="s">
        <v>103</v>
      </c>
      <c r="C1024" t="s">
        <v>57</v>
      </c>
    </row>
    <row r="1025" spans="1:3">
      <c r="A1025" t="s">
        <v>2699</v>
      </c>
      <c r="B1025" t="s">
        <v>124</v>
      </c>
      <c r="C1025" t="s">
        <v>57</v>
      </c>
    </row>
    <row r="1026" spans="1:3">
      <c r="A1026" t="s">
        <v>2700</v>
      </c>
      <c r="B1026" t="s">
        <v>124</v>
      </c>
      <c r="C1026" t="s">
        <v>57</v>
      </c>
    </row>
    <row r="1027" spans="1:3">
      <c r="A1027" t="s">
        <v>1974</v>
      </c>
      <c r="B1027" t="s">
        <v>124</v>
      </c>
      <c r="C1027" t="s">
        <v>57</v>
      </c>
    </row>
    <row r="1028" spans="1:3">
      <c r="A1028" t="s">
        <v>1976</v>
      </c>
      <c r="B1028" t="s">
        <v>97</v>
      </c>
      <c r="C1028" t="s">
        <v>57</v>
      </c>
    </row>
    <row r="1029" spans="1:3">
      <c r="A1029" t="s">
        <v>1979</v>
      </c>
      <c r="B1029" t="s">
        <v>97</v>
      </c>
      <c r="C1029" t="s">
        <v>57</v>
      </c>
    </row>
    <row r="1030" spans="1:3">
      <c r="A1030" t="s">
        <v>1980</v>
      </c>
      <c r="B1030" t="s">
        <v>97</v>
      </c>
      <c r="C1030" t="s">
        <v>57</v>
      </c>
    </row>
    <row r="1031" spans="1:3">
      <c r="A1031" t="s">
        <v>1982</v>
      </c>
      <c r="B1031" t="s">
        <v>97</v>
      </c>
      <c r="C1031" t="s">
        <v>57</v>
      </c>
    </row>
    <row r="1032" spans="1:3">
      <c r="A1032" t="s">
        <v>1984</v>
      </c>
      <c r="B1032" t="s">
        <v>97</v>
      </c>
      <c r="C1032" t="s">
        <v>57</v>
      </c>
    </row>
    <row r="1033" spans="1:3">
      <c r="A1033" t="s">
        <v>1986</v>
      </c>
      <c r="B1033" t="s">
        <v>97</v>
      </c>
      <c r="C1033" t="s">
        <v>57</v>
      </c>
    </row>
    <row r="1034" spans="1:3">
      <c r="A1034" t="s">
        <v>1988</v>
      </c>
      <c r="B1034" t="s">
        <v>97</v>
      </c>
      <c r="C1034" t="s">
        <v>57</v>
      </c>
    </row>
    <row r="1035" spans="1:3">
      <c r="A1035" t="s">
        <v>1990</v>
      </c>
      <c r="B1035" t="s">
        <v>97</v>
      </c>
      <c r="C1035" t="s">
        <v>57</v>
      </c>
    </row>
    <row r="1036" spans="1:3">
      <c r="A1036" t="s">
        <v>1992</v>
      </c>
      <c r="B1036" t="s">
        <v>124</v>
      </c>
      <c r="C1036" t="s">
        <v>58</v>
      </c>
    </row>
    <row r="1037" spans="1:3">
      <c r="A1037" t="s">
        <v>1995</v>
      </c>
      <c r="B1037" t="s">
        <v>124</v>
      </c>
      <c r="C1037" t="s">
        <v>58</v>
      </c>
    </row>
    <row r="1038" spans="1:3">
      <c r="A1038" t="s">
        <v>1997</v>
      </c>
      <c r="B1038" t="s">
        <v>124</v>
      </c>
      <c r="C1038" t="s">
        <v>58</v>
      </c>
    </row>
    <row r="1039" spans="1:3">
      <c r="A1039" t="s">
        <v>1999</v>
      </c>
      <c r="B1039" t="s">
        <v>124</v>
      </c>
      <c r="C1039" t="s">
        <v>58</v>
      </c>
    </row>
    <row r="1040" spans="1:3">
      <c r="A1040" t="s">
        <v>2001</v>
      </c>
      <c r="B1040" t="s">
        <v>124</v>
      </c>
      <c r="C1040" t="s">
        <v>58</v>
      </c>
    </row>
    <row r="1041" spans="1:3">
      <c r="A1041" t="s">
        <v>2003</v>
      </c>
      <c r="B1041" t="s">
        <v>124</v>
      </c>
      <c r="C1041" t="s">
        <v>58</v>
      </c>
    </row>
    <row r="1042" spans="1:3">
      <c r="A1042" t="s">
        <v>2005</v>
      </c>
      <c r="B1042" t="s">
        <v>106</v>
      </c>
      <c r="C1042" t="s">
        <v>57</v>
      </c>
    </row>
    <row r="1043" spans="1:3">
      <c r="A1043" t="s">
        <v>2701</v>
      </c>
      <c r="B1043" t="s">
        <v>190</v>
      </c>
      <c r="C1043" t="s">
        <v>57</v>
      </c>
    </row>
    <row r="1044" spans="1:3">
      <c r="A1044" t="s">
        <v>2007</v>
      </c>
      <c r="B1044" t="s">
        <v>106</v>
      </c>
      <c r="C1044" t="s">
        <v>57</v>
      </c>
    </row>
    <row r="1045" spans="1:3">
      <c r="A1045" t="s">
        <v>2009</v>
      </c>
      <c r="B1045" t="s">
        <v>190</v>
      </c>
      <c r="C1045" t="s">
        <v>57</v>
      </c>
    </row>
    <row r="1046" spans="1:3">
      <c r="A1046" t="s">
        <v>2011</v>
      </c>
      <c r="B1046" t="s">
        <v>106</v>
      </c>
      <c r="C1046" t="s">
        <v>57</v>
      </c>
    </row>
    <row r="1047" spans="1:3">
      <c r="A1047" t="s">
        <v>2012</v>
      </c>
      <c r="B1047" t="s">
        <v>106</v>
      </c>
      <c r="C1047" t="s">
        <v>57</v>
      </c>
    </row>
    <row r="1048" spans="1:3">
      <c r="A1048" t="s">
        <v>2013</v>
      </c>
      <c r="B1048" t="s">
        <v>106</v>
      </c>
      <c r="C1048" t="s">
        <v>57</v>
      </c>
    </row>
    <row r="1049" spans="1:3">
      <c r="A1049" t="s">
        <v>2014</v>
      </c>
      <c r="B1049" t="s">
        <v>106</v>
      </c>
      <c r="C1049" t="s">
        <v>57</v>
      </c>
    </row>
    <row r="1050" spans="1:3">
      <c r="A1050" t="s">
        <v>2015</v>
      </c>
      <c r="B1050" t="s">
        <v>106</v>
      </c>
      <c r="C1050" t="s">
        <v>57</v>
      </c>
    </row>
    <row r="1051" spans="1:3">
      <c r="A1051" t="s">
        <v>2702</v>
      </c>
      <c r="B1051" t="s">
        <v>190</v>
      </c>
      <c r="C1051" t="s">
        <v>57</v>
      </c>
    </row>
    <row r="1052" spans="1:3">
      <c r="A1052" t="s">
        <v>2703</v>
      </c>
      <c r="B1052" t="s">
        <v>190</v>
      </c>
      <c r="C1052" t="s">
        <v>57</v>
      </c>
    </row>
    <row r="1053" spans="1:3">
      <c r="A1053" t="s">
        <v>2016</v>
      </c>
      <c r="B1053" t="s">
        <v>106</v>
      </c>
      <c r="C1053" t="s">
        <v>57</v>
      </c>
    </row>
    <row r="1054" spans="1:3">
      <c r="A1054" t="s">
        <v>2018</v>
      </c>
      <c r="B1054" t="s">
        <v>106</v>
      </c>
      <c r="C1054" t="s">
        <v>57</v>
      </c>
    </row>
    <row r="1055" spans="1:3">
      <c r="A1055" t="s">
        <v>2020</v>
      </c>
      <c r="B1055" t="s">
        <v>106</v>
      </c>
      <c r="C1055" t="s">
        <v>57</v>
      </c>
    </row>
    <row r="1056" spans="1:3">
      <c r="A1056" t="s">
        <v>2021</v>
      </c>
      <c r="B1056" t="s">
        <v>193</v>
      </c>
      <c r="C1056" t="s">
        <v>58</v>
      </c>
    </row>
    <row r="1057" spans="1:3">
      <c r="A1057" t="s">
        <v>2025</v>
      </c>
      <c r="B1057" t="s">
        <v>193</v>
      </c>
      <c r="C1057" t="s">
        <v>58</v>
      </c>
    </row>
    <row r="1058" spans="1:3">
      <c r="A1058" t="s">
        <v>2027</v>
      </c>
      <c r="B1058" t="s">
        <v>193</v>
      </c>
      <c r="C1058" t="s">
        <v>58</v>
      </c>
    </row>
    <row r="1059" spans="1:3">
      <c r="A1059" t="s">
        <v>2028</v>
      </c>
      <c r="B1059" t="s">
        <v>193</v>
      </c>
      <c r="C1059" t="s">
        <v>58</v>
      </c>
    </row>
    <row r="1060" spans="1:3">
      <c r="A1060" t="s">
        <v>2029</v>
      </c>
      <c r="B1060" t="s">
        <v>193</v>
      </c>
      <c r="C1060" t="s">
        <v>58</v>
      </c>
    </row>
    <row r="1061" spans="1:3">
      <c r="A1061" t="s">
        <v>2030</v>
      </c>
      <c r="B1061" t="s">
        <v>193</v>
      </c>
      <c r="C1061" t="s">
        <v>58</v>
      </c>
    </row>
    <row r="1062" spans="1:3">
      <c r="A1062" t="s">
        <v>2032</v>
      </c>
      <c r="B1062" t="s">
        <v>193</v>
      </c>
      <c r="C1062" t="s">
        <v>58</v>
      </c>
    </row>
    <row r="1063" spans="1:3">
      <c r="A1063" t="s">
        <v>2034</v>
      </c>
      <c r="B1063" t="s">
        <v>193</v>
      </c>
      <c r="C1063" t="s">
        <v>58</v>
      </c>
    </row>
    <row r="1064" spans="1:3">
      <c r="A1064" t="s">
        <v>2036</v>
      </c>
      <c r="B1064" t="s">
        <v>193</v>
      </c>
      <c r="C1064" t="s">
        <v>58</v>
      </c>
    </row>
    <row r="1065" spans="1:3">
      <c r="A1065" t="s">
        <v>2038</v>
      </c>
      <c r="B1065" t="s">
        <v>193</v>
      </c>
      <c r="C1065" t="s">
        <v>58</v>
      </c>
    </row>
    <row r="1066" spans="1:3">
      <c r="A1066" t="s">
        <v>2041</v>
      </c>
      <c r="B1066" t="s">
        <v>193</v>
      </c>
      <c r="C1066" t="s">
        <v>58</v>
      </c>
    </row>
    <row r="1067" spans="1:3">
      <c r="A1067" t="s">
        <v>2043</v>
      </c>
      <c r="B1067" t="s">
        <v>193</v>
      </c>
      <c r="C1067" t="s">
        <v>58</v>
      </c>
    </row>
    <row r="1068" spans="1:3">
      <c r="A1068" t="s">
        <v>2044</v>
      </c>
      <c r="B1068" t="s">
        <v>153</v>
      </c>
      <c r="C1068" t="s">
        <v>58</v>
      </c>
    </row>
    <row r="1069" spans="1:3">
      <c r="A1069" t="s">
        <v>2046</v>
      </c>
      <c r="B1069" t="s">
        <v>193</v>
      </c>
      <c r="C1069" t="s">
        <v>58</v>
      </c>
    </row>
    <row r="1070" spans="1:3">
      <c r="A1070" t="s">
        <v>2048</v>
      </c>
      <c r="B1070" t="s">
        <v>193</v>
      </c>
      <c r="C1070" t="s">
        <v>58</v>
      </c>
    </row>
    <row r="1071" spans="1:3">
      <c r="A1071" t="s">
        <v>2050</v>
      </c>
      <c r="B1071" t="s">
        <v>193</v>
      </c>
      <c r="C1071" t="s">
        <v>58</v>
      </c>
    </row>
    <row r="1072" spans="1:3">
      <c r="A1072" t="s">
        <v>2052</v>
      </c>
      <c r="B1072" t="s">
        <v>193</v>
      </c>
      <c r="C1072" t="s">
        <v>58</v>
      </c>
    </row>
    <row r="1073" spans="1:3">
      <c r="A1073" t="s">
        <v>2054</v>
      </c>
      <c r="B1073" t="s">
        <v>193</v>
      </c>
      <c r="C1073" t="s">
        <v>58</v>
      </c>
    </row>
    <row r="1074" spans="1:3">
      <c r="A1074" t="s">
        <v>2055</v>
      </c>
      <c r="B1074" t="s">
        <v>193</v>
      </c>
      <c r="C1074" t="s">
        <v>58</v>
      </c>
    </row>
    <row r="1075" spans="1:3">
      <c r="A1075" t="s">
        <v>2058</v>
      </c>
      <c r="B1075" t="s">
        <v>193</v>
      </c>
      <c r="C1075" t="s">
        <v>58</v>
      </c>
    </row>
    <row r="1076" spans="1:3">
      <c r="A1076" t="s">
        <v>2059</v>
      </c>
      <c r="B1076" t="s">
        <v>193</v>
      </c>
      <c r="C1076" t="s">
        <v>58</v>
      </c>
    </row>
    <row r="1077" spans="1:3">
      <c r="A1077" t="s">
        <v>2061</v>
      </c>
      <c r="B1077" t="s">
        <v>193</v>
      </c>
      <c r="C1077" t="s">
        <v>58</v>
      </c>
    </row>
    <row r="1078" spans="1:3">
      <c r="A1078" t="s">
        <v>2704</v>
      </c>
      <c r="B1078" t="s">
        <v>193</v>
      </c>
      <c r="C1078" t="s">
        <v>57</v>
      </c>
    </row>
    <row r="1079" spans="1:3">
      <c r="A1079" t="s">
        <v>2705</v>
      </c>
      <c r="B1079" t="s">
        <v>193</v>
      </c>
      <c r="C1079" t="s">
        <v>57</v>
      </c>
    </row>
    <row r="1080" spans="1:3">
      <c r="A1080" t="s">
        <v>2706</v>
      </c>
      <c r="B1080" t="s">
        <v>193</v>
      </c>
      <c r="C1080" t="s">
        <v>57</v>
      </c>
    </row>
    <row r="1081" spans="1:3">
      <c r="A1081" t="s">
        <v>2707</v>
      </c>
      <c r="B1081" t="s">
        <v>193</v>
      </c>
      <c r="C1081" t="s">
        <v>57</v>
      </c>
    </row>
    <row r="1082" spans="1:3">
      <c r="A1082" t="s">
        <v>2708</v>
      </c>
      <c r="B1082" t="s">
        <v>193</v>
      </c>
      <c r="C1082" t="s">
        <v>57</v>
      </c>
    </row>
    <row r="1083" spans="1:3">
      <c r="A1083" t="s">
        <v>2709</v>
      </c>
      <c r="B1083" t="s">
        <v>193</v>
      </c>
      <c r="C1083" t="s">
        <v>57</v>
      </c>
    </row>
    <row r="1084" spans="1:3">
      <c r="A1084" t="s">
        <v>2710</v>
      </c>
      <c r="B1084" t="s">
        <v>193</v>
      </c>
      <c r="C1084" t="s">
        <v>57</v>
      </c>
    </row>
    <row r="1085" spans="1:3">
      <c r="A1085" t="s">
        <v>2711</v>
      </c>
      <c r="B1085" t="s">
        <v>97</v>
      </c>
      <c r="C1085" t="s">
        <v>57</v>
      </c>
    </row>
    <row r="1086" spans="1:3">
      <c r="A1086" t="s">
        <v>2712</v>
      </c>
      <c r="B1086" t="s">
        <v>97</v>
      </c>
      <c r="C1086" t="s">
        <v>57</v>
      </c>
    </row>
    <row r="1087" spans="1:3">
      <c r="A1087" t="s">
        <v>2713</v>
      </c>
      <c r="B1087" t="s">
        <v>97</v>
      </c>
      <c r="C1087" t="s">
        <v>57</v>
      </c>
    </row>
    <row r="1088" spans="1:3">
      <c r="A1088" t="s">
        <v>2714</v>
      </c>
      <c r="B1088" t="s">
        <v>106</v>
      </c>
      <c r="C1088" t="s">
        <v>58</v>
      </c>
    </row>
    <row r="1089" spans="1:3">
      <c r="A1089" t="s">
        <v>2715</v>
      </c>
      <c r="B1089" t="s">
        <v>106</v>
      </c>
      <c r="C1089" t="s">
        <v>58</v>
      </c>
    </row>
    <row r="1090" spans="1:3">
      <c r="A1090" t="s">
        <v>2716</v>
      </c>
      <c r="B1090" t="s">
        <v>106</v>
      </c>
      <c r="C1090" t="s">
        <v>58</v>
      </c>
    </row>
    <row r="1091" spans="1:3">
      <c r="A1091" t="s">
        <v>2717</v>
      </c>
      <c r="B1091" t="s">
        <v>106</v>
      </c>
      <c r="C1091" t="s">
        <v>58</v>
      </c>
    </row>
    <row r="1092" spans="1:3">
      <c r="A1092" t="s">
        <v>2718</v>
      </c>
      <c r="B1092" t="s">
        <v>106</v>
      </c>
      <c r="C1092" t="s">
        <v>58</v>
      </c>
    </row>
    <row r="1093" spans="1:3">
      <c r="A1093" t="s">
        <v>2719</v>
      </c>
      <c r="B1093" t="s">
        <v>124</v>
      </c>
      <c r="C1093" t="s">
        <v>58</v>
      </c>
    </row>
    <row r="1094" spans="1:3">
      <c r="A1094" t="s">
        <v>2720</v>
      </c>
      <c r="B1094" t="s">
        <v>124</v>
      </c>
      <c r="C1094" t="s">
        <v>58</v>
      </c>
    </row>
    <row r="1095" spans="1:3">
      <c r="A1095" t="s">
        <v>2721</v>
      </c>
      <c r="B1095" t="s">
        <v>124</v>
      </c>
      <c r="C1095" t="s">
        <v>58</v>
      </c>
    </row>
    <row r="1096" spans="1:3">
      <c r="A1096" t="s">
        <v>2722</v>
      </c>
      <c r="B1096" t="s">
        <v>124</v>
      </c>
      <c r="C1096" t="s">
        <v>58</v>
      </c>
    </row>
    <row r="1097" spans="1:3">
      <c r="A1097" t="s">
        <v>2723</v>
      </c>
      <c r="B1097" t="s">
        <v>124</v>
      </c>
      <c r="C1097" t="s">
        <v>58</v>
      </c>
    </row>
    <row r="1098" spans="1:3">
      <c r="A1098" t="s">
        <v>2724</v>
      </c>
      <c r="B1098" t="s">
        <v>124</v>
      </c>
      <c r="C1098" t="s">
        <v>58</v>
      </c>
    </row>
    <row r="1099" spans="1:3">
      <c r="A1099" t="s">
        <v>2725</v>
      </c>
      <c r="B1099" t="s">
        <v>124</v>
      </c>
      <c r="C1099" t="s">
        <v>58</v>
      </c>
    </row>
    <row r="1100" spans="1:3">
      <c r="A1100" t="s">
        <v>2726</v>
      </c>
      <c r="B1100" t="s">
        <v>124</v>
      </c>
      <c r="C1100" t="s">
        <v>58</v>
      </c>
    </row>
    <row r="1101" spans="1:3">
      <c r="A1101" t="s">
        <v>2727</v>
      </c>
      <c r="B1101" t="s">
        <v>124</v>
      </c>
      <c r="C1101" t="s">
        <v>58</v>
      </c>
    </row>
    <row r="1102" spans="1:3">
      <c r="A1102" t="s">
        <v>2728</v>
      </c>
      <c r="B1102" t="s">
        <v>124</v>
      </c>
      <c r="C1102" t="s">
        <v>58</v>
      </c>
    </row>
    <row r="1103" spans="1:3">
      <c r="A1103" t="s">
        <v>2729</v>
      </c>
      <c r="B1103" t="s">
        <v>124</v>
      </c>
      <c r="C1103" t="s">
        <v>58</v>
      </c>
    </row>
    <row r="1104" spans="1:3">
      <c r="A1104" t="s">
        <v>2730</v>
      </c>
      <c r="B1104" t="s">
        <v>124</v>
      </c>
      <c r="C1104" t="s">
        <v>58</v>
      </c>
    </row>
    <row r="1105" spans="1:3">
      <c r="A1105" t="s">
        <v>2731</v>
      </c>
      <c r="B1105" t="s">
        <v>124</v>
      </c>
      <c r="C1105" t="s">
        <v>58</v>
      </c>
    </row>
    <row r="1106" spans="1:3">
      <c r="A1106" t="s">
        <v>2732</v>
      </c>
      <c r="B1106" t="s">
        <v>124</v>
      </c>
      <c r="C1106" t="s">
        <v>58</v>
      </c>
    </row>
    <row r="1107" spans="1:3">
      <c r="A1107" t="s">
        <v>2733</v>
      </c>
      <c r="B1107" t="s">
        <v>106</v>
      </c>
      <c r="C1107" t="s">
        <v>57</v>
      </c>
    </row>
    <row r="1108" spans="1:3">
      <c r="A1108" s="108" t="s">
        <v>2104</v>
      </c>
      <c r="B1108" t="s">
        <v>193</v>
      </c>
      <c r="C1108" t="s">
        <v>57</v>
      </c>
    </row>
    <row r="1109" spans="1:3">
      <c r="A1109" s="108" t="s">
        <v>2102</v>
      </c>
      <c r="B1109" t="s">
        <v>193</v>
      </c>
      <c r="C1109" t="s">
        <v>57</v>
      </c>
    </row>
    <row r="1110" spans="1:3">
      <c r="A1110" s="108" t="s">
        <v>2119</v>
      </c>
      <c r="B1110" t="s">
        <v>157</v>
      </c>
      <c r="C1110" t="s">
        <v>53</v>
      </c>
    </row>
    <row r="1111" spans="1:3">
      <c r="A1111" s="108" t="s">
        <v>2121</v>
      </c>
      <c r="B1111" t="s">
        <v>138</v>
      </c>
      <c r="C1111" t="s">
        <v>55</v>
      </c>
    </row>
    <row r="1112" spans="1:3">
      <c r="A1112" s="108" t="s">
        <v>2122</v>
      </c>
      <c r="B1112" t="s">
        <v>157</v>
      </c>
      <c r="C1112" t="s">
        <v>53</v>
      </c>
    </row>
    <row r="1113" spans="1:3">
      <c r="A1113" s="108" t="s">
        <v>2133</v>
      </c>
      <c r="B1113" t="s">
        <v>124</v>
      </c>
      <c r="C1113" t="s">
        <v>57</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3E58-54B2-4B96-9FCE-1CA372C1E043}">
  <dimension ref="A1:B14"/>
  <sheetViews>
    <sheetView topLeftCell="A2" workbookViewId="0">
      <selection activeCell="J3522" sqref="J3522:M3532"/>
    </sheetView>
  </sheetViews>
  <sheetFormatPr defaultRowHeight="14.45"/>
  <cols>
    <col min="1" max="1" width="9.7109375" bestFit="1" customWidth="1"/>
    <col min="2" max="2" width="16.140625" bestFit="1" customWidth="1"/>
    <col min="3" max="3" width="18" bestFit="1" customWidth="1"/>
  </cols>
  <sheetData>
    <row r="1" spans="1:2">
      <c r="A1" s="3" t="s">
        <v>243</v>
      </c>
      <c r="B1" t="s">
        <v>2734</v>
      </c>
    </row>
    <row r="3" spans="1:2">
      <c r="A3" s="3" t="s">
        <v>76</v>
      </c>
      <c r="B3" t="s">
        <v>2735</v>
      </c>
    </row>
    <row r="4" spans="1:2">
      <c r="A4" t="s">
        <v>53</v>
      </c>
      <c r="B4">
        <v>70</v>
      </c>
    </row>
    <row r="5" spans="1:2">
      <c r="A5" t="s">
        <v>54</v>
      </c>
      <c r="B5">
        <v>180</v>
      </c>
    </row>
    <row r="6" spans="1:2">
      <c r="A6" t="s">
        <v>55</v>
      </c>
      <c r="B6">
        <v>97</v>
      </c>
    </row>
    <row r="7" spans="1:2">
      <c r="A7" t="s">
        <v>56</v>
      </c>
      <c r="B7">
        <v>93</v>
      </c>
    </row>
    <row r="8" spans="1:2">
      <c r="A8" t="s">
        <v>57</v>
      </c>
      <c r="B8">
        <v>88</v>
      </c>
    </row>
    <row r="9" spans="1:2">
      <c r="A9" t="s">
        <v>58</v>
      </c>
      <c r="B9">
        <v>81</v>
      </c>
    </row>
    <row r="10" spans="1:2">
      <c r="A10" t="s">
        <v>59</v>
      </c>
      <c r="B10">
        <v>196</v>
      </c>
    </row>
    <row r="11" spans="1:2">
      <c r="A11" t="s">
        <v>60</v>
      </c>
      <c r="B11">
        <v>62</v>
      </c>
    </row>
    <row r="12" spans="1:2">
      <c r="A12" t="s">
        <v>61</v>
      </c>
      <c r="B12">
        <v>96</v>
      </c>
    </row>
    <row r="13" spans="1:2">
      <c r="A13" t="s">
        <v>62</v>
      </c>
      <c r="B13">
        <v>43</v>
      </c>
    </row>
    <row r="14" spans="1:2">
      <c r="A14" t="s">
        <v>2736</v>
      </c>
      <c r="B14">
        <v>1006</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5C4A-5AE5-44A2-B646-A0C0F6D52542}">
  <dimension ref="A1:Q13"/>
  <sheetViews>
    <sheetView workbookViewId="0"/>
  </sheetViews>
  <sheetFormatPr defaultRowHeight="14.45"/>
  <sheetData>
    <row r="1" spans="1:17">
      <c r="A1" t="s">
        <v>9</v>
      </c>
      <c r="B1" t="s">
        <v>43</v>
      </c>
      <c r="C1" t="s">
        <v>27</v>
      </c>
      <c r="D1" t="s">
        <v>45</v>
      </c>
      <c r="E1" t="s">
        <v>36</v>
      </c>
      <c r="F1" t="s">
        <v>37</v>
      </c>
      <c r="G1" t="s">
        <v>38</v>
      </c>
      <c r="I1" t="s">
        <v>26</v>
      </c>
      <c r="J1" t="s">
        <v>27</v>
      </c>
      <c r="K1" t="s">
        <v>45</v>
      </c>
      <c r="M1" s="174" t="s">
        <v>9</v>
      </c>
      <c r="N1" s="174" t="s">
        <v>45</v>
      </c>
      <c r="P1" t="s">
        <v>9</v>
      </c>
      <c r="Q1" t="s">
        <v>27</v>
      </c>
    </row>
    <row r="2" spans="1:17">
      <c r="A2" t="s">
        <v>53</v>
      </c>
      <c r="B2">
        <f>SUMIFS(BASE!$F:$F,BASE!$A:$A,Dashboard!$B$3,BASE!$L:$L,$A2)</f>
        <v>3011</v>
      </c>
      <c r="C2">
        <f>SUMIFS(BASE!$G:$G,BASE!$A:$A,Dashboard!$B$3,BASE!$L:$L,$A2)</f>
        <v>321</v>
      </c>
      <c r="D2" s="111">
        <f>IFERROR(C2/B2,0)</f>
        <v>0.10660909996678844</v>
      </c>
      <c r="E2">
        <f>COUNTIFS(PDVS!$G$3:$G$5000,$A2,PDVS!$J$3:$J$5000,"Sim")</f>
        <v>70</v>
      </c>
      <c r="F2" cm="1">
        <f t="array" ref="F2">SUMPRODUCT(--(PDVS!$G$3:$G$5000=$A2),--(PDVS!$J$3:$J$5000="Sim"),--(INDEX(PDVS!$K$3:$V$5000,0,MATCH(Dashboard!$B$3,PDVS!$K$2:$V$2,0))&gt;0))</f>
        <v>40</v>
      </c>
      <c r="G2" s="111">
        <f>IFERROR(F2/E2,0)</f>
        <v>0.5714285714285714</v>
      </c>
      <c r="I2" s="1">
        <v>46023</v>
      </c>
      <c r="J2">
        <f>IF(COUNTIFS(BASE!$A:$A,I2)&gt;0,SUMIFS(BASE!$G:$G,BASE!$A:$A,I2),"")</f>
        <v>2001</v>
      </c>
      <c r="K2" s="111">
        <f>IF(I2&lt;=Dashboard!$B$3,IFERROR(SUMIFS(BASE!$G:$G,BASE!$A:$A,I2)/SUMIFS(BASE!$F:$F,BASE!$A:$A,I2),0),"")</f>
        <v>8.3444537114261891E-2</v>
      </c>
      <c r="M2" t="str" cm="1">
        <f t="array" ref="M2:N11">_xlfn.SORTBY(_xlfn.HSTACK($A$2:$A$11,$D$2:$D$11),$D$2:$D$11,-1)</f>
        <v>SP2</v>
      </c>
      <c r="N2" s="111">
        <v>0.20684907933230082</v>
      </c>
      <c r="P2" t="str" cm="1">
        <f t="array" ref="P2:Q11">_xlfn.SORTBY(_xlfn.HSTACK($A$2:$A$11,$C$2:$C$11),$C$2:$C$11,1)</f>
        <v>NO</v>
      </c>
      <c r="Q2">
        <v>4</v>
      </c>
    </row>
    <row r="3" spans="1:17">
      <c r="A3" t="s">
        <v>54</v>
      </c>
      <c r="B3">
        <f>SUMIFS(BASE!$F:$F,BASE!$A:$A,Dashboard!$B$3,BASE!$L:$L,$A3)</f>
        <v>5811</v>
      </c>
      <c r="C3">
        <f>SUMIFS(BASE!$G:$G,BASE!$A:$A,Dashboard!$B$3,BASE!$L:$L,$A3)</f>
        <v>1202</v>
      </c>
      <c r="D3" s="111">
        <f t="shared" ref="D3:D11" si="0">IFERROR(C3/B3,0)</f>
        <v>0.20684907933230082</v>
      </c>
      <c r="E3">
        <f>COUNTIFS(PDVS!$G$3:$G$5000,$A3,PDVS!$J$3:$J$5000,"Sim")</f>
        <v>170</v>
      </c>
      <c r="F3" cm="1">
        <f t="array" ref="F3">SUMPRODUCT(--(PDVS!$G$3:$G$5000=$A3),--(PDVS!$J$3:$J$5000="Sim"),--(INDEX(PDVS!$K$3:$V$5000,0,MATCH(Dashboard!$B$3,PDVS!$K$2:$V$2,0))&gt;0))</f>
        <v>110</v>
      </c>
      <c r="G3" s="111">
        <f t="shared" ref="G3:G11" si="1">IFERROR(F3/E3,0)</f>
        <v>0.6470588235294118</v>
      </c>
      <c r="I3" s="1">
        <v>46054</v>
      </c>
      <c r="J3">
        <f>IF(COUNTIFS(BASE!$A:$A,I3)&gt;0,SUMIFS(BASE!$G:$G,BASE!$A:$A,I3),"")</f>
        <v>1657</v>
      </c>
      <c r="K3" s="111">
        <f>IF(I3&lt;=Dashboard!$B$3,IFERROR(SUMIFS(BASE!$G:$G,BASE!$A:$A,I3)/SUMIFS(BASE!$F:$F,BASE!$A:$A,I3),0),"")</f>
        <v>8.270939403014875E-2</v>
      </c>
      <c r="M3" t="str">
        <v>RJ/ES</v>
      </c>
      <c r="N3" s="111">
        <v>0.13767123287671232</v>
      </c>
      <c r="P3" t="str">
        <v>BA/SE</v>
      </c>
      <c r="Q3">
        <v>167</v>
      </c>
    </row>
    <row r="4" spans="1:17">
      <c r="A4" t="s">
        <v>55</v>
      </c>
      <c r="B4">
        <f>SUMIFS(BASE!$F:$F,BASE!$A:$A,Dashboard!$B$3,BASE!$L:$L,$A4)</f>
        <v>4380</v>
      </c>
      <c r="C4">
        <f>SUMIFS(BASE!$G:$G,BASE!$A:$A,Dashboard!$B$3,BASE!$L:$L,$A4)</f>
        <v>603</v>
      </c>
      <c r="D4" s="111">
        <f t="shared" si="0"/>
        <v>0.13767123287671232</v>
      </c>
      <c r="E4">
        <f>COUNTIFS(PDVS!$G$3:$G$5000,$A4,PDVS!$J$3:$J$5000,"Sim")</f>
        <v>97</v>
      </c>
      <c r="F4" cm="1">
        <f t="array" ref="F4">SUMPRODUCT(--(PDVS!$G$3:$G$5000=$A4),--(PDVS!$J$3:$J$5000="Sim"),--(INDEX(PDVS!$K$3:$V$5000,0,MATCH(Dashboard!$B$3,PDVS!$K$2:$V$2,0))&gt;0))</f>
        <v>72</v>
      </c>
      <c r="G4" s="111">
        <f t="shared" si="1"/>
        <v>0.74226804123711343</v>
      </c>
      <c r="I4" s="1">
        <v>46082</v>
      </c>
      <c r="J4">
        <f>IF(COUNTIFS(BASE!$A:$A,I4)&gt;0,SUMIFS(BASE!$G:$G,BASE!$A:$A,I4),"")</f>
        <v>2965</v>
      </c>
      <c r="K4" s="111">
        <f>IF(I4&lt;=Dashboard!$B$3,IFERROR(SUMIFS(BASE!$G:$G,BASE!$A:$A,I4)/SUMIFS(BASE!$F:$F,BASE!$A:$A,I4),0),"")</f>
        <v>0.10160721017100167</v>
      </c>
      <c r="M4" t="str">
        <v>PR/SC</v>
      </c>
      <c r="N4" s="111">
        <v>0.12022569444444445</v>
      </c>
      <c r="P4" t="str">
        <v>RS</v>
      </c>
      <c r="Q4">
        <v>178</v>
      </c>
    </row>
    <row r="5" spans="1:17">
      <c r="A5" t="s">
        <v>56</v>
      </c>
      <c r="B5">
        <f>SUMIFS(BASE!$F:$F,BASE!$A:$A,Dashboard!$B$3,BASE!$L:$L,$A5)</f>
        <v>2059</v>
      </c>
      <c r="C5">
        <f>SUMIFS(BASE!$G:$G,BASE!$A:$A,Dashboard!$B$3,BASE!$L:$L,$A5)</f>
        <v>236</v>
      </c>
      <c r="D5" s="111">
        <f t="shared" si="0"/>
        <v>0.1146187469645459</v>
      </c>
      <c r="E5">
        <f>COUNTIFS(PDVS!$G$3:$G$5000,$A5,PDVS!$J$3:$J$5000,"Sim")</f>
        <v>89</v>
      </c>
      <c r="F5" cm="1">
        <f t="array" ref="F5">SUMPRODUCT(--(PDVS!$G$3:$G$5000=$A5),--(PDVS!$J$3:$J$5000="Sim"),--(INDEX(PDVS!$K$3:$V$5000,0,MATCH(Dashboard!$B$3,PDVS!$K$2:$V$2,0))&gt;0))</f>
        <v>30</v>
      </c>
      <c r="G5" s="111">
        <f t="shared" si="1"/>
        <v>0.33707865168539325</v>
      </c>
      <c r="I5" s="1">
        <v>46113</v>
      </c>
      <c r="J5">
        <f>IF(COUNTIFS(BASE!$A:$A,I5)&gt;0,SUMIFS(BASE!$G:$G,BASE!$A:$A,I5),"")</f>
        <v>2364</v>
      </c>
      <c r="K5" s="111">
        <f>IF(I5&lt;=Dashboard!$B$3,IFERROR(SUMIFS(BASE!$G:$G,BASE!$A:$A,I5)/SUMIFS(BASE!$F:$F,BASE!$A:$A,I5),0),"")</f>
        <v>9.8348379581478559E-2</v>
      </c>
      <c r="M5" t="str">
        <v>MG</v>
      </c>
      <c r="N5" s="111">
        <v>0.1146187469645459</v>
      </c>
      <c r="P5" t="str">
        <v>MG</v>
      </c>
      <c r="Q5">
        <v>236</v>
      </c>
    </row>
    <row r="6" spans="1:17">
      <c r="A6" t="s">
        <v>57</v>
      </c>
      <c r="B6">
        <f>SUMIFS(BASE!$F:$F,BASE!$A:$A,Dashboard!$B$3,BASE!$L:$L,$A6)</f>
        <v>2304</v>
      </c>
      <c r="C6">
        <f>SUMIFS(BASE!$G:$G,BASE!$A:$A,Dashboard!$B$3,BASE!$L:$L,$A6)</f>
        <v>277</v>
      </c>
      <c r="D6" s="111">
        <f t="shared" si="0"/>
        <v>0.12022569444444445</v>
      </c>
      <c r="E6">
        <f>COUNTIFS(PDVS!$G$3:$G$5000,$A6,PDVS!$J$3:$J$5000,"Sim")</f>
        <v>85</v>
      </c>
      <c r="F6" cm="1">
        <f t="array" ref="F6">SUMPRODUCT(--(PDVS!$G$3:$G$5000=$A6),--(PDVS!$J$3:$J$5000="Sim"),--(INDEX(PDVS!$K$3:$V$5000,0,MATCH(Dashboard!$B$3,PDVS!$K$2:$V$2,0))&gt;0))</f>
        <v>49</v>
      </c>
      <c r="G6" s="111">
        <f t="shared" si="1"/>
        <v>0.57647058823529407</v>
      </c>
      <c r="I6" s="1">
        <v>46143</v>
      </c>
      <c r="J6">
        <f>IF(COUNTIFS(BASE!$A:$A,I6)&gt;0,SUMIFS(BASE!$G:$G,BASE!$A:$A,I6),"")</f>
        <v>2940</v>
      </c>
      <c r="K6" s="111">
        <f>IF(I6&lt;=Dashboard!$B$3,IFERROR(SUMIFS(BASE!$G:$G,BASE!$A:$A,I6)/SUMIFS(BASE!$F:$F,BASE!$A:$A,I6),0),"")</f>
        <v>0.10131293290602708</v>
      </c>
      <c r="M6" t="str">
        <v>CO</v>
      </c>
      <c r="N6" s="111">
        <v>0.10840058694057227</v>
      </c>
      <c r="P6" t="str">
        <v>NE</v>
      </c>
      <c r="Q6">
        <v>265</v>
      </c>
    </row>
    <row r="7" spans="1:17">
      <c r="A7" t="s">
        <v>58</v>
      </c>
      <c r="B7">
        <f>SUMIFS(BASE!$F:$F,BASE!$A:$A,Dashboard!$B$3,BASE!$L:$L,$A7)</f>
        <v>2450</v>
      </c>
      <c r="C7">
        <f>SUMIFS(BASE!$G:$G,BASE!$A:$A,Dashboard!$B$3,BASE!$L:$L,$A7)</f>
        <v>178</v>
      </c>
      <c r="D7" s="111">
        <f t="shared" si="0"/>
        <v>7.2653061224489793E-2</v>
      </c>
      <c r="E7">
        <f>COUNTIFS(PDVS!$G$3:$G$5000,$A7,PDVS!$J$3:$J$5000,"Sim")</f>
        <v>79</v>
      </c>
      <c r="F7" cm="1">
        <f t="array" ref="F7">SUMPRODUCT(--(PDVS!$G$3:$G$5000=$A7),--(PDVS!$J$3:$J$5000="Sim"),--(INDEX(PDVS!$K$3:$V$5000,0,MATCH(Dashboard!$B$3,PDVS!$K$2:$V$2,0))&gt;0))</f>
        <v>46</v>
      </c>
      <c r="G7" s="111">
        <f t="shared" si="1"/>
        <v>0.58227848101265822</v>
      </c>
      <c r="I7" s="1">
        <v>46174</v>
      </c>
      <c r="J7">
        <f>IF(COUNTIFS(BASE!$A:$A,I7)&gt;0,SUMIFS(BASE!$G:$G,BASE!$A:$A,I7),"")</f>
        <v>3007</v>
      </c>
      <c r="K7" s="111">
        <f>IF(I7&lt;=Dashboard!$B$3,IFERROR(SUMIFS(BASE!$G:$G,BASE!$A:$A,I7)/SUMIFS(BASE!$F:$F,BASE!$A:$A,I7),0),"")</f>
        <v>0.12537525016677786</v>
      </c>
      <c r="M7" t="str">
        <v>SP1</v>
      </c>
      <c r="N7" s="111">
        <v>0.10660909996678844</v>
      </c>
      <c r="P7" t="str">
        <v>PR/SC</v>
      </c>
      <c r="Q7">
        <v>277</v>
      </c>
    </row>
    <row r="8" spans="1:17">
      <c r="A8" t="s">
        <v>59</v>
      </c>
      <c r="B8">
        <f>SUMIFS(BASE!$F:$F,BASE!$A:$A,Dashboard!$B$3,BASE!$L:$L,$A8)</f>
        <v>5452</v>
      </c>
      <c r="C8">
        <f>SUMIFS(BASE!$G:$G,BASE!$A:$A,Dashboard!$B$3,BASE!$L:$L,$A8)</f>
        <v>591</v>
      </c>
      <c r="D8" s="111">
        <f t="shared" si="0"/>
        <v>0.10840058694057227</v>
      </c>
      <c r="E8">
        <f>COUNTIFS(PDVS!$G$3:$G$5000,$A8,PDVS!$J$3:$J$5000,"Sim")</f>
        <v>187</v>
      </c>
      <c r="F8" cm="1">
        <f t="array" ref="F8">SUMPRODUCT(--(PDVS!$G$3:$G$5000=$A8),--(PDVS!$J$3:$J$5000="Sim"),--(INDEX(PDVS!$K$3:$V$5000,0,MATCH(Dashboard!$B$3,PDVS!$K$2:$V$2,0))&gt;0))</f>
        <v>88</v>
      </c>
      <c r="G8" s="111">
        <f t="shared" si="1"/>
        <v>0.47058823529411764</v>
      </c>
      <c r="I8" s="1">
        <v>46204</v>
      </c>
      <c r="J8">
        <f>IF(COUNTIFS(BASE!$A:$A,I8)&gt;0,SUMIFS(BASE!$G:$G,BASE!$A:$A,I8),"")</f>
        <v>5021</v>
      </c>
      <c r="K8" s="111">
        <f>IF(I8&lt;=Dashboard!$B$3,IFERROR(SUMIFS(BASE!$G:$G,BASE!$A:$A,I8)/SUMIFS(BASE!$F:$F,BASE!$A:$A,I8),0),"")</f>
        <v>0.16826407506702412</v>
      </c>
      <c r="M8" t="str">
        <v>BA/SE</v>
      </c>
      <c r="N8" s="111">
        <v>0.10264290104486785</v>
      </c>
      <c r="P8" t="str">
        <v>SP1</v>
      </c>
      <c r="Q8">
        <v>321</v>
      </c>
    </row>
    <row r="9" spans="1:17">
      <c r="A9" t="s">
        <v>60</v>
      </c>
      <c r="B9">
        <f>SUMIFS(BASE!$F:$F,BASE!$A:$A,Dashboard!$B$3,BASE!$L:$L,$A9)</f>
        <v>1627</v>
      </c>
      <c r="C9">
        <f>SUMIFS(BASE!$G:$G,BASE!$A:$A,Dashboard!$B$3,BASE!$L:$L,$A9)</f>
        <v>167</v>
      </c>
      <c r="D9" s="111">
        <f t="shared" si="0"/>
        <v>0.10264290104486785</v>
      </c>
      <c r="E9">
        <f>COUNTIFS(PDVS!$G$3:$G$5000,$A9,PDVS!$J$3:$J$5000,"Sim")</f>
        <v>61</v>
      </c>
      <c r="F9" cm="1">
        <f t="array" ref="F9">SUMPRODUCT(--(PDVS!$G$3:$G$5000=$A9),--(PDVS!$J$3:$J$5000="Sim"),--(INDEX(PDVS!$K$3:$V$5000,0,MATCH(Dashboard!$B$3,PDVS!$K$2:$V$2,0))&gt;0))</f>
        <v>26</v>
      </c>
      <c r="G9" s="111">
        <f t="shared" si="1"/>
        <v>0.42622950819672129</v>
      </c>
      <c r="I9" s="1">
        <v>46235</v>
      </c>
      <c r="J9">
        <f>IF(COUNTIFS(BASE!$A:$A,I9)&gt;0,SUMIFS(BASE!$G:$G,BASE!$A:$A,I9),"")</f>
        <v>3844</v>
      </c>
      <c r="K9" s="111">
        <f>IF(I9&lt;=Dashboard!$B$3,IFERROR(SUMIFS(BASE!$G:$G,BASE!$A:$A,I9)/SUMIFS(BASE!$F:$F,BASE!$A:$A,I9),0),"")</f>
        <v>0.12726791153489603</v>
      </c>
      <c r="M9" t="str">
        <v>NE</v>
      </c>
      <c r="N9" s="111">
        <v>0.10011333585190782</v>
      </c>
      <c r="P9" t="str">
        <v>CO</v>
      </c>
      <c r="Q9">
        <v>591</v>
      </c>
    </row>
    <row r="10" spans="1:17">
      <c r="A10" t="s">
        <v>61</v>
      </c>
      <c r="B10">
        <f>SUMIFS(BASE!$F:$F,BASE!$A:$A,Dashboard!$B$3,BASE!$L:$L,$A10)</f>
        <v>2647</v>
      </c>
      <c r="C10">
        <f>SUMIFS(BASE!$G:$G,BASE!$A:$A,Dashboard!$B$3,BASE!$L:$L,$A10)</f>
        <v>265</v>
      </c>
      <c r="D10" s="111">
        <f t="shared" si="0"/>
        <v>0.10011333585190782</v>
      </c>
      <c r="E10">
        <f>COUNTIFS(PDVS!$G$3:$G$5000,$A10,PDVS!$J$3:$J$5000,"Sim")</f>
        <v>75</v>
      </c>
      <c r="F10" cm="1">
        <f t="array" ref="F10">SUMPRODUCT(--(PDVS!$G$3:$G$5000=$A10),--(PDVS!$J$3:$J$5000="Sim"),--(INDEX(PDVS!$K$3:$V$5000,0,MATCH(Dashboard!$B$3,PDVS!$K$2:$V$2,0))&gt;0))</f>
        <v>27</v>
      </c>
      <c r="G10" s="111">
        <f t="shared" si="1"/>
        <v>0.36</v>
      </c>
      <c r="I10" s="1">
        <v>46266</v>
      </c>
      <c r="J10" t="str">
        <f>IF(COUNTIFS(BASE!$A:$A,I10)&gt;0,SUMIFS(BASE!$G:$G,BASE!$A:$A,I10),"")</f>
        <v/>
      </c>
      <c r="K10" s="111" t="str">
        <f>IF(I10&lt;=Dashboard!$B$3,IFERROR(SUMIFS(BASE!$G:$G,BASE!$A:$A,I10)/SUMIFS(BASE!$F:$F,BASE!$A:$A,I10),0),"")</f>
        <v/>
      </c>
      <c r="M10" t="str">
        <v>RS</v>
      </c>
      <c r="N10" s="111">
        <v>7.2653061224489793E-2</v>
      </c>
      <c r="P10" t="str">
        <v>RJ/ES</v>
      </c>
      <c r="Q10">
        <v>603</v>
      </c>
    </row>
    <row r="11" spans="1:17">
      <c r="A11" t="s">
        <v>62</v>
      </c>
      <c r="B11">
        <f>SUMIFS(BASE!$F:$F,BASE!$A:$A,Dashboard!$B$3,BASE!$L:$L,$A11)</f>
        <v>457</v>
      </c>
      <c r="C11">
        <f>SUMIFS(BASE!$G:$G,BASE!$A:$A,Dashboard!$B$3,BASE!$L:$L,$A11)</f>
        <v>4</v>
      </c>
      <c r="D11" s="111">
        <f t="shared" si="0"/>
        <v>8.7527352297592995E-3</v>
      </c>
      <c r="E11">
        <f>COUNTIFS(PDVS!$G$3:$G$5000,$A11,PDVS!$J$3:$J$5000,"Sim")</f>
        <v>24</v>
      </c>
      <c r="F11" cm="1">
        <f t="array" ref="F11">SUMPRODUCT(--(PDVS!$G$3:$G$5000=$A11),--(PDVS!$J$3:$J$5000="Sim"),--(INDEX(PDVS!$K$3:$V$5000,0,MATCH(Dashboard!$B$3,PDVS!$K$2:$V$2,0))&gt;0))</f>
        <v>2</v>
      </c>
      <c r="G11" s="111">
        <f t="shared" si="1"/>
        <v>8.3333333333333329E-2</v>
      </c>
      <c r="I11" s="1">
        <v>46296</v>
      </c>
      <c r="J11" t="str">
        <f>IF(COUNTIFS(BASE!$A:$A,I11)&gt;0,SUMIFS(BASE!$G:$G,BASE!$A:$A,I11),"")</f>
        <v/>
      </c>
      <c r="K11" s="111" t="str">
        <f>IF(I11&lt;=Dashboard!$B$3,IFERROR(SUMIFS(BASE!$G:$G,BASE!$A:$A,I11)/SUMIFS(BASE!$F:$F,BASE!$A:$A,I11),0),"")</f>
        <v/>
      </c>
      <c r="M11" t="str">
        <v>NO</v>
      </c>
      <c r="N11" s="111">
        <v>8.7527352297592995E-3</v>
      </c>
      <c r="P11" t="str">
        <v>SP2</v>
      </c>
      <c r="Q11">
        <v>1202</v>
      </c>
    </row>
    <row r="12" spans="1:17">
      <c r="I12" s="1">
        <v>46327</v>
      </c>
      <c r="J12" t="str">
        <f>IF(COUNTIFS(BASE!$A:$A,I12)&gt;0,SUMIFS(BASE!$G:$G,BASE!$A:$A,I12),"")</f>
        <v/>
      </c>
      <c r="K12" s="111" t="str">
        <f>IF(I12&lt;=Dashboard!$B$3,IFERROR(SUMIFS(BASE!$G:$G,BASE!$A:$A,I12)/SUMIFS(BASE!$F:$F,BASE!$A:$A,I12),0),"")</f>
        <v/>
      </c>
    </row>
    <row r="13" spans="1:17">
      <c r="I13" s="1">
        <v>46357</v>
      </c>
      <c r="J13" t="str">
        <f>IF(COUNTIFS(BASE!$A:$A,I13)&gt;0,SUMIFS(BASE!$G:$G,BASE!$A:$A,I13),"")</f>
        <v/>
      </c>
      <c r="K13" s="111" t="str">
        <f>IF(I13&lt;=Dashboard!$B$3,IFERROR(SUMIFS(BASE!$G:$G,BASE!$A:$A,I13)/SUMIFS(BASE!$F:$F,BASE!$A:$A,I13),0),"")</f>
        <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2A7EC65C8C0DE4885D2FE10583B01AD" ma:contentTypeVersion="21" ma:contentTypeDescription="Crie um novo documento." ma:contentTypeScope="" ma:versionID="41543e5734bb24aa24f6805d0481e813">
  <xsd:schema xmlns:xsd="http://www.w3.org/2001/XMLSchema" xmlns:xs="http://www.w3.org/2001/XMLSchema" xmlns:p="http://schemas.microsoft.com/office/2006/metadata/properties" xmlns:ns2="d64892a8-e916-496b-9ee0-36bbaba09a00" xmlns:ns3="40849b48-4b42-4eb9-9045-122e1f3d4561" targetNamespace="http://schemas.microsoft.com/office/2006/metadata/properties" ma:root="true" ma:fieldsID="44d2c4ded7b7281001cf90167093406c" ns2:_="" ns3:_="">
    <xsd:import namespace="d64892a8-e916-496b-9ee0-36bbaba09a00"/>
    <xsd:import namespace="40849b48-4b42-4eb9-9045-122e1f3d4561"/>
    <xsd:element name="properties">
      <xsd:complexType>
        <xsd:sequence>
          <xsd:element name="documentManagement">
            <xsd:complexType>
              <xsd:all>
                <xsd:element ref="ns2:_Flow_SignoffStatus"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BillingMetadata" minOccurs="0"/>
                <xsd:element ref="ns2:Data" minOccurs="0"/>
                <xsd:element ref="ns2:Atualizado" minOccurs="0"/>
                <xsd:element ref="ns2:JANEIR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4892a8-e916-496b-9ee0-36bbaba09a00" elementFormDefault="qualified">
    <xsd:import namespace="http://schemas.microsoft.com/office/2006/documentManagement/types"/>
    <xsd:import namespace="http://schemas.microsoft.com/office/infopath/2007/PartnerControls"/>
    <xsd:element name="_Flow_SignoffStatus" ma:index="8" nillable="true" ma:displayName="Status de liberação" ma:internalName="Status_x0020_de_x0020_libera_x00e7__x00e3_o">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ata" ma:index="24" nillable="true" ma:displayName="Data" ma:default="[today]" ma:format="DateTime" ma:internalName="Data">
      <xsd:simpleType>
        <xsd:restriction base="dms:DateTime"/>
      </xsd:simpleType>
    </xsd:element>
    <xsd:element name="Atualizado" ma:index="25" nillable="true" ma:displayName="Atualizado" ma:default="SIM" ma:format="RadioButtons" ma:internalName="Atualizado">
      <xsd:simpleType>
        <xsd:restriction base="dms:Choice">
          <xsd:enumeration value="SIM"/>
          <xsd:enumeration value="NÃO"/>
          <xsd:enumeration value="Escolha 3"/>
          <xsd:enumeration value="Escolha 4"/>
        </xsd:restriction>
      </xsd:simpleType>
    </xsd:element>
    <xsd:element name="JANEIRO" ma:index="26" nillable="true" ma:displayName="JANEIRO " ma:format="Dropdown" ma:internalName="JANEIR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849b48-4b42-4eb9-9045-122e1f3d4561"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15" nillable="true" ma:displayName="Taxonomy Catch All Column" ma:hidden="true" ma:list="{2a511da6-bb1a-4453-a03f-a7f98e2d8704}" ma:internalName="TaxCatchAll" ma:showField="CatchAllData" ma:web="40849b48-4b42-4eb9-9045-122e1f3d45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JANEIRO xmlns="d64892a8-e916-496b-9ee0-36bbaba09a00" xsi:nil="true"/>
    <Data xmlns="d64892a8-e916-496b-9ee0-36bbaba09a00">2026-08-07T19:13:08+00:00</Data>
    <TaxCatchAll xmlns="40849b48-4b42-4eb9-9045-122e1f3d4561" xsi:nil="true"/>
    <Atualizado xmlns="d64892a8-e916-496b-9ee0-36bbaba09a00">SIM</Atualizado>
    <_Flow_SignoffStatus xmlns="d64892a8-e916-496b-9ee0-36bbaba09a00" xsi:nil="true"/>
    <lcf76f155ced4ddcb4097134ff3c332f xmlns="d64892a8-e916-496b-9ee0-36bbaba09a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012E91-6F62-4DE6-8602-FF3138720393}"/>
</file>

<file path=customXml/itemProps2.xml><?xml version="1.0" encoding="utf-8"?>
<ds:datastoreItem xmlns:ds="http://schemas.openxmlformats.org/officeDocument/2006/customXml" ds:itemID="{B7139CF5-134A-476E-B7C8-6B23B8B63CF6}"/>
</file>

<file path=customXml/itemProps3.xml><?xml version="1.0" encoding="utf-8"?>
<ds:datastoreItem xmlns:ds="http://schemas.openxmlformats.org/officeDocument/2006/customXml" ds:itemID="{9FF2B8D2-032E-4B20-8BCE-905F92A3ACDC}"/>
</file>

<file path=docProps/app.xml><?xml version="1.0" encoding="utf-8"?>
<Properties xmlns="http://schemas.openxmlformats.org/officeDocument/2006/extended-properties" xmlns:vt="http://schemas.openxmlformats.org/officeDocument/2006/docPropsVTypes">
  <Application>Microsoft Excel Online</Application>
  <Manager/>
  <Company>Claro 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FLAVIO DE OLIVEIRA JUNIOR</dc:creator>
  <cp:keywords/>
  <dc:description/>
  <cp:lastModifiedBy/>
  <cp:revision/>
  <dcterms:created xsi:type="dcterms:W3CDTF">2026-06-25T17:55:57Z</dcterms:created>
  <dcterms:modified xsi:type="dcterms:W3CDTF">2026-08-25T19:17:17Z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0x010100B2A7EC65C8C0DE4885D2FE10583B01AD</vt:lpwstr>
  </property>
  <property fmtid="{D5CDD505-2E9C-101B-9397-08002B2CF9AE}" pid="3" name="MediaServiceImageTags">
    <vt:lpwstr/>
  </property>
</Properties>
</file>